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Ex1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3.xml" ContentType="application/vnd.openxmlformats-officedocument.drawing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4.xml" ContentType="application/vnd.openxmlformats-officedocument.drawing+xml"/>
  <Override PartName="/xl/charts/chart2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5.xml" ContentType="application/vnd.openxmlformats-officedocument.drawing+xml"/>
  <Override PartName="/xl/charts/chartEx3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4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3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acm/udd/redco_proyect/pilar_a/data/Archivos 2025/Respaldos/"/>
    </mc:Choice>
  </mc:AlternateContent>
  <xr:revisionPtr revIDLastSave="0" documentId="13_ncr:1_{6C6CF7F9-24FA-A848-84A4-2F986987DDE3}" xr6:coauthVersionLast="47" xr6:coauthVersionMax="47" xr10:uidLastSave="{00000000-0000-0000-0000-000000000000}"/>
  <bookViews>
    <workbookView xWindow="1520" yWindow="2680" windowWidth="33600" windowHeight="17400" activeTab="1" xr2:uid="{129443BE-6C52-4ADC-9094-03DDB3FC08BB}"/>
  </bookViews>
  <sheets>
    <sheet name="Gasto Diciembre (4)" sheetId="35" r:id="rId1"/>
    <sheet name="Gasto total_Análisis (2)" sheetId="32" r:id="rId2"/>
    <sheet name="Ingresos para PPT_Dic" sheetId="28" r:id="rId3"/>
    <sheet name="Gasto Noviembre_Pruebas" sheetId="27" state="hidden" r:id="rId4"/>
    <sheet name="Hoja3" sheetId="31" r:id="rId5"/>
    <sheet name="Gasto Diciembre (3)" sheetId="34" r:id="rId6"/>
    <sheet name="Gasto Diciembre" sheetId="29" r:id="rId7"/>
    <sheet name="Hoja2" sheetId="33" r:id="rId8"/>
    <sheet name="Gasto Diciembre (2)" sheetId="30" r:id="rId9"/>
    <sheet name="Gasto Noviembre" sheetId="26" state="hidden" r:id="rId10"/>
    <sheet name="Gasto Octubre" sheetId="24" state="hidden" r:id="rId11"/>
    <sheet name="Gasto Octubre (2)" sheetId="25" state="hidden" r:id="rId12"/>
    <sheet name="Gasto total_Análisis" sheetId="4" r:id="rId13"/>
    <sheet name="Análisis gastos oct" sheetId="21" state="hidden" r:id="rId14"/>
    <sheet name="Sueldos Septiembre" sheetId="16" state="hidden" r:id="rId15"/>
    <sheet name="Ingresos para PPT_Oct" sheetId="18" state="hidden" r:id="rId16"/>
    <sheet name="Ingresos para PPT_Sept" sheetId="8" state="hidden" r:id="rId17"/>
    <sheet name="Analisis de Ingresos" sheetId="19" state="hidden" r:id="rId18"/>
    <sheet name="Gasto Septiembre" sheetId="13" state="hidden" r:id="rId19"/>
    <sheet name="Beneficio" sheetId="5" r:id="rId20"/>
    <sheet name="Gasto Septiembre (2)" sheetId="17" state="hidden" r:id="rId21"/>
    <sheet name="Resumen KPI" sheetId="23" r:id="rId22"/>
  </sheets>
  <externalReferences>
    <externalReference r:id="rId23"/>
    <externalReference r:id="rId24"/>
  </externalReferences>
  <definedNames>
    <definedName name="_xlnm._FilterDatabase" localSheetId="17" hidden="1">'Analisis de Ingresos'!$B$34:$F$107</definedName>
    <definedName name="_xlnm._FilterDatabase" localSheetId="6" hidden="1">'Gasto Diciembre'!$Q$6:$W$130</definedName>
    <definedName name="_xlnm._FilterDatabase" localSheetId="14" hidden="1">'Sueldos Septiembre'!$AW$8:$AX$110</definedName>
    <definedName name="_xlchart.v5.0" hidden="1">'Análisis gastos oct'!$H$4:$H$13</definedName>
    <definedName name="_xlchart.v5.1" hidden="1">'Análisis gastos oct'!$I$4:$I$13</definedName>
    <definedName name="_xlchart.v5.2" hidden="1">'Análisis gastos oct'!$H$17:$H$26</definedName>
    <definedName name="_xlchart.v5.3" hidden="1">'Análisis gastos oct'!$I$17:$I$26</definedName>
    <definedName name="_xlchart.v5.4" hidden="1">'Analisis de Ingresos'!$H$14:$H$20</definedName>
    <definedName name="_xlchart.v5.5" hidden="1">'Analisis de Ingresos'!$I$14:$I$20</definedName>
    <definedName name="_xlchart.v5.6" hidden="1">'Analisis de Ingresos'!$H$4:$H$10</definedName>
    <definedName name="_xlchart.v5.7" hidden="1">'Analisis de Ingresos'!$I$4:$I$10</definedName>
    <definedName name="_xlnm.Print_Area" localSheetId="17">'Analisis de Ingresos'!$A$1:$N$25</definedName>
    <definedName name="_xlnm.Print_Area" localSheetId="21">'Resumen KPI'!$A$1:$T$13</definedName>
    <definedName name="RutaCarpeta" localSheetId="19">#REF!</definedName>
    <definedName name="RutaCarpeta" localSheetId="6">#REF!</definedName>
    <definedName name="RutaCarpeta" localSheetId="8">#REF!</definedName>
    <definedName name="RutaCarpeta" localSheetId="5">#REF!</definedName>
    <definedName name="RutaCarpeta" localSheetId="0">#REF!</definedName>
    <definedName name="RutaCarpeta" localSheetId="9">#REF!</definedName>
    <definedName name="RutaCarpeta" localSheetId="3">#REF!</definedName>
    <definedName name="RutaCarpeta" localSheetId="10">#REF!</definedName>
    <definedName name="RutaCarpeta" localSheetId="11">#REF!</definedName>
    <definedName name="RutaCarpeta" localSheetId="18">#REF!</definedName>
    <definedName name="RutaCarpeta" localSheetId="20">#REF!</definedName>
    <definedName name="RutaCarpeta" localSheetId="12">#REF!</definedName>
    <definedName name="RutaCarpeta" localSheetId="1">#REF!</definedName>
    <definedName name="RutaCarpeta" localSheetId="14">#REF!</definedName>
    <definedName name="RutaCarpeta">#REF!</definedName>
  </definedNames>
  <calcPr calcId="191029"/>
  <pivotCaches>
    <pivotCache cacheId="88" r:id="rId25"/>
    <pivotCache cacheId="89" r:id="rId26"/>
    <pivotCache cacheId="90" r:id="rId27"/>
    <pivotCache cacheId="91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8" i="35" l="1"/>
  <c r="M10" i="5"/>
  <c r="D24" i="4"/>
  <c r="D40" i="4" s="1"/>
  <c r="R8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R29" i="34"/>
  <c r="R30" i="34"/>
  <c r="R31" i="34"/>
  <c r="R32" i="34"/>
  <c r="R33" i="34"/>
  <c r="R34" i="34"/>
  <c r="R35" i="34"/>
  <c r="R36" i="34"/>
  <c r="R37" i="34"/>
  <c r="R38" i="34"/>
  <c r="R39" i="34"/>
  <c r="R40" i="34"/>
  <c r="R41" i="34"/>
  <c r="R42" i="34"/>
  <c r="R43" i="34"/>
  <c r="R44" i="34"/>
  <c r="R45" i="34"/>
  <c r="R46" i="34"/>
  <c r="R47" i="34"/>
  <c r="R48" i="34"/>
  <c r="R49" i="34"/>
  <c r="R50" i="34"/>
  <c r="R51" i="34"/>
  <c r="R52" i="34"/>
  <c r="R53" i="34"/>
  <c r="R54" i="34"/>
  <c r="R55" i="34"/>
  <c r="R56" i="34"/>
  <c r="R57" i="34"/>
  <c r="R58" i="34"/>
  <c r="R59" i="34"/>
  <c r="R60" i="34"/>
  <c r="R61" i="34"/>
  <c r="R62" i="34"/>
  <c r="R63" i="34"/>
  <c r="R64" i="34"/>
  <c r="R65" i="34"/>
  <c r="R66" i="34"/>
  <c r="R67" i="34"/>
  <c r="R68" i="34"/>
  <c r="R69" i="34"/>
  <c r="R70" i="34"/>
  <c r="R72" i="34"/>
  <c r="R74" i="34"/>
  <c r="R76" i="34"/>
  <c r="R77" i="34"/>
  <c r="R78" i="34"/>
  <c r="R79" i="34"/>
  <c r="R82" i="34"/>
  <c r="R83" i="34"/>
  <c r="R84" i="34"/>
  <c r="R85" i="34"/>
  <c r="R86" i="34"/>
  <c r="R87" i="34"/>
  <c r="R88" i="34"/>
  <c r="R89" i="34"/>
  <c r="R90" i="34"/>
  <c r="R91" i="34"/>
  <c r="R92" i="34"/>
  <c r="R93" i="34"/>
  <c r="R94" i="34"/>
  <c r="R95" i="34"/>
  <c r="R96" i="34"/>
  <c r="R97" i="34"/>
  <c r="R99" i="34"/>
  <c r="R100" i="34"/>
  <c r="R101" i="34"/>
  <c r="R102" i="34"/>
  <c r="R103" i="34"/>
  <c r="R104" i="34"/>
  <c r="R105" i="34"/>
  <c r="R106" i="34"/>
  <c r="R107" i="34"/>
  <c r="R108" i="34"/>
  <c r="R109" i="34"/>
  <c r="R110" i="34"/>
  <c r="R111" i="34"/>
  <c r="R113" i="34"/>
  <c r="R115" i="34"/>
  <c r="R117" i="34"/>
  <c r="R118" i="34"/>
  <c r="R119" i="34"/>
  <c r="R120" i="34"/>
  <c r="R7" i="34"/>
  <c r="W117" i="29" l="1"/>
  <c r="W116" i="29"/>
  <c r="W109" i="29"/>
  <c r="W108" i="29"/>
  <c r="W107" i="29"/>
  <c r="W105" i="29"/>
  <c r="W103" i="29"/>
  <c r="W98" i="29"/>
  <c r="W96" i="29"/>
  <c r="W94" i="29"/>
  <c r="W93" i="29"/>
  <c r="W92" i="29"/>
  <c r="W91" i="29"/>
  <c r="W90" i="29"/>
  <c r="W87" i="29"/>
  <c r="W86" i="29"/>
  <c r="W84" i="29"/>
  <c r="W82" i="29"/>
  <c r="W81" i="29"/>
  <c r="W79" i="29"/>
  <c r="W77" i="29"/>
  <c r="W76" i="29"/>
  <c r="W75" i="29"/>
  <c r="W74" i="29"/>
  <c r="W70" i="29"/>
  <c r="W69" i="29"/>
  <c r="W65" i="29"/>
  <c r="W63" i="29"/>
  <c r="W62" i="29"/>
  <c r="W60" i="29"/>
  <c r="W59" i="29"/>
  <c r="W58" i="29"/>
  <c r="W56" i="29"/>
  <c r="W49" i="29"/>
  <c r="W47" i="29"/>
  <c r="W45" i="29"/>
  <c r="W44" i="29"/>
  <c r="W38" i="29"/>
  <c r="W37" i="29"/>
  <c r="W35" i="29"/>
  <c r="W33" i="29"/>
  <c r="W32" i="29"/>
  <c r="W31" i="29"/>
  <c r="W27" i="29"/>
  <c r="W24" i="29"/>
  <c r="W23" i="29"/>
  <c r="W22" i="29"/>
  <c r="W20" i="29"/>
  <c r="W18" i="29"/>
  <c r="W16" i="29"/>
  <c r="W14" i="29"/>
  <c r="W13" i="29"/>
  <c r="W12" i="29"/>
  <c r="W11" i="29"/>
  <c r="W8" i="29"/>
  <c r="W7" i="29"/>
  <c r="U8" i="29" l="1"/>
  <c r="U9" i="29"/>
  <c r="U10" i="29"/>
  <c r="U11" i="29"/>
  <c r="U12" i="29"/>
  <c r="U13" i="29"/>
  <c r="U14" i="29"/>
  <c r="U15" i="29"/>
  <c r="U16" i="29"/>
  <c r="U17" i="29"/>
  <c r="U18" i="29"/>
  <c r="U19" i="29"/>
  <c r="U20" i="29"/>
  <c r="U21" i="29"/>
  <c r="U22" i="29"/>
  <c r="U23" i="29"/>
  <c r="U24" i="29"/>
  <c r="U25" i="29"/>
  <c r="U26" i="29"/>
  <c r="U27" i="29"/>
  <c r="U28" i="29"/>
  <c r="U29" i="29"/>
  <c r="U30" i="29"/>
  <c r="U32" i="29"/>
  <c r="U33" i="29"/>
  <c r="U34" i="29"/>
  <c r="U35" i="29"/>
  <c r="U36" i="29"/>
  <c r="U37" i="29"/>
  <c r="U38" i="29"/>
  <c r="U39" i="29"/>
  <c r="U40" i="29"/>
  <c r="U41" i="29"/>
  <c r="U42" i="29"/>
  <c r="U44" i="29"/>
  <c r="U45" i="29"/>
  <c r="U46" i="29"/>
  <c r="U47" i="29"/>
  <c r="U48" i="29"/>
  <c r="U49" i="29"/>
  <c r="U50" i="29"/>
  <c r="U51" i="29"/>
  <c r="U52" i="29"/>
  <c r="U53" i="29"/>
  <c r="U55" i="29"/>
  <c r="U56" i="29"/>
  <c r="U57" i="29"/>
  <c r="U58" i="29"/>
  <c r="U59" i="29"/>
  <c r="U60" i="29"/>
  <c r="U61" i="29"/>
  <c r="U62" i="29"/>
  <c r="U63" i="29"/>
  <c r="U64" i="29"/>
  <c r="U66" i="29"/>
  <c r="U67" i="29"/>
  <c r="U69" i="29"/>
  <c r="U70" i="29"/>
  <c r="U71" i="29"/>
  <c r="U72" i="29"/>
  <c r="U75" i="29"/>
  <c r="U76" i="29"/>
  <c r="U77" i="29"/>
  <c r="U78" i="29"/>
  <c r="U79" i="29"/>
  <c r="U80" i="29"/>
  <c r="U81" i="29"/>
  <c r="U83" i="29"/>
  <c r="U84" i="29"/>
  <c r="U85" i="29"/>
  <c r="U86" i="29"/>
  <c r="U87" i="29"/>
  <c r="U88" i="29"/>
  <c r="U89" i="29"/>
  <c r="U90" i="29"/>
  <c r="U91" i="29"/>
  <c r="U92" i="29"/>
  <c r="U94" i="29"/>
  <c r="U95" i="29"/>
  <c r="U96" i="29"/>
  <c r="U97" i="29"/>
  <c r="U98" i="29"/>
  <c r="U99" i="29"/>
  <c r="U100" i="29"/>
  <c r="U101" i="29"/>
  <c r="U102" i="29"/>
  <c r="U104" i="29"/>
  <c r="U106" i="29"/>
  <c r="U110" i="29"/>
  <c r="U112" i="29"/>
  <c r="U114" i="29"/>
  <c r="U116" i="29"/>
  <c r="U117" i="29"/>
  <c r="U118" i="29"/>
  <c r="U119" i="29"/>
  <c r="U7" i="29"/>
  <c r="Q79" i="35" l="1"/>
  <c r="Q10" i="35"/>
  <c r="S115" i="29"/>
  <c r="Q8" i="29"/>
  <c r="S8" i="29" s="1"/>
  <c r="Q9" i="29"/>
  <c r="S9" i="29" s="1"/>
  <c r="Q10" i="29"/>
  <c r="S10" i="29" s="1"/>
  <c r="Q11" i="29"/>
  <c r="S11" i="29" s="1"/>
  <c r="Q12" i="29"/>
  <c r="S12" i="29" s="1"/>
  <c r="Q13" i="29"/>
  <c r="S13" i="29" s="1"/>
  <c r="Q14" i="29"/>
  <c r="S14" i="29" s="1"/>
  <c r="Q15" i="29"/>
  <c r="S15" i="29" s="1"/>
  <c r="Q16" i="29"/>
  <c r="S16" i="29" s="1"/>
  <c r="Q17" i="29"/>
  <c r="S17" i="29" s="1"/>
  <c r="Q18" i="29"/>
  <c r="S18" i="29" s="1"/>
  <c r="Q19" i="29"/>
  <c r="S19" i="29" s="1"/>
  <c r="Q20" i="29"/>
  <c r="S20" i="29" s="1"/>
  <c r="Q21" i="29"/>
  <c r="S21" i="29" s="1"/>
  <c r="Q22" i="29"/>
  <c r="S22" i="29" s="1"/>
  <c r="Q23" i="29"/>
  <c r="S23" i="29" s="1"/>
  <c r="Q24" i="29"/>
  <c r="S24" i="29" s="1"/>
  <c r="Q25" i="29"/>
  <c r="S25" i="29" s="1"/>
  <c r="Q26" i="29"/>
  <c r="S26" i="29" s="1"/>
  <c r="Q27" i="29"/>
  <c r="S27" i="29" s="1"/>
  <c r="Q28" i="29"/>
  <c r="S28" i="29" s="1"/>
  <c r="Q29" i="29"/>
  <c r="S29" i="29" s="1"/>
  <c r="Q30" i="29"/>
  <c r="S30" i="29" s="1"/>
  <c r="Q31" i="29"/>
  <c r="S31" i="29" s="1"/>
  <c r="Q32" i="29"/>
  <c r="S32" i="29" s="1"/>
  <c r="Q33" i="29"/>
  <c r="S33" i="29" s="1"/>
  <c r="Q34" i="29"/>
  <c r="S34" i="29" s="1"/>
  <c r="Q35" i="29"/>
  <c r="S35" i="29" s="1"/>
  <c r="Q36" i="29"/>
  <c r="S36" i="29" s="1"/>
  <c r="Q37" i="29"/>
  <c r="S37" i="29" s="1"/>
  <c r="Q38" i="29"/>
  <c r="S38" i="29" s="1"/>
  <c r="Q39" i="29"/>
  <c r="S39" i="29" s="1"/>
  <c r="Q40" i="29"/>
  <c r="S40" i="29" s="1"/>
  <c r="Q41" i="29"/>
  <c r="S41" i="29" s="1"/>
  <c r="Q42" i="29"/>
  <c r="S42" i="29" s="1"/>
  <c r="Q43" i="29"/>
  <c r="S43" i="29" s="1"/>
  <c r="Q44" i="29"/>
  <c r="S44" i="29" s="1"/>
  <c r="Q45" i="29"/>
  <c r="S45" i="29" s="1"/>
  <c r="Q46" i="29"/>
  <c r="S46" i="29" s="1"/>
  <c r="Q47" i="29"/>
  <c r="S47" i="29" s="1"/>
  <c r="Q48" i="29"/>
  <c r="S48" i="29" s="1"/>
  <c r="Q49" i="29"/>
  <c r="S49" i="29" s="1"/>
  <c r="Q50" i="29"/>
  <c r="S50" i="29" s="1"/>
  <c r="Q51" i="29"/>
  <c r="S51" i="29" s="1"/>
  <c r="Q52" i="29"/>
  <c r="S52" i="29" s="1"/>
  <c r="Q53" i="29"/>
  <c r="S53" i="29" s="1"/>
  <c r="Q54" i="29"/>
  <c r="S54" i="29" s="1"/>
  <c r="Q55" i="29"/>
  <c r="S55" i="29" s="1"/>
  <c r="Q56" i="29"/>
  <c r="S56" i="29" s="1"/>
  <c r="Q57" i="29"/>
  <c r="S57" i="29" s="1"/>
  <c r="Q58" i="29"/>
  <c r="S58" i="29" s="1"/>
  <c r="Q59" i="29"/>
  <c r="S59" i="29" s="1"/>
  <c r="Q60" i="29"/>
  <c r="S60" i="29" s="1"/>
  <c r="Q61" i="29"/>
  <c r="S61" i="29" s="1"/>
  <c r="Q62" i="29"/>
  <c r="S62" i="29" s="1"/>
  <c r="Q63" i="29"/>
  <c r="S63" i="29" s="1"/>
  <c r="Q64" i="29"/>
  <c r="S64" i="29" s="1"/>
  <c r="Q65" i="29"/>
  <c r="S65" i="29" s="1"/>
  <c r="Q66" i="29"/>
  <c r="S66" i="29" s="1"/>
  <c r="Q67" i="29"/>
  <c r="S67" i="29" s="1"/>
  <c r="Q68" i="29"/>
  <c r="S68" i="29" s="1"/>
  <c r="Q69" i="29"/>
  <c r="S69" i="29" s="1"/>
  <c r="Q70" i="29"/>
  <c r="S70" i="29" s="1"/>
  <c r="Q71" i="29"/>
  <c r="S71" i="29" s="1"/>
  <c r="Q72" i="29"/>
  <c r="S72" i="29" s="1"/>
  <c r="Q73" i="29"/>
  <c r="S73" i="29" s="1"/>
  <c r="Q74" i="29"/>
  <c r="S74" i="29" s="1"/>
  <c r="Q75" i="29"/>
  <c r="S75" i="29" s="1"/>
  <c r="Q76" i="29"/>
  <c r="S76" i="29" s="1"/>
  <c r="Q77" i="29"/>
  <c r="S77" i="29" s="1"/>
  <c r="Q78" i="29"/>
  <c r="S78" i="29" s="1"/>
  <c r="Q79" i="29"/>
  <c r="S79" i="29" s="1"/>
  <c r="Q80" i="29"/>
  <c r="S80" i="29" s="1"/>
  <c r="Q81" i="29"/>
  <c r="S81" i="29" s="1"/>
  <c r="Q82" i="29"/>
  <c r="S82" i="29" s="1"/>
  <c r="Q83" i="29"/>
  <c r="S83" i="29" s="1"/>
  <c r="Q84" i="29"/>
  <c r="S84" i="29" s="1"/>
  <c r="Q85" i="29"/>
  <c r="S85" i="29" s="1"/>
  <c r="Q86" i="29"/>
  <c r="S86" i="29" s="1"/>
  <c r="Q87" i="29"/>
  <c r="S87" i="29" s="1"/>
  <c r="Q88" i="29"/>
  <c r="S88" i="29" s="1"/>
  <c r="Q89" i="29"/>
  <c r="S89" i="29" s="1"/>
  <c r="Q90" i="29"/>
  <c r="S90" i="29" s="1"/>
  <c r="Q91" i="29"/>
  <c r="S91" i="29" s="1"/>
  <c r="Q92" i="29"/>
  <c r="S92" i="29" s="1"/>
  <c r="Q93" i="29"/>
  <c r="S93" i="29" s="1"/>
  <c r="Q94" i="29"/>
  <c r="S94" i="29" s="1"/>
  <c r="Q95" i="29"/>
  <c r="S95" i="29" s="1"/>
  <c r="Q96" i="29"/>
  <c r="S96" i="29" s="1"/>
  <c r="Q97" i="29"/>
  <c r="S97" i="29" s="1"/>
  <c r="Q98" i="29"/>
  <c r="S98" i="29" s="1"/>
  <c r="Q99" i="29"/>
  <c r="S99" i="29" s="1"/>
  <c r="Q100" i="29"/>
  <c r="S100" i="29" s="1"/>
  <c r="Q101" i="29"/>
  <c r="S101" i="29" s="1"/>
  <c r="Q102" i="29"/>
  <c r="S102" i="29" s="1"/>
  <c r="Q103" i="29"/>
  <c r="S103" i="29" s="1"/>
  <c r="Q104" i="29"/>
  <c r="S104" i="29" s="1"/>
  <c r="Q105" i="29"/>
  <c r="S105" i="29" s="1"/>
  <c r="Q106" i="29"/>
  <c r="S106" i="29" s="1"/>
  <c r="Q107" i="29"/>
  <c r="S107" i="29" s="1"/>
  <c r="Q108" i="29"/>
  <c r="S108" i="29" s="1"/>
  <c r="Q109" i="29"/>
  <c r="S109" i="29" s="1"/>
  <c r="Q110" i="29"/>
  <c r="S110" i="29" s="1"/>
  <c r="Q111" i="29"/>
  <c r="S111" i="29" s="1"/>
  <c r="Q112" i="29"/>
  <c r="S112" i="29" s="1"/>
  <c r="Q113" i="29"/>
  <c r="S113" i="29" s="1"/>
  <c r="Q114" i="29"/>
  <c r="S114" i="29" s="1"/>
  <c r="Q116" i="29"/>
  <c r="S116" i="29" s="1"/>
  <c r="Q117" i="29"/>
  <c r="S117" i="29" s="1"/>
  <c r="Q118" i="29"/>
  <c r="S118" i="29" s="1"/>
  <c r="Q119" i="29"/>
  <c r="S119" i="29" s="1"/>
  <c r="Q120" i="29"/>
  <c r="S120" i="29" s="1"/>
  <c r="Q7" i="29"/>
  <c r="S7" i="29" s="1"/>
  <c r="Q10" i="34"/>
  <c r="Q121" i="29"/>
  <c r="Q123" i="29" s="1"/>
  <c r="Q125" i="29" s="1"/>
  <c r="Q79" i="34"/>
  <c r="P57" i="32"/>
  <c r="P56" i="32"/>
  <c r="R56" i="32"/>
  <c r="R55" i="32"/>
  <c r="S49" i="32"/>
  <c r="S50" i="32"/>
  <c r="S51" i="32"/>
  <c r="S48" i="32"/>
  <c r="R48" i="32"/>
  <c r="R49" i="32"/>
  <c r="Q51" i="32"/>
  <c r="P50" i="32"/>
  <c r="C20" i="33"/>
  <c r="D20" i="33"/>
  <c r="E20" i="33"/>
  <c r="F20" i="33"/>
  <c r="G20" i="33"/>
  <c r="H20" i="33"/>
  <c r="I20" i="33"/>
  <c r="J20" i="33"/>
  <c r="K20" i="33"/>
  <c r="L20" i="33"/>
  <c r="M20" i="33"/>
  <c r="B20" i="33"/>
  <c r="C11" i="33"/>
  <c r="D11" i="33"/>
  <c r="E11" i="33"/>
  <c r="F11" i="33"/>
  <c r="G11" i="33"/>
  <c r="H11" i="33"/>
  <c r="I11" i="33"/>
  <c r="J11" i="33"/>
  <c r="K11" i="33"/>
  <c r="L11" i="33"/>
  <c r="M11" i="33"/>
  <c r="B11" i="33"/>
  <c r="C4" i="33"/>
  <c r="D4" i="33"/>
  <c r="E4" i="33"/>
  <c r="F4" i="33"/>
  <c r="G4" i="33"/>
  <c r="H4" i="33"/>
  <c r="I4" i="33"/>
  <c r="J4" i="33"/>
  <c r="K4" i="33"/>
  <c r="L4" i="33"/>
  <c r="M4" i="33"/>
  <c r="B4" i="33"/>
  <c r="Q43" i="32"/>
  <c r="M44" i="32"/>
  <c r="L44" i="32"/>
  <c r="H44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O25" i="32"/>
  <c r="N25" i="32"/>
  <c r="M25" i="32"/>
  <c r="M27" i="32" s="1"/>
  <c r="L25" i="32"/>
  <c r="K25" i="32"/>
  <c r="J25" i="32"/>
  <c r="I25" i="32"/>
  <c r="H25" i="32"/>
  <c r="G25" i="32"/>
  <c r="F25" i="32"/>
  <c r="E25" i="32"/>
  <c r="D25" i="32"/>
  <c r="C25" i="32"/>
  <c r="O24" i="32"/>
  <c r="O44" i="32" s="1"/>
  <c r="N24" i="32"/>
  <c r="N44" i="32" s="1"/>
  <c r="M24" i="32"/>
  <c r="L24" i="32"/>
  <c r="K24" i="32"/>
  <c r="K44" i="32" s="1"/>
  <c r="J24" i="32"/>
  <c r="J27" i="32" s="1"/>
  <c r="I24" i="32"/>
  <c r="I44" i="32" s="1"/>
  <c r="H24" i="32"/>
  <c r="H27" i="32" s="1"/>
  <c r="G24" i="32"/>
  <c r="F24" i="32"/>
  <c r="E24" i="32"/>
  <c r="E44" i="32" s="1"/>
  <c r="D24" i="32"/>
  <c r="C24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O8" i="32"/>
  <c r="N8" i="32"/>
  <c r="O4" i="32" s="1"/>
  <c r="M8" i="32"/>
  <c r="L8" i="32"/>
  <c r="K8" i="32"/>
  <c r="J8" i="32"/>
  <c r="I8" i="32"/>
  <c r="H8" i="32"/>
  <c r="G8" i="32"/>
  <c r="F8" i="32"/>
  <c r="E8" i="32"/>
  <c r="D8" i="32"/>
  <c r="C8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O6" i="32"/>
  <c r="N6" i="32"/>
  <c r="M6" i="32"/>
  <c r="L6" i="32"/>
  <c r="K6" i="32"/>
  <c r="J6" i="32"/>
  <c r="J14" i="32" s="1"/>
  <c r="J18" i="32" s="1"/>
  <c r="I6" i="32"/>
  <c r="H6" i="32"/>
  <c r="G6" i="32"/>
  <c r="F6" i="32"/>
  <c r="E6" i="32"/>
  <c r="D6" i="32"/>
  <c r="D14" i="32" s="1"/>
  <c r="C6" i="32"/>
  <c r="Q59" i="4"/>
  <c r="Q60" i="4"/>
  <c r="Q61" i="4"/>
  <c r="Q62" i="4"/>
  <c r="Q63" i="4"/>
  <c r="Q64" i="4"/>
  <c r="Q58" i="4"/>
  <c r="S121" i="29" l="1"/>
  <c r="S122" i="29" s="1"/>
  <c r="T121" i="29"/>
  <c r="T122" i="29" s="1"/>
  <c r="R50" i="32"/>
  <c r="R51" i="32"/>
  <c r="R52" i="32" s="1"/>
  <c r="K27" i="32"/>
  <c r="N27" i="32"/>
  <c r="F14" i="32"/>
  <c r="F19" i="32" s="1"/>
  <c r="Q10" i="32"/>
  <c r="D15" i="32"/>
  <c r="D18" i="32"/>
  <c r="P7" i="32"/>
  <c r="Q24" i="32"/>
  <c r="Q12" i="32"/>
  <c r="G14" i="32"/>
  <c r="G20" i="32" s="1"/>
  <c r="O14" i="32"/>
  <c r="P8" i="32"/>
  <c r="Q9" i="32"/>
  <c r="N31" i="32"/>
  <c r="L27" i="32"/>
  <c r="L31" i="32" s="1"/>
  <c r="N14" i="32"/>
  <c r="I19" i="32"/>
  <c r="Q50" i="32"/>
  <c r="D52" i="32"/>
  <c r="G52" i="32"/>
  <c r="F44" i="32"/>
  <c r="Q42" i="32"/>
  <c r="P42" i="32"/>
  <c r="J19" i="32"/>
  <c r="E52" i="32"/>
  <c r="F52" i="32"/>
  <c r="Q41" i="32"/>
  <c r="P41" i="32"/>
  <c r="G44" i="32"/>
  <c r="K31" i="32"/>
  <c r="G18" i="32"/>
  <c r="D19" i="32"/>
  <c r="P25" i="32"/>
  <c r="J44" i="32"/>
  <c r="P49" i="32"/>
  <c r="P6" i="32"/>
  <c r="P10" i="32"/>
  <c r="E14" i="32"/>
  <c r="H15" i="32" s="1"/>
  <c r="Q25" i="32"/>
  <c r="P26" i="32"/>
  <c r="K52" i="32"/>
  <c r="P11" i="32"/>
  <c r="H14" i="32"/>
  <c r="H20" i="32" s="1"/>
  <c r="J20" i="32"/>
  <c r="Q26" i="32"/>
  <c r="O27" i="32"/>
  <c r="O31" i="32" s="1"/>
  <c r="P43" i="32"/>
  <c r="J52" i="32"/>
  <c r="Q6" i="32"/>
  <c r="Q7" i="32"/>
  <c r="Q11" i="32"/>
  <c r="I14" i="32"/>
  <c r="I18" i="32" s="1"/>
  <c r="D27" i="32"/>
  <c r="M52" i="32"/>
  <c r="L20" i="32"/>
  <c r="E27" i="32"/>
  <c r="N52" i="32"/>
  <c r="P12" i="32"/>
  <c r="K14" i="32"/>
  <c r="K19" i="32" s="1"/>
  <c r="F27" i="32"/>
  <c r="O52" i="32"/>
  <c r="L14" i="32"/>
  <c r="L18" i="32" s="1"/>
  <c r="G27" i="32"/>
  <c r="M14" i="32"/>
  <c r="M18" i="32" s="1"/>
  <c r="P24" i="32"/>
  <c r="P9" i="32"/>
  <c r="P13" i="32"/>
  <c r="D20" i="32"/>
  <c r="I27" i="32"/>
  <c r="I31" i="32" s="1"/>
  <c r="Q8" i="32"/>
  <c r="Q13" i="32"/>
  <c r="U121" i="29" l="1"/>
  <c r="F20" i="32"/>
  <c r="G19" i="32"/>
  <c r="G31" i="32"/>
  <c r="H19" i="32"/>
  <c r="F18" i="32"/>
  <c r="I20" i="32"/>
  <c r="Q27" i="32"/>
  <c r="K20" i="32"/>
  <c r="J31" i="32"/>
  <c r="K18" i="32"/>
  <c r="J15" i="32"/>
  <c r="H18" i="32"/>
  <c r="F31" i="32"/>
  <c r="M31" i="32"/>
  <c r="L52" i="32"/>
  <c r="H52" i="32"/>
  <c r="P51" i="32"/>
  <c r="I52" i="32"/>
  <c r="O15" i="32"/>
  <c r="H16" i="32" s="1"/>
  <c r="Q49" i="32"/>
  <c r="E18" i="32"/>
  <c r="M15" i="32"/>
  <c r="G15" i="32"/>
  <c r="L15" i="32"/>
  <c r="H31" i="32"/>
  <c r="L19" i="32"/>
  <c r="M19" i="32"/>
  <c r="M20" i="32"/>
  <c r="F15" i="32"/>
  <c r="D53" i="32"/>
  <c r="G53" i="32"/>
  <c r="F53" i="32"/>
  <c r="E53" i="32"/>
  <c r="H28" i="32"/>
  <c r="G28" i="32"/>
  <c r="F28" i="32"/>
  <c r="F29" i="32" s="1"/>
  <c r="E28" i="32"/>
  <c r="D28" i="32"/>
  <c r="O28" i="32"/>
  <c r="O29" i="32" s="1"/>
  <c r="N28" i="32"/>
  <c r="N29" i="32" s="1"/>
  <c r="M28" i="32"/>
  <c r="L28" i="32"/>
  <c r="K28" i="32"/>
  <c r="K29" i="32" s="1"/>
  <c r="J28" i="32"/>
  <c r="I28" i="32"/>
  <c r="P27" i="32"/>
  <c r="Q40" i="32"/>
  <c r="Q44" i="32" s="1"/>
  <c r="D44" i="32"/>
  <c r="P40" i="32"/>
  <c r="P44" i="32" s="1"/>
  <c r="P14" i="32"/>
  <c r="E15" i="32"/>
  <c r="E16" i="32" s="1"/>
  <c r="P48" i="32"/>
  <c r="I15" i="32"/>
  <c r="I16" i="32" s="1"/>
  <c r="Q48" i="32"/>
  <c r="N15" i="32"/>
  <c r="Q14" i="32"/>
  <c r="K15" i="32"/>
  <c r="E31" i="32"/>
  <c r="E19" i="32"/>
  <c r="E20" i="32"/>
  <c r="U122" i="29" l="1"/>
  <c r="U131" i="29"/>
  <c r="J16" i="32"/>
  <c r="J29" i="32"/>
  <c r="L29" i="32"/>
  <c r="M29" i="32"/>
  <c r="F16" i="32"/>
  <c r="D29" i="32"/>
  <c r="L16" i="32"/>
  <c r="I53" i="32"/>
  <c r="Q52" i="32"/>
  <c r="D72" i="32" s="1"/>
  <c r="J53" i="32"/>
  <c r="K53" i="32"/>
  <c r="O53" i="32"/>
  <c r="M53" i="32"/>
  <c r="H53" i="32"/>
  <c r="L53" i="32"/>
  <c r="D73" i="32"/>
  <c r="N53" i="32"/>
  <c r="P52" i="32"/>
  <c r="E29" i="32"/>
  <c r="K16" i="32"/>
  <c r="G29" i="32"/>
  <c r="H29" i="32"/>
  <c r="G16" i="32"/>
  <c r="N16" i="32"/>
  <c r="I29" i="32"/>
  <c r="M16" i="32"/>
  <c r="O16" i="32"/>
  <c r="D16" i="32"/>
  <c r="D74" i="32" l="1"/>
  <c r="O4" i="4" l="1"/>
  <c r="P10" i="23" l="1"/>
  <c r="P9" i="23"/>
  <c r="R9" i="28" l="1"/>
  <c r="R7" i="28"/>
  <c r="R8" i="28"/>
  <c r="D6" i="23"/>
  <c r="O12" i="23"/>
  <c r="I12" i="23"/>
  <c r="J7" i="23" l="1"/>
  <c r="J8" i="23"/>
  <c r="J10" i="23"/>
  <c r="J11" i="23"/>
  <c r="J12" i="23"/>
  <c r="O7" i="23"/>
  <c r="O8" i="23"/>
  <c r="O9" i="23"/>
  <c r="O10" i="23"/>
  <c r="O11" i="23"/>
  <c r="O6" i="23"/>
  <c r="D12" i="23"/>
  <c r="D11" i="23"/>
  <c r="D7" i="23"/>
  <c r="N9" i="30"/>
  <c r="O9" i="30"/>
  <c r="N10" i="30"/>
  <c r="O10" i="30"/>
  <c r="N11" i="30"/>
  <c r="O11" i="30"/>
  <c r="N12" i="30"/>
  <c r="O12" i="30"/>
  <c r="N13" i="30"/>
  <c r="O13" i="30"/>
  <c r="N14" i="30"/>
  <c r="O14" i="30"/>
  <c r="N15" i="30"/>
  <c r="O15" i="30"/>
  <c r="N16" i="30"/>
  <c r="O16" i="30"/>
  <c r="O8" i="30"/>
  <c r="N8" i="30"/>
  <c r="O29" i="30"/>
  <c r="O30" i="30"/>
  <c r="O31" i="30"/>
  <c r="O28" i="30"/>
  <c r="N29" i="30"/>
  <c r="N30" i="30"/>
  <c r="N31" i="30"/>
  <c r="N28" i="30"/>
  <c r="O57" i="4"/>
  <c r="O43" i="4"/>
  <c r="O40" i="4"/>
  <c r="E24" i="4"/>
  <c r="F24" i="4"/>
  <c r="G24" i="4"/>
  <c r="H24" i="4"/>
  <c r="I24" i="4"/>
  <c r="J24" i="4"/>
  <c r="K24" i="4"/>
  <c r="L24" i="4"/>
  <c r="M24" i="4"/>
  <c r="N24" i="4"/>
  <c r="O24" i="4"/>
  <c r="E25" i="4"/>
  <c r="F25" i="4"/>
  <c r="G25" i="4"/>
  <c r="H25" i="4"/>
  <c r="I25" i="4"/>
  <c r="J25" i="4"/>
  <c r="K25" i="4"/>
  <c r="L25" i="4"/>
  <c r="M25" i="4"/>
  <c r="N25" i="4"/>
  <c r="O25" i="4"/>
  <c r="E26" i="4"/>
  <c r="F26" i="4"/>
  <c r="G26" i="4"/>
  <c r="H26" i="4"/>
  <c r="I26" i="4"/>
  <c r="J26" i="4"/>
  <c r="K26" i="4"/>
  <c r="L26" i="4"/>
  <c r="M26" i="4"/>
  <c r="N26" i="4"/>
  <c r="O26" i="4"/>
  <c r="D25" i="4"/>
  <c r="D26" i="4"/>
  <c r="O15" i="4"/>
  <c r="E6" i="4"/>
  <c r="F6" i="4"/>
  <c r="G6" i="4"/>
  <c r="H6" i="4"/>
  <c r="I6" i="4"/>
  <c r="J6" i="4"/>
  <c r="K6" i="4"/>
  <c r="L6" i="4"/>
  <c r="M6" i="4"/>
  <c r="N6" i="4"/>
  <c r="O6" i="4"/>
  <c r="E7" i="4"/>
  <c r="F7" i="4"/>
  <c r="G7" i="4"/>
  <c r="H7" i="4"/>
  <c r="I7" i="4"/>
  <c r="J7" i="4"/>
  <c r="K7" i="4"/>
  <c r="L7" i="4"/>
  <c r="M7" i="4"/>
  <c r="N7" i="4"/>
  <c r="O7" i="4"/>
  <c r="E8" i="4"/>
  <c r="F8" i="4"/>
  <c r="G8" i="4"/>
  <c r="H8" i="4"/>
  <c r="I8" i="4"/>
  <c r="J8" i="4"/>
  <c r="K8" i="4"/>
  <c r="L8" i="4"/>
  <c r="M8" i="4"/>
  <c r="N8" i="4"/>
  <c r="O8" i="4"/>
  <c r="E9" i="4"/>
  <c r="F9" i="4"/>
  <c r="G9" i="4"/>
  <c r="H9" i="4"/>
  <c r="I9" i="4"/>
  <c r="J9" i="4"/>
  <c r="K9" i="4"/>
  <c r="L9" i="4"/>
  <c r="M9" i="4"/>
  <c r="N9" i="4"/>
  <c r="O9" i="4"/>
  <c r="E10" i="4"/>
  <c r="F10" i="4"/>
  <c r="G10" i="4"/>
  <c r="H10" i="4"/>
  <c r="I10" i="4"/>
  <c r="J10" i="4"/>
  <c r="K10" i="4"/>
  <c r="L10" i="4"/>
  <c r="M10" i="4"/>
  <c r="N10" i="4"/>
  <c r="O10" i="4"/>
  <c r="E11" i="4"/>
  <c r="F11" i="4"/>
  <c r="G11" i="4"/>
  <c r="H11" i="4"/>
  <c r="I11" i="4"/>
  <c r="J11" i="4"/>
  <c r="K11" i="4"/>
  <c r="L11" i="4"/>
  <c r="M11" i="4"/>
  <c r="N11" i="4"/>
  <c r="O11" i="4"/>
  <c r="E12" i="4"/>
  <c r="F12" i="4"/>
  <c r="G12" i="4"/>
  <c r="H12" i="4"/>
  <c r="I12" i="4"/>
  <c r="J12" i="4"/>
  <c r="K12" i="4"/>
  <c r="L12" i="4"/>
  <c r="M12" i="4"/>
  <c r="N12" i="4"/>
  <c r="O12" i="4"/>
  <c r="E13" i="4"/>
  <c r="F13" i="4"/>
  <c r="G13" i="4"/>
  <c r="H13" i="4"/>
  <c r="I13" i="4"/>
  <c r="J13" i="4"/>
  <c r="K13" i="4"/>
  <c r="L13" i="4"/>
  <c r="M13" i="4"/>
  <c r="N13" i="4"/>
  <c r="O13" i="4"/>
  <c r="D7" i="4"/>
  <c r="D8" i="4"/>
  <c r="D9" i="4"/>
  <c r="D10" i="4"/>
  <c r="D11" i="4"/>
  <c r="D12" i="4"/>
  <c r="D13" i="4"/>
  <c r="D6" i="4"/>
  <c r="F16" i="28" l="1"/>
  <c r="G16" i="28"/>
  <c r="H16" i="28"/>
  <c r="I16" i="28"/>
  <c r="J16" i="28"/>
  <c r="K16" i="28"/>
  <c r="L16" i="28"/>
  <c r="M16" i="28"/>
  <c r="N16" i="28"/>
  <c r="E16" i="28"/>
  <c r="D16" i="28"/>
  <c r="B2" i="5"/>
  <c r="D7" i="5" s="1"/>
  <c r="C2" i="5"/>
  <c r="C7" i="5" s="1"/>
  <c r="D2" i="5"/>
  <c r="E2" i="5"/>
  <c r="F2" i="5"/>
  <c r="G2" i="5"/>
  <c r="H2" i="5"/>
  <c r="I2" i="5"/>
  <c r="J2" i="5"/>
  <c r="K2" i="5"/>
  <c r="L2" i="5"/>
  <c r="M2" i="5"/>
  <c r="N15" i="28"/>
  <c r="M15" i="28"/>
  <c r="L15" i="28"/>
  <c r="K15" i="28"/>
  <c r="J15" i="28"/>
  <c r="I15" i="28"/>
  <c r="H15" i="28"/>
  <c r="G15" i="28"/>
  <c r="F15" i="28"/>
  <c r="E15" i="28"/>
  <c r="D15" i="28"/>
  <c r="C15" i="28"/>
  <c r="O8" i="28"/>
  <c r="V8" i="28"/>
  <c r="O9" i="28"/>
  <c r="P9" i="28" s="1"/>
  <c r="V9" i="28"/>
  <c r="O12" i="28"/>
  <c r="P12" i="28" s="1"/>
  <c r="V10" i="28"/>
  <c r="O10" i="28"/>
  <c r="V11" i="28"/>
  <c r="O11" i="28"/>
  <c r="V12" i="28"/>
  <c r="W12" i="28" s="1"/>
  <c r="V13" i="28"/>
  <c r="W11" i="28" s="1"/>
  <c r="O13" i="28"/>
  <c r="O4" i="28"/>
  <c r="P11" i="28" s="1"/>
  <c r="P8" i="28"/>
  <c r="O7" i="28"/>
  <c r="P7" i="28" s="1"/>
  <c r="O6" i="28"/>
  <c r="P6" i="28" s="1"/>
  <c r="R4" i="28"/>
  <c r="R5" i="28" s="1"/>
  <c r="O5" i="28"/>
  <c r="P5" i="28" s="1"/>
  <c r="S4" i="28"/>
  <c r="M43" i="4"/>
  <c r="K43" i="4"/>
  <c r="H43" i="4"/>
  <c r="N40" i="4"/>
  <c r="N14" i="4"/>
  <c r="O31" i="26"/>
  <c r="N31" i="26"/>
  <c r="O30" i="26"/>
  <c r="N30" i="26"/>
  <c r="O29" i="26"/>
  <c r="N29" i="26"/>
  <c r="O28" i="26"/>
  <c r="N28" i="26"/>
  <c r="O16" i="26"/>
  <c r="N16" i="26"/>
  <c r="O15" i="26"/>
  <c r="N15" i="26"/>
  <c r="O14" i="26"/>
  <c r="N14" i="26"/>
  <c r="O13" i="26"/>
  <c r="N13" i="26"/>
  <c r="O12" i="26"/>
  <c r="N12" i="26"/>
  <c r="O11" i="26"/>
  <c r="N11" i="26"/>
  <c r="O10" i="26"/>
  <c r="N10" i="26"/>
  <c r="O9" i="26"/>
  <c r="N9" i="26"/>
  <c r="O8" i="26"/>
  <c r="N8" i="26"/>
  <c r="P30" i="27"/>
  <c r="P38" i="27" s="1"/>
  <c r="P39" i="27" s="1"/>
  <c r="O30" i="27"/>
  <c r="O38" i="27"/>
  <c r="O39" i="27"/>
  <c r="N30" i="27"/>
  <c r="N38" i="27" s="1"/>
  <c r="N39" i="27" s="1"/>
  <c r="M30" i="27"/>
  <c r="M35" i="27" s="1"/>
  <c r="L30" i="27"/>
  <c r="L38" i="27" s="1"/>
  <c r="L39" i="27" s="1"/>
  <c r="K30" i="27"/>
  <c r="K38" i="27"/>
  <c r="K39" i="27"/>
  <c r="J30" i="27"/>
  <c r="J38" i="27" s="1"/>
  <c r="J39" i="27" s="1"/>
  <c r="I30" i="27"/>
  <c r="I35" i="27" s="1"/>
  <c r="H30" i="27"/>
  <c r="H38" i="27" s="1"/>
  <c r="H39" i="27" s="1"/>
  <c r="G30" i="27"/>
  <c r="G38" i="27"/>
  <c r="G39" i="27"/>
  <c r="F30" i="27"/>
  <c r="F38" i="27" s="1"/>
  <c r="F39" i="27" s="1"/>
  <c r="E30" i="27"/>
  <c r="E35" i="27" s="1"/>
  <c r="P35" i="27"/>
  <c r="O35" i="27"/>
  <c r="N35" i="27"/>
  <c r="K35" i="27"/>
  <c r="J35" i="27"/>
  <c r="G35" i="27"/>
  <c r="F35" i="27"/>
  <c r="N31" i="27"/>
  <c r="N32" i="27" s="1"/>
  <c r="M31" i="27"/>
  <c r="M32" i="27" s="1"/>
  <c r="K31" i="27"/>
  <c r="K32" i="27" s="1"/>
  <c r="J31" i="27"/>
  <c r="J32" i="27" s="1"/>
  <c r="I31" i="27"/>
  <c r="I32" i="27" s="1"/>
  <c r="H31" i="27"/>
  <c r="H32" i="27" s="1"/>
  <c r="G31" i="27"/>
  <c r="G32" i="27" s="1"/>
  <c r="F31" i="27"/>
  <c r="F32" i="27"/>
  <c r="E17" i="25"/>
  <c r="F17" i="25"/>
  <c r="G17" i="25"/>
  <c r="H17" i="25"/>
  <c r="I17" i="25"/>
  <c r="J17" i="25"/>
  <c r="K17" i="25"/>
  <c r="L17" i="25"/>
  <c r="M17" i="25"/>
  <c r="N17" i="25"/>
  <c r="O17" i="25"/>
  <c r="D17" i="25"/>
  <c r="Q8" i="25"/>
  <c r="Q9" i="25"/>
  <c r="Q10" i="25"/>
  <c r="Q11" i="25"/>
  <c r="Q12" i="25"/>
  <c r="Q13" i="25"/>
  <c r="Q14" i="25"/>
  <c r="Q15" i="25"/>
  <c r="Q7" i="25"/>
  <c r="P7" i="25"/>
  <c r="P8" i="25"/>
  <c r="P9" i="25"/>
  <c r="P10" i="25"/>
  <c r="P11" i="25"/>
  <c r="P12" i="25"/>
  <c r="P13" i="25"/>
  <c r="P14" i="25"/>
  <c r="P15" i="25"/>
  <c r="M48" i="4"/>
  <c r="M56" i="4" s="1"/>
  <c r="M49" i="4"/>
  <c r="M50" i="4"/>
  <c r="M51" i="4"/>
  <c r="M52" i="4"/>
  <c r="M53" i="4"/>
  <c r="M54" i="4"/>
  <c r="M55" i="4"/>
  <c r="D48" i="4"/>
  <c r="D49" i="4"/>
  <c r="D50" i="4"/>
  <c r="D51" i="4"/>
  <c r="D52" i="4"/>
  <c r="D53" i="4"/>
  <c r="D54" i="4"/>
  <c r="D55" i="4"/>
  <c r="E48" i="4"/>
  <c r="E56" i="4" s="1"/>
  <c r="E49" i="4"/>
  <c r="E50" i="4"/>
  <c r="E51" i="4"/>
  <c r="E52" i="4"/>
  <c r="E53" i="4"/>
  <c r="E54" i="4"/>
  <c r="P54" i="4" s="1"/>
  <c r="D24" i="21" s="1"/>
  <c r="E24" i="21" s="1"/>
  <c r="F24" i="21" s="1"/>
  <c r="E55" i="4"/>
  <c r="F48" i="4"/>
  <c r="F56" i="4" s="1"/>
  <c r="F49" i="4"/>
  <c r="F50" i="4"/>
  <c r="Q50" i="4" s="1"/>
  <c r="F51" i="4"/>
  <c r="F52" i="4"/>
  <c r="F53" i="4"/>
  <c r="F54" i="4"/>
  <c r="F55" i="4"/>
  <c r="G48" i="4"/>
  <c r="G56" i="4" s="1"/>
  <c r="G49" i="4"/>
  <c r="G50" i="4"/>
  <c r="G51" i="4"/>
  <c r="G52" i="4"/>
  <c r="G53" i="4"/>
  <c r="G54" i="4"/>
  <c r="G55" i="4"/>
  <c r="H48" i="4"/>
  <c r="H49" i="4"/>
  <c r="H50" i="4"/>
  <c r="H51" i="4"/>
  <c r="H56" i="4" s="1"/>
  <c r="H52" i="4"/>
  <c r="H53" i="4"/>
  <c r="H54" i="4"/>
  <c r="H55" i="4"/>
  <c r="I48" i="4"/>
  <c r="I49" i="4"/>
  <c r="P49" i="4" s="1"/>
  <c r="D19" i="21" s="1"/>
  <c r="E19" i="21" s="1"/>
  <c r="F19" i="21" s="1"/>
  <c r="I50" i="4"/>
  <c r="P50" i="4" s="1"/>
  <c r="D20" i="21" s="1"/>
  <c r="E20" i="21" s="1"/>
  <c r="F20" i="21" s="1"/>
  <c r="I51" i="4"/>
  <c r="I52" i="4"/>
  <c r="I53" i="4"/>
  <c r="I54" i="4"/>
  <c r="I55" i="4"/>
  <c r="J48" i="4"/>
  <c r="J56" i="4" s="1"/>
  <c r="J49" i="4"/>
  <c r="J50" i="4"/>
  <c r="J51" i="4"/>
  <c r="J52" i="4"/>
  <c r="J53" i="4"/>
  <c r="J54" i="4"/>
  <c r="J55" i="4"/>
  <c r="K48" i="4"/>
  <c r="K56" i="4" s="1"/>
  <c r="K49" i="4"/>
  <c r="K50" i="4"/>
  <c r="K51" i="4"/>
  <c r="K52" i="4"/>
  <c r="K53" i="4"/>
  <c r="K54" i="4"/>
  <c r="K55" i="4"/>
  <c r="L48" i="4"/>
  <c r="L49" i="4"/>
  <c r="L50" i="4"/>
  <c r="L51" i="4"/>
  <c r="L56" i="4" s="1"/>
  <c r="L52" i="4"/>
  <c r="L53" i="4"/>
  <c r="L54" i="4"/>
  <c r="L55" i="4"/>
  <c r="N48" i="4"/>
  <c r="O48" i="4"/>
  <c r="N49" i="4"/>
  <c r="O49" i="4"/>
  <c r="N50" i="4"/>
  <c r="O50" i="4"/>
  <c r="N51" i="4"/>
  <c r="O51" i="4"/>
  <c r="N52" i="4"/>
  <c r="O52" i="4"/>
  <c r="P52" i="4"/>
  <c r="D22" i="21" s="1"/>
  <c r="E22" i="21" s="1"/>
  <c r="F22" i="21" s="1"/>
  <c r="N53" i="4"/>
  <c r="O53" i="4"/>
  <c r="N54" i="4"/>
  <c r="O54" i="4"/>
  <c r="N55" i="4"/>
  <c r="O55" i="4"/>
  <c r="P55" i="4"/>
  <c r="D25" i="21" s="1"/>
  <c r="E25" i="21" s="1"/>
  <c r="F25" i="21" s="1"/>
  <c r="Q49" i="4"/>
  <c r="Q51" i="4"/>
  <c r="Q52" i="4"/>
  <c r="D41" i="4"/>
  <c r="E41" i="4"/>
  <c r="E44" i="4" s="1"/>
  <c r="C3" i="5" s="1"/>
  <c r="F41" i="4"/>
  <c r="F44" i="4" s="1"/>
  <c r="D3" i="5" s="1"/>
  <c r="D4" i="5" s="1"/>
  <c r="D5" i="5" s="1"/>
  <c r="G41" i="4"/>
  <c r="H41" i="4"/>
  <c r="I41" i="4"/>
  <c r="J41" i="4"/>
  <c r="K41" i="4"/>
  <c r="L41" i="4"/>
  <c r="L44" i="4" s="1"/>
  <c r="J3" i="5" s="1"/>
  <c r="J4" i="5" s="1"/>
  <c r="J5" i="5" s="1"/>
  <c r="M41" i="4"/>
  <c r="N41" i="4"/>
  <c r="O41" i="4"/>
  <c r="D42" i="4"/>
  <c r="P42" i="4" s="1"/>
  <c r="E42" i="4"/>
  <c r="F42" i="4"/>
  <c r="G42" i="4"/>
  <c r="H42" i="4"/>
  <c r="I42" i="4"/>
  <c r="J42" i="4"/>
  <c r="K42" i="4"/>
  <c r="K44" i="4" s="1"/>
  <c r="I3" i="5" s="1"/>
  <c r="I4" i="5" s="1"/>
  <c r="I5" i="5" s="1"/>
  <c r="L42" i="4"/>
  <c r="M42" i="4"/>
  <c r="N42" i="4"/>
  <c r="O42" i="4"/>
  <c r="Q42" i="4"/>
  <c r="Q43" i="4"/>
  <c r="E40" i="4"/>
  <c r="F40" i="4"/>
  <c r="G40" i="4"/>
  <c r="G44" i="4" s="1"/>
  <c r="E3" i="5" s="1"/>
  <c r="E4" i="5" s="1"/>
  <c r="E5" i="5" s="1"/>
  <c r="H40" i="4"/>
  <c r="I40" i="4"/>
  <c r="I44" i="4" s="1"/>
  <c r="G3" i="5" s="1"/>
  <c r="G4" i="5" s="1"/>
  <c r="G5" i="5" s="1"/>
  <c r="J40" i="4"/>
  <c r="K40" i="4"/>
  <c r="L40" i="4"/>
  <c r="M40" i="4"/>
  <c r="M44" i="4" s="1"/>
  <c r="K3" i="5" s="1"/>
  <c r="O44" i="4"/>
  <c r="M3" i="5" s="1"/>
  <c r="Q25" i="4"/>
  <c r="Q26" i="4"/>
  <c r="Q24" i="4"/>
  <c r="Q7" i="4"/>
  <c r="Q8" i="4"/>
  <c r="Q9" i="4"/>
  <c r="Q10" i="4"/>
  <c r="Q11" i="4"/>
  <c r="Q12" i="4"/>
  <c r="Q13" i="4"/>
  <c r="Q6" i="4"/>
  <c r="N29" i="24"/>
  <c r="O29" i="24"/>
  <c r="N30" i="24"/>
  <c r="O30" i="24"/>
  <c r="N31" i="24"/>
  <c r="O31" i="24"/>
  <c r="O28" i="24"/>
  <c r="N28" i="24"/>
  <c r="O9" i="24"/>
  <c r="O10" i="24"/>
  <c r="O11" i="24"/>
  <c r="O12" i="24"/>
  <c r="O13" i="24"/>
  <c r="O14" i="24"/>
  <c r="O15" i="24"/>
  <c r="O16" i="24"/>
  <c r="O8" i="24"/>
  <c r="N16" i="24"/>
  <c r="N9" i="24"/>
  <c r="N10" i="24"/>
  <c r="N11" i="24"/>
  <c r="N12" i="24"/>
  <c r="N13" i="24"/>
  <c r="N14" i="24"/>
  <c r="N15" i="24"/>
  <c r="N8" i="24"/>
  <c r="Q7" i="23"/>
  <c r="R7" i="23" s="1"/>
  <c r="S7" i="23"/>
  <c r="I7" i="23"/>
  <c r="K7" i="23" s="1"/>
  <c r="L7" i="23" s="1"/>
  <c r="M7" i="23"/>
  <c r="G7" i="23"/>
  <c r="E7" i="23"/>
  <c r="F7" i="23" s="1"/>
  <c r="I8" i="23"/>
  <c r="K8" i="23" s="1"/>
  <c r="L8" i="23" s="1"/>
  <c r="I9" i="23"/>
  <c r="I10" i="23"/>
  <c r="I11" i="23"/>
  <c r="I6" i="23"/>
  <c r="S9" i="23"/>
  <c r="Q9" i="23"/>
  <c r="R9" i="23" s="1"/>
  <c r="S8" i="23"/>
  <c r="Q8" i="23"/>
  <c r="R8" i="23" s="1"/>
  <c r="S6" i="23"/>
  <c r="Q6" i="23"/>
  <c r="R6" i="23" s="1"/>
  <c r="M8" i="23"/>
  <c r="G8" i="23"/>
  <c r="E8" i="23"/>
  <c r="F8" i="23" s="1"/>
  <c r="D6" i="21"/>
  <c r="D13" i="21" s="1"/>
  <c r="D7" i="21"/>
  <c r="D8" i="21"/>
  <c r="E8" i="21" s="1"/>
  <c r="F8" i="21" s="1"/>
  <c r="D9" i="21"/>
  <c r="E9" i="21" s="1"/>
  <c r="F9" i="21" s="1"/>
  <c r="D10" i="21"/>
  <c r="D11" i="21"/>
  <c r="D12" i="21"/>
  <c r="D5" i="21"/>
  <c r="H44" i="4"/>
  <c r="F3" i="5" s="1"/>
  <c r="F4" i="5" s="1"/>
  <c r="F5" i="5" s="1"/>
  <c r="J44" i="4"/>
  <c r="H3" i="5"/>
  <c r="N44" i="4"/>
  <c r="L3" i="5" s="1"/>
  <c r="N56" i="4"/>
  <c r="O56" i="4"/>
  <c r="P43" i="4"/>
  <c r="D14" i="4"/>
  <c r="D18" i="4" s="1"/>
  <c r="E14" i="4"/>
  <c r="E19" i="4" s="1"/>
  <c r="F14" i="4"/>
  <c r="G14" i="4"/>
  <c r="G18" i="4" s="1"/>
  <c r="H14" i="4"/>
  <c r="H20" i="4" s="1"/>
  <c r="I14" i="4"/>
  <c r="J14" i="4"/>
  <c r="J19" i="4" s="1"/>
  <c r="K14" i="4"/>
  <c r="K20" i="4" s="1"/>
  <c r="L14" i="4"/>
  <c r="L18" i="4" s="1"/>
  <c r="M14" i="4"/>
  <c r="M19" i="4" s="1"/>
  <c r="O14" i="4"/>
  <c r="E15" i="4"/>
  <c r="F18" i="4"/>
  <c r="I18" i="4"/>
  <c r="M18" i="4"/>
  <c r="F19" i="4"/>
  <c r="G19" i="4"/>
  <c r="I19" i="4"/>
  <c r="L19" i="4"/>
  <c r="F20" i="4"/>
  <c r="G20" i="4"/>
  <c r="I20" i="4"/>
  <c r="J20" i="4"/>
  <c r="M20" i="4"/>
  <c r="D27" i="4"/>
  <c r="O28" i="4" s="1"/>
  <c r="E27" i="4"/>
  <c r="F27" i="4"/>
  <c r="G27" i="4"/>
  <c r="H27" i="4"/>
  <c r="I27" i="4"/>
  <c r="I31" i="4" s="1"/>
  <c r="J27" i="4"/>
  <c r="K27" i="4"/>
  <c r="K31" i="4" s="1"/>
  <c r="L27" i="4"/>
  <c r="L31" i="4" s="1"/>
  <c r="M27" i="4"/>
  <c r="N27" i="4"/>
  <c r="O27" i="4"/>
  <c r="H31" i="4"/>
  <c r="J31" i="4"/>
  <c r="M31" i="4"/>
  <c r="N31" i="4"/>
  <c r="O31" i="4"/>
  <c r="H4" i="5"/>
  <c r="C18" i="21"/>
  <c r="C19" i="21"/>
  <c r="C20" i="21"/>
  <c r="C21" i="21"/>
  <c r="C22" i="21"/>
  <c r="C23" i="21"/>
  <c r="C24" i="21"/>
  <c r="C25" i="21"/>
  <c r="C26" i="21"/>
  <c r="I17" i="21"/>
  <c r="I26" i="21"/>
  <c r="H26" i="21"/>
  <c r="H17" i="21"/>
  <c r="N9" i="13"/>
  <c r="N17" i="13"/>
  <c r="N10" i="13"/>
  <c r="N11" i="13"/>
  <c r="N12" i="13"/>
  <c r="N13" i="13"/>
  <c r="N14" i="13"/>
  <c r="N15" i="13"/>
  <c r="N16" i="13"/>
  <c r="C5" i="21"/>
  <c r="C6" i="21"/>
  <c r="C7" i="21"/>
  <c r="C8" i="21"/>
  <c r="C9" i="21"/>
  <c r="C10" i="21"/>
  <c r="C11" i="21"/>
  <c r="C12" i="21"/>
  <c r="C13" i="21"/>
  <c r="I4" i="21"/>
  <c r="I13" i="21"/>
  <c r="H13" i="21"/>
  <c r="E5" i="21"/>
  <c r="E7" i="21"/>
  <c r="F7" i="21" s="1"/>
  <c r="E10" i="21"/>
  <c r="E11" i="21"/>
  <c r="F11" i="21" s="1"/>
  <c r="E12" i="21"/>
  <c r="H4" i="21"/>
  <c r="F10" i="21"/>
  <c r="F12" i="21"/>
  <c r="F5" i="21"/>
  <c r="B35" i="19"/>
  <c r="B36" i="19"/>
  <c r="B37" i="19"/>
  <c r="B38" i="19"/>
  <c r="B56" i="19"/>
  <c r="B93" i="19"/>
  <c r="B41" i="19"/>
  <c r="B42" i="19"/>
  <c r="B43" i="19"/>
  <c r="B61" i="19"/>
  <c r="B45" i="19"/>
  <c r="B78" i="19"/>
  <c r="B44" i="19"/>
  <c r="B48" i="19"/>
  <c r="B49" i="19"/>
  <c r="B104" i="19"/>
  <c r="B51" i="19"/>
  <c r="B52" i="19"/>
  <c r="B67" i="19"/>
  <c r="B54" i="19"/>
  <c r="B55" i="19"/>
  <c r="B68" i="19"/>
  <c r="B62" i="19"/>
  <c r="B58" i="19"/>
  <c r="B59" i="19"/>
  <c r="B60" i="19"/>
  <c r="B70" i="19"/>
  <c r="B46" i="19"/>
  <c r="B63" i="19"/>
  <c r="B66" i="19"/>
  <c r="B65" i="19"/>
  <c r="B95" i="19"/>
  <c r="B99" i="19"/>
  <c r="B39" i="19"/>
  <c r="B69" i="19"/>
  <c r="B50" i="19"/>
  <c r="B57" i="19"/>
  <c r="B47" i="19"/>
  <c r="B73" i="19"/>
  <c r="B74" i="19"/>
  <c r="B75" i="19"/>
  <c r="B76" i="19"/>
  <c r="B77" i="19"/>
  <c r="B71" i="19"/>
  <c r="B79" i="19"/>
  <c r="B53" i="19"/>
  <c r="B81" i="19"/>
  <c r="B82" i="19"/>
  <c r="B106" i="19"/>
  <c r="B72" i="19"/>
  <c r="B85" i="19"/>
  <c r="B80" i="19"/>
  <c r="B87" i="19"/>
  <c r="B83" i="19"/>
  <c r="B89" i="19"/>
  <c r="B91" i="19"/>
  <c r="B90" i="19"/>
  <c r="B84" i="19"/>
  <c r="B40" i="19"/>
  <c r="B94" i="19"/>
  <c r="B88" i="19"/>
  <c r="B96" i="19"/>
  <c r="B86" i="19"/>
  <c r="B92" i="19"/>
  <c r="B64" i="19"/>
  <c r="B101" i="19"/>
  <c r="B102" i="19"/>
  <c r="B103" i="19"/>
  <c r="B97" i="19"/>
  <c r="B105" i="19"/>
  <c r="F35" i="19"/>
  <c r="F36" i="19"/>
  <c r="F37" i="19"/>
  <c r="F38" i="19"/>
  <c r="F56" i="19"/>
  <c r="F93" i="19"/>
  <c r="F41" i="19"/>
  <c r="F42" i="19"/>
  <c r="F43" i="19"/>
  <c r="F61" i="19"/>
  <c r="F45" i="19"/>
  <c r="F78" i="19"/>
  <c r="F44" i="19"/>
  <c r="F48" i="19"/>
  <c r="F49" i="19"/>
  <c r="F104" i="19"/>
  <c r="F51" i="19"/>
  <c r="F52" i="19"/>
  <c r="F67" i="19"/>
  <c r="F54" i="19"/>
  <c r="F55" i="19"/>
  <c r="F68" i="19"/>
  <c r="F62" i="19"/>
  <c r="F58" i="19"/>
  <c r="F59" i="19"/>
  <c r="F60" i="19"/>
  <c r="F70" i="19"/>
  <c r="F46" i="19"/>
  <c r="F63" i="19"/>
  <c r="F66" i="19"/>
  <c r="F65" i="19"/>
  <c r="F95" i="19"/>
  <c r="F99" i="19"/>
  <c r="F39" i="19"/>
  <c r="F69" i="19"/>
  <c r="F50" i="19"/>
  <c r="F57" i="19"/>
  <c r="F47" i="19"/>
  <c r="F73" i="19"/>
  <c r="F74" i="19"/>
  <c r="F75" i="19"/>
  <c r="F76" i="19"/>
  <c r="F77" i="19"/>
  <c r="F71" i="19"/>
  <c r="F79" i="19"/>
  <c r="F53" i="19"/>
  <c r="F81" i="19"/>
  <c r="F82" i="19"/>
  <c r="F106" i="19"/>
  <c r="F72" i="19"/>
  <c r="F85" i="19"/>
  <c r="F80" i="19"/>
  <c r="F87" i="19"/>
  <c r="F83" i="19"/>
  <c r="F89" i="19"/>
  <c r="F91" i="19"/>
  <c r="F90" i="19"/>
  <c r="F84" i="19"/>
  <c r="F40" i="19"/>
  <c r="F94" i="19"/>
  <c r="F88" i="19"/>
  <c r="F96" i="19"/>
  <c r="F86" i="19"/>
  <c r="F98" i="19"/>
  <c r="F92" i="19"/>
  <c r="F64" i="19"/>
  <c r="F101" i="19"/>
  <c r="F102" i="19"/>
  <c r="F103" i="19"/>
  <c r="F97" i="19"/>
  <c r="F105" i="19"/>
  <c r="F100" i="19"/>
  <c r="D107" i="19"/>
  <c r="E107" i="19"/>
  <c r="F107" i="19"/>
  <c r="E73" i="19"/>
  <c r="C15" i="19"/>
  <c r="C16" i="19"/>
  <c r="C17" i="19"/>
  <c r="C18" i="19"/>
  <c r="C19" i="19"/>
  <c r="C20" i="19"/>
  <c r="I14" i="19"/>
  <c r="I20" i="19"/>
  <c r="H20" i="19"/>
  <c r="H14" i="19"/>
  <c r="D16" i="19"/>
  <c r="E16" i="19"/>
  <c r="F16" i="19"/>
  <c r="D17" i="19"/>
  <c r="E17" i="19"/>
  <c r="F17" i="19"/>
  <c r="D18" i="19"/>
  <c r="E18" i="19"/>
  <c r="F18" i="19"/>
  <c r="D19" i="19"/>
  <c r="E19" i="19"/>
  <c r="F19" i="19"/>
  <c r="D15" i="19"/>
  <c r="D20" i="19"/>
  <c r="E20" i="19"/>
  <c r="F20" i="19"/>
  <c r="E15" i="19"/>
  <c r="F15" i="19"/>
  <c r="D5" i="19"/>
  <c r="D6" i="19"/>
  <c r="D7" i="19"/>
  <c r="D8" i="19"/>
  <c r="D9" i="19"/>
  <c r="D10" i="19"/>
  <c r="C5" i="19"/>
  <c r="C6" i="19"/>
  <c r="C7" i="19"/>
  <c r="C8" i="19"/>
  <c r="C9" i="19"/>
  <c r="C10" i="19"/>
  <c r="E10" i="19"/>
  <c r="F10" i="19"/>
  <c r="E6" i="19"/>
  <c r="F6" i="19"/>
  <c r="E7" i="19"/>
  <c r="F7" i="19"/>
  <c r="E8" i="19"/>
  <c r="F8" i="19"/>
  <c r="E9" i="19"/>
  <c r="F9" i="19"/>
  <c r="E5" i="19"/>
  <c r="F5" i="19"/>
  <c r="I4" i="19"/>
  <c r="I10" i="19"/>
  <c r="H10" i="19"/>
  <c r="H4" i="19"/>
  <c r="N15" i="18"/>
  <c r="M15" i="18"/>
  <c r="N16" i="18"/>
  <c r="L15" i="18"/>
  <c r="M16" i="18"/>
  <c r="K15" i="18"/>
  <c r="L16" i="18"/>
  <c r="J15" i="18"/>
  <c r="K16" i="18"/>
  <c r="I15" i="18"/>
  <c r="J16" i="18"/>
  <c r="H15" i="18"/>
  <c r="I16" i="18"/>
  <c r="G15" i="18"/>
  <c r="H16" i="18"/>
  <c r="F15" i="18"/>
  <c r="G16" i="18"/>
  <c r="E15" i="18"/>
  <c r="F16" i="18"/>
  <c r="D15" i="18"/>
  <c r="E16" i="18"/>
  <c r="C15" i="18"/>
  <c r="D16" i="18"/>
  <c r="O8" i="18"/>
  <c r="V8" i="18"/>
  <c r="O9" i="18"/>
  <c r="V9" i="18"/>
  <c r="O12" i="18"/>
  <c r="V10" i="18"/>
  <c r="O10" i="18"/>
  <c r="V11" i="18"/>
  <c r="O11" i="18"/>
  <c r="V12" i="18"/>
  <c r="V13" i="18"/>
  <c r="O13" i="18"/>
  <c r="W12" i="18"/>
  <c r="O4" i="18"/>
  <c r="P12" i="18"/>
  <c r="W11" i="18"/>
  <c r="P11" i="18"/>
  <c r="W10" i="18"/>
  <c r="P10" i="18"/>
  <c r="W9" i="18"/>
  <c r="P9" i="18"/>
  <c r="W8" i="18"/>
  <c r="P8" i="18"/>
  <c r="O7" i="18"/>
  <c r="P7" i="18"/>
  <c r="O6" i="18"/>
  <c r="P6" i="18"/>
  <c r="R4" i="18"/>
  <c r="R5" i="18"/>
  <c r="O5" i="18"/>
  <c r="P5" i="18"/>
  <c r="S4" i="18"/>
  <c r="BA10" i="16"/>
  <c r="BA12" i="16"/>
  <c r="BA13" i="16"/>
  <c r="BA14" i="16"/>
  <c r="BA11" i="16"/>
  <c r="BA16" i="16"/>
  <c r="BA9" i="16"/>
  <c r="AT111" i="16"/>
  <c r="AD10" i="16"/>
  <c r="S10" i="16"/>
  <c r="AW10" i="16"/>
  <c r="AD11" i="16"/>
  <c r="S11" i="16"/>
  <c r="AW11" i="16"/>
  <c r="AD12" i="16"/>
  <c r="AW12" i="16"/>
  <c r="AD13" i="16"/>
  <c r="AW13" i="16"/>
  <c r="AD14" i="16"/>
  <c r="AW14" i="16"/>
  <c r="AD15" i="16"/>
  <c r="AW15" i="16"/>
  <c r="AD16" i="16"/>
  <c r="S16" i="16"/>
  <c r="AW16" i="16"/>
  <c r="AD17" i="16"/>
  <c r="S17" i="16"/>
  <c r="AW17" i="16"/>
  <c r="AD18" i="16"/>
  <c r="AW18" i="16"/>
  <c r="AD19" i="16"/>
  <c r="S19" i="16"/>
  <c r="AW19" i="16"/>
  <c r="AD20" i="16"/>
  <c r="AW20" i="16"/>
  <c r="AD21" i="16"/>
  <c r="S21" i="16"/>
  <c r="AW21" i="16"/>
  <c r="AD22" i="16"/>
  <c r="AW22" i="16"/>
  <c r="AD23" i="16"/>
  <c r="S23" i="16"/>
  <c r="AW23" i="16"/>
  <c r="AD24" i="16"/>
  <c r="AW24" i="16"/>
  <c r="AD25" i="16"/>
  <c r="AW25" i="16"/>
  <c r="AD26" i="16"/>
  <c r="AW26" i="16"/>
  <c r="AD27" i="16"/>
  <c r="S27" i="16"/>
  <c r="AW27" i="16"/>
  <c r="AD28" i="16"/>
  <c r="S28" i="16"/>
  <c r="AW28" i="16"/>
  <c r="AD29" i="16"/>
  <c r="AW29" i="16"/>
  <c r="AD30" i="16"/>
  <c r="S30" i="16"/>
  <c r="AW30" i="16"/>
  <c r="AD31" i="16"/>
  <c r="S31" i="16"/>
  <c r="AW31" i="16"/>
  <c r="AD32" i="16"/>
  <c r="S32" i="16"/>
  <c r="AW32" i="16"/>
  <c r="AD33" i="16"/>
  <c r="S33" i="16"/>
  <c r="AW33" i="16"/>
  <c r="AD34" i="16"/>
  <c r="AW34" i="16"/>
  <c r="AD35" i="16"/>
  <c r="AW35" i="16"/>
  <c r="AD36" i="16"/>
  <c r="S36" i="16"/>
  <c r="AW36" i="16"/>
  <c r="AD37" i="16"/>
  <c r="AW37" i="16"/>
  <c r="AD38" i="16"/>
  <c r="S38" i="16"/>
  <c r="AW38" i="16"/>
  <c r="AD39" i="16"/>
  <c r="AW39" i="16"/>
  <c r="AD40" i="16"/>
  <c r="AW40" i="16"/>
  <c r="AD41" i="16"/>
  <c r="S41" i="16"/>
  <c r="AW41" i="16"/>
  <c r="AD42" i="16"/>
  <c r="S42" i="16"/>
  <c r="AW42" i="16"/>
  <c r="AD43" i="16"/>
  <c r="S43" i="16"/>
  <c r="AW43" i="16"/>
  <c r="AD44" i="16"/>
  <c r="S44" i="16"/>
  <c r="AW44" i="16"/>
  <c r="AD45" i="16"/>
  <c r="S45" i="16"/>
  <c r="AW45" i="16"/>
  <c r="AD46" i="16"/>
  <c r="AW46" i="16"/>
  <c r="AD47" i="16"/>
  <c r="AW47" i="16"/>
  <c r="AD48" i="16"/>
  <c r="S48" i="16"/>
  <c r="AW48" i="16"/>
  <c r="AD49" i="16"/>
  <c r="AW49" i="16"/>
  <c r="AD50" i="16"/>
  <c r="S50" i="16"/>
  <c r="AW50" i="16"/>
  <c r="AD51" i="16"/>
  <c r="AW51" i="16"/>
  <c r="AD52" i="16"/>
  <c r="S52" i="16"/>
  <c r="AW52" i="16"/>
  <c r="AD53" i="16"/>
  <c r="S53" i="16"/>
  <c r="AW53" i="16"/>
  <c r="AD54" i="16"/>
  <c r="S54" i="16"/>
  <c r="AW54" i="16"/>
  <c r="AD55" i="16"/>
  <c r="S55" i="16"/>
  <c r="AW55" i="16"/>
  <c r="AD56" i="16"/>
  <c r="S56" i="16"/>
  <c r="AW56" i="16"/>
  <c r="AD57" i="16"/>
  <c r="S57" i="16"/>
  <c r="AW57" i="16"/>
  <c r="AD58" i="16"/>
  <c r="AW58" i="16"/>
  <c r="AD59" i="16"/>
  <c r="S59" i="16"/>
  <c r="AW59" i="16"/>
  <c r="AD60" i="16"/>
  <c r="AW60" i="16"/>
  <c r="AD61" i="16"/>
  <c r="AW61" i="16"/>
  <c r="AD62" i="16"/>
  <c r="AW62" i="16"/>
  <c r="AD63" i="16"/>
  <c r="S63" i="16"/>
  <c r="AW63" i="16"/>
  <c r="AD64" i="16"/>
  <c r="AW64" i="16"/>
  <c r="AD65" i="16"/>
  <c r="AW65" i="16"/>
  <c r="AD66" i="16"/>
  <c r="S66" i="16"/>
  <c r="AW66" i="16"/>
  <c r="AD67" i="16"/>
  <c r="S67" i="16"/>
  <c r="AW67" i="16"/>
  <c r="AD68" i="16"/>
  <c r="S68" i="16"/>
  <c r="AW68" i="16"/>
  <c r="AD69" i="16"/>
  <c r="S69" i="16"/>
  <c r="AW69" i="16"/>
  <c r="AD70" i="16"/>
  <c r="S70" i="16"/>
  <c r="AW70" i="16"/>
  <c r="AD71" i="16"/>
  <c r="S71" i="16"/>
  <c r="AW71" i="16"/>
  <c r="AD72" i="16"/>
  <c r="AW72" i="16"/>
  <c r="AD73" i="16"/>
  <c r="AW73" i="16"/>
  <c r="AD74" i="16"/>
  <c r="S74" i="16"/>
  <c r="AW74" i="16"/>
  <c r="AD75" i="16"/>
  <c r="S75" i="16"/>
  <c r="AW75" i="16"/>
  <c r="AD76" i="16"/>
  <c r="S76" i="16"/>
  <c r="AW76" i="16"/>
  <c r="AD77" i="16"/>
  <c r="S77" i="16"/>
  <c r="AW77" i="16"/>
  <c r="AD78" i="16"/>
  <c r="AW78" i="16"/>
  <c r="AD79" i="16"/>
  <c r="AW79" i="16"/>
  <c r="AD80" i="16"/>
  <c r="AW80" i="16"/>
  <c r="AD81" i="16"/>
  <c r="S81" i="16"/>
  <c r="AW81" i="16"/>
  <c r="AD82" i="16"/>
  <c r="AW82" i="16"/>
  <c r="AD83" i="16"/>
  <c r="S83" i="16"/>
  <c r="AW83" i="16"/>
  <c r="AD84" i="16"/>
  <c r="AW84" i="16"/>
  <c r="AD85" i="16"/>
  <c r="AW85" i="16"/>
  <c r="AD86" i="16"/>
  <c r="S86" i="16"/>
  <c r="AW86" i="16"/>
  <c r="AD87" i="16"/>
  <c r="S87" i="16"/>
  <c r="AW87" i="16"/>
  <c r="AD88" i="16"/>
  <c r="AW88" i="16"/>
  <c r="AD89" i="16"/>
  <c r="S89" i="16"/>
  <c r="AW89" i="16"/>
  <c r="AD90" i="16"/>
  <c r="AW90" i="16"/>
  <c r="AD91" i="16"/>
  <c r="AW91" i="16"/>
  <c r="AD92" i="16"/>
  <c r="S92" i="16"/>
  <c r="AW92" i="16"/>
  <c r="AD93" i="16"/>
  <c r="S93" i="16"/>
  <c r="AW93" i="16"/>
  <c r="AD94" i="16"/>
  <c r="AW94" i="16"/>
  <c r="AD95" i="16"/>
  <c r="AW95" i="16"/>
  <c r="AD96" i="16"/>
  <c r="AW96" i="16"/>
  <c r="AD97" i="16"/>
  <c r="S97" i="16"/>
  <c r="AW97" i="16"/>
  <c r="AD98" i="16"/>
  <c r="AW98" i="16"/>
  <c r="AD99" i="16"/>
  <c r="S99" i="16"/>
  <c r="AW99" i="16"/>
  <c r="AD100" i="16"/>
  <c r="AW100" i="16"/>
  <c r="AD101" i="16"/>
  <c r="S101" i="16"/>
  <c r="AW101" i="16"/>
  <c r="AD102" i="16"/>
  <c r="S102" i="16"/>
  <c r="AW102" i="16"/>
  <c r="AD103" i="16"/>
  <c r="S103" i="16"/>
  <c r="AW103" i="16"/>
  <c r="AD104" i="16"/>
  <c r="S104" i="16"/>
  <c r="AW104" i="16"/>
  <c r="AD105" i="16"/>
  <c r="AW105" i="16"/>
  <c r="AD106" i="16"/>
  <c r="S106" i="16"/>
  <c r="AW106" i="16"/>
  <c r="AW107" i="16"/>
  <c r="AD108" i="16"/>
  <c r="S108" i="16"/>
  <c r="AW108" i="16"/>
  <c r="AW109" i="16"/>
  <c r="AD110" i="16"/>
  <c r="S110" i="16"/>
  <c r="AW110" i="16"/>
  <c r="AD9" i="16"/>
  <c r="AW9" i="16"/>
  <c r="AE10" i="16"/>
  <c r="AE11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AE53" i="16"/>
  <c r="AE54" i="16"/>
  <c r="AE55" i="16"/>
  <c r="AE56" i="16"/>
  <c r="AE57" i="16"/>
  <c r="AE58" i="16"/>
  <c r="AE59" i="16"/>
  <c r="AE60" i="16"/>
  <c r="AE61" i="16"/>
  <c r="AE62" i="16"/>
  <c r="AE63" i="16"/>
  <c r="AE64" i="16"/>
  <c r="AE65" i="16"/>
  <c r="AE66" i="16"/>
  <c r="AE67" i="16"/>
  <c r="AE68" i="16"/>
  <c r="AE69" i="16"/>
  <c r="AE70" i="16"/>
  <c r="AE71" i="16"/>
  <c r="AE72" i="16"/>
  <c r="AE73" i="16"/>
  <c r="AE74" i="16"/>
  <c r="AE75" i="16"/>
  <c r="AE76" i="16"/>
  <c r="AE77" i="16"/>
  <c r="AE78" i="16"/>
  <c r="AE79" i="16"/>
  <c r="AE80" i="16"/>
  <c r="AE81" i="16"/>
  <c r="AE82" i="16"/>
  <c r="AE83" i="16"/>
  <c r="AE84" i="16"/>
  <c r="AE85" i="16"/>
  <c r="AE86" i="16"/>
  <c r="AE87" i="16"/>
  <c r="AE88" i="16"/>
  <c r="AE89" i="16"/>
  <c r="AE90" i="16"/>
  <c r="AE91" i="16"/>
  <c r="AE92" i="16"/>
  <c r="AE93" i="16"/>
  <c r="AE94" i="16"/>
  <c r="AE95" i="16"/>
  <c r="AE96" i="16"/>
  <c r="AE97" i="16"/>
  <c r="AE98" i="16"/>
  <c r="AE99" i="16"/>
  <c r="AE100" i="16"/>
  <c r="AE101" i="16"/>
  <c r="AE102" i="16"/>
  <c r="AE103" i="16"/>
  <c r="AE104" i="16"/>
  <c r="AE105" i="16"/>
  <c r="AE106" i="16"/>
  <c r="AE108" i="16"/>
  <c r="AE110" i="16"/>
  <c r="AE9" i="16"/>
  <c r="AK111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8" i="16"/>
  <c r="U110" i="16"/>
  <c r="U114" i="16"/>
  <c r="U115" i="16"/>
  <c r="AL111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8" i="16"/>
  <c r="V110" i="16"/>
  <c r="V114" i="16"/>
  <c r="V115" i="16"/>
  <c r="AM111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52" i="16"/>
  <c r="W53" i="16"/>
  <c r="W54" i="16"/>
  <c r="W55" i="16"/>
  <c r="W56" i="16"/>
  <c r="W57" i="16"/>
  <c r="W58" i="16"/>
  <c r="W59" i="16"/>
  <c r="W60" i="16"/>
  <c r="W61" i="16"/>
  <c r="W62" i="16"/>
  <c r="W63" i="16"/>
  <c r="W64" i="16"/>
  <c r="W65" i="16"/>
  <c r="W66" i="16"/>
  <c r="W67" i="16"/>
  <c r="W68" i="16"/>
  <c r="W69" i="16"/>
  <c r="W70" i="16"/>
  <c r="W71" i="16"/>
  <c r="W72" i="16"/>
  <c r="W73" i="16"/>
  <c r="W74" i="16"/>
  <c r="W75" i="16"/>
  <c r="W76" i="16"/>
  <c r="W77" i="16"/>
  <c r="W78" i="16"/>
  <c r="W79" i="16"/>
  <c r="W80" i="16"/>
  <c r="W81" i="16"/>
  <c r="W82" i="16"/>
  <c r="W83" i="16"/>
  <c r="W84" i="16"/>
  <c r="W85" i="16"/>
  <c r="W86" i="16"/>
  <c r="W87" i="16"/>
  <c r="W88" i="16"/>
  <c r="W89" i="16"/>
  <c r="W90" i="16"/>
  <c r="W91" i="16"/>
  <c r="W92" i="16"/>
  <c r="W93" i="16"/>
  <c r="W94" i="16"/>
  <c r="W95" i="16"/>
  <c r="W96" i="16"/>
  <c r="W97" i="16"/>
  <c r="W98" i="16"/>
  <c r="W99" i="16"/>
  <c r="W100" i="16"/>
  <c r="W101" i="16"/>
  <c r="W102" i="16"/>
  <c r="W103" i="16"/>
  <c r="W104" i="16"/>
  <c r="W105" i="16"/>
  <c r="W106" i="16"/>
  <c r="W108" i="16"/>
  <c r="W110" i="16"/>
  <c r="W114" i="16"/>
  <c r="W115" i="16"/>
  <c r="AN111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40" i="16"/>
  <c r="X41" i="16"/>
  <c r="X42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60" i="16"/>
  <c r="X61" i="16"/>
  <c r="X62" i="16"/>
  <c r="X63" i="16"/>
  <c r="X64" i="16"/>
  <c r="X65" i="16"/>
  <c r="X66" i="16"/>
  <c r="X67" i="16"/>
  <c r="X68" i="16"/>
  <c r="X69" i="16"/>
  <c r="X70" i="16"/>
  <c r="X71" i="16"/>
  <c r="X72" i="16"/>
  <c r="X73" i="16"/>
  <c r="X74" i="16"/>
  <c r="X75" i="16"/>
  <c r="X76" i="16"/>
  <c r="X77" i="16"/>
  <c r="X78" i="16"/>
  <c r="X79" i="16"/>
  <c r="X80" i="16"/>
  <c r="X81" i="16"/>
  <c r="X82" i="16"/>
  <c r="X83" i="16"/>
  <c r="X84" i="16"/>
  <c r="X85" i="16"/>
  <c r="X86" i="16"/>
  <c r="X87" i="16"/>
  <c r="X88" i="16"/>
  <c r="X89" i="16"/>
  <c r="X90" i="16"/>
  <c r="X91" i="16"/>
  <c r="X92" i="16"/>
  <c r="X93" i="16"/>
  <c r="X94" i="16"/>
  <c r="X95" i="16"/>
  <c r="X96" i="16"/>
  <c r="X97" i="16"/>
  <c r="X98" i="16"/>
  <c r="X99" i="16"/>
  <c r="X100" i="16"/>
  <c r="X101" i="16"/>
  <c r="X102" i="16"/>
  <c r="X103" i="16"/>
  <c r="X104" i="16"/>
  <c r="X105" i="16"/>
  <c r="X106" i="16"/>
  <c r="X108" i="16"/>
  <c r="X110" i="16"/>
  <c r="X114" i="16"/>
  <c r="X115" i="16"/>
  <c r="AO111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Y56" i="16"/>
  <c r="Y57" i="16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Y98" i="16"/>
  <c r="Y99" i="16"/>
  <c r="Y100" i="16"/>
  <c r="Y101" i="16"/>
  <c r="Y102" i="16"/>
  <c r="Y103" i="16"/>
  <c r="Y104" i="16"/>
  <c r="Y105" i="16"/>
  <c r="Y106" i="16"/>
  <c r="Y108" i="16"/>
  <c r="Y110" i="16"/>
  <c r="Y114" i="16"/>
  <c r="Y115" i="16"/>
  <c r="AP111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8" i="16"/>
  <c r="Z110" i="16"/>
  <c r="Z114" i="16"/>
  <c r="Z115" i="16"/>
  <c r="AQ111" i="16"/>
  <c r="AA9" i="16"/>
  <c r="AA10" i="16"/>
  <c r="AA11" i="16"/>
  <c r="AA12" i="16"/>
  <c r="AA13" i="16"/>
  <c r="AA14" i="16"/>
  <c r="AA15" i="16"/>
  <c r="AA16" i="16"/>
  <c r="AA17" i="16"/>
  <c r="AA18" i="16"/>
  <c r="AA19" i="16"/>
  <c r="AA20" i="16"/>
  <c r="AA21" i="16"/>
  <c r="AA22" i="16"/>
  <c r="AA23" i="16"/>
  <c r="AA24" i="16"/>
  <c r="AA25" i="16"/>
  <c r="AA26" i="16"/>
  <c r="AA27" i="16"/>
  <c r="AA28" i="16"/>
  <c r="AA29" i="16"/>
  <c r="AA30" i="16"/>
  <c r="AA31" i="16"/>
  <c r="AA32" i="16"/>
  <c r="AA33" i="16"/>
  <c r="AA34" i="16"/>
  <c r="AA35" i="16"/>
  <c r="AA36" i="16"/>
  <c r="AA37" i="16"/>
  <c r="AA38" i="16"/>
  <c r="AA39" i="16"/>
  <c r="AA40" i="16"/>
  <c r="AA41" i="16"/>
  <c r="AA42" i="16"/>
  <c r="AA43" i="16"/>
  <c r="AA44" i="16"/>
  <c r="AA45" i="16"/>
  <c r="AA46" i="16"/>
  <c r="AA47" i="16"/>
  <c r="AA48" i="16"/>
  <c r="AA49" i="16"/>
  <c r="AA50" i="16"/>
  <c r="AA51" i="16"/>
  <c r="AA52" i="16"/>
  <c r="AA53" i="16"/>
  <c r="AA54" i="16"/>
  <c r="AA55" i="16"/>
  <c r="AA56" i="16"/>
  <c r="AA57" i="16"/>
  <c r="AA58" i="16"/>
  <c r="AA59" i="16"/>
  <c r="AA60" i="16"/>
  <c r="AA61" i="16"/>
  <c r="AA62" i="16"/>
  <c r="AA63" i="16"/>
  <c r="AA64" i="16"/>
  <c r="AA65" i="16"/>
  <c r="AA66" i="16"/>
  <c r="AA67" i="16"/>
  <c r="AA68" i="16"/>
  <c r="AA69" i="16"/>
  <c r="AA70" i="16"/>
  <c r="AA71" i="16"/>
  <c r="AA72" i="16"/>
  <c r="AA73" i="16"/>
  <c r="AA74" i="16"/>
  <c r="AA75" i="16"/>
  <c r="AA76" i="16"/>
  <c r="AA77" i="16"/>
  <c r="AA78" i="16"/>
  <c r="AA79" i="16"/>
  <c r="AA80" i="16"/>
  <c r="AA81" i="16"/>
  <c r="AA82" i="16"/>
  <c r="AA83" i="16"/>
  <c r="AA84" i="16"/>
  <c r="AA85" i="16"/>
  <c r="AA86" i="16"/>
  <c r="AA87" i="16"/>
  <c r="AA88" i="16"/>
  <c r="AA89" i="16"/>
  <c r="AA90" i="16"/>
  <c r="AA91" i="16"/>
  <c r="AA92" i="16"/>
  <c r="AA93" i="16"/>
  <c r="AA94" i="16"/>
  <c r="AA95" i="16"/>
  <c r="AA96" i="16"/>
  <c r="AA97" i="16"/>
  <c r="AA98" i="16"/>
  <c r="AA99" i="16"/>
  <c r="AA100" i="16"/>
  <c r="AA101" i="16"/>
  <c r="AA102" i="16"/>
  <c r="AA103" i="16"/>
  <c r="AA104" i="16"/>
  <c r="AA105" i="16"/>
  <c r="AA106" i="16"/>
  <c r="AA108" i="16"/>
  <c r="AA110" i="16"/>
  <c r="AA114" i="16"/>
  <c r="AA115" i="16"/>
  <c r="AR111" i="16"/>
  <c r="AB9" i="16"/>
  <c r="AB10" i="16"/>
  <c r="AB11" i="16"/>
  <c r="AB12" i="16"/>
  <c r="AB13" i="16"/>
  <c r="AB14" i="16"/>
  <c r="AB15" i="16"/>
  <c r="AB16" i="16"/>
  <c r="AB17" i="16"/>
  <c r="AB18" i="16"/>
  <c r="AB19" i="16"/>
  <c r="AB20" i="16"/>
  <c r="AB21" i="16"/>
  <c r="AB22" i="16"/>
  <c r="AB23" i="16"/>
  <c r="AB24" i="16"/>
  <c r="AB25" i="16"/>
  <c r="AB26" i="16"/>
  <c r="AB27" i="16"/>
  <c r="AB28" i="16"/>
  <c r="AB29" i="16"/>
  <c r="AB30" i="16"/>
  <c r="AB31" i="16"/>
  <c r="AB32" i="16"/>
  <c r="AB33" i="16"/>
  <c r="AB34" i="16"/>
  <c r="AB35" i="16"/>
  <c r="AB36" i="16"/>
  <c r="AB37" i="16"/>
  <c r="AB38" i="16"/>
  <c r="AB39" i="16"/>
  <c r="AB40" i="16"/>
  <c r="AB41" i="16"/>
  <c r="AB42" i="16"/>
  <c r="AB43" i="16"/>
  <c r="AB44" i="16"/>
  <c r="AB45" i="16"/>
  <c r="AB46" i="16"/>
  <c r="AB47" i="16"/>
  <c r="AB48" i="16"/>
  <c r="AB49" i="16"/>
  <c r="AB50" i="16"/>
  <c r="AB51" i="16"/>
  <c r="AB52" i="16"/>
  <c r="AB53" i="16"/>
  <c r="AB54" i="16"/>
  <c r="AB55" i="16"/>
  <c r="AB56" i="16"/>
  <c r="AB57" i="16"/>
  <c r="AB58" i="16"/>
  <c r="AB59" i="16"/>
  <c r="AB60" i="16"/>
  <c r="AB61" i="16"/>
  <c r="AB62" i="16"/>
  <c r="AB63" i="16"/>
  <c r="AB64" i="16"/>
  <c r="AB65" i="16"/>
  <c r="AB66" i="16"/>
  <c r="AB67" i="16"/>
  <c r="AB68" i="16"/>
  <c r="AB69" i="16"/>
  <c r="AB70" i="16"/>
  <c r="AB71" i="16"/>
  <c r="AB72" i="16"/>
  <c r="AB73" i="16"/>
  <c r="AB74" i="16"/>
  <c r="AB75" i="16"/>
  <c r="AB76" i="16"/>
  <c r="AB77" i="16"/>
  <c r="AB78" i="16"/>
  <c r="AB79" i="16"/>
  <c r="AB80" i="16"/>
  <c r="AB81" i="16"/>
  <c r="AB82" i="16"/>
  <c r="AB83" i="16"/>
  <c r="AB84" i="16"/>
  <c r="AB85" i="16"/>
  <c r="AB86" i="16"/>
  <c r="AB87" i="16"/>
  <c r="AB88" i="16"/>
  <c r="AB89" i="16"/>
  <c r="AB90" i="16"/>
  <c r="AB91" i="16"/>
  <c r="AB92" i="16"/>
  <c r="AB93" i="16"/>
  <c r="AB94" i="16"/>
  <c r="AB95" i="16"/>
  <c r="AB96" i="16"/>
  <c r="AB97" i="16"/>
  <c r="AB98" i="16"/>
  <c r="AB99" i="16"/>
  <c r="AB100" i="16"/>
  <c r="AB101" i="16"/>
  <c r="AB102" i="16"/>
  <c r="AB103" i="16"/>
  <c r="AB104" i="16"/>
  <c r="AB105" i="16"/>
  <c r="AB106" i="16"/>
  <c r="AB108" i="16"/>
  <c r="AB110" i="16"/>
  <c r="AB114" i="16"/>
  <c r="AB115" i="16"/>
  <c r="AS111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AC46" i="16"/>
  <c r="AC47" i="16"/>
  <c r="AC48" i="16"/>
  <c r="AC49" i="16"/>
  <c r="AC50" i="16"/>
  <c r="AC51" i="16"/>
  <c r="AC52" i="16"/>
  <c r="AC53" i="16"/>
  <c r="AC54" i="16"/>
  <c r="AC55" i="16"/>
  <c r="AC56" i="16"/>
  <c r="AC57" i="16"/>
  <c r="AC58" i="16"/>
  <c r="AC59" i="16"/>
  <c r="AC60" i="16"/>
  <c r="AC61" i="16"/>
  <c r="AC62" i="16"/>
  <c r="AC63" i="16"/>
  <c r="AC64" i="16"/>
  <c r="AC65" i="16"/>
  <c r="AC66" i="16"/>
  <c r="AC67" i="16"/>
  <c r="AC68" i="16"/>
  <c r="AC69" i="16"/>
  <c r="AC70" i="16"/>
  <c r="AC71" i="16"/>
  <c r="AC72" i="16"/>
  <c r="AC73" i="16"/>
  <c r="AC74" i="16"/>
  <c r="AC75" i="16"/>
  <c r="AC76" i="16"/>
  <c r="AC77" i="16"/>
  <c r="AC78" i="16"/>
  <c r="AC79" i="16"/>
  <c r="AC80" i="16"/>
  <c r="AC81" i="16"/>
  <c r="AC82" i="16"/>
  <c r="AC83" i="16"/>
  <c r="AC84" i="16"/>
  <c r="AC85" i="16"/>
  <c r="AC86" i="16"/>
  <c r="AC87" i="16"/>
  <c r="AC88" i="16"/>
  <c r="AC89" i="16"/>
  <c r="AC90" i="16"/>
  <c r="AC91" i="16"/>
  <c r="AC92" i="16"/>
  <c r="AC93" i="16"/>
  <c r="AC94" i="16"/>
  <c r="AC95" i="16"/>
  <c r="AC96" i="16"/>
  <c r="AC97" i="16"/>
  <c r="AC98" i="16"/>
  <c r="AC99" i="16"/>
  <c r="AC100" i="16"/>
  <c r="AC101" i="16"/>
  <c r="AC102" i="16"/>
  <c r="AC103" i="16"/>
  <c r="AC104" i="16"/>
  <c r="AC105" i="16"/>
  <c r="AC106" i="16"/>
  <c r="AC108" i="16"/>
  <c r="AC110" i="16"/>
  <c r="AC114" i="16"/>
  <c r="AC115" i="16"/>
  <c r="AD114" i="16"/>
  <c r="AD115" i="16"/>
  <c r="AU111" i="16"/>
  <c r="AE114" i="16"/>
  <c r="AE115" i="16"/>
  <c r="AJ111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8" i="16"/>
  <c r="T110" i="16"/>
  <c r="T114" i="16"/>
  <c r="T115" i="16"/>
  <c r="AK114" i="16"/>
  <c r="AK117" i="16"/>
  <c r="AL114" i="16"/>
  <c r="AL117" i="16"/>
  <c r="AM114" i="16"/>
  <c r="AM117" i="16"/>
  <c r="AN114" i="16"/>
  <c r="AN117" i="16"/>
  <c r="AO114" i="16"/>
  <c r="AO117" i="16"/>
  <c r="AP114" i="16"/>
  <c r="AP117" i="16"/>
  <c r="AQ114" i="16"/>
  <c r="AQ117" i="16"/>
  <c r="AR114" i="16"/>
  <c r="AR117" i="16"/>
  <c r="AS114" i="16"/>
  <c r="AS117" i="16"/>
  <c r="AT114" i="16"/>
  <c r="AT117" i="16"/>
  <c r="AU114" i="16"/>
  <c r="AU117" i="16"/>
  <c r="AK115" i="16"/>
  <c r="AK118" i="16"/>
  <c r="AL115" i="16"/>
  <c r="AL118" i="16"/>
  <c r="AM115" i="16"/>
  <c r="AM118" i="16"/>
  <c r="AN115" i="16"/>
  <c r="AN118" i="16"/>
  <c r="AO115" i="16"/>
  <c r="AO118" i="16"/>
  <c r="AP115" i="16"/>
  <c r="AP118" i="16"/>
  <c r="AQ115" i="16"/>
  <c r="AQ118" i="16"/>
  <c r="AR115" i="16"/>
  <c r="AR118" i="16"/>
  <c r="AS115" i="16"/>
  <c r="AS118" i="16"/>
  <c r="AT115" i="16"/>
  <c r="AT118" i="16"/>
  <c r="AU115" i="16"/>
  <c r="AU118" i="16"/>
  <c r="AJ115" i="16"/>
  <c r="AJ118" i="16"/>
  <c r="AJ114" i="16"/>
  <c r="AJ117" i="16"/>
  <c r="AL121" i="16"/>
  <c r="AL122" i="16"/>
  <c r="AL123" i="16"/>
  <c r="AL125" i="16"/>
  <c r="AM121" i="16"/>
  <c r="AM122" i="16"/>
  <c r="AM123" i="16"/>
  <c r="AM125" i="16"/>
  <c r="AN121" i="16"/>
  <c r="AN122" i="16"/>
  <c r="AN123" i="16"/>
  <c r="AN125" i="16"/>
  <c r="AO121" i="16"/>
  <c r="AO122" i="16"/>
  <c r="AO123" i="16"/>
  <c r="AO125" i="16"/>
  <c r="AP121" i="16"/>
  <c r="AP122" i="16"/>
  <c r="AP123" i="16"/>
  <c r="AP125" i="16"/>
  <c r="AQ121" i="16"/>
  <c r="AQ122" i="16"/>
  <c r="AQ123" i="16"/>
  <c r="AQ125" i="16"/>
  <c r="AR121" i="16"/>
  <c r="AR122" i="16"/>
  <c r="AR123" i="16"/>
  <c r="AR125" i="16"/>
  <c r="AS121" i="16"/>
  <c r="AS122" i="16"/>
  <c r="AS123" i="16"/>
  <c r="AS125" i="16"/>
  <c r="AT121" i="16"/>
  <c r="AT122" i="16"/>
  <c r="AT123" i="16"/>
  <c r="AT125" i="16"/>
  <c r="AU121" i="16"/>
  <c r="AU122" i="16"/>
  <c r="AU123" i="16"/>
  <c r="AU125" i="16"/>
  <c r="AL126" i="16"/>
  <c r="AM126" i="16"/>
  <c r="AN126" i="16"/>
  <c r="AO126" i="16"/>
  <c r="AP126" i="16"/>
  <c r="AQ126" i="16"/>
  <c r="AR126" i="16"/>
  <c r="AS126" i="16"/>
  <c r="AT126" i="16"/>
  <c r="AU126" i="16"/>
  <c r="AK121" i="16"/>
  <c r="AK122" i="16"/>
  <c r="AK123" i="16"/>
  <c r="AK125" i="16"/>
  <c r="AK126" i="16"/>
  <c r="AJ122" i="16"/>
  <c r="AJ121" i="16"/>
  <c r="AJ123" i="16"/>
  <c r="AJ126" i="16"/>
  <c r="AJ125" i="16"/>
  <c r="E115" i="16"/>
  <c r="E118" i="16"/>
  <c r="F115" i="16"/>
  <c r="F118" i="16"/>
  <c r="G115" i="16"/>
  <c r="G118" i="16"/>
  <c r="H115" i="16"/>
  <c r="H118" i="16"/>
  <c r="I115" i="16"/>
  <c r="I118" i="16"/>
  <c r="J115" i="16"/>
  <c r="J118" i="16"/>
  <c r="K115" i="16"/>
  <c r="K118" i="16"/>
  <c r="L115" i="16"/>
  <c r="L118" i="16"/>
  <c r="M115" i="16"/>
  <c r="M118" i="16"/>
  <c r="N115" i="16"/>
  <c r="N118" i="16"/>
  <c r="O115" i="16"/>
  <c r="O118" i="16"/>
  <c r="D115" i="16"/>
  <c r="D118" i="16"/>
  <c r="E114" i="16"/>
  <c r="E117" i="16"/>
  <c r="F114" i="16"/>
  <c r="F117" i="16"/>
  <c r="G114" i="16"/>
  <c r="G117" i="16"/>
  <c r="H114" i="16"/>
  <c r="H117" i="16"/>
  <c r="I114" i="16"/>
  <c r="I117" i="16"/>
  <c r="J114" i="16"/>
  <c r="J117" i="16"/>
  <c r="K114" i="16"/>
  <c r="K117" i="16"/>
  <c r="L114" i="16"/>
  <c r="L117" i="16"/>
  <c r="M114" i="16"/>
  <c r="M117" i="16"/>
  <c r="N114" i="16"/>
  <c r="N117" i="16"/>
  <c r="O114" i="16"/>
  <c r="O117" i="16"/>
  <c r="D114" i="16"/>
  <c r="D117" i="16"/>
  <c r="E121" i="16"/>
  <c r="E122" i="16"/>
  <c r="E124" i="16"/>
  <c r="F121" i="16"/>
  <c r="F122" i="16"/>
  <c r="F124" i="16"/>
  <c r="G121" i="16"/>
  <c r="G122" i="16"/>
  <c r="G124" i="16"/>
  <c r="H121" i="16"/>
  <c r="H122" i="16"/>
  <c r="H124" i="16"/>
  <c r="I121" i="16"/>
  <c r="I122" i="16"/>
  <c r="I124" i="16"/>
  <c r="J121" i="16"/>
  <c r="J122" i="16"/>
  <c r="J124" i="16"/>
  <c r="K121" i="16"/>
  <c r="K122" i="16"/>
  <c r="K124" i="16"/>
  <c r="L121" i="16"/>
  <c r="L122" i="16"/>
  <c r="L124" i="16"/>
  <c r="M121" i="16"/>
  <c r="M122" i="16"/>
  <c r="M124" i="16"/>
  <c r="N121" i="16"/>
  <c r="N122" i="16"/>
  <c r="N124" i="16"/>
  <c r="O121" i="16"/>
  <c r="O122" i="16"/>
  <c r="O124" i="16"/>
  <c r="D121" i="16"/>
  <c r="D122" i="16"/>
  <c r="D124" i="16"/>
  <c r="Q9" i="16"/>
  <c r="R9" i="16"/>
  <c r="S9" i="16"/>
  <c r="Q10" i="16"/>
  <c r="R10" i="16"/>
  <c r="Q11" i="16"/>
  <c r="R11" i="16"/>
  <c r="Q12" i="16"/>
  <c r="R12" i="16"/>
  <c r="S12" i="16"/>
  <c r="Q13" i="16"/>
  <c r="R13" i="16"/>
  <c r="S13" i="16"/>
  <c r="Q14" i="16"/>
  <c r="R14" i="16"/>
  <c r="S14" i="16"/>
  <c r="Q15" i="16"/>
  <c r="R15" i="16"/>
  <c r="S15" i="16"/>
  <c r="Q16" i="16"/>
  <c r="R16" i="16"/>
  <c r="Q17" i="16"/>
  <c r="R17" i="16"/>
  <c r="Q18" i="16"/>
  <c r="R18" i="16"/>
  <c r="S18" i="16"/>
  <c r="Q19" i="16"/>
  <c r="R19" i="16"/>
  <c r="Q20" i="16"/>
  <c r="R20" i="16"/>
  <c r="S20" i="16"/>
  <c r="Q21" i="16"/>
  <c r="R21" i="16"/>
  <c r="Q22" i="16"/>
  <c r="R22" i="16"/>
  <c r="S22" i="16"/>
  <c r="Q23" i="16"/>
  <c r="R23" i="16"/>
  <c r="Q24" i="16"/>
  <c r="R24" i="16"/>
  <c r="S24" i="16"/>
  <c r="Q25" i="16"/>
  <c r="R25" i="16"/>
  <c r="S25" i="16"/>
  <c r="Q26" i="16"/>
  <c r="R26" i="16"/>
  <c r="S26" i="16"/>
  <c r="Q27" i="16"/>
  <c r="R27" i="16"/>
  <c r="Q28" i="16"/>
  <c r="R28" i="16"/>
  <c r="Q29" i="16"/>
  <c r="R29" i="16"/>
  <c r="S29" i="16"/>
  <c r="Q30" i="16"/>
  <c r="R30" i="16"/>
  <c r="Q31" i="16"/>
  <c r="R31" i="16"/>
  <c r="Q32" i="16"/>
  <c r="R32" i="16"/>
  <c r="Q33" i="16"/>
  <c r="R33" i="16"/>
  <c r="Q34" i="16"/>
  <c r="R34" i="16"/>
  <c r="S34" i="16"/>
  <c r="Q35" i="16"/>
  <c r="R35" i="16"/>
  <c r="S35" i="16"/>
  <c r="Q36" i="16"/>
  <c r="R36" i="16"/>
  <c r="Q37" i="16"/>
  <c r="R37" i="16"/>
  <c r="S37" i="16"/>
  <c r="Q38" i="16"/>
  <c r="R38" i="16"/>
  <c r="Q39" i="16"/>
  <c r="R39" i="16"/>
  <c r="S39" i="16"/>
  <c r="Q40" i="16"/>
  <c r="R40" i="16"/>
  <c r="S40" i="16"/>
  <c r="Q41" i="16"/>
  <c r="R41" i="16"/>
  <c r="Q42" i="16"/>
  <c r="R42" i="16"/>
  <c r="Q43" i="16"/>
  <c r="R43" i="16"/>
  <c r="Q44" i="16"/>
  <c r="R44" i="16"/>
  <c r="Q45" i="16"/>
  <c r="R45" i="16"/>
  <c r="Q46" i="16"/>
  <c r="R46" i="16"/>
  <c r="S46" i="16"/>
  <c r="Q47" i="16"/>
  <c r="R47" i="16"/>
  <c r="S47" i="16"/>
  <c r="Q48" i="16"/>
  <c r="R48" i="16"/>
  <c r="Q49" i="16"/>
  <c r="R49" i="16"/>
  <c r="S49" i="16"/>
  <c r="Q50" i="16"/>
  <c r="R50" i="16"/>
  <c r="Q51" i="16"/>
  <c r="R51" i="16"/>
  <c r="S51" i="16"/>
  <c r="Q52" i="16"/>
  <c r="R52" i="16"/>
  <c r="Q53" i="16"/>
  <c r="R53" i="16"/>
  <c r="Q54" i="16"/>
  <c r="R54" i="16"/>
  <c r="Q55" i="16"/>
  <c r="R55" i="16"/>
  <c r="Q56" i="16"/>
  <c r="R56" i="16"/>
  <c r="Q57" i="16"/>
  <c r="R57" i="16"/>
  <c r="Q58" i="16"/>
  <c r="R58" i="16"/>
  <c r="S58" i="16"/>
  <c r="Q59" i="16"/>
  <c r="R59" i="16"/>
  <c r="Q60" i="16"/>
  <c r="R60" i="16"/>
  <c r="S60" i="16"/>
  <c r="Q61" i="16"/>
  <c r="R61" i="16"/>
  <c r="S61" i="16"/>
  <c r="Q62" i="16"/>
  <c r="R62" i="16"/>
  <c r="S62" i="16"/>
  <c r="Q63" i="16"/>
  <c r="R63" i="16"/>
  <c r="Q64" i="16"/>
  <c r="R64" i="16"/>
  <c r="S64" i="16"/>
  <c r="Q65" i="16"/>
  <c r="R65" i="16"/>
  <c r="S65" i="16"/>
  <c r="Q66" i="16"/>
  <c r="R66" i="16"/>
  <c r="Q67" i="16"/>
  <c r="R67" i="16"/>
  <c r="Q68" i="16"/>
  <c r="R68" i="16"/>
  <c r="Q69" i="16"/>
  <c r="R69" i="16"/>
  <c r="Q70" i="16"/>
  <c r="R70" i="16"/>
  <c r="Q71" i="16"/>
  <c r="R71" i="16"/>
  <c r="Q72" i="16"/>
  <c r="R72" i="16"/>
  <c r="S72" i="16"/>
  <c r="Q73" i="16"/>
  <c r="R73" i="16"/>
  <c r="S73" i="16"/>
  <c r="Q74" i="16"/>
  <c r="R74" i="16"/>
  <c r="Q75" i="16"/>
  <c r="R75" i="16"/>
  <c r="Q76" i="16"/>
  <c r="R76" i="16"/>
  <c r="Q77" i="16"/>
  <c r="R77" i="16"/>
  <c r="Q78" i="16"/>
  <c r="R78" i="16"/>
  <c r="S78" i="16"/>
  <c r="Q79" i="16"/>
  <c r="R79" i="16"/>
  <c r="S79" i="16"/>
  <c r="Q80" i="16"/>
  <c r="R80" i="16"/>
  <c r="S80" i="16"/>
  <c r="Q81" i="16"/>
  <c r="R81" i="16"/>
  <c r="Q82" i="16"/>
  <c r="R82" i="16"/>
  <c r="S82" i="16"/>
  <c r="Q83" i="16"/>
  <c r="R83" i="16"/>
  <c r="Q84" i="16"/>
  <c r="R84" i="16"/>
  <c r="S84" i="16"/>
  <c r="Q85" i="16"/>
  <c r="R85" i="16"/>
  <c r="S85" i="16"/>
  <c r="Q86" i="16"/>
  <c r="R86" i="16"/>
  <c r="Q87" i="16"/>
  <c r="R87" i="16"/>
  <c r="Q88" i="16"/>
  <c r="R88" i="16"/>
  <c r="S88" i="16"/>
  <c r="Q89" i="16"/>
  <c r="R89" i="16"/>
  <c r="Q90" i="16"/>
  <c r="R90" i="16"/>
  <c r="S90" i="16"/>
  <c r="Q91" i="16"/>
  <c r="R91" i="16"/>
  <c r="S91" i="16"/>
  <c r="Q92" i="16"/>
  <c r="R92" i="16"/>
  <c r="Q93" i="16"/>
  <c r="R93" i="16"/>
  <c r="Q94" i="16"/>
  <c r="R94" i="16"/>
  <c r="S94" i="16"/>
  <c r="Q95" i="16"/>
  <c r="R95" i="16"/>
  <c r="S95" i="16"/>
  <c r="Q96" i="16"/>
  <c r="R96" i="16"/>
  <c r="S96" i="16"/>
  <c r="Q97" i="16"/>
  <c r="R97" i="16"/>
  <c r="Q98" i="16"/>
  <c r="R98" i="16"/>
  <c r="S98" i="16"/>
  <c r="Q99" i="16"/>
  <c r="R99" i="16"/>
  <c r="Q100" i="16"/>
  <c r="R100" i="16"/>
  <c r="S100" i="16"/>
  <c r="Q101" i="16"/>
  <c r="R101" i="16"/>
  <c r="Q102" i="16"/>
  <c r="R102" i="16"/>
  <c r="Q103" i="16"/>
  <c r="R103" i="16"/>
  <c r="Q104" i="16"/>
  <c r="R104" i="16"/>
  <c r="Q105" i="16"/>
  <c r="R105" i="16"/>
  <c r="S105" i="16"/>
  <c r="Q106" i="16"/>
  <c r="R106" i="16"/>
  <c r="Q107" i="16"/>
  <c r="R107" i="16"/>
  <c r="S107" i="16"/>
  <c r="Q108" i="16"/>
  <c r="R108" i="16"/>
  <c r="Q109" i="16"/>
  <c r="R109" i="16"/>
  <c r="S109" i="16"/>
  <c r="Q110" i="16"/>
  <c r="R110" i="16"/>
  <c r="O9" i="8"/>
  <c r="V9" i="8"/>
  <c r="O12" i="8"/>
  <c r="V10" i="8"/>
  <c r="O10" i="8"/>
  <c r="V11" i="8"/>
  <c r="O11" i="8"/>
  <c r="V12" i="8"/>
  <c r="O8" i="8"/>
  <c r="V8" i="8"/>
  <c r="P24" i="4"/>
  <c r="P25" i="4"/>
  <c r="P26" i="4"/>
  <c r="C26" i="4"/>
  <c r="C25" i="4"/>
  <c r="C24" i="4"/>
  <c r="C13" i="4"/>
  <c r="C12" i="4"/>
  <c r="C11" i="4"/>
  <c r="C10" i="4"/>
  <c r="C9" i="4"/>
  <c r="C8" i="4"/>
  <c r="C7" i="4"/>
  <c r="C6" i="4"/>
  <c r="Q27" i="4"/>
  <c r="V13" i="8"/>
  <c r="W9" i="8"/>
  <c r="W8" i="8"/>
  <c r="W12" i="8"/>
  <c r="W11" i="8"/>
  <c r="W10" i="8"/>
  <c r="P11" i="4"/>
  <c r="P7" i="4"/>
  <c r="P8" i="4"/>
  <c r="P13" i="4"/>
  <c r="P6" i="4"/>
  <c r="P10" i="4"/>
  <c r="P12" i="4"/>
  <c r="P9" i="4"/>
  <c r="O7" i="8"/>
  <c r="O5" i="8"/>
  <c r="H5" i="5"/>
  <c r="R4" i="8"/>
  <c r="G7" i="5"/>
  <c r="S4" i="8"/>
  <c r="R5" i="8"/>
  <c r="O13" i="8"/>
  <c r="O4" i="8"/>
  <c r="O6" i="8"/>
  <c r="P5" i="8"/>
  <c r="P7" i="8"/>
  <c r="P11" i="8"/>
  <c r="P12" i="8"/>
  <c r="P10" i="8"/>
  <c r="P9" i="8"/>
  <c r="P8" i="8"/>
  <c r="M15" i="8"/>
  <c r="N15" i="8"/>
  <c r="H15" i="8"/>
  <c r="G15" i="8"/>
  <c r="D15" i="8"/>
  <c r="E15" i="8"/>
  <c r="E16" i="8"/>
  <c r="F15" i="8"/>
  <c r="F16" i="8"/>
  <c r="C15" i="8"/>
  <c r="I15" i="8"/>
  <c r="I16" i="8"/>
  <c r="K15" i="8"/>
  <c r="L15" i="8"/>
  <c r="J15" i="8"/>
  <c r="J16" i="8"/>
  <c r="P6" i="8"/>
  <c r="M16" i="8"/>
  <c r="L16" i="8"/>
  <c r="K16" i="8"/>
  <c r="D16" i="8"/>
  <c r="G16" i="8"/>
  <c r="H16" i="8"/>
  <c r="N16" i="8"/>
  <c r="E31" i="4" l="1"/>
  <c r="H28" i="4"/>
  <c r="D28" i="4"/>
  <c r="E38" i="27"/>
  <c r="E39" i="27" s="1"/>
  <c r="I38" i="27"/>
  <c r="I39" i="27" s="1"/>
  <c r="M38" i="27"/>
  <c r="M39" i="27" s="1"/>
  <c r="H35" i="27"/>
  <c r="E31" i="27"/>
  <c r="E32" i="27" s="1"/>
  <c r="L31" i="27"/>
  <c r="L32" i="27" s="1"/>
  <c r="L35" i="27"/>
  <c r="H7" i="5"/>
  <c r="F7" i="5"/>
  <c r="C4" i="5"/>
  <c r="C5" i="5" s="1"/>
  <c r="E7" i="5"/>
  <c r="K7" i="5"/>
  <c r="B7" i="5"/>
  <c r="K4" i="5"/>
  <c r="K5" i="5" s="1"/>
  <c r="J7" i="5"/>
  <c r="I7" i="5"/>
  <c r="D29" i="4"/>
  <c r="O29" i="4"/>
  <c r="M28" i="4"/>
  <c r="M29" i="4" s="1"/>
  <c r="L4" i="5"/>
  <c r="L5" i="5" s="1"/>
  <c r="J28" i="4"/>
  <c r="Q41" i="4"/>
  <c r="P41" i="4"/>
  <c r="I28" i="4"/>
  <c r="I29" i="4" s="1"/>
  <c r="G28" i="4"/>
  <c r="G29" i="4" s="1"/>
  <c r="F28" i="4"/>
  <c r="F29" i="4" s="1"/>
  <c r="G31" i="4"/>
  <c r="F31" i="4"/>
  <c r="M4" i="5"/>
  <c r="M5" i="5" s="1"/>
  <c r="K28" i="4"/>
  <c r="D44" i="4"/>
  <c r="B3" i="5" s="1"/>
  <c r="M8" i="5" s="1"/>
  <c r="P27" i="4"/>
  <c r="E28" i="4"/>
  <c r="N28" i="4"/>
  <c r="N29" i="4" s="1"/>
  <c r="L28" i="4"/>
  <c r="B4" i="5"/>
  <c r="J9" i="5" s="1"/>
  <c r="J8" i="5"/>
  <c r="K8" i="5"/>
  <c r="N3" i="5"/>
  <c r="D8" i="5"/>
  <c r="F8" i="5"/>
  <c r="C8" i="5"/>
  <c r="G8" i="5"/>
  <c r="L8" i="5"/>
  <c r="H8" i="5"/>
  <c r="I8" i="5"/>
  <c r="Q40" i="4"/>
  <c r="Q44" i="4" s="1"/>
  <c r="L29" i="4"/>
  <c r="K29" i="4"/>
  <c r="P40" i="4"/>
  <c r="J29" i="4"/>
  <c r="H29" i="4"/>
  <c r="E29" i="4"/>
  <c r="P11" i="23"/>
  <c r="P12" i="23" s="1"/>
  <c r="S10" i="23"/>
  <c r="Q10" i="23"/>
  <c r="R10" i="23" s="1"/>
  <c r="E20" i="4"/>
  <c r="K18" i="4"/>
  <c r="J18" i="4"/>
  <c r="P51" i="4"/>
  <c r="D21" i="21" s="1"/>
  <c r="E21" i="21" s="1"/>
  <c r="F21" i="21" s="1"/>
  <c r="Q55" i="4"/>
  <c r="Q54" i="4"/>
  <c r="E6" i="21"/>
  <c r="K19" i="4"/>
  <c r="H18" i="4"/>
  <c r="Q53" i="4"/>
  <c r="I56" i="4"/>
  <c r="L20" i="4"/>
  <c r="H19" i="4"/>
  <c r="E18" i="4"/>
  <c r="Q14" i="4"/>
  <c r="Q48" i="4"/>
  <c r="Q56" i="4" s="1"/>
  <c r="D76" i="4" s="1"/>
  <c r="P48" i="4"/>
  <c r="D18" i="21" s="1"/>
  <c r="E18" i="21" s="1"/>
  <c r="F18" i="21" s="1"/>
  <c r="P14" i="4"/>
  <c r="P53" i="4"/>
  <c r="D23" i="21" s="1"/>
  <c r="E23" i="21" s="1"/>
  <c r="F23" i="21" s="1"/>
  <c r="D56" i="4"/>
  <c r="G15" i="4"/>
  <c r="D15" i="4"/>
  <c r="E57" i="4"/>
  <c r="F57" i="4"/>
  <c r="D77" i="4"/>
  <c r="G57" i="4"/>
  <c r="H57" i="4"/>
  <c r="M57" i="4"/>
  <c r="K57" i="4"/>
  <c r="L57" i="4"/>
  <c r="D57" i="4"/>
  <c r="N57" i="4"/>
  <c r="M15" i="4"/>
  <c r="M16" i="4" s="1"/>
  <c r="D19" i="4"/>
  <c r="L15" i="4"/>
  <c r="K15" i="4"/>
  <c r="D20" i="4"/>
  <c r="J15" i="4"/>
  <c r="I15" i="4"/>
  <c r="O16" i="4"/>
  <c r="H15" i="4"/>
  <c r="H16" i="4" s="1"/>
  <c r="N15" i="4"/>
  <c r="F15" i="4"/>
  <c r="F16" i="4" s="1"/>
  <c r="I39" i="19"/>
  <c r="L7" i="5"/>
  <c r="K9" i="23"/>
  <c r="L9" i="23" s="1"/>
  <c r="D9" i="23"/>
  <c r="J9" i="23" s="1"/>
  <c r="M9" i="23" s="1"/>
  <c r="W8" i="28"/>
  <c r="H9" i="5"/>
  <c r="Q11" i="23"/>
  <c r="R11" i="23" s="1"/>
  <c r="W9" i="28"/>
  <c r="G9" i="5"/>
  <c r="N2" i="5"/>
  <c r="P10" i="28"/>
  <c r="N4" i="5"/>
  <c r="W10" i="28"/>
  <c r="M7" i="5"/>
  <c r="I38" i="19"/>
  <c r="I37" i="19"/>
  <c r="I36" i="19"/>
  <c r="I35" i="19"/>
  <c r="B8" i="5" l="1"/>
  <c r="P44" i="4"/>
  <c r="K9" i="5"/>
  <c r="M9" i="5"/>
  <c r="M12" i="5" s="1"/>
  <c r="I9" i="5"/>
  <c r="I10" i="5" s="1"/>
  <c r="E8" i="5"/>
  <c r="L9" i="5"/>
  <c r="L12" i="5" s="1"/>
  <c r="B5" i="5"/>
  <c r="C9" i="5"/>
  <c r="C10" i="5" s="1"/>
  <c r="D9" i="5"/>
  <c r="D10" i="5" s="1"/>
  <c r="E9" i="5"/>
  <c r="E10" i="5" s="1"/>
  <c r="F9" i="5"/>
  <c r="F10" i="5" s="1"/>
  <c r="B9" i="5"/>
  <c r="E13" i="21"/>
  <c r="F13" i="21" s="1"/>
  <c r="F6" i="21"/>
  <c r="D26" i="21"/>
  <c r="E26" i="21"/>
  <c r="F26" i="21" s="1"/>
  <c r="D78" i="4"/>
  <c r="N16" i="4"/>
  <c r="P56" i="4"/>
  <c r="D10" i="23" s="1"/>
  <c r="S11" i="23"/>
  <c r="J57" i="4"/>
  <c r="K16" i="4"/>
  <c r="I57" i="4"/>
  <c r="L16" i="4"/>
  <c r="G16" i="4"/>
  <c r="K10" i="23"/>
  <c r="L10" i="23" s="1"/>
  <c r="M10" i="23"/>
  <c r="I16" i="4"/>
  <c r="D16" i="4"/>
  <c r="J16" i="4"/>
  <c r="E16" i="4"/>
  <c r="N5" i="5"/>
  <c r="J10" i="5"/>
  <c r="H10" i="5"/>
  <c r="H12" i="5"/>
  <c r="G10" i="5"/>
  <c r="G12" i="5"/>
  <c r="L10" i="5"/>
  <c r="C12" i="5"/>
  <c r="E9" i="23"/>
  <c r="F9" i="23" s="1"/>
  <c r="G9" i="23"/>
  <c r="D12" i="5"/>
  <c r="E12" i="5"/>
  <c r="J12" i="5" l="1"/>
  <c r="F12" i="5"/>
  <c r="I12" i="5"/>
  <c r="K12" i="5"/>
  <c r="K10" i="5"/>
  <c r="B10" i="5"/>
  <c r="B12" i="5"/>
  <c r="S12" i="23"/>
  <c r="Q12" i="23"/>
  <c r="R12" i="23" s="1"/>
  <c r="E10" i="23"/>
  <c r="F10" i="23" s="1"/>
  <c r="G10" i="23"/>
  <c r="M11" i="23"/>
  <c r="K11" i="23"/>
  <c r="L11" i="23" s="1"/>
  <c r="G11" i="23"/>
  <c r="E11" i="23"/>
  <c r="F11" i="23" s="1"/>
  <c r="K12" i="23" l="1"/>
  <c r="L12" i="23" s="1"/>
  <c r="M12" i="23"/>
  <c r="E12" i="23"/>
  <c r="F12" i="23" s="1"/>
  <c r="G12" i="23"/>
  <c r="E6" i="23" l="1"/>
  <c r="F6" i="23" s="1"/>
  <c r="J6" i="23"/>
  <c r="M6" i="23" s="1"/>
  <c r="G6" i="23"/>
  <c r="K6" i="23" l="1"/>
  <c r="L6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tc={201FB519-B5F7-4578-BB18-E6AD8AE4A359}</author>
    <author>tc={B8F6D405-B7E5-4530-8213-479D2F583BAB}</author>
    <author>tc={636D4596-81A0-4A82-9417-017259A951DC}</author>
    <author>tc={3649777D-B064-4002-B479-E36D5D57455D}</author>
    <author>tc={D886C681-BE47-462A-8597-11489B43C5E3}</author>
    <author>tc={C5B4D0DC-AEC7-4D68-8F6F-AE46A5D2CFE7}</author>
    <author>tc={FD24D0A3-17B9-4F0A-B391-C4FACA2A792F}</author>
  </authors>
  <commentList>
    <comment ref="O24" authorId="0" shapeId="0" xr:uid="{201FB519-B5F7-4578-BB18-E6AD8AE4A3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proyección ajustada arriba se carga a Chile como unidad generadora del gasto</t>
      </text>
    </comment>
    <comment ref="C43" authorId="1" shapeId="0" xr:uid="{B8F6D405-B7E5-4530-8213-479D2F583B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gasto de EEUU para efecto de proyección fue agregado de manera manual</t>
      </text>
    </comment>
    <comment ref="O43" authorId="2" shapeId="0" xr:uid="{636D4596-81A0-4A82-9417-017259A951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Gastos según cartola Karina Barrera
Respuesta:
    No considera traspasos a BVI</t>
      </text>
    </comment>
    <comment ref="C48" authorId="3" shapeId="0" xr:uid="{3649777D-B064-4002-B479-E36D5D57455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incluyen los pagos de AS, PV anteriormente considerados como externos + gastos de EEUU</t>
      </text>
    </comment>
    <comment ref="C49" authorId="4" shapeId="0" xr:uid="{D886C681-BE47-462A-8597-11489B43C5E3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Asume los gastos anteriormente clasificados como externos fijos y variables </t>
      </text>
    </comment>
    <comment ref="C50" authorId="5" shapeId="0" xr:uid="{C5B4D0DC-AEC7-4D68-8F6F-AE46A5D2CFE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Agrupa todas las demás categorías de clasificación </t>
      </text>
    </comment>
    <comment ref="C51" authorId="6" shapeId="0" xr:uid="{FD24D0A3-17B9-4F0A-B391-C4FACA2A79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Solo considera los adicionales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tc={5C2D5E61-B9B9-4FD9-A22B-8A97E72945E3}</author>
    <author>tc={CF1CEB0E-444F-4530-85E0-DBEE6C296BBE}</author>
  </authors>
  <commentList>
    <comment ref="Q122" authorId="0" shapeId="0" xr:uid="{5C2D5E61-B9B9-4FD9-A22B-8A97E72945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Antonio + Pato</t>
      </text>
    </comment>
    <comment ref="Q124" authorId="1" shapeId="0" xr:uid="{CF1CEB0E-444F-4530-85E0-DBEE6C296BB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Mano obra pagada en EEUU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tc={9587766C-F96B-49C6-A654-798AD42C762F}</author>
    <author>tc={2D0F0138-E7CB-48FB-8569-535BA504E12B}</author>
    <author>tc={5CBF427D-D7D9-4338-BFE6-A63759294DC5}</author>
  </authors>
  <commentList>
    <comment ref="O24" authorId="0" shapeId="0" xr:uid="{9587766C-F96B-49C6-A654-798AD42C76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proyección ajustada arriba se carga a Chile como unidad generadora del gasto</t>
      </text>
    </comment>
    <comment ref="C43" authorId="1" shapeId="0" xr:uid="{2D0F0138-E7CB-48FB-8569-535BA504E12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gasto de EEUU para efecto de proyección fue agregado de manera manual</t>
      </text>
    </comment>
    <comment ref="O43" authorId="2" shapeId="0" xr:uid="{5CBF427D-D7D9-4338-BFE6-A63759294D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Gastos según cartola Karina Barrera
Respuesta:
    No considera traspasos a BVI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tc={3003F1D0-325F-441B-AF3B-978EAD7041A5}</author>
  </authors>
  <commentList>
    <comment ref="AW8" authorId="0" shapeId="0" xr:uid="{3003F1D0-325F-441B-AF3B-978EAD7041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Falta Mateo Villanueva
Respuesta:
    PV
GD
Respuesta:
    CV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AC858E-7D58-417A-B4F6-A1E61670BA3F}" keepAlive="1" name="Consulta - Gasto Consolidado" description="Conexión a la consulta 'Gasto Consolidado' en el libro." type="5" refreshedVersion="0" background="1">
    <dbPr connection="Provider=Microsoft.Mashup.OleDb.1;Data Source=$Workbook$;Location=&quot;Gasto Consolidado&quot;;Extended Properties=&quot;&quot;" command="SELECT * FROM [Gasto Consolidado]"/>
  </connection>
  <connection id="2" xr16:uid="{081D88C3-E355-4214-BF0A-3F01C12EC29B}" keepAlive="1" name="Consulta - Gasto Consolidado (2)" description="Conexión a la consulta 'Gasto Consolidado (2)' en el libro." type="5" refreshedVersion="0" background="1">
    <dbPr connection="Provider=Microsoft.Mashup.OleDb.1;Data Source=$Workbook$;Location=&quot;Gasto Consolidado (2)&quot;;Extended Properties=&quot;&quot;" command="SELECT * FROM [Gasto Consolidado (2)]"/>
  </connection>
  <connection id="3" xr16:uid="{F2C155AD-E612-42FB-A414-1AE90B2078F8}" keepAlive="1" name="Consulta - Gasto Consolidado (3)" description="Conexión a la consulta 'Gasto Consolidado (3)' en el libro." type="5" refreshedVersion="0" background="1">
    <dbPr connection="Provider=Microsoft.Mashup.OleDb.1;Data Source=$Workbook$;Location=&quot;Gasto Consolidado (3)&quot;;Extended Properties=&quot;&quot;" command="SELECT * FROM [Gasto Consolidado (3)]"/>
  </connection>
  <connection id="4" xr16:uid="{41BA9E78-1701-4A28-8AD9-76D87D1C8CC9}" keepAlive="1" name="Consulta - Gasto Consolidado (4)" description="Conexión a la consulta 'Gasto Consolidado (4)' en el libro." type="5" refreshedVersion="0" background="1">
    <dbPr connection="Provider=Microsoft.Mashup.OleDb.1;Data Source=$Workbook$;Location=&quot;Gasto Consolidado (4)&quot;;Extended Properties=&quot;&quot;" command="SELECT * FROM [Gasto Consolidado (4)]"/>
  </connection>
  <connection id="5" xr16:uid="{DE6618E5-9030-4157-973B-4A13F0304843}" keepAlive="1" name="Consulta - Gasto Consolidado (5)" description="Conexión a la consulta 'Gasto Consolidado (5)' en el libro." type="5" refreshedVersion="0" background="1">
    <dbPr connection="Provider=Microsoft.Mashup.OleDb.1;Data Source=$Workbook$;Location=&quot;Gasto Consolidado (5)&quot;;Extended Properties=&quot;&quot;" command="SELECT * FROM [Gasto Consolidado (5)]"/>
  </connection>
  <connection id="6" xr16:uid="{FD0A7F96-CCC5-46C9-A26A-8E950E620B7B}" keepAlive="1" name="Consulta - Gasto Consolidado (6)" description="Conexión a la consulta 'Gasto Consolidado (6)' en el libro." type="5" refreshedVersion="0" background="1">
    <dbPr connection="Provider=Microsoft.Mashup.OleDb.1;Data Source=$Workbook$;Location=&quot;Gasto Consolidado (6)&quot;;Extended Properties=&quot;&quot;" command="SELECT * FROM [Gasto Consolidado (6)]"/>
  </connection>
  <connection id="7" xr16:uid="{5A95F2A9-815F-4FA9-8A94-2F1941ED6F8B}" keepAlive="1" name="Consulta - Gasto Consolidado (7)" description="Conexión a la consulta 'Gasto Consolidado (7)' en el libro." type="5" refreshedVersion="0" background="1">
    <dbPr connection="Provider=Microsoft.Mashup.OleDb.1;Data Source=$Workbook$;Location=&quot;Gasto Consolidado (7)&quot;;Extended Properties=&quot;&quot;" command="SELECT * FROM [Gasto Consolidado (7)]"/>
  </connection>
  <connection id="8" xr16:uid="{69385F91-77D7-499F-8F83-E6599CA6DB34}" keepAlive="1" name="Consulta - Gasto Consolidado (8)" description="Conexión a la consulta 'Gasto Consolidado (8)' en el libro." type="5" refreshedVersion="0" background="1">
    <dbPr connection="Provider=Microsoft.Mashup.OleDb.1;Data Source=$Workbook$;Location=&quot;Gasto Consolidado (8)&quot;;Extended Properties=&quot;&quot;" command="SELECT * FROM [Gasto Consolidado (8)]"/>
  </connection>
  <connection id="9" xr16:uid="{93F2B813-20FF-40A6-B436-B39C908E0095}" keepAlive="1" name="Consulta - Gasto Consolidado (9)" description="Conexión a la consulta 'Gasto Consolidado (9)' en el libro." type="5" refreshedVersion="0" background="1">
    <dbPr connection="Provider=Microsoft.Mashup.OleDb.1;Data Source=$Workbook$;Location=&quot;Gasto Consolidado (9)&quot;;Extended Properties=&quot;&quot;" command="SELECT * FROM [Gasto Consolidado (9)]"/>
  </connection>
  <connection id="10" xr16:uid="{A3F34F3A-5527-4CFF-A5AA-D3061891EA36}" keepAlive="1" name="Consulta - Gasto Nombre Teams (10)" description="Conexión a la consulta 'Gasto Nombre Teams (10)' en el libro." type="5" refreshedVersion="8" background="1">
    <dbPr connection="Provider=Microsoft.Mashup.OleDb.1;Data Source=$Workbook$;Location=&quot;Gasto Nombre Teams (10)&quot;;Extended Properties=&quot;&quot;" command="SELECT * FROM [Gasto Nombre Teams (10)]"/>
  </connection>
  <connection id="11" xr16:uid="{A3F34F3A-5527-4CFF-A5AA-D3061891EA36}" keepAlive="1" name="Consulta - Gasto Nombre Teams (3)" description="Conexión a la consulta 'Gasto Nombre Teams (3)' en el libro." type="5" refreshedVersion="8" background="1">
    <dbPr connection="Provider=Microsoft.Mashup.OleDb.1;Data Source=$Workbook$;Location=&quot;Gasto Nombre Teams (3)&quot;;Extended Properties=&quot;&quot;" command="SELECT * FROM [Gasto Nombre Teams (3)]"/>
  </connection>
  <connection id="12" xr16:uid="{A3F34F3A-5527-4CFF-A5AA-D3061891EA36}" keepAlive="1" name="Consulta - Gasto Nombre Teams (4)" description="Conexión a la consulta 'Gasto Nombre Teams (4)' en el libro." type="5" refreshedVersion="8" background="1">
    <dbPr connection="Provider=Microsoft.Mashup.OleDb.1;Data Source=$Workbook$;Location=&quot;Gasto Nombre Teams (4)&quot;;Extended Properties=&quot;&quot;" command="SELECT * FROM [Gasto Nombre Teams (4)]"/>
  </connection>
  <connection id="13" xr16:uid="{A3F34F3A-5527-4CFF-A5AA-D3061891EA36}" keepAlive="1" name="Consulta - Gasto Nombre Teams (5)" description="Conexión a la consulta 'Gasto Nombre Teams (5)' en el libro." type="5" refreshedVersion="8" background="1">
    <dbPr connection="Provider=Microsoft.Mashup.OleDb.1;Data Source=$Workbook$;Location=&quot;Gasto Nombre Teams (5)&quot;;Extended Properties=&quot;&quot;" command="SELECT * FROM [Gasto Nombre Teams (5)]"/>
  </connection>
  <connection id="14" xr16:uid="{A3F34F3A-5527-4CFF-A5AA-D3061891EA36}" keepAlive="1" name="Consulta - Gasto Nombre Teams (6)" description="Conexión a la consulta 'Gasto Nombre Teams (6)' en el libro." type="5" refreshedVersion="8" background="1">
    <dbPr connection="Provider=Microsoft.Mashup.OleDb.1;Data Source=$Workbook$;Location=&quot;Gasto Nombre Teams (6)&quot;;Extended Properties=&quot;&quot;" command="SELECT * FROM [Gasto Nombre Teams (6)]"/>
  </connection>
  <connection id="15" xr16:uid="{A3F34F3A-5527-4CFF-A5AA-D3061891EA36}" keepAlive="1" name="Consulta - Gasto Nombre Teams (7)" description="Conexión a la consulta 'Gasto Nombre Teams (7)' en el libro." type="5" refreshedVersion="8" background="1">
    <dbPr connection="Provider=Microsoft.Mashup.OleDb.1;Data Source=$Workbook$;Location=&quot;Gasto Nombre Teams (7)&quot;;Extended Properties=&quot;&quot;" command="SELECT * FROM [Gasto Nombre Teams (7)]"/>
  </connection>
  <connection id="16" xr16:uid="{A3F34F3A-5527-4CFF-A5AA-D3061891EA36}" keepAlive="1" name="Consulta - Gasto Nombre Teams (8)" description="Conexión a la consulta 'Gasto Nombre Teams (8)' en el libro." type="5" refreshedVersion="8" background="1">
    <dbPr connection="Provider=Microsoft.Mashup.OleDb.1;Data Source=$Workbook$;Location=&quot;Gasto Nombre Teams (8)&quot;;Extended Properties=&quot;&quot;" command="SELECT * FROM [Gasto Nombre Teams (8)]"/>
  </connection>
  <connection id="17" xr16:uid="{A3F34F3A-5527-4CFF-A5AA-D3061891EA36}" keepAlive="1" name="Consulta - Gasto Nombre Teams (9)" description="Conexión a la consulta 'Gasto Nombre Teams (9)' en el libro." type="5" refreshedVersion="8" background="1">
    <dbPr connection="Provider=Microsoft.Mashup.OleDb.1;Data Source=$Workbook$;Location=&quot;Gasto Nombre Teams (9)&quot;;Extended Properties=&quot;&quot;" command="SELECT * FROM [Gasto Nombre Teams (9)]"/>
  </connection>
  <connection id="18" xr16:uid="{54B459B5-924A-4BA4-B525-80BA27D83424}" keepAlive="1" name="Consulta - Gastos BRASIL" description="Conexión a la consulta 'Gastos BRASIL' en el libro." type="5" refreshedVersion="0" background="1">
    <dbPr connection="Provider=Microsoft.Mashup.OleDb.1;Data Source=$Workbook$;Location=&quot;Gastos BRASIL&quot;;Extended Properties=&quot;&quot;" command="SELECT * FROM [Gastos BRASIL]"/>
  </connection>
  <connection id="19" xr16:uid="{BD6AD641-305F-4090-B17D-EEC0E2A5AF77}" keepAlive="1" name="Consulta - Gastos BRASIL (2)" description="Conexión a la consulta 'Gastos BRASIL (2)' en el libro." type="5" refreshedVersion="0" background="1">
    <dbPr connection="Provider=Microsoft.Mashup.OleDb.1;Data Source=$Workbook$;Location=&quot;Gastos BRASIL (2)&quot;;Extended Properties=&quot;&quot;" command="SELECT * FROM [Gastos BRASIL (2)]"/>
  </connection>
  <connection id="20" xr16:uid="{95285CFA-8BDC-49E7-B63A-D8808CA4F909}" keepAlive="1" name="Consulta - Gastos BRASIL (3)" description="Conexión a la consulta 'Gastos BRASIL (3)' en el libro." type="5" refreshedVersion="0" background="1">
    <dbPr connection="Provider=Microsoft.Mashup.OleDb.1;Data Source=$Workbook$;Location=&quot;Gastos BRASIL (3)&quot;;Extended Properties=&quot;&quot;" command="SELECT * FROM [Gastos BRASIL (3)]"/>
  </connection>
  <connection id="21" xr16:uid="{0D85B50B-25CB-4483-8665-349DE835519C}" keepAlive="1" name="Consulta - Gastos BRASIL (4)" description="Conexión a la consulta 'Gastos BRASIL (4)' en el libro." type="5" refreshedVersion="0" background="1">
    <dbPr connection="Provider=Microsoft.Mashup.OleDb.1;Data Source=$Workbook$;Location=&quot;Gastos BRASIL (4)&quot;;Extended Properties=&quot;&quot;" command="SELECT * FROM [Gastos BRASIL (4)]"/>
  </connection>
  <connection id="22" xr16:uid="{210CBC10-7B0E-48AB-970F-B38D5F929846}" keepAlive="1" name="Consulta - Gastos BRASIL (5)" description="Conexión a la consulta 'Gastos BRASIL (5)' en el libro." type="5" refreshedVersion="0" background="1">
    <dbPr connection="Provider=Microsoft.Mashup.OleDb.1;Data Source=$Workbook$;Location=&quot;Gastos BRASIL (5)&quot;;Extended Properties=&quot;&quot;" command="SELECT * FROM [Gastos BRASIL (5)]"/>
  </connection>
  <connection id="23" xr16:uid="{1316793F-52CF-41C7-9B3F-54F2EE632126}" keepAlive="1" name="Consulta - Gastos BRASIL (6)" description="Conexión a la consulta 'Gastos BRASIL (6)' en el libro." type="5" refreshedVersion="0" background="1">
    <dbPr connection="Provider=Microsoft.Mashup.OleDb.1;Data Source=$Workbook$;Location=&quot;Gastos BRASIL (6)&quot;;Extended Properties=&quot;&quot;" command="SELECT * FROM [Gastos BRASIL (6)]"/>
  </connection>
  <connection id="24" xr16:uid="{955F9AD7-6933-4000-AF0F-269F53C1982F}" keepAlive="1" name="Consulta - Gastos BRASIL (7)" description="Conexión a la consulta 'Gastos BRASIL (7)' en el libro." type="5" refreshedVersion="0" background="1">
    <dbPr connection="Provider=Microsoft.Mashup.OleDb.1;Data Source=$Workbook$;Location=&quot;Gastos BRASIL (7)&quot;;Extended Properties=&quot;&quot;" command="SELECT * FROM [Gastos BRASIL (7)]"/>
  </connection>
  <connection id="25" xr16:uid="{A31C321F-A22E-445B-AF02-9BEE38F74780}" keepAlive="1" name="Consulta - Gastos BRASIL (8)" description="Conexión a la consulta 'Gastos BRASIL (8)' en el libro." type="5" refreshedVersion="0" background="1">
    <dbPr connection="Provider=Microsoft.Mashup.OleDb.1;Data Source=$Workbook$;Location=&quot;Gastos BRASIL (8)&quot;;Extended Properties=&quot;&quot;" command="SELECT * FROM [Gastos BRASIL (8)]"/>
  </connection>
  <connection id="26" xr16:uid="{83AD90F4-B2BF-4688-8569-F5D6C90B1344}" keepAlive="1" name="Consulta - Gastos BRASIL (9)" description="Conexión a la consulta 'Gastos BRASIL (9)' en el libro." type="5" refreshedVersion="0" background="1">
    <dbPr connection="Provider=Microsoft.Mashup.OleDb.1;Data Source=$Workbook$;Location=&quot;Gastos BRASIL (9)&quot;;Extended Properties=&quot;&quot;" command="SELECT * FROM [Gastos BRASIL (9)]"/>
  </connection>
  <connection id="27" xr16:uid="{2941B0EE-5CD1-46F4-9079-9F3F7421D760}" keepAlive="1" name="Consulta - Gastos CHILE" description="Conexión a la consulta 'Gastos CHILE' en el libro." type="5" refreshedVersion="0" background="1">
    <dbPr connection="Provider=Microsoft.Mashup.OleDb.1;Data Source=$Workbook$;Location=&quot;Gastos CHILE&quot;;Extended Properties=&quot;&quot;" command="SELECT * FROM [Gastos CHILE]"/>
  </connection>
  <connection id="28" xr16:uid="{6E497E7D-6E77-496E-9628-E8D8C1C69CCA}" keepAlive="1" name="Consulta - Gastos CHILE (2)" description="Conexión a la consulta 'Gastos CHILE (2)' en el libro." type="5" refreshedVersion="0" background="1">
    <dbPr connection="Provider=Microsoft.Mashup.OleDb.1;Data Source=$Workbook$;Location=&quot;Gastos CHILE (2)&quot;;Extended Properties=&quot;&quot;" command="SELECT * FROM [Gastos CHILE (2)]"/>
  </connection>
  <connection id="29" xr16:uid="{6FF1DC42-9677-4EAA-A877-4D75A591248A}" keepAlive="1" name="Consulta - Gastos CHILE (3)" description="Conexión a la consulta 'Gastos CHILE (3)' en el libro." type="5" refreshedVersion="0" background="1">
    <dbPr connection="Provider=Microsoft.Mashup.OleDb.1;Data Source=$Workbook$;Location=&quot;Gastos CHILE (3)&quot;;Extended Properties=&quot;&quot;" command="SELECT * FROM [Gastos CHILE (3)]"/>
  </connection>
  <connection id="30" xr16:uid="{333DCCCB-1CC2-48F4-B7C8-2F6BCA145A95}" keepAlive="1" name="Consulta - Gastos CHILE (4)" description="Conexión a la consulta 'Gastos CHILE (4)' en el libro." type="5" refreshedVersion="0" background="1">
    <dbPr connection="Provider=Microsoft.Mashup.OleDb.1;Data Source=$Workbook$;Location=&quot;Gastos CHILE (4)&quot;;Extended Properties=&quot;&quot;" command="SELECT * FROM [Gastos CHILE (4)]"/>
  </connection>
  <connection id="31" xr16:uid="{9938C596-89F4-41AB-B2D5-89417ABC1FDB}" keepAlive="1" name="Consulta - Gastos CHILE (5)" description="Conexión a la consulta 'Gastos CHILE (5)' en el libro." type="5" refreshedVersion="0" background="1">
    <dbPr connection="Provider=Microsoft.Mashup.OleDb.1;Data Source=$Workbook$;Location=&quot;Gastos CHILE (5)&quot;;Extended Properties=&quot;&quot;" command="SELECT * FROM [Gastos CHILE (5)]"/>
  </connection>
  <connection id="32" xr16:uid="{FB3AEEBC-AC5A-48C4-98D7-5D16D939BC71}" keepAlive="1" name="Consulta - Gastos CHILE (6)" description="Conexión a la consulta 'Gastos CHILE (6)' en el libro." type="5" refreshedVersion="0" background="1">
    <dbPr connection="Provider=Microsoft.Mashup.OleDb.1;Data Source=$Workbook$;Location=&quot;Gastos CHILE (6)&quot;;Extended Properties=&quot;&quot;" command="SELECT * FROM [Gastos CHILE (6)]"/>
  </connection>
  <connection id="33" xr16:uid="{901E40BE-70A4-454E-8788-FF38407A5D4A}" keepAlive="1" name="Consulta - Gastos CHILE (7)" description="Conexión a la consulta 'Gastos CHILE (7)' en el libro." type="5" refreshedVersion="0" background="1">
    <dbPr connection="Provider=Microsoft.Mashup.OleDb.1;Data Source=$Workbook$;Location=&quot;Gastos CHILE (7)&quot;;Extended Properties=&quot;&quot;" command="SELECT * FROM [Gastos CHILE (7)]"/>
  </connection>
  <connection id="34" xr16:uid="{358D29AD-1021-4DB1-B290-AE1BC38CEC03}" keepAlive="1" name="Consulta - Gastos CHILE (8)" description="Conexión a la consulta 'Gastos CHILE (8)' en el libro." type="5" refreshedVersion="0" background="1">
    <dbPr connection="Provider=Microsoft.Mashup.OleDb.1;Data Source=$Workbook$;Location=&quot;Gastos CHILE (8)&quot;;Extended Properties=&quot;&quot;" command="SELECT * FROM [Gastos CHILE (8)]"/>
  </connection>
  <connection id="35" xr16:uid="{D5BD5A86-F12A-482D-AC7A-F0591F30DF59}" keepAlive="1" name="Consulta - Gastos CHILE (9)" description="Conexión a la consulta 'Gastos CHILE (9)' en el libro." type="5" refreshedVersion="0" background="1">
    <dbPr connection="Provider=Microsoft.Mashup.OleDb.1;Data Source=$Workbook$;Location=&quot;Gastos CHILE (9)&quot;;Extended Properties=&quot;&quot;" command="SELECT * FROM [Gastos CHILE (9)]"/>
  </connection>
  <connection id="36" xr16:uid="{E710BCEA-B9B8-489A-83FE-713856BD611B}" keepAlive="1" name="Consulta - Gastos PERÚ" description="Conexión a la consulta 'Gastos PERÚ' en el libro." type="5" refreshedVersion="0" background="1">
    <dbPr connection="Provider=Microsoft.Mashup.OleDb.1;Data Source=$Workbook$;Location=&quot;Gastos PERÚ&quot;;Extended Properties=&quot;&quot;" command="SELECT * FROM [Gastos PERÚ]"/>
  </connection>
  <connection id="37" xr16:uid="{21696755-37F2-43B1-82D6-11F0351C74CF}" keepAlive="1" name="Consulta - Gastos PERÚ (2)" description="Conexión a la consulta 'Gastos PERÚ (2)' en el libro." type="5" refreshedVersion="0" background="1">
    <dbPr connection="Provider=Microsoft.Mashup.OleDb.1;Data Source=$Workbook$;Location=&quot;Gastos PERÚ (2)&quot;;Extended Properties=&quot;&quot;" command="SELECT * FROM [Gastos PERÚ (2)]"/>
  </connection>
  <connection id="38" xr16:uid="{BFE86EAB-35B5-47C7-9047-4581D5008F40}" keepAlive="1" name="Consulta - Gastos PERÚ (3)" description="Conexión a la consulta 'Gastos PERÚ (3)' en el libro." type="5" refreshedVersion="0" background="1">
    <dbPr connection="Provider=Microsoft.Mashup.OleDb.1;Data Source=$Workbook$;Location=&quot;Gastos PERÚ (3)&quot;;Extended Properties=&quot;&quot;" command="SELECT * FROM [Gastos PERÚ (3)]"/>
  </connection>
  <connection id="39" xr16:uid="{635212B9-98F2-402C-9236-736231D3F9EC}" keepAlive="1" name="Consulta - Gastos PERÚ (4)" description="Conexión a la consulta 'Gastos PERÚ (4)' en el libro." type="5" refreshedVersion="0" background="1">
    <dbPr connection="Provider=Microsoft.Mashup.OleDb.1;Data Source=$Workbook$;Location=&quot;Gastos PERÚ (4)&quot;;Extended Properties=&quot;&quot;" command="SELECT * FROM [Gastos PERÚ (4)]"/>
  </connection>
  <connection id="40" xr16:uid="{CCB5C0B3-73E1-4AED-BE48-51956EB291C1}" keepAlive="1" name="Consulta - Gastos PERÚ (5)" description="Conexión a la consulta 'Gastos PERÚ (5)' en el libro." type="5" refreshedVersion="0" background="1">
    <dbPr connection="Provider=Microsoft.Mashup.OleDb.1;Data Source=$Workbook$;Location=&quot;Gastos PERÚ (5)&quot;;Extended Properties=&quot;&quot;" command="SELECT * FROM [Gastos PERÚ (5)]"/>
  </connection>
  <connection id="41" xr16:uid="{7F928538-EE9C-41C5-ACAA-83E8026C3A28}" keepAlive="1" name="Consulta - Gastos PERÚ (6)" description="Conexión a la consulta 'Gastos PERÚ (6)' en el libro." type="5" refreshedVersion="0" background="1">
    <dbPr connection="Provider=Microsoft.Mashup.OleDb.1;Data Source=$Workbook$;Location=&quot;Gastos PERÚ (6)&quot;;Extended Properties=&quot;&quot;" command="SELECT * FROM [Gastos PERÚ (6)]"/>
  </connection>
  <connection id="42" xr16:uid="{FC26AFF3-E64B-4C20-902F-36E4D4FEA687}" keepAlive="1" name="Consulta - Gastos PERÚ (7)" description="Conexión a la consulta 'Gastos PERÚ (7)' en el libro." type="5" refreshedVersion="0" background="1">
    <dbPr connection="Provider=Microsoft.Mashup.OleDb.1;Data Source=$Workbook$;Location=&quot;Gastos PERÚ (7)&quot;;Extended Properties=&quot;&quot;" command="SELECT * FROM [Gastos PERÚ (7)]"/>
  </connection>
  <connection id="43" xr16:uid="{04E4BA05-2CD3-42E4-8E64-078686D849F8}" keepAlive="1" name="Consulta - Gastos PERÚ (8)" description="Conexión a la consulta 'Gastos PERÚ (8)' en el libro." type="5" refreshedVersion="0" background="1">
    <dbPr connection="Provider=Microsoft.Mashup.OleDb.1;Data Source=$Workbook$;Location=&quot;Gastos PERÚ (8)&quot;;Extended Properties=&quot;&quot;" command="SELECT * FROM [Gastos PERÚ (8)]"/>
  </connection>
  <connection id="44" xr16:uid="{4A03BDBB-813A-434C-8877-4DBC47431100}" keepAlive="1" name="Consulta - Gastos PERÚ (9)" description="Conexión a la consulta 'Gastos PERÚ (9)' en el libro." type="5" refreshedVersion="0" background="1">
    <dbPr connection="Provider=Microsoft.Mashup.OleDb.1;Data Source=$Workbook$;Location=&quot;Gastos PERÚ (9)&quot;;Extended Properties=&quot;&quot;" command="SELECT * FROM [Gastos PERÚ (9)]"/>
  </connection>
  <connection id="45" xr16:uid="{3AFC4785-B5C2-434B-93F0-31CA917E3365}" keepAlive="1" name="Consulta - Nombre Teams" description="Conexión a la consulta 'Nombre Teams' en el libro." type="5" refreshedVersion="0" background="1">
    <dbPr connection="Provider=Microsoft.Mashup.OleDb.1;Data Source=$Workbook$;Location=&quot;Nombre Teams&quot;;Extended Properties=&quot;&quot;" command="SELECT * FROM [Nombre Teams]"/>
  </connection>
  <connection id="46" xr16:uid="{0E70A4AE-E86C-4785-8752-967C12EE7132}" keepAlive="1" name="Consulta - Nombre Teams (2)" description="Conexión a la consulta 'Nombre Teams (2)' en el libro." type="5" refreshedVersion="0" background="1">
    <dbPr connection="Provider=Microsoft.Mashup.OleDb.1;Data Source=$Workbook$;Location=&quot;Nombre Teams (2)&quot;;Extended Properties=&quot;&quot;" command="SELECT * FROM [Nombre Teams (2)]"/>
  </connection>
  <connection id="47" xr16:uid="{DE7B4E58-F938-4EB2-9EB1-4FD4B78BDD02}" keepAlive="1" name="Consulta - Nombre Teams (3)" description="Conexión a la consulta 'Nombre Teams (3)' en el libro." type="5" refreshedVersion="0" background="1">
    <dbPr connection="Provider=Microsoft.Mashup.OleDb.1;Data Source=$Workbook$;Location=&quot;Nombre Teams (3)&quot;;Extended Properties=&quot;&quot;" command="SELECT * FROM [Nombre Teams (3)]"/>
  </connection>
  <connection id="48" xr16:uid="{85CB091B-3916-406C-AB78-F840A7B5DE1F}" keepAlive="1" name="Consulta - Nombre Teams (4)" description="Conexión a la consulta 'Nombre Teams (4)' en el libro." type="5" refreshedVersion="0" background="1">
    <dbPr connection="Provider=Microsoft.Mashup.OleDb.1;Data Source=$Workbook$;Location=&quot;Nombre Teams (4)&quot;;Extended Properties=&quot;&quot;" command="SELECT * FROM [Nombre Teams (4)]"/>
  </connection>
  <connection id="49" xr16:uid="{AED4AA06-4E79-4843-9EDB-1BF3C7A96387}" keepAlive="1" name="Consulta - Nombre Teams (5)" description="Conexión a la consulta 'Nombre Teams (5)' en el libro." type="5" refreshedVersion="0" background="1">
    <dbPr connection="Provider=Microsoft.Mashup.OleDb.1;Data Source=$Workbook$;Location=&quot;Nombre Teams (5)&quot;;Extended Properties=&quot;&quot;" command="SELECT * FROM [Nombre Teams (5)]"/>
  </connection>
  <connection id="50" xr16:uid="{EBCCAE8B-8F94-469B-8428-34C24734E9E0}" keepAlive="1" name="Consulta - Nombre Teams (6)" description="Conexión a la consulta 'Nombre Teams (6)' en el libro." type="5" refreshedVersion="0" background="1">
    <dbPr connection="Provider=Microsoft.Mashup.OleDb.1;Data Source=$Workbook$;Location=&quot;Nombre Teams (6)&quot;;Extended Properties=&quot;&quot;" command="SELECT * FROM [Nombre Teams (6)]"/>
  </connection>
  <connection id="51" xr16:uid="{09038C9F-F6CC-4D5A-8AAC-026C2502364A}" keepAlive="1" name="Consulta - Nombre Teams (7)" description="Conexión a la consulta 'Nombre Teams (7)' en el libro." type="5" refreshedVersion="0" background="1">
    <dbPr connection="Provider=Microsoft.Mashup.OleDb.1;Data Source=$Workbook$;Location=&quot;Nombre Teams (7)&quot;;Extended Properties=&quot;&quot;" command="SELECT * FROM [Nombre Teams (7)]"/>
  </connection>
  <connection id="52" xr16:uid="{CC8E7006-46A4-4758-A21F-A49D5AFD0B3E}" keepAlive="1" name="Consulta - Nombre Teams (8)" description="Conexión a la consulta 'Nombre Teams (8)' en el libro." type="5" refreshedVersion="0" background="1">
    <dbPr connection="Provider=Microsoft.Mashup.OleDb.1;Data Source=$Workbook$;Location=&quot;Nombre Teams (8)&quot;;Extended Properties=&quot;&quot;" command="SELECT * FROM [Nombre Teams (8)]"/>
  </connection>
  <connection id="53" xr16:uid="{C0836DCD-8E9E-4A0A-A450-BCE8A2FFCFD5}" keepAlive="1" name="Consulta - Nombre Teams (9)" description="Conexión a la consulta 'Nombre Teams (9)' en el libro." type="5" refreshedVersion="0" background="1">
    <dbPr connection="Provider=Microsoft.Mashup.OleDb.1;Data Source=$Workbook$;Location=&quot;Nombre Teams (9)&quot;;Extended Properties=&quot;&quot;" command="SELECT * FROM [Nombre Teams (9)]"/>
  </connection>
</connections>
</file>

<file path=xl/sharedStrings.xml><?xml version="1.0" encoding="utf-8"?>
<sst xmlns="http://schemas.openxmlformats.org/spreadsheetml/2006/main" count="3016" uniqueCount="449">
  <si>
    <t>Clasificación 1</t>
  </si>
  <si>
    <t>(Varios elementos)</t>
  </si>
  <si>
    <t>País</t>
  </si>
  <si>
    <t>Brasil</t>
  </si>
  <si>
    <t>Suma de Valor USD</t>
  </si>
  <si>
    <t>Meses (Atributo)</t>
  </si>
  <si>
    <t>Clasificación 0</t>
  </si>
  <si>
    <t>Clasificación 2</t>
  </si>
  <si>
    <t>Clasificación 3</t>
  </si>
  <si>
    <t>Detalle</t>
  </si>
  <si>
    <t>ene</t>
  </si>
  <si>
    <t>feb</t>
  </si>
  <si>
    <t>mar</t>
  </si>
  <si>
    <t>abr</t>
  </si>
  <si>
    <t>may</t>
  </si>
  <si>
    <t>jun</t>
  </si>
  <si>
    <t>jul</t>
  </si>
  <si>
    <t>Sueldos</t>
  </si>
  <si>
    <t>Externo</t>
  </si>
  <si>
    <t>Oficina</t>
  </si>
  <si>
    <t>Bancarios</t>
  </si>
  <si>
    <t>Viajes</t>
  </si>
  <si>
    <t>Extras personas</t>
  </si>
  <si>
    <t>Total general</t>
  </si>
  <si>
    <t>ago</t>
  </si>
  <si>
    <t>sept</t>
  </si>
  <si>
    <t>oct</t>
  </si>
  <si>
    <t>nov</t>
  </si>
  <si>
    <t>dic</t>
  </si>
  <si>
    <t>Comercial</t>
  </si>
  <si>
    <t>Compañía</t>
  </si>
  <si>
    <t>(Todas)</t>
  </si>
  <si>
    <t>Chile</t>
  </si>
  <si>
    <t>Perú</t>
  </si>
  <si>
    <t>Item</t>
  </si>
  <si>
    <t>Total</t>
  </si>
  <si>
    <t>Promedio</t>
  </si>
  <si>
    <t>Acumulado</t>
  </si>
  <si>
    <t>Pais</t>
  </si>
  <si>
    <t>Ingresos</t>
  </si>
  <si>
    <t>Gastos</t>
  </si>
  <si>
    <t>Beneficio</t>
  </si>
  <si>
    <t>Rent.%</t>
  </si>
  <si>
    <t>Ingreaso Acum.</t>
  </si>
  <si>
    <t>Gasto Acum.</t>
  </si>
  <si>
    <t>Beneficio Acum.</t>
  </si>
  <si>
    <t>Rusia</t>
  </si>
  <si>
    <t>Gran Total</t>
  </si>
  <si>
    <t>Finalizado</t>
  </si>
  <si>
    <t>Ejecución</t>
  </si>
  <si>
    <t>Pipeline</t>
  </si>
  <si>
    <t>EEUU</t>
  </si>
  <si>
    <t>Nro. de Proyectos</t>
  </si>
  <si>
    <t>Dif.</t>
  </si>
  <si>
    <t>kUSD</t>
  </si>
  <si>
    <t>Facturado</t>
  </si>
  <si>
    <t>Sueldo</t>
  </si>
  <si>
    <t>Alejandro Espinosa</t>
  </si>
  <si>
    <t>Alex Figueroa</t>
  </si>
  <si>
    <t>Alex Pacheco C.</t>
  </si>
  <si>
    <t>Americo Zuzunaga</t>
  </si>
  <si>
    <t>Andree del Castillo</t>
  </si>
  <si>
    <t>Andrés Budini M.</t>
  </si>
  <si>
    <t>Angelo Patri Carbajal</t>
  </si>
  <si>
    <t>Antonio Schettino</t>
  </si>
  <si>
    <t>Arnold Tadeo</t>
  </si>
  <si>
    <t>CARLOS CARMELO HIDALGO</t>
  </si>
  <si>
    <t>Carlos Catalán</t>
  </si>
  <si>
    <t>Carlos Morante</t>
  </si>
  <si>
    <t>Claudio Hernandez</t>
  </si>
  <si>
    <t>Clinton Yahuira</t>
  </si>
  <si>
    <t>Cristián  Alarcón</t>
  </si>
  <si>
    <t>Cristián García</t>
  </si>
  <si>
    <t>Cristian Quezada</t>
  </si>
  <si>
    <t>Cristóbal García Wallis practicante</t>
  </si>
  <si>
    <t>Daniela Oyarzo E.</t>
  </si>
  <si>
    <t>Diego Muñoz</t>
  </si>
  <si>
    <t>Diego Troncoso</t>
  </si>
  <si>
    <t>Eduardo Cuevas</t>
  </si>
  <si>
    <t>Eduardo Lama</t>
  </si>
  <si>
    <t>Edward Torres</t>
  </si>
  <si>
    <t>Emilio Sánchez</t>
  </si>
  <si>
    <t>Fabián González Recabarren</t>
  </si>
  <si>
    <t>Felipe Espinosa Practica en informática nov.23</t>
  </si>
  <si>
    <t>Felipe Lira A.</t>
  </si>
  <si>
    <t>Felipe Matamoros C.</t>
  </si>
  <si>
    <t>Felipe Rojas Z.</t>
  </si>
  <si>
    <t>Fernando Caballero</t>
  </si>
  <si>
    <t>Francisco Bello Moreno</t>
  </si>
  <si>
    <t>Freddy Díaz</t>
  </si>
  <si>
    <t>Gerson Alfaro</t>
  </si>
  <si>
    <t>Gino Espinoza</t>
  </si>
  <si>
    <t xml:space="preserve">Gladys Myriam Muñoz </t>
  </si>
  <si>
    <t>Grace Ramon</t>
  </si>
  <si>
    <t>Guillermo Ricaldi</t>
  </si>
  <si>
    <t>Ignacio González</t>
  </si>
  <si>
    <t>Isidora Figueroa</t>
  </si>
  <si>
    <t>Ismael Leyton Aliste practicante</t>
  </si>
  <si>
    <t>Jarold Orna</t>
  </si>
  <si>
    <t>Jessica Rojas</t>
  </si>
  <si>
    <t>Jhonatan Huaynate</t>
  </si>
  <si>
    <t>Jhonatan Mandujano</t>
  </si>
  <si>
    <t xml:space="preserve">Joél Pérez </t>
  </si>
  <si>
    <t>Johnny Pacheco</t>
  </si>
  <si>
    <t>Jonathan Galvez</t>
  </si>
  <si>
    <t>Jorman Barrera</t>
  </si>
  <si>
    <t>Jose Mamani</t>
  </si>
  <si>
    <t>José Pizarro Aranguiz</t>
  </si>
  <si>
    <t>Josue Tello Olivas</t>
  </si>
  <si>
    <t>Juan Pablo Vera</t>
  </si>
  <si>
    <t>Julio Herrera</t>
  </si>
  <si>
    <t>Kevin Rios</t>
  </si>
  <si>
    <t>Lincoln Esteban Perez</t>
  </si>
  <si>
    <t>Luis Camasca</t>
  </si>
  <si>
    <t>Luis Chumpitaz</t>
  </si>
  <si>
    <t>Marcelo Mendoza</t>
  </si>
  <si>
    <t>Maria Célia Fonseca</t>
  </si>
  <si>
    <t>Matías Cid Uslar</t>
  </si>
  <si>
    <t>Matías Fuentes B.</t>
  </si>
  <si>
    <t>Mauricio Melendez</t>
  </si>
  <si>
    <t>Miguel Jesus</t>
  </si>
  <si>
    <t>Nelson Rumino</t>
  </si>
  <si>
    <t>Nicolás Ayarza D.</t>
  </si>
  <si>
    <t>Nicolás Sanzana</t>
  </si>
  <si>
    <t>Nilcélio José Dos Santos</t>
  </si>
  <si>
    <t>Olesya Dashavskaya</t>
  </si>
  <si>
    <t>Omar Meléndez Huamán</t>
  </si>
  <si>
    <t>Oscar Cáceres servicios</t>
  </si>
  <si>
    <t>Osvaldo Ulloa</t>
  </si>
  <si>
    <t>Pablo Quiero</t>
  </si>
  <si>
    <t>Paolo Tito</t>
  </si>
  <si>
    <t>Pedro Aguiluz P.</t>
  </si>
  <si>
    <t>Pedro Ccanto</t>
  </si>
  <si>
    <t>Reemplazo serv aseo of (vacaciones Gladys)</t>
  </si>
  <si>
    <t>Ricardo Miranda</t>
  </si>
  <si>
    <t>Rodrigo Cori Córdova</t>
  </si>
  <si>
    <t>Rodrigo Pinto H.</t>
  </si>
  <si>
    <t>Roxana Avilés</t>
  </si>
  <si>
    <t>Sebastián González</t>
  </si>
  <si>
    <t>Thalia Rimac</t>
  </si>
  <si>
    <t>Victor Arias</t>
  </si>
  <si>
    <t>Victor Mohana Tapia</t>
  </si>
  <si>
    <t>VILLANUEVA CRISTOBAL PAOLO CESAR</t>
  </si>
  <si>
    <t>Walter Lupinta</t>
  </si>
  <si>
    <t>Yosep Aviles</t>
  </si>
  <si>
    <t>Cristóbal Ventura</t>
  </si>
  <si>
    <t>Gonzalo Parada Provisión</t>
  </si>
  <si>
    <t>Javier Salazar</t>
  </si>
  <si>
    <t>Practicante Contabilidad</t>
  </si>
  <si>
    <t>Edson Susanibar</t>
  </si>
  <si>
    <t>Eduardo Sanchez</t>
  </si>
  <si>
    <t>REDCROSS</t>
  </si>
  <si>
    <t>Paola Awilhem</t>
  </si>
  <si>
    <t>Enrique Rubio</t>
  </si>
  <si>
    <t>Constanza Hochstetter</t>
  </si>
  <si>
    <t>Isabel Marchant</t>
  </si>
  <si>
    <t>Max Le Clerc</t>
  </si>
  <si>
    <t>Rodrigo Báez</t>
  </si>
  <si>
    <t>OFIR EDUARDO HUATUCO LOZANO</t>
  </si>
  <si>
    <t>Sophie Liao</t>
  </si>
  <si>
    <t>REDTEC</t>
  </si>
  <si>
    <t>Sueldo/total</t>
  </si>
  <si>
    <t>Externo/total</t>
  </si>
  <si>
    <t>Dotación mes</t>
  </si>
  <si>
    <t>Mes</t>
  </si>
  <si>
    <t>USD/persona</t>
  </si>
  <si>
    <t>Cantidad sueldos &lt;4 kUSD</t>
  </si>
  <si>
    <t>Cantidad sueldos &gt;=4 kUSD</t>
  </si>
  <si>
    <t>Proporción sueldos &lt;4 kUSD</t>
  </si>
  <si>
    <t>Proporción sueldos &gt;=4 kUSD</t>
  </si>
  <si>
    <t>Monto sueldo &lt;4kUSD</t>
  </si>
  <si>
    <t>Monto sueldo &gt;=4kUSD</t>
  </si>
  <si>
    <t>Total sueldos</t>
  </si>
  <si>
    <t>Cantidad sueldos</t>
  </si>
  <si>
    <t>Costo compañía &lt;4kUSD</t>
  </si>
  <si>
    <t>Costo compañía &gt;=4kUSD</t>
  </si>
  <si>
    <t>% Costo compañía &lt;4kUSD</t>
  </si>
  <si>
    <t>% Costo compañía &gt;=4kUSD</t>
  </si>
  <si>
    <t>Country Manager</t>
  </si>
  <si>
    <t>Consultor</t>
  </si>
  <si>
    <t>Administrativo</t>
  </si>
  <si>
    <t xml:space="preserve">Ingeniero Principal </t>
  </si>
  <si>
    <t>P&amp;C</t>
  </si>
  <si>
    <t>Gestor ventas</t>
  </si>
  <si>
    <t>Director Ejecutivo</t>
  </si>
  <si>
    <t>Contabilidad</t>
  </si>
  <si>
    <t>Finanzas</t>
  </si>
  <si>
    <t>Gerente REDCO Perú</t>
  </si>
  <si>
    <t>Ingeniero Senior</t>
  </si>
  <si>
    <t>Gerente Ingeniería</t>
  </si>
  <si>
    <t>Desarrollo de Negocios</t>
  </si>
  <si>
    <t>Nombre</t>
  </si>
  <si>
    <t>Cargo</t>
  </si>
  <si>
    <t>Ingeniero de Proyectos</t>
  </si>
  <si>
    <t>Patricio Vergara</t>
  </si>
  <si>
    <t>Mateo Villanueva</t>
  </si>
  <si>
    <t>Gonzalo Diaz</t>
  </si>
  <si>
    <t>Cristian Villaroel</t>
  </si>
  <si>
    <t>Director de Proyecto</t>
  </si>
  <si>
    <t>Cargos</t>
  </si>
  <si>
    <t>#Cantidad</t>
  </si>
  <si>
    <t>Oct_Ant</t>
  </si>
  <si>
    <t>Oct_Act</t>
  </si>
  <si>
    <t>Análisis de resultados mes - Octubre</t>
  </si>
  <si>
    <t>Análisis de resultados año - 2024</t>
  </si>
  <si>
    <t>2024_Act</t>
  </si>
  <si>
    <t>Proyecto</t>
  </si>
  <si>
    <t>CMP - FEL 2A</t>
  </si>
  <si>
    <t>Adrianita -Raúl</t>
  </si>
  <si>
    <t>Codelco_Falla Oeste</t>
  </si>
  <si>
    <t>Codelco_Panel Central</t>
  </si>
  <si>
    <t>Sierra Metals_Plan de Minado MEIA</t>
  </si>
  <si>
    <t>Mosaic_Cajati</t>
  </si>
  <si>
    <t>Mosaic_Taquari Vassouras</t>
  </si>
  <si>
    <t>NEXA_FEL2 Aripuana</t>
  </si>
  <si>
    <t>Romeral</t>
  </si>
  <si>
    <t>Minsur_Forecast_Budget24</t>
  </si>
  <si>
    <t>Lomas Bayas - LoA24</t>
  </si>
  <si>
    <t>Algarrobo</t>
  </si>
  <si>
    <t>PFS Los Calatos</t>
  </si>
  <si>
    <t>CSH_LOM Mina Guarello</t>
  </si>
  <si>
    <t>AMSA_Planificacion</t>
  </si>
  <si>
    <t>MEIA Coripuno</t>
  </si>
  <si>
    <t>Codelco_Capacitacion Deswik DET</t>
  </si>
  <si>
    <t>Codelco_Drenaje QT</t>
  </si>
  <si>
    <t>MiskiMayo_LOM</t>
  </si>
  <si>
    <t>CMP_CNN Update plan LOM</t>
  </si>
  <si>
    <t>CMP_Los Colorados Adelantamiento Planta</t>
  </si>
  <si>
    <t>LasBambas_Ferrobamba_OP_UG</t>
  </si>
  <si>
    <t>CMP_Romeral Estabilización + UG PFS</t>
  </si>
  <si>
    <t>Codelco_Cluster Toki</t>
  </si>
  <si>
    <t>IvanhoeElectric_Santa-Cruz_PrePFS</t>
  </si>
  <si>
    <t>Boston_Inmaculada Hochschild</t>
  </si>
  <si>
    <t>Minsur_Update LOM San Rafael</t>
  </si>
  <si>
    <t>Lundin_Candelaria_EstudiosCugep</t>
  </si>
  <si>
    <t>Seligdar_Kyuchus</t>
  </si>
  <si>
    <t>BHP_Tunel Exploratorio</t>
  </si>
  <si>
    <t>AMSA_Asesoria Centinela</t>
  </si>
  <si>
    <t>AMSA_Estandares Minimos</t>
  </si>
  <si>
    <t>Glencore_Coroccohuayco_OptimizacionLOM</t>
  </si>
  <si>
    <t>Coripuno_Metodos de Minado</t>
  </si>
  <si>
    <t>Banco Santander_Yauricocha y Bolivar</t>
  </si>
  <si>
    <t>Minsur_Apoyo Planificacion San Rafael</t>
  </si>
  <si>
    <t>Capstone Copper_Estimacion confiabilidad de planes</t>
  </si>
  <si>
    <t>Minsur_Rampa de acceso San German</t>
  </si>
  <si>
    <t>McCarthy_Litigio Rio Tinto</t>
  </si>
  <si>
    <t>Eurochem_Himmelfarb Deposit</t>
  </si>
  <si>
    <t>J&amp;F_Urucrum_RecuperacionPilares</t>
  </si>
  <si>
    <t>Boston_Inmaculada Hochschild II</t>
  </si>
  <si>
    <t>CMP_LOM CNN 2024</t>
  </si>
  <si>
    <t>CMP_LOM MLC 2024</t>
  </si>
  <si>
    <t>Spence_Confiabilidad Plan 2YB 2025</t>
  </si>
  <si>
    <t>Minsur_LOM San Rafael 2025</t>
  </si>
  <si>
    <t>EMX_Due Diligence de Chapi</t>
  </si>
  <si>
    <t>IvanhoeElectric_Mine Planning Support</t>
  </si>
  <si>
    <t>MCI_Mine Plan Review Los Bronces</t>
  </si>
  <si>
    <t>Minsur_Apoyo MEIA Raura</t>
  </si>
  <si>
    <t>EMX_Metallurgical expert for review</t>
  </si>
  <si>
    <t>Minsur_Mejoramiento datos geotecnicos SR</t>
  </si>
  <si>
    <t>Mosaic_Taquari Vassouras Fase II CP</t>
  </si>
  <si>
    <t>CMP_Puesta en marcha SLS Romeral</t>
  </si>
  <si>
    <t>Glencore_MineHaul y MinePlan Lomas Bayas</t>
  </si>
  <si>
    <t>CMP_Estrategia Crecimiento Tofo Norte</t>
  </si>
  <si>
    <t>CMP_Plan minero base MLC</t>
  </si>
  <si>
    <t>Minsur_Evaluacion recursos marginales</t>
  </si>
  <si>
    <t>J&amp;F_Autazes Due Diligence</t>
  </si>
  <si>
    <t>Mosaic_Actualizacion geotecnica OP</t>
  </si>
  <si>
    <t>BHP_Plan e Iniciativas LoA25-26</t>
  </si>
  <si>
    <t>CMP_Mejoras Operacionales CNN</t>
  </si>
  <si>
    <t>Minsur_Integracion Planeamiento Geomecanica</t>
  </si>
  <si>
    <t>Retenciones LOM Los Colorados</t>
  </si>
  <si>
    <t>SierraMetals_Update MEIA Yauricocha</t>
  </si>
  <si>
    <t>Lundin_Oportunidades mejoras Caserones</t>
  </si>
  <si>
    <t>Codelco_Opciones vaciado mineral via OP</t>
  </si>
  <si>
    <t>CMP_Nuevos alcances Algarrobo</t>
  </si>
  <si>
    <t>Lundin_Gaps Planificación y Operación UG</t>
  </si>
  <si>
    <t>Marcobre_Ingeniería de Perfil Achupallas</t>
  </si>
  <si>
    <t>Mosaic_Secuencia Operaciones Cajati</t>
  </si>
  <si>
    <t>AMSA_Contrato Marco</t>
  </si>
  <si>
    <t>Var.%</t>
  </si>
  <si>
    <t>Análisis de gastos mes - Octubre</t>
  </si>
  <si>
    <t>Análisis de gastos proyectado año - 2024</t>
  </si>
  <si>
    <t>Oficina/total</t>
  </si>
  <si>
    <t>Oct_Proy</t>
  </si>
  <si>
    <t>2024_Proy</t>
  </si>
  <si>
    <t>Adjudicado</t>
  </si>
  <si>
    <t>Ingreso Operacional</t>
  </si>
  <si>
    <t>Gasto Operacional</t>
  </si>
  <si>
    <t>Meta</t>
  </si>
  <si>
    <t>Real</t>
  </si>
  <si>
    <t>Cumpl.</t>
  </si>
  <si>
    <t>Nro Mes</t>
  </si>
  <si>
    <t>Meses año</t>
  </si>
  <si>
    <t>Media</t>
  </si>
  <si>
    <t>Gasto Proyectado REDCO sin EEUU</t>
  </si>
  <si>
    <t>Gasto Proyectado REDCO con EEUU</t>
  </si>
  <si>
    <t>#</t>
  </si>
  <si>
    <t>Fijo</t>
  </si>
  <si>
    <t>Total Fijo</t>
  </si>
  <si>
    <t>Variable</t>
  </si>
  <si>
    <t>Total Variable</t>
  </si>
  <si>
    <t>Adicionales</t>
  </si>
  <si>
    <t>Total Adicionales</t>
  </si>
  <si>
    <t>Costo Directo</t>
  </si>
  <si>
    <t>Gasto Sueldos</t>
  </si>
  <si>
    <t>Delta</t>
  </si>
  <si>
    <t>% Sueldo</t>
  </si>
  <si>
    <t>Gasto Otros</t>
  </si>
  <si>
    <t>Acumulado año</t>
  </si>
  <si>
    <t>Desviación Estandar (Gasto)</t>
  </si>
  <si>
    <t>Coeficiente de variación</t>
  </si>
  <si>
    <t>kUS$</t>
  </si>
  <si>
    <t>%</t>
  </si>
  <si>
    <t>EERR</t>
  </si>
  <si>
    <t>Boleta</t>
  </si>
  <si>
    <t>Boletas de garantía CMP Comisión+i</t>
  </si>
  <si>
    <t>Boletas de garantía CMP intereses</t>
  </si>
  <si>
    <t>Caja Operacional</t>
  </si>
  <si>
    <t>Margen Operacional</t>
  </si>
  <si>
    <t>Saldo disponible 2024</t>
  </si>
  <si>
    <t>Gastos del dueño</t>
  </si>
  <si>
    <t>Patricio Vegara (EEUU)</t>
  </si>
  <si>
    <t>SERVICIO ASESORIA MINERA - Comissão Antonio</t>
  </si>
  <si>
    <t>Otros</t>
  </si>
  <si>
    <t>Externo Fijo</t>
  </si>
  <si>
    <t>Externo Variable</t>
  </si>
  <si>
    <t>Total valores</t>
  </si>
  <si>
    <t>Otros gastos</t>
  </si>
  <si>
    <t>P2025</t>
  </si>
  <si>
    <t>Asociado a sueldo</t>
  </si>
  <si>
    <t>Maria Célia P. Fonseca</t>
  </si>
  <si>
    <t>Antônio Alberto Fróes Schettino</t>
  </si>
  <si>
    <t>Cristóbal Poblete</t>
  </si>
  <si>
    <t>Cynthia Ordoñes (RRHH)</t>
  </si>
  <si>
    <t>Erick Sanhueza Correa</t>
  </si>
  <si>
    <t>Joseph Livia</t>
  </si>
  <si>
    <t>Darwin Varas</t>
  </si>
  <si>
    <t>Germán Soto</t>
  </si>
  <si>
    <t>Eduardo Morales</t>
  </si>
  <si>
    <t>Carolina Arcos</t>
  </si>
  <si>
    <t>Benjamin Morales</t>
  </si>
  <si>
    <t>Cristian Caviedes</t>
  </si>
  <si>
    <t>Victoria Franz Contabilidad</t>
  </si>
  <si>
    <t>Alojamiento</t>
  </si>
  <si>
    <t>Reembolso</t>
  </si>
  <si>
    <t>Ingeniería</t>
  </si>
  <si>
    <t>G&amp;A</t>
  </si>
  <si>
    <t>REDCO</t>
  </si>
  <si>
    <t>R+</t>
  </si>
  <si>
    <t>Examenes</t>
  </si>
  <si>
    <t>Pasaje</t>
  </si>
  <si>
    <t>Rendición</t>
  </si>
  <si>
    <t>Seguro</t>
  </si>
  <si>
    <t>Tarjeta</t>
  </si>
  <si>
    <t>Traslado</t>
  </si>
  <si>
    <t>Arriendo</t>
  </si>
  <si>
    <t>Arriendo oficina 1502 + estac-Edif. Kennedy 85 UF</t>
  </si>
  <si>
    <t>Caja Chica</t>
  </si>
  <si>
    <t>Credito</t>
  </si>
  <si>
    <t>Dividendo</t>
  </si>
  <si>
    <t>Estacionamiento</t>
  </si>
  <si>
    <t>GGCC</t>
  </si>
  <si>
    <t>Pago servicio</t>
  </si>
  <si>
    <t>Prisa S.A. arts. Aseso y cocina</t>
  </si>
  <si>
    <t>Patente</t>
  </si>
  <si>
    <t>Registro Proveedores</t>
  </si>
  <si>
    <t>Software</t>
  </si>
  <si>
    <t>Telefonia</t>
  </si>
  <si>
    <t>Prestamo</t>
  </si>
  <si>
    <t>Préstamo Bco. Chile - Redco Perú</t>
  </si>
  <si>
    <t>Salcedo &amp; Cia.  Limitada (Asesoria Tributaria)</t>
  </si>
  <si>
    <t>Transp. Nueva Apoquindo  Ltda. Mayo</t>
  </si>
  <si>
    <t>Transp. Nueva Apoquindo  Ltda. Abril</t>
  </si>
  <si>
    <t>Salcedo &amp; Cia.  Limitada (Asesoria Tributaria)  marzo y abril</t>
  </si>
  <si>
    <t>Par Cuatro aromatizacion oficina mayo</t>
  </si>
  <si>
    <t>Par Cuatro aromatizacion oficina factura abril</t>
  </si>
  <si>
    <t>Nespresso  Chile S.A. mayo</t>
  </si>
  <si>
    <t>Nespresso  Chile S.A. abril</t>
  </si>
  <si>
    <t>Dueño</t>
  </si>
  <si>
    <t>Publicidad</t>
  </si>
  <si>
    <t>Impuesto</t>
  </si>
  <si>
    <t>Pago Impto. Rta. AT2024 E.Rubio</t>
  </si>
  <si>
    <t>Cta. Cte Redcross</t>
  </si>
  <si>
    <t>Cta. Cte Redco Global Perú</t>
  </si>
  <si>
    <t>Donación</t>
  </si>
  <si>
    <t>TAG</t>
  </si>
  <si>
    <t>Impuestos</t>
  </si>
  <si>
    <t>PPM  6,8%</t>
  </si>
  <si>
    <t>IVA DEBITO FISCAL</t>
  </si>
  <si>
    <t>IMPTO.ADICIONAL 20%</t>
  </si>
  <si>
    <t>IMPTO.TIMBRE Y ESTAMPILLA</t>
  </si>
  <si>
    <t>Cintamatrix Ltda.</t>
  </si>
  <si>
    <t>CONSTRUCCION SERVI TRES SPA</t>
  </si>
  <si>
    <t>Cynthia Ordoñes - coach Osacar Cáceres</t>
  </si>
  <si>
    <t>Dsignos Spa</t>
  </si>
  <si>
    <t>Edge SpA   3 sillas</t>
  </si>
  <si>
    <t>Factura Sumiprint SPA</t>
  </si>
  <si>
    <t>Marisol Corvalan Notaria</t>
  </si>
  <si>
    <t>Armando Olavarría</t>
  </si>
  <si>
    <t>Consultora Hominum SpA Fact. 23-Proceso reclutamiento ingenieros</t>
  </si>
  <si>
    <t>Andes IP Abogados Limitada</t>
  </si>
  <si>
    <t>Gonzalo Díaz</t>
  </si>
  <si>
    <t>Alberto Reinao (Procesos Defontana)</t>
  </si>
  <si>
    <t>Legal  Broker (R.Oyarzún poderes Bco.)</t>
  </si>
  <si>
    <t>Alberto Hochstetter</t>
  </si>
  <si>
    <t>Holaleon SPA mural jardin infantil</t>
  </si>
  <si>
    <t>Asesoria</t>
  </si>
  <si>
    <t>Contribuciones</t>
  </si>
  <si>
    <t>Cristián Flores Serv. Flexline</t>
  </si>
  <si>
    <t>Diego Fuente Mant. Baños of</t>
  </si>
  <si>
    <t>Gtos. personal Redco- Hamb</t>
  </si>
  <si>
    <t>Regalo</t>
  </si>
  <si>
    <t>Varios</t>
  </si>
  <si>
    <t>Otro</t>
  </si>
  <si>
    <t>Tintas</t>
  </si>
  <si>
    <t>Alejandro Espinosa Factura 35 dic.2023</t>
  </si>
  <si>
    <t>Anna Usoltceva Intrepete Español a Ruso 200 USD</t>
  </si>
  <si>
    <t>Darwin Varas Diseño Losas Piscinas Hormigon</t>
  </si>
  <si>
    <t>Enrique Molina Factura 1</t>
  </si>
  <si>
    <t>Fernando Mora</t>
  </si>
  <si>
    <t>Freddy Centeno</t>
  </si>
  <si>
    <t>Juan Rivera</t>
  </si>
  <si>
    <t>León Arzola (Electrico)</t>
  </si>
  <si>
    <t>León Consulting Chile SpA ( Felipe León)</t>
  </si>
  <si>
    <t>Rodrigo Godoy</t>
  </si>
  <si>
    <t>SGS MINERALS S.A. 50%</t>
  </si>
  <si>
    <t>ASMIN Industrial Ltda. Fact. 3330 PFS - Los Calatos EdP01</t>
  </si>
  <si>
    <t>ASMIN Industrial Ltda. Fact. 3331 PFS - Los Calatos EdP02</t>
  </si>
  <si>
    <t>INV. Y Asesorías Huerquehue SpA</t>
  </si>
  <si>
    <t>Rodrigo Herrera</t>
  </si>
  <si>
    <t>Fernando Sagastegui</t>
  </si>
  <si>
    <t>Guilmer Victorio</t>
  </si>
  <si>
    <t>Carlos Puga Provisión</t>
  </si>
  <si>
    <t>Enrique Molina Factura</t>
  </si>
  <si>
    <t>Enrique Molina Factura 2 Provisión</t>
  </si>
  <si>
    <t xml:space="preserve">Renan Argandoña </t>
  </si>
  <si>
    <t>Nadia Mery</t>
  </si>
  <si>
    <t>Cristián Villarroel</t>
  </si>
  <si>
    <t>Dagoberto Cabañas</t>
  </si>
  <si>
    <t>TCONCEPTS SPA</t>
  </si>
  <si>
    <t xml:space="preserve">Inversiones y Asesorías </t>
  </si>
  <si>
    <t>Luis Miranda práctica prof.</t>
  </si>
  <si>
    <t>RV Ingenieria  Asociados Ltda.</t>
  </si>
  <si>
    <t>Escudero Lobos y Paredes Abogados (laboral)</t>
  </si>
  <si>
    <t>DSIGNOS implementación of. 1502 R+Ingineering</t>
  </si>
  <si>
    <t xml:space="preserve">Fabian Aguirre </t>
  </si>
  <si>
    <t>Carlos Castañeda</t>
  </si>
  <si>
    <t>R + Ingineering Arriendo of. Dic + gtia. Of. 1502</t>
  </si>
  <si>
    <t>R + Ingineering Gtos. Implementación of. 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</si>
</sst>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#,##0.000"/>
    <numFmt numFmtId="165" formatCode="0.0"/>
    <numFmt numFmtId="166" formatCode="0.0%"/>
    <numFmt numFmtId="167" formatCode="#,##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41" fontId="4" fillId="0" borderId="0" xfId="0" applyNumberFormat="1" applyFont="1"/>
    <xf numFmtId="9" fontId="0" fillId="0" borderId="0" xfId="2" applyFont="1"/>
    <xf numFmtId="0" fontId="0" fillId="0" borderId="0" xfId="0" pivotButton="1"/>
    <xf numFmtId="41" fontId="0" fillId="0" borderId="0" xfId="0" applyNumberFormat="1"/>
    <xf numFmtId="1" fontId="0" fillId="0" borderId="0" xfId="0" applyNumberFormat="1"/>
    <xf numFmtId="0" fontId="6" fillId="3" borderId="1" xfId="0" applyFont="1" applyFill="1" applyBorder="1" applyAlignment="1">
      <alignment horizontal="center" vertical="center"/>
    </xf>
    <xf numFmtId="17" fontId="6" fillId="3" borderId="1" xfId="0" applyNumberFormat="1" applyFont="1" applyFill="1" applyBorder="1" applyAlignment="1">
      <alignment horizontal="center" vertical="center" wrapText="1"/>
    </xf>
    <xf numFmtId="17" fontId="6" fillId="3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9" fillId="0" borderId="0" xfId="1" applyNumberFormat="1" applyFont="1" applyFill="1" applyBorder="1"/>
    <xf numFmtId="3" fontId="9" fillId="0" borderId="0" xfId="0" applyNumberFormat="1" applyFont="1"/>
    <xf numFmtId="9" fontId="0" fillId="4" borderId="0" xfId="2" applyFont="1" applyFill="1"/>
    <xf numFmtId="41" fontId="5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3" fontId="3" fillId="2" borderId="0" xfId="0" applyNumberFormat="1" applyFont="1" applyFill="1"/>
    <xf numFmtId="3" fontId="0" fillId="0" borderId="0" xfId="1" applyNumberFormat="1" applyFont="1"/>
    <xf numFmtId="0" fontId="0" fillId="0" borderId="4" xfId="0" applyBorder="1"/>
    <xf numFmtId="0" fontId="10" fillId="6" borderId="5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7" borderId="8" xfId="0" applyFont="1" applyFill="1" applyBorder="1"/>
    <xf numFmtId="0" fontId="0" fillId="8" borderId="9" xfId="0" applyFill="1" applyBorder="1"/>
    <xf numFmtId="0" fontId="3" fillId="7" borderId="10" xfId="0" applyFont="1" applyFill="1" applyBorder="1"/>
    <xf numFmtId="0" fontId="3" fillId="7" borderId="11" xfId="0" applyFont="1" applyFill="1" applyBorder="1"/>
    <xf numFmtId="0" fontId="0" fillId="8" borderId="4" xfId="0" applyFill="1" applyBorder="1"/>
    <xf numFmtId="41" fontId="5" fillId="0" borderId="4" xfId="0" applyNumberFormat="1" applyFont="1" applyBorder="1"/>
    <xf numFmtId="41" fontId="4" fillId="0" borderId="4" xfId="0" applyNumberFormat="1" applyFont="1" applyBorder="1"/>
    <xf numFmtId="0" fontId="11" fillId="7" borderId="10" xfId="0" applyFont="1" applyFill="1" applyBorder="1"/>
    <xf numFmtId="0" fontId="11" fillId="8" borderId="4" xfId="0" applyFont="1" applyFill="1" applyBorder="1"/>
    <xf numFmtId="0" fontId="11" fillId="0" borderId="4" xfId="0" applyFont="1" applyBorder="1"/>
    <xf numFmtId="41" fontId="11" fillId="0" borderId="4" xfId="0" applyNumberFormat="1" applyFont="1" applyBorder="1"/>
    <xf numFmtId="0" fontId="11" fillId="7" borderId="11" xfId="0" applyFont="1" applyFill="1" applyBorder="1"/>
    <xf numFmtId="0" fontId="11" fillId="8" borderId="9" xfId="0" applyFont="1" applyFill="1" applyBorder="1"/>
    <xf numFmtId="0" fontId="11" fillId="0" borderId="0" xfId="0" applyFont="1"/>
    <xf numFmtId="41" fontId="0" fillId="9" borderId="0" xfId="0" applyNumberFormat="1" applyFill="1"/>
    <xf numFmtId="41" fontId="5" fillId="9" borderId="0" xfId="0" applyNumberFormat="1" applyFont="1" applyFill="1"/>
    <xf numFmtId="17" fontId="0" fillId="0" borderId="0" xfId="0" applyNumberFormat="1"/>
    <xf numFmtId="41" fontId="5" fillId="5" borderId="4" xfId="0" applyNumberFormat="1" applyFont="1" applyFill="1" applyBorder="1"/>
    <xf numFmtId="41" fontId="0" fillId="0" borderId="0" xfId="1" applyFont="1"/>
    <xf numFmtId="9" fontId="0" fillId="2" borderId="0" xfId="2" applyFont="1" applyFill="1"/>
    <xf numFmtId="41" fontId="0" fillId="2" borderId="0" xfId="0" applyNumberFormat="1" applyFill="1"/>
    <xf numFmtId="0" fontId="0" fillId="9" borderId="0" xfId="0" applyFill="1"/>
    <xf numFmtId="0" fontId="3" fillId="6" borderId="0" xfId="0" applyFont="1" applyFill="1"/>
    <xf numFmtId="1" fontId="0" fillId="0" borderId="0" xfId="1" applyNumberFormat="1" applyFont="1"/>
    <xf numFmtId="0" fontId="13" fillId="0" borderId="0" xfId="0" applyFont="1"/>
    <xf numFmtId="0" fontId="14" fillId="0" borderId="0" xfId="0" applyFont="1"/>
    <xf numFmtId="3" fontId="14" fillId="0" borderId="0" xfId="0" applyNumberFormat="1" applyFont="1"/>
    <xf numFmtId="0" fontId="16" fillId="0" borderId="0" xfId="0" applyFont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1" fontId="14" fillId="0" borderId="0" xfId="0" applyNumberFormat="1" applyFont="1"/>
    <xf numFmtId="164" fontId="14" fillId="0" borderId="0" xfId="0" applyNumberFormat="1" applyFont="1"/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3" fontId="17" fillId="0" borderId="0" xfId="1" applyNumberFormat="1" applyFont="1" applyFill="1" applyBorder="1" applyAlignment="1">
      <alignment horizontal="left"/>
    </xf>
    <xf numFmtId="3" fontId="18" fillId="0" borderId="0" xfId="1" applyNumberFormat="1" applyFont="1" applyFill="1" applyBorder="1"/>
    <xf numFmtId="0" fontId="19" fillId="0" borderId="12" xfId="0" applyFont="1" applyBorder="1" applyAlignment="1">
      <alignment horizontal="left"/>
    </xf>
    <xf numFmtId="0" fontId="20" fillId="0" borderId="0" xfId="0" applyFont="1" applyAlignment="1">
      <alignment horizontal="left" vertical="center"/>
    </xf>
    <xf numFmtId="3" fontId="18" fillId="0" borderId="0" xfId="1" applyNumberFormat="1" applyFont="1" applyFill="1" applyBorder="1" applyAlignment="1">
      <alignment horizontal="left"/>
    </xf>
    <xf numFmtId="3" fontId="20" fillId="0" borderId="0" xfId="0" applyNumberFormat="1" applyFont="1" applyAlignment="1">
      <alignment horizontal="left"/>
    </xf>
    <xf numFmtId="3" fontId="20" fillId="0" borderId="0" xfId="1" applyNumberFormat="1" applyFont="1" applyFill="1" applyBorder="1" applyAlignment="1">
      <alignment horizontal="left"/>
    </xf>
    <xf numFmtId="0" fontId="14" fillId="0" borderId="0" xfId="0" applyFont="1" applyAlignment="1">
      <alignment horizontal="left"/>
    </xf>
    <xf numFmtId="3" fontId="14" fillId="0" borderId="0" xfId="0" applyNumberFormat="1" applyFont="1" applyAlignment="1">
      <alignment horizontal="left"/>
    </xf>
    <xf numFmtId="3" fontId="19" fillId="0" borderId="0" xfId="0" applyNumberFormat="1" applyFont="1" applyAlignment="1">
      <alignment horizontal="left"/>
    </xf>
    <xf numFmtId="0" fontId="14" fillId="0" borderId="12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5" fillId="10" borderId="0" xfId="0" applyFont="1" applyFill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9" fontId="14" fillId="0" borderId="0" xfId="2" applyFont="1" applyAlignment="1">
      <alignment horizontal="center" vertical="center"/>
    </xf>
    <xf numFmtId="3" fontId="13" fillId="11" borderId="0" xfId="0" applyNumberFormat="1" applyFont="1" applyFill="1" applyAlignment="1">
      <alignment horizontal="center" vertical="center"/>
    </xf>
    <xf numFmtId="9" fontId="13" fillId="11" borderId="0" xfId="2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41" fontId="0" fillId="0" borderId="4" xfId="0" applyNumberFormat="1" applyBorder="1"/>
    <xf numFmtId="0" fontId="0" fillId="0" borderId="12" xfId="0" applyBorder="1"/>
    <xf numFmtId="1" fontId="0" fillId="12" borderId="0" xfId="0" applyNumberFormat="1" applyFill="1"/>
    <xf numFmtId="3" fontId="0" fillId="0" borderId="15" xfId="0" applyNumberFormat="1" applyBorder="1"/>
    <xf numFmtId="0" fontId="2" fillId="0" borderId="0" xfId="0" applyFont="1"/>
    <xf numFmtId="3" fontId="0" fillId="0" borderId="0" xfId="1" applyNumberFormat="1" applyFont="1" applyBorder="1"/>
    <xf numFmtId="0" fontId="10" fillId="10" borderId="3" xfId="0" applyFont="1" applyFill="1" applyBorder="1"/>
    <xf numFmtId="0" fontId="10" fillId="10" borderId="13" xfId="0" applyFont="1" applyFill="1" applyBorder="1"/>
    <xf numFmtId="0" fontId="10" fillId="10" borderId="14" xfId="0" applyFont="1" applyFill="1" applyBorder="1"/>
    <xf numFmtId="0" fontId="2" fillId="13" borderId="16" xfId="0" applyFont="1" applyFill="1" applyBorder="1"/>
    <xf numFmtId="3" fontId="2" fillId="13" borderId="17" xfId="0" applyNumberFormat="1" applyFont="1" applyFill="1" applyBorder="1"/>
    <xf numFmtId="3" fontId="2" fillId="13" borderId="18" xfId="0" applyNumberFormat="1" applyFont="1" applyFill="1" applyBorder="1"/>
    <xf numFmtId="0" fontId="2" fillId="0" borderId="12" xfId="0" applyFont="1" applyBorder="1"/>
    <xf numFmtId="0" fontId="0" fillId="0" borderId="0" xfId="0" applyAlignment="1">
      <alignment horizontal="center"/>
    </xf>
    <xf numFmtId="41" fontId="0" fillId="0" borderId="0" xfId="0" applyNumberFormat="1" applyAlignment="1">
      <alignment horizontal="center"/>
    </xf>
    <xf numFmtId="41" fontId="2" fillId="12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3" fontId="2" fillId="0" borderId="0" xfId="1" applyNumberFormat="1" applyFont="1"/>
    <xf numFmtId="3" fontId="0" fillId="0" borderId="0" xfId="1" applyNumberFormat="1" applyFont="1" applyFill="1"/>
    <xf numFmtId="9" fontId="0" fillId="0" borderId="0" xfId="2" applyFont="1" applyFill="1"/>
    <xf numFmtId="3" fontId="0" fillId="12" borderId="0" xfId="0" applyNumberFormat="1" applyFill="1"/>
    <xf numFmtId="0" fontId="0" fillId="13" borderId="0" xfId="0" applyFill="1"/>
    <xf numFmtId="0" fontId="10" fillId="0" borderId="0" xfId="0" applyFont="1" applyAlignment="1">
      <alignment horizontal="center"/>
    </xf>
    <xf numFmtId="41" fontId="2" fillId="0" borderId="0" xfId="0" applyNumberFormat="1" applyFont="1" applyAlignment="1">
      <alignment horizontal="center"/>
    </xf>
    <xf numFmtId="0" fontId="21" fillId="0" borderId="0" xfId="0" applyFont="1"/>
    <xf numFmtId="165" fontId="21" fillId="0" borderId="0" xfId="0" applyNumberFormat="1" applyFont="1"/>
    <xf numFmtId="9" fontId="21" fillId="0" borderId="0" xfId="2" applyFont="1"/>
    <xf numFmtId="166" fontId="21" fillId="0" borderId="0" xfId="2" applyNumberFormat="1" applyFont="1"/>
    <xf numFmtId="165" fontId="21" fillId="14" borderId="0" xfId="0" applyNumberFormat="1" applyFont="1" applyFill="1"/>
    <xf numFmtId="1" fontId="21" fillId="0" borderId="0" xfId="0" applyNumberFormat="1" applyFont="1"/>
    <xf numFmtId="3" fontId="21" fillId="14" borderId="0" xfId="0" applyNumberFormat="1" applyFont="1" applyFill="1"/>
    <xf numFmtId="9" fontId="21" fillId="0" borderId="0" xfId="0" applyNumberFormat="1" applyFont="1"/>
    <xf numFmtId="9" fontId="21" fillId="14" borderId="0" xfId="0" applyNumberFormat="1" applyFont="1" applyFill="1"/>
    <xf numFmtId="41" fontId="4" fillId="9" borderId="0" xfId="0" applyNumberFormat="1" applyFont="1" applyFill="1"/>
    <xf numFmtId="3" fontId="0" fillId="0" borderId="0" xfId="2" applyNumberFormat="1" applyFont="1"/>
    <xf numFmtId="167" fontId="2" fillId="0" borderId="0" xfId="0" applyNumberFormat="1" applyFont="1"/>
    <xf numFmtId="166" fontId="2" fillId="0" borderId="0" xfId="2" applyNumberFormat="1" applyFont="1"/>
    <xf numFmtId="0" fontId="22" fillId="0" borderId="12" xfId="0" applyFont="1" applyBorder="1"/>
    <xf numFmtId="1" fontId="9" fillId="0" borderId="0" xfId="0" applyNumberFormat="1" applyFont="1"/>
    <xf numFmtId="0" fontId="21" fillId="12" borderId="0" xfId="0" applyFont="1" applyFill="1"/>
    <xf numFmtId="1" fontId="9" fillId="15" borderId="0" xfId="0" applyNumberFormat="1" applyFont="1" applyFill="1"/>
    <xf numFmtId="41" fontId="2" fillId="0" borderId="0" xfId="0" applyNumberFormat="1" applyFont="1"/>
    <xf numFmtId="166" fontId="0" fillId="0" borderId="0" xfId="2" applyNumberFormat="1" applyFont="1"/>
    <xf numFmtId="14" fontId="0" fillId="0" borderId="0" xfId="0" applyNumberFormat="1"/>
    <xf numFmtId="3" fontId="0" fillId="9" borderId="0" xfId="0" applyNumberFormat="1" applyFill="1"/>
    <xf numFmtId="3" fontId="2" fillId="0" borderId="15" xfId="0" applyNumberFormat="1" applyFont="1" applyBorder="1"/>
    <xf numFmtId="0" fontId="10" fillId="10" borderId="0" xfId="0" applyFont="1" applyFill="1"/>
    <xf numFmtId="0" fontId="0" fillId="16" borderId="0" xfId="0" applyFill="1"/>
    <xf numFmtId="0" fontId="1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41" fontId="5" fillId="0" borderId="0" xfId="0" applyNumberFormat="1" applyFont="1" applyFill="1"/>
    <xf numFmtId="41" fontId="4" fillId="0" borderId="0" xfId="0" applyNumberFormat="1" applyFont="1" applyFill="1"/>
    <xf numFmtId="0" fontId="23" fillId="0" borderId="0" xfId="0" applyFont="1"/>
  </cellXfs>
  <cellStyles count="3">
    <cellStyle name="Millares [0]" xfId="1" builtinId="6"/>
    <cellStyle name="Normal" xfId="0" builtinId="0"/>
    <cellStyle name="Porcentaje" xfId="2" builtinId="5"/>
  </cellStyles>
  <dxfs count="908"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5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5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5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5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5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5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9"/>
      </font>
    </dxf>
    <dxf>
      <font>
        <color theme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9"/>
      </font>
    </dxf>
    <dxf>
      <font>
        <color theme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9"/>
      </font>
    </dxf>
    <dxf>
      <font>
        <color theme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9"/>
      </font>
    </dxf>
    <dxf>
      <font>
        <color theme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5"/>
      </font>
    </dxf>
    <dxf>
      <font>
        <color theme="9"/>
      </font>
    </dxf>
    <dxf>
      <numFmt numFmtId="33" formatCode="_ * #,##0_ ;_ * \-#,##0_ ;_ * &quot;-&quot;_ ;_ @_ "/>
    </dxf>
    <dxf>
      <numFmt numFmtId="33" formatCode="_ * #,##0_ ;_ * \-#,##0_ ;_ 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microsoft.com/office/2017/10/relationships/person" Target="persons/person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pivotCacheDefinition" Target="pivotCache/pivotCacheDefinition4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Composición de gasto mensual según tipo - kUSD</a:t>
            </a:r>
          </a:p>
        </c:rich>
      </c:tx>
      <c:layout>
        <c:manualLayout>
          <c:xMode val="edge"/>
          <c:yMode val="edge"/>
          <c:x val="1.8611111111111078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total_Análisis (2)'!$C$6</c:f>
              <c:strCache>
                <c:ptCount val="1"/>
                <c:pt idx="0">
                  <c:v>Sueldos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(2)'!$D$6:$O$6</c:f>
              <c:numCache>
                <c:formatCode>0</c:formatCode>
                <c:ptCount val="12"/>
                <c:pt idx="0">
                  <c:v>302.50526440642318</c:v>
                </c:pt>
                <c:pt idx="1">
                  <c:v>278.50060116096029</c:v>
                </c:pt>
                <c:pt idx="2">
                  <c:v>288.86500149146269</c:v>
                </c:pt>
                <c:pt idx="3">
                  <c:v>271.76517839345803</c:v>
                </c:pt>
                <c:pt idx="4">
                  <c:v>312.95631121944433</c:v>
                </c:pt>
                <c:pt idx="5">
                  <c:v>233.21148417415336</c:v>
                </c:pt>
                <c:pt idx="6">
                  <c:v>335.85132426394347</c:v>
                </c:pt>
                <c:pt idx="7">
                  <c:v>306.40784424821476</c:v>
                </c:pt>
                <c:pt idx="8">
                  <c:v>272.0217351820549</c:v>
                </c:pt>
                <c:pt idx="9">
                  <c:v>294.76603426968279</c:v>
                </c:pt>
                <c:pt idx="10">
                  <c:v>275.86337652075775</c:v>
                </c:pt>
                <c:pt idx="11">
                  <c:v>316.82887029160804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7-4864-B80C-84D4EA1814B9}"/>
            </c:ext>
          </c:extLst>
        </c:ser>
        <c:ser>
          <c:idx val="1"/>
          <c:order val="1"/>
          <c:tx>
            <c:strRef>
              <c:f>'Gasto total_Análisis (2)'!$C$7</c:f>
              <c:strCache>
                <c:ptCount val="1"/>
                <c:pt idx="0">
                  <c:v>Externo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(2)'!$D$7:$O$7</c:f>
              <c:numCache>
                <c:formatCode>0</c:formatCode>
                <c:ptCount val="12"/>
                <c:pt idx="0">
                  <c:v>123.39341412586258</c:v>
                </c:pt>
                <c:pt idx="1">
                  <c:v>95.218966663344958</c:v>
                </c:pt>
                <c:pt idx="2">
                  <c:v>63.271157047647058</c:v>
                </c:pt>
                <c:pt idx="3">
                  <c:v>9.5349992988309893</c:v>
                </c:pt>
                <c:pt idx="4">
                  <c:v>90.110011598630521</c:v>
                </c:pt>
                <c:pt idx="5">
                  <c:v>101.18793814098134</c:v>
                </c:pt>
                <c:pt idx="6">
                  <c:v>53.135334511133706</c:v>
                </c:pt>
                <c:pt idx="7">
                  <c:v>107.30164664650511</c:v>
                </c:pt>
                <c:pt idx="8">
                  <c:v>31.039189392285675</c:v>
                </c:pt>
                <c:pt idx="9">
                  <c:v>98.333949968307238</c:v>
                </c:pt>
                <c:pt idx="10">
                  <c:v>78.622168996553398</c:v>
                </c:pt>
                <c:pt idx="11">
                  <c:v>97.664796580877265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7-4864-B80C-84D4EA1814B9}"/>
            </c:ext>
          </c:extLst>
        </c:ser>
        <c:ser>
          <c:idx val="2"/>
          <c:order val="2"/>
          <c:tx>
            <c:strRef>
              <c:f>'Gasto total_Análisis (2)'!$C$8</c:f>
              <c:strCache>
                <c:ptCount val="1"/>
                <c:pt idx="0">
                  <c:v>Oficina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(2)'!$D$8:$O$8</c:f>
              <c:numCache>
                <c:formatCode>0</c:formatCode>
                <c:ptCount val="12"/>
                <c:pt idx="0">
                  <c:v>46.734790283948357</c:v>
                </c:pt>
                <c:pt idx="1">
                  <c:v>35.698196868571273</c:v>
                </c:pt>
                <c:pt idx="2">
                  <c:v>25.091045021603868</c:v>
                </c:pt>
                <c:pt idx="3">
                  <c:v>34.665022587828396</c:v>
                </c:pt>
                <c:pt idx="4">
                  <c:v>46.509807575282174</c:v>
                </c:pt>
                <c:pt idx="5">
                  <c:v>36.712330924326196</c:v>
                </c:pt>
                <c:pt idx="6">
                  <c:v>41.599820470156587</c:v>
                </c:pt>
                <c:pt idx="7">
                  <c:v>37.109385460802237</c:v>
                </c:pt>
                <c:pt idx="8">
                  <c:v>43.959912903121321</c:v>
                </c:pt>
                <c:pt idx="9">
                  <c:v>47.609466240455774</c:v>
                </c:pt>
                <c:pt idx="10">
                  <c:v>42.586412927130503</c:v>
                </c:pt>
                <c:pt idx="11">
                  <c:v>70.662433879247132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C7-4864-B80C-84D4EA1814B9}"/>
            </c:ext>
          </c:extLst>
        </c:ser>
        <c:ser>
          <c:idx val="3"/>
          <c:order val="3"/>
          <c:tx>
            <c:strRef>
              <c:f>'Gasto total_Análisis (2)'!$C$9</c:f>
              <c:strCache>
                <c:ptCount val="1"/>
                <c:pt idx="0">
                  <c:v>Extras personas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(2)'!$D$9:$O$9</c:f>
              <c:numCache>
                <c:formatCode>0</c:formatCode>
                <c:ptCount val="12"/>
                <c:pt idx="0">
                  <c:v>129.39817010191192</c:v>
                </c:pt>
                <c:pt idx="1">
                  <c:v>40.43176393718786</c:v>
                </c:pt>
                <c:pt idx="2">
                  <c:v>19.643364060830315</c:v>
                </c:pt>
                <c:pt idx="3">
                  <c:v>12.341404103388877</c:v>
                </c:pt>
                <c:pt idx="4">
                  <c:v>18.451805936010711</c:v>
                </c:pt>
                <c:pt idx="5">
                  <c:v>6.0272542328956469</c:v>
                </c:pt>
                <c:pt idx="6">
                  <c:v>5.0827933346544096</c:v>
                </c:pt>
                <c:pt idx="7">
                  <c:v>4.9271873319711803</c:v>
                </c:pt>
                <c:pt idx="8">
                  <c:v>4.7191497716500583</c:v>
                </c:pt>
                <c:pt idx="9">
                  <c:v>29.951058404517521</c:v>
                </c:pt>
                <c:pt idx="10">
                  <c:v>28.926818237958003</c:v>
                </c:pt>
                <c:pt idx="11">
                  <c:v>13.829525277763183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C7-4864-B80C-84D4EA1814B9}"/>
            </c:ext>
          </c:extLst>
        </c:ser>
        <c:ser>
          <c:idx val="4"/>
          <c:order val="4"/>
          <c:tx>
            <c:strRef>
              <c:f>'Gasto total_Análisis (2)'!$C$10</c:f>
              <c:strCache>
                <c:ptCount val="1"/>
                <c:pt idx="0">
                  <c:v>Viajes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(2)'!$D$10:$O$10</c:f>
              <c:numCache>
                <c:formatCode>0</c:formatCode>
                <c:ptCount val="12"/>
                <c:pt idx="0">
                  <c:v>70.940379610568385</c:v>
                </c:pt>
                <c:pt idx="1">
                  <c:v>15.541722628913062</c:v>
                </c:pt>
                <c:pt idx="2">
                  <c:v>6.4251697133057153</c:v>
                </c:pt>
                <c:pt idx="3">
                  <c:v>19.65406426562793</c:v>
                </c:pt>
                <c:pt idx="4">
                  <c:v>11.217310658473874</c:v>
                </c:pt>
                <c:pt idx="5">
                  <c:v>6.6439180250471681</c:v>
                </c:pt>
                <c:pt idx="6">
                  <c:v>10.766462434404199</c:v>
                </c:pt>
                <c:pt idx="7">
                  <c:v>12.765451293687494</c:v>
                </c:pt>
                <c:pt idx="8">
                  <c:v>12.095977046242213</c:v>
                </c:pt>
                <c:pt idx="9">
                  <c:v>8.7212621459397521</c:v>
                </c:pt>
                <c:pt idx="10">
                  <c:v>1.4406731165088513</c:v>
                </c:pt>
                <c:pt idx="11">
                  <c:v>16.033799999999999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C7-4864-B80C-84D4EA1814B9}"/>
            </c:ext>
          </c:extLst>
        </c:ser>
        <c:ser>
          <c:idx val="5"/>
          <c:order val="5"/>
          <c:tx>
            <c:strRef>
              <c:f>'Gasto total_Análisis (2)'!$C$11</c:f>
              <c:strCache>
                <c:ptCount val="1"/>
                <c:pt idx="0">
                  <c:v>Compañía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(2)'!$D$11:$O$11</c:f>
              <c:numCache>
                <c:formatCode>0</c:formatCode>
                <c:ptCount val="12"/>
                <c:pt idx="0">
                  <c:v>12.901351336468462</c:v>
                </c:pt>
                <c:pt idx="1">
                  <c:v>5.2800589554097819</c:v>
                </c:pt>
                <c:pt idx="2">
                  <c:v>2.6626842850206112</c:v>
                </c:pt>
                <c:pt idx="3">
                  <c:v>2.6842877080425773</c:v>
                </c:pt>
                <c:pt idx="4">
                  <c:v>6.9208513095393736</c:v>
                </c:pt>
                <c:pt idx="5">
                  <c:v>0</c:v>
                </c:pt>
                <c:pt idx="6">
                  <c:v>5.6590788856179879</c:v>
                </c:pt>
                <c:pt idx="7">
                  <c:v>5.7457511560382839</c:v>
                </c:pt>
                <c:pt idx="8">
                  <c:v>2.7826216516772653</c:v>
                </c:pt>
                <c:pt idx="9">
                  <c:v>5.5199494543857961</c:v>
                </c:pt>
                <c:pt idx="10">
                  <c:v>13.346370934540962</c:v>
                </c:pt>
                <c:pt idx="11">
                  <c:v>12.61271082864825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C7-4864-B80C-84D4EA1814B9}"/>
            </c:ext>
          </c:extLst>
        </c:ser>
        <c:ser>
          <c:idx val="6"/>
          <c:order val="6"/>
          <c:tx>
            <c:strRef>
              <c:f>'Gasto total_Análisis (2)'!$C$12</c:f>
              <c:strCache>
                <c:ptCount val="1"/>
                <c:pt idx="0">
                  <c:v>Comercial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(2)'!$D$12:$O$12</c:f>
              <c:numCache>
                <c:formatCode>0</c:formatCode>
                <c:ptCount val="12"/>
                <c:pt idx="0">
                  <c:v>1.1462879547131577</c:v>
                </c:pt>
                <c:pt idx="1">
                  <c:v>0.86461014697334537</c:v>
                </c:pt>
                <c:pt idx="2">
                  <c:v>1.7211988470240618</c:v>
                </c:pt>
                <c:pt idx="3">
                  <c:v>0</c:v>
                </c:pt>
                <c:pt idx="4">
                  <c:v>2.3744770558242907</c:v>
                </c:pt>
                <c:pt idx="5">
                  <c:v>0.89949032480995161</c:v>
                </c:pt>
                <c:pt idx="6">
                  <c:v>0.88847647083919967</c:v>
                </c:pt>
                <c:pt idx="7">
                  <c:v>0.8957952468007313</c:v>
                </c:pt>
                <c:pt idx="8">
                  <c:v>1.130629122985068</c:v>
                </c:pt>
                <c:pt idx="9">
                  <c:v>0.89204442017112695</c:v>
                </c:pt>
                <c:pt idx="10">
                  <c:v>2.3638328530259365</c:v>
                </c:pt>
                <c:pt idx="11">
                  <c:v>1.1941192047584126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C7-4864-B80C-84D4EA181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825190447"/>
        <c:axId val="1825191407"/>
      </c:barChart>
      <c:lineChart>
        <c:grouping val="standard"/>
        <c:varyColors val="0"/>
        <c:ser>
          <c:idx val="7"/>
          <c:order val="7"/>
          <c:tx>
            <c:strRef>
              <c:f>'Gasto total_Análisis (2)'!$C$14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 (2)'!$D$14:$O$14</c:f>
              <c:numCache>
                <c:formatCode>#,##0</c:formatCode>
                <c:ptCount val="12"/>
                <c:pt idx="0">
                  <c:v>688.03015980959503</c:v>
                </c:pt>
                <c:pt idx="1">
                  <c:v>472.2550401687206</c:v>
                </c:pt>
                <c:pt idx="2">
                  <c:v>408.15190203799403</c:v>
                </c:pt>
                <c:pt idx="3">
                  <c:v>351.00939659172593</c:v>
                </c:pt>
                <c:pt idx="4">
                  <c:v>489.35443490913855</c:v>
                </c:pt>
                <c:pt idx="5">
                  <c:v>386.32449042483978</c:v>
                </c:pt>
                <c:pt idx="6">
                  <c:v>455.15249050727414</c:v>
                </c:pt>
                <c:pt idx="7">
                  <c:v>476.34707578341755</c:v>
                </c:pt>
                <c:pt idx="8">
                  <c:v>368.87724292547045</c:v>
                </c:pt>
                <c:pt idx="9">
                  <c:v>486.65788933990865</c:v>
                </c:pt>
                <c:pt idx="10">
                  <c:v>444.70353728347004</c:v>
                </c:pt>
                <c:pt idx="11">
                  <c:v>530.39638060457912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C7-4864-B80C-84D4EA181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190447"/>
        <c:axId val="1825191407"/>
      </c:lineChart>
      <c:lineChart>
        <c:grouping val="standard"/>
        <c:varyColors val="0"/>
        <c:ser>
          <c:idx val="8"/>
          <c:order val="8"/>
          <c:tx>
            <c:strRef>
              <c:f>'Gasto total_Análisis (2)'!$C$15</c:f>
              <c:strCache>
                <c:ptCount val="1"/>
                <c:pt idx="0">
                  <c:v>Acumulado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2700" cap="flat" cmpd="sng" algn="ctr">
                <a:solidFill>
                  <a:srgbClr val="FF0000"/>
                </a:solidFill>
                <a:prstDash val="sysDot"/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C7-4864-B80C-84D4EA1814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(2)'!$D$15:$O$15</c:f>
              <c:numCache>
                <c:formatCode>#,##0</c:formatCode>
                <c:ptCount val="12"/>
                <c:pt idx="0">
                  <c:v>688.03015980959503</c:v>
                </c:pt>
                <c:pt idx="1">
                  <c:v>1160.2851999783156</c:v>
                </c:pt>
                <c:pt idx="2">
                  <c:v>1568.4371020163096</c:v>
                </c:pt>
                <c:pt idx="3">
                  <c:v>1919.4464986080357</c:v>
                </c:pt>
                <c:pt idx="4">
                  <c:v>2408.8009335171741</c:v>
                </c:pt>
                <c:pt idx="5">
                  <c:v>2795.1254239420141</c:v>
                </c:pt>
                <c:pt idx="6">
                  <c:v>3250.2779144492883</c:v>
                </c:pt>
                <c:pt idx="7">
                  <c:v>3726.6249902327058</c:v>
                </c:pt>
                <c:pt idx="8">
                  <c:v>4095.5022331581763</c:v>
                </c:pt>
                <c:pt idx="9">
                  <c:v>4582.160122498085</c:v>
                </c:pt>
                <c:pt idx="10">
                  <c:v>5026.8636597815548</c:v>
                </c:pt>
                <c:pt idx="11">
                  <c:v>5557.2600403861343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C7-4864-B80C-84D4EA181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740127"/>
        <c:axId val="1876738207"/>
      </c:lineChart>
      <c:catAx>
        <c:axId val="182519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1407"/>
        <c:crosses val="autoZero"/>
        <c:auto val="1"/>
        <c:lblAlgn val="ctr"/>
        <c:lblOffset val="100"/>
        <c:noMultiLvlLbl val="0"/>
      </c:catAx>
      <c:valAx>
        <c:axId val="18251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0447"/>
        <c:crosses val="autoZero"/>
        <c:crossBetween val="between"/>
      </c:valAx>
      <c:valAx>
        <c:axId val="1876738207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6740127"/>
        <c:crosses val="max"/>
        <c:crossBetween val="between"/>
      </c:valAx>
      <c:catAx>
        <c:axId val="1876740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6738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Composición de gasto mensual por unidad - kUSD</a:t>
            </a:r>
          </a:p>
        </c:rich>
      </c:tx>
      <c:layout>
        <c:manualLayout>
          <c:xMode val="edge"/>
          <c:yMode val="edge"/>
          <c:x val="2.416666666666663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total_Análisis (2)'!$C$24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(2)'!$D$24:$O$24</c:f>
              <c:numCache>
                <c:formatCode>0</c:formatCode>
                <c:ptCount val="12"/>
                <c:pt idx="0">
                  <c:v>476.29050540204207</c:v>
                </c:pt>
                <c:pt idx="1">
                  <c:v>313.31491841733776</c:v>
                </c:pt>
                <c:pt idx="2">
                  <c:v>275.86854834543823</c:v>
                </c:pt>
                <c:pt idx="3">
                  <c:v>231.52127189784832</c:v>
                </c:pt>
                <c:pt idx="4">
                  <c:v>317.17005490913857</c:v>
                </c:pt>
                <c:pt idx="5">
                  <c:v>288.14494428127159</c:v>
                </c:pt>
                <c:pt idx="6">
                  <c:v>292.12749050727416</c:v>
                </c:pt>
                <c:pt idx="7">
                  <c:v>299.21778578341736</c:v>
                </c:pt>
                <c:pt idx="8">
                  <c:v>267.60024292547041</c:v>
                </c:pt>
                <c:pt idx="9">
                  <c:v>356.05443933990841</c:v>
                </c:pt>
                <c:pt idx="10">
                  <c:v>318.2745372834699</c:v>
                </c:pt>
                <c:pt idx="11">
                  <c:v>334.87696060457898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2-446E-8FFA-5B73BBBAE3D9}"/>
            </c:ext>
          </c:extLst>
        </c:ser>
        <c:ser>
          <c:idx val="1"/>
          <c:order val="1"/>
          <c:tx>
            <c:strRef>
              <c:f>'Gasto total_Análisis (2)'!$C$25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(2)'!$D$25:$O$25</c:f>
              <c:numCache>
                <c:formatCode>0</c:formatCode>
                <c:ptCount val="12"/>
                <c:pt idx="0">
                  <c:v>167.14016440755313</c:v>
                </c:pt>
                <c:pt idx="1">
                  <c:v>109.66978175138264</c:v>
                </c:pt>
                <c:pt idx="2">
                  <c:v>119.90377369255575</c:v>
                </c:pt>
                <c:pt idx="3">
                  <c:v>98.132410000000007</c:v>
                </c:pt>
                <c:pt idx="4">
                  <c:v>125.25863</c:v>
                </c:pt>
                <c:pt idx="5">
                  <c:v>82.824806143568253</c:v>
                </c:pt>
                <c:pt idx="6">
                  <c:v>139.67400000000001</c:v>
                </c:pt>
                <c:pt idx="7">
                  <c:v>152.09422000000004</c:v>
                </c:pt>
                <c:pt idx="8">
                  <c:v>73.593999999999994</c:v>
                </c:pt>
                <c:pt idx="9">
                  <c:v>88.148450000000025</c:v>
                </c:pt>
                <c:pt idx="10">
                  <c:v>112.788</c:v>
                </c:pt>
                <c:pt idx="11">
                  <c:v>159.18261999999999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2-446E-8FFA-5B73BBBAE3D9}"/>
            </c:ext>
          </c:extLst>
        </c:ser>
        <c:ser>
          <c:idx val="2"/>
          <c:order val="2"/>
          <c:tx>
            <c:strRef>
              <c:f>'Gasto total_Análisis (2)'!$C$26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(2)'!$D$26:$O$26</c:f>
              <c:numCache>
                <c:formatCode>0</c:formatCode>
                <c:ptCount val="12"/>
                <c:pt idx="0">
                  <c:v>44.599490000000003</c:v>
                </c:pt>
                <c:pt idx="1">
                  <c:v>49.270340000000004</c:v>
                </c:pt>
                <c:pt idx="2">
                  <c:v>12.379580000000001</c:v>
                </c:pt>
                <c:pt idx="3">
                  <c:v>21.355714693877552</c:v>
                </c:pt>
                <c:pt idx="4">
                  <c:v>46.925750000000001</c:v>
                </c:pt>
                <c:pt idx="5">
                  <c:v>15.35474</c:v>
                </c:pt>
                <c:pt idx="6">
                  <c:v>23.350999999999999</c:v>
                </c:pt>
                <c:pt idx="7">
                  <c:v>25.035070000000001</c:v>
                </c:pt>
                <c:pt idx="8">
                  <c:v>27.683</c:v>
                </c:pt>
                <c:pt idx="9">
                  <c:v>42.454999999999998</c:v>
                </c:pt>
                <c:pt idx="10">
                  <c:v>13.641</c:v>
                </c:pt>
                <c:pt idx="11">
                  <c:v>36.336800000000004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2-446E-8FFA-5B73BBBAE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825190447"/>
        <c:axId val="1825191407"/>
      </c:barChart>
      <c:lineChart>
        <c:grouping val="standard"/>
        <c:varyColors val="0"/>
        <c:ser>
          <c:idx val="3"/>
          <c:order val="3"/>
          <c:tx>
            <c:strRef>
              <c:f>'Gasto total_Análisis (2)'!$C$27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8694444444444547E-2"/>
                  <c:y val="-4.1122776319626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32-446E-8FFA-5B73BBBAE3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 (2)'!$D$27:$O$27</c:f>
              <c:numCache>
                <c:formatCode>#,##0</c:formatCode>
                <c:ptCount val="12"/>
                <c:pt idx="0">
                  <c:v>688.03015980959526</c:v>
                </c:pt>
                <c:pt idx="1">
                  <c:v>472.25504016872037</c:v>
                </c:pt>
                <c:pt idx="2">
                  <c:v>408.15190203799392</c:v>
                </c:pt>
                <c:pt idx="3">
                  <c:v>351.00939659172587</c:v>
                </c:pt>
                <c:pt idx="4">
                  <c:v>489.35443490913855</c:v>
                </c:pt>
                <c:pt idx="5">
                  <c:v>386.32449042483984</c:v>
                </c:pt>
                <c:pt idx="6">
                  <c:v>455.15249050727414</c:v>
                </c:pt>
                <c:pt idx="7">
                  <c:v>476.34707578341738</c:v>
                </c:pt>
                <c:pt idx="8">
                  <c:v>368.8772429254704</c:v>
                </c:pt>
                <c:pt idx="9">
                  <c:v>486.65788933990842</c:v>
                </c:pt>
                <c:pt idx="10">
                  <c:v>444.70353728346993</c:v>
                </c:pt>
                <c:pt idx="11">
                  <c:v>530.39638060457901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32-446E-8FFA-5B73BBBAE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190447"/>
        <c:axId val="1825191407"/>
      </c:lineChart>
      <c:lineChart>
        <c:grouping val="standard"/>
        <c:varyColors val="0"/>
        <c:ser>
          <c:idx val="4"/>
          <c:order val="4"/>
          <c:tx>
            <c:strRef>
              <c:f>'Gasto total_Análisis (2)'!$C$28</c:f>
              <c:strCache>
                <c:ptCount val="1"/>
                <c:pt idx="0">
                  <c:v>Acumulado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2700" cap="flat" cmpd="sng" algn="ctr">
                <a:solidFill>
                  <a:srgbClr val="C00000"/>
                </a:solidFill>
                <a:prstDash val="sysDot"/>
                <a:round/>
              </a:ln>
              <a:effectLst/>
            </c:spPr>
          </c:marker>
          <c:dLbls>
            <c:dLbl>
              <c:idx val="11"/>
              <c:layout>
                <c:manualLayout>
                  <c:x val="-6.6666666666666763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32-446E-8FFA-5B73BBBAE3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 (2)'!$D$28:$O$28</c:f>
              <c:numCache>
                <c:formatCode>#,##0</c:formatCode>
                <c:ptCount val="12"/>
                <c:pt idx="0">
                  <c:v>688.03015980959526</c:v>
                </c:pt>
                <c:pt idx="1">
                  <c:v>1160.2851999783156</c:v>
                </c:pt>
                <c:pt idx="2">
                  <c:v>1568.4371020163096</c:v>
                </c:pt>
                <c:pt idx="3">
                  <c:v>1919.4464986080354</c:v>
                </c:pt>
                <c:pt idx="4">
                  <c:v>2408.8009335171741</c:v>
                </c:pt>
                <c:pt idx="5">
                  <c:v>2795.1254239420141</c:v>
                </c:pt>
                <c:pt idx="6">
                  <c:v>3250.2779144492883</c:v>
                </c:pt>
                <c:pt idx="7">
                  <c:v>3726.6249902327058</c:v>
                </c:pt>
                <c:pt idx="8">
                  <c:v>4095.5022331581763</c:v>
                </c:pt>
                <c:pt idx="9">
                  <c:v>4582.160122498085</c:v>
                </c:pt>
                <c:pt idx="10">
                  <c:v>5026.8636597815548</c:v>
                </c:pt>
                <c:pt idx="11">
                  <c:v>5557.2600403861343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32-446E-8FFA-5B73BBBAE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402128"/>
        <c:axId val="1013405008"/>
      </c:lineChart>
      <c:catAx>
        <c:axId val="182519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1407"/>
        <c:crosses val="autoZero"/>
        <c:auto val="1"/>
        <c:lblAlgn val="ctr"/>
        <c:lblOffset val="100"/>
        <c:noMultiLvlLbl val="0"/>
      </c:catAx>
      <c:valAx>
        <c:axId val="18251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0447"/>
        <c:crosses val="autoZero"/>
        <c:crossBetween val="between"/>
      </c:valAx>
      <c:valAx>
        <c:axId val="101340500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3402128"/>
        <c:crosses val="max"/>
        <c:crossBetween val="between"/>
        <c:majorUnit val="1000"/>
      </c:valAx>
      <c:catAx>
        <c:axId val="1013402128"/>
        <c:scaling>
          <c:orientation val="minMax"/>
        </c:scaling>
        <c:delete val="1"/>
        <c:axPos val="b"/>
        <c:majorTickMark val="out"/>
        <c:minorTickMark val="none"/>
        <c:tickLblPos val="nextTo"/>
        <c:crossAx val="1013405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gasto según tipo</a:t>
            </a:r>
          </a:p>
        </c:rich>
      </c:tx>
      <c:layout>
        <c:manualLayout>
          <c:xMode val="edge"/>
          <c:yMode val="edge"/>
          <c:x val="2.010411198600176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'Gasto total_Análisis (2)'!$P$5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B0-4DF4-BFF5-265326F983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B0-4DF4-BFF5-265326F983A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B0-4DF4-BFF5-265326F983A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B0-4DF4-BFF5-265326F983A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5B0-4DF4-BFF5-265326F983A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B0-4DF4-BFF5-265326F983A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5B0-4DF4-BFF5-265326F983A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5B0-4DF4-BFF5-265326F983A3}"/>
              </c:ext>
            </c:extLst>
          </c:dPt>
          <c:dLbls>
            <c:dLbl>
              <c:idx val="3"/>
              <c:layout>
                <c:manualLayout>
                  <c:x val="-3.0555555555555607E-2"/>
                  <c:y val="-9.259259259259258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B0-4DF4-BFF5-265326F983A3}"/>
                </c:ext>
              </c:extLst>
            </c:dLbl>
            <c:dLbl>
              <c:idx val="4"/>
              <c:layout>
                <c:manualLayout>
                  <c:x val="-1.9444444444444545E-2"/>
                  <c:y val="-3.70370370370370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B0-4DF4-BFF5-265326F983A3}"/>
                </c:ext>
              </c:extLst>
            </c:dLbl>
            <c:dLbl>
              <c:idx val="5"/>
              <c:layout>
                <c:manualLayout>
                  <c:x val="8.3333333333333332E-3"/>
                  <c:y val="-4.166666666666666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B0-4DF4-BFF5-265326F983A3}"/>
                </c:ext>
              </c:extLst>
            </c:dLbl>
            <c:dLbl>
              <c:idx val="6"/>
              <c:layout>
                <c:manualLayout>
                  <c:x val="0.1583333333333331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5B0-4DF4-BFF5-265326F983A3}"/>
                </c:ext>
              </c:extLst>
            </c:dLbl>
            <c:dLbl>
              <c:idx val="7"/>
              <c:layout>
                <c:manualLayout>
                  <c:x val="5.2777777777777778E-2"/>
                  <c:y val="-2.77777777777777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5B0-4DF4-BFF5-265326F983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'Gasto total_Análisis (2)'!$C$6:$C$13</c:f>
              <c:strCache>
                <c:ptCount val="8"/>
                <c:pt idx="0">
                  <c:v>Sueldos</c:v>
                </c:pt>
                <c:pt idx="1">
                  <c:v>Externo</c:v>
                </c:pt>
                <c:pt idx="2">
                  <c:v>Oficina</c:v>
                </c:pt>
                <c:pt idx="3">
                  <c:v>Extras personas</c:v>
                </c:pt>
                <c:pt idx="4">
                  <c:v>Viajes</c:v>
                </c:pt>
                <c:pt idx="5">
                  <c:v>Compañía</c:v>
                </c:pt>
                <c:pt idx="6">
                  <c:v>Comercial</c:v>
                </c:pt>
                <c:pt idx="7">
                  <c:v>Bancarios</c:v>
                </c:pt>
              </c:strCache>
            </c:strRef>
          </c:cat>
          <c:val>
            <c:numRef>
              <c:f>'Gasto total_Análisis (2)'!$P$6:$P$13</c:f>
              <c:numCache>
                <c:formatCode>#,##0</c:formatCode>
                <c:ptCount val="8"/>
                <c:pt idx="0">
                  <c:v>3489.5430256221634</c:v>
                </c:pt>
                <c:pt idx="1">
                  <c:v>948.81357297095997</c:v>
                </c:pt>
                <c:pt idx="2">
                  <c:v>508.93862514247382</c:v>
                </c:pt>
                <c:pt idx="3">
                  <c:v>313.73029473073967</c:v>
                </c:pt>
                <c:pt idx="4">
                  <c:v>192.24619093871866</c:v>
                </c:pt>
                <c:pt idx="5">
                  <c:v>76.115716505389358</c:v>
                </c:pt>
                <c:pt idx="6">
                  <c:v>14.370961647925281</c:v>
                </c:pt>
                <c:pt idx="7">
                  <c:v>13.501652827763619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5B0-4DF4-BFF5-265326F98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</a:t>
            </a:r>
            <a:r>
              <a:rPr lang="en-US" baseline="0"/>
              <a:t> de gastos según unidad</a:t>
            </a:r>
            <a:endParaRPr lang="en-US"/>
          </a:p>
        </c:rich>
      </c:tx>
      <c:layout>
        <c:manualLayout>
          <c:xMode val="edge"/>
          <c:yMode val="edge"/>
          <c:x val="2.5159667541557303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'Gasto total_Análisis (2)'!$P$5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31-4F25-86A3-D7814F6B162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31-4F25-86A3-D7814F6B162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31-4F25-86A3-D7814F6B16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'Gasto total_Análisis (2)'!$C$24:$C$26</c:f>
              <c:strCache>
                <c:ptCount val="3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</c:strCache>
            </c:strRef>
          </c:cat>
          <c:val>
            <c:numRef>
              <c:f>'Gasto total_Análisis (2)'!$P$24:$P$26</c:f>
              <c:numCache>
                <c:formatCode>#,##0</c:formatCode>
                <c:ptCount val="3"/>
                <c:pt idx="0">
                  <c:v>3770.4616996971954</c:v>
                </c:pt>
                <c:pt idx="1">
                  <c:v>1428.41085599506</c:v>
                </c:pt>
                <c:pt idx="2">
                  <c:v>358.38748469387752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31-4F25-86A3-D7814F6B1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100"/>
              <a:t>Composición de gasto por tipo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'Gasto total_Análisis (2)'!$C$48</c:f>
              <c:strCache>
                <c:ptCount val="1"/>
                <c:pt idx="0">
                  <c:v>Sueldos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strRef>
              <c:f>'Gasto total_Análisis (2)'!$D$47:$O$47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(2)'!$D$48:$O$48</c:f>
              <c:numCache>
                <c:formatCode>#,##0</c:formatCode>
                <c:ptCount val="12"/>
                <c:pt idx="0">
                  <c:v>344.70390995879359</c:v>
                </c:pt>
                <c:pt idx="1">
                  <c:v>313.8673311609603</c:v>
                </c:pt>
                <c:pt idx="2">
                  <c:v>332.55780405636619</c:v>
                </c:pt>
                <c:pt idx="3">
                  <c:v>271.76517839345803</c:v>
                </c:pt>
                <c:pt idx="4">
                  <c:v>381.94289121944433</c:v>
                </c:pt>
                <c:pt idx="5">
                  <c:v>266.57109229333497</c:v>
                </c:pt>
                <c:pt idx="6">
                  <c:v>407.31932426394349</c:v>
                </c:pt>
                <c:pt idx="7">
                  <c:v>375.94013881379226</c:v>
                </c:pt>
                <c:pt idx="8">
                  <c:v>286.92173518205487</c:v>
                </c:pt>
                <c:pt idx="9">
                  <c:v>356.79322733012441</c:v>
                </c:pt>
                <c:pt idx="10">
                  <c:v>318.18725103114639</c:v>
                </c:pt>
                <c:pt idx="11">
                  <c:v>488.78770273452176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A-4742-878D-31C5644A3CDA}"/>
            </c:ext>
          </c:extLst>
        </c:ser>
        <c:ser>
          <c:idx val="1"/>
          <c:order val="1"/>
          <c:tx>
            <c:strRef>
              <c:f>'Gasto total_Análisis (2)'!$C$49</c:f>
              <c:strCache>
                <c:ptCount val="1"/>
                <c:pt idx="0">
                  <c:v>Oficina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strRef>
              <c:f>'Gasto total_Análisis (2)'!$D$47:$O$47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(2)'!$D$49:$O$49</c:f>
              <c:numCache>
                <c:formatCode>#,##0</c:formatCode>
                <c:ptCount val="12"/>
                <c:pt idx="0">
                  <c:v>67.486890793618784</c:v>
                </c:pt>
                <c:pt idx="1">
                  <c:v>43.518065585574149</c:v>
                </c:pt>
                <c:pt idx="2">
                  <c:v>36.558027984652625</c:v>
                </c:pt>
                <c:pt idx="3">
                  <c:v>37.66134911844064</c:v>
                </c:pt>
                <c:pt idx="4">
                  <c:v>56.954104461463032</c:v>
                </c:pt>
                <c:pt idx="5">
                  <c:v>42.344467753973746</c:v>
                </c:pt>
                <c:pt idx="6">
                  <c:v>56.942870216306169</c:v>
                </c:pt>
                <c:pt idx="7">
                  <c:v>42.078969936552319</c:v>
                </c:pt>
                <c:pt idx="8">
                  <c:v>48.0933146802561</c:v>
                </c:pt>
                <c:pt idx="9">
                  <c:v>56.748175468641556</c:v>
                </c:pt>
                <c:pt idx="10">
                  <c:v>51.180094895018527</c:v>
                </c:pt>
                <c:pt idx="11">
                  <c:v>80.80969296504523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A-4742-878D-31C5644A3CDA}"/>
            </c:ext>
          </c:extLst>
        </c:ser>
        <c:ser>
          <c:idx val="2"/>
          <c:order val="2"/>
          <c:tx>
            <c:strRef>
              <c:f>'Gasto total_Análisis (2)'!$C$50</c:f>
              <c:strCache>
                <c:ptCount val="1"/>
                <c:pt idx="0">
                  <c:v>Otros gastos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cat>
            <c:strRef>
              <c:f>'Gasto total_Análisis (2)'!$D$47:$O$47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(2)'!$D$50:$O$50</c:f>
              <c:numCache>
                <c:formatCode>#,##0</c:formatCode>
                <c:ptCount val="12"/>
                <c:pt idx="0">
                  <c:v>215.39669099336095</c:v>
                </c:pt>
                <c:pt idx="1">
                  <c:v>62.837275475844081</c:v>
                </c:pt>
                <c:pt idx="2">
                  <c:v>30.924698477280408</c:v>
                </c:pt>
                <c:pt idx="3">
                  <c:v>35.044196311608509</c:v>
                </c:pt>
                <c:pt idx="4">
                  <c:v>39.778304515781485</c:v>
                </c:pt>
                <c:pt idx="5">
                  <c:v>15.212737185378888</c:v>
                </c:pt>
                <c:pt idx="6">
                  <c:v>24.566011262040391</c:v>
                </c:pt>
                <c:pt idx="7">
                  <c:v>25.528199427895473</c:v>
                </c:pt>
                <c:pt idx="8">
                  <c:v>21.856405448008548</c:v>
                </c:pt>
                <c:pt idx="9">
                  <c:v>45.948438861462719</c:v>
                </c:pt>
                <c:pt idx="10">
                  <c:v>47.631578839028393</c:v>
                </c:pt>
                <c:pt idx="11">
                  <c:v>45.240279852846697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9A-4742-878D-31C5644A3CDA}"/>
            </c:ext>
          </c:extLst>
        </c:ser>
        <c:ser>
          <c:idx val="9"/>
          <c:order val="4"/>
          <c:tx>
            <c:strRef>
              <c:f>'Gasto total_Análisis (2)'!$C$51</c:f>
              <c:strCache>
                <c:ptCount val="1"/>
                <c:pt idx="0">
                  <c:v>Externo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  <c:val>
            <c:numRef>
              <c:f>'Gasto total_Análisis (2)'!$D$51:$O$51</c:f>
              <c:numCache>
                <c:formatCode>#,##0</c:formatCode>
                <c:ptCount val="12"/>
                <c:pt idx="0">
                  <c:v>60.442668063821728</c:v>
                </c:pt>
                <c:pt idx="1">
                  <c:v>52.032367946342077</c:v>
                </c:pt>
                <c:pt idx="2">
                  <c:v>37.917371519694811</c:v>
                </c:pt>
                <c:pt idx="3">
                  <c:v>6.5386727682187447</c:v>
                </c:pt>
                <c:pt idx="4">
                  <c:v>44.088134712449673</c:v>
                </c:pt>
                <c:pt idx="5">
                  <c:v>70.708193192152208</c:v>
                </c:pt>
                <c:pt idx="6">
                  <c:v>37.792284764984124</c:v>
                </c:pt>
                <c:pt idx="7">
                  <c:v>94.762767605177558</c:v>
                </c:pt>
                <c:pt idx="8">
                  <c:v>26.905787615150903</c:v>
                </c:pt>
                <c:pt idx="9">
                  <c:v>59.523047679679841</c:v>
                </c:pt>
                <c:pt idx="10">
                  <c:v>35.204612518276733</c:v>
                </c:pt>
                <c:pt idx="11">
                  <c:v>66.228705052165409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9A-4742-878D-31C5644A3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313439"/>
        <c:axId val="1177313919"/>
      </c:areaChart>
      <c:lineChart>
        <c:grouping val="standard"/>
        <c:varyColors val="0"/>
        <c:ser>
          <c:idx val="8"/>
          <c:order val="3"/>
          <c:tx>
            <c:strRef>
              <c:f>'Gasto total_Análisis (2)'!$C$52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chemeClr val="accent6">
                  <a:lumMod val="80000"/>
                  <a:lumOff val="2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 (2)'!$D$52:$O$52</c:f>
              <c:numCache>
                <c:formatCode>#,##0</c:formatCode>
                <c:ptCount val="12"/>
                <c:pt idx="0">
                  <c:v>688.03015980959515</c:v>
                </c:pt>
                <c:pt idx="1">
                  <c:v>472.2550401687206</c:v>
                </c:pt>
                <c:pt idx="2">
                  <c:v>437.95790203799407</c:v>
                </c:pt>
                <c:pt idx="3">
                  <c:v>351.00939659172593</c:v>
                </c:pt>
                <c:pt idx="4">
                  <c:v>522.76343490913848</c:v>
                </c:pt>
                <c:pt idx="5">
                  <c:v>394.83649042483978</c:v>
                </c:pt>
                <c:pt idx="6">
                  <c:v>526.62049050727421</c:v>
                </c:pt>
                <c:pt idx="7">
                  <c:v>538.31007578341757</c:v>
                </c:pt>
                <c:pt idx="8">
                  <c:v>383.77724292547049</c:v>
                </c:pt>
                <c:pt idx="9">
                  <c:v>519.0128893399085</c:v>
                </c:pt>
                <c:pt idx="10">
                  <c:v>452.2035372834701</c:v>
                </c:pt>
                <c:pt idx="11">
                  <c:v>681.06638060457908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9A-4742-878D-31C5644A3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313439"/>
        <c:axId val="1177313919"/>
      </c:lineChart>
      <c:catAx>
        <c:axId val="1177313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313919"/>
        <c:crosses val="autoZero"/>
        <c:auto val="1"/>
        <c:lblAlgn val="ctr"/>
        <c:lblOffset val="100"/>
        <c:noMultiLvlLbl val="0"/>
      </c:catAx>
      <c:valAx>
        <c:axId val="11773139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1773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100"/>
              <a:t>Composición de gasto por unidad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'Gasto total_Análisis (2)'!$C$40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'Gasto total_Análisis (2)'!$D$39:$O$39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(2)'!$D$40:$O$40</c:f>
              <c:numCache>
                <c:formatCode>0</c:formatCode>
                <c:ptCount val="12"/>
                <c:pt idx="0">
                  <c:v>476.29050540204207</c:v>
                </c:pt>
                <c:pt idx="1">
                  <c:v>313.31491841733776</c:v>
                </c:pt>
                <c:pt idx="2">
                  <c:v>275.86854834543823</c:v>
                </c:pt>
                <c:pt idx="3">
                  <c:v>231.52127189784832</c:v>
                </c:pt>
                <c:pt idx="4">
                  <c:v>317.17005490913857</c:v>
                </c:pt>
                <c:pt idx="5">
                  <c:v>288.14494428127159</c:v>
                </c:pt>
                <c:pt idx="6">
                  <c:v>292.12749050727416</c:v>
                </c:pt>
                <c:pt idx="7">
                  <c:v>299.21778578341736</c:v>
                </c:pt>
                <c:pt idx="8">
                  <c:v>267.60024292547041</c:v>
                </c:pt>
                <c:pt idx="9">
                  <c:v>356.05443933990841</c:v>
                </c:pt>
                <c:pt idx="10">
                  <c:v>318.2745372834699</c:v>
                </c:pt>
                <c:pt idx="11">
                  <c:v>334.87696060457898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4-4359-A8EF-0841693D84AB}"/>
            </c:ext>
          </c:extLst>
        </c:ser>
        <c:ser>
          <c:idx val="1"/>
          <c:order val="1"/>
          <c:tx>
            <c:strRef>
              <c:f>'Gasto total_Análisis (2)'!$C$41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strRef>
              <c:f>'Gasto total_Análisis (2)'!$D$39:$O$39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(2)'!$D$41:$O$41</c:f>
              <c:numCache>
                <c:formatCode>0</c:formatCode>
                <c:ptCount val="12"/>
                <c:pt idx="0">
                  <c:v>167.14016440755313</c:v>
                </c:pt>
                <c:pt idx="1">
                  <c:v>109.66978175138264</c:v>
                </c:pt>
                <c:pt idx="2">
                  <c:v>119.90377369255575</c:v>
                </c:pt>
                <c:pt idx="3">
                  <c:v>98.132410000000007</c:v>
                </c:pt>
                <c:pt idx="4">
                  <c:v>125.25863</c:v>
                </c:pt>
                <c:pt idx="5">
                  <c:v>82.824806143568253</c:v>
                </c:pt>
                <c:pt idx="6">
                  <c:v>139.67400000000001</c:v>
                </c:pt>
                <c:pt idx="7">
                  <c:v>152.09422000000004</c:v>
                </c:pt>
                <c:pt idx="8">
                  <c:v>73.593999999999994</c:v>
                </c:pt>
                <c:pt idx="9">
                  <c:v>88.148450000000025</c:v>
                </c:pt>
                <c:pt idx="10">
                  <c:v>112.788</c:v>
                </c:pt>
                <c:pt idx="11">
                  <c:v>159.18261999999999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4-4359-A8EF-0841693D84AB}"/>
            </c:ext>
          </c:extLst>
        </c:ser>
        <c:ser>
          <c:idx val="2"/>
          <c:order val="2"/>
          <c:tx>
            <c:strRef>
              <c:f>'Gasto total_Análisis (2)'!$C$42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strRef>
              <c:f>'Gasto total_Análisis (2)'!$D$39:$O$39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(2)'!$D$42:$O$42</c:f>
              <c:numCache>
                <c:formatCode>0</c:formatCode>
                <c:ptCount val="12"/>
                <c:pt idx="0">
                  <c:v>44.599490000000003</c:v>
                </c:pt>
                <c:pt idx="1">
                  <c:v>49.270340000000004</c:v>
                </c:pt>
                <c:pt idx="2">
                  <c:v>12.379580000000001</c:v>
                </c:pt>
                <c:pt idx="3">
                  <c:v>21.355714693877552</c:v>
                </c:pt>
                <c:pt idx="4">
                  <c:v>46.925750000000001</c:v>
                </c:pt>
                <c:pt idx="5">
                  <c:v>15.35474</c:v>
                </c:pt>
                <c:pt idx="6">
                  <c:v>23.350999999999999</c:v>
                </c:pt>
                <c:pt idx="7">
                  <c:v>25.035070000000001</c:v>
                </c:pt>
                <c:pt idx="8">
                  <c:v>27.683</c:v>
                </c:pt>
                <c:pt idx="9">
                  <c:v>42.454999999999998</c:v>
                </c:pt>
                <c:pt idx="10">
                  <c:v>13.641</c:v>
                </c:pt>
                <c:pt idx="11">
                  <c:v>36.336800000000004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4-4359-A8EF-0841693D84AB}"/>
            </c:ext>
          </c:extLst>
        </c:ser>
        <c:ser>
          <c:idx val="3"/>
          <c:order val="3"/>
          <c:tx>
            <c:strRef>
              <c:f>'Gasto total_Análisis (2)'!$C$43</c:f>
              <c:strCache>
                <c:ptCount val="1"/>
                <c:pt idx="0">
                  <c:v>EEUU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strRef>
              <c:f>'Gasto total_Análisis (2)'!$D$39:$O$39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(2)'!$D$43:$O$43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29.806000000000001</c:v>
                </c:pt>
                <c:pt idx="3">
                  <c:v>0</c:v>
                </c:pt>
                <c:pt idx="4">
                  <c:v>33.408999999999999</c:v>
                </c:pt>
                <c:pt idx="5">
                  <c:v>8.5120000000000005</c:v>
                </c:pt>
                <c:pt idx="6">
                  <c:v>71.468000000000004</c:v>
                </c:pt>
                <c:pt idx="7">
                  <c:v>61.963000000000001</c:v>
                </c:pt>
                <c:pt idx="8">
                  <c:v>14.9</c:v>
                </c:pt>
                <c:pt idx="9">
                  <c:v>32.355000000000004</c:v>
                </c:pt>
                <c:pt idx="10">
                  <c:v>7.5</c:v>
                </c:pt>
                <c:pt idx="11">
                  <c:v>150.66999999999999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84-4359-A8EF-0841693D8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313439"/>
        <c:axId val="1177313919"/>
      </c:areaChart>
      <c:lineChart>
        <c:grouping val="standard"/>
        <c:varyColors val="0"/>
        <c:ser>
          <c:idx val="4"/>
          <c:order val="4"/>
          <c:tx>
            <c:strRef>
              <c:f>'Gasto total_Análisis (2)'!$C$44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 (2)'!$D$44:$O$44</c:f>
              <c:numCache>
                <c:formatCode>#,##0</c:formatCode>
                <c:ptCount val="12"/>
                <c:pt idx="0">
                  <c:v>688.03015980959526</c:v>
                </c:pt>
                <c:pt idx="1">
                  <c:v>472.25504016872037</c:v>
                </c:pt>
                <c:pt idx="2">
                  <c:v>437.9579020379939</c:v>
                </c:pt>
                <c:pt idx="3">
                  <c:v>351.00939659172587</c:v>
                </c:pt>
                <c:pt idx="4">
                  <c:v>522.7634349091386</c:v>
                </c:pt>
                <c:pt idx="5">
                  <c:v>394.83649042483984</c:v>
                </c:pt>
                <c:pt idx="6">
                  <c:v>526.6204905072741</c:v>
                </c:pt>
                <c:pt idx="7">
                  <c:v>538.31007578341735</c:v>
                </c:pt>
                <c:pt idx="8">
                  <c:v>383.77724292547038</c:v>
                </c:pt>
                <c:pt idx="9">
                  <c:v>519.01288933990838</c:v>
                </c:pt>
                <c:pt idx="10">
                  <c:v>452.20353728346993</c:v>
                </c:pt>
                <c:pt idx="11">
                  <c:v>681.06638060457897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84-4359-A8EF-0841693D8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313439"/>
        <c:axId val="1177313919"/>
      </c:lineChart>
      <c:catAx>
        <c:axId val="1177313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313919"/>
        <c:crosses val="autoZero"/>
        <c:auto val="1"/>
        <c:lblAlgn val="ctr"/>
        <c:lblOffset val="100"/>
        <c:noMultiLvlLbl val="0"/>
      </c:catAx>
      <c:valAx>
        <c:axId val="11773139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773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Composición de gasto mensual según tipo - kUSD</a:t>
            </a:r>
          </a:p>
        </c:rich>
      </c:tx>
      <c:layout>
        <c:manualLayout>
          <c:xMode val="edge"/>
          <c:yMode val="edge"/>
          <c:x val="1.8611111111111078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total_Análisis (2)'!$C$48</c:f>
              <c:strCache>
                <c:ptCount val="1"/>
                <c:pt idx="0">
                  <c:v>Sueldos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(2)'!$D$48:$O$48</c:f>
              <c:numCache>
                <c:formatCode>#,##0</c:formatCode>
                <c:ptCount val="12"/>
                <c:pt idx="0">
                  <c:v>344.70390995879359</c:v>
                </c:pt>
                <c:pt idx="1">
                  <c:v>313.8673311609603</c:v>
                </c:pt>
                <c:pt idx="2">
                  <c:v>332.55780405636619</c:v>
                </c:pt>
                <c:pt idx="3">
                  <c:v>271.76517839345803</c:v>
                </c:pt>
                <c:pt idx="4">
                  <c:v>381.94289121944433</c:v>
                </c:pt>
                <c:pt idx="5">
                  <c:v>266.57109229333497</c:v>
                </c:pt>
                <c:pt idx="6">
                  <c:v>407.31932426394349</c:v>
                </c:pt>
                <c:pt idx="7">
                  <c:v>375.94013881379226</c:v>
                </c:pt>
                <c:pt idx="8">
                  <c:v>286.92173518205487</c:v>
                </c:pt>
                <c:pt idx="9">
                  <c:v>356.79322733012441</c:v>
                </c:pt>
                <c:pt idx="10">
                  <c:v>318.18725103114639</c:v>
                </c:pt>
                <c:pt idx="11">
                  <c:v>488.78770273452176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5-4C27-ADA6-91ED7217D440}"/>
            </c:ext>
          </c:extLst>
        </c:ser>
        <c:ser>
          <c:idx val="1"/>
          <c:order val="1"/>
          <c:tx>
            <c:strRef>
              <c:f>'Gasto total_Análisis (2)'!$C$49</c:f>
              <c:strCache>
                <c:ptCount val="1"/>
                <c:pt idx="0">
                  <c:v>Oficina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(2)'!$D$49:$O$49</c:f>
              <c:numCache>
                <c:formatCode>#,##0</c:formatCode>
                <c:ptCount val="12"/>
                <c:pt idx="0">
                  <c:v>67.486890793618784</c:v>
                </c:pt>
                <c:pt idx="1">
                  <c:v>43.518065585574149</c:v>
                </c:pt>
                <c:pt idx="2">
                  <c:v>36.558027984652625</c:v>
                </c:pt>
                <c:pt idx="3">
                  <c:v>37.66134911844064</c:v>
                </c:pt>
                <c:pt idx="4">
                  <c:v>56.954104461463032</c:v>
                </c:pt>
                <c:pt idx="5">
                  <c:v>42.344467753973746</c:v>
                </c:pt>
                <c:pt idx="6">
                  <c:v>56.942870216306169</c:v>
                </c:pt>
                <c:pt idx="7">
                  <c:v>42.078969936552319</c:v>
                </c:pt>
                <c:pt idx="8">
                  <c:v>48.0933146802561</c:v>
                </c:pt>
                <c:pt idx="9">
                  <c:v>56.748175468641556</c:v>
                </c:pt>
                <c:pt idx="10">
                  <c:v>51.180094895018527</c:v>
                </c:pt>
                <c:pt idx="11">
                  <c:v>80.80969296504523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5-4C27-ADA6-91ED7217D440}"/>
            </c:ext>
          </c:extLst>
        </c:ser>
        <c:ser>
          <c:idx val="2"/>
          <c:order val="2"/>
          <c:tx>
            <c:strRef>
              <c:f>'Gasto total_Análisis (2)'!$C$50</c:f>
              <c:strCache>
                <c:ptCount val="1"/>
                <c:pt idx="0">
                  <c:v>Otros gastos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(2)'!$D$50:$O$50</c:f>
              <c:numCache>
                <c:formatCode>#,##0</c:formatCode>
                <c:ptCount val="12"/>
                <c:pt idx="0">
                  <c:v>215.39669099336095</c:v>
                </c:pt>
                <c:pt idx="1">
                  <c:v>62.837275475844081</c:v>
                </c:pt>
                <c:pt idx="2">
                  <c:v>30.924698477280408</c:v>
                </c:pt>
                <c:pt idx="3">
                  <c:v>35.044196311608509</c:v>
                </c:pt>
                <c:pt idx="4">
                  <c:v>39.778304515781485</c:v>
                </c:pt>
                <c:pt idx="5">
                  <c:v>15.212737185378888</c:v>
                </c:pt>
                <c:pt idx="6">
                  <c:v>24.566011262040391</c:v>
                </c:pt>
                <c:pt idx="7">
                  <c:v>25.528199427895473</c:v>
                </c:pt>
                <c:pt idx="8">
                  <c:v>21.856405448008548</c:v>
                </c:pt>
                <c:pt idx="9">
                  <c:v>45.948438861462719</c:v>
                </c:pt>
                <c:pt idx="10">
                  <c:v>47.631578839028393</c:v>
                </c:pt>
                <c:pt idx="11">
                  <c:v>45.240279852846697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F5-4C27-ADA6-91ED7217D440}"/>
            </c:ext>
          </c:extLst>
        </c:ser>
        <c:ser>
          <c:idx val="9"/>
          <c:order val="3"/>
          <c:tx>
            <c:strRef>
              <c:f>'Gasto total_Análisis (2)'!$C$51</c:f>
              <c:strCache>
                <c:ptCount val="1"/>
                <c:pt idx="0">
                  <c:v>Externo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 (2)'!$D$47:$O$47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(2)'!$D$51:$O$51</c:f>
              <c:numCache>
                <c:formatCode>#,##0</c:formatCode>
                <c:ptCount val="12"/>
                <c:pt idx="0">
                  <c:v>60.442668063821728</c:v>
                </c:pt>
                <c:pt idx="1">
                  <c:v>52.032367946342077</c:v>
                </c:pt>
                <c:pt idx="2">
                  <c:v>37.917371519694811</c:v>
                </c:pt>
                <c:pt idx="3">
                  <c:v>6.5386727682187447</c:v>
                </c:pt>
                <c:pt idx="4">
                  <c:v>44.088134712449673</c:v>
                </c:pt>
                <c:pt idx="5">
                  <c:v>70.708193192152208</c:v>
                </c:pt>
                <c:pt idx="6">
                  <c:v>37.792284764984124</c:v>
                </c:pt>
                <c:pt idx="7">
                  <c:v>94.762767605177558</c:v>
                </c:pt>
                <c:pt idx="8">
                  <c:v>26.905787615150903</c:v>
                </c:pt>
                <c:pt idx="9">
                  <c:v>59.523047679679841</c:v>
                </c:pt>
                <c:pt idx="10">
                  <c:v>35.204612518276733</c:v>
                </c:pt>
                <c:pt idx="11">
                  <c:v>66.228705052165409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F5-4C27-ADA6-91ED7217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25190447"/>
        <c:axId val="1825191407"/>
      </c:barChart>
      <c:lineChart>
        <c:grouping val="standard"/>
        <c:varyColors val="0"/>
        <c:ser>
          <c:idx val="3"/>
          <c:order val="4"/>
          <c:tx>
            <c:strRef>
              <c:f>'Gasto total_Análisis (2)'!$C$52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prstDash val="sysDot"/>
                <a:round/>
              </a:ln>
              <a:effectLst/>
            </c:spPr>
          </c:marker>
          <c:dLbls>
            <c:dLbl>
              <c:idx val="11"/>
              <c:layout>
                <c:manualLayout>
                  <c:x val="-4.0506999125109258E-2"/>
                  <c:y val="-5.99849531656281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EF5-4C27-ADA6-91ED7217D4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'Gasto total_Análisis (2)'!$D$47:$O$47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 (2)'!$D$52:$O$52</c:f>
              <c:numCache>
                <c:formatCode>#,##0</c:formatCode>
                <c:ptCount val="12"/>
                <c:pt idx="0">
                  <c:v>688.03015980959515</c:v>
                </c:pt>
                <c:pt idx="1">
                  <c:v>472.2550401687206</c:v>
                </c:pt>
                <c:pt idx="2">
                  <c:v>437.95790203799407</c:v>
                </c:pt>
                <c:pt idx="3">
                  <c:v>351.00939659172593</c:v>
                </c:pt>
                <c:pt idx="4">
                  <c:v>522.76343490913848</c:v>
                </c:pt>
                <c:pt idx="5">
                  <c:v>394.83649042483978</c:v>
                </c:pt>
                <c:pt idx="6">
                  <c:v>526.62049050727421</c:v>
                </c:pt>
                <c:pt idx="7">
                  <c:v>538.31007578341757</c:v>
                </c:pt>
                <c:pt idx="8">
                  <c:v>383.77724292547049</c:v>
                </c:pt>
                <c:pt idx="9">
                  <c:v>519.0128893399085</c:v>
                </c:pt>
                <c:pt idx="10">
                  <c:v>452.2035372834701</c:v>
                </c:pt>
                <c:pt idx="11">
                  <c:v>681.06638060457908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F5-4C27-ADA6-91ED7217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190447"/>
        <c:axId val="1825191407"/>
      </c:lineChart>
      <c:catAx>
        <c:axId val="182519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1407"/>
        <c:crosses val="autoZero"/>
        <c:auto val="1"/>
        <c:lblAlgn val="ctr"/>
        <c:lblOffset val="100"/>
        <c:noMultiLvlLbl val="0"/>
      </c:catAx>
      <c:valAx>
        <c:axId val="18251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gasto según tipo</a:t>
            </a:r>
          </a:p>
        </c:rich>
      </c:tx>
      <c:layout>
        <c:manualLayout>
          <c:xMode val="edge"/>
          <c:yMode val="edge"/>
          <c:x val="2.010411198600176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'Gasto total_Análisis (2)'!$P$5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4C-438E-9E74-CB59FB2583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4C-438E-9E74-CB59FB2583D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4C-438E-9E74-CB59FB2583D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4C-438E-9E74-CB59FB2583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'Gasto total_Análisis (2)'!$C$48:$C$51</c:f>
              <c:strCache>
                <c:ptCount val="4"/>
                <c:pt idx="0">
                  <c:v>Sueldos</c:v>
                </c:pt>
                <c:pt idx="1">
                  <c:v>Oficina</c:v>
                </c:pt>
                <c:pt idx="2">
                  <c:v>Otros gastos</c:v>
                </c:pt>
                <c:pt idx="3">
                  <c:v>Externo</c:v>
                </c:pt>
              </c:strCache>
            </c:strRef>
          </c:cat>
          <c:val>
            <c:numRef>
              <c:f>'Gasto total_Análisis (2)'!$P$48:$P$51</c:f>
              <c:numCache>
                <c:formatCode>#,##0</c:formatCode>
                <c:ptCount val="4"/>
                <c:pt idx="0">
                  <c:v>4145.3575864379409</c:v>
                </c:pt>
                <c:pt idx="1">
                  <c:v>620.37602385954278</c:v>
                </c:pt>
                <c:pt idx="2">
                  <c:v>609.96481665053659</c:v>
                </c:pt>
                <c:pt idx="3">
                  <c:v>592.14461343811388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64C-438E-9E74-CB59FB25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Ingresos</a:t>
            </a:r>
            <a:r>
              <a:rPr lang="es-CL" sz="800" baseline="0"/>
              <a:t> proyectados por país - kUSD</a:t>
            </a:r>
            <a:endParaRPr lang="es-CL" sz="800"/>
          </a:p>
        </c:rich>
      </c:tx>
      <c:layout>
        <c:manualLayout>
          <c:xMode val="edge"/>
          <c:yMode val="edge"/>
          <c:x val="2.813849267593109E-2"/>
          <c:y val="2.3293733985557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'Ingresos para PPT_Dic'!$B$8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numRef>
              <c:f>'Ingresos para PPT_Dic'!$C$3:$N$3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PPT_Dic'!$C$8:$N$8</c:f>
              <c:numCache>
                <c:formatCode>#,##0</c:formatCode>
                <c:ptCount val="12"/>
                <c:pt idx="0">
                  <c:v>427.78565000000003</c:v>
                </c:pt>
                <c:pt idx="1">
                  <c:v>203.47573</c:v>
                </c:pt>
                <c:pt idx="2">
                  <c:v>294.69749138443825</c:v>
                </c:pt>
                <c:pt idx="3">
                  <c:v>239.03020000000001</c:v>
                </c:pt>
                <c:pt idx="4">
                  <c:v>253.28800000000001</c:v>
                </c:pt>
                <c:pt idx="5">
                  <c:v>181.51900000000001</c:v>
                </c:pt>
                <c:pt idx="6">
                  <c:v>199.83050726273331</c:v>
                </c:pt>
                <c:pt idx="7">
                  <c:v>191.73696268656715</c:v>
                </c:pt>
                <c:pt idx="8">
                  <c:v>305.34300000000002</c:v>
                </c:pt>
                <c:pt idx="9">
                  <c:v>505.28500000000003</c:v>
                </c:pt>
                <c:pt idx="10">
                  <c:v>354.32600000000002</c:v>
                </c:pt>
                <c:pt idx="11">
                  <c:v>214.11099999999999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A-4C61-A78B-83135B7F8C9A}"/>
            </c:ext>
          </c:extLst>
        </c:ser>
        <c:ser>
          <c:idx val="1"/>
          <c:order val="1"/>
          <c:tx>
            <c:strRef>
              <c:f>'Ingresos para PPT_Dic'!$B$9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PPT_Dic'!$C$3:$N$3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PPT_Dic'!$C$9:$N$9</c:f>
              <c:numCache>
                <c:formatCode>#,##0</c:formatCode>
                <c:ptCount val="12"/>
                <c:pt idx="0">
                  <c:v>165.529</c:v>
                </c:pt>
                <c:pt idx="1">
                  <c:v>97.072000000000003</c:v>
                </c:pt>
                <c:pt idx="2">
                  <c:v>127.38500000000001</c:v>
                </c:pt>
                <c:pt idx="3">
                  <c:v>76.132999999999996</c:v>
                </c:pt>
                <c:pt idx="4">
                  <c:v>107.922</c:v>
                </c:pt>
                <c:pt idx="5">
                  <c:v>172.20099999999999</c:v>
                </c:pt>
                <c:pt idx="6">
                  <c:v>189.28926000000001</c:v>
                </c:pt>
                <c:pt idx="7">
                  <c:v>185.95699999999999</c:v>
                </c:pt>
                <c:pt idx="8">
                  <c:v>387.97199999999998</c:v>
                </c:pt>
                <c:pt idx="9">
                  <c:v>293.42899999999997</c:v>
                </c:pt>
                <c:pt idx="10">
                  <c:v>155.905</c:v>
                </c:pt>
                <c:pt idx="11">
                  <c:v>119.107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A-4C61-A78B-83135B7F8C9A}"/>
            </c:ext>
          </c:extLst>
        </c:ser>
        <c:ser>
          <c:idx val="2"/>
          <c:order val="2"/>
          <c:tx>
            <c:strRef>
              <c:f>'Ingresos para PPT_Dic'!$B$10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PPT_Dic'!$C$3:$N$3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PPT_Dic'!$C$10:$N$10</c:f>
              <c:numCache>
                <c:formatCode>#,##0</c:formatCode>
                <c:ptCount val="12"/>
                <c:pt idx="0">
                  <c:v>189.15799999999999</c:v>
                </c:pt>
                <c:pt idx="1">
                  <c:v>225.732</c:v>
                </c:pt>
                <c:pt idx="2">
                  <c:v>78.646280000000004</c:v>
                </c:pt>
                <c:pt idx="3">
                  <c:v>74.596000000000004</c:v>
                </c:pt>
                <c:pt idx="4">
                  <c:v>267.262</c:v>
                </c:pt>
                <c:pt idx="5">
                  <c:v>0</c:v>
                </c:pt>
                <c:pt idx="6">
                  <c:v>23.44</c:v>
                </c:pt>
                <c:pt idx="7">
                  <c:v>144.77099999999999</c:v>
                </c:pt>
                <c:pt idx="8">
                  <c:v>0</c:v>
                </c:pt>
                <c:pt idx="9">
                  <c:v>128.80108999999999</c:v>
                </c:pt>
                <c:pt idx="10">
                  <c:v>58.584000000000003</c:v>
                </c:pt>
                <c:pt idx="11">
                  <c:v>19.954000000000001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9A-4C61-A78B-83135B7F8C9A}"/>
            </c:ext>
          </c:extLst>
        </c:ser>
        <c:ser>
          <c:idx val="3"/>
          <c:order val="3"/>
          <c:tx>
            <c:strRef>
              <c:f>'Ingresos para PPT_Dic'!$B$11</c:f>
              <c:strCache>
                <c:ptCount val="1"/>
                <c:pt idx="0">
                  <c:v>Rusia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PPT_Dic'!$C$3:$N$3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PPT_Dic'!$C$11:$N$11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76.05</c:v>
                </c:pt>
                <c:pt idx="10">
                  <c:v>0</c:v>
                </c:pt>
                <c:pt idx="11">
                  <c:v>76.05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9A-4C61-A78B-83135B7F8C9A}"/>
            </c:ext>
          </c:extLst>
        </c:ser>
        <c:ser>
          <c:idx val="4"/>
          <c:order val="4"/>
          <c:tx>
            <c:strRef>
              <c:f>'Ingresos para PPT_Dic'!$B$12</c:f>
              <c:strCache>
                <c:ptCount val="1"/>
                <c:pt idx="0">
                  <c:v>EEUU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PPT_Dic'!$C$3:$N$3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PPT_Dic'!$C$12:$N$12</c:f>
              <c:numCache>
                <c:formatCode>#,##0</c:formatCode>
                <c:ptCount val="12"/>
                <c:pt idx="0">
                  <c:v>0</c:v>
                </c:pt>
                <c:pt idx="1">
                  <c:v>52.804000000000002</c:v>
                </c:pt>
                <c:pt idx="2">
                  <c:v>162.983</c:v>
                </c:pt>
                <c:pt idx="3">
                  <c:v>102.905</c:v>
                </c:pt>
                <c:pt idx="4">
                  <c:v>188.6</c:v>
                </c:pt>
                <c:pt idx="5">
                  <c:v>44.290999999999997</c:v>
                </c:pt>
                <c:pt idx="6">
                  <c:v>51.738999999999997</c:v>
                </c:pt>
                <c:pt idx="7">
                  <c:v>149.821</c:v>
                </c:pt>
                <c:pt idx="8">
                  <c:v>618.36599999999999</c:v>
                </c:pt>
                <c:pt idx="9">
                  <c:v>0</c:v>
                </c:pt>
                <c:pt idx="10">
                  <c:v>45.924999999999997</c:v>
                </c:pt>
                <c:pt idx="11">
                  <c:v>46.04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9A-4C61-A78B-83135B7F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96959"/>
        <c:axId val="1357299359"/>
      </c:areaChart>
      <c:lineChart>
        <c:grouping val="standard"/>
        <c:varyColors val="0"/>
        <c:ser>
          <c:idx val="5"/>
          <c:order val="5"/>
          <c:tx>
            <c:strRef>
              <c:f>'Ingresos para PPT_Dic'!$B$4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PPT_Dic'!$C$4:$N$4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579.08372999999995</c:v>
                </c:pt>
                <c:pt idx="2">
                  <c:v>663.71177138443829</c:v>
                </c:pt>
                <c:pt idx="3">
                  <c:v>492.66419999999999</c:v>
                </c:pt>
                <c:pt idx="4">
                  <c:v>817.072</c:v>
                </c:pt>
                <c:pt idx="5">
                  <c:v>398.01100000000002</c:v>
                </c:pt>
                <c:pt idx="6">
                  <c:v>464.29876726273329</c:v>
                </c:pt>
                <c:pt idx="7">
                  <c:v>672.28596268656713</c:v>
                </c:pt>
                <c:pt idx="8">
                  <c:v>1311.681</c:v>
                </c:pt>
                <c:pt idx="9">
                  <c:v>1003.5650899999999</c:v>
                </c:pt>
                <c:pt idx="10">
                  <c:v>614.74</c:v>
                </c:pt>
                <c:pt idx="11">
                  <c:v>475.262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9A-4C61-A78B-83135B7F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96959"/>
        <c:axId val="1357299359"/>
      </c:lineChart>
      <c:lineChart>
        <c:grouping val="standard"/>
        <c:varyColors val="0"/>
        <c:ser>
          <c:idx val="6"/>
          <c:order val="6"/>
          <c:tx>
            <c:strRef>
              <c:f>'Ingresos para PPT_Dic'!$B$14</c:f>
              <c:strCache>
                <c:ptCount val="1"/>
                <c:pt idx="0">
                  <c:v>Acumulado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9A-4C61-A78B-83135B7F8C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PPT_Dic'!$C$14:$N$14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1361.55638</c:v>
                </c:pt>
                <c:pt idx="2">
                  <c:v>2025.2681513844382</c:v>
                </c:pt>
                <c:pt idx="3">
                  <c:v>2517.9323513844383</c:v>
                </c:pt>
                <c:pt idx="4">
                  <c:v>3335.0043513844385</c:v>
                </c:pt>
                <c:pt idx="5">
                  <c:v>3733.0153513844384</c:v>
                </c:pt>
                <c:pt idx="6">
                  <c:v>4197.3141186471721</c:v>
                </c:pt>
                <c:pt idx="7">
                  <c:v>4869.6000813337396</c:v>
                </c:pt>
                <c:pt idx="8">
                  <c:v>6181.2810813337401</c:v>
                </c:pt>
                <c:pt idx="9">
                  <c:v>7184.8461713337401</c:v>
                </c:pt>
                <c:pt idx="10">
                  <c:v>7799.5861713337399</c:v>
                </c:pt>
                <c:pt idx="11">
                  <c:v>8274.8481713337405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9A-4C61-A78B-83135B7F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554176"/>
        <c:axId val="641554656"/>
      </c:lineChart>
      <c:dateAx>
        <c:axId val="1357296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9359"/>
        <c:crosses val="autoZero"/>
        <c:auto val="1"/>
        <c:lblOffset val="100"/>
        <c:baseTimeUnit val="months"/>
      </c:dateAx>
      <c:valAx>
        <c:axId val="13572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6959"/>
        <c:crosses val="autoZero"/>
        <c:crossBetween val="between"/>
      </c:valAx>
      <c:valAx>
        <c:axId val="641554656"/>
        <c:scaling>
          <c:orientation val="minMax"/>
        </c:scaling>
        <c:delete val="0"/>
        <c:axPos val="r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641554176"/>
        <c:crosses val="max"/>
        <c:crossBetween val="between"/>
        <c:majorUnit val="2000"/>
      </c:valAx>
      <c:catAx>
        <c:axId val="641554176"/>
        <c:scaling>
          <c:orientation val="minMax"/>
        </c:scaling>
        <c:delete val="1"/>
        <c:axPos val="b"/>
        <c:majorTickMark val="out"/>
        <c:minorTickMark val="none"/>
        <c:tickLblPos val="nextTo"/>
        <c:crossAx val="64155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Ingresos</a:t>
            </a:r>
            <a:r>
              <a:rPr lang="es-CL" sz="800" baseline="0"/>
              <a:t> proyectados según estatus proyecto - kUSD</a:t>
            </a:r>
            <a:endParaRPr lang="es-CL" sz="800"/>
          </a:p>
        </c:rich>
      </c:tx>
      <c:layout>
        <c:manualLayout>
          <c:xMode val="edge"/>
          <c:yMode val="edge"/>
          <c:x val="1.9415575968455875E-2"/>
          <c:y val="2.7952480782669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1"/>
          <c:tx>
            <c:strRef>
              <c:f>'Ingresos para PPT_Dic'!$B$5</c:f>
              <c:strCache>
                <c:ptCount val="1"/>
                <c:pt idx="0">
                  <c:v>Finalizado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chemeClr val="bg1"/>
              </a:bgClr>
            </a:pattFill>
            <a:ln w="9525" cap="flat" cmpd="sng" algn="ctr">
              <a:noFill/>
              <a:round/>
            </a:ln>
            <a:effectLst/>
          </c:spPr>
          <c:cat>
            <c:numRef>
              <c:f>'Ingresos para PPT_Dic'!$C$3:$N$3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PPT_Dic'!$C$5:$N$5</c:f>
              <c:numCache>
                <c:formatCode>#,##0</c:formatCode>
                <c:ptCount val="12"/>
                <c:pt idx="0">
                  <c:v>667.35889999999995</c:v>
                </c:pt>
                <c:pt idx="1">
                  <c:v>532.92403000000002</c:v>
                </c:pt>
                <c:pt idx="2">
                  <c:v>468.64003000000002</c:v>
                </c:pt>
                <c:pt idx="3">
                  <c:v>461.52254999999997</c:v>
                </c:pt>
                <c:pt idx="4">
                  <c:v>641.34100000000001</c:v>
                </c:pt>
                <c:pt idx="5">
                  <c:v>189.42</c:v>
                </c:pt>
                <c:pt idx="6">
                  <c:v>229.80635662047777</c:v>
                </c:pt>
                <c:pt idx="7">
                  <c:v>456.18696268656714</c:v>
                </c:pt>
                <c:pt idx="8">
                  <c:v>887.18700000000001</c:v>
                </c:pt>
                <c:pt idx="9">
                  <c:v>334.20608999999996</c:v>
                </c:pt>
                <c:pt idx="10">
                  <c:v>161.02699999999999</c:v>
                </c:pt>
                <c:pt idx="11">
                  <c:v>9.9280000000000008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C-4358-96BA-953FB24D1FF3}"/>
            </c:ext>
          </c:extLst>
        </c:ser>
        <c:ser>
          <c:idx val="1"/>
          <c:order val="2"/>
          <c:tx>
            <c:strRef>
              <c:f>'Ingresos para PPT_Dic'!$B$6</c:f>
              <c:strCache>
                <c:ptCount val="1"/>
                <c:pt idx="0">
                  <c:v>Ejecución</c:v>
                </c:pt>
              </c:strCache>
            </c:strRef>
          </c:tx>
          <c:spPr>
            <a:pattFill prst="pct60">
              <a:fgClr>
                <a:schemeClr val="accent3"/>
              </a:fgClr>
              <a:bgClr>
                <a:schemeClr val="bg1"/>
              </a:bgClr>
            </a:pattFill>
            <a:ln w="9525" cap="flat" cmpd="sng" algn="ctr">
              <a:noFill/>
              <a:round/>
            </a:ln>
            <a:effectLst/>
          </c:spPr>
          <c:cat>
            <c:numRef>
              <c:f>'Ingresos para PPT_Dic'!$C$3:$N$3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PPT_Dic'!$C$6:$N$6</c:f>
              <c:numCache>
                <c:formatCode>#,##0</c:formatCode>
                <c:ptCount val="12"/>
                <c:pt idx="0">
                  <c:v>115.11375000000011</c:v>
                </c:pt>
                <c:pt idx="1">
                  <c:v>46.159699999999951</c:v>
                </c:pt>
                <c:pt idx="2">
                  <c:v>195.07174138443824</c:v>
                </c:pt>
                <c:pt idx="3">
                  <c:v>31.141650000000023</c:v>
                </c:pt>
                <c:pt idx="4">
                  <c:v>175.73099999999999</c:v>
                </c:pt>
                <c:pt idx="5">
                  <c:v>208.59100000000001</c:v>
                </c:pt>
                <c:pt idx="6">
                  <c:v>234.49241064225552</c:v>
                </c:pt>
                <c:pt idx="7">
                  <c:v>216.09899999999993</c:v>
                </c:pt>
                <c:pt idx="8">
                  <c:v>424.49400000000003</c:v>
                </c:pt>
                <c:pt idx="9">
                  <c:v>669.35900000000004</c:v>
                </c:pt>
                <c:pt idx="10">
                  <c:v>453.71300000000002</c:v>
                </c:pt>
                <c:pt idx="11">
                  <c:v>465.334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C-4358-96BA-953FB24D1FF3}"/>
            </c:ext>
          </c:extLst>
        </c:ser>
        <c:ser>
          <c:idx val="2"/>
          <c:order val="3"/>
          <c:tx>
            <c:strRef>
              <c:f>'Ingresos para PPT_Dic'!$B$7</c:f>
              <c:strCache>
                <c:ptCount val="1"/>
                <c:pt idx="0">
                  <c:v>Pipeline</c:v>
                </c:pt>
              </c:strCache>
            </c:strRef>
          </c:tx>
          <c:spPr>
            <a:pattFill prst="pct70">
              <a:fgClr>
                <a:srgbClr val="FFC000"/>
              </a:fgClr>
              <a:bgClr>
                <a:schemeClr val="bg1"/>
              </a:bgClr>
            </a:patt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val>
            <c:numRef>
              <c:f>'Ingresos para PPT_Dic'!$C$7:$N$7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C-4358-96BA-953FB24D1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96959"/>
        <c:axId val="1357299359"/>
      </c:areaChart>
      <c:lineChart>
        <c:grouping val="standard"/>
        <c:varyColors val="0"/>
        <c:ser>
          <c:idx val="5"/>
          <c:order val="0"/>
          <c:tx>
            <c:strRef>
              <c:f>'Ingresos para PPT_Dic'!$B$4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25000"/>
                  <a:lumOff val="75000"/>
                </a:schemeClr>
              </a:solidFill>
              <a:ln w="9525" cap="flat" cmpd="sng" algn="ctr">
                <a:solidFill>
                  <a:srgbClr val="002060"/>
                </a:solidFill>
                <a:prstDash val="sysDot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'Ingresos para PPT_Dic'!$C$3:$N$3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PPT_Dic'!$C$4:$N$4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579.08372999999995</c:v>
                </c:pt>
                <c:pt idx="2">
                  <c:v>663.71177138443829</c:v>
                </c:pt>
                <c:pt idx="3">
                  <c:v>492.66419999999999</c:v>
                </c:pt>
                <c:pt idx="4">
                  <c:v>817.072</c:v>
                </c:pt>
                <c:pt idx="5">
                  <c:v>398.01100000000002</c:v>
                </c:pt>
                <c:pt idx="6">
                  <c:v>464.29876726273329</c:v>
                </c:pt>
                <c:pt idx="7">
                  <c:v>672.28596268656713</c:v>
                </c:pt>
                <c:pt idx="8">
                  <c:v>1311.681</c:v>
                </c:pt>
                <c:pt idx="9">
                  <c:v>1003.5650899999999</c:v>
                </c:pt>
                <c:pt idx="10">
                  <c:v>614.74</c:v>
                </c:pt>
                <c:pt idx="11">
                  <c:v>475.262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FC-4358-96BA-953FB24D1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96959"/>
        <c:axId val="1357299359"/>
      </c:lineChart>
      <c:lineChart>
        <c:grouping val="standard"/>
        <c:varyColors val="0"/>
        <c:ser>
          <c:idx val="3"/>
          <c:order val="4"/>
          <c:tx>
            <c:strRef>
              <c:f>'Ingresos para PPT_Dic'!$B$14</c:f>
              <c:strCache>
                <c:ptCount val="1"/>
                <c:pt idx="0">
                  <c:v>Acumulado</c:v>
                </c:pt>
              </c:strCache>
            </c:strRef>
          </c:tx>
          <c:spPr>
            <a:ln w="9525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rgbClr val="002060"/>
                </a:solidFill>
                <a:prstDash val="sysDash"/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FC-4358-96BA-953FB24D1F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PPT_Dic'!$C$14:$N$14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1361.55638</c:v>
                </c:pt>
                <c:pt idx="2">
                  <c:v>2025.2681513844382</c:v>
                </c:pt>
                <c:pt idx="3">
                  <c:v>2517.9323513844383</c:v>
                </c:pt>
                <c:pt idx="4">
                  <c:v>3335.0043513844385</c:v>
                </c:pt>
                <c:pt idx="5">
                  <c:v>3733.0153513844384</c:v>
                </c:pt>
                <c:pt idx="6">
                  <c:v>4197.3141186471721</c:v>
                </c:pt>
                <c:pt idx="7">
                  <c:v>4869.6000813337396</c:v>
                </c:pt>
                <c:pt idx="8">
                  <c:v>6181.2810813337401</c:v>
                </c:pt>
                <c:pt idx="9">
                  <c:v>7184.8461713337401</c:v>
                </c:pt>
                <c:pt idx="10">
                  <c:v>7799.5861713337399</c:v>
                </c:pt>
                <c:pt idx="11">
                  <c:v>8274.8481713337405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FC-4358-96BA-953FB24D1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665536"/>
        <c:axId val="1234659296"/>
      </c:lineChart>
      <c:dateAx>
        <c:axId val="1357296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9359"/>
        <c:crosses val="autoZero"/>
        <c:auto val="1"/>
        <c:lblOffset val="100"/>
        <c:baseTimeUnit val="months"/>
      </c:dateAx>
      <c:valAx>
        <c:axId val="13572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6959"/>
        <c:crosses val="autoZero"/>
        <c:crossBetween val="between"/>
      </c:valAx>
      <c:valAx>
        <c:axId val="123465929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234665536"/>
        <c:crosses val="max"/>
        <c:crossBetween val="between"/>
        <c:majorUnit val="2000"/>
      </c:valAx>
      <c:catAx>
        <c:axId val="1234665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34659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Distribución</a:t>
            </a:r>
            <a:r>
              <a:rPr lang="es-CL" sz="800" baseline="0"/>
              <a:t> ingresos año por país</a:t>
            </a:r>
            <a:endParaRPr lang="es-CL" sz="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8A-46E4-BEA2-7B87080B58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8A-46E4-BEA2-7B87080B58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8A-46E4-BEA2-7B87080B58A9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8A-46E4-BEA2-7B87080B58A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8A-46E4-BEA2-7B87080B58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'Ingresos para PPT_Dic'!$U$8:$U$12</c:f>
              <c:strCache>
                <c:ptCount val="5"/>
                <c:pt idx="0">
                  <c:v>Chile</c:v>
                </c:pt>
                <c:pt idx="1">
                  <c:v>Perú</c:v>
                </c:pt>
                <c:pt idx="2">
                  <c:v>EEUU</c:v>
                </c:pt>
                <c:pt idx="3">
                  <c:v>Brasil</c:v>
                </c:pt>
                <c:pt idx="4">
                  <c:v>Rusia</c:v>
                </c:pt>
              </c:strCache>
            </c:strRef>
          </c:cat>
          <c:val>
            <c:numRef>
              <c:f>'Ingresos para PPT_Dic'!$V$8:$V$12</c:f>
              <c:numCache>
                <c:formatCode>_(* #,##0_);_(* \(#,##0\);_(* "-"_);_(@_)</c:formatCode>
                <c:ptCount val="5"/>
                <c:pt idx="0">
                  <c:v>3370.4285413337384</c:v>
                </c:pt>
                <c:pt idx="1">
                  <c:v>2077.9012600000001</c:v>
                </c:pt>
                <c:pt idx="2">
                  <c:v>1463.4739999999999</c:v>
                </c:pt>
                <c:pt idx="3">
                  <c:v>1210.9443699999999</c:v>
                </c:pt>
                <c:pt idx="4">
                  <c:v>152.1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8A-46E4-BEA2-7B87080B5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Composición de gasto mensual según tipo - kUSD</a:t>
            </a:r>
          </a:p>
        </c:rich>
      </c:tx>
      <c:layout>
        <c:manualLayout>
          <c:xMode val="edge"/>
          <c:yMode val="edge"/>
          <c:x val="1.8611111111111078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total_Análisis'!$C$6</c:f>
              <c:strCache>
                <c:ptCount val="1"/>
                <c:pt idx="0">
                  <c:v>Sueldos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total_Análisis'!$D$6:$O$6</c:f>
              <c:numCache>
                <c:formatCode>0</c:formatCode>
                <c:ptCount val="12"/>
                <c:pt idx="0">
                  <c:v>302.50526440642318</c:v>
                </c:pt>
                <c:pt idx="1">
                  <c:v>278.50060116096029</c:v>
                </c:pt>
                <c:pt idx="2">
                  <c:v>288.86500149146269</c:v>
                </c:pt>
                <c:pt idx="3">
                  <c:v>271.76517839345803</c:v>
                </c:pt>
                <c:pt idx="4">
                  <c:v>312.95631121944433</c:v>
                </c:pt>
                <c:pt idx="5">
                  <c:v>233.21148417415336</c:v>
                </c:pt>
                <c:pt idx="6">
                  <c:v>335.85132426394347</c:v>
                </c:pt>
                <c:pt idx="7">
                  <c:v>306.40784424821476</c:v>
                </c:pt>
                <c:pt idx="8">
                  <c:v>272.0217351820549</c:v>
                </c:pt>
                <c:pt idx="9">
                  <c:v>294.76603426968279</c:v>
                </c:pt>
                <c:pt idx="10">
                  <c:v>275.86337652075775</c:v>
                </c:pt>
                <c:pt idx="11">
                  <c:v>316.82887029160804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5-4386-B647-4DC985EC311C}"/>
            </c:ext>
          </c:extLst>
        </c:ser>
        <c:ser>
          <c:idx val="1"/>
          <c:order val="1"/>
          <c:tx>
            <c:strRef>
              <c:f>'Gasto total_Análisis'!$C$7</c:f>
              <c:strCache>
                <c:ptCount val="1"/>
                <c:pt idx="0">
                  <c:v>Externo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total_Análisis'!$D$7:$O$7</c:f>
              <c:numCache>
                <c:formatCode>0</c:formatCode>
                <c:ptCount val="12"/>
                <c:pt idx="0">
                  <c:v>123.39341412586258</c:v>
                </c:pt>
                <c:pt idx="1">
                  <c:v>95.218966663344958</c:v>
                </c:pt>
                <c:pt idx="2">
                  <c:v>63.271157047647058</c:v>
                </c:pt>
                <c:pt idx="3">
                  <c:v>9.5349992988309893</c:v>
                </c:pt>
                <c:pt idx="4">
                  <c:v>90.110011598630521</c:v>
                </c:pt>
                <c:pt idx="5">
                  <c:v>101.18793814098134</c:v>
                </c:pt>
                <c:pt idx="6">
                  <c:v>53.135334511133706</c:v>
                </c:pt>
                <c:pt idx="7">
                  <c:v>107.30164664650511</c:v>
                </c:pt>
                <c:pt idx="8">
                  <c:v>31.039189392285675</c:v>
                </c:pt>
                <c:pt idx="9">
                  <c:v>98.333949968307238</c:v>
                </c:pt>
                <c:pt idx="10">
                  <c:v>78.622168996553398</c:v>
                </c:pt>
                <c:pt idx="11">
                  <c:v>97.664796580877265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5-4386-B647-4DC985EC311C}"/>
            </c:ext>
          </c:extLst>
        </c:ser>
        <c:ser>
          <c:idx val="2"/>
          <c:order val="2"/>
          <c:tx>
            <c:strRef>
              <c:f>'Gasto total_Análisis'!$C$8</c:f>
              <c:strCache>
                <c:ptCount val="1"/>
                <c:pt idx="0">
                  <c:v>Oficina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total_Análisis'!$D$8:$O$8</c:f>
              <c:numCache>
                <c:formatCode>0</c:formatCode>
                <c:ptCount val="12"/>
                <c:pt idx="0">
                  <c:v>46.734790283948357</c:v>
                </c:pt>
                <c:pt idx="1">
                  <c:v>35.698196868571273</c:v>
                </c:pt>
                <c:pt idx="2">
                  <c:v>25.091045021603868</c:v>
                </c:pt>
                <c:pt idx="3">
                  <c:v>34.665022587828396</c:v>
                </c:pt>
                <c:pt idx="4">
                  <c:v>46.509807575282174</c:v>
                </c:pt>
                <c:pt idx="5">
                  <c:v>36.712330924326196</c:v>
                </c:pt>
                <c:pt idx="6">
                  <c:v>41.599820470156587</c:v>
                </c:pt>
                <c:pt idx="7">
                  <c:v>37.109385460802237</c:v>
                </c:pt>
                <c:pt idx="8">
                  <c:v>43.959912903121321</c:v>
                </c:pt>
                <c:pt idx="9">
                  <c:v>47.609466240455774</c:v>
                </c:pt>
                <c:pt idx="10">
                  <c:v>42.586412927130503</c:v>
                </c:pt>
                <c:pt idx="11">
                  <c:v>70.662433879247132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B5-4386-B647-4DC985EC311C}"/>
            </c:ext>
          </c:extLst>
        </c:ser>
        <c:ser>
          <c:idx val="3"/>
          <c:order val="3"/>
          <c:tx>
            <c:strRef>
              <c:f>'Gasto total_Análisis'!$C$9</c:f>
              <c:strCache>
                <c:ptCount val="1"/>
                <c:pt idx="0">
                  <c:v>Extras personas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total_Análisis'!$D$9:$O$9</c:f>
              <c:numCache>
                <c:formatCode>0</c:formatCode>
                <c:ptCount val="12"/>
                <c:pt idx="0">
                  <c:v>129.39817010191192</c:v>
                </c:pt>
                <c:pt idx="1">
                  <c:v>40.43176393718786</c:v>
                </c:pt>
                <c:pt idx="2">
                  <c:v>19.643364060830315</c:v>
                </c:pt>
                <c:pt idx="3">
                  <c:v>12.341404103388877</c:v>
                </c:pt>
                <c:pt idx="4">
                  <c:v>18.451805936010711</c:v>
                </c:pt>
                <c:pt idx="5">
                  <c:v>6.0272542328956469</c:v>
                </c:pt>
                <c:pt idx="6">
                  <c:v>5.0827933346544096</c:v>
                </c:pt>
                <c:pt idx="7">
                  <c:v>4.9271873319711803</c:v>
                </c:pt>
                <c:pt idx="8">
                  <c:v>4.7191497716500583</c:v>
                </c:pt>
                <c:pt idx="9">
                  <c:v>29.951058404517521</c:v>
                </c:pt>
                <c:pt idx="10">
                  <c:v>28.926818237958003</c:v>
                </c:pt>
                <c:pt idx="11">
                  <c:v>13.829525277763183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B5-4386-B647-4DC985EC311C}"/>
            </c:ext>
          </c:extLst>
        </c:ser>
        <c:ser>
          <c:idx val="4"/>
          <c:order val="4"/>
          <c:tx>
            <c:strRef>
              <c:f>'Gasto total_Análisis'!$C$10</c:f>
              <c:strCache>
                <c:ptCount val="1"/>
                <c:pt idx="0">
                  <c:v>Viajes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total_Análisis'!$D$10:$O$10</c:f>
              <c:numCache>
                <c:formatCode>0</c:formatCode>
                <c:ptCount val="12"/>
                <c:pt idx="0">
                  <c:v>70.940379610568385</c:v>
                </c:pt>
                <c:pt idx="1">
                  <c:v>15.541722628913062</c:v>
                </c:pt>
                <c:pt idx="2">
                  <c:v>6.4251697133057153</c:v>
                </c:pt>
                <c:pt idx="3">
                  <c:v>19.65406426562793</c:v>
                </c:pt>
                <c:pt idx="4">
                  <c:v>11.217310658473874</c:v>
                </c:pt>
                <c:pt idx="5">
                  <c:v>6.6439180250471681</c:v>
                </c:pt>
                <c:pt idx="6">
                  <c:v>10.766462434404199</c:v>
                </c:pt>
                <c:pt idx="7">
                  <c:v>12.765451293687494</c:v>
                </c:pt>
                <c:pt idx="8">
                  <c:v>12.095977046242213</c:v>
                </c:pt>
                <c:pt idx="9">
                  <c:v>8.7212621459397521</c:v>
                </c:pt>
                <c:pt idx="10">
                  <c:v>1.4406731165088513</c:v>
                </c:pt>
                <c:pt idx="11">
                  <c:v>16.033799999999999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B5-4386-B647-4DC985EC311C}"/>
            </c:ext>
          </c:extLst>
        </c:ser>
        <c:ser>
          <c:idx val="5"/>
          <c:order val="5"/>
          <c:tx>
            <c:strRef>
              <c:f>'Gasto total_Análisis'!$C$11</c:f>
              <c:strCache>
                <c:ptCount val="1"/>
                <c:pt idx="0">
                  <c:v>Compañía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total_Análisis'!$D$11:$O$11</c:f>
              <c:numCache>
                <c:formatCode>0</c:formatCode>
                <c:ptCount val="12"/>
                <c:pt idx="0">
                  <c:v>12.901351336468462</c:v>
                </c:pt>
                <c:pt idx="1">
                  <c:v>5.2800589554097819</c:v>
                </c:pt>
                <c:pt idx="2">
                  <c:v>2.6626842850206112</c:v>
                </c:pt>
                <c:pt idx="3">
                  <c:v>2.6842877080425773</c:v>
                </c:pt>
                <c:pt idx="4">
                  <c:v>6.9208513095393736</c:v>
                </c:pt>
                <c:pt idx="5">
                  <c:v>0</c:v>
                </c:pt>
                <c:pt idx="6">
                  <c:v>5.6590788856179879</c:v>
                </c:pt>
                <c:pt idx="7">
                  <c:v>5.7457511560382839</c:v>
                </c:pt>
                <c:pt idx="8">
                  <c:v>2.7826216516772653</c:v>
                </c:pt>
                <c:pt idx="9">
                  <c:v>5.5199494543857961</c:v>
                </c:pt>
                <c:pt idx="10">
                  <c:v>13.346370934540962</c:v>
                </c:pt>
                <c:pt idx="11">
                  <c:v>12.61271082864825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B5-4386-B647-4DC985EC311C}"/>
            </c:ext>
          </c:extLst>
        </c:ser>
        <c:ser>
          <c:idx val="6"/>
          <c:order val="6"/>
          <c:tx>
            <c:strRef>
              <c:f>'Gasto total_Análisis'!$C$12</c:f>
              <c:strCache>
                <c:ptCount val="1"/>
                <c:pt idx="0">
                  <c:v>Comercial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total_Análisis'!$D$12:$O$12</c:f>
              <c:numCache>
                <c:formatCode>0</c:formatCode>
                <c:ptCount val="12"/>
                <c:pt idx="0">
                  <c:v>1.1462879547131577</c:v>
                </c:pt>
                <c:pt idx="1">
                  <c:v>0.86461014697334537</c:v>
                </c:pt>
                <c:pt idx="2">
                  <c:v>1.7211988470240618</c:v>
                </c:pt>
                <c:pt idx="3">
                  <c:v>0</c:v>
                </c:pt>
                <c:pt idx="4">
                  <c:v>2.3744770558242907</c:v>
                </c:pt>
                <c:pt idx="5">
                  <c:v>0.89949032480995161</c:v>
                </c:pt>
                <c:pt idx="6">
                  <c:v>0.88847647083919967</c:v>
                </c:pt>
                <c:pt idx="7">
                  <c:v>0.8957952468007313</c:v>
                </c:pt>
                <c:pt idx="8">
                  <c:v>1.130629122985068</c:v>
                </c:pt>
                <c:pt idx="9">
                  <c:v>0.89204442017112695</c:v>
                </c:pt>
                <c:pt idx="10">
                  <c:v>2.3638328530259365</c:v>
                </c:pt>
                <c:pt idx="11">
                  <c:v>1.1941192047584126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B5-4386-B647-4DC985EC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825190447"/>
        <c:axId val="1825191407"/>
      </c:barChart>
      <c:lineChart>
        <c:grouping val="standard"/>
        <c:varyColors val="0"/>
        <c:ser>
          <c:idx val="7"/>
          <c:order val="7"/>
          <c:tx>
            <c:strRef>
              <c:f>'Gasto total_Análisis'!$C$14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total_Análisis'!$D$14:$O$14</c:f>
              <c:numCache>
                <c:formatCode>#,##0</c:formatCode>
                <c:ptCount val="12"/>
                <c:pt idx="0">
                  <c:v>688.03015980959503</c:v>
                </c:pt>
                <c:pt idx="1">
                  <c:v>472.2550401687206</c:v>
                </c:pt>
                <c:pt idx="2">
                  <c:v>408.15190203799403</c:v>
                </c:pt>
                <c:pt idx="3">
                  <c:v>351.00939659172593</c:v>
                </c:pt>
                <c:pt idx="4">
                  <c:v>489.35443490913855</c:v>
                </c:pt>
                <c:pt idx="5">
                  <c:v>386.32449042483978</c:v>
                </c:pt>
                <c:pt idx="6">
                  <c:v>455.15249050727414</c:v>
                </c:pt>
                <c:pt idx="7">
                  <c:v>476.34707578341755</c:v>
                </c:pt>
                <c:pt idx="8">
                  <c:v>368.87724292547045</c:v>
                </c:pt>
                <c:pt idx="9">
                  <c:v>486.65788933990865</c:v>
                </c:pt>
                <c:pt idx="10">
                  <c:v>444.70353728347004</c:v>
                </c:pt>
                <c:pt idx="11">
                  <c:v>530.39638060457912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B5-4386-B647-4DC985EC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190447"/>
        <c:axId val="1825191407"/>
      </c:lineChart>
      <c:lineChart>
        <c:grouping val="standard"/>
        <c:varyColors val="0"/>
        <c:ser>
          <c:idx val="8"/>
          <c:order val="8"/>
          <c:tx>
            <c:strRef>
              <c:f>'Gasto total_Análisis'!$C$15</c:f>
              <c:strCache>
                <c:ptCount val="1"/>
                <c:pt idx="0">
                  <c:v>Acumulado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2700" cap="flat" cmpd="sng" algn="ctr">
                <a:solidFill>
                  <a:srgbClr val="FF0000"/>
                </a:solidFill>
                <a:prstDash val="sysDot"/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B5-4386-B647-4DC985EC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total_Análisis'!$D$15:$O$15</c:f>
              <c:numCache>
                <c:formatCode>#,##0</c:formatCode>
                <c:ptCount val="12"/>
                <c:pt idx="0">
                  <c:v>688.03015980959503</c:v>
                </c:pt>
                <c:pt idx="1">
                  <c:v>1160.2851999783156</c:v>
                </c:pt>
                <c:pt idx="2">
                  <c:v>1568.4371020163096</c:v>
                </c:pt>
                <c:pt idx="3">
                  <c:v>1919.4464986080357</c:v>
                </c:pt>
                <c:pt idx="4">
                  <c:v>2408.8009335171741</c:v>
                </c:pt>
                <c:pt idx="5">
                  <c:v>2795.1254239420141</c:v>
                </c:pt>
                <c:pt idx="6">
                  <c:v>3250.2779144492883</c:v>
                </c:pt>
                <c:pt idx="7">
                  <c:v>3726.6249902327058</c:v>
                </c:pt>
                <c:pt idx="8">
                  <c:v>4095.5022331581763</c:v>
                </c:pt>
                <c:pt idx="9">
                  <c:v>4582.160122498085</c:v>
                </c:pt>
                <c:pt idx="10">
                  <c:v>5026.8636597815548</c:v>
                </c:pt>
                <c:pt idx="11">
                  <c:v>5557.2600403861343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B5-4386-B647-4DC985EC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740127"/>
        <c:axId val="1876738207"/>
      </c:lineChart>
      <c:catAx>
        <c:axId val="182519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1407"/>
        <c:crosses val="autoZero"/>
        <c:auto val="1"/>
        <c:lblAlgn val="ctr"/>
        <c:lblOffset val="100"/>
        <c:noMultiLvlLbl val="0"/>
      </c:catAx>
      <c:valAx>
        <c:axId val="18251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0447"/>
        <c:crosses val="autoZero"/>
        <c:crossBetween val="between"/>
      </c:valAx>
      <c:valAx>
        <c:axId val="1876738207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6740127"/>
        <c:crosses val="max"/>
        <c:crossBetween val="between"/>
      </c:valAx>
      <c:catAx>
        <c:axId val="1876740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6738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Composición de gasto mensual por unidad - kUSD</a:t>
            </a:r>
          </a:p>
        </c:rich>
      </c:tx>
      <c:layout>
        <c:manualLayout>
          <c:xMode val="edge"/>
          <c:yMode val="edge"/>
          <c:x val="2.416666666666663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total_Análisis'!$C$24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total_Análisis'!$D$24:$O$24</c:f>
              <c:numCache>
                <c:formatCode>0</c:formatCode>
                <c:ptCount val="12"/>
                <c:pt idx="0">
                  <c:v>476.29050540204207</c:v>
                </c:pt>
                <c:pt idx="1">
                  <c:v>313.31491841733776</c:v>
                </c:pt>
                <c:pt idx="2">
                  <c:v>275.86854834543823</c:v>
                </c:pt>
                <c:pt idx="3">
                  <c:v>231.52127189784832</c:v>
                </c:pt>
                <c:pt idx="4">
                  <c:v>317.17005490913857</c:v>
                </c:pt>
                <c:pt idx="5">
                  <c:v>288.14494428127159</c:v>
                </c:pt>
                <c:pt idx="6">
                  <c:v>292.12749050727416</c:v>
                </c:pt>
                <c:pt idx="7">
                  <c:v>299.21778578341736</c:v>
                </c:pt>
                <c:pt idx="8">
                  <c:v>267.60024292547041</c:v>
                </c:pt>
                <c:pt idx="9">
                  <c:v>356.05443933990841</c:v>
                </c:pt>
                <c:pt idx="10">
                  <c:v>318.2745372834699</c:v>
                </c:pt>
                <c:pt idx="11">
                  <c:v>334.87696060457898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B-4AA9-A8D3-E6DECBE75FCA}"/>
            </c:ext>
          </c:extLst>
        </c:ser>
        <c:ser>
          <c:idx val="1"/>
          <c:order val="1"/>
          <c:tx>
            <c:strRef>
              <c:f>'Gasto total_Análisis'!$C$25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total_Análisis'!$D$25:$O$25</c:f>
              <c:numCache>
                <c:formatCode>0</c:formatCode>
                <c:ptCount val="12"/>
                <c:pt idx="0">
                  <c:v>167.14016440755313</c:v>
                </c:pt>
                <c:pt idx="1">
                  <c:v>109.66978175138264</c:v>
                </c:pt>
                <c:pt idx="2">
                  <c:v>119.90377369255575</c:v>
                </c:pt>
                <c:pt idx="3">
                  <c:v>98.132410000000007</c:v>
                </c:pt>
                <c:pt idx="4">
                  <c:v>125.25863</c:v>
                </c:pt>
                <c:pt idx="5">
                  <c:v>82.824806143568253</c:v>
                </c:pt>
                <c:pt idx="6">
                  <c:v>139.67400000000001</c:v>
                </c:pt>
                <c:pt idx="7">
                  <c:v>152.09422000000004</c:v>
                </c:pt>
                <c:pt idx="8">
                  <c:v>73.593999999999994</c:v>
                </c:pt>
                <c:pt idx="9">
                  <c:v>88.148450000000025</c:v>
                </c:pt>
                <c:pt idx="10">
                  <c:v>112.788</c:v>
                </c:pt>
                <c:pt idx="11">
                  <c:v>159.18261999999999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B-4AA9-A8D3-E6DECBE75FCA}"/>
            </c:ext>
          </c:extLst>
        </c:ser>
        <c:ser>
          <c:idx val="2"/>
          <c:order val="2"/>
          <c:tx>
            <c:strRef>
              <c:f>'Gasto total_Análisis'!$C$26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total_Análisis'!$D$26:$O$26</c:f>
              <c:numCache>
                <c:formatCode>0</c:formatCode>
                <c:ptCount val="12"/>
                <c:pt idx="0">
                  <c:v>44.599490000000003</c:v>
                </c:pt>
                <c:pt idx="1">
                  <c:v>49.270340000000004</c:v>
                </c:pt>
                <c:pt idx="2">
                  <c:v>12.379580000000001</c:v>
                </c:pt>
                <c:pt idx="3">
                  <c:v>21.355714693877552</c:v>
                </c:pt>
                <c:pt idx="4">
                  <c:v>46.925750000000001</c:v>
                </c:pt>
                <c:pt idx="5">
                  <c:v>15.35474</c:v>
                </c:pt>
                <c:pt idx="6">
                  <c:v>23.350999999999999</c:v>
                </c:pt>
                <c:pt idx="7">
                  <c:v>25.035070000000001</c:v>
                </c:pt>
                <c:pt idx="8">
                  <c:v>27.683</c:v>
                </c:pt>
                <c:pt idx="9">
                  <c:v>42.454999999999998</c:v>
                </c:pt>
                <c:pt idx="10">
                  <c:v>13.641</c:v>
                </c:pt>
                <c:pt idx="11">
                  <c:v>36.336800000000004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B-4AA9-A8D3-E6DECBE75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825190447"/>
        <c:axId val="1825191407"/>
      </c:barChart>
      <c:lineChart>
        <c:grouping val="standard"/>
        <c:varyColors val="0"/>
        <c:ser>
          <c:idx val="3"/>
          <c:order val="3"/>
          <c:tx>
            <c:strRef>
              <c:f>'Gasto total_Análisis'!$C$27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8694444444444547E-2"/>
                  <c:y val="-4.1122776319626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FB-4AA9-A8D3-E6DECBE75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total_Análisis'!$D$27:$O$27</c:f>
              <c:numCache>
                <c:formatCode>#,##0</c:formatCode>
                <c:ptCount val="12"/>
                <c:pt idx="0">
                  <c:v>688.03015980959526</c:v>
                </c:pt>
                <c:pt idx="1">
                  <c:v>472.25504016872037</c:v>
                </c:pt>
                <c:pt idx="2">
                  <c:v>408.15190203799392</c:v>
                </c:pt>
                <c:pt idx="3">
                  <c:v>351.00939659172587</c:v>
                </c:pt>
                <c:pt idx="4">
                  <c:v>489.35443490913855</c:v>
                </c:pt>
                <c:pt idx="5">
                  <c:v>386.32449042483984</c:v>
                </c:pt>
                <c:pt idx="6">
                  <c:v>455.15249050727414</c:v>
                </c:pt>
                <c:pt idx="7">
                  <c:v>476.34707578341738</c:v>
                </c:pt>
                <c:pt idx="8">
                  <c:v>368.8772429254704</c:v>
                </c:pt>
                <c:pt idx="9">
                  <c:v>486.65788933990842</c:v>
                </c:pt>
                <c:pt idx="10">
                  <c:v>444.70353728346993</c:v>
                </c:pt>
                <c:pt idx="11">
                  <c:v>530.39638060457901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FB-4AA9-A8D3-E6DECBE75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190447"/>
        <c:axId val="1825191407"/>
      </c:lineChart>
      <c:lineChart>
        <c:grouping val="standard"/>
        <c:varyColors val="0"/>
        <c:ser>
          <c:idx val="4"/>
          <c:order val="4"/>
          <c:tx>
            <c:strRef>
              <c:f>'Gasto total_Análisis'!$C$28</c:f>
              <c:strCache>
                <c:ptCount val="1"/>
                <c:pt idx="0">
                  <c:v>Acumulado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2700" cap="flat" cmpd="sng" algn="ctr">
                <a:solidFill>
                  <a:srgbClr val="C00000"/>
                </a:solidFill>
                <a:prstDash val="sysDot"/>
                <a:round/>
              </a:ln>
              <a:effectLst/>
            </c:spPr>
          </c:marker>
          <c:dLbls>
            <c:dLbl>
              <c:idx val="11"/>
              <c:layout>
                <c:manualLayout>
                  <c:x val="-6.6666666666666763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FB-4AA9-A8D3-E6DECBE75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total_Análisis'!$D$28:$O$28</c:f>
              <c:numCache>
                <c:formatCode>#,##0</c:formatCode>
                <c:ptCount val="12"/>
                <c:pt idx="0">
                  <c:v>688.03015980959526</c:v>
                </c:pt>
                <c:pt idx="1">
                  <c:v>1160.2851999783156</c:v>
                </c:pt>
                <c:pt idx="2">
                  <c:v>1568.4371020163096</c:v>
                </c:pt>
                <c:pt idx="3">
                  <c:v>1919.4464986080354</c:v>
                </c:pt>
                <c:pt idx="4">
                  <c:v>2408.8009335171741</c:v>
                </c:pt>
                <c:pt idx="5">
                  <c:v>2795.1254239420141</c:v>
                </c:pt>
                <c:pt idx="6">
                  <c:v>3250.2779144492883</c:v>
                </c:pt>
                <c:pt idx="7">
                  <c:v>3726.6249902327058</c:v>
                </c:pt>
                <c:pt idx="8">
                  <c:v>4095.5022331581763</c:v>
                </c:pt>
                <c:pt idx="9">
                  <c:v>4582.160122498085</c:v>
                </c:pt>
                <c:pt idx="10">
                  <c:v>5026.8636597815548</c:v>
                </c:pt>
                <c:pt idx="11">
                  <c:v>5557.2600403861343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FB-4AA9-A8D3-E6DECBE75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402128"/>
        <c:axId val="1013405008"/>
      </c:lineChart>
      <c:catAx>
        <c:axId val="182519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1407"/>
        <c:crosses val="autoZero"/>
        <c:auto val="1"/>
        <c:lblAlgn val="ctr"/>
        <c:lblOffset val="100"/>
        <c:noMultiLvlLbl val="0"/>
      </c:catAx>
      <c:valAx>
        <c:axId val="18251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0447"/>
        <c:crosses val="autoZero"/>
        <c:crossBetween val="between"/>
      </c:valAx>
      <c:valAx>
        <c:axId val="101340500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3402128"/>
        <c:crosses val="max"/>
        <c:crossBetween val="between"/>
        <c:majorUnit val="1000"/>
      </c:valAx>
      <c:catAx>
        <c:axId val="1013402128"/>
        <c:scaling>
          <c:orientation val="minMax"/>
        </c:scaling>
        <c:delete val="1"/>
        <c:axPos val="b"/>
        <c:majorTickMark val="out"/>
        <c:minorTickMark val="none"/>
        <c:tickLblPos val="nextTo"/>
        <c:crossAx val="1013405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gasto según tipo</a:t>
            </a:r>
          </a:p>
        </c:rich>
      </c:tx>
      <c:layout>
        <c:manualLayout>
          <c:xMode val="edge"/>
          <c:yMode val="edge"/>
          <c:x val="2.010411198600176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'Gasto total_Análisis'!$P$5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6-408B-B5BC-A0C1DC9065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6-408B-B5BC-A0C1DC9065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6-408B-B5BC-A0C1DC90657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6-408B-B5BC-A0C1DC90657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EF6-408B-B5BC-A0C1DC90657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EF6-408B-B5BC-A0C1DC90657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EF6-408B-B5BC-A0C1DC90657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EF6-408B-B5BC-A0C1DC90657E}"/>
              </c:ext>
            </c:extLst>
          </c:dPt>
          <c:dLbls>
            <c:dLbl>
              <c:idx val="3"/>
              <c:layout>
                <c:manualLayout>
                  <c:x val="-3.0555555555555607E-2"/>
                  <c:y val="-9.259259259259258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F6-408B-B5BC-A0C1DC90657E}"/>
                </c:ext>
              </c:extLst>
            </c:dLbl>
            <c:dLbl>
              <c:idx val="4"/>
              <c:layout>
                <c:manualLayout>
                  <c:x val="-1.9444444444444545E-2"/>
                  <c:y val="-3.70370370370370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F6-408B-B5BC-A0C1DC90657E}"/>
                </c:ext>
              </c:extLst>
            </c:dLbl>
            <c:dLbl>
              <c:idx val="5"/>
              <c:layout>
                <c:manualLayout>
                  <c:x val="8.3333333333333332E-3"/>
                  <c:y val="-4.166666666666666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F6-408B-B5BC-A0C1DC90657E}"/>
                </c:ext>
              </c:extLst>
            </c:dLbl>
            <c:dLbl>
              <c:idx val="6"/>
              <c:layout>
                <c:manualLayout>
                  <c:x val="0.1583333333333331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F6-408B-B5BC-A0C1DC90657E}"/>
                </c:ext>
              </c:extLst>
            </c:dLbl>
            <c:dLbl>
              <c:idx val="7"/>
              <c:layout>
                <c:manualLayout>
                  <c:x val="5.2777777777777778E-2"/>
                  <c:y val="-2.77777777777777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EF6-408B-B5BC-A0C1DC9065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'Gasto total_Análisis'!$C$6:$C$13</c:f>
              <c:strCache>
                <c:ptCount val="8"/>
                <c:pt idx="0">
                  <c:v>Sueldos</c:v>
                </c:pt>
                <c:pt idx="1">
                  <c:v>Externo</c:v>
                </c:pt>
                <c:pt idx="2">
                  <c:v>Oficina</c:v>
                </c:pt>
                <c:pt idx="3">
                  <c:v>Extras personas</c:v>
                </c:pt>
                <c:pt idx="4">
                  <c:v>Viajes</c:v>
                </c:pt>
                <c:pt idx="5">
                  <c:v>Compañía</c:v>
                </c:pt>
                <c:pt idx="6">
                  <c:v>Comercial</c:v>
                </c:pt>
                <c:pt idx="7">
                  <c:v>Bancarios</c:v>
                </c:pt>
              </c:strCache>
            </c:strRef>
          </c:cat>
          <c:val>
            <c:numRef>
              <c:f>'Gasto total_Análisis'!$P$6:$P$13</c:f>
              <c:numCache>
                <c:formatCode>#,##0</c:formatCode>
                <c:ptCount val="8"/>
                <c:pt idx="0">
                  <c:v>3489.5430256221634</c:v>
                </c:pt>
                <c:pt idx="1">
                  <c:v>948.81357297095997</c:v>
                </c:pt>
                <c:pt idx="2">
                  <c:v>508.93862514247382</c:v>
                </c:pt>
                <c:pt idx="3">
                  <c:v>313.73029473073967</c:v>
                </c:pt>
                <c:pt idx="4">
                  <c:v>192.24619093871866</c:v>
                </c:pt>
                <c:pt idx="5">
                  <c:v>76.115716505389358</c:v>
                </c:pt>
                <c:pt idx="6">
                  <c:v>14.370961647925281</c:v>
                </c:pt>
                <c:pt idx="7">
                  <c:v>13.501652827763619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F6-408B-B5BC-A0C1DC906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</a:t>
            </a:r>
            <a:r>
              <a:rPr lang="en-US" baseline="0"/>
              <a:t> de gastos según unidad</a:t>
            </a:r>
            <a:endParaRPr lang="en-US"/>
          </a:p>
        </c:rich>
      </c:tx>
      <c:layout>
        <c:manualLayout>
          <c:xMode val="edge"/>
          <c:yMode val="edge"/>
          <c:x val="2.5159667541557303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'Gasto total_Análisis'!$P$5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F9-4B27-B0EA-D719FA491F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F9-4B27-B0EA-D719FA491F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F9-4B27-B0EA-D719FA491F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'Gasto total_Análisis'!$C$24:$C$26</c:f>
              <c:strCache>
                <c:ptCount val="3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</c:strCache>
            </c:strRef>
          </c:cat>
          <c:val>
            <c:numRef>
              <c:f>'Gasto total_Análisis'!$P$24:$P$26</c:f>
              <c:numCache>
                <c:formatCode>#,##0</c:formatCode>
                <c:ptCount val="3"/>
                <c:pt idx="0">
                  <c:v>3770.4616996971954</c:v>
                </c:pt>
                <c:pt idx="1">
                  <c:v>1428.41085599506</c:v>
                </c:pt>
                <c:pt idx="2">
                  <c:v>358.38748469387752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F9-4B27-B0EA-D719FA491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100"/>
              <a:t>Composición de gasto por tipo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'Gasto total_Análisis'!$C$48</c:f>
              <c:strCache>
                <c:ptCount val="1"/>
                <c:pt idx="0">
                  <c:v>Sueldos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total_Análisis'!$D$48:$O$48</c:f>
              <c:numCache>
                <c:formatCode>0</c:formatCode>
                <c:ptCount val="12"/>
                <c:pt idx="0">
                  <c:v>302.50526440642318</c:v>
                </c:pt>
                <c:pt idx="1">
                  <c:v>278.50060116096029</c:v>
                </c:pt>
                <c:pt idx="2">
                  <c:v>288.86500149146269</c:v>
                </c:pt>
                <c:pt idx="3">
                  <c:v>271.76517839345803</c:v>
                </c:pt>
                <c:pt idx="4">
                  <c:v>312.95631121944433</c:v>
                </c:pt>
                <c:pt idx="5">
                  <c:v>233.21148417415336</c:v>
                </c:pt>
                <c:pt idx="6">
                  <c:v>335.85132426394347</c:v>
                </c:pt>
                <c:pt idx="7">
                  <c:v>306.40784424821476</c:v>
                </c:pt>
                <c:pt idx="8">
                  <c:v>272.0217351820549</c:v>
                </c:pt>
                <c:pt idx="9">
                  <c:v>294.76603426968279</c:v>
                </c:pt>
                <c:pt idx="10">
                  <c:v>275.86337652075775</c:v>
                </c:pt>
                <c:pt idx="11">
                  <c:v>316.82887029160804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B-4E68-B355-67AC3905AD5A}"/>
            </c:ext>
          </c:extLst>
        </c:ser>
        <c:ser>
          <c:idx val="1"/>
          <c:order val="1"/>
          <c:tx>
            <c:strRef>
              <c:f>'Gasto total_Análisis'!$C$49</c:f>
              <c:strCache>
                <c:ptCount val="1"/>
                <c:pt idx="0">
                  <c:v>Externo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total_Análisis'!$D$49:$O$49</c:f>
              <c:numCache>
                <c:formatCode>0</c:formatCode>
                <c:ptCount val="12"/>
                <c:pt idx="0">
                  <c:v>123.39341412586258</c:v>
                </c:pt>
                <c:pt idx="1">
                  <c:v>95.218966663344958</c:v>
                </c:pt>
                <c:pt idx="2">
                  <c:v>93.077157047647063</c:v>
                </c:pt>
                <c:pt idx="3">
                  <c:v>9.5349992988309893</c:v>
                </c:pt>
                <c:pt idx="4">
                  <c:v>123.51901159863053</c:v>
                </c:pt>
                <c:pt idx="5">
                  <c:v>109.69993814098135</c:v>
                </c:pt>
                <c:pt idx="6">
                  <c:v>124.60333451113371</c:v>
                </c:pt>
                <c:pt idx="7">
                  <c:v>169.2646466465051</c:v>
                </c:pt>
                <c:pt idx="8">
                  <c:v>45.939189392285677</c:v>
                </c:pt>
                <c:pt idx="9">
                  <c:v>130.68894996830724</c:v>
                </c:pt>
                <c:pt idx="10">
                  <c:v>86.122168996553398</c:v>
                </c:pt>
                <c:pt idx="11">
                  <c:v>248.33479658087725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B-4E68-B355-67AC3905AD5A}"/>
            </c:ext>
          </c:extLst>
        </c:ser>
        <c:ser>
          <c:idx val="2"/>
          <c:order val="2"/>
          <c:tx>
            <c:strRef>
              <c:f>'Gasto total_Análisis'!$C$50</c:f>
              <c:strCache>
                <c:ptCount val="1"/>
                <c:pt idx="0">
                  <c:v>Oficina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total_Análisis'!$D$50:$O$50</c:f>
              <c:numCache>
                <c:formatCode>0</c:formatCode>
                <c:ptCount val="12"/>
                <c:pt idx="0">
                  <c:v>46.734790283948357</c:v>
                </c:pt>
                <c:pt idx="1">
                  <c:v>35.698196868571273</c:v>
                </c:pt>
                <c:pt idx="2">
                  <c:v>25.091045021603868</c:v>
                </c:pt>
                <c:pt idx="3">
                  <c:v>34.665022587828396</c:v>
                </c:pt>
                <c:pt idx="4">
                  <c:v>46.509807575282174</c:v>
                </c:pt>
                <c:pt idx="5">
                  <c:v>36.712330924326196</c:v>
                </c:pt>
                <c:pt idx="6">
                  <c:v>41.599820470156587</c:v>
                </c:pt>
                <c:pt idx="7">
                  <c:v>37.109385460802237</c:v>
                </c:pt>
                <c:pt idx="8">
                  <c:v>43.959912903121321</c:v>
                </c:pt>
                <c:pt idx="9">
                  <c:v>47.609466240455774</c:v>
                </c:pt>
                <c:pt idx="10">
                  <c:v>42.586412927130503</c:v>
                </c:pt>
                <c:pt idx="11">
                  <c:v>70.662433879247132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3B-4E68-B355-67AC3905AD5A}"/>
            </c:ext>
          </c:extLst>
        </c:ser>
        <c:ser>
          <c:idx val="3"/>
          <c:order val="3"/>
          <c:tx>
            <c:strRef>
              <c:f>'Gasto total_Análisis'!$C$51</c:f>
              <c:strCache>
                <c:ptCount val="1"/>
                <c:pt idx="0">
                  <c:v>Extras personas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total_Análisis'!$D$51:$O$51</c:f>
              <c:numCache>
                <c:formatCode>0</c:formatCode>
                <c:ptCount val="12"/>
                <c:pt idx="0">
                  <c:v>129.39817010191192</c:v>
                </c:pt>
                <c:pt idx="1">
                  <c:v>40.43176393718786</c:v>
                </c:pt>
                <c:pt idx="2">
                  <c:v>19.643364060830315</c:v>
                </c:pt>
                <c:pt idx="3">
                  <c:v>12.341404103388877</c:v>
                </c:pt>
                <c:pt idx="4">
                  <c:v>18.451805936010711</c:v>
                </c:pt>
                <c:pt idx="5">
                  <c:v>6.0272542328956469</c:v>
                </c:pt>
                <c:pt idx="6">
                  <c:v>5.0827933346544096</c:v>
                </c:pt>
                <c:pt idx="7">
                  <c:v>4.9271873319711803</c:v>
                </c:pt>
                <c:pt idx="8">
                  <c:v>4.7191497716500583</c:v>
                </c:pt>
                <c:pt idx="9">
                  <c:v>29.951058404517521</c:v>
                </c:pt>
                <c:pt idx="10">
                  <c:v>28.926818237958003</c:v>
                </c:pt>
                <c:pt idx="11">
                  <c:v>13.829525277763183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3B-4E68-B355-67AC3905AD5A}"/>
            </c:ext>
          </c:extLst>
        </c:ser>
        <c:ser>
          <c:idx val="4"/>
          <c:order val="4"/>
          <c:tx>
            <c:strRef>
              <c:f>'Gasto total_Análisis'!$C$52</c:f>
              <c:strCache>
                <c:ptCount val="1"/>
                <c:pt idx="0">
                  <c:v>Viajes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total_Análisis'!$D$52:$O$52</c:f>
              <c:numCache>
                <c:formatCode>0</c:formatCode>
                <c:ptCount val="12"/>
                <c:pt idx="0">
                  <c:v>70.940379610568385</c:v>
                </c:pt>
                <c:pt idx="1">
                  <c:v>15.541722628913062</c:v>
                </c:pt>
                <c:pt idx="2">
                  <c:v>6.4251697133057153</c:v>
                </c:pt>
                <c:pt idx="3">
                  <c:v>19.65406426562793</c:v>
                </c:pt>
                <c:pt idx="4">
                  <c:v>11.217310658473874</c:v>
                </c:pt>
                <c:pt idx="5">
                  <c:v>6.6439180250471681</c:v>
                </c:pt>
                <c:pt idx="6">
                  <c:v>10.766462434404199</c:v>
                </c:pt>
                <c:pt idx="7">
                  <c:v>12.765451293687494</c:v>
                </c:pt>
                <c:pt idx="8">
                  <c:v>12.095977046242213</c:v>
                </c:pt>
                <c:pt idx="9">
                  <c:v>8.7212621459397521</c:v>
                </c:pt>
                <c:pt idx="10">
                  <c:v>1.4406731165088513</c:v>
                </c:pt>
                <c:pt idx="11">
                  <c:v>16.033799999999999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3B-4E68-B355-67AC3905AD5A}"/>
            </c:ext>
          </c:extLst>
        </c:ser>
        <c:ser>
          <c:idx val="5"/>
          <c:order val="5"/>
          <c:tx>
            <c:strRef>
              <c:f>'Gasto total_Análisis'!$C$53</c:f>
              <c:strCache>
                <c:ptCount val="1"/>
                <c:pt idx="0">
                  <c:v>Compañía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total_Análisis'!$D$53:$O$53</c:f>
              <c:numCache>
                <c:formatCode>0</c:formatCode>
                <c:ptCount val="12"/>
                <c:pt idx="0">
                  <c:v>12.901351336468462</c:v>
                </c:pt>
                <c:pt idx="1">
                  <c:v>5.2800589554097819</c:v>
                </c:pt>
                <c:pt idx="2">
                  <c:v>2.6626842850206112</c:v>
                </c:pt>
                <c:pt idx="3">
                  <c:v>2.6842877080425773</c:v>
                </c:pt>
                <c:pt idx="4">
                  <c:v>6.9208513095393736</c:v>
                </c:pt>
                <c:pt idx="5">
                  <c:v>0</c:v>
                </c:pt>
                <c:pt idx="6">
                  <c:v>5.6590788856179879</c:v>
                </c:pt>
                <c:pt idx="7">
                  <c:v>5.7457511560382839</c:v>
                </c:pt>
                <c:pt idx="8">
                  <c:v>2.7826216516772653</c:v>
                </c:pt>
                <c:pt idx="9">
                  <c:v>5.5199494543857961</c:v>
                </c:pt>
                <c:pt idx="10">
                  <c:v>13.346370934540962</c:v>
                </c:pt>
                <c:pt idx="11">
                  <c:v>12.61271082864825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3B-4E68-B355-67AC3905AD5A}"/>
            </c:ext>
          </c:extLst>
        </c:ser>
        <c:ser>
          <c:idx val="6"/>
          <c:order val="6"/>
          <c:tx>
            <c:strRef>
              <c:f>'Gasto total_Análisis'!$C$54</c:f>
              <c:strCache>
                <c:ptCount val="1"/>
                <c:pt idx="0">
                  <c:v>Comercial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total_Análisis'!$D$54:$O$54</c:f>
              <c:numCache>
                <c:formatCode>0</c:formatCode>
                <c:ptCount val="12"/>
                <c:pt idx="0">
                  <c:v>1.1462879547131577</c:v>
                </c:pt>
                <c:pt idx="1">
                  <c:v>0.86461014697334537</c:v>
                </c:pt>
                <c:pt idx="2">
                  <c:v>1.7211988470240618</c:v>
                </c:pt>
                <c:pt idx="3">
                  <c:v>0</c:v>
                </c:pt>
                <c:pt idx="4">
                  <c:v>2.3744770558242907</c:v>
                </c:pt>
                <c:pt idx="5">
                  <c:v>0.89949032480995161</c:v>
                </c:pt>
                <c:pt idx="6">
                  <c:v>0.88847647083919967</c:v>
                </c:pt>
                <c:pt idx="7">
                  <c:v>0.8957952468007313</c:v>
                </c:pt>
                <c:pt idx="8">
                  <c:v>1.130629122985068</c:v>
                </c:pt>
                <c:pt idx="9">
                  <c:v>0.89204442017112695</c:v>
                </c:pt>
                <c:pt idx="10">
                  <c:v>2.3638328530259365</c:v>
                </c:pt>
                <c:pt idx="11">
                  <c:v>1.1941192047584126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3B-4E68-B355-67AC3905AD5A}"/>
            </c:ext>
          </c:extLst>
        </c:ser>
        <c:ser>
          <c:idx val="7"/>
          <c:order val="7"/>
          <c:tx>
            <c:strRef>
              <c:f>'Gasto total_Análisis'!$C$55</c:f>
              <c:strCache>
                <c:ptCount val="1"/>
                <c:pt idx="0">
                  <c:v>Bancarios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total_Análisis'!$D$55:$O$55</c:f>
              <c:numCache>
                <c:formatCode>0</c:formatCode>
                <c:ptCount val="12"/>
                <c:pt idx="0">
                  <c:v>1.0105019896990377</c:v>
                </c:pt>
                <c:pt idx="1">
                  <c:v>0.71911980736003234</c:v>
                </c:pt>
                <c:pt idx="2">
                  <c:v>0.4722815710997067</c:v>
                </c:pt>
                <c:pt idx="3">
                  <c:v>0.36444023454912827</c:v>
                </c:pt>
                <c:pt idx="4">
                  <c:v>0.81385955593323756</c:v>
                </c:pt>
                <c:pt idx="5">
                  <c:v>1.642074602626123</c:v>
                </c:pt>
                <c:pt idx="6">
                  <c:v>2.1692001365245961</c:v>
                </c:pt>
                <c:pt idx="7">
                  <c:v>1.1940143993977848</c:v>
                </c:pt>
                <c:pt idx="8">
                  <c:v>1.1280278554539469</c:v>
                </c:pt>
                <c:pt idx="9">
                  <c:v>0.8641244364485281</c:v>
                </c:pt>
                <c:pt idx="10">
                  <c:v>1.5538836969946481</c:v>
                </c:pt>
                <c:pt idx="11">
                  <c:v>1.5701245416768514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3B-4E68-B355-67AC3905A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313439"/>
        <c:axId val="1177313919"/>
      </c:areaChart>
      <c:lineChart>
        <c:grouping val="standard"/>
        <c:varyColors val="0"/>
        <c:ser>
          <c:idx val="8"/>
          <c:order val="8"/>
          <c:tx>
            <c:strRef>
              <c:f>'Gasto total_Análisis'!$C$56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total_Análisis'!$D$56:$O$56</c:f>
              <c:numCache>
                <c:formatCode>#,##0</c:formatCode>
                <c:ptCount val="12"/>
                <c:pt idx="0">
                  <c:v>688.03015980959503</c:v>
                </c:pt>
                <c:pt idx="1">
                  <c:v>472.2550401687206</c:v>
                </c:pt>
                <c:pt idx="2">
                  <c:v>437.95790203799402</c:v>
                </c:pt>
                <c:pt idx="3">
                  <c:v>351.00939659172593</c:v>
                </c:pt>
                <c:pt idx="4">
                  <c:v>522.76343490913848</c:v>
                </c:pt>
                <c:pt idx="5">
                  <c:v>394.83649042483978</c:v>
                </c:pt>
                <c:pt idx="6">
                  <c:v>526.62049050727421</c:v>
                </c:pt>
                <c:pt idx="7">
                  <c:v>538.31007578341769</c:v>
                </c:pt>
                <c:pt idx="8">
                  <c:v>383.77724292547049</c:v>
                </c:pt>
                <c:pt idx="9">
                  <c:v>519.01288933990861</c:v>
                </c:pt>
                <c:pt idx="10">
                  <c:v>452.20353728347004</c:v>
                </c:pt>
                <c:pt idx="11">
                  <c:v>681.06638060457908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9-404C-A0DD-00B0016C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313439"/>
        <c:axId val="1177313919"/>
      </c:lineChart>
      <c:catAx>
        <c:axId val="1177313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313919"/>
        <c:crosses val="autoZero"/>
        <c:auto val="1"/>
        <c:lblAlgn val="ctr"/>
        <c:lblOffset val="100"/>
        <c:noMultiLvlLbl val="0"/>
      </c:catAx>
      <c:valAx>
        <c:axId val="11773139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773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100"/>
              <a:t>Composición de gasto por unidad (kUS$)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'Gasto total_Análisis'!$C$40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total_Análisis'!$D$39:$O$39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total_Análisis'!$D$40:$O$40</c:f>
              <c:numCache>
                <c:formatCode>0</c:formatCode>
                <c:ptCount val="12"/>
                <c:pt idx="0">
                  <c:v>476.29050540204207</c:v>
                </c:pt>
                <c:pt idx="1">
                  <c:v>313.31491841733776</c:v>
                </c:pt>
                <c:pt idx="2">
                  <c:v>275.86854834543823</c:v>
                </c:pt>
                <c:pt idx="3">
                  <c:v>231.52127189784832</c:v>
                </c:pt>
                <c:pt idx="4">
                  <c:v>317.17005490913857</c:v>
                </c:pt>
                <c:pt idx="5">
                  <c:v>288.14494428127159</c:v>
                </c:pt>
                <c:pt idx="6">
                  <c:v>292.12749050727416</c:v>
                </c:pt>
                <c:pt idx="7">
                  <c:v>299.21778578341736</c:v>
                </c:pt>
                <c:pt idx="8">
                  <c:v>267.60024292547041</c:v>
                </c:pt>
                <c:pt idx="9">
                  <c:v>356.05443933990841</c:v>
                </c:pt>
                <c:pt idx="10">
                  <c:v>318.2745372834699</c:v>
                </c:pt>
                <c:pt idx="11">
                  <c:v>334.87696060457898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0-4670-B32F-C25D294281F5}"/>
            </c:ext>
          </c:extLst>
        </c:ser>
        <c:ser>
          <c:idx val="1"/>
          <c:order val="1"/>
          <c:tx>
            <c:strRef>
              <c:f>'Gasto total_Análisis'!$C$41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total_Análisis'!$D$39:$O$39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total_Análisis'!$D$41:$O$41</c:f>
              <c:numCache>
                <c:formatCode>0</c:formatCode>
                <c:ptCount val="12"/>
                <c:pt idx="0">
                  <c:v>167.14016440755313</c:v>
                </c:pt>
                <c:pt idx="1">
                  <c:v>109.66978175138264</c:v>
                </c:pt>
                <c:pt idx="2">
                  <c:v>119.90377369255575</c:v>
                </c:pt>
                <c:pt idx="3">
                  <c:v>98.132410000000007</c:v>
                </c:pt>
                <c:pt idx="4">
                  <c:v>125.25863</c:v>
                </c:pt>
                <c:pt idx="5">
                  <c:v>82.824806143568253</c:v>
                </c:pt>
                <c:pt idx="6">
                  <c:v>139.67400000000001</c:v>
                </c:pt>
                <c:pt idx="7">
                  <c:v>152.09422000000004</c:v>
                </c:pt>
                <c:pt idx="8">
                  <c:v>73.593999999999994</c:v>
                </c:pt>
                <c:pt idx="9">
                  <c:v>88.148450000000025</c:v>
                </c:pt>
                <c:pt idx="10">
                  <c:v>112.788</c:v>
                </c:pt>
                <c:pt idx="11">
                  <c:v>159.18261999999999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0-4670-B32F-C25D294281F5}"/>
            </c:ext>
          </c:extLst>
        </c:ser>
        <c:ser>
          <c:idx val="2"/>
          <c:order val="2"/>
          <c:tx>
            <c:strRef>
              <c:f>'Gasto total_Análisis'!$C$42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total_Análisis'!$D$39:$O$39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total_Análisis'!$D$42:$O$42</c:f>
              <c:numCache>
                <c:formatCode>0</c:formatCode>
                <c:ptCount val="12"/>
                <c:pt idx="0">
                  <c:v>44.599490000000003</c:v>
                </c:pt>
                <c:pt idx="1">
                  <c:v>49.270340000000004</c:v>
                </c:pt>
                <c:pt idx="2">
                  <c:v>12.379580000000001</c:v>
                </c:pt>
                <c:pt idx="3">
                  <c:v>21.355714693877552</c:v>
                </c:pt>
                <c:pt idx="4">
                  <c:v>46.925750000000001</c:v>
                </c:pt>
                <c:pt idx="5">
                  <c:v>15.35474</c:v>
                </c:pt>
                <c:pt idx="6">
                  <c:v>23.350999999999999</c:v>
                </c:pt>
                <c:pt idx="7">
                  <c:v>25.035070000000001</c:v>
                </c:pt>
                <c:pt idx="8">
                  <c:v>27.683</c:v>
                </c:pt>
                <c:pt idx="9">
                  <c:v>42.454999999999998</c:v>
                </c:pt>
                <c:pt idx="10">
                  <c:v>13.641</c:v>
                </c:pt>
                <c:pt idx="11">
                  <c:v>36.336800000000004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0-4670-B32F-C25D294281F5}"/>
            </c:ext>
          </c:extLst>
        </c:ser>
        <c:ser>
          <c:idx val="3"/>
          <c:order val="3"/>
          <c:tx>
            <c:strRef>
              <c:f>'Gasto total_Análisis'!$C$43</c:f>
              <c:strCache>
                <c:ptCount val="1"/>
                <c:pt idx="0">
                  <c:v>EEUU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strRef>
              <c:f>'Gasto total_Análisis'!$D$39:$O$39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total_Análisis'!$D$43:$O$43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29.806000000000001</c:v>
                </c:pt>
                <c:pt idx="3">
                  <c:v>0</c:v>
                </c:pt>
                <c:pt idx="4">
                  <c:v>33.408999999999999</c:v>
                </c:pt>
                <c:pt idx="5">
                  <c:v>8.5120000000000005</c:v>
                </c:pt>
                <c:pt idx="6">
                  <c:v>71.468000000000004</c:v>
                </c:pt>
                <c:pt idx="7">
                  <c:v>61.963000000000001</c:v>
                </c:pt>
                <c:pt idx="8">
                  <c:v>14.9</c:v>
                </c:pt>
                <c:pt idx="9">
                  <c:v>32.355000000000004</c:v>
                </c:pt>
                <c:pt idx="10">
                  <c:v>7.5</c:v>
                </c:pt>
                <c:pt idx="11">
                  <c:v>150.66999999999999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80-4670-B32F-C25D29428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313439"/>
        <c:axId val="1177313919"/>
      </c:areaChart>
      <c:lineChart>
        <c:grouping val="standard"/>
        <c:varyColors val="0"/>
        <c:ser>
          <c:idx val="4"/>
          <c:order val="4"/>
          <c:tx>
            <c:strRef>
              <c:f>'Gasto total_Análisis'!$C$44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'Gasto total_Análisis'!$D$44:$O$44</c:f>
              <c:numCache>
                <c:formatCode>#,##0</c:formatCode>
                <c:ptCount val="12"/>
                <c:pt idx="0">
                  <c:v>688.03015980959526</c:v>
                </c:pt>
                <c:pt idx="1">
                  <c:v>472.25504016872037</c:v>
                </c:pt>
                <c:pt idx="2">
                  <c:v>437.9579020379939</c:v>
                </c:pt>
                <c:pt idx="3">
                  <c:v>351.00939659172587</c:v>
                </c:pt>
                <c:pt idx="4">
                  <c:v>522.7634349091386</c:v>
                </c:pt>
                <c:pt idx="5">
                  <c:v>394.83649042483984</c:v>
                </c:pt>
                <c:pt idx="6">
                  <c:v>526.6204905072741</c:v>
                </c:pt>
                <c:pt idx="7">
                  <c:v>538.31007578341735</c:v>
                </c:pt>
                <c:pt idx="8">
                  <c:v>383.77724292547038</c:v>
                </c:pt>
                <c:pt idx="9">
                  <c:v>519.01288933990838</c:v>
                </c:pt>
                <c:pt idx="10">
                  <c:v>452.20353728346993</c:v>
                </c:pt>
                <c:pt idx="11">
                  <c:v>681.06638060457897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B-412D-871E-EE50DA425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313439"/>
        <c:axId val="1177313919"/>
      </c:lineChart>
      <c:catAx>
        <c:axId val="1177313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313919"/>
        <c:crosses val="autoZero"/>
        <c:auto val="1"/>
        <c:lblAlgn val="ctr"/>
        <c:lblOffset val="100"/>
        <c:noMultiLvlLbl val="0"/>
      </c:catAx>
      <c:valAx>
        <c:axId val="11773139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773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Composición de gasto mensual según tipo - kUSD</a:t>
            </a:r>
          </a:p>
        </c:rich>
      </c:tx>
      <c:layout>
        <c:manualLayout>
          <c:xMode val="edge"/>
          <c:yMode val="edge"/>
          <c:x val="1.8611111111111078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 total_Análisis'!$C$48</c:f>
              <c:strCache>
                <c:ptCount val="1"/>
                <c:pt idx="0">
                  <c:v>Sueldos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total_Análisis'!$D$48:$O$48</c:f>
              <c:numCache>
                <c:formatCode>0</c:formatCode>
                <c:ptCount val="12"/>
                <c:pt idx="0">
                  <c:v>302.50526440642318</c:v>
                </c:pt>
                <c:pt idx="1">
                  <c:v>278.50060116096029</c:v>
                </c:pt>
                <c:pt idx="2">
                  <c:v>288.86500149146269</c:v>
                </c:pt>
                <c:pt idx="3">
                  <c:v>271.76517839345803</c:v>
                </c:pt>
                <c:pt idx="4">
                  <c:v>312.95631121944433</c:v>
                </c:pt>
                <c:pt idx="5">
                  <c:v>233.21148417415336</c:v>
                </c:pt>
                <c:pt idx="6">
                  <c:v>335.85132426394347</c:v>
                </c:pt>
                <c:pt idx="7">
                  <c:v>306.40784424821476</c:v>
                </c:pt>
                <c:pt idx="8">
                  <c:v>272.0217351820549</c:v>
                </c:pt>
                <c:pt idx="9">
                  <c:v>294.76603426968279</c:v>
                </c:pt>
                <c:pt idx="10">
                  <c:v>275.86337652075775</c:v>
                </c:pt>
                <c:pt idx="11">
                  <c:v>316.82887029160804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4-44C8-8D8E-B2446E4598DE}"/>
            </c:ext>
          </c:extLst>
        </c:ser>
        <c:ser>
          <c:idx val="1"/>
          <c:order val="1"/>
          <c:tx>
            <c:strRef>
              <c:f>'Gasto total_Análisis'!$C$49</c:f>
              <c:strCache>
                <c:ptCount val="1"/>
                <c:pt idx="0">
                  <c:v>Externo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total_Análisis'!$D$49:$O$49</c:f>
              <c:numCache>
                <c:formatCode>0</c:formatCode>
                <c:ptCount val="12"/>
                <c:pt idx="0">
                  <c:v>123.39341412586258</c:v>
                </c:pt>
                <c:pt idx="1">
                  <c:v>95.218966663344958</c:v>
                </c:pt>
                <c:pt idx="2">
                  <c:v>93.077157047647063</c:v>
                </c:pt>
                <c:pt idx="3">
                  <c:v>9.5349992988309893</c:v>
                </c:pt>
                <c:pt idx="4">
                  <c:v>123.51901159863053</c:v>
                </c:pt>
                <c:pt idx="5">
                  <c:v>109.69993814098135</c:v>
                </c:pt>
                <c:pt idx="6">
                  <c:v>124.60333451113371</c:v>
                </c:pt>
                <c:pt idx="7">
                  <c:v>169.2646466465051</c:v>
                </c:pt>
                <c:pt idx="8">
                  <c:v>45.939189392285677</c:v>
                </c:pt>
                <c:pt idx="9">
                  <c:v>130.68894996830724</c:v>
                </c:pt>
                <c:pt idx="10">
                  <c:v>86.122168996553398</c:v>
                </c:pt>
                <c:pt idx="11">
                  <c:v>248.33479658087725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4-44C8-8D8E-B2446E4598DE}"/>
            </c:ext>
          </c:extLst>
        </c:ser>
        <c:ser>
          <c:idx val="2"/>
          <c:order val="2"/>
          <c:tx>
            <c:strRef>
              <c:f>'Gasto total_Análisis'!$C$50</c:f>
              <c:strCache>
                <c:ptCount val="1"/>
                <c:pt idx="0">
                  <c:v>Oficina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total_Análisis'!$D$50:$O$50</c:f>
              <c:numCache>
                <c:formatCode>0</c:formatCode>
                <c:ptCount val="12"/>
                <c:pt idx="0">
                  <c:v>46.734790283948357</c:v>
                </c:pt>
                <c:pt idx="1">
                  <c:v>35.698196868571273</c:v>
                </c:pt>
                <c:pt idx="2">
                  <c:v>25.091045021603868</c:v>
                </c:pt>
                <c:pt idx="3">
                  <c:v>34.665022587828396</c:v>
                </c:pt>
                <c:pt idx="4">
                  <c:v>46.509807575282174</c:v>
                </c:pt>
                <c:pt idx="5">
                  <c:v>36.712330924326196</c:v>
                </c:pt>
                <c:pt idx="6">
                  <c:v>41.599820470156587</c:v>
                </c:pt>
                <c:pt idx="7">
                  <c:v>37.109385460802237</c:v>
                </c:pt>
                <c:pt idx="8">
                  <c:v>43.959912903121321</c:v>
                </c:pt>
                <c:pt idx="9">
                  <c:v>47.609466240455774</c:v>
                </c:pt>
                <c:pt idx="10">
                  <c:v>42.586412927130503</c:v>
                </c:pt>
                <c:pt idx="11">
                  <c:v>70.662433879247132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4-44C8-8D8E-B2446E4598DE}"/>
            </c:ext>
          </c:extLst>
        </c:ser>
        <c:ser>
          <c:idx val="3"/>
          <c:order val="3"/>
          <c:tx>
            <c:strRef>
              <c:f>'Gasto total_Análisis'!$C$51</c:f>
              <c:strCache>
                <c:ptCount val="1"/>
                <c:pt idx="0">
                  <c:v>Extras personas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total_Análisis'!$D$51:$O$51</c:f>
              <c:numCache>
                <c:formatCode>0</c:formatCode>
                <c:ptCount val="12"/>
                <c:pt idx="0">
                  <c:v>129.39817010191192</c:v>
                </c:pt>
                <c:pt idx="1">
                  <c:v>40.43176393718786</c:v>
                </c:pt>
                <c:pt idx="2">
                  <c:v>19.643364060830315</c:v>
                </c:pt>
                <c:pt idx="3">
                  <c:v>12.341404103388877</c:v>
                </c:pt>
                <c:pt idx="4">
                  <c:v>18.451805936010711</c:v>
                </c:pt>
                <c:pt idx="5">
                  <c:v>6.0272542328956469</c:v>
                </c:pt>
                <c:pt idx="6">
                  <c:v>5.0827933346544096</c:v>
                </c:pt>
                <c:pt idx="7">
                  <c:v>4.9271873319711803</c:v>
                </c:pt>
                <c:pt idx="8">
                  <c:v>4.7191497716500583</c:v>
                </c:pt>
                <c:pt idx="9">
                  <c:v>29.951058404517521</c:v>
                </c:pt>
                <c:pt idx="10">
                  <c:v>28.926818237958003</c:v>
                </c:pt>
                <c:pt idx="11">
                  <c:v>13.829525277763183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94-44C8-8D8E-B2446E4598DE}"/>
            </c:ext>
          </c:extLst>
        </c:ser>
        <c:ser>
          <c:idx val="4"/>
          <c:order val="4"/>
          <c:tx>
            <c:strRef>
              <c:f>'Gasto total_Análisis'!$C$52</c:f>
              <c:strCache>
                <c:ptCount val="1"/>
                <c:pt idx="0">
                  <c:v>Viajes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total_Análisis'!$D$52:$O$52</c:f>
              <c:numCache>
                <c:formatCode>0</c:formatCode>
                <c:ptCount val="12"/>
                <c:pt idx="0">
                  <c:v>70.940379610568385</c:v>
                </c:pt>
                <c:pt idx="1">
                  <c:v>15.541722628913062</c:v>
                </c:pt>
                <c:pt idx="2">
                  <c:v>6.4251697133057153</c:v>
                </c:pt>
                <c:pt idx="3">
                  <c:v>19.65406426562793</c:v>
                </c:pt>
                <c:pt idx="4">
                  <c:v>11.217310658473874</c:v>
                </c:pt>
                <c:pt idx="5">
                  <c:v>6.6439180250471681</c:v>
                </c:pt>
                <c:pt idx="6">
                  <c:v>10.766462434404199</c:v>
                </c:pt>
                <c:pt idx="7">
                  <c:v>12.765451293687494</c:v>
                </c:pt>
                <c:pt idx="8">
                  <c:v>12.095977046242213</c:v>
                </c:pt>
                <c:pt idx="9">
                  <c:v>8.7212621459397521</c:v>
                </c:pt>
                <c:pt idx="10">
                  <c:v>1.4406731165088513</c:v>
                </c:pt>
                <c:pt idx="11">
                  <c:v>16.033799999999999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94-44C8-8D8E-B2446E4598DE}"/>
            </c:ext>
          </c:extLst>
        </c:ser>
        <c:ser>
          <c:idx val="5"/>
          <c:order val="5"/>
          <c:tx>
            <c:strRef>
              <c:f>'Gasto total_Análisis'!$C$53</c:f>
              <c:strCache>
                <c:ptCount val="1"/>
                <c:pt idx="0">
                  <c:v>Compañía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total_Análisis'!$D$53:$O$53</c:f>
              <c:numCache>
                <c:formatCode>0</c:formatCode>
                <c:ptCount val="12"/>
                <c:pt idx="0">
                  <c:v>12.901351336468462</c:v>
                </c:pt>
                <c:pt idx="1">
                  <c:v>5.2800589554097819</c:v>
                </c:pt>
                <c:pt idx="2">
                  <c:v>2.6626842850206112</c:v>
                </c:pt>
                <c:pt idx="3">
                  <c:v>2.6842877080425773</c:v>
                </c:pt>
                <c:pt idx="4">
                  <c:v>6.9208513095393736</c:v>
                </c:pt>
                <c:pt idx="5">
                  <c:v>0</c:v>
                </c:pt>
                <c:pt idx="6">
                  <c:v>5.6590788856179879</c:v>
                </c:pt>
                <c:pt idx="7">
                  <c:v>5.7457511560382839</c:v>
                </c:pt>
                <c:pt idx="8">
                  <c:v>2.7826216516772653</c:v>
                </c:pt>
                <c:pt idx="9">
                  <c:v>5.5199494543857961</c:v>
                </c:pt>
                <c:pt idx="10">
                  <c:v>13.346370934540962</c:v>
                </c:pt>
                <c:pt idx="11">
                  <c:v>12.61271082864825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94-44C8-8D8E-B2446E4598DE}"/>
            </c:ext>
          </c:extLst>
        </c:ser>
        <c:ser>
          <c:idx val="6"/>
          <c:order val="6"/>
          <c:tx>
            <c:strRef>
              <c:f>'Gasto total_Análisis'!$C$54</c:f>
              <c:strCache>
                <c:ptCount val="1"/>
                <c:pt idx="0">
                  <c:v>Comercial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total_Análisis'!$D$54:$O$54</c:f>
              <c:numCache>
                <c:formatCode>0</c:formatCode>
                <c:ptCount val="12"/>
                <c:pt idx="0">
                  <c:v>1.1462879547131577</c:v>
                </c:pt>
                <c:pt idx="1">
                  <c:v>0.86461014697334537</c:v>
                </c:pt>
                <c:pt idx="2">
                  <c:v>1.7211988470240618</c:v>
                </c:pt>
                <c:pt idx="3">
                  <c:v>0</c:v>
                </c:pt>
                <c:pt idx="4">
                  <c:v>2.3744770558242907</c:v>
                </c:pt>
                <c:pt idx="5">
                  <c:v>0.89949032480995161</c:v>
                </c:pt>
                <c:pt idx="6">
                  <c:v>0.88847647083919967</c:v>
                </c:pt>
                <c:pt idx="7">
                  <c:v>0.8957952468007313</c:v>
                </c:pt>
                <c:pt idx="8">
                  <c:v>1.130629122985068</c:v>
                </c:pt>
                <c:pt idx="9">
                  <c:v>0.89204442017112695</c:v>
                </c:pt>
                <c:pt idx="10">
                  <c:v>2.3638328530259365</c:v>
                </c:pt>
                <c:pt idx="11">
                  <c:v>1.1941192047584126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94-44C8-8D8E-B2446E4598DE}"/>
            </c:ext>
          </c:extLst>
        </c:ser>
        <c:ser>
          <c:idx val="7"/>
          <c:order val="7"/>
          <c:tx>
            <c:strRef>
              <c:f>'Gasto total_Análisis'!$C$55</c:f>
              <c:strCache>
                <c:ptCount val="1"/>
                <c:pt idx="0">
                  <c:v>Bancarios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total_Análisis'!$D$55:$O$55</c:f>
              <c:numCache>
                <c:formatCode>0</c:formatCode>
                <c:ptCount val="12"/>
                <c:pt idx="0">
                  <c:v>1.0105019896990377</c:v>
                </c:pt>
                <c:pt idx="1">
                  <c:v>0.71911980736003234</c:v>
                </c:pt>
                <c:pt idx="2">
                  <c:v>0.4722815710997067</c:v>
                </c:pt>
                <c:pt idx="3">
                  <c:v>0.36444023454912827</c:v>
                </c:pt>
                <c:pt idx="4">
                  <c:v>0.81385955593323756</c:v>
                </c:pt>
                <c:pt idx="5">
                  <c:v>1.642074602626123</c:v>
                </c:pt>
                <c:pt idx="6">
                  <c:v>2.1692001365245961</c:v>
                </c:pt>
                <c:pt idx="7">
                  <c:v>1.1940143993977848</c:v>
                </c:pt>
                <c:pt idx="8">
                  <c:v>1.1280278554539469</c:v>
                </c:pt>
                <c:pt idx="9">
                  <c:v>0.8641244364485281</c:v>
                </c:pt>
                <c:pt idx="10">
                  <c:v>1.5538836969946481</c:v>
                </c:pt>
                <c:pt idx="11">
                  <c:v>1.5701245416768514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94-44C8-8D8E-B2446E459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25190447"/>
        <c:axId val="1825191407"/>
      </c:barChart>
      <c:lineChart>
        <c:grouping val="standard"/>
        <c:varyColors val="0"/>
        <c:ser>
          <c:idx val="8"/>
          <c:order val="8"/>
          <c:tx>
            <c:strRef>
              <c:f>'Gasto total_Análisis'!$C$57</c:f>
              <c:strCache>
                <c:ptCount val="1"/>
                <c:pt idx="0">
                  <c:v>Acumulado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94-44C8-8D8E-B2446E4598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'Gasto total_Análisis'!$D$47:$O$47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'Gasto total_Análisis'!$D$57:$O$57</c:f>
              <c:numCache>
                <c:formatCode>#,##0</c:formatCode>
                <c:ptCount val="12"/>
                <c:pt idx="0">
                  <c:v>688.03015980959503</c:v>
                </c:pt>
                <c:pt idx="1">
                  <c:v>1160.2851999783156</c:v>
                </c:pt>
                <c:pt idx="2">
                  <c:v>1598.2431020163096</c:v>
                </c:pt>
                <c:pt idx="3">
                  <c:v>1949.2524986080357</c:v>
                </c:pt>
                <c:pt idx="4">
                  <c:v>2472.0159335171743</c:v>
                </c:pt>
                <c:pt idx="5">
                  <c:v>2866.852423942014</c:v>
                </c:pt>
                <c:pt idx="6">
                  <c:v>3393.4729144492881</c:v>
                </c:pt>
                <c:pt idx="7">
                  <c:v>3931.7829902327057</c:v>
                </c:pt>
                <c:pt idx="8">
                  <c:v>4315.5602331581758</c:v>
                </c:pt>
                <c:pt idx="9">
                  <c:v>4834.5731224980846</c:v>
                </c:pt>
                <c:pt idx="10">
                  <c:v>5286.7766597815544</c:v>
                </c:pt>
                <c:pt idx="11">
                  <c:v>5967.843040386133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94-44C8-8D8E-B2446E459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077552"/>
        <c:axId val="428078512"/>
      </c:lineChart>
      <c:catAx>
        <c:axId val="182519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1407"/>
        <c:crosses val="autoZero"/>
        <c:auto val="1"/>
        <c:lblAlgn val="ctr"/>
        <c:lblOffset val="100"/>
        <c:noMultiLvlLbl val="0"/>
      </c:catAx>
      <c:valAx>
        <c:axId val="18251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5190447"/>
        <c:crosses val="autoZero"/>
        <c:crossBetween val="between"/>
      </c:valAx>
      <c:valAx>
        <c:axId val="42807851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8077552"/>
        <c:crosses val="max"/>
        <c:crossBetween val="between"/>
      </c:valAx>
      <c:catAx>
        <c:axId val="428077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8078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gasto según tipo</a:t>
            </a:r>
          </a:p>
        </c:rich>
      </c:tx>
      <c:layout>
        <c:manualLayout>
          <c:xMode val="edge"/>
          <c:yMode val="edge"/>
          <c:x val="2.010411198600176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'Gasto total_Análisis'!$P$5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2B-4F23-8A52-B9BF2A6E40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2B-4F23-8A52-B9BF2A6E40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2B-4F23-8A52-B9BF2A6E40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02B-4F23-8A52-B9BF2A6E40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02B-4F23-8A52-B9BF2A6E40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02B-4F23-8A52-B9BF2A6E401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02B-4F23-8A52-B9BF2A6E401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02B-4F23-8A52-B9BF2A6E401B}"/>
              </c:ext>
            </c:extLst>
          </c:dPt>
          <c:dLbls>
            <c:dLbl>
              <c:idx val="6"/>
              <c:layout>
                <c:manualLayout>
                  <c:x val="4.4444444444444342E-2"/>
                  <c:y val="-2.314814814814814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02B-4F23-8A52-B9BF2A6E401B}"/>
                </c:ext>
              </c:extLst>
            </c:dLbl>
            <c:dLbl>
              <c:idx val="7"/>
              <c:layout>
                <c:manualLayout>
                  <c:x val="9.4444444444444345E-2"/>
                  <c:y val="1.060944534001666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02B-4F23-8A52-B9BF2A6E40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'Gasto total_Análisis'!$C$48:$C$55</c:f>
              <c:strCache>
                <c:ptCount val="8"/>
                <c:pt idx="0">
                  <c:v>Sueldos</c:v>
                </c:pt>
                <c:pt idx="1">
                  <c:v>Externo</c:v>
                </c:pt>
                <c:pt idx="2">
                  <c:v>Oficina</c:v>
                </c:pt>
                <c:pt idx="3">
                  <c:v>Extras personas</c:v>
                </c:pt>
                <c:pt idx="4">
                  <c:v>Viajes</c:v>
                </c:pt>
                <c:pt idx="5">
                  <c:v>Compañía</c:v>
                </c:pt>
                <c:pt idx="6">
                  <c:v>Comercial</c:v>
                </c:pt>
                <c:pt idx="7">
                  <c:v>Bancarios</c:v>
                </c:pt>
              </c:strCache>
            </c:strRef>
          </c:cat>
          <c:val>
            <c:numRef>
              <c:f>'Gasto total_Análisis'!$P$48:$P$55</c:f>
              <c:numCache>
                <c:formatCode>#,##0</c:formatCode>
                <c:ptCount val="8"/>
                <c:pt idx="0">
                  <c:v>3489.5430256221634</c:v>
                </c:pt>
                <c:pt idx="1">
                  <c:v>1359.3965729709601</c:v>
                </c:pt>
                <c:pt idx="2">
                  <c:v>508.93862514247382</c:v>
                </c:pt>
                <c:pt idx="3">
                  <c:v>313.73029473073967</c:v>
                </c:pt>
                <c:pt idx="4">
                  <c:v>192.24619093871866</c:v>
                </c:pt>
                <c:pt idx="5">
                  <c:v>76.115716505389358</c:v>
                </c:pt>
                <c:pt idx="6">
                  <c:v>14.370961647925281</c:v>
                </c:pt>
                <c:pt idx="7">
                  <c:v>13.501652827763619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02B-4F23-8A52-B9BF2A6E4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1100"/>
              <a:t>Costo unitario dotación REDCO (USD/persona)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'Sueldos Septiembre'!$S$114</c:f>
              <c:strCache>
                <c:ptCount val="1"/>
                <c:pt idx="0">
                  <c:v>Dotación 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Septiembre'!$T$113:$AE$113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Septiembre'!$T$114:$AE$114</c:f>
              <c:numCache>
                <c:formatCode>_(* #,##0_);_(* \(#,##0\);_(* "-"_);_(@_)</c:formatCode>
                <c:ptCount val="12"/>
                <c:pt idx="0">
                  <c:v>87</c:v>
                </c:pt>
                <c:pt idx="1">
                  <c:v>87</c:v>
                </c:pt>
                <c:pt idx="2">
                  <c:v>84</c:v>
                </c:pt>
                <c:pt idx="3">
                  <c:v>77</c:v>
                </c:pt>
                <c:pt idx="4">
                  <c:v>71</c:v>
                </c:pt>
                <c:pt idx="5">
                  <c:v>65</c:v>
                </c:pt>
                <c:pt idx="6">
                  <c:v>65</c:v>
                </c:pt>
                <c:pt idx="7">
                  <c:v>62</c:v>
                </c:pt>
                <c:pt idx="8">
                  <c:v>62</c:v>
                </c:pt>
                <c:pt idx="9">
                  <c:v>59</c:v>
                </c:pt>
                <c:pt idx="10">
                  <c:v>56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F-4859-888A-347F043A4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459841967"/>
        <c:axId val="459827087"/>
      </c:barChart>
      <c:lineChart>
        <c:grouping val="standard"/>
        <c:varyColors val="0"/>
        <c:ser>
          <c:idx val="1"/>
          <c:order val="1"/>
          <c:tx>
            <c:strRef>
              <c:f>'Sueldos Septiembre'!$S$115</c:f>
              <c:strCache>
                <c:ptCount val="1"/>
                <c:pt idx="0">
                  <c:v>USD/persona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  <a:prstDash val="sysDot"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Septiembre'!$T$113:$AE$113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Septiembre'!$T$115:$AE$115</c:f>
              <c:numCache>
                <c:formatCode>_(* #,##0_);_(* \(#,##0\);_(* "-"_);_(@_)</c:formatCode>
                <c:ptCount val="12"/>
                <c:pt idx="0">
                  <c:v>3379.1361192568206</c:v>
                </c:pt>
                <c:pt idx="1">
                  <c:v>3108.8570694297955</c:v>
                </c:pt>
                <c:pt idx="2">
                  <c:v>3372.510946098726</c:v>
                </c:pt>
                <c:pt idx="3">
                  <c:v>3424.7732863456135</c:v>
                </c:pt>
                <c:pt idx="4">
                  <c:v>4289.1224687093336</c:v>
                </c:pt>
                <c:pt idx="5">
                  <c:v>3587.8689872946675</c:v>
                </c:pt>
                <c:pt idx="6">
                  <c:v>5072.8214904302004</c:v>
                </c:pt>
                <c:pt idx="7">
                  <c:v>4696.9785263911335</c:v>
                </c:pt>
                <c:pt idx="8">
                  <c:v>4291.5254960251641</c:v>
                </c:pt>
                <c:pt idx="9">
                  <c:v>4529.5988038918913</c:v>
                </c:pt>
                <c:pt idx="10">
                  <c:v>4417.1289724973194</c:v>
                </c:pt>
                <c:pt idx="11">
                  <c:v>5171.6574305731401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F-4859-888A-347F043A4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834767"/>
        <c:axId val="459823247"/>
      </c:lineChart>
      <c:dateAx>
        <c:axId val="459841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59827087"/>
        <c:crosses val="autoZero"/>
        <c:auto val="1"/>
        <c:lblOffset val="100"/>
        <c:baseTimeUnit val="months"/>
      </c:dateAx>
      <c:valAx>
        <c:axId val="45982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r>
                  <a:rPr lang="es-CL" sz="700"/>
                  <a:t>N°</a:t>
                </a:r>
                <a:r>
                  <a:rPr lang="es-CL" sz="700" baseline="0"/>
                  <a:t> Personas</a:t>
                </a:r>
                <a:endParaRPr lang="es-CL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aleway" pitchFamily="2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59841967"/>
        <c:crosses val="autoZero"/>
        <c:crossBetween val="between"/>
      </c:valAx>
      <c:valAx>
        <c:axId val="4598232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r>
                  <a:rPr lang="en-US" sz="700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aleway" pitchFamily="2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59834767"/>
        <c:crosses val="max"/>
        <c:crossBetween val="between"/>
      </c:valAx>
      <c:dateAx>
        <c:axId val="4598347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5982324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'Sueldos Septiembre'!$C$114</c:f>
              <c:strCache>
                <c:ptCount val="1"/>
                <c:pt idx="0">
                  <c:v>Monto sueldo &lt;4kUSD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Septiembre'!$D$113:$O$113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Septiembre'!$D$114:$O$114</c:f>
              <c:numCache>
                <c:formatCode>#,##0</c:formatCode>
                <c:ptCount val="12"/>
                <c:pt idx="0">
                  <c:v>130670.33466872502</c:v>
                </c:pt>
                <c:pt idx="1">
                  <c:v>116939.78622051803</c:v>
                </c:pt>
                <c:pt idx="2">
                  <c:v>113783.609850056</c:v>
                </c:pt>
                <c:pt idx="3">
                  <c:v>103236.27523182453</c:v>
                </c:pt>
                <c:pt idx="4">
                  <c:v>94113.738121241244</c:v>
                </c:pt>
                <c:pt idx="5">
                  <c:v>97038.568481197071</c:v>
                </c:pt>
                <c:pt idx="6">
                  <c:v>82728.818427938706</c:v>
                </c:pt>
                <c:pt idx="7">
                  <c:v>83288.841531205617</c:v>
                </c:pt>
                <c:pt idx="8">
                  <c:v>94086.113634488909</c:v>
                </c:pt>
                <c:pt idx="9">
                  <c:v>88277.583062170845</c:v>
                </c:pt>
                <c:pt idx="10">
                  <c:v>75269.642040393621</c:v>
                </c:pt>
                <c:pt idx="11">
                  <c:v>72728.444203834151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C-4224-9108-5ADD06623952}"/>
            </c:ext>
          </c:extLst>
        </c:ser>
        <c:ser>
          <c:idx val="1"/>
          <c:order val="1"/>
          <c:tx>
            <c:strRef>
              <c:f>'Sueldos Septiembre'!$C$115</c:f>
              <c:strCache>
                <c:ptCount val="1"/>
                <c:pt idx="0">
                  <c:v>Monto sueldo &gt;=4kUSD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Septiembre'!$D$113:$O$113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Septiembre'!$D$115:$O$115</c:f>
              <c:numCache>
                <c:formatCode>#,##0</c:formatCode>
                <c:ptCount val="12"/>
                <c:pt idx="0">
                  <c:v>171834.92973769805</c:v>
                </c:pt>
                <c:pt idx="1">
                  <c:v>161560.81494044221</c:v>
                </c:pt>
                <c:pt idx="2">
                  <c:v>177500.09629069446</c:v>
                </c:pt>
                <c:pt idx="3">
                  <c:v>168528.90316163335</c:v>
                </c:pt>
                <c:pt idx="4">
                  <c:v>218842.57309820308</c:v>
                </c:pt>
                <c:pt idx="5">
                  <c:v>136172.91569295633</c:v>
                </c:pt>
                <c:pt idx="6">
                  <c:v>255256.27220829038</c:v>
                </c:pt>
                <c:pt idx="7">
                  <c:v>224563.16036668562</c:v>
                </c:pt>
                <c:pt idx="8">
                  <c:v>180341.27911635046</c:v>
                </c:pt>
                <c:pt idx="9">
                  <c:v>187321.55836472992</c:v>
                </c:pt>
                <c:pt idx="10">
                  <c:v>180442.39241673547</c:v>
                </c:pt>
                <c:pt idx="11">
                  <c:v>225237.18390554085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C-4224-9108-5ADD0662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763265728"/>
        <c:axId val="763263328"/>
      </c:barChart>
      <c:lineChart>
        <c:grouping val="standard"/>
        <c:varyColors val="0"/>
        <c:ser>
          <c:idx val="2"/>
          <c:order val="2"/>
          <c:tx>
            <c:strRef>
              <c:f>'Sueldos Septiembre'!$C$117</c:f>
              <c:strCache>
                <c:ptCount val="1"/>
                <c:pt idx="0">
                  <c:v>Proporción sueldos &lt;4 kUSD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'Sueldos Septiembre'!$D$117:$O$117</c:f>
              <c:numCache>
                <c:formatCode>0%</c:formatCode>
                <c:ptCount val="12"/>
                <c:pt idx="0">
                  <c:v>0.4319605310840684</c:v>
                </c:pt>
                <c:pt idx="1">
                  <c:v>0.41989060609938267</c:v>
                </c:pt>
                <c:pt idx="2">
                  <c:v>0.39062813144472602</c:v>
                </c:pt>
                <c:pt idx="3">
                  <c:v>0.37987307955385102</c:v>
                </c:pt>
                <c:pt idx="4">
                  <c:v>0.30072484480189593</c:v>
                </c:pt>
                <c:pt idx="5">
                  <c:v>0.41609686943517926</c:v>
                </c:pt>
                <c:pt idx="6">
                  <c:v>0.24477061479903889</c:v>
                </c:pt>
                <c:pt idx="7">
                  <c:v>0.27054831873021556</c:v>
                </c:pt>
                <c:pt idx="8">
                  <c:v>0.34284519738127023</c:v>
                </c:pt>
                <c:pt idx="9">
                  <c:v>0.32031153146964847</c:v>
                </c:pt>
                <c:pt idx="10">
                  <c:v>0.29435314689114794</c:v>
                </c:pt>
                <c:pt idx="11">
                  <c:v>0.24408333493129455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3C-4224-9108-5ADD06623952}"/>
            </c:ext>
          </c:extLst>
        </c:ser>
        <c:ser>
          <c:idx val="3"/>
          <c:order val="3"/>
          <c:tx>
            <c:strRef>
              <c:f>'Sueldos Septiembre'!$C$118</c:f>
              <c:strCache>
                <c:ptCount val="1"/>
                <c:pt idx="0">
                  <c:v>Proporción sueldos &gt;=4 kUSD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'Sueldos Septiembre'!$D$118:$O$118</c:f>
              <c:numCache>
                <c:formatCode>0%</c:formatCode>
                <c:ptCount val="12"/>
                <c:pt idx="0">
                  <c:v>0.56803946891593182</c:v>
                </c:pt>
                <c:pt idx="1">
                  <c:v>0.58010939390061744</c:v>
                </c:pt>
                <c:pt idx="2">
                  <c:v>0.60937186855527414</c:v>
                </c:pt>
                <c:pt idx="3">
                  <c:v>0.62012692044614914</c:v>
                </c:pt>
                <c:pt idx="4">
                  <c:v>0.69927515519810401</c:v>
                </c:pt>
                <c:pt idx="5">
                  <c:v>0.58390313056482079</c:v>
                </c:pt>
                <c:pt idx="6">
                  <c:v>0.75522938520096072</c:v>
                </c:pt>
                <c:pt idx="7">
                  <c:v>0.72945168126978432</c:v>
                </c:pt>
                <c:pt idx="8">
                  <c:v>0.65715480261872961</c:v>
                </c:pt>
                <c:pt idx="9">
                  <c:v>0.67968846853035136</c:v>
                </c:pt>
                <c:pt idx="10">
                  <c:v>0.70564685310885189</c:v>
                </c:pt>
                <c:pt idx="11">
                  <c:v>0.75591666506870525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3C-4224-9108-5ADD0662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863567"/>
        <c:axId val="459871727"/>
      </c:lineChart>
      <c:dateAx>
        <c:axId val="763265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63263328"/>
        <c:crosses val="autoZero"/>
        <c:auto val="1"/>
        <c:lblOffset val="100"/>
        <c:baseTimeUnit val="months"/>
      </c:dateAx>
      <c:valAx>
        <c:axId val="76326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63265728"/>
        <c:crosses val="autoZero"/>
        <c:crossBetween val="between"/>
        <c:dispUnits>
          <c:builtInUnit val="thousands"/>
        </c:dispUnits>
      </c:valAx>
      <c:valAx>
        <c:axId val="45987172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9863567"/>
        <c:crosses val="max"/>
        <c:crossBetween val="between"/>
      </c:valAx>
      <c:catAx>
        <c:axId val="459863567"/>
        <c:scaling>
          <c:orientation val="minMax"/>
        </c:scaling>
        <c:delete val="1"/>
        <c:axPos val="b"/>
        <c:majorTickMark val="out"/>
        <c:minorTickMark val="none"/>
        <c:tickLblPos val="nextTo"/>
        <c:crossAx val="459871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1000"/>
              <a:t>Composición ítem</a:t>
            </a:r>
            <a:r>
              <a:rPr lang="es-CL" sz="1000" baseline="0"/>
              <a:t> sueldo según monto (kUSD)</a:t>
            </a:r>
            <a:endParaRPr lang="es-CL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'Sueldos Septiembre'!$AI$114</c:f>
              <c:strCache>
                <c:ptCount val="1"/>
                <c:pt idx="0">
                  <c:v>Costo compañía &lt;4kUSD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Septiembre'!$AJ$113:$AU$113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Septiembre'!$AJ$114:$AU$114</c:f>
              <c:numCache>
                <c:formatCode>#,##0</c:formatCode>
                <c:ptCount val="12"/>
                <c:pt idx="0">
                  <c:v>129795.46269876941</c:v>
                </c:pt>
                <c:pt idx="1">
                  <c:v>116115.26679014353</c:v>
                </c:pt>
                <c:pt idx="2">
                  <c:v>112962.91517172183</c:v>
                </c:pt>
                <c:pt idx="3">
                  <c:v>102408.92192918118</c:v>
                </c:pt>
                <c:pt idx="4">
                  <c:v>93248.292747118263</c:v>
                </c:pt>
                <c:pt idx="5">
                  <c:v>97038.568481197071</c:v>
                </c:pt>
                <c:pt idx="6">
                  <c:v>81881.539320468248</c:v>
                </c:pt>
                <c:pt idx="7">
                  <c:v>81580.324486362078</c:v>
                </c:pt>
                <c:pt idx="8">
                  <c:v>93228.451765150428</c:v>
                </c:pt>
                <c:pt idx="9">
                  <c:v>87419.921192832364</c:v>
                </c:pt>
                <c:pt idx="10">
                  <c:v>74411.98017105514</c:v>
                </c:pt>
                <c:pt idx="11">
                  <c:v>71870.782334495671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5-4AAE-886F-892A9BE18AD1}"/>
            </c:ext>
          </c:extLst>
        </c:ser>
        <c:ser>
          <c:idx val="1"/>
          <c:order val="1"/>
          <c:tx>
            <c:strRef>
              <c:f>'Sueldos Septiembre'!$AI$115</c:f>
              <c:strCache>
                <c:ptCount val="1"/>
                <c:pt idx="0">
                  <c:v>Costo compañía &gt;=4kUSD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Septiembre'!$AJ$113:$AU$113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Septiembre'!$AJ$115:$AU$115</c:f>
              <c:numCache>
                <c:formatCode>#,##0</c:formatCode>
                <c:ptCount val="12"/>
                <c:pt idx="0">
                  <c:v>164189.37967657403</c:v>
                </c:pt>
                <c:pt idx="1">
                  <c:v>154355.29825024874</c:v>
                </c:pt>
                <c:pt idx="2">
                  <c:v>170328.00430057122</c:v>
                </c:pt>
                <c:pt idx="3">
                  <c:v>161298.62111943116</c:v>
                </c:pt>
                <c:pt idx="4">
                  <c:v>211279.40253124444</c:v>
                </c:pt>
                <c:pt idx="5">
                  <c:v>136172.91569295633</c:v>
                </c:pt>
                <c:pt idx="6">
                  <c:v>247851.85755749469</c:v>
                </c:pt>
                <c:pt idx="7">
                  <c:v>209632.34414988811</c:v>
                </c:pt>
                <c:pt idx="8">
                  <c:v>172846.12898840971</c:v>
                </c:pt>
                <c:pt idx="9">
                  <c:v>179826.40823678917</c:v>
                </c:pt>
                <c:pt idx="10">
                  <c:v>172947.24228879472</c:v>
                </c:pt>
                <c:pt idx="11">
                  <c:v>217742.0337776001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5-4AAE-886F-892A9BE18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482878383"/>
        <c:axId val="482904303"/>
      </c:barChart>
      <c:lineChart>
        <c:grouping val="standard"/>
        <c:varyColors val="0"/>
        <c:ser>
          <c:idx val="2"/>
          <c:order val="2"/>
          <c:tx>
            <c:strRef>
              <c:f>'Sueldos Septiembre'!$AI$111</c:f>
              <c:strCache>
                <c:ptCount val="1"/>
                <c:pt idx="0">
                  <c:v>Total sueldos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solidFill>
                  <a:sysClr val="windowText" lastClr="00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'Sueldos Septiembre'!$AJ$111:$AU$111</c:f>
              <c:numCache>
                <c:formatCode>_(* #,##0_);_(* \(#,##0\);_(* "-"_);_(@_)</c:formatCode>
                <c:ptCount val="12"/>
                <c:pt idx="0">
                  <c:v>293984.84237534337</c:v>
                </c:pt>
                <c:pt idx="1">
                  <c:v>270470.56504039222</c:v>
                </c:pt>
                <c:pt idx="2">
                  <c:v>283290.919472293</c:v>
                </c:pt>
                <c:pt idx="3">
                  <c:v>263707.54304861225</c:v>
                </c:pt>
                <c:pt idx="4">
                  <c:v>304527.69527836266</c:v>
                </c:pt>
                <c:pt idx="5">
                  <c:v>233211.48417415339</c:v>
                </c:pt>
                <c:pt idx="6">
                  <c:v>329733.39687796304</c:v>
                </c:pt>
                <c:pt idx="7">
                  <c:v>291212.66863625025</c:v>
                </c:pt>
                <c:pt idx="8">
                  <c:v>266074.58075356018</c:v>
                </c:pt>
                <c:pt idx="9">
                  <c:v>267246.32942962158</c:v>
                </c:pt>
                <c:pt idx="10">
                  <c:v>247359.2224598499</c:v>
                </c:pt>
                <c:pt idx="11">
                  <c:v>289612.81611209584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5-4AAE-886F-892A9BE18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78383"/>
        <c:axId val="482904303"/>
      </c:lineChart>
      <c:dateAx>
        <c:axId val="4828783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82904303"/>
        <c:crosses val="autoZero"/>
        <c:auto val="1"/>
        <c:lblOffset val="100"/>
        <c:baseTimeUnit val="months"/>
      </c:dateAx>
      <c:valAx>
        <c:axId val="4829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8287838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1000"/>
              <a:t>Proporción</a:t>
            </a:r>
            <a:r>
              <a:rPr lang="es-CL" sz="1000" baseline="0"/>
              <a:t> ítem sueldos según monto (%)</a:t>
            </a:r>
            <a:endParaRPr lang="es-CL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'Sueldos Septiembre'!$AI$117</c:f>
              <c:strCache>
                <c:ptCount val="1"/>
                <c:pt idx="0">
                  <c:v>% Costo compañía &lt;4kUSD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Septiembre'!$AJ$113:$AU$113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Septiembre'!$AJ$117:$AU$117</c:f>
              <c:numCache>
                <c:formatCode>0%</c:formatCode>
                <c:ptCount val="12"/>
                <c:pt idx="0">
                  <c:v>0.44150392805984817</c:v>
                </c:pt>
                <c:pt idx="1">
                  <c:v>0.42930833073389268</c:v>
                </c:pt>
                <c:pt idx="2">
                  <c:v>0.39875233340393063</c:v>
                </c:pt>
                <c:pt idx="3">
                  <c:v>0.38834278589559706</c:v>
                </c:pt>
                <c:pt idx="4">
                  <c:v>0.30620628006225137</c:v>
                </c:pt>
                <c:pt idx="5">
                  <c:v>0.41609686943517926</c:v>
                </c:pt>
                <c:pt idx="6">
                  <c:v>0.24832649678726132</c:v>
                </c:pt>
                <c:pt idx="7">
                  <c:v>0.28014002573584096</c:v>
                </c:pt>
                <c:pt idx="8">
                  <c:v>0.35038466095150655</c:v>
                </c:pt>
                <c:pt idx="9">
                  <c:v>0.32711364597377607</c:v>
                </c:pt>
                <c:pt idx="10">
                  <c:v>0.30082557436536783</c:v>
                </c:pt>
                <c:pt idx="11">
                  <c:v>0.24816160865849868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5-4A7A-9F28-61CBB526BAE7}"/>
            </c:ext>
          </c:extLst>
        </c:ser>
        <c:ser>
          <c:idx val="1"/>
          <c:order val="1"/>
          <c:tx>
            <c:strRef>
              <c:f>'Sueldos Septiembre'!$AI$118</c:f>
              <c:strCache>
                <c:ptCount val="1"/>
                <c:pt idx="0">
                  <c:v>% Costo compañía &gt;=4kUSD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Septiembre'!$AJ$113:$AU$113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Septiembre'!$AJ$118:$AU$118</c:f>
              <c:numCache>
                <c:formatCode>0%</c:formatCode>
                <c:ptCount val="12"/>
                <c:pt idx="0">
                  <c:v>0.55849607194015205</c:v>
                </c:pt>
                <c:pt idx="1">
                  <c:v>0.57069166926610748</c:v>
                </c:pt>
                <c:pt idx="2">
                  <c:v>0.60124766659606965</c:v>
                </c:pt>
                <c:pt idx="3">
                  <c:v>0.61165721410440321</c:v>
                </c:pt>
                <c:pt idx="4">
                  <c:v>0.69379371993774874</c:v>
                </c:pt>
                <c:pt idx="5">
                  <c:v>0.58390313056482079</c:v>
                </c:pt>
                <c:pt idx="6">
                  <c:v>0.7516735032127384</c:v>
                </c:pt>
                <c:pt idx="7">
                  <c:v>0.71985997426415882</c:v>
                </c:pt>
                <c:pt idx="8">
                  <c:v>0.64961533904849333</c:v>
                </c:pt>
                <c:pt idx="9">
                  <c:v>0.67288635402622377</c:v>
                </c:pt>
                <c:pt idx="10">
                  <c:v>0.69917442563463195</c:v>
                </c:pt>
                <c:pt idx="11">
                  <c:v>0.7518383913415011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5-4A7A-9F28-61CBB526B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2878383"/>
        <c:axId val="482904303"/>
      </c:barChart>
      <c:dateAx>
        <c:axId val="4828783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82904303"/>
        <c:crosses val="autoZero"/>
        <c:auto val="1"/>
        <c:lblOffset val="100"/>
        <c:baseTimeUnit val="months"/>
      </c:dateAx>
      <c:valAx>
        <c:axId val="4829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828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1000"/>
              <a:t>Composición ítem</a:t>
            </a:r>
            <a:r>
              <a:rPr lang="es-CL" sz="1000" baseline="0"/>
              <a:t> sueldo según personas (#)</a:t>
            </a:r>
            <a:endParaRPr lang="es-CL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'Sueldos Septiembre'!$AI$121</c:f>
              <c:strCache>
                <c:ptCount val="1"/>
                <c:pt idx="0">
                  <c:v>Cantidad sueldos &lt;4 kUSD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Septiembre'!$AJ$113:$AU$113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Septiembre'!$AJ$121:$AU$121</c:f>
              <c:numCache>
                <c:formatCode>General</c:formatCode>
                <c:ptCount val="12"/>
                <c:pt idx="0">
                  <c:v>67</c:v>
                </c:pt>
                <c:pt idx="1">
                  <c:v>67</c:v>
                </c:pt>
                <c:pt idx="2">
                  <c:v>61</c:v>
                </c:pt>
                <c:pt idx="3">
                  <c:v>55</c:v>
                </c:pt>
                <c:pt idx="4">
                  <c:v>43</c:v>
                </c:pt>
                <c:pt idx="5">
                  <c:v>46</c:v>
                </c:pt>
                <c:pt idx="6">
                  <c:v>37</c:v>
                </c:pt>
                <c:pt idx="7">
                  <c:v>38</c:v>
                </c:pt>
                <c:pt idx="8">
                  <c:v>41</c:v>
                </c:pt>
                <c:pt idx="9">
                  <c:v>39</c:v>
                </c:pt>
                <c:pt idx="10">
                  <c:v>33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7-406B-B264-23D99388AD4A}"/>
            </c:ext>
          </c:extLst>
        </c:ser>
        <c:ser>
          <c:idx val="1"/>
          <c:order val="1"/>
          <c:tx>
            <c:strRef>
              <c:f>'Sueldos Septiembre'!$AI$122</c:f>
              <c:strCache>
                <c:ptCount val="1"/>
                <c:pt idx="0">
                  <c:v>Cantidad sueldos &gt;=4 kUSD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Septiembre'!$AJ$113:$AU$113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Septiembre'!$AJ$122:$AU$122</c:f>
              <c:numCache>
                <c:formatCode>General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23</c:v>
                </c:pt>
                <c:pt idx="3">
                  <c:v>22</c:v>
                </c:pt>
                <c:pt idx="4">
                  <c:v>28</c:v>
                </c:pt>
                <c:pt idx="5">
                  <c:v>19</c:v>
                </c:pt>
                <c:pt idx="6">
                  <c:v>28</c:v>
                </c:pt>
                <c:pt idx="7">
                  <c:v>24</c:v>
                </c:pt>
                <c:pt idx="8">
                  <c:v>21</c:v>
                </c:pt>
                <c:pt idx="9">
                  <c:v>20</c:v>
                </c:pt>
                <c:pt idx="10">
                  <c:v>23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7-406B-B264-23D99388A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482878383"/>
        <c:axId val="482904303"/>
      </c:barChart>
      <c:lineChart>
        <c:grouping val="standard"/>
        <c:varyColors val="0"/>
        <c:ser>
          <c:idx val="2"/>
          <c:order val="2"/>
          <c:tx>
            <c:strRef>
              <c:f>'Sueldos Septiembre'!$AI$123</c:f>
              <c:strCache>
                <c:ptCount val="1"/>
                <c:pt idx="0">
                  <c:v>Cantidad sueldos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4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'Sueldos Septiembre'!$AJ$123:$AU$123</c:f>
              <c:numCache>
                <c:formatCode>General</c:formatCode>
                <c:ptCount val="12"/>
                <c:pt idx="0">
                  <c:v>87</c:v>
                </c:pt>
                <c:pt idx="1">
                  <c:v>87</c:v>
                </c:pt>
                <c:pt idx="2">
                  <c:v>84</c:v>
                </c:pt>
                <c:pt idx="3">
                  <c:v>77</c:v>
                </c:pt>
                <c:pt idx="4">
                  <c:v>71</c:v>
                </c:pt>
                <c:pt idx="5">
                  <c:v>65</c:v>
                </c:pt>
                <c:pt idx="6">
                  <c:v>65</c:v>
                </c:pt>
                <c:pt idx="7">
                  <c:v>62</c:v>
                </c:pt>
                <c:pt idx="8">
                  <c:v>62</c:v>
                </c:pt>
                <c:pt idx="9">
                  <c:v>59</c:v>
                </c:pt>
                <c:pt idx="10">
                  <c:v>56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7-406B-B264-23D99388A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78383"/>
        <c:axId val="482904303"/>
      </c:lineChart>
      <c:dateAx>
        <c:axId val="4828783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82904303"/>
        <c:crosses val="autoZero"/>
        <c:auto val="1"/>
        <c:lblOffset val="100"/>
        <c:baseTimeUnit val="months"/>
      </c:dateAx>
      <c:valAx>
        <c:axId val="4829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828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1000"/>
              <a:t>Proporción ítem</a:t>
            </a:r>
            <a:r>
              <a:rPr lang="es-CL" sz="1000" baseline="0"/>
              <a:t> sueldo según personas (#)</a:t>
            </a:r>
            <a:endParaRPr lang="es-CL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'Sueldos Septiembre'!$AI$125</c:f>
              <c:strCache>
                <c:ptCount val="1"/>
                <c:pt idx="0">
                  <c:v>Cantidad sueldos &lt;4 kUSD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Septiembre'!$AJ$113:$AU$113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Septiembre'!$AJ$125:$AU$125</c:f>
              <c:numCache>
                <c:formatCode>0%</c:formatCode>
                <c:ptCount val="12"/>
                <c:pt idx="0">
                  <c:v>0.77011494252873558</c:v>
                </c:pt>
                <c:pt idx="1">
                  <c:v>0.77011494252873558</c:v>
                </c:pt>
                <c:pt idx="2">
                  <c:v>0.72619047619047616</c:v>
                </c:pt>
                <c:pt idx="3">
                  <c:v>0.7142857142857143</c:v>
                </c:pt>
                <c:pt idx="4">
                  <c:v>0.60563380281690138</c:v>
                </c:pt>
                <c:pt idx="5">
                  <c:v>0.70769230769230773</c:v>
                </c:pt>
                <c:pt idx="6">
                  <c:v>0.56923076923076921</c:v>
                </c:pt>
                <c:pt idx="7">
                  <c:v>0.61290322580645162</c:v>
                </c:pt>
                <c:pt idx="8">
                  <c:v>0.66129032258064513</c:v>
                </c:pt>
                <c:pt idx="9">
                  <c:v>0.66101694915254239</c:v>
                </c:pt>
                <c:pt idx="10">
                  <c:v>0.5892857142857143</c:v>
                </c:pt>
                <c:pt idx="11">
                  <c:v>0.5357142857142857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3-43AF-93FA-CC9AC7DFA812}"/>
            </c:ext>
          </c:extLst>
        </c:ser>
        <c:ser>
          <c:idx val="1"/>
          <c:order val="1"/>
          <c:tx>
            <c:strRef>
              <c:f>'Sueldos Septiembre'!$AI$126</c:f>
              <c:strCache>
                <c:ptCount val="1"/>
                <c:pt idx="0">
                  <c:v>Cantidad sueldos &gt;=4 kUSD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'Sueldos Septiembre'!$AJ$113:$AU$113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'Sueldos Septiembre'!$AJ$126:$AU$126</c:f>
              <c:numCache>
                <c:formatCode>0%</c:formatCode>
                <c:ptCount val="12"/>
                <c:pt idx="0">
                  <c:v>0.22988505747126436</c:v>
                </c:pt>
                <c:pt idx="1">
                  <c:v>0.22988505747126436</c:v>
                </c:pt>
                <c:pt idx="2">
                  <c:v>0.27380952380952384</c:v>
                </c:pt>
                <c:pt idx="3">
                  <c:v>0.2857142857142857</c:v>
                </c:pt>
                <c:pt idx="4">
                  <c:v>0.39436619718309857</c:v>
                </c:pt>
                <c:pt idx="5">
                  <c:v>0.29230769230769232</c:v>
                </c:pt>
                <c:pt idx="6">
                  <c:v>0.43076923076923079</c:v>
                </c:pt>
                <c:pt idx="7">
                  <c:v>0.38709677419354838</c:v>
                </c:pt>
                <c:pt idx="8">
                  <c:v>0.33870967741935482</c:v>
                </c:pt>
                <c:pt idx="9">
                  <c:v>0.33898305084745761</c:v>
                </c:pt>
                <c:pt idx="10">
                  <c:v>0.4107142857142857</c:v>
                </c:pt>
                <c:pt idx="11">
                  <c:v>0.4642857142857143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3-43AF-93FA-CC9AC7DFA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2878383"/>
        <c:axId val="482904303"/>
      </c:barChart>
      <c:dateAx>
        <c:axId val="4828783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82904303"/>
        <c:crosses val="autoZero"/>
        <c:auto val="1"/>
        <c:lblOffset val="100"/>
        <c:baseTimeUnit val="months"/>
      </c:dateAx>
      <c:valAx>
        <c:axId val="4829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4828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Ingresos</a:t>
            </a:r>
            <a:r>
              <a:rPr lang="es-CL" sz="800" baseline="0"/>
              <a:t> proyectados por país - kUSD</a:t>
            </a:r>
            <a:endParaRPr lang="es-CL" sz="800"/>
          </a:p>
        </c:rich>
      </c:tx>
      <c:layout>
        <c:manualLayout>
          <c:xMode val="edge"/>
          <c:yMode val="edge"/>
          <c:x val="2.813849267593109E-2"/>
          <c:y val="2.3293733985557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'Ingresos para PPT_Oct'!$B$8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numRef>
              <c:f>'Ingresos para PPT_Oct'!$C$3:$N$3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PPT_Oct'!$C$8:$N$8</c:f>
              <c:numCache>
                <c:formatCode>#,##0</c:formatCode>
                <c:ptCount val="12"/>
                <c:pt idx="0">
                  <c:v>427.78565000000003</c:v>
                </c:pt>
                <c:pt idx="1">
                  <c:v>203.47573</c:v>
                </c:pt>
                <c:pt idx="2">
                  <c:v>294.69749138443825</c:v>
                </c:pt>
                <c:pt idx="3">
                  <c:v>239.03020000000001</c:v>
                </c:pt>
                <c:pt idx="4">
                  <c:v>253.28800000000001</c:v>
                </c:pt>
                <c:pt idx="5">
                  <c:v>181.51900000000001</c:v>
                </c:pt>
                <c:pt idx="6">
                  <c:v>199.83050726273331</c:v>
                </c:pt>
                <c:pt idx="7">
                  <c:v>191.73696268656715</c:v>
                </c:pt>
                <c:pt idx="8">
                  <c:v>305.34300000000002</c:v>
                </c:pt>
                <c:pt idx="9">
                  <c:v>505.28500000000003</c:v>
                </c:pt>
                <c:pt idx="10">
                  <c:v>501.935</c:v>
                </c:pt>
                <c:pt idx="11">
                  <c:v>489.29500000000002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E-4020-8199-A493A6F83D15}"/>
            </c:ext>
          </c:extLst>
        </c:ser>
        <c:ser>
          <c:idx val="1"/>
          <c:order val="1"/>
          <c:tx>
            <c:strRef>
              <c:f>'Ingresos para PPT_Oct'!$B$9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PPT_Oct'!$C$3:$N$3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PPT_Oct'!$C$9:$N$9</c:f>
              <c:numCache>
                <c:formatCode>#,##0</c:formatCode>
                <c:ptCount val="12"/>
                <c:pt idx="0">
                  <c:v>165.529</c:v>
                </c:pt>
                <c:pt idx="1">
                  <c:v>97.072000000000003</c:v>
                </c:pt>
                <c:pt idx="2">
                  <c:v>127.38500000000001</c:v>
                </c:pt>
                <c:pt idx="3">
                  <c:v>76.132999999999996</c:v>
                </c:pt>
                <c:pt idx="4">
                  <c:v>107.922</c:v>
                </c:pt>
                <c:pt idx="5">
                  <c:v>172.20099999999999</c:v>
                </c:pt>
                <c:pt idx="6">
                  <c:v>189.28926000000001</c:v>
                </c:pt>
                <c:pt idx="7">
                  <c:v>185.95699999999999</c:v>
                </c:pt>
                <c:pt idx="8">
                  <c:v>387.97199999999998</c:v>
                </c:pt>
                <c:pt idx="9">
                  <c:v>293.42899999999997</c:v>
                </c:pt>
                <c:pt idx="10">
                  <c:v>191.04499999999999</c:v>
                </c:pt>
                <c:pt idx="11">
                  <c:v>126.005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E-4020-8199-A493A6F83D15}"/>
            </c:ext>
          </c:extLst>
        </c:ser>
        <c:ser>
          <c:idx val="2"/>
          <c:order val="2"/>
          <c:tx>
            <c:strRef>
              <c:f>'Ingresos para PPT_Oct'!$B$10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PPT_Oct'!$C$3:$N$3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PPT_Oct'!$C$10:$N$10</c:f>
              <c:numCache>
                <c:formatCode>#,##0</c:formatCode>
                <c:ptCount val="12"/>
                <c:pt idx="0">
                  <c:v>189.15799999999999</c:v>
                </c:pt>
                <c:pt idx="1">
                  <c:v>225.732</c:v>
                </c:pt>
                <c:pt idx="2">
                  <c:v>78.646280000000004</c:v>
                </c:pt>
                <c:pt idx="3">
                  <c:v>74.596000000000004</c:v>
                </c:pt>
                <c:pt idx="4">
                  <c:v>267.262</c:v>
                </c:pt>
                <c:pt idx="5">
                  <c:v>0</c:v>
                </c:pt>
                <c:pt idx="6">
                  <c:v>23.44</c:v>
                </c:pt>
                <c:pt idx="7">
                  <c:v>144.77099999999999</c:v>
                </c:pt>
                <c:pt idx="8">
                  <c:v>0</c:v>
                </c:pt>
                <c:pt idx="9">
                  <c:v>128.80108999999999</c:v>
                </c:pt>
                <c:pt idx="10">
                  <c:v>26.332000000000001</c:v>
                </c:pt>
                <c:pt idx="11">
                  <c:v>107.35808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5E-4020-8199-A493A6F83D15}"/>
            </c:ext>
          </c:extLst>
        </c:ser>
        <c:ser>
          <c:idx val="3"/>
          <c:order val="3"/>
          <c:tx>
            <c:strRef>
              <c:f>'Ingresos para PPT_Oct'!$B$11</c:f>
              <c:strCache>
                <c:ptCount val="1"/>
                <c:pt idx="0">
                  <c:v>Rusia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PPT_Oct'!$C$3:$N$3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PPT_Oct'!$C$11:$N$11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76.05</c:v>
                </c:pt>
                <c:pt idx="10">
                  <c:v>0</c:v>
                </c:pt>
                <c:pt idx="11">
                  <c:v>76.05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5E-4020-8199-A493A6F83D15}"/>
            </c:ext>
          </c:extLst>
        </c:ser>
        <c:ser>
          <c:idx val="4"/>
          <c:order val="4"/>
          <c:tx>
            <c:strRef>
              <c:f>'Ingresos para PPT_Oct'!$B$12</c:f>
              <c:strCache>
                <c:ptCount val="1"/>
                <c:pt idx="0">
                  <c:v>EEUU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PPT_Oct'!$C$3:$N$3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PPT_Oct'!$C$12:$N$12</c:f>
              <c:numCache>
                <c:formatCode>#,##0</c:formatCode>
                <c:ptCount val="12"/>
                <c:pt idx="0">
                  <c:v>0</c:v>
                </c:pt>
                <c:pt idx="1">
                  <c:v>52.804000000000002</c:v>
                </c:pt>
                <c:pt idx="2">
                  <c:v>162.983</c:v>
                </c:pt>
                <c:pt idx="3">
                  <c:v>102.905</c:v>
                </c:pt>
                <c:pt idx="4">
                  <c:v>188.6</c:v>
                </c:pt>
                <c:pt idx="5">
                  <c:v>44.290999999999997</c:v>
                </c:pt>
                <c:pt idx="6">
                  <c:v>51.738999999999997</c:v>
                </c:pt>
                <c:pt idx="7">
                  <c:v>149.821</c:v>
                </c:pt>
                <c:pt idx="8">
                  <c:v>618.36599999999999</c:v>
                </c:pt>
                <c:pt idx="9">
                  <c:v>0</c:v>
                </c:pt>
                <c:pt idx="10">
                  <c:v>45.924999999999997</c:v>
                </c:pt>
                <c:pt idx="11">
                  <c:v>46.64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5E-4020-8199-A493A6F83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96959"/>
        <c:axId val="1357299359"/>
      </c:areaChart>
      <c:lineChart>
        <c:grouping val="standard"/>
        <c:varyColors val="0"/>
        <c:ser>
          <c:idx val="5"/>
          <c:order val="5"/>
          <c:tx>
            <c:strRef>
              <c:f>'Ingresos para PPT_Oct'!$B$4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PPT_Oct'!$C$4:$N$4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579.08372999999995</c:v>
                </c:pt>
                <c:pt idx="2">
                  <c:v>663.71177138443829</c:v>
                </c:pt>
                <c:pt idx="3">
                  <c:v>492.66419999999999</c:v>
                </c:pt>
                <c:pt idx="4">
                  <c:v>817.072</c:v>
                </c:pt>
                <c:pt idx="5">
                  <c:v>398.01100000000002</c:v>
                </c:pt>
                <c:pt idx="6">
                  <c:v>464.29876726273329</c:v>
                </c:pt>
                <c:pt idx="7">
                  <c:v>672.28596268656713</c:v>
                </c:pt>
                <c:pt idx="8">
                  <c:v>1311.681</c:v>
                </c:pt>
                <c:pt idx="9">
                  <c:v>1003.5650899999999</c:v>
                </c:pt>
                <c:pt idx="10">
                  <c:v>765.23699999999997</c:v>
                </c:pt>
                <c:pt idx="11">
                  <c:v>845.34807999999998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5E-4020-8199-A493A6F83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96959"/>
        <c:axId val="1357299359"/>
      </c:lineChart>
      <c:lineChart>
        <c:grouping val="standard"/>
        <c:varyColors val="0"/>
        <c:ser>
          <c:idx val="6"/>
          <c:order val="6"/>
          <c:tx>
            <c:strRef>
              <c:f>'Ingresos para PPT_Oct'!$B$14</c:f>
              <c:strCache>
                <c:ptCount val="1"/>
                <c:pt idx="0">
                  <c:v>Acumulado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5E-4020-8199-A493A6F83D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PPT_Oct'!$C$14:$N$14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1361.55638</c:v>
                </c:pt>
                <c:pt idx="2">
                  <c:v>2025.2681513844382</c:v>
                </c:pt>
                <c:pt idx="3">
                  <c:v>2517.9323513844383</c:v>
                </c:pt>
                <c:pt idx="4">
                  <c:v>3335.0043513844385</c:v>
                </c:pt>
                <c:pt idx="5">
                  <c:v>3733.0153513844384</c:v>
                </c:pt>
                <c:pt idx="6">
                  <c:v>4197.3141186471721</c:v>
                </c:pt>
                <c:pt idx="7">
                  <c:v>4869.6000813337396</c:v>
                </c:pt>
                <c:pt idx="8">
                  <c:v>6181.2810813337401</c:v>
                </c:pt>
                <c:pt idx="9">
                  <c:v>7184.8461713337401</c:v>
                </c:pt>
                <c:pt idx="10">
                  <c:v>7950.0831713337402</c:v>
                </c:pt>
                <c:pt idx="11">
                  <c:v>8795.4312513337409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5E-4020-8199-A493A6F83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554176"/>
        <c:axId val="641554656"/>
      </c:lineChart>
      <c:dateAx>
        <c:axId val="1357296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9359"/>
        <c:crosses val="autoZero"/>
        <c:auto val="1"/>
        <c:lblOffset val="100"/>
        <c:baseTimeUnit val="months"/>
      </c:dateAx>
      <c:valAx>
        <c:axId val="13572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6959"/>
        <c:crosses val="autoZero"/>
        <c:crossBetween val="between"/>
      </c:valAx>
      <c:valAx>
        <c:axId val="641554656"/>
        <c:scaling>
          <c:orientation val="minMax"/>
        </c:scaling>
        <c:delete val="0"/>
        <c:axPos val="r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641554176"/>
        <c:crosses val="max"/>
        <c:crossBetween val="between"/>
        <c:majorUnit val="2000"/>
      </c:valAx>
      <c:catAx>
        <c:axId val="641554176"/>
        <c:scaling>
          <c:orientation val="minMax"/>
        </c:scaling>
        <c:delete val="1"/>
        <c:axPos val="b"/>
        <c:majorTickMark val="out"/>
        <c:minorTickMark val="none"/>
        <c:tickLblPos val="nextTo"/>
        <c:crossAx val="64155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Ingresos</a:t>
            </a:r>
            <a:r>
              <a:rPr lang="es-CL" sz="800" baseline="0"/>
              <a:t> proyectados según estatus proyecto - kUSD</a:t>
            </a:r>
            <a:endParaRPr lang="es-CL" sz="800"/>
          </a:p>
        </c:rich>
      </c:tx>
      <c:layout>
        <c:manualLayout>
          <c:xMode val="edge"/>
          <c:yMode val="edge"/>
          <c:x val="1.9415575968455875E-2"/>
          <c:y val="2.7952480782669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1"/>
          <c:tx>
            <c:strRef>
              <c:f>'Ingresos para PPT_Oct'!$B$5</c:f>
              <c:strCache>
                <c:ptCount val="1"/>
                <c:pt idx="0">
                  <c:v>Finalizado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chemeClr val="bg1"/>
              </a:bgClr>
            </a:pattFill>
            <a:ln w="9525" cap="flat" cmpd="sng" algn="ctr">
              <a:noFill/>
              <a:round/>
            </a:ln>
            <a:effectLst/>
          </c:spPr>
          <c:cat>
            <c:numRef>
              <c:f>'Ingresos para PPT_Oct'!$C$3:$N$3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PPT_Oct'!$C$5:$N$5</c:f>
              <c:numCache>
                <c:formatCode>#,##0</c:formatCode>
                <c:ptCount val="12"/>
                <c:pt idx="0">
                  <c:v>667.35889999999995</c:v>
                </c:pt>
                <c:pt idx="1">
                  <c:v>532.92403000000002</c:v>
                </c:pt>
                <c:pt idx="2">
                  <c:v>468.64003000000002</c:v>
                </c:pt>
                <c:pt idx="3">
                  <c:v>461.52254999999997</c:v>
                </c:pt>
                <c:pt idx="4">
                  <c:v>609.971</c:v>
                </c:pt>
                <c:pt idx="5">
                  <c:v>189.42</c:v>
                </c:pt>
                <c:pt idx="6">
                  <c:v>229.80635662047777</c:v>
                </c:pt>
                <c:pt idx="7">
                  <c:v>431.43996268656718</c:v>
                </c:pt>
                <c:pt idx="8">
                  <c:v>193.92</c:v>
                </c:pt>
                <c:pt idx="9">
                  <c:v>292.21908999999999</c:v>
                </c:pt>
                <c:pt idx="10">
                  <c:v>123.5</c:v>
                </c:pt>
                <c:pt idx="11">
                  <c:v>72.821079999999995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0-4DFC-916A-A5EF2C3E0362}"/>
            </c:ext>
          </c:extLst>
        </c:ser>
        <c:ser>
          <c:idx val="1"/>
          <c:order val="2"/>
          <c:tx>
            <c:strRef>
              <c:f>'Ingresos para PPT_Oct'!$B$6</c:f>
              <c:strCache>
                <c:ptCount val="1"/>
                <c:pt idx="0">
                  <c:v>Ejecución</c:v>
                </c:pt>
              </c:strCache>
            </c:strRef>
          </c:tx>
          <c:spPr>
            <a:pattFill prst="pct60">
              <a:fgClr>
                <a:schemeClr val="accent3"/>
              </a:fgClr>
              <a:bgClr>
                <a:schemeClr val="bg1"/>
              </a:bgClr>
            </a:pattFill>
            <a:ln w="9525" cap="flat" cmpd="sng" algn="ctr">
              <a:noFill/>
              <a:round/>
            </a:ln>
            <a:effectLst/>
          </c:spPr>
          <c:cat>
            <c:numRef>
              <c:f>'Ingresos para PPT_Oct'!$C$3:$N$3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PPT_Oct'!$C$6:$N$6</c:f>
              <c:numCache>
                <c:formatCode>#,##0</c:formatCode>
                <c:ptCount val="12"/>
                <c:pt idx="0">
                  <c:v>115.11375000000011</c:v>
                </c:pt>
                <c:pt idx="1">
                  <c:v>46.159699999999951</c:v>
                </c:pt>
                <c:pt idx="2">
                  <c:v>195.07174138443824</c:v>
                </c:pt>
                <c:pt idx="3">
                  <c:v>31.141650000000023</c:v>
                </c:pt>
                <c:pt idx="4">
                  <c:v>207.101</c:v>
                </c:pt>
                <c:pt idx="5">
                  <c:v>208.59100000000001</c:v>
                </c:pt>
                <c:pt idx="6">
                  <c:v>234.49241064225552</c:v>
                </c:pt>
                <c:pt idx="7">
                  <c:v>240.84599999999995</c:v>
                </c:pt>
                <c:pt idx="8">
                  <c:v>1117.761</c:v>
                </c:pt>
                <c:pt idx="9">
                  <c:v>711.346</c:v>
                </c:pt>
                <c:pt idx="10">
                  <c:v>641.73699999999997</c:v>
                </c:pt>
                <c:pt idx="11">
                  <c:v>772.52700000000004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0-4DFC-916A-A5EF2C3E0362}"/>
            </c:ext>
          </c:extLst>
        </c:ser>
        <c:ser>
          <c:idx val="2"/>
          <c:order val="3"/>
          <c:tx>
            <c:strRef>
              <c:f>'Ingresos para PPT_Oct'!$B$7</c:f>
              <c:strCache>
                <c:ptCount val="1"/>
                <c:pt idx="0">
                  <c:v>Pipeline</c:v>
                </c:pt>
              </c:strCache>
            </c:strRef>
          </c:tx>
          <c:spPr>
            <a:pattFill prst="pct70">
              <a:fgClr>
                <a:srgbClr val="FFC000"/>
              </a:fgClr>
              <a:bgClr>
                <a:schemeClr val="bg1"/>
              </a:bgClr>
            </a:patt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val>
            <c:numRef>
              <c:f>'Ingresos para PPT_Oct'!$C$7:$N$7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90-4DFC-916A-A5EF2C3E0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96959"/>
        <c:axId val="1357299359"/>
      </c:areaChart>
      <c:lineChart>
        <c:grouping val="standard"/>
        <c:varyColors val="0"/>
        <c:ser>
          <c:idx val="5"/>
          <c:order val="0"/>
          <c:tx>
            <c:strRef>
              <c:f>'Ingresos para PPT_Oct'!$B$4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25000"/>
                  <a:lumOff val="75000"/>
                </a:schemeClr>
              </a:solidFill>
              <a:ln w="9525" cap="flat" cmpd="sng" algn="ctr">
                <a:solidFill>
                  <a:srgbClr val="002060"/>
                </a:solidFill>
                <a:prstDash val="sysDot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'Ingresos para PPT_Oct'!$C$3:$N$3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PPT_Oct'!$C$4:$N$4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579.08372999999995</c:v>
                </c:pt>
                <c:pt idx="2">
                  <c:v>663.71177138443829</c:v>
                </c:pt>
                <c:pt idx="3">
                  <c:v>492.66419999999999</c:v>
                </c:pt>
                <c:pt idx="4">
                  <c:v>817.072</c:v>
                </c:pt>
                <c:pt idx="5">
                  <c:v>398.01100000000002</c:v>
                </c:pt>
                <c:pt idx="6">
                  <c:v>464.29876726273329</c:v>
                </c:pt>
                <c:pt idx="7">
                  <c:v>672.28596268656713</c:v>
                </c:pt>
                <c:pt idx="8">
                  <c:v>1311.681</c:v>
                </c:pt>
                <c:pt idx="9">
                  <c:v>1003.5650899999999</c:v>
                </c:pt>
                <c:pt idx="10">
                  <c:v>765.23699999999997</c:v>
                </c:pt>
                <c:pt idx="11">
                  <c:v>845.34807999999998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90-4DFC-916A-A5EF2C3E0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96959"/>
        <c:axId val="1357299359"/>
      </c:lineChart>
      <c:lineChart>
        <c:grouping val="standard"/>
        <c:varyColors val="0"/>
        <c:ser>
          <c:idx val="3"/>
          <c:order val="4"/>
          <c:tx>
            <c:strRef>
              <c:f>'Ingresos para PPT_Oct'!$B$14</c:f>
              <c:strCache>
                <c:ptCount val="1"/>
                <c:pt idx="0">
                  <c:v>Acumulado</c:v>
                </c:pt>
              </c:strCache>
            </c:strRef>
          </c:tx>
          <c:spPr>
            <a:ln w="9525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rgbClr val="002060"/>
                </a:solidFill>
                <a:prstDash val="sysDash"/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90-4DFC-916A-A5EF2C3E03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PPT_Oct'!$C$14:$N$14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1361.55638</c:v>
                </c:pt>
                <c:pt idx="2">
                  <c:v>2025.2681513844382</c:v>
                </c:pt>
                <c:pt idx="3">
                  <c:v>2517.9323513844383</c:v>
                </c:pt>
                <c:pt idx="4">
                  <c:v>3335.0043513844385</c:v>
                </c:pt>
                <c:pt idx="5">
                  <c:v>3733.0153513844384</c:v>
                </c:pt>
                <c:pt idx="6">
                  <c:v>4197.3141186471721</c:v>
                </c:pt>
                <c:pt idx="7">
                  <c:v>4869.6000813337396</c:v>
                </c:pt>
                <c:pt idx="8">
                  <c:v>6181.2810813337401</c:v>
                </c:pt>
                <c:pt idx="9">
                  <c:v>7184.8461713337401</c:v>
                </c:pt>
                <c:pt idx="10">
                  <c:v>7950.0831713337402</c:v>
                </c:pt>
                <c:pt idx="11">
                  <c:v>8795.4312513337409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90-4DFC-916A-A5EF2C3E0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665536"/>
        <c:axId val="1234659296"/>
      </c:lineChart>
      <c:dateAx>
        <c:axId val="1357296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9359"/>
        <c:crosses val="autoZero"/>
        <c:auto val="1"/>
        <c:lblOffset val="100"/>
        <c:baseTimeUnit val="months"/>
      </c:dateAx>
      <c:valAx>
        <c:axId val="13572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6959"/>
        <c:crosses val="autoZero"/>
        <c:crossBetween val="between"/>
      </c:valAx>
      <c:valAx>
        <c:axId val="123465929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234665536"/>
        <c:crosses val="max"/>
        <c:crossBetween val="between"/>
        <c:majorUnit val="2000"/>
      </c:valAx>
      <c:catAx>
        <c:axId val="1234665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34659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Distribución</a:t>
            </a:r>
            <a:r>
              <a:rPr lang="es-CL" sz="800" baseline="0"/>
              <a:t> ingresos año por país</a:t>
            </a:r>
            <a:endParaRPr lang="es-CL" sz="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77-45D0-AA91-D3C92018DAB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77-45D0-AA91-D3C92018DAB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77-45D0-AA91-D3C92018DAB6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77-45D0-AA91-D3C92018DAB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77-45D0-AA91-D3C92018DA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'Ingresos para PPT_Oct'!$U$8:$U$12</c:f>
              <c:strCache>
                <c:ptCount val="5"/>
                <c:pt idx="0">
                  <c:v>Chile</c:v>
                </c:pt>
                <c:pt idx="1">
                  <c:v>Perú</c:v>
                </c:pt>
                <c:pt idx="2">
                  <c:v>EEUU</c:v>
                </c:pt>
                <c:pt idx="3">
                  <c:v>Brasil</c:v>
                </c:pt>
                <c:pt idx="4">
                  <c:v>Rusia</c:v>
                </c:pt>
              </c:strCache>
            </c:strRef>
          </c:cat>
          <c:val>
            <c:numRef>
              <c:f>'Ingresos para PPT_Oct'!$V$8:$V$12</c:f>
              <c:numCache>
                <c:formatCode>_(* #,##0_);_(* \(#,##0\);_(* "-"_);_(@_)</c:formatCode>
                <c:ptCount val="5"/>
                <c:pt idx="0">
                  <c:v>3793.2215413337385</c:v>
                </c:pt>
                <c:pt idx="1">
                  <c:v>2119.9392600000001</c:v>
                </c:pt>
                <c:pt idx="2">
                  <c:v>1464.0740000000001</c:v>
                </c:pt>
                <c:pt idx="3">
                  <c:v>1266.09645</c:v>
                </c:pt>
                <c:pt idx="4">
                  <c:v>152.1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77-45D0-AA91-D3C92018D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Ingresos</a:t>
            </a:r>
            <a:r>
              <a:rPr lang="es-CL" sz="800" baseline="0"/>
              <a:t> proyectados por país - kUSD</a:t>
            </a:r>
            <a:endParaRPr lang="es-CL" sz="800"/>
          </a:p>
        </c:rich>
      </c:tx>
      <c:layout>
        <c:manualLayout>
          <c:xMode val="edge"/>
          <c:yMode val="edge"/>
          <c:x val="2.813849267593109E-2"/>
          <c:y val="2.3293733985557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'Ingresos para PPT_Sept'!$B$8</c:f>
              <c:strCache>
                <c:ptCount val="1"/>
                <c:pt idx="0">
                  <c:v>Chile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numRef>
              <c:f>'Ingresos para PPT_Sept'!$C$3:$N$3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PPT_Sept'!$C$8:$N$8</c:f>
              <c:numCache>
                <c:formatCode>#,##0</c:formatCode>
                <c:ptCount val="12"/>
                <c:pt idx="0">
                  <c:v>427.78565000000003</c:v>
                </c:pt>
                <c:pt idx="1">
                  <c:v>203.47573</c:v>
                </c:pt>
                <c:pt idx="2">
                  <c:v>294.69749138443825</c:v>
                </c:pt>
                <c:pt idx="3">
                  <c:v>239.03020000000001</c:v>
                </c:pt>
                <c:pt idx="4">
                  <c:v>253.28800000000001</c:v>
                </c:pt>
                <c:pt idx="5">
                  <c:v>181.51900000000001</c:v>
                </c:pt>
                <c:pt idx="6">
                  <c:v>199.83050726273331</c:v>
                </c:pt>
                <c:pt idx="7">
                  <c:v>191.73696268656715</c:v>
                </c:pt>
                <c:pt idx="8">
                  <c:v>305.34300000000002</c:v>
                </c:pt>
                <c:pt idx="9">
                  <c:v>667.25300000000004</c:v>
                </c:pt>
                <c:pt idx="10">
                  <c:v>629.93399999999997</c:v>
                </c:pt>
                <c:pt idx="11">
                  <c:v>370.46499999999997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F-40BC-B0D5-F0C4BA013ADE}"/>
            </c:ext>
          </c:extLst>
        </c:ser>
        <c:ser>
          <c:idx val="1"/>
          <c:order val="1"/>
          <c:tx>
            <c:strRef>
              <c:f>'Ingresos para PPT_Sept'!$B$9</c:f>
              <c:strCache>
                <c:ptCount val="1"/>
                <c:pt idx="0">
                  <c:v>Perú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PPT_Sept'!$C$3:$N$3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PPT_Sept'!$C$9:$N$9</c:f>
              <c:numCache>
                <c:formatCode>#,##0</c:formatCode>
                <c:ptCount val="12"/>
                <c:pt idx="0">
                  <c:v>165.529</c:v>
                </c:pt>
                <c:pt idx="1">
                  <c:v>97.072000000000003</c:v>
                </c:pt>
                <c:pt idx="2">
                  <c:v>127.38500000000001</c:v>
                </c:pt>
                <c:pt idx="3">
                  <c:v>76.132999999999996</c:v>
                </c:pt>
                <c:pt idx="4">
                  <c:v>107.922</c:v>
                </c:pt>
                <c:pt idx="5">
                  <c:v>172.20099999999999</c:v>
                </c:pt>
                <c:pt idx="6">
                  <c:v>189.28926000000001</c:v>
                </c:pt>
                <c:pt idx="7">
                  <c:v>185.95699999999999</c:v>
                </c:pt>
                <c:pt idx="8">
                  <c:v>387.97199999999998</c:v>
                </c:pt>
                <c:pt idx="9">
                  <c:v>427.19600000000003</c:v>
                </c:pt>
                <c:pt idx="10">
                  <c:v>105.33799999999999</c:v>
                </c:pt>
                <c:pt idx="11">
                  <c:v>149.76599999999999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F-40BC-B0D5-F0C4BA013ADE}"/>
            </c:ext>
          </c:extLst>
        </c:ser>
        <c:ser>
          <c:idx val="2"/>
          <c:order val="2"/>
          <c:tx>
            <c:strRef>
              <c:f>'Ingresos para PPT_Sept'!$B$10</c:f>
              <c:strCache>
                <c:ptCount val="1"/>
                <c:pt idx="0">
                  <c:v>Brasil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PPT_Sept'!$C$3:$N$3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PPT_Sept'!$C$10:$N$10</c:f>
              <c:numCache>
                <c:formatCode>#,##0</c:formatCode>
                <c:ptCount val="12"/>
                <c:pt idx="0">
                  <c:v>189.15799999999999</c:v>
                </c:pt>
                <c:pt idx="1">
                  <c:v>225.732</c:v>
                </c:pt>
                <c:pt idx="2">
                  <c:v>78.646280000000004</c:v>
                </c:pt>
                <c:pt idx="3">
                  <c:v>74.596000000000004</c:v>
                </c:pt>
                <c:pt idx="4">
                  <c:v>267.262</c:v>
                </c:pt>
                <c:pt idx="5">
                  <c:v>0</c:v>
                </c:pt>
                <c:pt idx="6">
                  <c:v>23.44</c:v>
                </c:pt>
                <c:pt idx="7">
                  <c:v>144.77099999999999</c:v>
                </c:pt>
                <c:pt idx="8">
                  <c:v>0</c:v>
                </c:pt>
                <c:pt idx="9">
                  <c:v>138.75629000000001</c:v>
                </c:pt>
                <c:pt idx="10">
                  <c:v>70</c:v>
                </c:pt>
                <c:pt idx="11">
                  <c:v>108.18908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FF-40BC-B0D5-F0C4BA013ADE}"/>
            </c:ext>
          </c:extLst>
        </c:ser>
        <c:ser>
          <c:idx val="3"/>
          <c:order val="3"/>
          <c:tx>
            <c:strRef>
              <c:f>'Ingresos para PPT_Sept'!$B$11</c:f>
              <c:strCache>
                <c:ptCount val="1"/>
                <c:pt idx="0">
                  <c:v>Rusia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PPT_Sept'!$C$3:$N$3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PPT_Sept'!$C$11:$N$11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77</c:v>
                </c:pt>
                <c:pt idx="1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FF-40BC-B0D5-F0C4BA013ADE}"/>
            </c:ext>
          </c:extLst>
        </c:ser>
        <c:ser>
          <c:idx val="4"/>
          <c:order val="4"/>
          <c:tx>
            <c:strRef>
              <c:f>'Ingresos para PPT_Sept'!$B$12</c:f>
              <c:strCache>
                <c:ptCount val="1"/>
                <c:pt idx="0">
                  <c:v>EEUU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numRef>
              <c:f>'Ingresos para PPT_Sept'!$C$3:$N$3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PPT_Sept'!$C$12:$N$12</c:f>
              <c:numCache>
                <c:formatCode>#,##0</c:formatCode>
                <c:ptCount val="12"/>
                <c:pt idx="0">
                  <c:v>0</c:v>
                </c:pt>
                <c:pt idx="1">
                  <c:v>52.804000000000002</c:v>
                </c:pt>
                <c:pt idx="2">
                  <c:v>162.983</c:v>
                </c:pt>
                <c:pt idx="3">
                  <c:v>102.905</c:v>
                </c:pt>
                <c:pt idx="4">
                  <c:v>188.6</c:v>
                </c:pt>
                <c:pt idx="5">
                  <c:v>44.290999999999997</c:v>
                </c:pt>
                <c:pt idx="6">
                  <c:v>51.738999999999997</c:v>
                </c:pt>
                <c:pt idx="7">
                  <c:v>149.821</c:v>
                </c:pt>
                <c:pt idx="8">
                  <c:v>593.77</c:v>
                </c:pt>
                <c:pt idx="9">
                  <c:v>24.596</c:v>
                </c:pt>
                <c:pt idx="10">
                  <c:v>24</c:v>
                </c:pt>
                <c:pt idx="1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FF-40BC-B0D5-F0C4BA013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96959"/>
        <c:axId val="1357299359"/>
      </c:areaChart>
      <c:lineChart>
        <c:grouping val="standard"/>
        <c:varyColors val="0"/>
        <c:ser>
          <c:idx val="5"/>
          <c:order val="5"/>
          <c:tx>
            <c:strRef>
              <c:f>'Ingresos para PPT_Sept'!$B$4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PPT_Sept'!$C$4:$N$4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579.08372999999995</c:v>
                </c:pt>
                <c:pt idx="2">
                  <c:v>663.71177138443829</c:v>
                </c:pt>
                <c:pt idx="3">
                  <c:v>492.66419999999999</c:v>
                </c:pt>
                <c:pt idx="4">
                  <c:v>817.072</c:v>
                </c:pt>
                <c:pt idx="5">
                  <c:v>398.01100000000002</c:v>
                </c:pt>
                <c:pt idx="6">
                  <c:v>464.29876726273329</c:v>
                </c:pt>
                <c:pt idx="7">
                  <c:v>672.28596268656713</c:v>
                </c:pt>
                <c:pt idx="8">
                  <c:v>1287.085</c:v>
                </c:pt>
                <c:pt idx="9">
                  <c:v>1257.8012900000001</c:v>
                </c:pt>
                <c:pt idx="10">
                  <c:v>906.27200000000005</c:v>
                </c:pt>
                <c:pt idx="11">
                  <c:v>772.42007999999998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FF-40BC-B0D5-F0C4BA013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96959"/>
        <c:axId val="1357299359"/>
      </c:lineChart>
      <c:lineChart>
        <c:grouping val="standard"/>
        <c:varyColors val="0"/>
        <c:ser>
          <c:idx val="6"/>
          <c:order val="6"/>
          <c:tx>
            <c:strRef>
              <c:f>'Ingresos para PPT_Sept'!$B$14</c:f>
              <c:strCache>
                <c:ptCount val="1"/>
                <c:pt idx="0">
                  <c:v>Acumulado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prstDash val="sysDash"/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1FF-40BC-B0D5-F0C4BA013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PPT_Sept'!$C$14:$N$14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1361.55638</c:v>
                </c:pt>
                <c:pt idx="2">
                  <c:v>2025.2681513844382</c:v>
                </c:pt>
                <c:pt idx="3">
                  <c:v>2517.9323513844383</c:v>
                </c:pt>
                <c:pt idx="4">
                  <c:v>3335.0043513844385</c:v>
                </c:pt>
                <c:pt idx="5">
                  <c:v>3733.0153513844384</c:v>
                </c:pt>
                <c:pt idx="6">
                  <c:v>4197.3141186471721</c:v>
                </c:pt>
                <c:pt idx="7">
                  <c:v>4869.6000813337396</c:v>
                </c:pt>
                <c:pt idx="8">
                  <c:v>6156.6850813337396</c:v>
                </c:pt>
                <c:pt idx="9">
                  <c:v>7414.48637133374</c:v>
                </c:pt>
                <c:pt idx="10">
                  <c:v>8320.7583713337408</c:v>
                </c:pt>
                <c:pt idx="11">
                  <c:v>9093.1784513337407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FF-40BC-B0D5-F0C4BA013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554176"/>
        <c:axId val="641554656"/>
      </c:lineChart>
      <c:dateAx>
        <c:axId val="1357296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9359"/>
        <c:crosses val="autoZero"/>
        <c:auto val="1"/>
        <c:lblOffset val="100"/>
        <c:baseTimeUnit val="months"/>
      </c:dateAx>
      <c:valAx>
        <c:axId val="13572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6959"/>
        <c:crosses val="autoZero"/>
        <c:crossBetween val="between"/>
      </c:valAx>
      <c:valAx>
        <c:axId val="641554656"/>
        <c:scaling>
          <c:orientation val="minMax"/>
        </c:scaling>
        <c:delete val="0"/>
        <c:axPos val="r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641554176"/>
        <c:crosses val="max"/>
        <c:crossBetween val="between"/>
        <c:majorUnit val="2000"/>
      </c:valAx>
      <c:catAx>
        <c:axId val="641554176"/>
        <c:scaling>
          <c:orientation val="minMax"/>
        </c:scaling>
        <c:delete val="1"/>
        <c:axPos val="b"/>
        <c:majorTickMark val="out"/>
        <c:minorTickMark val="none"/>
        <c:tickLblPos val="nextTo"/>
        <c:crossAx val="64155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Ingresos</a:t>
            </a:r>
            <a:r>
              <a:rPr lang="es-CL" sz="800" baseline="0"/>
              <a:t> proyectados según estatus proyecto - kUSD</a:t>
            </a:r>
            <a:endParaRPr lang="es-CL" sz="800"/>
          </a:p>
        </c:rich>
      </c:tx>
      <c:layout>
        <c:manualLayout>
          <c:xMode val="edge"/>
          <c:yMode val="edge"/>
          <c:x val="1.9415575968455875E-2"/>
          <c:y val="2.7952480782669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1"/>
          <c:tx>
            <c:strRef>
              <c:f>'Ingresos para PPT_Sept'!$B$5</c:f>
              <c:strCache>
                <c:ptCount val="1"/>
                <c:pt idx="0">
                  <c:v>Finalizado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chemeClr val="bg1"/>
              </a:bgClr>
            </a:pattFill>
            <a:ln w="9525" cap="flat" cmpd="sng" algn="ctr">
              <a:noFill/>
              <a:round/>
            </a:ln>
            <a:effectLst/>
          </c:spPr>
          <c:cat>
            <c:numRef>
              <c:f>'Ingresos para PPT_Sept'!$C$3:$N$3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PPT_Sept'!$C$5:$N$5</c:f>
              <c:numCache>
                <c:formatCode>#,##0</c:formatCode>
                <c:ptCount val="12"/>
                <c:pt idx="0">
                  <c:v>667.35889999999995</c:v>
                </c:pt>
                <c:pt idx="1">
                  <c:v>532.92403000000002</c:v>
                </c:pt>
                <c:pt idx="2">
                  <c:v>468.64003000000002</c:v>
                </c:pt>
                <c:pt idx="3">
                  <c:v>461.52254999999997</c:v>
                </c:pt>
                <c:pt idx="4">
                  <c:v>609.971</c:v>
                </c:pt>
                <c:pt idx="5">
                  <c:v>189.42</c:v>
                </c:pt>
                <c:pt idx="6">
                  <c:v>229.80635662047777</c:v>
                </c:pt>
                <c:pt idx="7">
                  <c:v>431.43996268656718</c:v>
                </c:pt>
                <c:pt idx="8">
                  <c:v>193.92</c:v>
                </c:pt>
                <c:pt idx="9">
                  <c:v>447.25929000000002</c:v>
                </c:pt>
                <c:pt idx="10">
                  <c:v>40</c:v>
                </c:pt>
                <c:pt idx="11">
                  <c:v>11.23908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7-4238-859D-D8129D90C7A9}"/>
            </c:ext>
          </c:extLst>
        </c:ser>
        <c:ser>
          <c:idx val="1"/>
          <c:order val="2"/>
          <c:tx>
            <c:strRef>
              <c:f>'Ingresos para PPT_Sept'!$B$6</c:f>
              <c:strCache>
                <c:ptCount val="1"/>
                <c:pt idx="0">
                  <c:v>Ejecución</c:v>
                </c:pt>
              </c:strCache>
            </c:strRef>
          </c:tx>
          <c:spPr>
            <a:pattFill prst="pct60">
              <a:fgClr>
                <a:schemeClr val="accent3"/>
              </a:fgClr>
              <a:bgClr>
                <a:schemeClr val="bg1"/>
              </a:bgClr>
            </a:pattFill>
            <a:ln w="9525" cap="flat" cmpd="sng" algn="ctr">
              <a:noFill/>
              <a:round/>
            </a:ln>
            <a:effectLst/>
          </c:spPr>
          <c:cat>
            <c:numRef>
              <c:f>'Ingresos para PPT_Sept'!$C$3:$N$3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PPT_Sept'!$C$6:$N$6</c:f>
              <c:numCache>
                <c:formatCode>#,##0</c:formatCode>
                <c:ptCount val="12"/>
                <c:pt idx="0">
                  <c:v>115.11375000000011</c:v>
                </c:pt>
                <c:pt idx="1">
                  <c:v>46.159699999999951</c:v>
                </c:pt>
                <c:pt idx="2">
                  <c:v>195.07174138443824</c:v>
                </c:pt>
                <c:pt idx="3">
                  <c:v>31.141650000000023</c:v>
                </c:pt>
                <c:pt idx="4">
                  <c:v>207.101</c:v>
                </c:pt>
                <c:pt idx="5">
                  <c:v>208.59100000000001</c:v>
                </c:pt>
                <c:pt idx="6">
                  <c:v>234.49241064225552</c:v>
                </c:pt>
                <c:pt idx="7">
                  <c:v>240.84599999999995</c:v>
                </c:pt>
                <c:pt idx="8">
                  <c:v>1093.165</c:v>
                </c:pt>
                <c:pt idx="9">
                  <c:v>810.54200000000003</c:v>
                </c:pt>
                <c:pt idx="10">
                  <c:v>866.27200000000005</c:v>
                </c:pt>
                <c:pt idx="11">
                  <c:v>761.18100000000004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7-4238-859D-D8129D90C7A9}"/>
            </c:ext>
          </c:extLst>
        </c:ser>
        <c:ser>
          <c:idx val="2"/>
          <c:order val="3"/>
          <c:tx>
            <c:strRef>
              <c:f>'Ingresos para PPT_Sept'!$B$7</c:f>
              <c:strCache>
                <c:ptCount val="1"/>
                <c:pt idx="0">
                  <c:v>Pipeline</c:v>
                </c:pt>
              </c:strCache>
            </c:strRef>
          </c:tx>
          <c:spPr>
            <a:pattFill prst="pct70">
              <a:fgClr>
                <a:srgbClr val="FFC000"/>
              </a:fgClr>
              <a:bgClr>
                <a:schemeClr val="bg1"/>
              </a:bgClr>
            </a:patt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val>
            <c:numRef>
              <c:f>'Ingresos para PPT_Sept'!$C$7:$N$7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7-4238-859D-D8129D90C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96959"/>
        <c:axId val="1357299359"/>
      </c:areaChart>
      <c:lineChart>
        <c:grouping val="standard"/>
        <c:varyColors val="0"/>
        <c:ser>
          <c:idx val="5"/>
          <c:order val="0"/>
          <c:tx>
            <c:strRef>
              <c:f>'Ingresos para PPT_Sept'!$B$4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25000"/>
                  <a:lumOff val="75000"/>
                </a:schemeClr>
              </a:solidFill>
              <a:ln w="9525" cap="flat" cmpd="sng" algn="ctr">
                <a:solidFill>
                  <a:srgbClr val="002060"/>
                </a:solidFill>
                <a:prstDash val="sysDot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'Ingresos para PPT_Sept'!$C$3:$N$3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'Ingresos para PPT_Sept'!$C$4:$N$4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579.08372999999995</c:v>
                </c:pt>
                <c:pt idx="2">
                  <c:v>663.71177138443829</c:v>
                </c:pt>
                <c:pt idx="3">
                  <c:v>492.66419999999999</c:v>
                </c:pt>
                <c:pt idx="4">
                  <c:v>817.072</c:v>
                </c:pt>
                <c:pt idx="5">
                  <c:v>398.01100000000002</c:v>
                </c:pt>
                <c:pt idx="6">
                  <c:v>464.29876726273329</c:v>
                </c:pt>
                <c:pt idx="7">
                  <c:v>672.28596268656713</c:v>
                </c:pt>
                <c:pt idx="8">
                  <c:v>1287.085</c:v>
                </c:pt>
                <c:pt idx="9">
                  <c:v>1257.8012900000001</c:v>
                </c:pt>
                <c:pt idx="10">
                  <c:v>906.27200000000005</c:v>
                </c:pt>
                <c:pt idx="11">
                  <c:v>772.42007999999998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07-4238-859D-D8129D90C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96959"/>
        <c:axId val="1357299359"/>
      </c:lineChart>
      <c:lineChart>
        <c:grouping val="standard"/>
        <c:varyColors val="0"/>
        <c:ser>
          <c:idx val="3"/>
          <c:order val="4"/>
          <c:tx>
            <c:strRef>
              <c:f>'Ingresos para PPT_Sept'!$B$14</c:f>
              <c:strCache>
                <c:ptCount val="1"/>
                <c:pt idx="0">
                  <c:v>Acumulado</c:v>
                </c:pt>
              </c:strCache>
            </c:strRef>
          </c:tx>
          <c:spPr>
            <a:ln w="9525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rgbClr val="002060"/>
                </a:solidFill>
                <a:prstDash val="sysDash"/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07-4238-859D-D8129D90C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'Ingresos para PPT_Sept'!$C$14:$N$14</c:f>
              <c:numCache>
                <c:formatCode>#,##0</c:formatCode>
                <c:ptCount val="12"/>
                <c:pt idx="0">
                  <c:v>782.47265000000004</c:v>
                </c:pt>
                <c:pt idx="1">
                  <c:v>1361.55638</c:v>
                </c:pt>
                <c:pt idx="2">
                  <c:v>2025.2681513844382</c:v>
                </c:pt>
                <c:pt idx="3">
                  <c:v>2517.9323513844383</c:v>
                </c:pt>
                <c:pt idx="4">
                  <c:v>3335.0043513844385</c:v>
                </c:pt>
                <c:pt idx="5">
                  <c:v>3733.0153513844384</c:v>
                </c:pt>
                <c:pt idx="6">
                  <c:v>4197.3141186471721</c:v>
                </c:pt>
                <c:pt idx="7">
                  <c:v>4869.6000813337396</c:v>
                </c:pt>
                <c:pt idx="8">
                  <c:v>6156.6850813337396</c:v>
                </c:pt>
                <c:pt idx="9">
                  <c:v>7414.48637133374</c:v>
                </c:pt>
                <c:pt idx="10">
                  <c:v>8320.7583713337408</c:v>
                </c:pt>
                <c:pt idx="11">
                  <c:v>9093.1784513337407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07-4238-859D-D8129D90C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665536"/>
        <c:axId val="1234659296"/>
      </c:lineChart>
      <c:dateAx>
        <c:axId val="1357296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9359"/>
        <c:crosses val="autoZero"/>
        <c:auto val="1"/>
        <c:lblOffset val="100"/>
        <c:baseTimeUnit val="months"/>
      </c:dateAx>
      <c:valAx>
        <c:axId val="13572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357296959"/>
        <c:crosses val="autoZero"/>
        <c:crossBetween val="between"/>
      </c:valAx>
      <c:valAx>
        <c:axId val="123465929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endParaRPr lang="es-CL"/>
          </a:p>
        </c:txPr>
        <c:crossAx val="1234665536"/>
        <c:crosses val="max"/>
        <c:crossBetween val="between"/>
        <c:majorUnit val="2000"/>
      </c:valAx>
      <c:catAx>
        <c:axId val="1234665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34659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Raleway" pitchFamily="2" charset="0"/>
                <a:ea typeface="+mn-ea"/>
                <a:cs typeface="+mn-cs"/>
              </a:defRPr>
            </a:pPr>
            <a:r>
              <a:rPr lang="es-CL" sz="800"/>
              <a:t>Distribución</a:t>
            </a:r>
            <a:r>
              <a:rPr lang="es-CL" sz="800" baseline="0"/>
              <a:t> ingresos año por país</a:t>
            </a:r>
            <a:endParaRPr lang="es-CL" sz="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52-41FC-96A8-18362018D4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52-41FC-96A8-18362018D4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52-41FC-96A8-18362018D423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52-41FC-96A8-18362018D42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52-41FC-96A8-18362018D4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aleway" pitchFamily="2" charset="0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'Ingresos para PPT_Sept'!$U$8:$U$12</c:f>
              <c:strCache>
                <c:ptCount val="5"/>
                <c:pt idx="0">
                  <c:v>Chile</c:v>
                </c:pt>
                <c:pt idx="1">
                  <c:v>Perú</c:v>
                </c:pt>
                <c:pt idx="2">
                  <c:v>EEUU</c:v>
                </c:pt>
                <c:pt idx="3">
                  <c:v>Brasil</c:v>
                </c:pt>
                <c:pt idx="4">
                  <c:v>Rusia</c:v>
                </c:pt>
              </c:strCache>
            </c:strRef>
          </c:cat>
          <c:val>
            <c:numRef>
              <c:f>'Ingresos para PPT_Sept'!$V$8:$V$12</c:f>
              <c:numCache>
                <c:formatCode>_(* #,##0_);_(* \(#,##0\);_(* "-"_);_(@_)</c:formatCode>
                <c:ptCount val="5"/>
                <c:pt idx="0">
                  <c:v>3964.3585413337387</c:v>
                </c:pt>
                <c:pt idx="1">
                  <c:v>2191.76026</c:v>
                </c:pt>
                <c:pt idx="2">
                  <c:v>1462.509</c:v>
                </c:pt>
                <c:pt idx="3">
                  <c:v>1320.5506500000001</c:v>
                </c:pt>
                <c:pt idx="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52-41FC-96A8-18362018D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Raleway" pitchFamily="2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Raleway" pitchFamily="2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Beneficio Operacional REDCO 2024</a:t>
            </a:r>
          </a:p>
        </c:rich>
      </c:tx>
      <c:layout>
        <c:manualLayout>
          <c:xMode val="edge"/>
          <c:yMode val="edge"/>
          <c:x val="2.1119547046809732E-2"/>
          <c:y val="2.2824539794974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Beneficio!$A$4</c:f>
              <c:strCache>
                <c:ptCount val="1"/>
                <c:pt idx="0">
                  <c:v>Beneficio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4D8-474D-B9AE-4DA41172C8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Beneficio!$B$1:$M$1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Beneficio!$B$4:$M$4</c:f>
              <c:numCache>
                <c:formatCode>#,##0</c:formatCode>
                <c:ptCount val="12"/>
                <c:pt idx="0">
                  <c:v>94.442490190404783</c:v>
                </c:pt>
                <c:pt idx="1">
                  <c:v>106.82868983127958</c:v>
                </c:pt>
                <c:pt idx="2">
                  <c:v>225.75386934644439</c:v>
                </c:pt>
                <c:pt idx="3">
                  <c:v>141.65480340827412</c:v>
                </c:pt>
                <c:pt idx="4">
                  <c:v>294.30856509086141</c:v>
                </c:pt>
                <c:pt idx="5">
                  <c:v>3.1745095751601866</c:v>
                </c:pt>
                <c:pt idx="6">
                  <c:v>-62.321723244540806</c:v>
                </c:pt>
                <c:pt idx="7">
                  <c:v>133.97588690314979</c:v>
                </c:pt>
                <c:pt idx="8">
                  <c:v>927.90375707452972</c:v>
                </c:pt>
                <c:pt idx="9">
                  <c:v>484.55220066009156</c:v>
                </c:pt>
                <c:pt idx="10">
                  <c:v>162.53646271653008</c:v>
                </c:pt>
                <c:pt idx="11">
                  <c:v>-205.80438060457897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1-4AAD-B2A2-CE44E282E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81455823"/>
        <c:axId val="981456303"/>
      </c:barChart>
      <c:lineChart>
        <c:grouping val="standard"/>
        <c:varyColors val="0"/>
        <c:ser>
          <c:idx val="2"/>
          <c:order val="1"/>
          <c:tx>
            <c:strRef>
              <c:f>Beneficio!$A$9</c:f>
              <c:strCache>
                <c:ptCount val="1"/>
                <c:pt idx="0">
                  <c:v>Beneficio Acum.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dLbls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41-4AAD-B2A2-CE44E282E1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Beneficio!$B$9:$M$9</c:f>
              <c:numCache>
                <c:formatCode>#,##0</c:formatCode>
                <c:ptCount val="12"/>
                <c:pt idx="0">
                  <c:v>94.442490190404783</c:v>
                </c:pt>
                <c:pt idx="1">
                  <c:v>201.27118002168436</c:v>
                </c:pt>
                <c:pt idx="2">
                  <c:v>427.02504936812875</c:v>
                </c:pt>
                <c:pt idx="3">
                  <c:v>568.67985277640287</c:v>
                </c:pt>
                <c:pt idx="4">
                  <c:v>862.98841786726427</c:v>
                </c:pt>
                <c:pt idx="5">
                  <c:v>866.16292744242446</c:v>
                </c:pt>
                <c:pt idx="6">
                  <c:v>803.8412041978836</c:v>
                </c:pt>
                <c:pt idx="7">
                  <c:v>937.81709110103338</c:v>
                </c:pt>
                <c:pt idx="8">
                  <c:v>1865.7208481755631</c:v>
                </c:pt>
                <c:pt idx="9">
                  <c:v>2350.2730488356547</c:v>
                </c:pt>
                <c:pt idx="10">
                  <c:v>2512.8095115521846</c:v>
                </c:pt>
                <c:pt idx="11">
                  <c:v>2307.0051309476057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1-4AAD-B2A2-CE44E282E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348895"/>
        <c:axId val="979333055"/>
      </c:lineChart>
      <c:dateAx>
        <c:axId val="98145582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81456303"/>
        <c:crosses val="autoZero"/>
        <c:auto val="1"/>
        <c:lblOffset val="100"/>
        <c:baseTimeUnit val="months"/>
      </c:dateAx>
      <c:valAx>
        <c:axId val="98145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81455823"/>
        <c:crosses val="autoZero"/>
        <c:crossBetween val="between"/>
        <c:majorUnit val="100"/>
      </c:valAx>
      <c:valAx>
        <c:axId val="979333055"/>
        <c:scaling>
          <c:orientation val="minMax"/>
          <c:min val="-500"/>
        </c:scaling>
        <c:delete val="0"/>
        <c:axPos val="r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79348895"/>
        <c:crosses val="max"/>
        <c:crossBetween val="between"/>
      </c:valAx>
      <c:catAx>
        <c:axId val="979348895"/>
        <c:scaling>
          <c:orientation val="minMax"/>
        </c:scaling>
        <c:delete val="1"/>
        <c:axPos val="b"/>
        <c:majorTickMark val="none"/>
        <c:minorTickMark val="none"/>
        <c:tickLblPos val="nextTo"/>
        <c:crossAx val="97933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Variación de gastos mes de octubre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r>
            <a: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Variación de gastos mes de octubre 2024</a:t>
          </a:r>
        </a:p>
      </cx:txPr>
    </cx:title>
    <cx:plotArea>
      <cx:plotAreaRegion>
        <cx:series layoutId="waterfall" uniqueId="{04904692-072D-485A-BAE3-58EF57C1354A}">
          <cx:dataPt idx="0">
            <cx:spPr>
              <a:solidFill>
                <a:srgbClr val="E8E8E8">
                  <a:lumMod val="75000"/>
                </a:srgbClr>
              </a:solidFill>
            </cx:spPr>
          </cx:dataPt>
          <cx:dataPt idx="9">
            <cx:spPr>
              <a:solidFill>
                <a:srgbClr val="002060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s-CL" sz="900"/>
              </a:p>
            </cx:txPr>
            <cx:visibility seriesName="0" categoryName="0" value="1"/>
            <cx:dataLabel idx="0" pos="ctr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s-CL" sz="900" b="1">
                      <a:solidFill>
                        <a:schemeClr val="bg1"/>
                      </a:solidFill>
                    </a:rPr>
                    <a:t>341</a:t>
                  </a:r>
                </a:p>
              </cx:txPr>
              <cx:separator>, </cx:separator>
            </cx:dataLabel>
            <cx:dataLabel idx="9" pos="ctr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s-CL" sz="900" b="1">
                      <a:solidFill>
                        <a:schemeClr val="bg1"/>
                      </a:solidFill>
                    </a:rPr>
                    <a:t>463</a:t>
                  </a:r>
                </a:p>
              </cx:txPr>
              <cx:separator>, </cx:separator>
            </cx:dataLabel>
          </cx:dataLabels>
          <cx:dataId val="0"/>
          <cx:layoutPr>
            <cx:visibility connectorLines="0"/>
            <cx:subtotals>
              <cx:idx val="9"/>
            </cx:subtotals>
          </cx:layoutPr>
        </cx:series>
      </cx:plotAreaRegion>
      <cx:axis id="0">
        <cx:catScaling gapWidth="0.050000000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s-CL" sz="9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s-CL" sz="900"/>
          </a:p>
        </cx:txPr>
      </cx:axis>
    </cx:plotArea>
  </cx:chart>
  <cx:fmtOvrs>
    <cx:fmtOvr idx="0">
      <cx:spPr>
        <a:solidFill>
          <a:srgbClr val="FF0000"/>
        </a:solidFill>
      </cx:spPr>
    </cx:fmtOvr>
    <cx:fmtOvr idx="1">
      <cx:spPr>
        <a:solidFill>
          <a:schemeClr val="accent3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txData>
          <cx:v>Variación de gastos proyectados año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r>
            <a: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Variación de gastos proyectados año 2024</a:t>
          </a:r>
        </a:p>
      </cx:txPr>
    </cx:title>
    <cx:plotArea>
      <cx:plotAreaRegion>
        <cx:series layoutId="waterfall" uniqueId="{04904692-072D-485A-BAE3-58EF57C1354A}">
          <cx:dataPt idx="0">
            <cx:spPr>
              <a:solidFill>
                <a:srgbClr val="E8E8E8">
                  <a:lumMod val="75000"/>
                </a:srgbClr>
              </a:solidFill>
            </cx:spPr>
          </cx:dataPt>
          <cx:dataPt idx="9">
            <cx:spPr>
              <a:solidFill>
                <a:srgbClr val="002060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s-CL" sz="900"/>
              </a:p>
            </cx:txPr>
            <cx:visibility seriesName="0" categoryName="0" value="1"/>
            <cx:dataLabel idx="0" pos="ctr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s-CL" sz="900" b="1">
                      <a:solidFill>
                        <a:schemeClr val="bg1"/>
                      </a:solidFill>
                    </a:rPr>
                    <a:t>5.253</a:t>
                  </a:r>
                </a:p>
              </cx:txPr>
              <cx:separator>, </cx:separator>
            </cx:dataLabel>
            <cx:dataLabel idx="9" pos="ctr">
              <cx:txPr>
                <a:bodyPr vertOverflow="overflow" horzOverflow="overflow" wrap="square" lIns="0" tIns="0" rIns="0" bIns="0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s-CL" sz="900" b="1">
                      <a:solidFill>
                        <a:schemeClr val="bg1"/>
                      </a:solidFill>
                    </a:rPr>
                    <a:t>5.530</a:t>
                  </a:r>
                </a:p>
              </cx:txPr>
              <cx:separator>, </cx:separator>
            </cx:dataLabel>
          </cx:dataLabels>
          <cx:dataId val="0"/>
          <cx:layoutPr>
            <cx:visibility connectorLines="0"/>
            <cx:subtotals>
              <cx:idx val="9"/>
            </cx:subtotals>
          </cx:layoutPr>
        </cx:series>
      </cx:plotAreaRegion>
      <cx:axis id="0">
        <cx:catScaling gapWidth="0.050000000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s-CL" sz="900"/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s-CL" sz="900"/>
          </a:p>
        </cx:txPr>
      </cx:axis>
    </cx:plotArea>
  </cx:chart>
  <cx:fmtOvrs>
    <cx:fmtOvr idx="0">
      <cx:spPr>
        <a:solidFill>
          <a:srgbClr val="FF0000"/>
        </a:solidFill>
      </cx:spPr>
    </cx:fmtOvr>
    <cx:fmtOvr idx="1">
      <cx:spPr>
        <a:solidFill>
          <a:schemeClr val="accent3"/>
        </a:solidFill>
      </cx:spPr>
    </cx:fmtOvr>
  </cx:fmtOvr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_xlchart.v5.7</cx:f>
      </cx:numDim>
    </cx:data>
  </cx:chartData>
  <cx:chart>
    <cx:title pos="t" align="ctr" overlay="0">
      <cx:tx>
        <cx:txData>
          <cx:v>Variación de ingresos octubre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r>
            <a: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Variación de ingresos octubre 2024</a:t>
          </a:r>
        </a:p>
      </cx:txPr>
    </cx:title>
    <cx:plotArea>
      <cx:plotAreaRegion>
        <cx:series layoutId="waterfall" uniqueId="{2593CDCD-6620-4D97-B5C6-B9F45C793EF9}">
          <cx:spPr>
            <a:ln>
              <a:noFill/>
            </a:ln>
          </cx:spPr>
          <cx:dataPt idx="0">
            <cx:spPr>
              <a:solidFill>
                <a:srgbClr val="E8E8E8">
                  <a:lumMod val="75000"/>
                </a:srgbClr>
              </a:solidFill>
            </cx:spPr>
          </cx:dataPt>
          <cx:dataPt idx="6">
            <cx:spPr>
              <a:solidFill>
                <a:srgbClr val="002060"/>
              </a:solidFill>
            </cx:spPr>
          </cx:dataPt>
          <cx:dataLabels pos="outEnd">
            <cx:visibility seriesName="0" categoryName="0" value="1"/>
            <cx:dataLabel idx="0" pos="ctr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s-ES" sz="9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1.258</a:t>
                  </a:r>
                </a:p>
              </cx:txPr>
              <cx:separator>, </cx:separator>
            </cx:dataLabel>
            <cx:dataLabel idx="6" pos="ctr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s-ES" sz="9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1.004</a:t>
                  </a:r>
                </a:p>
              </cx:txPr>
              <cx:separator>, </cx:separator>
            </cx:dataLabel>
          </cx:dataLabels>
          <cx:dataId val="0"/>
          <cx:layoutPr>
            <cx:visibility connectorLines="0"/>
            <cx:subtotals>
              <cx:idx val="6"/>
            </cx:subtotals>
          </cx:layoutPr>
        </cx:series>
      </cx:plotAreaRegion>
      <cx:axis id="0">
        <cx:catScaling gapWidth="0.0500000007"/>
        <cx:tickLabels/>
      </cx:axis>
      <cx:axis id="1" hidden="1">
        <cx:valScaling/>
        <cx:tickLabels/>
      </cx:axis>
    </cx:plotArea>
  </cx:chart>
  <cx:fmtOvrs>
    <cx:fmtOvr idx="0">
      <cx:spPr>
        <a:solidFill>
          <a:schemeClr val="accent3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</cx:strDim>
      <cx:numDim type="val">
        <cx:f>_xlchart.v5.5</cx:f>
      </cx:numDim>
    </cx:data>
  </cx:chartData>
  <cx:chart>
    <cx:title pos="t" align="ctr" overlay="0">
      <cx:tx>
        <cx:txData>
          <cx:v>Variación de Ingresos proyectados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r>
            <a: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Variación de Ingresos proyectados 2024</a:t>
          </a:r>
        </a:p>
      </cx:txPr>
    </cx:title>
    <cx:plotArea>
      <cx:plotAreaRegion>
        <cx:series layoutId="waterfall" uniqueId="{2593CDCD-6620-4D97-B5C6-B9F45C793EF9}">
          <cx:dataPt idx="0">
            <cx:spPr>
              <a:solidFill>
                <a:srgbClr val="E8E8E8">
                  <a:lumMod val="75000"/>
                </a:srgbClr>
              </a:solidFill>
            </cx:spPr>
          </cx:dataPt>
          <cx:dataPt idx="6">
            <cx:spPr>
              <a:solidFill>
                <a:srgbClr val="002060"/>
              </a:solidFill>
            </cx:spPr>
          </cx:dataPt>
          <cx:dataLabels pos="outEnd">
            <cx:visibility seriesName="0" categoryName="0" value="1"/>
            <cx:dataLabel idx="0" pos="ctr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s-ES" sz="9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9.093</a:t>
                  </a:r>
                </a:p>
              </cx:txPr>
              <cx:separator>, </cx:separator>
            </cx:dataLabel>
            <cx:dataLabel idx="6" pos="ctr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>
                      <a:solidFill>
                        <a:schemeClr val="bg1"/>
                      </a:solidFill>
                    </a:defRPr>
                  </a:pPr>
                  <a:r>
                    <a:rPr lang="es-ES" sz="9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8.795</a:t>
                  </a:r>
                </a:p>
              </cx:txPr>
              <cx:separator>, </cx:separator>
            </cx:dataLabel>
          </cx:dataLabels>
          <cx:dataId val="0"/>
          <cx:layoutPr>
            <cx:visibility connectorLines="0"/>
            <cx:subtotals>
              <cx:idx val="6"/>
            </cx:subtotals>
          </cx:layoutPr>
        </cx:series>
      </cx:plotAreaRegion>
      <cx:axis id="0">
        <cx:catScaling gapWidth="0.0500000007"/>
        <cx:tickLabels/>
      </cx:axis>
      <cx:axis id="1" hidden="1">
        <cx:valScaling/>
        <cx:tickLabels/>
      </cx:axis>
    </cx:plotArea>
  </cx:chart>
  <cx:fmtOvrs>
    <cx:fmtOvr idx="0">
      <cx:spPr>
        <a:solidFill>
          <a:schemeClr val="accent3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9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AA503076-0687-42A8-8654-77A4AB9034F2}"/>
            </a:ext>
          </a:extLst>
        </xdr:cNvPr>
        <xdr:cNvSpPr/>
      </xdr:nvSpPr>
      <xdr:spPr>
        <a:xfrm>
          <a:off x="12816840" y="106680"/>
          <a:ext cx="1912620" cy="77724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648051</xdr:colOff>
      <xdr:row>2</xdr:row>
      <xdr:rowOff>3307</xdr:rowOff>
    </xdr:from>
    <xdr:to>
      <xdr:col>22</xdr:col>
      <xdr:colOff>532539</xdr:colOff>
      <xdr:row>15</xdr:row>
      <xdr:rowOff>75697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0F3DC6-4E52-4789-A429-771398FE6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685914</xdr:colOff>
      <xdr:row>17</xdr:row>
      <xdr:rowOff>186901</xdr:rowOff>
    </xdr:from>
    <xdr:to>
      <xdr:col>22</xdr:col>
      <xdr:colOff>570402</xdr:colOff>
      <xdr:row>32</xdr:row>
      <xdr:rowOff>35931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B90B10-7F52-4C88-9A92-50C84BA61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22</xdr:col>
      <xdr:colOff>724178</xdr:colOff>
      <xdr:row>2</xdr:row>
      <xdr:rowOff>3307</xdr:rowOff>
    </xdr:from>
    <xdr:to>
      <xdr:col>28</xdr:col>
      <xdr:colOff>724178</xdr:colOff>
      <xdr:row>15</xdr:row>
      <xdr:rowOff>75697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579BD4A-3F22-4D0C-98FC-837793881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23</xdr:col>
      <xdr:colOff>38590</xdr:colOff>
      <xdr:row>17</xdr:row>
      <xdr:rowOff>187483</xdr:rowOff>
    </xdr:from>
    <xdr:to>
      <xdr:col>29</xdr:col>
      <xdr:colOff>38590</xdr:colOff>
      <xdr:row>32</xdr:row>
      <xdr:rowOff>36513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ED2904-4970-42B7-BC2C-888C101CB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99298</xdr:colOff>
      <xdr:row>54</xdr:row>
      <xdr:rowOff>158352</xdr:rowOff>
    </xdr:from>
    <xdr:to>
      <xdr:col>14</xdr:col>
      <xdr:colOff>420767</xdr:colOff>
      <xdr:row>69</xdr:row>
      <xdr:rowOff>54054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AC3AE7-ADD9-409C-9069-380972809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567691</xdr:colOff>
      <xdr:row>54</xdr:row>
      <xdr:rowOff>156686</xdr:rowOff>
    </xdr:from>
    <xdr:to>
      <xdr:col>7</xdr:col>
      <xdr:colOff>627222</xdr:colOff>
      <xdr:row>69</xdr:row>
      <xdr:rowOff>54293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47B4F30-13BE-430B-B8DE-34770766A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19</xdr:col>
      <xdr:colOff>303973</xdr:colOff>
      <xdr:row>45</xdr:row>
      <xdr:rowOff>152399</xdr:rowOff>
    </xdr:from>
    <xdr:to>
      <xdr:col>25</xdr:col>
      <xdr:colOff>303973</xdr:colOff>
      <xdr:row>60</xdr:row>
      <xdr:rowOff>3333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FB3EF4C-A6A3-40EB-9C47-54413A08E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25</xdr:col>
      <xdr:colOff>494473</xdr:colOff>
      <xdr:row>45</xdr:row>
      <xdr:rowOff>156209</xdr:rowOff>
    </xdr:from>
    <xdr:to>
      <xdr:col>31</xdr:col>
      <xdr:colOff>494473</xdr:colOff>
      <xdr:row>60</xdr:row>
      <xdr:rowOff>2856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CCF4F04-BE9C-48F1-9E92-841DB4C55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99594</xdr:colOff>
      <xdr:row>4</xdr:row>
      <xdr:rowOff>119338</xdr:rowOff>
    </xdr:from>
    <xdr:to>
      <xdr:col>2</xdr:col>
      <xdr:colOff>418</xdr:colOff>
      <xdr:row>14</xdr:row>
      <xdr:rowOff>34767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68EB4C5-A3F2-44DA-9A55-3113862A6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52760"/>
        <a:stretch/>
      </xdr:blipFill>
      <xdr:spPr>
        <a:xfrm>
          <a:off x="103404" y="1031833"/>
          <a:ext cx="1055254" cy="18299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17</xdr:row>
      <xdr:rowOff>62865</xdr:rowOff>
    </xdr:from>
    <xdr:to>
      <xdr:col>7</xdr:col>
      <xdr:colOff>518160</xdr:colOff>
      <xdr:row>31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03C34F-5FCF-489A-AC73-61509DFDE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17</xdr:row>
      <xdr:rowOff>62865</xdr:rowOff>
    </xdr:from>
    <xdr:to>
      <xdr:col>16</xdr:col>
      <xdr:colOff>74295</xdr:colOff>
      <xdr:row>31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973D6F-2EB5-4BDD-B381-6879C2714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17</xdr:row>
      <xdr:rowOff>68580</xdr:rowOff>
    </xdr:from>
    <xdr:to>
      <xdr:col>22</xdr:col>
      <xdr:colOff>232410</xdr:colOff>
      <xdr:row>31</xdr:row>
      <xdr:rowOff>140970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778C8A-780C-42A2-AEA0-A1E117472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52FAA951-A002-466B-AC2A-E9C9BFD05FF6}"/>
            </a:ext>
          </a:extLst>
        </xdr:cNvPr>
        <xdr:cNvSpPr/>
      </xdr:nvSpPr>
      <xdr:spPr>
        <a:xfrm>
          <a:off x="12169140" y="104775"/>
          <a:ext cx="1975485" cy="75057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E1E50988-6274-42AE-947C-6692D8B0B77D}"/>
            </a:ext>
          </a:extLst>
        </xdr:cNvPr>
        <xdr:cNvSpPr/>
      </xdr:nvSpPr>
      <xdr:spPr>
        <a:xfrm>
          <a:off x="14264640" y="106680"/>
          <a:ext cx="1912620" cy="77724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7A3A2D97-41C7-4F79-8C24-4879AC01D267}"/>
            </a:ext>
          </a:extLst>
        </xdr:cNvPr>
        <xdr:cNvSpPr/>
      </xdr:nvSpPr>
      <xdr:spPr>
        <a:xfrm>
          <a:off x="12515850" y="102870"/>
          <a:ext cx="1983105" cy="74676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F4D2DB4E-047D-4FB1-8540-719C13D6B9C7}"/>
            </a:ext>
          </a:extLst>
        </xdr:cNvPr>
        <xdr:cNvSpPr/>
      </xdr:nvSpPr>
      <xdr:spPr>
        <a:xfrm>
          <a:off x="12515850" y="102870"/>
          <a:ext cx="1983105" cy="74676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  <xdr:twoCellAnchor editAs="oneCell">
    <xdr:from>
      <xdr:col>16</xdr:col>
      <xdr:colOff>561499</xdr:colOff>
      <xdr:row>5</xdr:row>
      <xdr:rowOff>35719</xdr:rowOff>
    </xdr:from>
    <xdr:to>
      <xdr:col>29</xdr:col>
      <xdr:colOff>326775</xdr:colOff>
      <xdr:row>14</xdr:row>
      <xdr:rowOff>129777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9C7E20-E28A-9C59-591F-7EA8A090B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7624" y="928688"/>
          <a:ext cx="7287645" cy="1701402"/>
        </a:xfrm>
        <a:prstGeom prst="rect">
          <a:avLst/>
        </a:prstGeom>
      </xdr:spPr>
    </xdr:pic>
    <xdr:clientData/>
  </xdr:twoCellAnchor>
  <xdr:twoCellAnchor editAs="oneCell">
    <xdr:from>
      <xdr:col>17</xdr:col>
      <xdr:colOff>71437</xdr:colOff>
      <xdr:row>20</xdr:row>
      <xdr:rowOff>99060</xdr:rowOff>
    </xdr:from>
    <xdr:to>
      <xdr:col>31</xdr:col>
      <xdr:colOff>761311</xdr:colOff>
      <xdr:row>32</xdr:row>
      <xdr:rowOff>19338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18B8CB2-C08F-76A9-2D9A-7D02631F5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0968" y="3670935"/>
          <a:ext cx="8714686" cy="20519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413CF03A-0E2E-4104-8457-C888148CAA03}"/>
            </a:ext>
          </a:extLst>
        </xdr:cNvPr>
        <xdr:cNvSpPr/>
      </xdr:nvSpPr>
      <xdr:spPr>
        <a:xfrm>
          <a:off x="12169140" y="104775"/>
          <a:ext cx="1975485" cy="75057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A421A5EC-B18D-4263-A234-2325F037B2A7}"/>
            </a:ext>
          </a:extLst>
        </xdr:cNvPr>
        <xdr:cNvSpPr/>
      </xdr:nvSpPr>
      <xdr:spPr>
        <a:xfrm>
          <a:off x="12715875" y="102870"/>
          <a:ext cx="1983105" cy="74676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  <xdr:twoCellAnchor editAs="oneCell">
    <xdr:from>
      <xdr:col>15</xdr:col>
      <xdr:colOff>512445</xdr:colOff>
      <xdr:row>5</xdr:row>
      <xdr:rowOff>59055</xdr:rowOff>
    </xdr:from>
    <xdr:to>
      <xdr:col>28</xdr:col>
      <xdr:colOff>472440</xdr:colOff>
      <xdr:row>16</xdr:row>
      <xdr:rowOff>59055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B81C3A-B7BF-B220-1B76-E58F7DA1F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1" t="-1" r="7846" b="3532"/>
        <a:stretch/>
      </xdr:blipFill>
      <xdr:spPr>
        <a:xfrm>
          <a:off x="10370820" y="963930"/>
          <a:ext cx="7488555" cy="1986915"/>
        </a:xfrm>
        <a:prstGeom prst="rect">
          <a:avLst/>
        </a:prstGeom>
      </xdr:spPr>
    </xdr:pic>
    <xdr:clientData/>
  </xdr:twoCellAnchor>
  <xdr:twoCellAnchor editAs="oneCell">
    <xdr:from>
      <xdr:col>15</xdr:col>
      <xdr:colOff>529590</xdr:colOff>
      <xdr:row>21</xdr:row>
      <xdr:rowOff>140970</xdr:rowOff>
    </xdr:from>
    <xdr:to>
      <xdr:col>28</xdr:col>
      <xdr:colOff>498250</xdr:colOff>
      <xdr:row>31</xdr:row>
      <xdr:rowOff>57391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6A69F8-1137-C52A-E0A7-B355C9091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7965" y="3941445"/>
          <a:ext cx="7493410" cy="17223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753173</xdr:colOff>
      <xdr:row>2</xdr:row>
      <xdr:rowOff>3307</xdr:rowOff>
    </xdr:from>
    <xdr:to>
      <xdr:col>22</xdr:col>
      <xdr:colOff>716978</xdr:colOff>
      <xdr:row>15</xdr:row>
      <xdr:rowOff>75697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B7AC53-1922-4EE5-8CB2-C95553BC2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791036</xdr:colOff>
      <xdr:row>17</xdr:row>
      <xdr:rowOff>186901</xdr:rowOff>
    </xdr:from>
    <xdr:to>
      <xdr:col>22</xdr:col>
      <xdr:colOff>754841</xdr:colOff>
      <xdr:row>32</xdr:row>
      <xdr:rowOff>35931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CE1739-1A9C-4DE7-B098-7F3F651B1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23</xdr:col>
      <xdr:colOff>148522</xdr:colOff>
      <xdr:row>2</xdr:row>
      <xdr:rowOff>3307</xdr:rowOff>
    </xdr:from>
    <xdr:to>
      <xdr:col>29</xdr:col>
      <xdr:colOff>148522</xdr:colOff>
      <xdr:row>15</xdr:row>
      <xdr:rowOff>75697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DB8612-9976-4717-B2D0-E7A0C3525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23</xdr:col>
      <xdr:colOff>221124</xdr:colOff>
      <xdr:row>17</xdr:row>
      <xdr:rowOff>187483</xdr:rowOff>
    </xdr:from>
    <xdr:to>
      <xdr:col>29</xdr:col>
      <xdr:colOff>221124</xdr:colOff>
      <xdr:row>32</xdr:row>
      <xdr:rowOff>36513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563305-8241-4FF8-BFFC-95B307CC4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99298</xdr:colOff>
      <xdr:row>58</xdr:row>
      <xdr:rowOff>158352</xdr:rowOff>
    </xdr:from>
    <xdr:to>
      <xdr:col>14</xdr:col>
      <xdr:colOff>420767</xdr:colOff>
      <xdr:row>73</xdr:row>
      <xdr:rowOff>54054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2CA3E5-7046-AC43-340E-F7165D37B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567691</xdr:colOff>
      <xdr:row>58</xdr:row>
      <xdr:rowOff>156686</xdr:rowOff>
    </xdr:from>
    <xdr:to>
      <xdr:col>7</xdr:col>
      <xdr:colOff>627222</xdr:colOff>
      <xdr:row>73</xdr:row>
      <xdr:rowOff>54293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0BAC3BE-68CA-434A-8EDE-585FA06B4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17</xdr:col>
      <xdr:colOff>639604</xdr:colOff>
      <xdr:row>45</xdr:row>
      <xdr:rowOff>152399</xdr:rowOff>
    </xdr:from>
    <xdr:to>
      <xdr:col>23</xdr:col>
      <xdr:colOff>639604</xdr:colOff>
      <xdr:row>60</xdr:row>
      <xdr:rowOff>3333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8821AF3-8500-4F99-82E8-ADB5C6D84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24</xdr:col>
      <xdr:colOff>68104</xdr:colOff>
      <xdr:row>45</xdr:row>
      <xdr:rowOff>156209</xdr:rowOff>
    </xdr:from>
    <xdr:to>
      <xdr:col>30</xdr:col>
      <xdr:colOff>68104</xdr:colOff>
      <xdr:row>60</xdr:row>
      <xdr:rowOff>2856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B8105CD-7BED-4D75-9139-31EDBAC9E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99594</xdr:colOff>
      <xdr:row>4</xdr:row>
      <xdr:rowOff>119338</xdr:rowOff>
    </xdr:from>
    <xdr:to>
      <xdr:col>2</xdr:col>
      <xdr:colOff>418</xdr:colOff>
      <xdr:row>14</xdr:row>
      <xdr:rowOff>34767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BD737A-6084-5C10-0837-02918C355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52760"/>
        <a:stretch/>
      </xdr:blipFill>
      <xdr:spPr>
        <a:xfrm>
          <a:off x="99594" y="845619"/>
          <a:ext cx="1047158" cy="16904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394335</xdr:colOff>
      <xdr:row>2</xdr:row>
      <xdr:rowOff>66199</xdr:rowOff>
    </xdr:from>
    <xdr:to>
      <xdr:col>14</xdr:col>
      <xdr:colOff>2857</xdr:colOff>
      <xdr:row>13</xdr:row>
      <xdr:rowOff>98584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A3D3793-0859-94FF-0232-433BBE9BE8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735" y="447199"/>
              <a:ext cx="6212522" cy="2127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391000</xdr:colOff>
      <xdr:row>15</xdr:row>
      <xdr:rowOff>107631</xdr:rowOff>
    </xdr:from>
    <xdr:to>
      <xdr:col>14</xdr:col>
      <xdr:colOff>9047</xdr:colOff>
      <xdr:row>26</xdr:row>
      <xdr:rowOff>141921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14566C6-BBEB-4D69-AD29-7D062CBEF2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0400" y="2965131"/>
              <a:ext cx="6222047" cy="2129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D299FFF0-7181-46F4-AEFE-54CC071DD983}"/>
            </a:ext>
          </a:extLst>
        </xdr:cNvPr>
        <xdr:cNvSpPr/>
      </xdr:nvSpPr>
      <xdr:spPr>
        <a:xfrm>
          <a:off x="10839450" y="102870"/>
          <a:ext cx="2497455" cy="74676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  <xdr:twoCellAnchor editAs="absolute">
    <xdr:from>
      <xdr:col>34</xdr:col>
      <xdr:colOff>236</xdr:colOff>
      <xdr:row>126</xdr:row>
      <xdr:rowOff>59292</xdr:rowOff>
    </xdr:from>
    <xdr:to>
      <xdr:col>43</xdr:col>
      <xdr:colOff>130969</xdr:colOff>
      <xdr:row>138</xdr:row>
      <xdr:rowOff>35718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AAF2A0-2F5B-FB95-8AF0-7DCAB417F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21668</xdr:colOff>
      <xdr:row>124</xdr:row>
      <xdr:rowOff>154066</xdr:rowOff>
    </xdr:from>
    <xdr:to>
      <xdr:col>11</xdr:col>
      <xdr:colOff>295751</xdr:colOff>
      <xdr:row>142</xdr:row>
      <xdr:rowOff>119063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957968-6467-ED20-5A10-63D0C936D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777716</xdr:colOff>
      <xdr:row>138</xdr:row>
      <xdr:rowOff>112632</xdr:rowOff>
    </xdr:from>
    <xdr:to>
      <xdr:col>37</xdr:col>
      <xdr:colOff>174784</xdr:colOff>
      <xdr:row>153</xdr:row>
      <xdr:rowOff>176926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821B57-B77F-064F-CD69-779AEA0FD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278130</xdr:colOff>
      <xdr:row>138</xdr:row>
      <xdr:rowOff>103346</xdr:rowOff>
    </xdr:from>
    <xdr:to>
      <xdr:col>43</xdr:col>
      <xdr:colOff>135255</xdr:colOff>
      <xdr:row>153</xdr:row>
      <xdr:rowOff>167640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4A3148-FAEF-4D65-B9F1-D047AE56D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782003</xdr:colOff>
      <xdr:row>154</xdr:row>
      <xdr:rowOff>71438</xdr:rowOff>
    </xdr:from>
    <xdr:to>
      <xdr:col>37</xdr:col>
      <xdr:colOff>177166</xdr:colOff>
      <xdr:row>169</xdr:row>
      <xdr:rowOff>128112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5EDF953-2F46-4AB6-AF7D-93C3D2BB6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270034</xdr:colOff>
      <xdr:row>154</xdr:row>
      <xdr:rowOff>69532</xdr:rowOff>
    </xdr:from>
    <xdr:to>
      <xdr:col>43</xdr:col>
      <xdr:colOff>129064</xdr:colOff>
      <xdr:row>169</xdr:row>
      <xdr:rowOff>137636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2AB79FA-18B1-4A0E-910A-12ED7FF8F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17</xdr:row>
      <xdr:rowOff>62865</xdr:rowOff>
    </xdr:from>
    <xdr:to>
      <xdr:col>7</xdr:col>
      <xdr:colOff>518160</xdr:colOff>
      <xdr:row>31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D01B93-2F5F-43E0-8053-DF0328623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17</xdr:row>
      <xdr:rowOff>62865</xdr:rowOff>
    </xdr:from>
    <xdr:to>
      <xdr:col>16</xdr:col>
      <xdr:colOff>74295</xdr:colOff>
      <xdr:row>31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DD56DA-DBEE-450F-9BE0-E9DF73F17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17</xdr:row>
      <xdr:rowOff>68580</xdr:rowOff>
    </xdr:from>
    <xdr:to>
      <xdr:col>22</xdr:col>
      <xdr:colOff>232410</xdr:colOff>
      <xdr:row>31</xdr:row>
      <xdr:rowOff>140970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6D7D8E-4271-4846-AE64-42CE43E8C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17</xdr:row>
      <xdr:rowOff>62865</xdr:rowOff>
    </xdr:from>
    <xdr:to>
      <xdr:col>7</xdr:col>
      <xdr:colOff>518160</xdr:colOff>
      <xdr:row>31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03A346-B94E-46A1-BAB1-C277ECEB4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17</xdr:row>
      <xdr:rowOff>62865</xdr:rowOff>
    </xdr:from>
    <xdr:to>
      <xdr:col>16</xdr:col>
      <xdr:colOff>74295</xdr:colOff>
      <xdr:row>31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2832CA-E682-4B79-BD86-C20BDEF85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152400</xdr:colOff>
      <xdr:row>17</xdr:row>
      <xdr:rowOff>76200</xdr:rowOff>
    </xdr:from>
    <xdr:to>
      <xdr:col>29</xdr:col>
      <xdr:colOff>158115</xdr:colOff>
      <xdr:row>31</xdr:row>
      <xdr:rowOff>148590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54D8A00-2DEB-40FC-8F1D-1E4DCACB8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232040</xdr:colOff>
      <xdr:row>1</xdr:row>
      <xdr:rowOff>123657</xdr:rowOff>
    </xdr:from>
    <xdr:to>
      <xdr:col>13</xdr:col>
      <xdr:colOff>192035</xdr:colOff>
      <xdr:row>11</xdr:row>
      <xdr:rowOff>28939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D4132C4-0BD4-BC99-6BF2-CA0BB9F2BA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940" y="314157"/>
              <a:ext cx="6094095" cy="18102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209520</xdr:colOff>
      <xdr:row>11</xdr:row>
      <xdr:rowOff>172076</xdr:rowOff>
    </xdr:from>
    <xdr:to>
      <xdr:col>13</xdr:col>
      <xdr:colOff>174407</xdr:colOff>
      <xdr:row>21</xdr:row>
      <xdr:rowOff>79216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23F580E-EB52-4344-85DF-423A20DD1A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9420" y="2267576"/>
              <a:ext cx="6098987" cy="1812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0</xdr:row>
      <xdr:rowOff>104775</xdr:rowOff>
    </xdr:from>
    <xdr:to>
      <xdr:col>20</xdr:col>
      <xdr:colOff>123825</xdr:colOff>
      <xdr:row>4</xdr:row>
      <xdr:rowOff>123825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FACCE99C-A406-4A24-930D-F9B6EAB81209}"/>
            </a:ext>
          </a:extLst>
        </xdr:cNvPr>
        <xdr:cNvSpPr/>
      </xdr:nvSpPr>
      <xdr:spPr>
        <a:xfrm>
          <a:off x="12580620" y="104775"/>
          <a:ext cx="2493645" cy="75057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900"/>
            <a:t>Este gasto no considera</a:t>
          </a:r>
          <a:r>
            <a:rPr lang="es-CL" sz="900" baseline="0"/>
            <a:t> los gastos del dueño. También se filtran los impuestos (IVA o equivalentes) y gastos de REDTEC.</a:t>
          </a:r>
          <a:endParaRPr lang="es-CL" sz="9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17621</xdr:colOff>
      <xdr:row>12</xdr:row>
      <xdr:rowOff>82073</xdr:rowOff>
    </xdr:from>
    <xdr:to>
      <xdr:col>12</xdr:col>
      <xdr:colOff>746284</xdr:colOff>
      <xdr:row>41</xdr:row>
      <xdr:rowOff>34330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6C61B6-CEBC-4572-8E0A-097326D55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REDCO/Shared%20Documents/General/Proyecto%20Gastos%202024/20241207_Planilla%20Consolidada_v15%20(costo%20compa&#241;ia).xlsx" TargetMode="External"/><Relationship Id="rId1" Type="http://schemas.openxmlformats.org/officeDocument/2006/relationships/externalLinkPath" Target="https://redcoglobalcl.sharepoint.com/sites/GestinREDCO/Shared%20Documents/General/Proyecto%20Gastos%202024/20241207_Planilla%20Consolidada_v15%20(costo%20compa&#241;ia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REDCO/Shared%20Documents/General/Registro%20de%20Proyectos.xlsx" TargetMode="External"/><Relationship Id="rId1" Type="http://schemas.openxmlformats.org/officeDocument/2006/relationships/externalLinkPath" Target="https://redcoglobalcl.sharepoint.com/sites/GestinREDCO/Shared%20Documents/General/Registro%20de%20Proyec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sto total (2)"/>
      <sheetName val="Detalle Hojas"/>
      <sheetName val="Análisis Rent. x Emisión"/>
      <sheetName val="Rentabilidad Ingresos 23-24"/>
      <sheetName val="Rentabilidad Emisiones 23-24"/>
      <sheetName val="Rentabilidad Ingresos"/>
      <sheetName val="Rentabilidad Emisión"/>
      <sheetName val="Ingresos-Emisiones"/>
      <sheetName val="Gastos por proyecto"/>
      <sheetName val="Personal All REDCO"/>
      <sheetName val="CICLO EDP"/>
      <sheetName val="FLUJO REDCO PERÚ 2024_1"/>
      <sheetName val="FLUJO REDCO PERÚ 2024_2"/>
      <sheetName val="FLUJO REDCO PERÚ 2024_3"/>
      <sheetName val="FLUJO REDCO CHILE 2024_1"/>
      <sheetName val="FLUJO REDCO CHILE 2024_2"/>
      <sheetName val="FLUJO REDCO CHILE USD"/>
      <sheetName val="TC"/>
      <sheetName val="FLUJO REDCO BRASIL 2024_1"/>
      <sheetName val="FLUJO REDCO BRASIL 2024_2"/>
      <sheetName val="FLUJO REDCO BRASIL"/>
      <sheetName val="Saldos por contrato"/>
      <sheetName val="HH Consolidado"/>
      <sheetName val="%HH Proyecto"/>
      <sheetName val="Hoja1"/>
      <sheetName val="Gasto total"/>
      <sheetName val="Gasto operacional"/>
      <sheetName val="Sueldos"/>
      <sheetName val="No sueldos"/>
      <sheetName val="G&amp;A"/>
      <sheetName val="G&amp;A País"/>
      <sheetName val="Sueldos Prorrateados"/>
      <sheetName val="Tabla Sueldos Prorrateados"/>
      <sheetName val="Operacional Proyecto"/>
      <sheetName val="G&amp;A Proyecto"/>
      <sheetName val="%Saldos Contrato"/>
      <sheetName val="Revisión Gastos Proyect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7">
          <cell r="G107">
            <v>3345.9326643451286</v>
          </cell>
          <cell r="H107">
            <v>2746.0803077367391</v>
          </cell>
          <cell r="I107">
            <v>2790.998348236275</v>
          </cell>
          <cell r="J107">
            <v>2849.6108865551851</v>
          </cell>
          <cell r="K107">
            <v>3928.1958360752624</v>
          </cell>
          <cell r="L107">
            <v>2691.4162617837774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iFLNqqH3UiNQ52w4MjHkaJekJNSkitOjf-Us92CSmxxGzt9tJH6TI48Zmid9mwi" itemId="01X4HTLNCMVR5IX53OFBFKQNG4BGLQPHFN">
      <xxl21:absoluteUrl r:id="rId2"/>
    </xxl21:alternateUrls>
    <sheetNames>
      <sheetName val="Hoja1"/>
      <sheetName val="Códigos"/>
      <sheetName val="Índice de Planillas"/>
      <sheetName val="Proyectos (NO FILTRAR)"/>
      <sheetName val="Proyectos Manejo de información"/>
      <sheetName val="Tabla Resumen"/>
      <sheetName val="Hoja Base"/>
    </sheetNames>
    <sheetDataSet>
      <sheetData sheetId="0"/>
      <sheetData sheetId="1"/>
      <sheetData sheetId="2"/>
      <sheetData sheetId="3">
        <row r="2">
          <cell r="B2" t="str">
            <v>Código Total</v>
          </cell>
          <cell r="F2" t="str">
            <v>Proyecto Contrato Original</v>
          </cell>
          <cell r="G2" t="str">
            <v>Pais</v>
          </cell>
        </row>
        <row r="3">
          <cell r="F3" t="str">
            <v>Adrianita -Raúl</v>
          </cell>
          <cell r="G3" t="str">
            <v>Chile</v>
          </cell>
        </row>
        <row r="4">
          <cell r="F4" t="str">
            <v>Adrianita -Raúl</v>
          </cell>
          <cell r="G4" t="str">
            <v>Chile</v>
          </cell>
        </row>
        <row r="5">
          <cell r="F5" t="str">
            <v>Algarrobo</v>
          </cell>
          <cell r="G5" t="str">
            <v>Chile</v>
          </cell>
        </row>
        <row r="6">
          <cell r="F6" t="str">
            <v>NO_ESPECIFICADO</v>
          </cell>
          <cell r="G6" t="str">
            <v>Chile</v>
          </cell>
        </row>
        <row r="7">
          <cell r="F7" t="str">
            <v>Candelaria (Estandar y Planificacion)</v>
          </cell>
          <cell r="G7" t="str">
            <v>Chile</v>
          </cell>
        </row>
        <row r="8">
          <cell r="F8" t="str">
            <v>Pilares Mineros - Candelaria</v>
          </cell>
          <cell r="G8" t="str">
            <v>Chile</v>
          </cell>
        </row>
        <row r="9">
          <cell r="F9" t="str">
            <v>CMP Estandar Planificación</v>
          </cell>
          <cell r="G9" t="str">
            <v>Chile</v>
          </cell>
        </row>
        <row r="10">
          <cell r="F10" t="str">
            <v>Diagnóstico Operacional Candelaria</v>
          </cell>
          <cell r="G10" t="str">
            <v>Chile</v>
          </cell>
        </row>
        <row r="11">
          <cell r="F11" t="str">
            <v>Actualización Lom Raura</v>
          </cell>
          <cell r="G11" t="str">
            <v>Perú</v>
          </cell>
        </row>
        <row r="12">
          <cell r="F12" t="str">
            <v>AESA Rendimientos</v>
          </cell>
          <cell r="G12" t="str">
            <v>Perú</v>
          </cell>
        </row>
        <row r="13">
          <cell r="F13" t="str">
            <v>LOM CNN 2023</v>
          </cell>
          <cell r="G13" t="str">
            <v>Chile</v>
          </cell>
        </row>
        <row r="14">
          <cell r="F14" t="str">
            <v>LOM MLC 2023</v>
          </cell>
          <cell r="G14" t="str">
            <v>Chile</v>
          </cell>
        </row>
        <row r="15">
          <cell r="F15" t="str">
            <v>Lomas Bayas - LoA24</v>
          </cell>
          <cell r="G15" t="str">
            <v>Chile</v>
          </cell>
        </row>
        <row r="16">
          <cell r="F16" t="str">
            <v>MARA - Simulación Sistema Manejo Estéril</v>
          </cell>
          <cell r="G16" t="str">
            <v>Chile</v>
          </cell>
        </row>
        <row r="17">
          <cell r="F17" t="str">
            <v>Pelambres</v>
          </cell>
          <cell r="G17" t="str">
            <v>Chile</v>
          </cell>
        </row>
        <row r="18">
          <cell r="F18" t="str">
            <v>NorGold</v>
          </cell>
          <cell r="G18" t="str">
            <v>Rusia</v>
          </cell>
        </row>
        <row r="19">
          <cell r="F19" t="str">
            <v>NORILSK1-FS</v>
          </cell>
          <cell r="G19" t="str">
            <v>Rusia</v>
          </cell>
        </row>
        <row r="20">
          <cell r="F20" t="str">
            <v>OKT-NFM-FS</v>
          </cell>
          <cell r="G20" t="str">
            <v>Rusia</v>
          </cell>
        </row>
        <row r="21">
          <cell r="F21" t="str">
            <v>NO_ESPECIFICADO</v>
          </cell>
          <cell r="G21" t="str">
            <v>Chile</v>
          </cell>
        </row>
        <row r="22">
          <cell r="F22" t="str">
            <v>Romeral</v>
          </cell>
          <cell r="G22" t="str">
            <v>Chile</v>
          </cell>
        </row>
        <row r="23">
          <cell r="F23" t="str">
            <v>Compilación de  R&amp;R</v>
          </cell>
          <cell r="G23" t="str">
            <v>Perú</v>
          </cell>
        </row>
        <row r="24">
          <cell r="F24" t="str">
            <v>MEL</v>
          </cell>
          <cell r="G24" t="str">
            <v>Chile</v>
          </cell>
        </row>
        <row r="25">
          <cell r="F25" t="str">
            <v>ITS Yauricocha</v>
          </cell>
          <cell r="G25" t="str">
            <v>Perú</v>
          </cell>
        </row>
        <row r="26">
          <cell r="F26" t="str">
            <v>LasBambas_Ferrobamba_OP_UG</v>
          </cell>
          <cell r="G26" t="str">
            <v>Perú</v>
          </cell>
        </row>
        <row r="27">
          <cell r="F27" t="str">
            <v>PFS Los Calatos</v>
          </cell>
          <cell r="G27" t="str">
            <v>Perú</v>
          </cell>
        </row>
        <row r="28">
          <cell r="F28" t="str">
            <v>Marcobre - Minajusta</v>
          </cell>
          <cell r="G28" t="str">
            <v>Perú</v>
          </cell>
        </row>
        <row r="29">
          <cell r="F29" t="str">
            <v>Algarrobo</v>
          </cell>
          <cell r="G29" t="str">
            <v>Chile</v>
          </cell>
        </row>
        <row r="30">
          <cell r="F30" t="str">
            <v>Algarrobo</v>
          </cell>
          <cell r="G30" t="str">
            <v>Chile</v>
          </cell>
        </row>
        <row r="31">
          <cell r="F31" t="str">
            <v>RDP</v>
          </cell>
          <cell r="G31" t="str">
            <v>Chile</v>
          </cell>
        </row>
        <row r="32">
          <cell r="F32" t="str">
            <v>Mosaic_Cajati</v>
          </cell>
          <cell r="G32" t="str">
            <v>Brasil</v>
          </cell>
        </row>
        <row r="33">
          <cell r="F33" t="str">
            <v>NEXA_FEL2 Aripuana</v>
          </cell>
          <cell r="G33" t="str">
            <v>Brasil</v>
          </cell>
        </row>
        <row r="34">
          <cell r="F34" t="str">
            <v>Mosaic_Taquari Vassouras</v>
          </cell>
          <cell r="G34" t="str">
            <v>Brasil</v>
          </cell>
        </row>
        <row r="35">
          <cell r="F35" t="str">
            <v>AMSA_Planificacion</v>
          </cell>
          <cell r="G35" t="str">
            <v>Chile</v>
          </cell>
        </row>
        <row r="36">
          <cell r="F36" t="str">
            <v>Codelco_Capacitacion Deswik DET</v>
          </cell>
          <cell r="G36" t="str">
            <v>Chile</v>
          </cell>
        </row>
        <row r="37">
          <cell r="F37" t="str">
            <v>Codelco_Falla Oeste</v>
          </cell>
          <cell r="G37" t="str">
            <v>Chile</v>
          </cell>
        </row>
        <row r="38">
          <cell r="F38" t="str">
            <v>Codelco_Panel Central</v>
          </cell>
          <cell r="G38" t="str">
            <v>Chile</v>
          </cell>
        </row>
        <row r="39">
          <cell r="F39" t="str">
            <v>CMP - FEL 2A</v>
          </cell>
          <cell r="G39" t="str">
            <v>Chile</v>
          </cell>
        </row>
        <row r="40">
          <cell r="F40" t="str">
            <v>CMP - FEL 2A</v>
          </cell>
          <cell r="G40" t="str">
            <v>Chile</v>
          </cell>
        </row>
        <row r="41">
          <cell r="F41" t="str">
            <v>CSH_LOM Mina Guarello</v>
          </cell>
          <cell r="G41" t="str">
            <v>Chile</v>
          </cell>
        </row>
        <row r="42">
          <cell r="F42" t="str">
            <v>MEIA Coripuno</v>
          </cell>
          <cell r="G42" t="str">
            <v>Perú</v>
          </cell>
        </row>
        <row r="43">
          <cell r="F43" t="str">
            <v>Minsur_Forecast_Budget24</v>
          </cell>
          <cell r="G43" t="str">
            <v>Perú</v>
          </cell>
        </row>
        <row r="44">
          <cell r="F44" t="str">
            <v>NO_ESPECIFICADO</v>
          </cell>
          <cell r="G44" t="str">
            <v>Perú</v>
          </cell>
        </row>
        <row r="45">
          <cell r="F45" t="str">
            <v>Codelco_Cluster Toki</v>
          </cell>
          <cell r="G45" t="str">
            <v>Chile</v>
          </cell>
        </row>
        <row r="46">
          <cell r="F46" t="str">
            <v>CMP_Los Colorados Adelantamiento Planta</v>
          </cell>
          <cell r="G46" t="str">
            <v>Chile</v>
          </cell>
        </row>
        <row r="47">
          <cell r="F47" t="str">
            <v>Codelco_Drenaje QT</v>
          </cell>
          <cell r="G47" t="str">
            <v>Chile</v>
          </cell>
        </row>
        <row r="48">
          <cell r="F48" t="str">
            <v>CMP_CNN Update plan LOM</v>
          </cell>
          <cell r="G48" t="str">
            <v>Chile</v>
          </cell>
        </row>
        <row r="49">
          <cell r="F49" t="str">
            <v>CMP_Romeral Estabilización + UG PFS</v>
          </cell>
          <cell r="G49" t="str">
            <v>Chile</v>
          </cell>
        </row>
        <row r="50">
          <cell r="F50" t="str">
            <v>NO_ESPECIFICADO</v>
          </cell>
          <cell r="G50" t="str">
            <v>Perú</v>
          </cell>
        </row>
        <row r="51">
          <cell r="F51" t="str">
            <v>NO_ESPECIFICADO</v>
          </cell>
          <cell r="G51" t="str">
            <v>Perú</v>
          </cell>
        </row>
        <row r="52">
          <cell r="F52" t="str">
            <v>NO_ESPECIFICADO</v>
          </cell>
          <cell r="G52" t="str">
            <v>Perú</v>
          </cell>
        </row>
        <row r="53">
          <cell r="F53" t="str">
            <v>Raura Operativo</v>
          </cell>
          <cell r="G53" t="str">
            <v>Perú</v>
          </cell>
        </row>
        <row r="54">
          <cell r="F54" t="str">
            <v>San Rafael Contrato Marco</v>
          </cell>
          <cell r="G54" t="str">
            <v>Perú</v>
          </cell>
        </row>
        <row r="55">
          <cell r="F55" t="str">
            <v>San Rafael Gestión Operativa</v>
          </cell>
          <cell r="G55" t="str">
            <v>Perú</v>
          </cell>
        </row>
        <row r="56">
          <cell r="F56" t="str">
            <v>San Rafael: Gestión del Corto Plazo</v>
          </cell>
          <cell r="G56" t="str">
            <v>Perú</v>
          </cell>
        </row>
        <row r="57">
          <cell r="F57" t="str">
            <v>Sierra Metals_Plan de Minado MEIA</v>
          </cell>
          <cell r="G57" t="str">
            <v>Perú</v>
          </cell>
        </row>
        <row r="58">
          <cell r="F58" t="str">
            <v>MiskiMayo_LOM</v>
          </cell>
          <cell r="G58" t="str">
            <v>Perú</v>
          </cell>
        </row>
        <row r="59">
          <cell r="F59" t="str">
            <v>J&amp;F_Urucrum_RecuperacionPilares</v>
          </cell>
          <cell r="G59" t="str">
            <v>Brasil</v>
          </cell>
        </row>
        <row r="60">
          <cell r="F60" t="str">
            <v>Analisis de Riesgo MB4-1</v>
          </cell>
          <cell r="G60" t="str">
            <v>Chile</v>
          </cell>
        </row>
        <row r="61">
          <cell r="F61" t="str">
            <v>AESA_Gestión tiempos</v>
          </cell>
          <cell r="G61" t="str">
            <v>Perú</v>
          </cell>
        </row>
        <row r="62">
          <cell r="F62" t="str">
            <v>Antamina_Transición OP-UG</v>
          </cell>
          <cell r="G62" t="str">
            <v>Perú</v>
          </cell>
        </row>
        <row r="63">
          <cell r="F63" t="str">
            <v>Banco Santander_Yauricocha y Bolivar</v>
          </cell>
          <cell r="G63" t="str">
            <v>Chile</v>
          </cell>
        </row>
        <row r="64">
          <cell r="F64" t="str">
            <v>Gestión del Corto Plazo Raura</v>
          </cell>
          <cell r="G64" t="str">
            <v>Perú</v>
          </cell>
        </row>
        <row r="65">
          <cell r="F65" t="str">
            <v>Glencore_Coroccohuayco_OptimizacionLOM</v>
          </cell>
          <cell r="G65" t="str">
            <v>Perú</v>
          </cell>
        </row>
        <row r="66">
          <cell r="F66" t="str">
            <v>Minsur_SanRafael_VetasAngostas</v>
          </cell>
          <cell r="G66" t="str">
            <v>Perú</v>
          </cell>
        </row>
        <row r="67">
          <cell r="F67" t="str">
            <v>Optimización Negocio P40 - foco Romeral</v>
          </cell>
          <cell r="G67" t="str">
            <v>Chile</v>
          </cell>
        </row>
        <row r="68">
          <cell r="F68" t="str">
            <v>Secuenciamiento y Planificacion Estabilizada Gongo Soco</v>
          </cell>
          <cell r="G68" t="str">
            <v>Brasil</v>
          </cell>
        </row>
        <row r="69">
          <cell r="F69" t="str">
            <v>Diseño y Planificacion de Block Caving</v>
          </cell>
          <cell r="G69" t="str">
            <v>Rusia</v>
          </cell>
        </row>
        <row r="70">
          <cell r="F70" t="str">
            <v>Selección de equipos mineros</v>
          </cell>
          <cell r="G70" t="str">
            <v>Rusia</v>
          </cell>
        </row>
        <row r="71">
          <cell r="F71" t="str">
            <v>IvanhoeElectric_Santa-Cruz_PrePFS</v>
          </cell>
          <cell r="G71" t="str">
            <v>Otros</v>
          </cell>
        </row>
        <row r="72">
          <cell r="F72" t="str">
            <v>Aplicación Simprep</v>
          </cell>
          <cell r="G72" t="str">
            <v>Chile</v>
          </cell>
        </row>
        <row r="73">
          <cell r="F73" t="str">
            <v>Minsur_Ore Sorting Raura</v>
          </cell>
          <cell r="G73" t="str">
            <v>Perú</v>
          </cell>
        </row>
        <row r="74">
          <cell r="F74" t="str">
            <v>AMSA_Estandares Minimos</v>
          </cell>
          <cell r="G74" t="str">
            <v>Chile</v>
          </cell>
        </row>
        <row r="75">
          <cell r="F75" t="str">
            <v>Mosaic_Taquari Vassouras Fase II CP</v>
          </cell>
          <cell r="G75" t="str">
            <v>Brasil</v>
          </cell>
        </row>
        <row r="76">
          <cell r="F76" t="str">
            <v>Mosaic_Planeamiento Mina Tapira</v>
          </cell>
          <cell r="G76" t="str">
            <v>Brasil</v>
          </cell>
        </row>
        <row r="77">
          <cell r="F77" t="str">
            <v>Mosaic_CMA_CMP</v>
          </cell>
          <cell r="G77" t="str">
            <v>Brasil</v>
          </cell>
        </row>
        <row r="78">
          <cell r="F78" t="str">
            <v>CMP_CNN Update Analisis Estrategico LOM</v>
          </cell>
          <cell r="G78" t="str">
            <v>Chile</v>
          </cell>
        </row>
        <row r="79">
          <cell r="F79" t="str">
            <v>Lundin_Candelaria_LOM-OP</v>
          </cell>
          <cell r="G79" t="str">
            <v>Chile</v>
          </cell>
        </row>
        <row r="80">
          <cell r="F80" t="str">
            <v>Lundin_Candelaria_EstudiosCugep</v>
          </cell>
          <cell r="G80" t="str">
            <v>Chile</v>
          </cell>
        </row>
        <row r="81">
          <cell r="F81" t="str">
            <v>Minsur_Raura_SGOP</v>
          </cell>
          <cell r="G81" t="str">
            <v>Perú</v>
          </cell>
        </row>
        <row r="82">
          <cell r="F82" t="str">
            <v>Minsur_Update LOM San Rafael</v>
          </cell>
          <cell r="G82" t="str">
            <v>Perú</v>
          </cell>
        </row>
        <row r="83">
          <cell r="F83" t="str">
            <v>Seligdar_Kyuchus</v>
          </cell>
          <cell r="G83" t="str">
            <v>Rusia</v>
          </cell>
        </row>
        <row r="84">
          <cell r="F84" t="str">
            <v>CMP - FEL 2A</v>
          </cell>
          <cell r="G84" t="str">
            <v>Chile</v>
          </cell>
        </row>
        <row r="85">
          <cell r="F85" t="str">
            <v>CMP - FEL 2A</v>
          </cell>
          <cell r="G85" t="str">
            <v>Chile</v>
          </cell>
        </row>
        <row r="86">
          <cell r="F86" t="str">
            <v>CMP - FEL 2A</v>
          </cell>
          <cell r="G86" t="str">
            <v>Chile</v>
          </cell>
        </row>
        <row r="87">
          <cell r="F87" t="str">
            <v>Mosaic_Cajati</v>
          </cell>
          <cell r="G87" t="str">
            <v>Brasil</v>
          </cell>
        </row>
        <row r="88">
          <cell r="F88" t="str">
            <v>Romeral</v>
          </cell>
          <cell r="G88" t="str">
            <v>Chile</v>
          </cell>
        </row>
        <row r="89">
          <cell r="F89" t="str">
            <v>Romeral</v>
          </cell>
          <cell r="G89" t="str">
            <v>Chile</v>
          </cell>
        </row>
        <row r="90">
          <cell r="F90" t="str">
            <v>Romeral</v>
          </cell>
          <cell r="G90" t="str">
            <v>Chile</v>
          </cell>
        </row>
        <row r="91">
          <cell r="F91" t="str">
            <v>PFS Los Calatos</v>
          </cell>
          <cell r="G91" t="str">
            <v>Perú</v>
          </cell>
        </row>
        <row r="92">
          <cell r="F92" t="str">
            <v>Algarrobo</v>
          </cell>
          <cell r="G92" t="str">
            <v>Chile</v>
          </cell>
        </row>
        <row r="93">
          <cell r="F93" t="str">
            <v>Adrianita -Raúl</v>
          </cell>
          <cell r="G93" t="str">
            <v>Chile</v>
          </cell>
        </row>
        <row r="94">
          <cell r="F94" t="str">
            <v>Boston_Inmaculada Hochschild</v>
          </cell>
          <cell r="G94" t="str">
            <v>Chile</v>
          </cell>
        </row>
        <row r="95">
          <cell r="F95" t="str">
            <v>BHP_Tunel Exploratorio</v>
          </cell>
          <cell r="G95" t="str">
            <v>Chile</v>
          </cell>
        </row>
        <row r="96">
          <cell r="F96" t="str">
            <v>AMSA_Asesoria Centinela</v>
          </cell>
          <cell r="G96" t="str">
            <v>Chile</v>
          </cell>
        </row>
        <row r="97">
          <cell r="F97" t="str">
            <v>LasBambas_Ferrobamba_OP_UG</v>
          </cell>
          <cell r="G97" t="str">
            <v>Perú</v>
          </cell>
        </row>
        <row r="98">
          <cell r="F98" t="str">
            <v>Coripuno_Metodos de Minado</v>
          </cell>
          <cell r="G98" t="str">
            <v>Perú</v>
          </cell>
        </row>
        <row r="99">
          <cell r="F99" t="str">
            <v>Minsur_Apoyo Planificacion San Rafael</v>
          </cell>
          <cell r="G99" t="str">
            <v>Perú</v>
          </cell>
        </row>
        <row r="100">
          <cell r="F100" t="str">
            <v>Capstone Copper_Estimacion confiabilidad de planes</v>
          </cell>
          <cell r="G100" t="str">
            <v>Chile</v>
          </cell>
        </row>
        <row r="101">
          <cell r="F101" t="str">
            <v>Minsur_Rampa de acceso San German</v>
          </cell>
          <cell r="G101" t="str">
            <v>Perú</v>
          </cell>
        </row>
        <row r="102">
          <cell r="F102" t="str">
            <v>McCarthy_Litigio Rio Tinto</v>
          </cell>
          <cell r="G102" t="str">
            <v>Otros</v>
          </cell>
        </row>
        <row r="103">
          <cell r="F103" t="str">
            <v>Eurochem_Himmelfarb Deposit</v>
          </cell>
          <cell r="G103" t="str">
            <v>Rusia</v>
          </cell>
        </row>
        <row r="104">
          <cell r="F104" t="str">
            <v>Boston_Inmaculada Hochschild II</v>
          </cell>
          <cell r="G104" t="str">
            <v>Chile</v>
          </cell>
        </row>
        <row r="105">
          <cell r="F105" t="str">
            <v>CMP_LOM CNN 2024</v>
          </cell>
          <cell r="G105" t="str">
            <v>Chile</v>
          </cell>
        </row>
        <row r="106">
          <cell r="F106" t="str">
            <v>CMP_LOM MLC 2024</v>
          </cell>
          <cell r="G106" t="str">
            <v>Chile</v>
          </cell>
        </row>
        <row r="107">
          <cell r="F107" t="str">
            <v>Spence_Confiabilidad Plan 2YB 2025</v>
          </cell>
          <cell r="G107" t="str">
            <v>Chile</v>
          </cell>
        </row>
        <row r="108">
          <cell r="F108" t="str">
            <v>Minsur_LOM San Rafael 2025</v>
          </cell>
          <cell r="G108" t="str">
            <v>Perú</v>
          </cell>
        </row>
        <row r="109">
          <cell r="F109" t="str">
            <v>EMX_Due Diligence de Chapi</v>
          </cell>
          <cell r="G109" t="str">
            <v>Otros</v>
          </cell>
        </row>
        <row r="110">
          <cell r="F110" t="str">
            <v>IvanhoeElectric_Mine Planning Support</v>
          </cell>
          <cell r="G110" t="str">
            <v>Otros</v>
          </cell>
        </row>
        <row r="111">
          <cell r="F111" t="str">
            <v>MCI_Mine Plan Review Los Bronces</v>
          </cell>
          <cell r="G111" t="str">
            <v>Chile</v>
          </cell>
        </row>
        <row r="112">
          <cell r="F112" t="str">
            <v>Minsur_Apoyo MEIA Raura</v>
          </cell>
          <cell r="G112" t="str">
            <v>Perú</v>
          </cell>
        </row>
        <row r="113">
          <cell r="F113" t="str">
            <v>EMX_Metallurgical expert for review</v>
          </cell>
          <cell r="G113" t="str">
            <v>Otros</v>
          </cell>
        </row>
        <row r="114">
          <cell r="F114" t="str">
            <v>Minsur_Mejoramiento datos geotecnicos SR</v>
          </cell>
          <cell r="G114" t="str">
            <v>Perú</v>
          </cell>
        </row>
        <row r="115">
          <cell r="F115" t="str">
            <v>CMP_Puesta en marcha SLS Romeral</v>
          </cell>
          <cell r="G115" t="str">
            <v>Chile</v>
          </cell>
        </row>
        <row r="116">
          <cell r="F116" t="str">
            <v>Glencore_MineHaul y MinePlan Lomas Bayas</v>
          </cell>
          <cell r="G116" t="str">
            <v>Chile</v>
          </cell>
        </row>
        <row r="117">
          <cell r="F117" t="str">
            <v>CMP_Estrategia Crecimiento Tofo Norte</v>
          </cell>
          <cell r="G117" t="str">
            <v>Chile</v>
          </cell>
        </row>
        <row r="118">
          <cell r="F118" t="str">
            <v>CMP_Plan minero base MLC</v>
          </cell>
          <cell r="G118" t="str">
            <v>Chile</v>
          </cell>
        </row>
        <row r="119">
          <cell r="F119" t="str">
            <v>Minsur_Evaluacion recursos marginales</v>
          </cell>
          <cell r="G119" t="str">
            <v>Perú</v>
          </cell>
        </row>
        <row r="120">
          <cell r="F120" t="str">
            <v>Mosaic_Taquari Vassouras Fase II</v>
          </cell>
          <cell r="G120" t="str">
            <v>Brasil</v>
          </cell>
        </row>
        <row r="121">
          <cell r="F121" t="str">
            <v>CMP - FEL 2A</v>
          </cell>
          <cell r="G121" t="str">
            <v>Chile</v>
          </cell>
        </row>
        <row r="122">
          <cell r="F122" t="str">
            <v>SierraMetals_Update MEIA Yauricocha</v>
          </cell>
          <cell r="G122" t="str">
            <v>Perú</v>
          </cell>
        </row>
        <row r="123">
          <cell r="F123" t="str">
            <v>J&amp;F_Autazes Due Diligence</v>
          </cell>
          <cell r="G123" t="str">
            <v>Brasil</v>
          </cell>
        </row>
        <row r="124">
          <cell r="F124" t="str">
            <v>Equipo P&amp;C</v>
          </cell>
          <cell r="G124" t="str">
            <v>Chile</v>
          </cell>
        </row>
        <row r="125">
          <cell r="F125" t="str">
            <v>LasBambas_Ferrobamba_OP_UG</v>
          </cell>
          <cell r="G125" t="str">
            <v>Perú</v>
          </cell>
        </row>
        <row r="126">
          <cell r="F126" t="str">
            <v>Mosaic_Actualizacion geotecnica OP</v>
          </cell>
          <cell r="G126" t="str">
            <v>Brasil</v>
          </cell>
        </row>
        <row r="127">
          <cell r="F127" t="str">
            <v>BHP_Plan e Iniciativas LoA25-26</v>
          </cell>
          <cell r="G127" t="str">
            <v>Chile</v>
          </cell>
        </row>
        <row r="128">
          <cell r="F128" t="str">
            <v>Minsur_Control y seguimiento KPIs</v>
          </cell>
          <cell r="G128" t="str">
            <v>Perú</v>
          </cell>
        </row>
        <row r="129">
          <cell r="F129" t="str">
            <v>Hudbay_Analisis estabilidad OP</v>
          </cell>
          <cell r="G129" t="str">
            <v>Perú</v>
          </cell>
        </row>
        <row r="130">
          <cell r="F130" t="str">
            <v>CMP_Mejoras Operacionales CNN</v>
          </cell>
          <cell r="G130" t="str">
            <v>Chile</v>
          </cell>
        </row>
        <row r="131">
          <cell r="F131" t="str">
            <v>CMP_Nuevos alcances Algarrobo</v>
          </cell>
          <cell r="G131" t="str">
            <v>Chile</v>
          </cell>
        </row>
        <row r="132">
          <cell r="F132" t="str">
            <v>AMSA_Contrato Marco</v>
          </cell>
          <cell r="G132" t="str">
            <v>Chile</v>
          </cell>
        </row>
        <row r="133">
          <cell r="F133" t="str">
            <v>Minsur_Integracion Planeamiento Geomecanica</v>
          </cell>
          <cell r="G133" t="str">
            <v>Perú</v>
          </cell>
        </row>
        <row r="134">
          <cell r="F134" t="str">
            <v>Lundin_Oportunidades mejoras Caserones</v>
          </cell>
          <cell r="G134" t="str">
            <v>Chile</v>
          </cell>
        </row>
        <row r="135">
          <cell r="F135" t="str">
            <v>Mosaic_Cumplimiento plan con KPIs</v>
          </cell>
          <cell r="G135" t="str">
            <v>Brasil</v>
          </cell>
        </row>
        <row r="136">
          <cell r="F136" t="str">
            <v>Codelco_Opciones vaciado mineral via OP</v>
          </cell>
          <cell r="G136" t="str">
            <v>Chile</v>
          </cell>
        </row>
        <row r="137">
          <cell r="F137" t="str">
            <v>Lundin_Gaps Planificación y Operación UG</v>
          </cell>
          <cell r="G137" t="str">
            <v>Chile</v>
          </cell>
        </row>
        <row r="138">
          <cell r="F138" t="str">
            <v>Marcobre_Ingeniería de Perfil Achupallas</v>
          </cell>
          <cell r="G138" t="str">
            <v>Perú</v>
          </cell>
        </row>
        <row r="139">
          <cell r="F139" t="str">
            <v>Mosaic_Secuencia Operaciones Cajati</v>
          </cell>
          <cell r="G139" t="str">
            <v>Brasil</v>
          </cell>
        </row>
        <row r="140">
          <cell r="F140" t="str">
            <v>PFS Los Calatos</v>
          </cell>
          <cell r="G140" t="str">
            <v>Perú</v>
          </cell>
        </row>
        <row r="141">
          <cell r="F141" t="str">
            <v>PFS Los Calatos</v>
          </cell>
          <cell r="G141" t="str">
            <v>Perú</v>
          </cell>
        </row>
        <row r="142">
          <cell r="F142" t="str">
            <v>AMSA_Trade Off Tecnologico NGD</v>
          </cell>
          <cell r="G142" t="str">
            <v>Chile</v>
          </cell>
        </row>
        <row r="143">
          <cell r="F143" t="str">
            <v>Capstone Copper_Estudio Sierra Norte</v>
          </cell>
          <cell r="G143" t="str">
            <v>Chile</v>
          </cell>
        </row>
        <row r="144">
          <cell r="F144" t="str">
            <v>CMC_Capacitación DBS y SIMPLAN</v>
          </cell>
          <cell r="G144" t="str">
            <v>Perú</v>
          </cell>
        </row>
        <row r="145">
          <cell r="F145" t="str">
            <v>Twin Metals_Pre PFS Birch Lake Maturi</v>
          </cell>
          <cell r="G145" t="str">
            <v>Otros</v>
          </cell>
        </row>
        <row r="146">
          <cell r="F146" t="str">
            <v>CMP_Capacidad Optima Tofo Norte</v>
          </cell>
          <cell r="G146" t="str">
            <v>Chile</v>
          </cell>
        </row>
        <row r="147">
          <cell r="F147" t="str">
            <v>CMP_Scoping Study Algarrobo</v>
          </cell>
          <cell r="G147" t="str">
            <v>Chile</v>
          </cell>
        </row>
        <row r="148">
          <cell r="F148" t="str">
            <v>ThreeCrowns_Litigio Oyu Tolgoi</v>
          </cell>
          <cell r="G148" t="str">
            <v>Otros</v>
          </cell>
        </row>
        <row r="149">
          <cell r="F149" t="str">
            <v>LasBambas_PFS Ferrobamba UG</v>
          </cell>
          <cell r="G149" t="str">
            <v>Brasil</v>
          </cell>
        </row>
        <row r="150">
          <cell r="F150" t="str">
            <v>Codelco_Prácticas de Planificación DMH</v>
          </cell>
          <cell r="G150" t="str">
            <v>Chile</v>
          </cell>
        </row>
        <row r="151">
          <cell r="F151" t="str">
            <v>Codelco_Normativa Recursos y Reservas</v>
          </cell>
          <cell r="G151" t="str">
            <v>Chile</v>
          </cell>
        </row>
        <row r="152">
          <cell r="F152" t="str">
            <v>Volcan_MEIA Romina</v>
          </cell>
          <cell r="G152" t="str">
            <v>Perú</v>
          </cell>
        </row>
        <row r="153">
          <cell r="F153" t="str">
            <v>AngloAmerican_Due Dilligence Andina</v>
          </cell>
          <cell r="G153" t="str">
            <v>Chile</v>
          </cell>
        </row>
        <row r="154">
          <cell r="F154" t="str">
            <v>PFS Los Calatos</v>
          </cell>
          <cell r="G154" t="str">
            <v>Perú</v>
          </cell>
        </row>
        <row r="155">
          <cell r="F155" t="str">
            <v>Codelco_Estándar cierre topográfico</v>
          </cell>
          <cell r="G155" t="str">
            <v>Chile</v>
          </cell>
        </row>
        <row r="156">
          <cell r="F156" t="str">
            <v>Codelco_Actualización norma NCC-31</v>
          </cell>
          <cell r="G156" t="str">
            <v>Chile</v>
          </cell>
        </row>
        <row r="157">
          <cell r="F157" t="str">
            <v>AuraMinerals_Expansión Mina Paiol OP-UG</v>
          </cell>
          <cell r="G157" t="str">
            <v>Brasil</v>
          </cell>
        </row>
        <row r="158">
          <cell r="F158" t="str">
            <v>Resolution_MinePlan Review</v>
          </cell>
          <cell r="G158" t="str">
            <v>Otros</v>
          </cell>
        </row>
        <row r="159">
          <cell r="F159" t="str">
            <v>Codelco_Alternativas de acceso UG DMH</v>
          </cell>
          <cell r="G159" t="str">
            <v>Chile</v>
          </cell>
        </row>
        <row r="160">
          <cell r="F160" t="str">
            <v>PFS Los Calatos V3</v>
          </cell>
          <cell r="G160" t="str">
            <v>Perú</v>
          </cell>
        </row>
        <row r="161">
          <cell r="F161" t="str">
            <v>Minsur_Raura Análisis LOM25</v>
          </cell>
          <cell r="G161" t="str">
            <v>Perú</v>
          </cell>
        </row>
        <row r="162">
          <cell r="F162" t="str">
            <v>BHP_Medidas de Cierre Botaderos</v>
          </cell>
          <cell r="G162" t="str">
            <v>Chile</v>
          </cell>
        </row>
        <row r="163">
          <cell r="F163" t="str">
            <v>CMP_Estrategia Crecimiento Tofo Norte</v>
          </cell>
          <cell r="G163" t="str">
            <v>Chile</v>
          </cell>
        </row>
        <row r="164">
          <cell r="F164" t="str">
            <v>CMP_Plan minero base MLC</v>
          </cell>
          <cell r="G164" t="str">
            <v>Chile</v>
          </cell>
        </row>
        <row r="165">
          <cell r="F165" t="str">
            <v>LasBambas_Ferrobambas UG Escenarios</v>
          </cell>
          <cell r="G165" t="str">
            <v>Perú</v>
          </cell>
        </row>
        <row r="166">
          <cell r="F166" t="str">
            <v>Estrategia Cobre Panama</v>
          </cell>
          <cell r="G166" t="str">
            <v>Chile</v>
          </cell>
        </row>
        <row r="167">
          <cell r="F167" t="str">
            <v>OCP_Análisis Estratégico Mina Cobriza</v>
          </cell>
          <cell r="G167" t="str">
            <v>Perú</v>
          </cell>
        </row>
        <row r="168">
          <cell r="F168" t="str">
            <v>AngloAmerican_Tecnología HDD</v>
          </cell>
          <cell r="G168" t="str">
            <v>Chile</v>
          </cell>
        </row>
        <row r="169">
          <cell r="F169" t="str">
            <v>BHP_Spence 2YB Analisys</v>
          </cell>
          <cell r="G169" t="str">
            <v>Chile</v>
          </cell>
        </row>
        <row r="170">
          <cell r="F170" t="str">
            <v>TwinMetals_Birch Lake Integration</v>
          </cell>
          <cell r="G170" t="str">
            <v>Otros</v>
          </cell>
        </row>
        <row r="171">
          <cell r="F171" t="str">
            <v>Minsur_San Rafael Estudio V MEIA</v>
          </cell>
          <cell r="G171" t="str">
            <v>Perú</v>
          </cell>
        </row>
        <row r="172">
          <cell r="F172" t="str">
            <v>LasBambas_Ferrobamba PFS</v>
          </cell>
          <cell r="G172" t="str">
            <v>Perú</v>
          </cell>
        </row>
        <row r="173">
          <cell r="F173" t="str">
            <v>Simulaciones LB</v>
          </cell>
          <cell r="G173" t="str">
            <v>Perú</v>
          </cell>
        </row>
        <row r="174">
          <cell r="F174" t="str">
            <v>BHP_Análisis LoA 2025 - SCUT</v>
          </cell>
          <cell r="G174" t="str">
            <v>Chile</v>
          </cell>
        </row>
        <row r="175">
          <cell r="F175" t="str">
            <v>AngloAmerican_Análisis Productividad MLB</v>
          </cell>
          <cell r="G175" t="str">
            <v>Chile</v>
          </cell>
        </row>
        <row r="176">
          <cell r="F176" t="str">
            <v>Mosaic_Cajati Business Case</v>
          </cell>
          <cell r="G176" t="str">
            <v>Brasil</v>
          </cell>
        </row>
        <row r="177">
          <cell r="F177" t="str">
            <v>CMP_Plan minero base MLC</v>
          </cell>
          <cell r="G177" t="str">
            <v>Chile</v>
          </cell>
        </row>
        <row r="178">
          <cell r="F178" t="str">
            <v>AtlasMining_Ley de corte optima Malomyr</v>
          </cell>
          <cell r="G178" t="str">
            <v>Rusia</v>
          </cell>
        </row>
        <row r="179">
          <cell r="F179" t="str">
            <v>Polyus_Evaluacion talud mina Blagodatny</v>
          </cell>
          <cell r="G179" t="str">
            <v>Rusia</v>
          </cell>
        </row>
        <row r="180">
          <cell r="F180" t="str">
            <v>Resolution_UGC 68L Program</v>
          </cell>
          <cell r="G180" t="str">
            <v>Otros</v>
          </cell>
        </row>
        <row r="181">
          <cell r="F181" t="str">
            <v>Minsur_LOM Integrado San Rafael 2025</v>
          </cell>
          <cell r="G181" t="str">
            <v>Perú</v>
          </cell>
        </row>
        <row r="182">
          <cell r="F182" t="str">
            <v>EroCopper_Scoping Proyecto Furnas</v>
          </cell>
          <cell r="G182" t="str">
            <v>Brasil</v>
          </cell>
        </row>
        <row r="183">
          <cell r="F183" t="str">
            <v>AuraMinerals_Expansión Mina Paiol OP-UG</v>
          </cell>
          <cell r="G183" t="str">
            <v>Brasil</v>
          </cell>
        </row>
        <row r="184">
          <cell r="F184" t="str">
            <v>Hudbay_Actualización Riesgo Sísmico</v>
          </cell>
          <cell r="G184" t="str">
            <v>Perú</v>
          </cell>
        </row>
        <row r="185">
          <cell r="F185" t="str">
            <v>Lundin_Análisis Estratégico Caserones</v>
          </cell>
          <cell r="G185" t="str">
            <v>Chile</v>
          </cell>
        </row>
        <row r="186">
          <cell r="F186" t="str">
            <v>BHP_Medidas de Cierre Botaderos</v>
          </cell>
          <cell r="G186" t="str">
            <v>Chile</v>
          </cell>
        </row>
        <row r="187">
          <cell r="F187" t="str">
            <v>BHP_Medidas de Cierre Botaderos</v>
          </cell>
          <cell r="G187" t="str">
            <v>Chile</v>
          </cell>
        </row>
        <row r="188">
          <cell r="F188" t="str">
            <v>LasBambas_Ferrobambas UG Escenarios</v>
          </cell>
          <cell r="G188" t="str">
            <v>Perú</v>
          </cell>
        </row>
        <row r="189">
          <cell r="F189" t="str">
            <v>PFS Los Calatos V3</v>
          </cell>
          <cell r="G189" t="str">
            <v>Perú</v>
          </cell>
        </row>
        <row r="190">
          <cell r="F190" t="str">
            <v>CMP_Actualización Casos de Negocios CNN</v>
          </cell>
          <cell r="G190" t="str">
            <v>Chile</v>
          </cell>
        </row>
        <row r="191">
          <cell r="F191" t="str">
            <v>Alpayana_Estudio de Sismicidad</v>
          </cell>
          <cell r="G191" t="str">
            <v>Perú</v>
          </cell>
        </row>
        <row r="192">
          <cell r="F192" t="str">
            <v>Alpamarca_Estudio de Estabilidad Tajo</v>
          </cell>
          <cell r="G192" t="str">
            <v>Perú</v>
          </cell>
        </row>
        <row r="193">
          <cell r="F193" t="str">
            <v>Taboca_Evaluación Mina Pitinga</v>
          </cell>
          <cell r="G193" t="str">
            <v>Brasil</v>
          </cell>
        </row>
        <row r="194">
          <cell r="F194" t="str">
            <v>Capstone Copper_Production at Risk</v>
          </cell>
          <cell r="G194" t="str">
            <v>Chile</v>
          </cell>
        </row>
        <row r="195">
          <cell r="F195" t="str">
            <v>SPM_FS Labores Subterraneas 2da MEIA</v>
          </cell>
          <cell r="G195" t="str">
            <v>Perú</v>
          </cell>
        </row>
        <row r="196">
          <cell r="F196" t="str">
            <v>LHG_LOM Urucum</v>
          </cell>
          <cell r="G196" t="str">
            <v>Brasil</v>
          </cell>
        </row>
        <row r="197">
          <cell r="F197" t="str">
            <v>Minsur_Soporte LOM 2025 Raura</v>
          </cell>
          <cell r="G197" t="str">
            <v>Perú</v>
          </cell>
        </row>
        <row r="198">
          <cell r="F198" t="str">
            <v>Minsur_Factibilidad Infraestructura Coreshack</v>
          </cell>
          <cell r="G198" t="str">
            <v>Perú</v>
          </cell>
        </row>
        <row r="199">
          <cell r="F199" t="str">
            <v>CBMM_SIMPLAN Initiatives Evaluation</v>
          </cell>
          <cell r="G199" t="str">
            <v>Brasil</v>
          </cell>
        </row>
        <row r="200">
          <cell r="F200" t="str">
            <v>AMSA_Mejoras Planificación Centinela</v>
          </cell>
          <cell r="G200" t="str">
            <v>Chile</v>
          </cell>
        </row>
        <row r="201">
          <cell r="F201" t="str">
            <v>Volcan_Estudio Estabilidad Desmonteras</v>
          </cell>
          <cell r="G201" t="str">
            <v>Perú</v>
          </cell>
        </row>
        <row r="202">
          <cell r="F202" t="str">
            <v>NEXA_Estudio Geomecánico AT y EP</v>
          </cell>
          <cell r="G202" t="str">
            <v>Perú</v>
          </cell>
        </row>
        <row r="203">
          <cell r="F203" t="str">
            <v>NEXA_Peer Review Cerro Lindo</v>
          </cell>
          <cell r="G203" t="str">
            <v>Perú</v>
          </cell>
        </row>
        <row r="204">
          <cell r="F204" t="str">
            <v>CORFO_Valorización Boquerón Chañar</v>
          </cell>
          <cell r="G204" t="str">
            <v>Chile</v>
          </cell>
        </row>
        <row r="205">
          <cell r="F205" t="str">
            <v>PUCOBRE_Acompañamiento Reservas Tovaku</v>
          </cell>
          <cell r="G205" t="str">
            <v>Chile</v>
          </cell>
        </row>
        <row r="206">
          <cell r="F206" t="str">
            <v>AMSA_RIINO BC - Centinela</v>
          </cell>
          <cell r="G206" t="str">
            <v>Chile</v>
          </cell>
        </row>
        <row r="207">
          <cell r="F207" t="str">
            <v>EQUINOX_Actualización Ing. Básica UG</v>
          </cell>
          <cell r="G207" t="str">
            <v>Brasil</v>
          </cell>
        </row>
        <row r="208">
          <cell r="F208" t="str">
            <v>Polyus_Olimpiada Cutback 5&amp;6</v>
          </cell>
          <cell r="G208" t="str">
            <v>Rusia</v>
          </cell>
        </row>
        <row r="209">
          <cell r="F209" t="str">
            <v>Codelco_Formulación caso de negocio TBM</v>
          </cell>
          <cell r="G209" t="str">
            <v>Chile</v>
          </cell>
        </row>
        <row r="210">
          <cell r="F210" t="str">
            <v>Collahuasi_PFS Perforación pozos con HDD</v>
          </cell>
          <cell r="G210" t="str">
            <v>Chile</v>
          </cell>
        </row>
        <row r="211">
          <cell r="F211" t="str">
            <v>FN_Oko West project review</v>
          </cell>
          <cell r="G211" t="str">
            <v>Otros</v>
          </cell>
        </row>
        <row r="212">
          <cell r="F212" t="str">
            <v>Resolution_Narrow Panel Caving UGC</v>
          </cell>
          <cell r="G212" t="str">
            <v>Otros</v>
          </cell>
        </row>
        <row r="213">
          <cell r="F213" t="str">
            <v>Resolution_General Review</v>
          </cell>
          <cell r="G213" t="str">
            <v>Otros</v>
          </cell>
        </row>
        <row r="214">
          <cell r="F214" t="str">
            <v>Anglo_Production at Risk Mina Rio</v>
          </cell>
          <cell r="G214" t="str">
            <v>Chile</v>
          </cell>
        </row>
        <row r="215">
          <cell r="F215" t="str">
            <v>Collahuasi_Análisis Mine Compliance</v>
          </cell>
          <cell r="G215" t="str">
            <v>Chile</v>
          </cell>
        </row>
        <row r="216">
          <cell r="F216" t="str">
            <v>AuraMinerals_Proyecto Paiol PFS UG</v>
          </cell>
          <cell r="G216" t="str">
            <v>Brasil</v>
          </cell>
        </row>
        <row r="217">
          <cell r="F217" t="str">
            <v>Miskimayo_Evaluación Transporte en Mina</v>
          </cell>
          <cell r="G217" t="str">
            <v>Perú</v>
          </cell>
        </row>
        <row r="218">
          <cell r="F218" t="str">
            <v>Glencore_Estrategia de Propiedades CMLB</v>
          </cell>
          <cell r="G218" t="str">
            <v>Chile</v>
          </cell>
        </row>
        <row r="219">
          <cell r="F219" t="str">
            <v>CAP_Due Diligence Costa Fuego</v>
          </cell>
          <cell r="G219" t="str">
            <v>Chile</v>
          </cell>
        </row>
        <row r="220">
          <cell r="F220" t="str">
            <v>Collahuasi_Valor Incorporación Chx.03</v>
          </cell>
          <cell r="G220" t="str">
            <v>Chile</v>
          </cell>
        </row>
        <row r="221">
          <cell r="F221" t="str">
            <v>ERG_Parámetros estabilidad taludes</v>
          </cell>
          <cell r="G221" t="str">
            <v>Chile</v>
          </cell>
        </row>
        <row r="222">
          <cell r="F222" t="str">
            <v>Los Calatos_MR&amp;MR y Estrategia Distrital</v>
          </cell>
          <cell r="G222" t="str">
            <v>Perú</v>
          </cell>
        </row>
        <row r="223">
          <cell r="F223" t="str">
            <v>Emincar_Los Castellanos_UG</v>
          </cell>
          <cell r="G223" t="str">
            <v>Perú</v>
          </cell>
        </row>
        <row r="224">
          <cell r="F224" t="str">
            <v>ERG_Structural Model Update</v>
          </cell>
          <cell r="G224" t="str">
            <v>Chile</v>
          </cell>
        </row>
        <row r="225">
          <cell r="F225" t="str">
            <v>Hochschild_FS Metodos de Minado Tesoro</v>
          </cell>
          <cell r="G225" t="str">
            <v>Perú</v>
          </cell>
        </row>
        <row r="226">
          <cell r="F226" t="str">
            <v>ElBrocal_Estudio Geomecanico Estabilidad</v>
          </cell>
          <cell r="G226" t="str">
            <v>Perú</v>
          </cell>
        </row>
        <row r="227">
          <cell r="F227" t="str">
            <v>Los Calatos_Resource Development Plan</v>
          </cell>
          <cell r="G227" t="str">
            <v>Perú</v>
          </cell>
        </row>
        <row r="228">
          <cell r="F228" t="str">
            <v>Codelco_Auditoria Recursos y Reservas</v>
          </cell>
          <cell r="G228" t="str">
            <v>Chile</v>
          </cell>
        </row>
        <row r="229">
          <cell r="F229" t="str">
            <v>Collahuasi_Mine Compliance 2026</v>
          </cell>
          <cell r="G229" t="str">
            <v>Chile</v>
          </cell>
        </row>
        <row r="230">
          <cell r="F230" t="str">
            <v>Barrick_Production at Risk Veladero</v>
          </cell>
          <cell r="G230" t="str">
            <v>Chile</v>
          </cell>
        </row>
        <row r="231">
          <cell r="F231" t="str">
            <v>Freeport_GBC Restart Strategy Services</v>
          </cell>
          <cell r="G231" t="str">
            <v>Otros</v>
          </cell>
        </row>
        <row r="232">
          <cell r="F232" t="str">
            <v>Mosaic_Cajati LOM Open Pit</v>
          </cell>
          <cell r="G232" t="str">
            <v>Brasil</v>
          </cell>
        </row>
        <row r="233">
          <cell r="F233" t="str">
            <v>Los Calatos_DD-Support</v>
          </cell>
          <cell r="G233" t="str">
            <v>Perú</v>
          </cell>
        </row>
        <row r="234">
          <cell r="F234" t="str">
            <v>Glencore_Mining Simulation Mara</v>
          </cell>
          <cell r="G234" t="str">
            <v>Chile</v>
          </cell>
        </row>
        <row r="235">
          <cell r="F235" t="str">
            <v>Minsur_LOM Integrado San Rafael 2026</v>
          </cell>
          <cell r="G235" t="str">
            <v>Perú</v>
          </cell>
        </row>
        <row r="236">
          <cell r="F236" t="str">
            <v>South32_Clark Project</v>
          </cell>
          <cell r="G236" t="str">
            <v>Otros</v>
          </cell>
        </row>
        <row r="237">
          <cell r="F237" t="str">
            <v>Hecla_Lucky Friday Mine</v>
          </cell>
          <cell r="G237" t="str">
            <v>Otros</v>
          </cell>
        </row>
        <row r="238">
          <cell r="F238" t="str">
            <v>AESA_Construccion Rampas Mina Justa</v>
          </cell>
          <cell r="G238" t="str">
            <v>Perú</v>
          </cell>
        </row>
        <row r="239">
          <cell r="F239" t="str">
            <v>Hochschild_LOM UG Royropata</v>
          </cell>
          <cell r="G239" t="str">
            <v>Perú</v>
          </cell>
        </row>
        <row r="240">
          <cell r="F240" t="str">
            <v>Miskimayo_Actualizacion R&amp;R Mina Bayovar</v>
          </cell>
          <cell r="G240" t="str">
            <v>Perú</v>
          </cell>
        </row>
        <row r="241">
          <cell r="F241" t="str">
            <v>Hudbay_Ampliacion Peligro Sísmico</v>
          </cell>
          <cell r="G241" t="str">
            <v>Perú</v>
          </cell>
        </row>
        <row r="242">
          <cell r="F242" t="str">
            <v>Mosaic_Análisis de Estabilidad</v>
          </cell>
          <cell r="G242" t="str">
            <v>Brasil</v>
          </cell>
        </row>
        <row r="243">
          <cell r="F243" t="str">
            <v>EroCopper_Surubim OP Mine</v>
          </cell>
          <cell r="G243" t="str">
            <v>Brasil</v>
          </cell>
        </row>
        <row r="244">
          <cell r="F244" t="str">
            <v>MineriaIman_PEA Proyecto Iman</v>
          </cell>
          <cell r="G244" t="str">
            <v>Chile</v>
          </cell>
        </row>
        <row r="245">
          <cell r="F245" t="str">
            <v>Stantec_I80 Archimedes UG FS</v>
          </cell>
          <cell r="G245" t="str">
            <v>Otros</v>
          </cell>
        </row>
        <row r="246">
          <cell r="F246" t="str">
            <v>Codelco_DET Rajo Sur</v>
          </cell>
          <cell r="G246" t="str">
            <v>Chile</v>
          </cell>
        </row>
        <row r="247">
          <cell r="F247" t="str">
            <v>Collahuasi_Mining Simulation Study</v>
          </cell>
          <cell r="G247" t="str">
            <v>Chile</v>
          </cell>
        </row>
        <row r="248">
          <cell r="F248" t="str">
            <v>SeabridgeGold_HoV analysis for the KSM</v>
          </cell>
          <cell r="G248" t="str">
            <v>Canadá</v>
          </cell>
        </row>
        <row r="249">
          <cell r="F249" t="str">
            <v>EroCopper_Análisis Expansión Xavantina</v>
          </cell>
          <cell r="G249" t="str">
            <v>Brasil</v>
          </cell>
        </row>
        <row r="250">
          <cell r="F250" t="str">
            <v>Codelco_Peritaje División El Teniente</v>
          </cell>
          <cell r="G250" t="str">
            <v>Chile</v>
          </cell>
        </row>
        <row r="251">
          <cell r="F251" t="str">
            <v>EroCopper_PEA Update Furnas Project</v>
          </cell>
          <cell r="G251" t="str">
            <v>Brasil</v>
          </cell>
        </row>
        <row r="252">
          <cell r="F252" t="str">
            <v>Highlander_Diagnóstico Geomecánico</v>
          </cell>
          <cell r="G252" t="str">
            <v>Perú</v>
          </cell>
        </row>
        <row r="253">
          <cell r="F253" t="str">
            <v>FortunaMining_Sismicidad inducida Bateas</v>
          </cell>
          <cell r="G253" t="str">
            <v>Perú</v>
          </cell>
        </row>
        <row r="254">
          <cell r="F254" t="str">
            <v>Volcan_Simulación sistema de transporte</v>
          </cell>
          <cell r="G254" t="str">
            <v>Perú</v>
          </cell>
        </row>
        <row r="255">
          <cell r="F255" t="str">
            <v xml:space="preserve">Minsur_Proceso adherencia Quenamari - SR </v>
          </cell>
          <cell r="G255" t="str">
            <v>Perú</v>
          </cell>
        </row>
        <row r="256">
          <cell r="F256" t="str">
            <v>South32_HoV and optimized cut-off grade</v>
          </cell>
          <cell r="G256" t="str">
            <v>Otros</v>
          </cell>
        </row>
      </sheetData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uardo Cuevas" id="{A00E64A3-AFEE-4C9E-9B74-0BA9B6D376E9}" userId="S::ecuevas@redcoglobal.com::1895eeda-fe30-4958-a15c-75961a407ef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5569.565364351853" backgroundQuery="1" createdVersion="8" refreshedVersion="8" minRefreshableVersion="3" recordCount="5700" xr:uid="{2E26D40E-2E07-41ED-96FC-45DC69811A77}">
  <cacheSource type="external" connectionId="14"/>
  <cacheFields count="12">
    <cacheField name="Nombre de Teams" numFmtId="0">
      <sharedItems containsBlank="1" count="92">
        <s v="Alex Pacheco"/>
        <s v="Matías Fuentes"/>
        <s v="Olesya Dashavskaya"/>
        <s v="Felipe Matamoros"/>
        <s v="Felipe Rojas"/>
        <s v="Pedro Aguiluz"/>
        <s v="Alex Figueroa"/>
        <s v="Felipe Lira"/>
        <s v="Nicolás Ayarza"/>
        <s v="Francisco Bello"/>
        <s v="Cristian Alarcón"/>
        <s v="Emilio Sánchez"/>
        <s v="Andrés Budini"/>
        <s v="Daniela Oyarzo"/>
        <s v="Nicolás Sanzana"/>
        <s v="Gerson Alfaro"/>
        <s v="Juan Pablo Vera"/>
        <s v="Eduardo Cuevas"/>
        <s v="Mauricio Melendez"/>
        <s v="Isidora Figueroa"/>
        <s v="Diego Muñoz"/>
        <s v="Freddy Diaz"/>
        <s v="Jonathan Galvez"/>
        <s v="Marcelo Mendoza"/>
        <s v="Fernando Caballero"/>
        <s v="Cristian García"/>
        <s v="Julio Herrera"/>
        <s v="Diego Troncoso"/>
        <s v="Victor Mohana"/>
        <s v="Roxana Avilés Diaz"/>
        <m/>
        <s v="José Pizarro Aranguiz"/>
        <s v="Claudio Hernandez"/>
        <s v="Alejandro Espinosa"/>
        <s v="Pablo Quiero"/>
        <s v="Ignacio Gonzalez"/>
        <s v="Nelson Rumino"/>
        <s v="Fabian Gonzalez"/>
        <s v="Matias Cid"/>
        <s v="Grace Ramón"/>
        <s v="Cristóbal Ventura"/>
        <s v="Cristian Quezada"/>
        <s v="Sophie Liao"/>
        <s v="Javier Salazar"/>
        <s v="Rodrigo Baez"/>
        <s v="Rodrigo Pinto"/>
        <s v="Patricio Vergara"/>
        <s v="Osvaldo Ulloa"/>
        <s v="Ricardo Miranda"/>
        <s v="Max Le Clerc"/>
        <s v="Jose Mamani"/>
        <s v="Clinton Yahuira"/>
        <s v="Americo Zuzunaga"/>
        <s v="Gladys Muñoz"/>
        <s v="Enrique Rubio"/>
        <s v="Isabel Marchant"/>
        <s v="Jorman Barrera"/>
        <s v="Carlos Catalán"/>
        <s v="Carlos Morante"/>
        <s v="Rodrigo Cori Córdova"/>
        <s v="Gino Espinoza"/>
        <s v="Kevin Rios"/>
        <s v="Edward Torres"/>
        <s v="Jhonatan Mandujano"/>
        <s v="Johnny Pacheco"/>
        <s v="Victor Arias"/>
        <s v="Jessica Rojas"/>
        <s v="Luis Camasca"/>
        <s v="Miguel Jesus"/>
        <s v="Paolo Tito"/>
        <s v="Thalia Rimac"/>
        <s v="Andree del Castillo"/>
        <s v="Arnold Tadeo"/>
        <s v="Jarold Orna"/>
        <s v="Eduardo Sanchez"/>
        <s v="Jhonatan Huaynate"/>
        <s v="Josue Tello Olivas"/>
        <s v="Walter Lupinta"/>
        <s v="Angelo Patri Carbajal"/>
        <s v="Luis Chumpitaz"/>
        <s v="Eduardo Lama"/>
        <s v="Pedro Ccanto"/>
        <s v="Lincoln Esteban Perez"/>
        <s v="Yosep Aviles"/>
        <s v="Omar Meléndez Huamán"/>
        <s v="Guillermo Ricaldi"/>
        <s v="Edson Susanibar"/>
        <s v="Nilcélio José Dos Santos"/>
        <s v="Maria Célia Fonseca"/>
        <s v="Antonio Schettino"/>
        <s v="Sebastian Gonzalez Santander" u="1"/>
        <s v="Joel Perez Catalan" u="1"/>
      </sharedItems>
    </cacheField>
    <cacheField name="Clasificación 0" numFmtId="0">
      <sharedItems containsBlank="1" count="4">
        <s v="Fijo"/>
        <s v="Variable"/>
        <s v="Adicionales"/>
        <m u="1"/>
      </sharedItems>
    </cacheField>
    <cacheField name="Detalle" numFmtId="0">
      <sharedItems count="430">
        <s v="Alex Pacheco C."/>
        <s v="Matías Fuentes B."/>
        <s v="Olesya Dashavskaya"/>
        <s v="Felipe Matamoros C."/>
        <s v="Felipe Rojas Z."/>
        <s v="Pedro Aguiluz P."/>
        <s v="Alex Figueroa"/>
        <s v="Felipe Lira A."/>
        <s v="Nicolás Ayarza D."/>
        <s v="Francisco Bello Moreno"/>
        <s v="Cristián  Alarcón"/>
        <s v="Emilio Sánchez"/>
        <s v="Andrés Budini M."/>
        <s v="Daniela Oyarzo E."/>
        <s v="Nicolás Sanzana"/>
        <s v="Gerson Alfaro"/>
        <s v="Juan Pablo Vera"/>
        <s v="Eduardo Cuevas"/>
        <s v="Mauricio Melendez"/>
        <s v="Isidora Figueroa"/>
        <s v="Diego Muñoz"/>
        <s v="Freddy Díaz"/>
        <s v="Jonathan Galvez"/>
        <s v="Marcelo Mendoza"/>
        <s v="Fernando Caballero"/>
        <s v="Cristián García"/>
        <s v="Julio Herrera"/>
        <s v="Diego Troncoso"/>
        <s v="Victor Mohana Tapia"/>
        <s v="Roxana Avilés"/>
        <s v="Sebastián González"/>
        <s v="Joél Pérez "/>
        <s v="José Pizarro Aranguiz"/>
        <s v="Claudio Hernandez"/>
        <s v="Alejandro Espinosa"/>
        <s v="Pablo Quiero"/>
        <s v="Ignacio González"/>
        <s v="Nelson Rumino"/>
        <s v="Fabián González Recabarren"/>
        <s v="Matías Cid Uslar"/>
        <s v="Grace Ramon"/>
        <s v="Cristóbal Ventura"/>
        <s v="Cristian Quezada"/>
        <s v="Sophie Liao"/>
        <s v="Gonzalo Parada Provisión"/>
        <s v="Javier Salazar"/>
        <s v="Rodrigo Báez"/>
        <s v="Rodrigo Pinto H."/>
        <s v="Ismael Leyton Aliste practicante"/>
        <s v="Cristóbal García Wallis practicante"/>
        <s v="Felipe Espinosa Practica en informática nov.23"/>
        <s v="Patricio Vegara (EEUU)"/>
        <s v="Rodrigo Herrera"/>
        <s v="Fernando Sagastegui"/>
        <s v="Guilmer Victorio"/>
        <s v="Gonzalo Díaz"/>
        <s v="Carlos Puga Provisión"/>
        <s v="Ingeniero de Prevención de riesgo Provisión"/>
        <s v="Dibujante Técnico Provisión"/>
        <s v="Osvaldo Ulloa"/>
        <s v="Ricardo Miranda"/>
        <s v="Max Le Clerc"/>
        <s v="Freddy Centeno"/>
        <s v="Alejandro Espinosa Factura 35 dic.2023"/>
        <s v="Rodrigo Godoy"/>
        <s v="Juan Rivera"/>
        <s v="Enrique Molina Factura 1"/>
        <s v="Enrique Molina Factura"/>
        <s v="Enrique Molina Factura 2 Provisión"/>
        <s v="Darwin Varas Diseño Losas Piscinas Hormigon"/>
        <s v="Cynthia Ordoñes - coach Osacar Cáceres"/>
        <s v="Fernando Mora"/>
        <s v="León Consulting Chile SpA ( Felipe León)"/>
        <s v="León Arzola (Electrico)"/>
        <s v="Anna Usoltceva Intrepete Español a Ruso 200 USD"/>
        <s v="José Mamani"/>
        <s v="Armando Olavarría"/>
        <s v="Clinton Yahira"/>
        <s v="Oscar Cáceres servicios"/>
        <s v="Renan Argandoña "/>
        <s v="Nadia Mery"/>
        <s v="Aguinaldos"/>
        <s v="Pago tarjeta de crédito a favor febrero 24"/>
        <s v="Americo Zuzunaga"/>
        <s v="ERubio-MFuentes Lima-Stgo-Lima"/>
        <s v="Clinton Yahuira pjes Latam"/>
        <s v="Claudio Hernández Lima-Stgo-Lima"/>
        <s v="Cynthia y OSCAR Lima-Stgo-Lima"/>
        <s v="Andrés Budini Lima-Stgo-Lima"/>
        <s v="A.Espinoza Stgo-Lima-Stgo."/>
        <s v="A.Z-P.V-F.R.-R.P. Stgo-Calama-Stgo"/>
        <s v="N.Rumino Stgo -Calama-Stgo"/>
        <s v="R.P.-A.Z-P.V.-F.R.-N.R Antofagasta AMSA"/>
        <s v="A.Zuzunaga Lima-Sgo-Lima"/>
        <s v="Nelson Rumino La Serena"/>
        <s v="ERubio-MFuentes Lima-Stgo"/>
        <s v="E.Rubio gtos. viaje EEUU Phoenix"/>
        <s v="M-Fuentes gtos. viaje EEUU Phoenix"/>
        <s v="Hotel Cumbres estdai A. Schettino- A. Zuzunaga"/>
        <s v="Uber Cabifyc Mfuentes"/>
        <s v="Doña Tina Almuerzo Redco fin de año"/>
        <s v="Pasajes aereos E-Destino"/>
        <s v="Almuerzos/combustible E.Rubio"/>
        <s v="TC US$ viajes  Internacionales E.Rubio"/>
        <s v="TC US$ viajes  Internacionales M.Fuentes"/>
        <s v="Comisón TC. Compras Internacionales"/>
        <s v="American Airlines pasajes"/>
        <s v="Hotel Costa Real La Serena (R.P-F.M.-N.R)"/>
        <s v="Maihue máquina agua"/>
        <s v="Gastos menores "/>
        <s v="Boletas de garantía CMP intereses"/>
        <s v="Boletas de garantía CMP Comisión+i"/>
        <s v="ATX Mexico (M365 Business Standard-simple-Oficce 365)"/>
        <s v="SGS MINERALS S.A. 50%"/>
        <s v="ASMIN Industrial Ltda. Fact. 3330 PFS - Los Calatos EdP01"/>
        <s v="ASMIN Industrial Ltda. Fact. 3331 PFS - Los Calatos EdP02"/>
        <s v="Consultora Hominum SpA Fact. 23-Proceso reclutamiento ingenieros"/>
        <s v="INV. Y Asesorías Huerquehue SpA"/>
        <s v="Quadrem fact. Comisión vts. Sap Ariba "/>
        <s v="Quadrem Registro Anual "/>
        <s v="Aquiles Renovación Registro  Anual"/>
        <s v="Red Negocios Camara de Comercio Registro Anual"/>
        <s v="Chile Proveedores registro anual"/>
        <s v="Instituro Ingenieros de Chile taller"/>
        <s v="MININGMATH SOFTWARE LTDA."/>
        <s v="The Express Data LLC"/>
        <s v="Claudio Hernández viaje Sta. Cruz"/>
        <s v="Pasajes a Suecia ER-PA-MF"/>
        <s v="Pedro Aguiluz Página Web-Diseño y Stickers Cuadernos"/>
        <s v="Pedro Aguiluz Viaje EEUU"/>
        <s v="Felipe Matamoros Los Colorados"/>
        <s v="Ricardo Miranda almuerzo c/cliente"/>
        <s v="F.Matamoros Arriendo Vehiculo La Serena"/>
        <s v="Mauricio Melendez gastos viaje vista cliente"/>
        <s v="Marcelo Mendoza examenes"/>
        <s v="Pablo Quiero Fondos x R (visita Candelaria)"/>
        <s v="Felipe Rojas - Rendición gastos viaje (Adelantamiento Planta Los Colorados)"/>
        <s v="Felipe Rojas - Rendición gastos viaje (AMSA - Centinela)"/>
        <s v="M.Melendez Pjes Copiapo Latam"/>
        <s v="Reemboslo Gtos. A. Espinosa/A.Budini/Pablo Quiero"/>
        <s v="Gonzalo Díaz pjes a Chile-ANF - Proyecto Capstone"/>
        <s v="Seg. Viaje R.M.-G.A- C.H."/>
        <s v="Nicolás Ayarza rendición gastos"/>
        <s v="Eduardo Cuevas - Rendicion gastos compra ropa de trabajo (J&amp;F Urucrum)"/>
        <s v="Trompa Producciones Servicio Publicitario mensual"/>
        <s v="Trompa Producciones Servicio Publicitario mensual Abril"/>
        <s v="Trompa Producciones diciembre - febrero"/>
        <s v="Trompa Producciones pendon-volantes"/>
        <s v="ACHS examen de altura RM"/>
        <s v="Asesorías BIBA Ltda. Controlador cloud"/>
        <s v="Arriendo oficina 1104 Edif. Kennedy 100 UF"/>
        <s v="Mario Correa Arriendo dpto. 3 dormitorios+gtos.comunes+ serv."/>
        <s v="Mario Correa Arriendo dpto. 3 dormitorios+gtos.comunes+ serv. "/>
        <s v="Mario Correa Arriendo dpto. Gtos.básicos + gtos. Comunes 2 meses"/>
        <s v="Contribuciones Bs. Rs. Of."/>
        <s v="Hotel Acacias (Taller de Gestión Estrategica)"/>
        <s v="Hotel Hotech SpA"/>
        <s v="DHL EXPRESS (CHILE) LIMITADA"/>
        <s v="CONSTRUCCION SERVI TRES SPA"/>
        <s v="Emilio Sánchez Fondo por rendir viaje Brasil"/>
        <s v="PC Factory notebook y otros accs"/>
        <s v="Gladys Myriam Muñoz "/>
        <s v="Caja Chica "/>
        <s v="Reemplazo serv aseo of (vacaciones Gladys)"/>
        <s v="Practicante Contabilidad"/>
        <s v="Isabel Marchant serv. Bono anual dic. 2023"/>
        <s v="Back Office - REDCROSS (delta)"/>
        <s v="Paola Awilhem"/>
        <s v="Enrique Rubio"/>
        <s v="Constanza Hochstetter"/>
        <s v="Isabel Marchant"/>
        <s v="Previred"/>
        <s v="Aguinaldo"/>
        <s v="Gastos Bancarios"/>
        <s v="Gastos caja chica"/>
        <s v="Gastos caja chica abril"/>
        <s v="Gastos caja chica enero"/>
        <s v="Comunidad Edificio kennedy  mayo"/>
        <s v="Comunidad Edificio kennedy  abril"/>
        <s v="Comunidad Edificio kennedy enero"/>
        <s v="ENEL mayo"/>
        <s v="ENEL abril"/>
        <s v="ENTEL PCS Moviles mayo"/>
        <s v="ENTEL PCS Moviles abril"/>
        <s v="ENTEL Red fija e internet mayo"/>
        <s v="ENTEL Red fija e internet abril"/>
        <s v="Incova/ Inmob. Reconquista estac.187/199 mayo"/>
        <s v="Incova/ Inmob. Reconquista estac.187/199 abril"/>
        <s v="Transp. Nueva Apoquindo  Ltda. Mayo"/>
        <s v="Transp. Nueva Apoquindo  Ltda. Abril"/>
        <s v="Salcedo &amp; Cia.  Limitada (Asesoria Tributaria)"/>
        <s v="Salcedo &amp; Cia.  Limitada (Asesoria Tributaria)  marzo y abril"/>
        <s v="Tag autorpista Camoneta Ranger"/>
        <s v="Andes IP Abogados Limitada"/>
        <s v="Juan Pablo Sánches abogado (REDTEC ) Leg.representación"/>
        <s v="Seguro de Vida y Salud METLIFE REDCO"/>
        <s v="Fundación Arturo López Pérez mayo"/>
        <s v="Fundación Arturo López Pérez abril"/>
        <s v="Par Cuatro aromatizacion oficina mayo"/>
        <s v="Par Cuatro aromatizacion oficina factura abril"/>
        <s v="Marisol Corvalan Notaria"/>
        <s v="Sumiprint SPA toners impresora HP factura 565  2 Toners negro"/>
        <s v="Dsignos Spa"/>
        <s v="Cintamatrix Ltda."/>
        <s v="Prisa S.A. arts. Aseso y cocina"/>
        <s v="Factura Sumiprint SPA"/>
        <s v="Reglalo Redco hija A.Figueroa"/>
        <s v="Claudia Correo (donación camisetas futboll)"/>
        <s v="Edge SpA   3 sillas"/>
        <s v="Edo. Cuevas 1 teclado"/>
        <s v="Edo. Cuevas 1 RAM 16 GB"/>
        <s v="Enrique Rubio reembolso gastos Redco"/>
        <s v="Cristián Flores Serv. Flexline"/>
        <s v="Gtos. personal Redco- Hamb"/>
        <s v="Novoandina desayunos"/>
        <s v="Ana Muñoz desayunos of."/>
        <s v="Software DEFONTANA (Implementacion + 3M servicio)"/>
        <s v="Diego Fuente Mant. Baños of"/>
        <s v="Nespresso  Chile S.A. mayo"/>
        <s v="Nespresso  Chile S.A. abril"/>
        <s v="Patente Comercial "/>
        <s v="Contribuciones Bs. Rs"/>
        <s v="PPM  6,8%"/>
        <s v="IVA DEBITO FISCAL"/>
        <s v="IMPTO.ADICIONAL 20%"/>
        <s v="IMPTO.TIMBRE Y ESTAMPILLA"/>
        <s v="Dividendo Hipotecario Of."/>
        <s v="Préstamo Bco. Chile - Redco Perú"/>
        <s v="Forgat Crédito Bco.Chile 18 cuotas Julio-24 a Dic.25"/>
        <s v="Forgat Crédito Bco.de Chile Marzo 2021 - 33 ctas -03/24"/>
        <s v="Donación JJVV El Melón V Región"/>
        <s v="Donación Choshueco"/>
        <s v="Seguro Camioneta/Tag  "/>
        <s v="Pago Impto. Rta. AT2024 E.Rubio"/>
        <s v="Seguro de vida E.R. Colmena"/>
        <s v="Forum Crédito  cmta. Ford Ranger Raptor"/>
        <s v="Cta. Cte Redcross"/>
        <s v="Cta. Cte Redco Global Perú"/>
        <s v="Gastos Op. Redco Brasil "/>
        <s v="Gastos Redtec  Patente Comercial"/>
        <s v="Jorman Barrera"/>
        <s v="Carlos Catalán"/>
        <s v="Carlos Morante"/>
        <s v="Rodrigo Cori Córdova"/>
        <s v="Gino Espinoza"/>
        <s v="Kevin Rios"/>
        <s v="Edward Torres"/>
        <s v="Jhonatan Mandujano"/>
        <s v="Johnny Pacheco"/>
        <s v="Victor Arias"/>
        <s v="Jessica Rojas"/>
        <s v="Luis Camasca"/>
        <s v="Miguel Jesus"/>
        <s v="Paolo Tito"/>
        <s v="Thalia Rimac"/>
        <s v="VILLANUEVA CRISTOBAL PAOLO CESAR"/>
        <s v="Andree del Castillo"/>
        <s v="Arnold Tadeo"/>
        <s v="Jarold Orna"/>
        <s v="Eduardo Sanchez"/>
        <s v="Jhonatan Huaynate"/>
        <s v="Josue Tello Olivas"/>
        <s v="Walter Lupinta"/>
        <s v="Angelo Patri Carbajal"/>
        <s v="Luis Chumpitaz"/>
        <s v="Eduardo Lama"/>
        <s v="Jose Mamani"/>
        <s v="Pedro Ccanto"/>
        <s v="Lincoln Esteban Perez"/>
        <s v="Yosep Aviles"/>
        <s v="Clinton Yahuira"/>
        <s v="Omar Meléndez Huamán"/>
        <s v="CARLOS CARMELO HIDALGO"/>
        <s v="Guillermo Ricaldi"/>
        <s v="WILLY SALDAÑA CORTEZ"/>
        <s v="ARNALDO LUIS ARANDA AGUIRRE"/>
        <s v="Edson Susanibar"/>
        <s v="ALEXANDER ROJAS FLORES"/>
        <s v="ARTURO MARTIN RAMOS YATACO"/>
        <s v="MARIN CHUJANDAMA FELIPE"/>
        <s v="OFIR EDUARDO HUATUCO LOZANO"/>
        <s v="SERVICIO DE ASESORIA LEGAL    "/>
        <s v="SERVICIO CONTABLE             "/>
        <s v="SERVICIO ASESORIA MINERA"/>
        <s v="SERVICIO EN ASESORIA EN VENTILACION"/>
        <s v="PASAJE AMERICO ZUZUNAGA A CAJAMARCA"/>
        <s v="Reembolso por pasaje Lima Chile Lima Carlos Morante"/>
        <s v="Pasaje Gino Espinoza"/>
        <s v="Viaje Tacna - Americo y Jorman"/>
        <s v="Viaje Juliaca - Pablo Quiero ; Jarold Horna"/>
        <s v="Viaje Santiago - Pablo Quiero"/>
        <s v="Viaje Santiago - Americo y Jorman"/>
        <s v="Viaje Chile - Cusco, Claudio Hernandez"/>
        <s v="Viaje Chile - Jorman Barrera"/>
        <s v="Viaje Juliaca - Jhony Pacheco"/>
        <s v="Viaje Lima - Jorman Barrera"/>
        <s v="Cambio Pasaje Jhony Pacheco - JUliaca"/>
        <s v="CARLOS CATALÁN compra de sus pasajes de Chiclayo a Lima. "/>
        <s v="Viaje Brasil - Arnold Tadeo"/>
        <s v="Viaje Chile - Jhonatan Mandujano"/>
        <s v="Estadía en Cajamarca de Américo Zuzunaga"/>
        <s v="Viáticos viaje a Chile Carlos Morante"/>
        <s v="ESTADIA CLAUDIO HERNANDEZ"/>
        <s v="Viáticos viaje Brasil Jarold Orna"/>
        <s v="REEMBOLSO POR VIAJE A CHILE Americo Zuzunaga"/>
        <s v="Alojamiento Oscar Cáceres"/>
        <s v="Reembolso viaje AMSA Americo Zuzunaga"/>
        <s v="Reembolso movilidades viaje USA Carlos Morante"/>
        <s v="Alojamiento Alejandro Espinoza / Osca Cáceres"/>
        <s v="Hospedaje Moquegua - Americo y Jorman"/>
        <s v="Hospedaje Pablo Quiero"/>
        <s v="Transporte a Moquegua"/>
        <s v="Reembolso viaje Chile - Americo"/>
        <s v="Reembolso viaje Juliaca - Jarold"/>
        <s v="Estadia Juan Rivera"/>
        <s v="Reembolso viaje mina Los Calatos"/>
        <s v="Estadia Felipe Matamoros"/>
        <s v="Visita proyecto Arequipa  Chapi - Americo"/>
        <s v="Reembolso Los Calatos - Americo"/>
        <s v="Reembolso Proyecto Chapi - Jhony Pacheco"/>
        <s v="Reembolso viaticos chile - Jarold Orna"/>
        <s v="Reembolso viaticos chile - Jhonatan Huaynate"/>
        <s v="Viaticos Jarold Orna "/>
        <s v="FACTORING"/>
        <s v="APERTURA CARTA FIANZA"/>
        <s v="CUENTA GARANTIA FACTORING"/>
        <s v="CAPACITACION PERSONAL"/>
        <s v="GASTOS CARTA FIANZA"/>
        <s v="TARJETA DE CREDITO EMPRESARIAL"/>
        <s v="ALQUILER OFICINA"/>
        <s v="SEGUROS"/>
        <s v="OTROS GASTOS"/>
        <s v="COMPRA EQUIPOS DE COMPUTO"/>
        <s v="COMPRAS REDTEC GLOBAL"/>
        <s v="IGV"/>
        <s v="IGV NO DOMICILIADO (CREDITO POSTERIOR)"/>
        <s v="REDCO Cuenta Corriente EERR"/>
        <s v="REDCO Consultants (BVI)"/>
        <s v="REDCROSS Servicios BackOffice"/>
        <s v="Nilcélio José Dos Santos"/>
        <s v="Maria Célia Fonseca"/>
        <s v="Antonio Schettino"/>
        <s v="SERVICIO ASSESORIA PROJ. DUE DILLIGENCE J&amp;F (Avalicon &amp; Integratio)"/>
        <s v="Visita Cajati (VGR)"/>
        <s v="Visita Araxá (VGR)"/>
        <s v="Visita CTV (VGR)"/>
        <s v="Visita Chile (VGR)"/>
        <s v="Visita Vale e Equinox (VGR)"/>
        <s v="Visita Vale Gongo Soco (VGR)"/>
        <s v="Visita Cajati (Redco)"/>
        <s v="Visita Araxá (Redco)"/>
        <s v="Visita CTV (Redco)"/>
        <s v="Visita Chile (Redco)"/>
        <s v="Visita Vale e Equinox (Redco)"/>
        <s v="Visita Vale Gongo Soco (Redco)"/>
        <s v="Feira Internacional EUA - Antônio"/>
        <s v="Visita J&amp;F - Work Shop"/>
        <s v="Visita J&amp;F - Missão Corumbá"/>
        <s v="Viaje Ricardo/Antonio a Chile"/>
        <s v="Visita J&amp;f"/>
        <s v="Visita Ricardo Miranda a Brasil"/>
        <s v="Hotel Antonio Chile"/>
        <s v="Exposibram"/>
        <s v="Visita CTV (VGR) - Adiantamento Kevin"/>
        <s v="Visita Vale BH e Equinox (VGR)"/>
        <s v="Visita J&amp;F (VGR)"/>
        <s v="Feira EUA"/>
        <s v="Visita à Brasil - Ricardo Miranda"/>
        <s v="Reembolso viaje AS a Chile"/>
        <s v="Exposibr - Seminario OP"/>
        <s v="Traslado Contabilidade, Reuniões Inst."/>
        <s v="COMPRA DE SOFTWARE"/>
        <s v="1) FGTS ARRECADACAO GRF                  "/>
        <s v="DARF        - 49.198.154/0001-29 -5952"/>
        <s v="DARF        - 49.198.154/0001-29 -1708"/>
        <s v="RFB-DARF CODIGO DE BARRAS             "/>
        <s v="PREFEITURA NL     "/>
        <s v="DARF        - 49.198.154/0001-29 -2372"/>
        <s v="DARF        - 49.198.154/0001-29 -2089"/>
        <s v="SECRETARIA DA FAZENDA"/>
        <s v="Traslado Contabilidade" u="1"/>
        <s v="Maximo Leclerc" u="1"/>
        <s v="Boletas de garantía CMP " u="1"/>
        <s v="Nicolas Ayarza - Proyecto Capstone" u="1"/>
        <s v="Patente Comercial 1er semestre" u="1"/>
        <s v="Noemi Plaza práctica contabilidad" u="1"/>
        <s v="Gastos caja chica desfazado" u="1"/>
        <s v="Comunidad Edificio kennedy " u="1"/>
        <s v="Comunidad Edificio kennedy desfazado" u="1"/>
        <s v="ENEL" u="1"/>
        <s v="ENTEL PCS Moviles " u="1"/>
        <s v="ENTEL Red fija e internet" u="1"/>
        <s v="ENTEL PCS Moviles e Internet desfazado" u="1"/>
        <s v="Incova/ Inmob. Reconquista estac.187/199" u="1"/>
        <s v="Incova/ Inmob. Reconquista estac.187/199 desfazado" u="1"/>
        <s v="Transp. Nueva Apoquindo  Ltda." u="1"/>
        <s v="Transp. Nueva Apoquindo  Ltda. desfazado" u="1"/>
        <s v="Salcedo &amp; Cia.  Limitada (Asesoria Tributaria) desfazado" u="1"/>
        <s v="Andes IP Abogados Limitad/ término tramite INAPI" u="1"/>
        <s v="Fundación Arturo López Pérez" u="1"/>
        <s v="Fundación Arturo López Pérez desfazado" u="1"/>
        <s v="Par Cuatro aromatizacion oficina" u="1"/>
        <s v="Par Cuatro aromatizacion oficina factura desfazado" u="1"/>
        <s v="Nespresso  Chile S.A." u="1"/>
        <s v="Credito REDCO Perú" u="1"/>
        <s v="Estadia Julio Rivera" u="1"/>
        <s v="Gonzalo Díaz pjes a Chile-ANF" u="1"/>
        <s v="BENEFICIOS SOCIALES" u="1"/>
        <s v="Nva. Contratación Ingeniero Especialista" u="1"/>
        <s v="Nva. Contratación Eléctrico Senior" u="1"/>
        <s v="Nva. Contratación Senior Estructural" u="1"/>
        <s v="Nva. Contratación Geoólogo" u="1"/>
        <s v="Back Office - REDCROSS (Sueldos )" u="1"/>
        <s v="Cotizaciones Previsionales" u="1"/>
        <s v="RENTA" u="1"/>
        <s v="PLANILLA" u="1"/>
        <s v="Impto. 10% Retenidos Honorarios" u="1"/>
        <s v="Impuesto Unico Trabajadores" u="1"/>
        <s v="Viaje 4" u="1"/>
        <s v="Viaje 5" u="1"/>
        <s v="Viaje 9" u="1"/>
        <s v="Viaje 10" u="1"/>
        <s v="Viaje 11" u="1"/>
        <s v="ENTEL PCS Moviles e Internet enero" u="1"/>
        <s v="Incova/ Inmob. Reconquista estac.187/199 enero" u="1"/>
        <s v="Transp. Nueva Apoquindo  Ltda. Enero" u="1"/>
        <s v="Salcedo &amp; Cia.  Limitada (Asesoria Tributaria) enero" u="1"/>
        <s v="Fundación Arturo López Pérez enero" u="1"/>
        <s v="Par Cuatro aromatizacion oficina factura enero" u="1"/>
        <s v="Segundo Fuentes Bta. (B.anual MF)" u="1"/>
      </sharedItems>
    </cacheField>
    <cacheField name="Clasificación 1" numFmtId="0">
      <sharedItems count="8">
        <s v="Gasto Operacional"/>
        <s v="Gasto Comercial"/>
        <s v="G&amp;A"/>
        <s v="Gasto del Dueño"/>
        <s v="Impuesto Operacional" u="1"/>
        <s v="REDTEC" u="1"/>
        <s v="Honorario Operacional" u="1"/>
        <s v="Gasto Tributario" u="1"/>
      </sharedItems>
    </cacheField>
    <cacheField name="Clasificación 2" numFmtId="0">
      <sharedItems count="15">
        <s v="Sueldos"/>
        <s v="Extras personas"/>
        <s v="Externo"/>
        <s v="Oficina"/>
        <s v="Viajes"/>
        <s v="Compañía"/>
        <s v="Comercial"/>
        <s v="Bancarios"/>
        <s v="Dueño"/>
        <s v="Impuestos"/>
        <s v="Personal" u="1"/>
        <s v="Mano de Obra" u="1"/>
        <s v="Viaje" u="1"/>
        <s v="Clientes" u="1"/>
        <s v="Marketing" u="1"/>
      </sharedItems>
    </cacheField>
    <cacheField name="Clasificación 3" numFmtId="0">
      <sharedItems count="60">
        <s v="Sueldo"/>
        <s v="Asociado a sueldo"/>
        <s v="REDTEC"/>
        <s v="Pago servicio"/>
        <s v="Tarjeta"/>
        <s v="Pasaje"/>
        <s v="Alojamiento"/>
        <s v="Traslado"/>
        <s v="Evento"/>
        <s v="Varios"/>
        <s v="Boleta"/>
        <s v="Software"/>
        <s v="Registro Proveedores"/>
        <s v="Otro"/>
        <s v="Rendición"/>
        <s v="Examenes"/>
        <s v="Seguro"/>
        <s v="Publicidad"/>
        <s v="Asesoria"/>
        <s v="Arriendo"/>
        <s v="Contribuciones"/>
        <s v="Computación"/>
        <s v="Caja Chile"/>
        <s v="EERR"/>
        <s v="REDCROSS"/>
        <s v="Banco"/>
        <s v="Caja chica"/>
        <s v="GGCC"/>
        <s v="Telefonia"/>
        <s v="Estacionamiento"/>
        <s v="TAG"/>
        <s v="Tintas"/>
        <s v="Regalo"/>
        <s v="Donación"/>
        <s v="Reembolso"/>
        <s v="Patente"/>
        <s v="Impuesto"/>
        <s v="Dividendo"/>
        <s v="Prestamo"/>
        <s v="Credito"/>
        <s v="Pasajes"/>
        <s v="Viáticos"/>
        <s v="Transporte"/>
        <s v="Factoring"/>
        <s v="Carta Fianza"/>
        <s v="Capacitación"/>
        <s v="Otros"/>
        <s v="Alimentación"/>
        <s v="Seguros"/>
        <s v="Equipos"/>
        <s v="Asesoria legal" u="1"/>
        <s v="Contabilidad" u="1"/>
        <s v="Bono" u="1"/>
        <s v="Laboratorio" u="1"/>
        <s v="Cotizaciones" u="1"/>
        <s v="Comisión" u="1"/>
        <s v="Aguinaldo" u="1"/>
        <s v="Beneficio" u="1"/>
        <s v="Impuestos" u="1"/>
        <s v="Beneficios" u="1"/>
      </sharedItems>
    </cacheField>
    <cacheField name="Clasificación 4" numFmtId="0">
      <sharedItems containsBlank="1" containsMixedTypes="1" containsNumber="1" containsInteger="1" minValue="0" maxValue="0" count="23">
        <s v="0"/>
        <s v="OT-IEL-UG-FEL2A-060-A"/>
        <s v="RU-SEL-UG-FEL2A-072-A"/>
        <s v="BR-NEX-UG-FEL2A-027-A"/>
        <s v="CH-CMP-OP-OTR00-018-A"/>
        <s v="PE-CSC-UG-FEL2A-023-A"/>
        <s v="CH-AMS-CS-OTR00-063-A"/>
        <s v="CH-CMP-OU-FEL2A-033-A"/>
        <s v="CH-BSC-UG-OTR00-073-A"/>
        <s v="CH-AMS-CS-OTR00-075-A"/>
        <s v="CH-LUN-CS-OTR00-069-A"/>
        <s v="CH-CMP-OU-FEL2A-041-A"/>
        <s v="CH-CCO-OP-FEL00-078-A"/>
        <s v="BR-J&amp;F-UG-FEL03-048-A"/>
        <m/>
        <s v="PE-MSR-GM-OTR00-092-A"/>
        <s v="CH-BSA-CS-OTR00-052-A"/>
        <s v="PE-MMG-OU-FEL00-022-A"/>
        <s v="PE-COR-UG-FEL00-076-A"/>
        <s v="OT-EMX-CS-OTR00-087-A"/>
        <s v="BR-MOS-OU-FEL03-026-A"/>
        <s v="BR-MOS-UG-FEL01-028-A"/>
        <n v="0" u="1"/>
      </sharedItems>
    </cacheField>
    <cacheField name="Atributo" numFmtId="0">
      <sharedItems containsSemiMixedTypes="0" containsNonDate="0" containsDate="1" containsString="0" minDate="2024-01-01T00:00:00" maxDate="2025-01-01T00:00:00" count="13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4-12-31T00:00:00"/>
      </sharedItems>
      <fieldGroup par="11"/>
    </cacheField>
    <cacheField name="Valor USD" numFmtId="0">
      <sharedItems containsString="0" containsBlank="1" containsNumber="1" minValue="-556.87" maxValue="321484.53999999998"/>
    </cacheField>
    <cacheField name="País" numFmtId="0">
      <sharedItems count="3">
        <s v="Chile"/>
        <s v="Perú"/>
        <s v="Brasil"/>
      </sharedItems>
    </cacheField>
    <cacheField name="Días (Atributo)" numFmtId="0" databaseField="0">
      <fieldGroup base="7">
        <rangePr groupBy="days" startDate="2024-01-01T00:00:00" endDate="2025-01-01T00:00:00"/>
        <groupItems count="368">
          <s v="&lt;01-01-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-01-2025"/>
        </groupItems>
      </fieldGroup>
    </cacheField>
    <cacheField name="Meses (Atributo)" numFmtId="0" databaseField="0">
      <fieldGroup base="7">
        <rangePr groupBy="months" startDate="2024-01-01T00:00:00" endDate="2025-01-01T00:00:00"/>
        <groupItems count="14">
          <s v="&lt;01-01-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5613.917877777778" backgroundQuery="1" createdVersion="8" refreshedVersion="8" minRefreshableVersion="3" recordCount="5940" xr:uid="{923A92CB-FC45-475E-A186-7A4FCB54AAC0}">
  <cacheSource type="external" connectionId="16"/>
  <cacheFields count="12">
    <cacheField name="Nombre de Teams" numFmtId="0">
      <sharedItems containsBlank="1" count="94">
        <s v="Alex Pacheco"/>
        <s v="Matías Fuentes"/>
        <s v="Olesya Dashavskaya"/>
        <s v="Felipe Matamoros"/>
        <s v="Felipe Rojas"/>
        <s v="Pedro Aguiluz"/>
        <s v="Alex Figueroa"/>
        <s v="Felipe Lira"/>
        <s v="Nicolás Ayarza"/>
        <s v="Francisco Bello"/>
        <s v="Cristian Alarcón"/>
        <s v="Emilio Sánchez"/>
        <s v="Andrés Budini"/>
        <s v="Daniela Oyarzo"/>
        <s v="Nicolás Sanzana"/>
        <s v="Gerson Alfaro"/>
        <s v="Juan Pablo Vera"/>
        <s v="Eduardo Cuevas"/>
        <s v="Mauricio Melendez"/>
        <s v="Isidora Figueroa"/>
        <s v="Diego Muñoz"/>
        <s v="Freddy Diaz"/>
        <s v="Jonathan Galvez"/>
        <s v="Marcelo Mendoza"/>
        <s v="Fernando Caballero"/>
        <s v="Cristian García"/>
        <s v="Julio Herrera"/>
        <s v="Diego Troncoso"/>
        <s v="Victor Mohana"/>
        <s v="Roxana Avilés Diaz"/>
        <m/>
        <s v="José Pizarro Aranguiz"/>
        <s v="Claudio Hernandez"/>
        <s v="Alejandro Espinosa"/>
        <s v="Pablo Quiero"/>
        <s v="Ignacio Gonzalez"/>
        <s v="Nelson Rumino"/>
        <s v="Fabian Gonzalez"/>
        <s v="Matias Cid"/>
        <s v="Grace Ramón"/>
        <s v="Cristóbal Ventura"/>
        <s v="Cristian Quezada"/>
        <s v="Sophie Liao"/>
        <s v="Javier Salazar"/>
        <s v="Rodrigo Baez"/>
        <s v="Rodrigo Pinto"/>
        <s v="Ricardo Miranda"/>
        <s v="Patricio Vergara"/>
        <s v="Osvaldo Ulloa"/>
        <s v="Max Le Clerc"/>
        <s v="Jose Mamani"/>
        <s v="Clinton Yahuira"/>
        <s v="Americo Zuzunaga"/>
        <s v="Gladys Muñoz"/>
        <s v="Cynthia Ordoñez"/>
        <s v="Enrique Rubio"/>
        <s v="Isabel Marchant"/>
        <s v="Jorman Barrera"/>
        <s v="Carlos Catalán"/>
        <s v="Carlos Morante"/>
        <s v="Rodrigo Cori Córdova"/>
        <s v="Gino Espinoza"/>
        <s v="Kevin Rios"/>
        <s v="Edward Torres"/>
        <s v="Jhonatan Mandujano"/>
        <s v="Johnny Pacheco"/>
        <s v="Victor Arias"/>
        <s v="Jessica Rojas"/>
        <s v="Luis Camasca"/>
        <s v="Miguel Jesus"/>
        <s v="Paolo Tito"/>
        <s v="Thalia Rimac"/>
        <s v="Andree del Castillo"/>
        <s v="Arnold Tadeo"/>
        <s v="Jarold Orna"/>
        <s v="Eduardo Sanchez"/>
        <s v="Jhonatan Huaynate"/>
        <s v="Eduardo Lama"/>
        <s v="Josue Tello Olivas"/>
        <s v="Walter Lupinta"/>
        <s v="Angelo Patri Carbajal"/>
        <s v="Luis Chumpitaz"/>
        <s v="Pedro Ccanto"/>
        <s v="Lincoln Esteban Perez"/>
        <s v="Yosep Aviles"/>
        <s v="Omar Meléndez Huamán"/>
        <s v="Guillermo Ricaldi"/>
        <s v="Mateo Villanueva"/>
        <s v="Edson Susanibar"/>
        <s v="Nilcélio José Dos Santos"/>
        <s v="Maria Célia Fonseca"/>
        <s v="Antonio Schettino" u="1"/>
        <s v="Sebastian Gonzalez Santander" u="1"/>
        <s v="Joel Perez Catalan" u="1"/>
      </sharedItems>
    </cacheField>
    <cacheField name="Clasificación 0" numFmtId="0">
      <sharedItems containsBlank="1" count="4">
        <s v="Fijo"/>
        <s v="Variable"/>
        <s v="Adicionales"/>
        <m u="1"/>
      </sharedItems>
    </cacheField>
    <cacheField name="Detalle" numFmtId="0">
      <sharedItems count="458">
        <s v="Alex Pacheco C."/>
        <s v="Matías Fuentes B."/>
        <s v="Olesya Dashavskaya"/>
        <s v="Felipe Matamoros C."/>
        <s v="Felipe Rojas Z."/>
        <s v="Pedro Aguiluz P."/>
        <s v="Alex Figueroa"/>
        <s v="Felipe Lira A."/>
        <s v="Nicolás Ayarza D."/>
        <s v="Francisco Bello Moreno"/>
        <s v="Cristián  Alarcón"/>
        <s v="Emilio Sánchez"/>
        <s v="Andrés Budini M."/>
        <s v="Daniela Oyarzo E."/>
        <s v="Nicolás Sanzana"/>
        <s v="Gerson Alfaro"/>
        <s v="Juan Pablo Vera"/>
        <s v="Eduardo Cuevas"/>
        <s v="Mauricio Melendez"/>
        <s v="Isidora Figueroa"/>
        <s v="Diego Muñoz"/>
        <s v="Freddy Díaz"/>
        <s v="Jonathan Galvez"/>
        <s v="Marcelo Mendoza"/>
        <s v="Fernando Caballero"/>
        <s v="Cristián García"/>
        <s v="Julio Herrera"/>
        <s v="Diego Troncoso"/>
        <s v="Victor Mohana Tapia"/>
        <s v="Roxana Avilés"/>
        <s v="Sebastián González"/>
        <s v="Joél Pérez "/>
        <s v="José Pizarro Aranguiz"/>
        <s v="Claudio Hernandez"/>
        <s v="Alejandro Espinosa"/>
        <s v="Pablo Quiero"/>
        <s v="Ignacio González"/>
        <s v="Nelson Rumino"/>
        <s v="Fabián González Recabarren"/>
        <s v="Matías Cid Uslar"/>
        <s v="Grace Ramon"/>
        <s v="Cristóbal Ventura"/>
        <s v="Cristian Quezada"/>
        <s v="Sophie Liao"/>
        <s v="Gonzalo Parada Provisión"/>
        <s v="Javier Salazar"/>
        <s v="Rodrigo Báez"/>
        <s v="Rodrigo Pinto H."/>
        <s v="Ricardo Miranda D."/>
        <s v="Cristóbal Poblete"/>
        <s v="Ismael Leyton Aliste practicante"/>
        <s v="Cristóbal García Wallis practicante"/>
        <s v="Felipe Espinosa Practica en informática nov.23"/>
        <s v="Patricio Vegara (EEUU)"/>
        <s v="Rodrigo Herrera"/>
        <s v="Fernando Sagastegui"/>
        <s v="Guilmer Victorio"/>
        <s v="Gonzalo Díaz"/>
        <s v="Carlos Puga Provisión"/>
        <s v="Cristián Villarroel"/>
        <s v="Dagoberto Cabañas"/>
        <s v="Osvaldo Ulloa"/>
        <s v="Ricardo Miranda"/>
        <s v="Max Le Clerc"/>
        <s v="Freddy Centeno"/>
        <s v="Alejandro Espinosa Factura 35 dic.2023"/>
        <s v="Rodrigo Godoy"/>
        <s v="Juan Rivera"/>
        <s v="TCONCEPTS SPA"/>
        <s v="Inversiones y Asesorías "/>
        <s v="Luis Miranda práctica prof."/>
        <s v="RV Ingenieria  Asociados Ltda."/>
        <s v="Enrique Molina Factura 1"/>
        <s v="Enrique Molina Factura"/>
        <s v="Enrique Molina Factura 2 Provisión"/>
        <s v="Darwin Varas Diseño Losas Piscinas Hormigon"/>
        <s v="Cynthia Ordoñes - coach Osacar Cáceres"/>
        <s v="Fernando Mora"/>
        <s v="León Consulting Chile SpA ( Felipe León)"/>
        <s v="León Arzola (Electrico)"/>
        <s v="Anna Usoltceva Intrepete Español a Ruso 200 USD"/>
        <s v="José Mamani"/>
        <s v="Armando Olavarría"/>
        <s v="Clinton Yahira"/>
        <s v="Oscar Cáceres servicios"/>
        <s v="Renan Argandoña "/>
        <s v="Nadia Mery"/>
        <s v="Pago tarjeta de crédito a favor febrero 24"/>
        <s v="Americo Zuzunaga"/>
        <s v="ERubio-MFuentes Lima-Stgo-Lima"/>
        <s v="Clinton Yahuira pjes Latam"/>
        <s v="Claudio Hernández Lima-Stgo-Lima"/>
        <s v="Cynthia y OSCAR Lima-Stgo-Lima"/>
        <s v="Andrés Budini Lima-Stgo-Lima"/>
        <s v="A.Espinoza Stgo-Lima-Stgo."/>
        <s v="A.Z-P.V-F.R.-R.P. Stgo-Calama-Stgo"/>
        <s v="N.Rumino Stgo -Calama-Stgo"/>
        <s v="R.P.-A.Z-P.V.-F.R.-N.R Antofagasta AMSA"/>
        <s v="A.Zuzunaga Lima-Sgo-Lima"/>
        <s v="Nelson Rumino La Serena"/>
        <s v="ERubio-MFuentes Lima-Stgo"/>
        <s v="E.Rubio gtos. viaje EEUU Phoenix"/>
        <s v="M-Fuentes gtos. viaje EEUU Phoenix"/>
        <s v="Hotel Cumbres estdai A. Schettino- A. Zuzunaga"/>
        <s v="Uber Cabifyc Mfuentes"/>
        <s v="Doña Tina Almuerzo Redco fin de año"/>
        <s v="Pasajes aereos E-Destino"/>
        <s v="Almuerzos/combustible E.Rubio"/>
        <s v="TC US$ viajes  Internacionales E.Rubio"/>
        <s v="TC US$ viajes  Internacionales M.Fuentes"/>
        <s v="Comisón TC. Compras Internacionales"/>
        <s v="American Airlines pasajes"/>
        <s v="Hotel Costa Real La Serena (R.P-F.M.-N.R)"/>
        <s v="Maihue máquina agua"/>
        <s v="Gastos menores "/>
        <s v="Boletas de garantía CMP intereses"/>
        <s v="Boletas de garantía CMP Comisión+i"/>
        <s v="ATX Mexico (M365 Business Standard-simple-Oficce 365)"/>
        <s v="SGS MINERALS S.A. 50%"/>
        <s v="ASMIN Industrial Ltda. Fact. 3330 PFS - Los Calatos EdP01"/>
        <s v="ASMIN Industrial Ltda. Fact. 3331 PFS - Los Calatos EdP02"/>
        <s v="Consultora Hominum SpA Fact. 23-Proceso reclutamiento ingenieros"/>
        <s v="INV. Y Asesorías Huerquehue SpA"/>
        <s v="Quadrem fact. Comisión vts. Sap Ariba "/>
        <s v="Quadrem Registro Anual "/>
        <s v="Aquiles Renovación Registro  Anual"/>
        <s v="Red Negocios Camara de Comercio Registro Anual"/>
        <s v="Chile Proveedores registro anual"/>
        <s v="Instituro Ingenieros de Chile taller"/>
        <s v="MININGMATH SOFTWARE LTDA."/>
        <s v="The Express Data LLC"/>
        <s v="Claudio Hernández viaje Sta. Cruz"/>
        <s v="Pasajes a Suecia ER-PA-MF"/>
        <s v="Pedro Aguiluz Página Web-Diseño y Stickers Cuadernos"/>
        <s v="Pedro Aguiluz Viaje EEUU"/>
        <s v="Felipe Matamoros Los Colorados"/>
        <s v="Ricardo Miranda almuerzo c/cliente"/>
        <s v="F.Matamoros Arriendo Vehiculo La Serena"/>
        <s v="Mauricio Melendez gastos viaje vista cliente"/>
        <s v="Marcelo Mendoza examenes"/>
        <s v="Pablo Quiero Fondos x R (visita Candelaria)"/>
        <s v="Felipe Rojas - Rendición gastos viaje (Adelantamiento Planta Los Colorados)"/>
        <s v="Felipe Rojas - Rendición gastos viaje (AMSA - Centinela)"/>
        <s v="M.Melendez Pjes Copiapo Latam"/>
        <s v="Reemboslo Gtos. A. Espinosa/A.Budini/Pablo Quiero"/>
        <s v="Gonzalo Díaz pjes a Chile-ANF - Proyecto Capstone"/>
        <s v="Seg. Viaje R.M.-G.A- C.H."/>
        <s v="Nicolás Ayarza rendición gastos"/>
        <s v="Eduardo Cuevas - Rendicion gastos compra ropa de trabajo (J&amp;F Urucrum)"/>
        <s v="Trompa Producciones Servicio Publicitario mensual"/>
        <s v="Trompa Producciones Servicio Publicitario mensual Abril"/>
        <s v="Trompa Producciones diciembre - febrero"/>
        <s v="Trompa Producciones pendon-volantes"/>
        <s v="ACHS examen de altura RM"/>
        <s v="Asesorías BIBA Ltda. Controlador cloud"/>
        <s v="Arriendo oficina 1104 Edif. Kennedy 100 UF"/>
        <s v="Mario Correa Arriendo dpto. 3 dormitorios+gtos.comunes+ serv."/>
        <s v="Mario Correa Arriendo dpto. 3 dormitorios+gtos.comunes+ serv. "/>
        <s v="Mario Correa Arriendo dpto. Gtos.básicos + gtos. Comunes 2 meses"/>
        <s v="Contribuciones Bs. Rs. Of."/>
        <s v="Hotel Acacias (Taller de Gestión Estrategica)"/>
        <s v="Hotel Hotech SpA"/>
        <s v="DHL EXPRESS (CHILE) LIMITADA"/>
        <s v="CONSTRUCCION SERVI TRES SPA"/>
        <s v="Emilio Sánchez Fondo por rendir viaje Brasil"/>
        <s v="PC Factory notebook y otros accs"/>
        <s v="Gladys Myriam Muñoz "/>
        <s v="Alberto Reinao (Procesos Defontana)"/>
        <s v="Cynthia Ordoñes (RRHH)"/>
        <s v="Caja Chica "/>
        <s v="Reemplazo serv aseo of (vacaciones Gladys)"/>
        <s v="Practicante Contabilidad"/>
        <s v="Isabel Marchant serv. Bono anual dic. 2023"/>
        <s v="Back Office - REDCROSS (delta)"/>
        <s v="Paola Awilhem"/>
        <s v="Enrique Rubio"/>
        <s v="Constanza Hochstetter"/>
        <s v="Isabel Marchant"/>
        <s v="Previred"/>
        <s v="Gastos Bancarios"/>
        <s v="Gastos caja chica"/>
        <s v="Gastos caja chica abril"/>
        <s v="Gastos caja chica enero"/>
        <s v="Comunidad Edificio kennedy  mayo"/>
        <s v="Comunidad Edificio kennedy  abril"/>
        <s v="Comunidad Edificio kennedy enero"/>
        <s v="ENEL mayo"/>
        <s v="ENEL abril"/>
        <s v="ENTEL PCS Moviles mayo"/>
        <s v="ENTEL PCS Moviles abril"/>
        <s v="ENTEL Red fija e internet mayo"/>
        <s v="ENTEL Red fija e internet abril"/>
        <s v="Incova/ Inmob. Reconquista estac.187/199 mayo"/>
        <s v="Incova/ Inmob. Reconquista estac.187/199 abril"/>
        <s v="Transp. Nueva Apoquindo  Ltda. Mayo"/>
        <s v="Transp. Nueva Apoquindo  Ltda. Abril"/>
        <s v="Salcedo &amp; Cia.  Limitada (Asesoria Tributaria)"/>
        <s v="Salcedo &amp; Cia.  Limitada (Asesoria Tributaria)  marzo y abril"/>
        <s v="Tag autorpista Camoneta Ranger"/>
        <s v="Andes IP Abogados Limitada"/>
        <s v="Juan Pablo Sánches abogado (REDTEC ) Leg.representación"/>
        <s v="Seguro de Vida y Salud METLIFE REDCO"/>
        <s v="Fundación Arturo López Pérez mayo"/>
        <s v="Fundación Arturo López Pérez abril"/>
        <s v="Par Cuatro aromatizacion oficina mayo"/>
        <s v="Par Cuatro aromatizacion oficina factura abril"/>
        <s v="Marisol Corvalan Notaria"/>
        <s v="Sumiprint SPA toners impresora HP factura 565  2 Toners negro"/>
        <s v="Dsignos Spa"/>
        <s v="Cintamatrix Ltda."/>
        <s v="Prisa S.A. arts. Aseso y cocina"/>
        <s v="Factura Sumiprint SPA"/>
        <s v="Reglalo Redco hija A.Figueroa"/>
        <s v="Claudia Correo (donación camisetas futboll)"/>
        <s v="Edge SpA   3 sillas"/>
        <s v="Edo. Cuevas 1 teclado"/>
        <s v="Edo. Cuevas 1 RAM 16 GB"/>
        <s v="Enrique Rubio reembolso gastos Redco"/>
        <s v="Cristián Flores Serv. Flexline"/>
        <s v="Gtos. personal Redco- Hamb"/>
        <s v="Novoandina desayunos"/>
        <s v="Ana Muñoz desayunos of."/>
        <s v="Escudero Lobos y Paredes Abogados (laboral)"/>
        <s v="Software DEFONTANA (Implementacion + 3M servicio)"/>
        <s v="Diego Fuente Mant. Baños of"/>
        <s v="Nespresso  Chile S.A. mayo"/>
        <s v="Nespresso  Chile S.A. abril"/>
        <s v="Patente Comercial "/>
        <s v="Contribuciones Bs. Rs"/>
        <s v="Legal  Broker (R.Oyarzún poderes Bco.)"/>
        <s v="PPM  6,8%"/>
        <s v="IVA DEBITO FISCAL"/>
        <s v="IMPTO.ADICIONAL 20%"/>
        <s v="IMPTO.TIMBRE Y ESTAMPILLA"/>
        <s v="Dividendo Hipotecario Of."/>
        <s v="Préstamo Bco. Chile - Redco Perú"/>
        <s v="Forgat Crédito Bco.Chile 18 cuotas Julio-24 a Dic.25"/>
        <s v="Forgat Crédito Bco.de Chile Marzo 2021 - 33 ctas -03/24"/>
        <s v="Donación JJVV El Melón V Región"/>
        <s v="Donación Choshueco"/>
        <s v="Seguro Camioneta/Tag  "/>
        <s v="Pago Impto. Rta. AT2024 E.Rubio"/>
        <s v="Seguro de vida E.R. Colmena"/>
        <s v="Forum Crédito  cmta. Ford Ranger Raptor"/>
        <s v="Cta. Cte Redcross"/>
        <s v="Cta. Cte Redco Global Perú"/>
        <s v="Gastos Op. Redco Brasil "/>
        <s v="Gastos Redtec  Patente Comercial"/>
        <s v="Redtec Pago Imptos. único + IVA Débito"/>
        <s v="Redtec Honorarios Maximo Leclerc"/>
        <s v="Redtec Camara Chilena China de Comercio Ind ."/>
        <s v="Jorman Barrera"/>
        <s v="Carlos Catalán"/>
        <s v="Carlos Morante"/>
        <s v="Rodrigo Cori Córdova"/>
        <s v="Gino Espinoza"/>
        <s v="Kevin Rios"/>
        <s v="Edward Torres"/>
        <s v="Jhonatan Mandujano"/>
        <s v="Johnny Pacheco"/>
        <s v="Victor Arias"/>
        <s v="Jessica Rojas"/>
        <s v="Luis Camasca"/>
        <s v="Miguel Jesus"/>
        <s v="Paolo Tito"/>
        <s v="Thalia Rimac"/>
        <s v="VILLANUEVA CRISTOBAL PAOLO CESAR"/>
        <s v="Andree del Castillo"/>
        <s v="Arnold Tadeo"/>
        <s v="Jarold Orna"/>
        <s v="Eduardo Sanchez"/>
        <s v="Jhonatan Huaynate"/>
        <s v="Eduardo Lama"/>
        <s v="Josue Tello Olivas"/>
        <s v="Walter Lupinta"/>
        <s v="Angelo Patri Carbajal"/>
        <s v="Luis Chumpitaz"/>
        <s v="Jose Mamani"/>
        <s v="Pedro Ccanto"/>
        <s v="Lincoln Esteban Perez"/>
        <s v="Yosep Aviles"/>
        <s v="Clinton Yahuira"/>
        <s v="Omar Meléndez Huamán"/>
        <s v="CARLOS CARMELO HIDALGO"/>
        <s v="Guillermo Ricaldi"/>
        <s v="WILLY SALDAÑA CORTEZ"/>
        <s v="Mateo Villanueva"/>
        <s v="Edson Susanibar"/>
        <s v="ALEXANDER ROJAS FLORES"/>
        <s v="ARTURO MARTIN RAMOS YATACO"/>
        <s v="MARIN CHUJANDAMA FELIPE"/>
        <s v="OFIR EDUARDO HUATUCO LOZANO"/>
        <s v="CARDENAS PORRAS VICTOR"/>
        <s v="SERVICIO DE ASESORIA LEGAL    "/>
        <s v="SERVICIO CONTABLE             "/>
        <s v="SERVICIO ASESORIA MINERA"/>
        <s v="SERVICIO EN ASESORIA EN VENTILACION"/>
        <s v="PASAJE AMERICO ZUZUNAGA A CAJAMARCA"/>
        <s v="Reembolso por pasaje Lima Chile Lima Carlos Morante"/>
        <s v="Pasaje Gino Espinoza"/>
        <s v="Viaje Tacna - Americo y Jorman"/>
        <s v="Viaje Juliaca - Pablo Quiero ; Jarold Horna"/>
        <s v="Viaje Santiago - Pablo Quiero"/>
        <s v="Viaje Santiago - Americo y Jorman"/>
        <s v="Viaje Chile - Cusco, Claudio Hernandez"/>
        <s v="Viaje Chile - Jorman Barrera"/>
        <s v="Viaje Juliaca - Jhony Pacheco"/>
        <s v="Viaje Lima - Jorman Barrera"/>
        <s v="Cambio Pasaje Jhony Pacheco - JUliaca"/>
        <s v="CARLOS CATALÁN compra de sus pasajes de Chiclayo a Lima. "/>
        <s v="Viaje Brasil - Arnold Tadeo"/>
        <s v="Viaje Chile - Jhonatan Mandujano"/>
        <s v="Viaje Chile - RODRIGO LEONARDO BAEZ VERGARA"/>
        <s v="PASAJES AEREOS"/>
        <s v="Estadía en Cajamarca de Américo Zuzunaga"/>
        <s v="Viáticos viaje a Chile Carlos Morante"/>
        <s v="ESTADIA CLAUDIO HERNANDEZ"/>
        <s v="Viáticos viaje Brasil Jarold Orna"/>
        <s v="REEMBOLSO POR VIAJE A CHILE Americo Zuzunaga"/>
        <s v="Alojamiento Oscar Cáceres"/>
        <s v="Reembolso viaje AMSA Americo Zuzunaga"/>
        <s v="Reembolso movilidades viaje USA Carlos Morante"/>
        <s v="Alojamiento Alejandro Espinoza / Osca Cáceres"/>
        <s v="Hospedaje Moquegua - Americo y Jorman"/>
        <s v="Hospedaje Pablo Quiero"/>
        <s v="Transporte a Moquegua"/>
        <s v="Reembolso viaje Chile - Americo"/>
        <s v="Reembolso viaje Juliaca - Jarold"/>
        <s v="Estadia Juan Rivera"/>
        <s v="Reembolso viaje mina Los Calatos"/>
        <s v="Estadia Felipe Matamoros"/>
        <s v="Visita proyecto Arequipa  Chapi - Americo"/>
        <s v="Reembolso Los Calatos - Americo"/>
        <s v="Reembolso Proyecto Chapi - Jhony Pacheco"/>
        <s v="Reembolso viaticos chile - Jarold Orna"/>
        <s v="Reembolso viaticos chile - Jhonatan Huaynate"/>
        <s v="Viaticos Jarold Orna "/>
        <s v="GASTOS VIAJE BRASIL - Kevin Rios"/>
        <s v="Estadía Rodrigo Baez"/>
        <s v="Alojamiento"/>
        <s v="FACTORING"/>
        <s v="APERTURA CARTA FIANZA"/>
        <s v="CUENTA GARANTIA FACTORING"/>
        <s v="CAPACITACION PERSONAL"/>
        <s v="GASTOS CARTA FIANZA"/>
        <s v="TARJETA DE CREDITO EMPRESARIAL"/>
        <s v="ALQUILER OFICINA"/>
        <s v="SEGUROS"/>
        <s v="OTROS GASTOS"/>
        <s v="COMPRA EQUIPOS DE COMPUTO"/>
        <s v="COMPRAS REDTEC GLOBAL"/>
        <s v="IGV"/>
        <s v="IGV NO DOMICILIADO (CREDITO POSTERIOR)"/>
        <s v="REDCO Cuenta Corriente EERR"/>
        <s v="REDCO Consultants (BVI)"/>
        <s v="REDCROSS Servicios BackOffice"/>
        <s v="Nilcélio José Dos Santos"/>
        <s v="Maria Célia P. Fonseca"/>
        <s v="Antônio Alberto Fróes Schettino"/>
        <s v="SERVICIO CONTABLE - Consultoria"/>
        <s v="SERVICIO ASESORIA MINERA - Comissão Antonio"/>
        <s v="SERVICIO ASSESORIA PROJ. DUE DILLIGENCE J&amp;F (Avalicon &amp; Integratio)"/>
        <s v="Visita Cajati (VGR)"/>
        <s v="Visita Araxá (VGR)"/>
        <s v="Visita CTV (VGR)"/>
        <s v="Visita Chile (VGR)"/>
        <s v="Visita Vale e Equinox (VGR)"/>
        <s v="Visita Vale Gongo Soco (VGR)"/>
        <s v="Visita Cajati (Redco)"/>
        <s v="Visita Araxá (Redco)"/>
        <s v="Visita CTV (Redco)"/>
        <s v="Visita Chile (Redco)"/>
        <s v="Visita Vale e Equinox (Redco)"/>
        <s v="Visita Vale Gongo Soco (Redco)"/>
        <s v="Feira Internacional EUA - Antônio"/>
        <s v="Visita J&amp;F - Work Shop"/>
        <s v="Visita J&amp;F - Missão Corumbá"/>
        <s v="Viaje Ricardo/Antonio a Chile"/>
        <s v="Visita J&amp;F"/>
        <s v="Visita Ricardo Miranda a Brasil"/>
        <s v="Hotel Antonio Chile"/>
        <s v="Exposibram"/>
        <s v="Visita CTV (VGR) - Adiantamento Kevin"/>
        <s v="Visita Vale BH e Equinox (VGR)"/>
        <s v="Visita J&amp;F - Work Shop e Corumbá"/>
        <s v="Visita J&amp;F (VGR)"/>
        <s v="Feira EUA"/>
        <s v="Visita à Brasil - Ricardo Miranda"/>
        <s v="Reembolso viaje AS a Chile"/>
        <s v="Exposibr - Seminario OP"/>
        <s v="Traslado Contabilidade, Reuniões Inst."/>
        <s v="COMPRA DE SOFTWARE"/>
        <s v="1) FGTS ARRECADACAO GRF                  "/>
        <s v="DARF        - 49.198.154/0001-29 -5952"/>
        <s v="DARF        - 49.198.154/0001-29 -1708"/>
        <s v="RFB-DARF CODIGO DE BARRAS             "/>
        <s v="PREFEITURA NL     "/>
        <s v="DARF        - 49.198.154/0001-29 -2372"/>
        <s v="DARF        - 49.198.154/0001-29 -2089"/>
        <s v="SECRETARIA DA FAZENDA"/>
        <s v="Ingeniero de Prevención de riesgo Provisión" u="1"/>
        <s v="Dibujante Técnico Provisión" u="1"/>
        <s v="Aguinaldos" u="1"/>
        <s v="Aguinaldo" u="1"/>
        <s v="ARNALDO LUIS ARANDA AGUIRRE" u="1"/>
        <s v="Nicélio José dos Santos" u="1"/>
        <s v="Maria Célia Fonseca" u="1"/>
        <s v="Antonio Schettino" u="1"/>
        <s v="Traslado Contabilidade" u="1"/>
        <s v="Maximo Leclerc" u="1"/>
        <s v="Boletas de garantía CMP " u="1"/>
        <s v="Nicolas Ayarza - Proyecto Capstone" u="1"/>
        <s v="Patente Comercial 1er semestre" u="1"/>
        <s v="Noemi Plaza práctica contabilidad" u="1"/>
        <s v="Gastos caja chica desfazado" u="1"/>
        <s v="Comunidad Edificio kennedy " u="1"/>
        <s v="Comunidad Edificio kennedy desfazado" u="1"/>
        <s v="ENEL" u="1"/>
        <s v="ENTEL PCS Moviles " u="1"/>
        <s v="ENTEL Red fija e internet" u="1"/>
        <s v="ENTEL PCS Moviles e Internet desfazado" u="1"/>
        <s v="Incova/ Inmob. Reconquista estac.187/199" u="1"/>
        <s v="Incova/ Inmob. Reconquista estac.187/199 desfazado" u="1"/>
        <s v="Transp. Nueva Apoquindo  Ltda." u="1"/>
        <s v="Transp. Nueva Apoquindo  Ltda. desfazado" u="1"/>
        <s v="Salcedo &amp; Cia.  Limitada (Asesoria Tributaria) desfazado" u="1"/>
        <s v="Andes IP Abogados Limitad/ término tramite INAPI" u="1"/>
        <s v="Fundación Arturo López Pérez" u="1"/>
        <s v="Fundación Arturo López Pérez desfazado" u="1"/>
        <s v="Par Cuatro aromatizacion oficina" u="1"/>
        <s v="Par Cuatro aromatizacion oficina factura desfazado" u="1"/>
        <s v="Nespresso  Chile S.A." u="1"/>
        <s v="Credito REDCO Perú" u="1"/>
        <s v="Estadia Julio Rivera" u="1"/>
        <s v="Gonzalo Díaz pjes a Chile-ANF" u="1"/>
        <s v="BENEFICIOS SOCIALES" u="1"/>
        <s v="Nva. Contratación Ingeniero Especialista" u="1"/>
        <s v="Nva. Contratación Eléctrico Senior" u="1"/>
        <s v="Nva. Contratación Senior Estructural" u="1"/>
        <s v="Nva. Contratación Geoólogo" u="1"/>
        <s v="Back Office - REDCROSS (Sueldos )" u="1"/>
        <s v="Cotizaciones Previsionales" u="1"/>
        <s v="RENTA" u="1"/>
        <s v="PLANILLA" u="1"/>
        <s v="Impto. 10% Retenidos Honorarios" u="1"/>
        <s v="Impuesto Unico Trabajadores" u="1"/>
        <s v="Viaje 4" u="1"/>
        <s v="Viaje 5" u="1"/>
        <s v="Viaje 9" u="1"/>
        <s v="Viaje 10" u="1"/>
        <s v="Viaje 11" u="1"/>
        <s v="ENTEL PCS Moviles e Internet enero" u="1"/>
        <s v="Incova/ Inmob. Reconquista estac.187/199 enero" u="1"/>
        <s v="Transp. Nueva Apoquindo  Ltda. Enero" u="1"/>
        <s v="Salcedo &amp; Cia.  Limitada (Asesoria Tributaria) enero" u="1"/>
        <s v="Fundación Arturo López Pérez enero" u="1"/>
        <s v="Par Cuatro aromatizacion oficina factura enero" u="1"/>
        <s v="Segundo Fuentes Bta. (B.anual MF)" u="1"/>
      </sharedItems>
    </cacheField>
    <cacheField name="Clasificación 1" numFmtId="0">
      <sharedItems count="8">
        <s v="Gasto Operacional"/>
        <s v="Gasto Comercial"/>
        <s v="G&amp;A"/>
        <s v="Gasto del Dueño"/>
        <s v="Impuesto Operacional" u="1"/>
        <s v="REDTEC" u="1"/>
        <s v="Honorario Operacional" u="1"/>
        <s v="Gasto Tributario" u="1"/>
      </sharedItems>
    </cacheField>
    <cacheField name="Clasificación 2" numFmtId="0">
      <sharedItems count="15">
        <s v="Sueldos"/>
        <s v="Extras personas"/>
        <s v="Externo"/>
        <s v="Oficina"/>
        <s v="Viajes"/>
        <s v="Compañía"/>
        <s v="Comercial"/>
        <s v="Bancarios"/>
        <s v="Dueño"/>
        <s v="Impuestos"/>
        <s v="Personal" u="1"/>
        <s v="Mano de Obra" u="1"/>
        <s v="Viaje" u="1"/>
        <s v="Clientes" u="1"/>
        <s v="Marketing" u="1"/>
      </sharedItems>
    </cacheField>
    <cacheField name="Clasificación 3" numFmtId="0">
      <sharedItems count="60">
        <s v="Sueldo"/>
        <s v="Asociado a sueldo"/>
        <s v="REDTEC"/>
        <s v="Pago servicio"/>
        <s v="Tarjeta"/>
        <s v="Pasaje"/>
        <s v="Alojamiento"/>
        <s v="Traslado"/>
        <s v="Evento"/>
        <s v="Varios"/>
        <s v="Boleta"/>
        <s v="Software"/>
        <s v="Registro Proveedores"/>
        <s v="Otro"/>
        <s v="Rendición"/>
        <s v="Examenes"/>
        <s v="Seguro"/>
        <s v="Publicidad"/>
        <s v="Asesoria"/>
        <s v="Arriendo"/>
        <s v="Contribuciones"/>
        <s v="Computación"/>
        <s v="Caja Chica"/>
        <s v="EERR"/>
        <s v="REDCROSS"/>
        <s v="Banco"/>
        <s v="GGCC"/>
        <s v="Telefonia"/>
        <s v="Estacionamiento"/>
        <s v="TAG"/>
        <s v="Tintas"/>
        <s v="Regalo"/>
        <s v="Donación"/>
        <s v="Reembolso"/>
        <s v="Patente"/>
        <s v="Impuesto"/>
        <s v="Dividendo"/>
        <s v="Prestamo"/>
        <s v="Credito"/>
        <s v="Pasajes"/>
        <s v="Viáticos"/>
        <s v="Transporte"/>
        <s v="Factoring"/>
        <s v="Carta Fianza"/>
        <s v="Capacitación"/>
        <s v="Otros"/>
        <s v="Alimentación"/>
        <s v="Seguros"/>
        <s v="Equipos"/>
        <s v="Caja Chile" u="1"/>
        <s v="Asesoria legal" u="1"/>
        <s v="Contabilidad" u="1"/>
        <s v="Bono" u="1"/>
        <s v="Laboratorio" u="1"/>
        <s v="Cotizaciones" u="1"/>
        <s v="Comisión" u="1"/>
        <s v="Aguinaldo" u="1"/>
        <s v="Beneficio" u="1"/>
        <s v="Impuestos" u="1"/>
        <s v="Beneficios" u="1"/>
      </sharedItems>
    </cacheField>
    <cacheField name="Clasificación 4" numFmtId="0">
      <sharedItems containsMixedTypes="1" containsNumber="1" containsInteger="1" minValue="0" maxValue="0" count="25">
        <s v="0"/>
        <s v="OT-IEL-UG-FEL2A-060-A"/>
        <s v="CH-CMP-CS-FEL00-040-A"/>
        <s v="RU-SEL-UG-FEL2A-072-A"/>
        <s v="CH-AMS-CS-OTR00-063-A"/>
        <s v="CH-CMP-UG-FEL03-093-A"/>
        <s v="BR-NEX-UG-FEL2A-027-A"/>
        <s v="CH-CMP-OP-OTR00-018-A"/>
        <s v="BR-J&amp;F-CS-OTR00-100-A"/>
        <s v="PE-CSC-UG-FEL2A-023-A"/>
        <s v="CH-CMP-OU-FEL2A-033-A"/>
        <s v="OT-EMX-CS-OTR00-087-A"/>
        <s v="CH-BSC-UG-OTR00-073-A"/>
        <s v="CH-AMS-CS-OTR00-075-A"/>
        <s v="CH-LUN-CS-OTR00-069-A"/>
        <s v="CH-CMP-OU-FEL2A-041-A"/>
        <s v="CH-CCO-OP-FEL00-078-A"/>
        <s v="BR-J&amp;F-UG-FEL03-048-A"/>
        <s v="PE-MSR-GM-OTR00-092-A"/>
        <s v="CH-BSA-CS-OTR00-052-A"/>
        <s v="PE-MMG-OU-FEL00-022-A"/>
        <s v="PE-COR-UG-FEL00-076-A"/>
        <s v="BR-MOS-OU-FEL03-026-A"/>
        <s v="BR-MOS-UG-FEL01-028-A"/>
        <n v="0" u="1"/>
      </sharedItems>
    </cacheField>
    <cacheField name="Atributo" numFmtId="0">
      <sharedItems containsSemiMixedTypes="0" containsNonDate="0" containsDate="1" containsString="0" minDate="2024-01-01T00:00:00" maxDate="2025-01-01T00:00:00" count="13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4-12-31T00:00:00"/>
      </sharedItems>
      <fieldGroup par="11"/>
    </cacheField>
    <cacheField name="Valor USD" numFmtId="0">
      <sharedItems containsString="0" containsBlank="1" containsNumber="1" minValue="-556.87" maxValue="321484.53999999998"/>
    </cacheField>
    <cacheField name="País" numFmtId="0">
      <sharedItems count="3">
        <s v="Chile"/>
        <s v="Perú"/>
        <s v="Brasil"/>
      </sharedItems>
    </cacheField>
    <cacheField name="Días (Atributo)" numFmtId="0" databaseField="0">
      <fieldGroup base="7">
        <rangePr groupBy="days" startDate="2024-01-01T00:00:00" endDate="2025-01-01T00:00:00"/>
        <groupItems count="368">
          <s v="&lt;01-01-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-01-2025"/>
        </groupItems>
      </fieldGroup>
    </cacheField>
    <cacheField name="Meses (Atributo)" numFmtId="0" databaseField="0">
      <fieldGroup base="7">
        <rangePr groupBy="months" startDate="2024-01-01T00:00:00" endDate="2025-01-01T00:00:00"/>
        <groupItems count="14">
          <s v="&lt;01-01-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5634.437516203703" backgroundQuery="1" createdVersion="8" refreshedVersion="8" minRefreshableVersion="3" recordCount="6108" xr:uid="{869A116F-EC8F-413B-BDD7-7BFF0D18C7DE}">
  <cacheSource type="external" connectionId="17"/>
  <cacheFields count="12">
    <cacheField name="Nombre de Teams" numFmtId="0">
      <sharedItems containsBlank="1" count="94">
        <s v="Alex Pacheco"/>
        <s v="Matías Fuentes"/>
        <s v="Olesya Dashavskaya"/>
        <s v="Felipe Matamoros"/>
        <s v="Felipe Rojas"/>
        <s v="Pedro Aguiluz"/>
        <s v="Alex Figueroa"/>
        <s v="Felipe Lira"/>
        <s v="Nicolás Ayarza"/>
        <s v="Francisco Bello"/>
        <s v="Cristian Alarcón"/>
        <s v="Emilio Sánchez"/>
        <s v="Andrés Budini"/>
        <s v="Daniela Oyarzo"/>
        <s v="Nicolás Sanzana"/>
        <s v="Gerson Alfaro"/>
        <s v="Juan Pablo Vera"/>
        <s v="Eduardo Cuevas"/>
        <s v="Mauricio Melendez"/>
        <s v="Isidora Figueroa"/>
        <s v="Diego Muñoz"/>
        <s v="Freddy Diaz"/>
        <s v="Jonathan Galvez"/>
        <s v="Marcelo Mendoza"/>
        <s v="Fernando Caballero"/>
        <s v="Cristian García"/>
        <s v="Julio Herrera"/>
        <s v="Diego Troncoso"/>
        <s v="Victor Mohana"/>
        <s v="Roxana Avilés Diaz"/>
        <m/>
        <s v="José Pizarro Aranguiz"/>
        <s v="Claudio Hernandez"/>
        <s v="Alejandro Espinosa"/>
        <s v="Pablo Quiero"/>
        <s v="Ignacio Gonzalez"/>
        <s v="Nelson Rumino"/>
        <s v="Fabian Gonzalez"/>
        <s v="Matias Cid"/>
        <s v="Grace Ramón"/>
        <s v="Cristóbal Ventura"/>
        <s v="Cristian Quezada"/>
        <s v="Sophie Liao"/>
        <s v="Javier Salazar"/>
        <s v="Rodrigo Baez"/>
        <s v="Rodrigo Pinto"/>
        <s v="Ricardo Miranda"/>
        <s v="Patricio Vergara"/>
        <s v="Osvaldo Ulloa"/>
        <s v="Max Le Clerc"/>
        <s v="Jose Mamani"/>
        <s v="Clinton Yahuira"/>
        <s v="Americo Zuzunaga"/>
        <s v="Gladys Muñoz"/>
        <s v="Cynthia Ordoñez"/>
        <s v="Enrique Rubio"/>
        <s v="Isabel Marchant"/>
        <s v="Jorman Barrera"/>
        <s v="Carlos Catalán"/>
        <s v="Carlos Morante"/>
        <s v="Rodrigo Cori Córdova"/>
        <s v="Gino Espinoza"/>
        <s v="Kevin Rios"/>
        <s v="Edward Torres"/>
        <s v="Jhonatan Mandujano"/>
        <s v="Johnny Pacheco"/>
        <s v="Victor Arias"/>
        <s v="Jessica Rojas"/>
        <s v="Luis Camasca"/>
        <s v="Miguel Jesus"/>
        <s v="Paolo Tito"/>
        <s v="Thalia Rimac"/>
        <s v="Andree del Castillo"/>
        <s v="Arnold Tadeo"/>
        <s v="Jarold Orna"/>
        <s v="Eduardo Sanchez"/>
        <s v="Jhonatan Huaynate"/>
        <s v="Eduardo Lama"/>
        <s v="Josue Tello Olivas"/>
        <s v="Walter Lupinta"/>
        <s v="Angelo Patri Carbajal"/>
        <s v="Luis Chumpitaz"/>
        <s v="Pedro Ccanto"/>
        <s v="Lincoln Esteban Perez"/>
        <s v="Yosep Aviles"/>
        <s v="Omar Meléndez Huamán"/>
        <s v="Guillermo Ricaldi"/>
        <s v="Mateo Villanueva"/>
        <s v="Edson Susanibar"/>
        <s v="Nilcélio José Dos Santos"/>
        <s v="Maria Célia Fonseca"/>
        <s v="Antonio Schettino" u="1"/>
        <s v="Sebastian Gonzalez Santander" u="1"/>
        <s v="Joel Perez Catalan" u="1"/>
      </sharedItems>
    </cacheField>
    <cacheField name="Clasificación 0" numFmtId="0">
      <sharedItems containsBlank="1" count="4">
        <s v="Fijo"/>
        <s v="Variable"/>
        <s v="Adicionales"/>
        <m u="1"/>
      </sharedItems>
    </cacheField>
    <cacheField name="Detalle" numFmtId="0">
      <sharedItems count="470">
        <s v="Alex Pacheco C."/>
        <s v="Matías Fuentes B."/>
        <s v="Olesya Dashavskaya"/>
        <s v="Felipe Matamoros C."/>
        <s v="Felipe Rojas Z."/>
        <s v="Pedro Aguiluz P."/>
        <s v="Alex Figueroa"/>
        <s v="Felipe Lira A."/>
        <s v="Nicolás Ayarza D."/>
        <s v="Francisco Bello Moreno"/>
        <s v="Cristián  Alarcón"/>
        <s v="Emilio Sánchez"/>
        <s v="Andrés Budini M."/>
        <s v="Daniela Oyarzo E."/>
        <s v="Nicolás Sanzana"/>
        <s v="Gerson Alfaro"/>
        <s v="Juan Pablo Vera"/>
        <s v="Eduardo Cuevas"/>
        <s v="Mauricio Melendez"/>
        <s v="Isidora Figueroa"/>
        <s v="Diego Muñoz"/>
        <s v="Freddy Díaz"/>
        <s v="Jonathan Galvez"/>
        <s v="Marcelo Mendoza"/>
        <s v="Fernando Caballero"/>
        <s v="Cristián García"/>
        <s v="Julio Herrera"/>
        <s v="Diego Troncoso"/>
        <s v="Victor Mohana Tapia"/>
        <s v="Roxana Avilés"/>
        <s v="Sebastián González"/>
        <s v="Joél Pérez "/>
        <s v="José Pizarro Aranguiz"/>
        <s v="Claudio Hernandez"/>
        <s v="Alejandro Espinosa"/>
        <s v="Pablo Quiero"/>
        <s v="Ignacio González"/>
        <s v="Nelson Rumino"/>
        <s v="Fabián González Recabarren"/>
        <s v="Matías Cid Uslar"/>
        <s v="Grace Ramon"/>
        <s v="Cristóbal Ventura"/>
        <s v="Cristian Quezada"/>
        <s v="Sophie Liao"/>
        <s v="Gonzalo Parada Provisión"/>
        <s v="Javier Salazar"/>
        <s v="Rodrigo Báez"/>
        <s v="Rodrigo Pinto H."/>
        <s v="Ricardo Miranda"/>
        <s v="Cristóbal Poblete"/>
        <s v="Erick Sanhueza Correa"/>
        <s v="Ismael Leyton Aliste practicante"/>
        <s v="Cristóbal García Wallis practicante"/>
        <s v="Felipe Espinosa Practica en informática nov.23"/>
        <s v="Patricio Vegara (EEUU)"/>
        <s v="Rodrigo Herrera"/>
        <s v="Fernando Sagastegui"/>
        <s v="Guilmer Victorio"/>
        <s v="Gonzalo Díaz"/>
        <s v="Carlos Puga Provisión"/>
        <s v="Cristián Villarroel"/>
        <s v="Dagoberto Cabañas"/>
        <s v="Osvaldo Ulloa"/>
        <s v="Max Le Clerc"/>
        <s v="Freddy Centeno"/>
        <s v="Alejandro Espinosa Factura 35 dic.2023"/>
        <s v="Rodrigo Godoy"/>
        <s v="Juan Rivera"/>
        <s v="TCONCEPTS SPA"/>
        <s v="Inversiones y Asesorías "/>
        <s v="Luis Miranda práctica prof."/>
        <s v="RV Ingenieria  Asociados Ltda."/>
        <s v="REDTEC servicios Optim.sondajes DSAL"/>
        <s v="Enrique Molina Factura 1"/>
        <s v="Enrique Molina Factura"/>
        <s v="Enrique Molina Factura 2 Provisión"/>
        <s v="Darwin Varas Diseño Losas Piscinas Hormigon"/>
        <s v="Cynthia Ordoñes - coach Osacar Cáceres"/>
        <s v="Fernando Mora"/>
        <s v="León Consulting Chile SpA ( Felipe León)"/>
        <s v="León Arzola (Electrico)"/>
        <s v="Anna Usoltceva Intrepete Español a Ruso 200 USD"/>
        <s v="José Mamani"/>
        <s v="Armando Olavarría"/>
        <s v="Clinton Yahira"/>
        <s v="Oscar Cáceres servicios"/>
        <s v="Renan Argandoña "/>
        <s v="Nadia Mery"/>
        <s v="Benjamin Morales"/>
        <s v="Pago tarjeta de crédito a favor febrero 24"/>
        <s v="Americo Zuzunaga"/>
        <s v="ERubio-MFuentes Lima-Stgo-Lima"/>
        <s v="Clinton Yahuira pjes Latam"/>
        <s v="Claudio Hernández Lima-Stgo-Lima"/>
        <s v="Cynthia y OSCAR Lima-Stgo-Lima"/>
        <s v="Andrés Budini Lima-Stgo-Lima"/>
        <s v="A.Espinoza Stgo-Lima-Stgo."/>
        <s v="A.Z-P.V-F.R.-R.P. Stgo-Calama-Stgo"/>
        <s v="N.Rumino Stgo -Calama-Stgo"/>
        <s v="R.P.-A.Z-P.V.-F.R.-N.R Antofagasta AMSA"/>
        <s v="A.Zuzunaga Lima-Sgo-Lima"/>
        <s v="Nelson Rumino La Serena"/>
        <s v="ERubio-MFuentes Lima-Stgo"/>
        <s v="E.Rubio gtos. viaje EEUU Phoenix"/>
        <s v="M-Fuentes gtos. viaje EEUU Phoenix"/>
        <s v="Hotel Cumbres estdai A. Schettino- A. Zuzunaga"/>
        <s v="Uber Cabifyc Mfuentes"/>
        <s v="Doña Tina Almuerzo Redco fin de año"/>
        <s v="Pasajes aereos E-Destino"/>
        <s v="Almuerzos/combustible E.Rubio"/>
        <s v="TC US$ viajes  Internacionales E.Rubio"/>
        <s v="TC US$ viajes  Internacionales M.Fuentes"/>
        <s v="Comisón TC. Compras Internacionales"/>
        <s v="American Airlines pasajes"/>
        <s v="Hotel Costa Real La Serena (R.P-F.M.-N.R)"/>
        <s v="Maihue máquina agua"/>
        <s v="Gastos menores "/>
        <s v="Boletas de garantía CMP intereses"/>
        <s v="Boletas de garantía CMP Comisión+i"/>
        <s v="ATX Mexico (M365 Business Standard-simple-Oficce 365)"/>
        <s v="SGS MINERALS S.A. 50%"/>
        <s v="ASMIN Industrial Ltda. Fact. 3330 PFS - Los Calatos EdP01"/>
        <s v="ASMIN Industrial Ltda. Fact. 3331 PFS - Los Calatos EdP02"/>
        <s v="Consultora Hominum SpA Fact. 23-Proceso reclutamiento ingenieros"/>
        <s v="INV. Y Asesorías Huerquehue SpA"/>
        <s v="Quadrem fact. Comisión vts. Sap Ariba "/>
        <s v="Quadrem Registro Anual "/>
        <s v="Aquiles Renovación Registro  Anual"/>
        <s v="Red Negocios Camara de Comercio Registro Anual"/>
        <s v="Chile Proveedores registro anual"/>
        <s v="Instituro Ingenieros de Chile taller"/>
        <s v="MININGMATH SOFTWARE LTDA."/>
        <s v="The Express Data LLC"/>
        <s v="Claudio Hernández viaje Sta. Cruz"/>
        <s v="Pasajes a Suecia ER-PA-MF"/>
        <s v="Pedro Aguiluz Página Web-Diseño y Stickers Cuadernos"/>
        <s v="Pedro Aguiluz Viaje EEUU"/>
        <s v="Felipe Matamoros Los Colorados"/>
        <s v="Ricardo Miranda almuerzo c/cliente"/>
        <s v="F.Matamoros Arriendo Vehiculo La Serena"/>
        <s v="Mauricio Melendez gastos viaje vista cliente"/>
        <s v="Marcelo Mendoza examenes"/>
        <s v="Pablo Quiero Fondos x R (visita Candelaria)"/>
        <s v="Felipe Rojas - Rendición gastos viaje (Adelantamiento Planta Los Colorados)"/>
        <s v="Felipe Rojas - Rendición gastos viaje (AMSA - Centinela)"/>
        <s v="M.Melendez Pjes Copiapo Latam"/>
        <s v="Reemboslo Gtos. A. Espinosa/A.Budini/Pablo Quiero"/>
        <s v="Gonzalo Díaz pjes a Chile-ANF - Proyecto Capstone"/>
        <s v="Seg. Viaje R.M.-G.A- C.H."/>
        <s v="Nicolás Ayarza rendición gastos"/>
        <s v="Eduardo Cuevas - Rendicion gastos compra ropa de trabajo (J&amp;F Urucrum)"/>
        <s v="Trompa Producciones Servicio Publicitario mensual"/>
        <s v="Trompa Producciones Servicio Publicitario mensual Abril"/>
        <s v="Trompa Producciones diciembre - febrero"/>
        <s v="Trompa Producciones pendon-volantes"/>
        <s v="ACHS examen de altura RM"/>
        <s v="Asesorías BIBA Ltda. Controlador cloud"/>
        <s v="Arriendo oficina 1104 Edif. Kennedy 100 UF"/>
        <s v="Mario Correa Arriendo dpto. 3 dormitorios+gtos.comunes+ serv."/>
        <s v="Mario Correa Arriendo dpto. 3 dormitorios+gtos.comunes+ serv. "/>
        <s v="Mario Correa Arriendo dpto. Gtos.básicos + gtos. Comunes 2 meses"/>
        <s v="Contribuciones Bs. Rs. Of."/>
        <s v="Hotel Acacias (Taller de Gestión Estrategica)"/>
        <s v="Hotel Hotech SpA"/>
        <s v="DHL EXPRESS (CHILE) LIMITADA"/>
        <s v="CONSTRUCCION SERVI TRES SPA"/>
        <s v="Emilio Sánchez Fondo por rendir viaje Brasil"/>
        <s v="PC Factory notebook y otros accs"/>
        <s v="Gladys Myriam Muñoz "/>
        <s v="Alberto Reinao (Procesos Defontana)"/>
        <s v="Cynthia Ordoñes (RRHH)"/>
        <s v="Caja Chica "/>
        <s v="Reemplazo serv aseo of (vacaciones Gladys)"/>
        <s v="Practicante Contabilidad"/>
        <s v="Isabel Marchant serv. Bono anual dic. 2023"/>
        <s v="Magaly Esquivel"/>
        <s v="Alberto Hochstetter"/>
        <s v="Back Office - REDCROSS (delta)"/>
        <s v="Paola Awilhem"/>
        <s v="Enrique Rubio"/>
        <s v="Constanza Hochstetter"/>
        <s v="Isabel Marchant"/>
        <s v="Previred"/>
        <s v="Gastos Bancarios"/>
        <s v="Gastos caja chica"/>
        <s v="Gastos caja chica abril"/>
        <s v="Gastos caja chica enero"/>
        <s v="Comunidad Edificio kennedy  mayo"/>
        <s v="Comunidad Edificio kennedy  abril"/>
        <s v="Comunidad Edificio kennedy enero"/>
        <s v="ENEL mayo"/>
        <s v="ENEL abril"/>
        <s v="ENTEL PCS Moviles mayo"/>
        <s v="ENTEL PCS Moviles abril"/>
        <s v="ENTEL Red fija e internet mayo"/>
        <s v="ENTEL Red fija e internet abril"/>
        <s v="Incova/ Inmob. Reconquista estac.187/199 mayo"/>
        <s v="Incova/ Inmob. Reconquista estac.187/199 abril"/>
        <s v="Transp. Nueva Apoquindo  Ltda. Mayo"/>
        <s v="Transp. Nueva Apoquindo  Ltda. Abril"/>
        <s v="Salcedo &amp; Cia.  Limitada (Asesoria Tributaria)"/>
        <s v="Salcedo &amp; Cia.  Limitada (Asesoria Tributaria)  marzo y abril"/>
        <s v="Tag autorpista Camoneta Ranger"/>
        <s v="Andes IP Abogados Limitada"/>
        <s v="Juan Pablo Sánches abogado (REDTEC ) Leg.representación"/>
        <s v="Seguro de Vida y Salud METLIFE REDCO"/>
        <s v="Fundación Arturo López Pérez mayo"/>
        <s v="Fundación Arturo López Pérez abril"/>
        <s v="Par Cuatro aromatizacion oficina mayo"/>
        <s v="Par Cuatro aromatizacion oficina factura abril"/>
        <s v="Marisol Corvalan Notaria"/>
        <s v="Sumiprint SPA toners impresora HP factura 565  2 Toners negro"/>
        <s v="Dsignos Spa"/>
        <s v="Cintamatrix Ltda."/>
        <s v="Prisa S.A. arts. Aseso y cocina"/>
        <s v="Factura Sumiprint SPA"/>
        <s v="Reglalo Redco hija A.Figueroa"/>
        <s v="Claudia Correo (donación camisetas futboll)"/>
        <s v="Edge SpA   3 sillas"/>
        <s v="Edo. Cuevas 1 teclado"/>
        <s v="Edo. Cuevas 1 RAM 16 GB"/>
        <s v="Holaleon SPA mural jardin infantil"/>
        <s v="Enrique Rubio reembolso gastos Redco"/>
        <s v="Cristián Flores Serv. Flexline"/>
        <s v="Gtos. personal Redco- Hamb"/>
        <s v="Novoandina desayunos"/>
        <s v="Ana Muñoz desayunos of."/>
        <s v="Escudero Lobos y Paredes Abogados (laboral)"/>
        <s v="Software DEFONTANA (Implementacion + 3M servicio)"/>
        <s v="Diego Fuente Mant. Baños of"/>
        <s v="Nespresso  Chile S.A. mayo"/>
        <s v="Nespresso  Chile S.A. abril"/>
        <s v="Bubba Chile  (mochilas Redco)"/>
        <s v="Equipos Contra incendio extintores"/>
        <s v="Accor Chile (Hotel Nova capacitación Redco)"/>
        <s v="Patente Comercial "/>
        <s v="Contribuciones Bs. Rs"/>
        <s v="Legal  Broker (R.Oyarzún poderes Bco.)"/>
        <s v="PPM  6,8%"/>
        <s v="IVA DEBITO FISCAL"/>
        <s v="IMPTO.ADICIONAL 20%"/>
        <s v="IMPTO.TIMBRE Y ESTAMPILLA"/>
        <s v="Dividendo Hipotecario Of."/>
        <s v="Préstamo Bco. Chile - Redco Perú"/>
        <s v="Forgat Crédito Bco.Chile 18 cuotas Julio-24 a Dic.25"/>
        <s v="Forgat Crédito Bco.de Chile Marzo 2021 - 33 ctas -03/24"/>
        <s v="Donación JJVV El Melón V Región"/>
        <s v="Donación Choshueco"/>
        <s v="Seguro Camioneta/Tag  "/>
        <s v="Pago Impto. Rta. AT2024 E.Rubio"/>
        <s v="Seguro de vida E.R. Colmena"/>
        <s v="Forum Crédito  cmta. Ford Ranger Raptor"/>
        <s v="Cta. Cte Redcross"/>
        <s v="Cta. Cte Redco Global Perú"/>
        <s v="Gastos Op. Redco Brasil "/>
        <s v="Gastos Redtec  Patente Comercial"/>
        <s v="Redtec Pago Imptos. único + IVA Débito"/>
        <s v="Redtec Honorarios Maximo Leclerc"/>
        <s v="Redtec Camara Chilena China de Comercio Ind ."/>
        <s v="DSIGNOS implementación of. 1502 R+Ingineering"/>
        <s v="Jorman Barrera"/>
        <s v="Carlos Catalán"/>
        <s v="Carlos Morante"/>
        <s v="Rodrigo Cori Córdova"/>
        <s v="Gino Espinoza"/>
        <s v="Kevin Rios"/>
        <s v="Edward Torres"/>
        <s v="Jhonatan Mandujano"/>
        <s v="Johnny Pacheco"/>
        <s v="Victor Arias"/>
        <s v="Jessica Rojas"/>
        <s v="Luis Camasca"/>
        <s v="Miguel Jesus"/>
        <s v="Paolo Tito"/>
        <s v="Thalia Rimac"/>
        <s v="VILLANUEVA CRISTOBAL PAOLO CESAR"/>
        <s v="Andree del Castillo"/>
        <s v="Arnold Tadeo"/>
        <s v="Jarold Orna"/>
        <s v="Eduardo Sanchez"/>
        <s v="Jhonatan Huaynate"/>
        <s v="Eduardo Lama"/>
        <s v="Josue Tello Olivas"/>
        <s v="Walter Lupinta"/>
        <s v="Angelo Patri Carbajal"/>
        <s v="Luis Chumpitaz"/>
        <s v="Jose Mamani"/>
        <s v="Pedro Ccanto"/>
        <s v="Lincoln Esteban Perez"/>
        <s v="Yosep Aviles"/>
        <s v="Clinton Yahuira"/>
        <s v="Omar Meléndez Huamán"/>
        <s v="CARLOS CARMELO HIDALGO"/>
        <s v="Guillermo Ricaldi"/>
        <s v="WILLY SALDAÑA CORTEZ"/>
        <s v="Mateo Villanueva"/>
        <s v="Edson Susanibar"/>
        <s v="ALEXANDER ROJAS FLORES"/>
        <s v="ARTURO MARTIN RAMOS YATACO"/>
        <s v="MARIN CHUJANDAMA FELIPE"/>
        <s v="OFIR EDUARDO HUATUCO LOZANO"/>
        <s v="CARDENAS PORRAS VICTOR"/>
        <s v="Joseph Livia"/>
        <s v="SERVICIO DE ASESORIA LEGAL    "/>
        <s v="SERVICIO CONTABLE             "/>
        <s v="SERVICIO ASESORIA MINERA"/>
        <s v="SERVICIO EN ASESORIA EN VENTILACION"/>
        <s v="PASAJE AMERICO ZUZUNAGA A CAJAMARCA"/>
        <s v="Reembolso por pasaje Lima Chile Lima Carlos Morante"/>
        <s v="Pasaje Gino Espinoza"/>
        <s v="Viaje Tacna - Americo y Jorman"/>
        <s v="Viaje Juliaca - Pablo Quiero ; Jarold Horna"/>
        <s v="Viaje Santiago - Pablo Quiero"/>
        <s v="Viaje Santiago - Americo y Jorman"/>
        <s v="Viaje Chile - Cusco, Claudio Hernandez"/>
        <s v="Viaje Chile - Jorman Barrera"/>
        <s v="Viaje Juliaca - Jhony Pacheco"/>
        <s v="Viaje Lima - Jorman Barrera"/>
        <s v="Cambio Pasaje Jhony Pacheco - JUliaca"/>
        <s v="CARLOS CATALÁN compra de sus pasajes de Chiclayo a Lima. "/>
        <s v="Viaje Brasil - Arnold Tadeo"/>
        <s v="Viaje Chile - Jhonatan Mandujano"/>
        <s v="Viaje Chile - RODRIGO LEONARDO BAEZ VERGARA"/>
        <s v="PASAJES AEREOS"/>
        <s v="Estadía en Cajamarca de Américo Zuzunaga"/>
        <s v="Viáticos viaje a Chile Carlos Morante"/>
        <s v="ESTADIA CLAUDIO HERNANDEZ"/>
        <s v="Viáticos viaje Brasil Jarold Orna"/>
        <s v="REEMBOLSO POR VIAJE A CHILE Americo Zuzunaga"/>
        <s v="Alojamiento Oscar Cáceres"/>
        <s v="Reembolso viaje AMSA Americo Zuzunaga"/>
        <s v="Reembolso movilidades viaje USA Carlos Morante"/>
        <s v="Alojamiento Alejandro Espinoza / Osca Cáceres"/>
        <s v="Hospedaje Moquegua - Americo y Jorman"/>
        <s v="Hospedaje Pablo Quiero"/>
        <s v="Transporte a Moquegua"/>
        <s v="Reembolso viaje Chile - Americo"/>
        <s v="Reembolso viaje Juliaca - Jarold"/>
        <s v="Estadia Juan Rivera"/>
        <s v="Reembolso viaje mina Los Calatos"/>
        <s v="Estadia Felipe Matamoros"/>
        <s v="Visita proyecto Arequipa  Chapi - Americo"/>
        <s v="Reembolso Los Calatos - Americo"/>
        <s v="Reembolso Proyecto Chapi - Jhony Pacheco"/>
        <s v="Reembolso viaticos chile - Jarold Orna"/>
        <s v="Reembolso viaticos chile - Jhonatan Huaynate"/>
        <s v="Viaticos Jarold Orna "/>
        <s v="GASTOS VIAJE BRASIL - Kevin Rios"/>
        <s v="Estadía Rodrigo Baez"/>
        <s v="Estadía Claudio Hernández"/>
        <s v="Alojamiento"/>
        <s v="FACTORING"/>
        <s v="APERTURA CARTA FIANZA"/>
        <s v="CUENTA GARANTIA FACTORING"/>
        <s v="CAPACITACION PERSONAL"/>
        <s v="GASTOS CARTA FIANZA"/>
        <s v="TARJETA DE CREDITO EMPRESARIAL"/>
        <s v="ALQUILER OFICINA"/>
        <s v="SEGUROS"/>
        <s v="OTROS GASTOS"/>
        <s v="COMPRA EQUIPOS DE COMPUTO"/>
        <s v="COMPRAS REDTEC GLOBAL"/>
        <s v="IGV"/>
        <s v="IGV NO DOMICILIADO (CREDITO POSTERIOR)"/>
        <s v="REDCO Cuenta Corriente EERR"/>
        <s v="REDCO Consultants (BVI)"/>
        <s v="REDCROSS Servicios BackOffice"/>
        <s v="Nilcélio José Dos Santos"/>
        <s v="Maria Célia P. Fonseca"/>
        <s v="Antônio Alberto Fróes Schettino"/>
        <s v="SERVICIO CONTABLE - Consultoria"/>
        <s v="SERVICIO ASESORIA MINERA - Comissão Antonio"/>
        <s v="SERVICIO ASSESORIA PROJ. DUE DILLIGENCE J&amp;F (Avalicon &amp; Integratio)"/>
        <s v="Visita Cajati (VGR)"/>
        <s v="Visita Araxá (VGR)"/>
        <s v="Visita CTV (VGR)"/>
        <s v="Visita Chile (VGR)"/>
        <s v="Visita Vale e Equinox (VGR)"/>
        <s v="Visita Vale Gongo Soco (VGR)"/>
        <s v="Visita Cajati (Redco)"/>
        <s v="Visita Araxá (Redco)"/>
        <s v="Visita CTV (Redco)"/>
        <s v="Visita Chile (Redco)"/>
        <s v="Visita Vale e Equinox (Redco)"/>
        <s v="Visita Vale Gongo Soco (Redco)"/>
        <s v="Feira Internacional EUA - Antônio"/>
        <s v="Visita J&amp;F - Work Shop"/>
        <s v="Visita J&amp;F - Missão Corumbá"/>
        <s v="Viaje Ricardo/Antonio a Chile"/>
        <s v="Visita J&amp;F"/>
        <s v="Visita Ricardo Miranda a Brasil"/>
        <s v="Hotel Antonio Chile"/>
        <s v="Exposibram"/>
        <s v="Visita CTV (VGR) - Adiantamento Kevin"/>
        <s v="Visita Vale BH e Equinox (VGR)"/>
        <s v="Visita J&amp;F - Work Shop e Corumbá"/>
        <s v="Visita J&amp;F (VGR)"/>
        <s v="Feira EUA"/>
        <s v="Visita à Brasil - Ricardo Miranda"/>
        <s v="Reembolso viaje AS a Chile"/>
        <s v="Exposibr - Seminario OP"/>
        <s v="Traslado Contabilidade, Reuniões Inst."/>
        <s v="COMPRA DE SOFTWARE"/>
        <s v="1) FGTS ARRECADACAO GRF                  "/>
        <s v="DARF        - 49.198.154/0001-29 -5952"/>
        <s v="DARF        - 49.198.154/0001-29 -1708"/>
        <s v="RFB-DARF CODIGO DE BARRAS             "/>
        <s v="PREFEITURA NL     "/>
        <s v="DARF        - 49.198.154/0001-29 -2372"/>
        <s v="DARF        - 49.198.154/0001-29 -2089"/>
        <s v="SECRETARIA DA FAZENDA"/>
        <s v="Ricardo Miranda D." u="1"/>
        <s v="Ingeniero de Prevención de riesgo Provisión" u="1"/>
        <s v="Dibujante Técnico Provisión" u="1"/>
        <s v="Aguinaldos" u="1"/>
        <s v="Aguinaldo" u="1"/>
        <s v="ARNALDO LUIS ARANDA AGUIRRE" u="1"/>
        <s v="Nicélio José dos Santos" u="1"/>
        <s v="Maria Célia Fonseca" u="1"/>
        <s v="Antonio Schettino" u="1"/>
        <s v="Traslado Contabilidade" u="1"/>
        <s v="Maximo Leclerc" u="1"/>
        <s v="Boletas de garantía CMP " u="1"/>
        <s v="Nicolas Ayarza - Proyecto Capstone" u="1"/>
        <s v="Patente Comercial 1er semestre" u="1"/>
        <s v="Noemi Plaza práctica contabilidad" u="1"/>
        <s v="Gastos caja chica desfazado" u="1"/>
        <s v="Comunidad Edificio kennedy " u="1"/>
        <s v="Comunidad Edificio kennedy desfazado" u="1"/>
        <s v="ENEL" u="1"/>
        <s v="ENTEL PCS Moviles " u="1"/>
        <s v="ENTEL Red fija e internet" u="1"/>
        <s v="ENTEL PCS Moviles e Internet desfazado" u="1"/>
        <s v="Incova/ Inmob. Reconquista estac.187/199" u="1"/>
        <s v="Incova/ Inmob. Reconquista estac.187/199 desfazado" u="1"/>
        <s v="Transp. Nueva Apoquindo  Ltda." u="1"/>
        <s v="Transp. Nueva Apoquindo  Ltda. desfazado" u="1"/>
        <s v="Salcedo &amp; Cia.  Limitada (Asesoria Tributaria) desfazado" u="1"/>
        <s v="Andes IP Abogados Limitad/ término tramite INAPI" u="1"/>
        <s v="Fundación Arturo López Pérez" u="1"/>
        <s v="Fundación Arturo López Pérez desfazado" u="1"/>
        <s v="Par Cuatro aromatizacion oficina" u="1"/>
        <s v="Par Cuatro aromatizacion oficina factura desfazado" u="1"/>
        <s v="Nespresso  Chile S.A." u="1"/>
        <s v="Credito REDCO Perú" u="1"/>
        <s v="Estadia Julio Rivera" u="1"/>
        <s v="Gonzalo Díaz pjes a Chile-ANF" u="1"/>
        <s v="BENEFICIOS SOCIALES" u="1"/>
        <s v="Nva. Contratación Ingeniero Especialista" u="1"/>
        <s v="Nva. Contratación Eléctrico Senior" u="1"/>
        <s v="Nva. Contratación Senior Estructural" u="1"/>
        <s v="Nva. Contratación Geoólogo" u="1"/>
        <s v="Back Office - REDCROSS (Sueldos )" u="1"/>
        <s v="Cotizaciones Previsionales" u="1"/>
        <s v="RENTA" u="1"/>
        <s v="PLANILLA" u="1"/>
        <s v="Impto. 10% Retenidos Honorarios" u="1"/>
        <s v="Impuesto Unico Trabajadores" u="1"/>
        <s v="Viaje 4" u="1"/>
        <s v="Viaje 5" u="1"/>
        <s v="Viaje 9" u="1"/>
        <s v="Viaje 10" u="1"/>
        <s v="Viaje 11" u="1"/>
        <s v="ENTEL PCS Moviles e Internet enero" u="1"/>
        <s v="Incova/ Inmob. Reconquista estac.187/199 enero" u="1"/>
        <s v="Transp. Nueva Apoquindo  Ltda. Enero" u="1"/>
        <s v="Salcedo &amp; Cia.  Limitada (Asesoria Tributaria) enero" u="1"/>
        <s v="Fundación Arturo López Pérez enero" u="1"/>
        <s v="Par Cuatro aromatizacion oficina factura enero" u="1"/>
        <s v="Segundo Fuentes Bta. (B.anual MF)" u="1"/>
      </sharedItems>
    </cacheField>
    <cacheField name="Clasificación 1" numFmtId="0">
      <sharedItems count="8">
        <s v="Gasto Operacional"/>
        <s v="Gasto Comercial"/>
        <s v="G&amp;A"/>
        <s v="Gasto del Dueño"/>
        <s v="Impuesto Operacional" u="1"/>
        <s v="REDTEC" u="1"/>
        <s v="Honorario Operacional" u="1"/>
        <s v="Gasto Tributario" u="1"/>
      </sharedItems>
    </cacheField>
    <cacheField name="Clasificación 2" numFmtId="0">
      <sharedItems count="15">
        <s v="Sueldos"/>
        <s v="Extras personas"/>
        <s v="Externo"/>
        <s v="Oficina"/>
        <s v="Viajes"/>
        <s v="Compañía"/>
        <s v="Comercial"/>
        <s v="Bancarios"/>
        <s v="Dueño"/>
        <s v="Impuestos"/>
        <s v="Personal" u="1"/>
        <s v="Mano de Obra" u="1"/>
        <s v="Viaje" u="1"/>
        <s v="Clientes" u="1"/>
        <s v="Marketing" u="1"/>
      </sharedItems>
    </cacheField>
    <cacheField name="Clasificación 3" numFmtId="0">
      <sharedItems count="61">
        <s v="Sueldo"/>
        <s v="Asociado a sueldo"/>
        <s v="REDTEC"/>
        <s v="Pago servicio"/>
        <s v="Tarjeta"/>
        <s v="Pasaje"/>
        <s v="Alojamiento"/>
        <s v="Traslado"/>
        <s v="Evento"/>
        <s v="Varios"/>
        <s v="Boleta"/>
        <s v="Software"/>
        <s v="Registro Proveedores"/>
        <s v="Otro"/>
        <s v="Rendición"/>
        <s v="Examenes"/>
        <s v="Seguro"/>
        <s v="Publicidad"/>
        <s v="Asesoria"/>
        <s v="Arriendo"/>
        <s v="Contribuciones"/>
        <s v="Computación"/>
        <s v="Caja Chica"/>
        <s v="EERR"/>
        <s v="REDCROSS"/>
        <s v="Banco"/>
        <s v="GGCC"/>
        <s v="Telefonia"/>
        <s v="Estacionamiento"/>
        <s v="TAG"/>
        <s v="Tintas"/>
        <s v="Regalo"/>
        <s v="Donación"/>
        <s v="Reembolso"/>
        <s v="Seguridad"/>
        <s v="Capacitación"/>
        <s v="Patente"/>
        <s v="Impuesto"/>
        <s v="Dividendo"/>
        <s v="Prestamo"/>
        <s v="Credito"/>
        <s v="Pasajes"/>
        <s v="Viáticos"/>
        <s v="Transporte"/>
        <s v="Factoring"/>
        <s v="Carta Fianza"/>
        <s v="Otros"/>
        <s v="Alimentación"/>
        <s v="Seguros"/>
        <s v="Equipos"/>
        <s v="Caja Chile" u="1"/>
        <s v="Asesoria legal" u="1"/>
        <s v="Contabilidad" u="1"/>
        <s v="Bono" u="1"/>
        <s v="Laboratorio" u="1"/>
        <s v="Cotizaciones" u="1"/>
        <s v="Comisión" u="1"/>
        <s v="Aguinaldo" u="1"/>
        <s v="Beneficio" u="1"/>
        <s v="Impuestos" u="1"/>
        <s v="Beneficios" u="1"/>
      </sharedItems>
    </cacheField>
    <cacheField name="Clasificación 4" numFmtId="0">
      <sharedItems containsMixedTypes="1" containsNumber="1" containsInteger="1" minValue="0" maxValue="0" count="25">
        <s v="0"/>
        <s v="OT-IEL-UG-FEL2A-060-A"/>
        <s v="CH-CMP-CS-FEL00-040-A"/>
        <s v="RU-SEL-UG-FEL2A-072-A"/>
        <s v="CH-AMS-CS-OTR00-063-A"/>
        <s v="CH-CMP-UG-FEL03-093-A"/>
        <s v="BR-NEX-UG-FEL2A-027-A"/>
        <s v="CH-CMP-OP-OTR00-018-A"/>
        <s v="BR-J&amp;F-CS-OTR00-100-A"/>
        <s v="PE-CSC-UG-FEL2A-023-A"/>
        <s v="CH-CMP-OU-FEL2A-033-A"/>
        <s v="OT-EMX-CS-OTR00-087-A"/>
        <s v="CH-BSC-UG-OTR00-073-A"/>
        <s v="CH-AMS-CS-OTR00-075-A"/>
        <s v="CH-LUN-CS-OTR00-069-A"/>
        <s v="CH-CMP-OU-FEL2A-041-A"/>
        <s v="CH-CCO-OP-FEL00-078-A"/>
        <s v="BR-J&amp;F-UG-FEL03-048-A"/>
        <s v="PE-MSR-GM-OTR00-092-A"/>
        <s v="CH-BSA-CS-OTR00-052-A"/>
        <s v="PE-MMG-OU-FEL00-022-A"/>
        <s v="PE-COR-UG-FEL00-076-A"/>
        <s v="BR-MOS-OU-FEL03-026-A"/>
        <s v="BR-MOS-UG-FEL01-028-A"/>
        <n v="0" u="1"/>
      </sharedItems>
    </cacheField>
    <cacheField name="Atributo" numFmtId="0">
      <sharedItems containsSemiMixedTypes="0" containsNonDate="0" containsDate="1" containsString="0" minDate="2024-01-01T00:00:00" maxDate="2025-01-01T00:00:00" count="13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4-12-31T00:00:00"/>
      </sharedItems>
      <fieldGroup par="11"/>
    </cacheField>
    <cacheField name="Valor USD" numFmtId="0">
      <sharedItems containsString="0" containsBlank="1" containsNumber="1" minValue="-556.87" maxValue="321484.53999999998"/>
    </cacheField>
    <cacheField name="País" numFmtId="0">
      <sharedItems count="3">
        <s v="Chile"/>
        <s v="Perú"/>
        <s v="Brasil"/>
      </sharedItems>
    </cacheField>
    <cacheField name="Días (Atributo)" numFmtId="0" databaseField="0">
      <fieldGroup base="7">
        <rangePr groupBy="days" startDate="2024-01-01T00:00:00" endDate="2025-01-01T00:00:00"/>
        <groupItems count="368">
          <s v="&lt;01-01-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-01-2025"/>
        </groupItems>
      </fieldGroup>
    </cacheField>
    <cacheField name="Meses (Atributo)" numFmtId="0" databaseField="0">
      <fieldGroup base="7">
        <rangePr groupBy="months" startDate="2024-01-01T00:00:00" endDate="2025-01-01T00:00:00"/>
        <groupItems count="14">
          <s v="&lt;01-01-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5666.822036226855" backgroundQuery="1" createdVersion="8" refreshedVersion="8" minRefreshableVersion="3" recordCount="6300" xr:uid="{7D2D459A-FD6F-4299-97D5-5D3F2F2B2D60}">
  <cacheSource type="external" connectionId="10"/>
  <cacheFields count="12">
    <cacheField name="Nombre de Teams" numFmtId="0">
      <sharedItems containsBlank="1" count="94">
        <s v="Alex Pacheco"/>
        <s v="Matías Fuentes"/>
        <s v="Olesya Dashavskaya"/>
        <s v="Felipe Matamoros"/>
        <s v="Felipe Rojas"/>
        <s v="Pedro Aguiluz"/>
        <s v="Alex Figueroa"/>
        <s v="Felipe Lira"/>
        <s v="Nicolás Ayarza"/>
        <s v="Francisco Bello"/>
        <s v="Cristian Alarcón"/>
        <s v="Emilio Sánchez"/>
        <s v="Andrés Budini"/>
        <s v="Daniela Oyarzo"/>
        <s v="Nicolás Sanzana"/>
        <s v="Gerson Alfaro"/>
        <s v="Juan Pablo Vera"/>
        <s v="Eduardo Cuevas"/>
        <s v="Mauricio Melendez"/>
        <s v="Isidora Figueroa"/>
        <s v="Diego Muñoz"/>
        <s v="Freddy Diaz"/>
        <s v="Jonathan Galvez"/>
        <s v="Marcelo Mendoza"/>
        <s v="Fernando Caballero"/>
        <s v="Cristian García"/>
        <s v="Julio Herrera"/>
        <s v="Diego Troncoso"/>
        <s v="Victor Mohana"/>
        <s v="Roxana Avilés Diaz"/>
        <m/>
        <s v="José Pizarro Aranguiz"/>
        <s v="Claudio Hernandez"/>
        <s v="Alejandro Espinosa"/>
        <s v="Pablo Quiero"/>
        <s v="Ignacio Gonzalez"/>
        <s v="Nelson Rumino"/>
        <s v="Fabian Gonzalez"/>
        <s v="Matias Cid"/>
        <s v="Grace Ramón"/>
        <s v="Cristóbal Ventura"/>
        <s v="Cristian Quezada"/>
        <s v="Sophie Liao"/>
        <s v="Javier Salazar"/>
        <s v="Rodrigo Baez"/>
        <s v="Rodrigo Pinto"/>
        <s v="Ricardo Miranda"/>
        <s v="Patricio Vergara"/>
        <s v="Osvaldo Ulloa"/>
        <s v="Max Le Clerc"/>
        <s v="Jose Mamani"/>
        <s v="Clinton Yahuira"/>
        <s v="Americo Zuzunaga"/>
        <s v="Gladys Muñoz"/>
        <s v="Cynthia Ordoñez"/>
        <s v="Enrique Rubio"/>
        <s v="Isabel Marchant"/>
        <s v="Jorman Barrera"/>
        <s v="Carlos Catalán"/>
        <s v="Carlos Morante"/>
        <s v="Rodrigo Cori Córdova"/>
        <s v="Gino Espinoza"/>
        <s v="Kevin Rios"/>
        <s v="Edward Torres"/>
        <s v="Jhonatan Mandujano"/>
        <s v="Johnny Pacheco"/>
        <s v="Victor Arias"/>
        <s v="Jessica Rojas"/>
        <s v="Luis Camasca"/>
        <s v="Miguel Jesus"/>
        <s v="Paolo Tito"/>
        <s v="Thalia Rimac"/>
        <s v="Andree del Castillo"/>
        <s v="Arnold Tadeo"/>
        <s v="Jarold Orna"/>
        <s v="Eduardo Sanchez"/>
        <s v="Jhonatan Huaynate"/>
        <s v="Eduardo Lama"/>
        <s v="Josue Tello Olivas"/>
        <s v="Walter Lupinta"/>
        <s v="Angelo Patri Carbajal"/>
        <s v="Luis Chumpitaz"/>
        <s v="Pedro Ccanto"/>
        <s v="Lincoln Esteban Perez"/>
        <s v="Yosep Aviles"/>
        <s v="Omar Meléndez Huamán"/>
        <s v="Guillermo Ricaldi"/>
        <s v="Mateo Villanueva"/>
        <s v="Edson Susanibar"/>
        <s v="Nilcélio José Dos Santos"/>
        <s v="Maria Célia Fonseca"/>
        <s v="Antonio Schettino" u="1"/>
        <s v="Sebastian Gonzalez Santander" u="1"/>
        <s v="Joel Perez Catalan" u="1"/>
      </sharedItems>
    </cacheField>
    <cacheField name="Clasificación 0" numFmtId="0">
      <sharedItems containsBlank="1" count="4">
        <s v="Fijo"/>
        <s v="Variable"/>
        <s v="Adicionales"/>
        <m u="1"/>
      </sharedItems>
    </cacheField>
    <cacheField name="Detalle" numFmtId="0">
      <sharedItems count="486">
        <s v="Alex Pacheco C."/>
        <s v="Matías Fuentes B."/>
        <s v="Olesya Dashavskaya"/>
        <s v="Felipe Matamoros C."/>
        <s v="Felipe Rojas Z."/>
        <s v="Pedro Aguiluz P."/>
        <s v="Alex Figueroa"/>
        <s v="Felipe Lira A."/>
        <s v="Nicolás Ayarza D."/>
        <s v="Francisco Bello Moreno"/>
        <s v="Cristián  Alarcón"/>
        <s v="Emilio Sánchez"/>
        <s v="Andrés Budini M."/>
        <s v="Daniela Oyarzo E."/>
        <s v="Nicolás Sanzana"/>
        <s v="Gerson Alfaro"/>
        <s v="Juan Pablo Vera"/>
        <s v="Eduardo Cuevas"/>
        <s v="Mauricio Melendez"/>
        <s v="Isidora Figueroa"/>
        <s v="Diego Muñoz"/>
        <s v="Freddy Díaz"/>
        <s v="Jonathan Galvez"/>
        <s v="Marcelo Mendoza"/>
        <s v="Fernando Caballero"/>
        <s v="Cristián García"/>
        <s v="Julio Herrera"/>
        <s v="Diego Troncoso"/>
        <s v="Victor Mohana Tapia"/>
        <s v="Roxana Avilés"/>
        <s v="Sebastián González"/>
        <s v="Joél Pérez "/>
        <s v="José Pizarro Aranguiz"/>
        <s v="Claudio Hernandez"/>
        <s v="Alejandro Espinosa"/>
        <s v="Pablo Quiero"/>
        <s v="Ignacio González"/>
        <s v="Nelson Rumino"/>
        <s v="Fabián González Recabarren"/>
        <s v="Matías Cid Uslar"/>
        <s v="Grace Ramon"/>
        <s v="Cristóbal Ventura"/>
        <s v="Cristian Quezada"/>
        <s v="Sophie Liao"/>
        <s v="Gonzalo Parada Provisión"/>
        <s v="Javier Salazar"/>
        <s v="Rodrigo Báez"/>
        <s v="Rodrigo Pinto H."/>
        <s v="Ricardo Miranda"/>
        <s v="Cristóbal Poblete"/>
        <s v="Erick Sanhueza Correa"/>
        <s v="Darwin Varas"/>
        <s v="Germán Soto"/>
        <s v="Eduardo Morales"/>
        <s v="Carolina Arcos"/>
        <s v="Ismael Leyton Aliste practicante"/>
        <s v="Cristóbal García Wallis practicante"/>
        <s v="Felipe Espinosa Practica en informática nov.23"/>
        <s v="Patricio Vegara (EEUU)"/>
        <s v="Rodrigo Herrera"/>
        <s v="Fernando Sagastegui"/>
        <s v="Guilmer Victorio"/>
        <s v="Gonzalo Díaz"/>
        <s v="Carlos Puga Provisión"/>
        <s v="Cristián Villarroel"/>
        <s v="Dagoberto Cabañas"/>
        <s v="Osvaldo Ulloa"/>
        <s v="Max Le Clerc"/>
        <s v="Freddy Centeno"/>
        <s v="Alejandro Espinosa Factura 35 dic.2023"/>
        <s v="Rodrigo Godoy"/>
        <s v="Juan Rivera"/>
        <s v="TCONCEPTS SPA"/>
        <s v="Inversiones y Asesorías "/>
        <s v="Luis Miranda práctica prof."/>
        <s v="RV Ingenieria  Asociados Ltda."/>
        <s v="REDTEC servicios Optim.sondajes DSAL"/>
        <s v="Enrique Molina Factura 1"/>
        <s v="Enrique Molina Factura"/>
        <s v="Enrique Molina Factura 2 Provisión"/>
        <s v="Darwin Varas Diseño Losas Piscinas Hormigon"/>
        <s v="Cynthia Ordoñes - coach Osacar Cáceres"/>
        <s v="Fernando Mora"/>
        <s v="León Consulting Chile SpA ( Felipe León)"/>
        <s v="León Arzola (Electrico)"/>
        <s v="Anna Usoltceva Intrepete Español a Ruso 200 USD"/>
        <s v="José Mamani"/>
        <s v="Armando Olavarría"/>
        <s v="Clinton Yahira"/>
        <s v="Oscar Cáceres servicios"/>
        <s v="Renan Argandoña "/>
        <s v="Nadia Mery"/>
        <s v="Benjamin Morales"/>
        <s v="Fabian Aguirre "/>
        <s v="Cristian Caviedes"/>
        <s v="Carlos Castañeda"/>
        <s v="Pago tarjeta de crédito a favor febrero 24"/>
        <s v="Americo Zuzunaga"/>
        <s v="ERubio-MFuentes Lima-Stgo-Lima"/>
        <s v="Clinton Yahuira pjes Latam"/>
        <s v="Claudio Hernández Lima-Stgo-Lima"/>
        <s v="Cynthia y OSCAR Lima-Stgo-Lima"/>
        <s v="Andrés Budini Lima-Stgo-Lima"/>
        <s v="A.Espinoza Stgo-Lima-Stgo."/>
        <s v="A.Z-P.V-F.R.-R.P. Stgo-Calama-Stgo"/>
        <s v="N.Rumino Stgo -Calama-Stgo"/>
        <s v="R.P.-A.Z-P.V.-F.R.-N.R Antofagasta AMSA"/>
        <s v="A.Zuzunaga Lima-Sgo-Lima"/>
        <s v="Nelson Rumino La Serena"/>
        <s v="ERubio-MFuentes Lima-Stgo"/>
        <s v="E.Rubio gtos. viaje EEUU Phoenix"/>
        <s v="M-Fuentes gtos. viaje EEUU Phoenix"/>
        <s v="Hotel Cumbres estdai A. Schettino- A. Zuzunaga"/>
        <s v="Uber Cabifyc Mfuentes"/>
        <s v="Doña Tina Almuerzo Redco fin de año"/>
        <s v="Pasajes aereos E-Destino"/>
        <s v="Almuerzos/combustible E.Rubio"/>
        <s v="TC US$ viajes  Internacionales E.Rubio"/>
        <s v="TC US$ viajes  Internacionales M.Fuentes"/>
        <s v="Comisón TC. Compras Internacionales"/>
        <s v="American Airlines pasajes"/>
        <s v="Hotel Costa Real La Serena (R.P-F.M.-N.R)"/>
        <s v="Maihue máquina agua"/>
        <s v="Gastos menores "/>
        <s v="Boletas de garantía CMP intereses"/>
        <s v="Boletas de garantía CMP Comisión+i"/>
        <s v="ATX Mexico (M365 Business Standard-simple-Oficce 365)"/>
        <s v="SGS MINERALS S.A. 50%"/>
        <s v="ASMIN Industrial Ltda. Fact. 3330 PFS - Los Calatos EdP01"/>
        <s v="ASMIN Industrial Ltda. Fact. 3331 PFS - Los Calatos EdP02"/>
        <s v="Consultora Hominum SpA Fact. 23-Proceso reclutamiento ingenieros"/>
        <s v="INV. Y Asesorías Huerquehue SpA"/>
        <s v="Quadrem fact. Comisión vts. Sap Ariba "/>
        <s v="Quadrem Registro Anual "/>
        <s v="Aquiles Renovación Registro  Anual"/>
        <s v="Red Negocios Camara de Comercio Registro Anual"/>
        <s v="Chile Proveedores registro anual"/>
        <s v="Instituro Ingenieros de Chile taller"/>
        <s v="MININGMATH SOFTWARE LTDA."/>
        <s v="The Express Data LLC"/>
        <s v="Claudio Hernández viaje Sta. Cruz"/>
        <s v="Pasajes a Suecia ER-PA-MF"/>
        <s v="Pedro Aguiluz Página Web-Diseño y Stickers Cuadernos"/>
        <s v="Pedro Aguiluz Viaje EEUU"/>
        <s v="Felipe Matamoros Los Colorados"/>
        <s v="Ricardo Miranda almuerzo c/cliente"/>
        <s v="F.Matamoros Arriendo Vehiculo La Serena"/>
        <s v="Mauricio Melendez gastos viaje vista cliente"/>
        <s v="Marcelo Mendoza examenes"/>
        <s v="Pablo Quiero Fondos x R (visita Candelaria)"/>
        <s v="Felipe Rojas - Rendición gastos viaje (Adelantamiento Planta Los Colorados)"/>
        <s v="Felipe Rojas - Rendición gastos viaje (AMSA - Centinela)"/>
        <s v="M.Melendez Pjes Copiapo Latam"/>
        <s v="Reemboslo Gtos. A. Espinosa/A.Budini/Pablo Quiero"/>
        <s v="Gonzalo Díaz pjes a Chile-ANF - Proyecto Capstone"/>
        <s v="Seg. Viaje R.M.-G.A- C.H."/>
        <s v="Nicolás Ayarza rendición gastos"/>
        <s v="Eduardo Cuevas - Rendicion gastos compra ropa de trabajo (J&amp;F Urucrum)"/>
        <s v="Trompa Producciones Servicio Publicitario mensual"/>
        <s v="Trompa Producciones Servicio Publicitario mensual Abril"/>
        <s v="Trompa Producciones diciembre - febrero"/>
        <s v="Trompa Producciones pendon-volantes"/>
        <s v="ACHS examen de altura RM"/>
        <s v="Asesorías BIBA Ltda. Controlador cloud"/>
        <s v="Arriendo oficina 1502 + estac-Edif. Kennedy 85 UF"/>
        <s v="Mario Correa Arriendo dpto. 3 dormitorios+gtos.comunes+ serv."/>
        <s v="Mario Correa Arriendo dpto. 3 dormitorios+gtos.comunes+ serv. "/>
        <s v="Mario Correa Arriendo dpto. Gtos.básicos + gtos. Comunes 2 meses"/>
        <s v="Contribuciones Bs. Rs. Of."/>
        <s v="Hotel Acacias (Taller de Gestión Estrategica)"/>
        <s v="Hotel Hotech SpA"/>
        <s v="DHL EXPRESS (CHILE) LIMITADA"/>
        <s v="CONSTRUCCION SERVI TRES SPA"/>
        <s v="Emilio Sánchez Fondo por rendir viaje Brasil"/>
        <s v="PC Factory notebook y otros accs"/>
        <s v="Gladys Myriam Muñoz "/>
        <s v="Alberto Reinao (Procesos Defontana)"/>
        <s v="Cynthia Ordoñes (RRHH)"/>
        <s v="Caja Chica "/>
        <s v="Reemplazo serv aseo of (vacaciones Gladys)"/>
        <s v="Victoria Franz Contabilidad"/>
        <s v="Isabel Marchant serv. Bono anual dic. 2023"/>
        <s v="Magaly Esquivel"/>
        <s v="Alberto Hochstetter"/>
        <s v="Back Office - REDCROSS (delta)"/>
        <s v="Paola Awilhem"/>
        <s v="Enrique Rubio"/>
        <s v="Constanza Hochstetter"/>
        <s v="Isabel Marchant"/>
        <s v="Previred"/>
        <s v="Gastos Bancarios"/>
        <s v="Gastos caja chica"/>
        <s v="Gastos caja chica abril"/>
        <s v="Gastos caja chica enero"/>
        <s v="Comunidad Edificio kennedy  mayo"/>
        <s v="Comunidad Edificio kennedy  abril"/>
        <s v="Comunidad Edificio kennedy enero"/>
        <s v="ENEL mayo"/>
        <s v="ENEL abril"/>
        <s v="ENTEL PCS Moviles mayo"/>
        <s v="ENTEL PCS Moviles abril"/>
        <s v="ENTEL Red fija e internet mayo"/>
        <s v="ENTEL Red fija e internet abril"/>
        <s v="Incova/ Inmob. Reconquista estac.187/199 mayo"/>
        <s v="Incova/ Inmob. Reconquista estac.187/199 abril"/>
        <s v="Transp. Nueva Apoquindo  Ltda. Mayo"/>
        <s v="Transp. Nueva Apoquindo  Ltda. Abril"/>
        <s v="Salcedo &amp; Cia.  Limitada (Asesoria Tributaria)"/>
        <s v="Salcedo &amp; Cia.  Limitada (Asesoria Tributaria)  marzo y abril"/>
        <s v="Tag autorpista Camoneta Ranger"/>
        <s v="Andes IP Abogados Limitada"/>
        <s v="Juan Pablo Sánches abogado (REDTEC ) Leg.representación"/>
        <s v="Seguro de Vida y Salud METLIFE REDCO"/>
        <s v="Fundación Arturo López Pérez mayo"/>
        <s v="Fundación Arturo López Pérez abril"/>
        <s v="Par Cuatro aromatizacion oficina mayo"/>
        <s v="Par Cuatro aromatizacion oficina factura abril"/>
        <s v="Marisol Corvalan Notaria"/>
        <s v="Sumiprint SPA toners impresora HP factura 565  2 Toners negro"/>
        <s v="Dsignos Spa"/>
        <s v="Cintamatrix Ltda."/>
        <s v="Prisa S.A. arts. Aseso y cocina"/>
        <s v="Factura Sumiprint SPA"/>
        <s v="Reglalo Redco hija A.Figueroa"/>
        <s v="Claudia Correo (donación camisetas futboll)"/>
        <s v="Edge SpA   3 sillas"/>
        <s v="Edo. Cuevas 1 teclado"/>
        <s v="Edo. Cuevas 1 RAM 16 GB"/>
        <s v="Holaleon SPA mural jardin infantil"/>
        <s v="Enrique Rubio reembolso gastos Redco"/>
        <s v="Cristián Flores Serv. Flexline"/>
        <s v="Gtos. personal Redco- Hamb"/>
        <s v="Novoandina desayunos"/>
        <s v="Ana Muñoz desayunos of."/>
        <s v="Escudero Lobos y Paredes Abogados (laboral)"/>
        <s v="Software DEFONTANA (Implementacion + 3M servicio)"/>
        <s v="Diego Fuente Mant. Baños of"/>
        <s v="Nespresso  Chile S.A. mayo"/>
        <s v="Nespresso  Chile S.A. abril"/>
        <s v="Bubba Chile  (mochilas Redco)"/>
        <s v="Equipos Contra incendio extintores"/>
        <s v="Accor Chile (Hotel Nova capacitación Redco)"/>
        <s v="Patente Comercial "/>
        <s v="Contribuciones Bs. Rs"/>
        <s v="Legal  Broker (R.Oyarzún poderes Bco.)"/>
        <s v="PPM  6,8%"/>
        <s v="IVA DEBITO FISCAL"/>
        <s v="IMPTO.ADICIONAL 20%"/>
        <s v="IMPTO.TIMBRE Y ESTAMPILLA"/>
        <s v="Dividendo Hipotecario Of."/>
        <s v="Préstamo Bco. Chile - Redco Perú"/>
        <s v="Forgat Crédito Bco.Chile 18 cuotas Julio-24 a Dic.25"/>
        <s v="Forgat Crédito Bco.de Chile Marzo 2021 - 33 ctas -03/24"/>
        <s v="Donación JJVV El Melón V Región"/>
        <s v="Donación Fundación Portas "/>
        <s v="Donación Choshueco"/>
        <s v="Seguro Camioneta/Tag  "/>
        <s v="Pago Impto. Rta. AT2024 E.Rubio"/>
        <s v="Seguro de vida E.R. Colmena"/>
        <s v="Forum Crédito  cmta. Ford Ranger Raptor"/>
        <s v="Cta. Cte Redcross"/>
        <s v="Cta. Cte Redco Global Perú"/>
        <s v="Gastos Op. Redco Brasil "/>
        <s v="Gastos Redtec  Patente Comercial"/>
        <s v="Redtec Pago Imptos. único + IVA Débito"/>
        <s v="Redtec Honorarios Maximo Leclerc"/>
        <s v="Redtec Camara Chilena China de Comercio Ind ."/>
        <s v="R + Ingineering Arriendo of. Dic + gtia. Of. 1502"/>
        <s v="R + Ingineering Gtos. Implementación of. 1502"/>
        <s v="DSIGNOS implementación of. 1502 R+Ingineering"/>
        <s v="Jorman Barrera"/>
        <s v="Carlos Catalán"/>
        <s v="Carlos Morante"/>
        <s v="Rodrigo Cori Córdova"/>
        <s v="Gino Espinoza"/>
        <s v="Kevin Rios"/>
        <s v="Edward Torres"/>
        <s v="Jhonatan Mandujano"/>
        <s v="Johnny Pacheco"/>
        <s v="Victor Arias"/>
        <s v="Jessica Rojas"/>
        <s v="Luis Camasca"/>
        <s v="Miguel Jesus"/>
        <s v="Paolo Tito"/>
        <s v="Thalia Rimac"/>
        <s v="VILLANUEVA CRISTOBAL PAOLO CESAR"/>
        <s v="Andree del Castillo"/>
        <s v="Arnold Tadeo"/>
        <s v="Jarold Orna"/>
        <s v="Eduardo Sanchez"/>
        <s v="Jhonatan Huaynate"/>
        <s v="Eduardo Lama"/>
        <s v="Josue Tello Olivas"/>
        <s v="Walter Lupinta"/>
        <s v="Angelo Patri Carbajal"/>
        <s v="Luis Chumpitaz"/>
        <s v="Jose Mamani"/>
        <s v="Pedro Ccanto"/>
        <s v="Lincoln Esteban Perez"/>
        <s v="Yosep Aviles"/>
        <s v="Clinton Yahuira"/>
        <s v="Omar Meléndez Huamán"/>
        <s v="CARLOS CARMELO HIDALGO"/>
        <s v="Guillermo Ricaldi"/>
        <s v="WILLY SALDAÑA CORTEZ"/>
        <s v="Mateo Villanueva"/>
        <s v="Edson Susanibar"/>
        <s v="ALEXANDER ROJAS FLORES"/>
        <s v="ARTURO MARTIN RAMOS YATACO"/>
        <s v="MARIN CHUJANDAMA FELIPE"/>
        <s v="OFIR EDUARDO HUATUCO LOZANO"/>
        <s v="CARDENAS PORRAS VICTOR"/>
        <s v="Joseph Livia"/>
        <s v="KENARY MELGAR MONTERO"/>
        <s v="SERVICIO DE ASESORIA LEGAL    "/>
        <s v="SERVICIO CONTABLE             "/>
        <s v="SERVICIO ASESORIA MINERA"/>
        <s v="SERVICIO EN ASESORIA EN VENTILACION"/>
        <s v="PASAJE AMERICO ZUZUNAGA A CAJAMARCA"/>
        <s v="Reembolso por pasaje Lima Chile Lima Carlos Morante"/>
        <s v="Pasaje Gino Espinoza"/>
        <s v="Viaje Tacna - Americo y Jorman"/>
        <s v="Viaje Juliaca - Pablo Quiero ; Jarold Horna"/>
        <s v="Viaje Santiago - Pablo Quiero"/>
        <s v="Viaje Santiago - Americo y Jorman"/>
        <s v="Viaje Chile - Cusco, Claudio Hernandez"/>
        <s v="Viaje Chile - Jorman Barrera"/>
        <s v="Viaje Juliaca - Jhony Pacheco"/>
        <s v="Viaje Lima - Jorman Barrera"/>
        <s v="Cambio Pasaje Jhony Pacheco - JUliaca"/>
        <s v="CARLOS CATALÁN compra de sus pasajes de Chiclayo a Lima. "/>
        <s v="Viaje Brasil - Arnold Tadeo"/>
        <s v="Viaje Chile - Jhonatan Mandujano"/>
        <s v="Viaje Chile - RODRIGO LEONARDO BAEZ VERGARA"/>
        <s v="Estadía en Cajamarca de Américo Zuzunaga"/>
        <s v="Viáticos viaje a Chile Carlos Morante"/>
        <s v="ESTADIA CLAUDIO HERNANDEZ"/>
        <s v="Viáticos viaje Brasil Jarold Orna"/>
        <s v="REEMBOLSO POR VIAJE A CHILE Americo Zuzunaga"/>
        <s v="Alojamiento Oscar Cáceres"/>
        <s v="Reembolso viaje AMSA Americo Zuzunaga"/>
        <s v="Reembolso movilidades viaje USA Carlos Morante"/>
        <s v="Alojamiento Alejandro Espinoza / Osca Cáceres"/>
        <s v="Hospedaje Moquegua - Americo y Jorman"/>
        <s v="Hospedaje Pablo Quiero"/>
        <s v="Transporte a Moquegua"/>
        <s v="Reembolso viaje Chile - Americo"/>
        <s v="Reembolso viaje Juliaca - Jarold"/>
        <s v="Estadia Juan Rivera"/>
        <s v="Reembolso viaje mina Los Calatos"/>
        <s v="Estadia Felipe Matamoros"/>
        <s v="Visita proyecto Arequipa  Chapi - Americo"/>
        <s v="Reembolso Los Calatos - Americo"/>
        <s v="Reembolso Proyecto Chapi - Jhony Pacheco"/>
        <s v="Reembolso viaticos chile - Jarold Orna"/>
        <s v="Reembolso viaticos chile - Jhonatan Huaynate"/>
        <s v="Viaticos Jarold Orna "/>
        <s v="GASTOS VIAJE BRASIL - Kevin Rios"/>
        <s v="Estadía Rodrigo Baez"/>
        <s v="Estadía Claudio Hernández"/>
        <s v="VIÁTICOS VIAJE A BRASIL 2 PERSONAS- Jhony Pacheco"/>
        <s v="FACTORING"/>
        <s v="APERTURA CARTA FIANZA"/>
        <s v="CUENTA GARANTIA FACTORING"/>
        <s v="CAPACITACION PERSONAL"/>
        <s v="GASTOS CARTA FIANZA"/>
        <s v="TARJETA DE CREDITO EMPRESARIAL"/>
        <s v="ALQUILER OFICINA"/>
        <s v="SEGUROS"/>
        <s v="OTROS GASTOS"/>
        <s v="COMPRA EQUIPOS DE COMPUTO"/>
        <s v="COMPRAS REDTEC GLOBAL"/>
        <s v="IGV"/>
        <s v="IGV NO DOMICILIADO (CREDITO POSTERIOR)"/>
        <s v="REDCO Cuenta Corriente EERR"/>
        <s v="REDCO Consultants (BVI)"/>
        <s v="REDCROSS Servicios BackOffice"/>
        <s v="Nilcélio José Dos Santos"/>
        <s v="Maria Célia P. Fonseca"/>
        <s v="Antônio Alberto Fróes Schettino"/>
        <s v="SERVICIO CONTABLE - Consultoria"/>
        <s v="SERVICIO ASESORIA MINERA - Comissão Antonio"/>
        <s v="SERVICIO ASSESORIA PROJ. DUE DILLIGENCE J&amp;F (Avalicon &amp; Integratio)"/>
        <s v="Visita Cajati (VGR)"/>
        <s v="Visita Araxá (VGR)"/>
        <s v="Visita CTV (VGR)"/>
        <s v="Visita Chile (VGR)"/>
        <s v="Visita Vale e Equinox (VGR)"/>
        <s v="Visita Vale Gongo Soco (VGR)"/>
        <s v="Visita Cajati (Redco)"/>
        <s v="Visita Araxá (Redco)"/>
        <s v="Visita CTV (Redco)"/>
        <s v="Visita Chile (Redco)"/>
        <s v="Visita Vale e Equinox (Redco)"/>
        <s v="Visita Vale Gongo Soco (Redco)"/>
        <s v="Feira Internacional EUA - Antônio"/>
        <s v="Visita J&amp;F - Work Shop"/>
        <s v="Visita J&amp;F - Missão Corumbá"/>
        <s v="Viaje Ricardo/Antonio a Chile"/>
        <s v="Visita J&amp;F"/>
        <s v="Visita Ricardo Miranda a Brasil"/>
        <s v="Visita Aura Minerals"/>
        <s v="Hotel Antonio Chile"/>
        <s v="Exposibram"/>
        <s v="Gastos Viagens Geral - no fech. desdobro"/>
        <s v="Visita CTV (VGR) - Adiantamento Kevin"/>
        <s v="Visita Vale BH e Equinox (VGR)"/>
        <s v="Visita J&amp;F - Work Shop e Corumbá"/>
        <s v="Visita J&amp;F (VGR)"/>
        <s v="Feira EUA"/>
        <s v="Visita à Brasil - Ricardo Miranda"/>
        <s v="Reembolso viaje AS a Chile"/>
        <s v="Exposibr - Seminario OP"/>
        <s v="Traslado Contabilidade, Reuniões Inst."/>
        <s v="COMPRA DE SOFTWARE"/>
        <s v="1) FGTS ARRECADACAO GRF                  "/>
        <s v="DARF        - 49.198.154/0001-29 -5952"/>
        <s v="DARF        - 49.198.154/0001-29 -1708"/>
        <s v="RFB-DARF CODIGO DE BARRAS             "/>
        <s v="PREFEITURA NL     "/>
        <s v="DARF        - 49.198.154/0001-29 -2372"/>
        <s v="DARF        - 49.198.154/0001-29 -2089"/>
        <s v="SECRETARIA DA FAZENDA"/>
        <s v="PASAJES AEREOS" u="1"/>
        <s v="Alojamiento" u="1"/>
        <s v="Arriendo oficina 1104 Edif. Kennedy 100 UF" u="1"/>
        <s v="Practicante Contabilidad" u="1"/>
        <s v="Ricardo Miranda D." u="1"/>
        <s v="Ingeniero de Prevención de riesgo Provisión" u="1"/>
        <s v="Dibujante Técnico Provisión" u="1"/>
        <s v="Aguinaldos" u="1"/>
        <s v="Aguinaldo" u="1"/>
        <s v="ARNALDO LUIS ARANDA AGUIRRE" u="1"/>
        <s v="Nicélio José dos Santos" u="1"/>
        <s v="Maria Célia Fonseca" u="1"/>
        <s v="Antonio Schettino" u="1"/>
        <s v="Traslado Contabilidade" u="1"/>
        <s v="Maximo Leclerc" u="1"/>
        <s v="Boletas de garantía CMP " u="1"/>
        <s v="Nicolas Ayarza - Proyecto Capstone" u="1"/>
        <s v="Patente Comercial 1er semestre" u="1"/>
        <s v="Noemi Plaza práctica contabilidad" u="1"/>
        <s v="Gastos caja chica desfazado" u="1"/>
        <s v="Comunidad Edificio kennedy " u="1"/>
        <s v="Comunidad Edificio kennedy desfazado" u="1"/>
        <s v="ENEL" u="1"/>
        <s v="ENTEL PCS Moviles " u="1"/>
        <s v="ENTEL Red fija e internet" u="1"/>
        <s v="ENTEL PCS Moviles e Internet desfazado" u="1"/>
        <s v="Incova/ Inmob. Reconquista estac.187/199" u="1"/>
        <s v="Incova/ Inmob. Reconquista estac.187/199 desfazado" u="1"/>
        <s v="Transp. Nueva Apoquindo  Ltda." u="1"/>
        <s v="Transp. Nueva Apoquindo  Ltda. desfazado" u="1"/>
        <s v="Salcedo &amp; Cia.  Limitada (Asesoria Tributaria) desfazado" u="1"/>
        <s v="Andes IP Abogados Limitad/ término tramite INAPI" u="1"/>
        <s v="Fundación Arturo López Pérez" u="1"/>
        <s v="Fundación Arturo López Pérez desfazado" u="1"/>
        <s v="Par Cuatro aromatizacion oficina" u="1"/>
        <s v="Par Cuatro aromatizacion oficina factura desfazado" u="1"/>
        <s v="Nespresso  Chile S.A." u="1"/>
        <s v="Credito REDCO Perú" u="1"/>
        <s v="Estadia Julio Rivera" u="1"/>
        <s v="Gonzalo Díaz pjes a Chile-ANF" u="1"/>
        <s v="BENEFICIOS SOCIALES" u="1"/>
        <s v="Nva. Contratación Ingeniero Especialista" u="1"/>
        <s v="Nva. Contratación Eléctrico Senior" u="1"/>
        <s v="Nva. Contratación Senior Estructural" u="1"/>
        <s v="Nva. Contratación Geoólogo" u="1"/>
        <s v="Back Office - REDCROSS (Sueldos )" u="1"/>
        <s v="Cotizaciones Previsionales" u="1"/>
        <s v="RENTA" u="1"/>
        <s v="PLANILLA" u="1"/>
        <s v="Impto. 10% Retenidos Honorarios" u="1"/>
        <s v="Impuesto Unico Trabajadores" u="1"/>
        <s v="Viaje 4" u="1"/>
        <s v="Viaje 5" u="1"/>
        <s v="Viaje 9" u="1"/>
        <s v="Viaje 10" u="1"/>
        <s v="Viaje 11" u="1"/>
        <s v="ENTEL PCS Moviles e Internet enero" u="1"/>
        <s v="Incova/ Inmob. Reconquista estac.187/199 enero" u="1"/>
        <s v="Transp. Nueva Apoquindo  Ltda. Enero" u="1"/>
        <s v="Salcedo &amp; Cia.  Limitada (Asesoria Tributaria) enero" u="1"/>
        <s v="Fundación Arturo López Pérez enero" u="1"/>
        <s v="Par Cuatro aromatizacion oficina factura enero" u="1"/>
        <s v="Segundo Fuentes Bta. (B.anual MF)" u="1"/>
      </sharedItems>
    </cacheField>
    <cacheField name="Clasificación 1" numFmtId="0">
      <sharedItems count="8">
        <s v="Gasto Operacional"/>
        <s v="Gasto Comercial"/>
        <s v="G&amp;A"/>
        <s v="Gasto del Dueño"/>
        <s v="Impuesto Operacional" u="1"/>
        <s v="REDTEC" u="1"/>
        <s v="Honorario Operacional" u="1"/>
        <s v="Gasto Tributario" u="1"/>
      </sharedItems>
    </cacheField>
    <cacheField name="Clasificación 2" numFmtId="0">
      <sharedItems count="15">
        <s v="Sueldos"/>
        <s v="Extras personas"/>
        <s v="Externo"/>
        <s v="Oficina"/>
        <s v="Viajes"/>
        <s v="Compañía"/>
        <s v="Comercial"/>
        <s v="Bancarios"/>
        <s v="Dueño"/>
        <s v="Impuestos"/>
        <s v="Personal" u="1"/>
        <s v="Mano de Obra" u="1"/>
        <s v="Viaje" u="1"/>
        <s v="Clientes" u="1"/>
        <s v="Marketing" u="1"/>
      </sharedItems>
    </cacheField>
    <cacheField name="Clasificación 3" numFmtId="0">
      <sharedItems count="61">
        <s v="Sueldo"/>
        <s v="Asociado a sueldo"/>
        <s v="REDTEC"/>
        <s v="Pago servicio"/>
        <s v="Tarjeta"/>
        <s v="Pasaje"/>
        <s v="Alojamiento"/>
        <s v="Traslado"/>
        <s v="Evento"/>
        <s v="Varios"/>
        <s v="Boleta"/>
        <s v="Software"/>
        <s v="Registro Proveedores"/>
        <s v="Otro"/>
        <s v="Rendición"/>
        <s v="Examenes"/>
        <s v="Seguro"/>
        <s v="Publicidad"/>
        <s v="Asesoria"/>
        <s v="Arriendo"/>
        <s v="Contribuciones"/>
        <s v="Computación"/>
        <s v="Caja Chica"/>
        <s v="EERR"/>
        <s v="REDCROSS"/>
        <s v="Banco"/>
        <s v="GGCC"/>
        <s v="Telefonia"/>
        <s v="Estacionamiento"/>
        <s v="TAG"/>
        <s v="Tintas"/>
        <s v="Regalo"/>
        <s v="Donación"/>
        <s v="Reembolso"/>
        <s v="Seguridad"/>
        <s v="Capacitación"/>
        <s v="Patente"/>
        <s v="Impuesto"/>
        <s v="Dividendo"/>
        <s v="Prestamo"/>
        <s v="Credito"/>
        <s v="Pasajes"/>
        <s v="Viáticos"/>
        <s v="Transporte"/>
        <s v="Factoring"/>
        <s v="Carta Fianza"/>
        <s v="Otros"/>
        <s v="Alimentación"/>
        <s v="Seguros"/>
        <s v="Equipos"/>
        <s v="Caja Chile" u="1"/>
        <s v="Asesoria legal" u="1"/>
        <s v="Contabilidad" u="1"/>
        <s v="Bono" u="1"/>
        <s v="Laboratorio" u="1"/>
        <s v="Cotizaciones" u="1"/>
        <s v="Comisión" u="1"/>
        <s v="Aguinaldo" u="1"/>
        <s v="Beneficio" u="1"/>
        <s v="Impuestos" u="1"/>
        <s v="Beneficios" u="1"/>
      </sharedItems>
    </cacheField>
    <cacheField name="Clasificación 4" numFmtId="0">
      <sharedItems containsMixedTypes="1" containsNumber="1" containsInteger="1" minValue="0" maxValue="0" count="25">
        <s v="0"/>
        <s v="OT-IEL-UG-FEL2A-060-A"/>
        <s v="CH-CMP-CS-FEL00-040-A"/>
        <s v="RU-SEL-UG-FEL2A-072-A"/>
        <s v="CH-AMS-CS-OTR00-063-A"/>
        <s v="CH-CMP-UG-FEL03-093-A"/>
        <s v="BR-NEX-UG-FEL2A-027-A"/>
        <s v="CH-CMP-OP-OTR00-018-A"/>
        <s v="BR-J&amp;F-CS-OTR00-100-A"/>
        <s v="PE-CSC-UG-FEL2A-023-A"/>
        <s v="CH-CMP-OU-FEL2A-033-A"/>
        <s v="OT-EMX-CS-OTR00-087-A"/>
        <s v="CH-BSC-UG-OTR00-073-A"/>
        <s v="CH-AMS-CS-OTR00-075-A"/>
        <s v="CH-LUN-CS-OTR00-069-A"/>
        <s v="CH-CMP-OU-FEL2A-041-A"/>
        <s v="CH-CCO-OP-FEL00-078-A"/>
        <s v="BR-J&amp;F-UG-FEL03-048-A"/>
        <s v="PE-MSR-GM-OTR00-092-A"/>
        <s v="CH-BSA-CS-OTR00-052-A"/>
        <s v="PE-MMG-OU-FEL00-022-A"/>
        <s v="PE-COR-UG-FEL00-076-A"/>
        <s v="BR-MOS-OU-FEL03-026-A"/>
        <s v="BR-MOS-UG-FEL01-028-A"/>
        <n v="0" u="1"/>
      </sharedItems>
    </cacheField>
    <cacheField name="Atributo" numFmtId="0">
      <sharedItems containsSemiMixedTypes="0" containsNonDate="0" containsDate="1" containsString="0" minDate="2024-01-01T00:00:00" maxDate="2025-01-01T00:00:00" count="13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4-12-31T00:00:00"/>
      </sharedItems>
      <fieldGroup par="11"/>
    </cacheField>
    <cacheField name="Valor USD" numFmtId="0">
      <sharedItems containsString="0" containsBlank="1" containsNumber="1" minValue="-936.7455743104158" maxValue="321484.53999999998"/>
    </cacheField>
    <cacheField name="País" numFmtId="0">
      <sharedItems count="3">
        <s v="Chile"/>
        <s v="Perú"/>
        <s v="Brasil"/>
      </sharedItems>
    </cacheField>
    <cacheField name="Días (Atributo)" numFmtId="0" databaseField="0">
      <fieldGroup base="7">
        <rangePr groupBy="days" startDate="2024-01-01T00:00:00" endDate="2025-01-01T00:00:00"/>
        <groupItems count="368">
          <s v="&lt;01-01-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-01-2025"/>
        </groupItems>
      </fieldGroup>
    </cacheField>
    <cacheField name="Meses (Atributo)" numFmtId="0" databaseField="0">
      <fieldGroup base="7">
        <rangePr groupBy="months" startDate="2024-01-01T00:00:00" endDate="2025-01-01T00:00:00"/>
        <groupItems count="14">
          <s v="&lt;01-01-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0">
  <r>
    <x v="0"/>
    <x v="0"/>
    <x v="0"/>
    <x v="0"/>
    <x v="0"/>
    <x v="0"/>
    <x v="0"/>
    <x v="0"/>
    <n v="2947.9802430904697"/>
    <x v="0"/>
  </r>
  <r>
    <x v="0"/>
    <x v="0"/>
    <x v="0"/>
    <x v="0"/>
    <x v="0"/>
    <x v="0"/>
    <x v="0"/>
    <x v="1"/>
    <n v="2825.3146426480248"/>
    <x v="0"/>
  </r>
  <r>
    <x v="0"/>
    <x v="0"/>
    <x v="0"/>
    <x v="0"/>
    <x v="0"/>
    <x v="0"/>
    <x v="0"/>
    <x v="2"/>
    <n v="2831.8560489492356"/>
    <x v="0"/>
  </r>
  <r>
    <x v="0"/>
    <x v="0"/>
    <x v="0"/>
    <x v="0"/>
    <x v="0"/>
    <x v="0"/>
    <x v="0"/>
    <x v="3"/>
    <n v="2796.9640518392966"/>
    <x v="0"/>
  </r>
  <r>
    <x v="0"/>
    <x v="0"/>
    <x v="0"/>
    <x v="0"/>
    <x v="0"/>
    <x v="0"/>
    <x v="0"/>
    <x v="4"/>
    <n v="2854.5880967501216"/>
    <x v="0"/>
  </r>
  <r>
    <x v="0"/>
    <x v="0"/>
    <x v="0"/>
    <x v="0"/>
    <x v="0"/>
    <x v="0"/>
    <x v="0"/>
    <x v="5"/>
    <n v="2927.2905029357667"/>
    <x v="0"/>
  </r>
  <r>
    <x v="0"/>
    <x v="0"/>
    <x v="0"/>
    <x v="0"/>
    <x v="0"/>
    <x v="0"/>
    <x v="0"/>
    <x v="6"/>
    <n v="2944.3130375187034"/>
    <x v="0"/>
  </r>
  <r>
    <x v="0"/>
    <x v="0"/>
    <x v="0"/>
    <x v="0"/>
    <x v="0"/>
    <x v="0"/>
    <x v="0"/>
    <x v="7"/>
    <n v="3029.155526177648"/>
    <x v="0"/>
  </r>
  <r>
    <x v="0"/>
    <x v="0"/>
    <x v="0"/>
    <x v="0"/>
    <x v="0"/>
    <x v="0"/>
    <x v="0"/>
    <x v="8"/>
    <n v="3023.000544445686"/>
    <x v="0"/>
  </r>
  <r>
    <x v="0"/>
    <x v="0"/>
    <x v="0"/>
    <x v="0"/>
    <x v="0"/>
    <x v="0"/>
    <x v="0"/>
    <x v="9"/>
    <n v="2963.8557091162675"/>
    <x v="0"/>
  </r>
  <r>
    <x v="0"/>
    <x v="0"/>
    <x v="0"/>
    <x v="0"/>
    <x v="0"/>
    <x v="0"/>
    <x v="0"/>
    <x v="10"/>
    <n v="3042.6596953526559"/>
    <x v="0"/>
  </r>
  <r>
    <x v="0"/>
    <x v="0"/>
    <x v="0"/>
    <x v="0"/>
    <x v="0"/>
    <x v="0"/>
    <x v="0"/>
    <x v="11"/>
    <n v="3446.1590358814733"/>
    <x v="0"/>
  </r>
  <r>
    <x v="1"/>
    <x v="0"/>
    <x v="1"/>
    <x v="0"/>
    <x v="0"/>
    <x v="0"/>
    <x v="0"/>
    <x v="0"/>
    <n v="10427.759626854762"/>
    <x v="0"/>
  </r>
  <r>
    <x v="1"/>
    <x v="0"/>
    <x v="1"/>
    <x v="0"/>
    <x v="0"/>
    <x v="0"/>
    <x v="0"/>
    <x v="1"/>
    <n v="9983.5296087945899"/>
    <x v="0"/>
  </r>
  <r>
    <x v="1"/>
    <x v="0"/>
    <x v="1"/>
    <x v="0"/>
    <x v="0"/>
    <x v="0"/>
    <x v="0"/>
    <x v="2"/>
    <n v="10086.707940044811"/>
    <x v="0"/>
  </r>
  <r>
    <x v="1"/>
    <x v="0"/>
    <x v="1"/>
    <x v="0"/>
    <x v="0"/>
    <x v="0"/>
    <x v="0"/>
    <x v="3"/>
    <n v="9968.5088756787609"/>
    <x v="0"/>
  </r>
  <r>
    <x v="1"/>
    <x v="0"/>
    <x v="1"/>
    <x v="0"/>
    <x v="0"/>
    <x v="0"/>
    <x v="0"/>
    <x v="4"/>
    <n v="10176.830513789117"/>
    <x v="0"/>
  </r>
  <r>
    <x v="1"/>
    <x v="0"/>
    <x v="1"/>
    <x v="0"/>
    <x v="0"/>
    <x v="0"/>
    <x v="0"/>
    <x v="5"/>
    <n v="10441.537632528352"/>
    <x v="0"/>
  </r>
  <r>
    <x v="1"/>
    <x v="0"/>
    <x v="1"/>
    <x v="0"/>
    <x v="0"/>
    <x v="0"/>
    <x v="0"/>
    <x v="6"/>
    <n v="10945.563409868324"/>
    <x v="0"/>
  </r>
  <r>
    <x v="1"/>
    <x v="0"/>
    <x v="1"/>
    <x v="0"/>
    <x v="0"/>
    <x v="0"/>
    <x v="0"/>
    <x v="7"/>
    <n v="12068.867384308482"/>
    <x v="0"/>
  </r>
  <r>
    <x v="1"/>
    <x v="0"/>
    <x v="1"/>
    <x v="0"/>
    <x v="0"/>
    <x v="0"/>
    <x v="0"/>
    <x v="8"/>
    <n v="11352.380854411766"/>
    <x v="0"/>
  </r>
  <r>
    <x v="1"/>
    <x v="0"/>
    <x v="1"/>
    <x v="0"/>
    <x v="0"/>
    <x v="0"/>
    <x v="0"/>
    <x v="9"/>
    <n v="10566.378124165076"/>
    <x v="0"/>
  </r>
  <r>
    <x v="1"/>
    <x v="0"/>
    <x v="1"/>
    <x v="0"/>
    <x v="0"/>
    <x v="0"/>
    <x v="0"/>
    <x v="10"/>
    <n v="10847.32051744827"/>
    <x v="0"/>
  </r>
  <r>
    <x v="1"/>
    <x v="0"/>
    <x v="1"/>
    <x v="0"/>
    <x v="0"/>
    <x v="0"/>
    <x v="0"/>
    <x v="11"/>
    <n v="12285.827321866893"/>
    <x v="0"/>
  </r>
  <r>
    <x v="2"/>
    <x v="0"/>
    <x v="2"/>
    <x v="1"/>
    <x v="0"/>
    <x v="0"/>
    <x v="0"/>
    <x v="0"/>
    <n v="3341.2793267193947"/>
    <x v="0"/>
  </r>
  <r>
    <x v="2"/>
    <x v="0"/>
    <x v="2"/>
    <x v="1"/>
    <x v="0"/>
    <x v="0"/>
    <x v="0"/>
    <x v="1"/>
    <n v="3225.9169104938628"/>
    <x v="0"/>
  </r>
  <r>
    <x v="2"/>
    <x v="0"/>
    <x v="2"/>
    <x v="1"/>
    <x v="0"/>
    <x v="0"/>
    <x v="0"/>
    <x v="2"/>
    <n v="3130.9924839771461"/>
    <x v="0"/>
  </r>
  <r>
    <x v="2"/>
    <x v="0"/>
    <x v="2"/>
    <x v="1"/>
    <x v="0"/>
    <x v="0"/>
    <x v="0"/>
    <x v="3"/>
    <n v="3092.3157399429861"/>
    <x v="0"/>
  </r>
  <r>
    <x v="2"/>
    <x v="0"/>
    <x v="2"/>
    <x v="1"/>
    <x v="0"/>
    <x v="0"/>
    <x v="0"/>
    <x v="4"/>
    <n v="3155.9569962542446"/>
    <x v="0"/>
  </r>
  <r>
    <x v="2"/>
    <x v="0"/>
    <x v="2"/>
    <x v="1"/>
    <x v="0"/>
    <x v="0"/>
    <x v="0"/>
    <x v="5"/>
    <n v="3447.4362653727239"/>
    <x v="0"/>
  </r>
  <r>
    <x v="2"/>
    <x v="0"/>
    <x v="2"/>
    <x v="1"/>
    <x v="0"/>
    <x v="0"/>
    <x v="0"/>
    <x v="6"/>
    <n v="3341.4649114216609"/>
    <x v="0"/>
  </r>
  <r>
    <x v="2"/>
    <x v="0"/>
    <x v="2"/>
    <x v="1"/>
    <x v="0"/>
    <x v="0"/>
    <x v="0"/>
    <x v="7"/>
    <n v="3754.8482423263426"/>
    <x v="0"/>
  </r>
  <r>
    <x v="2"/>
    <x v="0"/>
    <x v="2"/>
    <x v="1"/>
    <x v="0"/>
    <x v="0"/>
    <x v="0"/>
    <x v="8"/>
    <n v="3457.0856559939575"/>
    <x v="0"/>
  </r>
  <r>
    <x v="2"/>
    <x v="0"/>
    <x v="2"/>
    <x v="1"/>
    <x v="0"/>
    <x v="0"/>
    <x v="0"/>
    <x v="9"/>
    <n v="3276.7603745432275"/>
    <x v="0"/>
  </r>
  <r>
    <x v="2"/>
    <x v="0"/>
    <x v="2"/>
    <x v="1"/>
    <x v="0"/>
    <x v="0"/>
    <x v="0"/>
    <x v="10"/>
    <n v="3363.8839746095887"/>
    <x v="0"/>
  </r>
  <r>
    <x v="2"/>
    <x v="0"/>
    <x v="2"/>
    <x v="1"/>
    <x v="0"/>
    <x v="0"/>
    <x v="0"/>
    <x v="11"/>
    <n v="3809.9821588539844"/>
    <x v="0"/>
  </r>
  <r>
    <x v="2"/>
    <x v="1"/>
    <x v="2"/>
    <x v="1"/>
    <x v="1"/>
    <x v="1"/>
    <x v="0"/>
    <x v="0"/>
    <n v="0"/>
    <x v="0"/>
  </r>
  <r>
    <x v="2"/>
    <x v="1"/>
    <x v="2"/>
    <x v="1"/>
    <x v="1"/>
    <x v="1"/>
    <x v="0"/>
    <x v="1"/>
    <n v="22308.205076739425"/>
    <x v="0"/>
  </r>
  <r>
    <x v="2"/>
    <x v="1"/>
    <x v="2"/>
    <x v="1"/>
    <x v="1"/>
    <x v="1"/>
    <x v="0"/>
    <x v="2"/>
    <n v="0"/>
    <x v="0"/>
  </r>
  <r>
    <x v="2"/>
    <x v="1"/>
    <x v="2"/>
    <x v="1"/>
    <x v="1"/>
    <x v="1"/>
    <x v="0"/>
    <x v="3"/>
    <n v="0"/>
    <x v="0"/>
  </r>
  <r>
    <x v="2"/>
    <x v="1"/>
    <x v="2"/>
    <x v="1"/>
    <x v="1"/>
    <x v="1"/>
    <x v="0"/>
    <x v="4"/>
    <n v="0"/>
    <x v="0"/>
  </r>
  <r>
    <x v="2"/>
    <x v="1"/>
    <x v="2"/>
    <x v="1"/>
    <x v="1"/>
    <x v="1"/>
    <x v="0"/>
    <x v="5"/>
    <n v="0"/>
    <x v="0"/>
  </r>
  <r>
    <x v="2"/>
    <x v="1"/>
    <x v="2"/>
    <x v="1"/>
    <x v="1"/>
    <x v="1"/>
    <x v="0"/>
    <x v="6"/>
    <n v="0"/>
    <x v="0"/>
  </r>
  <r>
    <x v="2"/>
    <x v="1"/>
    <x v="2"/>
    <x v="1"/>
    <x v="1"/>
    <x v="1"/>
    <x v="0"/>
    <x v="7"/>
    <n v="0"/>
    <x v="0"/>
  </r>
  <r>
    <x v="2"/>
    <x v="1"/>
    <x v="2"/>
    <x v="1"/>
    <x v="1"/>
    <x v="1"/>
    <x v="0"/>
    <x v="8"/>
    <n v="0"/>
    <x v="0"/>
  </r>
  <r>
    <x v="2"/>
    <x v="1"/>
    <x v="2"/>
    <x v="1"/>
    <x v="1"/>
    <x v="1"/>
    <x v="0"/>
    <x v="9"/>
    <n v="0"/>
    <x v="0"/>
  </r>
  <r>
    <x v="2"/>
    <x v="1"/>
    <x v="2"/>
    <x v="1"/>
    <x v="1"/>
    <x v="1"/>
    <x v="0"/>
    <x v="10"/>
    <n v="0"/>
    <x v="0"/>
  </r>
  <r>
    <x v="2"/>
    <x v="1"/>
    <x v="2"/>
    <x v="1"/>
    <x v="1"/>
    <x v="1"/>
    <x v="0"/>
    <x v="11"/>
    <n v="0"/>
    <x v="0"/>
  </r>
  <r>
    <x v="3"/>
    <x v="0"/>
    <x v="3"/>
    <x v="0"/>
    <x v="0"/>
    <x v="0"/>
    <x v="0"/>
    <x v="0"/>
    <n v="4537.6827208226186"/>
    <x v="0"/>
  </r>
  <r>
    <x v="3"/>
    <x v="0"/>
    <x v="3"/>
    <x v="0"/>
    <x v="0"/>
    <x v="0"/>
    <x v="0"/>
    <x v="1"/>
    <n v="4348.7198506375153"/>
    <x v="0"/>
  </r>
  <r>
    <x v="3"/>
    <x v="0"/>
    <x v="3"/>
    <x v="0"/>
    <x v="0"/>
    <x v="0"/>
    <x v="0"/>
    <x v="2"/>
    <n v="4423.2777010511873"/>
    <x v="0"/>
  </r>
  <r>
    <x v="3"/>
    <x v="0"/>
    <x v="3"/>
    <x v="0"/>
    <x v="0"/>
    <x v="0"/>
    <x v="0"/>
    <x v="3"/>
    <n v="4366.3829042550224"/>
    <x v="0"/>
  </r>
  <r>
    <x v="3"/>
    <x v="0"/>
    <x v="3"/>
    <x v="0"/>
    <x v="0"/>
    <x v="0"/>
    <x v="0"/>
    <x v="4"/>
    <n v="4453.4067527662246"/>
    <x v="0"/>
  </r>
  <r>
    <x v="3"/>
    <x v="0"/>
    <x v="3"/>
    <x v="0"/>
    <x v="0"/>
    <x v="0"/>
    <x v="0"/>
    <x v="5"/>
    <n v="4564.9059350458119"/>
    <x v="0"/>
  </r>
  <r>
    <x v="3"/>
    <x v="0"/>
    <x v="3"/>
    <x v="0"/>
    <x v="0"/>
    <x v="0"/>
    <x v="0"/>
    <x v="6"/>
    <n v="5700.3997190035279"/>
    <x v="0"/>
  </r>
  <r>
    <x v="3"/>
    <x v="0"/>
    <x v="3"/>
    <x v="0"/>
    <x v="0"/>
    <x v="0"/>
    <x v="0"/>
    <x v="7"/>
    <n v="0"/>
    <x v="0"/>
  </r>
  <r>
    <x v="3"/>
    <x v="0"/>
    <x v="3"/>
    <x v="0"/>
    <x v="0"/>
    <x v="0"/>
    <x v="0"/>
    <x v="8"/>
    <n v="0"/>
    <x v="0"/>
  </r>
  <r>
    <x v="3"/>
    <x v="0"/>
    <x v="3"/>
    <x v="0"/>
    <x v="0"/>
    <x v="0"/>
    <x v="0"/>
    <x v="9"/>
    <n v="0"/>
    <x v="0"/>
  </r>
  <r>
    <x v="3"/>
    <x v="0"/>
    <x v="3"/>
    <x v="0"/>
    <x v="0"/>
    <x v="0"/>
    <x v="0"/>
    <x v="10"/>
    <n v="0"/>
    <x v="0"/>
  </r>
  <r>
    <x v="3"/>
    <x v="0"/>
    <x v="3"/>
    <x v="0"/>
    <x v="0"/>
    <x v="0"/>
    <x v="0"/>
    <x v="11"/>
    <n v="0"/>
    <x v="0"/>
  </r>
  <r>
    <x v="3"/>
    <x v="1"/>
    <x v="3"/>
    <x v="0"/>
    <x v="1"/>
    <x v="1"/>
    <x v="0"/>
    <x v="0"/>
    <n v="6673.0368892376864"/>
    <x v="0"/>
  </r>
  <r>
    <x v="3"/>
    <x v="1"/>
    <x v="3"/>
    <x v="0"/>
    <x v="1"/>
    <x v="1"/>
    <x v="0"/>
    <x v="1"/>
    <n v="0"/>
    <x v="0"/>
  </r>
  <r>
    <x v="3"/>
    <x v="1"/>
    <x v="3"/>
    <x v="0"/>
    <x v="1"/>
    <x v="1"/>
    <x v="0"/>
    <x v="2"/>
    <n v="0"/>
    <x v="0"/>
  </r>
  <r>
    <x v="3"/>
    <x v="1"/>
    <x v="3"/>
    <x v="0"/>
    <x v="1"/>
    <x v="1"/>
    <x v="0"/>
    <x v="3"/>
    <n v="0"/>
    <x v="0"/>
  </r>
  <r>
    <x v="3"/>
    <x v="1"/>
    <x v="3"/>
    <x v="0"/>
    <x v="1"/>
    <x v="1"/>
    <x v="0"/>
    <x v="4"/>
    <n v="0"/>
    <x v="0"/>
  </r>
  <r>
    <x v="3"/>
    <x v="1"/>
    <x v="3"/>
    <x v="0"/>
    <x v="1"/>
    <x v="1"/>
    <x v="0"/>
    <x v="5"/>
    <n v="0"/>
    <x v="0"/>
  </r>
  <r>
    <x v="3"/>
    <x v="1"/>
    <x v="3"/>
    <x v="0"/>
    <x v="1"/>
    <x v="1"/>
    <x v="0"/>
    <x v="6"/>
    <n v="0"/>
    <x v="0"/>
  </r>
  <r>
    <x v="3"/>
    <x v="1"/>
    <x v="3"/>
    <x v="0"/>
    <x v="1"/>
    <x v="1"/>
    <x v="0"/>
    <x v="7"/>
    <n v="0"/>
    <x v="0"/>
  </r>
  <r>
    <x v="3"/>
    <x v="1"/>
    <x v="3"/>
    <x v="0"/>
    <x v="1"/>
    <x v="1"/>
    <x v="0"/>
    <x v="8"/>
    <n v="0"/>
    <x v="0"/>
  </r>
  <r>
    <x v="3"/>
    <x v="1"/>
    <x v="3"/>
    <x v="0"/>
    <x v="1"/>
    <x v="1"/>
    <x v="0"/>
    <x v="9"/>
    <n v="0"/>
    <x v="0"/>
  </r>
  <r>
    <x v="3"/>
    <x v="1"/>
    <x v="3"/>
    <x v="0"/>
    <x v="1"/>
    <x v="1"/>
    <x v="0"/>
    <x v="10"/>
    <n v="0"/>
    <x v="0"/>
  </r>
  <r>
    <x v="3"/>
    <x v="1"/>
    <x v="3"/>
    <x v="0"/>
    <x v="1"/>
    <x v="1"/>
    <x v="0"/>
    <x v="11"/>
    <n v="0"/>
    <x v="0"/>
  </r>
  <r>
    <x v="4"/>
    <x v="0"/>
    <x v="4"/>
    <x v="1"/>
    <x v="0"/>
    <x v="0"/>
    <x v="0"/>
    <x v="0"/>
    <n v="8782.9383687410646"/>
    <x v="0"/>
  </r>
  <r>
    <x v="4"/>
    <x v="0"/>
    <x v="4"/>
    <x v="1"/>
    <x v="0"/>
    <x v="0"/>
    <x v="0"/>
    <x v="1"/>
    <n v="8366.8111641944906"/>
    <x v="0"/>
  </r>
  <r>
    <x v="4"/>
    <x v="0"/>
    <x v="4"/>
    <x v="1"/>
    <x v="0"/>
    <x v="0"/>
    <x v="0"/>
    <x v="2"/>
    <n v="8373.8724095435391"/>
    <x v="0"/>
  </r>
  <r>
    <x v="4"/>
    <x v="0"/>
    <x v="4"/>
    <x v="1"/>
    <x v="0"/>
    <x v="0"/>
    <x v="0"/>
    <x v="3"/>
    <n v="8271.4671799689677"/>
    <x v="0"/>
  </r>
  <r>
    <x v="4"/>
    <x v="0"/>
    <x v="4"/>
    <x v="1"/>
    <x v="0"/>
    <x v="0"/>
    <x v="0"/>
    <x v="4"/>
    <n v="8440.0668666362744"/>
    <x v="0"/>
  </r>
  <r>
    <x v="4"/>
    <x v="0"/>
    <x v="4"/>
    <x v="1"/>
    <x v="0"/>
    <x v="0"/>
    <x v="0"/>
    <x v="5"/>
    <n v="8656.028320407373"/>
    <x v="0"/>
  </r>
  <r>
    <x v="4"/>
    <x v="0"/>
    <x v="4"/>
    <x v="1"/>
    <x v="0"/>
    <x v="0"/>
    <x v="0"/>
    <x v="6"/>
    <n v="8389.7374808331897"/>
    <x v="0"/>
  </r>
  <r>
    <x v="4"/>
    <x v="0"/>
    <x v="4"/>
    <x v="1"/>
    <x v="0"/>
    <x v="0"/>
    <x v="0"/>
    <x v="7"/>
    <n v="8842.8203665990422"/>
    <x v="0"/>
  </r>
  <r>
    <x v="4"/>
    <x v="0"/>
    <x v="4"/>
    <x v="1"/>
    <x v="0"/>
    <x v="0"/>
    <x v="0"/>
    <x v="8"/>
    <n v="8926.0300938752134"/>
    <x v="0"/>
  </r>
  <r>
    <x v="4"/>
    <x v="0"/>
    <x v="4"/>
    <x v="1"/>
    <x v="0"/>
    <x v="0"/>
    <x v="0"/>
    <x v="9"/>
    <n v="8763.1348272215128"/>
    <x v="0"/>
  </r>
  <r>
    <x v="4"/>
    <x v="0"/>
    <x v="4"/>
    <x v="1"/>
    <x v="0"/>
    <x v="0"/>
    <x v="0"/>
    <x v="10"/>
    <n v="8996.1319850075397"/>
    <x v="0"/>
  </r>
  <r>
    <x v="4"/>
    <x v="0"/>
    <x v="4"/>
    <x v="1"/>
    <x v="0"/>
    <x v="0"/>
    <x v="0"/>
    <x v="11"/>
    <n v="10189.14523220212"/>
    <x v="0"/>
  </r>
  <r>
    <x v="5"/>
    <x v="0"/>
    <x v="5"/>
    <x v="1"/>
    <x v="0"/>
    <x v="0"/>
    <x v="0"/>
    <x v="0"/>
    <n v="2955.3281485219559"/>
    <x v="0"/>
  </r>
  <r>
    <x v="5"/>
    <x v="0"/>
    <x v="5"/>
    <x v="1"/>
    <x v="0"/>
    <x v="0"/>
    <x v="0"/>
    <x v="1"/>
    <n v="2832.3587619164009"/>
    <x v="0"/>
  </r>
  <r>
    <x v="5"/>
    <x v="0"/>
    <x v="5"/>
    <x v="1"/>
    <x v="0"/>
    <x v="0"/>
    <x v="0"/>
    <x v="2"/>
    <n v="4206.8493260566584"/>
    <x v="0"/>
  </r>
  <r>
    <x v="5"/>
    <x v="0"/>
    <x v="5"/>
    <x v="1"/>
    <x v="0"/>
    <x v="0"/>
    <x v="0"/>
    <x v="3"/>
    <n v="4151.3955187014362"/>
    <x v="0"/>
  </r>
  <r>
    <x v="5"/>
    <x v="0"/>
    <x v="5"/>
    <x v="1"/>
    <x v="0"/>
    <x v="0"/>
    <x v="0"/>
    <x v="4"/>
    <n v="4233.2228522959704"/>
    <x v="0"/>
  </r>
  <r>
    <x v="5"/>
    <x v="0"/>
    <x v="5"/>
    <x v="1"/>
    <x v="0"/>
    <x v="0"/>
    <x v="0"/>
    <x v="5"/>
    <n v="4338.0264052681796"/>
    <x v="0"/>
  </r>
  <r>
    <x v="5"/>
    <x v="0"/>
    <x v="5"/>
    <x v="1"/>
    <x v="0"/>
    <x v="0"/>
    <x v="0"/>
    <x v="6"/>
    <n v="4333.525977353097"/>
    <x v="0"/>
  </r>
  <r>
    <x v="5"/>
    <x v="0"/>
    <x v="5"/>
    <x v="1"/>
    <x v="0"/>
    <x v="0"/>
    <x v="0"/>
    <x v="7"/>
    <n v="4449.8699251918342"/>
    <x v="0"/>
  </r>
  <r>
    <x v="5"/>
    <x v="0"/>
    <x v="5"/>
    <x v="1"/>
    <x v="0"/>
    <x v="0"/>
    <x v="0"/>
    <x v="8"/>
    <n v="4531.8153609341625"/>
    <x v="0"/>
  </r>
  <r>
    <x v="5"/>
    <x v="0"/>
    <x v="5"/>
    <x v="1"/>
    <x v="0"/>
    <x v="0"/>
    <x v="0"/>
    <x v="9"/>
    <n v="4395.2616957321889"/>
    <x v="0"/>
  </r>
  <r>
    <x v="5"/>
    <x v="0"/>
    <x v="5"/>
    <x v="1"/>
    <x v="0"/>
    <x v="0"/>
    <x v="0"/>
    <x v="10"/>
    <n v="4512.1243827754388"/>
    <x v="0"/>
  </r>
  <r>
    <x v="5"/>
    <x v="0"/>
    <x v="5"/>
    <x v="1"/>
    <x v="0"/>
    <x v="0"/>
    <x v="0"/>
    <x v="11"/>
    <n v="5110.4953460529696"/>
    <x v="0"/>
  </r>
  <r>
    <x v="6"/>
    <x v="0"/>
    <x v="6"/>
    <x v="0"/>
    <x v="0"/>
    <x v="0"/>
    <x v="0"/>
    <x v="0"/>
    <n v="8425.1203392948155"/>
    <x v="0"/>
  </r>
  <r>
    <x v="6"/>
    <x v="0"/>
    <x v="6"/>
    <x v="0"/>
    <x v="0"/>
    <x v="0"/>
    <x v="0"/>
    <x v="1"/>
    <n v="8065.6523221894395"/>
    <x v="0"/>
  </r>
  <r>
    <x v="6"/>
    <x v="0"/>
    <x v="6"/>
    <x v="0"/>
    <x v="0"/>
    <x v="0"/>
    <x v="0"/>
    <x v="2"/>
    <n v="8084.2266265952112"/>
    <x v="0"/>
  </r>
  <r>
    <x v="6"/>
    <x v="0"/>
    <x v="6"/>
    <x v="0"/>
    <x v="0"/>
    <x v="0"/>
    <x v="0"/>
    <x v="3"/>
    <n v="9000.5222083130284"/>
    <x v="0"/>
  </r>
  <r>
    <x v="6"/>
    <x v="0"/>
    <x v="6"/>
    <x v="0"/>
    <x v="0"/>
    <x v="0"/>
    <x v="0"/>
    <x v="4"/>
    <n v="9188.1821260660054"/>
    <x v="0"/>
  </r>
  <r>
    <x v="6"/>
    <x v="0"/>
    <x v="6"/>
    <x v="0"/>
    <x v="0"/>
    <x v="0"/>
    <x v="0"/>
    <x v="5"/>
    <n v="9427.2680962373615"/>
    <x v="0"/>
  </r>
  <r>
    <x v="6"/>
    <x v="0"/>
    <x v="6"/>
    <x v="0"/>
    <x v="0"/>
    <x v="0"/>
    <x v="0"/>
    <x v="6"/>
    <n v="9215.5727465969649"/>
    <x v="0"/>
  </r>
  <r>
    <x v="6"/>
    <x v="0"/>
    <x v="6"/>
    <x v="0"/>
    <x v="0"/>
    <x v="0"/>
    <x v="0"/>
    <x v="7"/>
    <n v="9646.0850959629643"/>
    <x v="0"/>
  </r>
  <r>
    <x v="6"/>
    <x v="0"/>
    <x v="6"/>
    <x v="0"/>
    <x v="0"/>
    <x v="0"/>
    <x v="0"/>
    <x v="8"/>
    <n v="9698.6680896695398"/>
    <x v="0"/>
  </r>
  <r>
    <x v="6"/>
    <x v="0"/>
    <x v="6"/>
    <x v="0"/>
    <x v="0"/>
    <x v="0"/>
    <x v="0"/>
    <x v="9"/>
    <n v="9539.8863610985554"/>
    <x v="0"/>
  </r>
  <r>
    <x v="6"/>
    <x v="0"/>
    <x v="6"/>
    <x v="0"/>
    <x v="0"/>
    <x v="0"/>
    <x v="0"/>
    <x v="10"/>
    <n v="9793.5360482895958"/>
    <x v="0"/>
  </r>
  <r>
    <x v="6"/>
    <x v="0"/>
    <x v="6"/>
    <x v="0"/>
    <x v="0"/>
    <x v="0"/>
    <x v="0"/>
    <x v="11"/>
    <n v="11092.296255671919"/>
    <x v="0"/>
  </r>
  <r>
    <x v="7"/>
    <x v="0"/>
    <x v="7"/>
    <x v="0"/>
    <x v="0"/>
    <x v="0"/>
    <x v="0"/>
    <x v="0"/>
    <n v="4374.5965948470503"/>
    <x v="0"/>
  </r>
  <r>
    <x v="7"/>
    <x v="0"/>
    <x v="7"/>
    <x v="0"/>
    <x v="0"/>
    <x v="0"/>
    <x v="0"/>
    <x v="1"/>
    <n v="4190.4797924771401"/>
    <x v="0"/>
  </r>
  <r>
    <x v="7"/>
    <x v="0"/>
    <x v="7"/>
    <x v="0"/>
    <x v="0"/>
    <x v="0"/>
    <x v="0"/>
    <x v="2"/>
    <n v="4627.5342586623246"/>
    <x v="0"/>
  </r>
  <r>
    <x v="7"/>
    <x v="0"/>
    <x v="7"/>
    <x v="0"/>
    <x v="0"/>
    <x v="0"/>
    <x v="0"/>
    <x v="3"/>
    <n v="4568.2669930107631"/>
    <x v="0"/>
  </r>
  <r>
    <x v="7"/>
    <x v="0"/>
    <x v="7"/>
    <x v="0"/>
    <x v="0"/>
    <x v="0"/>
    <x v="0"/>
    <x v="4"/>
    <n v="4659.6312863855801"/>
    <x v="0"/>
  </r>
  <r>
    <x v="7"/>
    <x v="0"/>
    <x v="7"/>
    <x v="0"/>
    <x v="0"/>
    <x v="0"/>
    <x v="0"/>
    <x v="5"/>
    <n v="4776.4984336277648"/>
    <x v="0"/>
  </r>
  <r>
    <x v="7"/>
    <x v="0"/>
    <x v="7"/>
    <x v="0"/>
    <x v="0"/>
    <x v="0"/>
    <x v="0"/>
    <x v="6"/>
    <n v="4749.4501103163066"/>
    <x v="0"/>
  </r>
  <r>
    <x v="7"/>
    <x v="0"/>
    <x v="7"/>
    <x v="0"/>
    <x v="0"/>
    <x v="0"/>
    <x v="0"/>
    <x v="7"/>
    <n v="4897.0997249979437"/>
    <x v="0"/>
  </r>
  <r>
    <x v="7"/>
    <x v="0"/>
    <x v="7"/>
    <x v="0"/>
    <x v="0"/>
    <x v="0"/>
    <x v="0"/>
    <x v="8"/>
    <n v="3767.3152457584297"/>
    <x v="0"/>
  </r>
  <r>
    <x v="7"/>
    <x v="0"/>
    <x v="7"/>
    <x v="0"/>
    <x v="0"/>
    <x v="0"/>
    <x v="0"/>
    <x v="9"/>
    <n v="4837.9921454354708"/>
    <x v="0"/>
  </r>
  <r>
    <x v="7"/>
    <x v="0"/>
    <x v="7"/>
    <x v="0"/>
    <x v="0"/>
    <x v="0"/>
    <x v="0"/>
    <x v="10"/>
    <n v="4966.6262976541457"/>
    <x v="0"/>
  </r>
  <r>
    <x v="7"/>
    <x v="0"/>
    <x v="7"/>
    <x v="0"/>
    <x v="0"/>
    <x v="0"/>
    <x v="0"/>
    <x v="11"/>
    <n v="5625.2705879825962"/>
    <x v="0"/>
  </r>
  <r>
    <x v="7"/>
    <x v="1"/>
    <x v="7"/>
    <x v="0"/>
    <x v="1"/>
    <x v="1"/>
    <x v="0"/>
    <x v="0"/>
    <n v="1459.9454463513348"/>
    <x v="0"/>
  </r>
  <r>
    <x v="7"/>
    <x v="1"/>
    <x v="7"/>
    <x v="0"/>
    <x v="1"/>
    <x v="1"/>
    <x v="0"/>
    <x v="1"/>
    <n v="0"/>
    <x v="0"/>
  </r>
  <r>
    <x v="7"/>
    <x v="1"/>
    <x v="7"/>
    <x v="0"/>
    <x v="1"/>
    <x v="1"/>
    <x v="0"/>
    <x v="2"/>
    <n v="0"/>
    <x v="0"/>
  </r>
  <r>
    <x v="7"/>
    <x v="1"/>
    <x v="7"/>
    <x v="0"/>
    <x v="1"/>
    <x v="1"/>
    <x v="0"/>
    <x v="3"/>
    <n v="0"/>
    <x v="0"/>
  </r>
  <r>
    <x v="7"/>
    <x v="1"/>
    <x v="7"/>
    <x v="0"/>
    <x v="1"/>
    <x v="1"/>
    <x v="0"/>
    <x v="4"/>
    <n v="0"/>
    <x v="0"/>
  </r>
  <r>
    <x v="7"/>
    <x v="1"/>
    <x v="7"/>
    <x v="0"/>
    <x v="1"/>
    <x v="1"/>
    <x v="0"/>
    <x v="5"/>
    <n v="0"/>
    <x v="0"/>
  </r>
  <r>
    <x v="7"/>
    <x v="1"/>
    <x v="7"/>
    <x v="0"/>
    <x v="1"/>
    <x v="1"/>
    <x v="0"/>
    <x v="6"/>
    <n v="0"/>
    <x v="0"/>
  </r>
  <r>
    <x v="7"/>
    <x v="1"/>
    <x v="7"/>
    <x v="0"/>
    <x v="1"/>
    <x v="1"/>
    <x v="0"/>
    <x v="7"/>
    <n v="0"/>
    <x v="0"/>
  </r>
  <r>
    <x v="7"/>
    <x v="1"/>
    <x v="7"/>
    <x v="0"/>
    <x v="1"/>
    <x v="1"/>
    <x v="0"/>
    <x v="8"/>
    <n v="0"/>
    <x v="0"/>
  </r>
  <r>
    <x v="7"/>
    <x v="1"/>
    <x v="7"/>
    <x v="0"/>
    <x v="1"/>
    <x v="1"/>
    <x v="0"/>
    <x v="9"/>
    <n v="0"/>
    <x v="0"/>
  </r>
  <r>
    <x v="7"/>
    <x v="1"/>
    <x v="7"/>
    <x v="0"/>
    <x v="1"/>
    <x v="1"/>
    <x v="0"/>
    <x v="10"/>
    <n v="0"/>
    <x v="0"/>
  </r>
  <r>
    <x v="7"/>
    <x v="1"/>
    <x v="7"/>
    <x v="0"/>
    <x v="1"/>
    <x v="1"/>
    <x v="0"/>
    <x v="11"/>
    <n v="0"/>
    <x v="0"/>
  </r>
  <r>
    <x v="8"/>
    <x v="0"/>
    <x v="8"/>
    <x v="0"/>
    <x v="0"/>
    <x v="0"/>
    <x v="0"/>
    <x v="0"/>
    <n v="2947.7889902369975"/>
    <x v="0"/>
  </r>
  <r>
    <x v="8"/>
    <x v="0"/>
    <x v="8"/>
    <x v="0"/>
    <x v="0"/>
    <x v="0"/>
    <x v="0"/>
    <x v="1"/>
    <n v="2825.1312968057518"/>
    <x v="0"/>
  </r>
  <r>
    <x v="8"/>
    <x v="0"/>
    <x v="8"/>
    <x v="0"/>
    <x v="0"/>
    <x v="0"/>
    <x v="0"/>
    <x v="2"/>
    <n v="4206.8493260566584"/>
    <x v="0"/>
  </r>
  <r>
    <x v="8"/>
    <x v="0"/>
    <x v="8"/>
    <x v="0"/>
    <x v="0"/>
    <x v="0"/>
    <x v="0"/>
    <x v="3"/>
    <n v="4151.3789042084545"/>
    <x v="0"/>
  </r>
  <r>
    <x v="8"/>
    <x v="0"/>
    <x v="8"/>
    <x v="0"/>
    <x v="0"/>
    <x v="0"/>
    <x v="0"/>
    <x v="4"/>
    <n v="4233.1903590829788"/>
    <x v="0"/>
  </r>
  <r>
    <x v="8"/>
    <x v="0"/>
    <x v="8"/>
    <x v="0"/>
    <x v="0"/>
    <x v="0"/>
    <x v="0"/>
    <x v="5"/>
    <n v="4337.9800589869601"/>
    <x v="0"/>
  </r>
  <r>
    <x v="8"/>
    <x v="0"/>
    <x v="8"/>
    <x v="0"/>
    <x v="0"/>
    <x v="0"/>
    <x v="0"/>
    <x v="6"/>
    <n v="4333.4783995068019"/>
    <x v="0"/>
  </r>
  <r>
    <x v="8"/>
    <x v="0"/>
    <x v="8"/>
    <x v="0"/>
    <x v="0"/>
    <x v="0"/>
    <x v="0"/>
    <x v="7"/>
    <n v="4449.8018626933526"/>
    <x v="0"/>
  </r>
  <r>
    <x v="8"/>
    <x v="0"/>
    <x v="8"/>
    <x v="0"/>
    <x v="0"/>
    <x v="0"/>
    <x v="0"/>
    <x v="8"/>
    <n v="4531.7375866661669"/>
    <x v="0"/>
  </r>
  <r>
    <x v="8"/>
    <x v="0"/>
    <x v="8"/>
    <x v="0"/>
    <x v="0"/>
    <x v="0"/>
    <x v="0"/>
    <x v="9"/>
    <n v="4395.2279587475277"/>
    <x v="0"/>
  </r>
  <r>
    <x v="8"/>
    <x v="0"/>
    <x v="8"/>
    <x v="0"/>
    <x v="0"/>
    <x v="0"/>
    <x v="0"/>
    <x v="10"/>
    <n v="4512.0897487805541"/>
    <x v="0"/>
  </r>
  <r>
    <x v="8"/>
    <x v="0"/>
    <x v="8"/>
    <x v="0"/>
    <x v="0"/>
    <x v="0"/>
    <x v="0"/>
    <x v="11"/>
    <n v="5110.456119104716"/>
    <x v="0"/>
  </r>
  <r>
    <x v="8"/>
    <x v="1"/>
    <x v="8"/>
    <x v="0"/>
    <x v="1"/>
    <x v="1"/>
    <x v="0"/>
    <x v="0"/>
    <n v="0"/>
    <x v="0"/>
  </r>
  <r>
    <x v="8"/>
    <x v="1"/>
    <x v="8"/>
    <x v="0"/>
    <x v="1"/>
    <x v="1"/>
    <x v="0"/>
    <x v="1"/>
    <n v="2099.3798733488138"/>
    <x v="0"/>
  </r>
  <r>
    <x v="8"/>
    <x v="1"/>
    <x v="8"/>
    <x v="0"/>
    <x v="1"/>
    <x v="1"/>
    <x v="0"/>
    <x v="2"/>
    <n v="0"/>
    <x v="0"/>
  </r>
  <r>
    <x v="8"/>
    <x v="1"/>
    <x v="8"/>
    <x v="0"/>
    <x v="1"/>
    <x v="1"/>
    <x v="0"/>
    <x v="3"/>
    <n v="0"/>
    <x v="0"/>
  </r>
  <r>
    <x v="8"/>
    <x v="1"/>
    <x v="8"/>
    <x v="0"/>
    <x v="1"/>
    <x v="1"/>
    <x v="0"/>
    <x v="4"/>
    <n v="0"/>
    <x v="0"/>
  </r>
  <r>
    <x v="8"/>
    <x v="1"/>
    <x v="8"/>
    <x v="0"/>
    <x v="1"/>
    <x v="1"/>
    <x v="0"/>
    <x v="5"/>
    <n v="0"/>
    <x v="0"/>
  </r>
  <r>
    <x v="8"/>
    <x v="1"/>
    <x v="8"/>
    <x v="0"/>
    <x v="1"/>
    <x v="1"/>
    <x v="0"/>
    <x v="6"/>
    <n v="0"/>
    <x v="0"/>
  </r>
  <r>
    <x v="8"/>
    <x v="1"/>
    <x v="8"/>
    <x v="0"/>
    <x v="1"/>
    <x v="1"/>
    <x v="0"/>
    <x v="7"/>
    <n v="0"/>
    <x v="0"/>
  </r>
  <r>
    <x v="8"/>
    <x v="1"/>
    <x v="8"/>
    <x v="0"/>
    <x v="1"/>
    <x v="1"/>
    <x v="0"/>
    <x v="8"/>
    <n v="0"/>
    <x v="0"/>
  </r>
  <r>
    <x v="8"/>
    <x v="1"/>
    <x v="8"/>
    <x v="0"/>
    <x v="1"/>
    <x v="1"/>
    <x v="0"/>
    <x v="9"/>
    <n v="0"/>
    <x v="0"/>
  </r>
  <r>
    <x v="8"/>
    <x v="1"/>
    <x v="8"/>
    <x v="0"/>
    <x v="1"/>
    <x v="1"/>
    <x v="0"/>
    <x v="10"/>
    <n v="0"/>
    <x v="0"/>
  </r>
  <r>
    <x v="8"/>
    <x v="1"/>
    <x v="8"/>
    <x v="0"/>
    <x v="1"/>
    <x v="1"/>
    <x v="0"/>
    <x v="11"/>
    <n v="0"/>
    <x v="0"/>
  </r>
  <r>
    <x v="9"/>
    <x v="0"/>
    <x v="9"/>
    <x v="0"/>
    <x v="0"/>
    <x v="0"/>
    <x v="0"/>
    <x v="0"/>
    <n v="2360.8091638587653"/>
    <x v="0"/>
  </r>
  <r>
    <x v="9"/>
    <x v="0"/>
    <x v="9"/>
    <x v="0"/>
    <x v="0"/>
    <x v="0"/>
    <x v="0"/>
    <x v="1"/>
    <n v="2262.9607539069893"/>
    <x v="0"/>
  </r>
  <r>
    <x v="9"/>
    <x v="0"/>
    <x v="9"/>
    <x v="0"/>
    <x v="0"/>
    <x v="0"/>
    <x v="0"/>
    <x v="2"/>
    <n v="3085.0228391082164"/>
    <x v="0"/>
  </r>
  <r>
    <x v="9"/>
    <x v="0"/>
    <x v="9"/>
    <x v="0"/>
    <x v="0"/>
    <x v="0"/>
    <x v="0"/>
    <x v="3"/>
    <n v="3046.9277142004894"/>
    <x v="0"/>
  </r>
  <r>
    <x v="9"/>
    <x v="0"/>
    <x v="9"/>
    <x v="0"/>
    <x v="0"/>
    <x v="0"/>
    <x v="0"/>
    <x v="4"/>
    <n v="1593.0391023487584"/>
    <x v="0"/>
  </r>
  <r>
    <x v="9"/>
    <x v="0"/>
    <x v="9"/>
    <x v="0"/>
    <x v="0"/>
    <x v="0"/>
    <x v="0"/>
    <x v="5"/>
    <n v="3188.7689799643263"/>
    <x v="0"/>
  </r>
  <r>
    <x v="9"/>
    <x v="0"/>
    <x v="9"/>
    <x v="0"/>
    <x v="0"/>
    <x v="0"/>
    <x v="0"/>
    <x v="6"/>
    <n v="3198.1772305619111"/>
    <x v="0"/>
  </r>
  <r>
    <x v="9"/>
    <x v="0"/>
    <x v="9"/>
    <x v="0"/>
    <x v="0"/>
    <x v="0"/>
    <x v="0"/>
    <x v="7"/>
    <n v="3275.6527421463466"/>
    <x v="0"/>
  </r>
  <r>
    <x v="9"/>
    <x v="0"/>
    <x v="9"/>
    <x v="0"/>
    <x v="0"/>
    <x v="0"/>
    <x v="0"/>
    <x v="8"/>
    <n v="6341.1469576415984"/>
    <x v="0"/>
  </r>
  <r>
    <x v="9"/>
    <x v="0"/>
    <x v="9"/>
    <x v="0"/>
    <x v="0"/>
    <x v="0"/>
    <x v="0"/>
    <x v="9"/>
    <n v="0"/>
    <x v="0"/>
  </r>
  <r>
    <x v="9"/>
    <x v="0"/>
    <x v="9"/>
    <x v="0"/>
    <x v="0"/>
    <x v="0"/>
    <x v="0"/>
    <x v="10"/>
    <n v="0"/>
    <x v="0"/>
  </r>
  <r>
    <x v="9"/>
    <x v="0"/>
    <x v="9"/>
    <x v="0"/>
    <x v="0"/>
    <x v="0"/>
    <x v="0"/>
    <x v="11"/>
    <n v="0"/>
    <x v="0"/>
  </r>
  <r>
    <x v="10"/>
    <x v="0"/>
    <x v="10"/>
    <x v="0"/>
    <x v="0"/>
    <x v="0"/>
    <x v="0"/>
    <x v="0"/>
    <n v="2214.8277587326488"/>
    <x v="0"/>
  </r>
  <r>
    <x v="10"/>
    <x v="0"/>
    <x v="10"/>
    <x v="0"/>
    <x v="0"/>
    <x v="0"/>
    <x v="0"/>
    <x v="1"/>
    <n v="2123.0160915495571"/>
    <x v="0"/>
  </r>
  <r>
    <x v="10"/>
    <x v="0"/>
    <x v="10"/>
    <x v="0"/>
    <x v="0"/>
    <x v="0"/>
    <x v="0"/>
    <x v="2"/>
    <n v="2524.109595633995"/>
    <x v="0"/>
  </r>
  <r>
    <x v="10"/>
    <x v="0"/>
    <x v="10"/>
    <x v="0"/>
    <x v="0"/>
    <x v="0"/>
    <x v="0"/>
    <x v="3"/>
    <n v="2492.4647008083712"/>
    <x v="0"/>
  </r>
  <r>
    <x v="10"/>
    <x v="0"/>
    <x v="10"/>
    <x v="0"/>
    <x v="0"/>
    <x v="0"/>
    <x v="0"/>
    <x v="4"/>
    <n v="2543.4429783806818"/>
    <x v="0"/>
  </r>
  <r>
    <x v="10"/>
    <x v="0"/>
    <x v="10"/>
    <x v="0"/>
    <x v="0"/>
    <x v="0"/>
    <x v="0"/>
    <x v="5"/>
    <n v="2451.1331546603565"/>
    <x v="0"/>
  </r>
  <r>
    <x v="10"/>
    <x v="0"/>
    <x v="10"/>
    <x v="0"/>
    <x v="0"/>
    <x v="0"/>
    <x v="0"/>
    <x v="6"/>
    <n v="2490.2272737815738"/>
    <x v="0"/>
  </r>
  <r>
    <x v="10"/>
    <x v="0"/>
    <x v="10"/>
    <x v="0"/>
    <x v="0"/>
    <x v="0"/>
    <x v="0"/>
    <x v="7"/>
    <n v="2842.5991770783512"/>
    <x v="0"/>
  </r>
  <r>
    <x v="10"/>
    <x v="0"/>
    <x v="10"/>
    <x v="0"/>
    <x v="0"/>
    <x v="0"/>
    <x v="0"/>
    <x v="8"/>
    <n v="2682.7515828937162"/>
    <x v="0"/>
  </r>
  <r>
    <x v="10"/>
    <x v="0"/>
    <x v="10"/>
    <x v="0"/>
    <x v="0"/>
    <x v="0"/>
    <x v="0"/>
    <x v="9"/>
    <n v="2640.8006117826762"/>
    <x v="0"/>
  </r>
  <r>
    <x v="10"/>
    <x v="0"/>
    <x v="10"/>
    <x v="0"/>
    <x v="0"/>
    <x v="0"/>
    <x v="0"/>
    <x v="10"/>
    <n v="2711.0151011128669"/>
    <x v="0"/>
  </r>
  <r>
    <x v="10"/>
    <x v="0"/>
    <x v="10"/>
    <x v="0"/>
    <x v="0"/>
    <x v="0"/>
    <x v="0"/>
    <x v="11"/>
    <n v="3070.5337180431511"/>
    <x v="0"/>
  </r>
  <r>
    <x v="11"/>
    <x v="0"/>
    <x v="11"/>
    <x v="0"/>
    <x v="0"/>
    <x v="0"/>
    <x v="0"/>
    <x v="0"/>
    <n v="6440.2135491262534"/>
    <x v="0"/>
  </r>
  <r>
    <x v="11"/>
    <x v="0"/>
    <x v="11"/>
    <x v="0"/>
    <x v="0"/>
    <x v="0"/>
    <x v="0"/>
    <x v="1"/>
    <n v="6173.9543026049478"/>
    <x v="0"/>
  </r>
  <r>
    <x v="11"/>
    <x v="0"/>
    <x v="11"/>
    <x v="0"/>
    <x v="0"/>
    <x v="0"/>
    <x v="0"/>
    <x v="2"/>
    <n v="6184.0530841890932"/>
    <x v="0"/>
  </r>
  <r>
    <x v="11"/>
    <x v="0"/>
    <x v="11"/>
    <x v="0"/>
    <x v="0"/>
    <x v="0"/>
    <x v="0"/>
    <x v="3"/>
    <n v="5690.3406219074623"/>
    <x v="0"/>
  </r>
  <r>
    <x v="11"/>
    <x v="0"/>
    <x v="11"/>
    <x v="0"/>
    <x v="0"/>
    <x v="0"/>
    <x v="0"/>
    <x v="4"/>
    <n v="6233.7734662571002"/>
    <x v="0"/>
  </r>
  <r>
    <x v="11"/>
    <x v="0"/>
    <x v="11"/>
    <x v="0"/>
    <x v="0"/>
    <x v="0"/>
    <x v="0"/>
    <x v="5"/>
    <n v="5411.6843559768658"/>
    <x v="0"/>
  </r>
  <r>
    <x v="11"/>
    <x v="0"/>
    <x v="11"/>
    <x v="0"/>
    <x v="0"/>
    <x v="0"/>
    <x v="0"/>
    <x v="6"/>
    <n v="8398.6009537282807"/>
    <x v="0"/>
  </r>
  <r>
    <x v="11"/>
    <x v="0"/>
    <x v="11"/>
    <x v="0"/>
    <x v="0"/>
    <x v="0"/>
    <x v="0"/>
    <x v="7"/>
    <n v="6548.0606786585531"/>
    <x v="0"/>
  </r>
  <r>
    <x v="11"/>
    <x v="0"/>
    <x v="11"/>
    <x v="0"/>
    <x v="0"/>
    <x v="0"/>
    <x v="0"/>
    <x v="8"/>
    <n v="6594.0449466209384"/>
    <x v="0"/>
  </r>
  <r>
    <x v="11"/>
    <x v="0"/>
    <x v="11"/>
    <x v="0"/>
    <x v="0"/>
    <x v="0"/>
    <x v="0"/>
    <x v="9"/>
    <n v="6472.3891682789827"/>
    <x v="0"/>
  </r>
  <r>
    <x v="11"/>
    <x v="0"/>
    <x v="11"/>
    <x v="0"/>
    <x v="0"/>
    <x v="0"/>
    <x v="0"/>
    <x v="10"/>
    <n v="6644.4792148236884"/>
    <x v="0"/>
  </r>
  <r>
    <x v="11"/>
    <x v="0"/>
    <x v="11"/>
    <x v="0"/>
    <x v="0"/>
    <x v="0"/>
    <x v="0"/>
    <x v="11"/>
    <n v="7525.630329236451"/>
    <x v="0"/>
  </r>
  <r>
    <x v="11"/>
    <x v="1"/>
    <x v="11"/>
    <x v="0"/>
    <x v="1"/>
    <x v="1"/>
    <x v="0"/>
    <x v="0"/>
    <n v="7866.8123815374774"/>
    <x v="0"/>
  </r>
  <r>
    <x v="11"/>
    <x v="1"/>
    <x v="11"/>
    <x v="0"/>
    <x v="1"/>
    <x v="1"/>
    <x v="0"/>
    <x v="1"/>
    <n v="0"/>
    <x v="0"/>
  </r>
  <r>
    <x v="11"/>
    <x v="1"/>
    <x v="11"/>
    <x v="0"/>
    <x v="1"/>
    <x v="1"/>
    <x v="0"/>
    <x v="2"/>
    <n v="0"/>
    <x v="0"/>
  </r>
  <r>
    <x v="11"/>
    <x v="1"/>
    <x v="11"/>
    <x v="0"/>
    <x v="1"/>
    <x v="1"/>
    <x v="0"/>
    <x v="3"/>
    <n v="0"/>
    <x v="0"/>
  </r>
  <r>
    <x v="11"/>
    <x v="1"/>
    <x v="11"/>
    <x v="0"/>
    <x v="1"/>
    <x v="1"/>
    <x v="0"/>
    <x v="4"/>
    <n v="0"/>
    <x v="0"/>
  </r>
  <r>
    <x v="11"/>
    <x v="1"/>
    <x v="11"/>
    <x v="0"/>
    <x v="1"/>
    <x v="1"/>
    <x v="0"/>
    <x v="5"/>
    <n v="0"/>
    <x v="0"/>
  </r>
  <r>
    <x v="11"/>
    <x v="1"/>
    <x v="11"/>
    <x v="0"/>
    <x v="1"/>
    <x v="1"/>
    <x v="0"/>
    <x v="6"/>
    <n v="0"/>
    <x v="0"/>
  </r>
  <r>
    <x v="11"/>
    <x v="1"/>
    <x v="11"/>
    <x v="0"/>
    <x v="1"/>
    <x v="1"/>
    <x v="0"/>
    <x v="7"/>
    <n v="0"/>
    <x v="0"/>
  </r>
  <r>
    <x v="11"/>
    <x v="1"/>
    <x v="11"/>
    <x v="0"/>
    <x v="1"/>
    <x v="1"/>
    <x v="0"/>
    <x v="8"/>
    <n v="0"/>
    <x v="0"/>
  </r>
  <r>
    <x v="11"/>
    <x v="1"/>
    <x v="11"/>
    <x v="0"/>
    <x v="1"/>
    <x v="1"/>
    <x v="0"/>
    <x v="9"/>
    <n v="0"/>
    <x v="0"/>
  </r>
  <r>
    <x v="11"/>
    <x v="1"/>
    <x v="11"/>
    <x v="0"/>
    <x v="1"/>
    <x v="1"/>
    <x v="0"/>
    <x v="10"/>
    <n v="0"/>
    <x v="0"/>
  </r>
  <r>
    <x v="11"/>
    <x v="1"/>
    <x v="11"/>
    <x v="0"/>
    <x v="1"/>
    <x v="1"/>
    <x v="0"/>
    <x v="11"/>
    <n v="0"/>
    <x v="0"/>
  </r>
  <r>
    <x v="12"/>
    <x v="0"/>
    <x v="12"/>
    <x v="0"/>
    <x v="0"/>
    <x v="0"/>
    <x v="0"/>
    <x v="0"/>
    <n v="3630.5470776776629"/>
    <x v="0"/>
  </r>
  <r>
    <x v="12"/>
    <x v="0"/>
    <x v="12"/>
    <x v="0"/>
    <x v="0"/>
    <x v="0"/>
    <x v="0"/>
    <x v="1"/>
    <n v="3477.3078532213081"/>
    <x v="0"/>
  </r>
  <r>
    <x v="12"/>
    <x v="0"/>
    <x v="12"/>
    <x v="0"/>
    <x v="0"/>
    <x v="0"/>
    <x v="0"/>
    <x v="2"/>
    <n v="1991.6570901336561"/>
    <x v="0"/>
  </r>
  <r>
    <x v="12"/>
    <x v="0"/>
    <x v="12"/>
    <x v="0"/>
    <x v="0"/>
    <x v="0"/>
    <x v="0"/>
    <x v="3"/>
    <n v="3438.5714654589328"/>
    <x v="0"/>
  </r>
  <r>
    <x v="12"/>
    <x v="0"/>
    <x v="12"/>
    <x v="0"/>
    <x v="0"/>
    <x v="0"/>
    <x v="0"/>
    <x v="4"/>
    <n v="3509.2670030997369"/>
    <x v="0"/>
  </r>
  <r>
    <x v="12"/>
    <x v="0"/>
    <x v="12"/>
    <x v="0"/>
    <x v="0"/>
    <x v="0"/>
    <x v="0"/>
    <x v="5"/>
    <n v="3598.4541744020466"/>
    <x v="0"/>
  </r>
  <r>
    <x v="12"/>
    <x v="0"/>
    <x v="12"/>
    <x v="0"/>
    <x v="0"/>
    <x v="0"/>
    <x v="0"/>
    <x v="6"/>
    <n v="3608.7222681969361"/>
    <x v="0"/>
  </r>
  <r>
    <x v="12"/>
    <x v="0"/>
    <x v="12"/>
    <x v="0"/>
    <x v="0"/>
    <x v="0"/>
    <x v="0"/>
    <x v="7"/>
    <n v="3694.1882803642866"/>
    <x v="0"/>
  </r>
  <r>
    <x v="12"/>
    <x v="0"/>
    <x v="12"/>
    <x v="0"/>
    <x v="0"/>
    <x v="0"/>
    <x v="0"/>
    <x v="8"/>
    <n v="3770.5847563322664"/>
    <x v="0"/>
  </r>
  <r>
    <x v="12"/>
    <x v="0"/>
    <x v="12"/>
    <x v="0"/>
    <x v="0"/>
    <x v="0"/>
    <x v="0"/>
    <x v="9"/>
    <n v="3643.5943433631373"/>
    <x v="0"/>
  </r>
  <r>
    <x v="12"/>
    <x v="0"/>
    <x v="12"/>
    <x v="0"/>
    <x v="0"/>
    <x v="0"/>
    <x v="0"/>
    <x v="10"/>
    <n v="0"/>
    <x v="0"/>
  </r>
  <r>
    <x v="12"/>
    <x v="0"/>
    <x v="12"/>
    <x v="0"/>
    <x v="0"/>
    <x v="0"/>
    <x v="0"/>
    <x v="11"/>
    <n v="0"/>
    <x v="0"/>
  </r>
  <r>
    <x v="13"/>
    <x v="0"/>
    <x v="13"/>
    <x v="0"/>
    <x v="0"/>
    <x v="0"/>
    <x v="0"/>
    <x v="0"/>
    <n v="1900.1613368442065"/>
    <x v="0"/>
  </r>
  <r>
    <x v="13"/>
    <x v="0"/>
    <x v="13"/>
    <x v="0"/>
    <x v="0"/>
    <x v="0"/>
    <x v="0"/>
    <x v="1"/>
    <n v="1821.3575971346481"/>
    <x v="0"/>
  </r>
  <r>
    <x v="13"/>
    <x v="0"/>
    <x v="13"/>
    <x v="0"/>
    <x v="0"/>
    <x v="0"/>
    <x v="0"/>
    <x v="2"/>
    <n v="2524.109595633995"/>
    <x v="0"/>
  </r>
  <r>
    <x v="13"/>
    <x v="0"/>
    <x v="13"/>
    <x v="0"/>
    <x v="0"/>
    <x v="0"/>
    <x v="0"/>
    <x v="3"/>
    <n v="2492.4647008083712"/>
    <x v="0"/>
  </r>
  <r>
    <x v="13"/>
    <x v="0"/>
    <x v="13"/>
    <x v="0"/>
    <x v="0"/>
    <x v="0"/>
    <x v="0"/>
    <x v="4"/>
    <n v="2543.4429783806818"/>
    <x v="0"/>
  </r>
  <r>
    <x v="13"/>
    <x v="0"/>
    <x v="13"/>
    <x v="0"/>
    <x v="0"/>
    <x v="0"/>
    <x v="0"/>
    <x v="5"/>
    <n v="2607.7430321829534"/>
    <x v="0"/>
  </r>
  <r>
    <x v="13"/>
    <x v="0"/>
    <x v="13"/>
    <x v="0"/>
    <x v="0"/>
    <x v="0"/>
    <x v="0"/>
    <x v="6"/>
    <n v="2641.5430165294088"/>
    <x v="0"/>
  </r>
  <r>
    <x v="13"/>
    <x v="0"/>
    <x v="13"/>
    <x v="0"/>
    <x v="0"/>
    <x v="0"/>
    <x v="0"/>
    <x v="7"/>
    <n v="2682.603478201775"/>
    <x v="0"/>
  </r>
  <r>
    <x v="13"/>
    <x v="0"/>
    <x v="13"/>
    <x v="0"/>
    <x v="0"/>
    <x v="0"/>
    <x v="0"/>
    <x v="8"/>
    <n v="2682.7515828937162"/>
    <x v="0"/>
  </r>
  <r>
    <x v="13"/>
    <x v="0"/>
    <x v="13"/>
    <x v="0"/>
    <x v="0"/>
    <x v="0"/>
    <x v="0"/>
    <x v="9"/>
    <n v="2640.8006117826762"/>
    <x v="0"/>
  </r>
  <r>
    <x v="13"/>
    <x v="0"/>
    <x v="13"/>
    <x v="0"/>
    <x v="0"/>
    <x v="0"/>
    <x v="0"/>
    <x v="10"/>
    <n v="2711.0151011128669"/>
    <x v="0"/>
  </r>
  <r>
    <x v="13"/>
    <x v="0"/>
    <x v="13"/>
    <x v="0"/>
    <x v="0"/>
    <x v="0"/>
    <x v="0"/>
    <x v="11"/>
    <n v="3070.5337180431511"/>
    <x v="0"/>
  </r>
  <r>
    <x v="14"/>
    <x v="0"/>
    <x v="14"/>
    <x v="0"/>
    <x v="0"/>
    <x v="0"/>
    <x v="0"/>
    <x v="0"/>
    <n v="1938.2542334304057"/>
    <x v="0"/>
  </r>
  <r>
    <x v="14"/>
    <x v="0"/>
    <x v="14"/>
    <x v="0"/>
    <x v="0"/>
    <x v="0"/>
    <x v="0"/>
    <x v="1"/>
    <n v="1857.8770098248419"/>
    <x v="0"/>
  </r>
  <r>
    <x v="14"/>
    <x v="0"/>
    <x v="14"/>
    <x v="0"/>
    <x v="0"/>
    <x v="0"/>
    <x v="0"/>
    <x v="2"/>
    <n v="2243.6529738968848"/>
    <x v="0"/>
  </r>
  <r>
    <x v="14"/>
    <x v="0"/>
    <x v="14"/>
    <x v="0"/>
    <x v="0"/>
    <x v="0"/>
    <x v="0"/>
    <x v="3"/>
    <n v="2215.556484454904"/>
    <x v="0"/>
  </r>
  <r>
    <x v="14"/>
    <x v="0"/>
    <x v="14"/>
    <x v="0"/>
    <x v="0"/>
    <x v="0"/>
    <x v="0"/>
    <x v="4"/>
    <n v="2260.8933001922974"/>
    <x v="0"/>
  </r>
  <r>
    <x v="14"/>
    <x v="0"/>
    <x v="14"/>
    <x v="0"/>
    <x v="0"/>
    <x v="0"/>
    <x v="0"/>
    <x v="5"/>
    <n v="2318.0773262457933"/>
    <x v="0"/>
  </r>
  <r>
    <x v="14"/>
    <x v="0"/>
    <x v="14"/>
    <x v="0"/>
    <x v="0"/>
    <x v="0"/>
    <x v="0"/>
    <x v="6"/>
    <n v="2360.6434120032291"/>
    <x v="0"/>
  </r>
  <r>
    <x v="14"/>
    <x v="0"/>
    <x v="14"/>
    <x v="0"/>
    <x v="0"/>
    <x v="0"/>
    <x v="0"/>
    <x v="7"/>
    <n v="2386.5227320891527"/>
    <x v="0"/>
  </r>
  <r>
    <x v="14"/>
    <x v="0"/>
    <x v="14"/>
    <x v="0"/>
    <x v="0"/>
    <x v="0"/>
    <x v="0"/>
    <x v="8"/>
    <n v="2388.0888120004661"/>
    <x v="0"/>
  </r>
  <r>
    <x v="14"/>
    <x v="0"/>
    <x v="14"/>
    <x v="0"/>
    <x v="0"/>
    <x v="0"/>
    <x v="0"/>
    <x v="9"/>
    <n v="2347.4355277759823"/>
    <x v="0"/>
  </r>
  <r>
    <x v="14"/>
    <x v="0"/>
    <x v="14"/>
    <x v="0"/>
    <x v="0"/>
    <x v="0"/>
    <x v="0"/>
    <x v="10"/>
    <n v="2409.8499281979334"/>
    <x v="0"/>
  </r>
  <r>
    <x v="14"/>
    <x v="0"/>
    <x v="14"/>
    <x v="0"/>
    <x v="0"/>
    <x v="0"/>
    <x v="0"/>
    <x v="11"/>
    <n v="2729.4298201873271"/>
    <x v="0"/>
  </r>
  <r>
    <x v="15"/>
    <x v="0"/>
    <x v="15"/>
    <x v="0"/>
    <x v="0"/>
    <x v="0"/>
    <x v="0"/>
    <x v="0"/>
    <n v="2947.5685384745989"/>
    <x v="0"/>
  </r>
  <r>
    <x v="15"/>
    <x v="0"/>
    <x v="15"/>
    <x v="0"/>
    <x v="0"/>
    <x v="0"/>
    <x v="0"/>
    <x v="1"/>
    <n v="2824.9199592318346"/>
    <x v="0"/>
  </r>
  <r>
    <x v="15"/>
    <x v="0"/>
    <x v="15"/>
    <x v="0"/>
    <x v="0"/>
    <x v="0"/>
    <x v="0"/>
    <x v="2"/>
    <n v="4206.8493260566584"/>
    <x v="0"/>
  </r>
  <r>
    <x v="15"/>
    <x v="0"/>
    <x v="15"/>
    <x v="0"/>
    <x v="0"/>
    <x v="0"/>
    <x v="0"/>
    <x v="3"/>
    <n v="4151.3789042084545"/>
    <x v="0"/>
  </r>
  <r>
    <x v="15"/>
    <x v="0"/>
    <x v="15"/>
    <x v="0"/>
    <x v="0"/>
    <x v="0"/>
    <x v="0"/>
    <x v="4"/>
    <n v="4233.1903590829788"/>
    <x v="0"/>
  </r>
  <r>
    <x v="15"/>
    <x v="0"/>
    <x v="15"/>
    <x v="0"/>
    <x v="0"/>
    <x v="0"/>
    <x v="0"/>
    <x v="5"/>
    <n v="4337.9800589869601"/>
    <x v="0"/>
  </r>
  <r>
    <x v="15"/>
    <x v="0"/>
    <x v="15"/>
    <x v="0"/>
    <x v="0"/>
    <x v="0"/>
    <x v="0"/>
    <x v="6"/>
    <n v="4333.4783995068019"/>
    <x v="0"/>
  </r>
  <r>
    <x v="15"/>
    <x v="0"/>
    <x v="15"/>
    <x v="0"/>
    <x v="0"/>
    <x v="0"/>
    <x v="0"/>
    <x v="7"/>
    <n v="4449.8018626933526"/>
    <x v="0"/>
  </r>
  <r>
    <x v="15"/>
    <x v="0"/>
    <x v="15"/>
    <x v="0"/>
    <x v="0"/>
    <x v="0"/>
    <x v="0"/>
    <x v="8"/>
    <n v="4531.7375866661669"/>
    <x v="0"/>
  </r>
  <r>
    <x v="15"/>
    <x v="0"/>
    <x v="15"/>
    <x v="0"/>
    <x v="0"/>
    <x v="0"/>
    <x v="0"/>
    <x v="9"/>
    <n v="4395.2279587475277"/>
    <x v="0"/>
  </r>
  <r>
    <x v="15"/>
    <x v="0"/>
    <x v="15"/>
    <x v="0"/>
    <x v="0"/>
    <x v="0"/>
    <x v="0"/>
    <x v="10"/>
    <n v="4512.0897487805541"/>
    <x v="0"/>
  </r>
  <r>
    <x v="15"/>
    <x v="0"/>
    <x v="15"/>
    <x v="0"/>
    <x v="0"/>
    <x v="0"/>
    <x v="0"/>
    <x v="11"/>
    <n v="5110.456119104716"/>
    <x v="0"/>
  </r>
  <r>
    <x v="16"/>
    <x v="0"/>
    <x v="16"/>
    <x v="0"/>
    <x v="0"/>
    <x v="0"/>
    <x v="0"/>
    <x v="0"/>
    <n v="1954.0566829417126"/>
    <x v="0"/>
  </r>
  <r>
    <x v="16"/>
    <x v="0"/>
    <x v="16"/>
    <x v="0"/>
    <x v="0"/>
    <x v="0"/>
    <x v="0"/>
    <x v="1"/>
    <n v="1308.9423572342519"/>
    <x v="0"/>
  </r>
  <r>
    <x v="16"/>
    <x v="0"/>
    <x v="16"/>
    <x v="0"/>
    <x v="0"/>
    <x v="0"/>
    <x v="0"/>
    <x v="2"/>
    <n v="0"/>
    <x v="0"/>
  </r>
  <r>
    <x v="16"/>
    <x v="0"/>
    <x v="16"/>
    <x v="0"/>
    <x v="0"/>
    <x v="0"/>
    <x v="0"/>
    <x v="3"/>
    <n v="0"/>
    <x v="0"/>
  </r>
  <r>
    <x v="16"/>
    <x v="0"/>
    <x v="16"/>
    <x v="0"/>
    <x v="0"/>
    <x v="0"/>
    <x v="0"/>
    <x v="4"/>
    <n v="0"/>
    <x v="0"/>
  </r>
  <r>
    <x v="16"/>
    <x v="0"/>
    <x v="16"/>
    <x v="0"/>
    <x v="0"/>
    <x v="0"/>
    <x v="0"/>
    <x v="5"/>
    <n v="0"/>
    <x v="0"/>
  </r>
  <r>
    <x v="16"/>
    <x v="0"/>
    <x v="16"/>
    <x v="0"/>
    <x v="0"/>
    <x v="0"/>
    <x v="0"/>
    <x v="6"/>
    <n v="0"/>
    <x v="0"/>
  </r>
  <r>
    <x v="16"/>
    <x v="0"/>
    <x v="16"/>
    <x v="0"/>
    <x v="0"/>
    <x v="0"/>
    <x v="0"/>
    <x v="7"/>
    <n v="0"/>
    <x v="0"/>
  </r>
  <r>
    <x v="16"/>
    <x v="0"/>
    <x v="16"/>
    <x v="0"/>
    <x v="0"/>
    <x v="0"/>
    <x v="0"/>
    <x v="8"/>
    <n v="0"/>
    <x v="0"/>
  </r>
  <r>
    <x v="16"/>
    <x v="0"/>
    <x v="16"/>
    <x v="0"/>
    <x v="0"/>
    <x v="0"/>
    <x v="0"/>
    <x v="9"/>
    <n v="0"/>
    <x v="0"/>
  </r>
  <r>
    <x v="16"/>
    <x v="0"/>
    <x v="16"/>
    <x v="0"/>
    <x v="0"/>
    <x v="0"/>
    <x v="0"/>
    <x v="10"/>
    <n v="0"/>
    <x v="0"/>
  </r>
  <r>
    <x v="16"/>
    <x v="0"/>
    <x v="16"/>
    <x v="0"/>
    <x v="0"/>
    <x v="0"/>
    <x v="0"/>
    <x v="11"/>
    <n v="0"/>
    <x v="0"/>
  </r>
  <r>
    <x v="17"/>
    <x v="0"/>
    <x v="17"/>
    <x v="0"/>
    <x v="0"/>
    <x v="0"/>
    <x v="0"/>
    <x v="0"/>
    <n v="2585.675801287583"/>
    <x v="0"/>
  </r>
  <r>
    <x v="17"/>
    <x v="0"/>
    <x v="17"/>
    <x v="0"/>
    <x v="0"/>
    <x v="0"/>
    <x v="0"/>
    <x v="1"/>
    <n v="2478.5320772353562"/>
    <x v="0"/>
  </r>
  <r>
    <x v="17"/>
    <x v="0"/>
    <x v="17"/>
    <x v="0"/>
    <x v="0"/>
    <x v="0"/>
    <x v="0"/>
    <x v="2"/>
    <n v="3505.7077717138818"/>
    <x v="0"/>
  </r>
  <r>
    <x v="17"/>
    <x v="0"/>
    <x v="17"/>
    <x v="0"/>
    <x v="0"/>
    <x v="0"/>
    <x v="0"/>
    <x v="3"/>
    <n v="3458.9532947236298"/>
    <x v="0"/>
  </r>
  <r>
    <x v="17"/>
    <x v="0"/>
    <x v="17"/>
    <x v="0"/>
    <x v="0"/>
    <x v="0"/>
    <x v="0"/>
    <x v="4"/>
    <n v="3526.4912314821008"/>
    <x v="0"/>
  </r>
  <r>
    <x v="17"/>
    <x v="0"/>
    <x v="17"/>
    <x v="0"/>
    <x v="0"/>
    <x v="0"/>
    <x v="0"/>
    <x v="5"/>
    <n v="3613.3574004563834"/>
    <x v="0"/>
  </r>
  <r>
    <x v="17"/>
    <x v="0"/>
    <x v="17"/>
    <x v="0"/>
    <x v="0"/>
    <x v="0"/>
    <x v="0"/>
    <x v="6"/>
    <n v="3633.3521997451649"/>
    <x v="0"/>
  </r>
  <r>
    <x v="17"/>
    <x v="0"/>
    <x v="17"/>
    <x v="0"/>
    <x v="0"/>
    <x v="0"/>
    <x v="0"/>
    <x v="7"/>
    <n v="3709.3410639936596"/>
    <x v="0"/>
  </r>
  <r>
    <x v="17"/>
    <x v="0"/>
    <x v="17"/>
    <x v="0"/>
    <x v="0"/>
    <x v="0"/>
    <x v="0"/>
    <x v="8"/>
    <n v="3796.5793097509645"/>
    <x v="0"/>
  </r>
  <r>
    <x v="17"/>
    <x v="0"/>
    <x v="17"/>
    <x v="0"/>
    <x v="0"/>
    <x v="0"/>
    <x v="0"/>
    <x v="9"/>
    <n v="3661.4778788841854"/>
    <x v="0"/>
  </r>
  <r>
    <x v="17"/>
    <x v="0"/>
    <x v="17"/>
    <x v="0"/>
    <x v="0"/>
    <x v="0"/>
    <x v="0"/>
    <x v="10"/>
    <n v="3758.8304765443677"/>
    <x v="0"/>
  </r>
  <r>
    <x v="17"/>
    <x v="0"/>
    <x v="17"/>
    <x v="0"/>
    <x v="0"/>
    <x v="0"/>
    <x v="0"/>
    <x v="11"/>
    <n v="4257.3041049826224"/>
    <x v="0"/>
  </r>
  <r>
    <x v="18"/>
    <x v="0"/>
    <x v="18"/>
    <x v="0"/>
    <x v="0"/>
    <x v="0"/>
    <x v="0"/>
    <x v="0"/>
    <n v="6756.0610668807931"/>
    <x v="0"/>
  </r>
  <r>
    <x v="18"/>
    <x v="0"/>
    <x v="18"/>
    <x v="0"/>
    <x v="0"/>
    <x v="0"/>
    <x v="0"/>
    <x v="1"/>
    <n v="6512.7914149902817"/>
    <x v="0"/>
  </r>
  <r>
    <x v="18"/>
    <x v="0"/>
    <x v="18"/>
    <x v="0"/>
    <x v="0"/>
    <x v="0"/>
    <x v="0"/>
    <x v="2"/>
    <n v="8230.7511886217653"/>
    <x v="0"/>
  </r>
  <r>
    <x v="18"/>
    <x v="0"/>
    <x v="18"/>
    <x v="0"/>
    <x v="0"/>
    <x v="0"/>
    <x v="0"/>
    <x v="3"/>
    <n v="8132.7126263774908"/>
    <x v="0"/>
  </r>
  <r>
    <x v="18"/>
    <x v="0"/>
    <x v="18"/>
    <x v="0"/>
    <x v="0"/>
    <x v="0"/>
    <x v="0"/>
    <x v="4"/>
    <n v="8260.3497310761613"/>
    <x v="0"/>
  </r>
  <r>
    <x v="18"/>
    <x v="0"/>
    <x v="18"/>
    <x v="0"/>
    <x v="0"/>
    <x v="0"/>
    <x v="0"/>
    <x v="5"/>
    <n v="8477.7066584551776"/>
    <x v="0"/>
  </r>
  <r>
    <x v="18"/>
    <x v="0"/>
    <x v="18"/>
    <x v="0"/>
    <x v="0"/>
    <x v="0"/>
    <x v="0"/>
    <x v="6"/>
    <n v="8303.7475203969279"/>
    <x v="0"/>
  </r>
  <r>
    <x v="18"/>
    <x v="0"/>
    <x v="18"/>
    <x v="0"/>
    <x v="0"/>
    <x v="0"/>
    <x v="0"/>
    <x v="7"/>
    <n v="8676.4371502019112"/>
    <x v="0"/>
  </r>
  <r>
    <x v="18"/>
    <x v="0"/>
    <x v="18"/>
    <x v="0"/>
    <x v="0"/>
    <x v="0"/>
    <x v="0"/>
    <x v="8"/>
    <n v="8709.3315396710605"/>
    <x v="0"/>
  </r>
  <r>
    <x v="18"/>
    <x v="0"/>
    <x v="18"/>
    <x v="0"/>
    <x v="0"/>
    <x v="0"/>
    <x v="0"/>
    <x v="9"/>
    <n v="8576.5384987136349"/>
    <x v="0"/>
  </r>
  <r>
    <x v="18"/>
    <x v="0"/>
    <x v="18"/>
    <x v="0"/>
    <x v="0"/>
    <x v="0"/>
    <x v="0"/>
    <x v="10"/>
    <n v="8804.5743709491308"/>
    <x v="0"/>
  </r>
  <r>
    <x v="18"/>
    <x v="0"/>
    <x v="18"/>
    <x v="0"/>
    <x v="0"/>
    <x v="0"/>
    <x v="0"/>
    <x v="11"/>
    <n v="9972.1843924514342"/>
    <x v="0"/>
  </r>
  <r>
    <x v="18"/>
    <x v="1"/>
    <x v="18"/>
    <x v="0"/>
    <x v="1"/>
    <x v="1"/>
    <x v="0"/>
    <x v="0"/>
    <n v="0"/>
    <x v="0"/>
  </r>
  <r>
    <x v="18"/>
    <x v="1"/>
    <x v="18"/>
    <x v="0"/>
    <x v="1"/>
    <x v="1"/>
    <x v="0"/>
    <x v="1"/>
    <n v="0"/>
    <x v="0"/>
  </r>
  <r>
    <x v="18"/>
    <x v="1"/>
    <x v="18"/>
    <x v="0"/>
    <x v="1"/>
    <x v="1"/>
    <x v="0"/>
    <x v="2"/>
    <n v="0"/>
    <x v="0"/>
  </r>
  <r>
    <x v="18"/>
    <x v="1"/>
    <x v="18"/>
    <x v="0"/>
    <x v="1"/>
    <x v="1"/>
    <x v="0"/>
    <x v="3"/>
    <n v="0"/>
    <x v="0"/>
  </r>
  <r>
    <x v="18"/>
    <x v="1"/>
    <x v="18"/>
    <x v="0"/>
    <x v="1"/>
    <x v="1"/>
    <x v="0"/>
    <x v="4"/>
    <n v="11725.811644817961"/>
    <x v="0"/>
  </r>
  <r>
    <x v="18"/>
    <x v="1"/>
    <x v="18"/>
    <x v="0"/>
    <x v="1"/>
    <x v="1"/>
    <x v="0"/>
    <x v="5"/>
    <n v="0"/>
    <x v="0"/>
  </r>
  <r>
    <x v="18"/>
    <x v="1"/>
    <x v="18"/>
    <x v="0"/>
    <x v="1"/>
    <x v="1"/>
    <x v="0"/>
    <x v="6"/>
    <n v="0"/>
    <x v="0"/>
  </r>
  <r>
    <x v="18"/>
    <x v="1"/>
    <x v="18"/>
    <x v="0"/>
    <x v="1"/>
    <x v="1"/>
    <x v="0"/>
    <x v="7"/>
    <n v="0"/>
    <x v="0"/>
  </r>
  <r>
    <x v="18"/>
    <x v="1"/>
    <x v="18"/>
    <x v="0"/>
    <x v="1"/>
    <x v="1"/>
    <x v="0"/>
    <x v="8"/>
    <n v="0"/>
    <x v="0"/>
  </r>
  <r>
    <x v="18"/>
    <x v="1"/>
    <x v="18"/>
    <x v="0"/>
    <x v="1"/>
    <x v="1"/>
    <x v="0"/>
    <x v="9"/>
    <n v="0"/>
    <x v="0"/>
  </r>
  <r>
    <x v="18"/>
    <x v="1"/>
    <x v="18"/>
    <x v="0"/>
    <x v="1"/>
    <x v="1"/>
    <x v="0"/>
    <x v="10"/>
    <n v="0"/>
    <x v="0"/>
  </r>
  <r>
    <x v="18"/>
    <x v="1"/>
    <x v="18"/>
    <x v="0"/>
    <x v="1"/>
    <x v="1"/>
    <x v="0"/>
    <x v="11"/>
    <n v="0"/>
    <x v="0"/>
  </r>
  <r>
    <x v="19"/>
    <x v="0"/>
    <x v="19"/>
    <x v="0"/>
    <x v="0"/>
    <x v="0"/>
    <x v="0"/>
    <x v="0"/>
    <n v="1801.6704971424529"/>
    <x v="0"/>
  </r>
  <r>
    <x v="19"/>
    <x v="0"/>
    <x v="19"/>
    <x v="0"/>
    <x v="0"/>
    <x v="0"/>
    <x v="0"/>
    <x v="1"/>
    <n v="1726.4404343008016"/>
    <x v="0"/>
  </r>
  <r>
    <x v="19"/>
    <x v="0"/>
    <x v="19"/>
    <x v="0"/>
    <x v="0"/>
    <x v="0"/>
    <x v="0"/>
    <x v="2"/>
    <n v="2243.6529738968848"/>
    <x v="0"/>
  </r>
  <r>
    <x v="19"/>
    <x v="0"/>
    <x v="19"/>
    <x v="0"/>
    <x v="0"/>
    <x v="0"/>
    <x v="0"/>
    <x v="3"/>
    <n v="1983.7760001205618"/>
    <x v="0"/>
  </r>
  <r>
    <x v="19"/>
    <x v="0"/>
    <x v="19"/>
    <x v="0"/>
    <x v="0"/>
    <x v="0"/>
    <x v="0"/>
    <x v="4"/>
    <n v="2102.2769745992928"/>
    <x v="0"/>
  </r>
  <r>
    <x v="19"/>
    <x v="0"/>
    <x v="19"/>
    <x v="0"/>
    <x v="0"/>
    <x v="0"/>
    <x v="0"/>
    <x v="5"/>
    <n v="2154.9123465733492"/>
    <x v="0"/>
  </r>
  <r>
    <x v="19"/>
    <x v="0"/>
    <x v="19"/>
    <x v="0"/>
    <x v="0"/>
    <x v="0"/>
    <x v="0"/>
    <x v="6"/>
    <n v="2848.995020511762"/>
    <x v="0"/>
  </r>
  <r>
    <x v="19"/>
    <x v="0"/>
    <x v="19"/>
    <x v="0"/>
    <x v="0"/>
    <x v="0"/>
    <x v="0"/>
    <x v="7"/>
    <n v="2297.7869895033923"/>
    <x v="0"/>
  </r>
  <r>
    <x v="19"/>
    <x v="0"/>
    <x v="19"/>
    <x v="0"/>
    <x v="0"/>
    <x v="0"/>
    <x v="0"/>
    <x v="8"/>
    <n v="2385.685287987586"/>
    <x v="0"/>
  </r>
  <r>
    <x v="19"/>
    <x v="0"/>
    <x v="19"/>
    <x v="0"/>
    <x v="0"/>
    <x v="0"/>
    <x v="0"/>
    <x v="9"/>
    <n v="2182.7477037417248"/>
    <x v="0"/>
  </r>
  <r>
    <x v="19"/>
    <x v="0"/>
    <x v="19"/>
    <x v="0"/>
    <x v="0"/>
    <x v="0"/>
    <x v="0"/>
    <x v="10"/>
    <n v="2240.7833292528126"/>
    <x v="0"/>
  </r>
  <r>
    <x v="19"/>
    <x v="0"/>
    <x v="19"/>
    <x v="0"/>
    <x v="0"/>
    <x v="0"/>
    <x v="0"/>
    <x v="11"/>
    <n v="2537.9426195285141"/>
    <x v="0"/>
  </r>
  <r>
    <x v="19"/>
    <x v="1"/>
    <x v="19"/>
    <x v="0"/>
    <x v="1"/>
    <x v="1"/>
    <x v="0"/>
    <x v="0"/>
    <n v="1459.9454463513348"/>
    <x v="0"/>
  </r>
  <r>
    <x v="19"/>
    <x v="1"/>
    <x v="19"/>
    <x v="0"/>
    <x v="1"/>
    <x v="1"/>
    <x v="0"/>
    <x v="1"/>
    <n v="0"/>
    <x v="0"/>
  </r>
  <r>
    <x v="19"/>
    <x v="1"/>
    <x v="19"/>
    <x v="0"/>
    <x v="1"/>
    <x v="1"/>
    <x v="0"/>
    <x v="2"/>
    <n v="0"/>
    <x v="0"/>
  </r>
  <r>
    <x v="19"/>
    <x v="1"/>
    <x v="19"/>
    <x v="0"/>
    <x v="1"/>
    <x v="1"/>
    <x v="0"/>
    <x v="3"/>
    <n v="0"/>
    <x v="0"/>
  </r>
  <r>
    <x v="19"/>
    <x v="1"/>
    <x v="19"/>
    <x v="0"/>
    <x v="1"/>
    <x v="1"/>
    <x v="0"/>
    <x v="4"/>
    <n v="0"/>
    <x v="0"/>
  </r>
  <r>
    <x v="19"/>
    <x v="1"/>
    <x v="19"/>
    <x v="0"/>
    <x v="1"/>
    <x v="1"/>
    <x v="0"/>
    <x v="5"/>
    <n v="0"/>
    <x v="0"/>
  </r>
  <r>
    <x v="19"/>
    <x v="1"/>
    <x v="19"/>
    <x v="0"/>
    <x v="1"/>
    <x v="1"/>
    <x v="0"/>
    <x v="6"/>
    <n v="0"/>
    <x v="0"/>
  </r>
  <r>
    <x v="19"/>
    <x v="1"/>
    <x v="19"/>
    <x v="0"/>
    <x v="1"/>
    <x v="1"/>
    <x v="0"/>
    <x v="7"/>
    <n v="0"/>
    <x v="0"/>
  </r>
  <r>
    <x v="19"/>
    <x v="1"/>
    <x v="19"/>
    <x v="0"/>
    <x v="1"/>
    <x v="1"/>
    <x v="0"/>
    <x v="8"/>
    <n v="0"/>
    <x v="0"/>
  </r>
  <r>
    <x v="19"/>
    <x v="1"/>
    <x v="19"/>
    <x v="0"/>
    <x v="1"/>
    <x v="1"/>
    <x v="0"/>
    <x v="9"/>
    <n v="0"/>
    <x v="0"/>
  </r>
  <r>
    <x v="19"/>
    <x v="1"/>
    <x v="19"/>
    <x v="0"/>
    <x v="1"/>
    <x v="1"/>
    <x v="0"/>
    <x v="10"/>
    <n v="0"/>
    <x v="0"/>
  </r>
  <r>
    <x v="19"/>
    <x v="1"/>
    <x v="19"/>
    <x v="0"/>
    <x v="1"/>
    <x v="1"/>
    <x v="0"/>
    <x v="11"/>
    <n v="0"/>
    <x v="0"/>
  </r>
  <r>
    <x v="20"/>
    <x v="0"/>
    <x v="20"/>
    <x v="0"/>
    <x v="0"/>
    <x v="0"/>
    <x v="0"/>
    <x v="0"/>
    <n v="1940.7740992708082"/>
    <x v="0"/>
  </r>
  <r>
    <x v="20"/>
    <x v="0"/>
    <x v="20"/>
    <x v="0"/>
    <x v="0"/>
    <x v="0"/>
    <x v="0"/>
    <x v="1"/>
    <n v="1860.2926962657752"/>
    <x v="0"/>
  </r>
  <r>
    <x v="20"/>
    <x v="0"/>
    <x v="20"/>
    <x v="0"/>
    <x v="0"/>
    <x v="0"/>
    <x v="0"/>
    <x v="2"/>
    <n v="1511.9865208442411"/>
    <x v="0"/>
  </r>
  <r>
    <x v="20"/>
    <x v="0"/>
    <x v="20"/>
    <x v="0"/>
    <x v="0"/>
    <x v="0"/>
    <x v="0"/>
    <x v="3"/>
    <n v="2215.556484454904"/>
    <x v="0"/>
  </r>
  <r>
    <x v="20"/>
    <x v="0"/>
    <x v="20"/>
    <x v="0"/>
    <x v="0"/>
    <x v="0"/>
    <x v="0"/>
    <x v="4"/>
    <n v="2260.8933001922974"/>
    <x v="0"/>
  </r>
  <r>
    <x v="20"/>
    <x v="0"/>
    <x v="20"/>
    <x v="0"/>
    <x v="0"/>
    <x v="0"/>
    <x v="0"/>
    <x v="5"/>
    <n v="2318.0773262457933"/>
    <x v="0"/>
  </r>
  <r>
    <x v="20"/>
    <x v="0"/>
    <x v="20"/>
    <x v="0"/>
    <x v="0"/>
    <x v="0"/>
    <x v="0"/>
    <x v="6"/>
    <n v="3719.6206305170967"/>
    <x v="0"/>
  </r>
  <r>
    <x v="20"/>
    <x v="0"/>
    <x v="20"/>
    <x v="0"/>
    <x v="0"/>
    <x v="0"/>
    <x v="0"/>
    <x v="7"/>
    <n v="2386.5478856211998"/>
    <x v="0"/>
  </r>
  <r>
    <x v="20"/>
    <x v="0"/>
    <x v="20"/>
    <x v="0"/>
    <x v="0"/>
    <x v="0"/>
    <x v="0"/>
    <x v="8"/>
    <n v="2388.6900669184361"/>
    <x v="0"/>
  </r>
  <r>
    <x v="20"/>
    <x v="0"/>
    <x v="20"/>
    <x v="0"/>
    <x v="0"/>
    <x v="0"/>
    <x v="0"/>
    <x v="9"/>
    <n v="2347.4355277759823"/>
    <x v="0"/>
  </r>
  <r>
    <x v="20"/>
    <x v="0"/>
    <x v="20"/>
    <x v="0"/>
    <x v="0"/>
    <x v="0"/>
    <x v="0"/>
    <x v="10"/>
    <n v="2409.8499281979334"/>
    <x v="0"/>
  </r>
  <r>
    <x v="20"/>
    <x v="0"/>
    <x v="20"/>
    <x v="0"/>
    <x v="0"/>
    <x v="0"/>
    <x v="0"/>
    <x v="11"/>
    <n v="2729.4298201873271"/>
    <x v="0"/>
  </r>
  <r>
    <x v="21"/>
    <x v="0"/>
    <x v="21"/>
    <x v="0"/>
    <x v="0"/>
    <x v="0"/>
    <x v="0"/>
    <x v="0"/>
    <n v="5083.8147335573876"/>
    <x v="0"/>
  </r>
  <r>
    <x v="21"/>
    <x v="0"/>
    <x v="21"/>
    <x v="0"/>
    <x v="0"/>
    <x v="0"/>
    <x v="0"/>
    <x v="1"/>
    <n v="4873.6333987172484"/>
    <x v="0"/>
  </r>
  <r>
    <x v="21"/>
    <x v="0"/>
    <x v="21"/>
    <x v="0"/>
    <x v="0"/>
    <x v="0"/>
    <x v="0"/>
    <x v="2"/>
    <n v="4887.8344629951889"/>
    <x v="0"/>
  </r>
  <r>
    <x v="21"/>
    <x v="0"/>
    <x v="21"/>
    <x v="0"/>
    <x v="0"/>
    <x v="0"/>
    <x v="0"/>
    <x v="3"/>
    <n v="4825.3028912176223"/>
    <x v="0"/>
  </r>
  <r>
    <x v="21"/>
    <x v="0"/>
    <x v="21"/>
    <x v="0"/>
    <x v="0"/>
    <x v="0"/>
    <x v="0"/>
    <x v="4"/>
    <n v="4915.4107953140065"/>
    <x v="0"/>
  </r>
  <r>
    <x v="21"/>
    <x v="0"/>
    <x v="21"/>
    <x v="0"/>
    <x v="0"/>
    <x v="0"/>
    <x v="0"/>
    <x v="5"/>
    <n v="6517.6963559399564"/>
    <x v="0"/>
  </r>
  <r>
    <x v="21"/>
    <x v="0"/>
    <x v="21"/>
    <x v="0"/>
    <x v="0"/>
    <x v="0"/>
    <x v="0"/>
    <x v="6"/>
    <n v="6426.1493876919094"/>
    <x v="0"/>
  </r>
  <r>
    <x v="21"/>
    <x v="0"/>
    <x v="21"/>
    <x v="0"/>
    <x v="0"/>
    <x v="0"/>
    <x v="0"/>
    <x v="7"/>
    <n v="6689.0506646438798"/>
    <x v="0"/>
  </r>
  <r>
    <x v="21"/>
    <x v="0"/>
    <x v="21"/>
    <x v="0"/>
    <x v="0"/>
    <x v="0"/>
    <x v="0"/>
    <x v="8"/>
    <n v="6729.9375320361369"/>
    <x v="0"/>
  </r>
  <r>
    <x v="21"/>
    <x v="0"/>
    <x v="21"/>
    <x v="0"/>
    <x v="0"/>
    <x v="0"/>
    <x v="0"/>
    <x v="9"/>
    <n v="6600.7143901506115"/>
    <x v="0"/>
  </r>
  <r>
    <x v="21"/>
    <x v="0"/>
    <x v="21"/>
    <x v="0"/>
    <x v="0"/>
    <x v="0"/>
    <x v="0"/>
    <x v="10"/>
    <n v="6776.2163905860034"/>
    <x v="0"/>
  </r>
  <r>
    <x v="21"/>
    <x v="0"/>
    <x v="21"/>
    <x v="0"/>
    <x v="0"/>
    <x v="0"/>
    <x v="0"/>
    <x v="11"/>
    <n v="7674.8377017560351"/>
    <x v="0"/>
  </r>
  <r>
    <x v="21"/>
    <x v="1"/>
    <x v="21"/>
    <x v="0"/>
    <x v="1"/>
    <x v="1"/>
    <x v="0"/>
    <x v="0"/>
    <n v="4102.7795718090192"/>
    <x v="0"/>
  </r>
  <r>
    <x v="21"/>
    <x v="1"/>
    <x v="21"/>
    <x v="0"/>
    <x v="1"/>
    <x v="1"/>
    <x v="0"/>
    <x v="1"/>
    <n v="0"/>
    <x v="0"/>
  </r>
  <r>
    <x v="21"/>
    <x v="1"/>
    <x v="21"/>
    <x v="0"/>
    <x v="1"/>
    <x v="1"/>
    <x v="0"/>
    <x v="2"/>
    <n v="0"/>
    <x v="0"/>
  </r>
  <r>
    <x v="21"/>
    <x v="1"/>
    <x v="21"/>
    <x v="0"/>
    <x v="1"/>
    <x v="1"/>
    <x v="0"/>
    <x v="3"/>
    <n v="0"/>
    <x v="0"/>
  </r>
  <r>
    <x v="21"/>
    <x v="1"/>
    <x v="21"/>
    <x v="0"/>
    <x v="1"/>
    <x v="1"/>
    <x v="0"/>
    <x v="4"/>
    <n v="0"/>
    <x v="0"/>
  </r>
  <r>
    <x v="21"/>
    <x v="1"/>
    <x v="21"/>
    <x v="0"/>
    <x v="1"/>
    <x v="1"/>
    <x v="0"/>
    <x v="5"/>
    <n v="0"/>
    <x v="0"/>
  </r>
  <r>
    <x v="21"/>
    <x v="1"/>
    <x v="21"/>
    <x v="0"/>
    <x v="1"/>
    <x v="1"/>
    <x v="0"/>
    <x v="6"/>
    <n v="0"/>
    <x v="0"/>
  </r>
  <r>
    <x v="21"/>
    <x v="1"/>
    <x v="21"/>
    <x v="0"/>
    <x v="1"/>
    <x v="1"/>
    <x v="0"/>
    <x v="7"/>
    <n v="0"/>
    <x v="0"/>
  </r>
  <r>
    <x v="21"/>
    <x v="1"/>
    <x v="21"/>
    <x v="0"/>
    <x v="1"/>
    <x v="1"/>
    <x v="0"/>
    <x v="8"/>
    <n v="0"/>
    <x v="0"/>
  </r>
  <r>
    <x v="21"/>
    <x v="1"/>
    <x v="21"/>
    <x v="0"/>
    <x v="1"/>
    <x v="1"/>
    <x v="0"/>
    <x v="9"/>
    <n v="0"/>
    <x v="0"/>
  </r>
  <r>
    <x v="21"/>
    <x v="1"/>
    <x v="21"/>
    <x v="0"/>
    <x v="1"/>
    <x v="1"/>
    <x v="0"/>
    <x v="10"/>
    <n v="0"/>
    <x v="0"/>
  </r>
  <r>
    <x v="21"/>
    <x v="1"/>
    <x v="21"/>
    <x v="0"/>
    <x v="1"/>
    <x v="1"/>
    <x v="0"/>
    <x v="11"/>
    <n v="0"/>
    <x v="0"/>
  </r>
  <r>
    <x v="22"/>
    <x v="0"/>
    <x v="22"/>
    <x v="0"/>
    <x v="0"/>
    <x v="0"/>
    <x v="0"/>
    <x v="0"/>
    <n v="1899.7832109736016"/>
    <x v="0"/>
  </r>
  <r>
    <x v="22"/>
    <x v="0"/>
    <x v="22"/>
    <x v="0"/>
    <x v="0"/>
    <x v="0"/>
    <x v="0"/>
    <x v="1"/>
    <n v="1820.9965037964323"/>
    <x v="0"/>
  </r>
  <r>
    <x v="22"/>
    <x v="0"/>
    <x v="22"/>
    <x v="0"/>
    <x v="0"/>
    <x v="0"/>
    <x v="0"/>
    <x v="2"/>
    <n v="1824.8456983737485"/>
    <x v="0"/>
  </r>
  <r>
    <x v="22"/>
    <x v="0"/>
    <x v="22"/>
    <x v="0"/>
    <x v="0"/>
    <x v="0"/>
    <x v="0"/>
    <x v="3"/>
    <n v="1802.0480604331906"/>
    <x v="0"/>
  </r>
  <r>
    <x v="22"/>
    <x v="0"/>
    <x v="22"/>
    <x v="0"/>
    <x v="0"/>
    <x v="0"/>
    <x v="0"/>
    <x v="4"/>
    <n v="1838.960453005192"/>
    <x v="0"/>
  </r>
  <r>
    <x v="22"/>
    <x v="0"/>
    <x v="22"/>
    <x v="0"/>
    <x v="0"/>
    <x v="0"/>
    <x v="0"/>
    <x v="5"/>
    <n v="1885.521690348012"/>
    <x v="0"/>
  </r>
  <r>
    <x v="22"/>
    <x v="0"/>
    <x v="22"/>
    <x v="0"/>
    <x v="0"/>
    <x v="0"/>
    <x v="0"/>
    <x v="6"/>
    <n v="1942.8791358671353"/>
    <x v="0"/>
  </r>
  <r>
    <x v="22"/>
    <x v="0"/>
    <x v="22"/>
    <x v="0"/>
    <x v="0"/>
    <x v="0"/>
    <x v="0"/>
    <x v="7"/>
    <n v="1944.6447161310509"/>
    <x v="0"/>
  </r>
  <r>
    <x v="22"/>
    <x v="0"/>
    <x v="22"/>
    <x v="0"/>
    <x v="0"/>
    <x v="0"/>
    <x v="0"/>
    <x v="8"/>
    <n v="1941.9935586827946"/>
    <x v="0"/>
  </r>
  <r>
    <x v="22"/>
    <x v="0"/>
    <x v="22"/>
    <x v="0"/>
    <x v="0"/>
    <x v="0"/>
    <x v="0"/>
    <x v="9"/>
    <n v="1909.3519810033663"/>
    <x v="0"/>
  </r>
  <r>
    <x v="22"/>
    <x v="0"/>
    <x v="22"/>
    <x v="0"/>
    <x v="0"/>
    <x v="0"/>
    <x v="0"/>
    <x v="10"/>
    <n v="1960.1184696581988"/>
    <x v="0"/>
  </r>
  <r>
    <x v="22"/>
    <x v="0"/>
    <x v="22"/>
    <x v="0"/>
    <x v="0"/>
    <x v="0"/>
    <x v="0"/>
    <x v="11"/>
    <n v="2220.0576639997362"/>
    <x v="0"/>
  </r>
  <r>
    <x v="23"/>
    <x v="0"/>
    <x v="23"/>
    <x v="0"/>
    <x v="0"/>
    <x v="0"/>
    <x v="0"/>
    <x v="0"/>
    <n v="1900.1613368442065"/>
    <x v="0"/>
  </r>
  <r>
    <x v="23"/>
    <x v="0"/>
    <x v="23"/>
    <x v="0"/>
    <x v="0"/>
    <x v="0"/>
    <x v="0"/>
    <x v="1"/>
    <n v="1821.3575971346481"/>
    <x v="0"/>
  </r>
  <r>
    <x v="23"/>
    <x v="0"/>
    <x v="23"/>
    <x v="0"/>
    <x v="0"/>
    <x v="0"/>
    <x v="0"/>
    <x v="2"/>
    <n v="1825.2074874157895"/>
    <x v="0"/>
  </r>
  <r>
    <x v="23"/>
    <x v="0"/>
    <x v="23"/>
    <x v="0"/>
    <x v="0"/>
    <x v="0"/>
    <x v="0"/>
    <x v="3"/>
    <n v="1802.4052720322866"/>
    <x v="0"/>
  </r>
  <r>
    <x v="23"/>
    <x v="0"/>
    <x v="23"/>
    <x v="0"/>
    <x v="0"/>
    <x v="0"/>
    <x v="0"/>
    <x v="4"/>
    <n v="1839.3249420900549"/>
    <x v="0"/>
  </r>
  <r>
    <x v="23"/>
    <x v="0"/>
    <x v="23"/>
    <x v="0"/>
    <x v="0"/>
    <x v="0"/>
    <x v="0"/>
    <x v="5"/>
    <n v="1885.8953572403364"/>
    <x v="0"/>
  </r>
  <r>
    <x v="23"/>
    <x v="0"/>
    <x v="23"/>
    <x v="0"/>
    <x v="0"/>
    <x v="0"/>
    <x v="0"/>
    <x v="6"/>
    <n v="1944.1035657350235"/>
    <x v="0"/>
  </r>
  <r>
    <x v="23"/>
    <x v="0"/>
    <x v="23"/>
    <x v="0"/>
    <x v="0"/>
    <x v="0"/>
    <x v="0"/>
    <x v="7"/>
    <n v="1789.7951339875046"/>
    <x v="0"/>
  </r>
  <r>
    <x v="23"/>
    <x v="0"/>
    <x v="23"/>
    <x v="0"/>
    <x v="0"/>
    <x v="0"/>
    <x v="0"/>
    <x v="8"/>
    <n v="1945.5427574896171"/>
    <x v="0"/>
  </r>
  <r>
    <x v="23"/>
    <x v="0"/>
    <x v="23"/>
    <x v="0"/>
    <x v="0"/>
    <x v="0"/>
    <x v="0"/>
    <x v="9"/>
    <n v="1909.7304219617351"/>
    <x v="0"/>
  </r>
  <r>
    <x v="23"/>
    <x v="0"/>
    <x v="23"/>
    <x v="0"/>
    <x v="0"/>
    <x v="0"/>
    <x v="0"/>
    <x v="10"/>
    <n v="1960.5069727312589"/>
    <x v="0"/>
  </r>
  <r>
    <x v="23"/>
    <x v="0"/>
    <x v="23"/>
    <x v="0"/>
    <x v="0"/>
    <x v="0"/>
    <x v="0"/>
    <x v="11"/>
    <n v="2220.4976880279701"/>
    <x v="0"/>
  </r>
  <r>
    <x v="24"/>
    <x v="0"/>
    <x v="24"/>
    <x v="0"/>
    <x v="0"/>
    <x v="0"/>
    <x v="0"/>
    <x v="0"/>
    <n v="3560.6580292153785"/>
    <x v="0"/>
  </r>
  <r>
    <x v="24"/>
    <x v="0"/>
    <x v="24"/>
    <x v="0"/>
    <x v="0"/>
    <x v="0"/>
    <x v="0"/>
    <x v="1"/>
    <n v="1415.3235337631652"/>
    <x v="0"/>
  </r>
  <r>
    <x v="24"/>
    <x v="0"/>
    <x v="24"/>
    <x v="0"/>
    <x v="0"/>
    <x v="0"/>
    <x v="0"/>
    <x v="2"/>
    <n v="0"/>
    <x v="0"/>
  </r>
  <r>
    <x v="24"/>
    <x v="0"/>
    <x v="24"/>
    <x v="0"/>
    <x v="0"/>
    <x v="0"/>
    <x v="0"/>
    <x v="3"/>
    <n v="0"/>
    <x v="0"/>
  </r>
  <r>
    <x v="24"/>
    <x v="0"/>
    <x v="24"/>
    <x v="0"/>
    <x v="0"/>
    <x v="0"/>
    <x v="0"/>
    <x v="4"/>
    <n v="0"/>
    <x v="0"/>
  </r>
  <r>
    <x v="24"/>
    <x v="0"/>
    <x v="24"/>
    <x v="0"/>
    <x v="0"/>
    <x v="0"/>
    <x v="0"/>
    <x v="5"/>
    <n v="0"/>
    <x v="0"/>
  </r>
  <r>
    <x v="24"/>
    <x v="0"/>
    <x v="24"/>
    <x v="0"/>
    <x v="0"/>
    <x v="0"/>
    <x v="0"/>
    <x v="6"/>
    <n v="0"/>
    <x v="0"/>
  </r>
  <r>
    <x v="24"/>
    <x v="0"/>
    <x v="24"/>
    <x v="0"/>
    <x v="0"/>
    <x v="0"/>
    <x v="0"/>
    <x v="7"/>
    <n v="0"/>
    <x v="0"/>
  </r>
  <r>
    <x v="24"/>
    <x v="0"/>
    <x v="24"/>
    <x v="0"/>
    <x v="0"/>
    <x v="0"/>
    <x v="0"/>
    <x v="8"/>
    <n v="0"/>
    <x v="0"/>
  </r>
  <r>
    <x v="24"/>
    <x v="0"/>
    <x v="24"/>
    <x v="0"/>
    <x v="0"/>
    <x v="0"/>
    <x v="0"/>
    <x v="9"/>
    <n v="0"/>
    <x v="0"/>
  </r>
  <r>
    <x v="24"/>
    <x v="0"/>
    <x v="24"/>
    <x v="0"/>
    <x v="0"/>
    <x v="0"/>
    <x v="0"/>
    <x v="10"/>
    <n v="0"/>
    <x v="0"/>
  </r>
  <r>
    <x v="24"/>
    <x v="0"/>
    <x v="24"/>
    <x v="0"/>
    <x v="0"/>
    <x v="0"/>
    <x v="0"/>
    <x v="11"/>
    <n v="0"/>
    <x v="0"/>
  </r>
  <r>
    <x v="25"/>
    <x v="0"/>
    <x v="25"/>
    <x v="1"/>
    <x v="0"/>
    <x v="0"/>
    <x v="0"/>
    <x v="0"/>
    <n v="7950.2818425417217"/>
    <x v="0"/>
  </r>
  <r>
    <x v="25"/>
    <x v="0"/>
    <x v="25"/>
    <x v="1"/>
    <x v="0"/>
    <x v="0"/>
    <x v="0"/>
    <x v="1"/>
    <n v="8123.8317368262633"/>
    <x v="0"/>
  </r>
  <r>
    <x v="25"/>
    <x v="0"/>
    <x v="25"/>
    <x v="1"/>
    <x v="0"/>
    <x v="0"/>
    <x v="0"/>
    <x v="2"/>
    <n v="0"/>
    <x v="0"/>
  </r>
  <r>
    <x v="25"/>
    <x v="0"/>
    <x v="25"/>
    <x v="1"/>
    <x v="0"/>
    <x v="0"/>
    <x v="0"/>
    <x v="3"/>
    <n v="0"/>
    <x v="0"/>
  </r>
  <r>
    <x v="25"/>
    <x v="0"/>
    <x v="25"/>
    <x v="1"/>
    <x v="0"/>
    <x v="0"/>
    <x v="0"/>
    <x v="4"/>
    <n v="0"/>
    <x v="0"/>
  </r>
  <r>
    <x v="25"/>
    <x v="0"/>
    <x v="25"/>
    <x v="1"/>
    <x v="0"/>
    <x v="0"/>
    <x v="0"/>
    <x v="5"/>
    <n v="0"/>
    <x v="0"/>
  </r>
  <r>
    <x v="25"/>
    <x v="0"/>
    <x v="25"/>
    <x v="1"/>
    <x v="0"/>
    <x v="0"/>
    <x v="0"/>
    <x v="6"/>
    <n v="0"/>
    <x v="0"/>
  </r>
  <r>
    <x v="25"/>
    <x v="0"/>
    <x v="25"/>
    <x v="1"/>
    <x v="0"/>
    <x v="0"/>
    <x v="0"/>
    <x v="7"/>
    <n v="0"/>
    <x v="0"/>
  </r>
  <r>
    <x v="25"/>
    <x v="0"/>
    <x v="25"/>
    <x v="1"/>
    <x v="0"/>
    <x v="0"/>
    <x v="0"/>
    <x v="8"/>
    <n v="0"/>
    <x v="0"/>
  </r>
  <r>
    <x v="25"/>
    <x v="0"/>
    <x v="25"/>
    <x v="1"/>
    <x v="0"/>
    <x v="0"/>
    <x v="0"/>
    <x v="9"/>
    <n v="0"/>
    <x v="0"/>
  </r>
  <r>
    <x v="25"/>
    <x v="0"/>
    <x v="25"/>
    <x v="1"/>
    <x v="0"/>
    <x v="0"/>
    <x v="0"/>
    <x v="10"/>
    <n v="0"/>
    <x v="0"/>
  </r>
  <r>
    <x v="25"/>
    <x v="0"/>
    <x v="25"/>
    <x v="1"/>
    <x v="0"/>
    <x v="0"/>
    <x v="0"/>
    <x v="11"/>
    <n v="0"/>
    <x v="0"/>
  </r>
  <r>
    <x v="26"/>
    <x v="0"/>
    <x v="26"/>
    <x v="0"/>
    <x v="0"/>
    <x v="0"/>
    <x v="0"/>
    <x v="0"/>
    <n v="3224.2442599580868"/>
    <x v="0"/>
  </r>
  <r>
    <x v="26"/>
    <x v="0"/>
    <x v="26"/>
    <x v="0"/>
    <x v="0"/>
    <x v="0"/>
    <x v="0"/>
    <x v="1"/>
    <n v="3090.157012017306"/>
    <x v="0"/>
  </r>
  <r>
    <x v="26"/>
    <x v="0"/>
    <x v="26"/>
    <x v="0"/>
    <x v="0"/>
    <x v="0"/>
    <x v="0"/>
    <x v="2"/>
    <n v="3097.208679322694"/>
    <x v="0"/>
  </r>
  <r>
    <x v="26"/>
    <x v="0"/>
    <x v="26"/>
    <x v="0"/>
    <x v="0"/>
    <x v="0"/>
    <x v="0"/>
    <x v="3"/>
    <n v="3058.9593762010477"/>
    <x v="0"/>
  </r>
  <r>
    <x v="26"/>
    <x v="0"/>
    <x v="26"/>
    <x v="0"/>
    <x v="0"/>
    <x v="0"/>
    <x v="0"/>
    <x v="4"/>
    <n v="3121.9210620196714"/>
    <x v="0"/>
  </r>
  <r>
    <x v="26"/>
    <x v="0"/>
    <x v="26"/>
    <x v="0"/>
    <x v="0"/>
    <x v="0"/>
    <x v="0"/>
    <x v="5"/>
    <n v="3148.903936509942"/>
    <x v="0"/>
  </r>
  <r>
    <x v="26"/>
    <x v="0"/>
    <x v="26"/>
    <x v="0"/>
    <x v="0"/>
    <x v="0"/>
    <x v="0"/>
    <x v="6"/>
    <n v="0"/>
    <x v="0"/>
  </r>
  <r>
    <x v="26"/>
    <x v="0"/>
    <x v="26"/>
    <x v="0"/>
    <x v="0"/>
    <x v="0"/>
    <x v="0"/>
    <x v="7"/>
    <n v="0"/>
    <x v="0"/>
  </r>
  <r>
    <x v="26"/>
    <x v="0"/>
    <x v="26"/>
    <x v="0"/>
    <x v="0"/>
    <x v="0"/>
    <x v="0"/>
    <x v="8"/>
    <n v="0"/>
    <x v="0"/>
  </r>
  <r>
    <x v="26"/>
    <x v="0"/>
    <x v="26"/>
    <x v="0"/>
    <x v="0"/>
    <x v="0"/>
    <x v="0"/>
    <x v="9"/>
    <n v="0"/>
    <x v="0"/>
  </r>
  <r>
    <x v="26"/>
    <x v="0"/>
    <x v="26"/>
    <x v="0"/>
    <x v="0"/>
    <x v="0"/>
    <x v="0"/>
    <x v="10"/>
    <n v="0"/>
    <x v="0"/>
  </r>
  <r>
    <x v="26"/>
    <x v="0"/>
    <x v="26"/>
    <x v="0"/>
    <x v="0"/>
    <x v="0"/>
    <x v="0"/>
    <x v="11"/>
    <n v="0"/>
    <x v="0"/>
  </r>
  <r>
    <x v="27"/>
    <x v="0"/>
    <x v="27"/>
    <x v="0"/>
    <x v="0"/>
    <x v="0"/>
    <x v="0"/>
    <x v="0"/>
    <n v="1616.1771284562842"/>
    <x v="0"/>
  </r>
  <r>
    <x v="27"/>
    <x v="0"/>
    <x v="27"/>
    <x v="0"/>
    <x v="0"/>
    <x v="0"/>
    <x v="0"/>
    <x v="1"/>
    <n v="1549.1156135051031"/>
    <x v="0"/>
  </r>
  <r>
    <x v="27"/>
    <x v="0"/>
    <x v="27"/>
    <x v="0"/>
    <x v="0"/>
    <x v="0"/>
    <x v="0"/>
    <x v="2"/>
    <n v="1552.4409862467105"/>
    <x v="0"/>
  </r>
  <r>
    <x v="27"/>
    <x v="0"/>
    <x v="27"/>
    <x v="0"/>
    <x v="0"/>
    <x v="0"/>
    <x v="0"/>
    <x v="3"/>
    <n v="1533.0898789712321"/>
    <x v="0"/>
  </r>
  <r>
    <x v="27"/>
    <x v="0"/>
    <x v="27"/>
    <x v="0"/>
    <x v="0"/>
    <x v="0"/>
    <x v="0"/>
    <x v="4"/>
    <n v="1564.5227760775958"/>
    <x v="0"/>
  </r>
  <r>
    <x v="27"/>
    <x v="0"/>
    <x v="27"/>
    <x v="0"/>
    <x v="0"/>
    <x v="0"/>
    <x v="0"/>
    <x v="5"/>
    <n v="1078.9066670566858"/>
    <x v="0"/>
  </r>
  <r>
    <x v="27"/>
    <x v="0"/>
    <x v="27"/>
    <x v="0"/>
    <x v="0"/>
    <x v="0"/>
    <x v="0"/>
    <x v="6"/>
    <n v="0"/>
    <x v="0"/>
  </r>
  <r>
    <x v="27"/>
    <x v="0"/>
    <x v="27"/>
    <x v="0"/>
    <x v="0"/>
    <x v="0"/>
    <x v="0"/>
    <x v="7"/>
    <n v="0"/>
    <x v="0"/>
  </r>
  <r>
    <x v="27"/>
    <x v="0"/>
    <x v="27"/>
    <x v="0"/>
    <x v="0"/>
    <x v="0"/>
    <x v="0"/>
    <x v="8"/>
    <n v="0"/>
    <x v="0"/>
  </r>
  <r>
    <x v="27"/>
    <x v="0"/>
    <x v="27"/>
    <x v="0"/>
    <x v="0"/>
    <x v="0"/>
    <x v="0"/>
    <x v="9"/>
    <n v="0"/>
    <x v="0"/>
  </r>
  <r>
    <x v="27"/>
    <x v="0"/>
    <x v="27"/>
    <x v="0"/>
    <x v="0"/>
    <x v="0"/>
    <x v="0"/>
    <x v="10"/>
    <n v="0"/>
    <x v="0"/>
  </r>
  <r>
    <x v="27"/>
    <x v="0"/>
    <x v="27"/>
    <x v="0"/>
    <x v="0"/>
    <x v="0"/>
    <x v="0"/>
    <x v="11"/>
    <n v="0"/>
    <x v="0"/>
  </r>
  <r>
    <x v="28"/>
    <x v="0"/>
    <x v="28"/>
    <x v="0"/>
    <x v="0"/>
    <x v="0"/>
    <x v="0"/>
    <x v="0"/>
    <n v="2200.2998415960069"/>
    <x v="0"/>
  </r>
  <r>
    <x v="28"/>
    <x v="0"/>
    <x v="28"/>
    <x v="0"/>
    <x v="0"/>
    <x v="0"/>
    <x v="0"/>
    <x v="1"/>
    <n v="1799.0397894943681"/>
    <x v="0"/>
  </r>
  <r>
    <x v="28"/>
    <x v="0"/>
    <x v="28"/>
    <x v="0"/>
    <x v="0"/>
    <x v="0"/>
    <x v="0"/>
    <x v="2"/>
    <n v="2524.109595633995"/>
    <x v="0"/>
  </r>
  <r>
    <x v="28"/>
    <x v="0"/>
    <x v="28"/>
    <x v="0"/>
    <x v="0"/>
    <x v="0"/>
    <x v="0"/>
    <x v="3"/>
    <n v="2467.2148251001795"/>
    <x v="0"/>
  </r>
  <r>
    <x v="28"/>
    <x v="0"/>
    <x v="28"/>
    <x v="0"/>
    <x v="0"/>
    <x v="0"/>
    <x v="0"/>
    <x v="4"/>
    <n v="2517.6786859750741"/>
    <x v="0"/>
  </r>
  <r>
    <x v="28"/>
    <x v="0"/>
    <x v="28"/>
    <x v="0"/>
    <x v="0"/>
    <x v="0"/>
    <x v="0"/>
    <x v="5"/>
    <n v="2581.3299968522501"/>
    <x v="0"/>
  </r>
  <r>
    <x v="28"/>
    <x v="0"/>
    <x v="28"/>
    <x v="0"/>
    <x v="0"/>
    <x v="0"/>
    <x v="0"/>
    <x v="6"/>
    <n v="2614.7412962326516"/>
    <x v="0"/>
  </r>
  <r>
    <x v="28"/>
    <x v="0"/>
    <x v="28"/>
    <x v="0"/>
    <x v="0"/>
    <x v="0"/>
    <x v="0"/>
    <x v="7"/>
    <n v="2655.4243470145902"/>
    <x v="0"/>
  </r>
  <r>
    <x v="28"/>
    <x v="0"/>
    <x v="28"/>
    <x v="0"/>
    <x v="0"/>
    <x v="0"/>
    <x v="0"/>
    <x v="8"/>
    <n v="2625.4618605605847"/>
    <x v="0"/>
  </r>
  <r>
    <x v="28"/>
    <x v="0"/>
    <x v="28"/>
    <x v="0"/>
    <x v="0"/>
    <x v="0"/>
    <x v="0"/>
    <x v="9"/>
    <n v="2614.0501165975261"/>
    <x v="0"/>
  </r>
  <r>
    <x v="28"/>
    <x v="0"/>
    <x v="28"/>
    <x v="0"/>
    <x v="0"/>
    <x v="0"/>
    <x v="0"/>
    <x v="10"/>
    <n v="2683.5533548206181"/>
    <x v="0"/>
  </r>
  <r>
    <x v="28"/>
    <x v="0"/>
    <x v="28"/>
    <x v="0"/>
    <x v="0"/>
    <x v="0"/>
    <x v="0"/>
    <x v="11"/>
    <n v="3039.4301591171675"/>
    <x v="0"/>
  </r>
  <r>
    <x v="29"/>
    <x v="0"/>
    <x v="29"/>
    <x v="0"/>
    <x v="0"/>
    <x v="0"/>
    <x v="0"/>
    <x v="0"/>
    <n v="1882.5879735064757"/>
    <x v="0"/>
  </r>
  <r>
    <x v="29"/>
    <x v="0"/>
    <x v="29"/>
    <x v="0"/>
    <x v="0"/>
    <x v="0"/>
    <x v="0"/>
    <x v="1"/>
    <n v="1803.9649346772444"/>
    <x v="0"/>
  </r>
  <r>
    <x v="29"/>
    <x v="0"/>
    <x v="29"/>
    <x v="0"/>
    <x v="0"/>
    <x v="0"/>
    <x v="0"/>
    <x v="2"/>
    <n v="1806.7267983264226"/>
    <x v="0"/>
  </r>
  <r>
    <x v="29"/>
    <x v="0"/>
    <x v="29"/>
    <x v="0"/>
    <x v="0"/>
    <x v="0"/>
    <x v="0"/>
    <x v="3"/>
    <n v="1783.4190601780113"/>
    <x v="0"/>
  </r>
  <r>
    <x v="29"/>
    <x v="0"/>
    <x v="29"/>
    <x v="0"/>
    <x v="0"/>
    <x v="0"/>
    <x v="0"/>
    <x v="4"/>
    <n v="1819.1621970545318"/>
    <x v="0"/>
  </r>
  <r>
    <x v="29"/>
    <x v="0"/>
    <x v="29"/>
    <x v="0"/>
    <x v="0"/>
    <x v="0"/>
    <x v="0"/>
    <x v="5"/>
    <n v="1864.6137242332984"/>
    <x v="0"/>
  </r>
  <r>
    <x v="29"/>
    <x v="0"/>
    <x v="29"/>
    <x v="0"/>
    <x v="0"/>
    <x v="0"/>
    <x v="0"/>
    <x v="6"/>
    <n v="1921.3389656312459"/>
    <x v="0"/>
  </r>
  <r>
    <x v="29"/>
    <x v="0"/>
    <x v="29"/>
    <x v="0"/>
    <x v="0"/>
    <x v="0"/>
    <x v="0"/>
    <x v="7"/>
    <n v="1910.8176543856423"/>
    <x v="0"/>
  </r>
  <r>
    <x v="29"/>
    <x v="0"/>
    <x v="29"/>
    <x v="0"/>
    <x v="0"/>
    <x v="0"/>
    <x v="0"/>
    <x v="8"/>
    <n v="1931.1290917073386"/>
    <x v="0"/>
  </r>
  <r>
    <x v="29"/>
    <x v="0"/>
    <x v="29"/>
    <x v="0"/>
    <x v="0"/>
    <x v="0"/>
    <x v="0"/>
    <x v="9"/>
    <n v="1888.7958895670174"/>
    <x v="0"/>
  </r>
  <r>
    <x v="29"/>
    <x v="0"/>
    <x v="29"/>
    <x v="0"/>
    <x v="0"/>
    <x v="0"/>
    <x v="0"/>
    <x v="10"/>
    <n v="1939.0158259920495"/>
    <x v="0"/>
  </r>
  <r>
    <x v="29"/>
    <x v="0"/>
    <x v="29"/>
    <x v="0"/>
    <x v="0"/>
    <x v="0"/>
    <x v="0"/>
    <x v="11"/>
    <n v="2196.1565138769788"/>
    <x v="0"/>
  </r>
  <r>
    <x v="30"/>
    <x v="0"/>
    <x v="30"/>
    <x v="0"/>
    <x v="0"/>
    <x v="0"/>
    <x v="0"/>
    <x v="0"/>
    <n v="1607.8028813760129"/>
    <x v="0"/>
  </r>
  <r>
    <x v="30"/>
    <x v="0"/>
    <x v="30"/>
    <x v="0"/>
    <x v="0"/>
    <x v="0"/>
    <x v="0"/>
    <x v="1"/>
    <n v="1541.087584869417"/>
    <x v="0"/>
  </r>
  <r>
    <x v="30"/>
    <x v="0"/>
    <x v="30"/>
    <x v="0"/>
    <x v="0"/>
    <x v="0"/>
    <x v="0"/>
    <x v="2"/>
    <n v="1544.3974903352901"/>
    <x v="0"/>
  </r>
  <r>
    <x v="30"/>
    <x v="0"/>
    <x v="30"/>
    <x v="0"/>
    <x v="0"/>
    <x v="0"/>
    <x v="0"/>
    <x v="3"/>
    <n v="513.72150752003313"/>
    <x v="0"/>
  </r>
  <r>
    <x v="30"/>
    <x v="0"/>
    <x v="30"/>
    <x v="0"/>
    <x v="0"/>
    <x v="0"/>
    <x v="0"/>
    <x v="4"/>
    <n v="0"/>
    <x v="0"/>
  </r>
  <r>
    <x v="30"/>
    <x v="0"/>
    <x v="30"/>
    <x v="0"/>
    <x v="0"/>
    <x v="0"/>
    <x v="0"/>
    <x v="5"/>
    <n v="0"/>
    <x v="0"/>
  </r>
  <r>
    <x v="30"/>
    <x v="0"/>
    <x v="30"/>
    <x v="0"/>
    <x v="0"/>
    <x v="0"/>
    <x v="0"/>
    <x v="6"/>
    <n v="0"/>
    <x v="0"/>
  </r>
  <r>
    <x v="30"/>
    <x v="0"/>
    <x v="30"/>
    <x v="0"/>
    <x v="0"/>
    <x v="0"/>
    <x v="0"/>
    <x v="7"/>
    <n v="0"/>
    <x v="0"/>
  </r>
  <r>
    <x v="30"/>
    <x v="0"/>
    <x v="30"/>
    <x v="0"/>
    <x v="0"/>
    <x v="0"/>
    <x v="0"/>
    <x v="8"/>
    <n v="0"/>
    <x v="0"/>
  </r>
  <r>
    <x v="30"/>
    <x v="0"/>
    <x v="30"/>
    <x v="0"/>
    <x v="0"/>
    <x v="0"/>
    <x v="0"/>
    <x v="9"/>
    <n v="0"/>
    <x v="0"/>
  </r>
  <r>
    <x v="30"/>
    <x v="0"/>
    <x v="30"/>
    <x v="0"/>
    <x v="0"/>
    <x v="0"/>
    <x v="0"/>
    <x v="10"/>
    <n v="0"/>
    <x v="0"/>
  </r>
  <r>
    <x v="30"/>
    <x v="0"/>
    <x v="30"/>
    <x v="0"/>
    <x v="0"/>
    <x v="0"/>
    <x v="0"/>
    <x v="11"/>
    <n v="0"/>
    <x v="0"/>
  </r>
  <r>
    <x v="30"/>
    <x v="0"/>
    <x v="31"/>
    <x v="0"/>
    <x v="0"/>
    <x v="0"/>
    <x v="0"/>
    <x v="0"/>
    <n v="1608.1299091559956"/>
    <x v="0"/>
  </r>
  <r>
    <x v="30"/>
    <x v="0"/>
    <x v="31"/>
    <x v="0"/>
    <x v="0"/>
    <x v="0"/>
    <x v="0"/>
    <x v="1"/>
    <n v="1541.399692677255"/>
    <x v="0"/>
  </r>
  <r>
    <x v="30"/>
    <x v="0"/>
    <x v="31"/>
    <x v="0"/>
    <x v="0"/>
    <x v="0"/>
    <x v="0"/>
    <x v="2"/>
    <n v="1544.710199468527"/>
    <x v="0"/>
  </r>
  <r>
    <x v="30"/>
    <x v="0"/>
    <x v="31"/>
    <x v="0"/>
    <x v="0"/>
    <x v="0"/>
    <x v="0"/>
    <x v="3"/>
    <n v="1525.4569039874489"/>
    <x v="0"/>
  </r>
  <r>
    <x v="30"/>
    <x v="0"/>
    <x v="31"/>
    <x v="0"/>
    <x v="0"/>
    <x v="0"/>
    <x v="0"/>
    <x v="4"/>
    <n v="1556.7342941983329"/>
    <x v="0"/>
  </r>
  <r>
    <x v="30"/>
    <x v="0"/>
    <x v="31"/>
    <x v="0"/>
    <x v="0"/>
    <x v="0"/>
    <x v="0"/>
    <x v="5"/>
    <n v="1596.18909830711"/>
    <x v="0"/>
  </r>
  <r>
    <x v="30"/>
    <x v="0"/>
    <x v="31"/>
    <x v="0"/>
    <x v="0"/>
    <x v="0"/>
    <x v="0"/>
    <x v="6"/>
    <n v="1653.6324180130089"/>
    <x v="0"/>
  </r>
  <r>
    <x v="30"/>
    <x v="0"/>
    <x v="31"/>
    <x v="0"/>
    <x v="0"/>
    <x v="0"/>
    <x v="0"/>
    <x v="7"/>
    <n v="1638.0231604709572"/>
    <x v="0"/>
  </r>
  <r>
    <x v="30"/>
    <x v="0"/>
    <x v="31"/>
    <x v="0"/>
    <x v="0"/>
    <x v="0"/>
    <x v="0"/>
    <x v="8"/>
    <n v="1635.0798449211572"/>
    <x v="0"/>
  </r>
  <r>
    <x v="30"/>
    <x v="0"/>
    <x v="31"/>
    <x v="0"/>
    <x v="0"/>
    <x v="0"/>
    <x v="0"/>
    <x v="9"/>
    <n v="1616.3228000178603"/>
    <x v="0"/>
  </r>
  <r>
    <x v="30"/>
    <x v="0"/>
    <x v="31"/>
    <x v="0"/>
    <x v="0"/>
    <x v="0"/>
    <x v="0"/>
    <x v="10"/>
    <n v="1659.2981308662527"/>
    <x v="0"/>
  </r>
  <r>
    <x v="30"/>
    <x v="0"/>
    <x v="31"/>
    <x v="0"/>
    <x v="0"/>
    <x v="0"/>
    <x v="0"/>
    <x v="11"/>
    <n v="1879.3443301069574"/>
    <x v="0"/>
  </r>
  <r>
    <x v="31"/>
    <x v="0"/>
    <x v="32"/>
    <x v="0"/>
    <x v="0"/>
    <x v="0"/>
    <x v="0"/>
    <x v="0"/>
    <n v="1608.1299091559956"/>
    <x v="0"/>
  </r>
  <r>
    <x v="31"/>
    <x v="0"/>
    <x v="32"/>
    <x v="0"/>
    <x v="0"/>
    <x v="0"/>
    <x v="0"/>
    <x v="1"/>
    <n v="1541.399692677255"/>
    <x v="0"/>
  </r>
  <r>
    <x v="31"/>
    <x v="0"/>
    <x v="32"/>
    <x v="0"/>
    <x v="0"/>
    <x v="0"/>
    <x v="0"/>
    <x v="2"/>
    <n v="1822.9680412912187"/>
    <x v="0"/>
  </r>
  <r>
    <x v="31"/>
    <x v="0"/>
    <x v="32"/>
    <x v="0"/>
    <x v="0"/>
    <x v="0"/>
    <x v="0"/>
    <x v="3"/>
    <n v="1800.1941599247041"/>
    <x v="0"/>
  </r>
  <r>
    <x v="31"/>
    <x v="0"/>
    <x v="32"/>
    <x v="0"/>
    <x v="0"/>
    <x v="0"/>
    <x v="0"/>
    <x v="4"/>
    <n v="1837.0687829097205"/>
    <x v="0"/>
  </r>
  <r>
    <x v="31"/>
    <x v="0"/>
    <x v="32"/>
    <x v="0"/>
    <x v="0"/>
    <x v="0"/>
    <x v="0"/>
    <x v="5"/>
    <n v="2463.6785136576996"/>
    <x v="0"/>
  </r>
  <r>
    <x v="31"/>
    <x v="0"/>
    <x v="32"/>
    <x v="0"/>
    <x v="0"/>
    <x v="0"/>
    <x v="0"/>
    <x v="6"/>
    <n v="2485.6877875056548"/>
    <x v="0"/>
  </r>
  <r>
    <x v="31"/>
    <x v="0"/>
    <x v="32"/>
    <x v="0"/>
    <x v="0"/>
    <x v="0"/>
    <x v="0"/>
    <x v="7"/>
    <n v="2517.8078935627059"/>
    <x v="0"/>
  </r>
  <r>
    <x v="31"/>
    <x v="0"/>
    <x v="32"/>
    <x v="0"/>
    <x v="0"/>
    <x v="0"/>
    <x v="0"/>
    <x v="8"/>
    <n v="2523.7331180216765"/>
    <x v="0"/>
  </r>
  <r>
    <x v="31"/>
    <x v="0"/>
    <x v="32"/>
    <x v="0"/>
    <x v="0"/>
    <x v="0"/>
    <x v="0"/>
    <x v="9"/>
    <n v="2493.6032140568977"/>
    <x v="0"/>
  </r>
  <r>
    <x v="31"/>
    <x v="0"/>
    <x v="32"/>
    <x v="0"/>
    <x v="0"/>
    <x v="0"/>
    <x v="0"/>
    <x v="10"/>
    <n v="2559.9039697769344"/>
    <x v="0"/>
  </r>
  <r>
    <x v="31"/>
    <x v="0"/>
    <x v="32"/>
    <x v="0"/>
    <x v="0"/>
    <x v="0"/>
    <x v="0"/>
    <x v="11"/>
    <n v="2899.3831317745021"/>
    <x v="0"/>
  </r>
  <r>
    <x v="32"/>
    <x v="0"/>
    <x v="33"/>
    <x v="0"/>
    <x v="0"/>
    <x v="0"/>
    <x v="0"/>
    <x v="0"/>
    <n v="10340.278235763943"/>
    <x v="0"/>
  </r>
  <r>
    <x v="32"/>
    <x v="0"/>
    <x v="33"/>
    <x v="0"/>
    <x v="0"/>
    <x v="0"/>
    <x v="0"/>
    <x v="1"/>
    <n v="9912.7777078895706"/>
    <x v="0"/>
  </r>
  <r>
    <x v="32"/>
    <x v="0"/>
    <x v="33"/>
    <x v="0"/>
    <x v="0"/>
    <x v="0"/>
    <x v="0"/>
    <x v="2"/>
    <n v="9941.9923232284618"/>
    <x v="0"/>
  </r>
  <r>
    <x v="32"/>
    <x v="0"/>
    <x v="33"/>
    <x v="0"/>
    <x v="0"/>
    <x v="0"/>
    <x v="0"/>
    <x v="3"/>
    <n v="9825.5356254111393"/>
    <x v="0"/>
  </r>
  <r>
    <x v="32"/>
    <x v="0"/>
    <x v="33"/>
    <x v="0"/>
    <x v="0"/>
    <x v="0"/>
    <x v="0"/>
    <x v="4"/>
    <n v="10030.851222553089"/>
    <x v="0"/>
  </r>
  <r>
    <x v="32"/>
    <x v="0"/>
    <x v="33"/>
    <x v="0"/>
    <x v="0"/>
    <x v="0"/>
    <x v="0"/>
    <x v="5"/>
    <n v="10291.810177766709"/>
    <x v="0"/>
  </r>
  <r>
    <x v="32"/>
    <x v="0"/>
    <x v="33"/>
    <x v="0"/>
    <x v="0"/>
    <x v="0"/>
    <x v="0"/>
    <x v="6"/>
    <n v="10050.912386832391"/>
    <x v="0"/>
  </r>
  <r>
    <x v="32"/>
    <x v="0"/>
    <x v="33"/>
    <x v="0"/>
    <x v="0"/>
    <x v="0"/>
    <x v="0"/>
    <x v="7"/>
    <n v="10530.224349338012"/>
    <x v="0"/>
  </r>
  <r>
    <x v="32"/>
    <x v="0"/>
    <x v="33"/>
    <x v="0"/>
    <x v="0"/>
    <x v="0"/>
    <x v="0"/>
    <x v="8"/>
    <n v="10562.402188172307"/>
    <x v="0"/>
  </r>
  <r>
    <x v="32"/>
    <x v="0"/>
    <x v="33"/>
    <x v="0"/>
    <x v="0"/>
    <x v="0"/>
    <x v="0"/>
    <x v="9"/>
    <n v="10414.81105351302"/>
    <x v="0"/>
  </r>
  <r>
    <x v="32"/>
    <x v="0"/>
    <x v="33"/>
    <x v="0"/>
    <x v="0"/>
    <x v="0"/>
    <x v="0"/>
    <x v="10"/>
    <n v="10691.723530861771"/>
    <x v="0"/>
  </r>
  <r>
    <x v="32"/>
    <x v="0"/>
    <x v="33"/>
    <x v="0"/>
    <x v="0"/>
    <x v="0"/>
    <x v="0"/>
    <x v="11"/>
    <n v="12109.595993039682"/>
    <x v="0"/>
  </r>
  <r>
    <x v="32"/>
    <x v="1"/>
    <x v="33"/>
    <x v="0"/>
    <x v="1"/>
    <x v="1"/>
    <x v="0"/>
    <x v="0"/>
    <n v="2860.3835163093895"/>
    <x v="0"/>
  </r>
  <r>
    <x v="32"/>
    <x v="1"/>
    <x v="33"/>
    <x v="0"/>
    <x v="1"/>
    <x v="1"/>
    <x v="0"/>
    <x v="1"/>
    <n v="0"/>
    <x v="0"/>
  </r>
  <r>
    <x v="32"/>
    <x v="1"/>
    <x v="33"/>
    <x v="0"/>
    <x v="1"/>
    <x v="1"/>
    <x v="0"/>
    <x v="2"/>
    <n v="0"/>
    <x v="0"/>
  </r>
  <r>
    <x v="32"/>
    <x v="1"/>
    <x v="33"/>
    <x v="0"/>
    <x v="1"/>
    <x v="1"/>
    <x v="0"/>
    <x v="3"/>
    <n v="0"/>
    <x v="0"/>
  </r>
  <r>
    <x v="32"/>
    <x v="1"/>
    <x v="33"/>
    <x v="0"/>
    <x v="1"/>
    <x v="1"/>
    <x v="0"/>
    <x v="4"/>
    <n v="0"/>
    <x v="0"/>
  </r>
  <r>
    <x v="32"/>
    <x v="1"/>
    <x v="33"/>
    <x v="0"/>
    <x v="1"/>
    <x v="1"/>
    <x v="0"/>
    <x v="5"/>
    <n v="0"/>
    <x v="0"/>
  </r>
  <r>
    <x v="32"/>
    <x v="1"/>
    <x v="33"/>
    <x v="0"/>
    <x v="1"/>
    <x v="1"/>
    <x v="0"/>
    <x v="6"/>
    <n v="0"/>
    <x v="0"/>
  </r>
  <r>
    <x v="32"/>
    <x v="1"/>
    <x v="33"/>
    <x v="0"/>
    <x v="1"/>
    <x v="1"/>
    <x v="0"/>
    <x v="7"/>
    <n v="0"/>
    <x v="0"/>
  </r>
  <r>
    <x v="32"/>
    <x v="1"/>
    <x v="33"/>
    <x v="0"/>
    <x v="1"/>
    <x v="1"/>
    <x v="0"/>
    <x v="8"/>
    <n v="0"/>
    <x v="0"/>
  </r>
  <r>
    <x v="32"/>
    <x v="1"/>
    <x v="33"/>
    <x v="0"/>
    <x v="1"/>
    <x v="1"/>
    <x v="0"/>
    <x v="9"/>
    <n v="0"/>
    <x v="0"/>
  </r>
  <r>
    <x v="32"/>
    <x v="1"/>
    <x v="33"/>
    <x v="0"/>
    <x v="1"/>
    <x v="1"/>
    <x v="0"/>
    <x v="10"/>
    <n v="0"/>
    <x v="0"/>
  </r>
  <r>
    <x v="32"/>
    <x v="1"/>
    <x v="33"/>
    <x v="0"/>
    <x v="1"/>
    <x v="1"/>
    <x v="0"/>
    <x v="11"/>
    <n v="0"/>
    <x v="0"/>
  </r>
  <r>
    <x v="33"/>
    <x v="0"/>
    <x v="34"/>
    <x v="0"/>
    <x v="0"/>
    <x v="0"/>
    <x v="0"/>
    <x v="0"/>
    <n v="8612.8751634773835"/>
    <x v="0"/>
  </r>
  <r>
    <x v="33"/>
    <x v="0"/>
    <x v="34"/>
    <x v="0"/>
    <x v="0"/>
    <x v="0"/>
    <x v="0"/>
    <x v="1"/>
    <n v="8256.7910625517725"/>
    <x v="0"/>
  </r>
  <r>
    <x v="33"/>
    <x v="0"/>
    <x v="34"/>
    <x v="0"/>
    <x v="0"/>
    <x v="0"/>
    <x v="0"/>
    <x v="2"/>
    <n v="8277.5327554106225"/>
    <x v="0"/>
  </r>
  <r>
    <x v="33"/>
    <x v="0"/>
    <x v="34"/>
    <x v="0"/>
    <x v="0"/>
    <x v="0"/>
    <x v="0"/>
    <x v="3"/>
    <n v="8177.8985091220493"/>
    <x v="0"/>
  </r>
  <r>
    <x v="33"/>
    <x v="0"/>
    <x v="34"/>
    <x v="0"/>
    <x v="0"/>
    <x v="0"/>
    <x v="0"/>
    <x v="4"/>
    <n v="8346.2575479809475"/>
    <x v="0"/>
  </r>
  <r>
    <x v="33"/>
    <x v="0"/>
    <x v="34"/>
    <x v="0"/>
    <x v="0"/>
    <x v="0"/>
    <x v="0"/>
    <x v="5"/>
    <n v="8561.138654576278"/>
    <x v="0"/>
  </r>
  <r>
    <x v="33"/>
    <x v="0"/>
    <x v="34"/>
    <x v="0"/>
    <x v="0"/>
    <x v="0"/>
    <x v="0"/>
    <x v="6"/>
    <n v="8384.3220024460734"/>
    <x v="0"/>
  </r>
  <r>
    <x v="33"/>
    <x v="0"/>
    <x v="34"/>
    <x v="0"/>
    <x v="0"/>
    <x v="0"/>
    <x v="0"/>
    <x v="7"/>
    <n v="0"/>
    <x v="0"/>
  </r>
  <r>
    <x v="33"/>
    <x v="0"/>
    <x v="34"/>
    <x v="0"/>
    <x v="0"/>
    <x v="0"/>
    <x v="0"/>
    <x v="8"/>
    <n v="12470.381469878803"/>
    <x v="0"/>
  </r>
  <r>
    <x v="33"/>
    <x v="0"/>
    <x v="34"/>
    <x v="0"/>
    <x v="0"/>
    <x v="0"/>
    <x v="0"/>
    <x v="9"/>
    <n v="0"/>
    <x v="0"/>
  </r>
  <r>
    <x v="33"/>
    <x v="0"/>
    <x v="34"/>
    <x v="0"/>
    <x v="0"/>
    <x v="0"/>
    <x v="0"/>
    <x v="10"/>
    <n v="0"/>
    <x v="0"/>
  </r>
  <r>
    <x v="33"/>
    <x v="0"/>
    <x v="34"/>
    <x v="0"/>
    <x v="0"/>
    <x v="0"/>
    <x v="0"/>
    <x v="11"/>
    <n v="0"/>
    <x v="0"/>
  </r>
  <r>
    <x v="33"/>
    <x v="1"/>
    <x v="34"/>
    <x v="0"/>
    <x v="1"/>
    <x v="1"/>
    <x v="0"/>
    <x v="0"/>
    <n v="2166.2466140598622"/>
    <x v="0"/>
  </r>
  <r>
    <x v="33"/>
    <x v="1"/>
    <x v="34"/>
    <x v="0"/>
    <x v="1"/>
    <x v="1"/>
    <x v="0"/>
    <x v="1"/>
    <n v="0"/>
    <x v="0"/>
  </r>
  <r>
    <x v="33"/>
    <x v="1"/>
    <x v="34"/>
    <x v="0"/>
    <x v="1"/>
    <x v="1"/>
    <x v="0"/>
    <x v="2"/>
    <n v="0"/>
    <x v="0"/>
  </r>
  <r>
    <x v="33"/>
    <x v="1"/>
    <x v="34"/>
    <x v="0"/>
    <x v="1"/>
    <x v="1"/>
    <x v="0"/>
    <x v="3"/>
    <n v="0"/>
    <x v="0"/>
  </r>
  <r>
    <x v="33"/>
    <x v="1"/>
    <x v="34"/>
    <x v="0"/>
    <x v="1"/>
    <x v="1"/>
    <x v="0"/>
    <x v="4"/>
    <n v="0"/>
    <x v="0"/>
  </r>
  <r>
    <x v="33"/>
    <x v="1"/>
    <x v="34"/>
    <x v="0"/>
    <x v="1"/>
    <x v="1"/>
    <x v="0"/>
    <x v="5"/>
    <n v="0"/>
    <x v="0"/>
  </r>
  <r>
    <x v="33"/>
    <x v="1"/>
    <x v="34"/>
    <x v="0"/>
    <x v="1"/>
    <x v="1"/>
    <x v="0"/>
    <x v="6"/>
    <n v="0"/>
    <x v="0"/>
  </r>
  <r>
    <x v="33"/>
    <x v="1"/>
    <x v="34"/>
    <x v="0"/>
    <x v="1"/>
    <x v="1"/>
    <x v="0"/>
    <x v="7"/>
    <n v="0"/>
    <x v="0"/>
  </r>
  <r>
    <x v="33"/>
    <x v="1"/>
    <x v="34"/>
    <x v="0"/>
    <x v="1"/>
    <x v="1"/>
    <x v="0"/>
    <x v="8"/>
    <n v="0"/>
    <x v="0"/>
  </r>
  <r>
    <x v="33"/>
    <x v="1"/>
    <x v="34"/>
    <x v="0"/>
    <x v="1"/>
    <x v="1"/>
    <x v="0"/>
    <x v="9"/>
    <n v="0"/>
    <x v="0"/>
  </r>
  <r>
    <x v="33"/>
    <x v="1"/>
    <x v="34"/>
    <x v="0"/>
    <x v="1"/>
    <x v="1"/>
    <x v="0"/>
    <x v="10"/>
    <n v="0"/>
    <x v="0"/>
  </r>
  <r>
    <x v="33"/>
    <x v="1"/>
    <x v="34"/>
    <x v="0"/>
    <x v="1"/>
    <x v="1"/>
    <x v="0"/>
    <x v="11"/>
    <n v="0"/>
    <x v="0"/>
  </r>
  <r>
    <x v="34"/>
    <x v="0"/>
    <x v="35"/>
    <x v="0"/>
    <x v="0"/>
    <x v="0"/>
    <x v="0"/>
    <x v="0"/>
    <n v="6116.6472997968531"/>
    <x v="0"/>
  </r>
  <r>
    <x v="34"/>
    <x v="0"/>
    <x v="35"/>
    <x v="0"/>
    <x v="0"/>
    <x v="0"/>
    <x v="0"/>
    <x v="1"/>
    <n v="5859.2992471874277"/>
    <x v="0"/>
  </r>
  <r>
    <x v="34"/>
    <x v="0"/>
    <x v="35"/>
    <x v="0"/>
    <x v="0"/>
    <x v="0"/>
    <x v="0"/>
    <x v="2"/>
    <n v="5868.732899803842"/>
    <x v="0"/>
  </r>
  <r>
    <x v="34"/>
    <x v="0"/>
    <x v="35"/>
    <x v="0"/>
    <x v="0"/>
    <x v="0"/>
    <x v="0"/>
    <x v="3"/>
    <n v="5770.9610645576913"/>
    <x v="0"/>
  </r>
  <r>
    <x v="34"/>
    <x v="0"/>
    <x v="35"/>
    <x v="0"/>
    <x v="0"/>
    <x v="0"/>
    <x v="0"/>
    <x v="4"/>
    <n v="5886.5524049765663"/>
    <x v="0"/>
  </r>
  <r>
    <x v="34"/>
    <x v="0"/>
    <x v="35"/>
    <x v="0"/>
    <x v="0"/>
    <x v="0"/>
    <x v="0"/>
    <x v="5"/>
    <n v="6034.1018778502585"/>
    <x v="0"/>
  </r>
  <r>
    <x v="34"/>
    <x v="0"/>
    <x v="35"/>
    <x v="0"/>
    <x v="0"/>
    <x v="0"/>
    <x v="0"/>
    <x v="6"/>
    <n v="5965.3229626135026"/>
    <x v="0"/>
  </r>
  <r>
    <x v="34"/>
    <x v="0"/>
    <x v="35"/>
    <x v="0"/>
    <x v="0"/>
    <x v="0"/>
    <x v="0"/>
    <x v="7"/>
    <n v="6181.7068824830994"/>
    <x v="0"/>
  </r>
  <r>
    <x v="34"/>
    <x v="0"/>
    <x v="35"/>
    <x v="0"/>
    <x v="0"/>
    <x v="0"/>
    <x v="0"/>
    <x v="8"/>
    <n v="6249.5378438961834"/>
    <x v="0"/>
  </r>
  <r>
    <x v="34"/>
    <x v="0"/>
    <x v="35"/>
    <x v="0"/>
    <x v="0"/>
    <x v="0"/>
    <x v="0"/>
    <x v="9"/>
    <n v="6111.877217019417"/>
    <x v="0"/>
  </r>
  <r>
    <x v="34"/>
    <x v="0"/>
    <x v="35"/>
    <x v="0"/>
    <x v="0"/>
    <x v="0"/>
    <x v="0"/>
    <x v="10"/>
    <n v="6274.3818513061196"/>
    <x v="0"/>
  </r>
  <r>
    <x v="34"/>
    <x v="0"/>
    <x v="35"/>
    <x v="0"/>
    <x v="0"/>
    <x v="0"/>
    <x v="0"/>
    <x v="11"/>
    <n v="7106.4528657198971"/>
    <x v="0"/>
  </r>
  <r>
    <x v="35"/>
    <x v="0"/>
    <x v="36"/>
    <x v="0"/>
    <x v="0"/>
    <x v="0"/>
    <x v="0"/>
    <x v="0"/>
    <n v="1607.4685538687984"/>
    <x v="0"/>
  </r>
  <r>
    <x v="35"/>
    <x v="0"/>
    <x v="36"/>
    <x v="0"/>
    <x v="0"/>
    <x v="0"/>
    <x v="0"/>
    <x v="1"/>
    <n v="1411.7377929394856"/>
    <x v="0"/>
  </r>
  <r>
    <x v="35"/>
    <x v="0"/>
    <x v="36"/>
    <x v="0"/>
    <x v="0"/>
    <x v="0"/>
    <x v="0"/>
    <x v="2"/>
    <n v="1544.0749652202926"/>
    <x v="0"/>
  </r>
  <r>
    <x v="35"/>
    <x v="0"/>
    <x v="36"/>
    <x v="0"/>
    <x v="0"/>
    <x v="0"/>
    <x v="0"/>
    <x v="3"/>
    <n v="474.45315335894793"/>
    <x v="0"/>
  </r>
  <r>
    <x v="35"/>
    <x v="0"/>
    <x v="36"/>
    <x v="0"/>
    <x v="0"/>
    <x v="0"/>
    <x v="0"/>
    <x v="4"/>
    <n v="0"/>
    <x v="0"/>
  </r>
  <r>
    <x v="35"/>
    <x v="0"/>
    <x v="36"/>
    <x v="0"/>
    <x v="0"/>
    <x v="0"/>
    <x v="0"/>
    <x v="5"/>
    <n v="0"/>
    <x v="0"/>
  </r>
  <r>
    <x v="35"/>
    <x v="0"/>
    <x v="36"/>
    <x v="0"/>
    <x v="0"/>
    <x v="0"/>
    <x v="0"/>
    <x v="6"/>
    <n v="0"/>
    <x v="0"/>
  </r>
  <r>
    <x v="35"/>
    <x v="0"/>
    <x v="36"/>
    <x v="0"/>
    <x v="0"/>
    <x v="0"/>
    <x v="0"/>
    <x v="7"/>
    <n v="0"/>
    <x v="0"/>
  </r>
  <r>
    <x v="35"/>
    <x v="0"/>
    <x v="36"/>
    <x v="0"/>
    <x v="0"/>
    <x v="0"/>
    <x v="0"/>
    <x v="8"/>
    <n v="0"/>
    <x v="0"/>
  </r>
  <r>
    <x v="35"/>
    <x v="0"/>
    <x v="36"/>
    <x v="0"/>
    <x v="0"/>
    <x v="0"/>
    <x v="0"/>
    <x v="9"/>
    <n v="0"/>
    <x v="0"/>
  </r>
  <r>
    <x v="35"/>
    <x v="0"/>
    <x v="36"/>
    <x v="0"/>
    <x v="0"/>
    <x v="0"/>
    <x v="0"/>
    <x v="10"/>
    <n v="0"/>
    <x v="0"/>
  </r>
  <r>
    <x v="35"/>
    <x v="0"/>
    <x v="36"/>
    <x v="0"/>
    <x v="0"/>
    <x v="0"/>
    <x v="0"/>
    <x v="11"/>
    <n v="0"/>
    <x v="0"/>
  </r>
  <r>
    <x v="36"/>
    <x v="0"/>
    <x v="37"/>
    <x v="0"/>
    <x v="0"/>
    <x v="0"/>
    <x v="0"/>
    <x v="0"/>
    <n v="8571.5703869092104"/>
    <x v="0"/>
  </r>
  <r>
    <x v="36"/>
    <x v="0"/>
    <x v="37"/>
    <x v="0"/>
    <x v="0"/>
    <x v="0"/>
    <x v="0"/>
    <x v="1"/>
    <n v="8217.1939589672511"/>
    <x v="0"/>
  </r>
  <r>
    <x v="36"/>
    <x v="0"/>
    <x v="37"/>
    <x v="0"/>
    <x v="0"/>
    <x v="0"/>
    <x v="0"/>
    <x v="2"/>
    <n v="8208.0734661881015"/>
    <x v="0"/>
  </r>
  <r>
    <x v="36"/>
    <x v="0"/>
    <x v="37"/>
    <x v="0"/>
    <x v="0"/>
    <x v="0"/>
    <x v="0"/>
    <x v="3"/>
    <n v="5202.6789466284536"/>
    <x v="0"/>
  </r>
  <r>
    <x v="36"/>
    <x v="0"/>
    <x v="37"/>
    <x v="0"/>
    <x v="0"/>
    <x v="0"/>
    <x v="0"/>
    <x v="4"/>
    <n v="9345.936675140536"/>
    <x v="0"/>
  </r>
  <r>
    <x v="36"/>
    <x v="0"/>
    <x v="37"/>
    <x v="0"/>
    <x v="0"/>
    <x v="0"/>
    <x v="0"/>
    <x v="5"/>
    <n v="0"/>
    <x v="0"/>
  </r>
  <r>
    <x v="36"/>
    <x v="0"/>
    <x v="37"/>
    <x v="0"/>
    <x v="0"/>
    <x v="0"/>
    <x v="0"/>
    <x v="6"/>
    <n v="0"/>
    <x v="0"/>
  </r>
  <r>
    <x v="36"/>
    <x v="0"/>
    <x v="37"/>
    <x v="0"/>
    <x v="0"/>
    <x v="0"/>
    <x v="0"/>
    <x v="7"/>
    <n v="0"/>
    <x v="0"/>
  </r>
  <r>
    <x v="36"/>
    <x v="0"/>
    <x v="37"/>
    <x v="0"/>
    <x v="0"/>
    <x v="0"/>
    <x v="0"/>
    <x v="8"/>
    <n v="0"/>
    <x v="0"/>
  </r>
  <r>
    <x v="36"/>
    <x v="0"/>
    <x v="37"/>
    <x v="0"/>
    <x v="0"/>
    <x v="0"/>
    <x v="0"/>
    <x v="9"/>
    <n v="0"/>
    <x v="0"/>
  </r>
  <r>
    <x v="36"/>
    <x v="0"/>
    <x v="37"/>
    <x v="0"/>
    <x v="0"/>
    <x v="0"/>
    <x v="0"/>
    <x v="10"/>
    <n v="0"/>
    <x v="0"/>
  </r>
  <r>
    <x v="36"/>
    <x v="0"/>
    <x v="37"/>
    <x v="0"/>
    <x v="0"/>
    <x v="0"/>
    <x v="0"/>
    <x v="11"/>
    <n v="0"/>
    <x v="0"/>
  </r>
  <r>
    <x v="36"/>
    <x v="1"/>
    <x v="37"/>
    <x v="0"/>
    <x v="1"/>
    <x v="1"/>
    <x v="0"/>
    <x v="0"/>
    <n v="4820.5573706713139"/>
    <x v="0"/>
  </r>
  <r>
    <x v="36"/>
    <x v="1"/>
    <x v="37"/>
    <x v="0"/>
    <x v="1"/>
    <x v="1"/>
    <x v="0"/>
    <x v="1"/>
    <n v="0"/>
    <x v="0"/>
  </r>
  <r>
    <x v="36"/>
    <x v="1"/>
    <x v="37"/>
    <x v="0"/>
    <x v="1"/>
    <x v="1"/>
    <x v="0"/>
    <x v="2"/>
    <n v="0"/>
    <x v="0"/>
  </r>
  <r>
    <x v="36"/>
    <x v="1"/>
    <x v="37"/>
    <x v="0"/>
    <x v="1"/>
    <x v="1"/>
    <x v="0"/>
    <x v="3"/>
    <n v="0"/>
    <x v="0"/>
  </r>
  <r>
    <x v="36"/>
    <x v="1"/>
    <x v="37"/>
    <x v="0"/>
    <x v="1"/>
    <x v="1"/>
    <x v="0"/>
    <x v="4"/>
    <n v="0"/>
    <x v="0"/>
  </r>
  <r>
    <x v="36"/>
    <x v="1"/>
    <x v="37"/>
    <x v="0"/>
    <x v="1"/>
    <x v="1"/>
    <x v="0"/>
    <x v="5"/>
    <n v="0"/>
    <x v="0"/>
  </r>
  <r>
    <x v="36"/>
    <x v="1"/>
    <x v="37"/>
    <x v="0"/>
    <x v="1"/>
    <x v="1"/>
    <x v="0"/>
    <x v="6"/>
    <n v="0"/>
    <x v="0"/>
  </r>
  <r>
    <x v="36"/>
    <x v="1"/>
    <x v="37"/>
    <x v="0"/>
    <x v="1"/>
    <x v="1"/>
    <x v="0"/>
    <x v="7"/>
    <n v="0"/>
    <x v="0"/>
  </r>
  <r>
    <x v="36"/>
    <x v="1"/>
    <x v="37"/>
    <x v="0"/>
    <x v="1"/>
    <x v="1"/>
    <x v="0"/>
    <x v="8"/>
    <n v="0"/>
    <x v="0"/>
  </r>
  <r>
    <x v="36"/>
    <x v="1"/>
    <x v="37"/>
    <x v="0"/>
    <x v="1"/>
    <x v="1"/>
    <x v="0"/>
    <x v="9"/>
    <n v="0"/>
    <x v="0"/>
  </r>
  <r>
    <x v="36"/>
    <x v="1"/>
    <x v="37"/>
    <x v="0"/>
    <x v="1"/>
    <x v="1"/>
    <x v="0"/>
    <x v="10"/>
    <n v="0"/>
    <x v="0"/>
  </r>
  <r>
    <x v="36"/>
    <x v="1"/>
    <x v="37"/>
    <x v="0"/>
    <x v="1"/>
    <x v="1"/>
    <x v="0"/>
    <x v="11"/>
    <n v="0"/>
    <x v="0"/>
  </r>
  <r>
    <x v="37"/>
    <x v="0"/>
    <x v="38"/>
    <x v="0"/>
    <x v="0"/>
    <x v="0"/>
    <x v="0"/>
    <x v="0"/>
    <n v="1606.9736323624854"/>
    <x v="0"/>
  </r>
  <r>
    <x v="37"/>
    <x v="0"/>
    <x v="38"/>
    <x v="0"/>
    <x v="0"/>
    <x v="0"/>
    <x v="0"/>
    <x v="1"/>
    <n v="1541.8741525286318"/>
    <x v="0"/>
  </r>
  <r>
    <x v="37"/>
    <x v="0"/>
    <x v="38"/>
    <x v="0"/>
    <x v="0"/>
    <x v="0"/>
    <x v="0"/>
    <x v="2"/>
    <n v="1545.1855734423714"/>
    <x v="0"/>
  </r>
  <r>
    <x v="37"/>
    <x v="0"/>
    <x v="38"/>
    <x v="0"/>
    <x v="0"/>
    <x v="0"/>
    <x v="0"/>
    <x v="3"/>
    <n v="1525.9262634141678"/>
    <x v="0"/>
  </r>
  <r>
    <x v="37"/>
    <x v="0"/>
    <x v="38"/>
    <x v="0"/>
    <x v="0"/>
    <x v="0"/>
    <x v="0"/>
    <x v="4"/>
    <n v="1557.2132159028622"/>
    <x v="0"/>
  </r>
  <r>
    <x v="37"/>
    <x v="0"/>
    <x v="38"/>
    <x v="0"/>
    <x v="0"/>
    <x v="0"/>
    <x v="0"/>
    <x v="5"/>
    <n v="2542.2702200340377"/>
    <x v="0"/>
  </r>
  <r>
    <x v="37"/>
    <x v="0"/>
    <x v="38"/>
    <x v="0"/>
    <x v="0"/>
    <x v="0"/>
    <x v="0"/>
    <x v="6"/>
    <n v="0"/>
    <x v="0"/>
  </r>
  <r>
    <x v="37"/>
    <x v="0"/>
    <x v="38"/>
    <x v="0"/>
    <x v="0"/>
    <x v="0"/>
    <x v="0"/>
    <x v="7"/>
    <n v="0"/>
    <x v="0"/>
  </r>
  <r>
    <x v="37"/>
    <x v="0"/>
    <x v="38"/>
    <x v="0"/>
    <x v="0"/>
    <x v="0"/>
    <x v="0"/>
    <x v="8"/>
    <n v="0"/>
    <x v="0"/>
  </r>
  <r>
    <x v="37"/>
    <x v="0"/>
    <x v="38"/>
    <x v="0"/>
    <x v="0"/>
    <x v="0"/>
    <x v="0"/>
    <x v="9"/>
    <n v="0"/>
    <x v="0"/>
  </r>
  <r>
    <x v="37"/>
    <x v="0"/>
    <x v="38"/>
    <x v="0"/>
    <x v="0"/>
    <x v="0"/>
    <x v="0"/>
    <x v="10"/>
    <n v="0"/>
    <x v="0"/>
  </r>
  <r>
    <x v="37"/>
    <x v="0"/>
    <x v="38"/>
    <x v="0"/>
    <x v="0"/>
    <x v="0"/>
    <x v="0"/>
    <x v="11"/>
    <n v="0"/>
    <x v="0"/>
  </r>
  <r>
    <x v="38"/>
    <x v="0"/>
    <x v="39"/>
    <x v="0"/>
    <x v="0"/>
    <x v="0"/>
    <x v="0"/>
    <x v="0"/>
    <n v="928.23769462651785"/>
    <x v="0"/>
  </r>
  <r>
    <x v="38"/>
    <x v="0"/>
    <x v="39"/>
    <x v="0"/>
    <x v="0"/>
    <x v="0"/>
    <x v="0"/>
    <x v="1"/>
    <n v="1486.1762049021056"/>
    <x v="0"/>
  </r>
  <r>
    <x v="38"/>
    <x v="0"/>
    <x v="39"/>
    <x v="0"/>
    <x v="0"/>
    <x v="0"/>
    <x v="0"/>
    <x v="2"/>
    <n v="1485.2393728291727"/>
    <x v="0"/>
  </r>
  <r>
    <x v="38"/>
    <x v="0"/>
    <x v="39"/>
    <x v="0"/>
    <x v="0"/>
    <x v="0"/>
    <x v="0"/>
    <x v="3"/>
    <n v="1465.9216374714536"/>
    <x v="0"/>
  </r>
  <r>
    <x v="38"/>
    <x v="0"/>
    <x v="39"/>
    <x v="0"/>
    <x v="0"/>
    <x v="0"/>
    <x v="0"/>
    <x v="4"/>
    <n v="1495.1102093854463"/>
    <x v="0"/>
  </r>
  <r>
    <x v="38"/>
    <x v="0"/>
    <x v="39"/>
    <x v="0"/>
    <x v="0"/>
    <x v="0"/>
    <x v="0"/>
    <x v="5"/>
    <n v="1532.3384060008434"/>
    <x v="0"/>
  </r>
  <r>
    <x v="38"/>
    <x v="0"/>
    <x v="39"/>
    <x v="0"/>
    <x v="0"/>
    <x v="0"/>
    <x v="0"/>
    <x v="6"/>
    <n v="1603.4699751853648"/>
    <x v="0"/>
  </r>
  <r>
    <x v="38"/>
    <x v="0"/>
    <x v="39"/>
    <x v="0"/>
    <x v="0"/>
    <x v="0"/>
    <x v="0"/>
    <x v="7"/>
    <n v="1924.1712206638467"/>
    <x v="0"/>
  </r>
  <r>
    <x v="38"/>
    <x v="0"/>
    <x v="39"/>
    <x v="0"/>
    <x v="0"/>
    <x v="0"/>
    <x v="0"/>
    <x v="8"/>
    <n v="1956.9501486820463"/>
    <x v="0"/>
  </r>
  <r>
    <x v="38"/>
    <x v="0"/>
    <x v="39"/>
    <x v="0"/>
    <x v="0"/>
    <x v="0"/>
    <x v="0"/>
    <x v="9"/>
    <n v="1552.3398751960003"/>
    <x v="0"/>
  </r>
  <r>
    <x v="38"/>
    <x v="0"/>
    <x v="39"/>
    <x v="0"/>
    <x v="0"/>
    <x v="0"/>
    <x v="0"/>
    <x v="10"/>
    <n v="1593.6140066535056"/>
    <x v="0"/>
  </r>
  <r>
    <x v="38"/>
    <x v="0"/>
    <x v="39"/>
    <x v="0"/>
    <x v="0"/>
    <x v="0"/>
    <x v="0"/>
    <x v="11"/>
    <n v="1804.9495699846022"/>
    <x v="0"/>
  </r>
  <r>
    <x v="39"/>
    <x v="0"/>
    <x v="40"/>
    <x v="0"/>
    <x v="0"/>
    <x v="0"/>
    <x v="0"/>
    <x v="0"/>
    <n v="0"/>
    <x v="0"/>
  </r>
  <r>
    <x v="39"/>
    <x v="0"/>
    <x v="40"/>
    <x v="0"/>
    <x v="0"/>
    <x v="0"/>
    <x v="0"/>
    <x v="1"/>
    <n v="0"/>
    <x v="0"/>
  </r>
  <r>
    <x v="39"/>
    <x v="0"/>
    <x v="40"/>
    <x v="0"/>
    <x v="0"/>
    <x v="0"/>
    <x v="0"/>
    <x v="2"/>
    <n v="941.10304446726559"/>
    <x v="0"/>
  </r>
  <r>
    <x v="39"/>
    <x v="0"/>
    <x v="40"/>
    <x v="0"/>
    <x v="0"/>
    <x v="0"/>
    <x v="0"/>
    <x v="3"/>
    <n v="1384.8318353945042"/>
    <x v="0"/>
  </r>
  <r>
    <x v="39"/>
    <x v="0"/>
    <x v="40"/>
    <x v="0"/>
    <x v="0"/>
    <x v="0"/>
    <x v="0"/>
    <x v="4"/>
    <n v="1413.2442656271437"/>
    <x v="0"/>
  </r>
  <r>
    <x v="39"/>
    <x v="0"/>
    <x v="40"/>
    <x v="0"/>
    <x v="0"/>
    <x v="0"/>
    <x v="0"/>
    <x v="5"/>
    <n v="1449.0860017194657"/>
    <x v="0"/>
  </r>
  <r>
    <x v="39"/>
    <x v="0"/>
    <x v="40"/>
    <x v="0"/>
    <x v="0"/>
    <x v="0"/>
    <x v="0"/>
    <x v="6"/>
    <n v="1481.5545427510513"/>
    <x v="0"/>
  </r>
  <r>
    <x v="39"/>
    <x v="0"/>
    <x v="40"/>
    <x v="0"/>
    <x v="0"/>
    <x v="0"/>
    <x v="0"/>
    <x v="7"/>
    <n v="1499.0632124838253"/>
    <x v="0"/>
  </r>
  <r>
    <x v="39"/>
    <x v="0"/>
    <x v="40"/>
    <x v="0"/>
    <x v="0"/>
    <x v="0"/>
    <x v="0"/>
    <x v="8"/>
    <n v="1500.7382578888817"/>
    <x v="0"/>
  </r>
  <r>
    <x v="39"/>
    <x v="0"/>
    <x v="40"/>
    <x v="0"/>
    <x v="0"/>
    <x v="0"/>
    <x v="0"/>
    <x v="9"/>
    <n v="1467.3402757559008"/>
    <x v="0"/>
  </r>
  <r>
    <x v="39"/>
    <x v="0"/>
    <x v="40"/>
    <x v="0"/>
    <x v="0"/>
    <x v="0"/>
    <x v="0"/>
    <x v="10"/>
    <n v="1506.3544094531328"/>
    <x v="0"/>
  </r>
  <r>
    <x v="39"/>
    <x v="0"/>
    <x v="40"/>
    <x v="0"/>
    <x v="0"/>
    <x v="0"/>
    <x v="0"/>
    <x v="11"/>
    <n v="1706.118126619856"/>
    <x v="0"/>
  </r>
  <r>
    <x v="40"/>
    <x v="0"/>
    <x v="41"/>
    <x v="0"/>
    <x v="0"/>
    <x v="0"/>
    <x v="0"/>
    <x v="0"/>
    <n v="0"/>
    <x v="0"/>
  </r>
  <r>
    <x v="40"/>
    <x v="0"/>
    <x v="41"/>
    <x v="0"/>
    <x v="0"/>
    <x v="0"/>
    <x v="0"/>
    <x v="1"/>
    <n v="0"/>
    <x v="0"/>
  </r>
  <r>
    <x v="40"/>
    <x v="0"/>
    <x v="41"/>
    <x v="0"/>
    <x v="0"/>
    <x v="0"/>
    <x v="0"/>
    <x v="2"/>
    <n v="0"/>
    <x v="0"/>
  </r>
  <r>
    <x v="40"/>
    <x v="0"/>
    <x v="41"/>
    <x v="0"/>
    <x v="0"/>
    <x v="0"/>
    <x v="0"/>
    <x v="3"/>
    <n v="0"/>
    <x v="0"/>
  </r>
  <r>
    <x v="40"/>
    <x v="0"/>
    <x v="41"/>
    <x v="0"/>
    <x v="0"/>
    <x v="0"/>
    <x v="0"/>
    <x v="4"/>
    <n v="1554.081152720144"/>
    <x v="0"/>
  </r>
  <r>
    <x v="40"/>
    <x v="0"/>
    <x v="41"/>
    <x v="0"/>
    <x v="0"/>
    <x v="0"/>
    <x v="0"/>
    <x v="5"/>
    <n v="1580.6022646048"/>
    <x v="0"/>
  </r>
  <r>
    <x v="40"/>
    <x v="0"/>
    <x v="41"/>
    <x v="0"/>
    <x v="0"/>
    <x v="0"/>
    <x v="0"/>
    <x v="6"/>
    <n v="1584.398255563138"/>
    <x v="0"/>
  </r>
  <r>
    <x v="40"/>
    <x v="0"/>
    <x v="41"/>
    <x v="0"/>
    <x v="0"/>
    <x v="0"/>
    <x v="0"/>
    <x v="7"/>
    <n v="1634.3019173474463"/>
    <x v="0"/>
  </r>
  <r>
    <x v="40"/>
    <x v="0"/>
    <x v="41"/>
    <x v="0"/>
    <x v="0"/>
    <x v="0"/>
    <x v="0"/>
    <x v="8"/>
    <n v="1652.3532107112926"/>
    <x v="0"/>
  </r>
  <r>
    <x v="40"/>
    <x v="0"/>
    <x v="41"/>
    <x v="0"/>
    <x v="0"/>
    <x v="0"/>
    <x v="0"/>
    <x v="9"/>
    <n v="1613.5681018790374"/>
    <x v="0"/>
  </r>
  <r>
    <x v="40"/>
    <x v="0"/>
    <x v="41"/>
    <x v="0"/>
    <x v="0"/>
    <x v="0"/>
    <x v="0"/>
    <x v="10"/>
    <n v="1656.4701898925816"/>
    <x v="0"/>
  </r>
  <r>
    <x v="40"/>
    <x v="0"/>
    <x v="41"/>
    <x v="0"/>
    <x v="0"/>
    <x v="0"/>
    <x v="0"/>
    <x v="11"/>
    <n v="1876.1413645060913"/>
    <x v="0"/>
  </r>
  <r>
    <x v="41"/>
    <x v="0"/>
    <x v="42"/>
    <x v="0"/>
    <x v="0"/>
    <x v="0"/>
    <x v="0"/>
    <x v="0"/>
    <n v="0"/>
    <x v="0"/>
  </r>
  <r>
    <x v="41"/>
    <x v="0"/>
    <x v="42"/>
    <x v="0"/>
    <x v="0"/>
    <x v="0"/>
    <x v="0"/>
    <x v="1"/>
    <n v="0"/>
    <x v="0"/>
  </r>
  <r>
    <x v="41"/>
    <x v="0"/>
    <x v="42"/>
    <x v="0"/>
    <x v="0"/>
    <x v="0"/>
    <x v="0"/>
    <x v="2"/>
    <n v="0"/>
    <x v="0"/>
  </r>
  <r>
    <x v="41"/>
    <x v="0"/>
    <x v="42"/>
    <x v="0"/>
    <x v="0"/>
    <x v="0"/>
    <x v="0"/>
    <x v="3"/>
    <n v="0"/>
    <x v="0"/>
  </r>
  <r>
    <x v="41"/>
    <x v="0"/>
    <x v="42"/>
    <x v="0"/>
    <x v="0"/>
    <x v="0"/>
    <x v="0"/>
    <x v="4"/>
    <n v="0"/>
    <x v="0"/>
  </r>
  <r>
    <x v="41"/>
    <x v="0"/>
    <x v="42"/>
    <x v="0"/>
    <x v="0"/>
    <x v="0"/>
    <x v="0"/>
    <x v="5"/>
    <n v="9618.1162890101532"/>
    <x v="0"/>
  </r>
  <r>
    <x v="41"/>
    <x v="0"/>
    <x v="42"/>
    <x v="0"/>
    <x v="0"/>
    <x v="0"/>
    <x v="0"/>
    <x v="6"/>
    <n v="9327.9782071659411"/>
    <x v="0"/>
  </r>
  <r>
    <x v="41"/>
    <x v="0"/>
    <x v="42"/>
    <x v="0"/>
    <x v="0"/>
    <x v="0"/>
    <x v="0"/>
    <x v="7"/>
    <n v="9841.641970676701"/>
    <x v="0"/>
  </r>
  <r>
    <x v="41"/>
    <x v="0"/>
    <x v="42"/>
    <x v="0"/>
    <x v="0"/>
    <x v="0"/>
    <x v="0"/>
    <x v="8"/>
    <n v="9929.0623933360075"/>
    <x v="0"/>
  </r>
  <r>
    <x v="41"/>
    <x v="0"/>
    <x v="42"/>
    <x v="0"/>
    <x v="0"/>
    <x v="0"/>
    <x v="0"/>
    <x v="9"/>
    <n v="9777.7761077195828"/>
    <x v="0"/>
  </r>
  <r>
    <x v="41"/>
    <x v="0"/>
    <x v="42"/>
    <x v="0"/>
    <x v="0"/>
    <x v="0"/>
    <x v="0"/>
    <x v="10"/>
    <n v="0"/>
    <x v="0"/>
  </r>
  <r>
    <x v="41"/>
    <x v="0"/>
    <x v="42"/>
    <x v="0"/>
    <x v="0"/>
    <x v="0"/>
    <x v="0"/>
    <x v="11"/>
    <n v="0"/>
    <x v="0"/>
  </r>
  <r>
    <x v="42"/>
    <x v="0"/>
    <x v="43"/>
    <x v="1"/>
    <x v="0"/>
    <x v="2"/>
    <x v="0"/>
    <x v="0"/>
    <n v="0"/>
    <x v="0"/>
  </r>
  <r>
    <x v="42"/>
    <x v="0"/>
    <x v="43"/>
    <x v="1"/>
    <x v="0"/>
    <x v="2"/>
    <x v="0"/>
    <x v="1"/>
    <n v="0"/>
    <x v="0"/>
  </r>
  <r>
    <x v="42"/>
    <x v="0"/>
    <x v="43"/>
    <x v="1"/>
    <x v="0"/>
    <x v="2"/>
    <x v="0"/>
    <x v="2"/>
    <n v="0"/>
    <x v="0"/>
  </r>
  <r>
    <x v="42"/>
    <x v="0"/>
    <x v="43"/>
    <x v="1"/>
    <x v="0"/>
    <x v="2"/>
    <x v="0"/>
    <x v="3"/>
    <n v="0"/>
    <x v="0"/>
  </r>
  <r>
    <x v="42"/>
    <x v="0"/>
    <x v="43"/>
    <x v="1"/>
    <x v="0"/>
    <x v="2"/>
    <x v="0"/>
    <x v="4"/>
    <n v="0"/>
    <x v="0"/>
  </r>
  <r>
    <x v="42"/>
    <x v="0"/>
    <x v="43"/>
    <x v="1"/>
    <x v="0"/>
    <x v="2"/>
    <x v="0"/>
    <x v="5"/>
    <n v="0"/>
    <x v="0"/>
  </r>
  <r>
    <x v="42"/>
    <x v="0"/>
    <x v="43"/>
    <x v="1"/>
    <x v="0"/>
    <x v="2"/>
    <x v="0"/>
    <x v="6"/>
    <n v="0"/>
    <x v="0"/>
  </r>
  <r>
    <x v="42"/>
    <x v="0"/>
    <x v="43"/>
    <x v="1"/>
    <x v="0"/>
    <x v="2"/>
    <x v="0"/>
    <x v="7"/>
    <n v="0"/>
    <x v="0"/>
  </r>
  <r>
    <x v="42"/>
    <x v="0"/>
    <x v="43"/>
    <x v="1"/>
    <x v="0"/>
    <x v="2"/>
    <x v="0"/>
    <x v="8"/>
    <n v="0"/>
    <x v="0"/>
  </r>
  <r>
    <x v="42"/>
    <x v="0"/>
    <x v="43"/>
    <x v="1"/>
    <x v="0"/>
    <x v="2"/>
    <x v="0"/>
    <x v="9"/>
    <n v="0"/>
    <x v="0"/>
  </r>
  <r>
    <x v="42"/>
    <x v="0"/>
    <x v="43"/>
    <x v="1"/>
    <x v="0"/>
    <x v="2"/>
    <x v="0"/>
    <x v="10"/>
    <n v="0"/>
    <x v="0"/>
  </r>
  <r>
    <x v="42"/>
    <x v="0"/>
    <x v="43"/>
    <x v="1"/>
    <x v="0"/>
    <x v="2"/>
    <x v="0"/>
    <x v="11"/>
    <n v="0"/>
    <x v="0"/>
  </r>
  <r>
    <x v="30"/>
    <x v="0"/>
    <x v="44"/>
    <x v="0"/>
    <x v="0"/>
    <x v="0"/>
    <x v="0"/>
    <x v="0"/>
    <n v="0"/>
    <x v="0"/>
  </r>
  <r>
    <x v="30"/>
    <x v="0"/>
    <x v="44"/>
    <x v="0"/>
    <x v="0"/>
    <x v="0"/>
    <x v="0"/>
    <x v="1"/>
    <n v="0"/>
    <x v="0"/>
  </r>
  <r>
    <x v="30"/>
    <x v="0"/>
    <x v="44"/>
    <x v="0"/>
    <x v="0"/>
    <x v="0"/>
    <x v="0"/>
    <x v="2"/>
    <n v="0"/>
    <x v="0"/>
  </r>
  <r>
    <x v="30"/>
    <x v="0"/>
    <x v="44"/>
    <x v="0"/>
    <x v="0"/>
    <x v="0"/>
    <x v="0"/>
    <x v="3"/>
    <n v="0"/>
    <x v="0"/>
  </r>
  <r>
    <x v="30"/>
    <x v="0"/>
    <x v="44"/>
    <x v="0"/>
    <x v="0"/>
    <x v="0"/>
    <x v="0"/>
    <x v="4"/>
    <n v="0"/>
    <x v="0"/>
  </r>
  <r>
    <x v="30"/>
    <x v="0"/>
    <x v="44"/>
    <x v="0"/>
    <x v="0"/>
    <x v="0"/>
    <x v="0"/>
    <x v="5"/>
    <n v="0"/>
    <x v="0"/>
  </r>
  <r>
    <x v="30"/>
    <x v="0"/>
    <x v="44"/>
    <x v="0"/>
    <x v="0"/>
    <x v="0"/>
    <x v="0"/>
    <x v="6"/>
    <n v="0"/>
    <x v="0"/>
  </r>
  <r>
    <x v="30"/>
    <x v="0"/>
    <x v="44"/>
    <x v="0"/>
    <x v="0"/>
    <x v="0"/>
    <x v="0"/>
    <x v="7"/>
    <n v="0"/>
    <x v="0"/>
  </r>
  <r>
    <x v="30"/>
    <x v="0"/>
    <x v="44"/>
    <x v="0"/>
    <x v="0"/>
    <x v="0"/>
    <x v="0"/>
    <x v="8"/>
    <n v="0"/>
    <x v="0"/>
  </r>
  <r>
    <x v="30"/>
    <x v="0"/>
    <x v="44"/>
    <x v="0"/>
    <x v="0"/>
    <x v="0"/>
    <x v="0"/>
    <x v="9"/>
    <n v="0"/>
    <x v="0"/>
  </r>
  <r>
    <x v="30"/>
    <x v="0"/>
    <x v="44"/>
    <x v="0"/>
    <x v="0"/>
    <x v="0"/>
    <x v="0"/>
    <x v="10"/>
    <n v="0"/>
    <x v="0"/>
  </r>
  <r>
    <x v="30"/>
    <x v="0"/>
    <x v="44"/>
    <x v="0"/>
    <x v="0"/>
    <x v="0"/>
    <x v="0"/>
    <x v="11"/>
    <n v="0"/>
    <x v="0"/>
  </r>
  <r>
    <x v="43"/>
    <x v="0"/>
    <x v="45"/>
    <x v="0"/>
    <x v="0"/>
    <x v="0"/>
    <x v="0"/>
    <x v="0"/>
    <n v="0"/>
    <x v="0"/>
  </r>
  <r>
    <x v="43"/>
    <x v="0"/>
    <x v="45"/>
    <x v="0"/>
    <x v="0"/>
    <x v="0"/>
    <x v="0"/>
    <x v="1"/>
    <n v="0"/>
    <x v="0"/>
  </r>
  <r>
    <x v="43"/>
    <x v="0"/>
    <x v="45"/>
    <x v="0"/>
    <x v="0"/>
    <x v="0"/>
    <x v="0"/>
    <x v="2"/>
    <n v="0"/>
    <x v="0"/>
  </r>
  <r>
    <x v="43"/>
    <x v="0"/>
    <x v="45"/>
    <x v="0"/>
    <x v="0"/>
    <x v="0"/>
    <x v="0"/>
    <x v="3"/>
    <n v="0"/>
    <x v="0"/>
  </r>
  <r>
    <x v="43"/>
    <x v="0"/>
    <x v="45"/>
    <x v="0"/>
    <x v="0"/>
    <x v="0"/>
    <x v="0"/>
    <x v="4"/>
    <n v="0"/>
    <x v="0"/>
  </r>
  <r>
    <x v="43"/>
    <x v="0"/>
    <x v="45"/>
    <x v="0"/>
    <x v="0"/>
    <x v="0"/>
    <x v="0"/>
    <x v="5"/>
    <n v="0"/>
    <x v="0"/>
  </r>
  <r>
    <x v="43"/>
    <x v="0"/>
    <x v="45"/>
    <x v="0"/>
    <x v="0"/>
    <x v="0"/>
    <x v="0"/>
    <x v="6"/>
    <n v="547.95405578049042"/>
    <x v="0"/>
  </r>
  <r>
    <x v="43"/>
    <x v="0"/>
    <x v="45"/>
    <x v="0"/>
    <x v="0"/>
    <x v="0"/>
    <x v="0"/>
    <x v="7"/>
    <n v="1627.9380737394069"/>
    <x v="0"/>
  </r>
  <r>
    <x v="43"/>
    <x v="0"/>
    <x v="45"/>
    <x v="0"/>
    <x v="0"/>
    <x v="0"/>
    <x v="0"/>
    <x v="8"/>
    <n v="1636.0101448191106"/>
    <x v="0"/>
  </r>
  <r>
    <x v="43"/>
    <x v="0"/>
    <x v="45"/>
    <x v="0"/>
    <x v="0"/>
    <x v="0"/>
    <x v="0"/>
    <x v="9"/>
    <n v="1616.3228000178603"/>
    <x v="0"/>
  </r>
  <r>
    <x v="43"/>
    <x v="0"/>
    <x v="45"/>
    <x v="0"/>
    <x v="0"/>
    <x v="0"/>
    <x v="0"/>
    <x v="10"/>
    <n v="1659.2981308662527"/>
    <x v="0"/>
  </r>
  <r>
    <x v="43"/>
    <x v="0"/>
    <x v="45"/>
    <x v="0"/>
    <x v="0"/>
    <x v="0"/>
    <x v="0"/>
    <x v="11"/>
    <n v="1879.3443301069574"/>
    <x v="0"/>
  </r>
  <r>
    <x v="44"/>
    <x v="0"/>
    <x v="46"/>
    <x v="0"/>
    <x v="0"/>
    <x v="0"/>
    <x v="0"/>
    <x v="0"/>
    <n v="0"/>
    <x v="0"/>
  </r>
  <r>
    <x v="44"/>
    <x v="0"/>
    <x v="46"/>
    <x v="0"/>
    <x v="0"/>
    <x v="0"/>
    <x v="0"/>
    <x v="1"/>
    <n v="0"/>
    <x v="0"/>
  </r>
  <r>
    <x v="44"/>
    <x v="0"/>
    <x v="46"/>
    <x v="0"/>
    <x v="0"/>
    <x v="0"/>
    <x v="0"/>
    <x v="2"/>
    <n v="0"/>
    <x v="0"/>
  </r>
  <r>
    <x v="44"/>
    <x v="0"/>
    <x v="46"/>
    <x v="0"/>
    <x v="0"/>
    <x v="0"/>
    <x v="0"/>
    <x v="3"/>
    <n v="0"/>
    <x v="0"/>
  </r>
  <r>
    <x v="44"/>
    <x v="0"/>
    <x v="46"/>
    <x v="0"/>
    <x v="0"/>
    <x v="0"/>
    <x v="0"/>
    <x v="4"/>
    <n v="0"/>
    <x v="0"/>
  </r>
  <r>
    <x v="44"/>
    <x v="0"/>
    <x v="46"/>
    <x v="0"/>
    <x v="0"/>
    <x v="0"/>
    <x v="0"/>
    <x v="5"/>
    <n v="0"/>
    <x v="0"/>
  </r>
  <r>
    <x v="44"/>
    <x v="0"/>
    <x v="46"/>
    <x v="0"/>
    <x v="0"/>
    <x v="0"/>
    <x v="0"/>
    <x v="6"/>
    <n v="0"/>
    <x v="0"/>
  </r>
  <r>
    <x v="44"/>
    <x v="0"/>
    <x v="46"/>
    <x v="0"/>
    <x v="0"/>
    <x v="0"/>
    <x v="0"/>
    <x v="7"/>
    <n v="0"/>
    <x v="0"/>
  </r>
  <r>
    <x v="44"/>
    <x v="0"/>
    <x v="46"/>
    <x v="0"/>
    <x v="0"/>
    <x v="0"/>
    <x v="0"/>
    <x v="8"/>
    <n v="7567.3929019102188"/>
    <x v="0"/>
  </r>
  <r>
    <x v="44"/>
    <x v="0"/>
    <x v="46"/>
    <x v="0"/>
    <x v="0"/>
    <x v="0"/>
    <x v="0"/>
    <x v="9"/>
    <n v="7421.5073572641595"/>
    <x v="0"/>
  </r>
  <r>
    <x v="44"/>
    <x v="0"/>
    <x v="46"/>
    <x v="0"/>
    <x v="0"/>
    <x v="0"/>
    <x v="0"/>
    <x v="10"/>
    <n v="7618.8328754519134"/>
    <x v="0"/>
  </r>
  <r>
    <x v="44"/>
    <x v="0"/>
    <x v="46"/>
    <x v="0"/>
    <x v="0"/>
    <x v="0"/>
    <x v="0"/>
    <x v="11"/>
    <n v="8629.1969478914416"/>
    <x v="0"/>
  </r>
  <r>
    <x v="45"/>
    <x v="0"/>
    <x v="47"/>
    <x v="0"/>
    <x v="0"/>
    <x v="0"/>
    <x v="0"/>
    <x v="0"/>
    <n v="0"/>
    <x v="0"/>
  </r>
  <r>
    <x v="45"/>
    <x v="0"/>
    <x v="47"/>
    <x v="0"/>
    <x v="0"/>
    <x v="0"/>
    <x v="0"/>
    <x v="1"/>
    <n v="3372.6943545457543"/>
    <x v="0"/>
  </r>
  <r>
    <x v="45"/>
    <x v="0"/>
    <x v="47"/>
    <x v="0"/>
    <x v="0"/>
    <x v="0"/>
    <x v="0"/>
    <x v="2"/>
    <n v="0"/>
    <x v="0"/>
  </r>
  <r>
    <x v="45"/>
    <x v="0"/>
    <x v="47"/>
    <x v="0"/>
    <x v="0"/>
    <x v="0"/>
    <x v="0"/>
    <x v="3"/>
    <n v="0"/>
    <x v="0"/>
  </r>
  <r>
    <x v="45"/>
    <x v="0"/>
    <x v="47"/>
    <x v="0"/>
    <x v="0"/>
    <x v="0"/>
    <x v="0"/>
    <x v="4"/>
    <n v="0"/>
    <x v="0"/>
  </r>
  <r>
    <x v="45"/>
    <x v="0"/>
    <x v="47"/>
    <x v="0"/>
    <x v="0"/>
    <x v="0"/>
    <x v="0"/>
    <x v="5"/>
    <n v="0"/>
    <x v="0"/>
  </r>
  <r>
    <x v="45"/>
    <x v="0"/>
    <x v="47"/>
    <x v="0"/>
    <x v="0"/>
    <x v="0"/>
    <x v="0"/>
    <x v="6"/>
    <n v="0"/>
    <x v="0"/>
  </r>
  <r>
    <x v="45"/>
    <x v="0"/>
    <x v="47"/>
    <x v="0"/>
    <x v="0"/>
    <x v="0"/>
    <x v="0"/>
    <x v="7"/>
    <n v="0"/>
    <x v="0"/>
  </r>
  <r>
    <x v="45"/>
    <x v="0"/>
    <x v="47"/>
    <x v="0"/>
    <x v="0"/>
    <x v="0"/>
    <x v="0"/>
    <x v="8"/>
    <n v="0"/>
    <x v="0"/>
  </r>
  <r>
    <x v="45"/>
    <x v="0"/>
    <x v="47"/>
    <x v="0"/>
    <x v="0"/>
    <x v="0"/>
    <x v="0"/>
    <x v="9"/>
    <n v="0"/>
    <x v="0"/>
  </r>
  <r>
    <x v="45"/>
    <x v="0"/>
    <x v="47"/>
    <x v="0"/>
    <x v="0"/>
    <x v="0"/>
    <x v="0"/>
    <x v="10"/>
    <n v="0"/>
    <x v="0"/>
  </r>
  <r>
    <x v="45"/>
    <x v="0"/>
    <x v="47"/>
    <x v="0"/>
    <x v="0"/>
    <x v="0"/>
    <x v="0"/>
    <x v="11"/>
    <n v="0"/>
    <x v="0"/>
  </r>
  <r>
    <x v="30"/>
    <x v="0"/>
    <x v="48"/>
    <x v="0"/>
    <x v="0"/>
    <x v="0"/>
    <x v="0"/>
    <x v="0"/>
    <n v="157.80000506045681"/>
    <x v="0"/>
  </r>
  <r>
    <x v="30"/>
    <x v="0"/>
    <x v="48"/>
    <x v="0"/>
    <x v="0"/>
    <x v="0"/>
    <x v="0"/>
    <x v="1"/>
    <n v="296.78609910526558"/>
    <x v="0"/>
  </r>
  <r>
    <x v="30"/>
    <x v="0"/>
    <x v="48"/>
    <x v="0"/>
    <x v="0"/>
    <x v="0"/>
    <x v="0"/>
    <x v="2"/>
    <n v="204.3324990901786"/>
    <x v="0"/>
  </r>
  <r>
    <x v="30"/>
    <x v="0"/>
    <x v="48"/>
    <x v="0"/>
    <x v="0"/>
    <x v="0"/>
    <x v="0"/>
    <x v="3"/>
    <n v="0"/>
    <x v="0"/>
  </r>
  <r>
    <x v="30"/>
    <x v="0"/>
    <x v="48"/>
    <x v="0"/>
    <x v="0"/>
    <x v="0"/>
    <x v="0"/>
    <x v="4"/>
    <n v="0"/>
    <x v="0"/>
  </r>
  <r>
    <x v="30"/>
    <x v="0"/>
    <x v="48"/>
    <x v="0"/>
    <x v="0"/>
    <x v="0"/>
    <x v="0"/>
    <x v="5"/>
    <n v="0"/>
    <x v="0"/>
  </r>
  <r>
    <x v="30"/>
    <x v="0"/>
    <x v="48"/>
    <x v="0"/>
    <x v="0"/>
    <x v="0"/>
    <x v="0"/>
    <x v="6"/>
    <n v="0"/>
    <x v="0"/>
  </r>
  <r>
    <x v="30"/>
    <x v="0"/>
    <x v="48"/>
    <x v="0"/>
    <x v="0"/>
    <x v="0"/>
    <x v="0"/>
    <x v="7"/>
    <n v="0"/>
    <x v="0"/>
  </r>
  <r>
    <x v="30"/>
    <x v="0"/>
    <x v="48"/>
    <x v="0"/>
    <x v="0"/>
    <x v="0"/>
    <x v="0"/>
    <x v="8"/>
    <n v="0"/>
    <x v="0"/>
  </r>
  <r>
    <x v="30"/>
    <x v="0"/>
    <x v="48"/>
    <x v="0"/>
    <x v="0"/>
    <x v="0"/>
    <x v="0"/>
    <x v="9"/>
    <n v="0"/>
    <x v="0"/>
  </r>
  <r>
    <x v="30"/>
    <x v="0"/>
    <x v="48"/>
    <x v="0"/>
    <x v="0"/>
    <x v="0"/>
    <x v="0"/>
    <x v="10"/>
    <n v="0"/>
    <x v="0"/>
  </r>
  <r>
    <x v="30"/>
    <x v="0"/>
    <x v="48"/>
    <x v="0"/>
    <x v="0"/>
    <x v="0"/>
    <x v="0"/>
    <x v="11"/>
    <n v="0"/>
    <x v="0"/>
  </r>
  <r>
    <x v="30"/>
    <x v="0"/>
    <x v="49"/>
    <x v="0"/>
    <x v="0"/>
    <x v="0"/>
    <x v="0"/>
    <x v="0"/>
    <n v="157.80000506045681"/>
    <x v="0"/>
  </r>
  <r>
    <x v="30"/>
    <x v="0"/>
    <x v="49"/>
    <x v="0"/>
    <x v="0"/>
    <x v="0"/>
    <x v="0"/>
    <x v="1"/>
    <n v="296.78609910526558"/>
    <x v="0"/>
  </r>
  <r>
    <x v="30"/>
    <x v="0"/>
    <x v="49"/>
    <x v="0"/>
    <x v="0"/>
    <x v="0"/>
    <x v="0"/>
    <x v="2"/>
    <n v="204.3324990901786"/>
    <x v="0"/>
  </r>
  <r>
    <x v="30"/>
    <x v="0"/>
    <x v="49"/>
    <x v="0"/>
    <x v="0"/>
    <x v="0"/>
    <x v="0"/>
    <x v="3"/>
    <n v="0"/>
    <x v="0"/>
  </r>
  <r>
    <x v="30"/>
    <x v="0"/>
    <x v="49"/>
    <x v="0"/>
    <x v="0"/>
    <x v="0"/>
    <x v="0"/>
    <x v="4"/>
    <n v="0"/>
    <x v="0"/>
  </r>
  <r>
    <x v="30"/>
    <x v="0"/>
    <x v="49"/>
    <x v="0"/>
    <x v="0"/>
    <x v="0"/>
    <x v="0"/>
    <x v="5"/>
    <n v="0"/>
    <x v="0"/>
  </r>
  <r>
    <x v="30"/>
    <x v="0"/>
    <x v="49"/>
    <x v="0"/>
    <x v="0"/>
    <x v="0"/>
    <x v="0"/>
    <x v="6"/>
    <n v="0"/>
    <x v="0"/>
  </r>
  <r>
    <x v="30"/>
    <x v="0"/>
    <x v="49"/>
    <x v="0"/>
    <x v="0"/>
    <x v="0"/>
    <x v="0"/>
    <x v="7"/>
    <n v="0"/>
    <x v="0"/>
  </r>
  <r>
    <x v="30"/>
    <x v="0"/>
    <x v="49"/>
    <x v="0"/>
    <x v="0"/>
    <x v="0"/>
    <x v="0"/>
    <x v="8"/>
    <n v="0"/>
    <x v="0"/>
  </r>
  <r>
    <x v="30"/>
    <x v="0"/>
    <x v="49"/>
    <x v="0"/>
    <x v="0"/>
    <x v="0"/>
    <x v="0"/>
    <x v="9"/>
    <n v="0"/>
    <x v="0"/>
  </r>
  <r>
    <x v="30"/>
    <x v="0"/>
    <x v="49"/>
    <x v="0"/>
    <x v="0"/>
    <x v="0"/>
    <x v="0"/>
    <x v="10"/>
    <n v="0"/>
    <x v="0"/>
  </r>
  <r>
    <x v="30"/>
    <x v="0"/>
    <x v="49"/>
    <x v="0"/>
    <x v="0"/>
    <x v="0"/>
    <x v="0"/>
    <x v="11"/>
    <n v="0"/>
    <x v="0"/>
  </r>
  <r>
    <x v="39"/>
    <x v="0"/>
    <x v="40"/>
    <x v="0"/>
    <x v="0"/>
    <x v="0"/>
    <x v="0"/>
    <x v="0"/>
    <n v="157.80000506045681"/>
    <x v="0"/>
  </r>
  <r>
    <x v="39"/>
    <x v="0"/>
    <x v="40"/>
    <x v="0"/>
    <x v="0"/>
    <x v="0"/>
    <x v="0"/>
    <x v="1"/>
    <n v="296.78609910526558"/>
    <x v="0"/>
  </r>
  <r>
    <x v="39"/>
    <x v="0"/>
    <x v="40"/>
    <x v="0"/>
    <x v="0"/>
    <x v="0"/>
    <x v="0"/>
    <x v="2"/>
    <n v="102.16680681655458"/>
    <x v="0"/>
  </r>
  <r>
    <x v="39"/>
    <x v="0"/>
    <x v="40"/>
    <x v="0"/>
    <x v="0"/>
    <x v="0"/>
    <x v="0"/>
    <x v="3"/>
    <n v="0"/>
    <x v="0"/>
  </r>
  <r>
    <x v="39"/>
    <x v="0"/>
    <x v="40"/>
    <x v="0"/>
    <x v="0"/>
    <x v="0"/>
    <x v="0"/>
    <x v="4"/>
    <n v="0"/>
    <x v="0"/>
  </r>
  <r>
    <x v="39"/>
    <x v="0"/>
    <x v="40"/>
    <x v="0"/>
    <x v="0"/>
    <x v="0"/>
    <x v="0"/>
    <x v="5"/>
    <n v="0"/>
    <x v="0"/>
  </r>
  <r>
    <x v="39"/>
    <x v="0"/>
    <x v="40"/>
    <x v="0"/>
    <x v="0"/>
    <x v="0"/>
    <x v="0"/>
    <x v="6"/>
    <n v="0"/>
    <x v="0"/>
  </r>
  <r>
    <x v="39"/>
    <x v="0"/>
    <x v="40"/>
    <x v="0"/>
    <x v="0"/>
    <x v="0"/>
    <x v="0"/>
    <x v="7"/>
    <n v="0"/>
    <x v="0"/>
  </r>
  <r>
    <x v="39"/>
    <x v="0"/>
    <x v="40"/>
    <x v="0"/>
    <x v="0"/>
    <x v="0"/>
    <x v="0"/>
    <x v="8"/>
    <n v="0"/>
    <x v="0"/>
  </r>
  <r>
    <x v="39"/>
    <x v="0"/>
    <x v="40"/>
    <x v="0"/>
    <x v="0"/>
    <x v="0"/>
    <x v="0"/>
    <x v="9"/>
    <n v="0"/>
    <x v="0"/>
  </r>
  <r>
    <x v="39"/>
    <x v="0"/>
    <x v="40"/>
    <x v="0"/>
    <x v="0"/>
    <x v="0"/>
    <x v="0"/>
    <x v="10"/>
    <n v="0"/>
    <x v="0"/>
  </r>
  <r>
    <x v="39"/>
    <x v="0"/>
    <x v="40"/>
    <x v="0"/>
    <x v="0"/>
    <x v="0"/>
    <x v="0"/>
    <x v="11"/>
    <n v="0"/>
    <x v="0"/>
  </r>
  <r>
    <x v="30"/>
    <x v="0"/>
    <x v="50"/>
    <x v="0"/>
    <x v="0"/>
    <x v="0"/>
    <x v="0"/>
    <x v="0"/>
    <n v="0"/>
    <x v="0"/>
  </r>
  <r>
    <x v="30"/>
    <x v="0"/>
    <x v="50"/>
    <x v="0"/>
    <x v="0"/>
    <x v="0"/>
    <x v="0"/>
    <x v="1"/>
    <n v="0"/>
    <x v="0"/>
  </r>
  <r>
    <x v="30"/>
    <x v="0"/>
    <x v="50"/>
    <x v="0"/>
    <x v="0"/>
    <x v="0"/>
    <x v="0"/>
    <x v="2"/>
    <n v="0"/>
    <x v="0"/>
  </r>
  <r>
    <x v="30"/>
    <x v="0"/>
    <x v="50"/>
    <x v="0"/>
    <x v="0"/>
    <x v="0"/>
    <x v="0"/>
    <x v="3"/>
    <n v="308.17134914893109"/>
    <x v="0"/>
  </r>
  <r>
    <x v="30"/>
    <x v="0"/>
    <x v="50"/>
    <x v="0"/>
    <x v="0"/>
    <x v="0"/>
    <x v="0"/>
    <x v="4"/>
    <n v="0"/>
    <x v="0"/>
  </r>
  <r>
    <x v="30"/>
    <x v="0"/>
    <x v="50"/>
    <x v="0"/>
    <x v="0"/>
    <x v="0"/>
    <x v="0"/>
    <x v="5"/>
    <n v="0"/>
    <x v="0"/>
  </r>
  <r>
    <x v="30"/>
    <x v="0"/>
    <x v="50"/>
    <x v="0"/>
    <x v="0"/>
    <x v="0"/>
    <x v="0"/>
    <x v="6"/>
    <n v="0"/>
    <x v="0"/>
  </r>
  <r>
    <x v="30"/>
    <x v="0"/>
    <x v="50"/>
    <x v="0"/>
    <x v="0"/>
    <x v="0"/>
    <x v="0"/>
    <x v="7"/>
    <n v="0"/>
    <x v="0"/>
  </r>
  <r>
    <x v="30"/>
    <x v="0"/>
    <x v="50"/>
    <x v="0"/>
    <x v="0"/>
    <x v="0"/>
    <x v="0"/>
    <x v="8"/>
    <n v="0"/>
    <x v="0"/>
  </r>
  <r>
    <x v="30"/>
    <x v="0"/>
    <x v="50"/>
    <x v="0"/>
    <x v="0"/>
    <x v="0"/>
    <x v="0"/>
    <x v="9"/>
    <n v="0"/>
    <x v="0"/>
  </r>
  <r>
    <x v="30"/>
    <x v="0"/>
    <x v="50"/>
    <x v="0"/>
    <x v="0"/>
    <x v="0"/>
    <x v="0"/>
    <x v="10"/>
    <n v="0"/>
    <x v="0"/>
  </r>
  <r>
    <x v="30"/>
    <x v="0"/>
    <x v="50"/>
    <x v="0"/>
    <x v="0"/>
    <x v="0"/>
    <x v="0"/>
    <x v="11"/>
    <n v="0"/>
    <x v="0"/>
  </r>
  <r>
    <x v="46"/>
    <x v="1"/>
    <x v="51"/>
    <x v="2"/>
    <x v="2"/>
    <x v="3"/>
    <x v="1"/>
    <x v="0"/>
    <n v="42198.645552370421"/>
    <x v="0"/>
  </r>
  <r>
    <x v="46"/>
    <x v="1"/>
    <x v="51"/>
    <x v="2"/>
    <x v="2"/>
    <x v="3"/>
    <x v="1"/>
    <x v="1"/>
    <n v="0"/>
    <x v="0"/>
  </r>
  <r>
    <x v="46"/>
    <x v="1"/>
    <x v="51"/>
    <x v="2"/>
    <x v="2"/>
    <x v="3"/>
    <x v="1"/>
    <x v="2"/>
    <n v="13886.802564903501"/>
    <x v="0"/>
  </r>
  <r>
    <x v="46"/>
    <x v="1"/>
    <x v="51"/>
    <x v="2"/>
    <x v="2"/>
    <x v="3"/>
    <x v="1"/>
    <x v="3"/>
    <n v="0"/>
    <x v="0"/>
  </r>
  <r>
    <x v="46"/>
    <x v="1"/>
    <x v="51"/>
    <x v="2"/>
    <x v="2"/>
    <x v="3"/>
    <x v="1"/>
    <x v="4"/>
    <n v="0"/>
    <x v="0"/>
  </r>
  <r>
    <x v="46"/>
    <x v="1"/>
    <x v="51"/>
    <x v="2"/>
    <x v="2"/>
    <x v="3"/>
    <x v="1"/>
    <x v="5"/>
    <n v="22741.378119181591"/>
    <x v="0"/>
  </r>
  <r>
    <x v="46"/>
    <x v="1"/>
    <x v="51"/>
    <x v="2"/>
    <x v="2"/>
    <x v="3"/>
    <x v="1"/>
    <x v="6"/>
    <n v="0"/>
    <x v="0"/>
  </r>
  <r>
    <x v="46"/>
    <x v="1"/>
    <x v="51"/>
    <x v="2"/>
    <x v="2"/>
    <x v="3"/>
    <x v="1"/>
    <x v="7"/>
    <n v="7618.3934047992707"/>
    <x v="0"/>
  </r>
  <r>
    <x v="46"/>
    <x v="1"/>
    <x v="51"/>
    <x v="2"/>
    <x v="2"/>
    <x v="3"/>
    <x v="1"/>
    <x v="8"/>
    <n v="0"/>
    <x v="0"/>
  </r>
  <r>
    <x v="46"/>
    <x v="1"/>
    <x v="51"/>
    <x v="2"/>
    <x v="2"/>
    <x v="3"/>
    <x v="1"/>
    <x v="9"/>
    <n v="0"/>
    <x v="0"/>
  </r>
  <r>
    <x v="46"/>
    <x v="1"/>
    <x v="51"/>
    <x v="2"/>
    <x v="2"/>
    <x v="3"/>
    <x v="1"/>
    <x v="10"/>
    <n v="0"/>
    <x v="0"/>
  </r>
  <r>
    <x v="46"/>
    <x v="1"/>
    <x v="51"/>
    <x v="2"/>
    <x v="2"/>
    <x v="3"/>
    <x v="1"/>
    <x v="11"/>
    <n v="0"/>
    <x v="0"/>
  </r>
  <r>
    <x v="30"/>
    <x v="2"/>
    <x v="52"/>
    <x v="2"/>
    <x v="2"/>
    <x v="3"/>
    <x v="0"/>
    <x v="0"/>
    <n v="0"/>
    <x v="0"/>
  </r>
  <r>
    <x v="30"/>
    <x v="2"/>
    <x v="52"/>
    <x v="2"/>
    <x v="2"/>
    <x v="3"/>
    <x v="0"/>
    <x v="1"/>
    <n v="0"/>
    <x v="0"/>
  </r>
  <r>
    <x v="30"/>
    <x v="2"/>
    <x v="52"/>
    <x v="2"/>
    <x v="2"/>
    <x v="3"/>
    <x v="0"/>
    <x v="2"/>
    <n v="0"/>
    <x v="0"/>
  </r>
  <r>
    <x v="30"/>
    <x v="2"/>
    <x v="52"/>
    <x v="2"/>
    <x v="2"/>
    <x v="3"/>
    <x v="0"/>
    <x v="3"/>
    <n v="0"/>
    <x v="0"/>
  </r>
  <r>
    <x v="30"/>
    <x v="2"/>
    <x v="52"/>
    <x v="2"/>
    <x v="2"/>
    <x v="3"/>
    <x v="0"/>
    <x v="4"/>
    <n v="0"/>
    <x v="0"/>
  </r>
  <r>
    <x v="30"/>
    <x v="2"/>
    <x v="52"/>
    <x v="2"/>
    <x v="2"/>
    <x v="3"/>
    <x v="0"/>
    <x v="5"/>
    <n v="0"/>
    <x v="0"/>
  </r>
  <r>
    <x v="30"/>
    <x v="2"/>
    <x v="52"/>
    <x v="2"/>
    <x v="2"/>
    <x v="3"/>
    <x v="0"/>
    <x v="6"/>
    <n v="0"/>
    <x v="0"/>
  </r>
  <r>
    <x v="30"/>
    <x v="2"/>
    <x v="52"/>
    <x v="2"/>
    <x v="2"/>
    <x v="3"/>
    <x v="0"/>
    <x v="7"/>
    <n v="17428.477604513319"/>
    <x v="0"/>
  </r>
  <r>
    <x v="30"/>
    <x v="2"/>
    <x v="52"/>
    <x v="2"/>
    <x v="2"/>
    <x v="3"/>
    <x v="0"/>
    <x v="8"/>
    <n v="0"/>
    <x v="0"/>
  </r>
  <r>
    <x v="30"/>
    <x v="2"/>
    <x v="52"/>
    <x v="2"/>
    <x v="2"/>
    <x v="3"/>
    <x v="0"/>
    <x v="9"/>
    <n v="0"/>
    <x v="0"/>
  </r>
  <r>
    <x v="30"/>
    <x v="2"/>
    <x v="52"/>
    <x v="2"/>
    <x v="2"/>
    <x v="3"/>
    <x v="0"/>
    <x v="10"/>
    <n v="0"/>
    <x v="0"/>
  </r>
  <r>
    <x v="30"/>
    <x v="2"/>
    <x v="52"/>
    <x v="2"/>
    <x v="2"/>
    <x v="3"/>
    <x v="0"/>
    <x v="11"/>
    <n v="0"/>
    <x v="0"/>
  </r>
  <r>
    <x v="30"/>
    <x v="2"/>
    <x v="53"/>
    <x v="0"/>
    <x v="2"/>
    <x v="3"/>
    <x v="0"/>
    <x v="0"/>
    <n v="0"/>
    <x v="0"/>
  </r>
  <r>
    <x v="30"/>
    <x v="2"/>
    <x v="53"/>
    <x v="0"/>
    <x v="2"/>
    <x v="3"/>
    <x v="0"/>
    <x v="1"/>
    <n v="0"/>
    <x v="0"/>
  </r>
  <r>
    <x v="30"/>
    <x v="2"/>
    <x v="53"/>
    <x v="0"/>
    <x v="2"/>
    <x v="3"/>
    <x v="0"/>
    <x v="2"/>
    <n v="0"/>
    <x v="0"/>
  </r>
  <r>
    <x v="30"/>
    <x v="2"/>
    <x v="53"/>
    <x v="0"/>
    <x v="2"/>
    <x v="3"/>
    <x v="0"/>
    <x v="3"/>
    <n v="0"/>
    <x v="0"/>
  </r>
  <r>
    <x v="30"/>
    <x v="2"/>
    <x v="53"/>
    <x v="0"/>
    <x v="2"/>
    <x v="3"/>
    <x v="0"/>
    <x v="4"/>
    <n v="0"/>
    <x v="0"/>
  </r>
  <r>
    <x v="30"/>
    <x v="2"/>
    <x v="53"/>
    <x v="0"/>
    <x v="2"/>
    <x v="3"/>
    <x v="0"/>
    <x v="5"/>
    <n v="0"/>
    <x v="0"/>
  </r>
  <r>
    <x v="30"/>
    <x v="2"/>
    <x v="53"/>
    <x v="0"/>
    <x v="2"/>
    <x v="3"/>
    <x v="0"/>
    <x v="6"/>
    <n v="0"/>
    <x v="0"/>
  </r>
  <r>
    <x v="30"/>
    <x v="2"/>
    <x v="53"/>
    <x v="0"/>
    <x v="2"/>
    <x v="3"/>
    <x v="0"/>
    <x v="7"/>
    <n v="0"/>
    <x v="0"/>
  </r>
  <r>
    <x v="30"/>
    <x v="2"/>
    <x v="53"/>
    <x v="0"/>
    <x v="2"/>
    <x v="3"/>
    <x v="0"/>
    <x v="8"/>
    <n v="0"/>
    <x v="0"/>
  </r>
  <r>
    <x v="30"/>
    <x v="2"/>
    <x v="53"/>
    <x v="0"/>
    <x v="2"/>
    <x v="3"/>
    <x v="0"/>
    <x v="9"/>
    <n v="0"/>
    <x v="0"/>
  </r>
  <r>
    <x v="30"/>
    <x v="2"/>
    <x v="53"/>
    <x v="0"/>
    <x v="2"/>
    <x v="3"/>
    <x v="0"/>
    <x v="10"/>
    <n v="0"/>
    <x v="0"/>
  </r>
  <r>
    <x v="30"/>
    <x v="2"/>
    <x v="53"/>
    <x v="0"/>
    <x v="2"/>
    <x v="3"/>
    <x v="0"/>
    <x v="11"/>
    <n v="0"/>
    <x v="0"/>
  </r>
  <r>
    <x v="30"/>
    <x v="2"/>
    <x v="54"/>
    <x v="0"/>
    <x v="2"/>
    <x v="3"/>
    <x v="0"/>
    <x v="0"/>
    <n v="0"/>
    <x v="0"/>
  </r>
  <r>
    <x v="30"/>
    <x v="2"/>
    <x v="54"/>
    <x v="0"/>
    <x v="2"/>
    <x v="3"/>
    <x v="0"/>
    <x v="1"/>
    <n v="0"/>
    <x v="0"/>
  </r>
  <r>
    <x v="30"/>
    <x v="2"/>
    <x v="54"/>
    <x v="0"/>
    <x v="2"/>
    <x v="3"/>
    <x v="0"/>
    <x v="2"/>
    <n v="0"/>
    <x v="0"/>
  </r>
  <r>
    <x v="30"/>
    <x v="2"/>
    <x v="54"/>
    <x v="0"/>
    <x v="2"/>
    <x v="3"/>
    <x v="0"/>
    <x v="3"/>
    <n v="0"/>
    <x v="0"/>
  </r>
  <r>
    <x v="30"/>
    <x v="2"/>
    <x v="54"/>
    <x v="0"/>
    <x v="2"/>
    <x v="3"/>
    <x v="0"/>
    <x v="4"/>
    <n v="0"/>
    <x v="0"/>
  </r>
  <r>
    <x v="30"/>
    <x v="2"/>
    <x v="54"/>
    <x v="0"/>
    <x v="2"/>
    <x v="3"/>
    <x v="0"/>
    <x v="5"/>
    <n v="0"/>
    <x v="0"/>
  </r>
  <r>
    <x v="30"/>
    <x v="2"/>
    <x v="54"/>
    <x v="0"/>
    <x v="2"/>
    <x v="3"/>
    <x v="0"/>
    <x v="6"/>
    <n v="0"/>
    <x v="0"/>
  </r>
  <r>
    <x v="30"/>
    <x v="2"/>
    <x v="54"/>
    <x v="0"/>
    <x v="2"/>
    <x v="3"/>
    <x v="0"/>
    <x v="7"/>
    <n v="0"/>
    <x v="0"/>
  </r>
  <r>
    <x v="30"/>
    <x v="2"/>
    <x v="54"/>
    <x v="0"/>
    <x v="2"/>
    <x v="3"/>
    <x v="0"/>
    <x v="8"/>
    <n v="0"/>
    <x v="0"/>
  </r>
  <r>
    <x v="30"/>
    <x v="2"/>
    <x v="54"/>
    <x v="0"/>
    <x v="2"/>
    <x v="3"/>
    <x v="0"/>
    <x v="9"/>
    <n v="0"/>
    <x v="0"/>
  </r>
  <r>
    <x v="30"/>
    <x v="2"/>
    <x v="54"/>
    <x v="0"/>
    <x v="2"/>
    <x v="3"/>
    <x v="0"/>
    <x v="10"/>
    <n v="0"/>
    <x v="0"/>
  </r>
  <r>
    <x v="30"/>
    <x v="2"/>
    <x v="54"/>
    <x v="0"/>
    <x v="2"/>
    <x v="3"/>
    <x v="0"/>
    <x v="11"/>
    <n v="0"/>
    <x v="0"/>
  </r>
  <r>
    <x v="30"/>
    <x v="1"/>
    <x v="55"/>
    <x v="2"/>
    <x v="2"/>
    <x v="3"/>
    <x v="0"/>
    <x v="0"/>
    <n v="0"/>
    <x v="0"/>
  </r>
  <r>
    <x v="30"/>
    <x v="1"/>
    <x v="55"/>
    <x v="2"/>
    <x v="2"/>
    <x v="3"/>
    <x v="0"/>
    <x v="1"/>
    <n v="0"/>
    <x v="0"/>
  </r>
  <r>
    <x v="30"/>
    <x v="1"/>
    <x v="55"/>
    <x v="2"/>
    <x v="2"/>
    <x v="3"/>
    <x v="0"/>
    <x v="2"/>
    <n v="0"/>
    <x v="0"/>
  </r>
  <r>
    <x v="30"/>
    <x v="1"/>
    <x v="55"/>
    <x v="2"/>
    <x v="2"/>
    <x v="3"/>
    <x v="0"/>
    <x v="3"/>
    <n v="0"/>
    <x v="0"/>
  </r>
  <r>
    <x v="30"/>
    <x v="1"/>
    <x v="55"/>
    <x v="2"/>
    <x v="2"/>
    <x v="3"/>
    <x v="0"/>
    <x v="4"/>
    <n v="0"/>
    <x v="0"/>
  </r>
  <r>
    <x v="30"/>
    <x v="1"/>
    <x v="55"/>
    <x v="2"/>
    <x v="2"/>
    <x v="3"/>
    <x v="0"/>
    <x v="5"/>
    <n v="0"/>
    <x v="0"/>
  </r>
  <r>
    <x v="30"/>
    <x v="1"/>
    <x v="55"/>
    <x v="2"/>
    <x v="2"/>
    <x v="3"/>
    <x v="0"/>
    <x v="6"/>
    <n v="0"/>
    <x v="0"/>
  </r>
  <r>
    <x v="30"/>
    <x v="1"/>
    <x v="55"/>
    <x v="2"/>
    <x v="2"/>
    <x v="3"/>
    <x v="0"/>
    <x v="7"/>
    <n v="0"/>
    <x v="0"/>
  </r>
  <r>
    <x v="30"/>
    <x v="1"/>
    <x v="55"/>
    <x v="2"/>
    <x v="2"/>
    <x v="3"/>
    <x v="0"/>
    <x v="8"/>
    <n v="0"/>
    <x v="0"/>
  </r>
  <r>
    <x v="30"/>
    <x v="1"/>
    <x v="55"/>
    <x v="2"/>
    <x v="2"/>
    <x v="3"/>
    <x v="0"/>
    <x v="9"/>
    <n v="0"/>
    <x v="0"/>
  </r>
  <r>
    <x v="30"/>
    <x v="1"/>
    <x v="55"/>
    <x v="2"/>
    <x v="2"/>
    <x v="3"/>
    <x v="0"/>
    <x v="10"/>
    <n v="0"/>
    <x v="0"/>
  </r>
  <r>
    <x v="30"/>
    <x v="1"/>
    <x v="55"/>
    <x v="2"/>
    <x v="2"/>
    <x v="3"/>
    <x v="0"/>
    <x v="11"/>
    <n v="0"/>
    <x v="0"/>
  </r>
  <r>
    <x v="30"/>
    <x v="2"/>
    <x v="56"/>
    <x v="0"/>
    <x v="2"/>
    <x v="3"/>
    <x v="0"/>
    <x v="0"/>
    <n v="0"/>
    <x v="0"/>
  </r>
  <r>
    <x v="30"/>
    <x v="2"/>
    <x v="56"/>
    <x v="0"/>
    <x v="2"/>
    <x v="3"/>
    <x v="0"/>
    <x v="1"/>
    <n v="0"/>
    <x v="0"/>
  </r>
  <r>
    <x v="30"/>
    <x v="2"/>
    <x v="56"/>
    <x v="0"/>
    <x v="2"/>
    <x v="3"/>
    <x v="0"/>
    <x v="2"/>
    <n v="0"/>
    <x v="0"/>
  </r>
  <r>
    <x v="30"/>
    <x v="2"/>
    <x v="56"/>
    <x v="0"/>
    <x v="2"/>
    <x v="3"/>
    <x v="0"/>
    <x v="3"/>
    <n v="0"/>
    <x v="0"/>
  </r>
  <r>
    <x v="30"/>
    <x v="2"/>
    <x v="56"/>
    <x v="0"/>
    <x v="2"/>
    <x v="3"/>
    <x v="0"/>
    <x v="4"/>
    <n v="0"/>
    <x v="0"/>
  </r>
  <r>
    <x v="30"/>
    <x v="2"/>
    <x v="56"/>
    <x v="0"/>
    <x v="2"/>
    <x v="3"/>
    <x v="0"/>
    <x v="5"/>
    <n v="0"/>
    <x v="0"/>
  </r>
  <r>
    <x v="30"/>
    <x v="2"/>
    <x v="56"/>
    <x v="0"/>
    <x v="2"/>
    <x v="3"/>
    <x v="0"/>
    <x v="6"/>
    <n v="0"/>
    <x v="0"/>
  </r>
  <r>
    <x v="30"/>
    <x v="2"/>
    <x v="56"/>
    <x v="0"/>
    <x v="2"/>
    <x v="3"/>
    <x v="0"/>
    <x v="7"/>
    <n v="0"/>
    <x v="0"/>
  </r>
  <r>
    <x v="30"/>
    <x v="2"/>
    <x v="56"/>
    <x v="0"/>
    <x v="2"/>
    <x v="3"/>
    <x v="0"/>
    <x v="8"/>
    <n v="16820.505166479579"/>
    <x v="0"/>
  </r>
  <r>
    <x v="30"/>
    <x v="2"/>
    <x v="56"/>
    <x v="0"/>
    <x v="2"/>
    <x v="3"/>
    <x v="0"/>
    <x v="9"/>
    <n v="0"/>
    <x v="0"/>
  </r>
  <r>
    <x v="30"/>
    <x v="2"/>
    <x v="56"/>
    <x v="0"/>
    <x v="2"/>
    <x v="3"/>
    <x v="0"/>
    <x v="10"/>
    <n v="0"/>
    <x v="0"/>
  </r>
  <r>
    <x v="30"/>
    <x v="2"/>
    <x v="56"/>
    <x v="0"/>
    <x v="2"/>
    <x v="3"/>
    <x v="0"/>
    <x v="11"/>
    <n v="0"/>
    <x v="0"/>
  </r>
  <r>
    <x v="30"/>
    <x v="2"/>
    <x v="57"/>
    <x v="0"/>
    <x v="2"/>
    <x v="3"/>
    <x v="0"/>
    <x v="0"/>
    <n v="0"/>
    <x v="0"/>
  </r>
  <r>
    <x v="30"/>
    <x v="2"/>
    <x v="57"/>
    <x v="0"/>
    <x v="2"/>
    <x v="3"/>
    <x v="0"/>
    <x v="1"/>
    <n v="0"/>
    <x v="0"/>
  </r>
  <r>
    <x v="30"/>
    <x v="2"/>
    <x v="57"/>
    <x v="0"/>
    <x v="2"/>
    <x v="3"/>
    <x v="0"/>
    <x v="2"/>
    <n v="0"/>
    <x v="0"/>
  </r>
  <r>
    <x v="30"/>
    <x v="2"/>
    <x v="57"/>
    <x v="0"/>
    <x v="2"/>
    <x v="3"/>
    <x v="0"/>
    <x v="3"/>
    <n v="0"/>
    <x v="0"/>
  </r>
  <r>
    <x v="30"/>
    <x v="2"/>
    <x v="57"/>
    <x v="0"/>
    <x v="2"/>
    <x v="3"/>
    <x v="0"/>
    <x v="4"/>
    <n v="0"/>
    <x v="0"/>
  </r>
  <r>
    <x v="30"/>
    <x v="2"/>
    <x v="57"/>
    <x v="0"/>
    <x v="2"/>
    <x v="3"/>
    <x v="0"/>
    <x v="5"/>
    <n v="0"/>
    <x v="0"/>
  </r>
  <r>
    <x v="30"/>
    <x v="2"/>
    <x v="57"/>
    <x v="0"/>
    <x v="2"/>
    <x v="3"/>
    <x v="0"/>
    <x v="6"/>
    <n v="0"/>
    <x v="0"/>
  </r>
  <r>
    <x v="30"/>
    <x v="2"/>
    <x v="57"/>
    <x v="0"/>
    <x v="2"/>
    <x v="3"/>
    <x v="0"/>
    <x v="7"/>
    <n v="0"/>
    <x v="0"/>
  </r>
  <r>
    <x v="30"/>
    <x v="2"/>
    <x v="57"/>
    <x v="0"/>
    <x v="2"/>
    <x v="3"/>
    <x v="0"/>
    <x v="8"/>
    <n v="0"/>
    <x v="0"/>
  </r>
  <r>
    <x v="30"/>
    <x v="2"/>
    <x v="57"/>
    <x v="0"/>
    <x v="2"/>
    <x v="3"/>
    <x v="0"/>
    <x v="9"/>
    <n v="0"/>
    <x v="0"/>
  </r>
  <r>
    <x v="30"/>
    <x v="2"/>
    <x v="57"/>
    <x v="0"/>
    <x v="2"/>
    <x v="3"/>
    <x v="0"/>
    <x v="10"/>
    <n v="0"/>
    <x v="0"/>
  </r>
  <r>
    <x v="30"/>
    <x v="2"/>
    <x v="57"/>
    <x v="0"/>
    <x v="2"/>
    <x v="3"/>
    <x v="0"/>
    <x v="11"/>
    <n v="0"/>
    <x v="0"/>
  </r>
  <r>
    <x v="30"/>
    <x v="2"/>
    <x v="58"/>
    <x v="0"/>
    <x v="2"/>
    <x v="3"/>
    <x v="0"/>
    <x v="0"/>
    <n v="0"/>
    <x v="0"/>
  </r>
  <r>
    <x v="30"/>
    <x v="2"/>
    <x v="58"/>
    <x v="0"/>
    <x v="2"/>
    <x v="3"/>
    <x v="0"/>
    <x v="1"/>
    <n v="0"/>
    <x v="0"/>
  </r>
  <r>
    <x v="30"/>
    <x v="2"/>
    <x v="58"/>
    <x v="0"/>
    <x v="2"/>
    <x v="3"/>
    <x v="0"/>
    <x v="2"/>
    <n v="0"/>
    <x v="0"/>
  </r>
  <r>
    <x v="30"/>
    <x v="2"/>
    <x v="58"/>
    <x v="0"/>
    <x v="2"/>
    <x v="3"/>
    <x v="0"/>
    <x v="3"/>
    <n v="0"/>
    <x v="0"/>
  </r>
  <r>
    <x v="30"/>
    <x v="2"/>
    <x v="58"/>
    <x v="0"/>
    <x v="2"/>
    <x v="3"/>
    <x v="0"/>
    <x v="4"/>
    <n v="0"/>
    <x v="0"/>
  </r>
  <r>
    <x v="30"/>
    <x v="2"/>
    <x v="58"/>
    <x v="0"/>
    <x v="2"/>
    <x v="3"/>
    <x v="0"/>
    <x v="5"/>
    <n v="0"/>
    <x v="0"/>
  </r>
  <r>
    <x v="30"/>
    <x v="2"/>
    <x v="58"/>
    <x v="0"/>
    <x v="2"/>
    <x v="3"/>
    <x v="0"/>
    <x v="6"/>
    <n v="0"/>
    <x v="0"/>
  </r>
  <r>
    <x v="30"/>
    <x v="2"/>
    <x v="58"/>
    <x v="0"/>
    <x v="2"/>
    <x v="3"/>
    <x v="0"/>
    <x v="7"/>
    <n v="0"/>
    <x v="0"/>
  </r>
  <r>
    <x v="30"/>
    <x v="2"/>
    <x v="58"/>
    <x v="0"/>
    <x v="2"/>
    <x v="3"/>
    <x v="0"/>
    <x v="8"/>
    <n v="0"/>
    <x v="0"/>
  </r>
  <r>
    <x v="30"/>
    <x v="2"/>
    <x v="58"/>
    <x v="0"/>
    <x v="2"/>
    <x v="3"/>
    <x v="0"/>
    <x v="9"/>
    <n v="0"/>
    <x v="0"/>
  </r>
  <r>
    <x v="30"/>
    <x v="2"/>
    <x v="58"/>
    <x v="0"/>
    <x v="2"/>
    <x v="3"/>
    <x v="0"/>
    <x v="10"/>
    <n v="0"/>
    <x v="0"/>
  </r>
  <r>
    <x v="30"/>
    <x v="2"/>
    <x v="58"/>
    <x v="0"/>
    <x v="2"/>
    <x v="3"/>
    <x v="0"/>
    <x v="11"/>
    <n v="0"/>
    <x v="0"/>
  </r>
  <r>
    <x v="47"/>
    <x v="0"/>
    <x v="59"/>
    <x v="0"/>
    <x v="0"/>
    <x v="0"/>
    <x v="0"/>
    <x v="0"/>
    <n v="1462.6463805211481"/>
    <x v="0"/>
  </r>
  <r>
    <x v="47"/>
    <x v="0"/>
    <x v="59"/>
    <x v="0"/>
    <x v="0"/>
    <x v="0"/>
    <x v="0"/>
    <x v="1"/>
    <n v="720.92548762539332"/>
    <x v="0"/>
  </r>
  <r>
    <x v="47"/>
    <x v="0"/>
    <x v="59"/>
    <x v="0"/>
    <x v="0"/>
    <x v="0"/>
    <x v="0"/>
    <x v="2"/>
    <n v="0"/>
    <x v="0"/>
  </r>
  <r>
    <x v="47"/>
    <x v="0"/>
    <x v="59"/>
    <x v="0"/>
    <x v="0"/>
    <x v="0"/>
    <x v="0"/>
    <x v="3"/>
    <n v="561.93443026292016"/>
    <x v="0"/>
  </r>
  <r>
    <x v="47"/>
    <x v="0"/>
    <x v="59"/>
    <x v="0"/>
    <x v="0"/>
    <x v="0"/>
    <x v="0"/>
    <x v="4"/>
    <n v="0"/>
    <x v="0"/>
  </r>
  <r>
    <x v="47"/>
    <x v="0"/>
    <x v="59"/>
    <x v="0"/>
    <x v="0"/>
    <x v="0"/>
    <x v="0"/>
    <x v="5"/>
    <n v="0"/>
    <x v="0"/>
  </r>
  <r>
    <x v="47"/>
    <x v="0"/>
    <x v="59"/>
    <x v="0"/>
    <x v="0"/>
    <x v="0"/>
    <x v="0"/>
    <x v="6"/>
    <n v="0"/>
    <x v="0"/>
  </r>
  <r>
    <x v="47"/>
    <x v="0"/>
    <x v="59"/>
    <x v="0"/>
    <x v="0"/>
    <x v="0"/>
    <x v="0"/>
    <x v="7"/>
    <n v="0"/>
    <x v="0"/>
  </r>
  <r>
    <x v="47"/>
    <x v="0"/>
    <x v="59"/>
    <x v="0"/>
    <x v="0"/>
    <x v="0"/>
    <x v="0"/>
    <x v="8"/>
    <n v="0"/>
    <x v="0"/>
  </r>
  <r>
    <x v="47"/>
    <x v="0"/>
    <x v="59"/>
    <x v="0"/>
    <x v="0"/>
    <x v="0"/>
    <x v="0"/>
    <x v="9"/>
    <n v="0"/>
    <x v="0"/>
  </r>
  <r>
    <x v="47"/>
    <x v="0"/>
    <x v="59"/>
    <x v="0"/>
    <x v="0"/>
    <x v="0"/>
    <x v="0"/>
    <x v="10"/>
    <n v="0"/>
    <x v="0"/>
  </r>
  <r>
    <x v="47"/>
    <x v="0"/>
    <x v="59"/>
    <x v="0"/>
    <x v="0"/>
    <x v="0"/>
    <x v="0"/>
    <x v="11"/>
    <n v="0"/>
    <x v="0"/>
  </r>
  <r>
    <x v="48"/>
    <x v="0"/>
    <x v="60"/>
    <x v="0"/>
    <x v="0"/>
    <x v="0"/>
    <x v="2"/>
    <x v="0"/>
    <n v="8284.5209769764242"/>
    <x v="0"/>
  </r>
  <r>
    <x v="48"/>
    <x v="0"/>
    <x v="60"/>
    <x v="0"/>
    <x v="0"/>
    <x v="0"/>
    <x v="2"/>
    <x v="1"/>
    <n v="8166.7343177433777"/>
    <x v="0"/>
  </r>
  <r>
    <x v="48"/>
    <x v="0"/>
    <x v="60"/>
    <x v="0"/>
    <x v="0"/>
    <x v="0"/>
    <x v="2"/>
    <x v="2"/>
    <n v="7734.5434208443294"/>
    <x v="0"/>
  </r>
  <r>
    <x v="48"/>
    <x v="0"/>
    <x v="60"/>
    <x v="0"/>
    <x v="0"/>
    <x v="0"/>
    <x v="2"/>
    <x v="3"/>
    <n v="8554.411375912503"/>
    <x v="0"/>
  </r>
  <r>
    <x v="48"/>
    <x v="0"/>
    <x v="60"/>
    <x v="0"/>
    <x v="0"/>
    <x v="0"/>
    <x v="2"/>
    <x v="4"/>
    <n v="9104.4462231917751"/>
    <x v="0"/>
  </r>
  <r>
    <x v="48"/>
    <x v="0"/>
    <x v="60"/>
    <x v="0"/>
    <x v="0"/>
    <x v="0"/>
    <x v="2"/>
    <x v="5"/>
    <n v="0"/>
    <x v="0"/>
  </r>
  <r>
    <x v="48"/>
    <x v="0"/>
    <x v="60"/>
    <x v="0"/>
    <x v="0"/>
    <x v="0"/>
    <x v="2"/>
    <x v="6"/>
    <n v="15566.365147193686"/>
    <x v="0"/>
  </r>
  <r>
    <x v="48"/>
    <x v="0"/>
    <x v="60"/>
    <x v="0"/>
    <x v="0"/>
    <x v="0"/>
    <x v="2"/>
    <x v="7"/>
    <n v="7771.6027820444951"/>
    <x v="0"/>
  </r>
  <r>
    <x v="48"/>
    <x v="0"/>
    <x v="60"/>
    <x v="0"/>
    <x v="0"/>
    <x v="0"/>
    <x v="2"/>
    <x v="8"/>
    <n v="9423.2521941062078"/>
    <x v="0"/>
  </r>
  <r>
    <x v="48"/>
    <x v="0"/>
    <x v="60"/>
    <x v="0"/>
    <x v="0"/>
    <x v="0"/>
    <x v="2"/>
    <x v="9"/>
    <n v="11264.729564375555"/>
    <x v="0"/>
  </r>
  <r>
    <x v="48"/>
    <x v="0"/>
    <x v="60"/>
    <x v="0"/>
    <x v="0"/>
    <x v="0"/>
    <x v="2"/>
    <x v="10"/>
    <n v="11264.729564375555"/>
    <x v="0"/>
  </r>
  <r>
    <x v="48"/>
    <x v="0"/>
    <x v="60"/>
    <x v="0"/>
    <x v="0"/>
    <x v="0"/>
    <x v="2"/>
    <x v="11"/>
    <n v="11264.729564375555"/>
    <x v="0"/>
  </r>
  <r>
    <x v="48"/>
    <x v="0"/>
    <x v="60"/>
    <x v="0"/>
    <x v="0"/>
    <x v="0"/>
    <x v="2"/>
    <x v="0"/>
    <n v="1421.030864647802"/>
    <x v="0"/>
  </r>
  <r>
    <x v="48"/>
    <x v="0"/>
    <x v="60"/>
    <x v="0"/>
    <x v="0"/>
    <x v="0"/>
    <x v="2"/>
    <x v="1"/>
    <n v="1522.5577998970762"/>
    <x v="0"/>
  </r>
  <r>
    <x v="48"/>
    <x v="0"/>
    <x v="60"/>
    <x v="0"/>
    <x v="0"/>
    <x v="0"/>
    <x v="2"/>
    <x v="2"/>
    <n v="1418.2480773497332"/>
    <x v="0"/>
  </r>
  <r>
    <x v="48"/>
    <x v="0"/>
    <x v="60"/>
    <x v="0"/>
    <x v="0"/>
    <x v="0"/>
    <x v="2"/>
    <x v="3"/>
    <n v="994.69329244578125"/>
    <x v="0"/>
  </r>
  <r>
    <x v="48"/>
    <x v="0"/>
    <x v="60"/>
    <x v="0"/>
    <x v="0"/>
    <x v="0"/>
    <x v="2"/>
    <x v="4"/>
    <n v="1493.7902501678964"/>
    <x v="0"/>
  </r>
  <r>
    <x v="48"/>
    <x v="0"/>
    <x v="60"/>
    <x v="0"/>
    <x v="0"/>
    <x v="0"/>
    <x v="2"/>
    <x v="5"/>
    <n v="0"/>
    <x v="0"/>
  </r>
  <r>
    <x v="48"/>
    <x v="0"/>
    <x v="60"/>
    <x v="0"/>
    <x v="0"/>
    <x v="0"/>
    <x v="2"/>
    <x v="6"/>
    <n v="1385.6391081871823"/>
    <x v="0"/>
  </r>
  <r>
    <x v="48"/>
    <x v="0"/>
    <x v="60"/>
    <x v="0"/>
    <x v="0"/>
    <x v="0"/>
    <x v="2"/>
    <x v="7"/>
    <n v="2903.1743682371371"/>
    <x v="0"/>
  </r>
  <r>
    <x v="48"/>
    <x v="0"/>
    <x v="60"/>
    <x v="0"/>
    <x v="0"/>
    <x v="0"/>
    <x v="2"/>
    <x v="8"/>
    <n v="0"/>
    <x v="0"/>
  </r>
  <r>
    <x v="48"/>
    <x v="0"/>
    <x v="60"/>
    <x v="0"/>
    <x v="0"/>
    <x v="0"/>
    <x v="2"/>
    <x v="9"/>
    <n v="2259.4660864388347"/>
    <x v="0"/>
  </r>
  <r>
    <x v="48"/>
    <x v="0"/>
    <x v="60"/>
    <x v="0"/>
    <x v="0"/>
    <x v="0"/>
    <x v="2"/>
    <x v="10"/>
    <n v="2259.4660864388347"/>
    <x v="0"/>
  </r>
  <r>
    <x v="48"/>
    <x v="0"/>
    <x v="60"/>
    <x v="0"/>
    <x v="0"/>
    <x v="0"/>
    <x v="2"/>
    <x v="11"/>
    <n v="2259.4660864388347"/>
    <x v="0"/>
  </r>
  <r>
    <x v="48"/>
    <x v="0"/>
    <x v="60"/>
    <x v="0"/>
    <x v="0"/>
    <x v="0"/>
    <x v="2"/>
    <x v="0"/>
    <n v="0"/>
    <x v="0"/>
  </r>
  <r>
    <x v="48"/>
    <x v="0"/>
    <x v="60"/>
    <x v="0"/>
    <x v="0"/>
    <x v="0"/>
    <x v="2"/>
    <x v="1"/>
    <n v="1467.753278836298"/>
    <x v="0"/>
  </r>
  <r>
    <x v="48"/>
    <x v="0"/>
    <x v="60"/>
    <x v="0"/>
    <x v="0"/>
    <x v="0"/>
    <x v="2"/>
    <x v="2"/>
    <n v="0"/>
    <x v="0"/>
  </r>
  <r>
    <x v="48"/>
    <x v="0"/>
    <x v="60"/>
    <x v="0"/>
    <x v="0"/>
    <x v="0"/>
    <x v="2"/>
    <x v="3"/>
    <n v="0"/>
    <x v="0"/>
  </r>
  <r>
    <x v="48"/>
    <x v="0"/>
    <x v="60"/>
    <x v="0"/>
    <x v="0"/>
    <x v="0"/>
    <x v="2"/>
    <x v="4"/>
    <n v="260.87985968628828"/>
    <x v="0"/>
  </r>
  <r>
    <x v="48"/>
    <x v="0"/>
    <x v="60"/>
    <x v="0"/>
    <x v="0"/>
    <x v="0"/>
    <x v="2"/>
    <x v="5"/>
    <n v="0"/>
    <x v="0"/>
  </r>
  <r>
    <x v="48"/>
    <x v="0"/>
    <x v="60"/>
    <x v="0"/>
    <x v="0"/>
    <x v="0"/>
    <x v="2"/>
    <x v="6"/>
    <n v="0"/>
    <x v="0"/>
  </r>
  <r>
    <x v="48"/>
    <x v="0"/>
    <x v="60"/>
    <x v="0"/>
    <x v="0"/>
    <x v="0"/>
    <x v="2"/>
    <x v="7"/>
    <n v="0"/>
    <x v="0"/>
  </r>
  <r>
    <x v="48"/>
    <x v="0"/>
    <x v="60"/>
    <x v="0"/>
    <x v="0"/>
    <x v="0"/>
    <x v="2"/>
    <x v="8"/>
    <n v="0"/>
    <x v="0"/>
  </r>
  <r>
    <x v="48"/>
    <x v="0"/>
    <x v="60"/>
    <x v="0"/>
    <x v="0"/>
    <x v="0"/>
    <x v="2"/>
    <x v="9"/>
    <n v="0"/>
    <x v="0"/>
  </r>
  <r>
    <x v="48"/>
    <x v="0"/>
    <x v="60"/>
    <x v="0"/>
    <x v="0"/>
    <x v="0"/>
    <x v="2"/>
    <x v="10"/>
    <n v="0"/>
    <x v="0"/>
  </r>
  <r>
    <x v="48"/>
    <x v="0"/>
    <x v="60"/>
    <x v="0"/>
    <x v="0"/>
    <x v="0"/>
    <x v="2"/>
    <x v="11"/>
    <n v="0"/>
    <x v="0"/>
  </r>
  <r>
    <x v="48"/>
    <x v="1"/>
    <x v="60"/>
    <x v="0"/>
    <x v="1"/>
    <x v="1"/>
    <x v="2"/>
    <x v="0"/>
    <n v="11835.029967109176"/>
    <x v="0"/>
  </r>
  <r>
    <x v="48"/>
    <x v="1"/>
    <x v="60"/>
    <x v="0"/>
    <x v="1"/>
    <x v="1"/>
    <x v="2"/>
    <x v="1"/>
    <n v="0"/>
    <x v="0"/>
  </r>
  <r>
    <x v="48"/>
    <x v="1"/>
    <x v="60"/>
    <x v="0"/>
    <x v="1"/>
    <x v="1"/>
    <x v="2"/>
    <x v="2"/>
    <n v="11145.429305699388"/>
    <x v="0"/>
  </r>
  <r>
    <x v="48"/>
    <x v="1"/>
    <x v="60"/>
    <x v="0"/>
    <x v="1"/>
    <x v="1"/>
    <x v="2"/>
    <x v="3"/>
    <n v="0"/>
    <x v="0"/>
  </r>
  <r>
    <x v="48"/>
    <x v="1"/>
    <x v="60"/>
    <x v="0"/>
    <x v="1"/>
    <x v="1"/>
    <x v="2"/>
    <x v="4"/>
    <n v="0"/>
    <x v="0"/>
  </r>
  <r>
    <x v="48"/>
    <x v="1"/>
    <x v="60"/>
    <x v="0"/>
    <x v="1"/>
    <x v="1"/>
    <x v="2"/>
    <x v="5"/>
    <n v="0"/>
    <x v="0"/>
  </r>
  <r>
    <x v="48"/>
    <x v="1"/>
    <x v="60"/>
    <x v="0"/>
    <x v="1"/>
    <x v="1"/>
    <x v="2"/>
    <x v="6"/>
    <n v="0"/>
    <x v="0"/>
  </r>
  <r>
    <x v="48"/>
    <x v="1"/>
    <x v="60"/>
    <x v="0"/>
    <x v="1"/>
    <x v="1"/>
    <x v="2"/>
    <x v="7"/>
    <n v="0"/>
    <x v="0"/>
  </r>
  <r>
    <x v="48"/>
    <x v="1"/>
    <x v="60"/>
    <x v="0"/>
    <x v="1"/>
    <x v="1"/>
    <x v="2"/>
    <x v="8"/>
    <n v="0"/>
    <x v="0"/>
  </r>
  <r>
    <x v="48"/>
    <x v="1"/>
    <x v="60"/>
    <x v="0"/>
    <x v="1"/>
    <x v="1"/>
    <x v="2"/>
    <x v="9"/>
    <n v="0"/>
    <x v="0"/>
  </r>
  <r>
    <x v="48"/>
    <x v="1"/>
    <x v="60"/>
    <x v="0"/>
    <x v="1"/>
    <x v="1"/>
    <x v="2"/>
    <x v="10"/>
    <n v="0"/>
    <x v="0"/>
  </r>
  <r>
    <x v="48"/>
    <x v="1"/>
    <x v="60"/>
    <x v="0"/>
    <x v="1"/>
    <x v="1"/>
    <x v="2"/>
    <x v="11"/>
    <n v="0"/>
    <x v="0"/>
  </r>
  <r>
    <x v="49"/>
    <x v="0"/>
    <x v="61"/>
    <x v="0"/>
    <x v="0"/>
    <x v="0"/>
    <x v="0"/>
    <x v="0"/>
    <n v="2059.2952142769968"/>
    <x v="0"/>
  </r>
  <r>
    <x v="49"/>
    <x v="0"/>
    <x v="61"/>
    <x v="0"/>
    <x v="0"/>
    <x v="0"/>
    <x v="0"/>
    <x v="1"/>
    <n v="2047.8240838263323"/>
    <x v="0"/>
  </r>
  <r>
    <x v="49"/>
    <x v="0"/>
    <x v="61"/>
    <x v="0"/>
    <x v="0"/>
    <x v="0"/>
    <x v="0"/>
    <x v="2"/>
    <n v="1922.5865552331445"/>
    <x v="0"/>
  </r>
  <r>
    <x v="49"/>
    <x v="0"/>
    <x v="61"/>
    <x v="0"/>
    <x v="0"/>
    <x v="0"/>
    <x v="0"/>
    <x v="3"/>
    <n v="2126.3823091276245"/>
    <x v="0"/>
  </r>
  <r>
    <x v="49"/>
    <x v="0"/>
    <x v="61"/>
    <x v="0"/>
    <x v="0"/>
    <x v="0"/>
    <x v="0"/>
    <x v="4"/>
    <n v="2250.0887897942366"/>
    <x v="0"/>
  </r>
  <r>
    <x v="49"/>
    <x v="0"/>
    <x v="61"/>
    <x v="0"/>
    <x v="0"/>
    <x v="0"/>
    <x v="0"/>
    <x v="5"/>
    <n v="0"/>
    <x v="0"/>
  </r>
  <r>
    <x v="49"/>
    <x v="0"/>
    <x v="61"/>
    <x v="0"/>
    <x v="0"/>
    <x v="0"/>
    <x v="0"/>
    <x v="6"/>
    <n v="3847.0987533896546"/>
    <x v="0"/>
  </r>
  <r>
    <x v="49"/>
    <x v="0"/>
    <x v="61"/>
    <x v="0"/>
    <x v="0"/>
    <x v="0"/>
    <x v="0"/>
    <x v="7"/>
    <n v="1915.1449712895364"/>
    <x v="0"/>
  </r>
  <r>
    <x v="49"/>
    <x v="0"/>
    <x v="61"/>
    <x v="0"/>
    <x v="0"/>
    <x v="0"/>
    <x v="0"/>
    <x v="8"/>
    <n v="2322.1585764047441"/>
    <x v="0"/>
  </r>
  <r>
    <x v="49"/>
    <x v="0"/>
    <x v="61"/>
    <x v="0"/>
    <x v="0"/>
    <x v="0"/>
    <x v="0"/>
    <x v="9"/>
    <n v="2783.9849993621356"/>
    <x v="0"/>
  </r>
  <r>
    <x v="49"/>
    <x v="0"/>
    <x v="61"/>
    <x v="0"/>
    <x v="0"/>
    <x v="0"/>
    <x v="0"/>
    <x v="10"/>
    <n v="2783.9849993621356"/>
    <x v="0"/>
  </r>
  <r>
    <x v="49"/>
    <x v="0"/>
    <x v="61"/>
    <x v="0"/>
    <x v="0"/>
    <x v="0"/>
    <x v="0"/>
    <x v="11"/>
    <n v="2783.9849993621356"/>
    <x v="0"/>
  </r>
  <r>
    <x v="6"/>
    <x v="1"/>
    <x v="6"/>
    <x v="0"/>
    <x v="1"/>
    <x v="1"/>
    <x v="0"/>
    <x v="0"/>
    <n v="15924.033304331546"/>
    <x v="0"/>
  </r>
  <r>
    <x v="6"/>
    <x v="1"/>
    <x v="6"/>
    <x v="0"/>
    <x v="1"/>
    <x v="1"/>
    <x v="0"/>
    <x v="1"/>
    <n v="0"/>
    <x v="0"/>
  </r>
  <r>
    <x v="6"/>
    <x v="1"/>
    <x v="6"/>
    <x v="0"/>
    <x v="1"/>
    <x v="1"/>
    <x v="0"/>
    <x v="2"/>
    <n v="0"/>
    <x v="0"/>
  </r>
  <r>
    <x v="6"/>
    <x v="1"/>
    <x v="6"/>
    <x v="0"/>
    <x v="1"/>
    <x v="1"/>
    <x v="0"/>
    <x v="3"/>
    <n v="0"/>
    <x v="0"/>
  </r>
  <r>
    <x v="6"/>
    <x v="1"/>
    <x v="6"/>
    <x v="0"/>
    <x v="1"/>
    <x v="1"/>
    <x v="0"/>
    <x v="4"/>
    <n v="0"/>
    <x v="0"/>
  </r>
  <r>
    <x v="6"/>
    <x v="1"/>
    <x v="6"/>
    <x v="0"/>
    <x v="1"/>
    <x v="1"/>
    <x v="0"/>
    <x v="5"/>
    <n v="0"/>
    <x v="0"/>
  </r>
  <r>
    <x v="6"/>
    <x v="1"/>
    <x v="6"/>
    <x v="0"/>
    <x v="1"/>
    <x v="1"/>
    <x v="0"/>
    <x v="6"/>
    <n v="0"/>
    <x v="0"/>
  </r>
  <r>
    <x v="6"/>
    <x v="1"/>
    <x v="6"/>
    <x v="0"/>
    <x v="1"/>
    <x v="1"/>
    <x v="0"/>
    <x v="7"/>
    <n v="0"/>
    <x v="0"/>
  </r>
  <r>
    <x v="6"/>
    <x v="1"/>
    <x v="6"/>
    <x v="0"/>
    <x v="1"/>
    <x v="1"/>
    <x v="0"/>
    <x v="8"/>
    <n v="0"/>
    <x v="0"/>
  </r>
  <r>
    <x v="6"/>
    <x v="1"/>
    <x v="6"/>
    <x v="0"/>
    <x v="1"/>
    <x v="1"/>
    <x v="0"/>
    <x v="9"/>
    <n v="0"/>
    <x v="0"/>
  </r>
  <r>
    <x v="6"/>
    <x v="1"/>
    <x v="6"/>
    <x v="0"/>
    <x v="1"/>
    <x v="1"/>
    <x v="0"/>
    <x v="10"/>
    <n v="0"/>
    <x v="0"/>
  </r>
  <r>
    <x v="6"/>
    <x v="1"/>
    <x v="6"/>
    <x v="0"/>
    <x v="1"/>
    <x v="1"/>
    <x v="0"/>
    <x v="11"/>
    <n v="0"/>
    <x v="0"/>
  </r>
  <r>
    <x v="30"/>
    <x v="2"/>
    <x v="62"/>
    <x v="0"/>
    <x v="2"/>
    <x v="3"/>
    <x v="3"/>
    <x v="0"/>
    <n v="1650.98668041173"/>
    <x v="0"/>
  </r>
  <r>
    <x v="30"/>
    <x v="2"/>
    <x v="62"/>
    <x v="0"/>
    <x v="2"/>
    <x v="3"/>
    <x v="3"/>
    <x v="1"/>
    <n v="1712.9425210399149"/>
    <x v="0"/>
  </r>
  <r>
    <x v="30"/>
    <x v="2"/>
    <x v="62"/>
    <x v="0"/>
    <x v="2"/>
    <x v="3"/>
    <x v="3"/>
    <x v="2"/>
    <n v="1631.5403870587636"/>
    <x v="0"/>
  </r>
  <r>
    <x v="30"/>
    <x v="2"/>
    <x v="62"/>
    <x v="0"/>
    <x v="2"/>
    <x v="3"/>
    <x v="3"/>
    <x v="3"/>
    <n v="1790.6727682187452"/>
    <x v="0"/>
  </r>
  <r>
    <x v="30"/>
    <x v="2"/>
    <x v="62"/>
    <x v="0"/>
    <x v="2"/>
    <x v="3"/>
    <x v="3"/>
    <x v="4"/>
    <n v="1770.0763699679583"/>
    <x v="0"/>
  </r>
  <r>
    <x v="30"/>
    <x v="2"/>
    <x v="62"/>
    <x v="0"/>
    <x v="2"/>
    <x v="3"/>
    <x v="3"/>
    <x v="5"/>
    <n v="1891.6247606808504"/>
    <x v="0"/>
  </r>
  <r>
    <x v="30"/>
    <x v="2"/>
    <x v="62"/>
    <x v="0"/>
    <x v="2"/>
    <x v="3"/>
    <x v="3"/>
    <x v="6"/>
    <n v="0"/>
    <x v="0"/>
  </r>
  <r>
    <x v="30"/>
    <x v="2"/>
    <x v="62"/>
    <x v="0"/>
    <x v="2"/>
    <x v="3"/>
    <x v="3"/>
    <x v="7"/>
    <n v="1553.1326114122153"/>
    <x v="0"/>
  </r>
  <r>
    <x v="30"/>
    <x v="2"/>
    <x v="62"/>
    <x v="0"/>
    <x v="2"/>
    <x v="3"/>
    <x v="3"/>
    <x v="8"/>
    <n v="0"/>
    <x v="0"/>
  </r>
  <r>
    <x v="30"/>
    <x v="2"/>
    <x v="62"/>
    <x v="0"/>
    <x v="2"/>
    <x v="3"/>
    <x v="3"/>
    <x v="9"/>
    <n v="0"/>
    <x v="0"/>
  </r>
  <r>
    <x v="30"/>
    <x v="2"/>
    <x v="62"/>
    <x v="0"/>
    <x v="2"/>
    <x v="3"/>
    <x v="3"/>
    <x v="10"/>
    <n v="0"/>
    <x v="0"/>
  </r>
  <r>
    <x v="30"/>
    <x v="2"/>
    <x v="62"/>
    <x v="0"/>
    <x v="2"/>
    <x v="3"/>
    <x v="3"/>
    <x v="11"/>
    <n v="0"/>
    <x v="0"/>
  </r>
  <r>
    <x v="30"/>
    <x v="2"/>
    <x v="63"/>
    <x v="0"/>
    <x v="2"/>
    <x v="3"/>
    <x v="0"/>
    <x v="0"/>
    <n v="0"/>
    <x v="0"/>
  </r>
  <r>
    <x v="30"/>
    <x v="2"/>
    <x v="63"/>
    <x v="0"/>
    <x v="2"/>
    <x v="3"/>
    <x v="0"/>
    <x v="1"/>
    <n v="0"/>
    <x v="0"/>
  </r>
  <r>
    <x v="30"/>
    <x v="2"/>
    <x v="63"/>
    <x v="0"/>
    <x v="2"/>
    <x v="3"/>
    <x v="0"/>
    <x v="2"/>
    <n v="0"/>
    <x v="0"/>
  </r>
  <r>
    <x v="30"/>
    <x v="2"/>
    <x v="63"/>
    <x v="0"/>
    <x v="2"/>
    <x v="3"/>
    <x v="0"/>
    <x v="3"/>
    <n v="0"/>
    <x v="0"/>
  </r>
  <r>
    <x v="30"/>
    <x v="2"/>
    <x v="63"/>
    <x v="0"/>
    <x v="2"/>
    <x v="3"/>
    <x v="0"/>
    <x v="4"/>
    <n v="0"/>
    <x v="0"/>
  </r>
  <r>
    <x v="30"/>
    <x v="2"/>
    <x v="63"/>
    <x v="0"/>
    <x v="2"/>
    <x v="3"/>
    <x v="0"/>
    <x v="5"/>
    <n v="0"/>
    <x v="0"/>
  </r>
  <r>
    <x v="30"/>
    <x v="2"/>
    <x v="63"/>
    <x v="0"/>
    <x v="2"/>
    <x v="3"/>
    <x v="0"/>
    <x v="6"/>
    <n v="0"/>
    <x v="0"/>
  </r>
  <r>
    <x v="30"/>
    <x v="2"/>
    <x v="63"/>
    <x v="0"/>
    <x v="2"/>
    <x v="3"/>
    <x v="0"/>
    <x v="7"/>
    <n v="0"/>
    <x v="0"/>
  </r>
  <r>
    <x v="30"/>
    <x v="2"/>
    <x v="63"/>
    <x v="0"/>
    <x v="2"/>
    <x v="3"/>
    <x v="0"/>
    <x v="8"/>
    <n v="0"/>
    <x v="0"/>
  </r>
  <r>
    <x v="30"/>
    <x v="2"/>
    <x v="63"/>
    <x v="0"/>
    <x v="2"/>
    <x v="3"/>
    <x v="0"/>
    <x v="9"/>
    <n v="0"/>
    <x v="0"/>
  </r>
  <r>
    <x v="30"/>
    <x v="2"/>
    <x v="63"/>
    <x v="0"/>
    <x v="2"/>
    <x v="3"/>
    <x v="0"/>
    <x v="10"/>
    <n v="0"/>
    <x v="0"/>
  </r>
  <r>
    <x v="30"/>
    <x v="2"/>
    <x v="63"/>
    <x v="0"/>
    <x v="2"/>
    <x v="3"/>
    <x v="0"/>
    <x v="11"/>
    <n v="0"/>
    <x v="0"/>
  </r>
  <r>
    <x v="30"/>
    <x v="2"/>
    <x v="64"/>
    <x v="0"/>
    <x v="2"/>
    <x v="3"/>
    <x v="4"/>
    <x v="0"/>
    <n v="0"/>
    <x v="0"/>
  </r>
  <r>
    <x v="30"/>
    <x v="2"/>
    <x v="64"/>
    <x v="0"/>
    <x v="2"/>
    <x v="3"/>
    <x v="4"/>
    <x v="1"/>
    <n v="0"/>
    <x v="0"/>
  </r>
  <r>
    <x v="30"/>
    <x v="2"/>
    <x v="64"/>
    <x v="0"/>
    <x v="2"/>
    <x v="3"/>
    <x v="4"/>
    <x v="2"/>
    <n v="0"/>
    <x v="0"/>
  </r>
  <r>
    <x v="30"/>
    <x v="2"/>
    <x v="64"/>
    <x v="0"/>
    <x v="2"/>
    <x v="3"/>
    <x v="4"/>
    <x v="3"/>
    <n v="0"/>
    <x v="0"/>
  </r>
  <r>
    <x v="30"/>
    <x v="2"/>
    <x v="64"/>
    <x v="0"/>
    <x v="2"/>
    <x v="3"/>
    <x v="4"/>
    <x v="4"/>
    <n v="1367.9965906257648"/>
    <x v="0"/>
  </r>
  <r>
    <x v="30"/>
    <x v="2"/>
    <x v="64"/>
    <x v="0"/>
    <x v="2"/>
    <x v="3"/>
    <x v="4"/>
    <x v="5"/>
    <n v="0"/>
    <x v="0"/>
  </r>
  <r>
    <x v="30"/>
    <x v="2"/>
    <x v="64"/>
    <x v="0"/>
    <x v="2"/>
    <x v="3"/>
    <x v="4"/>
    <x v="6"/>
    <n v="0"/>
    <x v="0"/>
  </r>
  <r>
    <x v="30"/>
    <x v="2"/>
    <x v="64"/>
    <x v="0"/>
    <x v="2"/>
    <x v="3"/>
    <x v="4"/>
    <x v="7"/>
    <n v="0"/>
    <x v="0"/>
  </r>
  <r>
    <x v="30"/>
    <x v="2"/>
    <x v="64"/>
    <x v="0"/>
    <x v="2"/>
    <x v="3"/>
    <x v="4"/>
    <x v="8"/>
    <n v="0"/>
    <x v="0"/>
  </r>
  <r>
    <x v="30"/>
    <x v="2"/>
    <x v="64"/>
    <x v="0"/>
    <x v="2"/>
    <x v="3"/>
    <x v="4"/>
    <x v="9"/>
    <n v="0"/>
    <x v="0"/>
  </r>
  <r>
    <x v="30"/>
    <x v="2"/>
    <x v="64"/>
    <x v="0"/>
    <x v="2"/>
    <x v="3"/>
    <x v="4"/>
    <x v="10"/>
    <n v="0"/>
    <x v="0"/>
  </r>
  <r>
    <x v="30"/>
    <x v="2"/>
    <x v="64"/>
    <x v="0"/>
    <x v="2"/>
    <x v="3"/>
    <x v="4"/>
    <x v="11"/>
    <n v="0"/>
    <x v="0"/>
  </r>
  <r>
    <x v="16"/>
    <x v="2"/>
    <x v="65"/>
    <x v="0"/>
    <x v="2"/>
    <x v="3"/>
    <x v="4"/>
    <x v="0"/>
    <n v="621.23492500952113"/>
    <x v="0"/>
  </r>
  <r>
    <x v="16"/>
    <x v="2"/>
    <x v="65"/>
    <x v="0"/>
    <x v="2"/>
    <x v="3"/>
    <x v="4"/>
    <x v="1"/>
    <n v="28847.599335876643"/>
    <x v="0"/>
  </r>
  <r>
    <x v="16"/>
    <x v="2"/>
    <x v="65"/>
    <x v="0"/>
    <x v="2"/>
    <x v="3"/>
    <x v="4"/>
    <x v="2"/>
    <n v="0"/>
    <x v="0"/>
  </r>
  <r>
    <x v="16"/>
    <x v="2"/>
    <x v="65"/>
    <x v="0"/>
    <x v="2"/>
    <x v="3"/>
    <x v="4"/>
    <x v="3"/>
    <n v="0"/>
    <x v="0"/>
  </r>
  <r>
    <x v="16"/>
    <x v="2"/>
    <x v="65"/>
    <x v="0"/>
    <x v="2"/>
    <x v="3"/>
    <x v="4"/>
    <x v="4"/>
    <n v="0"/>
    <x v="0"/>
  </r>
  <r>
    <x v="16"/>
    <x v="2"/>
    <x v="65"/>
    <x v="0"/>
    <x v="2"/>
    <x v="3"/>
    <x v="4"/>
    <x v="5"/>
    <n v="0"/>
    <x v="0"/>
  </r>
  <r>
    <x v="16"/>
    <x v="2"/>
    <x v="65"/>
    <x v="0"/>
    <x v="2"/>
    <x v="3"/>
    <x v="4"/>
    <x v="6"/>
    <n v="0"/>
    <x v="0"/>
  </r>
  <r>
    <x v="16"/>
    <x v="2"/>
    <x v="65"/>
    <x v="0"/>
    <x v="2"/>
    <x v="3"/>
    <x v="4"/>
    <x v="7"/>
    <n v="0"/>
    <x v="0"/>
  </r>
  <r>
    <x v="16"/>
    <x v="2"/>
    <x v="65"/>
    <x v="0"/>
    <x v="2"/>
    <x v="3"/>
    <x v="4"/>
    <x v="8"/>
    <n v="0"/>
    <x v="0"/>
  </r>
  <r>
    <x v="16"/>
    <x v="2"/>
    <x v="65"/>
    <x v="0"/>
    <x v="2"/>
    <x v="3"/>
    <x v="4"/>
    <x v="9"/>
    <n v="0"/>
    <x v="0"/>
  </r>
  <r>
    <x v="16"/>
    <x v="2"/>
    <x v="65"/>
    <x v="0"/>
    <x v="2"/>
    <x v="3"/>
    <x v="4"/>
    <x v="10"/>
    <n v="0"/>
    <x v="0"/>
  </r>
  <r>
    <x v="16"/>
    <x v="2"/>
    <x v="65"/>
    <x v="0"/>
    <x v="2"/>
    <x v="3"/>
    <x v="4"/>
    <x v="11"/>
    <n v="0"/>
    <x v="0"/>
  </r>
  <r>
    <x v="40"/>
    <x v="0"/>
    <x v="41"/>
    <x v="0"/>
    <x v="0"/>
    <x v="0"/>
    <x v="0"/>
    <x v="0"/>
    <n v="0"/>
    <x v="0"/>
  </r>
  <r>
    <x v="40"/>
    <x v="0"/>
    <x v="41"/>
    <x v="0"/>
    <x v="0"/>
    <x v="0"/>
    <x v="0"/>
    <x v="1"/>
    <n v="0"/>
    <x v="0"/>
  </r>
  <r>
    <x v="40"/>
    <x v="0"/>
    <x v="41"/>
    <x v="0"/>
    <x v="0"/>
    <x v="0"/>
    <x v="0"/>
    <x v="2"/>
    <n v="0"/>
    <x v="0"/>
  </r>
  <r>
    <x v="40"/>
    <x v="0"/>
    <x v="41"/>
    <x v="0"/>
    <x v="0"/>
    <x v="0"/>
    <x v="0"/>
    <x v="3"/>
    <n v="0"/>
    <x v="0"/>
  </r>
  <r>
    <x v="40"/>
    <x v="0"/>
    <x v="41"/>
    <x v="0"/>
    <x v="0"/>
    <x v="0"/>
    <x v="0"/>
    <x v="4"/>
    <n v="502.19372989610497"/>
    <x v="0"/>
  </r>
  <r>
    <x v="40"/>
    <x v="0"/>
    <x v="41"/>
    <x v="0"/>
    <x v="0"/>
    <x v="0"/>
    <x v="0"/>
    <x v="5"/>
    <n v="0"/>
    <x v="0"/>
  </r>
  <r>
    <x v="40"/>
    <x v="0"/>
    <x v="41"/>
    <x v="0"/>
    <x v="0"/>
    <x v="0"/>
    <x v="0"/>
    <x v="6"/>
    <n v="0"/>
    <x v="0"/>
  </r>
  <r>
    <x v="40"/>
    <x v="0"/>
    <x v="41"/>
    <x v="0"/>
    <x v="0"/>
    <x v="0"/>
    <x v="0"/>
    <x v="7"/>
    <n v="0"/>
    <x v="0"/>
  </r>
  <r>
    <x v="40"/>
    <x v="0"/>
    <x v="41"/>
    <x v="0"/>
    <x v="0"/>
    <x v="0"/>
    <x v="0"/>
    <x v="8"/>
    <n v="0"/>
    <x v="0"/>
  </r>
  <r>
    <x v="40"/>
    <x v="0"/>
    <x v="41"/>
    <x v="0"/>
    <x v="0"/>
    <x v="0"/>
    <x v="0"/>
    <x v="9"/>
    <n v="0"/>
    <x v="0"/>
  </r>
  <r>
    <x v="40"/>
    <x v="0"/>
    <x v="41"/>
    <x v="0"/>
    <x v="0"/>
    <x v="0"/>
    <x v="0"/>
    <x v="10"/>
    <n v="0"/>
    <x v="0"/>
  </r>
  <r>
    <x v="40"/>
    <x v="0"/>
    <x v="41"/>
    <x v="0"/>
    <x v="0"/>
    <x v="0"/>
    <x v="0"/>
    <x v="11"/>
    <n v="0"/>
    <x v="0"/>
  </r>
  <r>
    <x v="30"/>
    <x v="2"/>
    <x v="66"/>
    <x v="0"/>
    <x v="2"/>
    <x v="3"/>
    <x v="5"/>
    <x v="0"/>
    <n v="11892.874859576419"/>
    <x v="0"/>
  </r>
  <r>
    <x v="30"/>
    <x v="2"/>
    <x v="66"/>
    <x v="0"/>
    <x v="2"/>
    <x v="3"/>
    <x v="5"/>
    <x v="1"/>
    <n v="16400.786845630206"/>
    <x v="0"/>
  </r>
  <r>
    <x v="30"/>
    <x v="2"/>
    <x v="66"/>
    <x v="0"/>
    <x v="2"/>
    <x v="3"/>
    <x v="5"/>
    <x v="2"/>
    <n v="0"/>
    <x v="0"/>
  </r>
  <r>
    <x v="30"/>
    <x v="2"/>
    <x v="66"/>
    <x v="0"/>
    <x v="2"/>
    <x v="3"/>
    <x v="5"/>
    <x v="3"/>
    <n v="0"/>
    <x v="0"/>
  </r>
  <r>
    <x v="30"/>
    <x v="2"/>
    <x v="66"/>
    <x v="0"/>
    <x v="2"/>
    <x v="3"/>
    <x v="5"/>
    <x v="4"/>
    <n v="16135.033219404597"/>
    <x v="0"/>
  </r>
  <r>
    <x v="30"/>
    <x v="2"/>
    <x v="66"/>
    <x v="0"/>
    <x v="2"/>
    <x v="3"/>
    <x v="5"/>
    <x v="5"/>
    <n v="0"/>
    <x v="0"/>
  </r>
  <r>
    <x v="30"/>
    <x v="2"/>
    <x v="66"/>
    <x v="0"/>
    <x v="2"/>
    <x v="3"/>
    <x v="5"/>
    <x v="6"/>
    <n v="16383.136550469861"/>
    <x v="0"/>
  </r>
  <r>
    <x v="30"/>
    <x v="2"/>
    <x v="66"/>
    <x v="0"/>
    <x v="2"/>
    <x v="3"/>
    <x v="5"/>
    <x v="7"/>
    <n v="0"/>
    <x v="0"/>
  </r>
  <r>
    <x v="30"/>
    <x v="2"/>
    <x v="66"/>
    <x v="0"/>
    <x v="2"/>
    <x v="3"/>
    <x v="5"/>
    <x v="8"/>
    <n v="0"/>
    <x v="0"/>
  </r>
  <r>
    <x v="30"/>
    <x v="2"/>
    <x v="66"/>
    <x v="0"/>
    <x v="2"/>
    <x v="3"/>
    <x v="5"/>
    <x v="9"/>
    <n v="0"/>
    <x v="0"/>
  </r>
  <r>
    <x v="30"/>
    <x v="2"/>
    <x v="66"/>
    <x v="0"/>
    <x v="2"/>
    <x v="3"/>
    <x v="5"/>
    <x v="10"/>
    <n v="0"/>
    <x v="0"/>
  </r>
  <r>
    <x v="30"/>
    <x v="2"/>
    <x v="66"/>
    <x v="0"/>
    <x v="2"/>
    <x v="3"/>
    <x v="5"/>
    <x v="11"/>
    <n v="0"/>
    <x v="0"/>
  </r>
  <r>
    <x v="30"/>
    <x v="2"/>
    <x v="67"/>
    <x v="0"/>
    <x v="2"/>
    <x v="3"/>
    <x v="0"/>
    <x v="0"/>
    <n v="0"/>
    <x v="0"/>
  </r>
  <r>
    <x v="30"/>
    <x v="2"/>
    <x v="67"/>
    <x v="0"/>
    <x v="2"/>
    <x v="3"/>
    <x v="0"/>
    <x v="1"/>
    <n v="0"/>
    <x v="0"/>
  </r>
  <r>
    <x v="30"/>
    <x v="2"/>
    <x v="67"/>
    <x v="0"/>
    <x v="2"/>
    <x v="3"/>
    <x v="0"/>
    <x v="2"/>
    <n v="0"/>
    <x v="0"/>
  </r>
  <r>
    <x v="30"/>
    <x v="2"/>
    <x v="67"/>
    <x v="0"/>
    <x v="2"/>
    <x v="3"/>
    <x v="0"/>
    <x v="3"/>
    <n v="0"/>
    <x v="0"/>
  </r>
  <r>
    <x v="30"/>
    <x v="2"/>
    <x v="67"/>
    <x v="0"/>
    <x v="2"/>
    <x v="3"/>
    <x v="0"/>
    <x v="4"/>
    <n v="0"/>
    <x v="0"/>
  </r>
  <r>
    <x v="30"/>
    <x v="2"/>
    <x v="67"/>
    <x v="0"/>
    <x v="2"/>
    <x v="3"/>
    <x v="0"/>
    <x v="5"/>
    <n v="0"/>
    <x v="0"/>
  </r>
  <r>
    <x v="30"/>
    <x v="2"/>
    <x v="67"/>
    <x v="0"/>
    <x v="2"/>
    <x v="3"/>
    <x v="0"/>
    <x v="6"/>
    <n v="0"/>
    <x v="0"/>
  </r>
  <r>
    <x v="30"/>
    <x v="2"/>
    <x v="67"/>
    <x v="0"/>
    <x v="2"/>
    <x v="3"/>
    <x v="0"/>
    <x v="7"/>
    <n v="8663.5396412790233"/>
    <x v="0"/>
  </r>
  <r>
    <x v="30"/>
    <x v="2"/>
    <x v="67"/>
    <x v="0"/>
    <x v="2"/>
    <x v="3"/>
    <x v="0"/>
    <x v="8"/>
    <n v="0"/>
    <x v="0"/>
  </r>
  <r>
    <x v="30"/>
    <x v="2"/>
    <x v="67"/>
    <x v="0"/>
    <x v="2"/>
    <x v="3"/>
    <x v="0"/>
    <x v="9"/>
    <n v="0"/>
    <x v="0"/>
  </r>
  <r>
    <x v="30"/>
    <x v="2"/>
    <x v="67"/>
    <x v="0"/>
    <x v="2"/>
    <x v="3"/>
    <x v="0"/>
    <x v="10"/>
    <n v="0"/>
    <x v="0"/>
  </r>
  <r>
    <x v="30"/>
    <x v="2"/>
    <x v="67"/>
    <x v="0"/>
    <x v="2"/>
    <x v="3"/>
    <x v="0"/>
    <x v="11"/>
    <n v="0"/>
    <x v="0"/>
  </r>
  <r>
    <x v="30"/>
    <x v="2"/>
    <x v="68"/>
    <x v="0"/>
    <x v="2"/>
    <x v="3"/>
    <x v="0"/>
    <x v="0"/>
    <n v="0"/>
    <x v="0"/>
  </r>
  <r>
    <x v="30"/>
    <x v="2"/>
    <x v="68"/>
    <x v="0"/>
    <x v="2"/>
    <x v="3"/>
    <x v="0"/>
    <x v="1"/>
    <n v="0"/>
    <x v="0"/>
  </r>
  <r>
    <x v="30"/>
    <x v="2"/>
    <x v="68"/>
    <x v="0"/>
    <x v="2"/>
    <x v="3"/>
    <x v="0"/>
    <x v="2"/>
    <n v="0"/>
    <x v="0"/>
  </r>
  <r>
    <x v="30"/>
    <x v="2"/>
    <x v="68"/>
    <x v="0"/>
    <x v="2"/>
    <x v="3"/>
    <x v="0"/>
    <x v="3"/>
    <n v="0"/>
    <x v="0"/>
  </r>
  <r>
    <x v="30"/>
    <x v="2"/>
    <x v="68"/>
    <x v="0"/>
    <x v="2"/>
    <x v="3"/>
    <x v="0"/>
    <x v="4"/>
    <n v="0"/>
    <x v="0"/>
  </r>
  <r>
    <x v="30"/>
    <x v="2"/>
    <x v="68"/>
    <x v="0"/>
    <x v="2"/>
    <x v="3"/>
    <x v="0"/>
    <x v="5"/>
    <n v="0"/>
    <x v="0"/>
  </r>
  <r>
    <x v="30"/>
    <x v="2"/>
    <x v="68"/>
    <x v="0"/>
    <x v="2"/>
    <x v="3"/>
    <x v="0"/>
    <x v="6"/>
    <n v="0"/>
    <x v="0"/>
  </r>
  <r>
    <x v="30"/>
    <x v="2"/>
    <x v="68"/>
    <x v="0"/>
    <x v="2"/>
    <x v="3"/>
    <x v="0"/>
    <x v="7"/>
    <n v="0"/>
    <x v="0"/>
  </r>
  <r>
    <x v="30"/>
    <x v="2"/>
    <x v="68"/>
    <x v="0"/>
    <x v="2"/>
    <x v="3"/>
    <x v="0"/>
    <x v="8"/>
    <n v="0"/>
    <x v="0"/>
  </r>
  <r>
    <x v="30"/>
    <x v="2"/>
    <x v="68"/>
    <x v="0"/>
    <x v="2"/>
    <x v="3"/>
    <x v="0"/>
    <x v="9"/>
    <n v="0"/>
    <x v="0"/>
  </r>
  <r>
    <x v="30"/>
    <x v="2"/>
    <x v="68"/>
    <x v="0"/>
    <x v="2"/>
    <x v="3"/>
    <x v="0"/>
    <x v="10"/>
    <n v="0"/>
    <x v="0"/>
  </r>
  <r>
    <x v="30"/>
    <x v="2"/>
    <x v="68"/>
    <x v="0"/>
    <x v="2"/>
    <x v="3"/>
    <x v="0"/>
    <x v="11"/>
    <n v="0"/>
    <x v="0"/>
  </r>
  <r>
    <x v="30"/>
    <x v="2"/>
    <x v="69"/>
    <x v="0"/>
    <x v="2"/>
    <x v="3"/>
    <x v="3"/>
    <x v="0"/>
    <n v="0"/>
    <x v="0"/>
  </r>
  <r>
    <x v="30"/>
    <x v="2"/>
    <x v="69"/>
    <x v="0"/>
    <x v="2"/>
    <x v="3"/>
    <x v="3"/>
    <x v="1"/>
    <n v="0"/>
    <x v="0"/>
  </r>
  <r>
    <x v="30"/>
    <x v="2"/>
    <x v="69"/>
    <x v="0"/>
    <x v="2"/>
    <x v="3"/>
    <x v="3"/>
    <x v="2"/>
    <n v="1745.8200464447523"/>
    <x v="0"/>
  </r>
  <r>
    <x v="30"/>
    <x v="2"/>
    <x v="69"/>
    <x v="0"/>
    <x v="2"/>
    <x v="3"/>
    <x v="3"/>
    <x v="3"/>
    <n v="0"/>
    <x v="0"/>
  </r>
  <r>
    <x v="30"/>
    <x v="2"/>
    <x v="69"/>
    <x v="0"/>
    <x v="2"/>
    <x v="3"/>
    <x v="3"/>
    <x v="4"/>
    <n v="0"/>
    <x v="0"/>
  </r>
  <r>
    <x v="30"/>
    <x v="2"/>
    <x v="69"/>
    <x v="0"/>
    <x v="2"/>
    <x v="3"/>
    <x v="3"/>
    <x v="5"/>
    <n v="0"/>
    <x v="0"/>
  </r>
  <r>
    <x v="30"/>
    <x v="2"/>
    <x v="69"/>
    <x v="0"/>
    <x v="2"/>
    <x v="3"/>
    <x v="3"/>
    <x v="6"/>
    <n v="0"/>
    <x v="0"/>
  </r>
  <r>
    <x v="30"/>
    <x v="2"/>
    <x v="69"/>
    <x v="0"/>
    <x v="2"/>
    <x v="3"/>
    <x v="3"/>
    <x v="7"/>
    <n v="434.76566420694638"/>
    <x v="0"/>
  </r>
  <r>
    <x v="30"/>
    <x v="2"/>
    <x v="69"/>
    <x v="0"/>
    <x v="2"/>
    <x v="3"/>
    <x v="3"/>
    <x v="8"/>
    <n v="0"/>
    <x v="0"/>
  </r>
  <r>
    <x v="30"/>
    <x v="2"/>
    <x v="69"/>
    <x v="0"/>
    <x v="2"/>
    <x v="3"/>
    <x v="3"/>
    <x v="9"/>
    <n v="0"/>
    <x v="0"/>
  </r>
  <r>
    <x v="30"/>
    <x v="2"/>
    <x v="69"/>
    <x v="0"/>
    <x v="2"/>
    <x v="3"/>
    <x v="3"/>
    <x v="10"/>
    <n v="0"/>
    <x v="0"/>
  </r>
  <r>
    <x v="30"/>
    <x v="2"/>
    <x v="69"/>
    <x v="0"/>
    <x v="2"/>
    <x v="3"/>
    <x v="3"/>
    <x v="11"/>
    <n v="0"/>
    <x v="0"/>
  </r>
  <r>
    <x v="30"/>
    <x v="1"/>
    <x v="70"/>
    <x v="1"/>
    <x v="2"/>
    <x v="3"/>
    <x v="0"/>
    <x v="0"/>
    <n v="5504.2298195881522"/>
    <x v="0"/>
  </r>
  <r>
    <x v="30"/>
    <x v="1"/>
    <x v="70"/>
    <x v="1"/>
    <x v="2"/>
    <x v="3"/>
    <x v="0"/>
    <x v="1"/>
    <n v="3751.6137215698409"/>
    <x v="0"/>
  </r>
  <r>
    <x v="30"/>
    <x v="1"/>
    <x v="70"/>
    <x v="1"/>
    <x v="2"/>
    <x v="3"/>
    <x v="0"/>
    <x v="2"/>
    <n v="3289.5455960039103"/>
    <x v="0"/>
  </r>
  <r>
    <x v="30"/>
    <x v="1"/>
    <x v="70"/>
    <x v="1"/>
    <x v="2"/>
    <x v="3"/>
    <x v="0"/>
    <x v="3"/>
    <n v="0"/>
    <x v="0"/>
  </r>
  <r>
    <x v="30"/>
    <x v="1"/>
    <x v="70"/>
    <x v="1"/>
    <x v="2"/>
    <x v="3"/>
    <x v="0"/>
    <x v="4"/>
    <n v="0"/>
    <x v="0"/>
  </r>
  <r>
    <x v="30"/>
    <x v="1"/>
    <x v="70"/>
    <x v="1"/>
    <x v="2"/>
    <x v="3"/>
    <x v="0"/>
    <x v="5"/>
    <n v="0"/>
    <x v="0"/>
  </r>
  <r>
    <x v="30"/>
    <x v="1"/>
    <x v="70"/>
    <x v="1"/>
    <x v="2"/>
    <x v="3"/>
    <x v="0"/>
    <x v="6"/>
    <n v="0"/>
    <x v="0"/>
  </r>
  <r>
    <x v="30"/>
    <x v="1"/>
    <x v="70"/>
    <x v="1"/>
    <x v="2"/>
    <x v="3"/>
    <x v="0"/>
    <x v="7"/>
    <n v="0"/>
    <x v="0"/>
  </r>
  <r>
    <x v="30"/>
    <x v="1"/>
    <x v="70"/>
    <x v="1"/>
    <x v="2"/>
    <x v="3"/>
    <x v="0"/>
    <x v="8"/>
    <n v="0"/>
    <x v="0"/>
  </r>
  <r>
    <x v="30"/>
    <x v="1"/>
    <x v="70"/>
    <x v="1"/>
    <x v="2"/>
    <x v="3"/>
    <x v="0"/>
    <x v="9"/>
    <n v="0"/>
    <x v="0"/>
  </r>
  <r>
    <x v="30"/>
    <x v="1"/>
    <x v="70"/>
    <x v="1"/>
    <x v="2"/>
    <x v="3"/>
    <x v="0"/>
    <x v="10"/>
    <n v="0"/>
    <x v="0"/>
  </r>
  <r>
    <x v="30"/>
    <x v="1"/>
    <x v="70"/>
    <x v="1"/>
    <x v="2"/>
    <x v="3"/>
    <x v="0"/>
    <x v="11"/>
    <n v="0"/>
    <x v="0"/>
  </r>
  <r>
    <x v="30"/>
    <x v="2"/>
    <x v="71"/>
    <x v="0"/>
    <x v="2"/>
    <x v="3"/>
    <x v="6"/>
    <x v="0"/>
    <n v="0"/>
    <x v="0"/>
  </r>
  <r>
    <x v="30"/>
    <x v="2"/>
    <x v="71"/>
    <x v="0"/>
    <x v="2"/>
    <x v="3"/>
    <x v="6"/>
    <x v="1"/>
    <n v="5071.0392437953096"/>
    <x v="0"/>
  </r>
  <r>
    <x v="30"/>
    <x v="2"/>
    <x v="71"/>
    <x v="0"/>
    <x v="2"/>
    <x v="3"/>
    <x v="6"/>
    <x v="2"/>
    <n v="4760.9105603387461"/>
    <x v="0"/>
  </r>
  <r>
    <x v="30"/>
    <x v="2"/>
    <x v="71"/>
    <x v="0"/>
    <x v="2"/>
    <x v="3"/>
    <x v="6"/>
    <x v="3"/>
    <n v="0"/>
    <x v="0"/>
  </r>
  <r>
    <x v="30"/>
    <x v="2"/>
    <x v="71"/>
    <x v="0"/>
    <x v="2"/>
    <x v="3"/>
    <x v="6"/>
    <x v="4"/>
    <n v="0"/>
    <x v="0"/>
  </r>
  <r>
    <x v="30"/>
    <x v="2"/>
    <x v="71"/>
    <x v="0"/>
    <x v="2"/>
    <x v="3"/>
    <x v="6"/>
    <x v="5"/>
    <n v="0"/>
    <x v="0"/>
  </r>
  <r>
    <x v="30"/>
    <x v="2"/>
    <x v="71"/>
    <x v="0"/>
    <x v="2"/>
    <x v="3"/>
    <x v="6"/>
    <x v="6"/>
    <n v="0"/>
    <x v="0"/>
  </r>
  <r>
    <x v="30"/>
    <x v="2"/>
    <x v="71"/>
    <x v="0"/>
    <x v="2"/>
    <x v="3"/>
    <x v="6"/>
    <x v="7"/>
    <n v="0"/>
    <x v="0"/>
  </r>
  <r>
    <x v="30"/>
    <x v="2"/>
    <x v="71"/>
    <x v="0"/>
    <x v="2"/>
    <x v="3"/>
    <x v="6"/>
    <x v="8"/>
    <n v="0"/>
    <x v="0"/>
  </r>
  <r>
    <x v="30"/>
    <x v="2"/>
    <x v="71"/>
    <x v="0"/>
    <x v="2"/>
    <x v="3"/>
    <x v="6"/>
    <x v="9"/>
    <n v="0"/>
    <x v="0"/>
  </r>
  <r>
    <x v="30"/>
    <x v="2"/>
    <x v="71"/>
    <x v="0"/>
    <x v="2"/>
    <x v="3"/>
    <x v="6"/>
    <x v="10"/>
    <n v="0"/>
    <x v="0"/>
  </r>
  <r>
    <x v="30"/>
    <x v="2"/>
    <x v="71"/>
    <x v="0"/>
    <x v="2"/>
    <x v="3"/>
    <x v="6"/>
    <x v="11"/>
    <n v="0"/>
    <x v="0"/>
  </r>
  <r>
    <x v="30"/>
    <x v="2"/>
    <x v="72"/>
    <x v="0"/>
    <x v="2"/>
    <x v="3"/>
    <x v="7"/>
    <x v="0"/>
    <n v="0"/>
    <x v="0"/>
  </r>
  <r>
    <x v="30"/>
    <x v="2"/>
    <x v="72"/>
    <x v="0"/>
    <x v="2"/>
    <x v="3"/>
    <x v="7"/>
    <x v="1"/>
    <n v="0"/>
    <x v="0"/>
  </r>
  <r>
    <x v="30"/>
    <x v="2"/>
    <x v="72"/>
    <x v="0"/>
    <x v="2"/>
    <x v="3"/>
    <x v="7"/>
    <x v="2"/>
    <n v="8620.8892590947253"/>
    <x v="0"/>
  </r>
  <r>
    <x v="30"/>
    <x v="2"/>
    <x v="72"/>
    <x v="0"/>
    <x v="2"/>
    <x v="3"/>
    <x v="7"/>
    <x v="3"/>
    <n v="0"/>
    <x v="0"/>
  </r>
  <r>
    <x v="30"/>
    <x v="2"/>
    <x v="72"/>
    <x v="0"/>
    <x v="2"/>
    <x v="3"/>
    <x v="7"/>
    <x v="4"/>
    <n v="0"/>
    <x v="0"/>
  </r>
  <r>
    <x v="30"/>
    <x v="2"/>
    <x v="72"/>
    <x v="0"/>
    <x v="2"/>
    <x v="3"/>
    <x v="7"/>
    <x v="5"/>
    <n v="0"/>
    <x v="0"/>
  </r>
  <r>
    <x v="30"/>
    <x v="2"/>
    <x v="72"/>
    <x v="0"/>
    <x v="2"/>
    <x v="3"/>
    <x v="7"/>
    <x v="6"/>
    <n v="0"/>
    <x v="0"/>
  </r>
  <r>
    <x v="30"/>
    <x v="2"/>
    <x v="72"/>
    <x v="0"/>
    <x v="2"/>
    <x v="3"/>
    <x v="7"/>
    <x v="7"/>
    <n v="0"/>
    <x v="0"/>
  </r>
  <r>
    <x v="30"/>
    <x v="2"/>
    <x v="72"/>
    <x v="0"/>
    <x v="2"/>
    <x v="3"/>
    <x v="7"/>
    <x v="8"/>
    <n v="0"/>
    <x v="0"/>
  </r>
  <r>
    <x v="30"/>
    <x v="2"/>
    <x v="72"/>
    <x v="0"/>
    <x v="2"/>
    <x v="3"/>
    <x v="7"/>
    <x v="9"/>
    <n v="0"/>
    <x v="0"/>
  </r>
  <r>
    <x v="30"/>
    <x v="2"/>
    <x v="72"/>
    <x v="0"/>
    <x v="2"/>
    <x v="3"/>
    <x v="7"/>
    <x v="10"/>
    <n v="0"/>
    <x v="0"/>
  </r>
  <r>
    <x v="30"/>
    <x v="2"/>
    <x v="72"/>
    <x v="0"/>
    <x v="2"/>
    <x v="3"/>
    <x v="7"/>
    <x v="11"/>
    <n v="0"/>
    <x v="0"/>
  </r>
  <r>
    <x v="30"/>
    <x v="2"/>
    <x v="73"/>
    <x v="0"/>
    <x v="2"/>
    <x v="3"/>
    <x v="5"/>
    <x v="0"/>
    <n v="0"/>
    <x v="0"/>
  </r>
  <r>
    <x v="30"/>
    <x v="2"/>
    <x v="73"/>
    <x v="0"/>
    <x v="2"/>
    <x v="3"/>
    <x v="5"/>
    <x v="1"/>
    <n v="0"/>
    <x v="0"/>
  </r>
  <r>
    <x v="30"/>
    <x v="2"/>
    <x v="73"/>
    <x v="0"/>
    <x v="2"/>
    <x v="3"/>
    <x v="5"/>
    <x v="2"/>
    <n v="0"/>
    <x v="0"/>
  </r>
  <r>
    <x v="30"/>
    <x v="2"/>
    <x v="73"/>
    <x v="0"/>
    <x v="2"/>
    <x v="3"/>
    <x v="5"/>
    <x v="3"/>
    <n v="0"/>
    <x v="0"/>
  </r>
  <r>
    <x v="30"/>
    <x v="2"/>
    <x v="73"/>
    <x v="0"/>
    <x v="2"/>
    <x v="3"/>
    <x v="5"/>
    <x v="4"/>
    <n v="1826.159017804018"/>
    <x v="0"/>
  </r>
  <r>
    <x v="30"/>
    <x v="2"/>
    <x v="73"/>
    <x v="0"/>
    <x v="2"/>
    <x v="3"/>
    <x v="5"/>
    <x v="5"/>
    <n v="0"/>
    <x v="0"/>
  </r>
  <r>
    <x v="30"/>
    <x v="2"/>
    <x v="73"/>
    <x v="0"/>
    <x v="2"/>
    <x v="3"/>
    <x v="5"/>
    <x v="6"/>
    <n v="0"/>
    <x v="0"/>
  </r>
  <r>
    <x v="30"/>
    <x v="2"/>
    <x v="73"/>
    <x v="0"/>
    <x v="2"/>
    <x v="3"/>
    <x v="5"/>
    <x v="7"/>
    <n v="0"/>
    <x v="0"/>
  </r>
  <r>
    <x v="30"/>
    <x v="2"/>
    <x v="73"/>
    <x v="0"/>
    <x v="2"/>
    <x v="3"/>
    <x v="5"/>
    <x v="8"/>
    <n v="0"/>
    <x v="0"/>
  </r>
  <r>
    <x v="30"/>
    <x v="2"/>
    <x v="73"/>
    <x v="0"/>
    <x v="2"/>
    <x v="3"/>
    <x v="5"/>
    <x v="9"/>
    <n v="0"/>
    <x v="0"/>
  </r>
  <r>
    <x v="30"/>
    <x v="2"/>
    <x v="73"/>
    <x v="0"/>
    <x v="2"/>
    <x v="3"/>
    <x v="5"/>
    <x v="10"/>
    <n v="0"/>
    <x v="0"/>
  </r>
  <r>
    <x v="30"/>
    <x v="2"/>
    <x v="73"/>
    <x v="0"/>
    <x v="2"/>
    <x v="3"/>
    <x v="5"/>
    <x v="11"/>
    <n v="0"/>
    <x v="0"/>
  </r>
  <r>
    <x v="30"/>
    <x v="2"/>
    <x v="74"/>
    <x v="0"/>
    <x v="2"/>
    <x v="3"/>
    <x v="2"/>
    <x v="0"/>
    <n v="0"/>
    <x v="0"/>
  </r>
  <r>
    <x v="30"/>
    <x v="2"/>
    <x v="74"/>
    <x v="0"/>
    <x v="2"/>
    <x v="3"/>
    <x v="2"/>
    <x v="1"/>
    <n v="0"/>
    <x v="0"/>
  </r>
  <r>
    <x v="30"/>
    <x v="2"/>
    <x v="74"/>
    <x v="0"/>
    <x v="2"/>
    <x v="3"/>
    <x v="2"/>
    <x v="2"/>
    <n v="216.20126675781788"/>
    <x v="0"/>
  </r>
  <r>
    <x v="30"/>
    <x v="2"/>
    <x v="74"/>
    <x v="0"/>
    <x v="2"/>
    <x v="3"/>
    <x v="2"/>
    <x v="3"/>
    <n v="0"/>
    <x v="0"/>
  </r>
  <r>
    <x v="30"/>
    <x v="2"/>
    <x v="74"/>
    <x v="0"/>
    <x v="2"/>
    <x v="3"/>
    <x v="2"/>
    <x v="4"/>
    <n v="497.88921221128123"/>
    <x v="0"/>
  </r>
  <r>
    <x v="30"/>
    <x v="2"/>
    <x v="74"/>
    <x v="0"/>
    <x v="2"/>
    <x v="3"/>
    <x v="2"/>
    <x v="5"/>
    <n v="699.07750196202403"/>
    <x v="0"/>
  </r>
  <r>
    <x v="30"/>
    <x v="2"/>
    <x v="74"/>
    <x v="0"/>
    <x v="2"/>
    <x v="3"/>
    <x v="2"/>
    <x v="6"/>
    <n v="0"/>
    <x v="0"/>
  </r>
  <r>
    <x v="30"/>
    <x v="2"/>
    <x v="74"/>
    <x v="0"/>
    <x v="2"/>
    <x v="3"/>
    <x v="2"/>
    <x v="7"/>
    <n v="407.40074058239884"/>
    <x v="0"/>
  </r>
  <r>
    <x v="30"/>
    <x v="2"/>
    <x v="74"/>
    <x v="0"/>
    <x v="2"/>
    <x v="3"/>
    <x v="2"/>
    <x v="8"/>
    <n v="0"/>
    <x v="0"/>
  </r>
  <r>
    <x v="30"/>
    <x v="2"/>
    <x v="74"/>
    <x v="0"/>
    <x v="2"/>
    <x v="3"/>
    <x v="2"/>
    <x v="9"/>
    <n v="0"/>
    <x v="0"/>
  </r>
  <r>
    <x v="30"/>
    <x v="2"/>
    <x v="74"/>
    <x v="0"/>
    <x v="2"/>
    <x v="3"/>
    <x v="2"/>
    <x v="10"/>
    <n v="0"/>
    <x v="0"/>
  </r>
  <r>
    <x v="30"/>
    <x v="2"/>
    <x v="74"/>
    <x v="0"/>
    <x v="2"/>
    <x v="3"/>
    <x v="2"/>
    <x v="11"/>
    <n v="0"/>
    <x v="0"/>
  </r>
  <r>
    <x v="50"/>
    <x v="1"/>
    <x v="75"/>
    <x v="0"/>
    <x v="1"/>
    <x v="1"/>
    <x v="0"/>
    <x v="0"/>
    <n v="337.29835406261157"/>
    <x v="0"/>
  </r>
  <r>
    <x v="50"/>
    <x v="1"/>
    <x v="75"/>
    <x v="0"/>
    <x v="1"/>
    <x v="1"/>
    <x v="0"/>
    <x v="1"/>
    <n v="0"/>
    <x v="0"/>
  </r>
  <r>
    <x v="50"/>
    <x v="1"/>
    <x v="75"/>
    <x v="0"/>
    <x v="1"/>
    <x v="1"/>
    <x v="0"/>
    <x v="2"/>
    <n v="936.2160616787487"/>
    <x v="0"/>
  </r>
  <r>
    <x v="50"/>
    <x v="1"/>
    <x v="75"/>
    <x v="0"/>
    <x v="1"/>
    <x v="1"/>
    <x v="0"/>
    <x v="3"/>
    <n v="0"/>
    <x v="0"/>
  </r>
  <r>
    <x v="50"/>
    <x v="1"/>
    <x v="75"/>
    <x v="0"/>
    <x v="1"/>
    <x v="1"/>
    <x v="0"/>
    <x v="4"/>
    <n v="0"/>
    <x v="0"/>
  </r>
  <r>
    <x v="50"/>
    <x v="1"/>
    <x v="75"/>
    <x v="0"/>
    <x v="1"/>
    <x v="1"/>
    <x v="0"/>
    <x v="5"/>
    <n v="0"/>
    <x v="0"/>
  </r>
  <r>
    <x v="50"/>
    <x v="1"/>
    <x v="75"/>
    <x v="0"/>
    <x v="1"/>
    <x v="1"/>
    <x v="0"/>
    <x v="6"/>
    <n v="623.64593075492519"/>
    <x v="0"/>
  </r>
  <r>
    <x v="50"/>
    <x v="1"/>
    <x v="75"/>
    <x v="0"/>
    <x v="1"/>
    <x v="1"/>
    <x v="0"/>
    <x v="7"/>
    <n v="0"/>
    <x v="0"/>
  </r>
  <r>
    <x v="50"/>
    <x v="1"/>
    <x v="75"/>
    <x v="0"/>
    <x v="1"/>
    <x v="1"/>
    <x v="0"/>
    <x v="8"/>
    <n v="0"/>
    <x v="0"/>
  </r>
  <r>
    <x v="50"/>
    <x v="1"/>
    <x v="75"/>
    <x v="0"/>
    <x v="1"/>
    <x v="1"/>
    <x v="0"/>
    <x v="9"/>
    <n v="0"/>
    <x v="0"/>
  </r>
  <r>
    <x v="50"/>
    <x v="1"/>
    <x v="75"/>
    <x v="0"/>
    <x v="1"/>
    <x v="1"/>
    <x v="0"/>
    <x v="10"/>
    <n v="0"/>
    <x v="0"/>
  </r>
  <r>
    <x v="50"/>
    <x v="1"/>
    <x v="75"/>
    <x v="0"/>
    <x v="1"/>
    <x v="1"/>
    <x v="0"/>
    <x v="11"/>
    <n v="0"/>
    <x v="0"/>
  </r>
  <r>
    <x v="50"/>
    <x v="1"/>
    <x v="75"/>
    <x v="0"/>
    <x v="1"/>
    <x v="1"/>
    <x v="0"/>
    <x v="0"/>
    <n v="0"/>
    <x v="0"/>
  </r>
  <r>
    <x v="50"/>
    <x v="1"/>
    <x v="75"/>
    <x v="0"/>
    <x v="1"/>
    <x v="1"/>
    <x v="0"/>
    <x v="1"/>
    <n v="0"/>
    <x v="0"/>
  </r>
  <r>
    <x v="50"/>
    <x v="1"/>
    <x v="75"/>
    <x v="0"/>
    <x v="1"/>
    <x v="1"/>
    <x v="0"/>
    <x v="2"/>
    <n v="0"/>
    <x v="0"/>
  </r>
  <r>
    <x v="50"/>
    <x v="1"/>
    <x v="75"/>
    <x v="0"/>
    <x v="1"/>
    <x v="1"/>
    <x v="0"/>
    <x v="3"/>
    <n v="0"/>
    <x v="0"/>
  </r>
  <r>
    <x v="50"/>
    <x v="1"/>
    <x v="75"/>
    <x v="0"/>
    <x v="1"/>
    <x v="1"/>
    <x v="0"/>
    <x v="4"/>
    <n v="0"/>
    <x v="0"/>
  </r>
  <r>
    <x v="50"/>
    <x v="1"/>
    <x v="75"/>
    <x v="0"/>
    <x v="1"/>
    <x v="1"/>
    <x v="0"/>
    <x v="5"/>
    <n v="0"/>
    <x v="0"/>
  </r>
  <r>
    <x v="50"/>
    <x v="1"/>
    <x v="75"/>
    <x v="0"/>
    <x v="1"/>
    <x v="1"/>
    <x v="0"/>
    <x v="6"/>
    <n v="0"/>
    <x v="0"/>
  </r>
  <r>
    <x v="50"/>
    <x v="1"/>
    <x v="75"/>
    <x v="0"/>
    <x v="1"/>
    <x v="1"/>
    <x v="0"/>
    <x v="7"/>
    <n v="0"/>
    <x v="0"/>
  </r>
  <r>
    <x v="50"/>
    <x v="1"/>
    <x v="75"/>
    <x v="0"/>
    <x v="1"/>
    <x v="1"/>
    <x v="0"/>
    <x v="8"/>
    <n v="0"/>
    <x v="0"/>
  </r>
  <r>
    <x v="50"/>
    <x v="1"/>
    <x v="75"/>
    <x v="0"/>
    <x v="1"/>
    <x v="1"/>
    <x v="0"/>
    <x v="9"/>
    <n v="0"/>
    <x v="0"/>
  </r>
  <r>
    <x v="50"/>
    <x v="1"/>
    <x v="75"/>
    <x v="0"/>
    <x v="1"/>
    <x v="1"/>
    <x v="0"/>
    <x v="10"/>
    <n v="0"/>
    <x v="0"/>
  </r>
  <r>
    <x v="50"/>
    <x v="1"/>
    <x v="75"/>
    <x v="0"/>
    <x v="1"/>
    <x v="1"/>
    <x v="0"/>
    <x v="11"/>
    <n v="0"/>
    <x v="0"/>
  </r>
  <r>
    <x v="30"/>
    <x v="1"/>
    <x v="76"/>
    <x v="2"/>
    <x v="2"/>
    <x v="3"/>
    <x v="0"/>
    <x v="0"/>
    <n v="0"/>
    <x v="0"/>
  </r>
  <r>
    <x v="30"/>
    <x v="1"/>
    <x v="76"/>
    <x v="2"/>
    <x v="2"/>
    <x v="3"/>
    <x v="0"/>
    <x v="1"/>
    <n v="0"/>
    <x v="0"/>
  </r>
  <r>
    <x v="30"/>
    <x v="1"/>
    <x v="76"/>
    <x v="2"/>
    <x v="2"/>
    <x v="3"/>
    <x v="0"/>
    <x v="2"/>
    <n v="0"/>
    <x v="0"/>
  </r>
  <r>
    <x v="30"/>
    <x v="1"/>
    <x v="76"/>
    <x v="2"/>
    <x v="2"/>
    <x v="3"/>
    <x v="0"/>
    <x v="3"/>
    <n v="0"/>
    <x v="0"/>
  </r>
  <r>
    <x v="30"/>
    <x v="1"/>
    <x v="76"/>
    <x v="2"/>
    <x v="2"/>
    <x v="3"/>
    <x v="0"/>
    <x v="4"/>
    <n v="1539.4455300122952"/>
    <x v="0"/>
  </r>
  <r>
    <x v="30"/>
    <x v="1"/>
    <x v="76"/>
    <x v="2"/>
    <x v="2"/>
    <x v="3"/>
    <x v="0"/>
    <x v="5"/>
    <n v="0"/>
    <x v="0"/>
  </r>
  <r>
    <x v="30"/>
    <x v="1"/>
    <x v="76"/>
    <x v="2"/>
    <x v="2"/>
    <x v="3"/>
    <x v="0"/>
    <x v="6"/>
    <n v="0"/>
    <x v="0"/>
  </r>
  <r>
    <x v="30"/>
    <x v="1"/>
    <x v="76"/>
    <x v="2"/>
    <x v="2"/>
    <x v="3"/>
    <x v="0"/>
    <x v="7"/>
    <n v="0"/>
    <x v="0"/>
  </r>
  <r>
    <x v="30"/>
    <x v="1"/>
    <x v="76"/>
    <x v="2"/>
    <x v="2"/>
    <x v="3"/>
    <x v="0"/>
    <x v="8"/>
    <n v="0"/>
    <x v="0"/>
  </r>
  <r>
    <x v="30"/>
    <x v="1"/>
    <x v="76"/>
    <x v="2"/>
    <x v="2"/>
    <x v="3"/>
    <x v="0"/>
    <x v="9"/>
    <n v="0"/>
    <x v="0"/>
  </r>
  <r>
    <x v="30"/>
    <x v="1"/>
    <x v="76"/>
    <x v="2"/>
    <x v="2"/>
    <x v="3"/>
    <x v="0"/>
    <x v="10"/>
    <n v="0"/>
    <x v="0"/>
  </r>
  <r>
    <x v="30"/>
    <x v="1"/>
    <x v="76"/>
    <x v="2"/>
    <x v="2"/>
    <x v="3"/>
    <x v="0"/>
    <x v="11"/>
    <n v="0"/>
    <x v="0"/>
  </r>
  <r>
    <x v="51"/>
    <x v="1"/>
    <x v="77"/>
    <x v="0"/>
    <x v="1"/>
    <x v="1"/>
    <x v="0"/>
    <x v="0"/>
    <n v="0"/>
    <x v="0"/>
  </r>
  <r>
    <x v="51"/>
    <x v="1"/>
    <x v="77"/>
    <x v="0"/>
    <x v="1"/>
    <x v="1"/>
    <x v="0"/>
    <x v="1"/>
    <n v="0"/>
    <x v="0"/>
  </r>
  <r>
    <x v="51"/>
    <x v="1"/>
    <x v="77"/>
    <x v="0"/>
    <x v="1"/>
    <x v="1"/>
    <x v="0"/>
    <x v="2"/>
    <n v="352.52992893927166"/>
    <x v="0"/>
  </r>
  <r>
    <x v="51"/>
    <x v="1"/>
    <x v="77"/>
    <x v="0"/>
    <x v="1"/>
    <x v="1"/>
    <x v="0"/>
    <x v="3"/>
    <n v="0"/>
    <x v="0"/>
  </r>
  <r>
    <x v="51"/>
    <x v="1"/>
    <x v="77"/>
    <x v="0"/>
    <x v="1"/>
    <x v="1"/>
    <x v="0"/>
    <x v="4"/>
    <n v="0"/>
    <x v="0"/>
  </r>
  <r>
    <x v="51"/>
    <x v="1"/>
    <x v="77"/>
    <x v="0"/>
    <x v="1"/>
    <x v="1"/>
    <x v="0"/>
    <x v="5"/>
    <n v="0"/>
    <x v="0"/>
  </r>
  <r>
    <x v="51"/>
    <x v="1"/>
    <x v="77"/>
    <x v="0"/>
    <x v="1"/>
    <x v="1"/>
    <x v="0"/>
    <x v="6"/>
    <n v="0"/>
    <x v="0"/>
  </r>
  <r>
    <x v="51"/>
    <x v="1"/>
    <x v="77"/>
    <x v="0"/>
    <x v="1"/>
    <x v="1"/>
    <x v="0"/>
    <x v="7"/>
    <n v="0"/>
    <x v="0"/>
  </r>
  <r>
    <x v="51"/>
    <x v="1"/>
    <x v="77"/>
    <x v="0"/>
    <x v="1"/>
    <x v="1"/>
    <x v="0"/>
    <x v="8"/>
    <n v="0"/>
    <x v="0"/>
  </r>
  <r>
    <x v="51"/>
    <x v="1"/>
    <x v="77"/>
    <x v="0"/>
    <x v="1"/>
    <x v="1"/>
    <x v="0"/>
    <x v="9"/>
    <n v="0"/>
    <x v="0"/>
  </r>
  <r>
    <x v="51"/>
    <x v="1"/>
    <x v="77"/>
    <x v="0"/>
    <x v="1"/>
    <x v="1"/>
    <x v="0"/>
    <x v="10"/>
    <n v="0"/>
    <x v="0"/>
  </r>
  <r>
    <x v="51"/>
    <x v="1"/>
    <x v="77"/>
    <x v="0"/>
    <x v="1"/>
    <x v="1"/>
    <x v="0"/>
    <x v="11"/>
    <n v="0"/>
    <x v="0"/>
  </r>
  <r>
    <x v="41"/>
    <x v="0"/>
    <x v="42"/>
    <x v="0"/>
    <x v="0"/>
    <x v="0"/>
    <x v="0"/>
    <x v="0"/>
    <n v="0"/>
    <x v="0"/>
  </r>
  <r>
    <x v="41"/>
    <x v="0"/>
    <x v="42"/>
    <x v="0"/>
    <x v="0"/>
    <x v="0"/>
    <x v="0"/>
    <x v="1"/>
    <n v="0"/>
    <x v="0"/>
  </r>
  <r>
    <x v="41"/>
    <x v="0"/>
    <x v="42"/>
    <x v="0"/>
    <x v="0"/>
    <x v="0"/>
    <x v="0"/>
    <x v="2"/>
    <n v="8988.0921457149507"/>
    <x v="0"/>
  </r>
  <r>
    <x v="41"/>
    <x v="0"/>
    <x v="42"/>
    <x v="0"/>
    <x v="0"/>
    <x v="0"/>
    <x v="0"/>
    <x v="3"/>
    <n v="9037.1248137924049"/>
    <x v="0"/>
  </r>
  <r>
    <x v="41"/>
    <x v="0"/>
    <x v="42"/>
    <x v="0"/>
    <x v="0"/>
    <x v="0"/>
    <x v="0"/>
    <x v="4"/>
    <n v="9562.8773566255059"/>
    <x v="0"/>
  </r>
  <r>
    <x v="41"/>
    <x v="0"/>
    <x v="42"/>
    <x v="0"/>
    <x v="0"/>
    <x v="0"/>
    <x v="0"/>
    <x v="5"/>
    <n v="0"/>
    <x v="0"/>
  </r>
  <r>
    <x v="41"/>
    <x v="0"/>
    <x v="42"/>
    <x v="0"/>
    <x v="0"/>
    <x v="0"/>
    <x v="0"/>
    <x v="6"/>
    <n v="0"/>
    <x v="0"/>
  </r>
  <r>
    <x v="41"/>
    <x v="0"/>
    <x v="42"/>
    <x v="0"/>
    <x v="0"/>
    <x v="0"/>
    <x v="0"/>
    <x v="7"/>
    <n v="0"/>
    <x v="0"/>
  </r>
  <r>
    <x v="41"/>
    <x v="0"/>
    <x v="42"/>
    <x v="0"/>
    <x v="0"/>
    <x v="0"/>
    <x v="0"/>
    <x v="8"/>
    <n v="0"/>
    <x v="0"/>
  </r>
  <r>
    <x v="41"/>
    <x v="0"/>
    <x v="42"/>
    <x v="0"/>
    <x v="0"/>
    <x v="0"/>
    <x v="0"/>
    <x v="9"/>
    <n v="0"/>
    <x v="0"/>
  </r>
  <r>
    <x v="41"/>
    <x v="0"/>
    <x v="42"/>
    <x v="0"/>
    <x v="0"/>
    <x v="0"/>
    <x v="0"/>
    <x v="10"/>
    <n v="0"/>
    <x v="0"/>
  </r>
  <r>
    <x v="41"/>
    <x v="0"/>
    <x v="42"/>
    <x v="0"/>
    <x v="0"/>
    <x v="0"/>
    <x v="0"/>
    <x v="11"/>
    <n v="0"/>
    <x v="0"/>
  </r>
  <r>
    <x v="30"/>
    <x v="0"/>
    <x v="78"/>
    <x v="1"/>
    <x v="0"/>
    <x v="0"/>
    <x v="0"/>
    <x v="0"/>
    <n v="0"/>
    <x v="0"/>
  </r>
  <r>
    <x v="30"/>
    <x v="0"/>
    <x v="78"/>
    <x v="1"/>
    <x v="0"/>
    <x v="0"/>
    <x v="0"/>
    <x v="1"/>
    <n v="0"/>
    <x v="0"/>
  </r>
  <r>
    <x v="30"/>
    <x v="0"/>
    <x v="78"/>
    <x v="1"/>
    <x v="0"/>
    <x v="0"/>
    <x v="0"/>
    <x v="2"/>
    <n v="6729.0529433160063"/>
    <x v="0"/>
  </r>
  <r>
    <x v="30"/>
    <x v="0"/>
    <x v="78"/>
    <x v="1"/>
    <x v="0"/>
    <x v="0"/>
    <x v="0"/>
    <x v="3"/>
    <n v="0"/>
    <x v="0"/>
  </r>
  <r>
    <x v="30"/>
    <x v="0"/>
    <x v="78"/>
    <x v="1"/>
    <x v="0"/>
    <x v="0"/>
    <x v="0"/>
    <x v="4"/>
    <n v="0"/>
    <x v="0"/>
  </r>
  <r>
    <x v="30"/>
    <x v="0"/>
    <x v="78"/>
    <x v="1"/>
    <x v="0"/>
    <x v="0"/>
    <x v="0"/>
    <x v="5"/>
    <n v="0"/>
    <x v="0"/>
  </r>
  <r>
    <x v="30"/>
    <x v="0"/>
    <x v="78"/>
    <x v="1"/>
    <x v="0"/>
    <x v="0"/>
    <x v="0"/>
    <x v="6"/>
    <n v="0"/>
    <x v="0"/>
  </r>
  <r>
    <x v="30"/>
    <x v="0"/>
    <x v="78"/>
    <x v="1"/>
    <x v="0"/>
    <x v="0"/>
    <x v="0"/>
    <x v="7"/>
    <n v="0"/>
    <x v="0"/>
  </r>
  <r>
    <x v="30"/>
    <x v="0"/>
    <x v="78"/>
    <x v="1"/>
    <x v="0"/>
    <x v="0"/>
    <x v="0"/>
    <x v="8"/>
    <n v="0"/>
    <x v="0"/>
  </r>
  <r>
    <x v="30"/>
    <x v="0"/>
    <x v="78"/>
    <x v="1"/>
    <x v="0"/>
    <x v="0"/>
    <x v="0"/>
    <x v="9"/>
    <n v="0"/>
    <x v="0"/>
  </r>
  <r>
    <x v="30"/>
    <x v="0"/>
    <x v="78"/>
    <x v="1"/>
    <x v="0"/>
    <x v="0"/>
    <x v="0"/>
    <x v="10"/>
    <n v="0"/>
    <x v="0"/>
  </r>
  <r>
    <x v="30"/>
    <x v="0"/>
    <x v="78"/>
    <x v="1"/>
    <x v="0"/>
    <x v="0"/>
    <x v="0"/>
    <x v="11"/>
    <n v="0"/>
    <x v="0"/>
  </r>
  <r>
    <x v="1"/>
    <x v="1"/>
    <x v="1"/>
    <x v="0"/>
    <x v="1"/>
    <x v="1"/>
    <x v="0"/>
    <x v="0"/>
    <n v="18986.346765933544"/>
    <x v="0"/>
  </r>
  <r>
    <x v="1"/>
    <x v="1"/>
    <x v="1"/>
    <x v="0"/>
    <x v="1"/>
    <x v="1"/>
    <x v="0"/>
    <x v="1"/>
    <n v="0"/>
    <x v="0"/>
  </r>
  <r>
    <x v="1"/>
    <x v="1"/>
    <x v="1"/>
    <x v="0"/>
    <x v="1"/>
    <x v="1"/>
    <x v="0"/>
    <x v="2"/>
    <n v="0"/>
    <x v="0"/>
  </r>
  <r>
    <x v="1"/>
    <x v="1"/>
    <x v="1"/>
    <x v="0"/>
    <x v="1"/>
    <x v="1"/>
    <x v="0"/>
    <x v="3"/>
    <n v="0"/>
    <x v="0"/>
  </r>
  <r>
    <x v="1"/>
    <x v="1"/>
    <x v="1"/>
    <x v="0"/>
    <x v="1"/>
    <x v="1"/>
    <x v="0"/>
    <x v="4"/>
    <n v="0"/>
    <x v="0"/>
  </r>
  <r>
    <x v="1"/>
    <x v="1"/>
    <x v="1"/>
    <x v="0"/>
    <x v="1"/>
    <x v="1"/>
    <x v="0"/>
    <x v="5"/>
    <n v="0"/>
    <x v="0"/>
  </r>
  <r>
    <x v="1"/>
    <x v="1"/>
    <x v="1"/>
    <x v="0"/>
    <x v="1"/>
    <x v="1"/>
    <x v="0"/>
    <x v="6"/>
    <n v="0"/>
    <x v="0"/>
  </r>
  <r>
    <x v="1"/>
    <x v="1"/>
    <x v="1"/>
    <x v="0"/>
    <x v="1"/>
    <x v="1"/>
    <x v="0"/>
    <x v="7"/>
    <n v="0"/>
    <x v="0"/>
  </r>
  <r>
    <x v="1"/>
    <x v="1"/>
    <x v="1"/>
    <x v="0"/>
    <x v="1"/>
    <x v="1"/>
    <x v="0"/>
    <x v="8"/>
    <n v="0"/>
    <x v="0"/>
  </r>
  <r>
    <x v="1"/>
    <x v="1"/>
    <x v="1"/>
    <x v="0"/>
    <x v="1"/>
    <x v="1"/>
    <x v="0"/>
    <x v="9"/>
    <n v="0"/>
    <x v="0"/>
  </r>
  <r>
    <x v="1"/>
    <x v="1"/>
    <x v="1"/>
    <x v="0"/>
    <x v="1"/>
    <x v="1"/>
    <x v="0"/>
    <x v="10"/>
    <n v="0"/>
    <x v="0"/>
  </r>
  <r>
    <x v="1"/>
    <x v="1"/>
    <x v="1"/>
    <x v="0"/>
    <x v="1"/>
    <x v="1"/>
    <x v="0"/>
    <x v="11"/>
    <n v="0"/>
    <x v="0"/>
  </r>
  <r>
    <x v="30"/>
    <x v="2"/>
    <x v="79"/>
    <x v="0"/>
    <x v="2"/>
    <x v="3"/>
    <x v="0"/>
    <x v="0"/>
    <n v="0"/>
    <x v="0"/>
  </r>
  <r>
    <x v="30"/>
    <x v="2"/>
    <x v="79"/>
    <x v="0"/>
    <x v="2"/>
    <x v="3"/>
    <x v="0"/>
    <x v="1"/>
    <n v="0"/>
    <x v="0"/>
  </r>
  <r>
    <x v="30"/>
    <x v="2"/>
    <x v="79"/>
    <x v="0"/>
    <x v="2"/>
    <x v="3"/>
    <x v="0"/>
    <x v="2"/>
    <n v="0"/>
    <x v="0"/>
  </r>
  <r>
    <x v="30"/>
    <x v="2"/>
    <x v="79"/>
    <x v="0"/>
    <x v="2"/>
    <x v="3"/>
    <x v="0"/>
    <x v="3"/>
    <n v="0"/>
    <x v="0"/>
  </r>
  <r>
    <x v="30"/>
    <x v="2"/>
    <x v="79"/>
    <x v="0"/>
    <x v="2"/>
    <x v="3"/>
    <x v="0"/>
    <x v="4"/>
    <n v="0"/>
    <x v="0"/>
  </r>
  <r>
    <x v="30"/>
    <x v="2"/>
    <x v="79"/>
    <x v="0"/>
    <x v="2"/>
    <x v="3"/>
    <x v="0"/>
    <x v="5"/>
    <n v="0"/>
    <x v="0"/>
  </r>
  <r>
    <x v="30"/>
    <x v="2"/>
    <x v="79"/>
    <x v="0"/>
    <x v="2"/>
    <x v="3"/>
    <x v="0"/>
    <x v="6"/>
    <n v="0"/>
    <x v="0"/>
  </r>
  <r>
    <x v="30"/>
    <x v="2"/>
    <x v="79"/>
    <x v="0"/>
    <x v="2"/>
    <x v="3"/>
    <x v="0"/>
    <x v="7"/>
    <n v="6501.6207463932897"/>
    <x v="0"/>
  </r>
  <r>
    <x v="30"/>
    <x v="2"/>
    <x v="79"/>
    <x v="0"/>
    <x v="2"/>
    <x v="3"/>
    <x v="0"/>
    <x v="8"/>
    <n v="0"/>
    <x v="0"/>
  </r>
  <r>
    <x v="30"/>
    <x v="2"/>
    <x v="79"/>
    <x v="0"/>
    <x v="2"/>
    <x v="3"/>
    <x v="0"/>
    <x v="9"/>
    <n v="0"/>
    <x v="0"/>
  </r>
  <r>
    <x v="30"/>
    <x v="2"/>
    <x v="79"/>
    <x v="0"/>
    <x v="2"/>
    <x v="3"/>
    <x v="0"/>
    <x v="10"/>
    <n v="0"/>
    <x v="0"/>
  </r>
  <r>
    <x v="30"/>
    <x v="2"/>
    <x v="79"/>
    <x v="0"/>
    <x v="2"/>
    <x v="3"/>
    <x v="0"/>
    <x v="11"/>
    <n v="0"/>
    <x v="0"/>
  </r>
  <r>
    <x v="30"/>
    <x v="2"/>
    <x v="80"/>
    <x v="0"/>
    <x v="2"/>
    <x v="3"/>
    <x v="0"/>
    <x v="0"/>
    <n v="0"/>
    <x v="0"/>
  </r>
  <r>
    <x v="30"/>
    <x v="2"/>
    <x v="80"/>
    <x v="0"/>
    <x v="2"/>
    <x v="3"/>
    <x v="0"/>
    <x v="1"/>
    <n v="0"/>
    <x v="0"/>
  </r>
  <r>
    <x v="30"/>
    <x v="2"/>
    <x v="80"/>
    <x v="0"/>
    <x v="2"/>
    <x v="3"/>
    <x v="0"/>
    <x v="2"/>
    <n v="0"/>
    <x v="0"/>
  </r>
  <r>
    <x v="30"/>
    <x v="2"/>
    <x v="80"/>
    <x v="0"/>
    <x v="2"/>
    <x v="3"/>
    <x v="0"/>
    <x v="3"/>
    <n v="0"/>
    <x v="0"/>
  </r>
  <r>
    <x v="30"/>
    <x v="2"/>
    <x v="80"/>
    <x v="0"/>
    <x v="2"/>
    <x v="3"/>
    <x v="0"/>
    <x v="4"/>
    <n v="0"/>
    <x v="0"/>
  </r>
  <r>
    <x v="30"/>
    <x v="2"/>
    <x v="80"/>
    <x v="0"/>
    <x v="2"/>
    <x v="3"/>
    <x v="0"/>
    <x v="5"/>
    <n v="0"/>
    <x v="0"/>
  </r>
  <r>
    <x v="30"/>
    <x v="2"/>
    <x v="80"/>
    <x v="0"/>
    <x v="2"/>
    <x v="3"/>
    <x v="0"/>
    <x v="6"/>
    <n v="0"/>
    <x v="0"/>
  </r>
  <r>
    <x v="30"/>
    <x v="2"/>
    <x v="80"/>
    <x v="0"/>
    <x v="2"/>
    <x v="3"/>
    <x v="0"/>
    <x v="7"/>
    <n v="6081.7721186119934"/>
    <x v="0"/>
  </r>
  <r>
    <x v="30"/>
    <x v="2"/>
    <x v="80"/>
    <x v="0"/>
    <x v="2"/>
    <x v="3"/>
    <x v="0"/>
    <x v="8"/>
    <n v="0"/>
    <x v="0"/>
  </r>
  <r>
    <x v="30"/>
    <x v="2"/>
    <x v="80"/>
    <x v="0"/>
    <x v="2"/>
    <x v="3"/>
    <x v="0"/>
    <x v="9"/>
    <n v="0"/>
    <x v="0"/>
  </r>
  <r>
    <x v="30"/>
    <x v="2"/>
    <x v="80"/>
    <x v="0"/>
    <x v="2"/>
    <x v="3"/>
    <x v="0"/>
    <x v="10"/>
    <n v="0"/>
    <x v="0"/>
  </r>
  <r>
    <x v="30"/>
    <x v="2"/>
    <x v="80"/>
    <x v="0"/>
    <x v="2"/>
    <x v="3"/>
    <x v="0"/>
    <x v="11"/>
    <n v="0"/>
    <x v="0"/>
  </r>
  <r>
    <x v="30"/>
    <x v="1"/>
    <x v="81"/>
    <x v="0"/>
    <x v="1"/>
    <x v="1"/>
    <x v="0"/>
    <x v="0"/>
    <n v="0"/>
    <x v="0"/>
  </r>
  <r>
    <x v="30"/>
    <x v="1"/>
    <x v="81"/>
    <x v="0"/>
    <x v="1"/>
    <x v="1"/>
    <x v="0"/>
    <x v="1"/>
    <n v="0"/>
    <x v="0"/>
  </r>
  <r>
    <x v="30"/>
    <x v="1"/>
    <x v="81"/>
    <x v="0"/>
    <x v="1"/>
    <x v="1"/>
    <x v="0"/>
    <x v="2"/>
    <n v="0"/>
    <x v="0"/>
  </r>
  <r>
    <x v="30"/>
    <x v="1"/>
    <x v="81"/>
    <x v="0"/>
    <x v="1"/>
    <x v="1"/>
    <x v="0"/>
    <x v="3"/>
    <n v="0"/>
    <x v="0"/>
  </r>
  <r>
    <x v="30"/>
    <x v="1"/>
    <x v="81"/>
    <x v="0"/>
    <x v="1"/>
    <x v="1"/>
    <x v="0"/>
    <x v="4"/>
    <n v="0"/>
    <x v="0"/>
  </r>
  <r>
    <x v="30"/>
    <x v="1"/>
    <x v="81"/>
    <x v="0"/>
    <x v="1"/>
    <x v="1"/>
    <x v="0"/>
    <x v="5"/>
    <n v="0"/>
    <x v="0"/>
  </r>
  <r>
    <x v="30"/>
    <x v="1"/>
    <x v="81"/>
    <x v="0"/>
    <x v="1"/>
    <x v="1"/>
    <x v="0"/>
    <x v="6"/>
    <n v="0"/>
    <x v="0"/>
  </r>
  <r>
    <x v="30"/>
    <x v="1"/>
    <x v="81"/>
    <x v="0"/>
    <x v="1"/>
    <x v="1"/>
    <x v="0"/>
    <x v="7"/>
    <n v="0"/>
    <x v="0"/>
  </r>
  <r>
    <x v="30"/>
    <x v="1"/>
    <x v="81"/>
    <x v="0"/>
    <x v="1"/>
    <x v="1"/>
    <x v="0"/>
    <x v="8"/>
    <n v="0"/>
    <x v="0"/>
  </r>
  <r>
    <x v="30"/>
    <x v="1"/>
    <x v="81"/>
    <x v="0"/>
    <x v="1"/>
    <x v="1"/>
    <x v="0"/>
    <x v="9"/>
    <n v="0"/>
    <x v="0"/>
  </r>
  <r>
    <x v="30"/>
    <x v="1"/>
    <x v="81"/>
    <x v="0"/>
    <x v="1"/>
    <x v="1"/>
    <x v="0"/>
    <x v="10"/>
    <n v="0"/>
    <x v="0"/>
  </r>
  <r>
    <x v="30"/>
    <x v="1"/>
    <x v="81"/>
    <x v="0"/>
    <x v="1"/>
    <x v="1"/>
    <x v="0"/>
    <x v="11"/>
    <n v="0"/>
    <x v="0"/>
  </r>
  <r>
    <x v="30"/>
    <x v="0"/>
    <x v="82"/>
    <x v="2"/>
    <x v="3"/>
    <x v="4"/>
    <x v="0"/>
    <x v="0"/>
    <n v="11332.385819227084"/>
    <x v="0"/>
  </r>
  <r>
    <x v="30"/>
    <x v="0"/>
    <x v="82"/>
    <x v="2"/>
    <x v="3"/>
    <x v="4"/>
    <x v="0"/>
    <x v="1"/>
    <n v="0"/>
    <x v="0"/>
  </r>
  <r>
    <x v="30"/>
    <x v="0"/>
    <x v="82"/>
    <x v="2"/>
    <x v="3"/>
    <x v="4"/>
    <x v="0"/>
    <x v="2"/>
    <n v="0"/>
    <x v="0"/>
  </r>
  <r>
    <x v="30"/>
    <x v="0"/>
    <x v="82"/>
    <x v="2"/>
    <x v="3"/>
    <x v="4"/>
    <x v="0"/>
    <x v="3"/>
    <n v="5740.8586247838857"/>
    <x v="0"/>
  </r>
  <r>
    <x v="30"/>
    <x v="0"/>
    <x v="82"/>
    <x v="2"/>
    <x v="3"/>
    <x v="4"/>
    <x v="0"/>
    <x v="4"/>
    <n v="10765.362574628492"/>
    <x v="0"/>
  </r>
  <r>
    <x v="30"/>
    <x v="0"/>
    <x v="82"/>
    <x v="2"/>
    <x v="3"/>
    <x v="4"/>
    <x v="0"/>
    <x v="5"/>
    <n v="6994.2920697995851"/>
    <x v="0"/>
  </r>
  <r>
    <x v="30"/>
    <x v="0"/>
    <x v="82"/>
    <x v="2"/>
    <x v="3"/>
    <x v="4"/>
    <x v="0"/>
    <x v="6"/>
    <n v="4987.7725158923167"/>
    <x v="0"/>
  </r>
  <r>
    <x v="30"/>
    <x v="0"/>
    <x v="82"/>
    <x v="2"/>
    <x v="3"/>
    <x v="4"/>
    <x v="0"/>
    <x v="7"/>
    <n v="4749.312829336488"/>
    <x v="0"/>
  </r>
  <r>
    <x v="30"/>
    <x v="0"/>
    <x v="82"/>
    <x v="2"/>
    <x v="3"/>
    <x v="4"/>
    <x v="0"/>
    <x v="8"/>
    <n v="3756.4882693989484"/>
    <x v="0"/>
  </r>
  <r>
    <x v="30"/>
    <x v="0"/>
    <x v="82"/>
    <x v="2"/>
    <x v="3"/>
    <x v="4"/>
    <x v="0"/>
    <x v="9"/>
    <n v="6478.012545750963"/>
    <x v="0"/>
  </r>
  <r>
    <x v="30"/>
    <x v="0"/>
    <x v="82"/>
    <x v="2"/>
    <x v="3"/>
    <x v="4"/>
    <x v="0"/>
    <x v="10"/>
    <n v="6478.012545750963"/>
    <x v="0"/>
  </r>
  <r>
    <x v="30"/>
    <x v="0"/>
    <x v="82"/>
    <x v="2"/>
    <x v="3"/>
    <x v="4"/>
    <x v="0"/>
    <x v="11"/>
    <n v="6478.012545750963"/>
    <x v="0"/>
  </r>
  <r>
    <x v="52"/>
    <x v="1"/>
    <x v="83"/>
    <x v="2"/>
    <x v="4"/>
    <x v="5"/>
    <x v="0"/>
    <x v="0"/>
    <n v="738.71848808907589"/>
    <x v="0"/>
  </r>
  <r>
    <x v="52"/>
    <x v="1"/>
    <x v="83"/>
    <x v="2"/>
    <x v="4"/>
    <x v="5"/>
    <x v="0"/>
    <x v="1"/>
    <n v="0"/>
    <x v="0"/>
  </r>
  <r>
    <x v="52"/>
    <x v="1"/>
    <x v="83"/>
    <x v="2"/>
    <x v="4"/>
    <x v="5"/>
    <x v="0"/>
    <x v="2"/>
    <n v="0"/>
    <x v="0"/>
  </r>
  <r>
    <x v="52"/>
    <x v="1"/>
    <x v="83"/>
    <x v="2"/>
    <x v="4"/>
    <x v="5"/>
    <x v="0"/>
    <x v="3"/>
    <n v="0"/>
    <x v="0"/>
  </r>
  <r>
    <x v="52"/>
    <x v="1"/>
    <x v="83"/>
    <x v="2"/>
    <x v="4"/>
    <x v="5"/>
    <x v="0"/>
    <x v="4"/>
    <n v="0"/>
    <x v="0"/>
  </r>
  <r>
    <x v="52"/>
    <x v="1"/>
    <x v="83"/>
    <x v="2"/>
    <x v="4"/>
    <x v="5"/>
    <x v="0"/>
    <x v="5"/>
    <n v="0"/>
    <x v="0"/>
  </r>
  <r>
    <x v="52"/>
    <x v="1"/>
    <x v="83"/>
    <x v="2"/>
    <x v="4"/>
    <x v="5"/>
    <x v="0"/>
    <x v="6"/>
    <n v="0"/>
    <x v="0"/>
  </r>
  <r>
    <x v="52"/>
    <x v="1"/>
    <x v="83"/>
    <x v="2"/>
    <x v="4"/>
    <x v="5"/>
    <x v="0"/>
    <x v="7"/>
    <n v="0"/>
    <x v="0"/>
  </r>
  <r>
    <x v="52"/>
    <x v="1"/>
    <x v="83"/>
    <x v="2"/>
    <x v="4"/>
    <x v="5"/>
    <x v="0"/>
    <x v="8"/>
    <n v="0"/>
    <x v="0"/>
  </r>
  <r>
    <x v="52"/>
    <x v="1"/>
    <x v="83"/>
    <x v="2"/>
    <x v="4"/>
    <x v="5"/>
    <x v="0"/>
    <x v="9"/>
    <n v="0"/>
    <x v="0"/>
  </r>
  <r>
    <x v="52"/>
    <x v="1"/>
    <x v="83"/>
    <x v="2"/>
    <x v="4"/>
    <x v="5"/>
    <x v="0"/>
    <x v="10"/>
    <n v="0"/>
    <x v="0"/>
  </r>
  <r>
    <x v="52"/>
    <x v="1"/>
    <x v="83"/>
    <x v="2"/>
    <x v="4"/>
    <x v="5"/>
    <x v="0"/>
    <x v="11"/>
    <n v="0"/>
    <x v="0"/>
  </r>
  <r>
    <x v="50"/>
    <x v="1"/>
    <x v="75"/>
    <x v="0"/>
    <x v="4"/>
    <x v="5"/>
    <x v="0"/>
    <x v="0"/>
    <n v="667.18355929030054"/>
    <x v="0"/>
  </r>
  <r>
    <x v="50"/>
    <x v="1"/>
    <x v="75"/>
    <x v="0"/>
    <x v="4"/>
    <x v="5"/>
    <x v="0"/>
    <x v="1"/>
    <n v="0"/>
    <x v="0"/>
  </r>
  <r>
    <x v="50"/>
    <x v="1"/>
    <x v="75"/>
    <x v="0"/>
    <x v="4"/>
    <x v="5"/>
    <x v="0"/>
    <x v="2"/>
    <n v="0"/>
    <x v="0"/>
  </r>
  <r>
    <x v="50"/>
    <x v="1"/>
    <x v="75"/>
    <x v="0"/>
    <x v="4"/>
    <x v="5"/>
    <x v="0"/>
    <x v="3"/>
    <n v="280.7507238527715"/>
    <x v="0"/>
  </r>
  <r>
    <x v="50"/>
    <x v="1"/>
    <x v="75"/>
    <x v="0"/>
    <x v="4"/>
    <x v="5"/>
    <x v="0"/>
    <x v="4"/>
    <n v="0"/>
    <x v="0"/>
  </r>
  <r>
    <x v="50"/>
    <x v="1"/>
    <x v="75"/>
    <x v="0"/>
    <x v="4"/>
    <x v="5"/>
    <x v="0"/>
    <x v="5"/>
    <n v="0"/>
    <x v="0"/>
  </r>
  <r>
    <x v="50"/>
    <x v="1"/>
    <x v="75"/>
    <x v="0"/>
    <x v="4"/>
    <x v="5"/>
    <x v="0"/>
    <x v="6"/>
    <n v="0"/>
    <x v="0"/>
  </r>
  <r>
    <x v="50"/>
    <x v="1"/>
    <x v="75"/>
    <x v="0"/>
    <x v="4"/>
    <x v="5"/>
    <x v="0"/>
    <x v="7"/>
    <n v="0"/>
    <x v="0"/>
  </r>
  <r>
    <x v="50"/>
    <x v="1"/>
    <x v="75"/>
    <x v="0"/>
    <x v="4"/>
    <x v="5"/>
    <x v="0"/>
    <x v="8"/>
    <n v="0"/>
    <x v="0"/>
  </r>
  <r>
    <x v="50"/>
    <x v="1"/>
    <x v="75"/>
    <x v="0"/>
    <x v="4"/>
    <x v="5"/>
    <x v="0"/>
    <x v="9"/>
    <n v="0"/>
    <x v="0"/>
  </r>
  <r>
    <x v="50"/>
    <x v="1"/>
    <x v="75"/>
    <x v="0"/>
    <x v="4"/>
    <x v="5"/>
    <x v="0"/>
    <x v="10"/>
    <n v="0"/>
    <x v="0"/>
  </r>
  <r>
    <x v="50"/>
    <x v="1"/>
    <x v="75"/>
    <x v="0"/>
    <x v="4"/>
    <x v="5"/>
    <x v="0"/>
    <x v="11"/>
    <n v="0"/>
    <x v="0"/>
  </r>
  <r>
    <x v="30"/>
    <x v="1"/>
    <x v="84"/>
    <x v="0"/>
    <x v="4"/>
    <x v="5"/>
    <x v="0"/>
    <x v="0"/>
    <n v="1105.2875031663343"/>
    <x v="0"/>
  </r>
  <r>
    <x v="30"/>
    <x v="1"/>
    <x v="84"/>
    <x v="0"/>
    <x v="4"/>
    <x v="5"/>
    <x v="0"/>
    <x v="1"/>
    <n v="0"/>
    <x v="0"/>
  </r>
  <r>
    <x v="30"/>
    <x v="1"/>
    <x v="84"/>
    <x v="0"/>
    <x v="4"/>
    <x v="5"/>
    <x v="0"/>
    <x v="2"/>
    <n v="0"/>
    <x v="0"/>
  </r>
  <r>
    <x v="30"/>
    <x v="1"/>
    <x v="84"/>
    <x v="0"/>
    <x v="4"/>
    <x v="5"/>
    <x v="0"/>
    <x v="3"/>
    <n v="1192.1074010040202"/>
    <x v="0"/>
  </r>
  <r>
    <x v="30"/>
    <x v="1"/>
    <x v="84"/>
    <x v="0"/>
    <x v="4"/>
    <x v="5"/>
    <x v="0"/>
    <x v="4"/>
    <n v="0"/>
    <x v="0"/>
  </r>
  <r>
    <x v="30"/>
    <x v="1"/>
    <x v="84"/>
    <x v="0"/>
    <x v="4"/>
    <x v="5"/>
    <x v="0"/>
    <x v="5"/>
    <n v="0"/>
    <x v="0"/>
  </r>
  <r>
    <x v="30"/>
    <x v="1"/>
    <x v="84"/>
    <x v="0"/>
    <x v="4"/>
    <x v="5"/>
    <x v="0"/>
    <x v="6"/>
    <n v="0"/>
    <x v="0"/>
  </r>
  <r>
    <x v="30"/>
    <x v="1"/>
    <x v="84"/>
    <x v="0"/>
    <x v="4"/>
    <x v="5"/>
    <x v="0"/>
    <x v="7"/>
    <n v="0"/>
    <x v="0"/>
  </r>
  <r>
    <x v="30"/>
    <x v="1"/>
    <x v="84"/>
    <x v="0"/>
    <x v="4"/>
    <x v="5"/>
    <x v="0"/>
    <x v="8"/>
    <n v="0"/>
    <x v="0"/>
  </r>
  <r>
    <x v="30"/>
    <x v="1"/>
    <x v="84"/>
    <x v="0"/>
    <x v="4"/>
    <x v="5"/>
    <x v="0"/>
    <x v="9"/>
    <n v="0"/>
    <x v="0"/>
  </r>
  <r>
    <x v="30"/>
    <x v="1"/>
    <x v="84"/>
    <x v="0"/>
    <x v="4"/>
    <x v="5"/>
    <x v="0"/>
    <x v="10"/>
    <n v="0"/>
    <x v="0"/>
  </r>
  <r>
    <x v="30"/>
    <x v="1"/>
    <x v="84"/>
    <x v="0"/>
    <x v="4"/>
    <x v="5"/>
    <x v="0"/>
    <x v="11"/>
    <n v="0"/>
    <x v="0"/>
  </r>
  <r>
    <x v="30"/>
    <x v="1"/>
    <x v="85"/>
    <x v="0"/>
    <x v="4"/>
    <x v="5"/>
    <x v="0"/>
    <x v="0"/>
    <n v="521.30860472031634"/>
    <x v="0"/>
  </r>
  <r>
    <x v="30"/>
    <x v="1"/>
    <x v="85"/>
    <x v="0"/>
    <x v="4"/>
    <x v="5"/>
    <x v="0"/>
    <x v="1"/>
    <n v="0"/>
    <x v="0"/>
  </r>
  <r>
    <x v="30"/>
    <x v="1"/>
    <x v="85"/>
    <x v="0"/>
    <x v="4"/>
    <x v="5"/>
    <x v="0"/>
    <x v="2"/>
    <n v="356.58570351161757"/>
    <x v="0"/>
  </r>
  <r>
    <x v="30"/>
    <x v="1"/>
    <x v="85"/>
    <x v="0"/>
    <x v="4"/>
    <x v="5"/>
    <x v="0"/>
    <x v="3"/>
    <n v="0"/>
    <x v="0"/>
  </r>
  <r>
    <x v="30"/>
    <x v="1"/>
    <x v="85"/>
    <x v="0"/>
    <x v="4"/>
    <x v="5"/>
    <x v="0"/>
    <x v="4"/>
    <n v="0"/>
    <x v="0"/>
  </r>
  <r>
    <x v="30"/>
    <x v="1"/>
    <x v="85"/>
    <x v="0"/>
    <x v="4"/>
    <x v="5"/>
    <x v="0"/>
    <x v="5"/>
    <n v="0"/>
    <x v="0"/>
  </r>
  <r>
    <x v="30"/>
    <x v="1"/>
    <x v="85"/>
    <x v="0"/>
    <x v="4"/>
    <x v="5"/>
    <x v="0"/>
    <x v="6"/>
    <n v="0"/>
    <x v="0"/>
  </r>
  <r>
    <x v="30"/>
    <x v="1"/>
    <x v="85"/>
    <x v="0"/>
    <x v="4"/>
    <x v="5"/>
    <x v="0"/>
    <x v="7"/>
    <n v="0"/>
    <x v="0"/>
  </r>
  <r>
    <x v="30"/>
    <x v="1"/>
    <x v="85"/>
    <x v="0"/>
    <x v="4"/>
    <x v="5"/>
    <x v="0"/>
    <x v="8"/>
    <n v="0"/>
    <x v="0"/>
  </r>
  <r>
    <x v="30"/>
    <x v="1"/>
    <x v="85"/>
    <x v="0"/>
    <x v="4"/>
    <x v="5"/>
    <x v="0"/>
    <x v="9"/>
    <n v="0"/>
    <x v="0"/>
  </r>
  <r>
    <x v="30"/>
    <x v="1"/>
    <x v="85"/>
    <x v="0"/>
    <x v="4"/>
    <x v="5"/>
    <x v="0"/>
    <x v="10"/>
    <n v="0"/>
    <x v="0"/>
  </r>
  <r>
    <x v="30"/>
    <x v="1"/>
    <x v="85"/>
    <x v="0"/>
    <x v="4"/>
    <x v="5"/>
    <x v="0"/>
    <x v="11"/>
    <n v="0"/>
    <x v="0"/>
  </r>
  <r>
    <x v="30"/>
    <x v="1"/>
    <x v="86"/>
    <x v="0"/>
    <x v="4"/>
    <x v="5"/>
    <x v="8"/>
    <x v="0"/>
    <n v="1114.6675624180882"/>
    <x v="0"/>
  </r>
  <r>
    <x v="30"/>
    <x v="1"/>
    <x v="86"/>
    <x v="0"/>
    <x v="4"/>
    <x v="5"/>
    <x v="8"/>
    <x v="1"/>
    <n v="0"/>
    <x v="0"/>
  </r>
  <r>
    <x v="30"/>
    <x v="1"/>
    <x v="86"/>
    <x v="0"/>
    <x v="4"/>
    <x v="5"/>
    <x v="8"/>
    <x v="2"/>
    <n v="0"/>
    <x v="0"/>
  </r>
  <r>
    <x v="30"/>
    <x v="1"/>
    <x v="86"/>
    <x v="0"/>
    <x v="4"/>
    <x v="5"/>
    <x v="8"/>
    <x v="3"/>
    <n v="0"/>
    <x v="0"/>
  </r>
  <r>
    <x v="30"/>
    <x v="1"/>
    <x v="86"/>
    <x v="0"/>
    <x v="4"/>
    <x v="5"/>
    <x v="8"/>
    <x v="4"/>
    <n v="0"/>
    <x v="0"/>
  </r>
  <r>
    <x v="30"/>
    <x v="1"/>
    <x v="86"/>
    <x v="0"/>
    <x v="4"/>
    <x v="5"/>
    <x v="8"/>
    <x v="5"/>
    <n v="0"/>
    <x v="0"/>
  </r>
  <r>
    <x v="30"/>
    <x v="1"/>
    <x v="86"/>
    <x v="0"/>
    <x v="4"/>
    <x v="5"/>
    <x v="8"/>
    <x v="6"/>
    <n v="0"/>
    <x v="0"/>
  </r>
  <r>
    <x v="30"/>
    <x v="1"/>
    <x v="86"/>
    <x v="0"/>
    <x v="4"/>
    <x v="5"/>
    <x v="8"/>
    <x v="7"/>
    <n v="0"/>
    <x v="0"/>
  </r>
  <r>
    <x v="30"/>
    <x v="1"/>
    <x v="86"/>
    <x v="0"/>
    <x v="4"/>
    <x v="5"/>
    <x v="8"/>
    <x v="8"/>
    <n v="0"/>
    <x v="0"/>
  </r>
  <r>
    <x v="30"/>
    <x v="1"/>
    <x v="86"/>
    <x v="0"/>
    <x v="4"/>
    <x v="5"/>
    <x v="8"/>
    <x v="9"/>
    <n v="0"/>
    <x v="0"/>
  </r>
  <r>
    <x v="30"/>
    <x v="1"/>
    <x v="86"/>
    <x v="0"/>
    <x v="4"/>
    <x v="5"/>
    <x v="8"/>
    <x v="10"/>
    <n v="0"/>
    <x v="0"/>
  </r>
  <r>
    <x v="30"/>
    <x v="1"/>
    <x v="86"/>
    <x v="0"/>
    <x v="4"/>
    <x v="5"/>
    <x v="8"/>
    <x v="11"/>
    <n v="0"/>
    <x v="0"/>
  </r>
  <r>
    <x v="30"/>
    <x v="1"/>
    <x v="87"/>
    <x v="1"/>
    <x v="4"/>
    <x v="5"/>
    <x v="0"/>
    <x v="0"/>
    <n v="2598.5969008469256"/>
    <x v="0"/>
  </r>
  <r>
    <x v="30"/>
    <x v="1"/>
    <x v="87"/>
    <x v="1"/>
    <x v="4"/>
    <x v="5"/>
    <x v="0"/>
    <x v="1"/>
    <n v="0"/>
    <x v="0"/>
  </r>
  <r>
    <x v="30"/>
    <x v="1"/>
    <x v="87"/>
    <x v="1"/>
    <x v="4"/>
    <x v="5"/>
    <x v="0"/>
    <x v="2"/>
    <n v="796.53693965472712"/>
    <x v="0"/>
  </r>
  <r>
    <x v="30"/>
    <x v="1"/>
    <x v="87"/>
    <x v="1"/>
    <x v="4"/>
    <x v="5"/>
    <x v="0"/>
    <x v="3"/>
    <n v="0"/>
    <x v="0"/>
  </r>
  <r>
    <x v="30"/>
    <x v="1"/>
    <x v="87"/>
    <x v="1"/>
    <x v="4"/>
    <x v="5"/>
    <x v="0"/>
    <x v="4"/>
    <n v="0"/>
    <x v="0"/>
  </r>
  <r>
    <x v="30"/>
    <x v="1"/>
    <x v="87"/>
    <x v="1"/>
    <x v="4"/>
    <x v="5"/>
    <x v="0"/>
    <x v="5"/>
    <n v="0"/>
    <x v="0"/>
  </r>
  <r>
    <x v="30"/>
    <x v="1"/>
    <x v="87"/>
    <x v="1"/>
    <x v="4"/>
    <x v="5"/>
    <x v="0"/>
    <x v="6"/>
    <n v="0"/>
    <x v="0"/>
  </r>
  <r>
    <x v="30"/>
    <x v="1"/>
    <x v="87"/>
    <x v="1"/>
    <x v="4"/>
    <x v="5"/>
    <x v="0"/>
    <x v="7"/>
    <n v="0"/>
    <x v="0"/>
  </r>
  <r>
    <x v="30"/>
    <x v="1"/>
    <x v="87"/>
    <x v="1"/>
    <x v="4"/>
    <x v="5"/>
    <x v="0"/>
    <x v="8"/>
    <n v="0"/>
    <x v="0"/>
  </r>
  <r>
    <x v="30"/>
    <x v="1"/>
    <x v="87"/>
    <x v="1"/>
    <x v="4"/>
    <x v="5"/>
    <x v="0"/>
    <x v="9"/>
    <n v="0"/>
    <x v="0"/>
  </r>
  <r>
    <x v="30"/>
    <x v="1"/>
    <x v="87"/>
    <x v="1"/>
    <x v="4"/>
    <x v="5"/>
    <x v="0"/>
    <x v="10"/>
    <n v="0"/>
    <x v="0"/>
  </r>
  <r>
    <x v="30"/>
    <x v="1"/>
    <x v="87"/>
    <x v="1"/>
    <x v="4"/>
    <x v="5"/>
    <x v="0"/>
    <x v="11"/>
    <n v="0"/>
    <x v="0"/>
  </r>
  <r>
    <x v="30"/>
    <x v="1"/>
    <x v="88"/>
    <x v="0"/>
    <x v="4"/>
    <x v="5"/>
    <x v="0"/>
    <x v="0"/>
    <n v="0"/>
    <x v="0"/>
  </r>
  <r>
    <x v="30"/>
    <x v="1"/>
    <x v="88"/>
    <x v="0"/>
    <x v="4"/>
    <x v="5"/>
    <x v="0"/>
    <x v="1"/>
    <n v="376.88491239724317"/>
    <x v="0"/>
  </r>
  <r>
    <x v="30"/>
    <x v="1"/>
    <x v="88"/>
    <x v="0"/>
    <x v="4"/>
    <x v="5"/>
    <x v="0"/>
    <x v="2"/>
    <n v="0"/>
    <x v="0"/>
  </r>
  <r>
    <x v="30"/>
    <x v="1"/>
    <x v="88"/>
    <x v="0"/>
    <x v="4"/>
    <x v="5"/>
    <x v="0"/>
    <x v="3"/>
    <n v="0"/>
    <x v="0"/>
  </r>
  <r>
    <x v="30"/>
    <x v="1"/>
    <x v="88"/>
    <x v="0"/>
    <x v="4"/>
    <x v="5"/>
    <x v="0"/>
    <x v="4"/>
    <n v="0"/>
    <x v="0"/>
  </r>
  <r>
    <x v="30"/>
    <x v="1"/>
    <x v="88"/>
    <x v="0"/>
    <x v="4"/>
    <x v="5"/>
    <x v="0"/>
    <x v="5"/>
    <n v="0"/>
    <x v="0"/>
  </r>
  <r>
    <x v="30"/>
    <x v="1"/>
    <x v="88"/>
    <x v="0"/>
    <x v="4"/>
    <x v="5"/>
    <x v="0"/>
    <x v="6"/>
    <n v="0"/>
    <x v="0"/>
  </r>
  <r>
    <x v="30"/>
    <x v="1"/>
    <x v="88"/>
    <x v="0"/>
    <x v="4"/>
    <x v="5"/>
    <x v="0"/>
    <x v="7"/>
    <n v="0"/>
    <x v="0"/>
  </r>
  <r>
    <x v="30"/>
    <x v="1"/>
    <x v="88"/>
    <x v="0"/>
    <x v="4"/>
    <x v="5"/>
    <x v="0"/>
    <x v="8"/>
    <n v="0"/>
    <x v="0"/>
  </r>
  <r>
    <x v="30"/>
    <x v="1"/>
    <x v="88"/>
    <x v="0"/>
    <x v="4"/>
    <x v="5"/>
    <x v="0"/>
    <x v="9"/>
    <n v="0"/>
    <x v="0"/>
  </r>
  <r>
    <x v="30"/>
    <x v="1"/>
    <x v="88"/>
    <x v="0"/>
    <x v="4"/>
    <x v="5"/>
    <x v="0"/>
    <x v="10"/>
    <n v="0"/>
    <x v="0"/>
  </r>
  <r>
    <x v="30"/>
    <x v="1"/>
    <x v="88"/>
    <x v="0"/>
    <x v="4"/>
    <x v="5"/>
    <x v="0"/>
    <x v="11"/>
    <n v="0"/>
    <x v="0"/>
  </r>
  <r>
    <x v="30"/>
    <x v="1"/>
    <x v="89"/>
    <x v="0"/>
    <x v="4"/>
    <x v="5"/>
    <x v="0"/>
    <x v="0"/>
    <n v="0"/>
    <x v="0"/>
  </r>
  <r>
    <x v="30"/>
    <x v="1"/>
    <x v="89"/>
    <x v="0"/>
    <x v="4"/>
    <x v="5"/>
    <x v="0"/>
    <x v="1"/>
    <n v="898.94959727642606"/>
    <x v="0"/>
  </r>
  <r>
    <x v="30"/>
    <x v="1"/>
    <x v="89"/>
    <x v="0"/>
    <x v="4"/>
    <x v="5"/>
    <x v="0"/>
    <x v="2"/>
    <n v="0"/>
    <x v="0"/>
  </r>
  <r>
    <x v="30"/>
    <x v="1"/>
    <x v="89"/>
    <x v="0"/>
    <x v="4"/>
    <x v="5"/>
    <x v="0"/>
    <x v="3"/>
    <n v="0"/>
    <x v="0"/>
  </r>
  <r>
    <x v="30"/>
    <x v="1"/>
    <x v="89"/>
    <x v="0"/>
    <x v="4"/>
    <x v="5"/>
    <x v="0"/>
    <x v="4"/>
    <n v="0"/>
    <x v="0"/>
  </r>
  <r>
    <x v="30"/>
    <x v="1"/>
    <x v="89"/>
    <x v="0"/>
    <x v="4"/>
    <x v="5"/>
    <x v="0"/>
    <x v="5"/>
    <n v="0"/>
    <x v="0"/>
  </r>
  <r>
    <x v="30"/>
    <x v="1"/>
    <x v="89"/>
    <x v="0"/>
    <x v="4"/>
    <x v="5"/>
    <x v="0"/>
    <x v="6"/>
    <n v="0"/>
    <x v="0"/>
  </r>
  <r>
    <x v="30"/>
    <x v="1"/>
    <x v="89"/>
    <x v="0"/>
    <x v="4"/>
    <x v="5"/>
    <x v="0"/>
    <x v="7"/>
    <n v="0"/>
    <x v="0"/>
  </r>
  <r>
    <x v="30"/>
    <x v="1"/>
    <x v="89"/>
    <x v="0"/>
    <x v="4"/>
    <x v="5"/>
    <x v="0"/>
    <x v="8"/>
    <n v="0"/>
    <x v="0"/>
  </r>
  <r>
    <x v="30"/>
    <x v="1"/>
    <x v="89"/>
    <x v="0"/>
    <x v="4"/>
    <x v="5"/>
    <x v="0"/>
    <x v="9"/>
    <n v="0"/>
    <x v="0"/>
  </r>
  <r>
    <x v="30"/>
    <x v="1"/>
    <x v="89"/>
    <x v="0"/>
    <x v="4"/>
    <x v="5"/>
    <x v="0"/>
    <x v="10"/>
    <n v="0"/>
    <x v="0"/>
  </r>
  <r>
    <x v="30"/>
    <x v="1"/>
    <x v="89"/>
    <x v="0"/>
    <x v="4"/>
    <x v="5"/>
    <x v="0"/>
    <x v="11"/>
    <n v="0"/>
    <x v="0"/>
  </r>
  <r>
    <x v="30"/>
    <x v="1"/>
    <x v="90"/>
    <x v="0"/>
    <x v="4"/>
    <x v="5"/>
    <x v="0"/>
    <x v="0"/>
    <n v="0"/>
    <x v="0"/>
  </r>
  <r>
    <x v="30"/>
    <x v="1"/>
    <x v="90"/>
    <x v="0"/>
    <x v="4"/>
    <x v="5"/>
    <x v="0"/>
    <x v="1"/>
    <n v="1116.9517562069252"/>
    <x v="0"/>
  </r>
  <r>
    <x v="30"/>
    <x v="1"/>
    <x v="90"/>
    <x v="0"/>
    <x v="4"/>
    <x v="5"/>
    <x v="0"/>
    <x v="2"/>
    <n v="0"/>
    <x v="0"/>
  </r>
  <r>
    <x v="30"/>
    <x v="1"/>
    <x v="90"/>
    <x v="0"/>
    <x v="4"/>
    <x v="5"/>
    <x v="0"/>
    <x v="3"/>
    <n v="0"/>
    <x v="0"/>
  </r>
  <r>
    <x v="30"/>
    <x v="1"/>
    <x v="90"/>
    <x v="0"/>
    <x v="4"/>
    <x v="5"/>
    <x v="0"/>
    <x v="4"/>
    <n v="0"/>
    <x v="0"/>
  </r>
  <r>
    <x v="30"/>
    <x v="1"/>
    <x v="90"/>
    <x v="0"/>
    <x v="4"/>
    <x v="5"/>
    <x v="0"/>
    <x v="5"/>
    <n v="0"/>
    <x v="0"/>
  </r>
  <r>
    <x v="30"/>
    <x v="1"/>
    <x v="90"/>
    <x v="0"/>
    <x v="4"/>
    <x v="5"/>
    <x v="0"/>
    <x v="6"/>
    <n v="0"/>
    <x v="0"/>
  </r>
  <r>
    <x v="30"/>
    <x v="1"/>
    <x v="90"/>
    <x v="0"/>
    <x v="4"/>
    <x v="5"/>
    <x v="0"/>
    <x v="7"/>
    <n v="0"/>
    <x v="0"/>
  </r>
  <r>
    <x v="30"/>
    <x v="1"/>
    <x v="90"/>
    <x v="0"/>
    <x v="4"/>
    <x v="5"/>
    <x v="0"/>
    <x v="8"/>
    <n v="0"/>
    <x v="0"/>
  </r>
  <r>
    <x v="30"/>
    <x v="1"/>
    <x v="90"/>
    <x v="0"/>
    <x v="4"/>
    <x v="5"/>
    <x v="0"/>
    <x v="9"/>
    <n v="0"/>
    <x v="0"/>
  </r>
  <r>
    <x v="30"/>
    <x v="1"/>
    <x v="90"/>
    <x v="0"/>
    <x v="4"/>
    <x v="5"/>
    <x v="0"/>
    <x v="10"/>
    <n v="0"/>
    <x v="0"/>
  </r>
  <r>
    <x v="30"/>
    <x v="1"/>
    <x v="90"/>
    <x v="0"/>
    <x v="4"/>
    <x v="5"/>
    <x v="0"/>
    <x v="11"/>
    <n v="0"/>
    <x v="0"/>
  </r>
  <r>
    <x v="30"/>
    <x v="1"/>
    <x v="91"/>
    <x v="0"/>
    <x v="4"/>
    <x v="5"/>
    <x v="0"/>
    <x v="0"/>
    <n v="0"/>
    <x v="0"/>
  </r>
  <r>
    <x v="30"/>
    <x v="1"/>
    <x v="91"/>
    <x v="0"/>
    <x v="4"/>
    <x v="5"/>
    <x v="0"/>
    <x v="1"/>
    <n v="282.53342190484096"/>
    <x v="0"/>
  </r>
  <r>
    <x v="30"/>
    <x v="1"/>
    <x v="91"/>
    <x v="0"/>
    <x v="4"/>
    <x v="5"/>
    <x v="0"/>
    <x v="2"/>
    <n v="0"/>
    <x v="0"/>
  </r>
  <r>
    <x v="30"/>
    <x v="1"/>
    <x v="91"/>
    <x v="0"/>
    <x v="4"/>
    <x v="5"/>
    <x v="0"/>
    <x v="3"/>
    <n v="0"/>
    <x v="0"/>
  </r>
  <r>
    <x v="30"/>
    <x v="1"/>
    <x v="91"/>
    <x v="0"/>
    <x v="4"/>
    <x v="5"/>
    <x v="0"/>
    <x v="4"/>
    <n v="0"/>
    <x v="0"/>
  </r>
  <r>
    <x v="30"/>
    <x v="1"/>
    <x v="91"/>
    <x v="0"/>
    <x v="4"/>
    <x v="5"/>
    <x v="0"/>
    <x v="5"/>
    <n v="0"/>
    <x v="0"/>
  </r>
  <r>
    <x v="30"/>
    <x v="1"/>
    <x v="91"/>
    <x v="0"/>
    <x v="4"/>
    <x v="5"/>
    <x v="0"/>
    <x v="6"/>
    <n v="0"/>
    <x v="0"/>
  </r>
  <r>
    <x v="30"/>
    <x v="1"/>
    <x v="91"/>
    <x v="0"/>
    <x v="4"/>
    <x v="5"/>
    <x v="0"/>
    <x v="7"/>
    <n v="0"/>
    <x v="0"/>
  </r>
  <r>
    <x v="30"/>
    <x v="1"/>
    <x v="91"/>
    <x v="0"/>
    <x v="4"/>
    <x v="5"/>
    <x v="0"/>
    <x v="8"/>
    <n v="0"/>
    <x v="0"/>
  </r>
  <r>
    <x v="30"/>
    <x v="1"/>
    <x v="91"/>
    <x v="0"/>
    <x v="4"/>
    <x v="5"/>
    <x v="0"/>
    <x v="9"/>
    <n v="0"/>
    <x v="0"/>
  </r>
  <r>
    <x v="30"/>
    <x v="1"/>
    <x v="91"/>
    <x v="0"/>
    <x v="4"/>
    <x v="5"/>
    <x v="0"/>
    <x v="10"/>
    <n v="0"/>
    <x v="0"/>
  </r>
  <r>
    <x v="30"/>
    <x v="1"/>
    <x v="91"/>
    <x v="0"/>
    <x v="4"/>
    <x v="5"/>
    <x v="0"/>
    <x v="11"/>
    <n v="0"/>
    <x v="0"/>
  </r>
  <r>
    <x v="30"/>
    <x v="1"/>
    <x v="92"/>
    <x v="0"/>
    <x v="4"/>
    <x v="5"/>
    <x v="9"/>
    <x v="0"/>
    <n v="0"/>
    <x v="0"/>
  </r>
  <r>
    <x v="30"/>
    <x v="1"/>
    <x v="92"/>
    <x v="0"/>
    <x v="4"/>
    <x v="5"/>
    <x v="9"/>
    <x v="1"/>
    <n v="1049.6969193722493"/>
    <x v="0"/>
  </r>
  <r>
    <x v="30"/>
    <x v="1"/>
    <x v="92"/>
    <x v="0"/>
    <x v="4"/>
    <x v="5"/>
    <x v="9"/>
    <x v="2"/>
    <n v="0"/>
    <x v="0"/>
  </r>
  <r>
    <x v="30"/>
    <x v="1"/>
    <x v="92"/>
    <x v="0"/>
    <x v="4"/>
    <x v="5"/>
    <x v="9"/>
    <x v="3"/>
    <n v="0"/>
    <x v="0"/>
  </r>
  <r>
    <x v="30"/>
    <x v="1"/>
    <x v="92"/>
    <x v="0"/>
    <x v="4"/>
    <x v="5"/>
    <x v="9"/>
    <x v="4"/>
    <n v="0"/>
    <x v="0"/>
  </r>
  <r>
    <x v="30"/>
    <x v="1"/>
    <x v="92"/>
    <x v="0"/>
    <x v="4"/>
    <x v="5"/>
    <x v="9"/>
    <x v="5"/>
    <n v="0"/>
    <x v="0"/>
  </r>
  <r>
    <x v="30"/>
    <x v="1"/>
    <x v="92"/>
    <x v="0"/>
    <x v="4"/>
    <x v="5"/>
    <x v="9"/>
    <x v="6"/>
    <n v="0"/>
    <x v="0"/>
  </r>
  <r>
    <x v="30"/>
    <x v="1"/>
    <x v="92"/>
    <x v="0"/>
    <x v="4"/>
    <x v="5"/>
    <x v="9"/>
    <x v="7"/>
    <n v="0"/>
    <x v="0"/>
  </r>
  <r>
    <x v="30"/>
    <x v="1"/>
    <x v="92"/>
    <x v="0"/>
    <x v="4"/>
    <x v="5"/>
    <x v="9"/>
    <x v="8"/>
    <n v="0"/>
    <x v="0"/>
  </r>
  <r>
    <x v="30"/>
    <x v="1"/>
    <x v="92"/>
    <x v="0"/>
    <x v="4"/>
    <x v="5"/>
    <x v="9"/>
    <x v="9"/>
    <n v="0"/>
    <x v="0"/>
  </r>
  <r>
    <x v="30"/>
    <x v="1"/>
    <x v="92"/>
    <x v="0"/>
    <x v="4"/>
    <x v="5"/>
    <x v="9"/>
    <x v="10"/>
    <n v="0"/>
    <x v="0"/>
  </r>
  <r>
    <x v="30"/>
    <x v="1"/>
    <x v="92"/>
    <x v="0"/>
    <x v="4"/>
    <x v="5"/>
    <x v="9"/>
    <x v="11"/>
    <n v="0"/>
    <x v="0"/>
  </r>
  <r>
    <x v="30"/>
    <x v="1"/>
    <x v="93"/>
    <x v="0"/>
    <x v="4"/>
    <x v="5"/>
    <x v="9"/>
    <x v="0"/>
    <n v="0"/>
    <x v="0"/>
  </r>
  <r>
    <x v="30"/>
    <x v="1"/>
    <x v="93"/>
    <x v="0"/>
    <x v="4"/>
    <x v="5"/>
    <x v="9"/>
    <x v="1"/>
    <n v="907.97870132026901"/>
    <x v="0"/>
  </r>
  <r>
    <x v="30"/>
    <x v="1"/>
    <x v="93"/>
    <x v="0"/>
    <x v="4"/>
    <x v="5"/>
    <x v="9"/>
    <x v="2"/>
    <n v="0"/>
    <x v="0"/>
  </r>
  <r>
    <x v="30"/>
    <x v="1"/>
    <x v="93"/>
    <x v="0"/>
    <x v="4"/>
    <x v="5"/>
    <x v="9"/>
    <x v="3"/>
    <n v="0"/>
    <x v="0"/>
  </r>
  <r>
    <x v="30"/>
    <x v="1"/>
    <x v="93"/>
    <x v="0"/>
    <x v="4"/>
    <x v="5"/>
    <x v="9"/>
    <x v="4"/>
    <n v="0"/>
    <x v="0"/>
  </r>
  <r>
    <x v="30"/>
    <x v="1"/>
    <x v="93"/>
    <x v="0"/>
    <x v="4"/>
    <x v="5"/>
    <x v="9"/>
    <x v="5"/>
    <n v="0"/>
    <x v="0"/>
  </r>
  <r>
    <x v="30"/>
    <x v="1"/>
    <x v="93"/>
    <x v="0"/>
    <x v="4"/>
    <x v="5"/>
    <x v="9"/>
    <x v="6"/>
    <n v="0"/>
    <x v="0"/>
  </r>
  <r>
    <x v="30"/>
    <x v="1"/>
    <x v="93"/>
    <x v="0"/>
    <x v="4"/>
    <x v="5"/>
    <x v="9"/>
    <x v="7"/>
    <n v="0"/>
    <x v="0"/>
  </r>
  <r>
    <x v="30"/>
    <x v="1"/>
    <x v="93"/>
    <x v="0"/>
    <x v="4"/>
    <x v="5"/>
    <x v="9"/>
    <x v="8"/>
    <n v="0"/>
    <x v="0"/>
  </r>
  <r>
    <x v="30"/>
    <x v="1"/>
    <x v="93"/>
    <x v="0"/>
    <x v="4"/>
    <x v="5"/>
    <x v="9"/>
    <x v="9"/>
    <n v="0"/>
    <x v="0"/>
  </r>
  <r>
    <x v="30"/>
    <x v="1"/>
    <x v="93"/>
    <x v="0"/>
    <x v="4"/>
    <x v="5"/>
    <x v="9"/>
    <x v="10"/>
    <n v="0"/>
    <x v="0"/>
  </r>
  <r>
    <x v="30"/>
    <x v="1"/>
    <x v="93"/>
    <x v="0"/>
    <x v="4"/>
    <x v="5"/>
    <x v="9"/>
    <x v="11"/>
    <n v="0"/>
    <x v="0"/>
  </r>
  <r>
    <x v="30"/>
    <x v="1"/>
    <x v="94"/>
    <x v="0"/>
    <x v="4"/>
    <x v="5"/>
    <x v="0"/>
    <x v="0"/>
    <n v="0"/>
    <x v="0"/>
  </r>
  <r>
    <x v="30"/>
    <x v="1"/>
    <x v="94"/>
    <x v="0"/>
    <x v="4"/>
    <x v="5"/>
    <x v="0"/>
    <x v="1"/>
    <n v="521.75952835672172"/>
    <x v="0"/>
  </r>
  <r>
    <x v="30"/>
    <x v="1"/>
    <x v="94"/>
    <x v="0"/>
    <x v="4"/>
    <x v="5"/>
    <x v="0"/>
    <x v="2"/>
    <n v="0"/>
    <x v="0"/>
  </r>
  <r>
    <x v="30"/>
    <x v="1"/>
    <x v="94"/>
    <x v="0"/>
    <x v="4"/>
    <x v="5"/>
    <x v="0"/>
    <x v="3"/>
    <n v="0"/>
    <x v="0"/>
  </r>
  <r>
    <x v="30"/>
    <x v="1"/>
    <x v="94"/>
    <x v="0"/>
    <x v="4"/>
    <x v="5"/>
    <x v="0"/>
    <x v="4"/>
    <n v="0"/>
    <x v="0"/>
  </r>
  <r>
    <x v="30"/>
    <x v="1"/>
    <x v="94"/>
    <x v="0"/>
    <x v="4"/>
    <x v="5"/>
    <x v="0"/>
    <x v="5"/>
    <n v="0"/>
    <x v="0"/>
  </r>
  <r>
    <x v="30"/>
    <x v="1"/>
    <x v="94"/>
    <x v="0"/>
    <x v="4"/>
    <x v="5"/>
    <x v="0"/>
    <x v="6"/>
    <n v="0"/>
    <x v="0"/>
  </r>
  <r>
    <x v="30"/>
    <x v="1"/>
    <x v="94"/>
    <x v="0"/>
    <x v="4"/>
    <x v="5"/>
    <x v="0"/>
    <x v="7"/>
    <n v="0"/>
    <x v="0"/>
  </r>
  <r>
    <x v="30"/>
    <x v="1"/>
    <x v="94"/>
    <x v="0"/>
    <x v="4"/>
    <x v="5"/>
    <x v="0"/>
    <x v="8"/>
    <n v="0"/>
    <x v="0"/>
  </r>
  <r>
    <x v="30"/>
    <x v="1"/>
    <x v="94"/>
    <x v="0"/>
    <x v="4"/>
    <x v="5"/>
    <x v="0"/>
    <x v="9"/>
    <n v="0"/>
    <x v="0"/>
  </r>
  <r>
    <x v="30"/>
    <x v="1"/>
    <x v="94"/>
    <x v="0"/>
    <x v="4"/>
    <x v="5"/>
    <x v="0"/>
    <x v="10"/>
    <n v="0"/>
    <x v="0"/>
  </r>
  <r>
    <x v="30"/>
    <x v="1"/>
    <x v="94"/>
    <x v="0"/>
    <x v="4"/>
    <x v="5"/>
    <x v="0"/>
    <x v="11"/>
    <n v="0"/>
    <x v="0"/>
  </r>
  <r>
    <x v="30"/>
    <x v="1"/>
    <x v="95"/>
    <x v="0"/>
    <x v="4"/>
    <x v="5"/>
    <x v="0"/>
    <x v="0"/>
    <n v="372.01731296600184"/>
    <x v="0"/>
  </r>
  <r>
    <x v="30"/>
    <x v="1"/>
    <x v="95"/>
    <x v="0"/>
    <x v="4"/>
    <x v="5"/>
    <x v="0"/>
    <x v="1"/>
    <n v="0"/>
    <x v="0"/>
  </r>
  <r>
    <x v="30"/>
    <x v="1"/>
    <x v="95"/>
    <x v="0"/>
    <x v="4"/>
    <x v="5"/>
    <x v="0"/>
    <x v="2"/>
    <n v="0"/>
    <x v="0"/>
  </r>
  <r>
    <x v="30"/>
    <x v="1"/>
    <x v="95"/>
    <x v="0"/>
    <x v="4"/>
    <x v="5"/>
    <x v="0"/>
    <x v="3"/>
    <n v="0"/>
    <x v="0"/>
  </r>
  <r>
    <x v="30"/>
    <x v="1"/>
    <x v="95"/>
    <x v="0"/>
    <x v="4"/>
    <x v="5"/>
    <x v="0"/>
    <x v="4"/>
    <n v="0"/>
    <x v="0"/>
  </r>
  <r>
    <x v="30"/>
    <x v="1"/>
    <x v="95"/>
    <x v="0"/>
    <x v="4"/>
    <x v="5"/>
    <x v="0"/>
    <x v="5"/>
    <n v="0"/>
    <x v="0"/>
  </r>
  <r>
    <x v="30"/>
    <x v="1"/>
    <x v="95"/>
    <x v="0"/>
    <x v="4"/>
    <x v="5"/>
    <x v="0"/>
    <x v="6"/>
    <n v="0"/>
    <x v="0"/>
  </r>
  <r>
    <x v="30"/>
    <x v="1"/>
    <x v="95"/>
    <x v="0"/>
    <x v="4"/>
    <x v="5"/>
    <x v="0"/>
    <x v="7"/>
    <n v="0"/>
    <x v="0"/>
  </r>
  <r>
    <x v="30"/>
    <x v="1"/>
    <x v="95"/>
    <x v="0"/>
    <x v="4"/>
    <x v="5"/>
    <x v="0"/>
    <x v="8"/>
    <n v="0"/>
    <x v="0"/>
  </r>
  <r>
    <x v="30"/>
    <x v="1"/>
    <x v="95"/>
    <x v="0"/>
    <x v="4"/>
    <x v="5"/>
    <x v="0"/>
    <x v="9"/>
    <n v="0"/>
    <x v="0"/>
  </r>
  <r>
    <x v="30"/>
    <x v="1"/>
    <x v="95"/>
    <x v="0"/>
    <x v="4"/>
    <x v="5"/>
    <x v="0"/>
    <x v="10"/>
    <n v="0"/>
    <x v="0"/>
  </r>
  <r>
    <x v="30"/>
    <x v="1"/>
    <x v="95"/>
    <x v="0"/>
    <x v="4"/>
    <x v="5"/>
    <x v="0"/>
    <x v="11"/>
    <n v="0"/>
    <x v="0"/>
  </r>
  <r>
    <x v="30"/>
    <x v="1"/>
    <x v="96"/>
    <x v="0"/>
    <x v="4"/>
    <x v="5"/>
    <x v="1"/>
    <x v="0"/>
    <n v="0"/>
    <x v="0"/>
  </r>
  <r>
    <x v="30"/>
    <x v="1"/>
    <x v="96"/>
    <x v="0"/>
    <x v="4"/>
    <x v="5"/>
    <x v="1"/>
    <x v="1"/>
    <n v="0"/>
    <x v="0"/>
  </r>
  <r>
    <x v="30"/>
    <x v="1"/>
    <x v="96"/>
    <x v="0"/>
    <x v="4"/>
    <x v="5"/>
    <x v="1"/>
    <x v="2"/>
    <n v="3357.6343330612754"/>
    <x v="0"/>
  </r>
  <r>
    <x v="30"/>
    <x v="1"/>
    <x v="96"/>
    <x v="0"/>
    <x v="4"/>
    <x v="5"/>
    <x v="1"/>
    <x v="3"/>
    <n v="0"/>
    <x v="0"/>
  </r>
  <r>
    <x v="30"/>
    <x v="1"/>
    <x v="96"/>
    <x v="0"/>
    <x v="4"/>
    <x v="5"/>
    <x v="1"/>
    <x v="4"/>
    <n v="0"/>
    <x v="0"/>
  </r>
  <r>
    <x v="30"/>
    <x v="1"/>
    <x v="96"/>
    <x v="0"/>
    <x v="4"/>
    <x v="5"/>
    <x v="1"/>
    <x v="5"/>
    <n v="0"/>
    <x v="0"/>
  </r>
  <r>
    <x v="30"/>
    <x v="1"/>
    <x v="96"/>
    <x v="0"/>
    <x v="4"/>
    <x v="5"/>
    <x v="1"/>
    <x v="6"/>
    <n v="0"/>
    <x v="0"/>
  </r>
  <r>
    <x v="30"/>
    <x v="1"/>
    <x v="96"/>
    <x v="0"/>
    <x v="4"/>
    <x v="5"/>
    <x v="1"/>
    <x v="7"/>
    <n v="0"/>
    <x v="0"/>
  </r>
  <r>
    <x v="30"/>
    <x v="1"/>
    <x v="96"/>
    <x v="0"/>
    <x v="4"/>
    <x v="5"/>
    <x v="1"/>
    <x v="8"/>
    <n v="4966.4762850757388"/>
    <x v="0"/>
  </r>
  <r>
    <x v="30"/>
    <x v="1"/>
    <x v="96"/>
    <x v="0"/>
    <x v="4"/>
    <x v="5"/>
    <x v="1"/>
    <x v="9"/>
    <n v="0"/>
    <x v="0"/>
  </r>
  <r>
    <x v="30"/>
    <x v="1"/>
    <x v="96"/>
    <x v="0"/>
    <x v="4"/>
    <x v="5"/>
    <x v="1"/>
    <x v="10"/>
    <n v="0"/>
    <x v="0"/>
  </r>
  <r>
    <x v="30"/>
    <x v="1"/>
    <x v="96"/>
    <x v="0"/>
    <x v="4"/>
    <x v="5"/>
    <x v="1"/>
    <x v="11"/>
    <n v="0"/>
    <x v="0"/>
  </r>
  <r>
    <x v="30"/>
    <x v="1"/>
    <x v="97"/>
    <x v="0"/>
    <x v="4"/>
    <x v="5"/>
    <x v="1"/>
    <x v="0"/>
    <n v="0"/>
    <x v="0"/>
  </r>
  <r>
    <x v="30"/>
    <x v="1"/>
    <x v="97"/>
    <x v="0"/>
    <x v="4"/>
    <x v="5"/>
    <x v="1"/>
    <x v="1"/>
    <n v="0"/>
    <x v="0"/>
  </r>
  <r>
    <x v="30"/>
    <x v="1"/>
    <x v="97"/>
    <x v="0"/>
    <x v="4"/>
    <x v="5"/>
    <x v="1"/>
    <x v="2"/>
    <n v="569.12896593761945"/>
    <x v="0"/>
  </r>
  <r>
    <x v="30"/>
    <x v="1"/>
    <x v="97"/>
    <x v="0"/>
    <x v="4"/>
    <x v="5"/>
    <x v="1"/>
    <x v="3"/>
    <n v="0"/>
    <x v="0"/>
  </r>
  <r>
    <x v="30"/>
    <x v="1"/>
    <x v="97"/>
    <x v="0"/>
    <x v="4"/>
    <x v="5"/>
    <x v="1"/>
    <x v="4"/>
    <n v="0"/>
    <x v="0"/>
  </r>
  <r>
    <x v="30"/>
    <x v="1"/>
    <x v="97"/>
    <x v="0"/>
    <x v="4"/>
    <x v="5"/>
    <x v="1"/>
    <x v="5"/>
    <n v="0"/>
    <x v="0"/>
  </r>
  <r>
    <x v="30"/>
    <x v="1"/>
    <x v="97"/>
    <x v="0"/>
    <x v="4"/>
    <x v="5"/>
    <x v="1"/>
    <x v="6"/>
    <n v="0"/>
    <x v="0"/>
  </r>
  <r>
    <x v="30"/>
    <x v="1"/>
    <x v="97"/>
    <x v="0"/>
    <x v="4"/>
    <x v="5"/>
    <x v="1"/>
    <x v="7"/>
    <n v="0"/>
    <x v="0"/>
  </r>
  <r>
    <x v="30"/>
    <x v="1"/>
    <x v="97"/>
    <x v="0"/>
    <x v="4"/>
    <x v="5"/>
    <x v="1"/>
    <x v="8"/>
    <n v="0"/>
    <x v="0"/>
  </r>
  <r>
    <x v="30"/>
    <x v="1"/>
    <x v="97"/>
    <x v="0"/>
    <x v="4"/>
    <x v="5"/>
    <x v="1"/>
    <x v="9"/>
    <n v="0"/>
    <x v="0"/>
  </r>
  <r>
    <x v="30"/>
    <x v="1"/>
    <x v="97"/>
    <x v="0"/>
    <x v="4"/>
    <x v="5"/>
    <x v="1"/>
    <x v="10"/>
    <n v="0"/>
    <x v="0"/>
  </r>
  <r>
    <x v="30"/>
    <x v="1"/>
    <x v="97"/>
    <x v="0"/>
    <x v="4"/>
    <x v="5"/>
    <x v="1"/>
    <x v="11"/>
    <n v="0"/>
    <x v="0"/>
  </r>
  <r>
    <x v="30"/>
    <x v="1"/>
    <x v="98"/>
    <x v="2"/>
    <x v="4"/>
    <x v="6"/>
    <x v="0"/>
    <x v="0"/>
    <n v="615.97594687166156"/>
    <x v="0"/>
  </r>
  <r>
    <x v="30"/>
    <x v="1"/>
    <x v="98"/>
    <x v="2"/>
    <x v="4"/>
    <x v="6"/>
    <x v="0"/>
    <x v="1"/>
    <n v="0"/>
    <x v="0"/>
  </r>
  <r>
    <x v="30"/>
    <x v="1"/>
    <x v="98"/>
    <x v="2"/>
    <x v="4"/>
    <x v="6"/>
    <x v="0"/>
    <x v="2"/>
    <n v="0"/>
    <x v="0"/>
  </r>
  <r>
    <x v="30"/>
    <x v="1"/>
    <x v="98"/>
    <x v="2"/>
    <x v="4"/>
    <x v="6"/>
    <x v="0"/>
    <x v="3"/>
    <n v="0"/>
    <x v="0"/>
  </r>
  <r>
    <x v="30"/>
    <x v="1"/>
    <x v="98"/>
    <x v="2"/>
    <x v="4"/>
    <x v="6"/>
    <x v="0"/>
    <x v="4"/>
    <n v="0"/>
    <x v="0"/>
  </r>
  <r>
    <x v="30"/>
    <x v="1"/>
    <x v="98"/>
    <x v="2"/>
    <x v="4"/>
    <x v="6"/>
    <x v="0"/>
    <x v="5"/>
    <n v="0"/>
    <x v="0"/>
  </r>
  <r>
    <x v="30"/>
    <x v="1"/>
    <x v="98"/>
    <x v="2"/>
    <x v="4"/>
    <x v="6"/>
    <x v="0"/>
    <x v="6"/>
    <n v="0"/>
    <x v="0"/>
  </r>
  <r>
    <x v="30"/>
    <x v="1"/>
    <x v="98"/>
    <x v="2"/>
    <x v="4"/>
    <x v="6"/>
    <x v="0"/>
    <x v="7"/>
    <n v="0"/>
    <x v="0"/>
  </r>
  <r>
    <x v="30"/>
    <x v="1"/>
    <x v="98"/>
    <x v="2"/>
    <x v="4"/>
    <x v="6"/>
    <x v="0"/>
    <x v="8"/>
    <n v="0"/>
    <x v="0"/>
  </r>
  <r>
    <x v="30"/>
    <x v="1"/>
    <x v="98"/>
    <x v="2"/>
    <x v="4"/>
    <x v="6"/>
    <x v="0"/>
    <x v="9"/>
    <n v="0"/>
    <x v="0"/>
  </r>
  <r>
    <x v="30"/>
    <x v="1"/>
    <x v="98"/>
    <x v="2"/>
    <x v="4"/>
    <x v="6"/>
    <x v="0"/>
    <x v="10"/>
    <n v="0"/>
    <x v="0"/>
  </r>
  <r>
    <x v="30"/>
    <x v="1"/>
    <x v="98"/>
    <x v="2"/>
    <x v="4"/>
    <x v="6"/>
    <x v="0"/>
    <x v="11"/>
    <n v="0"/>
    <x v="0"/>
  </r>
  <r>
    <x v="30"/>
    <x v="1"/>
    <x v="99"/>
    <x v="2"/>
    <x v="4"/>
    <x v="7"/>
    <x v="0"/>
    <x v="0"/>
    <n v="0"/>
    <x v="0"/>
  </r>
  <r>
    <x v="30"/>
    <x v="1"/>
    <x v="99"/>
    <x v="2"/>
    <x v="4"/>
    <x v="7"/>
    <x v="0"/>
    <x v="1"/>
    <n v="0"/>
    <x v="0"/>
  </r>
  <r>
    <x v="30"/>
    <x v="1"/>
    <x v="99"/>
    <x v="2"/>
    <x v="4"/>
    <x v="7"/>
    <x v="0"/>
    <x v="2"/>
    <n v="29.960844275929045"/>
    <x v="0"/>
  </r>
  <r>
    <x v="30"/>
    <x v="1"/>
    <x v="99"/>
    <x v="2"/>
    <x v="4"/>
    <x v="7"/>
    <x v="0"/>
    <x v="3"/>
    <n v="0"/>
    <x v="0"/>
  </r>
  <r>
    <x v="30"/>
    <x v="1"/>
    <x v="99"/>
    <x v="2"/>
    <x v="4"/>
    <x v="7"/>
    <x v="0"/>
    <x v="4"/>
    <n v="0"/>
    <x v="0"/>
  </r>
  <r>
    <x v="30"/>
    <x v="1"/>
    <x v="99"/>
    <x v="2"/>
    <x v="4"/>
    <x v="7"/>
    <x v="0"/>
    <x v="5"/>
    <n v="0"/>
    <x v="0"/>
  </r>
  <r>
    <x v="30"/>
    <x v="1"/>
    <x v="99"/>
    <x v="2"/>
    <x v="4"/>
    <x v="7"/>
    <x v="0"/>
    <x v="6"/>
    <n v="0"/>
    <x v="0"/>
  </r>
  <r>
    <x v="30"/>
    <x v="1"/>
    <x v="99"/>
    <x v="2"/>
    <x v="4"/>
    <x v="7"/>
    <x v="0"/>
    <x v="7"/>
    <n v="0"/>
    <x v="0"/>
  </r>
  <r>
    <x v="30"/>
    <x v="1"/>
    <x v="99"/>
    <x v="2"/>
    <x v="4"/>
    <x v="7"/>
    <x v="0"/>
    <x v="8"/>
    <n v="0"/>
    <x v="0"/>
  </r>
  <r>
    <x v="30"/>
    <x v="1"/>
    <x v="99"/>
    <x v="2"/>
    <x v="4"/>
    <x v="7"/>
    <x v="0"/>
    <x v="9"/>
    <n v="0"/>
    <x v="0"/>
  </r>
  <r>
    <x v="30"/>
    <x v="1"/>
    <x v="99"/>
    <x v="2"/>
    <x v="4"/>
    <x v="7"/>
    <x v="0"/>
    <x v="10"/>
    <n v="0"/>
    <x v="0"/>
  </r>
  <r>
    <x v="30"/>
    <x v="1"/>
    <x v="99"/>
    <x v="2"/>
    <x v="4"/>
    <x v="7"/>
    <x v="0"/>
    <x v="11"/>
    <n v="0"/>
    <x v="0"/>
  </r>
  <r>
    <x v="30"/>
    <x v="1"/>
    <x v="100"/>
    <x v="0"/>
    <x v="1"/>
    <x v="8"/>
    <x v="0"/>
    <x v="0"/>
    <n v="2621.6368021674248"/>
    <x v="0"/>
  </r>
  <r>
    <x v="30"/>
    <x v="1"/>
    <x v="100"/>
    <x v="0"/>
    <x v="1"/>
    <x v="8"/>
    <x v="0"/>
    <x v="1"/>
    <n v="0"/>
    <x v="0"/>
  </r>
  <r>
    <x v="30"/>
    <x v="1"/>
    <x v="100"/>
    <x v="0"/>
    <x v="1"/>
    <x v="8"/>
    <x v="0"/>
    <x v="2"/>
    <n v="0"/>
    <x v="0"/>
  </r>
  <r>
    <x v="30"/>
    <x v="1"/>
    <x v="100"/>
    <x v="0"/>
    <x v="1"/>
    <x v="8"/>
    <x v="0"/>
    <x v="3"/>
    <n v="0"/>
    <x v="0"/>
  </r>
  <r>
    <x v="30"/>
    <x v="1"/>
    <x v="100"/>
    <x v="0"/>
    <x v="1"/>
    <x v="8"/>
    <x v="0"/>
    <x v="4"/>
    <n v="0"/>
    <x v="0"/>
  </r>
  <r>
    <x v="30"/>
    <x v="1"/>
    <x v="100"/>
    <x v="0"/>
    <x v="1"/>
    <x v="8"/>
    <x v="0"/>
    <x v="5"/>
    <n v="0"/>
    <x v="0"/>
  </r>
  <r>
    <x v="30"/>
    <x v="1"/>
    <x v="100"/>
    <x v="0"/>
    <x v="1"/>
    <x v="8"/>
    <x v="0"/>
    <x v="6"/>
    <n v="0"/>
    <x v="0"/>
  </r>
  <r>
    <x v="30"/>
    <x v="1"/>
    <x v="100"/>
    <x v="0"/>
    <x v="1"/>
    <x v="8"/>
    <x v="0"/>
    <x v="7"/>
    <n v="0"/>
    <x v="0"/>
  </r>
  <r>
    <x v="30"/>
    <x v="1"/>
    <x v="100"/>
    <x v="0"/>
    <x v="1"/>
    <x v="8"/>
    <x v="0"/>
    <x v="8"/>
    <n v="0"/>
    <x v="0"/>
  </r>
  <r>
    <x v="30"/>
    <x v="1"/>
    <x v="100"/>
    <x v="0"/>
    <x v="1"/>
    <x v="8"/>
    <x v="0"/>
    <x v="9"/>
    <n v="0"/>
    <x v="0"/>
  </r>
  <r>
    <x v="30"/>
    <x v="1"/>
    <x v="100"/>
    <x v="0"/>
    <x v="1"/>
    <x v="8"/>
    <x v="0"/>
    <x v="10"/>
    <n v="0"/>
    <x v="0"/>
  </r>
  <r>
    <x v="30"/>
    <x v="1"/>
    <x v="100"/>
    <x v="0"/>
    <x v="1"/>
    <x v="8"/>
    <x v="0"/>
    <x v="11"/>
    <n v="0"/>
    <x v="0"/>
  </r>
  <r>
    <x v="30"/>
    <x v="1"/>
    <x v="101"/>
    <x v="0"/>
    <x v="4"/>
    <x v="5"/>
    <x v="0"/>
    <x v="0"/>
    <n v="4528.1390764215466"/>
    <x v="0"/>
  </r>
  <r>
    <x v="30"/>
    <x v="1"/>
    <x v="101"/>
    <x v="0"/>
    <x v="4"/>
    <x v="5"/>
    <x v="0"/>
    <x v="1"/>
    <n v="0"/>
    <x v="0"/>
  </r>
  <r>
    <x v="30"/>
    <x v="1"/>
    <x v="101"/>
    <x v="0"/>
    <x v="4"/>
    <x v="5"/>
    <x v="0"/>
    <x v="2"/>
    <n v="0"/>
    <x v="0"/>
  </r>
  <r>
    <x v="30"/>
    <x v="1"/>
    <x v="101"/>
    <x v="0"/>
    <x v="4"/>
    <x v="5"/>
    <x v="0"/>
    <x v="3"/>
    <n v="0"/>
    <x v="0"/>
  </r>
  <r>
    <x v="30"/>
    <x v="1"/>
    <x v="101"/>
    <x v="0"/>
    <x v="4"/>
    <x v="5"/>
    <x v="0"/>
    <x v="4"/>
    <n v="0"/>
    <x v="0"/>
  </r>
  <r>
    <x v="30"/>
    <x v="1"/>
    <x v="101"/>
    <x v="0"/>
    <x v="4"/>
    <x v="5"/>
    <x v="0"/>
    <x v="5"/>
    <n v="0"/>
    <x v="0"/>
  </r>
  <r>
    <x v="30"/>
    <x v="1"/>
    <x v="101"/>
    <x v="0"/>
    <x v="4"/>
    <x v="5"/>
    <x v="0"/>
    <x v="6"/>
    <n v="0"/>
    <x v="0"/>
  </r>
  <r>
    <x v="30"/>
    <x v="1"/>
    <x v="101"/>
    <x v="0"/>
    <x v="4"/>
    <x v="5"/>
    <x v="0"/>
    <x v="7"/>
    <n v="0"/>
    <x v="0"/>
  </r>
  <r>
    <x v="30"/>
    <x v="1"/>
    <x v="101"/>
    <x v="0"/>
    <x v="4"/>
    <x v="5"/>
    <x v="0"/>
    <x v="8"/>
    <n v="0"/>
    <x v="0"/>
  </r>
  <r>
    <x v="30"/>
    <x v="1"/>
    <x v="101"/>
    <x v="0"/>
    <x v="4"/>
    <x v="5"/>
    <x v="0"/>
    <x v="9"/>
    <n v="0"/>
    <x v="0"/>
  </r>
  <r>
    <x v="30"/>
    <x v="1"/>
    <x v="101"/>
    <x v="0"/>
    <x v="4"/>
    <x v="5"/>
    <x v="0"/>
    <x v="10"/>
    <n v="0"/>
    <x v="0"/>
  </r>
  <r>
    <x v="30"/>
    <x v="1"/>
    <x v="101"/>
    <x v="0"/>
    <x v="4"/>
    <x v="5"/>
    <x v="0"/>
    <x v="11"/>
    <n v="0"/>
    <x v="0"/>
  </r>
  <r>
    <x v="30"/>
    <x v="1"/>
    <x v="102"/>
    <x v="0"/>
    <x v="1"/>
    <x v="9"/>
    <x v="0"/>
    <x v="0"/>
    <n v="634.1523585061509"/>
    <x v="0"/>
  </r>
  <r>
    <x v="30"/>
    <x v="1"/>
    <x v="102"/>
    <x v="0"/>
    <x v="1"/>
    <x v="9"/>
    <x v="0"/>
    <x v="1"/>
    <n v="160.97214149298347"/>
    <x v="0"/>
  </r>
  <r>
    <x v="30"/>
    <x v="1"/>
    <x v="102"/>
    <x v="0"/>
    <x v="1"/>
    <x v="9"/>
    <x v="0"/>
    <x v="2"/>
    <n v="0"/>
    <x v="0"/>
  </r>
  <r>
    <x v="30"/>
    <x v="1"/>
    <x v="102"/>
    <x v="0"/>
    <x v="1"/>
    <x v="9"/>
    <x v="0"/>
    <x v="3"/>
    <n v="0"/>
    <x v="0"/>
  </r>
  <r>
    <x v="30"/>
    <x v="1"/>
    <x v="102"/>
    <x v="0"/>
    <x v="1"/>
    <x v="9"/>
    <x v="0"/>
    <x v="4"/>
    <n v="0"/>
    <x v="0"/>
  </r>
  <r>
    <x v="30"/>
    <x v="1"/>
    <x v="102"/>
    <x v="0"/>
    <x v="1"/>
    <x v="9"/>
    <x v="0"/>
    <x v="5"/>
    <n v="0"/>
    <x v="0"/>
  </r>
  <r>
    <x v="30"/>
    <x v="1"/>
    <x v="102"/>
    <x v="0"/>
    <x v="1"/>
    <x v="9"/>
    <x v="0"/>
    <x v="6"/>
    <n v="0"/>
    <x v="0"/>
  </r>
  <r>
    <x v="30"/>
    <x v="1"/>
    <x v="102"/>
    <x v="0"/>
    <x v="1"/>
    <x v="9"/>
    <x v="0"/>
    <x v="7"/>
    <n v="0"/>
    <x v="0"/>
  </r>
  <r>
    <x v="30"/>
    <x v="1"/>
    <x v="102"/>
    <x v="0"/>
    <x v="1"/>
    <x v="9"/>
    <x v="0"/>
    <x v="8"/>
    <n v="0"/>
    <x v="0"/>
  </r>
  <r>
    <x v="30"/>
    <x v="1"/>
    <x v="102"/>
    <x v="0"/>
    <x v="1"/>
    <x v="9"/>
    <x v="0"/>
    <x v="9"/>
    <n v="0"/>
    <x v="0"/>
  </r>
  <r>
    <x v="30"/>
    <x v="1"/>
    <x v="102"/>
    <x v="0"/>
    <x v="1"/>
    <x v="9"/>
    <x v="0"/>
    <x v="10"/>
    <n v="0"/>
    <x v="0"/>
  </r>
  <r>
    <x v="30"/>
    <x v="1"/>
    <x v="102"/>
    <x v="0"/>
    <x v="1"/>
    <x v="9"/>
    <x v="0"/>
    <x v="11"/>
    <n v="0"/>
    <x v="0"/>
  </r>
  <r>
    <x v="30"/>
    <x v="1"/>
    <x v="103"/>
    <x v="0"/>
    <x v="4"/>
    <x v="4"/>
    <x v="1"/>
    <x v="0"/>
    <n v="6975.3929008028726"/>
    <x v="0"/>
  </r>
  <r>
    <x v="30"/>
    <x v="1"/>
    <x v="103"/>
    <x v="0"/>
    <x v="4"/>
    <x v="4"/>
    <x v="1"/>
    <x v="1"/>
    <n v="1501.7489412936975"/>
    <x v="0"/>
  </r>
  <r>
    <x v="30"/>
    <x v="1"/>
    <x v="103"/>
    <x v="0"/>
    <x v="4"/>
    <x v="4"/>
    <x v="1"/>
    <x v="2"/>
    <n v="0"/>
    <x v="0"/>
  </r>
  <r>
    <x v="30"/>
    <x v="1"/>
    <x v="103"/>
    <x v="0"/>
    <x v="4"/>
    <x v="4"/>
    <x v="1"/>
    <x v="3"/>
    <n v="0"/>
    <x v="0"/>
  </r>
  <r>
    <x v="30"/>
    <x v="1"/>
    <x v="103"/>
    <x v="0"/>
    <x v="4"/>
    <x v="4"/>
    <x v="1"/>
    <x v="4"/>
    <n v="0"/>
    <x v="0"/>
  </r>
  <r>
    <x v="30"/>
    <x v="1"/>
    <x v="103"/>
    <x v="0"/>
    <x v="4"/>
    <x v="4"/>
    <x v="1"/>
    <x v="5"/>
    <n v="0"/>
    <x v="0"/>
  </r>
  <r>
    <x v="30"/>
    <x v="1"/>
    <x v="103"/>
    <x v="0"/>
    <x v="4"/>
    <x v="4"/>
    <x v="1"/>
    <x v="6"/>
    <n v="0"/>
    <x v="0"/>
  </r>
  <r>
    <x v="30"/>
    <x v="1"/>
    <x v="103"/>
    <x v="0"/>
    <x v="4"/>
    <x v="4"/>
    <x v="1"/>
    <x v="7"/>
    <n v="0"/>
    <x v="0"/>
  </r>
  <r>
    <x v="30"/>
    <x v="1"/>
    <x v="103"/>
    <x v="0"/>
    <x v="4"/>
    <x v="4"/>
    <x v="1"/>
    <x v="8"/>
    <n v="0"/>
    <x v="0"/>
  </r>
  <r>
    <x v="30"/>
    <x v="1"/>
    <x v="103"/>
    <x v="0"/>
    <x v="4"/>
    <x v="4"/>
    <x v="1"/>
    <x v="9"/>
    <n v="0"/>
    <x v="0"/>
  </r>
  <r>
    <x v="30"/>
    <x v="1"/>
    <x v="103"/>
    <x v="0"/>
    <x v="4"/>
    <x v="4"/>
    <x v="1"/>
    <x v="10"/>
    <n v="0"/>
    <x v="0"/>
  </r>
  <r>
    <x v="30"/>
    <x v="1"/>
    <x v="103"/>
    <x v="0"/>
    <x v="4"/>
    <x v="4"/>
    <x v="1"/>
    <x v="11"/>
    <n v="0"/>
    <x v="0"/>
  </r>
  <r>
    <x v="30"/>
    <x v="1"/>
    <x v="104"/>
    <x v="0"/>
    <x v="4"/>
    <x v="4"/>
    <x v="1"/>
    <x v="0"/>
    <n v="4756.2880648465289"/>
    <x v="0"/>
  </r>
  <r>
    <x v="30"/>
    <x v="1"/>
    <x v="104"/>
    <x v="0"/>
    <x v="4"/>
    <x v="4"/>
    <x v="1"/>
    <x v="1"/>
    <n v="3749.3180685875609"/>
    <x v="0"/>
  </r>
  <r>
    <x v="30"/>
    <x v="1"/>
    <x v="104"/>
    <x v="0"/>
    <x v="4"/>
    <x v="4"/>
    <x v="1"/>
    <x v="2"/>
    <n v="0"/>
    <x v="0"/>
  </r>
  <r>
    <x v="30"/>
    <x v="1"/>
    <x v="104"/>
    <x v="0"/>
    <x v="4"/>
    <x v="4"/>
    <x v="1"/>
    <x v="3"/>
    <n v="0"/>
    <x v="0"/>
  </r>
  <r>
    <x v="30"/>
    <x v="1"/>
    <x v="104"/>
    <x v="0"/>
    <x v="4"/>
    <x v="4"/>
    <x v="1"/>
    <x v="4"/>
    <n v="0"/>
    <x v="0"/>
  </r>
  <r>
    <x v="30"/>
    <x v="1"/>
    <x v="104"/>
    <x v="0"/>
    <x v="4"/>
    <x v="4"/>
    <x v="1"/>
    <x v="5"/>
    <n v="0"/>
    <x v="0"/>
  </r>
  <r>
    <x v="30"/>
    <x v="1"/>
    <x v="104"/>
    <x v="0"/>
    <x v="4"/>
    <x v="4"/>
    <x v="1"/>
    <x v="6"/>
    <n v="0"/>
    <x v="0"/>
  </r>
  <r>
    <x v="30"/>
    <x v="1"/>
    <x v="104"/>
    <x v="0"/>
    <x v="4"/>
    <x v="4"/>
    <x v="1"/>
    <x v="7"/>
    <n v="0"/>
    <x v="0"/>
  </r>
  <r>
    <x v="30"/>
    <x v="1"/>
    <x v="104"/>
    <x v="0"/>
    <x v="4"/>
    <x v="4"/>
    <x v="1"/>
    <x v="8"/>
    <n v="0"/>
    <x v="0"/>
  </r>
  <r>
    <x v="30"/>
    <x v="1"/>
    <x v="104"/>
    <x v="0"/>
    <x v="4"/>
    <x v="4"/>
    <x v="1"/>
    <x v="9"/>
    <n v="0"/>
    <x v="0"/>
  </r>
  <r>
    <x v="30"/>
    <x v="1"/>
    <x v="104"/>
    <x v="0"/>
    <x v="4"/>
    <x v="4"/>
    <x v="1"/>
    <x v="10"/>
    <n v="0"/>
    <x v="0"/>
  </r>
  <r>
    <x v="30"/>
    <x v="1"/>
    <x v="104"/>
    <x v="0"/>
    <x v="4"/>
    <x v="4"/>
    <x v="1"/>
    <x v="11"/>
    <n v="0"/>
    <x v="0"/>
  </r>
  <r>
    <x v="30"/>
    <x v="1"/>
    <x v="105"/>
    <x v="2"/>
    <x v="4"/>
    <x v="4"/>
    <x v="0"/>
    <x v="0"/>
    <n v="371.48647011530966"/>
    <x v="0"/>
  </r>
  <r>
    <x v="30"/>
    <x v="1"/>
    <x v="105"/>
    <x v="2"/>
    <x v="4"/>
    <x v="4"/>
    <x v="0"/>
    <x v="1"/>
    <n v="0"/>
    <x v="0"/>
  </r>
  <r>
    <x v="30"/>
    <x v="1"/>
    <x v="105"/>
    <x v="2"/>
    <x v="4"/>
    <x v="4"/>
    <x v="0"/>
    <x v="2"/>
    <n v="0"/>
    <x v="0"/>
  </r>
  <r>
    <x v="30"/>
    <x v="1"/>
    <x v="105"/>
    <x v="2"/>
    <x v="4"/>
    <x v="4"/>
    <x v="0"/>
    <x v="3"/>
    <n v="0"/>
    <x v="0"/>
  </r>
  <r>
    <x v="30"/>
    <x v="1"/>
    <x v="105"/>
    <x v="2"/>
    <x v="4"/>
    <x v="4"/>
    <x v="0"/>
    <x v="4"/>
    <n v="0"/>
    <x v="0"/>
  </r>
  <r>
    <x v="30"/>
    <x v="1"/>
    <x v="105"/>
    <x v="2"/>
    <x v="4"/>
    <x v="4"/>
    <x v="0"/>
    <x v="5"/>
    <n v="0"/>
    <x v="0"/>
  </r>
  <r>
    <x v="30"/>
    <x v="1"/>
    <x v="105"/>
    <x v="2"/>
    <x v="4"/>
    <x v="4"/>
    <x v="0"/>
    <x v="6"/>
    <n v="0"/>
    <x v="0"/>
  </r>
  <r>
    <x v="30"/>
    <x v="1"/>
    <x v="105"/>
    <x v="2"/>
    <x v="4"/>
    <x v="4"/>
    <x v="0"/>
    <x v="7"/>
    <n v="0"/>
    <x v="0"/>
  </r>
  <r>
    <x v="30"/>
    <x v="1"/>
    <x v="105"/>
    <x v="2"/>
    <x v="4"/>
    <x v="4"/>
    <x v="0"/>
    <x v="8"/>
    <n v="0"/>
    <x v="0"/>
  </r>
  <r>
    <x v="30"/>
    <x v="1"/>
    <x v="105"/>
    <x v="2"/>
    <x v="4"/>
    <x v="4"/>
    <x v="0"/>
    <x v="9"/>
    <n v="0"/>
    <x v="0"/>
  </r>
  <r>
    <x v="30"/>
    <x v="1"/>
    <x v="105"/>
    <x v="2"/>
    <x v="4"/>
    <x v="4"/>
    <x v="0"/>
    <x v="10"/>
    <n v="0"/>
    <x v="0"/>
  </r>
  <r>
    <x v="30"/>
    <x v="1"/>
    <x v="105"/>
    <x v="2"/>
    <x v="4"/>
    <x v="4"/>
    <x v="0"/>
    <x v="11"/>
    <n v="0"/>
    <x v="0"/>
  </r>
  <r>
    <x v="30"/>
    <x v="1"/>
    <x v="106"/>
    <x v="0"/>
    <x v="4"/>
    <x v="5"/>
    <x v="1"/>
    <x v="0"/>
    <n v="8830.2393198162972"/>
    <x v="0"/>
  </r>
  <r>
    <x v="30"/>
    <x v="1"/>
    <x v="106"/>
    <x v="0"/>
    <x v="4"/>
    <x v="5"/>
    <x v="1"/>
    <x v="1"/>
    <n v="0"/>
    <x v="0"/>
  </r>
  <r>
    <x v="30"/>
    <x v="1"/>
    <x v="106"/>
    <x v="0"/>
    <x v="4"/>
    <x v="5"/>
    <x v="1"/>
    <x v="2"/>
    <n v="0"/>
    <x v="0"/>
  </r>
  <r>
    <x v="30"/>
    <x v="1"/>
    <x v="106"/>
    <x v="0"/>
    <x v="4"/>
    <x v="5"/>
    <x v="1"/>
    <x v="3"/>
    <n v="0"/>
    <x v="0"/>
  </r>
  <r>
    <x v="30"/>
    <x v="1"/>
    <x v="106"/>
    <x v="0"/>
    <x v="4"/>
    <x v="5"/>
    <x v="1"/>
    <x v="4"/>
    <n v="0"/>
    <x v="0"/>
  </r>
  <r>
    <x v="30"/>
    <x v="1"/>
    <x v="106"/>
    <x v="0"/>
    <x v="4"/>
    <x v="5"/>
    <x v="1"/>
    <x v="5"/>
    <n v="0"/>
    <x v="0"/>
  </r>
  <r>
    <x v="30"/>
    <x v="1"/>
    <x v="106"/>
    <x v="0"/>
    <x v="4"/>
    <x v="5"/>
    <x v="1"/>
    <x v="6"/>
    <n v="0"/>
    <x v="0"/>
  </r>
  <r>
    <x v="30"/>
    <x v="1"/>
    <x v="106"/>
    <x v="0"/>
    <x v="4"/>
    <x v="5"/>
    <x v="1"/>
    <x v="7"/>
    <n v="0"/>
    <x v="0"/>
  </r>
  <r>
    <x v="30"/>
    <x v="1"/>
    <x v="106"/>
    <x v="0"/>
    <x v="4"/>
    <x v="5"/>
    <x v="1"/>
    <x v="8"/>
    <n v="0"/>
    <x v="0"/>
  </r>
  <r>
    <x v="30"/>
    <x v="1"/>
    <x v="106"/>
    <x v="0"/>
    <x v="4"/>
    <x v="5"/>
    <x v="1"/>
    <x v="9"/>
    <n v="0"/>
    <x v="0"/>
  </r>
  <r>
    <x v="30"/>
    <x v="1"/>
    <x v="106"/>
    <x v="0"/>
    <x v="4"/>
    <x v="5"/>
    <x v="1"/>
    <x v="10"/>
    <n v="0"/>
    <x v="0"/>
  </r>
  <r>
    <x v="30"/>
    <x v="1"/>
    <x v="106"/>
    <x v="0"/>
    <x v="4"/>
    <x v="5"/>
    <x v="1"/>
    <x v="11"/>
    <n v="0"/>
    <x v="0"/>
  </r>
  <r>
    <x v="30"/>
    <x v="1"/>
    <x v="107"/>
    <x v="0"/>
    <x v="4"/>
    <x v="6"/>
    <x v="9"/>
    <x v="0"/>
    <n v="0"/>
    <x v="0"/>
  </r>
  <r>
    <x v="30"/>
    <x v="1"/>
    <x v="107"/>
    <x v="0"/>
    <x v="4"/>
    <x v="6"/>
    <x v="9"/>
    <x v="1"/>
    <n v="352.01984555343353"/>
    <x v="0"/>
  </r>
  <r>
    <x v="30"/>
    <x v="1"/>
    <x v="107"/>
    <x v="0"/>
    <x v="4"/>
    <x v="6"/>
    <x v="9"/>
    <x v="2"/>
    <n v="0"/>
    <x v="0"/>
  </r>
  <r>
    <x v="30"/>
    <x v="1"/>
    <x v="107"/>
    <x v="0"/>
    <x v="4"/>
    <x v="6"/>
    <x v="9"/>
    <x v="3"/>
    <n v="0"/>
    <x v="0"/>
  </r>
  <r>
    <x v="30"/>
    <x v="1"/>
    <x v="107"/>
    <x v="0"/>
    <x v="4"/>
    <x v="6"/>
    <x v="9"/>
    <x v="4"/>
    <n v="0"/>
    <x v="0"/>
  </r>
  <r>
    <x v="30"/>
    <x v="1"/>
    <x v="107"/>
    <x v="0"/>
    <x v="4"/>
    <x v="6"/>
    <x v="9"/>
    <x v="5"/>
    <n v="0"/>
    <x v="0"/>
  </r>
  <r>
    <x v="30"/>
    <x v="1"/>
    <x v="107"/>
    <x v="0"/>
    <x v="4"/>
    <x v="6"/>
    <x v="9"/>
    <x v="6"/>
    <n v="0"/>
    <x v="0"/>
  </r>
  <r>
    <x v="30"/>
    <x v="1"/>
    <x v="107"/>
    <x v="0"/>
    <x v="4"/>
    <x v="6"/>
    <x v="9"/>
    <x v="7"/>
    <n v="0"/>
    <x v="0"/>
  </r>
  <r>
    <x v="30"/>
    <x v="1"/>
    <x v="107"/>
    <x v="0"/>
    <x v="4"/>
    <x v="6"/>
    <x v="9"/>
    <x v="8"/>
    <n v="0"/>
    <x v="0"/>
  </r>
  <r>
    <x v="30"/>
    <x v="1"/>
    <x v="107"/>
    <x v="0"/>
    <x v="4"/>
    <x v="6"/>
    <x v="9"/>
    <x v="9"/>
    <n v="0"/>
    <x v="0"/>
  </r>
  <r>
    <x v="30"/>
    <x v="1"/>
    <x v="107"/>
    <x v="0"/>
    <x v="4"/>
    <x v="6"/>
    <x v="9"/>
    <x v="10"/>
    <n v="0"/>
    <x v="0"/>
  </r>
  <r>
    <x v="30"/>
    <x v="1"/>
    <x v="107"/>
    <x v="0"/>
    <x v="4"/>
    <x v="6"/>
    <x v="9"/>
    <x v="11"/>
    <n v="0"/>
    <x v="0"/>
  </r>
  <r>
    <x v="30"/>
    <x v="1"/>
    <x v="108"/>
    <x v="2"/>
    <x v="3"/>
    <x v="9"/>
    <x v="0"/>
    <x v="0"/>
    <n v="43.40356171323473"/>
    <x v="0"/>
  </r>
  <r>
    <x v="30"/>
    <x v="1"/>
    <x v="108"/>
    <x v="2"/>
    <x v="3"/>
    <x v="9"/>
    <x v="0"/>
    <x v="1"/>
    <n v="0"/>
    <x v="0"/>
  </r>
  <r>
    <x v="30"/>
    <x v="1"/>
    <x v="108"/>
    <x v="2"/>
    <x v="3"/>
    <x v="9"/>
    <x v="0"/>
    <x v="2"/>
    <n v="40.791172915396778"/>
    <x v="0"/>
  </r>
  <r>
    <x v="30"/>
    <x v="1"/>
    <x v="108"/>
    <x v="2"/>
    <x v="3"/>
    <x v="9"/>
    <x v="0"/>
    <x v="3"/>
    <n v="0"/>
    <x v="0"/>
  </r>
  <r>
    <x v="30"/>
    <x v="1"/>
    <x v="108"/>
    <x v="2"/>
    <x v="3"/>
    <x v="9"/>
    <x v="0"/>
    <x v="4"/>
    <n v="0"/>
    <x v="0"/>
  </r>
  <r>
    <x v="30"/>
    <x v="1"/>
    <x v="108"/>
    <x v="2"/>
    <x v="3"/>
    <x v="9"/>
    <x v="0"/>
    <x v="5"/>
    <n v="0"/>
    <x v="0"/>
  </r>
  <r>
    <x v="30"/>
    <x v="1"/>
    <x v="108"/>
    <x v="2"/>
    <x v="3"/>
    <x v="9"/>
    <x v="0"/>
    <x v="6"/>
    <n v="0"/>
    <x v="0"/>
  </r>
  <r>
    <x v="30"/>
    <x v="1"/>
    <x v="108"/>
    <x v="2"/>
    <x v="3"/>
    <x v="9"/>
    <x v="0"/>
    <x v="7"/>
    <n v="0"/>
    <x v="0"/>
  </r>
  <r>
    <x v="30"/>
    <x v="1"/>
    <x v="108"/>
    <x v="2"/>
    <x v="3"/>
    <x v="9"/>
    <x v="0"/>
    <x v="8"/>
    <n v="0"/>
    <x v="0"/>
  </r>
  <r>
    <x v="30"/>
    <x v="1"/>
    <x v="108"/>
    <x v="2"/>
    <x v="3"/>
    <x v="9"/>
    <x v="0"/>
    <x v="9"/>
    <n v="0"/>
    <x v="0"/>
  </r>
  <r>
    <x v="30"/>
    <x v="1"/>
    <x v="108"/>
    <x v="2"/>
    <x v="3"/>
    <x v="9"/>
    <x v="0"/>
    <x v="10"/>
    <n v="0"/>
    <x v="0"/>
  </r>
  <r>
    <x v="30"/>
    <x v="1"/>
    <x v="108"/>
    <x v="2"/>
    <x v="3"/>
    <x v="9"/>
    <x v="0"/>
    <x v="11"/>
    <n v="0"/>
    <x v="0"/>
  </r>
  <r>
    <x v="30"/>
    <x v="1"/>
    <x v="109"/>
    <x v="2"/>
    <x v="3"/>
    <x v="9"/>
    <x v="0"/>
    <x v="0"/>
    <n v="59.50506062842102"/>
    <x v="0"/>
  </r>
  <r>
    <x v="30"/>
    <x v="1"/>
    <x v="109"/>
    <x v="2"/>
    <x v="3"/>
    <x v="9"/>
    <x v="0"/>
    <x v="1"/>
    <n v="0"/>
    <x v="0"/>
  </r>
  <r>
    <x v="30"/>
    <x v="1"/>
    <x v="109"/>
    <x v="2"/>
    <x v="3"/>
    <x v="9"/>
    <x v="0"/>
    <x v="2"/>
    <n v="21.726777762854752"/>
    <x v="0"/>
  </r>
  <r>
    <x v="30"/>
    <x v="1"/>
    <x v="109"/>
    <x v="2"/>
    <x v="3"/>
    <x v="9"/>
    <x v="0"/>
    <x v="3"/>
    <n v="0"/>
    <x v="0"/>
  </r>
  <r>
    <x v="30"/>
    <x v="1"/>
    <x v="109"/>
    <x v="2"/>
    <x v="3"/>
    <x v="9"/>
    <x v="0"/>
    <x v="4"/>
    <n v="0"/>
    <x v="0"/>
  </r>
  <r>
    <x v="30"/>
    <x v="1"/>
    <x v="109"/>
    <x v="2"/>
    <x v="3"/>
    <x v="9"/>
    <x v="0"/>
    <x v="5"/>
    <n v="0"/>
    <x v="0"/>
  </r>
  <r>
    <x v="30"/>
    <x v="1"/>
    <x v="109"/>
    <x v="2"/>
    <x v="3"/>
    <x v="9"/>
    <x v="0"/>
    <x v="6"/>
    <n v="0"/>
    <x v="0"/>
  </r>
  <r>
    <x v="30"/>
    <x v="1"/>
    <x v="109"/>
    <x v="2"/>
    <x v="3"/>
    <x v="9"/>
    <x v="0"/>
    <x v="7"/>
    <n v="0"/>
    <x v="0"/>
  </r>
  <r>
    <x v="30"/>
    <x v="1"/>
    <x v="109"/>
    <x v="2"/>
    <x v="3"/>
    <x v="9"/>
    <x v="0"/>
    <x v="8"/>
    <n v="0"/>
    <x v="0"/>
  </r>
  <r>
    <x v="30"/>
    <x v="1"/>
    <x v="109"/>
    <x v="2"/>
    <x v="3"/>
    <x v="9"/>
    <x v="0"/>
    <x v="9"/>
    <n v="0"/>
    <x v="0"/>
  </r>
  <r>
    <x v="30"/>
    <x v="1"/>
    <x v="109"/>
    <x v="2"/>
    <x v="3"/>
    <x v="9"/>
    <x v="0"/>
    <x v="10"/>
    <n v="0"/>
    <x v="0"/>
  </r>
  <r>
    <x v="30"/>
    <x v="1"/>
    <x v="109"/>
    <x v="2"/>
    <x v="3"/>
    <x v="9"/>
    <x v="0"/>
    <x v="11"/>
    <n v="0"/>
    <x v="0"/>
  </r>
  <r>
    <x v="30"/>
    <x v="1"/>
    <x v="110"/>
    <x v="0"/>
    <x v="5"/>
    <x v="10"/>
    <x v="0"/>
    <x v="0"/>
    <n v="10674.305884426039"/>
    <x v="0"/>
  </r>
  <r>
    <x v="30"/>
    <x v="1"/>
    <x v="110"/>
    <x v="0"/>
    <x v="5"/>
    <x v="10"/>
    <x v="0"/>
    <x v="1"/>
    <n v="0"/>
    <x v="0"/>
  </r>
  <r>
    <x v="30"/>
    <x v="1"/>
    <x v="110"/>
    <x v="0"/>
    <x v="5"/>
    <x v="10"/>
    <x v="0"/>
    <x v="2"/>
    <n v="0"/>
    <x v="0"/>
  </r>
  <r>
    <x v="30"/>
    <x v="1"/>
    <x v="110"/>
    <x v="0"/>
    <x v="5"/>
    <x v="10"/>
    <x v="0"/>
    <x v="3"/>
    <n v="0"/>
    <x v="0"/>
  </r>
  <r>
    <x v="30"/>
    <x v="1"/>
    <x v="110"/>
    <x v="0"/>
    <x v="5"/>
    <x v="10"/>
    <x v="0"/>
    <x v="4"/>
    <n v="0"/>
    <x v="0"/>
  </r>
  <r>
    <x v="30"/>
    <x v="1"/>
    <x v="110"/>
    <x v="0"/>
    <x v="5"/>
    <x v="10"/>
    <x v="0"/>
    <x v="5"/>
    <n v="0"/>
    <x v="0"/>
  </r>
  <r>
    <x v="30"/>
    <x v="1"/>
    <x v="110"/>
    <x v="0"/>
    <x v="5"/>
    <x v="10"/>
    <x v="0"/>
    <x v="6"/>
    <n v="0"/>
    <x v="0"/>
  </r>
  <r>
    <x v="30"/>
    <x v="1"/>
    <x v="110"/>
    <x v="0"/>
    <x v="5"/>
    <x v="10"/>
    <x v="0"/>
    <x v="7"/>
    <n v="0"/>
    <x v="0"/>
  </r>
  <r>
    <x v="30"/>
    <x v="1"/>
    <x v="110"/>
    <x v="0"/>
    <x v="5"/>
    <x v="10"/>
    <x v="0"/>
    <x v="8"/>
    <n v="0"/>
    <x v="0"/>
  </r>
  <r>
    <x v="30"/>
    <x v="1"/>
    <x v="110"/>
    <x v="0"/>
    <x v="5"/>
    <x v="10"/>
    <x v="0"/>
    <x v="9"/>
    <n v="0"/>
    <x v="0"/>
  </r>
  <r>
    <x v="30"/>
    <x v="1"/>
    <x v="110"/>
    <x v="0"/>
    <x v="5"/>
    <x v="10"/>
    <x v="0"/>
    <x v="10"/>
    <n v="0"/>
    <x v="0"/>
  </r>
  <r>
    <x v="30"/>
    <x v="1"/>
    <x v="110"/>
    <x v="0"/>
    <x v="5"/>
    <x v="10"/>
    <x v="0"/>
    <x v="11"/>
    <n v="0"/>
    <x v="0"/>
  </r>
  <r>
    <x v="30"/>
    <x v="1"/>
    <x v="111"/>
    <x v="0"/>
    <x v="5"/>
    <x v="10"/>
    <x v="0"/>
    <x v="0"/>
    <n v="1040.5874514036498"/>
    <x v="0"/>
  </r>
  <r>
    <x v="30"/>
    <x v="1"/>
    <x v="111"/>
    <x v="0"/>
    <x v="5"/>
    <x v="10"/>
    <x v="0"/>
    <x v="1"/>
    <n v="519.32450386116409"/>
    <x v="0"/>
  </r>
  <r>
    <x v="30"/>
    <x v="1"/>
    <x v="111"/>
    <x v="0"/>
    <x v="5"/>
    <x v="10"/>
    <x v="0"/>
    <x v="2"/>
    <n v="0"/>
    <x v="0"/>
  </r>
  <r>
    <x v="30"/>
    <x v="1"/>
    <x v="111"/>
    <x v="0"/>
    <x v="5"/>
    <x v="10"/>
    <x v="0"/>
    <x v="3"/>
    <n v="0"/>
    <x v="0"/>
  </r>
  <r>
    <x v="30"/>
    <x v="1"/>
    <x v="111"/>
    <x v="0"/>
    <x v="5"/>
    <x v="10"/>
    <x v="0"/>
    <x v="4"/>
    <n v="4112.9766418268182"/>
    <x v="0"/>
  </r>
  <r>
    <x v="30"/>
    <x v="1"/>
    <x v="111"/>
    <x v="0"/>
    <x v="5"/>
    <x v="10"/>
    <x v="0"/>
    <x v="5"/>
    <n v="0"/>
    <x v="0"/>
  </r>
  <r>
    <x v="30"/>
    <x v="1"/>
    <x v="111"/>
    <x v="0"/>
    <x v="5"/>
    <x v="10"/>
    <x v="0"/>
    <x v="6"/>
    <n v="2910.1433508255473"/>
    <x v="0"/>
  </r>
  <r>
    <x v="30"/>
    <x v="1"/>
    <x v="111"/>
    <x v="0"/>
    <x v="5"/>
    <x v="10"/>
    <x v="0"/>
    <x v="7"/>
    <n v="202.59167652435747"/>
    <x v="0"/>
  </r>
  <r>
    <x v="30"/>
    <x v="1"/>
    <x v="111"/>
    <x v="0"/>
    <x v="5"/>
    <x v="10"/>
    <x v="0"/>
    <x v="8"/>
    <n v="0"/>
    <x v="0"/>
  </r>
  <r>
    <x v="30"/>
    <x v="1"/>
    <x v="111"/>
    <x v="0"/>
    <x v="5"/>
    <x v="10"/>
    <x v="0"/>
    <x v="9"/>
    <n v="540.19930685265763"/>
    <x v="0"/>
  </r>
  <r>
    <x v="30"/>
    <x v="1"/>
    <x v="111"/>
    <x v="0"/>
    <x v="5"/>
    <x v="10"/>
    <x v="0"/>
    <x v="10"/>
    <n v="540.19930685265763"/>
    <x v="0"/>
  </r>
  <r>
    <x v="30"/>
    <x v="1"/>
    <x v="111"/>
    <x v="0"/>
    <x v="5"/>
    <x v="10"/>
    <x v="0"/>
    <x v="11"/>
    <n v="540.19930685265763"/>
    <x v="0"/>
  </r>
  <r>
    <x v="30"/>
    <x v="1"/>
    <x v="112"/>
    <x v="0"/>
    <x v="3"/>
    <x v="11"/>
    <x v="0"/>
    <x v="0"/>
    <n v="1887.7773984294981"/>
    <x v="0"/>
  </r>
  <r>
    <x v="30"/>
    <x v="1"/>
    <x v="112"/>
    <x v="0"/>
    <x v="3"/>
    <x v="11"/>
    <x v="0"/>
    <x v="1"/>
    <n v="1871.807273935066"/>
    <x v="0"/>
  </r>
  <r>
    <x v="30"/>
    <x v="1"/>
    <x v="112"/>
    <x v="0"/>
    <x v="3"/>
    <x v="11"/>
    <x v="0"/>
    <x v="2"/>
    <n v="0"/>
    <x v="0"/>
  </r>
  <r>
    <x v="30"/>
    <x v="1"/>
    <x v="112"/>
    <x v="0"/>
    <x v="3"/>
    <x v="11"/>
    <x v="0"/>
    <x v="3"/>
    <n v="1928.3417001687253"/>
    <x v="0"/>
  </r>
  <r>
    <x v="30"/>
    <x v="1"/>
    <x v="112"/>
    <x v="0"/>
    <x v="3"/>
    <x v="11"/>
    <x v="0"/>
    <x v="4"/>
    <n v="2040.8757136009065"/>
    <x v="0"/>
  </r>
  <r>
    <x v="30"/>
    <x v="1"/>
    <x v="112"/>
    <x v="0"/>
    <x v="3"/>
    <x v="11"/>
    <x v="0"/>
    <x v="5"/>
    <n v="2023.0174498963372"/>
    <x v="0"/>
  </r>
  <r>
    <x v="30"/>
    <x v="1"/>
    <x v="112"/>
    <x v="0"/>
    <x v="3"/>
    <x v="11"/>
    <x v="0"/>
    <x v="6"/>
    <n v="4142.2628951747092"/>
    <x v="0"/>
  </r>
  <r>
    <x v="30"/>
    <x v="1"/>
    <x v="112"/>
    <x v="0"/>
    <x v="3"/>
    <x v="11"/>
    <x v="0"/>
    <x v="7"/>
    <n v="0"/>
    <x v="0"/>
  </r>
  <r>
    <x v="30"/>
    <x v="1"/>
    <x v="112"/>
    <x v="0"/>
    <x v="3"/>
    <x v="11"/>
    <x v="0"/>
    <x v="8"/>
    <n v="0"/>
    <x v="0"/>
  </r>
  <r>
    <x v="30"/>
    <x v="1"/>
    <x v="112"/>
    <x v="0"/>
    <x v="3"/>
    <x v="11"/>
    <x v="0"/>
    <x v="9"/>
    <n v="2023.2992517895509"/>
    <x v="0"/>
  </r>
  <r>
    <x v="30"/>
    <x v="1"/>
    <x v="112"/>
    <x v="0"/>
    <x v="3"/>
    <x v="11"/>
    <x v="0"/>
    <x v="10"/>
    <n v="2023.2992517895509"/>
    <x v="0"/>
  </r>
  <r>
    <x v="30"/>
    <x v="1"/>
    <x v="112"/>
    <x v="0"/>
    <x v="3"/>
    <x v="11"/>
    <x v="0"/>
    <x v="11"/>
    <n v="2023.2992517895509"/>
    <x v="0"/>
  </r>
  <r>
    <x v="30"/>
    <x v="2"/>
    <x v="113"/>
    <x v="0"/>
    <x v="2"/>
    <x v="3"/>
    <x v="5"/>
    <x v="0"/>
    <n v="38183.680437009221"/>
    <x v="0"/>
  </r>
  <r>
    <x v="30"/>
    <x v="2"/>
    <x v="113"/>
    <x v="0"/>
    <x v="2"/>
    <x v="3"/>
    <x v="5"/>
    <x v="1"/>
    <n v="0"/>
    <x v="0"/>
  </r>
  <r>
    <x v="30"/>
    <x v="2"/>
    <x v="113"/>
    <x v="0"/>
    <x v="2"/>
    <x v="3"/>
    <x v="5"/>
    <x v="2"/>
    <n v="0"/>
    <x v="0"/>
  </r>
  <r>
    <x v="30"/>
    <x v="2"/>
    <x v="113"/>
    <x v="0"/>
    <x v="2"/>
    <x v="3"/>
    <x v="5"/>
    <x v="3"/>
    <n v="0"/>
    <x v="0"/>
  </r>
  <r>
    <x v="30"/>
    <x v="2"/>
    <x v="113"/>
    <x v="0"/>
    <x v="2"/>
    <x v="3"/>
    <x v="5"/>
    <x v="4"/>
    <n v="0"/>
    <x v="0"/>
  </r>
  <r>
    <x v="30"/>
    <x v="2"/>
    <x v="113"/>
    <x v="0"/>
    <x v="2"/>
    <x v="3"/>
    <x v="5"/>
    <x v="5"/>
    <n v="0"/>
    <x v="0"/>
  </r>
  <r>
    <x v="30"/>
    <x v="2"/>
    <x v="113"/>
    <x v="0"/>
    <x v="2"/>
    <x v="3"/>
    <x v="5"/>
    <x v="6"/>
    <n v="0"/>
    <x v="0"/>
  </r>
  <r>
    <x v="30"/>
    <x v="2"/>
    <x v="113"/>
    <x v="0"/>
    <x v="2"/>
    <x v="3"/>
    <x v="5"/>
    <x v="7"/>
    <n v="0"/>
    <x v="0"/>
  </r>
  <r>
    <x v="30"/>
    <x v="2"/>
    <x v="113"/>
    <x v="0"/>
    <x v="2"/>
    <x v="3"/>
    <x v="5"/>
    <x v="8"/>
    <n v="0"/>
    <x v="0"/>
  </r>
  <r>
    <x v="30"/>
    <x v="2"/>
    <x v="113"/>
    <x v="0"/>
    <x v="2"/>
    <x v="3"/>
    <x v="5"/>
    <x v="9"/>
    <n v="3909.3294177346388"/>
    <x v="0"/>
  </r>
  <r>
    <x v="30"/>
    <x v="2"/>
    <x v="113"/>
    <x v="0"/>
    <x v="2"/>
    <x v="3"/>
    <x v="5"/>
    <x v="10"/>
    <n v="0"/>
    <x v="0"/>
  </r>
  <r>
    <x v="30"/>
    <x v="2"/>
    <x v="113"/>
    <x v="0"/>
    <x v="2"/>
    <x v="3"/>
    <x v="5"/>
    <x v="11"/>
    <n v="0"/>
    <x v="0"/>
  </r>
  <r>
    <x v="30"/>
    <x v="2"/>
    <x v="114"/>
    <x v="0"/>
    <x v="2"/>
    <x v="3"/>
    <x v="5"/>
    <x v="0"/>
    <n v="0"/>
    <x v="0"/>
  </r>
  <r>
    <x v="30"/>
    <x v="2"/>
    <x v="114"/>
    <x v="0"/>
    <x v="2"/>
    <x v="3"/>
    <x v="5"/>
    <x v="1"/>
    <n v="0"/>
    <x v="0"/>
  </r>
  <r>
    <x v="30"/>
    <x v="2"/>
    <x v="114"/>
    <x v="0"/>
    <x v="2"/>
    <x v="3"/>
    <x v="5"/>
    <x v="2"/>
    <n v="0"/>
    <x v="0"/>
  </r>
  <r>
    <x v="30"/>
    <x v="2"/>
    <x v="114"/>
    <x v="0"/>
    <x v="2"/>
    <x v="3"/>
    <x v="5"/>
    <x v="3"/>
    <n v="0"/>
    <x v="0"/>
  </r>
  <r>
    <x v="30"/>
    <x v="2"/>
    <x v="114"/>
    <x v="0"/>
    <x v="2"/>
    <x v="3"/>
    <x v="5"/>
    <x v="4"/>
    <n v="0"/>
    <x v="0"/>
  </r>
  <r>
    <x v="30"/>
    <x v="2"/>
    <x v="114"/>
    <x v="0"/>
    <x v="2"/>
    <x v="3"/>
    <x v="5"/>
    <x v="5"/>
    <n v="18250.565825846577"/>
    <x v="0"/>
  </r>
  <r>
    <x v="30"/>
    <x v="2"/>
    <x v="114"/>
    <x v="0"/>
    <x v="2"/>
    <x v="3"/>
    <x v="5"/>
    <x v="6"/>
    <n v="17011.652587567729"/>
    <x v="0"/>
  </r>
  <r>
    <x v="30"/>
    <x v="2"/>
    <x v="114"/>
    <x v="0"/>
    <x v="2"/>
    <x v="3"/>
    <x v="5"/>
    <x v="7"/>
    <n v="0"/>
    <x v="0"/>
  </r>
  <r>
    <x v="30"/>
    <x v="2"/>
    <x v="114"/>
    <x v="0"/>
    <x v="2"/>
    <x v="3"/>
    <x v="5"/>
    <x v="8"/>
    <n v="0"/>
    <x v="0"/>
  </r>
  <r>
    <x v="30"/>
    <x v="2"/>
    <x v="114"/>
    <x v="0"/>
    <x v="2"/>
    <x v="3"/>
    <x v="5"/>
    <x v="9"/>
    <n v="0"/>
    <x v="0"/>
  </r>
  <r>
    <x v="30"/>
    <x v="2"/>
    <x v="114"/>
    <x v="0"/>
    <x v="2"/>
    <x v="3"/>
    <x v="5"/>
    <x v="10"/>
    <n v="0"/>
    <x v="0"/>
  </r>
  <r>
    <x v="30"/>
    <x v="2"/>
    <x v="114"/>
    <x v="0"/>
    <x v="2"/>
    <x v="3"/>
    <x v="5"/>
    <x v="11"/>
    <n v="0"/>
    <x v="0"/>
  </r>
  <r>
    <x v="30"/>
    <x v="2"/>
    <x v="115"/>
    <x v="0"/>
    <x v="2"/>
    <x v="3"/>
    <x v="5"/>
    <x v="0"/>
    <n v="0"/>
    <x v="0"/>
  </r>
  <r>
    <x v="30"/>
    <x v="2"/>
    <x v="115"/>
    <x v="0"/>
    <x v="2"/>
    <x v="3"/>
    <x v="5"/>
    <x v="1"/>
    <n v="0"/>
    <x v="0"/>
  </r>
  <r>
    <x v="30"/>
    <x v="2"/>
    <x v="115"/>
    <x v="0"/>
    <x v="2"/>
    <x v="3"/>
    <x v="5"/>
    <x v="2"/>
    <n v="0"/>
    <x v="0"/>
  </r>
  <r>
    <x v="30"/>
    <x v="2"/>
    <x v="115"/>
    <x v="0"/>
    <x v="2"/>
    <x v="3"/>
    <x v="5"/>
    <x v="3"/>
    <n v="0"/>
    <x v="0"/>
  </r>
  <r>
    <x v="30"/>
    <x v="2"/>
    <x v="115"/>
    <x v="0"/>
    <x v="2"/>
    <x v="3"/>
    <x v="5"/>
    <x v="4"/>
    <n v="0"/>
    <x v="0"/>
  </r>
  <r>
    <x v="30"/>
    <x v="2"/>
    <x v="115"/>
    <x v="0"/>
    <x v="2"/>
    <x v="3"/>
    <x v="5"/>
    <x v="5"/>
    <n v="49866.925103662747"/>
    <x v="0"/>
  </r>
  <r>
    <x v="30"/>
    <x v="2"/>
    <x v="115"/>
    <x v="0"/>
    <x v="2"/>
    <x v="3"/>
    <x v="5"/>
    <x v="6"/>
    <n v="847.49562694654219"/>
    <x v="0"/>
  </r>
  <r>
    <x v="30"/>
    <x v="2"/>
    <x v="115"/>
    <x v="0"/>
    <x v="2"/>
    <x v="3"/>
    <x v="5"/>
    <x v="7"/>
    <n v="0"/>
    <x v="0"/>
  </r>
  <r>
    <x v="30"/>
    <x v="2"/>
    <x v="115"/>
    <x v="0"/>
    <x v="2"/>
    <x v="3"/>
    <x v="5"/>
    <x v="8"/>
    <n v="0"/>
    <x v="0"/>
  </r>
  <r>
    <x v="30"/>
    <x v="2"/>
    <x v="115"/>
    <x v="0"/>
    <x v="2"/>
    <x v="3"/>
    <x v="5"/>
    <x v="9"/>
    <n v="0"/>
    <x v="0"/>
  </r>
  <r>
    <x v="30"/>
    <x v="2"/>
    <x v="115"/>
    <x v="0"/>
    <x v="2"/>
    <x v="3"/>
    <x v="5"/>
    <x v="10"/>
    <n v="0"/>
    <x v="0"/>
  </r>
  <r>
    <x v="30"/>
    <x v="2"/>
    <x v="115"/>
    <x v="0"/>
    <x v="2"/>
    <x v="3"/>
    <x v="5"/>
    <x v="11"/>
    <n v="0"/>
    <x v="0"/>
  </r>
  <r>
    <x v="30"/>
    <x v="1"/>
    <x v="116"/>
    <x v="0"/>
    <x v="2"/>
    <x v="3"/>
    <x v="0"/>
    <x v="0"/>
    <n v="0"/>
    <x v="0"/>
  </r>
  <r>
    <x v="30"/>
    <x v="1"/>
    <x v="116"/>
    <x v="0"/>
    <x v="2"/>
    <x v="3"/>
    <x v="0"/>
    <x v="1"/>
    <n v="0"/>
    <x v="0"/>
  </r>
  <r>
    <x v="30"/>
    <x v="1"/>
    <x v="116"/>
    <x v="0"/>
    <x v="2"/>
    <x v="3"/>
    <x v="0"/>
    <x v="2"/>
    <n v="0"/>
    <x v="0"/>
  </r>
  <r>
    <x v="30"/>
    <x v="1"/>
    <x v="116"/>
    <x v="0"/>
    <x v="2"/>
    <x v="3"/>
    <x v="0"/>
    <x v="3"/>
    <n v="0"/>
    <x v="0"/>
  </r>
  <r>
    <x v="30"/>
    <x v="1"/>
    <x v="116"/>
    <x v="0"/>
    <x v="2"/>
    <x v="3"/>
    <x v="0"/>
    <x v="4"/>
    <n v="914.87231446376438"/>
    <x v="0"/>
  </r>
  <r>
    <x v="30"/>
    <x v="1"/>
    <x v="116"/>
    <x v="0"/>
    <x v="2"/>
    <x v="3"/>
    <x v="0"/>
    <x v="5"/>
    <n v="0"/>
    <x v="0"/>
  </r>
  <r>
    <x v="30"/>
    <x v="1"/>
    <x v="116"/>
    <x v="0"/>
    <x v="2"/>
    <x v="3"/>
    <x v="0"/>
    <x v="6"/>
    <n v="0"/>
    <x v="0"/>
  </r>
  <r>
    <x v="30"/>
    <x v="1"/>
    <x v="116"/>
    <x v="0"/>
    <x v="2"/>
    <x v="3"/>
    <x v="0"/>
    <x v="7"/>
    <n v="0"/>
    <x v="0"/>
  </r>
  <r>
    <x v="30"/>
    <x v="1"/>
    <x v="116"/>
    <x v="0"/>
    <x v="2"/>
    <x v="3"/>
    <x v="0"/>
    <x v="8"/>
    <n v="0"/>
    <x v="0"/>
  </r>
  <r>
    <x v="30"/>
    <x v="1"/>
    <x v="116"/>
    <x v="0"/>
    <x v="2"/>
    <x v="3"/>
    <x v="0"/>
    <x v="9"/>
    <n v="0"/>
    <x v="0"/>
  </r>
  <r>
    <x v="30"/>
    <x v="1"/>
    <x v="116"/>
    <x v="0"/>
    <x v="2"/>
    <x v="3"/>
    <x v="0"/>
    <x v="10"/>
    <n v="0"/>
    <x v="0"/>
  </r>
  <r>
    <x v="30"/>
    <x v="1"/>
    <x v="116"/>
    <x v="0"/>
    <x v="2"/>
    <x v="3"/>
    <x v="0"/>
    <x v="11"/>
    <n v="0"/>
    <x v="0"/>
  </r>
  <r>
    <x v="30"/>
    <x v="2"/>
    <x v="117"/>
    <x v="2"/>
    <x v="2"/>
    <x v="3"/>
    <x v="0"/>
    <x v="0"/>
    <n v="0"/>
    <x v="0"/>
  </r>
  <r>
    <x v="30"/>
    <x v="2"/>
    <x v="117"/>
    <x v="2"/>
    <x v="2"/>
    <x v="3"/>
    <x v="0"/>
    <x v="1"/>
    <n v="0"/>
    <x v="0"/>
  </r>
  <r>
    <x v="30"/>
    <x v="2"/>
    <x v="117"/>
    <x v="2"/>
    <x v="2"/>
    <x v="3"/>
    <x v="0"/>
    <x v="2"/>
    <n v="0"/>
    <x v="0"/>
  </r>
  <r>
    <x v="30"/>
    <x v="2"/>
    <x v="117"/>
    <x v="2"/>
    <x v="2"/>
    <x v="3"/>
    <x v="0"/>
    <x v="3"/>
    <n v="0"/>
    <x v="0"/>
  </r>
  <r>
    <x v="30"/>
    <x v="2"/>
    <x v="117"/>
    <x v="2"/>
    <x v="2"/>
    <x v="3"/>
    <x v="0"/>
    <x v="4"/>
    <n v="22490.980302436048"/>
    <x v="0"/>
  </r>
  <r>
    <x v="30"/>
    <x v="2"/>
    <x v="117"/>
    <x v="2"/>
    <x v="2"/>
    <x v="3"/>
    <x v="0"/>
    <x v="5"/>
    <n v="0"/>
    <x v="0"/>
  </r>
  <r>
    <x v="30"/>
    <x v="2"/>
    <x v="117"/>
    <x v="2"/>
    <x v="2"/>
    <x v="3"/>
    <x v="0"/>
    <x v="6"/>
    <n v="0"/>
    <x v="0"/>
  </r>
  <r>
    <x v="30"/>
    <x v="2"/>
    <x v="117"/>
    <x v="2"/>
    <x v="2"/>
    <x v="3"/>
    <x v="0"/>
    <x v="7"/>
    <n v="0"/>
    <x v="0"/>
  </r>
  <r>
    <x v="30"/>
    <x v="2"/>
    <x v="117"/>
    <x v="2"/>
    <x v="2"/>
    <x v="3"/>
    <x v="0"/>
    <x v="8"/>
    <n v="0"/>
    <x v="0"/>
  </r>
  <r>
    <x v="30"/>
    <x v="2"/>
    <x v="117"/>
    <x v="2"/>
    <x v="2"/>
    <x v="3"/>
    <x v="0"/>
    <x v="9"/>
    <n v="0"/>
    <x v="0"/>
  </r>
  <r>
    <x v="30"/>
    <x v="2"/>
    <x v="117"/>
    <x v="2"/>
    <x v="2"/>
    <x v="3"/>
    <x v="0"/>
    <x v="10"/>
    <n v="0"/>
    <x v="0"/>
  </r>
  <r>
    <x v="30"/>
    <x v="2"/>
    <x v="117"/>
    <x v="2"/>
    <x v="2"/>
    <x v="3"/>
    <x v="0"/>
    <x v="11"/>
    <n v="0"/>
    <x v="0"/>
  </r>
  <r>
    <x v="30"/>
    <x v="0"/>
    <x v="118"/>
    <x v="1"/>
    <x v="3"/>
    <x v="12"/>
    <x v="0"/>
    <x v="0"/>
    <n v="0"/>
    <x v="0"/>
  </r>
  <r>
    <x v="30"/>
    <x v="0"/>
    <x v="118"/>
    <x v="1"/>
    <x v="3"/>
    <x v="12"/>
    <x v="0"/>
    <x v="1"/>
    <n v="0"/>
    <x v="0"/>
  </r>
  <r>
    <x v="30"/>
    <x v="0"/>
    <x v="118"/>
    <x v="1"/>
    <x v="3"/>
    <x v="12"/>
    <x v="0"/>
    <x v="2"/>
    <n v="0"/>
    <x v="0"/>
  </r>
  <r>
    <x v="30"/>
    <x v="0"/>
    <x v="118"/>
    <x v="1"/>
    <x v="3"/>
    <x v="12"/>
    <x v="0"/>
    <x v="3"/>
    <n v="225.01718499385507"/>
    <x v="0"/>
  </r>
  <r>
    <x v="30"/>
    <x v="0"/>
    <x v="118"/>
    <x v="1"/>
    <x v="3"/>
    <x v="12"/>
    <x v="0"/>
    <x v="4"/>
    <n v="0"/>
    <x v="0"/>
  </r>
  <r>
    <x v="30"/>
    <x v="0"/>
    <x v="118"/>
    <x v="1"/>
    <x v="3"/>
    <x v="12"/>
    <x v="0"/>
    <x v="5"/>
    <n v="0"/>
    <x v="0"/>
  </r>
  <r>
    <x v="30"/>
    <x v="0"/>
    <x v="118"/>
    <x v="1"/>
    <x v="3"/>
    <x v="12"/>
    <x v="0"/>
    <x v="6"/>
    <n v="0"/>
    <x v="0"/>
  </r>
  <r>
    <x v="30"/>
    <x v="0"/>
    <x v="118"/>
    <x v="1"/>
    <x v="3"/>
    <x v="12"/>
    <x v="0"/>
    <x v="7"/>
    <n v="0"/>
    <x v="0"/>
  </r>
  <r>
    <x v="30"/>
    <x v="0"/>
    <x v="118"/>
    <x v="1"/>
    <x v="3"/>
    <x v="12"/>
    <x v="0"/>
    <x v="8"/>
    <n v="0"/>
    <x v="0"/>
  </r>
  <r>
    <x v="30"/>
    <x v="0"/>
    <x v="118"/>
    <x v="1"/>
    <x v="3"/>
    <x v="12"/>
    <x v="0"/>
    <x v="9"/>
    <n v="0"/>
    <x v="0"/>
  </r>
  <r>
    <x v="30"/>
    <x v="0"/>
    <x v="118"/>
    <x v="1"/>
    <x v="3"/>
    <x v="12"/>
    <x v="0"/>
    <x v="10"/>
    <n v="0"/>
    <x v="0"/>
  </r>
  <r>
    <x v="30"/>
    <x v="0"/>
    <x v="118"/>
    <x v="1"/>
    <x v="3"/>
    <x v="12"/>
    <x v="0"/>
    <x v="11"/>
    <n v="0"/>
    <x v="0"/>
  </r>
  <r>
    <x v="30"/>
    <x v="0"/>
    <x v="119"/>
    <x v="1"/>
    <x v="3"/>
    <x v="12"/>
    <x v="0"/>
    <x v="0"/>
    <n v="225.20512340444279"/>
    <x v="0"/>
  </r>
  <r>
    <x v="30"/>
    <x v="0"/>
    <x v="119"/>
    <x v="1"/>
    <x v="3"/>
    <x v="12"/>
    <x v="0"/>
    <x v="1"/>
    <n v="0"/>
    <x v="0"/>
  </r>
  <r>
    <x v="30"/>
    <x v="0"/>
    <x v="119"/>
    <x v="1"/>
    <x v="3"/>
    <x v="12"/>
    <x v="0"/>
    <x v="2"/>
    <n v="0"/>
    <x v="0"/>
  </r>
  <r>
    <x v="30"/>
    <x v="0"/>
    <x v="119"/>
    <x v="1"/>
    <x v="3"/>
    <x v="12"/>
    <x v="0"/>
    <x v="3"/>
    <n v="55.773116420522008"/>
    <x v="0"/>
  </r>
  <r>
    <x v="30"/>
    <x v="0"/>
    <x v="119"/>
    <x v="1"/>
    <x v="3"/>
    <x v="12"/>
    <x v="0"/>
    <x v="4"/>
    <n v="0"/>
    <x v="0"/>
  </r>
  <r>
    <x v="30"/>
    <x v="0"/>
    <x v="119"/>
    <x v="1"/>
    <x v="3"/>
    <x v="12"/>
    <x v="0"/>
    <x v="5"/>
    <n v="141.96505701451278"/>
    <x v="0"/>
  </r>
  <r>
    <x v="30"/>
    <x v="0"/>
    <x v="119"/>
    <x v="1"/>
    <x v="3"/>
    <x v="12"/>
    <x v="0"/>
    <x v="6"/>
    <n v="0"/>
    <x v="0"/>
  </r>
  <r>
    <x v="30"/>
    <x v="0"/>
    <x v="119"/>
    <x v="1"/>
    <x v="3"/>
    <x v="12"/>
    <x v="0"/>
    <x v="7"/>
    <n v="0"/>
    <x v="0"/>
  </r>
  <r>
    <x v="30"/>
    <x v="0"/>
    <x v="119"/>
    <x v="1"/>
    <x v="3"/>
    <x v="12"/>
    <x v="0"/>
    <x v="8"/>
    <n v="0"/>
    <x v="0"/>
  </r>
  <r>
    <x v="30"/>
    <x v="0"/>
    <x v="119"/>
    <x v="1"/>
    <x v="3"/>
    <x v="12"/>
    <x v="0"/>
    <x v="9"/>
    <n v="0"/>
    <x v="0"/>
  </r>
  <r>
    <x v="30"/>
    <x v="0"/>
    <x v="119"/>
    <x v="1"/>
    <x v="3"/>
    <x v="12"/>
    <x v="0"/>
    <x v="10"/>
    <n v="0"/>
    <x v="0"/>
  </r>
  <r>
    <x v="30"/>
    <x v="0"/>
    <x v="119"/>
    <x v="1"/>
    <x v="3"/>
    <x v="12"/>
    <x v="0"/>
    <x v="11"/>
    <n v="0"/>
    <x v="0"/>
  </r>
  <r>
    <x v="30"/>
    <x v="0"/>
    <x v="120"/>
    <x v="1"/>
    <x v="3"/>
    <x v="12"/>
    <x v="0"/>
    <x v="0"/>
    <n v="0"/>
    <x v="0"/>
  </r>
  <r>
    <x v="30"/>
    <x v="0"/>
    <x v="120"/>
    <x v="1"/>
    <x v="3"/>
    <x v="12"/>
    <x v="0"/>
    <x v="1"/>
    <n v="0"/>
    <x v="0"/>
  </r>
  <r>
    <x v="30"/>
    <x v="0"/>
    <x v="120"/>
    <x v="1"/>
    <x v="3"/>
    <x v="12"/>
    <x v="0"/>
    <x v="2"/>
    <n v="0"/>
    <x v="0"/>
  </r>
  <r>
    <x v="30"/>
    <x v="0"/>
    <x v="120"/>
    <x v="1"/>
    <x v="3"/>
    <x v="12"/>
    <x v="0"/>
    <x v="3"/>
    <n v="630.85591684546"/>
    <x v="0"/>
  </r>
  <r>
    <x v="30"/>
    <x v="0"/>
    <x v="120"/>
    <x v="1"/>
    <x v="3"/>
    <x v="12"/>
    <x v="0"/>
    <x v="4"/>
    <n v="0"/>
    <x v="0"/>
  </r>
  <r>
    <x v="30"/>
    <x v="0"/>
    <x v="120"/>
    <x v="1"/>
    <x v="3"/>
    <x v="12"/>
    <x v="0"/>
    <x v="5"/>
    <n v="0"/>
    <x v="0"/>
  </r>
  <r>
    <x v="30"/>
    <x v="0"/>
    <x v="120"/>
    <x v="1"/>
    <x v="3"/>
    <x v="12"/>
    <x v="0"/>
    <x v="6"/>
    <n v="0"/>
    <x v="0"/>
  </r>
  <r>
    <x v="30"/>
    <x v="0"/>
    <x v="120"/>
    <x v="1"/>
    <x v="3"/>
    <x v="12"/>
    <x v="0"/>
    <x v="7"/>
    <n v="0"/>
    <x v="0"/>
  </r>
  <r>
    <x v="30"/>
    <x v="0"/>
    <x v="120"/>
    <x v="1"/>
    <x v="3"/>
    <x v="12"/>
    <x v="0"/>
    <x v="8"/>
    <n v="0"/>
    <x v="0"/>
  </r>
  <r>
    <x v="30"/>
    <x v="0"/>
    <x v="120"/>
    <x v="1"/>
    <x v="3"/>
    <x v="12"/>
    <x v="0"/>
    <x v="9"/>
    <n v="0"/>
    <x v="0"/>
  </r>
  <r>
    <x v="30"/>
    <x v="0"/>
    <x v="120"/>
    <x v="1"/>
    <x v="3"/>
    <x v="12"/>
    <x v="0"/>
    <x v="10"/>
    <n v="0"/>
    <x v="0"/>
  </r>
  <r>
    <x v="30"/>
    <x v="0"/>
    <x v="120"/>
    <x v="1"/>
    <x v="3"/>
    <x v="12"/>
    <x v="0"/>
    <x v="11"/>
    <n v="0"/>
    <x v="0"/>
  </r>
  <r>
    <x v="30"/>
    <x v="0"/>
    <x v="121"/>
    <x v="1"/>
    <x v="3"/>
    <x v="12"/>
    <x v="0"/>
    <x v="0"/>
    <n v="0"/>
    <x v="0"/>
  </r>
  <r>
    <x v="30"/>
    <x v="0"/>
    <x v="121"/>
    <x v="1"/>
    <x v="3"/>
    <x v="12"/>
    <x v="0"/>
    <x v="1"/>
    <n v="0"/>
    <x v="0"/>
  </r>
  <r>
    <x v="30"/>
    <x v="0"/>
    <x v="121"/>
    <x v="1"/>
    <x v="3"/>
    <x v="12"/>
    <x v="0"/>
    <x v="2"/>
    <n v="0"/>
    <x v="0"/>
  </r>
  <r>
    <x v="30"/>
    <x v="0"/>
    <x v="121"/>
    <x v="1"/>
    <x v="3"/>
    <x v="12"/>
    <x v="0"/>
    <x v="3"/>
    <n v="457.79261357718667"/>
    <x v="0"/>
  </r>
  <r>
    <x v="30"/>
    <x v="0"/>
    <x v="121"/>
    <x v="1"/>
    <x v="3"/>
    <x v="12"/>
    <x v="0"/>
    <x v="4"/>
    <n v="0"/>
    <x v="0"/>
  </r>
  <r>
    <x v="30"/>
    <x v="0"/>
    <x v="121"/>
    <x v="1"/>
    <x v="3"/>
    <x v="12"/>
    <x v="0"/>
    <x v="5"/>
    <n v="0"/>
    <x v="0"/>
  </r>
  <r>
    <x v="30"/>
    <x v="0"/>
    <x v="121"/>
    <x v="1"/>
    <x v="3"/>
    <x v="12"/>
    <x v="0"/>
    <x v="6"/>
    <n v="0"/>
    <x v="0"/>
  </r>
  <r>
    <x v="30"/>
    <x v="0"/>
    <x v="121"/>
    <x v="1"/>
    <x v="3"/>
    <x v="12"/>
    <x v="0"/>
    <x v="7"/>
    <n v="0"/>
    <x v="0"/>
  </r>
  <r>
    <x v="30"/>
    <x v="0"/>
    <x v="121"/>
    <x v="1"/>
    <x v="3"/>
    <x v="12"/>
    <x v="0"/>
    <x v="8"/>
    <n v="0"/>
    <x v="0"/>
  </r>
  <r>
    <x v="30"/>
    <x v="0"/>
    <x v="121"/>
    <x v="1"/>
    <x v="3"/>
    <x v="12"/>
    <x v="0"/>
    <x v="9"/>
    <n v="0"/>
    <x v="0"/>
  </r>
  <r>
    <x v="30"/>
    <x v="0"/>
    <x v="121"/>
    <x v="1"/>
    <x v="3"/>
    <x v="12"/>
    <x v="0"/>
    <x v="10"/>
    <n v="0"/>
    <x v="0"/>
  </r>
  <r>
    <x v="30"/>
    <x v="0"/>
    <x v="121"/>
    <x v="1"/>
    <x v="3"/>
    <x v="12"/>
    <x v="0"/>
    <x v="11"/>
    <n v="0"/>
    <x v="0"/>
  </r>
  <r>
    <x v="30"/>
    <x v="0"/>
    <x v="122"/>
    <x v="1"/>
    <x v="3"/>
    <x v="12"/>
    <x v="0"/>
    <x v="0"/>
    <n v="0"/>
    <x v="0"/>
  </r>
  <r>
    <x v="30"/>
    <x v="0"/>
    <x v="122"/>
    <x v="1"/>
    <x v="3"/>
    <x v="12"/>
    <x v="0"/>
    <x v="1"/>
    <n v="0"/>
    <x v="0"/>
  </r>
  <r>
    <x v="30"/>
    <x v="0"/>
    <x v="122"/>
    <x v="1"/>
    <x v="3"/>
    <x v="12"/>
    <x v="0"/>
    <x v="2"/>
    <n v="0"/>
    <x v="0"/>
  </r>
  <r>
    <x v="30"/>
    <x v="0"/>
    <x v="122"/>
    <x v="1"/>
    <x v="3"/>
    <x v="12"/>
    <x v="0"/>
    <x v="3"/>
    <n v="0"/>
    <x v="0"/>
  </r>
  <r>
    <x v="30"/>
    <x v="0"/>
    <x v="122"/>
    <x v="1"/>
    <x v="3"/>
    <x v="12"/>
    <x v="0"/>
    <x v="4"/>
    <n v="0"/>
    <x v="0"/>
  </r>
  <r>
    <x v="30"/>
    <x v="0"/>
    <x v="122"/>
    <x v="1"/>
    <x v="3"/>
    <x v="12"/>
    <x v="0"/>
    <x v="5"/>
    <n v="0"/>
    <x v="0"/>
  </r>
  <r>
    <x v="30"/>
    <x v="0"/>
    <x v="122"/>
    <x v="1"/>
    <x v="3"/>
    <x v="12"/>
    <x v="0"/>
    <x v="6"/>
    <n v="0"/>
    <x v="0"/>
  </r>
  <r>
    <x v="30"/>
    <x v="0"/>
    <x v="122"/>
    <x v="1"/>
    <x v="3"/>
    <x v="12"/>
    <x v="0"/>
    <x v="7"/>
    <n v="0"/>
    <x v="0"/>
  </r>
  <r>
    <x v="30"/>
    <x v="0"/>
    <x v="122"/>
    <x v="1"/>
    <x v="3"/>
    <x v="12"/>
    <x v="0"/>
    <x v="8"/>
    <n v="0"/>
    <x v="0"/>
  </r>
  <r>
    <x v="30"/>
    <x v="0"/>
    <x v="122"/>
    <x v="1"/>
    <x v="3"/>
    <x v="12"/>
    <x v="0"/>
    <x v="9"/>
    <n v="0"/>
    <x v="0"/>
  </r>
  <r>
    <x v="30"/>
    <x v="0"/>
    <x v="122"/>
    <x v="1"/>
    <x v="3"/>
    <x v="12"/>
    <x v="0"/>
    <x v="10"/>
    <n v="0"/>
    <x v="0"/>
  </r>
  <r>
    <x v="30"/>
    <x v="0"/>
    <x v="122"/>
    <x v="1"/>
    <x v="3"/>
    <x v="12"/>
    <x v="0"/>
    <x v="11"/>
    <n v="0"/>
    <x v="0"/>
  </r>
  <r>
    <x v="30"/>
    <x v="0"/>
    <x v="123"/>
    <x v="1"/>
    <x v="3"/>
    <x v="12"/>
    <x v="0"/>
    <x v="0"/>
    <n v="561.68019471580078"/>
    <x v="0"/>
  </r>
  <r>
    <x v="30"/>
    <x v="0"/>
    <x v="123"/>
    <x v="1"/>
    <x v="3"/>
    <x v="12"/>
    <x v="0"/>
    <x v="1"/>
    <n v="0"/>
    <x v="0"/>
  </r>
  <r>
    <x v="30"/>
    <x v="0"/>
    <x v="123"/>
    <x v="1"/>
    <x v="3"/>
    <x v="12"/>
    <x v="0"/>
    <x v="2"/>
    <n v="0"/>
    <x v="0"/>
  </r>
  <r>
    <x v="30"/>
    <x v="0"/>
    <x v="123"/>
    <x v="1"/>
    <x v="3"/>
    <x v="12"/>
    <x v="0"/>
    <x v="3"/>
    <n v="0"/>
    <x v="0"/>
  </r>
  <r>
    <x v="30"/>
    <x v="0"/>
    <x v="123"/>
    <x v="1"/>
    <x v="3"/>
    <x v="12"/>
    <x v="0"/>
    <x v="4"/>
    <n v="0"/>
    <x v="0"/>
  </r>
  <r>
    <x v="30"/>
    <x v="0"/>
    <x v="123"/>
    <x v="1"/>
    <x v="3"/>
    <x v="12"/>
    <x v="0"/>
    <x v="5"/>
    <n v="0"/>
    <x v="0"/>
  </r>
  <r>
    <x v="30"/>
    <x v="0"/>
    <x v="123"/>
    <x v="1"/>
    <x v="3"/>
    <x v="12"/>
    <x v="0"/>
    <x v="6"/>
    <n v="0"/>
    <x v="0"/>
  </r>
  <r>
    <x v="30"/>
    <x v="0"/>
    <x v="123"/>
    <x v="1"/>
    <x v="3"/>
    <x v="12"/>
    <x v="0"/>
    <x v="7"/>
    <n v="0"/>
    <x v="0"/>
  </r>
  <r>
    <x v="30"/>
    <x v="0"/>
    <x v="123"/>
    <x v="1"/>
    <x v="3"/>
    <x v="12"/>
    <x v="0"/>
    <x v="8"/>
    <n v="0"/>
    <x v="0"/>
  </r>
  <r>
    <x v="30"/>
    <x v="0"/>
    <x v="123"/>
    <x v="1"/>
    <x v="3"/>
    <x v="12"/>
    <x v="0"/>
    <x v="9"/>
    <n v="0"/>
    <x v="0"/>
  </r>
  <r>
    <x v="30"/>
    <x v="0"/>
    <x v="123"/>
    <x v="1"/>
    <x v="3"/>
    <x v="12"/>
    <x v="0"/>
    <x v="10"/>
    <n v="0"/>
    <x v="0"/>
  </r>
  <r>
    <x v="30"/>
    <x v="0"/>
    <x v="123"/>
    <x v="1"/>
    <x v="3"/>
    <x v="12"/>
    <x v="0"/>
    <x v="11"/>
    <n v="0"/>
    <x v="0"/>
  </r>
  <r>
    <x v="30"/>
    <x v="0"/>
    <x v="124"/>
    <x v="0"/>
    <x v="3"/>
    <x v="11"/>
    <x v="0"/>
    <x v="0"/>
    <n v="1408.330488221236"/>
    <x v="0"/>
  </r>
  <r>
    <x v="30"/>
    <x v="0"/>
    <x v="124"/>
    <x v="0"/>
    <x v="3"/>
    <x v="11"/>
    <x v="0"/>
    <x v="1"/>
    <n v="0"/>
    <x v="0"/>
  </r>
  <r>
    <x v="30"/>
    <x v="0"/>
    <x v="124"/>
    <x v="0"/>
    <x v="3"/>
    <x v="11"/>
    <x v="0"/>
    <x v="2"/>
    <n v="0"/>
    <x v="0"/>
  </r>
  <r>
    <x v="30"/>
    <x v="0"/>
    <x v="124"/>
    <x v="0"/>
    <x v="3"/>
    <x v="11"/>
    <x v="0"/>
    <x v="3"/>
    <n v="0"/>
    <x v="0"/>
  </r>
  <r>
    <x v="30"/>
    <x v="0"/>
    <x v="124"/>
    <x v="0"/>
    <x v="3"/>
    <x v="11"/>
    <x v="0"/>
    <x v="4"/>
    <n v="0"/>
    <x v="0"/>
  </r>
  <r>
    <x v="30"/>
    <x v="0"/>
    <x v="124"/>
    <x v="0"/>
    <x v="3"/>
    <x v="11"/>
    <x v="0"/>
    <x v="5"/>
    <n v="0"/>
    <x v="0"/>
  </r>
  <r>
    <x v="30"/>
    <x v="0"/>
    <x v="124"/>
    <x v="0"/>
    <x v="3"/>
    <x v="11"/>
    <x v="0"/>
    <x v="6"/>
    <n v="1459.0863518068177"/>
    <x v="0"/>
  </r>
  <r>
    <x v="30"/>
    <x v="0"/>
    <x v="124"/>
    <x v="0"/>
    <x v="3"/>
    <x v="11"/>
    <x v="0"/>
    <x v="7"/>
    <n v="0"/>
    <x v="0"/>
  </r>
  <r>
    <x v="30"/>
    <x v="0"/>
    <x v="124"/>
    <x v="0"/>
    <x v="3"/>
    <x v="11"/>
    <x v="0"/>
    <x v="8"/>
    <n v="0"/>
    <x v="0"/>
  </r>
  <r>
    <x v="30"/>
    <x v="0"/>
    <x v="124"/>
    <x v="0"/>
    <x v="3"/>
    <x v="11"/>
    <x v="0"/>
    <x v="9"/>
    <n v="0"/>
    <x v="0"/>
  </r>
  <r>
    <x v="30"/>
    <x v="0"/>
    <x v="124"/>
    <x v="0"/>
    <x v="3"/>
    <x v="11"/>
    <x v="0"/>
    <x v="10"/>
    <n v="0"/>
    <x v="0"/>
  </r>
  <r>
    <x v="30"/>
    <x v="0"/>
    <x v="124"/>
    <x v="0"/>
    <x v="3"/>
    <x v="11"/>
    <x v="0"/>
    <x v="11"/>
    <n v="0"/>
    <x v="0"/>
  </r>
  <r>
    <x v="30"/>
    <x v="1"/>
    <x v="125"/>
    <x v="1"/>
    <x v="3"/>
    <x v="13"/>
    <x v="0"/>
    <x v="0"/>
    <n v="0"/>
    <x v="0"/>
  </r>
  <r>
    <x v="30"/>
    <x v="1"/>
    <x v="125"/>
    <x v="1"/>
    <x v="3"/>
    <x v="13"/>
    <x v="0"/>
    <x v="1"/>
    <n v="648.98800132857252"/>
    <x v="0"/>
  </r>
  <r>
    <x v="30"/>
    <x v="1"/>
    <x v="125"/>
    <x v="1"/>
    <x v="3"/>
    <x v="13"/>
    <x v="0"/>
    <x v="2"/>
    <n v="0"/>
    <x v="0"/>
  </r>
  <r>
    <x v="30"/>
    <x v="1"/>
    <x v="125"/>
    <x v="1"/>
    <x v="3"/>
    <x v="13"/>
    <x v="0"/>
    <x v="3"/>
    <n v="0"/>
    <x v="0"/>
  </r>
  <r>
    <x v="30"/>
    <x v="1"/>
    <x v="125"/>
    <x v="1"/>
    <x v="3"/>
    <x v="13"/>
    <x v="0"/>
    <x v="4"/>
    <n v="0"/>
    <x v="0"/>
  </r>
  <r>
    <x v="30"/>
    <x v="1"/>
    <x v="125"/>
    <x v="1"/>
    <x v="3"/>
    <x v="13"/>
    <x v="0"/>
    <x v="5"/>
    <n v="0"/>
    <x v="0"/>
  </r>
  <r>
    <x v="30"/>
    <x v="1"/>
    <x v="125"/>
    <x v="1"/>
    <x v="3"/>
    <x v="13"/>
    <x v="0"/>
    <x v="6"/>
    <n v="0"/>
    <x v="0"/>
  </r>
  <r>
    <x v="30"/>
    <x v="1"/>
    <x v="125"/>
    <x v="1"/>
    <x v="3"/>
    <x v="13"/>
    <x v="0"/>
    <x v="7"/>
    <n v="0"/>
    <x v="0"/>
  </r>
  <r>
    <x v="30"/>
    <x v="1"/>
    <x v="125"/>
    <x v="1"/>
    <x v="3"/>
    <x v="13"/>
    <x v="0"/>
    <x v="8"/>
    <n v="0"/>
    <x v="0"/>
  </r>
  <r>
    <x v="30"/>
    <x v="1"/>
    <x v="125"/>
    <x v="1"/>
    <x v="3"/>
    <x v="13"/>
    <x v="0"/>
    <x v="9"/>
    <n v="0"/>
    <x v="0"/>
  </r>
  <r>
    <x v="30"/>
    <x v="1"/>
    <x v="125"/>
    <x v="1"/>
    <x v="3"/>
    <x v="13"/>
    <x v="0"/>
    <x v="10"/>
    <n v="0"/>
    <x v="0"/>
  </r>
  <r>
    <x v="30"/>
    <x v="1"/>
    <x v="125"/>
    <x v="1"/>
    <x v="3"/>
    <x v="13"/>
    <x v="0"/>
    <x v="11"/>
    <n v="0"/>
    <x v="0"/>
  </r>
  <r>
    <x v="30"/>
    <x v="1"/>
    <x v="126"/>
    <x v="0"/>
    <x v="4"/>
    <x v="14"/>
    <x v="1"/>
    <x v="0"/>
    <n v="759.28038855053467"/>
    <x v="0"/>
  </r>
  <r>
    <x v="30"/>
    <x v="1"/>
    <x v="126"/>
    <x v="0"/>
    <x v="4"/>
    <x v="14"/>
    <x v="1"/>
    <x v="1"/>
    <n v="0"/>
    <x v="0"/>
  </r>
  <r>
    <x v="30"/>
    <x v="1"/>
    <x v="126"/>
    <x v="0"/>
    <x v="4"/>
    <x v="14"/>
    <x v="1"/>
    <x v="2"/>
    <n v="0"/>
    <x v="0"/>
  </r>
  <r>
    <x v="30"/>
    <x v="1"/>
    <x v="126"/>
    <x v="0"/>
    <x v="4"/>
    <x v="14"/>
    <x v="1"/>
    <x v="3"/>
    <n v="0"/>
    <x v="0"/>
  </r>
  <r>
    <x v="30"/>
    <x v="1"/>
    <x v="126"/>
    <x v="0"/>
    <x v="4"/>
    <x v="14"/>
    <x v="1"/>
    <x v="4"/>
    <n v="0"/>
    <x v="0"/>
  </r>
  <r>
    <x v="30"/>
    <x v="1"/>
    <x v="126"/>
    <x v="0"/>
    <x v="4"/>
    <x v="14"/>
    <x v="1"/>
    <x v="5"/>
    <n v="1344.3385020732549"/>
    <x v="0"/>
  </r>
  <r>
    <x v="30"/>
    <x v="1"/>
    <x v="126"/>
    <x v="0"/>
    <x v="4"/>
    <x v="14"/>
    <x v="1"/>
    <x v="6"/>
    <n v="0"/>
    <x v="0"/>
  </r>
  <r>
    <x v="30"/>
    <x v="1"/>
    <x v="126"/>
    <x v="0"/>
    <x v="4"/>
    <x v="14"/>
    <x v="1"/>
    <x v="7"/>
    <n v="0"/>
    <x v="0"/>
  </r>
  <r>
    <x v="30"/>
    <x v="1"/>
    <x v="126"/>
    <x v="0"/>
    <x v="4"/>
    <x v="14"/>
    <x v="1"/>
    <x v="8"/>
    <n v="0"/>
    <x v="0"/>
  </r>
  <r>
    <x v="30"/>
    <x v="1"/>
    <x v="126"/>
    <x v="0"/>
    <x v="4"/>
    <x v="14"/>
    <x v="1"/>
    <x v="9"/>
    <n v="0"/>
    <x v="0"/>
  </r>
  <r>
    <x v="30"/>
    <x v="1"/>
    <x v="126"/>
    <x v="0"/>
    <x v="4"/>
    <x v="14"/>
    <x v="1"/>
    <x v="10"/>
    <n v="0"/>
    <x v="0"/>
  </r>
  <r>
    <x v="30"/>
    <x v="1"/>
    <x v="126"/>
    <x v="0"/>
    <x v="4"/>
    <x v="14"/>
    <x v="1"/>
    <x v="11"/>
    <n v="0"/>
    <x v="0"/>
  </r>
  <r>
    <x v="30"/>
    <x v="1"/>
    <x v="127"/>
    <x v="1"/>
    <x v="4"/>
    <x v="5"/>
    <x v="0"/>
    <x v="0"/>
    <n v="0"/>
    <x v="0"/>
  </r>
  <r>
    <x v="30"/>
    <x v="1"/>
    <x v="127"/>
    <x v="1"/>
    <x v="4"/>
    <x v="5"/>
    <x v="0"/>
    <x v="1"/>
    <n v="0"/>
    <x v="0"/>
  </r>
  <r>
    <x v="30"/>
    <x v="1"/>
    <x v="127"/>
    <x v="1"/>
    <x v="4"/>
    <x v="5"/>
    <x v="0"/>
    <x v="2"/>
    <n v="0"/>
    <x v="0"/>
  </r>
  <r>
    <x v="30"/>
    <x v="1"/>
    <x v="127"/>
    <x v="1"/>
    <x v="4"/>
    <x v="5"/>
    <x v="0"/>
    <x v="3"/>
    <n v="0"/>
    <x v="0"/>
  </r>
  <r>
    <x v="30"/>
    <x v="1"/>
    <x v="127"/>
    <x v="1"/>
    <x v="4"/>
    <x v="5"/>
    <x v="0"/>
    <x v="4"/>
    <n v="0"/>
    <x v="0"/>
  </r>
  <r>
    <x v="30"/>
    <x v="1"/>
    <x v="127"/>
    <x v="1"/>
    <x v="4"/>
    <x v="5"/>
    <x v="0"/>
    <x v="5"/>
    <n v="0"/>
    <x v="0"/>
  </r>
  <r>
    <x v="30"/>
    <x v="1"/>
    <x v="127"/>
    <x v="1"/>
    <x v="4"/>
    <x v="5"/>
    <x v="0"/>
    <x v="6"/>
    <n v="7784.4351294850467"/>
    <x v="0"/>
  </r>
  <r>
    <x v="30"/>
    <x v="1"/>
    <x v="127"/>
    <x v="1"/>
    <x v="4"/>
    <x v="5"/>
    <x v="0"/>
    <x v="7"/>
    <n v="0"/>
    <x v="0"/>
  </r>
  <r>
    <x v="30"/>
    <x v="1"/>
    <x v="127"/>
    <x v="1"/>
    <x v="4"/>
    <x v="5"/>
    <x v="0"/>
    <x v="8"/>
    <n v="0"/>
    <x v="0"/>
  </r>
  <r>
    <x v="30"/>
    <x v="1"/>
    <x v="127"/>
    <x v="1"/>
    <x v="4"/>
    <x v="5"/>
    <x v="0"/>
    <x v="9"/>
    <n v="0"/>
    <x v="0"/>
  </r>
  <r>
    <x v="30"/>
    <x v="1"/>
    <x v="127"/>
    <x v="1"/>
    <x v="4"/>
    <x v="5"/>
    <x v="0"/>
    <x v="10"/>
    <n v="0"/>
    <x v="0"/>
  </r>
  <r>
    <x v="30"/>
    <x v="1"/>
    <x v="127"/>
    <x v="1"/>
    <x v="4"/>
    <x v="5"/>
    <x v="0"/>
    <x v="11"/>
    <n v="0"/>
    <x v="0"/>
  </r>
  <r>
    <x v="30"/>
    <x v="1"/>
    <x v="128"/>
    <x v="1"/>
    <x v="6"/>
    <x v="14"/>
    <x v="0"/>
    <x v="0"/>
    <n v="228.87697001068292"/>
    <x v="0"/>
  </r>
  <r>
    <x v="30"/>
    <x v="1"/>
    <x v="128"/>
    <x v="1"/>
    <x v="6"/>
    <x v="14"/>
    <x v="0"/>
    <x v="1"/>
    <n v="0"/>
    <x v="0"/>
  </r>
  <r>
    <x v="30"/>
    <x v="1"/>
    <x v="128"/>
    <x v="1"/>
    <x v="6"/>
    <x v="14"/>
    <x v="0"/>
    <x v="2"/>
    <n v="0"/>
    <x v="0"/>
  </r>
  <r>
    <x v="30"/>
    <x v="1"/>
    <x v="128"/>
    <x v="1"/>
    <x v="6"/>
    <x v="14"/>
    <x v="0"/>
    <x v="3"/>
    <n v="0"/>
    <x v="0"/>
  </r>
  <r>
    <x v="30"/>
    <x v="1"/>
    <x v="128"/>
    <x v="1"/>
    <x v="6"/>
    <x v="14"/>
    <x v="0"/>
    <x v="4"/>
    <n v="0"/>
    <x v="0"/>
  </r>
  <r>
    <x v="30"/>
    <x v="1"/>
    <x v="128"/>
    <x v="1"/>
    <x v="6"/>
    <x v="14"/>
    <x v="0"/>
    <x v="5"/>
    <n v="0"/>
    <x v="0"/>
  </r>
  <r>
    <x v="30"/>
    <x v="1"/>
    <x v="128"/>
    <x v="1"/>
    <x v="6"/>
    <x v="14"/>
    <x v="0"/>
    <x v="6"/>
    <n v="0"/>
    <x v="0"/>
  </r>
  <r>
    <x v="30"/>
    <x v="1"/>
    <x v="128"/>
    <x v="1"/>
    <x v="6"/>
    <x v="14"/>
    <x v="0"/>
    <x v="7"/>
    <n v="0"/>
    <x v="0"/>
  </r>
  <r>
    <x v="30"/>
    <x v="1"/>
    <x v="128"/>
    <x v="1"/>
    <x v="6"/>
    <x v="14"/>
    <x v="0"/>
    <x v="8"/>
    <n v="0"/>
    <x v="0"/>
  </r>
  <r>
    <x v="30"/>
    <x v="1"/>
    <x v="128"/>
    <x v="1"/>
    <x v="6"/>
    <x v="14"/>
    <x v="0"/>
    <x v="9"/>
    <n v="0"/>
    <x v="0"/>
  </r>
  <r>
    <x v="30"/>
    <x v="1"/>
    <x v="128"/>
    <x v="1"/>
    <x v="6"/>
    <x v="14"/>
    <x v="0"/>
    <x v="10"/>
    <n v="0"/>
    <x v="0"/>
  </r>
  <r>
    <x v="30"/>
    <x v="1"/>
    <x v="128"/>
    <x v="1"/>
    <x v="6"/>
    <x v="14"/>
    <x v="0"/>
    <x v="11"/>
    <n v="0"/>
    <x v="0"/>
  </r>
  <r>
    <x v="30"/>
    <x v="1"/>
    <x v="129"/>
    <x v="0"/>
    <x v="4"/>
    <x v="14"/>
    <x v="1"/>
    <x v="0"/>
    <n v="251.01708168592165"/>
    <x v="0"/>
  </r>
  <r>
    <x v="30"/>
    <x v="1"/>
    <x v="129"/>
    <x v="0"/>
    <x v="4"/>
    <x v="14"/>
    <x v="1"/>
    <x v="1"/>
    <n v="0"/>
    <x v="0"/>
  </r>
  <r>
    <x v="30"/>
    <x v="1"/>
    <x v="129"/>
    <x v="0"/>
    <x v="4"/>
    <x v="14"/>
    <x v="1"/>
    <x v="2"/>
    <n v="0"/>
    <x v="0"/>
  </r>
  <r>
    <x v="30"/>
    <x v="1"/>
    <x v="129"/>
    <x v="0"/>
    <x v="4"/>
    <x v="14"/>
    <x v="1"/>
    <x v="3"/>
    <n v="2195.1569562772097"/>
    <x v="0"/>
  </r>
  <r>
    <x v="30"/>
    <x v="1"/>
    <x v="129"/>
    <x v="0"/>
    <x v="4"/>
    <x v="14"/>
    <x v="1"/>
    <x v="4"/>
    <n v="0"/>
    <x v="0"/>
  </r>
  <r>
    <x v="30"/>
    <x v="1"/>
    <x v="129"/>
    <x v="0"/>
    <x v="4"/>
    <x v="14"/>
    <x v="1"/>
    <x v="5"/>
    <n v="0"/>
    <x v="0"/>
  </r>
  <r>
    <x v="30"/>
    <x v="1"/>
    <x v="129"/>
    <x v="0"/>
    <x v="4"/>
    <x v="14"/>
    <x v="1"/>
    <x v="6"/>
    <n v="0"/>
    <x v="0"/>
  </r>
  <r>
    <x v="30"/>
    <x v="1"/>
    <x v="129"/>
    <x v="0"/>
    <x v="4"/>
    <x v="14"/>
    <x v="1"/>
    <x v="7"/>
    <n v="0"/>
    <x v="0"/>
  </r>
  <r>
    <x v="30"/>
    <x v="1"/>
    <x v="129"/>
    <x v="0"/>
    <x v="4"/>
    <x v="14"/>
    <x v="1"/>
    <x v="8"/>
    <n v="0"/>
    <x v="0"/>
  </r>
  <r>
    <x v="30"/>
    <x v="1"/>
    <x v="129"/>
    <x v="0"/>
    <x v="4"/>
    <x v="14"/>
    <x v="1"/>
    <x v="9"/>
    <n v="0"/>
    <x v="0"/>
  </r>
  <r>
    <x v="30"/>
    <x v="1"/>
    <x v="129"/>
    <x v="0"/>
    <x v="4"/>
    <x v="14"/>
    <x v="1"/>
    <x v="10"/>
    <n v="0"/>
    <x v="0"/>
  </r>
  <r>
    <x v="30"/>
    <x v="1"/>
    <x v="129"/>
    <x v="0"/>
    <x v="4"/>
    <x v="14"/>
    <x v="1"/>
    <x v="11"/>
    <n v="0"/>
    <x v="0"/>
  </r>
  <r>
    <x v="30"/>
    <x v="1"/>
    <x v="130"/>
    <x v="0"/>
    <x v="4"/>
    <x v="14"/>
    <x v="7"/>
    <x v="0"/>
    <n v="71.040429960682388"/>
    <x v="0"/>
  </r>
  <r>
    <x v="30"/>
    <x v="1"/>
    <x v="130"/>
    <x v="0"/>
    <x v="4"/>
    <x v="14"/>
    <x v="7"/>
    <x v="1"/>
    <n v="0"/>
    <x v="0"/>
  </r>
  <r>
    <x v="30"/>
    <x v="1"/>
    <x v="130"/>
    <x v="0"/>
    <x v="4"/>
    <x v="14"/>
    <x v="7"/>
    <x v="2"/>
    <n v="0"/>
    <x v="0"/>
  </r>
  <r>
    <x v="30"/>
    <x v="1"/>
    <x v="130"/>
    <x v="0"/>
    <x v="4"/>
    <x v="14"/>
    <x v="7"/>
    <x v="3"/>
    <n v="0"/>
    <x v="0"/>
  </r>
  <r>
    <x v="30"/>
    <x v="1"/>
    <x v="130"/>
    <x v="0"/>
    <x v="4"/>
    <x v="14"/>
    <x v="7"/>
    <x v="4"/>
    <n v="0"/>
    <x v="0"/>
  </r>
  <r>
    <x v="30"/>
    <x v="1"/>
    <x v="130"/>
    <x v="0"/>
    <x v="4"/>
    <x v="14"/>
    <x v="7"/>
    <x v="5"/>
    <n v="0"/>
    <x v="0"/>
  </r>
  <r>
    <x v="30"/>
    <x v="1"/>
    <x v="130"/>
    <x v="0"/>
    <x v="4"/>
    <x v="14"/>
    <x v="7"/>
    <x v="6"/>
    <n v="0"/>
    <x v="0"/>
  </r>
  <r>
    <x v="30"/>
    <x v="1"/>
    <x v="130"/>
    <x v="0"/>
    <x v="4"/>
    <x v="14"/>
    <x v="7"/>
    <x v="7"/>
    <n v="0"/>
    <x v="0"/>
  </r>
  <r>
    <x v="30"/>
    <x v="1"/>
    <x v="130"/>
    <x v="0"/>
    <x v="4"/>
    <x v="14"/>
    <x v="7"/>
    <x v="8"/>
    <n v="0"/>
    <x v="0"/>
  </r>
  <r>
    <x v="30"/>
    <x v="1"/>
    <x v="130"/>
    <x v="0"/>
    <x v="4"/>
    <x v="14"/>
    <x v="7"/>
    <x v="9"/>
    <n v="0"/>
    <x v="0"/>
  </r>
  <r>
    <x v="30"/>
    <x v="1"/>
    <x v="130"/>
    <x v="0"/>
    <x v="4"/>
    <x v="14"/>
    <x v="7"/>
    <x v="10"/>
    <n v="0"/>
    <x v="0"/>
  </r>
  <r>
    <x v="30"/>
    <x v="1"/>
    <x v="130"/>
    <x v="0"/>
    <x v="4"/>
    <x v="14"/>
    <x v="7"/>
    <x v="11"/>
    <n v="0"/>
    <x v="0"/>
  </r>
  <r>
    <x v="30"/>
    <x v="1"/>
    <x v="131"/>
    <x v="1"/>
    <x v="1"/>
    <x v="14"/>
    <x v="0"/>
    <x v="0"/>
    <n v="91.344618332801019"/>
    <x v="0"/>
  </r>
  <r>
    <x v="30"/>
    <x v="1"/>
    <x v="131"/>
    <x v="1"/>
    <x v="1"/>
    <x v="14"/>
    <x v="0"/>
    <x v="1"/>
    <n v="0"/>
    <x v="0"/>
  </r>
  <r>
    <x v="30"/>
    <x v="1"/>
    <x v="131"/>
    <x v="1"/>
    <x v="1"/>
    <x v="14"/>
    <x v="0"/>
    <x v="2"/>
    <n v="0"/>
    <x v="0"/>
  </r>
  <r>
    <x v="30"/>
    <x v="1"/>
    <x v="131"/>
    <x v="1"/>
    <x v="1"/>
    <x v="14"/>
    <x v="0"/>
    <x v="3"/>
    <n v="0"/>
    <x v="0"/>
  </r>
  <r>
    <x v="30"/>
    <x v="1"/>
    <x v="131"/>
    <x v="1"/>
    <x v="1"/>
    <x v="14"/>
    <x v="0"/>
    <x v="4"/>
    <n v="0"/>
    <x v="0"/>
  </r>
  <r>
    <x v="30"/>
    <x v="1"/>
    <x v="131"/>
    <x v="1"/>
    <x v="1"/>
    <x v="14"/>
    <x v="0"/>
    <x v="5"/>
    <n v="0"/>
    <x v="0"/>
  </r>
  <r>
    <x v="30"/>
    <x v="1"/>
    <x v="131"/>
    <x v="1"/>
    <x v="1"/>
    <x v="14"/>
    <x v="0"/>
    <x v="6"/>
    <n v="0"/>
    <x v="0"/>
  </r>
  <r>
    <x v="30"/>
    <x v="1"/>
    <x v="131"/>
    <x v="1"/>
    <x v="1"/>
    <x v="14"/>
    <x v="0"/>
    <x v="7"/>
    <n v="0"/>
    <x v="0"/>
  </r>
  <r>
    <x v="30"/>
    <x v="1"/>
    <x v="131"/>
    <x v="1"/>
    <x v="1"/>
    <x v="14"/>
    <x v="0"/>
    <x v="8"/>
    <n v="0"/>
    <x v="0"/>
  </r>
  <r>
    <x v="30"/>
    <x v="1"/>
    <x v="131"/>
    <x v="1"/>
    <x v="1"/>
    <x v="14"/>
    <x v="0"/>
    <x v="9"/>
    <n v="0"/>
    <x v="0"/>
  </r>
  <r>
    <x v="30"/>
    <x v="1"/>
    <x v="131"/>
    <x v="1"/>
    <x v="1"/>
    <x v="14"/>
    <x v="0"/>
    <x v="10"/>
    <n v="0"/>
    <x v="0"/>
  </r>
  <r>
    <x v="30"/>
    <x v="1"/>
    <x v="131"/>
    <x v="1"/>
    <x v="1"/>
    <x v="14"/>
    <x v="0"/>
    <x v="11"/>
    <n v="0"/>
    <x v="0"/>
  </r>
  <r>
    <x v="30"/>
    <x v="1"/>
    <x v="132"/>
    <x v="0"/>
    <x v="4"/>
    <x v="14"/>
    <x v="7"/>
    <x v="0"/>
    <n v="0"/>
    <x v="0"/>
  </r>
  <r>
    <x v="30"/>
    <x v="1"/>
    <x v="132"/>
    <x v="0"/>
    <x v="4"/>
    <x v="14"/>
    <x v="7"/>
    <x v="1"/>
    <n v="86.540936643693428"/>
    <x v="0"/>
  </r>
  <r>
    <x v="30"/>
    <x v="1"/>
    <x v="132"/>
    <x v="0"/>
    <x v="4"/>
    <x v="14"/>
    <x v="7"/>
    <x v="2"/>
    <n v="171.902926864546"/>
    <x v="0"/>
  </r>
  <r>
    <x v="30"/>
    <x v="1"/>
    <x v="132"/>
    <x v="0"/>
    <x v="4"/>
    <x v="14"/>
    <x v="7"/>
    <x v="3"/>
    <n v="0"/>
    <x v="0"/>
  </r>
  <r>
    <x v="30"/>
    <x v="1"/>
    <x v="132"/>
    <x v="0"/>
    <x v="4"/>
    <x v="14"/>
    <x v="7"/>
    <x v="4"/>
    <n v="0"/>
    <x v="0"/>
  </r>
  <r>
    <x v="30"/>
    <x v="1"/>
    <x v="132"/>
    <x v="0"/>
    <x v="4"/>
    <x v="14"/>
    <x v="7"/>
    <x v="5"/>
    <n v="0"/>
    <x v="0"/>
  </r>
  <r>
    <x v="30"/>
    <x v="1"/>
    <x v="132"/>
    <x v="0"/>
    <x v="4"/>
    <x v="14"/>
    <x v="7"/>
    <x v="6"/>
    <n v="0"/>
    <x v="0"/>
  </r>
  <r>
    <x v="30"/>
    <x v="1"/>
    <x v="132"/>
    <x v="0"/>
    <x v="4"/>
    <x v="14"/>
    <x v="7"/>
    <x v="7"/>
    <n v="0"/>
    <x v="0"/>
  </r>
  <r>
    <x v="30"/>
    <x v="1"/>
    <x v="132"/>
    <x v="0"/>
    <x v="4"/>
    <x v="14"/>
    <x v="7"/>
    <x v="8"/>
    <n v="0"/>
    <x v="0"/>
  </r>
  <r>
    <x v="30"/>
    <x v="1"/>
    <x v="132"/>
    <x v="0"/>
    <x v="4"/>
    <x v="14"/>
    <x v="7"/>
    <x v="9"/>
    <n v="0"/>
    <x v="0"/>
  </r>
  <r>
    <x v="30"/>
    <x v="1"/>
    <x v="132"/>
    <x v="0"/>
    <x v="4"/>
    <x v="14"/>
    <x v="7"/>
    <x v="10"/>
    <n v="0"/>
    <x v="0"/>
  </r>
  <r>
    <x v="30"/>
    <x v="1"/>
    <x v="132"/>
    <x v="0"/>
    <x v="4"/>
    <x v="14"/>
    <x v="7"/>
    <x v="11"/>
    <n v="0"/>
    <x v="0"/>
  </r>
  <r>
    <x v="30"/>
    <x v="1"/>
    <x v="133"/>
    <x v="0"/>
    <x v="4"/>
    <x v="14"/>
    <x v="10"/>
    <x v="0"/>
    <n v="0"/>
    <x v="0"/>
  </r>
  <r>
    <x v="30"/>
    <x v="1"/>
    <x v="133"/>
    <x v="0"/>
    <x v="4"/>
    <x v="14"/>
    <x v="10"/>
    <x v="1"/>
    <n v="0"/>
    <x v="0"/>
  </r>
  <r>
    <x v="30"/>
    <x v="1"/>
    <x v="133"/>
    <x v="0"/>
    <x v="4"/>
    <x v="14"/>
    <x v="10"/>
    <x v="2"/>
    <n v="0"/>
    <x v="0"/>
  </r>
  <r>
    <x v="30"/>
    <x v="1"/>
    <x v="133"/>
    <x v="0"/>
    <x v="4"/>
    <x v="14"/>
    <x v="10"/>
    <x v="3"/>
    <n v="0"/>
    <x v="0"/>
  </r>
  <r>
    <x v="30"/>
    <x v="1"/>
    <x v="133"/>
    <x v="0"/>
    <x v="4"/>
    <x v="14"/>
    <x v="10"/>
    <x v="4"/>
    <n v="1392.4913932104414"/>
    <x v="0"/>
  </r>
  <r>
    <x v="30"/>
    <x v="1"/>
    <x v="133"/>
    <x v="0"/>
    <x v="4"/>
    <x v="14"/>
    <x v="10"/>
    <x v="5"/>
    <n v="0"/>
    <x v="0"/>
  </r>
  <r>
    <x v="30"/>
    <x v="1"/>
    <x v="133"/>
    <x v="0"/>
    <x v="4"/>
    <x v="14"/>
    <x v="10"/>
    <x v="6"/>
    <n v="0"/>
    <x v="0"/>
  </r>
  <r>
    <x v="30"/>
    <x v="1"/>
    <x v="133"/>
    <x v="0"/>
    <x v="4"/>
    <x v="14"/>
    <x v="10"/>
    <x v="7"/>
    <n v="598.11270029035381"/>
    <x v="0"/>
  </r>
  <r>
    <x v="30"/>
    <x v="1"/>
    <x v="133"/>
    <x v="0"/>
    <x v="4"/>
    <x v="14"/>
    <x v="10"/>
    <x v="8"/>
    <n v="0"/>
    <x v="0"/>
  </r>
  <r>
    <x v="30"/>
    <x v="1"/>
    <x v="133"/>
    <x v="0"/>
    <x v="4"/>
    <x v="14"/>
    <x v="10"/>
    <x v="9"/>
    <n v="0"/>
    <x v="0"/>
  </r>
  <r>
    <x v="30"/>
    <x v="1"/>
    <x v="133"/>
    <x v="0"/>
    <x v="4"/>
    <x v="14"/>
    <x v="10"/>
    <x v="10"/>
    <n v="0"/>
    <x v="0"/>
  </r>
  <r>
    <x v="30"/>
    <x v="1"/>
    <x v="133"/>
    <x v="0"/>
    <x v="4"/>
    <x v="14"/>
    <x v="10"/>
    <x v="11"/>
    <n v="0"/>
    <x v="0"/>
  </r>
  <r>
    <x v="23"/>
    <x v="1"/>
    <x v="134"/>
    <x v="0"/>
    <x v="4"/>
    <x v="15"/>
    <x v="0"/>
    <x v="0"/>
    <n v="0"/>
    <x v="0"/>
  </r>
  <r>
    <x v="23"/>
    <x v="1"/>
    <x v="134"/>
    <x v="0"/>
    <x v="4"/>
    <x v="15"/>
    <x v="0"/>
    <x v="1"/>
    <n v="0"/>
    <x v="0"/>
  </r>
  <r>
    <x v="23"/>
    <x v="1"/>
    <x v="134"/>
    <x v="0"/>
    <x v="4"/>
    <x v="15"/>
    <x v="0"/>
    <x v="2"/>
    <n v="0"/>
    <x v="0"/>
  </r>
  <r>
    <x v="23"/>
    <x v="1"/>
    <x v="134"/>
    <x v="0"/>
    <x v="4"/>
    <x v="15"/>
    <x v="0"/>
    <x v="3"/>
    <n v="0"/>
    <x v="0"/>
  </r>
  <r>
    <x v="23"/>
    <x v="1"/>
    <x v="134"/>
    <x v="0"/>
    <x v="4"/>
    <x v="15"/>
    <x v="0"/>
    <x v="4"/>
    <n v="0"/>
    <x v="0"/>
  </r>
  <r>
    <x v="23"/>
    <x v="1"/>
    <x v="134"/>
    <x v="0"/>
    <x v="4"/>
    <x v="15"/>
    <x v="0"/>
    <x v="5"/>
    <n v="0"/>
    <x v="0"/>
  </r>
  <r>
    <x v="23"/>
    <x v="1"/>
    <x v="134"/>
    <x v="0"/>
    <x v="4"/>
    <x v="15"/>
    <x v="0"/>
    <x v="6"/>
    <n v="245.85093220700543"/>
    <x v="0"/>
  </r>
  <r>
    <x v="23"/>
    <x v="1"/>
    <x v="134"/>
    <x v="0"/>
    <x v="4"/>
    <x v="15"/>
    <x v="0"/>
    <x v="7"/>
    <n v="0"/>
    <x v="0"/>
  </r>
  <r>
    <x v="23"/>
    <x v="1"/>
    <x v="134"/>
    <x v="0"/>
    <x v="4"/>
    <x v="15"/>
    <x v="0"/>
    <x v="8"/>
    <n v="0"/>
    <x v="0"/>
  </r>
  <r>
    <x v="23"/>
    <x v="1"/>
    <x v="134"/>
    <x v="0"/>
    <x v="4"/>
    <x v="15"/>
    <x v="0"/>
    <x v="9"/>
    <n v="0"/>
    <x v="0"/>
  </r>
  <r>
    <x v="23"/>
    <x v="1"/>
    <x v="134"/>
    <x v="0"/>
    <x v="4"/>
    <x v="15"/>
    <x v="0"/>
    <x v="10"/>
    <n v="0"/>
    <x v="0"/>
  </r>
  <r>
    <x v="23"/>
    <x v="1"/>
    <x v="134"/>
    <x v="0"/>
    <x v="4"/>
    <x v="15"/>
    <x v="0"/>
    <x v="11"/>
    <n v="0"/>
    <x v="0"/>
  </r>
  <r>
    <x v="30"/>
    <x v="1"/>
    <x v="132"/>
    <x v="0"/>
    <x v="4"/>
    <x v="14"/>
    <x v="7"/>
    <x v="0"/>
    <n v="0"/>
    <x v="0"/>
  </r>
  <r>
    <x v="30"/>
    <x v="1"/>
    <x v="132"/>
    <x v="0"/>
    <x v="4"/>
    <x v="14"/>
    <x v="7"/>
    <x v="1"/>
    <n v="0"/>
    <x v="0"/>
  </r>
  <r>
    <x v="30"/>
    <x v="1"/>
    <x v="132"/>
    <x v="0"/>
    <x v="4"/>
    <x v="14"/>
    <x v="7"/>
    <x v="2"/>
    <n v="0"/>
    <x v="0"/>
  </r>
  <r>
    <x v="30"/>
    <x v="1"/>
    <x v="132"/>
    <x v="0"/>
    <x v="4"/>
    <x v="14"/>
    <x v="7"/>
    <x v="3"/>
    <n v="0"/>
    <x v="0"/>
  </r>
  <r>
    <x v="30"/>
    <x v="1"/>
    <x v="132"/>
    <x v="0"/>
    <x v="4"/>
    <x v="14"/>
    <x v="7"/>
    <x v="4"/>
    <n v="0"/>
    <x v="0"/>
  </r>
  <r>
    <x v="30"/>
    <x v="1"/>
    <x v="132"/>
    <x v="0"/>
    <x v="4"/>
    <x v="14"/>
    <x v="7"/>
    <x v="5"/>
    <n v="0"/>
    <x v="0"/>
  </r>
  <r>
    <x v="30"/>
    <x v="1"/>
    <x v="132"/>
    <x v="0"/>
    <x v="4"/>
    <x v="14"/>
    <x v="7"/>
    <x v="6"/>
    <n v="0"/>
    <x v="0"/>
  </r>
  <r>
    <x v="30"/>
    <x v="1"/>
    <x v="132"/>
    <x v="0"/>
    <x v="4"/>
    <x v="14"/>
    <x v="7"/>
    <x v="7"/>
    <n v="0"/>
    <x v="0"/>
  </r>
  <r>
    <x v="30"/>
    <x v="1"/>
    <x v="132"/>
    <x v="0"/>
    <x v="4"/>
    <x v="14"/>
    <x v="7"/>
    <x v="8"/>
    <n v="0"/>
    <x v="0"/>
  </r>
  <r>
    <x v="30"/>
    <x v="1"/>
    <x v="132"/>
    <x v="0"/>
    <x v="4"/>
    <x v="14"/>
    <x v="7"/>
    <x v="9"/>
    <n v="0"/>
    <x v="0"/>
  </r>
  <r>
    <x v="30"/>
    <x v="1"/>
    <x v="132"/>
    <x v="0"/>
    <x v="4"/>
    <x v="14"/>
    <x v="7"/>
    <x v="10"/>
    <n v="0"/>
    <x v="0"/>
  </r>
  <r>
    <x v="30"/>
    <x v="1"/>
    <x v="132"/>
    <x v="0"/>
    <x v="4"/>
    <x v="14"/>
    <x v="7"/>
    <x v="11"/>
    <n v="0"/>
    <x v="0"/>
  </r>
  <r>
    <x v="30"/>
    <x v="1"/>
    <x v="135"/>
    <x v="0"/>
    <x v="4"/>
    <x v="14"/>
    <x v="11"/>
    <x v="0"/>
    <n v="0"/>
    <x v="0"/>
  </r>
  <r>
    <x v="30"/>
    <x v="1"/>
    <x v="135"/>
    <x v="0"/>
    <x v="4"/>
    <x v="14"/>
    <x v="11"/>
    <x v="1"/>
    <n v="0"/>
    <x v="0"/>
  </r>
  <r>
    <x v="30"/>
    <x v="1"/>
    <x v="135"/>
    <x v="0"/>
    <x v="4"/>
    <x v="14"/>
    <x v="11"/>
    <x v="2"/>
    <n v="0"/>
    <x v="0"/>
  </r>
  <r>
    <x v="30"/>
    <x v="1"/>
    <x v="135"/>
    <x v="0"/>
    <x v="4"/>
    <x v="14"/>
    <x v="11"/>
    <x v="3"/>
    <n v="2083.0295581894306"/>
    <x v="0"/>
  </r>
  <r>
    <x v="30"/>
    <x v="1"/>
    <x v="135"/>
    <x v="0"/>
    <x v="4"/>
    <x v="14"/>
    <x v="11"/>
    <x v="4"/>
    <n v="0"/>
    <x v="0"/>
  </r>
  <r>
    <x v="30"/>
    <x v="1"/>
    <x v="135"/>
    <x v="0"/>
    <x v="4"/>
    <x v="14"/>
    <x v="11"/>
    <x v="5"/>
    <n v="0"/>
    <x v="0"/>
  </r>
  <r>
    <x v="30"/>
    <x v="1"/>
    <x v="135"/>
    <x v="0"/>
    <x v="4"/>
    <x v="14"/>
    <x v="11"/>
    <x v="6"/>
    <n v="0"/>
    <x v="0"/>
  </r>
  <r>
    <x v="30"/>
    <x v="1"/>
    <x v="135"/>
    <x v="0"/>
    <x v="4"/>
    <x v="14"/>
    <x v="11"/>
    <x v="7"/>
    <n v="0"/>
    <x v="0"/>
  </r>
  <r>
    <x v="30"/>
    <x v="1"/>
    <x v="135"/>
    <x v="0"/>
    <x v="4"/>
    <x v="14"/>
    <x v="11"/>
    <x v="8"/>
    <n v="0"/>
    <x v="0"/>
  </r>
  <r>
    <x v="30"/>
    <x v="1"/>
    <x v="135"/>
    <x v="0"/>
    <x v="4"/>
    <x v="14"/>
    <x v="11"/>
    <x v="9"/>
    <n v="0"/>
    <x v="0"/>
  </r>
  <r>
    <x v="30"/>
    <x v="1"/>
    <x v="135"/>
    <x v="0"/>
    <x v="4"/>
    <x v="14"/>
    <x v="11"/>
    <x v="10"/>
    <n v="0"/>
    <x v="0"/>
  </r>
  <r>
    <x v="30"/>
    <x v="1"/>
    <x v="135"/>
    <x v="0"/>
    <x v="4"/>
    <x v="14"/>
    <x v="11"/>
    <x v="11"/>
    <n v="0"/>
    <x v="0"/>
  </r>
  <r>
    <x v="30"/>
    <x v="1"/>
    <x v="136"/>
    <x v="0"/>
    <x v="4"/>
    <x v="14"/>
    <x v="7"/>
    <x v="0"/>
    <n v="0"/>
    <x v="0"/>
  </r>
  <r>
    <x v="30"/>
    <x v="1"/>
    <x v="136"/>
    <x v="0"/>
    <x v="4"/>
    <x v="14"/>
    <x v="7"/>
    <x v="1"/>
    <n v="0"/>
    <x v="0"/>
  </r>
  <r>
    <x v="30"/>
    <x v="1"/>
    <x v="136"/>
    <x v="0"/>
    <x v="4"/>
    <x v="14"/>
    <x v="7"/>
    <x v="2"/>
    <n v="0"/>
    <x v="0"/>
  </r>
  <r>
    <x v="30"/>
    <x v="1"/>
    <x v="136"/>
    <x v="0"/>
    <x v="4"/>
    <x v="14"/>
    <x v="7"/>
    <x v="3"/>
    <n v="802.06532380694478"/>
    <x v="0"/>
  </r>
  <r>
    <x v="30"/>
    <x v="1"/>
    <x v="136"/>
    <x v="0"/>
    <x v="4"/>
    <x v="14"/>
    <x v="7"/>
    <x v="4"/>
    <n v="436.76297555235976"/>
    <x v="0"/>
  </r>
  <r>
    <x v="30"/>
    <x v="1"/>
    <x v="136"/>
    <x v="0"/>
    <x v="4"/>
    <x v="14"/>
    <x v="7"/>
    <x v="5"/>
    <n v="0"/>
    <x v="0"/>
  </r>
  <r>
    <x v="30"/>
    <x v="1"/>
    <x v="136"/>
    <x v="0"/>
    <x v="4"/>
    <x v="14"/>
    <x v="7"/>
    <x v="6"/>
    <n v="0"/>
    <x v="0"/>
  </r>
  <r>
    <x v="30"/>
    <x v="1"/>
    <x v="136"/>
    <x v="0"/>
    <x v="4"/>
    <x v="14"/>
    <x v="7"/>
    <x v="7"/>
    <n v="0"/>
    <x v="0"/>
  </r>
  <r>
    <x v="30"/>
    <x v="1"/>
    <x v="136"/>
    <x v="0"/>
    <x v="4"/>
    <x v="14"/>
    <x v="7"/>
    <x v="8"/>
    <n v="0"/>
    <x v="0"/>
  </r>
  <r>
    <x v="30"/>
    <x v="1"/>
    <x v="136"/>
    <x v="0"/>
    <x v="4"/>
    <x v="14"/>
    <x v="7"/>
    <x v="9"/>
    <n v="0"/>
    <x v="0"/>
  </r>
  <r>
    <x v="30"/>
    <x v="1"/>
    <x v="136"/>
    <x v="0"/>
    <x v="4"/>
    <x v="14"/>
    <x v="7"/>
    <x v="10"/>
    <n v="0"/>
    <x v="0"/>
  </r>
  <r>
    <x v="30"/>
    <x v="1"/>
    <x v="136"/>
    <x v="0"/>
    <x v="4"/>
    <x v="14"/>
    <x v="7"/>
    <x v="11"/>
    <n v="0"/>
    <x v="0"/>
  </r>
  <r>
    <x v="30"/>
    <x v="1"/>
    <x v="137"/>
    <x v="0"/>
    <x v="4"/>
    <x v="14"/>
    <x v="9"/>
    <x v="0"/>
    <n v="0"/>
    <x v="0"/>
  </r>
  <r>
    <x v="30"/>
    <x v="1"/>
    <x v="137"/>
    <x v="0"/>
    <x v="4"/>
    <x v="14"/>
    <x v="9"/>
    <x v="1"/>
    <n v="0"/>
    <x v="0"/>
  </r>
  <r>
    <x v="30"/>
    <x v="1"/>
    <x v="137"/>
    <x v="0"/>
    <x v="4"/>
    <x v="14"/>
    <x v="9"/>
    <x v="2"/>
    <n v="0"/>
    <x v="0"/>
  </r>
  <r>
    <x v="30"/>
    <x v="1"/>
    <x v="137"/>
    <x v="0"/>
    <x v="4"/>
    <x v="14"/>
    <x v="9"/>
    <x v="3"/>
    <n v="1704.4274793259317"/>
    <x v="0"/>
  </r>
  <r>
    <x v="30"/>
    <x v="1"/>
    <x v="137"/>
    <x v="0"/>
    <x v="4"/>
    <x v="14"/>
    <x v="9"/>
    <x v="4"/>
    <n v="0"/>
    <x v="0"/>
  </r>
  <r>
    <x v="30"/>
    <x v="1"/>
    <x v="137"/>
    <x v="0"/>
    <x v="4"/>
    <x v="14"/>
    <x v="9"/>
    <x v="5"/>
    <n v="0"/>
    <x v="0"/>
  </r>
  <r>
    <x v="30"/>
    <x v="1"/>
    <x v="137"/>
    <x v="0"/>
    <x v="4"/>
    <x v="14"/>
    <x v="9"/>
    <x v="6"/>
    <n v="0"/>
    <x v="0"/>
  </r>
  <r>
    <x v="30"/>
    <x v="1"/>
    <x v="137"/>
    <x v="0"/>
    <x v="4"/>
    <x v="14"/>
    <x v="9"/>
    <x v="7"/>
    <n v="0"/>
    <x v="0"/>
  </r>
  <r>
    <x v="30"/>
    <x v="1"/>
    <x v="137"/>
    <x v="0"/>
    <x v="4"/>
    <x v="14"/>
    <x v="9"/>
    <x v="8"/>
    <n v="0"/>
    <x v="0"/>
  </r>
  <r>
    <x v="30"/>
    <x v="1"/>
    <x v="137"/>
    <x v="0"/>
    <x v="4"/>
    <x v="14"/>
    <x v="9"/>
    <x v="9"/>
    <n v="0"/>
    <x v="0"/>
  </r>
  <r>
    <x v="30"/>
    <x v="1"/>
    <x v="137"/>
    <x v="0"/>
    <x v="4"/>
    <x v="14"/>
    <x v="9"/>
    <x v="10"/>
    <n v="0"/>
    <x v="0"/>
  </r>
  <r>
    <x v="30"/>
    <x v="1"/>
    <x v="137"/>
    <x v="0"/>
    <x v="4"/>
    <x v="14"/>
    <x v="9"/>
    <x v="11"/>
    <n v="0"/>
    <x v="0"/>
  </r>
  <r>
    <x v="30"/>
    <x v="1"/>
    <x v="138"/>
    <x v="0"/>
    <x v="4"/>
    <x v="14"/>
    <x v="10"/>
    <x v="0"/>
    <n v="0"/>
    <x v="0"/>
  </r>
  <r>
    <x v="30"/>
    <x v="1"/>
    <x v="138"/>
    <x v="0"/>
    <x v="4"/>
    <x v="14"/>
    <x v="10"/>
    <x v="1"/>
    <n v="0"/>
    <x v="0"/>
  </r>
  <r>
    <x v="30"/>
    <x v="1"/>
    <x v="138"/>
    <x v="0"/>
    <x v="4"/>
    <x v="14"/>
    <x v="10"/>
    <x v="2"/>
    <n v="0"/>
    <x v="0"/>
  </r>
  <r>
    <x v="30"/>
    <x v="1"/>
    <x v="138"/>
    <x v="0"/>
    <x v="4"/>
    <x v="14"/>
    <x v="10"/>
    <x v="3"/>
    <n v="934.21063594892416"/>
    <x v="0"/>
  </r>
  <r>
    <x v="30"/>
    <x v="1"/>
    <x v="138"/>
    <x v="0"/>
    <x v="4"/>
    <x v="14"/>
    <x v="10"/>
    <x v="4"/>
    <n v="0"/>
    <x v="0"/>
  </r>
  <r>
    <x v="30"/>
    <x v="1"/>
    <x v="138"/>
    <x v="0"/>
    <x v="4"/>
    <x v="14"/>
    <x v="10"/>
    <x v="5"/>
    <n v="0"/>
    <x v="0"/>
  </r>
  <r>
    <x v="30"/>
    <x v="1"/>
    <x v="138"/>
    <x v="0"/>
    <x v="4"/>
    <x v="14"/>
    <x v="10"/>
    <x v="6"/>
    <n v="0"/>
    <x v="0"/>
  </r>
  <r>
    <x v="30"/>
    <x v="1"/>
    <x v="138"/>
    <x v="0"/>
    <x v="4"/>
    <x v="14"/>
    <x v="10"/>
    <x v="7"/>
    <n v="0"/>
    <x v="0"/>
  </r>
  <r>
    <x v="30"/>
    <x v="1"/>
    <x v="138"/>
    <x v="0"/>
    <x v="4"/>
    <x v="14"/>
    <x v="10"/>
    <x v="8"/>
    <n v="0"/>
    <x v="0"/>
  </r>
  <r>
    <x v="30"/>
    <x v="1"/>
    <x v="138"/>
    <x v="0"/>
    <x v="4"/>
    <x v="14"/>
    <x v="10"/>
    <x v="9"/>
    <n v="0"/>
    <x v="0"/>
  </r>
  <r>
    <x v="30"/>
    <x v="1"/>
    <x v="138"/>
    <x v="0"/>
    <x v="4"/>
    <x v="14"/>
    <x v="10"/>
    <x v="10"/>
    <n v="0"/>
    <x v="0"/>
  </r>
  <r>
    <x v="30"/>
    <x v="1"/>
    <x v="138"/>
    <x v="0"/>
    <x v="4"/>
    <x v="14"/>
    <x v="10"/>
    <x v="11"/>
    <n v="0"/>
    <x v="0"/>
  </r>
  <r>
    <x v="30"/>
    <x v="1"/>
    <x v="139"/>
    <x v="0"/>
    <x v="4"/>
    <x v="14"/>
    <x v="0"/>
    <x v="0"/>
    <n v="0"/>
    <x v="0"/>
  </r>
  <r>
    <x v="30"/>
    <x v="1"/>
    <x v="139"/>
    <x v="0"/>
    <x v="4"/>
    <x v="14"/>
    <x v="0"/>
    <x v="1"/>
    <n v="0"/>
    <x v="0"/>
  </r>
  <r>
    <x v="30"/>
    <x v="1"/>
    <x v="139"/>
    <x v="0"/>
    <x v="4"/>
    <x v="14"/>
    <x v="0"/>
    <x v="2"/>
    <n v="0"/>
    <x v="0"/>
  </r>
  <r>
    <x v="30"/>
    <x v="1"/>
    <x v="139"/>
    <x v="0"/>
    <x v="4"/>
    <x v="14"/>
    <x v="0"/>
    <x v="3"/>
    <n v="0"/>
    <x v="0"/>
  </r>
  <r>
    <x v="30"/>
    <x v="1"/>
    <x v="139"/>
    <x v="0"/>
    <x v="4"/>
    <x v="14"/>
    <x v="0"/>
    <x v="4"/>
    <n v="0"/>
    <x v="0"/>
  </r>
  <r>
    <x v="30"/>
    <x v="1"/>
    <x v="139"/>
    <x v="0"/>
    <x v="4"/>
    <x v="14"/>
    <x v="0"/>
    <x v="5"/>
    <n v="0"/>
    <x v="0"/>
  </r>
  <r>
    <x v="30"/>
    <x v="1"/>
    <x v="139"/>
    <x v="0"/>
    <x v="4"/>
    <x v="14"/>
    <x v="0"/>
    <x v="6"/>
    <n v="0"/>
    <x v="0"/>
  </r>
  <r>
    <x v="30"/>
    <x v="1"/>
    <x v="139"/>
    <x v="0"/>
    <x v="4"/>
    <x v="14"/>
    <x v="0"/>
    <x v="7"/>
    <n v="1277.2018496612538"/>
    <x v="0"/>
  </r>
  <r>
    <x v="30"/>
    <x v="1"/>
    <x v="139"/>
    <x v="0"/>
    <x v="4"/>
    <x v="14"/>
    <x v="0"/>
    <x v="8"/>
    <n v="39.500761166474128"/>
    <x v="0"/>
  </r>
  <r>
    <x v="30"/>
    <x v="1"/>
    <x v="139"/>
    <x v="0"/>
    <x v="4"/>
    <x v="14"/>
    <x v="0"/>
    <x v="9"/>
    <n v="0"/>
    <x v="0"/>
  </r>
  <r>
    <x v="30"/>
    <x v="1"/>
    <x v="139"/>
    <x v="0"/>
    <x v="4"/>
    <x v="14"/>
    <x v="0"/>
    <x v="10"/>
    <n v="0"/>
    <x v="0"/>
  </r>
  <r>
    <x v="30"/>
    <x v="1"/>
    <x v="139"/>
    <x v="0"/>
    <x v="4"/>
    <x v="14"/>
    <x v="0"/>
    <x v="11"/>
    <n v="0"/>
    <x v="0"/>
  </r>
  <r>
    <x v="30"/>
    <x v="1"/>
    <x v="140"/>
    <x v="0"/>
    <x v="4"/>
    <x v="14"/>
    <x v="12"/>
    <x v="0"/>
    <n v="0"/>
    <x v="0"/>
  </r>
  <r>
    <x v="30"/>
    <x v="1"/>
    <x v="140"/>
    <x v="0"/>
    <x v="4"/>
    <x v="14"/>
    <x v="12"/>
    <x v="1"/>
    <n v="0"/>
    <x v="0"/>
  </r>
  <r>
    <x v="30"/>
    <x v="1"/>
    <x v="140"/>
    <x v="0"/>
    <x v="4"/>
    <x v="14"/>
    <x v="12"/>
    <x v="2"/>
    <n v="0"/>
    <x v="0"/>
  </r>
  <r>
    <x v="30"/>
    <x v="1"/>
    <x v="140"/>
    <x v="0"/>
    <x v="4"/>
    <x v="14"/>
    <x v="12"/>
    <x v="3"/>
    <n v="0"/>
    <x v="0"/>
  </r>
  <r>
    <x v="30"/>
    <x v="1"/>
    <x v="140"/>
    <x v="0"/>
    <x v="4"/>
    <x v="14"/>
    <x v="12"/>
    <x v="4"/>
    <n v="0"/>
    <x v="0"/>
  </r>
  <r>
    <x v="30"/>
    <x v="1"/>
    <x v="140"/>
    <x v="0"/>
    <x v="4"/>
    <x v="14"/>
    <x v="12"/>
    <x v="5"/>
    <n v="0"/>
    <x v="0"/>
  </r>
  <r>
    <x v="30"/>
    <x v="1"/>
    <x v="140"/>
    <x v="0"/>
    <x v="4"/>
    <x v="14"/>
    <x v="12"/>
    <x v="6"/>
    <n v="0"/>
    <x v="0"/>
  </r>
  <r>
    <x v="30"/>
    <x v="1"/>
    <x v="140"/>
    <x v="0"/>
    <x v="4"/>
    <x v="14"/>
    <x v="12"/>
    <x v="7"/>
    <n v="0"/>
    <x v="0"/>
  </r>
  <r>
    <x v="30"/>
    <x v="1"/>
    <x v="140"/>
    <x v="0"/>
    <x v="4"/>
    <x v="14"/>
    <x v="12"/>
    <x v="8"/>
    <n v="0"/>
    <x v="0"/>
  </r>
  <r>
    <x v="30"/>
    <x v="1"/>
    <x v="140"/>
    <x v="0"/>
    <x v="4"/>
    <x v="14"/>
    <x v="12"/>
    <x v="9"/>
    <n v="0"/>
    <x v="0"/>
  </r>
  <r>
    <x v="30"/>
    <x v="1"/>
    <x v="140"/>
    <x v="0"/>
    <x v="4"/>
    <x v="14"/>
    <x v="12"/>
    <x v="10"/>
    <n v="0"/>
    <x v="0"/>
  </r>
  <r>
    <x v="30"/>
    <x v="1"/>
    <x v="140"/>
    <x v="0"/>
    <x v="4"/>
    <x v="14"/>
    <x v="12"/>
    <x v="11"/>
    <n v="0"/>
    <x v="0"/>
  </r>
  <r>
    <x v="30"/>
    <x v="1"/>
    <x v="141"/>
    <x v="0"/>
    <x v="4"/>
    <x v="16"/>
    <x v="2"/>
    <x v="0"/>
    <n v="0"/>
    <x v="0"/>
  </r>
  <r>
    <x v="30"/>
    <x v="1"/>
    <x v="141"/>
    <x v="0"/>
    <x v="4"/>
    <x v="16"/>
    <x v="2"/>
    <x v="1"/>
    <n v="0"/>
    <x v="0"/>
  </r>
  <r>
    <x v="30"/>
    <x v="1"/>
    <x v="141"/>
    <x v="0"/>
    <x v="4"/>
    <x v="16"/>
    <x v="2"/>
    <x v="2"/>
    <n v="0"/>
    <x v="0"/>
  </r>
  <r>
    <x v="30"/>
    <x v="1"/>
    <x v="141"/>
    <x v="0"/>
    <x v="4"/>
    <x v="16"/>
    <x v="2"/>
    <x v="3"/>
    <n v="225.23590309746496"/>
    <x v="0"/>
  </r>
  <r>
    <x v="30"/>
    <x v="1"/>
    <x v="141"/>
    <x v="0"/>
    <x v="4"/>
    <x v="16"/>
    <x v="2"/>
    <x v="4"/>
    <n v="0"/>
    <x v="0"/>
  </r>
  <r>
    <x v="30"/>
    <x v="1"/>
    <x v="141"/>
    <x v="0"/>
    <x v="4"/>
    <x v="16"/>
    <x v="2"/>
    <x v="5"/>
    <n v="0"/>
    <x v="0"/>
  </r>
  <r>
    <x v="30"/>
    <x v="1"/>
    <x v="141"/>
    <x v="0"/>
    <x v="4"/>
    <x v="16"/>
    <x v="2"/>
    <x v="6"/>
    <n v="0"/>
    <x v="0"/>
  </r>
  <r>
    <x v="30"/>
    <x v="1"/>
    <x v="141"/>
    <x v="0"/>
    <x v="4"/>
    <x v="16"/>
    <x v="2"/>
    <x v="7"/>
    <n v="0"/>
    <x v="0"/>
  </r>
  <r>
    <x v="30"/>
    <x v="1"/>
    <x v="141"/>
    <x v="0"/>
    <x v="4"/>
    <x v="16"/>
    <x v="2"/>
    <x v="8"/>
    <n v="0"/>
    <x v="0"/>
  </r>
  <r>
    <x v="30"/>
    <x v="1"/>
    <x v="141"/>
    <x v="0"/>
    <x v="4"/>
    <x v="16"/>
    <x v="2"/>
    <x v="9"/>
    <n v="0"/>
    <x v="0"/>
  </r>
  <r>
    <x v="30"/>
    <x v="1"/>
    <x v="141"/>
    <x v="0"/>
    <x v="4"/>
    <x v="16"/>
    <x v="2"/>
    <x v="10"/>
    <n v="0"/>
    <x v="0"/>
  </r>
  <r>
    <x v="30"/>
    <x v="1"/>
    <x v="141"/>
    <x v="0"/>
    <x v="4"/>
    <x v="16"/>
    <x v="2"/>
    <x v="11"/>
    <n v="0"/>
    <x v="0"/>
  </r>
  <r>
    <x v="30"/>
    <x v="1"/>
    <x v="142"/>
    <x v="0"/>
    <x v="4"/>
    <x v="14"/>
    <x v="12"/>
    <x v="0"/>
    <n v="0"/>
    <x v="0"/>
  </r>
  <r>
    <x v="30"/>
    <x v="1"/>
    <x v="142"/>
    <x v="0"/>
    <x v="4"/>
    <x v="14"/>
    <x v="12"/>
    <x v="1"/>
    <n v="0"/>
    <x v="0"/>
  </r>
  <r>
    <x v="30"/>
    <x v="1"/>
    <x v="142"/>
    <x v="0"/>
    <x v="4"/>
    <x v="14"/>
    <x v="12"/>
    <x v="2"/>
    <n v="0"/>
    <x v="0"/>
  </r>
  <r>
    <x v="30"/>
    <x v="1"/>
    <x v="142"/>
    <x v="0"/>
    <x v="4"/>
    <x v="14"/>
    <x v="12"/>
    <x v="3"/>
    <n v="0"/>
    <x v="0"/>
  </r>
  <r>
    <x v="30"/>
    <x v="1"/>
    <x v="142"/>
    <x v="0"/>
    <x v="4"/>
    <x v="14"/>
    <x v="12"/>
    <x v="4"/>
    <n v="0"/>
    <x v="0"/>
  </r>
  <r>
    <x v="30"/>
    <x v="1"/>
    <x v="142"/>
    <x v="0"/>
    <x v="4"/>
    <x v="14"/>
    <x v="12"/>
    <x v="5"/>
    <n v="0"/>
    <x v="0"/>
  </r>
  <r>
    <x v="30"/>
    <x v="1"/>
    <x v="142"/>
    <x v="0"/>
    <x v="4"/>
    <x v="14"/>
    <x v="12"/>
    <x v="6"/>
    <n v="244.17637271214645"/>
    <x v="0"/>
  </r>
  <r>
    <x v="30"/>
    <x v="1"/>
    <x v="142"/>
    <x v="0"/>
    <x v="4"/>
    <x v="14"/>
    <x v="12"/>
    <x v="7"/>
    <n v="0"/>
    <x v="0"/>
  </r>
  <r>
    <x v="30"/>
    <x v="1"/>
    <x v="142"/>
    <x v="0"/>
    <x v="4"/>
    <x v="14"/>
    <x v="12"/>
    <x v="8"/>
    <n v="0"/>
    <x v="0"/>
  </r>
  <r>
    <x v="30"/>
    <x v="1"/>
    <x v="142"/>
    <x v="0"/>
    <x v="4"/>
    <x v="14"/>
    <x v="12"/>
    <x v="9"/>
    <n v="0"/>
    <x v="0"/>
  </r>
  <r>
    <x v="30"/>
    <x v="1"/>
    <x v="142"/>
    <x v="0"/>
    <x v="4"/>
    <x v="14"/>
    <x v="12"/>
    <x v="10"/>
    <n v="0"/>
    <x v="0"/>
  </r>
  <r>
    <x v="30"/>
    <x v="1"/>
    <x v="142"/>
    <x v="0"/>
    <x v="4"/>
    <x v="14"/>
    <x v="12"/>
    <x v="11"/>
    <n v="0"/>
    <x v="0"/>
  </r>
  <r>
    <x v="30"/>
    <x v="1"/>
    <x v="143"/>
    <x v="0"/>
    <x v="4"/>
    <x v="14"/>
    <x v="13"/>
    <x v="0"/>
    <n v="0"/>
    <x v="0"/>
  </r>
  <r>
    <x v="30"/>
    <x v="1"/>
    <x v="143"/>
    <x v="0"/>
    <x v="4"/>
    <x v="14"/>
    <x v="13"/>
    <x v="1"/>
    <n v="0"/>
    <x v="0"/>
  </r>
  <r>
    <x v="30"/>
    <x v="1"/>
    <x v="143"/>
    <x v="0"/>
    <x v="4"/>
    <x v="14"/>
    <x v="13"/>
    <x v="2"/>
    <n v="0"/>
    <x v="0"/>
  </r>
  <r>
    <x v="30"/>
    <x v="1"/>
    <x v="143"/>
    <x v="0"/>
    <x v="4"/>
    <x v="14"/>
    <x v="13"/>
    <x v="3"/>
    <n v="318.82537963213696"/>
    <x v="0"/>
  </r>
  <r>
    <x v="30"/>
    <x v="1"/>
    <x v="143"/>
    <x v="0"/>
    <x v="4"/>
    <x v="14"/>
    <x v="13"/>
    <x v="4"/>
    <n v="0"/>
    <x v="0"/>
  </r>
  <r>
    <x v="30"/>
    <x v="1"/>
    <x v="143"/>
    <x v="0"/>
    <x v="4"/>
    <x v="14"/>
    <x v="13"/>
    <x v="5"/>
    <n v="0"/>
    <x v="0"/>
  </r>
  <r>
    <x v="30"/>
    <x v="1"/>
    <x v="143"/>
    <x v="0"/>
    <x v="4"/>
    <x v="14"/>
    <x v="13"/>
    <x v="6"/>
    <n v="0"/>
    <x v="0"/>
  </r>
  <r>
    <x v="30"/>
    <x v="1"/>
    <x v="143"/>
    <x v="0"/>
    <x v="4"/>
    <x v="14"/>
    <x v="13"/>
    <x v="7"/>
    <n v="0"/>
    <x v="0"/>
  </r>
  <r>
    <x v="30"/>
    <x v="1"/>
    <x v="143"/>
    <x v="0"/>
    <x v="4"/>
    <x v="14"/>
    <x v="13"/>
    <x v="8"/>
    <n v="0"/>
    <x v="0"/>
  </r>
  <r>
    <x v="30"/>
    <x v="1"/>
    <x v="143"/>
    <x v="0"/>
    <x v="4"/>
    <x v="14"/>
    <x v="13"/>
    <x v="9"/>
    <n v="0"/>
    <x v="0"/>
  </r>
  <r>
    <x v="30"/>
    <x v="1"/>
    <x v="143"/>
    <x v="0"/>
    <x v="4"/>
    <x v="14"/>
    <x v="13"/>
    <x v="10"/>
    <n v="0"/>
    <x v="0"/>
  </r>
  <r>
    <x v="30"/>
    <x v="1"/>
    <x v="143"/>
    <x v="0"/>
    <x v="4"/>
    <x v="14"/>
    <x v="13"/>
    <x v="11"/>
    <n v="0"/>
    <x v="0"/>
  </r>
  <r>
    <x v="30"/>
    <x v="0"/>
    <x v="144"/>
    <x v="1"/>
    <x v="6"/>
    <x v="17"/>
    <x v="0"/>
    <x v="0"/>
    <n v="917.41098470247471"/>
    <x v="0"/>
  </r>
  <r>
    <x v="30"/>
    <x v="0"/>
    <x v="144"/>
    <x v="1"/>
    <x v="6"/>
    <x v="17"/>
    <x v="0"/>
    <x v="1"/>
    <n v="864.61014697334542"/>
    <x v="0"/>
  </r>
  <r>
    <x v="30"/>
    <x v="0"/>
    <x v="144"/>
    <x v="1"/>
    <x v="6"/>
    <x v="17"/>
    <x v="0"/>
    <x v="2"/>
    <n v="860.59942351203085"/>
    <x v="0"/>
  </r>
  <r>
    <x v="30"/>
    <x v="0"/>
    <x v="144"/>
    <x v="1"/>
    <x v="6"/>
    <x v="17"/>
    <x v="0"/>
    <x v="3"/>
    <n v="0"/>
    <x v="0"/>
  </r>
  <r>
    <x v="30"/>
    <x v="0"/>
    <x v="144"/>
    <x v="1"/>
    <x v="6"/>
    <x v="17"/>
    <x v="0"/>
    <x v="4"/>
    <n v="907.52603826208224"/>
    <x v="0"/>
  </r>
  <r>
    <x v="30"/>
    <x v="0"/>
    <x v="144"/>
    <x v="1"/>
    <x v="6"/>
    <x v="17"/>
    <x v="0"/>
    <x v="5"/>
    <n v="899.49032480995163"/>
    <x v="0"/>
  </r>
  <r>
    <x v="30"/>
    <x v="0"/>
    <x v="144"/>
    <x v="1"/>
    <x v="6"/>
    <x v="17"/>
    <x v="0"/>
    <x v="6"/>
    <n v="888.47647083919969"/>
    <x v="0"/>
  </r>
  <r>
    <x v="30"/>
    <x v="0"/>
    <x v="144"/>
    <x v="1"/>
    <x v="6"/>
    <x v="17"/>
    <x v="0"/>
    <x v="7"/>
    <n v="0"/>
    <x v="0"/>
  </r>
  <r>
    <x v="30"/>
    <x v="0"/>
    <x v="144"/>
    <x v="1"/>
    <x v="6"/>
    <x v="17"/>
    <x v="0"/>
    <x v="8"/>
    <n v="0"/>
    <x v="0"/>
  </r>
  <r>
    <x v="30"/>
    <x v="0"/>
    <x v="144"/>
    <x v="1"/>
    <x v="6"/>
    <x v="17"/>
    <x v="0"/>
    <x v="9"/>
    <n v="899.36407510175877"/>
    <x v="0"/>
  </r>
  <r>
    <x v="30"/>
    <x v="0"/>
    <x v="144"/>
    <x v="1"/>
    <x v="6"/>
    <x v="17"/>
    <x v="0"/>
    <x v="10"/>
    <n v="899.36407510175877"/>
    <x v="0"/>
  </r>
  <r>
    <x v="30"/>
    <x v="0"/>
    <x v="144"/>
    <x v="1"/>
    <x v="6"/>
    <x v="17"/>
    <x v="0"/>
    <x v="11"/>
    <n v="899.36407510175877"/>
    <x v="0"/>
  </r>
  <r>
    <x v="30"/>
    <x v="0"/>
    <x v="145"/>
    <x v="1"/>
    <x v="6"/>
    <x v="17"/>
    <x v="0"/>
    <x v="0"/>
    <n v="0"/>
    <x v="0"/>
  </r>
  <r>
    <x v="30"/>
    <x v="0"/>
    <x v="145"/>
    <x v="1"/>
    <x v="6"/>
    <x v="17"/>
    <x v="0"/>
    <x v="1"/>
    <n v="0"/>
    <x v="0"/>
  </r>
  <r>
    <x v="30"/>
    <x v="0"/>
    <x v="145"/>
    <x v="1"/>
    <x v="6"/>
    <x v="17"/>
    <x v="0"/>
    <x v="2"/>
    <n v="0"/>
    <x v="0"/>
  </r>
  <r>
    <x v="30"/>
    <x v="0"/>
    <x v="145"/>
    <x v="1"/>
    <x v="6"/>
    <x v="17"/>
    <x v="0"/>
    <x v="3"/>
    <n v="0"/>
    <x v="0"/>
  </r>
  <r>
    <x v="30"/>
    <x v="0"/>
    <x v="145"/>
    <x v="1"/>
    <x v="6"/>
    <x v="17"/>
    <x v="0"/>
    <x v="4"/>
    <n v="907.52603826208224"/>
    <x v="0"/>
  </r>
  <r>
    <x v="30"/>
    <x v="0"/>
    <x v="145"/>
    <x v="1"/>
    <x v="6"/>
    <x v="17"/>
    <x v="0"/>
    <x v="5"/>
    <n v="0"/>
    <x v="0"/>
  </r>
  <r>
    <x v="30"/>
    <x v="0"/>
    <x v="145"/>
    <x v="1"/>
    <x v="6"/>
    <x v="17"/>
    <x v="0"/>
    <x v="6"/>
    <n v="0"/>
    <x v="0"/>
  </r>
  <r>
    <x v="30"/>
    <x v="0"/>
    <x v="145"/>
    <x v="1"/>
    <x v="6"/>
    <x v="17"/>
    <x v="0"/>
    <x v="7"/>
    <n v="895.79524680073132"/>
    <x v="0"/>
  </r>
  <r>
    <x v="30"/>
    <x v="0"/>
    <x v="145"/>
    <x v="1"/>
    <x v="6"/>
    <x v="17"/>
    <x v="0"/>
    <x v="8"/>
    <n v="1130.6291229850681"/>
    <x v="0"/>
  </r>
  <r>
    <x v="30"/>
    <x v="0"/>
    <x v="145"/>
    <x v="1"/>
    <x v="6"/>
    <x v="17"/>
    <x v="0"/>
    <x v="9"/>
    <n v="0"/>
    <x v="0"/>
  </r>
  <r>
    <x v="30"/>
    <x v="0"/>
    <x v="145"/>
    <x v="1"/>
    <x v="6"/>
    <x v="17"/>
    <x v="0"/>
    <x v="10"/>
    <n v="0"/>
    <x v="0"/>
  </r>
  <r>
    <x v="30"/>
    <x v="0"/>
    <x v="145"/>
    <x v="1"/>
    <x v="6"/>
    <x v="17"/>
    <x v="0"/>
    <x v="11"/>
    <n v="0"/>
    <x v="0"/>
  </r>
  <r>
    <x v="30"/>
    <x v="0"/>
    <x v="146"/>
    <x v="1"/>
    <x v="6"/>
    <x v="17"/>
    <x v="0"/>
    <x v="0"/>
    <n v="0"/>
    <x v="0"/>
  </r>
  <r>
    <x v="30"/>
    <x v="0"/>
    <x v="146"/>
    <x v="1"/>
    <x v="6"/>
    <x v="17"/>
    <x v="0"/>
    <x v="1"/>
    <n v="0"/>
    <x v="0"/>
  </r>
  <r>
    <x v="30"/>
    <x v="0"/>
    <x v="146"/>
    <x v="1"/>
    <x v="6"/>
    <x v="17"/>
    <x v="0"/>
    <x v="2"/>
    <n v="860.59942351203085"/>
    <x v="0"/>
  </r>
  <r>
    <x v="30"/>
    <x v="0"/>
    <x v="146"/>
    <x v="1"/>
    <x v="6"/>
    <x v="17"/>
    <x v="0"/>
    <x v="3"/>
    <n v="0"/>
    <x v="0"/>
  </r>
  <r>
    <x v="30"/>
    <x v="0"/>
    <x v="146"/>
    <x v="1"/>
    <x v="6"/>
    <x v="17"/>
    <x v="0"/>
    <x v="4"/>
    <n v="0"/>
    <x v="0"/>
  </r>
  <r>
    <x v="30"/>
    <x v="0"/>
    <x v="146"/>
    <x v="1"/>
    <x v="6"/>
    <x v="17"/>
    <x v="0"/>
    <x v="5"/>
    <n v="0"/>
    <x v="0"/>
  </r>
  <r>
    <x v="30"/>
    <x v="0"/>
    <x v="146"/>
    <x v="1"/>
    <x v="6"/>
    <x v="17"/>
    <x v="0"/>
    <x v="6"/>
    <n v="0"/>
    <x v="0"/>
  </r>
  <r>
    <x v="30"/>
    <x v="0"/>
    <x v="146"/>
    <x v="1"/>
    <x v="6"/>
    <x v="17"/>
    <x v="0"/>
    <x v="7"/>
    <n v="0"/>
    <x v="0"/>
  </r>
  <r>
    <x v="30"/>
    <x v="0"/>
    <x v="146"/>
    <x v="1"/>
    <x v="6"/>
    <x v="17"/>
    <x v="0"/>
    <x v="8"/>
    <n v="0"/>
    <x v="0"/>
  </r>
  <r>
    <x v="30"/>
    <x v="0"/>
    <x v="146"/>
    <x v="1"/>
    <x v="6"/>
    <x v="17"/>
    <x v="0"/>
    <x v="9"/>
    <n v="0"/>
    <x v="0"/>
  </r>
  <r>
    <x v="30"/>
    <x v="0"/>
    <x v="146"/>
    <x v="1"/>
    <x v="6"/>
    <x v="17"/>
    <x v="0"/>
    <x v="10"/>
    <n v="0"/>
    <x v="0"/>
  </r>
  <r>
    <x v="30"/>
    <x v="0"/>
    <x v="146"/>
    <x v="1"/>
    <x v="6"/>
    <x v="17"/>
    <x v="0"/>
    <x v="11"/>
    <n v="0"/>
    <x v="0"/>
  </r>
  <r>
    <x v="30"/>
    <x v="1"/>
    <x v="147"/>
    <x v="1"/>
    <x v="6"/>
    <x v="17"/>
    <x v="0"/>
    <x v="0"/>
    <n v="0"/>
    <x v="0"/>
  </r>
  <r>
    <x v="30"/>
    <x v="1"/>
    <x v="147"/>
    <x v="1"/>
    <x v="6"/>
    <x v="17"/>
    <x v="0"/>
    <x v="1"/>
    <n v="0"/>
    <x v="0"/>
  </r>
  <r>
    <x v="30"/>
    <x v="1"/>
    <x v="147"/>
    <x v="1"/>
    <x v="6"/>
    <x v="17"/>
    <x v="0"/>
    <x v="2"/>
    <n v="0"/>
    <x v="0"/>
  </r>
  <r>
    <x v="30"/>
    <x v="1"/>
    <x v="147"/>
    <x v="1"/>
    <x v="6"/>
    <x v="17"/>
    <x v="0"/>
    <x v="3"/>
    <n v="0"/>
    <x v="0"/>
  </r>
  <r>
    <x v="30"/>
    <x v="1"/>
    <x v="147"/>
    <x v="1"/>
    <x v="6"/>
    <x v="17"/>
    <x v="0"/>
    <x v="4"/>
    <n v="559.42497930012632"/>
    <x v="0"/>
  </r>
  <r>
    <x v="30"/>
    <x v="1"/>
    <x v="147"/>
    <x v="1"/>
    <x v="6"/>
    <x v="17"/>
    <x v="0"/>
    <x v="5"/>
    <n v="0"/>
    <x v="0"/>
  </r>
  <r>
    <x v="30"/>
    <x v="1"/>
    <x v="147"/>
    <x v="1"/>
    <x v="6"/>
    <x v="17"/>
    <x v="0"/>
    <x v="6"/>
    <n v="0"/>
    <x v="0"/>
  </r>
  <r>
    <x v="30"/>
    <x v="1"/>
    <x v="147"/>
    <x v="1"/>
    <x v="6"/>
    <x v="17"/>
    <x v="0"/>
    <x v="7"/>
    <n v="0"/>
    <x v="0"/>
  </r>
  <r>
    <x v="30"/>
    <x v="1"/>
    <x v="147"/>
    <x v="1"/>
    <x v="6"/>
    <x v="17"/>
    <x v="0"/>
    <x v="8"/>
    <n v="0"/>
    <x v="0"/>
  </r>
  <r>
    <x v="30"/>
    <x v="1"/>
    <x v="147"/>
    <x v="1"/>
    <x v="6"/>
    <x v="17"/>
    <x v="0"/>
    <x v="9"/>
    <n v="0"/>
    <x v="0"/>
  </r>
  <r>
    <x v="30"/>
    <x v="1"/>
    <x v="147"/>
    <x v="1"/>
    <x v="6"/>
    <x v="17"/>
    <x v="0"/>
    <x v="10"/>
    <n v="0"/>
    <x v="0"/>
  </r>
  <r>
    <x v="30"/>
    <x v="1"/>
    <x v="147"/>
    <x v="1"/>
    <x v="6"/>
    <x v="17"/>
    <x v="0"/>
    <x v="11"/>
    <n v="0"/>
    <x v="0"/>
  </r>
  <r>
    <x v="30"/>
    <x v="1"/>
    <x v="148"/>
    <x v="0"/>
    <x v="4"/>
    <x v="15"/>
    <x v="5"/>
    <x v="0"/>
    <n v="0"/>
    <x v="0"/>
  </r>
  <r>
    <x v="30"/>
    <x v="1"/>
    <x v="148"/>
    <x v="0"/>
    <x v="4"/>
    <x v="15"/>
    <x v="5"/>
    <x v="1"/>
    <n v="0"/>
    <x v="0"/>
  </r>
  <r>
    <x v="30"/>
    <x v="1"/>
    <x v="148"/>
    <x v="0"/>
    <x v="4"/>
    <x v="15"/>
    <x v="5"/>
    <x v="2"/>
    <n v="0"/>
    <x v="0"/>
  </r>
  <r>
    <x v="30"/>
    <x v="1"/>
    <x v="148"/>
    <x v="0"/>
    <x v="4"/>
    <x v="15"/>
    <x v="5"/>
    <x v="3"/>
    <n v="80.654904493094762"/>
    <x v="0"/>
  </r>
  <r>
    <x v="30"/>
    <x v="1"/>
    <x v="148"/>
    <x v="0"/>
    <x v="4"/>
    <x v="15"/>
    <x v="5"/>
    <x v="4"/>
    <n v="438.2631716564257"/>
    <x v="0"/>
  </r>
  <r>
    <x v="30"/>
    <x v="1"/>
    <x v="148"/>
    <x v="0"/>
    <x v="4"/>
    <x v="15"/>
    <x v="5"/>
    <x v="5"/>
    <n v="49.883379405666894"/>
    <x v="0"/>
  </r>
  <r>
    <x v="30"/>
    <x v="1"/>
    <x v="148"/>
    <x v="0"/>
    <x v="4"/>
    <x v="15"/>
    <x v="5"/>
    <x v="6"/>
    <n v="0"/>
    <x v="0"/>
  </r>
  <r>
    <x v="30"/>
    <x v="1"/>
    <x v="148"/>
    <x v="0"/>
    <x v="4"/>
    <x v="15"/>
    <x v="5"/>
    <x v="7"/>
    <n v="0"/>
    <x v="0"/>
  </r>
  <r>
    <x v="30"/>
    <x v="1"/>
    <x v="148"/>
    <x v="0"/>
    <x v="4"/>
    <x v="15"/>
    <x v="5"/>
    <x v="8"/>
    <n v="0"/>
    <x v="0"/>
  </r>
  <r>
    <x v="30"/>
    <x v="1"/>
    <x v="148"/>
    <x v="0"/>
    <x v="4"/>
    <x v="15"/>
    <x v="5"/>
    <x v="9"/>
    <n v="0"/>
    <x v="0"/>
  </r>
  <r>
    <x v="30"/>
    <x v="1"/>
    <x v="148"/>
    <x v="0"/>
    <x v="4"/>
    <x v="15"/>
    <x v="5"/>
    <x v="10"/>
    <n v="0"/>
    <x v="0"/>
  </r>
  <r>
    <x v="30"/>
    <x v="1"/>
    <x v="148"/>
    <x v="0"/>
    <x v="4"/>
    <x v="15"/>
    <x v="5"/>
    <x v="11"/>
    <n v="0"/>
    <x v="0"/>
  </r>
  <r>
    <x v="30"/>
    <x v="1"/>
    <x v="149"/>
    <x v="0"/>
    <x v="3"/>
    <x v="18"/>
    <x v="0"/>
    <x v="0"/>
    <n v="0"/>
    <x v="0"/>
  </r>
  <r>
    <x v="30"/>
    <x v="1"/>
    <x v="149"/>
    <x v="0"/>
    <x v="3"/>
    <x v="18"/>
    <x v="0"/>
    <x v="1"/>
    <n v="0"/>
    <x v="0"/>
  </r>
  <r>
    <x v="30"/>
    <x v="1"/>
    <x v="149"/>
    <x v="0"/>
    <x v="3"/>
    <x v="18"/>
    <x v="0"/>
    <x v="2"/>
    <n v="135.84143481450104"/>
    <x v="0"/>
  </r>
  <r>
    <x v="30"/>
    <x v="1"/>
    <x v="149"/>
    <x v="0"/>
    <x v="3"/>
    <x v="18"/>
    <x v="0"/>
    <x v="3"/>
    <n v="0"/>
    <x v="0"/>
  </r>
  <r>
    <x v="30"/>
    <x v="1"/>
    <x v="149"/>
    <x v="0"/>
    <x v="3"/>
    <x v="18"/>
    <x v="0"/>
    <x v="4"/>
    <n v="0"/>
    <x v="0"/>
  </r>
  <r>
    <x v="30"/>
    <x v="1"/>
    <x v="149"/>
    <x v="0"/>
    <x v="3"/>
    <x v="18"/>
    <x v="0"/>
    <x v="5"/>
    <n v="0"/>
    <x v="0"/>
  </r>
  <r>
    <x v="30"/>
    <x v="1"/>
    <x v="149"/>
    <x v="0"/>
    <x v="3"/>
    <x v="18"/>
    <x v="0"/>
    <x v="6"/>
    <n v="139.97930799095525"/>
    <x v="0"/>
  </r>
  <r>
    <x v="30"/>
    <x v="1"/>
    <x v="149"/>
    <x v="0"/>
    <x v="3"/>
    <x v="18"/>
    <x v="0"/>
    <x v="7"/>
    <n v="0"/>
    <x v="0"/>
  </r>
  <r>
    <x v="30"/>
    <x v="1"/>
    <x v="149"/>
    <x v="0"/>
    <x v="3"/>
    <x v="18"/>
    <x v="0"/>
    <x v="8"/>
    <n v="0"/>
    <x v="0"/>
  </r>
  <r>
    <x v="30"/>
    <x v="1"/>
    <x v="149"/>
    <x v="0"/>
    <x v="3"/>
    <x v="18"/>
    <x v="0"/>
    <x v="9"/>
    <n v="0"/>
    <x v="0"/>
  </r>
  <r>
    <x v="30"/>
    <x v="1"/>
    <x v="149"/>
    <x v="0"/>
    <x v="3"/>
    <x v="18"/>
    <x v="0"/>
    <x v="10"/>
    <n v="0"/>
    <x v="0"/>
  </r>
  <r>
    <x v="30"/>
    <x v="1"/>
    <x v="149"/>
    <x v="0"/>
    <x v="3"/>
    <x v="18"/>
    <x v="0"/>
    <x v="11"/>
    <n v="0"/>
    <x v="0"/>
  </r>
  <r>
    <x v="30"/>
    <x v="0"/>
    <x v="150"/>
    <x v="0"/>
    <x v="3"/>
    <x v="19"/>
    <x v="0"/>
    <x v="0"/>
    <n v="0"/>
    <x v="0"/>
  </r>
  <r>
    <x v="30"/>
    <x v="0"/>
    <x v="150"/>
    <x v="0"/>
    <x v="3"/>
    <x v="19"/>
    <x v="0"/>
    <x v="1"/>
    <n v="0"/>
    <x v="0"/>
  </r>
  <r>
    <x v="30"/>
    <x v="0"/>
    <x v="150"/>
    <x v="0"/>
    <x v="3"/>
    <x v="19"/>
    <x v="0"/>
    <x v="2"/>
    <n v="0"/>
    <x v="0"/>
  </r>
  <r>
    <x v="30"/>
    <x v="0"/>
    <x v="150"/>
    <x v="0"/>
    <x v="3"/>
    <x v="19"/>
    <x v="0"/>
    <x v="3"/>
    <n v="0"/>
    <x v="0"/>
  </r>
  <r>
    <x v="30"/>
    <x v="0"/>
    <x v="150"/>
    <x v="0"/>
    <x v="3"/>
    <x v="19"/>
    <x v="0"/>
    <x v="4"/>
    <n v="0"/>
    <x v="0"/>
  </r>
  <r>
    <x v="30"/>
    <x v="0"/>
    <x v="150"/>
    <x v="0"/>
    <x v="3"/>
    <x v="19"/>
    <x v="0"/>
    <x v="5"/>
    <n v="0"/>
    <x v="0"/>
  </r>
  <r>
    <x v="30"/>
    <x v="0"/>
    <x v="150"/>
    <x v="0"/>
    <x v="3"/>
    <x v="19"/>
    <x v="0"/>
    <x v="6"/>
    <n v="0"/>
    <x v="0"/>
  </r>
  <r>
    <x v="30"/>
    <x v="0"/>
    <x v="150"/>
    <x v="0"/>
    <x v="3"/>
    <x v="19"/>
    <x v="0"/>
    <x v="7"/>
    <n v="0"/>
    <x v="0"/>
  </r>
  <r>
    <x v="30"/>
    <x v="0"/>
    <x v="150"/>
    <x v="0"/>
    <x v="3"/>
    <x v="19"/>
    <x v="0"/>
    <x v="8"/>
    <n v="0"/>
    <x v="0"/>
  </r>
  <r>
    <x v="30"/>
    <x v="0"/>
    <x v="150"/>
    <x v="0"/>
    <x v="3"/>
    <x v="19"/>
    <x v="0"/>
    <x v="9"/>
    <n v="0"/>
    <x v="0"/>
  </r>
  <r>
    <x v="30"/>
    <x v="0"/>
    <x v="150"/>
    <x v="0"/>
    <x v="3"/>
    <x v="19"/>
    <x v="0"/>
    <x v="10"/>
    <n v="0"/>
    <x v="0"/>
  </r>
  <r>
    <x v="30"/>
    <x v="0"/>
    <x v="150"/>
    <x v="0"/>
    <x v="3"/>
    <x v="19"/>
    <x v="0"/>
    <x v="11"/>
    <n v="0"/>
    <x v="0"/>
  </r>
  <r>
    <x v="30"/>
    <x v="0"/>
    <x v="151"/>
    <x v="2"/>
    <x v="1"/>
    <x v="19"/>
    <x v="0"/>
    <x v="0"/>
    <n v="2009.014416458331"/>
    <x v="0"/>
  </r>
  <r>
    <x v="30"/>
    <x v="0"/>
    <x v="151"/>
    <x v="2"/>
    <x v="1"/>
    <x v="19"/>
    <x v="0"/>
    <x v="1"/>
    <n v="0"/>
    <x v="0"/>
  </r>
  <r>
    <x v="30"/>
    <x v="0"/>
    <x v="151"/>
    <x v="2"/>
    <x v="1"/>
    <x v="19"/>
    <x v="0"/>
    <x v="2"/>
    <n v="1272.8575413511307"/>
    <x v="0"/>
  </r>
  <r>
    <x v="30"/>
    <x v="0"/>
    <x v="151"/>
    <x v="2"/>
    <x v="1"/>
    <x v="19"/>
    <x v="0"/>
    <x v="3"/>
    <n v="134.27208532089071"/>
    <x v="0"/>
  </r>
  <r>
    <x v="30"/>
    <x v="0"/>
    <x v="151"/>
    <x v="2"/>
    <x v="1"/>
    <x v="19"/>
    <x v="0"/>
    <x v="4"/>
    <n v="1355.8090382185035"/>
    <x v="0"/>
  </r>
  <r>
    <x v="30"/>
    <x v="0"/>
    <x v="151"/>
    <x v="2"/>
    <x v="1"/>
    <x v="19"/>
    <x v="0"/>
    <x v="5"/>
    <n v="1348.3068417415341"/>
    <x v="0"/>
  </r>
  <r>
    <x v="30"/>
    <x v="0"/>
    <x v="151"/>
    <x v="2"/>
    <x v="1"/>
    <x v="19"/>
    <x v="0"/>
    <x v="6"/>
    <n v="1332.4000597295108"/>
    <x v="0"/>
  </r>
  <r>
    <x v="30"/>
    <x v="0"/>
    <x v="151"/>
    <x v="2"/>
    <x v="1"/>
    <x v="19"/>
    <x v="0"/>
    <x v="7"/>
    <n v="1348.6525432842241"/>
    <x v="0"/>
  </r>
  <r>
    <x v="30"/>
    <x v="0"/>
    <x v="151"/>
    <x v="2"/>
    <x v="1"/>
    <x v="19"/>
    <x v="0"/>
    <x v="8"/>
    <n v="1360.5359475712851"/>
    <x v="0"/>
  </r>
  <r>
    <x v="30"/>
    <x v="0"/>
    <x v="151"/>
    <x v="2"/>
    <x v="1"/>
    <x v="19"/>
    <x v="0"/>
    <x v="9"/>
    <n v="1425.1627600652118"/>
    <x v="0"/>
  </r>
  <r>
    <x v="30"/>
    <x v="0"/>
    <x v="151"/>
    <x v="2"/>
    <x v="1"/>
    <x v="19"/>
    <x v="0"/>
    <x v="10"/>
    <n v="1425.1627600652118"/>
    <x v="0"/>
  </r>
  <r>
    <x v="30"/>
    <x v="0"/>
    <x v="151"/>
    <x v="2"/>
    <x v="1"/>
    <x v="19"/>
    <x v="0"/>
    <x v="11"/>
    <n v="1425.1627600652118"/>
    <x v="0"/>
  </r>
  <r>
    <x v="30"/>
    <x v="0"/>
    <x v="152"/>
    <x v="2"/>
    <x v="1"/>
    <x v="19"/>
    <x v="0"/>
    <x v="0"/>
    <n v="0"/>
    <x v="0"/>
  </r>
  <r>
    <x v="30"/>
    <x v="0"/>
    <x v="152"/>
    <x v="2"/>
    <x v="1"/>
    <x v="19"/>
    <x v="0"/>
    <x v="1"/>
    <n v="0"/>
    <x v="0"/>
  </r>
  <r>
    <x v="30"/>
    <x v="0"/>
    <x v="152"/>
    <x v="2"/>
    <x v="1"/>
    <x v="19"/>
    <x v="0"/>
    <x v="2"/>
    <n v="0"/>
    <x v="0"/>
  </r>
  <r>
    <x v="30"/>
    <x v="0"/>
    <x v="152"/>
    <x v="2"/>
    <x v="1"/>
    <x v="19"/>
    <x v="0"/>
    <x v="3"/>
    <n v="0"/>
    <x v="0"/>
  </r>
  <r>
    <x v="30"/>
    <x v="0"/>
    <x v="152"/>
    <x v="2"/>
    <x v="1"/>
    <x v="19"/>
    <x v="0"/>
    <x v="4"/>
    <n v="1349.4007931319998"/>
    <x v="0"/>
  </r>
  <r>
    <x v="30"/>
    <x v="0"/>
    <x v="152"/>
    <x v="2"/>
    <x v="1"/>
    <x v="19"/>
    <x v="0"/>
    <x v="5"/>
    <n v="671.23034727021422"/>
    <x v="0"/>
  </r>
  <r>
    <x v="30"/>
    <x v="0"/>
    <x v="152"/>
    <x v="2"/>
    <x v="1"/>
    <x v="19"/>
    <x v="0"/>
    <x v="6"/>
    <n v="435.50919407824568"/>
    <x v="0"/>
  </r>
  <r>
    <x v="30"/>
    <x v="0"/>
    <x v="152"/>
    <x v="2"/>
    <x v="1"/>
    <x v="19"/>
    <x v="0"/>
    <x v="7"/>
    <n v="366.03398214861812"/>
    <x v="0"/>
  </r>
  <r>
    <x v="30"/>
    <x v="0"/>
    <x v="152"/>
    <x v="2"/>
    <x v="1"/>
    <x v="19"/>
    <x v="0"/>
    <x v="8"/>
    <n v="433.21277032206518"/>
    <x v="0"/>
  </r>
  <r>
    <x v="30"/>
    <x v="0"/>
    <x v="152"/>
    <x v="2"/>
    <x v="1"/>
    <x v="19"/>
    <x v="0"/>
    <x v="9"/>
    <n v="0"/>
    <x v="0"/>
  </r>
  <r>
    <x v="30"/>
    <x v="0"/>
    <x v="152"/>
    <x v="2"/>
    <x v="1"/>
    <x v="19"/>
    <x v="0"/>
    <x v="10"/>
    <n v="0"/>
    <x v="0"/>
  </r>
  <r>
    <x v="30"/>
    <x v="0"/>
    <x v="152"/>
    <x v="2"/>
    <x v="1"/>
    <x v="19"/>
    <x v="0"/>
    <x v="11"/>
    <n v="0"/>
    <x v="0"/>
  </r>
  <r>
    <x v="30"/>
    <x v="0"/>
    <x v="153"/>
    <x v="2"/>
    <x v="1"/>
    <x v="19"/>
    <x v="0"/>
    <x v="0"/>
    <n v="0"/>
    <x v="0"/>
  </r>
  <r>
    <x v="30"/>
    <x v="0"/>
    <x v="153"/>
    <x v="2"/>
    <x v="1"/>
    <x v="19"/>
    <x v="0"/>
    <x v="1"/>
    <n v="1800.4369758365854"/>
    <x v="0"/>
  </r>
  <r>
    <x v="30"/>
    <x v="0"/>
    <x v="153"/>
    <x v="2"/>
    <x v="1"/>
    <x v="19"/>
    <x v="0"/>
    <x v="2"/>
    <n v="1363.6833242073292"/>
    <x v="0"/>
  </r>
  <r>
    <x v="30"/>
    <x v="0"/>
    <x v="153"/>
    <x v="2"/>
    <x v="1"/>
    <x v="19"/>
    <x v="0"/>
    <x v="3"/>
    <n v="0"/>
    <x v="0"/>
  </r>
  <r>
    <x v="30"/>
    <x v="0"/>
    <x v="153"/>
    <x v="2"/>
    <x v="1"/>
    <x v="19"/>
    <x v="0"/>
    <x v="4"/>
    <n v="864.28291279905875"/>
    <x v="0"/>
  </r>
  <r>
    <x v="30"/>
    <x v="0"/>
    <x v="153"/>
    <x v="2"/>
    <x v="1"/>
    <x v="19"/>
    <x v="0"/>
    <x v="5"/>
    <n v="0"/>
    <x v="0"/>
  </r>
  <r>
    <x v="30"/>
    <x v="0"/>
    <x v="153"/>
    <x v="2"/>
    <x v="1"/>
    <x v="19"/>
    <x v="0"/>
    <x v="6"/>
    <n v="0"/>
    <x v="0"/>
  </r>
  <r>
    <x v="30"/>
    <x v="0"/>
    <x v="153"/>
    <x v="2"/>
    <x v="1"/>
    <x v="19"/>
    <x v="0"/>
    <x v="7"/>
    <n v="0"/>
    <x v="0"/>
  </r>
  <r>
    <x v="30"/>
    <x v="0"/>
    <x v="153"/>
    <x v="2"/>
    <x v="1"/>
    <x v="19"/>
    <x v="0"/>
    <x v="8"/>
    <n v="0"/>
    <x v="0"/>
  </r>
  <r>
    <x v="30"/>
    <x v="0"/>
    <x v="153"/>
    <x v="2"/>
    <x v="1"/>
    <x v="19"/>
    <x v="0"/>
    <x v="9"/>
    <n v="0"/>
    <x v="0"/>
  </r>
  <r>
    <x v="30"/>
    <x v="0"/>
    <x v="153"/>
    <x v="2"/>
    <x v="1"/>
    <x v="19"/>
    <x v="0"/>
    <x v="10"/>
    <n v="0"/>
    <x v="0"/>
  </r>
  <r>
    <x v="30"/>
    <x v="0"/>
    <x v="153"/>
    <x v="2"/>
    <x v="1"/>
    <x v="19"/>
    <x v="0"/>
    <x v="11"/>
    <n v="0"/>
    <x v="0"/>
  </r>
  <r>
    <x v="30"/>
    <x v="1"/>
    <x v="154"/>
    <x v="2"/>
    <x v="3"/>
    <x v="20"/>
    <x v="0"/>
    <x v="0"/>
    <n v="0"/>
    <x v="0"/>
  </r>
  <r>
    <x v="30"/>
    <x v="1"/>
    <x v="154"/>
    <x v="2"/>
    <x v="3"/>
    <x v="20"/>
    <x v="0"/>
    <x v="1"/>
    <n v="0"/>
    <x v="0"/>
  </r>
  <r>
    <x v="30"/>
    <x v="1"/>
    <x v="154"/>
    <x v="2"/>
    <x v="3"/>
    <x v="20"/>
    <x v="0"/>
    <x v="2"/>
    <n v="0"/>
    <x v="0"/>
  </r>
  <r>
    <x v="30"/>
    <x v="1"/>
    <x v="154"/>
    <x v="2"/>
    <x v="3"/>
    <x v="20"/>
    <x v="0"/>
    <x v="3"/>
    <n v="0"/>
    <x v="0"/>
  </r>
  <r>
    <x v="30"/>
    <x v="1"/>
    <x v="154"/>
    <x v="2"/>
    <x v="3"/>
    <x v="20"/>
    <x v="0"/>
    <x v="4"/>
    <n v="0"/>
    <x v="0"/>
  </r>
  <r>
    <x v="30"/>
    <x v="1"/>
    <x v="154"/>
    <x v="2"/>
    <x v="3"/>
    <x v="20"/>
    <x v="0"/>
    <x v="5"/>
    <n v="0"/>
    <x v="0"/>
  </r>
  <r>
    <x v="30"/>
    <x v="1"/>
    <x v="154"/>
    <x v="2"/>
    <x v="3"/>
    <x v="20"/>
    <x v="0"/>
    <x v="6"/>
    <n v="0"/>
    <x v="0"/>
  </r>
  <r>
    <x v="30"/>
    <x v="1"/>
    <x v="154"/>
    <x v="2"/>
    <x v="3"/>
    <x v="20"/>
    <x v="0"/>
    <x v="7"/>
    <n v="0"/>
    <x v="0"/>
  </r>
  <r>
    <x v="30"/>
    <x v="1"/>
    <x v="154"/>
    <x v="2"/>
    <x v="3"/>
    <x v="20"/>
    <x v="0"/>
    <x v="8"/>
    <n v="0"/>
    <x v="0"/>
  </r>
  <r>
    <x v="30"/>
    <x v="1"/>
    <x v="154"/>
    <x v="2"/>
    <x v="3"/>
    <x v="20"/>
    <x v="0"/>
    <x v="9"/>
    <n v="0"/>
    <x v="0"/>
  </r>
  <r>
    <x v="30"/>
    <x v="1"/>
    <x v="154"/>
    <x v="2"/>
    <x v="3"/>
    <x v="20"/>
    <x v="0"/>
    <x v="10"/>
    <n v="3131.0393971129656"/>
    <x v="0"/>
  </r>
  <r>
    <x v="30"/>
    <x v="1"/>
    <x v="154"/>
    <x v="2"/>
    <x v="3"/>
    <x v="20"/>
    <x v="0"/>
    <x v="11"/>
    <n v="0"/>
    <x v="0"/>
  </r>
  <r>
    <x v="30"/>
    <x v="1"/>
    <x v="155"/>
    <x v="2"/>
    <x v="1"/>
    <x v="8"/>
    <x v="0"/>
    <x v="0"/>
    <n v="0"/>
    <x v="0"/>
  </r>
  <r>
    <x v="30"/>
    <x v="1"/>
    <x v="155"/>
    <x v="2"/>
    <x v="1"/>
    <x v="8"/>
    <x v="0"/>
    <x v="1"/>
    <n v="0"/>
    <x v="0"/>
  </r>
  <r>
    <x v="30"/>
    <x v="1"/>
    <x v="155"/>
    <x v="2"/>
    <x v="1"/>
    <x v="8"/>
    <x v="0"/>
    <x v="2"/>
    <n v="0"/>
    <x v="0"/>
  </r>
  <r>
    <x v="30"/>
    <x v="1"/>
    <x v="155"/>
    <x v="2"/>
    <x v="1"/>
    <x v="8"/>
    <x v="0"/>
    <x v="3"/>
    <n v="2045.1382090111858"/>
    <x v="0"/>
  </r>
  <r>
    <x v="30"/>
    <x v="1"/>
    <x v="155"/>
    <x v="2"/>
    <x v="1"/>
    <x v="8"/>
    <x v="0"/>
    <x v="4"/>
    <n v="122.23820107203557"/>
    <x v="0"/>
  </r>
  <r>
    <x v="30"/>
    <x v="1"/>
    <x v="155"/>
    <x v="2"/>
    <x v="1"/>
    <x v="8"/>
    <x v="0"/>
    <x v="5"/>
    <n v="0"/>
    <x v="0"/>
  </r>
  <r>
    <x v="30"/>
    <x v="1"/>
    <x v="155"/>
    <x v="2"/>
    <x v="1"/>
    <x v="8"/>
    <x v="0"/>
    <x v="6"/>
    <n v="0"/>
    <x v="0"/>
  </r>
  <r>
    <x v="30"/>
    <x v="1"/>
    <x v="155"/>
    <x v="2"/>
    <x v="1"/>
    <x v="8"/>
    <x v="0"/>
    <x v="7"/>
    <n v="101.83890740939886"/>
    <x v="0"/>
  </r>
  <r>
    <x v="30"/>
    <x v="1"/>
    <x v="155"/>
    <x v="2"/>
    <x v="1"/>
    <x v="8"/>
    <x v="0"/>
    <x v="8"/>
    <n v="0"/>
    <x v="0"/>
  </r>
  <r>
    <x v="30"/>
    <x v="1"/>
    <x v="155"/>
    <x v="2"/>
    <x v="1"/>
    <x v="8"/>
    <x v="0"/>
    <x v="9"/>
    <n v="0"/>
    <x v="0"/>
  </r>
  <r>
    <x v="30"/>
    <x v="1"/>
    <x v="155"/>
    <x v="2"/>
    <x v="1"/>
    <x v="8"/>
    <x v="0"/>
    <x v="10"/>
    <n v="0"/>
    <x v="0"/>
  </r>
  <r>
    <x v="30"/>
    <x v="1"/>
    <x v="155"/>
    <x v="2"/>
    <x v="1"/>
    <x v="8"/>
    <x v="0"/>
    <x v="11"/>
    <n v="0"/>
    <x v="0"/>
  </r>
  <r>
    <x v="30"/>
    <x v="1"/>
    <x v="156"/>
    <x v="2"/>
    <x v="1"/>
    <x v="8"/>
    <x v="0"/>
    <x v="0"/>
    <n v="0"/>
    <x v="0"/>
  </r>
  <r>
    <x v="30"/>
    <x v="1"/>
    <x v="156"/>
    <x v="2"/>
    <x v="1"/>
    <x v="8"/>
    <x v="0"/>
    <x v="1"/>
    <n v="0"/>
    <x v="0"/>
  </r>
  <r>
    <x v="30"/>
    <x v="1"/>
    <x v="156"/>
    <x v="2"/>
    <x v="1"/>
    <x v="8"/>
    <x v="0"/>
    <x v="2"/>
    <n v="0"/>
    <x v="0"/>
  </r>
  <r>
    <x v="30"/>
    <x v="1"/>
    <x v="156"/>
    <x v="2"/>
    <x v="1"/>
    <x v="8"/>
    <x v="0"/>
    <x v="3"/>
    <n v="1264.9342804174391"/>
    <x v="0"/>
  </r>
  <r>
    <x v="30"/>
    <x v="1"/>
    <x v="156"/>
    <x v="2"/>
    <x v="1"/>
    <x v="8"/>
    <x v="0"/>
    <x v="4"/>
    <n v="306.26879330631454"/>
    <x v="0"/>
  </r>
  <r>
    <x v="30"/>
    <x v="1"/>
    <x v="156"/>
    <x v="2"/>
    <x v="1"/>
    <x v="8"/>
    <x v="0"/>
    <x v="5"/>
    <n v="1725.6079388389771"/>
    <x v="0"/>
  </r>
  <r>
    <x v="30"/>
    <x v="1"/>
    <x v="156"/>
    <x v="2"/>
    <x v="1"/>
    <x v="8"/>
    <x v="0"/>
    <x v="6"/>
    <n v="0"/>
    <x v="0"/>
  </r>
  <r>
    <x v="30"/>
    <x v="1"/>
    <x v="156"/>
    <x v="2"/>
    <x v="1"/>
    <x v="8"/>
    <x v="0"/>
    <x v="7"/>
    <n v="0"/>
    <x v="0"/>
  </r>
  <r>
    <x v="30"/>
    <x v="1"/>
    <x v="156"/>
    <x v="2"/>
    <x v="1"/>
    <x v="8"/>
    <x v="0"/>
    <x v="8"/>
    <n v="0"/>
    <x v="0"/>
  </r>
  <r>
    <x v="30"/>
    <x v="1"/>
    <x v="156"/>
    <x v="2"/>
    <x v="1"/>
    <x v="8"/>
    <x v="0"/>
    <x v="9"/>
    <n v="0"/>
    <x v="0"/>
  </r>
  <r>
    <x v="30"/>
    <x v="1"/>
    <x v="156"/>
    <x v="2"/>
    <x v="1"/>
    <x v="8"/>
    <x v="0"/>
    <x v="10"/>
    <n v="0"/>
    <x v="0"/>
  </r>
  <r>
    <x v="30"/>
    <x v="1"/>
    <x v="156"/>
    <x v="2"/>
    <x v="1"/>
    <x v="8"/>
    <x v="0"/>
    <x v="11"/>
    <n v="0"/>
    <x v="0"/>
  </r>
  <r>
    <x v="30"/>
    <x v="1"/>
    <x v="157"/>
    <x v="2"/>
    <x v="3"/>
    <x v="9"/>
    <x v="0"/>
    <x v="0"/>
    <n v="0"/>
    <x v="0"/>
  </r>
  <r>
    <x v="30"/>
    <x v="1"/>
    <x v="157"/>
    <x v="2"/>
    <x v="3"/>
    <x v="9"/>
    <x v="0"/>
    <x v="1"/>
    <n v="0"/>
    <x v="0"/>
  </r>
  <r>
    <x v="30"/>
    <x v="1"/>
    <x v="157"/>
    <x v="2"/>
    <x v="3"/>
    <x v="9"/>
    <x v="0"/>
    <x v="2"/>
    <n v="0"/>
    <x v="0"/>
  </r>
  <r>
    <x v="30"/>
    <x v="1"/>
    <x v="157"/>
    <x v="2"/>
    <x v="3"/>
    <x v="9"/>
    <x v="0"/>
    <x v="3"/>
    <n v="0"/>
    <x v="0"/>
  </r>
  <r>
    <x v="30"/>
    <x v="1"/>
    <x v="157"/>
    <x v="2"/>
    <x v="3"/>
    <x v="9"/>
    <x v="0"/>
    <x v="4"/>
    <n v="102.70623610929533"/>
    <x v="0"/>
  </r>
  <r>
    <x v="30"/>
    <x v="1"/>
    <x v="157"/>
    <x v="2"/>
    <x v="3"/>
    <x v="9"/>
    <x v="0"/>
    <x v="5"/>
    <n v="0"/>
    <x v="0"/>
  </r>
  <r>
    <x v="30"/>
    <x v="1"/>
    <x v="157"/>
    <x v="2"/>
    <x v="3"/>
    <x v="9"/>
    <x v="0"/>
    <x v="6"/>
    <n v="0"/>
    <x v="0"/>
  </r>
  <r>
    <x v="30"/>
    <x v="1"/>
    <x v="157"/>
    <x v="2"/>
    <x v="3"/>
    <x v="9"/>
    <x v="0"/>
    <x v="7"/>
    <n v="0"/>
    <x v="0"/>
  </r>
  <r>
    <x v="30"/>
    <x v="1"/>
    <x v="157"/>
    <x v="2"/>
    <x v="3"/>
    <x v="9"/>
    <x v="0"/>
    <x v="8"/>
    <n v="0"/>
    <x v="0"/>
  </r>
  <r>
    <x v="30"/>
    <x v="1"/>
    <x v="157"/>
    <x v="2"/>
    <x v="3"/>
    <x v="9"/>
    <x v="0"/>
    <x v="9"/>
    <n v="0"/>
    <x v="0"/>
  </r>
  <r>
    <x v="30"/>
    <x v="1"/>
    <x v="157"/>
    <x v="2"/>
    <x v="3"/>
    <x v="9"/>
    <x v="0"/>
    <x v="10"/>
    <n v="0"/>
    <x v="0"/>
  </r>
  <r>
    <x v="30"/>
    <x v="1"/>
    <x v="157"/>
    <x v="2"/>
    <x v="3"/>
    <x v="9"/>
    <x v="0"/>
    <x v="11"/>
    <n v="0"/>
    <x v="0"/>
  </r>
  <r>
    <x v="30"/>
    <x v="1"/>
    <x v="158"/>
    <x v="2"/>
    <x v="2"/>
    <x v="3"/>
    <x v="0"/>
    <x v="0"/>
    <n v="0"/>
    <x v="0"/>
  </r>
  <r>
    <x v="30"/>
    <x v="1"/>
    <x v="158"/>
    <x v="2"/>
    <x v="2"/>
    <x v="3"/>
    <x v="0"/>
    <x v="1"/>
    <n v="0"/>
    <x v="0"/>
  </r>
  <r>
    <x v="30"/>
    <x v="1"/>
    <x v="158"/>
    <x v="2"/>
    <x v="2"/>
    <x v="3"/>
    <x v="0"/>
    <x v="2"/>
    <n v="0"/>
    <x v="0"/>
  </r>
  <r>
    <x v="30"/>
    <x v="1"/>
    <x v="158"/>
    <x v="2"/>
    <x v="2"/>
    <x v="3"/>
    <x v="0"/>
    <x v="3"/>
    <n v="0"/>
    <x v="0"/>
  </r>
  <r>
    <x v="30"/>
    <x v="1"/>
    <x v="158"/>
    <x v="2"/>
    <x v="2"/>
    <x v="3"/>
    <x v="0"/>
    <x v="4"/>
    <n v="129.64657689458318"/>
    <x v="0"/>
  </r>
  <r>
    <x v="30"/>
    <x v="1"/>
    <x v="158"/>
    <x v="2"/>
    <x v="2"/>
    <x v="3"/>
    <x v="0"/>
    <x v="5"/>
    <n v="0"/>
    <x v="0"/>
  </r>
  <r>
    <x v="30"/>
    <x v="1"/>
    <x v="158"/>
    <x v="2"/>
    <x v="2"/>
    <x v="3"/>
    <x v="0"/>
    <x v="6"/>
    <n v="0"/>
    <x v="0"/>
  </r>
  <r>
    <x v="30"/>
    <x v="1"/>
    <x v="158"/>
    <x v="2"/>
    <x v="2"/>
    <x v="3"/>
    <x v="0"/>
    <x v="7"/>
    <n v="0"/>
    <x v="0"/>
  </r>
  <r>
    <x v="30"/>
    <x v="1"/>
    <x v="158"/>
    <x v="2"/>
    <x v="2"/>
    <x v="3"/>
    <x v="0"/>
    <x v="8"/>
    <n v="0"/>
    <x v="0"/>
  </r>
  <r>
    <x v="30"/>
    <x v="1"/>
    <x v="158"/>
    <x v="2"/>
    <x v="2"/>
    <x v="3"/>
    <x v="0"/>
    <x v="9"/>
    <n v="0"/>
    <x v="0"/>
  </r>
  <r>
    <x v="30"/>
    <x v="1"/>
    <x v="158"/>
    <x v="2"/>
    <x v="2"/>
    <x v="3"/>
    <x v="0"/>
    <x v="10"/>
    <n v="0"/>
    <x v="0"/>
  </r>
  <r>
    <x v="30"/>
    <x v="1"/>
    <x v="158"/>
    <x v="2"/>
    <x v="2"/>
    <x v="3"/>
    <x v="0"/>
    <x v="11"/>
    <n v="0"/>
    <x v="0"/>
  </r>
  <r>
    <x v="30"/>
    <x v="1"/>
    <x v="159"/>
    <x v="0"/>
    <x v="4"/>
    <x v="14"/>
    <x v="0"/>
    <x v="0"/>
    <n v="0"/>
    <x v="0"/>
  </r>
  <r>
    <x v="30"/>
    <x v="1"/>
    <x v="159"/>
    <x v="0"/>
    <x v="4"/>
    <x v="14"/>
    <x v="0"/>
    <x v="1"/>
    <n v="0"/>
    <x v="0"/>
  </r>
  <r>
    <x v="30"/>
    <x v="1"/>
    <x v="159"/>
    <x v="0"/>
    <x v="4"/>
    <x v="14"/>
    <x v="0"/>
    <x v="2"/>
    <n v="0"/>
    <x v="0"/>
  </r>
  <r>
    <x v="30"/>
    <x v="1"/>
    <x v="159"/>
    <x v="0"/>
    <x v="4"/>
    <x v="14"/>
    <x v="0"/>
    <x v="3"/>
    <n v="0"/>
    <x v="0"/>
  </r>
  <r>
    <x v="30"/>
    <x v="1"/>
    <x v="159"/>
    <x v="0"/>
    <x v="4"/>
    <x v="14"/>
    <x v="0"/>
    <x v="4"/>
    <n v="0"/>
    <x v="0"/>
  </r>
  <r>
    <x v="30"/>
    <x v="1"/>
    <x v="159"/>
    <x v="0"/>
    <x v="4"/>
    <x v="14"/>
    <x v="0"/>
    <x v="5"/>
    <n v="0"/>
    <x v="0"/>
  </r>
  <r>
    <x v="30"/>
    <x v="1"/>
    <x v="159"/>
    <x v="0"/>
    <x v="4"/>
    <x v="14"/>
    <x v="0"/>
    <x v="6"/>
    <n v="0"/>
    <x v="0"/>
  </r>
  <r>
    <x v="30"/>
    <x v="1"/>
    <x v="159"/>
    <x v="0"/>
    <x v="4"/>
    <x v="14"/>
    <x v="0"/>
    <x v="7"/>
    <n v="1075.384449940854"/>
    <x v="0"/>
  </r>
  <r>
    <x v="30"/>
    <x v="1"/>
    <x v="159"/>
    <x v="0"/>
    <x v="4"/>
    <x v="14"/>
    <x v="0"/>
    <x v="8"/>
    <n v="0"/>
    <x v="0"/>
  </r>
  <r>
    <x v="30"/>
    <x v="1"/>
    <x v="159"/>
    <x v="0"/>
    <x v="4"/>
    <x v="14"/>
    <x v="0"/>
    <x v="9"/>
    <n v="0"/>
    <x v="0"/>
  </r>
  <r>
    <x v="30"/>
    <x v="1"/>
    <x v="159"/>
    <x v="0"/>
    <x v="4"/>
    <x v="14"/>
    <x v="0"/>
    <x v="10"/>
    <n v="0"/>
    <x v="0"/>
  </r>
  <r>
    <x v="30"/>
    <x v="1"/>
    <x v="159"/>
    <x v="0"/>
    <x v="4"/>
    <x v="14"/>
    <x v="0"/>
    <x v="11"/>
    <n v="0"/>
    <x v="0"/>
  </r>
  <r>
    <x v="30"/>
    <x v="1"/>
    <x v="160"/>
    <x v="0"/>
    <x v="1"/>
    <x v="21"/>
    <x v="0"/>
    <x v="0"/>
    <n v="0"/>
    <x v="0"/>
  </r>
  <r>
    <x v="30"/>
    <x v="1"/>
    <x v="160"/>
    <x v="0"/>
    <x v="1"/>
    <x v="21"/>
    <x v="0"/>
    <x v="1"/>
    <n v="0"/>
    <x v="0"/>
  </r>
  <r>
    <x v="30"/>
    <x v="1"/>
    <x v="160"/>
    <x v="0"/>
    <x v="1"/>
    <x v="21"/>
    <x v="0"/>
    <x v="2"/>
    <n v="0"/>
    <x v="0"/>
  </r>
  <r>
    <x v="30"/>
    <x v="1"/>
    <x v="160"/>
    <x v="0"/>
    <x v="1"/>
    <x v="21"/>
    <x v="0"/>
    <x v="3"/>
    <n v="0"/>
    <x v="0"/>
  </r>
  <r>
    <x v="30"/>
    <x v="1"/>
    <x v="160"/>
    <x v="0"/>
    <x v="1"/>
    <x v="21"/>
    <x v="0"/>
    <x v="4"/>
    <n v="0"/>
    <x v="0"/>
  </r>
  <r>
    <x v="30"/>
    <x v="1"/>
    <x v="160"/>
    <x v="0"/>
    <x v="1"/>
    <x v="21"/>
    <x v="0"/>
    <x v="5"/>
    <n v="0"/>
    <x v="0"/>
  </r>
  <r>
    <x v="30"/>
    <x v="1"/>
    <x v="160"/>
    <x v="0"/>
    <x v="1"/>
    <x v="21"/>
    <x v="0"/>
    <x v="6"/>
    <n v="0"/>
    <x v="0"/>
  </r>
  <r>
    <x v="30"/>
    <x v="1"/>
    <x v="160"/>
    <x v="0"/>
    <x v="1"/>
    <x v="21"/>
    <x v="0"/>
    <x v="7"/>
    <n v="0"/>
    <x v="0"/>
  </r>
  <r>
    <x v="30"/>
    <x v="1"/>
    <x v="160"/>
    <x v="0"/>
    <x v="1"/>
    <x v="21"/>
    <x v="0"/>
    <x v="8"/>
    <n v="0"/>
    <x v="0"/>
  </r>
  <r>
    <x v="30"/>
    <x v="1"/>
    <x v="160"/>
    <x v="0"/>
    <x v="1"/>
    <x v="21"/>
    <x v="0"/>
    <x v="9"/>
    <n v="0"/>
    <x v="0"/>
  </r>
  <r>
    <x v="30"/>
    <x v="1"/>
    <x v="160"/>
    <x v="0"/>
    <x v="1"/>
    <x v="21"/>
    <x v="0"/>
    <x v="10"/>
    <n v="0"/>
    <x v="0"/>
  </r>
  <r>
    <x v="30"/>
    <x v="1"/>
    <x v="160"/>
    <x v="0"/>
    <x v="1"/>
    <x v="21"/>
    <x v="0"/>
    <x v="11"/>
    <n v="0"/>
    <x v="0"/>
  </r>
  <r>
    <x v="53"/>
    <x v="0"/>
    <x v="161"/>
    <x v="2"/>
    <x v="0"/>
    <x v="0"/>
    <x v="0"/>
    <x v="0"/>
    <n v="799.46254914701706"/>
    <x v="0"/>
  </r>
  <r>
    <x v="53"/>
    <x v="0"/>
    <x v="161"/>
    <x v="2"/>
    <x v="0"/>
    <x v="0"/>
    <x v="0"/>
    <x v="1"/>
    <n v="753.45013700905088"/>
    <x v="0"/>
  </r>
  <r>
    <x v="53"/>
    <x v="0"/>
    <x v="161"/>
    <x v="2"/>
    <x v="0"/>
    <x v="0"/>
    <x v="0"/>
    <x v="2"/>
    <n v="727.3997086566178"/>
    <x v="0"/>
  </r>
  <r>
    <x v="53"/>
    <x v="0"/>
    <x v="161"/>
    <x v="2"/>
    <x v="0"/>
    <x v="0"/>
    <x v="0"/>
    <x v="3"/>
    <n v="733.30139354677442"/>
    <x v="0"/>
  </r>
  <r>
    <x v="53"/>
    <x v="0"/>
    <x v="161"/>
    <x v="2"/>
    <x v="0"/>
    <x v="0"/>
    <x v="0"/>
    <x v="4"/>
    <n v="3490.7308144855538"/>
    <x v="0"/>
  </r>
  <r>
    <x v="53"/>
    <x v="0"/>
    <x v="161"/>
    <x v="2"/>
    <x v="0"/>
    <x v="0"/>
    <x v="0"/>
    <x v="5"/>
    <n v="807.42052522460256"/>
    <x v="0"/>
  </r>
  <r>
    <x v="53"/>
    <x v="0"/>
    <x v="161"/>
    <x v="2"/>
    <x v="0"/>
    <x v="0"/>
    <x v="0"/>
    <x v="6"/>
    <n v="774.24804812492005"/>
    <x v="0"/>
  </r>
  <r>
    <x v="53"/>
    <x v="0"/>
    <x v="161"/>
    <x v="2"/>
    <x v="0"/>
    <x v="0"/>
    <x v="0"/>
    <x v="7"/>
    <n v="851.05925368319174"/>
    <x v="0"/>
  </r>
  <r>
    <x v="53"/>
    <x v="0"/>
    <x v="161"/>
    <x v="2"/>
    <x v="0"/>
    <x v="0"/>
    <x v="0"/>
    <x v="8"/>
    <n v="1238.6737348981333"/>
    <x v="0"/>
  </r>
  <r>
    <x v="53"/>
    <x v="0"/>
    <x v="161"/>
    <x v="2"/>
    <x v="0"/>
    <x v="0"/>
    <x v="0"/>
    <x v="9"/>
    <n v="761.1664741257382"/>
    <x v="0"/>
  </r>
  <r>
    <x v="53"/>
    <x v="0"/>
    <x v="161"/>
    <x v="2"/>
    <x v="0"/>
    <x v="0"/>
    <x v="0"/>
    <x v="10"/>
    <n v="761.1664741257382"/>
    <x v="0"/>
  </r>
  <r>
    <x v="53"/>
    <x v="0"/>
    <x v="161"/>
    <x v="2"/>
    <x v="0"/>
    <x v="0"/>
    <x v="0"/>
    <x v="11"/>
    <n v="1085.0671014132863"/>
    <x v="0"/>
  </r>
  <r>
    <x v="30"/>
    <x v="1"/>
    <x v="162"/>
    <x v="2"/>
    <x v="3"/>
    <x v="22"/>
    <x v="0"/>
    <x v="0"/>
    <n v="0"/>
    <x v="0"/>
  </r>
  <r>
    <x v="30"/>
    <x v="1"/>
    <x v="162"/>
    <x v="2"/>
    <x v="3"/>
    <x v="22"/>
    <x v="0"/>
    <x v="1"/>
    <n v="0"/>
    <x v="0"/>
  </r>
  <r>
    <x v="30"/>
    <x v="1"/>
    <x v="162"/>
    <x v="2"/>
    <x v="3"/>
    <x v="22"/>
    <x v="0"/>
    <x v="2"/>
    <n v="0"/>
    <x v="0"/>
  </r>
  <r>
    <x v="30"/>
    <x v="1"/>
    <x v="162"/>
    <x v="2"/>
    <x v="3"/>
    <x v="22"/>
    <x v="0"/>
    <x v="3"/>
    <n v="0"/>
    <x v="0"/>
  </r>
  <r>
    <x v="30"/>
    <x v="1"/>
    <x v="162"/>
    <x v="2"/>
    <x v="3"/>
    <x v="22"/>
    <x v="0"/>
    <x v="4"/>
    <n v="0"/>
    <x v="0"/>
  </r>
  <r>
    <x v="30"/>
    <x v="1"/>
    <x v="162"/>
    <x v="2"/>
    <x v="3"/>
    <x v="22"/>
    <x v="0"/>
    <x v="5"/>
    <n v="215.9640635798203"/>
    <x v="0"/>
  </r>
  <r>
    <x v="30"/>
    <x v="1"/>
    <x v="162"/>
    <x v="2"/>
    <x v="3"/>
    <x v="22"/>
    <x v="0"/>
    <x v="6"/>
    <n v="281.007082213405"/>
    <x v="0"/>
  </r>
  <r>
    <x v="30"/>
    <x v="1"/>
    <x v="162"/>
    <x v="2"/>
    <x v="3"/>
    <x v="22"/>
    <x v="0"/>
    <x v="7"/>
    <n v="120.70975373696096"/>
    <x v="0"/>
  </r>
  <r>
    <x v="30"/>
    <x v="1"/>
    <x v="162"/>
    <x v="2"/>
    <x v="3"/>
    <x v="22"/>
    <x v="0"/>
    <x v="8"/>
    <n v="124.32385744053724"/>
    <x v="0"/>
  </r>
  <r>
    <x v="30"/>
    <x v="1"/>
    <x v="162"/>
    <x v="2"/>
    <x v="3"/>
    <x v="22"/>
    <x v="0"/>
    <x v="9"/>
    <n v="0"/>
    <x v="0"/>
  </r>
  <r>
    <x v="30"/>
    <x v="1"/>
    <x v="162"/>
    <x v="2"/>
    <x v="3"/>
    <x v="22"/>
    <x v="0"/>
    <x v="10"/>
    <n v="0"/>
    <x v="0"/>
  </r>
  <r>
    <x v="30"/>
    <x v="1"/>
    <x v="162"/>
    <x v="2"/>
    <x v="3"/>
    <x v="22"/>
    <x v="0"/>
    <x v="11"/>
    <n v="0"/>
    <x v="0"/>
  </r>
  <r>
    <x v="30"/>
    <x v="1"/>
    <x v="163"/>
    <x v="2"/>
    <x v="0"/>
    <x v="0"/>
    <x v="0"/>
    <x v="0"/>
    <n v="0"/>
    <x v="0"/>
  </r>
  <r>
    <x v="30"/>
    <x v="1"/>
    <x v="163"/>
    <x v="2"/>
    <x v="0"/>
    <x v="0"/>
    <x v="0"/>
    <x v="1"/>
    <n v="72.656314871709696"/>
    <x v="0"/>
  </r>
  <r>
    <x v="30"/>
    <x v="1"/>
    <x v="163"/>
    <x v="2"/>
    <x v="0"/>
    <x v="0"/>
    <x v="0"/>
    <x v="2"/>
    <n v="118.81024454247725"/>
    <x v="0"/>
  </r>
  <r>
    <x v="30"/>
    <x v="1"/>
    <x v="163"/>
    <x v="2"/>
    <x v="0"/>
    <x v="0"/>
    <x v="0"/>
    <x v="3"/>
    <n v="0"/>
    <x v="0"/>
  </r>
  <r>
    <x v="30"/>
    <x v="1"/>
    <x v="163"/>
    <x v="2"/>
    <x v="0"/>
    <x v="0"/>
    <x v="0"/>
    <x v="4"/>
    <n v="0"/>
    <x v="0"/>
  </r>
  <r>
    <x v="30"/>
    <x v="1"/>
    <x v="163"/>
    <x v="2"/>
    <x v="0"/>
    <x v="0"/>
    <x v="0"/>
    <x v="5"/>
    <n v="0"/>
    <x v="0"/>
  </r>
  <r>
    <x v="30"/>
    <x v="1"/>
    <x v="163"/>
    <x v="2"/>
    <x v="0"/>
    <x v="0"/>
    <x v="0"/>
    <x v="6"/>
    <n v="0"/>
    <x v="0"/>
  </r>
  <r>
    <x v="30"/>
    <x v="1"/>
    <x v="163"/>
    <x v="2"/>
    <x v="0"/>
    <x v="0"/>
    <x v="0"/>
    <x v="7"/>
    <n v="0"/>
    <x v="0"/>
  </r>
  <r>
    <x v="30"/>
    <x v="1"/>
    <x v="163"/>
    <x v="2"/>
    <x v="0"/>
    <x v="0"/>
    <x v="0"/>
    <x v="8"/>
    <n v="0"/>
    <x v="0"/>
  </r>
  <r>
    <x v="30"/>
    <x v="1"/>
    <x v="163"/>
    <x v="2"/>
    <x v="0"/>
    <x v="0"/>
    <x v="0"/>
    <x v="9"/>
    <n v="0"/>
    <x v="0"/>
  </r>
  <r>
    <x v="30"/>
    <x v="1"/>
    <x v="163"/>
    <x v="2"/>
    <x v="0"/>
    <x v="0"/>
    <x v="0"/>
    <x v="10"/>
    <n v="0"/>
    <x v="0"/>
  </r>
  <r>
    <x v="30"/>
    <x v="1"/>
    <x v="163"/>
    <x v="2"/>
    <x v="0"/>
    <x v="0"/>
    <x v="0"/>
    <x v="11"/>
    <n v="0"/>
    <x v="0"/>
  </r>
  <r>
    <x v="30"/>
    <x v="1"/>
    <x v="164"/>
    <x v="2"/>
    <x v="0"/>
    <x v="0"/>
    <x v="0"/>
    <x v="0"/>
    <n v="275.33342878225528"/>
    <x v="0"/>
  </r>
  <r>
    <x v="30"/>
    <x v="1"/>
    <x v="164"/>
    <x v="2"/>
    <x v="0"/>
    <x v="0"/>
    <x v="0"/>
    <x v="1"/>
    <n v="0"/>
    <x v="0"/>
  </r>
  <r>
    <x v="30"/>
    <x v="1"/>
    <x v="164"/>
    <x v="2"/>
    <x v="0"/>
    <x v="0"/>
    <x v="0"/>
    <x v="2"/>
    <n v="0"/>
    <x v="0"/>
  </r>
  <r>
    <x v="30"/>
    <x v="1"/>
    <x v="164"/>
    <x v="2"/>
    <x v="0"/>
    <x v="0"/>
    <x v="0"/>
    <x v="3"/>
    <n v="0"/>
    <x v="0"/>
  </r>
  <r>
    <x v="30"/>
    <x v="1"/>
    <x v="164"/>
    <x v="2"/>
    <x v="0"/>
    <x v="0"/>
    <x v="0"/>
    <x v="4"/>
    <n v="0"/>
    <x v="0"/>
  </r>
  <r>
    <x v="30"/>
    <x v="1"/>
    <x v="164"/>
    <x v="2"/>
    <x v="0"/>
    <x v="0"/>
    <x v="0"/>
    <x v="5"/>
    <n v="314.94795266067723"/>
    <x v="0"/>
  </r>
  <r>
    <x v="30"/>
    <x v="1"/>
    <x v="164"/>
    <x v="2"/>
    <x v="0"/>
    <x v="0"/>
    <x v="0"/>
    <x v="6"/>
    <n v="266.6496010921968"/>
    <x v="0"/>
  </r>
  <r>
    <x v="30"/>
    <x v="1"/>
    <x v="164"/>
    <x v="2"/>
    <x v="0"/>
    <x v="0"/>
    <x v="0"/>
    <x v="7"/>
    <n v="376.38455747929885"/>
    <x v="0"/>
  </r>
  <r>
    <x v="30"/>
    <x v="1"/>
    <x v="164"/>
    <x v="2"/>
    <x v="0"/>
    <x v="0"/>
    <x v="0"/>
    <x v="8"/>
    <n v="465.60715172585049"/>
    <x v="0"/>
  </r>
  <r>
    <x v="30"/>
    <x v="1"/>
    <x v="164"/>
    <x v="2"/>
    <x v="0"/>
    <x v="0"/>
    <x v="0"/>
    <x v="9"/>
    <n v="0"/>
    <x v="0"/>
  </r>
  <r>
    <x v="30"/>
    <x v="1"/>
    <x v="164"/>
    <x v="2"/>
    <x v="0"/>
    <x v="0"/>
    <x v="0"/>
    <x v="10"/>
    <n v="0"/>
    <x v="0"/>
  </r>
  <r>
    <x v="30"/>
    <x v="1"/>
    <x v="164"/>
    <x v="2"/>
    <x v="0"/>
    <x v="0"/>
    <x v="0"/>
    <x v="11"/>
    <n v="0"/>
    <x v="0"/>
  </r>
  <r>
    <x v="30"/>
    <x v="1"/>
    <x v="165"/>
    <x v="2"/>
    <x v="1"/>
    <x v="1"/>
    <x v="0"/>
    <x v="0"/>
    <n v="1872.267315719336"/>
    <x v="0"/>
  </r>
  <r>
    <x v="30"/>
    <x v="1"/>
    <x v="165"/>
    <x v="2"/>
    <x v="1"/>
    <x v="1"/>
    <x v="0"/>
    <x v="1"/>
    <n v="0"/>
    <x v="0"/>
  </r>
  <r>
    <x v="30"/>
    <x v="1"/>
    <x v="165"/>
    <x v="2"/>
    <x v="1"/>
    <x v="1"/>
    <x v="0"/>
    <x v="2"/>
    <n v="0"/>
    <x v="0"/>
  </r>
  <r>
    <x v="30"/>
    <x v="1"/>
    <x v="165"/>
    <x v="2"/>
    <x v="1"/>
    <x v="1"/>
    <x v="0"/>
    <x v="3"/>
    <n v="0"/>
    <x v="0"/>
  </r>
  <r>
    <x v="30"/>
    <x v="1"/>
    <x v="165"/>
    <x v="2"/>
    <x v="1"/>
    <x v="1"/>
    <x v="0"/>
    <x v="4"/>
    <n v="0"/>
    <x v="0"/>
  </r>
  <r>
    <x v="30"/>
    <x v="1"/>
    <x v="165"/>
    <x v="2"/>
    <x v="1"/>
    <x v="1"/>
    <x v="0"/>
    <x v="5"/>
    <n v="0"/>
    <x v="0"/>
  </r>
  <r>
    <x v="30"/>
    <x v="1"/>
    <x v="165"/>
    <x v="2"/>
    <x v="1"/>
    <x v="1"/>
    <x v="0"/>
    <x v="6"/>
    <n v="0"/>
    <x v="0"/>
  </r>
  <r>
    <x v="30"/>
    <x v="1"/>
    <x v="165"/>
    <x v="2"/>
    <x v="1"/>
    <x v="1"/>
    <x v="0"/>
    <x v="7"/>
    <n v="0"/>
    <x v="0"/>
  </r>
  <r>
    <x v="30"/>
    <x v="1"/>
    <x v="165"/>
    <x v="2"/>
    <x v="1"/>
    <x v="1"/>
    <x v="0"/>
    <x v="8"/>
    <n v="0"/>
    <x v="0"/>
  </r>
  <r>
    <x v="30"/>
    <x v="1"/>
    <x v="165"/>
    <x v="2"/>
    <x v="1"/>
    <x v="1"/>
    <x v="0"/>
    <x v="9"/>
    <n v="0"/>
    <x v="0"/>
  </r>
  <r>
    <x v="30"/>
    <x v="1"/>
    <x v="165"/>
    <x v="2"/>
    <x v="1"/>
    <x v="1"/>
    <x v="0"/>
    <x v="10"/>
    <n v="0"/>
    <x v="0"/>
  </r>
  <r>
    <x v="30"/>
    <x v="1"/>
    <x v="165"/>
    <x v="2"/>
    <x v="1"/>
    <x v="1"/>
    <x v="0"/>
    <x v="11"/>
    <n v="0"/>
    <x v="0"/>
  </r>
  <r>
    <x v="30"/>
    <x v="0"/>
    <x v="166"/>
    <x v="2"/>
    <x v="5"/>
    <x v="23"/>
    <x v="0"/>
    <x v="0"/>
    <n v="1186.4580006387735"/>
    <x v="0"/>
  </r>
  <r>
    <x v="30"/>
    <x v="0"/>
    <x v="166"/>
    <x v="2"/>
    <x v="5"/>
    <x v="23"/>
    <x v="0"/>
    <x v="1"/>
    <n v="2675.093415261978"/>
    <x v="0"/>
  </r>
  <r>
    <x v="30"/>
    <x v="0"/>
    <x v="166"/>
    <x v="2"/>
    <x v="5"/>
    <x v="23"/>
    <x v="0"/>
    <x v="2"/>
    <n v="2662.6842850206112"/>
    <x v="0"/>
  </r>
  <r>
    <x v="30"/>
    <x v="0"/>
    <x v="166"/>
    <x v="2"/>
    <x v="5"/>
    <x v="23"/>
    <x v="0"/>
    <x v="3"/>
    <n v="2684.2877080425774"/>
    <x v="0"/>
  </r>
  <r>
    <x v="30"/>
    <x v="0"/>
    <x v="166"/>
    <x v="2"/>
    <x v="5"/>
    <x v="23"/>
    <x v="0"/>
    <x v="4"/>
    <n v="2807.874667712555"/>
    <x v="0"/>
  </r>
  <r>
    <x v="30"/>
    <x v="0"/>
    <x v="166"/>
    <x v="2"/>
    <x v="5"/>
    <x v="23"/>
    <x v="0"/>
    <x v="5"/>
    <n v="0"/>
    <x v="0"/>
  </r>
  <r>
    <x v="30"/>
    <x v="0"/>
    <x v="166"/>
    <x v="2"/>
    <x v="5"/>
    <x v="23"/>
    <x v="0"/>
    <x v="6"/>
    <n v="2748.9355347924402"/>
    <x v="0"/>
  </r>
  <r>
    <x v="30"/>
    <x v="0"/>
    <x v="166"/>
    <x v="2"/>
    <x v="5"/>
    <x v="23"/>
    <x v="0"/>
    <x v="7"/>
    <n v="5543.1594795139263"/>
    <x v="0"/>
  </r>
  <r>
    <x v="30"/>
    <x v="0"/>
    <x v="166"/>
    <x v="2"/>
    <x v="5"/>
    <x v="23"/>
    <x v="0"/>
    <x v="8"/>
    <n v="2782.6216516772652"/>
    <x v="0"/>
  </r>
  <r>
    <x v="30"/>
    <x v="0"/>
    <x v="166"/>
    <x v="2"/>
    <x v="5"/>
    <x v="23"/>
    <x v="0"/>
    <x v="9"/>
    <n v="2782.6216516772652"/>
    <x v="0"/>
  </r>
  <r>
    <x v="30"/>
    <x v="0"/>
    <x v="166"/>
    <x v="2"/>
    <x v="5"/>
    <x v="23"/>
    <x v="0"/>
    <x v="10"/>
    <n v="2782.6216516772652"/>
    <x v="0"/>
  </r>
  <r>
    <x v="30"/>
    <x v="0"/>
    <x v="166"/>
    <x v="2"/>
    <x v="5"/>
    <x v="23"/>
    <x v="0"/>
    <x v="11"/>
    <n v="2782.6216516772652"/>
    <x v="0"/>
  </r>
  <r>
    <x v="30"/>
    <x v="0"/>
    <x v="167"/>
    <x v="2"/>
    <x v="0"/>
    <x v="24"/>
    <x v="0"/>
    <x v="0"/>
    <n v="874.87196995561624"/>
    <x v="0"/>
  </r>
  <r>
    <x v="30"/>
    <x v="0"/>
    <x v="167"/>
    <x v="2"/>
    <x v="0"/>
    <x v="24"/>
    <x v="0"/>
    <x v="1"/>
    <n v="824.51943037449132"/>
    <x v="0"/>
  </r>
  <r>
    <x v="30"/>
    <x v="0"/>
    <x v="167"/>
    <x v="2"/>
    <x v="0"/>
    <x v="24"/>
    <x v="0"/>
    <x v="2"/>
    <n v="820.69467833417707"/>
    <x v="0"/>
  </r>
  <r>
    <x v="30"/>
    <x v="0"/>
    <x v="167"/>
    <x v="2"/>
    <x v="0"/>
    <x v="24"/>
    <x v="0"/>
    <x v="3"/>
    <n v="827.35330264336449"/>
    <x v="0"/>
  </r>
  <r>
    <x v="30"/>
    <x v="0"/>
    <x v="167"/>
    <x v="2"/>
    <x v="0"/>
    <x v="24"/>
    <x v="0"/>
    <x v="4"/>
    <n v="865.44537412297905"/>
    <x v="0"/>
  </r>
  <r>
    <x v="30"/>
    <x v="0"/>
    <x v="167"/>
    <x v="2"/>
    <x v="0"/>
    <x v="24"/>
    <x v="0"/>
    <x v="5"/>
    <n v="0"/>
    <x v="0"/>
  </r>
  <r>
    <x v="30"/>
    <x v="0"/>
    <x v="167"/>
    <x v="2"/>
    <x v="0"/>
    <x v="24"/>
    <x v="0"/>
    <x v="6"/>
    <n v="847.2791074704553"/>
    <x v="0"/>
  </r>
  <r>
    <x v="30"/>
    <x v="0"/>
    <x v="167"/>
    <x v="2"/>
    <x v="0"/>
    <x v="24"/>
    <x v="0"/>
    <x v="7"/>
    <n v="1708.5170448435315"/>
    <x v="0"/>
  </r>
  <r>
    <x v="30"/>
    <x v="0"/>
    <x v="167"/>
    <x v="2"/>
    <x v="0"/>
    <x v="24"/>
    <x v="0"/>
    <x v="8"/>
    <n v="857.66186933848689"/>
    <x v="0"/>
  </r>
  <r>
    <x v="30"/>
    <x v="0"/>
    <x v="167"/>
    <x v="2"/>
    <x v="0"/>
    <x v="24"/>
    <x v="0"/>
    <x v="9"/>
    <n v="857.66186933848689"/>
    <x v="0"/>
  </r>
  <r>
    <x v="30"/>
    <x v="0"/>
    <x v="167"/>
    <x v="2"/>
    <x v="0"/>
    <x v="24"/>
    <x v="0"/>
    <x v="10"/>
    <n v="857.66186933848689"/>
    <x v="0"/>
  </r>
  <r>
    <x v="30"/>
    <x v="0"/>
    <x v="167"/>
    <x v="2"/>
    <x v="0"/>
    <x v="24"/>
    <x v="0"/>
    <x v="11"/>
    <n v="857.66186933848689"/>
    <x v="0"/>
  </r>
  <r>
    <x v="54"/>
    <x v="0"/>
    <x v="168"/>
    <x v="2"/>
    <x v="0"/>
    <x v="24"/>
    <x v="0"/>
    <x v="0"/>
    <n v="15418.672011806297"/>
    <x v="0"/>
  </r>
  <r>
    <x v="54"/>
    <x v="0"/>
    <x v="168"/>
    <x v="2"/>
    <x v="0"/>
    <x v="24"/>
    <x v="0"/>
    <x v="1"/>
    <n v="14531.26297434194"/>
    <x v="0"/>
  </r>
  <r>
    <x v="54"/>
    <x v="0"/>
    <x v="168"/>
    <x v="2"/>
    <x v="0"/>
    <x v="24"/>
    <x v="0"/>
    <x v="2"/>
    <n v="14463.855857345057"/>
    <x v="0"/>
  </r>
  <r>
    <x v="54"/>
    <x v="0"/>
    <x v="168"/>
    <x v="2"/>
    <x v="0"/>
    <x v="24"/>
    <x v="0"/>
    <x v="3"/>
    <n v="14581.206907326015"/>
    <x v="0"/>
  </r>
  <r>
    <x v="54"/>
    <x v="0"/>
    <x v="168"/>
    <x v="2"/>
    <x v="0"/>
    <x v="24"/>
    <x v="0"/>
    <x v="4"/>
    <n v="15252.538458186255"/>
    <x v="0"/>
  </r>
  <r>
    <x v="54"/>
    <x v="0"/>
    <x v="168"/>
    <x v="2"/>
    <x v="0"/>
    <x v="24"/>
    <x v="0"/>
    <x v="5"/>
    <n v="0"/>
    <x v="0"/>
  </r>
  <r>
    <x v="54"/>
    <x v="0"/>
    <x v="168"/>
    <x v="2"/>
    <x v="0"/>
    <x v="24"/>
    <x v="0"/>
    <x v="6"/>
    <n v="14932.37766116302"/>
    <x v="0"/>
  </r>
  <r>
    <x v="54"/>
    <x v="0"/>
    <x v="168"/>
    <x v="2"/>
    <x v="0"/>
    <x v="24"/>
    <x v="0"/>
    <x v="7"/>
    <n v="30110.764598343907"/>
    <x v="0"/>
  </r>
  <r>
    <x v="54"/>
    <x v="0"/>
    <x v="168"/>
    <x v="2"/>
    <x v="0"/>
    <x v="24"/>
    <x v="0"/>
    <x v="8"/>
    <n v="15115.362606752247"/>
    <x v="0"/>
  </r>
  <r>
    <x v="54"/>
    <x v="0"/>
    <x v="168"/>
    <x v="2"/>
    <x v="0"/>
    <x v="24"/>
    <x v="0"/>
    <x v="9"/>
    <n v="15115.362606752247"/>
    <x v="0"/>
  </r>
  <r>
    <x v="54"/>
    <x v="0"/>
    <x v="168"/>
    <x v="2"/>
    <x v="0"/>
    <x v="24"/>
    <x v="0"/>
    <x v="10"/>
    <n v="15115.362606752247"/>
    <x v="0"/>
  </r>
  <r>
    <x v="54"/>
    <x v="0"/>
    <x v="168"/>
    <x v="2"/>
    <x v="0"/>
    <x v="24"/>
    <x v="0"/>
    <x v="11"/>
    <n v="15115.362606752247"/>
    <x v="0"/>
  </r>
  <r>
    <x v="30"/>
    <x v="0"/>
    <x v="169"/>
    <x v="2"/>
    <x v="0"/>
    <x v="24"/>
    <x v="0"/>
    <x v="0"/>
    <n v="7645.5500611240213"/>
    <x v="0"/>
  </r>
  <r>
    <x v="30"/>
    <x v="0"/>
    <x v="169"/>
    <x v="2"/>
    <x v="0"/>
    <x v="24"/>
    <x v="0"/>
    <x v="1"/>
    <n v="7205.5166901934726"/>
    <x v="0"/>
  </r>
  <r>
    <x v="30"/>
    <x v="0"/>
    <x v="169"/>
    <x v="2"/>
    <x v="0"/>
    <x v="24"/>
    <x v="0"/>
    <x v="2"/>
    <n v="7172.0919901232528"/>
    <x v="0"/>
  </r>
  <r>
    <x v="30"/>
    <x v="0"/>
    <x v="169"/>
    <x v="2"/>
    <x v="0"/>
    <x v="24"/>
    <x v="0"/>
    <x v="3"/>
    <n v="7230.2820422021787"/>
    <x v="0"/>
  </r>
  <r>
    <x v="30"/>
    <x v="0"/>
    <x v="169"/>
    <x v="2"/>
    <x v="0"/>
    <x v="24"/>
    <x v="0"/>
    <x v="4"/>
    <n v="7563.1705669586436"/>
    <x v="0"/>
  </r>
  <r>
    <x v="30"/>
    <x v="0"/>
    <x v="169"/>
    <x v="2"/>
    <x v="0"/>
    <x v="24"/>
    <x v="0"/>
    <x v="5"/>
    <n v="0"/>
    <x v="0"/>
  </r>
  <r>
    <x v="30"/>
    <x v="0"/>
    <x v="169"/>
    <x v="2"/>
    <x v="0"/>
    <x v="24"/>
    <x v="0"/>
    <x v="6"/>
    <n v="7404.414650795683"/>
    <x v="0"/>
  </r>
  <r>
    <x v="30"/>
    <x v="0"/>
    <x v="169"/>
    <x v="2"/>
    <x v="0"/>
    <x v="24"/>
    <x v="0"/>
    <x v="7"/>
    <n v="14930.816216797506"/>
    <x v="0"/>
  </r>
  <r>
    <x v="30"/>
    <x v="0"/>
    <x v="169"/>
    <x v="2"/>
    <x v="0"/>
    <x v="24"/>
    <x v="0"/>
    <x v="8"/>
    <n v="7495.1501279407476"/>
    <x v="0"/>
  </r>
  <r>
    <x v="30"/>
    <x v="0"/>
    <x v="169"/>
    <x v="2"/>
    <x v="0"/>
    <x v="24"/>
    <x v="0"/>
    <x v="9"/>
    <n v="7495.1501279407476"/>
    <x v="0"/>
  </r>
  <r>
    <x v="30"/>
    <x v="0"/>
    <x v="169"/>
    <x v="2"/>
    <x v="0"/>
    <x v="24"/>
    <x v="0"/>
    <x v="10"/>
    <n v="7495.1501279407476"/>
    <x v="0"/>
  </r>
  <r>
    <x v="30"/>
    <x v="0"/>
    <x v="169"/>
    <x v="2"/>
    <x v="0"/>
    <x v="24"/>
    <x v="0"/>
    <x v="11"/>
    <n v="7495.1501279407476"/>
    <x v="0"/>
  </r>
  <r>
    <x v="55"/>
    <x v="0"/>
    <x v="170"/>
    <x v="2"/>
    <x v="0"/>
    <x v="24"/>
    <x v="0"/>
    <x v="0"/>
    <n v="2505.2060044714149"/>
    <x v="0"/>
  </r>
  <r>
    <x v="55"/>
    <x v="0"/>
    <x v="170"/>
    <x v="2"/>
    <x v="0"/>
    <x v="24"/>
    <x v="0"/>
    <x v="1"/>
    <n v="2361.0209250186831"/>
    <x v="0"/>
  </r>
  <r>
    <x v="55"/>
    <x v="0"/>
    <x v="170"/>
    <x v="2"/>
    <x v="0"/>
    <x v="24"/>
    <x v="0"/>
    <x v="2"/>
    <n v="2350.0687033153226"/>
    <x v="0"/>
  </r>
  <r>
    <x v="55"/>
    <x v="0"/>
    <x v="170"/>
    <x v="2"/>
    <x v="0"/>
    <x v="24"/>
    <x v="0"/>
    <x v="3"/>
    <n v="2369.1357510363073"/>
    <x v="0"/>
  </r>
  <r>
    <x v="55"/>
    <x v="0"/>
    <x v="170"/>
    <x v="2"/>
    <x v="0"/>
    <x v="24"/>
    <x v="0"/>
    <x v="4"/>
    <n v="2478.2128382795136"/>
    <x v="0"/>
  </r>
  <r>
    <x v="55"/>
    <x v="0"/>
    <x v="170"/>
    <x v="2"/>
    <x v="0"/>
    <x v="24"/>
    <x v="0"/>
    <x v="5"/>
    <n v="0"/>
    <x v="0"/>
  </r>
  <r>
    <x v="55"/>
    <x v="0"/>
    <x v="170"/>
    <x v="2"/>
    <x v="0"/>
    <x v="24"/>
    <x v="0"/>
    <x v="6"/>
    <n v="2426.1935236144886"/>
    <x v="0"/>
  </r>
  <r>
    <x v="55"/>
    <x v="0"/>
    <x v="170"/>
    <x v="2"/>
    <x v="0"/>
    <x v="24"/>
    <x v="0"/>
    <x v="7"/>
    <n v="4892.3583180987207"/>
    <x v="0"/>
  </r>
  <r>
    <x v="55"/>
    <x v="0"/>
    <x v="170"/>
    <x v="2"/>
    <x v="0"/>
    <x v="24"/>
    <x v="0"/>
    <x v="8"/>
    <n v="2455.9246823074682"/>
    <x v="0"/>
  </r>
  <r>
    <x v="55"/>
    <x v="0"/>
    <x v="170"/>
    <x v="2"/>
    <x v="0"/>
    <x v="24"/>
    <x v="0"/>
    <x v="9"/>
    <n v="2455.9246823074682"/>
    <x v="0"/>
  </r>
  <r>
    <x v="55"/>
    <x v="0"/>
    <x v="170"/>
    <x v="2"/>
    <x v="0"/>
    <x v="24"/>
    <x v="0"/>
    <x v="10"/>
    <n v="2455.9246823074682"/>
    <x v="0"/>
  </r>
  <r>
    <x v="55"/>
    <x v="0"/>
    <x v="170"/>
    <x v="2"/>
    <x v="0"/>
    <x v="24"/>
    <x v="0"/>
    <x v="11"/>
    <n v="2455.9246823074682"/>
    <x v="0"/>
  </r>
  <r>
    <x v="30"/>
    <x v="0"/>
    <x v="171"/>
    <x v="2"/>
    <x v="1"/>
    <x v="1"/>
    <x v="0"/>
    <x v="0"/>
    <n v="453.25168779391845"/>
    <x v="0"/>
  </r>
  <r>
    <x v="30"/>
    <x v="0"/>
    <x v="171"/>
    <x v="2"/>
    <x v="1"/>
    <x v="1"/>
    <x v="0"/>
    <x v="1"/>
    <n v="427.16515818317691"/>
    <x v="0"/>
  </r>
  <r>
    <x v="30"/>
    <x v="0"/>
    <x v="171"/>
    <x v="2"/>
    <x v="1"/>
    <x v="1"/>
    <x v="0"/>
    <x v="2"/>
    <n v="425.18363931276025"/>
    <x v="0"/>
  </r>
  <r>
    <x v="30"/>
    <x v="0"/>
    <x v="171"/>
    <x v="2"/>
    <x v="1"/>
    <x v="1"/>
    <x v="0"/>
    <x v="3"/>
    <n v="428.63332430687194"/>
    <x v="0"/>
  </r>
  <r>
    <x v="30"/>
    <x v="0"/>
    <x v="171"/>
    <x v="2"/>
    <x v="1"/>
    <x v="1"/>
    <x v="0"/>
    <x v="4"/>
    <n v="448.36797838497409"/>
    <x v="0"/>
  </r>
  <r>
    <x v="30"/>
    <x v="0"/>
    <x v="171"/>
    <x v="2"/>
    <x v="1"/>
    <x v="1"/>
    <x v="0"/>
    <x v="5"/>
    <n v="0"/>
    <x v="0"/>
  </r>
  <r>
    <x v="30"/>
    <x v="0"/>
    <x v="171"/>
    <x v="2"/>
    <x v="1"/>
    <x v="1"/>
    <x v="0"/>
    <x v="6"/>
    <n v="438.9564401211656"/>
    <x v="0"/>
  </r>
  <r>
    <x v="30"/>
    <x v="0"/>
    <x v="171"/>
    <x v="2"/>
    <x v="1"/>
    <x v="1"/>
    <x v="0"/>
    <x v="7"/>
    <n v="885.14463920851711"/>
    <x v="0"/>
  </r>
  <r>
    <x v="30"/>
    <x v="0"/>
    <x v="171"/>
    <x v="2"/>
    <x v="1"/>
    <x v="1"/>
    <x v="0"/>
    <x v="8"/>
    <n v="444.33551786311961"/>
    <x v="0"/>
  </r>
  <r>
    <x v="30"/>
    <x v="0"/>
    <x v="171"/>
    <x v="2"/>
    <x v="1"/>
    <x v="1"/>
    <x v="0"/>
    <x v="9"/>
    <n v="444.33551786311961"/>
    <x v="0"/>
  </r>
  <r>
    <x v="30"/>
    <x v="0"/>
    <x v="171"/>
    <x v="2"/>
    <x v="1"/>
    <x v="1"/>
    <x v="0"/>
    <x v="10"/>
    <n v="444.33551786311961"/>
    <x v="0"/>
  </r>
  <r>
    <x v="30"/>
    <x v="0"/>
    <x v="171"/>
    <x v="2"/>
    <x v="1"/>
    <x v="1"/>
    <x v="0"/>
    <x v="11"/>
    <n v="444.33551786311961"/>
    <x v="0"/>
  </r>
  <r>
    <x v="30"/>
    <x v="1"/>
    <x v="172"/>
    <x v="2"/>
    <x v="1"/>
    <x v="1"/>
    <x v="0"/>
    <x v="0"/>
    <n v="0"/>
    <x v="0"/>
  </r>
  <r>
    <x v="30"/>
    <x v="1"/>
    <x v="172"/>
    <x v="2"/>
    <x v="1"/>
    <x v="1"/>
    <x v="0"/>
    <x v="1"/>
    <n v="0"/>
    <x v="0"/>
  </r>
  <r>
    <x v="30"/>
    <x v="1"/>
    <x v="172"/>
    <x v="2"/>
    <x v="1"/>
    <x v="1"/>
    <x v="0"/>
    <x v="2"/>
    <n v="0"/>
    <x v="0"/>
  </r>
  <r>
    <x v="30"/>
    <x v="1"/>
    <x v="172"/>
    <x v="2"/>
    <x v="1"/>
    <x v="1"/>
    <x v="0"/>
    <x v="3"/>
    <n v="0"/>
    <x v="0"/>
  </r>
  <r>
    <x v="30"/>
    <x v="1"/>
    <x v="172"/>
    <x v="2"/>
    <x v="1"/>
    <x v="1"/>
    <x v="0"/>
    <x v="4"/>
    <n v="0"/>
    <x v="0"/>
  </r>
  <r>
    <x v="30"/>
    <x v="1"/>
    <x v="172"/>
    <x v="2"/>
    <x v="1"/>
    <x v="1"/>
    <x v="0"/>
    <x v="5"/>
    <n v="0"/>
    <x v="0"/>
  </r>
  <r>
    <x v="30"/>
    <x v="1"/>
    <x v="172"/>
    <x v="2"/>
    <x v="1"/>
    <x v="1"/>
    <x v="0"/>
    <x v="6"/>
    <n v="0"/>
    <x v="0"/>
  </r>
  <r>
    <x v="30"/>
    <x v="1"/>
    <x v="172"/>
    <x v="2"/>
    <x v="1"/>
    <x v="1"/>
    <x v="0"/>
    <x v="7"/>
    <n v="0"/>
    <x v="0"/>
  </r>
  <r>
    <x v="30"/>
    <x v="1"/>
    <x v="172"/>
    <x v="2"/>
    <x v="1"/>
    <x v="1"/>
    <x v="0"/>
    <x v="8"/>
    <n v="0"/>
    <x v="0"/>
  </r>
  <r>
    <x v="30"/>
    <x v="1"/>
    <x v="172"/>
    <x v="2"/>
    <x v="1"/>
    <x v="1"/>
    <x v="0"/>
    <x v="9"/>
    <n v="0"/>
    <x v="0"/>
  </r>
  <r>
    <x v="30"/>
    <x v="1"/>
    <x v="172"/>
    <x v="2"/>
    <x v="1"/>
    <x v="1"/>
    <x v="0"/>
    <x v="10"/>
    <n v="0"/>
    <x v="0"/>
  </r>
  <r>
    <x v="30"/>
    <x v="1"/>
    <x v="172"/>
    <x v="2"/>
    <x v="1"/>
    <x v="1"/>
    <x v="0"/>
    <x v="11"/>
    <n v="0"/>
    <x v="0"/>
  </r>
  <r>
    <x v="30"/>
    <x v="0"/>
    <x v="173"/>
    <x v="2"/>
    <x v="7"/>
    <x v="25"/>
    <x v="0"/>
    <x v="0"/>
    <n v="702.15641141422259"/>
    <x v="0"/>
  </r>
  <r>
    <x v="30"/>
    <x v="0"/>
    <x v="173"/>
    <x v="2"/>
    <x v="7"/>
    <x v="25"/>
    <x v="0"/>
    <x v="1"/>
    <n v="185.02345761023"/>
    <x v="0"/>
  </r>
  <r>
    <x v="30"/>
    <x v="0"/>
    <x v="173"/>
    <x v="2"/>
    <x v="7"/>
    <x v="25"/>
    <x v="0"/>
    <x v="2"/>
    <n v="224.98217846331863"/>
    <x v="0"/>
  </r>
  <r>
    <x v="30"/>
    <x v="0"/>
    <x v="173"/>
    <x v="2"/>
    <x v="7"/>
    <x v="25"/>
    <x v="0"/>
    <x v="3"/>
    <n v="139.82023454912826"/>
    <x v="0"/>
  </r>
  <r>
    <x v="30"/>
    <x v="0"/>
    <x v="173"/>
    <x v="2"/>
    <x v="7"/>
    <x v="25"/>
    <x v="0"/>
    <x v="4"/>
    <n v="553.76955593323748"/>
    <x v="0"/>
  </r>
  <r>
    <x v="30"/>
    <x v="0"/>
    <x v="173"/>
    <x v="2"/>
    <x v="7"/>
    <x v="25"/>
    <x v="0"/>
    <x v="5"/>
    <n v="343.97460262612299"/>
    <x v="0"/>
  </r>
  <r>
    <x v="30"/>
    <x v="0"/>
    <x v="173"/>
    <x v="2"/>
    <x v="7"/>
    <x v="25"/>
    <x v="0"/>
    <x v="6"/>
    <n v="456.20013652459579"/>
    <x v="0"/>
  </r>
  <r>
    <x v="30"/>
    <x v="0"/>
    <x v="173"/>
    <x v="2"/>
    <x v="7"/>
    <x v="25"/>
    <x v="0"/>
    <x v="7"/>
    <n v="203.91439939778471"/>
    <x v="0"/>
  </r>
  <r>
    <x v="30"/>
    <x v="0"/>
    <x v="173"/>
    <x v="2"/>
    <x v="7"/>
    <x v="25"/>
    <x v="0"/>
    <x v="8"/>
    <n v="420.0278554539467"/>
    <x v="0"/>
  </r>
  <r>
    <x v="30"/>
    <x v="0"/>
    <x v="173"/>
    <x v="2"/>
    <x v="7"/>
    <x v="25"/>
    <x v="0"/>
    <x v="9"/>
    <n v="215.93375152503211"/>
    <x v="0"/>
  </r>
  <r>
    <x v="30"/>
    <x v="0"/>
    <x v="173"/>
    <x v="2"/>
    <x v="7"/>
    <x v="25"/>
    <x v="0"/>
    <x v="10"/>
    <n v="215.93375152503211"/>
    <x v="0"/>
  </r>
  <r>
    <x v="30"/>
    <x v="0"/>
    <x v="173"/>
    <x v="2"/>
    <x v="7"/>
    <x v="25"/>
    <x v="0"/>
    <x v="11"/>
    <n v="215.93375152503211"/>
    <x v="0"/>
  </r>
  <r>
    <x v="30"/>
    <x v="0"/>
    <x v="174"/>
    <x v="2"/>
    <x v="3"/>
    <x v="26"/>
    <x v="0"/>
    <x v="0"/>
    <n v="727.30977213405436"/>
    <x v="0"/>
  </r>
  <r>
    <x v="30"/>
    <x v="0"/>
    <x v="174"/>
    <x v="2"/>
    <x v="3"/>
    <x v="26"/>
    <x v="0"/>
    <x v="1"/>
    <n v="344.58295275263634"/>
    <x v="0"/>
  </r>
  <r>
    <x v="30"/>
    <x v="0"/>
    <x v="174"/>
    <x v="2"/>
    <x v="3"/>
    <x v="26"/>
    <x v="0"/>
    <x v="2"/>
    <n v="0"/>
    <x v="0"/>
  </r>
  <r>
    <x v="30"/>
    <x v="0"/>
    <x v="174"/>
    <x v="2"/>
    <x v="3"/>
    <x v="26"/>
    <x v="0"/>
    <x v="3"/>
    <n v="533.34617868227554"/>
    <x v="0"/>
  </r>
  <r>
    <x v="30"/>
    <x v="0"/>
    <x v="174"/>
    <x v="2"/>
    <x v="3"/>
    <x v="26"/>
    <x v="0"/>
    <x v="4"/>
    <n v="431.11082058656905"/>
    <x v="0"/>
  </r>
  <r>
    <x v="30"/>
    <x v="0"/>
    <x v="174"/>
    <x v="2"/>
    <x v="3"/>
    <x v="26"/>
    <x v="0"/>
    <x v="5"/>
    <n v="399.46980822391151"/>
    <x v="0"/>
  </r>
  <r>
    <x v="30"/>
    <x v="0"/>
    <x v="174"/>
    <x v="2"/>
    <x v="3"/>
    <x v="26"/>
    <x v="0"/>
    <x v="6"/>
    <n v="0"/>
    <x v="0"/>
  </r>
  <r>
    <x v="30"/>
    <x v="0"/>
    <x v="174"/>
    <x v="2"/>
    <x v="3"/>
    <x v="26"/>
    <x v="0"/>
    <x v="7"/>
    <n v="0"/>
    <x v="0"/>
  </r>
  <r>
    <x v="30"/>
    <x v="0"/>
    <x v="174"/>
    <x v="2"/>
    <x v="3"/>
    <x v="26"/>
    <x v="0"/>
    <x v="8"/>
    <n v="0"/>
    <x v="0"/>
  </r>
  <r>
    <x v="30"/>
    <x v="0"/>
    <x v="174"/>
    <x v="2"/>
    <x v="3"/>
    <x v="26"/>
    <x v="0"/>
    <x v="9"/>
    <n v="485.85094093132227"/>
    <x v="0"/>
  </r>
  <r>
    <x v="30"/>
    <x v="0"/>
    <x v="174"/>
    <x v="2"/>
    <x v="3"/>
    <x v="26"/>
    <x v="0"/>
    <x v="10"/>
    <n v="485.85094093132227"/>
    <x v="0"/>
  </r>
  <r>
    <x v="30"/>
    <x v="0"/>
    <x v="174"/>
    <x v="2"/>
    <x v="3"/>
    <x v="26"/>
    <x v="0"/>
    <x v="11"/>
    <n v="485.85094093132227"/>
    <x v="0"/>
  </r>
  <r>
    <x v="30"/>
    <x v="0"/>
    <x v="175"/>
    <x v="2"/>
    <x v="3"/>
    <x v="26"/>
    <x v="0"/>
    <x v="0"/>
    <n v="0"/>
    <x v="0"/>
  </r>
  <r>
    <x v="30"/>
    <x v="0"/>
    <x v="175"/>
    <x v="2"/>
    <x v="3"/>
    <x v="26"/>
    <x v="0"/>
    <x v="1"/>
    <n v="0"/>
    <x v="0"/>
  </r>
  <r>
    <x v="30"/>
    <x v="0"/>
    <x v="175"/>
    <x v="2"/>
    <x v="3"/>
    <x v="26"/>
    <x v="0"/>
    <x v="2"/>
    <n v="0"/>
    <x v="0"/>
  </r>
  <r>
    <x v="30"/>
    <x v="0"/>
    <x v="175"/>
    <x v="2"/>
    <x v="3"/>
    <x v="26"/>
    <x v="0"/>
    <x v="3"/>
    <n v="0"/>
    <x v="0"/>
  </r>
  <r>
    <x v="30"/>
    <x v="0"/>
    <x v="175"/>
    <x v="2"/>
    <x v="3"/>
    <x v="26"/>
    <x v="0"/>
    <x v="4"/>
    <n v="0"/>
    <x v="0"/>
  </r>
  <r>
    <x v="30"/>
    <x v="0"/>
    <x v="175"/>
    <x v="2"/>
    <x v="3"/>
    <x v="26"/>
    <x v="0"/>
    <x v="5"/>
    <n v="0"/>
    <x v="0"/>
  </r>
  <r>
    <x v="30"/>
    <x v="0"/>
    <x v="175"/>
    <x v="2"/>
    <x v="3"/>
    <x v="26"/>
    <x v="0"/>
    <x v="6"/>
    <n v="0"/>
    <x v="0"/>
  </r>
  <r>
    <x v="30"/>
    <x v="0"/>
    <x v="175"/>
    <x v="2"/>
    <x v="3"/>
    <x v="26"/>
    <x v="0"/>
    <x v="7"/>
    <n v="0"/>
    <x v="0"/>
  </r>
  <r>
    <x v="30"/>
    <x v="0"/>
    <x v="175"/>
    <x v="2"/>
    <x v="3"/>
    <x v="26"/>
    <x v="0"/>
    <x v="8"/>
    <n v="0"/>
    <x v="0"/>
  </r>
  <r>
    <x v="30"/>
    <x v="0"/>
    <x v="175"/>
    <x v="2"/>
    <x v="3"/>
    <x v="26"/>
    <x v="0"/>
    <x v="9"/>
    <n v="0"/>
    <x v="0"/>
  </r>
  <r>
    <x v="30"/>
    <x v="0"/>
    <x v="175"/>
    <x v="2"/>
    <x v="3"/>
    <x v="26"/>
    <x v="0"/>
    <x v="10"/>
    <n v="0"/>
    <x v="0"/>
  </r>
  <r>
    <x v="30"/>
    <x v="0"/>
    <x v="175"/>
    <x v="2"/>
    <x v="3"/>
    <x v="26"/>
    <x v="0"/>
    <x v="11"/>
    <n v="0"/>
    <x v="0"/>
  </r>
  <r>
    <x v="30"/>
    <x v="0"/>
    <x v="176"/>
    <x v="2"/>
    <x v="3"/>
    <x v="26"/>
    <x v="0"/>
    <x v="0"/>
    <n v="0"/>
    <x v="0"/>
  </r>
  <r>
    <x v="30"/>
    <x v="0"/>
    <x v="176"/>
    <x v="2"/>
    <x v="3"/>
    <x v="26"/>
    <x v="0"/>
    <x v="1"/>
    <n v="496.14298762766748"/>
    <x v="0"/>
  </r>
  <r>
    <x v="30"/>
    <x v="0"/>
    <x v="176"/>
    <x v="2"/>
    <x v="3"/>
    <x v="26"/>
    <x v="0"/>
    <x v="2"/>
    <n v="0"/>
    <x v="0"/>
  </r>
  <r>
    <x v="30"/>
    <x v="0"/>
    <x v="176"/>
    <x v="2"/>
    <x v="3"/>
    <x v="26"/>
    <x v="0"/>
    <x v="3"/>
    <n v="0"/>
    <x v="0"/>
  </r>
  <r>
    <x v="30"/>
    <x v="0"/>
    <x v="176"/>
    <x v="2"/>
    <x v="3"/>
    <x v="26"/>
    <x v="0"/>
    <x v="4"/>
    <n v="0"/>
    <x v="0"/>
  </r>
  <r>
    <x v="30"/>
    <x v="0"/>
    <x v="176"/>
    <x v="2"/>
    <x v="3"/>
    <x v="26"/>
    <x v="0"/>
    <x v="5"/>
    <n v="0"/>
    <x v="0"/>
  </r>
  <r>
    <x v="30"/>
    <x v="0"/>
    <x v="176"/>
    <x v="2"/>
    <x v="3"/>
    <x v="26"/>
    <x v="0"/>
    <x v="6"/>
    <n v="0"/>
    <x v="0"/>
  </r>
  <r>
    <x v="30"/>
    <x v="0"/>
    <x v="176"/>
    <x v="2"/>
    <x v="3"/>
    <x v="26"/>
    <x v="0"/>
    <x v="7"/>
    <n v="0"/>
    <x v="0"/>
  </r>
  <r>
    <x v="30"/>
    <x v="0"/>
    <x v="176"/>
    <x v="2"/>
    <x v="3"/>
    <x v="26"/>
    <x v="0"/>
    <x v="8"/>
    <n v="0"/>
    <x v="0"/>
  </r>
  <r>
    <x v="30"/>
    <x v="0"/>
    <x v="176"/>
    <x v="2"/>
    <x v="3"/>
    <x v="26"/>
    <x v="0"/>
    <x v="9"/>
    <n v="0"/>
    <x v="0"/>
  </r>
  <r>
    <x v="30"/>
    <x v="0"/>
    <x v="176"/>
    <x v="2"/>
    <x v="3"/>
    <x v="26"/>
    <x v="0"/>
    <x v="10"/>
    <n v="0"/>
    <x v="0"/>
  </r>
  <r>
    <x v="30"/>
    <x v="0"/>
    <x v="176"/>
    <x v="2"/>
    <x v="3"/>
    <x v="26"/>
    <x v="0"/>
    <x v="11"/>
    <n v="0"/>
    <x v="0"/>
  </r>
  <r>
    <x v="30"/>
    <x v="0"/>
    <x v="177"/>
    <x v="2"/>
    <x v="3"/>
    <x v="27"/>
    <x v="0"/>
    <x v="0"/>
    <n v="1631.7195123294309"/>
    <x v="0"/>
  </r>
  <r>
    <x v="30"/>
    <x v="0"/>
    <x v="177"/>
    <x v="2"/>
    <x v="3"/>
    <x v="27"/>
    <x v="0"/>
    <x v="1"/>
    <n v="1630.766835506103"/>
    <x v="0"/>
  </r>
  <r>
    <x v="30"/>
    <x v="0"/>
    <x v="177"/>
    <x v="2"/>
    <x v="3"/>
    <x v="27"/>
    <x v="0"/>
    <x v="2"/>
    <n v="1703.7420061368075"/>
    <x v="0"/>
  </r>
  <r>
    <x v="30"/>
    <x v="0"/>
    <x v="177"/>
    <x v="2"/>
    <x v="3"/>
    <x v="27"/>
    <x v="0"/>
    <x v="3"/>
    <n v="0"/>
    <x v="0"/>
  </r>
  <r>
    <x v="30"/>
    <x v="0"/>
    <x v="177"/>
    <x v="2"/>
    <x v="3"/>
    <x v="27"/>
    <x v="0"/>
    <x v="4"/>
    <n v="1728.803329411252"/>
    <x v="0"/>
  </r>
  <r>
    <x v="30"/>
    <x v="0"/>
    <x v="177"/>
    <x v="2"/>
    <x v="3"/>
    <x v="27"/>
    <x v="0"/>
    <x v="5"/>
    <n v="1594.0512698686937"/>
    <x v="0"/>
  </r>
  <r>
    <x v="30"/>
    <x v="0"/>
    <x v="177"/>
    <x v="2"/>
    <x v="3"/>
    <x v="27"/>
    <x v="0"/>
    <x v="6"/>
    <n v="1829.9532829898887"/>
    <x v="0"/>
  </r>
  <r>
    <x v="30"/>
    <x v="0"/>
    <x v="177"/>
    <x v="2"/>
    <x v="3"/>
    <x v="27"/>
    <x v="0"/>
    <x v="7"/>
    <n v="1829.6451231315195"/>
    <x v="0"/>
  </r>
  <r>
    <x v="30"/>
    <x v="0"/>
    <x v="177"/>
    <x v="2"/>
    <x v="3"/>
    <x v="27"/>
    <x v="0"/>
    <x v="8"/>
    <n v="1943.7060709774241"/>
    <x v="0"/>
  </r>
  <r>
    <x v="30"/>
    <x v="0"/>
    <x v="177"/>
    <x v="2"/>
    <x v="3"/>
    <x v="27"/>
    <x v="0"/>
    <x v="9"/>
    <n v="1781.453450081515"/>
    <x v="0"/>
  </r>
  <r>
    <x v="30"/>
    <x v="0"/>
    <x v="177"/>
    <x v="2"/>
    <x v="3"/>
    <x v="27"/>
    <x v="0"/>
    <x v="10"/>
    <n v="1781.453450081515"/>
    <x v="0"/>
  </r>
  <r>
    <x v="30"/>
    <x v="0"/>
    <x v="177"/>
    <x v="2"/>
    <x v="3"/>
    <x v="27"/>
    <x v="0"/>
    <x v="11"/>
    <n v="1781.453450081515"/>
    <x v="0"/>
  </r>
  <r>
    <x v="30"/>
    <x v="0"/>
    <x v="178"/>
    <x v="2"/>
    <x v="3"/>
    <x v="27"/>
    <x v="0"/>
    <x v="0"/>
    <n v="0"/>
    <x v="0"/>
  </r>
  <r>
    <x v="30"/>
    <x v="0"/>
    <x v="178"/>
    <x v="2"/>
    <x v="3"/>
    <x v="27"/>
    <x v="0"/>
    <x v="1"/>
    <n v="0"/>
    <x v="0"/>
  </r>
  <r>
    <x v="30"/>
    <x v="0"/>
    <x v="178"/>
    <x v="2"/>
    <x v="3"/>
    <x v="27"/>
    <x v="0"/>
    <x v="2"/>
    <n v="0"/>
    <x v="0"/>
  </r>
  <r>
    <x v="30"/>
    <x v="0"/>
    <x v="178"/>
    <x v="2"/>
    <x v="3"/>
    <x v="27"/>
    <x v="0"/>
    <x v="3"/>
    <n v="0"/>
    <x v="0"/>
  </r>
  <r>
    <x v="30"/>
    <x v="0"/>
    <x v="178"/>
    <x v="2"/>
    <x v="3"/>
    <x v="27"/>
    <x v="0"/>
    <x v="4"/>
    <n v="1735.9927223602215"/>
    <x v="0"/>
  </r>
  <r>
    <x v="30"/>
    <x v="0"/>
    <x v="178"/>
    <x v="2"/>
    <x v="3"/>
    <x v="27"/>
    <x v="0"/>
    <x v="5"/>
    <n v="0"/>
    <x v="0"/>
  </r>
  <r>
    <x v="30"/>
    <x v="0"/>
    <x v="178"/>
    <x v="2"/>
    <x v="3"/>
    <x v="27"/>
    <x v="0"/>
    <x v="6"/>
    <n v="0"/>
    <x v="0"/>
  </r>
  <r>
    <x v="30"/>
    <x v="0"/>
    <x v="178"/>
    <x v="2"/>
    <x v="3"/>
    <x v="27"/>
    <x v="0"/>
    <x v="7"/>
    <n v="0"/>
    <x v="0"/>
  </r>
  <r>
    <x v="30"/>
    <x v="0"/>
    <x v="178"/>
    <x v="2"/>
    <x v="3"/>
    <x v="27"/>
    <x v="0"/>
    <x v="8"/>
    <n v="0"/>
    <x v="0"/>
  </r>
  <r>
    <x v="30"/>
    <x v="0"/>
    <x v="178"/>
    <x v="2"/>
    <x v="3"/>
    <x v="27"/>
    <x v="0"/>
    <x v="9"/>
    <n v="0"/>
    <x v="0"/>
  </r>
  <r>
    <x v="30"/>
    <x v="0"/>
    <x v="178"/>
    <x v="2"/>
    <x v="3"/>
    <x v="27"/>
    <x v="0"/>
    <x v="10"/>
    <n v="0"/>
    <x v="0"/>
  </r>
  <r>
    <x v="30"/>
    <x v="0"/>
    <x v="178"/>
    <x v="2"/>
    <x v="3"/>
    <x v="27"/>
    <x v="0"/>
    <x v="11"/>
    <n v="0"/>
    <x v="0"/>
  </r>
  <r>
    <x v="30"/>
    <x v="0"/>
    <x v="179"/>
    <x v="2"/>
    <x v="3"/>
    <x v="27"/>
    <x v="0"/>
    <x v="0"/>
    <n v="0"/>
    <x v="0"/>
  </r>
  <r>
    <x v="30"/>
    <x v="0"/>
    <x v="179"/>
    <x v="2"/>
    <x v="3"/>
    <x v="27"/>
    <x v="0"/>
    <x v="1"/>
    <n v="1522.4860915054387"/>
    <x v="0"/>
  </r>
  <r>
    <x v="30"/>
    <x v="0"/>
    <x v="179"/>
    <x v="2"/>
    <x v="3"/>
    <x v="27"/>
    <x v="0"/>
    <x v="2"/>
    <n v="0"/>
    <x v="0"/>
  </r>
  <r>
    <x v="30"/>
    <x v="0"/>
    <x v="179"/>
    <x v="2"/>
    <x v="3"/>
    <x v="27"/>
    <x v="0"/>
    <x v="3"/>
    <n v="0"/>
    <x v="0"/>
  </r>
  <r>
    <x v="30"/>
    <x v="0"/>
    <x v="179"/>
    <x v="2"/>
    <x v="3"/>
    <x v="27"/>
    <x v="0"/>
    <x v="4"/>
    <n v="0"/>
    <x v="0"/>
  </r>
  <r>
    <x v="30"/>
    <x v="0"/>
    <x v="179"/>
    <x v="2"/>
    <x v="3"/>
    <x v="27"/>
    <x v="0"/>
    <x v="5"/>
    <n v="0"/>
    <x v="0"/>
  </r>
  <r>
    <x v="30"/>
    <x v="0"/>
    <x v="179"/>
    <x v="2"/>
    <x v="3"/>
    <x v="27"/>
    <x v="0"/>
    <x v="6"/>
    <n v="0"/>
    <x v="0"/>
  </r>
  <r>
    <x v="30"/>
    <x v="0"/>
    <x v="179"/>
    <x v="2"/>
    <x v="3"/>
    <x v="27"/>
    <x v="0"/>
    <x v="7"/>
    <n v="0"/>
    <x v="0"/>
  </r>
  <r>
    <x v="30"/>
    <x v="0"/>
    <x v="179"/>
    <x v="2"/>
    <x v="3"/>
    <x v="27"/>
    <x v="0"/>
    <x v="8"/>
    <n v="0"/>
    <x v="0"/>
  </r>
  <r>
    <x v="30"/>
    <x v="0"/>
    <x v="179"/>
    <x v="2"/>
    <x v="3"/>
    <x v="27"/>
    <x v="0"/>
    <x v="9"/>
    <n v="0"/>
    <x v="0"/>
  </r>
  <r>
    <x v="30"/>
    <x v="0"/>
    <x v="179"/>
    <x v="2"/>
    <x v="3"/>
    <x v="27"/>
    <x v="0"/>
    <x v="10"/>
    <n v="0"/>
    <x v="0"/>
  </r>
  <r>
    <x v="30"/>
    <x v="0"/>
    <x v="179"/>
    <x v="2"/>
    <x v="3"/>
    <x v="27"/>
    <x v="0"/>
    <x v="11"/>
    <n v="0"/>
    <x v="0"/>
  </r>
  <r>
    <x v="30"/>
    <x v="0"/>
    <x v="180"/>
    <x v="2"/>
    <x v="3"/>
    <x v="28"/>
    <x v="0"/>
    <x v="0"/>
    <n v="348.22960605293008"/>
    <x v="0"/>
  </r>
  <r>
    <x v="30"/>
    <x v="0"/>
    <x v="180"/>
    <x v="2"/>
    <x v="3"/>
    <x v="28"/>
    <x v="0"/>
    <x v="1"/>
    <n v="315.22149796562314"/>
    <x v="0"/>
  </r>
  <r>
    <x v="30"/>
    <x v="0"/>
    <x v="180"/>
    <x v="2"/>
    <x v="3"/>
    <x v="28"/>
    <x v="0"/>
    <x v="2"/>
    <n v="339.74874216110669"/>
    <x v="0"/>
  </r>
  <r>
    <x v="30"/>
    <x v="0"/>
    <x v="180"/>
    <x v="2"/>
    <x v="3"/>
    <x v="28"/>
    <x v="0"/>
    <x v="3"/>
    <n v="0"/>
    <x v="0"/>
  </r>
  <r>
    <x v="30"/>
    <x v="0"/>
    <x v="180"/>
    <x v="2"/>
    <x v="3"/>
    <x v="28"/>
    <x v="0"/>
    <x v="4"/>
    <n v="678.87741316947745"/>
    <x v="0"/>
  </r>
  <r>
    <x v="30"/>
    <x v="0"/>
    <x v="180"/>
    <x v="2"/>
    <x v="3"/>
    <x v="28"/>
    <x v="0"/>
    <x v="5"/>
    <n v="0"/>
    <x v="0"/>
  </r>
  <r>
    <x v="30"/>
    <x v="0"/>
    <x v="180"/>
    <x v="2"/>
    <x v="3"/>
    <x v="28"/>
    <x v="0"/>
    <x v="6"/>
    <n v="991.98771278638173"/>
    <x v="0"/>
  </r>
  <r>
    <x v="30"/>
    <x v="0"/>
    <x v="180"/>
    <x v="2"/>
    <x v="3"/>
    <x v="28"/>
    <x v="0"/>
    <x v="7"/>
    <n v="586.59855898483704"/>
    <x v="0"/>
  </r>
  <r>
    <x v="30"/>
    <x v="0"/>
    <x v="180"/>
    <x v="2"/>
    <x v="3"/>
    <x v="28"/>
    <x v="0"/>
    <x v="8"/>
    <n v="0"/>
    <x v="0"/>
  </r>
  <r>
    <x v="30"/>
    <x v="0"/>
    <x v="180"/>
    <x v="2"/>
    <x v="3"/>
    <x v="28"/>
    <x v="0"/>
    <x v="9"/>
    <n v="356.29069001630296"/>
    <x v="0"/>
  </r>
  <r>
    <x v="30"/>
    <x v="0"/>
    <x v="180"/>
    <x v="2"/>
    <x v="3"/>
    <x v="28"/>
    <x v="0"/>
    <x v="10"/>
    <n v="356.29069001630296"/>
    <x v="0"/>
  </r>
  <r>
    <x v="30"/>
    <x v="0"/>
    <x v="180"/>
    <x v="2"/>
    <x v="3"/>
    <x v="28"/>
    <x v="0"/>
    <x v="11"/>
    <n v="356.29069001630296"/>
    <x v="0"/>
  </r>
  <r>
    <x v="30"/>
    <x v="0"/>
    <x v="181"/>
    <x v="2"/>
    <x v="3"/>
    <x v="28"/>
    <x v="0"/>
    <x v="0"/>
    <n v="0"/>
    <x v="0"/>
  </r>
  <r>
    <x v="30"/>
    <x v="0"/>
    <x v="181"/>
    <x v="2"/>
    <x v="3"/>
    <x v="28"/>
    <x v="0"/>
    <x v="1"/>
    <n v="0"/>
    <x v="0"/>
  </r>
  <r>
    <x v="30"/>
    <x v="0"/>
    <x v="181"/>
    <x v="2"/>
    <x v="3"/>
    <x v="28"/>
    <x v="0"/>
    <x v="2"/>
    <n v="0"/>
    <x v="0"/>
  </r>
  <r>
    <x v="30"/>
    <x v="0"/>
    <x v="181"/>
    <x v="2"/>
    <x v="3"/>
    <x v="28"/>
    <x v="0"/>
    <x v="3"/>
    <n v="0"/>
    <x v="0"/>
  </r>
  <r>
    <x v="30"/>
    <x v="0"/>
    <x v="181"/>
    <x v="2"/>
    <x v="3"/>
    <x v="28"/>
    <x v="0"/>
    <x v="4"/>
    <n v="485.67241905259948"/>
    <x v="0"/>
  </r>
  <r>
    <x v="30"/>
    <x v="0"/>
    <x v="181"/>
    <x v="2"/>
    <x v="3"/>
    <x v="28"/>
    <x v="0"/>
    <x v="5"/>
    <n v="0"/>
    <x v="0"/>
  </r>
  <r>
    <x v="30"/>
    <x v="0"/>
    <x v="181"/>
    <x v="2"/>
    <x v="3"/>
    <x v="28"/>
    <x v="0"/>
    <x v="6"/>
    <n v="0"/>
    <x v="0"/>
  </r>
  <r>
    <x v="30"/>
    <x v="0"/>
    <x v="181"/>
    <x v="2"/>
    <x v="3"/>
    <x v="28"/>
    <x v="0"/>
    <x v="7"/>
    <n v="0"/>
    <x v="0"/>
  </r>
  <r>
    <x v="30"/>
    <x v="0"/>
    <x v="181"/>
    <x v="2"/>
    <x v="3"/>
    <x v="28"/>
    <x v="0"/>
    <x v="8"/>
    <n v="0"/>
    <x v="0"/>
  </r>
  <r>
    <x v="30"/>
    <x v="0"/>
    <x v="181"/>
    <x v="2"/>
    <x v="3"/>
    <x v="28"/>
    <x v="0"/>
    <x v="9"/>
    <n v="0"/>
    <x v="0"/>
  </r>
  <r>
    <x v="30"/>
    <x v="0"/>
    <x v="181"/>
    <x v="2"/>
    <x v="3"/>
    <x v="28"/>
    <x v="0"/>
    <x v="10"/>
    <n v="0"/>
    <x v="0"/>
  </r>
  <r>
    <x v="30"/>
    <x v="0"/>
    <x v="181"/>
    <x v="2"/>
    <x v="3"/>
    <x v="28"/>
    <x v="0"/>
    <x v="11"/>
    <n v="0"/>
    <x v="0"/>
  </r>
  <r>
    <x v="30"/>
    <x v="0"/>
    <x v="182"/>
    <x v="2"/>
    <x v="3"/>
    <x v="28"/>
    <x v="0"/>
    <x v="0"/>
    <n v="201.57490721263449"/>
    <x v="0"/>
  </r>
  <r>
    <x v="30"/>
    <x v="0"/>
    <x v="182"/>
    <x v="2"/>
    <x v="3"/>
    <x v="28"/>
    <x v="0"/>
    <x v="1"/>
    <n v="166.87183426056629"/>
    <x v="0"/>
  </r>
  <r>
    <x v="30"/>
    <x v="0"/>
    <x v="182"/>
    <x v="2"/>
    <x v="3"/>
    <x v="28"/>
    <x v="0"/>
    <x v="2"/>
    <n v="166.88396888204727"/>
    <x v="0"/>
  </r>
  <r>
    <x v="30"/>
    <x v="0"/>
    <x v="182"/>
    <x v="2"/>
    <x v="3"/>
    <x v="28"/>
    <x v="0"/>
    <x v="3"/>
    <n v="0"/>
    <x v="0"/>
  </r>
  <r>
    <x v="30"/>
    <x v="0"/>
    <x v="182"/>
    <x v="2"/>
    <x v="3"/>
    <x v="28"/>
    <x v="0"/>
    <x v="4"/>
    <n v="175.15579378568003"/>
    <x v="0"/>
  </r>
  <r>
    <x v="30"/>
    <x v="0"/>
    <x v="182"/>
    <x v="2"/>
    <x v="3"/>
    <x v="28"/>
    <x v="0"/>
    <x v="5"/>
    <n v="0"/>
    <x v="0"/>
  </r>
  <r>
    <x v="30"/>
    <x v="0"/>
    <x v="182"/>
    <x v="2"/>
    <x v="3"/>
    <x v="28"/>
    <x v="0"/>
    <x v="6"/>
    <n v="342.95831733435728"/>
    <x v="0"/>
  </r>
  <r>
    <x v="30"/>
    <x v="0"/>
    <x v="182"/>
    <x v="2"/>
    <x v="3"/>
    <x v="28"/>
    <x v="0"/>
    <x v="7"/>
    <n v="172.89170878589096"/>
    <x v="0"/>
  </r>
  <r>
    <x v="30"/>
    <x v="0"/>
    <x v="182"/>
    <x v="2"/>
    <x v="3"/>
    <x v="28"/>
    <x v="0"/>
    <x v="8"/>
    <n v="173.74245581455608"/>
    <x v="0"/>
  </r>
  <r>
    <x v="30"/>
    <x v="0"/>
    <x v="182"/>
    <x v="2"/>
    <x v="3"/>
    <x v="28"/>
    <x v="0"/>
    <x v="9"/>
    <n v="173.82666997765085"/>
    <x v="0"/>
  </r>
  <r>
    <x v="30"/>
    <x v="0"/>
    <x v="182"/>
    <x v="2"/>
    <x v="3"/>
    <x v="28"/>
    <x v="0"/>
    <x v="10"/>
    <n v="173.82666997765085"/>
    <x v="0"/>
  </r>
  <r>
    <x v="30"/>
    <x v="0"/>
    <x v="182"/>
    <x v="2"/>
    <x v="3"/>
    <x v="28"/>
    <x v="0"/>
    <x v="11"/>
    <n v="173.82666997765085"/>
    <x v="0"/>
  </r>
  <r>
    <x v="30"/>
    <x v="0"/>
    <x v="183"/>
    <x v="2"/>
    <x v="3"/>
    <x v="28"/>
    <x v="0"/>
    <x v="0"/>
    <n v="0"/>
    <x v="0"/>
  </r>
  <r>
    <x v="30"/>
    <x v="0"/>
    <x v="183"/>
    <x v="2"/>
    <x v="3"/>
    <x v="28"/>
    <x v="0"/>
    <x v="1"/>
    <n v="316.52412189653739"/>
    <x v="0"/>
  </r>
  <r>
    <x v="30"/>
    <x v="0"/>
    <x v="183"/>
    <x v="2"/>
    <x v="3"/>
    <x v="28"/>
    <x v="0"/>
    <x v="2"/>
    <n v="0"/>
    <x v="0"/>
  </r>
  <r>
    <x v="30"/>
    <x v="0"/>
    <x v="183"/>
    <x v="2"/>
    <x v="3"/>
    <x v="28"/>
    <x v="0"/>
    <x v="3"/>
    <n v="0"/>
    <x v="0"/>
  </r>
  <r>
    <x v="30"/>
    <x v="0"/>
    <x v="183"/>
    <x v="2"/>
    <x v="3"/>
    <x v="28"/>
    <x v="0"/>
    <x v="4"/>
    <n v="175.15579378568003"/>
    <x v="0"/>
  </r>
  <r>
    <x v="30"/>
    <x v="0"/>
    <x v="183"/>
    <x v="2"/>
    <x v="3"/>
    <x v="28"/>
    <x v="0"/>
    <x v="5"/>
    <n v="0"/>
    <x v="0"/>
  </r>
  <r>
    <x v="30"/>
    <x v="0"/>
    <x v="183"/>
    <x v="2"/>
    <x v="3"/>
    <x v="28"/>
    <x v="0"/>
    <x v="6"/>
    <n v="0"/>
    <x v="0"/>
  </r>
  <r>
    <x v="30"/>
    <x v="0"/>
    <x v="183"/>
    <x v="2"/>
    <x v="3"/>
    <x v="28"/>
    <x v="0"/>
    <x v="7"/>
    <n v="0"/>
    <x v="0"/>
  </r>
  <r>
    <x v="30"/>
    <x v="0"/>
    <x v="183"/>
    <x v="2"/>
    <x v="3"/>
    <x v="28"/>
    <x v="0"/>
    <x v="8"/>
    <n v="0"/>
    <x v="0"/>
  </r>
  <r>
    <x v="30"/>
    <x v="0"/>
    <x v="183"/>
    <x v="2"/>
    <x v="3"/>
    <x v="28"/>
    <x v="0"/>
    <x v="9"/>
    <n v="0"/>
    <x v="0"/>
  </r>
  <r>
    <x v="30"/>
    <x v="0"/>
    <x v="183"/>
    <x v="2"/>
    <x v="3"/>
    <x v="28"/>
    <x v="0"/>
    <x v="10"/>
    <n v="0"/>
    <x v="0"/>
  </r>
  <r>
    <x v="30"/>
    <x v="0"/>
    <x v="183"/>
    <x v="2"/>
    <x v="3"/>
    <x v="28"/>
    <x v="0"/>
    <x v="11"/>
    <n v="0"/>
    <x v="0"/>
  </r>
  <r>
    <x v="30"/>
    <x v="0"/>
    <x v="184"/>
    <x v="2"/>
    <x v="3"/>
    <x v="28"/>
    <x v="0"/>
    <x v="0"/>
    <n v="167.13510060683487"/>
    <x v="0"/>
  </r>
  <r>
    <x v="30"/>
    <x v="0"/>
    <x v="184"/>
    <x v="2"/>
    <x v="3"/>
    <x v="28"/>
    <x v="0"/>
    <x v="1"/>
    <n v="149.27655069334884"/>
    <x v="0"/>
  </r>
  <r>
    <x v="30"/>
    <x v="0"/>
    <x v="184"/>
    <x v="2"/>
    <x v="3"/>
    <x v="28"/>
    <x v="0"/>
    <x v="2"/>
    <n v="52.12257084706539"/>
    <x v="0"/>
  </r>
  <r>
    <x v="30"/>
    <x v="0"/>
    <x v="184"/>
    <x v="2"/>
    <x v="3"/>
    <x v="28"/>
    <x v="0"/>
    <x v="3"/>
    <n v="0"/>
    <x v="0"/>
  </r>
  <r>
    <x v="30"/>
    <x v="0"/>
    <x v="184"/>
    <x v="2"/>
    <x v="3"/>
    <x v="28"/>
    <x v="0"/>
    <x v="4"/>
    <n v="299.66226521985448"/>
    <x v="0"/>
  </r>
  <r>
    <x v="30"/>
    <x v="0"/>
    <x v="184"/>
    <x v="2"/>
    <x v="3"/>
    <x v="28"/>
    <x v="0"/>
    <x v="5"/>
    <n v="0"/>
    <x v="0"/>
  </r>
  <r>
    <x v="30"/>
    <x v="0"/>
    <x v="184"/>
    <x v="2"/>
    <x v="3"/>
    <x v="28"/>
    <x v="0"/>
    <x v="6"/>
    <n v="211.22701480438587"/>
    <x v="0"/>
  </r>
  <r>
    <x v="30"/>
    <x v="0"/>
    <x v="184"/>
    <x v="2"/>
    <x v="3"/>
    <x v="28"/>
    <x v="0"/>
    <x v="7"/>
    <n v="261.13130444133776"/>
    <x v="0"/>
  </r>
  <r>
    <x v="30"/>
    <x v="0"/>
    <x v="184"/>
    <x v="2"/>
    <x v="3"/>
    <x v="28"/>
    <x v="0"/>
    <x v="8"/>
    <n v="159.6257868086071"/>
    <x v="0"/>
  </r>
  <r>
    <x v="30"/>
    <x v="0"/>
    <x v="184"/>
    <x v="2"/>
    <x v="3"/>
    <x v="28"/>
    <x v="0"/>
    <x v="9"/>
    <n v="155.47230109802311"/>
    <x v="0"/>
  </r>
  <r>
    <x v="30"/>
    <x v="0"/>
    <x v="184"/>
    <x v="2"/>
    <x v="3"/>
    <x v="28"/>
    <x v="0"/>
    <x v="10"/>
    <n v="155.47230109802311"/>
    <x v="0"/>
  </r>
  <r>
    <x v="30"/>
    <x v="0"/>
    <x v="184"/>
    <x v="2"/>
    <x v="3"/>
    <x v="28"/>
    <x v="0"/>
    <x v="11"/>
    <n v="155.47230109802311"/>
    <x v="0"/>
  </r>
  <r>
    <x v="30"/>
    <x v="0"/>
    <x v="185"/>
    <x v="2"/>
    <x v="3"/>
    <x v="28"/>
    <x v="0"/>
    <x v="0"/>
    <n v="0"/>
    <x v="0"/>
  </r>
  <r>
    <x v="30"/>
    <x v="0"/>
    <x v="185"/>
    <x v="2"/>
    <x v="3"/>
    <x v="28"/>
    <x v="0"/>
    <x v="1"/>
    <n v="0"/>
    <x v="0"/>
  </r>
  <r>
    <x v="30"/>
    <x v="0"/>
    <x v="185"/>
    <x v="2"/>
    <x v="3"/>
    <x v="28"/>
    <x v="0"/>
    <x v="2"/>
    <n v="0"/>
    <x v="0"/>
  </r>
  <r>
    <x v="30"/>
    <x v="0"/>
    <x v="185"/>
    <x v="2"/>
    <x v="3"/>
    <x v="28"/>
    <x v="0"/>
    <x v="3"/>
    <n v="0"/>
    <x v="0"/>
  </r>
  <r>
    <x v="30"/>
    <x v="0"/>
    <x v="185"/>
    <x v="2"/>
    <x v="3"/>
    <x v="28"/>
    <x v="0"/>
    <x v="4"/>
    <n v="260.52534100318127"/>
    <x v="0"/>
  </r>
  <r>
    <x v="30"/>
    <x v="0"/>
    <x v="185"/>
    <x v="2"/>
    <x v="3"/>
    <x v="28"/>
    <x v="0"/>
    <x v="5"/>
    <n v="0"/>
    <x v="0"/>
  </r>
  <r>
    <x v="30"/>
    <x v="0"/>
    <x v="185"/>
    <x v="2"/>
    <x v="3"/>
    <x v="28"/>
    <x v="0"/>
    <x v="6"/>
    <n v="0"/>
    <x v="0"/>
  </r>
  <r>
    <x v="30"/>
    <x v="0"/>
    <x v="185"/>
    <x v="2"/>
    <x v="3"/>
    <x v="28"/>
    <x v="0"/>
    <x v="7"/>
    <n v="0"/>
    <x v="0"/>
  </r>
  <r>
    <x v="30"/>
    <x v="0"/>
    <x v="185"/>
    <x v="2"/>
    <x v="3"/>
    <x v="28"/>
    <x v="0"/>
    <x v="8"/>
    <n v="0"/>
    <x v="0"/>
  </r>
  <r>
    <x v="30"/>
    <x v="0"/>
    <x v="185"/>
    <x v="2"/>
    <x v="3"/>
    <x v="28"/>
    <x v="0"/>
    <x v="9"/>
    <n v="0"/>
    <x v="0"/>
  </r>
  <r>
    <x v="30"/>
    <x v="0"/>
    <x v="185"/>
    <x v="2"/>
    <x v="3"/>
    <x v="28"/>
    <x v="0"/>
    <x v="10"/>
    <n v="0"/>
    <x v="0"/>
  </r>
  <r>
    <x v="30"/>
    <x v="0"/>
    <x v="185"/>
    <x v="2"/>
    <x v="3"/>
    <x v="28"/>
    <x v="0"/>
    <x v="11"/>
    <n v="0"/>
    <x v="0"/>
  </r>
  <r>
    <x v="30"/>
    <x v="0"/>
    <x v="186"/>
    <x v="2"/>
    <x v="3"/>
    <x v="29"/>
    <x v="0"/>
    <x v="0"/>
    <n v="563.77933677683677"/>
    <x v="0"/>
  </r>
  <r>
    <x v="30"/>
    <x v="0"/>
    <x v="186"/>
    <x v="2"/>
    <x v="3"/>
    <x v="29"/>
    <x v="0"/>
    <x v="1"/>
    <n v="417.27248193971599"/>
    <x v="0"/>
  </r>
  <r>
    <x v="30"/>
    <x v="0"/>
    <x v="186"/>
    <x v="2"/>
    <x v="3"/>
    <x v="29"/>
    <x v="0"/>
    <x v="2"/>
    <n v="186.48559296643353"/>
    <x v="0"/>
  </r>
  <r>
    <x v="30"/>
    <x v="0"/>
    <x v="186"/>
    <x v="2"/>
    <x v="3"/>
    <x v="29"/>
    <x v="0"/>
    <x v="3"/>
    <n v="231.62247172287374"/>
    <x v="0"/>
  </r>
  <r>
    <x v="30"/>
    <x v="0"/>
    <x v="186"/>
    <x v="2"/>
    <x v="3"/>
    <x v="29"/>
    <x v="0"/>
    <x v="4"/>
    <n v="441.34527389201202"/>
    <x v="0"/>
  </r>
  <r>
    <x v="30"/>
    <x v="0"/>
    <x v="186"/>
    <x v="2"/>
    <x v="3"/>
    <x v="29"/>
    <x v="0"/>
    <x v="5"/>
    <n v="438.28934865238421"/>
    <x v="0"/>
  </r>
  <r>
    <x v="30"/>
    <x v="0"/>
    <x v="186"/>
    <x v="2"/>
    <x v="3"/>
    <x v="29"/>
    <x v="0"/>
    <x v="6"/>
    <n v="336.76884679380521"/>
    <x v="0"/>
  </r>
  <r>
    <x v="30"/>
    <x v="0"/>
    <x v="186"/>
    <x v="2"/>
    <x v="3"/>
    <x v="29"/>
    <x v="0"/>
    <x v="7"/>
    <n v="437.55242499193463"/>
    <x v="0"/>
  </r>
  <r>
    <x v="30"/>
    <x v="0"/>
    <x v="186"/>
    <x v="2"/>
    <x v="3"/>
    <x v="29"/>
    <x v="0"/>
    <x v="8"/>
    <n v="440.47138337957915"/>
    <x v="0"/>
  </r>
  <r>
    <x v="30"/>
    <x v="0"/>
    <x v="186"/>
    <x v="2"/>
    <x v="3"/>
    <x v="29"/>
    <x v="0"/>
    <x v="9"/>
    <n v="435.1065093229397"/>
    <x v="0"/>
  </r>
  <r>
    <x v="30"/>
    <x v="0"/>
    <x v="186"/>
    <x v="2"/>
    <x v="3"/>
    <x v="29"/>
    <x v="0"/>
    <x v="10"/>
    <n v="435.1065093229397"/>
    <x v="0"/>
  </r>
  <r>
    <x v="30"/>
    <x v="0"/>
    <x v="186"/>
    <x v="2"/>
    <x v="3"/>
    <x v="29"/>
    <x v="0"/>
    <x v="11"/>
    <n v="435.1065093229397"/>
    <x v="0"/>
  </r>
  <r>
    <x v="30"/>
    <x v="0"/>
    <x v="187"/>
    <x v="2"/>
    <x v="3"/>
    <x v="29"/>
    <x v="0"/>
    <x v="0"/>
    <n v="0"/>
    <x v="0"/>
  </r>
  <r>
    <x v="30"/>
    <x v="0"/>
    <x v="187"/>
    <x v="2"/>
    <x v="3"/>
    <x v="29"/>
    <x v="0"/>
    <x v="1"/>
    <n v="416.11413269118987"/>
    <x v="0"/>
  </r>
  <r>
    <x v="30"/>
    <x v="0"/>
    <x v="187"/>
    <x v="2"/>
    <x v="3"/>
    <x v="29"/>
    <x v="0"/>
    <x v="2"/>
    <n v="0"/>
    <x v="0"/>
  </r>
  <r>
    <x v="30"/>
    <x v="0"/>
    <x v="187"/>
    <x v="2"/>
    <x v="3"/>
    <x v="29"/>
    <x v="0"/>
    <x v="3"/>
    <n v="0"/>
    <x v="0"/>
  </r>
  <r>
    <x v="30"/>
    <x v="0"/>
    <x v="187"/>
    <x v="2"/>
    <x v="3"/>
    <x v="29"/>
    <x v="0"/>
    <x v="4"/>
    <n v="440.22857018346627"/>
    <x v="0"/>
  </r>
  <r>
    <x v="30"/>
    <x v="0"/>
    <x v="187"/>
    <x v="2"/>
    <x v="3"/>
    <x v="29"/>
    <x v="0"/>
    <x v="5"/>
    <n v="0"/>
    <x v="0"/>
  </r>
  <r>
    <x v="30"/>
    <x v="0"/>
    <x v="187"/>
    <x v="2"/>
    <x v="3"/>
    <x v="29"/>
    <x v="0"/>
    <x v="6"/>
    <n v="0"/>
    <x v="0"/>
  </r>
  <r>
    <x v="30"/>
    <x v="0"/>
    <x v="187"/>
    <x v="2"/>
    <x v="3"/>
    <x v="29"/>
    <x v="0"/>
    <x v="7"/>
    <n v="0"/>
    <x v="0"/>
  </r>
  <r>
    <x v="30"/>
    <x v="0"/>
    <x v="187"/>
    <x v="2"/>
    <x v="3"/>
    <x v="29"/>
    <x v="0"/>
    <x v="8"/>
    <n v="0"/>
    <x v="0"/>
  </r>
  <r>
    <x v="30"/>
    <x v="0"/>
    <x v="187"/>
    <x v="2"/>
    <x v="3"/>
    <x v="29"/>
    <x v="0"/>
    <x v="9"/>
    <n v="0"/>
    <x v="0"/>
  </r>
  <r>
    <x v="30"/>
    <x v="0"/>
    <x v="187"/>
    <x v="2"/>
    <x v="3"/>
    <x v="29"/>
    <x v="0"/>
    <x v="10"/>
    <n v="0"/>
    <x v="0"/>
  </r>
  <r>
    <x v="30"/>
    <x v="0"/>
    <x v="187"/>
    <x v="2"/>
    <x v="3"/>
    <x v="29"/>
    <x v="0"/>
    <x v="11"/>
    <n v="0"/>
    <x v="0"/>
  </r>
  <r>
    <x v="30"/>
    <x v="0"/>
    <x v="188"/>
    <x v="2"/>
    <x v="2"/>
    <x v="3"/>
    <x v="0"/>
    <x v="0"/>
    <n v="562.26720558596458"/>
    <x v="0"/>
  </r>
  <r>
    <x v="30"/>
    <x v="0"/>
    <x v="188"/>
    <x v="2"/>
    <x v="2"/>
    <x v="3"/>
    <x v="0"/>
    <x v="1"/>
    <n v="326.20298098480441"/>
    <x v="0"/>
  </r>
  <r>
    <x v="30"/>
    <x v="0"/>
    <x v="188"/>
    <x v="2"/>
    <x v="2"/>
    <x v="3"/>
    <x v="0"/>
    <x v="2"/>
    <n v="606.07688572520749"/>
    <x v="0"/>
  </r>
  <r>
    <x v="30"/>
    <x v="0"/>
    <x v="188"/>
    <x v="2"/>
    <x v="2"/>
    <x v="3"/>
    <x v="0"/>
    <x v="3"/>
    <n v="0"/>
    <x v="0"/>
  </r>
  <r>
    <x v="30"/>
    <x v="0"/>
    <x v="188"/>
    <x v="2"/>
    <x v="2"/>
    <x v="3"/>
    <x v="0"/>
    <x v="4"/>
    <n v="962.63999651370546"/>
    <x v="0"/>
  </r>
  <r>
    <x v="30"/>
    <x v="0"/>
    <x v="188"/>
    <x v="2"/>
    <x v="2"/>
    <x v="3"/>
    <x v="0"/>
    <x v="5"/>
    <n v="396.47870594333102"/>
    <x v="0"/>
  </r>
  <r>
    <x v="30"/>
    <x v="0"/>
    <x v="188"/>
    <x v="2"/>
    <x v="2"/>
    <x v="3"/>
    <x v="0"/>
    <x v="6"/>
    <n v="581.36119288365546"/>
    <x v="0"/>
  </r>
  <r>
    <x v="30"/>
    <x v="0"/>
    <x v="188"/>
    <x v="2"/>
    <x v="2"/>
    <x v="3"/>
    <x v="0"/>
    <x v="7"/>
    <n v="429.14829551564685"/>
    <x v="0"/>
  </r>
  <r>
    <x v="30"/>
    <x v="0"/>
    <x v="188"/>
    <x v="2"/>
    <x v="2"/>
    <x v="3"/>
    <x v="0"/>
    <x v="8"/>
    <n v="449.21346131007004"/>
    <x v="0"/>
  </r>
  <r>
    <x v="30"/>
    <x v="0"/>
    <x v="188"/>
    <x v="2"/>
    <x v="2"/>
    <x v="3"/>
    <x v="0"/>
    <x v="9"/>
    <n v="431.86750305006422"/>
    <x v="0"/>
  </r>
  <r>
    <x v="30"/>
    <x v="0"/>
    <x v="188"/>
    <x v="2"/>
    <x v="2"/>
    <x v="3"/>
    <x v="0"/>
    <x v="10"/>
    <n v="431.86750305006422"/>
    <x v="0"/>
  </r>
  <r>
    <x v="30"/>
    <x v="0"/>
    <x v="188"/>
    <x v="2"/>
    <x v="2"/>
    <x v="3"/>
    <x v="0"/>
    <x v="11"/>
    <n v="431.86750305006422"/>
    <x v="0"/>
  </r>
  <r>
    <x v="30"/>
    <x v="0"/>
    <x v="189"/>
    <x v="2"/>
    <x v="2"/>
    <x v="3"/>
    <x v="0"/>
    <x v="0"/>
    <n v="0"/>
    <x v="0"/>
  </r>
  <r>
    <x v="30"/>
    <x v="0"/>
    <x v="189"/>
    <x v="2"/>
    <x v="2"/>
    <x v="3"/>
    <x v="0"/>
    <x v="1"/>
    <n v="607.48982811591793"/>
    <x v="0"/>
  </r>
  <r>
    <x v="30"/>
    <x v="0"/>
    <x v="189"/>
    <x v="2"/>
    <x v="2"/>
    <x v="3"/>
    <x v="0"/>
    <x v="2"/>
    <n v="0"/>
    <x v="0"/>
  </r>
  <r>
    <x v="30"/>
    <x v="0"/>
    <x v="189"/>
    <x v="2"/>
    <x v="2"/>
    <x v="3"/>
    <x v="0"/>
    <x v="3"/>
    <n v="0"/>
    <x v="0"/>
  </r>
  <r>
    <x v="30"/>
    <x v="0"/>
    <x v="189"/>
    <x v="2"/>
    <x v="2"/>
    <x v="3"/>
    <x v="0"/>
    <x v="4"/>
    <n v="549.58164465943264"/>
    <x v="0"/>
  </r>
  <r>
    <x v="30"/>
    <x v="0"/>
    <x v="189"/>
    <x v="2"/>
    <x v="2"/>
    <x v="3"/>
    <x v="0"/>
    <x v="5"/>
    <n v="0"/>
    <x v="0"/>
  </r>
  <r>
    <x v="30"/>
    <x v="0"/>
    <x v="189"/>
    <x v="2"/>
    <x v="2"/>
    <x v="3"/>
    <x v="0"/>
    <x v="6"/>
    <n v="0"/>
    <x v="0"/>
  </r>
  <r>
    <x v="30"/>
    <x v="0"/>
    <x v="189"/>
    <x v="2"/>
    <x v="2"/>
    <x v="3"/>
    <x v="0"/>
    <x v="7"/>
    <n v="0"/>
    <x v="0"/>
  </r>
  <r>
    <x v="30"/>
    <x v="0"/>
    <x v="189"/>
    <x v="2"/>
    <x v="2"/>
    <x v="3"/>
    <x v="0"/>
    <x v="8"/>
    <n v="0"/>
    <x v="0"/>
  </r>
  <r>
    <x v="30"/>
    <x v="0"/>
    <x v="189"/>
    <x v="2"/>
    <x v="2"/>
    <x v="3"/>
    <x v="0"/>
    <x v="9"/>
    <n v="0"/>
    <x v="0"/>
  </r>
  <r>
    <x v="30"/>
    <x v="0"/>
    <x v="189"/>
    <x v="2"/>
    <x v="2"/>
    <x v="3"/>
    <x v="0"/>
    <x v="10"/>
    <n v="0"/>
    <x v="0"/>
  </r>
  <r>
    <x v="30"/>
    <x v="0"/>
    <x v="189"/>
    <x v="2"/>
    <x v="2"/>
    <x v="3"/>
    <x v="0"/>
    <x v="11"/>
    <n v="0"/>
    <x v="0"/>
  </r>
  <r>
    <x v="30"/>
    <x v="0"/>
    <x v="190"/>
    <x v="2"/>
    <x v="2"/>
    <x v="3"/>
    <x v="0"/>
    <x v="0"/>
    <n v="805.48794590248792"/>
    <x v="0"/>
  </r>
  <r>
    <x v="30"/>
    <x v="0"/>
    <x v="190"/>
    <x v="2"/>
    <x v="2"/>
    <x v="3"/>
    <x v="0"/>
    <x v="1"/>
    <n v="762.41592626421982"/>
    <x v="0"/>
  </r>
  <r>
    <x v="30"/>
    <x v="0"/>
    <x v="190"/>
    <x v="2"/>
    <x v="2"/>
    <x v="3"/>
    <x v="0"/>
    <x v="2"/>
    <n v="761.73586932939372"/>
    <x v="0"/>
  </r>
  <r>
    <x v="30"/>
    <x v="0"/>
    <x v="190"/>
    <x v="2"/>
    <x v="2"/>
    <x v="3"/>
    <x v="0"/>
    <x v="3"/>
    <n v="0"/>
    <x v="0"/>
  </r>
  <r>
    <x v="30"/>
    <x v="0"/>
    <x v="190"/>
    <x v="2"/>
    <x v="2"/>
    <x v="3"/>
    <x v="0"/>
    <x v="4"/>
    <n v="812.02226870614891"/>
    <x v="0"/>
  </r>
  <r>
    <x v="30"/>
    <x v="0"/>
    <x v="190"/>
    <x v="2"/>
    <x v="2"/>
    <x v="3"/>
    <x v="0"/>
    <x v="5"/>
    <n v="808.67635625431922"/>
    <x v="0"/>
  </r>
  <r>
    <x v="30"/>
    <x v="0"/>
    <x v="190"/>
    <x v="2"/>
    <x v="2"/>
    <x v="3"/>
    <x v="0"/>
    <x v="6"/>
    <n v="801.56150006399594"/>
    <x v="0"/>
  </r>
  <r>
    <x v="30"/>
    <x v="0"/>
    <x v="190"/>
    <x v="2"/>
    <x v="2"/>
    <x v="3"/>
    <x v="0"/>
    <x v="7"/>
    <n v="808.21056027529846"/>
    <x v="0"/>
  </r>
  <r>
    <x v="30"/>
    <x v="0"/>
    <x v="190"/>
    <x v="2"/>
    <x v="2"/>
    <x v="3"/>
    <x v="0"/>
    <x v="8"/>
    <n v="815.42954621522119"/>
    <x v="0"/>
  </r>
  <r>
    <x v="30"/>
    <x v="0"/>
    <x v="190"/>
    <x v="2"/>
    <x v="2"/>
    <x v="3"/>
    <x v="0"/>
    <x v="9"/>
    <n v="796.79554312736855"/>
    <x v="0"/>
  </r>
  <r>
    <x v="30"/>
    <x v="0"/>
    <x v="190"/>
    <x v="2"/>
    <x v="2"/>
    <x v="3"/>
    <x v="0"/>
    <x v="10"/>
    <n v="796.79554312736855"/>
    <x v="0"/>
  </r>
  <r>
    <x v="30"/>
    <x v="0"/>
    <x v="190"/>
    <x v="2"/>
    <x v="2"/>
    <x v="3"/>
    <x v="0"/>
    <x v="11"/>
    <n v="796.79554312736855"/>
    <x v="0"/>
  </r>
  <r>
    <x v="30"/>
    <x v="0"/>
    <x v="191"/>
    <x v="2"/>
    <x v="2"/>
    <x v="3"/>
    <x v="0"/>
    <x v="0"/>
    <n v="0"/>
    <x v="0"/>
  </r>
  <r>
    <x v="30"/>
    <x v="0"/>
    <x v="191"/>
    <x v="2"/>
    <x v="2"/>
    <x v="3"/>
    <x v="0"/>
    <x v="1"/>
    <n v="763.88046998256243"/>
    <x v="0"/>
  </r>
  <r>
    <x v="30"/>
    <x v="0"/>
    <x v="191"/>
    <x v="2"/>
    <x v="2"/>
    <x v="3"/>
    <x v="0"/>
    <x v="2"/>
    <n v="0"/>
    <x v="0"/>
  </r>
  <r>
    <x v="30"/>
    <x v="0"/>
    <x v="191"/>
    <x v="2"/>
    <x v="2"/>
    <x v="3"/>
    <x v="0"/>
    <x v="3"/>
    <n v="0"/>
    <x v="0"/>
  </r>
  <r>
    <x v="30"/>
    <x v="0"/>
    <x v="191"/>
    <x v="2"/>
    <x v="2"/>
    <x v="3"/>
    <x v="0"/>
    <x v="4"/>
    <n v="1593.8336165947619"/>
    <x v="0"/>
  </r>
  <r>
    <x v="30"/>
    <x v="0"/>
    <x v="191"/>
    <x v="2"/>
    <x v="2"/>
    <x v="3"/>
    <x v="0"/>
    <x v="5"/>
    <n v="0"/>
    <x v="0"/>
  </r>
  <r>
    <x v="30"/>
    <x v="0"/>
    <x v="191"/>
    <x v="2"/>
    <x v="2"/>
    <x v="3"/>
    <x v="0"/>
    <x v="6"/>
    <n v="0"/>
    <x v="0"/>
  </r>
  <r>
    <x v="30"/>
    <x v="0"/>
    <x v="191"/>
    <x v="2"/>
    <x v="2"/>
    <x v="3"/>
    <x v="0"/>
    <x v="7"/>
    <n v="0"/>
    <x v="0"/>
  </r>
  <r>
    <x v="30"/>
    <x v="0"/>
    <x v="191"/>
    <x v="2"/>
    <x v="2"/>
    <x v="3"/>
    <x v="0"/>
    <x v="8"/>
    <n v="0"/>
    <x v="0"/>
  </r>
  <r>
    <x v="30"/>
    <x v="0"/>
    <x v="191"/>
    <x v="2"/>
    <x v="2"/>
    <x v="3"/>
    <x v="0"/>
    <x v="9"/>
    <n v="0"/>
    <x v="0"/>
  </r>
  <r>
    <x v="30"/>
    <x v="0"/>
    <x v="191"/>
    <x v="2"/>
    <x v="2"/>
    <x v="3"/>
    <x v="0"/>
    <x v="10"/>
    <n v="0"/>
    <x v="0"/>
  </r>
  <r>
    <x v="30"/>
    <x v="0"/>
    <x v="191"/>
    <x v="2"/>
    <x v="2"/>
    <x v="3"/>
    <x v="0"/>
    <x v="11"/>
    <n v="0"/>
    <x v="0"/>
  </r>
  <r>
    <x v="30"/>
    <x v="1"/>
    <x v="192"/>
    <x v="3"/>
    <x v="8"/>
    <x v="30"/>
    <x v="0"/>
    <x v="0"/>
    <n v="0"/>
    <x v="0"/>
  </r>
  <r>
    <x v="30"/>
    <x v="1"/>
    <x v="192"/>
    <x v="3"/>
    <x v="8"/>
    <x v="30"/>
    <x v="0"/>
    <x v="1"/>
    <n v="0"/>
    <x v="0"/>
  </r>
  <r>
    <x v="30"/>
    <x v="1"/>
    <x v="192"/>
    <x v="3"/>
    <x v="8"/>
    <x v="30"/>
    <x v="0"/>
    <x v="2"/>
    <n v="0"/>
    <x v="0"/>
  </r>
  <r>
    <x v="30"/>
    <x v="1"/>
    <x v="192"/>
    <x v="3"/>
    <x v="8"/>
    <x v="30"/>
    <x v="0"/>
    <x v="3"/>
    <n v="0"/>
    <x v="0"/>
  </r>
  <r>
    <x v="30"/>
    <x v="1"/>
    <x v="192"/>
    <x v="3"/>
    <x v="8"/>
    <x v="30"/>
    <x v="0"/>
    <x v="4"/>
    <n v="59.489257855057303"/>
    <x v="0"/>
  </r>
  <r>
    <x v="30"/>
    <x v="1"/>
    <x v="192"/>
    <x v="3"/>
    <x v="8"/>
    <x v="30"/>
    <x v="0"/>
    <x v="5"/>
    <n v="11.287361782999309"/>
    <x v="0"/>
  </r>
  <r>
    <x v="30"/>
    <x v="1"/>
    <x v="192"/>
    <x v="3"/>
    <x v="8"/>
    <x v="30"/>
    <x v="0"/>
    <x v="6"/>
    <n v="55.21673279576774"/>
    <x v="0"/>
  </r>
  <r>
    <x v="30"/>
    <x v="1"/>
    <x v="192"/>
    <x v="3"/>
    <x v="8"/>
    <x v="30"/>
    <x v="0"/>
    <x v="7"/>
    <n v="106.44908054629531"/>
    <x v="0"/>
  </r>
  <r>
    <x v="30"/>
    <x v="1"/>
    <x v="192"/>
    <x v="3"/>
    <x v="8"/>
    <x v="30"/>
    <x v="0"/>
    <x v="8"/>
    <n v="84.94941751870526"/>
    <x v="0"/>
  </r>
  <r>
    <x v="30"/>
    <x v="1"/>
    <x v="192"/>
    <x v="3"/>
    <x v="8"/>
    <x v="30"/>
    <x v="0"/>
    <x v="9"/>
    <n v="0"/>
    <x v="0"/>
  </r>
  <r>
    <x v="30"/>
    <x v="1"/>
    <x v="192"/>
    <x v="3"/>
    <x v="8"/>
    <x v="30"/>
    <x v="0"/>
    <x v="10"/>
    <n v="0"/>
    <x v="0"/>
  </r>
  <r>
    <x v="30"/>
    <x v="1"/>
    <x v="192"/>
    <x v="3"/>
    <x v="8"/>
    <x v="30"/>
    <x v="0"/>
    <x v="11"/>
    <n v="0"/>
    <x v="0"/>
  </r>
  <r>
    <x v="30"/>
    <x v="1"/>
    <x v="193"/>
    <x v="2"/>
    <x v="2"/>
    <x v="3"/>
    <x v="0"/>
    <x v="0"/>
    <n v="1989.0648575424839"/>
    <x v="0"/>
  </r>
  <r>
    <x v="30"/>
    <x v="1"/>
    <x v="193"/>
    <x v="2"/>
    <x v="2"/>
    <x v="3"/>
    <x v="0"/>
    <x v="1"/>
    <n v="0"/>
    <x v="0"/>
  </r>
  <r>
    <x v="30"/>
    <x v="1"/>
    <x v="193"/>
    <x v="2"/>
    <x v="2"/>
    <x v="3"/>
    <x v="0"/>
    <x v="2"/>
    <n v="0"/>
    <x v="0"/>
  </r>
  <r>
    <x v="30"/>
    <x v="1"/>
    <x v="193"/>
    <x v="2"/>
    <x v="2"/>
    <x v="3"/>
    <x v="0"/>
    <x v="3"/>
    <n v="0"/>
    <x v="0"/>
  </r>
  <r>
    <x v="30"/>
    <x v="1"/>
    <x v="193"/>
    <x v="2"/>
    <x v="2"/>
    <x v="3"/>
    <x v="0"/>
    <x v="4"/>
    <n v="81.353771734867308"/>
    <x v="0"/>
  </r>
  <r>
    <x v="30"/>
    <x v="1"/>
    <x v="193"/>
    <x v="2"/>
    <x v="2"/>
    <x v="3"/>
    <x v="0"/>
    <x v="5"/>
    <n v="0"/>
    <x v="0"/>
  </r>
  <r>
    <x v="30"/>
    <x v="1"/>
    <x v="193"/>
    <x v="2"/>
    <x v="2"/>
    <x v="3"/>
    <x v="0"/>
    <x v="6"/>
    <n v="0"/>
    <x v="0"/>
  </r>
  <r>
    <x v="30"/>
    <x v="1"/>
    <x v="193"/>
    <x v="2"/>
    <x v="2"/>
    <x v="3"/>
    <x v="0"/>
    <x v="7"/>
    <n v="0"/>
    <x v="0"/>
  </r>
  <r>
    <x v="30"/>
    <x v="1"/>
    <x v="193"/>
    <x v="2"/>
    <x v="2"/>
    <x v="3"/>
    <x v="0"/>
    <x v="8"/>
    <n v="0"/>
    <x v="0"/>
  </r>
  <r>
    <x v="30"/>
    <x v="1"/>
    <x v="193"/>
    <x v="2"/>
    <x v="2"/>
    <x v="3"/>
    <x v="0"/>
    <x v="9"/>
    <n v="0"/>
    <x v="0"/>
  </r>
  <r>
    <x v="30"/>
    <x v="1"/>
    <x v="193"/>
    <x v="2"/>
    <x v="2"/>
    <x v="3"/>
    <x v="0"/>
    <x v="10"/>
    <n v="0"/>
    <x v="0"/>
  </r>
  <r>
    <x v="30"/>
    <x v="1"/>
    <x v="193"/>
    <x v="2"/>
    <x v="2"/>
    <x v="3"/>
    <x v="0"/>
    <x v="11"/>
    <n v="0"/>
    <x v="0"/>
  </r>
  <r>
    <x v="30"/>
    <x v="1"/>
    <x v="194"/>
    <x v="0"/>
    <x v="2"/>
    <x v="2"/>
    <x v="0"/>
    <x v="0"/>
    <n v="0"/>
    <x v="0"/>
  </r>
  <r>
    <x v="30"/>
    <x v="1"/>
    <x v="194"/>
    <x v="0"/>
    <x v="2"/>
    <x v="2"/>
    <x v="0"/>
    <x v="1"/>
    <n v="81.834883334717262"/>
    <x v="0"/>
  </r>
  <r>
    <x v="30"/>
    <x v="1"/>
    <x v="194"/>
    <x v="0"/>
    <x v="2"/>
    <x v="2"/>
    <x v="0"/>
    <x v="2"/>
    <n v="0"/>
    <x v="0"/>
  </r>
  <r>
    <x v="30"/>
    <x v="1"/>
    <x v="194"/>
    <x v="0"/>
    <x v="2"/>
    <x v="2"/>
    <x v="0"/>
    <x v="3"/>
    <n v="0"/>
    <x v="0"/>
  </r>
  <r>
    <x v="30"/>
    <x v="1"/>
    <x v="194"/>
    <x v="0"/>
    <x v="2"/>
    <x v="2"/>
    <x v="0"/>
    <x v="4"/>
    <n v="0"/>
    <x v="0"/>
  </r>
  <r>
    <x v="30"/>
    <x v="1"/>
    <x v="194"/>
    <x v="0"/>
    <x v="2"/>
    <x v="2"/>
    <x v="0"/>
    <x v="5"/>
    <n v="323.94609536973047"/>
    <x v="0"/>
  </r>
  <r>
    <x v="30"/>
    <x v="1"/>
    <x v="194"/>
    <x v="0"/>
    <x v="2"/>
    <x v="2"/>
    <x v="0"/>
    <x v="6"/>
    <n v="0"/>
    <x v="0"/>
  </r>
  <r>
    <x v="30"/>
    <x v="1"/>
    <x v="194"/>
    <x v="0"/>
    <x v="2"/>
    <x v="2"/>
    <x v="0"/>
    <x v="7"/>
    <n v="1075.384449940854"/>
    <x v="0"/>
  </r>
  <r>
    <x v="30"/>
    <x v="1"/>
    <x v="194"/>
    <x v="0"/>
    <x v="2"/>
    <x v="2"/>
    <x v="0"/>
    <x v="8"/>
    <n v="0"/>
    <x v="0"/>
  </r>
  <r>
    <x v="30"/>
    <x v="1"/>
    <x v="194"/>
    <x v="0"/>
    <x v="2"/>
    <x v="2"/>
    <x v="0"/>
    <x v="9"/>
    <n v="0"/>
    <x v="0"/>
  </r>
  <r>
    <x v="30"/>
    <x v="1"/>
    <x v="194"/>
    <x v="0"/>
    <x v="2"/>
    <x v="2"/>
    <x v="0"/>
    <x v="10"/>
    <n v="0"/>
    <x v="0"/>
  </r>
  <r>
    <x v="30"/>
    <x v="1"/>
    <x v="194"/>
    <x v="0"/>
    <x v="2"/>
    <x v="2"/>
    <x v="0"/>
    <x v="11"/>
    <n v="0"/>
    <x v="0"/>
  </r>
  <r>
    <x v="30"/>
    <x v="0"/>
    <x v="195"/>
    <x v="2"/>
    <x v="1"/>
    <x v="16"/>
    <x v="0"/>
    <x v="0"/>
    <n v="1897.0142842982852"/>
    <x v="0"/>
  </r>
  <r>
    <x v="30"/>
    <x v="0"/>
    <x v="195"/>
    <x v="2"/>
    <x v="1"/>
    <x v="16"/>
    <x v="0"/>
    <x v="1"/>
    <n v="1795.1102300091338"/>
    <x v="0"/>
  </r>
  <r>
    <x v="30"/>
    <x v="0"/>
    <x v="195"/>
    <x v="2"/>
    <x v="1"/>
    <x v="16"/>
    <x v="0"/>
    <x v="2"/>
    <n v="1804.5561145950637"/>
    <x v="0"/>
  </r>
  <r>
    <x v="30"/>
    <x v="0"/>
    <x v="195"/>
    <x v="2"/>
    <x v="1"/>
    <x v="16"/>
    <x v="0"/>
    <x v="3"/>
    <n v="1841.7532859791281"/>
    <x v="0"/>
  </r>
  <r>
    <x v="30"/>
    <x v="0"/>
    <x v="195"/>
    <x v="2"/>
    <x v="1"/>
    <x v="16"/>
    <x v="0"/>
    <x v="4"/>
    <n v="1374.4977556979127"/>
    <x v="0"/>
  </r>
  <r>
    <x v="30"/>
    <x v="0"/>
    <x v="195"/>
    <x v="2"/>
    <x v="1"/>
    <x v="16"/>
    <x v="0"/>
    <x v="5"/>
    <n v="1599.5486351071181"/>
    <x v="0"/>
  </r>
  <r>
    <x v="30"/>
    <x v="0"/>
    <x v="195"/>
    <x v="2"/>
    <x v="1"/>
    <x v="16"/>
    <x v="0"/>
    <x v="6"/>
    <n v="1563.6300610094288"/>
    <x v="0"/>
  </r>
  <r>
    <x v="30"/>
    <x v="0"/>
    <x v="195"/>
    <x v="2"/>
    <x v="1"/>
    <x v="16"/>
    <x v="0"/>
    <x v="7"/>
    <n v="1543.9326809334336"/>
    <x v="0"/>
  </r>
  <r>
    <x v="30"/>
    <x v="0"/>
    <x v="195"/>
    <x v="2"/>
    <x v="1"/>
    <x v="16"/>
    <x v="0"/>
    <x v="8"/>
    <n v="1792.5384092160525"/>
    <x v="0"/>
  </r>
  <r>
    <x v="30"/>
    <x v="0"/>
    <x v="195"/>
    <x v="2"/>
    <x v="1"/>
    <x v="16"/>
    <x v="0"/>
    <x v="9"/>
    <n v="1457.5528227939667"/>
    <x v="0"/>
  </r>
  <r>
    <x v="30"/>
    <x v="0"/>
    <x v="195"/>
    <x v="2"/>
    <x v="1"/>
    <x v="16"/>
    <x v="0"/>
    <x v="10"/>
    <n v="1457.5528227939667"/>
    <x v="0"/>
  </r>
  <r>
    <x v="30"/>
    <x v="0"/>
    <x v="195"/>
    <x v="2"/>
    <x v="1"/>
    <x v="16"/>
    <x v="0"/>
    <x v="11"/>
    <n v="1457.5528227939667"/>
    <x v="0"/>
  </r>
  <r>
    <x v="30"/>
    <x v="0"/>
    <x v="196"/>
    <x v="2"/>
    <x v="1"/>
    <x v="16"/>
    <x v="0"/>
    <x v="0"/>
    <n v="214.76007445015915"/>
    <x v="0"/>
  </r>
  <r>
    <x v="30"/>
    <x v="0"/>
    <x v="196"/>
    <x v="2"/>
    <x v="1"/>
    <x v="16"/>
    <x v="0"/>
    <x v="1"/>
    <n v="202.39973428547702"/>
    <x v="0"/>
  </r>
  <r>
    <x v="30"/>
    <x v="0"/>
    <x v="196"/>
    <x v="2"/>
    <x v="1"/>
    <x v="16"/>
    <x v="0"/>
    <x v="2"/>
    <n v="201.46084944159185"/>
    <x v="0"/>
  </r>
  <r>
    <x v="30"/>
    <x v="0"/>
    <x v="196"/>
    <x v="2"/>
    <x v="1"/>
    <x v="16"/>
    <x v="0"/>
    <x v="3"/>
    <n v="0"/>
    <x v="0"/>
  </r>
  <r>
    <x v="30"/>
    <x v="0"/>
    <x v="196"/>
    <x v="2"/>
    <x v="1"/>
    <x v="16"/>
    <x v="0"/>
    <x v="4"/>
    <n v="239.68274720006974"/>
    <x v="0"/>
  </r>
  <r>
    <x v="30"/>
    <x v="0"/>
    <x v="196"/>
    <x v="2"/>
    <x v="1"/>
    <x v="16"/>
    <x v="0"/>
    <x v="5"/>
    <n v="237.56046993780234"/>
    <x v="0"/>
  </r>
  <r>
    <x v="30"/>
    <x v="0"/>
    <x v="196"/>
    <x v="2"/>
    <x v="1"/>
    <x v="16"/>
    <x v="0"/>
    <x v="6"/>
    <n v="234.65164896113316"/>
    <x v="0"/>
  </r>
  <r>
    <x v="30"/>
    <x v="0"/>
    <x v="196"/>
    <x v="2"/>
    <x v="1"/>
    <x v="16"/>
    <x v="0"/>
    <x v="7"/>
    <n v="236.58457898698785"/>
    <x v="0"/>
  </r>
  <r>
    <x v="30"/>
    <x v="0"/>
    <x v="196"/>
    <x v="2"/>
    <x v="1"/>
    <x v="16"/>
    <x v="0"/>
    <x v="8"/>
    <n v="237.52712667753534"/>
    <x v="0"/>
  </r>
  <r>
    <x v="30"/>
    <x v="0"/>
    <x v="196"/>
    <x v="2"/>
    <x v="1"/>
    <x v="16"/>
    <x v="0"/>
    <x v="9"/>
    <n v="237.52712667753534"/>
    <x v="0"/>
  </r>
  <r>
    <x v="30"/>
    <x v="0"/>
    <x v="196"/>
    <x v="2"/>
    <x v="1"/>
    <x v="16"/>
    <x v="0"/>
    <x v="10"/>
    <n v="237.52712667753534"/>
    <x v="0"/>
  </r>
  <r>
    <x v="30"/>
    <x v="0"/>
    <x v="196"/>
    <x v="2"/>
    <x v="1"/>
    <x v="16"/>
    <x v="0"/>
    <x v="11"/>
    <n v="237.52712667753534"/>
    <x v="0"/>
  </r>
  <r>
    <x v="30"/>
    <x v="0"/>
    <x v="197"/>
    <x v="2"/>
    <x v="1"/>
    <x v="16"/>
    <x v="0"/>
    <x v="0"/>
    <n v="0"/>
    <x v="0"/>
  </r>
  <r>
    <x v="30"/>
    <x v="0"/>
    <x v="197"/>
    <x v="2"/>
    <x v="1"/>
    <x v="16"/>
    <x v="0"/>
    <x v="1"/>
    <n v="202.39973428547702"/>
    <x v="0"/>
  </r>
  <r>
    <x v="30"/>
    <x v="0"/>
    <x v="197"/>
    <x v="2"/>
    <x v="1"/>
    <x v="16"/>
    <x v="0"/>
    <x v="2"/>
    <n v="0"/>
    <x v="0"/>
  </r>
  <r>
    <x v="30"/>
    <x v="0"/>
    <x v="197"/>
    <x v="2"/>
    <x v="1"/>
    <x v="16"/>
    <x v="0"/>
    <x v="3"/>
    <n v="0"/>
    <x v="0"/>
  </r>
  <r>
    <x v="30"/>
    <x v="0"/>
    <x v="197"/>
    <x v="2"/>
    <x v="1"/>
    <x v="16"/>
    <x v="0"/>
    <x v="4"/>
    <n v="212.44607138187999"/>
    <x v="0"/>
  </r>
  <r>
    <x v="30"/>
    <x v="0"/>
    <x v="197"/>
    <x v="2"/>
    <x v="1"/>
    <x v="16"/>
    <x v="0"/>
    <x v="5"/>
    <n v="0"/>
    <x v="0"/>
  </r>
  <r>
    <x v="30"/>
    <x v="0"/>
    <x v="197"/>
    <x v="2"/>
    <x v="1"/>
    <x v="16"/>
    <x v="0"/>
    <x v="6"/>
    <n v="0"/>
    <x v="0"/>
  </r>
  <r>
    <x v="30"/>
    <x v="0"/>
    <x v="197"/>
    <x v="2"/>
    <x v="1"/>
    <x v="16"/>
    <x v="0"/>
    <x v="7"/>
    <n v="0"/>
    <x v="0"/>
  </r>
  <r>
    <x v="30"/>
    <x v="0"/>
    <x v="197"/>
    <x v="2"/>
    <x v="1"/>
    <x v="16"/>
    <x v="0"/>
    <x v="8"/>
    <n v="0"/>
    <x v="0"/>
  </r>
  <r>
    <x v="30"/>
    <x v="0"/>
    <x v="197"/>
    <x v="2"/>
    <x v="1"/>
    <x v="16"/>
    <x v="0"/>
    <x v="9"/>
    <n v="0"/>
    <x v="0"/>
  </r>
  <r>
    <x v="30"/>
    <x v="0"/>
    <x v="197"/>
    <x v="2"/>
    <x v="1"/>
    <x v="16"/>
    <x v="0"/>
    <x v="10"/>
    <n v="0"/>
    <x v="0"/>
  </r>
  <r>
    <x v="30"/>
    <x v="0"/>
    <x v="197"/>
    <x v="2"/>
    <x v="1"/>
    <x v="16"/>
    <x v="0"/>
    <x v="11"/>
    <n v="0"/>
    <x v="0"/>
  </r>
  <r>
    <x v="30"/>
    <x v="0"/>
    <x v="198"/>
    <x v="2"/>
    <x v="2"/>
    <x v="3"/>
    <x v="0"/>
    <x v="0"/>
    <n v="135.91228978292713"/>
    <x v="0"/>
  </r>
  <r>
    <x v="30"/>
    <x v="0"/>
    <x v="198"/>
    <x v="2"/>
    <x v="2"/>
    <x v="3"/>
    <x v="0"/>
    <x v="1"/>
    <n v="129.00751473885245"/>
    <x v="0"/>
  </r>
  <r>
    <x v="30"/>
    <x v="0"/>
    <x v="198"/>
    <x v="2"/>
    <x v="2"/>
    <x v="3"/>
    <x v="0"/>
    <x v="2"/>
    <n v="128.10637132850516"/>
    <x v="0"/>
  </r>
  <r>
    <x v="30"/>
    <x v="0"/>
    <x v="198"/>
    <x v="2"/>
    <x v="2"/>
    <x v="3"/>
    <x v="0"/>
    <x v="3"/>
    <n v="0"/>
    <x v="0"/>
  </r>
  <r>
    <x v="30"/>
    <x v="0"/>
    <x v="198"/>
    <x v="2"/>
    <x v="2"/>
    <x v="3"/>
    <x v="0"/>
    <x v="4"/>
    <n v="138.55188042009848"/>
    <x v="0"/>
  </r>
  <r>
    <x v="30"/>
    <x v="0"/>
    <x v="198"/>
    <x v="2"/>
    <x v="2"/>
    <x v="3"/>
    <x v="0"/>
    <x v="5"/>
    <n v="136.38562543192813"/>
    <x v="0"/>
  </r>
  <r>
    <x v="30"/>
    <x v="0"/>
    <x v="198"/>
    <x v="2"/>
    <x v="2"/>
    <x v="3"/>
    <x v="0"/>
    <x v="6"/>
    <n v="0"/>
    <x v="0"/>
  </r>
  <r>
    <x v="30"/>
    <x v="0"/>
    <x v="198"/>
    <x v="2"/>
    <x v="2"/>
    <x v="3"/>
    <x v="0"/>
    <x v="7"/>
    <n v="0"/>
    <x v="0"/>
  </r>
  <r>
    <x v="30"/>
    <x v="0"/>
    <x v="198"/>
    <x v="2"/>
    <x v="2"/>
    <x v="3"/>
    <x v="0"/>
    <x v="8"/>
    <n v="0"/>
    <x v="0"/>
  </r>
  <r>
    <x v="30"/>
    <x v="0"/>
    <x v="198"/>
    <x v="2"/>
    <x v="2"/>
    <x v="3"/>
    <x v="0"/>
    <x v="9"/>
    <n v="0"/>
    <x v="0"/>
  </r>
  <r>
    <x v="30"/>
    <x v="0"/>
    <x v="198"/>
    <x v="2"/>
    <x v="2"/>
    <x v="3"/>
    <x v="0"/>
    <x v="10"/>
    <n v="0"/>
    <x v="0"/>
  </r>
  <r>
    <x v="30"/>
    <x v="0"/>
    <x v="198"/>
    <x v="2"/>
    <x v="2"/>
    <x v="3"/>
    <x v="0"/>
    <x v="11"/>
    <n v="0"/>
    <x v="0"/>
  </r>
  <r>
    <x v="30"/>
    <x v="0"/>
    <x v="199"/>
    <x v="2"/>
    <x v="2"/>
    <x v="3"/>
    <x v="0"/>
    <x v="0"/>
    <n v="0"/>
    <x v="0"/>
  </r>
  <r>
    <x v="30"/>
    <x v="0"/>
    <x v="199"/>
    <x v="2"/>
    <x v="2"/>
    <x v="3"/>
    <x v="0"/>
    <x v="1"/>
    <n v="129.0843228431454"/>
    <x v="0"/>
  </r>
  <r>
    <x v="30"/>
    <x v="0"/>
    <x v="199"/>
    <x v="2"/>
    <x v="2"/>
    <x v="3"/>
    <x v="0"/>
    <x v="2"/>
    <n v="0"/>
    <x v="0"/>
  </r>
  <r>
    <x v="30"/>
    <x v="0"/>
    <x v="199"/>
    <x v="2"/>
    <x v="2"/>
    <x v="3"/>
    <x v="0"/>
    <x v="3"/>
    <n v="0"/>
    <x v="0"/>
  </r>
  <r>
    <x v="30"/>
    <x v="0"/>
    <x v="199"/>
    <x v="2"/>
    <x v="2"/>
    <x v="3"/>
    <x v="0"/>
    <x v="4"/>
    <n v="134.70824072863556"/>
    <x v="0"/>
  </r>
  <r>
    <x v="30"/>
    <x v="0"/>
    <x v="199"/>
    <x v="2"/>
    <x v="2"/>
    <x v="3"/>
    <x v="0"/>
    <x v="5"/>
    <n v="0"/>
    <x v="0"/>
  </r>
  <r>
    <x v="30"/>
    <x v="0"/>
    <x v="199"/>
    <x v="2"/>
    <x v="2"/>
    <x v="3"/>
    <x v="0"/>
    <x v="6"/>
    <n v="0"/>
    <x v="0"/>
  </r>
  <r>
    <x v="30"/>
    <x v="0"/>
    <x v="199"/>
    <x v="2"/>
    <x v="2"/>
    <x v="3"/>
    <x v="0"/>
    <x v="7"/>
    <n v="0"/>
    <x v="0"/>
  </r>
  <r>
    <x v="30"/>
    <x v="0"/>
    <x v="199"/>
    <x v="2"/>
    <x v="2"/>
    <x v="3"/>
    <x v="0"/>
    <x v="8"/>
    <n v="0"/>
    <x v="0"/>
  </r>
  <r>
    <x v="30"/>
    <x v="0"/>
    <x v="199"/>
    <x v="2"/>
    <x v="2"/>
    <x v="3"/>
    <x v="0"/>
    <x v="9"/>
    <n v="0"/>
    <x v="0"/>
  </r>
  <r>
    <x v="30"/>
    <x v="0"/>
    <x v="199"/>
    <x v="2"/>
    <x v="2"/>
    <x v="3"/>
    <x v="0"/>
    <x v="10"/>
    <n v="0"/>
    <x v="0"/>
  </r>
  <r>
    <x v="30"/>
    <x v="0"/>
    <x v="199"/>
    <x v="2"/>
    <x v="2"/>
    <x v="3"/>
    <x v="0"/>
    <x v="11"/>
    <n v="0"/>
    <x v="0"/>
  </r>
  <r>
    <x v="30"/>
    <x v="1"/>
    <x v="200"/>
    <x v="2"/>
    <x v="2"/>
    <x v="3"/>
    <x v="0"/>
    <x v="0"/>
    <n v="176.2133944206434"/>
    <x v="0"/>
  </r>
  <r>
    <x v="30"/>
    <x v="1"/>
    <x v="200"/>
    <x v="2"/>
    <x v="2"/>
    <x v="3"/>
    <x v="0"/>
    <x v="1"/>
    <n v="0"/>
    <x v="0"/>
  </r>
  <r>
    <x v="30"/>
    <x v="1"/>
    <x v="200"/>
    <x v="2"/>
    <x v="2"/>
    <x v="3"/>
    <x v="0"/>
    <x v="2"/>
    <n v="0"/>
    <x v="0"/>
  </r>
  <r>
    <x v="30"/>
    <x v="1"/>
    <x v="200"/>
    <x v="2"/>
    <x v="2"/>
    <x v="3"/>
    <x v="0"/>
    <x v="3"/>
    <n v="0"/>
    <x v="0"/>
  </r>
  <r>
    <x v="30"/>
    <x v="1"/>
    <x v="200"/>
    <x v="2"/>
    <x v="2"/>
    <x v="3"/>
    <x v="0"/>
    <x v="4"/>
    <n v="0"/>
    <x v="0"/>
  </r>
  <r>
    <x v="30"/>
    <x v="1"/>
    <x v="200"/>
    <x v="2"/>
    <x v="2"/>
    <x v="3"/>
    <x v="0"/>
    <x v="5"/>
    <n v="0"/>
    <x v="0"/>
  </r>
  <r>
    <x v="30"/>
    <x v="1"/>
    <x v="200"/>
    <x v="2"/>
    <x v="2"/>
    <x v="3"/>
    <x v="0"/>
    <x v="6"/>
    <n v="0"/>
    <x v="0"/>
  </r>
  <r>
    <x v="30"/>
    <x v="1"/>
    <x v="200"/>
    <x v="2"/>
    <x v="2"/>
    <x v="3"/>
    <x v="0"/>
    <x v="7"/>
    <n v="0"/>
    <x v="0"/>
  </r>
  <r>
    <x v="30"/>
    <x v="1"/>
    <x v="200"/>
    <x v="2"/>
    <x v="2"/>
    <x v="3"/>
    <x v="0"/>
    <x v="8"/>
    <n v="0"/>
    <x v="0"/>
  </r>
  <r>
    <x v="30"/>
    <x v="1"/>
    <x v="200"/>
    <x v="2"/>
    <x v="2"/>
    <x v="3"/>
    <x v="0"/>
    <x v="9"/>
    <n v="0"/>
    <x v="0"/>
  </r>
  <r>
    <x v="30"/>
    <x v="1"/>
    <x v="200"/>
    <x v="2"/>
    <x v="2"/>
    <x v="3"/>
    <x v="0"/>
    <x v="10"/>
    <n v="0"/>
    <x v="0"/>
  </r>
  <r>
    <x v="30"/>
    <x v="1"/>
    <x v="200"/>
    <x v="2"/>
    <x v="2"/>
    <x v="3"/>
    <x v="0"/>
    <x v="11"/>
    <n v="0"/>
    <x v="0"/>
  </r>
  <r>
    <x v="30"/>
    <x v="1"/>
    <x v="201"/>
    <x v="2"/>
    <x v="3"/>
    <x v="31"/>
    <x v="0"/>
    <x v="0"/>
    <n v="0"/>
    <x v="0"/>
  </r>
  <r>
    <x v="30"/>
    <x v="1"/>
    <x v="201"/>
    <x v="2"/>
    <x v="3"/>
    <x v="31"/>
    <x v="0"/>
    <x v="1"/>
    <n v="0"/>
    <x v="0"/>
  </r>
  <r>
    <x v="30"/>
    <x v="1"/>
    <x v="201"/>
    <x v="2"/>
    <x v="3"/>
    <x v="31"/>
    <x v="0"/>
    <x v="2"/>
    <n v="0"/>
    <x v="0"/>
  </r>
  <r>
    <x v="30"/>
    <x v="1"/>
    <x v="201"/>
    <x v="2"/>
    <x v="3"/>
    <x v="31"/>
    <x v="0"/>
    <x v="3"/>
    <n v="0"/>
    <x v="0"/>
  </r>
  <r>
    <x v="30"/>
    <x v="1"/>
    <x v="201"/>
    <x v="2"/>
    <x v="3"/>
    <x v="31"/>
    <x v="0"/>
    <x v="4"/>
    <n v="0"/>
    <x v="0"/>
  </r>
  <r>
    <x v="30"/>
    <x v="1"/>
    <x v="201"/>
    <x v="2"/>
    <x v="3"/>
    <x v="31"/>
    <x v="0"/>
    <x v="5"/>
    <n v="0"/>
    <x v="0"/>
  </r>
  <r>
    <x v="30"/>
    <x v="1"/>
    <x v="201"/>
    <x v="2"/>
    <x v="3"/>
    <x v="31"/>
    <x v="0"/>
    <x v="6"/>
    <n v="0"/>
    <x v="0"/>
  </r>
  <r>
    <x v="30"/>
    <x v="1"/>
    <x v="201"/>
    <x v="2"/>
    <x v="3"/>
    <x v="31"/>
    <x v="0"/>
    <x v="7"/>
    <n v="0"/>
    <x v="0"/>
  </r>
  <r>
    <x v="30"/>
    <x v="1"/>
    <x v="201"/>
    <x v="2"/>
    <x v="3"/>
    <x v="31"/>
    <x v="0"/>
    <x v="8"/>
    <n v="0"/>
    <x v="0"/>
  </r>
  <r>
    <x v="30"/>
    <x v="1"/>
    <x v="201"/>
    <x v="2"/>
    <x v="3"/>
    <x v="31"/>
    <x v="0"/>
    <x v="9"/>
    <n v="0"/>
    <x v="0"/>
  </r>
  <r>
    <x v="30"/>
    <x v="1"/>
    <x v="201"/>
    <x v="2"/>
    <x v="3"/>
    <x v="31"/>
    <x v="0"/>
    <x v="10"/>
    <n v="0"/>
    <x v="0"/>
  </r>
  <r>
    <x v="30"/>
    <x v="1"/>
    <x v="201"/>
    <x v="2"/>
    <x v="3"/>
    <x v="31"/>
    <x v="0"/>
    <x v="11"/>
    <n v="0"/>
    <x v="0"/>
  </r>
  <r>
    <x v="30"/>
    <x v="1"/>
    <x v="202"/>
    <x v="2"/>
    <x v="2"/>
    <x v="3"/>
    <x v="0"/>
    <x v="0"/>
    <n v="8634.1479531712903"/>
    <x v="0"/>
  </r>
  <r>
    <x v="30"/>
    <x v="1"/>
    <x v="202"/>
    <x v="2"/>
    <x v="2"/>
    <x v="3"/>
    <x v="0"/>
    <x v="1"/>
    <n v="0"/>
    <x v="0"/>
  </r>
  <r>
    <x v="30"/>
    <x v="1"/>
    <x v="202"/>
    <x v="2"/>
    <x v="2"/>
    <x v="3"/>
    <x v="0"/>
    <x v="2"/>
    <n v="172.01657144628228"/>
    <x v="0"/>
  </r>
  <r>
    <x v="30"/>
    <x v="1"/>
    <x v="202"/>
    <x v="2"/>
    <x v="2"/>
    <x v="3"/>
    <x v="0"/>
    <x v="3"/>
    <n v="0"/>
    <x v="0"/>
  </r>
  <r>
    <x v="30"/>
    <x v="1"/>
    <x v="202"/>
    <x v="2"/>
    <x v="2"/>
    <x v="3"/>
    <x v="0"/>
    <x v="4"/>
    <n v="0"/>
    <x v="0"/>
  </r>
  <r>
    <x v="30"/>
    <x v="1"/>
    <x v="202"/>
    <x v="2"/>
    <x v="2"/>
    <x v="3"/>
    <x v="0"/>
    <x v="5"/>
    <n v="0"/>
    <x v="0"/>
  </r>
  <r>
    <x v="30"/>
    <x v="1"/>
    <x v="202"/>
    <x v="2"/>
    <x v="2"/>
    <x v="3"/>
    <x v="0"/>
    <x v="6"/>
    <n v="0"/>
    <x v="0"/>
  </r>
  <r>
    <x v="30"/>
    <x v="1"/>
    <x v="202"/>
    <x v="2"/>
    <x v="2"/>
    <x v="3"/>
    <x v="0"/>
    <x v="7"/>
    <n v="0"/>
    <x v="0"/>
  </r>
  <r>
    <x v="30"/>
    <x v="1"/>
    <x v="202"/>
    <x v="2"/>
    <x v="2"/>
    <x v="3"/>
    <x v="0"/>
    <x v="8"/>
    <n v="0"/>
    <x v="0"/>
  </r>
  <r>
    <x v="30"/>
    <x v="1"/>
    <x v="202"/>
    <x v="2"/>
    <x v="2"/>
    <x v="3"/>
    <x v="0"/>
    <x v="9"/>
    <n v="0"/>
    <x v="0"/>
  </r>
  <r>
    <x v="30"/>
    <x v="1"/>
    <x v="202"/>
    <x v="2"/>
    <x v="2"/>
    <x v="3"/>
    <x v="0"/>
    <x v="10"/>
    <n v="0"/>
    <x v="0"/>
  </r>
  <r>
    <x v="30"/>
    <x v="1"/>
    <x v="202"/>
    <x v="2"/>
    <x v="2"/>
    <x v="3"/>
    <x v="0"/>
    <x v="11"/>
    <n v="0"/>
    <x v="0"/>
  </r>
  <r>
    <x v="30"/>
    <x v="1"/>
    <x v="203"/>
    <x v="2"/>
    <x v="2"/>
    <x v="3"/>
    <x v="0"/>
    <x v="0"/>
    <n v="72.737585215696214"/>
    <x v="0"/>
  </r>
  <r>
    <x v="30"/>
    <x v="1"/>
    <x v="203"/>
    <x v="2"/>
    <x v="2"/>
    <x v="3"/>
    <x v="0"/>
    <x v="1"/>
    <n v="168.21597608569292"/>
    <x v="0"/>
  </r>
  <r>
    <x v="30"/>
    <x v="1"/>
    <x v="203"/>
    <x v="2"/>
    <x v="2"/>
    <x v="3"/>
    <x v="0"/>
    <x v="2"/>
    <n v="0"/>
    <x v="0"/>
  </r>
  <r>
    <x v="30"/>
    <x v="1"/>
    <x v="203"/>
    <x v="2"/>
    <x v="2"/>
    <x v="3"/>
    <x v="0"/>
    <x v="3"/>
    <n v="0"/>
    <x v="0"/>
  </r>
  <r>
    <x v="30"/>
    <x v="1"/>
    <x v="203"/>
    <x v="2"/>
    <x v="2"/>
    <x v="3"/>
    <x v="0"/>
    <x v="4"/>
    <n v="58.340959602562428"/>
    <x v="0"/>
  </r>
  <r>
    <x v="30"/>
    <x v="1"/>
    <x v="203"/>
    <x v="2"/>
    <x v="2"/>
    <x v="3"/>
    <x v="0"/>
    <x v="5"/>
    <n v="0"/>
    <x v="0"/>
  </r>
  <r>
    <x v="30"/>
    <x v="1"/>
    <x v="203"/>
    <x v="2"/>
    <x v="2"/>
    <x v="3"/>
    <x v="0"/>
    <x v="6"/>
    <n v="0"/>
    <x v="0"/>
  </r>
  <r>
    <x v="30"/>
    <x v="1"/>
    <x v="203"/>
    <x v="2"/>
    <x v="2"/>
    <x v="3"/>
    <x v="0"/>
    <x v="7"/>
    <n v="0"/>
    <x v="0"/>
  </r>
  <r>
    <x v="30"/>
    <x v="1"/>
    <x v="203"/>
    <x v="2"/>
    <x v="2"/>
    <x v="3"/>
    <x v="0"/>
    <x v="8"/>
    <n v="0"/>
    <x v="0"/>
  </r>
  <r>
    <x v="30"/>
    <x v="1"/>
    <x v="203"/>
    <x v="2"/>
    <x v="2"/>
    <x v="3"/>
    <x v="0"/>
    <x v="9"/>
    <n v="0"/>
    <x v="0"/>
  </r>
  <r>
    <x v="30"/>
    <x v="1"/>
    <x v="203"/>
    <x v="2"/>
    <x v="2"/>
    <x v="3"/>
    <x v="0"/>
    <x v="10"/>
    <n v="0"/>
    <x v="0"/>
  </r>
  <r>
    <x v="30"/>
    <x v="1"/>
    <x v="203"/>
    <x v="2"/>
    <x v="2"/>
    <x v="3"/>
    <x v="0"/>
    <x v="11"/>
    <n v="0"/>
    <x v="0"/>
  </r>
  <r>
    <x v="30"/>
    <x v="0"/>
    <x v="204"/>
    <x v="2"/>
    <x v="3"/>
    <x v="3"/>
    <x v="0"/>
    <x v="0"/>
    <n v="0"/>
    <x v="0"/>
  </r>
  <r>
    <x v="30"/>
    <x v="0"/>
    <x v="204"/>
    <x v="2"/>
    <x v="3"/>
    <x v="3"/>
    <x v="0"/>
    <x v="1"/>
    <n v="0"/>
    <x v="0"/>
  </r>
  <r>
    <x v="30"/>
    <x v="0"/>
    <x v="204"/>
    <x v="2"/>
    <x v="3"/>
    <x v="3"/>
    <x v="0"/>
    <x v="2"/>
    <n v="0"/>
    <x v="0"/>
  </r>
  <r>
    <x v="30"/>
    <x v="0"/>
    <x v="204"/>
    <x v="2"/>
    <x v="3"/>
    <x v="3"/>
    <x v="0"/>
    <x v="3"/>
    <n v="0"/>
    <x v="0"/>
  </r>
  <r>
    <x v="30"/>
    <x v="0"/>
    <x v="204"/>
    <x v="2"/>
    <x v="3"/>
    <x v="3"/>
    <x v="0"/>
    <x v="4"/>
    <n v="0"/>
    <x v="0"/>
  </r>
  <r>
    <x v="30"/>
    <x v="0"/>
    <x v="204"/>
    <x v="2"/>
    <x v="3"/>
    <x v="3"/>
    <x v="0"/>
    <x v="5"/>
    <n v="0"/>
    <x v="0"/>
  </r>
  <r>
    <x v="30"/>
    <x v="0"/>
    <x v="204"/>
    <x v="2"/>
    <x v="3"/>
    <x v="3"/>
    <x v="0"/>
    <x v="6"/>
    <n v="270.24937070694142"/>
    <x v="0"/>
  </r>
  <r>
    <x v="30"/>
    <x v="0"/>
    <x v="204"/>
    <x v="2"/>
    <x v="3"/>
    <x v="3"/>
    <x v="0"/>
    <x v="7"/>
    <n v="354.15958705237125"/>
    <x v="0"/>
  </r>
  <r>
    <x v="30"/>
    <x v="0"/>
    <x v="204"/>
    <x v="2"/>
    <x v="3"/>
    <x v="3"/>
    <x v="0"/>
    <x v="8"/>
    <n v="248.09168547089752"/>
    <x v="0"/>
  </r>
  <r>
    <x v="30"/>
    <x v="0"/>
    <x v="204"/>
    <x v="2"/>
    <x v="3"/>
    <x v="3"/>
    <x v="0"/>
    <x v="9"/>
    <n v="0"/>
    <x v="0"/>
  </r>
  <r>
    <x v="30"/>
    <x v="0"/>
    <x v="204"/>
    <x v="2"/>
    <x v="3"/>
    <x v="3"/>
    <x v="0"/>
    <x v="10"/>
    <n v="0"/>
    <x v="0"/>
  </r>
  <r>
    <x v="30"/>
    <x v="0"/>
    <x v="204"/>
    <x v="2"/>
    <x v="3"/>
    <x v="3"/>
    <x v="0"/>
    <x v="11"/>
    <n v="0"/>
    <x v="0"/>
  </r>
  <r>
    <x v="30"/>
    <x v="1"/>
    <x v="205"/>
    <x v="2"/>
    <x v="2"/>
    <x v="3"/>
    <x v="0"/>
    <x v="0"/>
    <n v="0"/>
    <x v="0"/>
  </r>
  <r>
    <x v="30"/>
    <x v="1"/>
    <x v="205"/>
    <x v="2"/>
    <x v="2"/>
    <x v="3"/>
    <x v="0"/>
    <x v="1"/>
    <n v="0"/>
    <x v="0"/>
  </r>
  <r>
    <x v="30"/>
    <x v="1"/>
    <x v="205"/>
    <x v="2"/>
    <x v="2"/>
    <x v="3"/>
    <x v="0"/>
    <x v="2"/>
    <n v="0"/>
    <x v="0"/>
  </r>
  <r>
    <x v="30"/>
    <x v="1"/>
    <x v="205"/>
    <x v="2"/>
    <x v="2"/>
    <x v="3"/>
    <x v="0"/>
    <x v="3"/>
    <n v="0"/>
    <x v="0"/>
  </r>
  <r>
    <x v="30"/>
    <x v="1"/>
    <x v="205"/>
    <x v="2"/>
    <x v="2"/>
    <x v="3"/>
    <x v="0"/>
    <x v="4"/>
    <n v="174.91937943957817"/>
    <x v="0"/>
  </r>
  <r>
    <x v="30"/>
    <x v="1"/>
    <x v="205"/>
    <x v="2"/>
    <x v="2"/>
    <x v="3"/>
    <x v="0"/>
    <x v="5"/>
    <n v="0"/>
    <x v="0"/>
  </r>
  <r>
    <x v="30"/>
    <x v="1"/>
    <x v="205"/>
    <x v="2"/>
    <x v="2"/>
    <x v="3"/>
    <x v="0"/>
    <x v="6"/>
    <n v="114.13136225948206"/>
    <x v="0"/>
  </r>
  <r>
    <x v="30"/>
    <x v="1"/>
    <x v="205"/>
    <x v="2"/>
    <x v="2"/>
    <x v="3"/>
    <x v="0"/>
    <x v="7"/>
    <n v="0"/>
    <x v="0"/>
  </r>
  <r>
    <x v="30"/>
    <x v="1"/>
    <x v="205"/>
    <x v="2"/>
    <x v="2"/>
    <x v="3"/>
    <x v="0"/>
    <x v="8"/>
    <n v="115.52995540968031"/>
    <x v="0"/>
  </r>
  <r>
    <x v="30"/>
    <x v="1"/>
    <x v="205"/>
    <x v="2"/>
    <x v="2"/>
    <x v="3"/>
    <x v="0"/>
    <x v="9"/>
    <n v="115.52995540968031"/>
    <x v="0"/>
  </r>
  <r>
    <x v="30"/>
    <x v="1"/>
    <x v="205"/>
    <x v="2"/>
    <x v="2"/>
    <x v="3"/>
    <x v="0"/>
    <x v="10"/>
    <n v="0"/>
    <x v="0"/>
  </r>
  <r>
    <x v="30"/>
    <x v="1"/>
    <x v="205"/>
    <x v="2"/>
    <x v="2"/>
    <x v="3"/>
    <x v="0"/>
    <x v="11"/>
    <n v="0"/>
    <x v="0"/>
  </r>
  <r>
    <x v="30"/>
    <x v="1"/>
    <x v="206"/>
    <x v="2"/>
    <x v="3"/>
    <x v="32"/>
    <x v="0"/>
    <x v="0"/>
    <n v="0"/>
    <x v="0"/>
  </r>
  <r>
    <x v="30"/>
    <x v="1"/>
    <x v="206"/>
    <x v="2"/>
    <x v="3"/>
    <x v="32"/>
    <x v="0"/>
    <x v="1"/>
    <n v="0"/>
    <x v="0"/>
  </r>
  <r>
    <x v="30"/>
    <x v="1"/>
    <x v="206"/>
    <x v="2"/>
    <x v="3"/>
    <x v="32"/>
    <x v="0"/>
    <x v="2"/>
    <n v="127.58153998739579"/>
    <x v="0"/>
  </r>
  <r>
    <x v="30"/>
    <x v="1"/>
    <x v="206"/>
    <x v="2"/>
    <x v="3"/>
    <x v="32"/>
    <x v="0"/>
    <x v="3"/>
    <n v="0"/>
    <x v="0"/>
  </r>
  <r>
    <x v="30"/>
    <x v="1"/>
    <x v="206"/>
    <x v="2"/>
    <x v="3"/>
    <x v="32"/>
    <x v="0"/>
    <x v="4"/>
    <n v="0"/>
    <x v="0"/>
  </r>
  <r>
    <x v="30"/>
    <x v="1"/>
    <x v="206"/>
    <x v="2"/>
    <x v="3"/>
    <x v="32"/>
    <x v="0"/>
    <x v="5"/>
    <n v="0"/>
    <x v="0"/>
  </r>
  <r>
    <x v="30"/>
    <x v="1"/>
    <x v="206"/>
    <x v="2"/>
    <x v="3"/>
    <x v="32"/>
    <x v="0"/>
    <x v="6"/>
    <n v="0"/>
    <x v="0"/>
  </r>
  <r>
    <x v="30"/>
    <x v="1"/>
    <x v="206"/>
    <x v="2"/>
    <x v="3"/>
    <x v="32"/>
    <x v="0"/>
    <x v="7"/>
    <n v="0"/>
    <x v="0"/>
  </r>
  <r>
    <x v="30"/>
    <x v="1"/>
    <x v="206"/>
    <x v="2"/>
    <x v="3"/>
    <x v="32"/>
    <x v="0"/>
    <x v="8"/>
    <n v="0"/>
    <x v="0"/>
  </r>
  <r>
    <x v="30"/>
    <x v="1"/>
    <x v="206"/>
    <x v="2"/>
    <x v="3"/>
    <x v="32"/>
    <x v="0"/>
    <x v="9"/>
    <n v="0"/>
    <x v="0"/>
  </r>
  <r>
    <x v="30"/>
    <x v="1"/>
    <x v="206"/>
    <x v="2"/>
    <x v="3"/>
    <x v="32"/>
    <x v="0"/>
    <x v="10"/>
    <n v="0"/>
    <x v="0"/>
  </r>
  <r>
    <x v="30"/>
    <x v="1"/>
    <x v="206"/>
    <x v="2"/>
    <x v="3"/>
    <x v="32"/>
    <x v="0"/>
    <x v="11"/>
    <n v="0"/>
    <x v="0"/>
  </r>
  <r>
    <x v="30"/>
    <x v="1"/>
    <x v="207"/>
    <x v="3"/>
    <x v="8"/>
    <x v="33"/>
    <x v="0"/>
    <x v="0"/>
    <n v="0"/>
    <x v="0"/>
  </r>
  <r>
    <x v="30"/>
    <x v="1"/>
    <x v="207"/>
    <x v="3"/>
    <x v="8"/>
    <x v="33"/>
    <x v="0"/>
    <x v="1"/>
    <n v="0"/>
    <x v="0"/>
  </r>
  <r>
    <x v="30"/>
    <x v="1"/>
    <x v="207"/>
    <x v="3"/>
    <x v="8"/>
    <x v="33"/>
    <x v="0"/>
    <x v="2"/>
    <n v="0"/>
    <x v="0"/>
  </r>
  <r>
    <x v="30"/>
    <x v="1"/>
    <x v="207"/>
    <x v="3"/>
    <x v="8"/>
    <x v="33"/>
    <x v="0"/>
    <x v="3"/>
    <n v="0"/>
    <x v="0"/>
  </r>
  <r>
    <x v="30"/>
    <x v="1"/>
    <x v="207"/>
    <x v="3"/>
    <x v="8"/>
    <x v="33"/>
    <x v="0"/>
    <x v="4"/>
    <n v="435.78681309103587"/>
    <x v="0"/>
  </r>
  <r>
    <x v="30"/>
    <x v="1"/>
    <x v="207"/>
    <x v="3"/>
    <x v="8"/>
    <x v="33"/>
    <x v="0"/>
    <x v="5"/>
    <n v="0"/>
    <x v="0"/>
  </r>
  <r>
    <x v="30"/>
    <x v="1"/>
    <x v="207"/>
    <x v="3"/>
    <x v="8"/>
    <x v="33"/>
    <x v="0"/>
    <x v="6"/>
    <n v="0"/>
    <x v="0"/>
  </r>
  <r>
    <x v="30"/>
    <x v="1"/>
    <x v="207"/>
    <x v="3"/>
    <x v="8"/>
    <x v="33"/>
    <x v="0"/>
    <x v="7"/>
    <n v="0"/>
    <x v="0"/>
  </r>
  <r>
    <x v="30"/>
    <x v="1"/>
    <x v="207"/>
    <x v="3"/>
    <x v="8"/>
    <x v="33"/>
    <x v="0"/>
    <x v="8"/>
    <n v="0"/>
    <x v="0"/>
  </r>
  <r>
    <x v="30"/>
    <x v="1"/>
    <x v="207"/>
    <x v="3"/>
    <x v="8"/>
    <x v="33"/>
    <x v="0"/>
    <x v="9"/>
    <n v="0"/>
    <x v="0"/>
  </r>
  <r>
    <x v="30"/>
    <x v="1"/>
    <x v="207"/>
    <x v="3"/>
    <x v="8"/>
    <x v="33"/>
    <x v="0"/>
    <x v="10"/>
    <n v="0"/>
    <x v="0"/>
  </r>
  <r>
    <x v="30"/>
    <x v="1"/>
    <x v="207"/>
    <x v="3"/>
    <x v="8"/>
    <x v="33"/>
    <x v="0"/>
    <x v="11"/>
    <n v="0"/>
    <x v="0"/>
  </r>
  <r>
    <x v="30"/>
    <x v="1"/>
    <x v="208"/>
    <x v="2"/>
    <x v="2"/>
    <x v="3"/>
    <x v="0"/>
    <x v="0"/>
    <n v="0"/>
    <x v="0"/>
  </r>
  <r>
    <x v="30"/>
    <x v="1"/>
    <x v="208"/>
    <x v="2"/>
    <x v="2"/>
    <x v="3"/>
    <x v="0"/>
    <x v="1"/>
    <n v="0"/>
    <x v="0"/>
  </r>
  <r>
    <x v="30"/>
    <x v="1"/>
    <x v="208"/>
    <x v="2"/>
    <x v="2"/>
    <x v="3"/>
    <x v="0"/>
    <x v="2"/>
    <n v="363.24940853160871"/>
    <x v="0"/>
  </r>
  <r>
    <x v="30"/>
    <x v="1"/>
    <x v="208"/>
    <x v="2"/>
    <x v="2"/>
    <x v="3"/>
    <x v="0"/>
    <x v="3"/>
    <n v="0"/>
    <x v="0"/>
  </r>
  <r>
    <x v="30"/>
    <x v="1"/>
    <x v="208"/>
    <x v="2"/>
    <x v="2"/>
    <x v="3"/>
    <x v="0"/>
    <x v="4"/>
    <n v="0"/>
    <x v="0"/>
  </r>
  <r>
    <x v="30"/>
    <x v="1"/>
    <x v="208"/>
    <x v="2"/>
    <x v="2"/>
    <x v="3"/>
    <x v="0"/>
    <x v="5"/>
    <n v="0"/>
    <x v="0"/>
  </r>
  <r>
    <x v="30"/>
    <x v="1"/>
    <x v="208"/>
    <x v="2"/>
    <x v="2"/>
    <x v="3"/>
    <x v="0"/>
    <x v="6"/>
    <n v="0"/>
    <x v="0"/>
  </r>
  <r>
    <x v="30"/>
    <x v="1"/>
    <x v="208"/>
    <x v="2"/>
    <x v="2"/>
    <x v="3"/>
    <x v="0"/>
    <x v="7"/>
    <n v="0"/>
    <x v="0"/>
  </r>
  <r>
    <x v="30"/>
    <x v="1"/>
    <x v="208"/>
    <x v="2"/>
    <x v="2"/>
    <x v="3"/>
    <x v="0"/>
    <x v="8"/>
    <n v="0"/>
    <x v="0"/>
  </r>
  <r>
    <x v="30"/>
    <x v="1"/>
    <x v="208"/>
    <x v="2"/>
    <x v="2"/>
    <x v="3"/>
    <x v="0"/>
    <x v="9"/>
    <n v="0"/>
    <x v="0"/>
  </r>
  <r>
    <x v="30"/>
    <x v="1"/>
    <x v="208"/>
    <x v="2"/>
    <x v="2"/>
    <x v="3"/>
    <x v="0"/>
    <x v="10"/>
    <n v="0"/>
    <x v="0"/>
  </r>
  <r>
    <x v="30"/>
    <x v="1"/>
    <x v="208"/>
    <x v="2"/>
    <x v="2"/>
    <x v="3"/>
    <x v="0"/>
    <x v="11"/>
    <n v="0"/>
    <x v="0"/>
  </r>
  <r>
    <x v="30"/>
    <x v="1"/>
    <x v="209"/>
    <x v="0"/>
    <x v="3"/>
    <x v="14"/>
    <x v="0"/>
    <x v="0"/>
    <n v="0"/>
    <x v="0"/>
  </r>
  <r>
    <x v="30"/>
    <x v="1"/>
    <x v="209"/>
    <x v="0"/>
    <x v="3"/>
    <x v="14"/>
    <x v="0"/>
    <x v="1"/>
    <n v="0"/>
    <x v="0"/>
  </r>
  <r>
    <x v="30"/>
    <x v="1"/>
    <x v="209"/>
    <x v="0"/>
    <x v="3"/>
    <x v="14"/>
    <x v="0"/>
    <x v="2"/>
    <n v="35.095513105286543"/>
    <x v="0"/>
  </r>
  <r>
    <x v="30"/>
    <x v="1"/>
    <x v="209"/>
    <x v="0"/>
    <x v="3"/>
    <x v="14"/>
    <x v="0"/>
    <x v="3"/>
    <n v="0"/>
    <x v="0"/>
  </r>
  <r>
    <x v="30"/>
    <x v="1"/>
    <x v="209"/>
    <x v="0"/>
    <x v="3"/>
    <x v="14"/>
    <x v="0"/>
    <x v="4"/>
    <n v="0"/>
    <x v="0"/>
  </r>
  <r>
    <x v="30"/>
    <x v="1"/>
    <x v="209"/>
    <x v="0"/>
    <x v="3"/>
    <x v="14"/>
    <x v="0"/>
    <x v="5"/>
    <n v="0"/>
    <x v="0"/>
  </r>
  <r>
    <x v="30"/>
    <x v="1"/>
    <x v="209"/>
    <x v="0"/>
    <x v="3"/>
    <x v="14"/>
    <x v="0"/>
    <x v="6"/>
    <n v="0"/>
    <x v="0"/>
  </r>
  <r>
    <x v="30"/>
    <x v="1"/>
    <x v="209"/>
    <x v="0"/>
    <x v="3"/>
    <x v="14"/>
    <x v="0"/>
    <x v="7"/>
    <n v="0"/>
    <x v="0"/>
  </r>
  <r>
    <x v="30"/>
    <x v="1"/>
    <x v="209"/>
    <x v="0"/>
    <x v="3"/>
    <x v="14"/>
    <x v="0"/>
    <x v="8"/>
    <n v="0"/>
    <x v="0"/>
  </r>
  <r>
    <x v="30"/>
    <x v="1"/>
    <x v="209"/>
    <x v="0"/>
    <x v="3"/>
    <x v="14"/>
    <x v="0"/>
    <x v="9"/>
    <n v="0"/>
    <x v="0"/>
  </r>
  <r>
    <x v="30"/>
    <x v="1"/>
    <x v="209"/>
    <x v="0"/>
    <x v="3"/>
    <x v="14"/>
    <x v="0"/>
    <x v="10"/>
    <n v="0"/>
    <x v="0"/>
  </r>
  <r>
    <x v="30"/>
    <x v="1"/>
    <x v="209"/>
    <x v="0"/>
    <x v="3"/>
    <x v="14"/>
    <x v="0"/>
    <x v="11"/>
    <n v="0"/>
    <x v="0"/>
  </r>
  <r>
    <x v="30"/>
    <x v="1"/>
    <x v="210"/>
    <x v="0"/>
    <x v="3"/>
    <x v="14"/>
    <x v="0"/>
    <x v="0"/>
    <n v="0"/>
    <x v="0"/>
  </r>
  <r>
    <x v="30"/>
    <x v="1"/>
    <x v="210"/>
    <x v="0"/>
    <x v="3"/>
    <x v="14"/>
    <x v="0"/>
    <x v="1"/>
    <n v="0"/>
    <x v="0"/>
  </r>
  <r>
    <x v="30"/>
    <x v="1"/>
    <x v="210"/>
    <x v="0"/>
    <x v="3"/>
    <x v="14"/>
    <x v="0"/>
    <x v="2"/>
    <n v="0"/>
    <x v="0"/>
  </r>
  <r>
    <x v="30"/>
    <x v="1"/>
    <x v="210"/>
    <x v="0"/>
    <x v="3"/>
    <x v="14"/>
    <x v="0"/>
    <x v="3"/>
    <n v="44.045660007915515"/>
    <x v="0"/>
  </r>
  <r>
    <x v="30"/>
    <x v="1"/>
    <x v="210"/>
    <x v="0"/>
    <x v="3"/>
    <x v="14"/>
    <x v="0"/>
    <x v="4"/>
    <n v="0"/>
    <x v="0"/>
  </r>
  <r>
    <x v="30"/>
    <x v="1"/>
    <x v="210"/>
    <x v="0"/>
    <x v="3"/>
    <x v="14"/>
    <x v="0"/>
    <x v="5"/>
    <n v="0"/>
    <x v="0"/>
  </r>
  <r>
    <x v="30"/>
    <x v="1"/>
    <x v="210"/>
    <x v="0"/>
    <x v="3"/>
    <x v="14"/>
    <x v="0"/>
    <x v="6"/>
    <n v="0"/>
    <x v="0"/>
  </r>
  <r>
    <x v="30"/>
    <x v="1"/>
    <x v="210"/>
    <x v="0"/>
    <x v="3"/>
    <x v="14"/>
    <x v="0"/>
    <x v="7"/>
    <n v="0"/>
    <x v="0"/>
  </r>
  <r>
    <x v="30"/>
    <x v="1"/>
    <x v="210"/>
    <x v="0"/>
    <x v="3"/>
    <x v="14"/>
    <x v="0"/>
    <x v="8"/>
    <n v="0"/>
    <x v="0"/>
  </r>
  <r>
    <x v="30"/>
    <x v="1"/>
    <x v="210"/>
    <x v="0"/>
    <x v="3"/>
    <x v="14"/>
    <x v="0"/>
    <x v="9"/>
    <n v="0"/>
    <x v="0"/>
  </r>
  <r>
    <x v="30"/>
    <x v="1"/>
    <x v="210"/>
    <x v="0"/>
    <x v="3"/>
    <x v="14"/>
    <x v="0"/>
    <x v="10"/>
    <n v="0"/>
    <x v="0"/>
  </r>
  <r>
    <x v="30"/>
    <x v="1"/>
    <x v="210"/>
    <x v="0"/>
    <x v="3"/>
    <x v="14"/>
    <x v="0"/>
    <x v="11"/>
    <n v="0"/>
    <x v="0"/>
  </r>
  <r>
    <x v="30"/>
    <x v="1"/>
    <x v="211"/>
    <x v="2"/>
    <x v="4"/>
    <x v="34"/>
    <x v="0"/>
    <x v="0"/>
    <n v="0"/>
    <x v="0"/>
  </r>
  <r>
    <x v="30"/>
    <x v="1"/>
    <x v="211"/>
    <x v="2"/>
    <x v="4"/>
    <x v="34"/>
    <x v="0"/>
    <x v="1"/>
    <n v="0"/>
    <x v="0"/>
  </r>
  <r>
    <x v="30"/>
    <x v="1"/>
    <x v="211"/>
    <x v="2"/>
    <x v="4"/>
    <x v="34"/>
    <x v="0"/>
    <x v="2"/>
    <n v="0"/>
    <x v="0"/>
  </r>
  <r>
    <x v="30"/>
    <x v="1"/>
    <x v="211"/>
    <x v="2"/>
    <x v="4"/>
    <x v="34"/>
    <x v="0"/>
    <x v="3"/>
    <n v="0"/>
    <x v="0"/>
  </r>
  <r>
    <x v="30"/>
    <x v="1"/>
    <x v="211"/>
    <x v="2"/>
    <x v="4"/>
    <x v="34"/>
    <x v="0"/>
    <x v="4"/>
    <n v="1601.3531180546477"/>
    <x v="0"/>
  </r>
  <r>
    <x v="30"/>
    <x v="1"/>
    <x v="211"/>
    <x v="2"/>
    <x v="4"/>
    <x v="34"/>
    <x v="0"/>
    <x v="5"/>
    <n v="0"/>
    <x v="0"/>
  </r>
  <r>
    <x v="30"/>
    <x v="1"/>
    <x v="211"/>
    <x v="2"/>
    <x v="4"/>
    <x v="34"/>
    <x v="0"/>
    <x v="6"/>
    <n v="0"/>
    <x v="0"/>
  </r>
  <r>
    <x v="30"/>
    <x v="1"/>
    <x v="211"/>
    <x v="2"/>
    <x v="4"/>
    <x v="34"/>
    <x v="0"/>
    <x v="7"/>
    <n v="90.332293795031731"/>
    <x v="0"/>
  </r>
  <r>
    <x v="30"/>
    <x v="1"/>
    <x v="211"/>
    <x v="2"/>
    <x v="4"/>
    <x v="34"/>
    <x v="0"/>
    <x v="8"/>
    <n v="0"/>
    <x v="0"/>
  </r>
  <r>
    <x v="30"/>
    <x v="1"/>
    <x v="211"/>
    <x v="2"/>
    <x v="4"/>
    <x v="34"/>
    <x v="0"/>
    <x v="9"/>
    <n v="0"/>
    <x v="0"/>
  </r>
  <r>
    <x v="30"/>
    <x v="1"/>
    <x v="211"/>
    <x v="2"/>
    <x v="4"/>
    <x v="34"/>
    <x v="0"/>
    <x v="10"/>
    <n v="0"/>
    <x v="0"/>
  </r>
  <r>
    <x v="30"/>
    <x v="1"/>
    <x v="211"/>
    <x v="2"/>
    <x v="4"/>
    <x v="34"/>
    <x v="0"/>
    <x v="11"/>
    <n v="0"/>
    <x v="0"/>
  </r>
  <r>
    <x v="30"/>
    <x v="1"/>
    <x v="212"/>
    <x v="2"/>
    <x v="3"/>
    <x v="3"/>
    <x v="0"/>
    <x v="0"/>
    <n v="0"/>
    <x v="0"/>
  </r>
  <r>
    <x v="30"/>
    <x v="1"/>
    <x v="212"/>
    <x v="2"/>
    <x v="3"/>
    <x v="3"/>
    <x v="0"/>
    <x v="1"/>
    <n v="0"/>
    <x v="0"/>
  </r>
  <r>
    <x v="30"/>
    <x v="1"/>
    <x v="212"/>
    <x v="2"/>
    <x v="3"/>
    <x v="3"/>
    <x v="0"/>
    <x v="2"/>
    <n v="0"/>
    <x v="0"/>
  </r>
  <r>
    <x v="30"/>
    <x v="1"/>
    <x v="212"/>
    <x v="2"/>
    <x v="3"/>
    <x v="3"/>
    <x v="0"/>
    <x v="3"/>
    <n v="0"/>
    <x v="0"/>
  </r>
  <r>
    <x v="30"/>
    <x v="1"/>
    <x v="212"/>
    <x v="2"/>
    <x v="3"/>
    <x v="3"/>
    <x v="0"/>
    <x v="4"/>
    <n v="0"/>
    <x v="0"/>
  </r>
  <r>
    <x v="30"/>
    <x v="1"/>
    <x v="212"/>
    <x v="2"/>
    <x v="3"/>
    <x v="3"/>
    <x v="0"/>
    <x v="5"/>
    <n v="584.56504837595025"/>
    <x v="0"/>
  </r>
  <r>
    <x v="30"/>
    <x v="1"/>
    <x v="212"/>
    <x v="2"/>
    <x v="3"/>
    <x v="3"/>
    <x v="0"/>
    <x v="6"/>
    <n v="0"/>
    <x v="0"/>
  </r>
  <r>
    <x v="30"/>
    <x v="1"/>
    <x v="212"/>
    <x v="2"/>
    <x v="3"/>
    <x v="3"/>
    <x v="0"/>
    <x v="7"/>
    <n v="0"/>
    <x v="0"/>
  </r>
  <r>
    <x v="30"/>
    <x v="1"/>
    <x v="212"/>
    <x v="2"/>
    <x v="3"/>
    <x v="3"/>
    <x v="0"/>
    <x v="8"/>
    <n v="0"/>
    <x v="0"/>
  </r>
  <r>
    <x v="30"/>
    <x v="1"/>
    <x v="212"/>
    <x v="2"/>
    <x v="3"/>
    <x v="3"/>
    <x v="0"/>
    <x v="9"/>
    <n v="0"/>
    <x v="0"/>
  </r>
  <r>
    <x v="30"/>
    <x v="1"/>
    <x v="212"/>
    <x v="2"/>
    <x v="3"/>
    <x v="3"/>
    <x v="0"/>
    <x v="10"/>
    <n v="0"/>
    <x v="0"/>
  </r>
  <r>
    <x v="30"/>
    <x v="1"/>
    <x v="212"/>
    <x v="2"/>
    <x v="3"/>
    <x v="3"/>
    <x v="0"/>
    <x v="11"/>
    <n v="0"/>
    <x v="0"/>
  </r>
  <r>
    <x v="30"/>
    <x v="1"/>
    <x v="213"/>
    <x v="2"/>
    <x v="3"/>
    <x v="3"/>
    <x v="0"/>
    <x v="0"/>
    <n v="0"/>
    <x v="0"/>
  </r>
  <r>
    <x v="30"/>
    <x v="1"/>
    <x v="213"/>
    <x v="2"/>
    <x v="3"/>
    <x v="3"/>
    <x v="0"/>
    <x v="1"/>
    <n v="0"/>
    <x v="0"/>
  </r>
  <r>
    <x v="30"/>
    <x v="1"/>
    <x v="213"/>
    <x v="2"/>
    <x v="3"/>
    <x v="3"/>
    <x v="0"/>
    <x v="2"/>
    <n v="0"/>
    <x v="0"/>
  </r>
  <r>
    <x v="30"/>
    <x v="1"/>
    <x v="213"/>
    <x v="2"/>
    <x v="3"/>
    <x v="3"/>
    <x v="0"/>
    <x v="3"/>
    <n v="0"/>
    <x v="0"/>
  </r>
  <r>
    <x v="30"/>
    <x v="1"/>
    <x v="213"/>
    <x v="2"/>
    <x v="3"/>
    <x v="3"/>
    <x v="0"/>
    <x v="4"/>
    <n v="0"/>
    <x v="0"/>
  </r>
  <r>
    <x v="30"/>
    <x v="1"/>
    <x v="213"/>
    <x v="2"/>
    <x v="3"/>
    <x v="3"/>
    <x v="0"/>
    <x v="5"/>
    <n v="0"/>
    <x v="0"/>
  </r>
  <r>
    <x v="30"/>
    <x v="1"/>
    <x v="213"/>
    <x v="2"/>
    <x v="3"/>
    <x v="3"/>
    <x v="0"/>
    <x v="6"/>
    <n v="495.37096292503952"/>
    <x v="0"/>
  </r>
  <r>
    <x v="30"/>
    <x v="1"/>
    <x v="213"/>
    <x v="2"/>
    <x v="3"/>
    <x v="3"/>
    <x v="0"/>
    <x v="7"/>
    <n v="0"/>
    <x v="0"/>
  </r>
  <r>
    <x v="30"/>
    <x v="1"/>
    <x v="213"/>
    <x v="2"/>
    <x v="3"/>
    <x v="3"/>
    <x v="0"/>
    <x v="8"/>
    <n v="0"/>
    <x v="0"/>
  </r>
  <r>
    <x v="30"/>
    <x v="1"/>
    <x v="213"/>
    <x v="2"/>
    <x v="3"/>
    <x v="3"/>
    <x v="0"/>
    <x v="9"/>
    <n v="0"/>
    <x v="0"/>
  </r>
  <r>
    <x v="30"/>
    <x v="1"/>
    <x v="213"/>
    <x v="2"/>
    <x v="3"/>
    <x v="3"/>
    <x v="0"/>
    <x v="10"/>
    <n v="0"/>
    <x v="0"/>
  </r>
  <r>
    <x v="30"/>
    <x v="1"/>
    <x v="213"/>
    <x v="2"/>
    <x v="3"/>
    <x v="3"/>
    <x v="0"/>
    <x v="11"/>
    <n v="0"/>
    <x v="0"/>
  </r>
  <r>
    <x v="30"/>
    <x v="1"/>
    <x v="214"/>
    <x v="2"/>
    <x v="1"/>
    <x v="3"/>
    <x v="0"/>
    <x v="0"/>
    <n v="503.42845185519661"/>
    <x v="0"/>
  </r>
  <r>
    <x v="30"/>
    <x v="1"/>
    <x v="214"/>
    <x v="2"/>
    <x v="1"/>
    <x v="3"/>
    <x v="0"/>
    <x v="1"/>
    <n v="0"/>
    <x v="0"/>
  </r>
  <r>
    <x v="30"/>
    <x v="1"/>
    <x v="214"/>
    <x v="2"/>
    <x v="1"/>
    <x v="3"/>
    <x v="0"/>
    <x v="2"/>
    <n v="0"/>
    <x v="0"/>
  </r>
  <r>
    <x v="30"/>
    <x v="1"/>
    <x v="214"/>
    <x v="2"/>
    <x v="1"/>
    <x v="3"/>
    <x v="0"/>
    <x v="3"/>
    <n v="0"/>
    <x v="0"/>
  </r>
  <r>
    <x v="30"/>
    <x v="1"/>
    <x v="214"/>
    <x v="2"/>
    <x v="1"/>
    <x v="3"/>
    <x v="0"/>
    <x v="4"/>
    <n v="0"/>
    <x v="0"/>
  </r>
  <r>
    <x v="30"/>
    <x v="1"/>
    <x v="214"/>
    <x v="2"/>
    <x v="1"/>
    <x v="3"/>
    <x v="0"/>
    <x v="5"/>
    <n v="0"/>
    <x v="0"/>
  </r>
  <r>
    <x v="30"/>
    <x v="1"/>
    <x v="214"/>
    <x v="2"/>
    <x v="1"/>
    <x v="3"/>
    <x v="0"/>
    <x v="6"/>
    <n v="0"/>
    <x v="0"/>
  </r>
  <r>
    <x v="30"/>
    <x v="1"/>
    <x v="214"/>
    <x v="2"/>
    <x v="1"/>
    <x v="3"/>
    <x v="0"/>
    <x v="7"/>
    <n v="0"/>
    <x v="0"/>
  </r>
  <r>
    <x v="30"/>
    <x v="1"/>
    <x v="214"/>
    <x v="2"/>
    <x v="1"/>
    <x v="3"/>
    <x v="0"/>
    <x v="8"/>
    <n v="0"/>
    <x v="0"/>
  </r>
  <r>
    <x v="30"/>
    <x v="1"/>
    <x v="214"/>
    <x v="2"/>
    <x v="1"/>
    <x v="3"/>
    <x v="0"/>
    <x v="9"/>
    <n v="0"/>
    <x v="0"/>
  </r>
  <r>
    <x v="30"/>
    <x v="1"/>
    <x v="214"/>
    <x v="2"/>
    <x v="1"/>
    <x v="3"/>
    <x v="0"/>
    <x v="10"/>
    <n v="0"/>
    <x v="0"/>
  </r>
  <r>
    <x v="30"/>
    <x v="1"/>
    <x v="214"/>
    <x v="2"/>
    <x v="1"/>
    <x v="3"/>
    <x v="0"/>
    <x v="11"/>
    <n v="0"/>
    <x v="0"/>
  </r>
  <r>
    <x v="30"/>
    <x v="1"/>
    <x v="215"/>
    <x v="2"/>
    <x v="1"/>
    <x v="3"/>
    <x v="0"/>
    <x v="0"/>
    <n v="345.99499994493328"/>
    <x v="0"/>
  </r>
  <r>
    <x v="30"/>
    <x v="1"/>
    <x v="215"/>
    <x v="2"/>
    <x v="1"/>
    <x v="3"/>
    <x v="0"/>
    <x v="1"/>
    <n v="81.520385286058286"/>
    <x v="0"/>
  </r>
  <r>
    <x v="30"/>
    <x v="1"/>
    <x v="215"/>
    <x v="2"/>
    <x v="1"/>
    <x v="3"/>
    <x v="0"/>
    <x v="2"/>
    <n v="0"/>
    <x v="0"/>
  </r>
  <r>
    <x v="30"/>
    <x v="1"/>
    <x v="215"/>
    <x v="2"/>
    <x v="1"/>
    <x v="3"/>
    <x v="0"/>
    <x v="3"/>
    <n v="0"/>
    <x v="0"/>
  </r>
  <r>
    <x v="30"/>
    <x v="1"/>
    <x v="215"/>
    <x v="2"/>
    <x v="1"/>
    <x v="3"/>
    <x v="0"/>
    <x v="4"/>
    <n v="0"/>
    <x v="0"/>
  </r>
  <r>
    <x v="30"/>
    <x v="1"/>
    <x v="215"/>
    <x v="2"/>
    <x v="1"/>
    <x v="3"/>
    <x v="0"/>
    <x v="5"/>
    <n v="0"/>
    <x v="0"/>
  </r>
  <r>
    <x v="30"/>
    <x v="1"/>
    <x v="215"/>
    <x v="2"/>
    <x v="1"/>
    <x v="3"/>
    <x v="0"/>
    <x v="6"/>
    <n v="0"/>
    <x v="0"/>
  </r>
  <r>
    <x v="30"/>
    <x v="1"/>
    <x v="215"/>
    <x v="2"/>
    <x v="1"/>
    <x v="3"/>
    <x v="0"/>
    <x v="7"/>
    <n v="0"/>
    <x v="0"/>
  </r>
  <r>
    <x v="30"/>
    <x v="1"/>
    <x v="215"/>
    <x v="2"/>
    <x v="1"/>
    <x v="3"/>
    <x v="0"/>
    <x v="8"/>
    <n v="0"/>
    <x v="0"/>
  </r>
  <r>
    <x v="30"/>
    <x v="1"/>
    <x v="215"/>
    <x v="2"/>
    <x v="1"/>
    <x v="3"/>
    <x v="0"/>
    <x v="9"/>
    <n v="0"/>
    <x v="0"/>
  </r>
  <r>
    <x v="30"/>
    <x v="1"/>
    <x v="215"/>
    <x v="2"/>
    <x v="1"/>
    <x v="3"/>
    <x v="0"/>
    <x v="10"/>
    <n v="0"/>
    <x v="0"/>
  </r>
  <r>
    <x v="30"/>
    <x v="1"/>
    <x v="215"/>
    <x v="2"/>
    <x v="1"/>
    <x v="3"/>
    <x v="0"/>
    <x v="11"/>
    <n v="0"/>
    <x v="0"/>
  </r>
  <r>
    <x v="30"/>
    <x v="0"/>
    <x v="216"/>
    <x v="2"/>
    <x v="3"/>
    <x v="11"/>
    <x v="0"/>
    <x v="0"/>
    <n v="0"/>
    <x v="0"/>
  </r>
  <r>
    <x v="30"/>
    <x v="0"/>
    <x v="216"/>
    <x v="2"/>
    <x v="3"/>
    <x v="11"/>
    <x v="0"/>
    <x v="1"/>
    <n v="0"/>
    <x v="0"/>
  </r>
  <r>
    <x v="30"/>
    <x v="0"/>
    <x v="216"/>
    <x v="2"/>
    <x v="3"/>
    <x v="11"/>
    <x v="0"/>
    <x v="2"/>
    <n v="0"/>
    <x v="0"/>
  </r>
  <r>
    <x v="30"/>
    <x v="0"/>
    <x v="216"/>
    <x v="2"/>
    <x v="3"/>
    <x v="11"/>
    <x v="0"/>
    <x v="3"/>
    <n v="2485.0698856416775"/>
    <x v="0"/>
  </r>
  <r>
    <x v="30"/>
    <x v="0"/>
    <x v="216"/>
    <x v="2"/>
    <x v="3"/>
    <x v="11"/>
    <x v="0"/>
    <x v="4"/>
    <n v="0"/>
    <x v="0"/>
  </r>
  <r>
    <x v="30"/>
    <x v="0"/>
    <x v="216"/>
    <x v="2"/>
    <x v="3"/>
    <x v="11"/>
    <x v="0"/>
    <x v="5"/>
    <n v="0"/>
    <x v="0"/>
  </r>
  <r>
    <x v="30"/>
    <x v="0"/>
    <x v="216"/>
    <x v="2"/>
    <x v="3"/>
    <x v="11"/>
    <x v="0"/>
    <x v="6"/>
    <n v="0"/>
    <x v="0"/>
  </r>
  <r>
    <x v="30"/>
    <x v="0"/>
    <x v="216"/>
    <x v="2"/>
    <x v="3"/>
    <x v="11"/>
    <x v="0"/>
    <x v="7"/>
    <n v="492.34648886977095"/>
    <x v="0"/>
  </r>
  <r>
    <x v="30"/>
    <x v="0"/>
    <x v="216"/>
    <x v="2"/>
    <x v="3"/>
    <x v="11"/>
    <x v="0"/>
    <x v="8"/>
    <n v="496.14990121030866"/>
    <x v="0"/>
  </r>
  <r>
    <x v="30"/>
    <x v="0"/>
    <x v="216"/>
    <x v="2"/>
    <x v="3"/>
    <x v="11"/>
    <x v="0"/>
    <x v="9"/>
    <n v="0"/>
    <x v="0"/>
  </r>
  <r>
    <x v="30"/>
    <x v="0"/>
    <x v="216"/>
    <x v="2"/>
    <x v="3"/>
    <x v="11"/>
    <x v="0"/>
    <x v="10"/>
    <n v="0"/>
    <x v="0"/>
  </r>
  <r>
    <x v="30"/>
    <x v="0"/>
    <x v="216"/>
    <x v="2"/>
    <x v="3"/>
    <x v="11"/>
    <x v="0"/>
    <x v="11"/>
    <n v="0"/>
    <x v="0"/>
  </r>
  <r>
    <x v="30"/>
    <x v="1"/>
    <x v="217"/>
    <x v="2"/>
    <x v="3"/>
    <x v="3"/>
    <x v="0"/>
    <x v="0"/>
    <n v="0"/>
    <x v="0"/>
  </r>
  <r>
    <x v="30"/>
    <x v="1"/>
    <x v="217"/>
    <x v="2"/>
    <x v="3"/>
    <x v="3"/>
    <x v="0"/>
    <x v="1"/>
    <n v="0"/>
    <x v="0"/>
  </r>
  <r>
    <x v="30"/>
    <x v="1"/>
    <x v="217"/>
    <x v="2"/>
    <x v="3"/>
    <x v="3"/>
    <x v="0"/>
    <x v="2"/>
    <n v="0"/>
    <x v="0"/>
  </r>
  <r>
    <x v="30"/>
    <x v="1"/>
    <x v="217"/>
    <x v="2"/>
    <x v="3"/>
    <x v="3"/>
    <x v="0"/>
    <x v="3"/>
    <n v="0"/>
    <x v="0"/>
  </r>
  <r>
    <x v="30"/>
    <x v="1"/>
    <x v="217"/>
    <x v="2"/>
    <x v="3"/>
    <x v="3"/>
    <x v="0"/>
    <x v="4"/>
    <n v="0"/>
    <x v="0"/>
  </r>
  <r>
    <x v="30"/>
    <x v="1"/>
    <x v="217"/>
    <x v="2"/>
    <x v="3"/>
    <x v="3"/>
    <x v="0"/>
    <x v="5"/>
    <n v="276.8119384934347"/>
    <x v="0"/>
  </r>
  <r>
    <x v="30"/>
    <x v="1"/>
    <x v="217"/>
    <x v="2"/>
    <x v="3"/>
    <x v="3"/>
    <x v="0"/>
    <x v="6"/>
    <n v="266.65066769060115"/>
    <x v="0"/>
  </r>
  <r>
    <x v="30"/>
    <x v="1"/>
    <x v="217"/>
    <x v="2"/>
    <x v="3"/>
    <x v="3"/>
    <x v="0"/>
    <x v="7"/>
    <n v="0"/>
    <x v="0"/>
  </r>
  <r>
    <x v="30"/>
    <x v="1"/>
    <x v="217"/>
    <x v="2"/>
    <x v="3"/>
    <x v="3"/>
    <x v="0"/>
    <x v="8"/>
    <n v="0"/>
    <x v="0"/>
  </r>
  <r>
    <x v="30"/>
    <x v="1"/>
    <x v="217"/>
    <x v="2"/>
    <x v="3"/>
    <x v="3"/>
    <x v="0"/>
    <x v="9"/>
    <n v="0"/>
    <x v="0"/>
  </r>
  <r>
    <x v="30"/>
    <x v="1"/>
    <x v="217"/>
    <x v="2"/>
    <x v="3"/>
    <x v="3"/>
    <x v="0"/>
    <x v="10"/>
    <n v="0"/>
    <x v="0"/>
  </r>
  <r>
    <x v="30"/>
    <x v="1"/>
    <x v="217"/>
    <x v="2"/>
    <x v="3"/>
    <x v="3"/>
    <x v="0"/>
    <x v="11"/>
    <n v="0"/>
    <x v="0"/>
  </r>
  <r>
    <x v="30"/>
    <x v="0"/>
    <x v="218"/>
    <x v="2"/>
    <x v="2"/>
    <x v="3"/>
    <x v="0"/>
    <x v="0"/>
    <n v="566.17363627352722"/>
    <x v="0"/>
  </r>
  <r>
    <x v="30"/>
    <x v="0"/>
    <x v="218"/>
    <x v="2"/>
    <x v="2"/>
    <x v="3"/>
    <x v="0"/>
    <x v="1"/>
    <n v="533.5879764178361"/>
    <x v="0"/>
  </r>
  <r>
    <x v="30"/>
    <x v="0"/>
    <x v="218"/>
    <x v="2"/>
    <x v="2"/>
    <x v="3"/>
    <x v="0"/>
    <x v="2"/>
    <n v="1120.0086783135146"/>
    <x v="0"/>
  </r>
  <r>
    <x v="30"/>
    <x v="0"/>
    <x v="218"/>
    <x v="2"/>
    <x v="2"/>
    <x v="3"/>
    <x v="0"/>
    <x v="3"/>
    <n v="0"/>
    <x v="0"/>
  </r>
  <r>
    <x v="30"/>
    <x v="0"/>
    <x v="218"/>
    <x v="2"/>
    <x v="2"/>
    <x v="3"/>
    <x v="0"/>
    <x v="4"/>
    <n v="292.02945918856494"/>
    <x v="0"/>
  </r>
  <r>
    <x v="30"/>
    <x v="0"/>
    <x v="218"/>
    <x v="2"/>
    <x v="2"/>
    <x v="3"/>
    <x v="0"/>
    <x v="5"/>
    <n v="292.65614201796819"/>
    <x v="0"/>
  </r>
  <r>
    <x v="30"/>
    <x v="0"/>
    <x v="218"/>
    <x v="2"/>
    <x v="2"/>
    <x v="3"/>
    <x v="0"/>
    <x v="6"/>
    <n v="283.99569094244634"/>
    <x v="0"/>
  </r>
  <r>
    <x v="30"/>
    <x v="0"/>
    <x v="218"/>
    <x v="2"/>
    <x v="2"/>
    <x v="3"/>
    <x v="0"/>
    <x v="7"/>
    <n v="574.58974083234762"/>
    <x v="0"/>
  </r>
  <r>
    <x v="30"/>
    <x v="0"/>
    <x v="218"/>
    <x v="2"/>
    <x v="2"/>
    <x v="3"/>
    <x v="0"/>
    <x v="8"/>
    <n v="291.65200116604223"/>
    <x v="0"/>
  </r>
  <r>
    <x v="30"/>
    <x v="0"/>
    <x v="218"/>
    <x v="2"/>
    <x v="2"/>
    <x v="3"/>
    <x v="0"/>
    <x v="9"/>
    <n v="290.43089580116816"/>
    <x v="0"/>
  </r>
  <r>
    <x v="30"/>
    <x v="0"/>
    <x v="218"/>
    <x v="2"/>
    <x v="2"/>
    <x v="3"/>
    <x v="0"/>
    <x v="10"/>
    <n v="290.43089580116816"/>
    <x v="0"/>
  </r>
  <r>
    <x v="30"/>
    <x v="0"/>
    <x v="218"/>
    <x v="2"/>
    <x v="2"/>
    <x v="3"/>
    <x v="0"/>
    <x v="11"/>
    <n v="290.43089580116816"/>
    <x v="0"/>
  </r>
  <r>
    <x v="30"/>
    <x v="0"/>
    <x v="219"/>
    <x v="2"/>
    <x v="2"/>
    <x v="3"/>
    <x v="0"/>
    <x v="0"/>
    <n v="0"/>
    <x v="0"/>
  </r>
  <r>
    <x v="30"/>
    <x v="0"/>
    <x v="219"/>
    <x v="2"/>
    <x v="2"/>
    <x v="3"/>
    <x v="0"/>
    <x v="1"/>
    <n v="0"/>
    <x v="0"/>
  </r>
  <r>
    <x v="30"/>
    <x v="0"/>
    <x v="219"/>
    <x v="2"/>
    <x v="2"/>
    <x v="3"/>
    <x v="0"/>
    <x v="2"/>
    <n v="0"/>
    <x v="0"/>
  </r>
  <r>
    <x v="30"/>
    <x v="0"/>
    <x v="219"/>
    <x v="2"/>
    <x v="2"/>
    <x v="3"/>
    <x v="0"/>
    <x v="3"/>
    <n v="0"/>
    <x v="0"/>
  </r>
  <r>
    <x v="30"/>
    <x v="0"/>
    <x v="219"/>
    <x v="2"/>
    <x v="2"/>
    <x v="3"/>
    <x v="0"/>
    <x v="4"/>
    <n v="590.54124722185907"/>
    <x v="0"/>
  </r>
  <r>
    <x v="30"/>
    <x v="0"/>
    <x v="219"/>
    <x v="2"/>
    <x v="2"/>
    <x v="3"/>
    <x v="0"/>
    <x v="5"/>
    <n v="0"/>
    <x v="0"/>
  </r>
  <r>
    <x v="30"/>
    <x v="0"/>
    <x v="219"/>
    <x v="2"/>
    <x v="2"/>
    <x v="3"/>
    <x v="0"/>
    <x v="6"/>
    <n v="0"/>
    <x v="0"/>
  </r>
  <r>
    <x v="30"/>
    <x v="0"/>
    <x v="219"/>
    <x v="2"/>
    <x v="2"/>
    <x v="3"/>
    <x v="0"/>
    <x v="7"/>
    <n v="0"/>
    <x v="0"/>
  </r>
  <r>
    <x v="30"/>
    <x v="0"/>
    <x v="219"/>
    <x v="2"/>
    <x v="2"/>
    <x v="3"/>
    <x v="0"/>
    <x v="8"/>
    <n v="0"/>
    <x v="0"/>
  </r>
  <r>
    <x v="30"/>
    <x v="0"/>
    <x v="219"/>
    <x v="2"/>
    <x v="2"/>
    <x v="3"/>
    <x v="0"/>
    <x v="9"/>
    <n v="0"/>
    <x v="0"/>
  </r>
  <r>
    <x v="30"/>
    <x v="0"/>
    <x v="219"/>
    <x v="2"/>
    <x v="2"/>
    <x v="3"/>
    <x v="0"/>
    <x v="10"/>
    <n v="0"/>
    <x v="0"/>
  </r>
  <r>
    <x v="30"/>
    <x v="0"/>
    <x v="219"/>
    <x v="2"/>
    <x v="2"/>
    <x v="3"/>
    <x v="0"/>
    <x v="11"/>
    <n v="0"/>
    <x v="0"/>
  </r>
  <r>
    <x v="30"/>
    <x v="0"/>
    <x v="220"/>
    <x v="2"/>
    <x v="3"/>
    <x v="35"/>
    <x v="0"/>
    <x v="0"/>
    <n v="234.19751318847125"/>
    <x v="0"/>
  </r>
  <r>
    <x v="30"/>
    <x v="0"/>
    <x v="220"/>
    <x v="2"/>
    <x v="3"/>
    <x v="35"/>
    <x v="0"/>
    <x v="1"/>
    <n v="0"/>
    <x v="0"/>
  </r>
  <r>
    <x v="30"/>
    <x v="0"/>
    <x v="220"/>
    <x v="2"/>
    <x v="3"/>
    <x v="35"/>
    <x v="0"/>
    <x v="2"/>
    <n v="0"/>
    <x v="0"/>
  </r>
  <r>
    <x v="30"/>
    <x v="0"/>
    <x v="220"/>
    <x v="2"/>
    <x v="3"/>
    <x v="35"/>
    <x v="0"/>
    <x v="3"/>
    <n v="0"/>
    <x v="0"/>
  </r>
  <r>
    <x v="30"/>
    <x v="0"/>
    <x v="220"/>
    <x v="2"/>
    <x v="3"/>
    <x v="35"/>
    <x v="0"/>
    <x v="4"/>
    <n v="0"/>
    <x v="0"/>
  </r>
  <r>
    <x v="30"/>
    <x v="0"/>
    <x v="220"/>
    <x v="2"/>
    <x v="3"/>
    <x v="35"/>
    <x v="0"/>
    <x v="5"/>
    <n v="0"/>
    <x v="0"/>
  </r>
  <r>
    <x v="30"/>
    <x v="0"/>
    <x v="220"/>
    <x v="2"/>
    <x v="3"/>
    <x v="35"/>
    <x v="0"/>
    <x v="6"/>
    <n v="444.74273646486625"/>
    <x v="0"/>
  </r>
  <r>
    <x v="30"/>
    <x v="0"/>
    <x v="220"/>
    <x v="2"/>
    <x v="3"/>
    <x v="35"/>
    <x v="0"/>
    <x v="7"/>
    <n v="0"/>
    <x v="0"/>
  </r>
  <r>
    <x v="30"/>
    <x v="0"/>
    <x v="220"/>
    <x v="2"/>
    <x v="3"/>
    <x v="35"/>
    <x v="0"/>
    <x v="8"/>
    <n v="0"/>
    <x v="0"/>
  </r>
  <r>
    <x v="30"/>
    <x v="0"/>
    <x v="220"/>
    <x v="2"/>
    <x v="3"/>
    <x v="35"/>
    <x v="0"/>
    <x v="9"/>
    <n v="0"/>
    <x v="0"/>
  </r>
  <r>
    <x v="30"/>
    <x v="0"/>
    <x v="220"/>
    <x v="2"/>
    <x v="3"/>
    <x v="35"/>
    <x v="0"/>
    <x v="10"/>
    <n v="0"/>
    <x v="0"/>
  </r>
  <r>
    <x v="30"/>
    <x v="0"/>
    <x v="220"/>
    <x v="2"/>
    <x v="3"/>
    <x v="35"/>
    <x v="0"/>
    <x v="11"/>
    <n v="0"/>
    <x v="0"/>
  </r>
  <r>
    <x v="30"/>
    <x v="1"/>
    <x v="221"/>
    <x v="2"/>
    <x v="3"/>
    <x v="20"/>
    <x v="0"/>
    <x v="0"/>
    <n v="0"/>
    <x v="0"/>
  </r>
  <r>
    <x v="30"/>
    <x v="1"/>
    <x v="221"/>
    <x v="2"/>
    <x v="3"/>
    <x v="20"/>
    <x v="0"/>
    <x v="1"/>
    <n v="0"/>
    <x v="0"/>
  </r>
  <r>
    <x v="30"/>
    <x v="1"/>
    <x v="221"/>
    <x v="2"/>
    <x v="3"/>
    <x v="20"/>
    <x v="0"/>
    <x v="2"/>
    <n v="0"/>
    <x v="0"/>
  </r>
  <r>
    <x v="30"/>
    <x v="1"/>
    <x v="221"/>
    <x v="2"/>
    <x v="3"/>
    <x v="20"/>
    <x v="0"/>
    <x v="3"/>
    <n v="51.355010727602227"/>
    <x v="0"/>
  </r>
  <r>
    <x v="30"/>
    <x v="1"/>
    <x v="221"/>
    <x v="2"/>
    <x v="3"/>
    <x v="20"/>
    <x v="0"/>
    <x v="4"/>
    <n v="2309.8542293110208"/>
    <x v="0"/>
  </r>
  <r>
    <x v="30"/>
    <x v="1"/>
    <x v="221"/>
    <x v="2"/>
    <x v="3"/>
    <x v="20"/>
    <x v="0"/>
    <x v="5"/>
    <n v="0"/>
    <x v="0"/>
  </r>
  <r>
    <x v="30"/>
    <x v="1"/>
    <x v="221"/>
    <x v="2"/>
    <x v="3"/>
    <x v="20"/>
    <x v="0"/>
    <x v="6"/>
    <n v="2278.3597849737616"/>
    <x v="0"/>
  </r>
  <r>
    <x v="30"/>
    <x v="1"/>
    <x v="221"/>
    <x v="2"/>
    <x v="3"/>
    <x v="20"/>
    <x v="0"/>
    <x v="7"/>
    <n v="0"/>
    <x v="0"/>
  </r>
  <r>
    <x v="30"/>
    <x v="1"/>
    <x v="221"/>
    <x v="2"/>
    <x v="3"/>
    <x v="20"/>
    <x v="0"/>
    <x v="8"/>
    <n v="2344.01701557962"/>
    <x v="0"/>
  </r>
  <r>
    <x v="30"/>
    <x v="1"/>
    <x v="221"/>
    <x v="2"/>
    <x v="3"/>
    <x v="20"/>
    <x v="0"/>
    <x v="9"/>
    <n v="0"/>
    <x v="0"/>
  </r>
  <r>
    <x v="30"/>
    <x v="1"/>
    <x v="221"/>
    <x v="2"/>
    <x v="3"/>
    <x v="20"/>
    <x v="0"/>
    <x v="10"/>
    <n v="0"/>
    <x v="0"/>
  </r>
  <r>
    <x v="30"/>
    <x v="1"/>
    <x v="221"/>
    <x v="2"/>
    <x v="3"/>
    <x v="20"/>
    <x v="0"/>
    <x v="11"/>
    <n v="0"/>
    <x v="0"/>
  </r>
  <r>
    <x v="30"/>
    <x v="1"/>
    <x v="222"/>
    <x v="0"/>
    <x v="9"/>
    <x v="36"/>
    <x v="0"/>
    <x v="0"/>
    <n v="0"/>
    <x v="0"/>
  </r>
  <r>
    <x v="30"/>
    <x v="1"/>
    <x v="222"/>
    <x v="0"/>
    <x v="9"/>
    <x v="36"/>
    <x v="0"/>
    <x v="1"/>
    <n v="0"/>
    <x v="0"/>
  </r>
  <r>
    <x v="30"/>
    <x v="1"/>
    <x v="222"/>
    <x v="0"/>
    <x v="9"/>
    <x v="36"/>
    <x v="0"/>
    <x v="2"/>
    <n v="0"/>
    <x v="0"/>
  </r>
  <r>
    <x v="30"/>
    <x v="1"/>
    <x v="222"/>
    <x v="0"/>
    <x v="9"/>
    <x v="36"/>
    <x v="0"/>
    <x v="3"/>
    <n v="0"/>
    <x v="0"/>
  </r>
  <r>
    <x v="30"/>
    <x v="1"/>
    <x v="222"/>
    <x v="0"/>
    <x v="9"/>
    <x v="36"/>
    <x v="0"/>
    <x v="4"/>
    <n v="0"/>
    <x v="0"/>
  </r>
  <r>
    <x v="30"/>
    <x v="1"/>
    <x v="222"/>
    <x v="0"/>
    <x v="9"/>
    <x v="36"/>
    <x v="0"/>
    <x v="5"/>
    <n v="0"/>
    <x v="0"/>
  </r>
  <r>
    <x v="30"/>
    <x v="1"/>
    <x v="222"/>
    <x v="0"/>
    <x v="9"/>
    <x v="36"/>
    <x v="0"/>
    <x v="6"/>
    <n v="0"/>
    <x v="0"/>
  </r>
  <r>
    <x v="30"/>
    <x v="1"/>
    <x v="222"/>
    <x v="0"/>
    <x v="9"/>
    <x v="36"/>
    <x v="0"/>
    <x v="7"/>
    <n v="0"/>
    <x v="0"/>
  </r>
  <r>
    <x v="30"/>
    <x v="1"/>
    <x v="222"/>
    <x v="0"/>
    <x v="9"/>
    <x v="36"/>
    <x v="0"/>
    <x v="8"/>
    <n v="0"/>
    <x v="0"/>
  </r>
  <r>
    <x v="30"/>
    <x v="1"/>
    <x v="222"/>
    <x v="0"/>
    <x v="9"/>
    <x v="36"/>
    <x v="0"/>
    <x v="9"/>
    <n v="0"/>
    <x v="0"/>
  </r>
  <r>
    <x v="30"/>
    <x v="1"/>
    <x v="222"/>
    <x v="0"/>
    <x v="9"/>
    <x v="36"/>
    <x v="0"/>
    <x v="10"/>
    <n v="0"/>
    <x v="0"/>
  </r>
  <r>
    <x v="30"/>
    <x v="1"/>
    <x v="222"/>
    <x v="0"/>
    <x v="9"/>
    <x v="36"/>
    <x v="0"/>
    <x v="11"/>
    <n v="0"/>
    <x v="0"/>
  </r>
  <r>
    <x v="30"/>
    <x v="1"/>
    <x v="223"/>
    <x v="0"/>
    <x v="9"/>
    <x v="36"/>
    <x v="0"/>
    <x v="0"/>
    <n v="87861.647154704347"/>
    <x v="0"/>
  </r>
  <r>
    <x v="30"/>
    <x v="1"/>
    <x v="223"/>
    <x v="0"/>
    <x v="9"/>
    <x v="36"/>
    <x v="0"/>
    <x v="1"/>
    <n v="75662.111807689114"/>
    <x v="0"/>
  </r>
  <r>
    <x v="30"/>
    <x v="1"/>
    <x v="223"/>
    <x v="0"/>
    <x v="9"/>
    <x v="36"/>
    <x v="0"/>
    <x v="2"/>
    <n v="16948.437387001126"/>
    <x v="0"/>
  </r>
  <r>
    <x v="30"/>
    <x v="1"/>
    <x v="223"/>
    <x v="0"/>
    <x v="9"/>
    <x v="36"/>
    <x v="0"/>
    <x v="3"/>
    <n v="41207.305184660574"/>
    <x v="0"/>
  </r>
  <r>
    <x v="30"/>
    <x v="1"/>
    <x v="223"/>
    <x v="0"/>
    <x v="9"/>
    <x v="36"/>
    <x v="0"/>
    <x v="4"/>
    <n v="18324.099010763934"/>
    <x v="0"/>
  </r>
  <r>
    <x v="30"/>
    <x v="1"/>
    <x v="223"/>
    <x v="0"/>
    <x v="9"/>
    <x v="36"/>
    <x v="0"/>
    <x v="5"/>
    <n v="25946.446311333792"/>
    <x v="0"/>
  </r>
  <r>
    <x v="30"/>
    <x v="1"/>
    <x v="223"/>
    <x v="0"/>
    <x v="9"/>
    <x v="36"/>
    <x v="0"/>
    <x v="6"/>
    <n v="25109.217543410556"/>
    <x v="0"/>
  </r>
  <r>
    <x v="30"/>
    <x v="1"/>
    <x v="223"/>
    <x v="0"/>
    <x v="9"/>
    <x v="36"/>
    <x v="0"/>
    <x v="7"/>
    <n v="0"/>
    <x v="0"/>
  </r>
  <r>
    <x v="30"/>
    <x v="1"/>
    <x v="223"/>
    <x v="0"/>
    <x v="9"/>
    <x v="36"/>
    <x v="0"/>
    <x v="8"/>
    <n v="100217.1041124583"/>
    <x v="0"/>
  </r>
  <r>
    <x v="30"/>
    <x v="1"/>
    <x v="223"/>
    <x v="0"/>
    <x v="9"/>
    <x v="36"/>
    <x v="0"/>
    <x v="9"/>
    <n v="43186.750305006419"/>
    <x v="0"/>
  </r>
  <r>
    <x v="30"/>
    <x v="1"/>
    <x v="223"/>
    <x v="0"/>
    <x v="9"/>
    <x v="36"/>
    <x v="0"/>
    <x v="10"/>
    <n v="43186.750305006419"/>
    <x v="0"/>
  </r>
  <r>
    <x v="30"/>
    <x v="1"/>
    <x v="223"/>
    <x v="0"/>
    <x v="9"/>
    <x v="36"/>
    <x v="0"/>
    <x v="11"/>
    <n v="43186.750305006419"/>
    <x v="0"/>
  </r>
  <r>
    <x v="30"/>
    <x v="1"/>
    <x v="224"/>
    <x v="0"/>
    <x v="9"/>
    <x v="36"/>
    <x v="0"/>
    <x v="0"/>
    <n v="2122.5409971475456"/>
    <x v="0"/>
  </r>
  <r>
    <x v="30"/>
    <x v="1"/>
    <x v="224"/>
    <x v="0"/>
    <x v="9"/>
    <x v="36"/>
    <x v="0"/>
    <x v="1"/>
    <n v="380.23644440753964"/>
    <x v="0"/>
  </r>
  <r>
    <x v="30"/>
    <x v="1"/>
    <x v="224"/>
    <x v="0"/>
    <x v="9"/>
    <x v="36"/>
    <x v="0"/>
    <x v="2"/>
    <n v="718.38769332493052"/>
    <x v="0"/>
  </r>
  <r>
    <x v="30"/>
    <x v="1"/>
    <x v="224"/>
    <x v="0"/>
    <x v="9"/>
    <x v="36"/>
    <x v="0"/>
    <x v="3"/>
    <n v="416.78088612077408"/>
    <x v="0"/>
  </r>
  <r>
    <x v="30"/>
    <x v="1"/>
    <x v="224"/>
    <x v="0"/>
    <x v="9"/>
    <x v="36"/>
    <x v="0"/>
    <x v="4"/>
    <n v="398.32439970366499"/>
    <x v="0"/>
  </r>
  <r>
    <x v="30"/>
    <x v="1"/>
    <x v="224"/>
    <x v="0"/>
    <x v="9"/>
    <x v="36"/>
    <x v="0"/>
    <x v="5"/>
    <n v="438.25587422252937"/>
    <x v="0"/>
  </r>
  <r>
    <x v="30"/>
    <x v="1"/>
    <x v="224"/>
    <x v="0"/>
    <x v="9"/>
    <x v="36"/>
    <x v="0"/>
    <x v="6"/>
    <n v="472.24604291991983"/>
    <x v="0"/>
  </r>
  <r>
    <x v="30"/>
    <x v="1"/>
    <x v="224"/>
    <x v="0"/>
    <x v="9"/>
    <x v="36"/>
    <x v="0"/>
    <x v="7"/>
    <n v="0"/>
    <x v="0"/>
  </r>
  <r>
    <x v="30"/>
    <x v="1"/>
    <x v="224"/>
    <x v="0"/>
    <x v="9"/>
    <x v="36"/>
    <x v="0"/>
    <x v="8"/>
    <n v="447.51082367929519"/>
    <x v="0"/>
  </r>
  <r>
    <x v="30"/>
    <x v="1"/>
    <x v="224"/>
    <x v="0"/>
    <x v="9"/>
    <x v="36"/>
    <x v="0"/>
    <x v="9"/>
    <n v="431.86750305006422"/>
    <x v="0"/>
  </r>
  <r>
    <x v="30"/>
    <x v="1"/>
    <x v="224"/>
    <x v="0"/>
    <x v="9"/>
    <x v="36"/>
    <x v="0"/>
    <x v="10"/>
    <n v="431.86750305006422"/>
    <x v="0"/>
  </r>
  <r>
    <x v="30"/>
    <x v="1"/>
    <x v="224"/>
    <x v="0"/>
    <x v="9"/>
    <x v="36"/>
    <x v="0"/>
    <x v="11"/>
    <n v="431.86750305006422"/>
    <x v="0"/>
  </r>
  <r>
    <x v="30"/>
    <x v="1"/>
    <x v="225"/>
    <x v="0"/>
    <x v="9"/>
    <x v="36"/>
    <x v="0"/>
    <x v="0"/>
    <n v="0"/>
    <x v="0"/>
  </r>
  <r>
    <x v="30"/>
    <x v="1"/>
    <x v="225"/>
    <x v="0"/>
    <x v="9"/>
    <x v="36"/>
    <x v="0"/>
    <x v="1"/>
    <n v="0"/>
    <x v="0"/>
  </r>
  <r>
    <x v="30"/>
    <x v="1"/>
    <x v="225"/>
    <x v="0"/>
    <x v="9"/>
    <x v="36"/>
    <x v="0"/>
    <x v="2"/>
    <n v="0"/>
    <x v="0"/>
  </r>
  <r>
    <x v="30"/>
    <x v="1"/>
    <x v="225"/>
    <x v="0"/>
    <x v="9"/>
    <x v="36"/>
    <x v="0"/>
    <x v="3"/>
    <n v="0"/>
    <x v="0"/>
  </r>
  <r>
    <x v="30"/>
    <x v="1"/>
    <x v="225"/>
    <x v="0"/>
    <x v="9"/>
    <x v="36"/>
    <x v="0"/>
    <x v="4"/>
    <n v="0"/>
    <x v="0"/>
  </r>
  <r>
    <x v="30"/>
    <x v="1"/>
    <x v="225"/>
    <x v="0"/>
    <x v="9"/>
    <x v="36"/>
    <x v="0"/>
    <x v="5"/>
    <n v="126.3249395300622"/>
    <x v="0"/>
  </r>
  <r>
    <x v="30"/>
    <x v="1"/>
    <x v="225"/>
    <x v="0"/>
    <x v="9"/>
    <x v="36"/>
    <x v="0"/>
    <x v="6"/>
    <n v="0"/>
    <x v="0"/>
  </r>
  <r>
    <x v="30"/>
    <x v="1"/>
    <x v="225"/>
    <x v="0"/>
    <x v="9"/>
    <x v="36"/>
    <x v="0"/>
    <x v="7"/>
    <n v="0"/>
    <x v="0"/>
  </r>
  <r>
    <x v="30"/>
    <x v="1"/>
    <x v="225"/>
    <x v="0"/>
    <x v="9"/>
    <x v="36"/>
    <x v="0"/>
    <x v="8"/>
    <n v="0"/>
    <x v="0"/>
  </r>
  <r>
    <x v="30"/>
    <x v="1"/>
    <x v="225"/>
    <x v="0"/>
    <x v="9"/>
    <x v="36"/>
    <x v="0"/>
    <x v="9"/>
    <n v="0"/>
    <x v="0"/>
  </r>
  <r>
    <x v="30"/>
    <x v="1"/>
    <x v="225"/>
    <x v="0"/>
    <x v="9"/>
    <x v="36"/>
    <x v="0"/>
    <x v="10"/>
    <n v="0"/>
    <x v="0"/>
  </r>
  <r>
    <x v="30"/>
    <x v="1"/>
    <x v="225"/>
    <x v="0"/>
    <x v="9"/>
    <x v="36"/>
    <x v="0"/>
    <x v="11"/>
    <n v="0"/>
    <x v="0"/>
  </r>
  <r>
    <x v="30"/>
    <x v="0"/>
    <x v="226"/>
    <x v="2"/>
    <x v="3"/>
    <x v="37"/>
    <x v="0"/>
    <x v="0"/>
    <n v="7385.6936750404739"/>
    <x v="0"/>
  </r>
  <r>
    <x v="30"/>
    <x v="0"/>
    <x v="226"/>
    <x v="2"/>
    <x v="3"/>
    <x v="37"/>
    <x v="0"/>
    <x v="1"/>
    <n v="6926.5942871377556"/>
    <x v="0"/>
  </r>
  <r>
    <x v="30"/>
    <x v="0"/>
    <x v="226"/>
    <x v="2"/>
    <x v="3"/>
    <x v="37"/>
    <x v="0"/>
    <x v="2"/>
    <n v="6940.7147211058655"/>
    <x v="0"/>
  </r>
  <r>
    <x v="30"/>
    <x v="0"/>
    <x v="226"/>
    <x v="2"/>
    <x v="3"/>
    <x v="37"/>
    <x v="0"/>
    <x v="3"/>
    <n v="7041.2960609911052"/>
    <x v="0"/>
  </r>
  <r>
    <x v="30"/>
    <x v="0"/>
    <x v="226"/>
    <x v="2"/>
    <x v="3"/>
    <x v="37"/>
    <x v="0"/>
    <x v="4"/>
    <n v="7394.7890791824639"/>
    <x v="0"/>
  </r>
  <r>
    <x v="30"/>
    <x v="0"/>
    <x v="226"/>
    <x v="2"/>
    <x v="3"/>
    <x v="37"/>
    <x v="0"/>
    <x v="5"/>
    <n v="7365.1434001382167"/>
    <x v="0"/>
  </r>
  <r>
    <x v="30"/>
    <x v="0"/>
    <x v="226"/>
    <x v="2"/>
    <x v="3"/>
    <x v="37"/>
    <x v="0"/>
    <x v="6"/>
    <n v="7257.571782072614"/>
    <x v="0"/>
  </r>
  <r>
    <x v="30"/>
    <x v="0"/>
    <x v="226"/>
    <x v="2"/>
    <x v="3"/>
    <x v="37"/>
    <x v="0"/>
    <x v="7"/>
    <n v="7309.868803097107"/>
    <x v="0"/>
  </r>
  <r>
    <x v="30"/>
    <x v="0"/>
    <x v="226"/>
    <x v="2"/>
    <x v="3"/>
    <x v="37"/>
    <x v="0"/>
    <x v="8"/>
    <n v="7390.6943349780286"/>
    <x v="0"/>
  </r>
  <r>
    <x v="30"/>
    <x v="0"/>
    <x v="226"/>
    <x v="2"/>
    <x v="3"/>
    <x v="37"/>
    <x v="0"/>
    <x v="9"/>
    <n v="5441.5035467118687"/>
    <x v="0"/>
  </r>
  <r>
    <x v="30"/>
    <x v="0"/>
    <x v="226"/>
    <x v="2"/>
    <x v="3"/>
    <x v="37"/>
    <x v="0"/>
    <x v="10"/>
    <n v="5441.5035467118687"/>
    <x v="0"/>
  </r>
  <r>
    <x v="30"/>
    <x v="0"/>
    <x v="226"/>
    <x v="2"/>
    <x v="3"/>
    <x v="37"/>
    <x v="0"/>
    <x v="11"/>
    <n v="0"/>
    <x v="0"/>
  </r>
  <r>
    <x v="30"/>
    <x v="0"/>
    <x v="227"/>
    <x v="2"/>
    <x v="3"/>
    <x v="38"/>
    <x v="0"/>
    <x v="0"/>
    <n v="0"/>
    <x v="0"/>
  </r>
  <r>
    <x v="30"/>
    <x v="0"/>
    <x v="227"/>
    <x v="2"/>
    <x v="3"/>
    <x v="38"/>
    <x v="0"/>
    <x v="1"/>
    <n v="0"/>
    <x v="0"/>
  </r>
  <r>
    <x v="30"/>
    <x v="0"/>
    <x v="227"/>
    <x v="2"/>
    <x v="3"/>
    <x v="38"/>
    <x v="0"/>
    <x v="2"/>
    <n v="0"/>
    <x v="0"/>
  </r>
  <r>
    <x v="30"/>
    <x v="0"/>
    <x v="227"/>
    <x v="2"/>
    <x v="3"/>
    <x v="38"/>
    <x v="0"/>
    <x v="3"/>
    <n v="0"/>
    <x v="0"/>
  </r>
  <r>
    <x v="30"/>
    <x v="0"/>
    <x v="227"/>
    <x v="2"/>
    <x v="3"/>
    <x v="38"/>
    <x v="0"/>
    <x v="4"/>
    <n v="0"/>
    <x v="0"/>
  </r>
  <r>
    <x v="30"/>
    <x v="0"/>
    <x v="227"/>
    <x v="2"/>
    <x v="3"/>
    <x v="38"/>
    <x v="0"/>
    <x v="5"/>
    <n v="5658.2314702833446"/>
    <x v="0"/>
  </r>
  <r>
    <x v="30"/>
    <x v="0"/>
    <x v="227"/>
    <x v="2"/>
    <x v="3"/>
    <x v="38"/>
    <x v="0"/>
    <x v="6"/>
    <n v="5585.8718375357312"/>
    <x v="0"/>
  </r>
  <r>
    <x v="30"/>
    <x v="0"/>
    <x v="227"/>
    <x v="2"/>
    <x v="3"/>
    <x v="38"/>
    <x v="0"/>
    <x v="7"/>
    <n v="5630.5688783740188"/>
    <x v="0"/>
  </r>
  <r>
    <x v="30"/>
    <x v="0"/>
    <x v="227"/>
    <x v="2"/>
    <x v="3"/>
    <x v="38"/>
    <x v="0"/>
    <x v="8"/>
    <n v="5649.6021420628149"/>
    <x v="0"/>
  </r>
  <r>
    <x v="30"/>
    <x v="0"/>
    <x v="227"/>
    <x v="2"/>
    <x v="3"/>
    <x v="38"/>
    <x v="0"/>
    <x v="9"/>
    <n v="7328.2830027747486"/>
    <x v="0"/>
  </r>
  <r>
    <x v="30"/>
    <x v="0"/>
    <x v="227"/>
    <x v="2"/>
    <x v="3"/>
    <x v="38"/>
    <x v="0"/>
    <x v="10"/>
    <n v="7328.2830027747486"/>
    <x v="0"/>
  </r>
  <r>
    <x v="30"/>
    <x v="0"/>
    <x v="227"/>
    <x v="2"/>
    <x v="3"/>
    <x v="38"/>
    <x v="0"/>
    <x v="11"/>
    <n v="7328.2830027747486"/>
    <x v="0"/>
  </r>
  <r>
    <x v="30"/>
    <x v="0"/>
    <x v="228"/>
    <x v="2"/>
    <x v="3"/>
    <x v="39"/>
    <x v="0"/>
    <x v="0"/>
    <n v="0"/>
    <x v="0"/>
  </r>
  <r>
    <x v="30"/>
    <x v="0"/>
    <x v="228"/>
    <x v="2"/>
    <x v="3"/>
    <x v="39"/>
    <x v="0"/>
    <x v="1"/>
    <n v="0"/>
    <x v="0"/>
  </r>
  <r>
    <x v="30"/>
    <x v="0"/>
    <x v="228"/>
    <x v="2"/>
    <x v="3"/>
    <x v="39"/>
    <x v="0"/>
    <x v="2"/>
    <n v="0"/>
    <x v="0"/>
  </r>
  <r>
    <x v="30"/>
    <x v="0"/>
    <x v="228"/>
    <x v="2"/>
    <x v="3"/>
    <x v="39"/>
    <x v="0"/>
    <x v="3"/>
    <n v="0"/>
    <x v="0"/>
  </r>
  <r>
    <x v="30"/>
    <x v="0"/>
    <x v="228"/>
    <x v="2"/>
    <x v="3"/>
    <x v="39"/>
    <x v="0"/>
    <x v="4"/>
    <n v="0"/>
    <x v="0"/>
  </r>
  <r>
    <x v="30"/>
    <x v="0"/>
    <x v="228"/>
    <x v="2"/>
    <x v="3"/>
    <x v="39"/>
    <x v="0"/>
    <x v="5"/>
    <n v="0"/>
    <x v="0"/>
  </r>
  <r>
    <x v="30"/>
    <x v="0"/>
    <x v="228"/>
    <x v="2"/>
    <x v="3"/>
    <x v="39"/>
    <x v="0"/>
    <x v="6"/>
    <n v="20056.596911131022"/>
    <x v="0"/>
  </r>
  <r>
    <x v="30"/>
    <x v="0"/>
    <x v="228"/>
    <x v="2"/>
    <x v="3"/>
    <x v="39"/>
    <x v="0"/>
    <x v="7"/>
    <n v="20219.139692440047"/>
    <x v="0"/>
  </r>
  <r>
    <x v="30"/>
    <x v="0"/>
    <x v="228"/>
    <x v="2"/>
    <x v="3"/>
    <x v="39"/>
    <x v="0"/>
    <x v="8"/>
    <n v="20292.391574265013"/>
    <x v="0"/>
  </r>
  <r>
    <x v="30"/>
    <x v="0"/>
    <x v="228"/>
    <x v="2"/>
    <x v="3"/>
    <x v="39"/>
    <x v="0"/>
    <x v="9"/>
    <n v="0"/>
    <x v="0"/>
  </r>
  <r>
    <x v="30"/>
    <x v="0"/>
    <x v="228"/>
    <x v="2"/>
    <x v="3"/>
    <x v="39"/>
    <x v="0"/>
    <x v="10"/>
    <n v="0"/>
    <x v="0"/>
  </r>
  <r>
    <x v="30"/>
    <x v="0"/>
    <x v="228"/>
    <x v="2"/>
    <x v="3"/>
    <x v="39"/>
    <x v="0"/>
    <x v="11"/>
    <n v="0"/>
    <x v="0"/>
  </r>
  <r>
    <x v="30"/>
    <x v="0"/>
    <x v="229"/>
    <x v="2"/>
    <x v="3"/>
    <x v="39"/>
    <x v="0"/>
    <x v="0"/>
    <n v="5434.0036784546082"/>
    <x v="0"/>
  </r>
  <r>
    <x v="30"/>
    <x v="0"/>
    <x v="229"/>
    <x v="2"/>
    <x v="3"/>
    <x v="39"/>
    <x v="0"/>
    <x v="1"/>
    <n v="5121.2540479946856"/>
    <x v="0"/>
  </r>
  <r>
    <x v="30"/>
    <x v="0"/>
    <x v="229"/>
    <x v="2"/>
    <x v="3"/>
    <x v="39"/>
    <x v="0"/>
    <x v="2"/>
    <n v="5097.4925872738731"/>
    <x v="0"/>
  </r>
  <r>
    <x v="30"/>
    <x v="0"/>
    <x v="229"/>
    <x v="2"/>
    <x v="3"/>
    <x v="39"/>
    <x v="0"/>
    <x v="3"/>
    <n v="0"/>
    <x v="0"/>
  </r>
  <r>
    <x v="30"/>
    <x v="0"/>
    <x v="229"/>
    <x v="2"/>
    <x v="3"/>
    <x v="39"/>
    <x v="0"/>
    <x v="4"/>
    <n v="0"/>
    <x v="0"/>
  </r>
  <r>
    <x v="30"/>
    <x v="0"/>
    <x v="229"/>
    <x v="2"/>
    <x v="3"/>
    <x v="39"/>
    <x v="0"/>
    <x v="5"/>
    <n v="0"/>
    <x v="0"/>
  </r>
  <r>
    <x v="30"/>
    <x v="0"/>
    <x v="229"/>
    <x v="2"/>
    <x v="3"/>
    <x v="39"/>
    <x v="0"/>
    <x v="6"/>
    <n v="0"/>
    <x v="0"/>
  </r>
  <r>
    <x v="30"/>
    <x v="0"/>
    <x v="229"/>
    <x v="2"/>
    <x v="3"/>
    <x v="39"/>
    <x v="0"/>
    <x v="7"/>
    <n v="0"/>
    <x v="0"/>
  </r>
  <r>
    <x v="30"/>
    <x v="0"/>
    <x v="229"/>
    <x v="2"/>
    <x v="3"/>
    <x v="39"/>
    <x v="0"/>
    <x v="8"/>
    <n v="0"/>
    <x v="0"/>
  </r>
  <r>
    <x v="30"/>
    <x v="0"/>
    <x v="229"/>
    <x v="2"/>
    <x v="3"/>
    <x v="39"/>
    <x v="0"/>
    <x v="9"/>
    <n v="0"/>
    <x v="0"/>
  </r>
  <r>
    <x v="30"/>
    <x v="0"/>
    <x v="229"/>
    <x v="2"/>
    <x v="3"/>
    <x v="39"/>
    <x v="0"/>
    <x v="10"/>
    <n v="0"/>
    <x v="0"/>
  </r>
  <r>
    <x v="30"/>
    <x v="0"/>
    <x v="229"/>
    <x v="2"/>
    <x v="3"/>
    <x v="39"/>
    <x v="0"/>
    <x v="11"/>
    <n v="0"/>
    <x v="0"/>
  </r>
  <r>
    <x v="30"/>
    <x v="1"/>
    <x v="230"/>
    <x v="3"/>
    <x v="8"/>
    <x v="33"/>
    <x v="0"/>
    <x v="0"/>
    <n v="0"/>
    <x v="0"/>
  </r>
  <r>
    <x v="30"/>
    <x v="1"/>
    <x v="230"/>
    <x v="3"/>
    <x v="8"/>
    <x v="33"/>
    <x v="0"/>
    <x v="1"/>
    <n v="1037.9473553101386"/>
    <x v="0"/>
  </r>
  <r>
    <x v="30"/>
    <x v="1"/>
    <x v="230"/>
    <x v="3"/>
    <x v="8"/>
    <x v="33"/>
    <x v="0"/>
    <x v="2"/>
    <n v="0"/>
    <x v="0"/>
  </r>
  <r>
    <x v="30"/>
    <x v="1"/>
    <x v="230"/>
    <x v="3"/>
    <x v="8"/>
    <x v="33"/>
    <x v="0"/>
    <x v="3"/>
    <n v="0"/>
    <x v="0"/>
  </r>
  <r>
    <x v="30"/>
    <x v="1"/>
    <x v="230"/>
    <x v="3"/>
    <x v="8"/>
    <x v="33"/>
    <x v="0"/>
    <x v="4"/>
    <n v="0"/>
    <x v="0"/>
  </r>
  <r>
    <x v="30"/>
    <x v="1"/>
    <x v="230"/>
    <x v="3"/>
    <x v="8"/>
    <x v="33"/>
    <x v="0"/>
    <x v="5"/>
    <n v="0"/>
    <x v="0"/>
  </r>
  <r>
    <x v="30"/>
    <x v="1"/>
    <x v="230"/>
    <x v="3"/>
    <x v="8"/>
    <x v="33"/>
    <x v="0"/>
    <x v="6"/>
    <n v="0"/>
    <x v="0"/>
  </r>
  <r>
    <x v="30"/>
    <x v="1"/>
    <x v="230"/>
    <x v="3"/>
    <x v="8"/>
    <x v="33"/>
    <x v="0"/>
    <x v="7"/>
    <n v="0"/>
    <x v="0"/>
  </r>
  <r>
    <x v="30"/>
    <x v="1"/>
    <x v="230"/>
    <x v="3"/>
    <x v="8"/>
    <x v="33"/>
    <x v="0"/>
    <x v="8"/>
    <n v="0"/>
    <x v="0"/>
  </r>
  <r>
    <x v="30"/>
    <x v="1"/>
    <x v="230"/>
    <x v="3"/>
    <x v="8"/>
    <x v="33"/>
    <x v="0"/>
    <x v="9"/>
    <n v="0"/>
    <x v="0"/>
  </r>
  <r>
    <x v="30"/>
    <x v="1"/>
    <x v="230"/>
    <x v="3"/>
    <x v="8"/>
    <x v="33"/>
    <x v="0"/>
    <x v="10"/>
    <n v="0"/>
    <x v="0"/>
  </r>
  <r>
    <x v="30"/>
    <x v="1"/>
    <x v="230"/>
    <x v="3"/>
    <x v="8"/>
    <x v="33"/>
    <x v="0"/>
    <x v="11"/>
    <n v="0"/>
    <x v="0"/>
  </r>
  <r>
    <x v="30"/>
    <x v="1"/>
    <x v="231"/>
    <x v="3"/>
    <x v="8"/>
    <x v="33"/>
    <x v="0"/>
    <x v="0"/>
    <n v="0"/>
    <x v="0"/>
  </r>
  <r>
    <x v="30"/>
    <x v="1"/>
    <x v="231"/>
    <x v="3"/>
    <x v="8"/>
    <x v="33"/>
    <x v="0"/>
    <x v="1"/>
    <n v="0"/>
    <x v="0"/>
  </r>
  <r>
    <x v="30"/>
    <x v="1"/>
    <x v="231"/>
    <x v="3"/>
    <x v="8"/>
    <x v="33"/>
    <x v="0"/>
    <x v="2"/>
    <n v="0"/>
    <x v="0"/>
  </r>
  <r>
    <x v="30"/>
    <x v="1"/>
    <x v="231"/>
    <x v="3"/>
    <x v="8"/>
    <x v="33"/>
    <x v="0"/>
    <x v="3"/>
    <n v="0"/>
    <x v="0"/>
  </r>
  <r>
    <x v="30"/>
    <x v="1"/>
    <x v="231"/>
    <x v="3"/>
    <x v="8"/>
    <x v="33"/>
    <x v="0"/>
    <x v="4"/>
    <n v="0"/>
    <x v="0"/>
  </r>
  <r>
    <x v="30"/>
    <x v="1"/>
    <x v="231"/>
    <x v="3"/>
    <x v="8"/>
    <x v="33"/>
    <x v="0"/>
    <x v="5"/>
    <n v="0"/>
    <x v="0"/>
  </r>
  <r>
    <x v="30"/>
    <x v="1"/>
    <x v="231"/>
    <x v="3"/>
    <x v="8"/>
    <x v="33"/>
    <x v="0"/>
    <x v="6"/>
    <n v="0"/>
    <x v="0"/>
  </r>
  <r>
    <x v="30"/>
    <x v="1"/>
    <x v="231"/>
    <x v="3"/>
    <x v="8"/>
    <x v="33"/>
    <x v="0"/>
    <x v="7"/>
    <n v="19356.92009893537"/>
    <x v="0"/>
  </r>
  <r>
    <x v="30"/>
    <x v="1"/>
    <x v="231"/>
    <x v="3"/>
    <x v="8"/>
    <x v="33"/>
    <x v="0"/>
    <x v="8"/>
    <n v="0"/>
    <x v="0"/>
  </r>
  <r>
    <x v="30"/>
    <x v="1"/>
    <x v="231"/>
    <x v="3"/>
    <x v="8"/>
    <x v="33"/>
    <x v="0"/>
    <x v="9"/>
    <n v="0"/>
    <x v="0"/>
  </r>
  <r>
    <x v="30"/>
    <x v="1"/>
    <x v="231"/>
    <x v="3"/>
    <x v="8"/>
    <x v="33"/>
    <x v="0"/>
    <x v="10"/>
    <n v="0"/>
    <x v="0"/>
  </r>
  <r>
    <x v="30"/>
    <x v="1"/>
    <x v="231"/>
    <x v="3"/>
    <x v="8"/>
    <x v="33"/>
    <x v="0"/>
    <x v="11"/>
    <n v="0"/>
    <x v="0"/>
  </r>
  <r>
    <x v="30"/>
    <x v="0"/>
    <x v="232"/>
    <x v="3"/>
    <x v="8"/>
    <x v="16"/>
    <x v="0"/>
    <x v="0"/>
    <n v="257.16472648377186"/>
    <x v="0"/>
  </r>
  <r>
    <x v="30"/>
    <x v="0"/>
    <x v="232"/>
    <x v="3"/>
    <x v="8"/>
    <x v="16"/>
    <x v="0"/>
    <x v="1"/>
    <n v="190.80690027401809"/>
    <x v="0"/>
  </r>
  <r>
    <x v="30"/>
    <x v="0"/>
    <x v="232"/>
    <x v="3"/>
    <x v="8"/>
    <x v="16"/>
    <x v="0"/>
    <x v="2"/>
    <n v="132.13662144989826"/>
    <x v="0"/>
  </r>
  <r>
    <x v="30"/>
    <x v="0"/>
    <x v="232"/>
    <x v="3"/>
    <x v="8"/>
    <x v="16"/>
    <x v="0"/>
    <x v="3"/>
    <n v="134.06482387985085"/>
    <x v="0"/>
  </r>
  <r>
    <x v="30"/>
    <x v="0"/>
    <x v="232"/>
    <x v="3"/>
    <x v="8"/>
    <x v="16"/>
    <x v="0"/>
    <x v="4"/>
    <n v="0"/>
    <x v="0"/>
  </r>
  <r>
    <x v="30"/>
    <x v="0"/>
    <x v="232"/>
    <x v="3"/>
    <x v="8"/>
    <x v="16"/>
    <x v="0"/>
    <x v="5"/>
    <n v="0"/>
    <x v="0"/>
  </r>
  <r>
    <x v="30"/>
    <x v="0"/>
    <x v="232"/>
    <x v="3"/>
    <x v="8"/>
    <x v="16"/>
    <x v="0"/>
    <x v="6"/>
    <n v="277.38278083535988"/>
    <x v="0"/>
  </r>
  <r>
    <x v="30"/>
    <x v="0"/>
    <x v="232"/>
    <x v="3"/>
    <x v="8"/>
    <x v="16"/>
    <x v="0"/>
    <x v="7"/>
    <n v="0"/>
    <x v="0"/>
  </r>
  <r>
    <x v="30"/>
    <x v="0"/>
    <x v="232"/>
    <x v="3"/>
    <x v="8"/>
    <x v="16"/>
    <x v="0"/>
    <x v="8"/>
    <n v="283.12801632459161"/>
    <x v="0"/>
  </r>
  <r>
    <x v="30"/>
    <x v="0"/>
    <x v="232"/>
    <x v="3"/>
    <x v="8"/>
    <x v="16"/>
    <x v="0"/>
    <x v="9"/>
    <n v="138.19760097602054"/>
    <x v="0"/>
  </r>
  <r>
    <x v="30"/>
    <x v="0"/>
    <x v="232"/>
    <x v="3"/>
    <x v="8"/>
    <x v="16"/>
    <x v="0"/>
    <x v="10"/>
    <n v="138.19760097602054"/>
    <x v="0"/>
  </r>
  <r>
    <x v="30"/>
    <x v="0"/>
    <x v="232"/>
    <x v="3"/>
    <x v="8"/>
    <x v="16"/>
    <x v="0"/>
    <x v="11"/>
    <n v="138.19760097602054"/>
    <x v="0"/>
  </r>
  <r>
    <x v="30"/>
    <x v="1"/>
    <x v="233"/>
    <x v="3"/>
    <x v="8"/>
    <x v="36"/>
    <x v="0"/>
    <x v="0"/>
    <n v="0"/>
    <x v="0"/>
  </r>
  <r>
    <x v="30"/>
    <x v="1"/>
    <x v="233"/>
    <x v="3"/>
    <x v="8"/>
    <x v="36"/>
    <x v="0"/>
    <x v="1"/>
    <n v="0"/>
    <x v="0"/>
  </r>
  <r>
    <x v="30"/>
    <x v="1"/>
    <x v="233"/>
    <x v="3"/>
    <x v="8"/>
    <x v="36"/>
    <x v="0"/>
    <x v="2"/>
    <n v="0"/>
    <x v="0"/>
  </r>
  <r>
    <x v="30"/>
    <x v="1"/>
    <x v="233"/>
    <x v="3"/>
    <x v="8"/>
    <x v="36"/>
    <x v="0"/>
    <x v="3"/>
    <n v="17895.681879725875"/>
    <x v="0"/>
  </r>
  <r>
    <x v="30"/>
    <x v="1"/>
    <x v="233"/>
    <x v="3"/>
    <x v="8"/>
    <x v="36"/>
    <x v="0"/>
    <x v="4"/>
    <n v="0"/>
    <x v="0"/>
  </r>
  <r>
    <x v="30"/>
    <x v="1"/>
    <x v="233"/>
    <x v="3"/>
    <x v="8"/>
    <x v="36"/>
    <x v="0"/>
    <x v="5"/>
    <n v="1535.0520473393226"/>
    <x v="0"/>
  </r>
  <r>
    <x v="30"/>
    <x v="1"/>
    <x v="233"/>
    <x v="3"/>
    <x v="8"/>
    <x v="36"/>
    <x v="0"/>
    <x v="6"/>
    <n v="0"/>
    <x v="0"/>
  </r>
  <r>
    <x v="30"/>
    <x v="1"/>
    <x v="233"/>
    <x v="3"/>
    <x v="8"/>
    <x v="36"/>
    <x v="0"/>
    <x v="7"/>
    <n v="3382.0840950639854"/>
    <x v="0"/>
  </r>
  <r>
    <x v="30"/>
    <x v="1"/>
    <x v="233"/>
    <x v="3"/>
    <x v="8"/>
    <x v="36"/>
    <x v="0"/>
    <x v="8"/>
    <n v="0"/>
    <x v="0"/>
  </r>
  <r>
    <x v="30"/>
    <x v="1"/>
    <x v="233"/>
    <x v="3"/>
    <x v="8"/>
    <x v="36"/>
    <x v="0"/>
    <x v="9"/>
    <n v="0"/>
    <x v="0"/>
  </r>
  <r>
    <x v="30"/>
    <x v="1"/>
    <x v="233"/>
    <x v="3"/>
    <x v="8"/>
    <x v="36"/>
    <x v="0"/>
    <x v="10"/>
    <n v="0"/>
    <x v="0"/>
  </r>
  <r>
    <x v="30"/>
    <x v="1"/>
    <x v="233"/>
    <x v="3"/>
    <x v="8"/>
    <x v="36"/>
    <x v="0"/>
    <x v="11"/>
    <n v="0"/>
    <x v="0"/>
  </r>
  <r>
    <x v="30"/>
    <x v="0"/>
    <x v="234"/>
    <x v="3"/>
    <x v="8"/>
    <x v="16"/>
    <x v="0"/>
    <x v="0"/>
    <n v="41.672265113051907"/>
    <x v="0"/>
  </r>
  <r>
    <x v="30"/>
    <x v="0"/>
    <x v="234"/>
    <x v="3"/>
    <x v="8"/>
    <x v="16"/>
    <x v="0"/>
    <x v="1"/>
    <n v="39.519845553433527"/>
    <x v="0"/>
  </r>
  <r>
    <x v="30"/>
    <x v="0"/>
    <x v="234"/>
    <x v="3"/>
    <x v="8"/>
    <x v="16"/>
    <x v="0"/>
    <x v="2"/>
    <n v="39.26007045964068"/>
    <x v="0"/>
  </r>
  <r>
    <x v="30"/>
    <x v="0"/>
    <x v="234"/>
    <x v="3"/>
    <x v="8"/>
    <x v="16"/>
    <x v="0"/>
    <x v="3"/>
    <n v="39.72858124856792"/>
    <x v="0"/>
  </r>
  <r>
    <x v="30"/>
    <x v="0"/>
    <x v="234"/>
    <x v="3"/>
    <x v="8"/>
    <x v="16"/>
    <x v="0"/>
    <x v="4"/>
    <n v="41.822460452346711"/>
    <x v="0"/>
  </r>
  <r>
    <x v="30"/>
    <x v="0"/>
    <x v="234"/>
    <x v="3"/>
    <x v="8"/>
    <x v="16"/>
    <x v="0"/>
    <x v="5"/>
    <n v="41.637871458189359"/>
    <x v="0"/>
  </r>
  <r>
    <x v="30"/>
    <x v="0"/>
    <x v="234"/>
    <x v="3"/>
    <x v="8"/>
    <x v="16"/>
    <x v="0"/>
    <x v="6"/>
    <n v="41.324288578864291"/>
    <x v="0"/>
  </r>
  <r>
    <x v="30"/>
    <x v="0"/>
    <x v="234"/>
    <x v="3"/>
    <x v="8"/>
    <x v="16"/>
    <x v="0"/>
    <x v="7"/>
    <n v="41.809872029250457"/>
    <x v="0"/>
  </r>
  <r>
    <x v="30"/>
    <x v="0"/>
    <x v="234"/>
    <x v="3"/>
    <x v="8"/>
    <x v="16"/>
    <x v="0"/>
    <x v="8"/>
    <n v="41.978600965223869"/>
    <x v="0"/>
  </r>
  <r>
    <x v="30"/>
    <x v="0"/>
    <x v="234"/>
    <x v="3"/>
    <x v="8"/>
    <x v="16"/>
    <x v="0"/>
    <x v="9"/>
    <n v="41.632027294026194"/>
    <x v="0"/>
  </r>
  <r>
    <x v="30"/>
    <x v="0"/>
    <x v="234"/>
    <x v="3"/>
    <x v="8"/>
    <x v="16"/>
    <x v="0"/>
    <x v="10"/>
    <n v="41.632027294026194"/>
    <x v="0"/>
  </r>
  <r>
    <x v="30"/>
    <x v="0"/>
    <x v="234"/>
    <x v="3"/>
    <x v="8"/>
    <x v="16"/>
    <x v="0"/>
    <x v="11"/>
    <n v="41.632027294026194"/>
    <x v="0"/>
  </r>
  <r>
    <x v="30"/>
    <x v="0"/>
    <x v="235"/>
    <x v="3"/>
    <x v="8"/>
    <x v="39"/>
    <x v="0"/>
    <x v="0"/>
    <n v="0"/>
    <x v="0"/>
  </r>
  <r>
    <x v="30"/>
    <x v="0"/>
    <x v="235"/>
    <x v="3"/>
    <x v="8"/>
    <x v="39"/>
    <x v="0"/>
    <x v="1"/>
    <n v="2174.0077223283233"/>
    <x v="0"/>
  </r>
  <r>
    <x v="30"/>
    <x v="0"/>
    <x v="235"/>
    <x v="3"/>
    <x v="8"/>
    <x v="39"/>
    <x v="0"/>
    <x v="2"/>
    <n v="1084.7912555660018"/>
    <x v="0"/>
  </r>
  <r>
    <x v="30"/>
    <x v="0"/>
    <x v="235"/>
    <x v="3"/>
    <x v="8"/>
    <x v="39"/>
    <x v="0"/>
    <x v="3"/>
    <n v="1093.5926010790092"/>
    <x v="0"/>
  </r>
  <r>
    <x v="30"/>
    <x v="0"/>
    <x v="235"/>
    <x v="3"/>
    <x v="8"/>
    <x v="39"/>
    <x v="0"/>
    <x v="4"/>
    <n v="1140.9585130953938"/>
    <x v="0"/>
  </r>
  <r>
    <x v="30"/>
    <x v="0"/>
    <x v="235"/>
    <x v="3"/>
    <x v="8"/>
    <x v="39"/>
    <x v="0"/>
    <x v="5"/>
    <n v="1130.8558655839668"/>
    <x v="0"/>
  </r>
  <r>
    <x v="30"/>
    <x v="0"/>
    <x v="235"/>
    <x v="3"/>
    <x v="8"/>
    <x v="39"/>
    <x v="0"/>
    <x v="6"/>
    <n v="2234.0180895089384"/>
    <x v="0"/>
  </r>
  <r>
    <x v="30"/>
    <x v="0"/>
    <x v="235"/>
    <x v="3"/>
    <x v="8"/>
    <x v="39"/>
    <x v="0"/>
    <x v="7"/>
    <n v="1126.2103451984085"/>
    <x v="0"/>
  </r>
  <r>
    <x v="30"/>
    <x v="0"/>
    <x v="235"/>
    <x v="3"/>
    <x v="8"/>
    <x v="39"/>
    <x v="0"/>
    <x v="8"/>
    <n v="1130.6971421167984"/>
    <x v="0"/>
  </r>
  <r>
    <x v="30"/>
    <x v="0"/>
    <x v="235"/>
    <x v="3"/>
    <x v="8"/>
    <x v="39"/>
    <x v="0"/>
    <x v="9"/>
    <n v="1130.6971421167984"/>
    <x v="0"/>
  </r>
  <r>
    <x v="30"/>
    <x v="0"/>
    <x v="235"/>
    <x v="3"/>
    <x v="8"/>
    <x v="39"/>
    <x v="0"/>
    <x v="10"/>
    <n v="1130.6971421167984"/>
    <x v="0"/>
  </r>
  <r>
    <x v="30"/>
    <x v="0"/>
    <x v="235"/>
    <x v="3"/>
    <x v="8"/>
    <x v="39"/>
    <x v="0"/>
    <x v="11"/>
    <n v="1130.6971421167984"/>
    <x v="0"/>
  </r>
  <r>
    <x v="30"/>
    <x v="1"/>
    <x v="236"/>
    <x v="3"/>
    <x v="8"/>
    <x v="23"/>
    <x v="0"/>
    <x v="0"/>
    <n v="0"/>
    <x v="0"/>
  </r>
  <r>
    <x v="30"/>
    <x v="1"/>
    <x v="236"/>
    <x v="3"/>
    <x v="8"/>
    <x v="23"/>
    <x v="0"/>
    <x v="1"/>
    <n v="0"/>
    <x v="0"/>
  </r>
  <r>
    <x v="30"/>
    <x v="1"/>
    <x v="236"/>
    <x v="3"/>
    <x v="8"/>
    <x v="23"/>
    <x v="0"/>
    <x v="2"/>
    <n v="0"/>
    <x v="0"/>
  </r>
  <r>
    <x v="30"/>
    <x v="1"/>
    <x v="236"/>
    <x v="3"/>
    <x v="8"/>
    <x v="23"/>
    <x v="0"/>
    <x v="3"/>
    <n v="0"/>
    <x v="0"/>
  </r>
  <r>
    <x v="30"/>
    <x v="1"/>
    <x v="236"/>
    <x v="3"/>
    <x v="8"/>
    <x v="23"/>
    <x v="0"/>
    <x v="4"/>
    <n v="0"/>
    <x v="0"/>
  </r>
  <r>
    <x v="30"/>
    <x v="1"/>
    <x v="236"/>
    <x v="3"/>
    <x v="8"/>
    <x v="23"/>
    <x v="0"/>
    <x v="5"/>
    <n v="0"/>
    <x v="0"/>
  </r>
  <r>
    <x v="30"/>
    <x v="1"/>
    <x v="236"/>
    <x v="3"/>
    <x v="8"/>
    <x v="23"/>
    <x v="0"/>
    <x v="6"/>
    <n v="0"/>
    <x v="0"/>
  </r>
  <r>
    <x v="30"/>
    <x v="1"/>
    <x v="236"/>
    <x v="3"/>
    <x v="8"/>
    <x v="23"/>
    <x v="0"/>
    <x v="7"/>
    <n v="865.67587912678789"/>
    <x v="0"/>
  </r>
  <r>
    <x v="30"/>
    <x v="1"/>
    <x v="236"/>
    <x v="3"/>
    <x v="8"/>
    <x v="23"/>
    <x v="0"/>
    <x v="8"/>
    <n v="0"/>
    <x v="0"/>
  </r>
  <r>
    <x v="30"/>
    <x v="1"/>
    <x v="236"/>
    <x v="3"/>
    <x v="8"/>
    <x v="23"/>
    <x v="0"/>
    <x v="9"/>
    <n v="0"/>
    <x v="0"/>
  </r>
  <r>
    <x v="30"/>
    <x v="1"/>
    <x v="236"/>
    <x v="3"/>
    <x v="8"/>
    <x v="23"/>
    <x v="0"/>
    <x v="10"/>
    <n v="0"/>
    <x v="0"/>
  </r>
  <r>
    <x v="30"/>
    <x v="1"/>
    <x v="236"/>
    <x v="3"/>
    <x v="8"/>
    <x v="23"/>
    <x v="0"/>
    <x v="11"/>
    <n v="0"/>
    <x v="0"/>
  </r>
  <r>
    <x v="30"/>
    <x v="1"/>
    <x v="237"/>
    <x v="3"/>
    <x v="8"/>
    <x v="23"/>
    <x v="0"/>
    <x v="0"/>
    <n v="0"/>
    <x v="0"/>
  </r>
  <r>
    <x v="30"/>
    <x v="1"/>
    <x v="237"/>
    <x v="3"/>
    <x v="8"/>
    <x v="23"/>
    <x v="0"/>
    <x v="1"/>
    <n v="0"/>
    <x v="0"/>
  </r>
  <r>
    <x v="30"/>
    <x v="1"/>
    <x v="237"/>
    <x v="3"/>
    <x v="8"/>
    <x v="23"/>
    <x v="0"/>
    <x v="2"/>
    <n v="0"/>
    <x v="0"/>
  </r>
  <r>
    <x v="30"/>
    <x v="1"/>
    <x v="237"/>
    <x v="3"/>
    <x v="8"/>
    <x v="23"/>
    <x v="0"/>
    <x v="3"/>
    <n v="0"/>
    <x v="0"/>
  </r>
  <r>
    <x v="30"/>
    <x v="1"/>
    <x v="237"/>
    <x v="3"/>
    <x v="8"/>
    <x v="23"/>
    <x v="0"/>
    <x v="4"/>
    <n v="32677.977513400445"/>
    <x v="0"/>
  </r>
  <r>
    <x v="30"/>
    <x v="1"/>
    <x v="237"/>
    <x v="3"/>
    <x v="8"/>
    <x v="23"/>
    <x v="0"/>
    <x v="5"/>
    <n v="0"/>
    <x v="0"/>
  </r>
  <r>
    <x v="30"/>
    <x v="1"/>
    <x v="237"/>
    <x v="3"/>
    <x v="8"/>
    <x v="23"/>
    <x v="0"/>
    <x v="6"/>
    <n v="0"/>
    <x v="0"/>
  </r>
  <r>
    <x v="30"/>
    <x v="1"/>
    <x v="237"/>
    <x v="3"/>
    <x v="8"/>
    <x v="23"/>
    <x v="0"/>
    <x v="7"/>
    <n v="0"/>
    <x v="0"/>
  </r>
  <r>
    <x v="30"/>
    <x v="1"/>
    <x v="237"/>
    <x v="3"/>
    <x v="8"/>
    <x v="23"/>
    <x v="0"/>
    <x v="8"/>
    <n v="0"/>
    <x v="0"/>
  </r>
  <r>
    <x v="30"/>
    <x v="1"/>
    <x v="237"/>
    <x v="3"/>
    <x v="8"/>
    <x v="23"/>
    <x v="0"/>
    <x v="9"/>
    <n v="0"/>
    <x v="0"/>
  </r>
  <r>
    <x v="30"/>
    <x v="1"/>
    <x v="237"/>
    <x v="3"/>
    <x v="8"/>
    <x v="23"/>
    <x v="0"/>
    <x v="10"/>
    <n v="0"/>
    <x v="0"/>
  </r>
  <r>
    <x v="30"/>
    <x v="1"/>
    <x v="237"/>
    <x v="3"/>
    <x v="8"/>
    <x v="23"/>
    <x v="0"/>
    <x v="11"/>
    <n v="0"/>
    <x v="0"/>
  </r>
  <r>
    <x v="30"/>
    <x v="1"/>
    <x v="238"/>
    <x v="0"/>
    <x v="5"/>
    <x v="23"/>
    <x v="0"/>
    <x v="0"/>
    <n v="0"/>
    <x v="0"/>
  </r>
  <r>
    <x v="30"/>
    <x v="1"/>
    <x v="238"/>
    <x v="0"/>
    <x v="5"/>
    <x v="23"/>
    <x v="0"/>
    <x v="1"/>
    <n v="2085.6410362866395"/>
    <x v="0"/>
  </r>
  <r>
    <x v="30"/>
    <x v="1"/>
    <x v="238"/>
    <x v="0"/>
    <x v="5"/>
    <x v="23"/>
    <x v="0"/>
    <x v="2"/>
    <n v="0"/>
    <x v="0"/>
  </r>
  <r>
    <x v="30"/>
    <x v="1"/>
    <x v="238"/>
    <x v="0"/>
    <x v="5"/>
    <x v="23"/>
    <x v="0"/>
    <x v="3"/>
    <n v="0"/>
    <x v="0"/>
  </r>
  <r>
    <x v="30"/>
    <x v="1"/>
    <x v="238"/>
    <x v="0"/>
    <x v="5"/>
    <x v="23"/>
    <x v="0"/>
    <x v="4"/>
    <n v="0"/>
    <x v="0"/>
  </r>
  <r>
    <x v="30"/>
    <x v="1"/>
    <x v="238"/>
    <x v="0"/>
    <x v="5"/>
    <x v="23"/>
    <x v="0"/>
    <x v="5"/>
    <n v="0"/>
    <x v="0"/>
  </r>
  <r>
    <x v="30"/>
    <x v="1"/>
    <x v="238"/>
    <x v="0"/>
    <x v="5"/>
    <x v="23"/>
    <x v="0"/>
    <x v="6"/>
    <n v="0"/>
    <x v="0"/>
  </r>
  <r>
    <x v="30"/>
    <x v="1"/>
    <x v="238"/>
    <x v="0"/>
    <x v="5"/>
    <x v="23"/>
    <x v="0"/>
    <x v="7"/>
    <n v="0"/>
    <x v="0"/>
  </r>
  <r>
    <x v="30"/>
    <x v="1"/>
    <x v="238"/>
    <x v="0"/>
    <x v="5"/>
    <x v="23"/>
    <x v="0"/>
    <x v="8"/>
    <n v="0"/>
    <x v="0"/>
  </r>
  <r>
    <x v="30"/>
    <x v="1"/>
    <x v="238"/>
    <x v="0"/>
    <x v="5"/>
    <x v="23"/>
    <x v="0"/>
    <x v="9"/>
    <n v="0"/>
    <x v="0"/>
  </r>
  <r>
    <x v="30"/>
    <x v="1"/>
    <x v="238"/>
    <x v="0"/>
    <x v="5"/>
    <x v="23"/>
    <x v="0"/>
    <x v="10"/>
    <n v="0"/>
    <x v="0"/>
  </r>
  <r>
    <x v="30"/>
    <x v="1"/>
    <x v="238"/>
    <x v="0"/>
    <x v="5"/>
    <x v="23"/>
    <x v="0"/>
    <x v="11"/>
    <n v="0"/>
    <x v="0"/>
  </r>
  <r>
    <x v="30"/>
    <x v="1"/>
    <x v="239"/>
    <x v="0"/>
    <x v="5"/>
    <x v="2"/>
    <x v="0"/>
    <x v="0"/>
    <n v="35.49708697232348"/>
    <x v="0"/>
  </r>
  <r>
    <x v="30"/>
    <x v="1"/>
    <x v="239"/>
    <x v="0"/>
    <x v="5"/>
    <x v="2"/>
    <x v="0"/>
    <x v="1"/>
    <n v="0"/>
    <x v="0"/>
  </r>
  <r>
    <x v="30"/>
    <x v="1"/>
    <x v="239"/>
    <x v="0"/>
    <x v="5"/>
    <x v="2"/>
    <x v="0"/>
    <x v="2"/>
    <n v="0"/>
    <x v="0"/>
  </r>
  <r>
    <x v="30"/>
    <x v="1"/>
    <x v="239"/>
    <x v="0"/>
    <x v="5"/>
    <x v="2"/>
    <x v="0"/>
    <x v="3"/>
    <n v="0"/>
    <x v="0"/>
  </r>
  <r>
    <x v="30"/>
    <x v="1"/>
    <x v="239"/>
    <x v="0"/>
    <x v="5"/>
    <x v="2"/>
    <x v="0"/>
    <x v="4"/>
    <n v="0"/>
    <x v="0"/>
  </r>
  <r>
    <x v="30"/>
    <x v="1"/>
    <x v="239"/>
    <x v="0"/>
    <x v="5"/>
    <x v="2"/>
    <x v="0"/>
    <x v="5"/>
    <n v="0"/>
    <x v="0"/>
  </r>
  <r>
    <x v="30"/>
    <x v="1"/>
    <x v="239"/>
    <x v="0"/>
    <x v="5"/>
    <x v="2"/>
    <x v="0"/>
    <x v="6"/>
    <n v="34.377533171210381"/>
    <x v="0"/>
  </r>
  <r>
    <x v="30"/>
    <x v="1"/>
    <x v="239"/>
    <x v="0"/>
    <x v="5"/>
    <x v="2"/>
    <x v="0"/>
    <x v="7"/>
    <n v="0"/>
    <x v="0"/>
  </r>
  <r>
    <x v="30"/>
    <x v="1"/>
    <x v="239"/>
    <x v="0"/>
    <x v="5"/>
    <x v="2"/>
    <x v="0"/>
    <x v="8"/>
    <n v="0"/>
    <x v="0"/>
  </r>
  <r>
    <x v="30"/>
    <x v="1"/>
    <x v="239"/>
    <x v="0"/>
    <x v="5"/>
    <x v="2"/>
    <x v="0"/>
    <x v="9"/>
    <n v="0"/>
    <x v="0"/>
  </r>
  <r>
    <x v="30"/>
    <x v="1"/>
    <x v="239"/>
    <x v="0"/>
    <x v="5"/>
    <x v="2"/>
    <x v="0"/>
    <x v="10"/>
    <n v="0"/>
    <x v="0"/>
  </r>
  <r>
    <x v="30"/>
    <x v="1"/>
    <x v="239"/>
    <x v="0"/>
    <x v="5"/>
    <x v="2"/>
    <x v="0"/>
    <x v="11"/>
    <n v="0"/>
    <x v="0"/>
  </r>
  <r>
    <x v="42"/>
    <x v="0"/>
    <x v="43"/>
    <x v="1"/>
    <x v="0"/>
    <x v="2"/>
    <x v="0"/>
    <x v="0"/>
    <n v="0"/>
    <x v="0"/>
  </r>
  <r>
    <x v="42"/>
    <x v="0"/>
    <x v="43"/>
    <x v="1"/>
    <x v="0"/>
    <x v="2"/>
    <x v="0"/>
    <x v="1"/>
    <n v="0"/>
    <x v="0"/>
  </r>
  <r>
    <x v="42"/>
    <x v="0"/>
    <x v="43"/>
    <x v="1"/>
    <x v="0"/>
    <x v="2"/>
    <x v="0"/>
    <x v="2"/>
    <n v="0"/>
    <x v="0"/>
  </r>
  <r>
    <x v="42"/>
    <x v="0"/>
    <x v="43"/>
    <x v="1"/>
    <x v="0"/>
    <x v="2"/>
    <x v="0"/>
    <x v="3"/>
    <n v="0"/>
    <x v="0"/>
  </r>
  <r>
    <x v="42"/>
    <x v="0"/>
    <x v="43"/>
    <x v="1"/>
    <x v="0"/>
    <x v="2"/>
    <x v="0"/>
    <x v="4"/>
    <n v="0"/>
    <x v="0"/>
  </r>
  <r>
    <x v="42"/>
    <x v="0"/>
    <x v="43"/>
    <x v="1"/>
    <x v="0"/>
    <x v="2"/>
    <x v="0"/>
    <x v="5"/>
    <n v="0"/>
    <x v="0"/>
  </r>
  <r>
    <x v="42"/>
    <x v="0"/>
    <x v="43"/>
    <x v="1"/>
    <x v="0"/>
    <x v="2"/>
    <x v="0"/>
    <x v="6"/>
    <n v="2133.7663722855073"/>
    <x v="0"/>
  </r>
  <r>
    <x v="42"/>
    <x v="0"/>
    <x v="43"/>
    <x v="1"/>
    <x v="0"/>
    <x v="2"/>
    <x v="0"/>
    <x v="7"/>
    <n v="2201.3184213356276"/>
    <x v="0"/>
  </r>
  <r>
    <x v="42"/>
    <x v="0"/>
    <x v="43"/>
    <x v="1"/>
    <x v="0"/>
    <x v="2"/>
    <x v="0"/>
    <x v="8"/>
    <n v="2843.4696235195042"/>
    <x v="0"/>
  </r>
  <r>
    <x v="42"/>
    <x v="0"/>
    <x v="43"/>
    <x v="1"/>
    <x v="0"/>
    <x v="2"/>
    <x v="0"/>
    <x v="9"/>
    <n v="2159.9140583668927"/>
    <x v="0"/>
  </r>
  <r>
    <x v="42"/>
    <x v="0"/>
    <x v="43"/>
    <x v="1"/>
    <x v="0"/>
    <x v="2"/>
    <x v="0"/>
    <x v="10"/>
    <n v="2159.9140583668927"/>
    <x v="0"/>
  </r>
  <r>
    <x v="42"/>
    <x v="0"/>
    <x v="43"/>
    <x v="1"/>
    <x v="0"/>
    <x v="2"/>
    <x v="0"/>
    <x v="11"/>
    <n v="2159.9140583668927"/>
    <x v="0"/>
  </r>
  <r>
    <x v="56"/>
    <x v="0"/>
    <x v="240"/>
    <x v="0"/>
    <x v="0"/>
    <x v="0"/>
    <x v="14"/>
    <x v="0"/>
    <n v="6027.8688000577549"/>
    <x v="1"/>
  </r>
  <r>
    <x v="56"/>
    <x v="0"/>
    <x v="240"/>
    <x v="0"/>
    <x v="0"/>
    <x v="0"/>
    <x v="14"/>
    <x v="1"/>
    <n v="4765.1720407872153"/>
    <x v="1"/>
  </r>
  <r>
    <x v="56"/>
    <x v="0"/>
    <x v="240"/>
    <x v="0"/>
    <x v="0"/>
    <x v="0"/>
    <x v="14"/>
    <x v="2"/>
    <n v="4843.1166624766502"/>
    <x v="1"/>
  </r>
  <r>
    <x v="56"/>
    <x v="0"/>
    <x v="240"/>
    <x v="0"/>
    <x v="0"/>
    <x v="0"/>
    <x v="14"/>
    <x v="3"/>
    <n v="4943.5176742754747"/>
    <x v="1"/>
  </r>
  <r>
    <x v="56"/>
    <x v="0"/>
    <x v="240"/>
    <x v="0"/>
    <x v="0"/>
    <x v="0"/>
    <x v="14"/>
    <x v="4"/>
    <n v="6814.661236073498"/>
    <x v="1"/>
  </r>
  <r>
    <x v="56"/>
    <x v="0"/>
    <x v="240"/>
    <x v="0"/>
    <x v="0"/>
    <x v="0"/>
    <x v="14"/>
    <x v="5"/>
    <n v="4669.0712344488766"/>
    <x v="1"/>
  </r>
  <r>
    <x v="56"/>
    <x v="0"/>
    <x v="240"/>
    <x v="0"/>
    <x v="0"/>
    <x v="0"/>
    <x v="14"/>
    <x v="6"/>
    <n v="9309.3617127707475"/>
    <x v="1"/>
  </r>
  <r>
    <x v="56"/>
    <x v="0"/>
    <x v="240"/>
    <x v="0"/>
    <x v="0"/>
    <x v="0"/>
    <x v="14"/>
    <x v="7"/>
    <n v="8030.1640457359272"/>
    <x v="1"/>
  </r>
  <r>
    <x v="56"/>
    <x v="0"/>
    <x v="240"/>
    <x v="0"/>
    <x v="0"/>
    <x v="0"/>
    <x v="14"/>
    <x v="8"/>
    <n v="4772.2884091682736"/>
    <x v="1"/>
  </r>
  <r>
    <x v="56"/>
    <x v="0"/>
    <x v="240"/>
    <x v="0"/>
    <x v="0"/>
    <x v="0"/>
    <x v="14"/>
    <x v="9"/>
    <n v="4704.0716664014462"/>
    <x v="1"/>
  </r>
  <r>
    <x v="56"/>
    <x v="0"/>
    <x v="240"/>
    <x v="0"/>
    <x v="0"/>
    <x v="0"/>
    <x v="14"/>
    <x v="10"/>
    <n v="7411.7160707140547"/>
    <x v="1"/>
  </r>
  <r>
    <x v="56"/>
    <x v="0"/>
    <x v="240"/>
    <x v="0"/>
    <x v="0"/>
    <x v="0"/>
    <x v="14"/>
    <x v="12"/>
    <n v="10302.393099925457"/>
    <x v="1"/>
  </r>
  <r>
    <x v="56"/>
    <x v="1"/>
    <x v="240"/>
    <x v="0"/>
    <x v="1"/>
    <x v="1"/>
    <x v="0"/>
    <x v="0"/>
    <n v="0"/>
    <x v="1"/>
  </r>
  <r>
    <x v="56"/>
    <x v="1"/>
    <x v="240"/>
    <x v="0"/>
    <x v="1"/>
    <x v="1"/>
    <x v="0"/>
    <x v="1"/>
    <n v="3756.3899174846024"/>
    <x v="1"/>
  </r>
  <r>
    <x v="56"/>
    <x v="1"/>
    <x v="240"/>
    <x v="0"/>
    <x v="1"/>
    <x v="1"/>
    <x v="0"/>
    <x v="2"/>
    <n v="0"/>
    <x v="1"/>
  </r>
  <r>
    <x v="56"/>
    <x v="1"/>
    <x v="240"/>
    <x v="0"/>
    <x v="1"/>
    <x v="1"/>
    <x v="0"/>
    <x v="3"/>
    <n v="2318.4023484596974"/>
    <x v="1"/>
  </r>
  <r>
    <x v="56"/>
    <x v="1"/>
    <x v="240"/>
    <x v="0"/>
    <x v="1"/>
    <x v="1"/>
    <x v="0"/>
    <x v="4"/>
    <n v="0"/>
    <x v="1"/>
  </r>
  <r>
    <x v="56"/>
    <x v="1"/>
    <x v="240"/>
    <x v="0"/>
    <x v="1"/>
    <x v="1"/>
    <x v="0"/>
    <x v="5"/>
    <n v="0"/>
    <x v="1"/>
  </r>
  <r>
    <x v="56"/>
    <x v="1"/>
    <x v="240"/>
    <x v="0"/>
    <x v="1"/>
    <x v="1"/>
    <x v="0"/>
    <x v="6"/>
    <n v="0"/>
    <x v="1"/>
  </r>
  <r>
    <x v="56"/>
    <x v="1"/>
    <x v="240"/>
    <x v="0"/>
    <x v="1"/>
    <x v="1"/>
    <x v="0"/>
    <x v="7"/>
    <n v="0"/>
    <x v="1"/>
  </r>
  <r>
    <x v="56"/>
    <x v="1"/>
    <x v="240"/>
    <x v="0"/>
    <x v="1"/>
    <x v="1"/>
    <x v="0"/>
    <x v="8"/>
    <n v="0"/>
    <x v="1"/>
  </r>
  <r>
    <x v="56"/>
    <x v="1"/>
    <x v="240"/>
    <x v="0"/>
    <x v="1"/>
    <x v="1"/>
    <x v="0"/>
    <x v="9"/>
    <n v="0"/>
    <x v="1"/>
  </r>
  <r>
    <x v="56"/>
    <x v="1"/>
    <x v="240"/>
    <x v="0"/>
    <x v="1"/>
    <x v="1"/>
    <x v="0"/>
    <x v="10"/>
    <n v="0"/>
    <x v="1"/>
  </r>
  <r>
    <x v="56"/>
    <x v="1"/>
    <x v="240"/>
    <x v="0"/>
    <x v="1"/>
    <x v="1"/>
    <x v="0"/>
    <x v="12"/>
    <n v="0"/>
    <x v="1"/>
  </r>
  <r>
    <x v="57"/>
    <x v="0"/>
    <x v="241"/>
    <x v="0"/>
    <x v="0"/>
    <x v="0"/>
    <x v="14"/>
    <x v="0"/>
    <n v="3582.3951204651084"/>
    <x v="1"/>
  </r>
  <r>
    <x v="57"/>
    <x v="0"/>
    <x v="241"/>
    <x v="0"/>
    <x v="0"/>
    <x v="0"/>
    <x v="14"/>
    <x v="1"/>
    <n v="2930.0909805447809"/>
    <x v="1"/>
  </r>
  <r>
    <x v="57"/>
    <x v="0"/>
    <x v="241"/>
    <x v="0"/>
    <x v="0"/>
    <x v="0"/>
    <x v="14"/>
    <x v="2"/>
    <n v="2960.0890684355845"/>
    <x v="1"/>
  </r>
  <r>
    <x v="57"/>
    <x v="0"/>
    <x v="241"/>
    <x v="0"/>
    <x v="0"/>
    <x v="0"/>
    <x v="14"/>
    <x v="3"/>
    <n v="3022.2490614315589"/>
    <x v="1"/>
  </r>
  <r>
    <x v="57"/>
    <x v="0"/>
    <x v="241"/>
    <x v="0"/>
    <x v="0"/>
    <x v="0"/>
    <x v="14"/>
    <x v="4"/>
    <n v="4166.199426885315"/>
    <x v="1"/>
  </r>
  <r>
    <x v="57"/>
    <x v="0"/>
    <x v="241"/>
    <x v="0"/>
    <x v="0"/>
    <x v="0"/>
    <x v="14"/>
    <x v="5"/>
    <n v="2854.4677994772505"/>
    <x v="1"/>
  </r>
  <r>
    <x v="57"/>
    <x v="0"/>
    <x v="241"/>
    <x v="0"/>
    <x v="0"/>
    <x v="0"/>
    <x v="14"/>
    <x v="6"/>
    <n v="6129.0730828872993"/>
    <x v="1"/>
  </r>
  <r>
    <x v="57"/>
    <x v="0"/>
    <x v="241"/>
    <x v="0"/>
    <x v="0"/>
    <x v="0"/>
    <x v="14"/>
    <x v="7"/>
    <n v="5367.0214991792436"/>
    <x v="1"/>
  </r>
  <r>
    <x v="57"/>
    <x v="0"/>
    <x v="241"/>
    <x v="0"/>
    <x v="0"/>
    <x v="0"/>
    <x v="14"/>
    <x v="8"/>
    <n v="2946.226313400658"/>
    <x v="1"/>
  </r>
  <r>
    <x v="57"/>
    <x v="0"/>
    <x v="241"/>
    <x v="0"/>
    <x v="0"/>
    <x v="0"/>
    <x v="14"/>
    <x v="9"/>
    <n v="2875.1054511521625"/>
    <x v="1"/>
  </r>
  <r>
    <x v="57"/>
    <x v="0"/>
    <x v="241"/>
    <x v="0"/>
    <x v="0"/>
    <x v="0"/>
    <x v="14"/>
    <x v="10"/>
    <n v="4530.0043852443114"/>
    <x v="1"/>
  </r>
  <r>
    <x v="57"/>
    <x v="0"/>
    <x v="241"/>
    <x v="0"/>
    <x v="0"/>
    <x v="0"/>
    <x v="14"/>
    <x v="12"/>
    <n v="6782.862476108834"/>
    <x v="1"/>
  </r>
  <r>
    <x v="57"/>
    <x v="1"/>
    <x v="241"/>
    <x v="0"/>
    <x v="1"/>
    <x v="1"/>
    <x v="0"/>
    <x v="0"/>
    <n v="3676.9762456078397"/>
    <x v="1"/>
  </r>
  <r>
    <x v="57"/>
    <x v="1"/>
    <x v="241"/>
    <x v="0"/>
    <x v="1"/>
    <x v="1"/>
    <x v="0"/>
    <x v="1"/>
    <n v="0"/>
    <x v="1"/>
  </r>
  <r>
    <x v="57"/>
    <x v="1"/>
    <x v="241"/>
    <x v="0"/>
    <x v="1"/>
    <x v="1"/>
    <x v="0"/>
    <x v="2"/>
    <n v="0"/>
    <x v="1"/>
  </r>
  <r>
    <x v="57"/>
    <x v="1"/>
    <x v="241"/>
    <x v="0"/>
    <x v="1"/>
    <x v="1"/>
    <x v="0"/>
    <x v="3"/>
    <n v="0"/>
    <x v="1"/>
  </r>
  <r>
    <x v="57"/>
    <x v="1"/>
    <x v="241"/>
    <x v="0"/>
    <x v="1"/>
    <x v="1"/>
    <x v="0"/>
    <x v="4"/>
    <n v="0"/>
    <x v="1"/>
  </r>
  <r>
    <x v="57"/>
    <x v="1"/>
    <x v="241"/>
    <x v="0"/>
    <x v="1"/>
    <x v="1"/>
    <x v="0"/>
    <x v="5"/>
    <n v="0"/>
    <x v="1"/>
  </r>
  <r>
    <x v="57"/>
    <x v="1"/>
    <x v="241"/>
    <x v="0"/>
    <x v="1"/>
    <x v="1"/>
    <x v="0"/>
    <x v="6"/>
    <n v="0"/>
    <x v="1"/>
  </r>
  <r>
    <x v="57"/>
    <x v="1"/>
    <x v="241"/>
    <x v="0"/>
    <x v="1"/>
    <x v="1"/>
    <x v="0"/>
    <x v="7"/>
    <n v="0"/>
    <x v="1"/>
  </r>
  <r>
    <x v="57"/>
    <x v="1"/>
    <x v="241"/>
    <x v="0"/>
    <x v="1"/>
    <x v="1"/>
    <x v="0"/>
    <x v="8"/>
    <n v="0"/>
    <x v="1"/>
  </r>
  <r>
    <x v="57"/>
    <x v="1"/>
    <x v="241"/>
    <x v="0"/>
    <x v="1"/>
    <x v="1"/>
    <x v="0"/>
    <x v="9"/>
    <n v="0"/>
    <x v="1"/>
  </r>
  <r>
    <x v="57"/>
    <x v="1"/>
    <x v="241"/>
    <x v="0"/>
    <x v="1"/>
    <x v="1"/>
    <x v="0"/>
    <x v="10"/>
    <n v="0"/>
    <x v="1"/>
  </r>
  <r>
    <x v="57"/>
    <x v="1"/>
    <x v="241"/>
    <x v="0"/>
    <x v="1"/>
    <x v="1"/>
    <x v="0"/>
    <x v="12"/>
    <n v="0"/>
    <x v="1"/>
  </r>
  <r>
    <x v="58"/>
    <x v="0"/>
    <x v="242"/>
    <x v="0"/>
    <x v="0"/>
    <x v="0"/>
    <x v="14"/>
    <x v="0"/>
    <n v="3867.8791048949511"/>
    <x v="1"/>
  </r>
  <r>
    <x v="58"/>
    <x v="0"/>
    <x v="242"/>
    <x v="0"/>
    <x v="0"/>
    <x v="0"/>
    <x v="14"/>
    <x v="1"/>
    <n v="3174.4531968150914"/>
    <x v="1"/>
  </r>
  <r>
    <x v="58"/>
    <x v="0"/>
    <x v="242"/>
    <x v="0"/>
    <x v="0"/>
    <x v="0"/>
    <x v="14"/>
    <x v="2"/>
    <n v="3226.3781958242944"/>
    <x v="1"/>
  </r>
  <r>
    <x v="58"/>
    <x v="0"/>
    <x v="242"/>
    <x v="0"/>
    <x v="0"/>
    <x v="0"/>
    <x v="14"/>
    <x v="3"/>
    <n v="3294.1400035141469"/>
    <x v="1"/>
  </r>
  <r>
    <x v="58"/>
    <x v="0"/>
    <x v="242"/>
    <x v="0"/>
    <x v="0"/>
    <x v="0"/>
    <x v="14"/>
    <x v="4"/>
    <n v="4540.9759461640915"/>
    <x v="1"/>
  </r>
  <r>
    <x v="58"/>
    <x v="0"/>
    <x v="242"/>
    <x v="0"/>
    <x v="0"/>
    <x v="0"/>
    <x v="14"/>
    <x v="5"/>
    <n v="3111.2584271176165"/>
    <x v="1"/>
  </r>
  <r>
    <x v="58"/>
    <x v="0"/>
    <x v="242"/>
    <x v="0"/>
    <x v="0"/>
    <x v="0"/>
    <x v="14"/>
    <x v="6"/>
    <n v="0"/>
    <x v="1"/>
  </r>
  <r>
    <x v="58"/>
    <x v="0"/>
    <x v="242"/>
    <x v="0"/>
    <x v="0"/>
    <x v="0"/>
    <x v="14"/>
    <x v="7"/>
    <n v="0"/>
    <x v="1"/>
  </r>
  <r>
    <x v="58"/>
    <x v="0"/>
    <x v="242"/>
    <x v="0"/>
    <x v="0"/>
    <x v="0"/>
    <x v="14"/>
    <x v="8"/>
    <n v="0"/>
    <x v="1"/>
  </r>
  <r>
    <x v="58"/>
    <x v="0"/>
    <x v="242"/>
    <x v="0"/>
    <x v="0"/>
    <x v="0"/>
    <x v="14"/>
    <x v="9"/>
    <n v="0"/>
    <x v="1"/>
  </r>
  <r>
    <x v="58"/>
    <x v="0"/>
    <x v="242"/>
    <x v="0"/>
    <x v="0"/>
    <x v="0"/>
    <x v="14"/>
    <x v="10"/>
    <n v="0"/>
    <x v="1"/>
  </r>
  <r>
    <x v="58"/>
    <x v="0"/>
    <x v="242"/>
    <x v="0"/>
    <x v="0"/>
    <x v="0"/>
    <x v="14"/>
    <x v="12"/>
    <n v="0"/>
    <x v="1"/>
  </r>
  <r>
    <x v="58"/>
    <x v="1"/>
    <x v="242"/>
    <x v="0"/>
    <x v="1"/>
    <x v="1"/>
    <x v="0"/>
    <x v="0"/>
    <n v="0"/>
    <x v="1"/>
  </r>
  <r>
    <x v="58"/>
    <x v="1"/>
    <x v="242"/>
    <x v="0"/>
    <x v="1"/>
    <x v="1"/>
    <x v="0"/>
    <x v="1"/>
    <n v="3786.4410368244789"/>
    <x v="1"/>
  </r>
  <r>
    <x v="58"/>
    <x v="1"/>
    <x v="242"/>
    <x v="0"/>
    <x v="1"/>
    <x v="1"/>
    <x v="0"/>
    <x v="2"/>
    <n v="0"/>
    <x v="1"/>
  </r>
  <r>
    <x v="58"/>
    <x v="1"/>
    <x v="242"/>
    <x v="0"/>
    <x v="1"/>
    <x v="1"/>
    <x v="0"/>
    <x v="3"/>
    <n v="3853.2705698936629"/>
    <x v="1"/>
  </r>
  <r>
    <x v="58"/>
    <x v="1"/>
    <x v="242"/>
    <x v="0"/>
    <x v="1"/>
    <x v="1"/>
    <x v="0"/>
    <x v="4"/>
    <n v="0"/>
    <x v="1"/>
  </r>
  <r>
    <x v="58"/>
    <x v="1"/>
    <x v="242"/>
    <x v="0"/>
    <x v="1"/>
    <x v="1"/>
    <x v="0"/>
    <x v="5"/>
    <n v="0"/>
    <x v="1"/>
  </r>
  <r>
    <x v="58"/>
    <x v="1"/>
    <x v="242"/>
    <x v="0"/>
    <x v="1"/>
    <x v="1"/>
    <x v="0"/>
    <x v="6"/>
    <n v="0"/>
    <x v="1"/>
  </r>
  <r>
    <x v="58"/>
    <x v="1"/>
    <x v="242"/>
    <x v="0"/>
    <x v="1"/>
    <x v="1"/>
    <x v="0"/>
    <x v="7"/>
    <n v="0"/>
    <x v="1"/>
  </r>
  <r>
    <x v="58"/>
    <x v="1"/>
    <x v="242"/>
    <x v="0"/>
    <x v="1"/>
    <x v="1"/>
    <x v="0"/>
    <x v="8"/>
    <n v="0"/>
    <x v="1"/>
  </r>
  <r>
    <x v="58"/>
    <x v="1"/>
    <x v="242"/>
    <x v="0"/>
    <x v="1"/>
    <x v="1"/>
    <x v="0"/>
    <x v="9"/>
    <n v="0"/>
    <x v="1"/>
  </r>
  <r>
    <x v="58"/>
    <x v="1"/>
    <x v="242"/>
    <x v="0"/>
    <x v="1"/>
    <x v="1"/>
    <x v="0"/>
    <x v="10"/>
    <n v="0"/>
    <x v="1"/>
  </r>
  <r>
    <x v="58"/>
    <x v="1"/>
    <x v="242"/>
    <x v="0"/>
    <x v="1"/>
    <x v="1"/>
    <x v="0"/>
    <x v="12"/>
    <n v="0"/>
    <x v="1"/>
  </r>
  <r>
    <x v="59"/>
    <x v="0"/>
    <x v="243"/>
    <x v="0"/>
    <x v="0"/>
    <x v="0"/>
    <x v="14"/>
    <x v="0"/>
    <n v="9029.0692710744734"/>
    <x v="1"/>
  </r>
  <r>
    <x v="59"/>
    <x v="0"/>
    <x v="243"/>
    <x v="0"/>
    <x v="0"/>
    <x v="0"/>
    <x v="14"/>
    <x v="1"/>
    <n v="6945.5797969994155"/>
    <x v="1"/>
  </r>
  <r>
    <x v="59"/>
    <x v="0"/>
    <x v="243"/>
    <x v="0"/>
    <x v="0"/>
    <x v="0"/>
    <x v="14"/>
    <x v="2"/>
    <n v="7059.189669855431"/>
    <x v="1"/>
  </r>
  <r>
    <x v="59"/>
    <x v="0"/>
    <x v="243"/>
    <x v="0"/>
    <x v="0"/>
    <x v="0"/>
    <x v="14"/>
    <x v="3"/>
    <n v="7206.1372995625761"/>
    <x v="1"/>
  </r>
  <r>
    <x v="59"/>
    <x v="0"/>
    <x v="243"/>
    <x v="0"/>
    <x v="0"/>
    <x v="0"/>
    <x v="14"/>
    <x v="4"/>
    <n v="9933.6703569506808"/>
    <x v="1"/>
  </r>
  <r>
    <x v="59"/>
    <x v="0"/>
    <x v="243"/>
    <x v="0"/>
    <x v="0"/>
    <x v="0"/>
    <x v="14"/>
    <x v="5"/>
    <n v="6806.0767384134624"/>
    <x v="1"/>
  </r>
  <r>
    <x v="59"/>
    <x v="0"/>
    <x v="243"/>
    <x v="0"/>
    <x v="0"/>
    <x v="0"/>
    <x v="14"/>
    <x v="6"/>
    <n v="13571.932369566304"/>
    <x v="1"/>
  </r>
  <r>
    <x v="59"/>
    <x v="0"/>
    <x v="243"/>
    <x v="0"/>
    <x v="0"/>
    <x v="0"/>
    <x v="14"/>
    <x v="7"/>
    <n v="11704.078667802174"/>
    <x v="1"/>
  </r>
  <r>
    <x v="59"/>
    <x v="0"/>
    <x v="243"/>
    <x v="0"/>
    <x v="0"/>
    <x v="0"/>
    <x v="14"/>
    <x v="8"/>
    <n v="6955.7860830591171"/>
    <x v="1"/>
  </r>
  <r>
    <x v="59"/>
    <x v="0"/>
    <x v="243"/>
    <x v="0"/>
    <x v="0"/>
    <x v="0"/>
    <x v="14"/>
    <x v="9"/>
    <n v="6856.5216219135027"/>
    <x v="1"/>
  </r>
  <r>
    <x v="59"/>
    <x v="0"/>
    <x v="243"/>
    <x v="0"/>
    <x v="0"/>
    <x v="0"/>
    <x v="14"/>
    <x v="10"/>
    <n v="10803.107413797175"/>
    <x v="1"/>
  </r>
  <r>
    <x v="59"/>
    <x v="0"/>
    <x v="243"/>
    <x v="0"/>
    <x v="0"/>
    <x v="0"/>
    <x v="14"/>
    <x v="12"/>
    <n v="15019.652980618712"/>
    <x v="1"/>
  </r>
  <r>
    <x v="59"/>
    <x v="1"/>
    <x v="243"/>
    <x v="0"/>
    <x v="1"/>
    <x v="1"/>
    <x v="0"/>
    <x v="0"/>
    <n v="24819.589657852914"/>
    <x v="1"/>
  </r>
  <r>
    <x v="59"/>
    <x v="1"/>
    <x v="243"/>
    <x v="0"/>
    <x v="1"/>
    <x v="1"/>
    <x v="0"/>
    <x v="1"/>
    <n v="0"/>
    <x v="1"/>
  </r>
  <r>
    <x v="59"/>
    <x v="1"/>
    <x v="243"/>
    <x v="0"/>
    <x v="1"/>
    <x v="1"/>
    <x v="0"/>
    <x v="2"/>
    <n v="0"/>
    <x v="1"/>
  </r>
  <r>
    <x v="59"/>
    <x v="1"/>
    <x v="243"/>
    <x v="0"/>
    <x v="1"/>
    <x v="1"/>
    <x v="0"/>
    <x v="3"/>
    <n v="0"/>
    <x v="1"/>
  </r>
  <r>
    <x v="59"/>
    <x v="1"/>
    <x v="243"/>
    <x v="0"/>
    <x v="1"/>
    <x v="1"/>
    <x v="0"/>
    <x v="4"/>
    <n v="0"/>
    <x v="1"/>
  </r>
  <r>
    <x v="59"/>
    <x v="1"/>
    <x v="243"/>
    <x v="0"/>
    <x v="1"/>
    <x v="1"/>
    <x v="0"/>
    <x v="5"/>
    <n v="0"/>
    <x v="1"/>
  </r>
  <r>
    <x v="59"/>
    <x v="1"/>
    <x v="243"/>
    <x v="0"/>
    <x v="1"/>
    <x v="1"/>
    <x v="0"/>
    <x v="6"/>
    <n v="0"/>
    <x v="1"/>
  </r>
  <r>
    <x v="59"/>
    <x v="1"/>
    <x v="243"/>
    <x v="0"/>
    <x v="1"/>
    <x v="1"/>
    <x v="0"/>
    <x v="7"/>
    <n v="0"/>
    <x v="1"/>
  </r>
  <r>
    <x v="59"/>
    <x v="1"/>
    <x v="243"/>
    <x v="0"/>
    <x v="1"/>
    <x v="1"/>
    <x v="0"/>
    <x v="8"/>
    <n v="0"/>
    <x v="1"/>
  </r>
  <r>
    <x v="59"/>
    <x v="1"/>
    <x v="243"/>
    <x v="0"/>
    <x v="1"/>
    <x v="1"/>
    <x v="0"/>
    <x v="9"/>
    <n v="0"/>
    <x v="1"/>
  </r>
  <r>
    <x v="59"/>
    <x v="1"/>
    <x v="243"/>
    <x v="0"/>
    <x v="1"/>
    <x v="1"/>
    <x v="0"/>
    <x v="10"/>
    <n v="0"/>
    <x v="1"/>
  </r>
  <r>
    <x v="59"/>
    <x v="1"/>
    <x v="243"/>
    <x v="0"/>
    <x v="1"/>
    <x v="1"/>
    <x v="0"/>
    <x v="12"/>
    <n v="0"/>
    <x v="1"/>
  </r>
  <r>
    <x v="60"/>
    <x v="0"/>
    <x v="244"/>
    <x v="0"/>
    <x v="0"/>
    <x v="0"/>
    <x v="14"/>
    <x v="0"/>
    <n v="2466.5056365600449"/>
    <x v="1"/>
  </r>
  <r>
    <x v="60"/>
    <x v="0"/>
    <x v="244"/>
    <x v="0"/>
    <x v="0"/>
    <x v="0"/>
    <x v="14"/>
    <x v="1"/>
    <n v="2024.3152618269664"/>
    <x v="1"/>
  </r>
  <r>
    <x v="60"/>
    <x v="0"/>
    <x v="244"/>
    <x v="0"/>
    <x v="0"/>
    <x v="0"/>
    <x v="14"/>
    <x v="2"/>
    <n v="2057.4272850472616"/>
    <x v="1"/>
  </r>
  <r>
    <x v="60"/>
    <x v="0"/>
    <x v="244"/>
    <x v="0"/>
    <x v="0"/>
    <x v="0"/>
    <x v="14"/>
    <x v="3"/>
    <n v="2100.6381278722329"/>
    <x v="1"/>
  </r>
  <r>
    <x v="60"/>
    <x v="0"/>
    <x v="244"/>
    <x v="0"/>
    <x v="0"/>
    <x v="0"/>
    <x v="14"/>
    <x v="4"/>
    <n v="2895.7280587140422"/>
    <x v="1"/>
  </r>
  <r>
    <x v="60"/>
    <x v="0"/>
    <x v="244"/>
    <x v="0"/>
    <x v="0"/>
    <x v="0"/>
    <x v="14"/>
    <x v="5"/>
    <n v="1984.0207036627564"/>
    <x v="1"/>
  </r>
  <r>
    <x v="60"/>
    <x v="0"/>
    <x v="244"/>
    <x v="0"/>
    <x v="0"/>
    <x v="0"/>
    <x v="14"/>
    <x v="6"/>
    <n v="3955.8276224300935"/>
    <x v="1"/>
  </r>
  <r>
    <x v="60"/>
    <x v="0"/>
    <x v="244"/>
    <x v="0"/>
    <x v="0"/>
    <x v="0"/>
    <x v="14"/>
    <x v="7"/>
    <n v="3411.6740080171658"/>
    <x v="1"/>
  </r>
  <r>
    <x v="60"/>
    <x v="0"/>
    <x v="244"/>
    <x v="0"/>
    <x v="0"/>
    <x v="0"/>
    <x v="14"/>
    <x v="8"/>
    <n v="2027.9608532849199"/>
    <x v="1"/>
  </r>
  <r>
    <x v="60"/>
    <x v="0"/>
    <x v="244"/>
    <x v="0"/>
    <x v="0"/>
    <x v="0"/>
    <x v="14"/>
    <x v="9"/>
    <n v="1998.3589229343149"/>
    <x v="1"/>
  </r>
  <r>
    <x v="60"/>
    <x v="0"/>
    <x v="244"/>
    <x v="0"/>
    <x v="0"/>
    <x v="0"/>
    <x v="14"/>
    <x v="10"/>
    <n v="3148.6061426222959"/>
    <x v="1"/>
  </r>
  <r>
    <x v="60"/>
    <x v="0"/>
    <x v="244"/>
    <x v="0"/>
    <x v="0"/>
    <x v="0"/>
    <x v="14"/>
    <x v="12"/>
    <n v="4377.7965084234074"/>
    <x v="1"/>
  </r>
  <r>
    <x v="61"/>
    <x v="0"/>
    <x v="245"/>
    <x v="0"/>
    <x v="0"/>
    <x v="0"/>
    <x v="14"/>
    <x v="0"/>
    <n v="3790.2845878210364"/>
    <x v="1"/>
  </r>
  <r>
    <x v="61"/>
    <x v="0"/>
    <x v="245"/>
    <x v="0"/>
    <x v="0"/>
    <x v="0"/>
    <x v="14"/>
    <x v="1"/>
    <n v="4848.6060413352752"/>
    <x v="1"/>
  </r>
  <r>
    <x v="61"/>
    <x v="0"/>
    <x v="245"/>
    <x v="0"/>
    <x v="0"/>
    <x v="0"/>
    <x v="14"/>
    <x v="2"/>
    <n v="3161.6529934036794"/>
    <x v="1"/>
  </r>
  <r>
    <x v="61"/>
    <x v="0"/>
    <x v="245"/>
    <x v="0"/>
    <x v="0"/>
    <x v="0"/>
    <x v="14"/>
    <x v="3"/>
    <n v="3228.0532699039536"/>
    <x v="1"/>
  </r>
  <r>
    <x v="61"/>
    <x v="0"/>
    <x v="245"/>
    <x v="0"/>
    <x v="0"/>
    <x v="0"/>
    <x v="14"/>
    <x v="4"/>
    <n v="5143.8773032647332"/>
    <x v="1"/>
  </r>
  <r>
    <x v="61"/>
    <x v="0"/>
    <x v="245"/>
    <x v="0"/>
    <x v="0"/>
    <x v="0"/>
    <x v="14"/>
    <x v="5"/>
    <n v="3524.3499567888243"/>
    <x v="1"/>
  </r>
  <r>
    <x v="61"/>
    <x v="0"/>
    <x v="245"/>
    <x v="0"/>
    <x v="0"/>
    <x v="0"/>
    <x v="14"/>
    <x v="6"/>
    <n v="7026.1517682957328"/>
    <x v="1"/>
  </r>
  <r>
    <x v="61"/>
    <x v="0"/>
    <x v="245"/>
    <x v="0"/>
    <x v="0"/>
    <x v="0"/>
    <x v="14"/>
    <x v="7"/>
    <n v="6061.2462393031547"/>
    <x v="1"/>
  </r>
  <r>
    <x v="61"/>
    <x v="0"/>
    <x v="245"/>
    <x v="0"/>
    <x v="0"/>
    <x v="0"/>
    <x v="14"/>
    <x v="8"/>
    <n v="3601.2756155679108"/>
    <x v="1"/>
  </r>
  <r>
    <x v="61"/>
    <x v="0"/>
    <x v="245"/>
    <x v="0"/>
    <x v="0"/>
    <x v="0"/>
    <x v="14"/>
    <x v="9"/>
    <n v="3070.8825125963544"/>
    <x v="1"/>
  </r>
  <r>
    <x v="61"/>
    <x v="0"/>
    <x v="245"/>
    <x v="0"/>
    <x v="0"/>
    <x v="0"/>
    <x v="14"/>
    <x v="10"/>
    <n v="4838.469922227323"/>
    <x v="1"/>
  </r>
  <r>
    <x v="61"/>
    <x v="0"/>
    <x v="245"/>
    <x v="0"/>
    <x v="0"/>
    <x v="0"/>
    <x v="14"/>
    <x v="12"/>
    <n v="7775.6327157659343"/>
    <x v="1"/>
  </r>
  <r>
    <x v="61"/>
    <x v="1"/>
    <x v="245"/>
    <x v="0"/>
    <x v="1"/>
    <x v="1"/>
    <x v="0"/>
    <x v="0"/>
    <n v="0"/>
    <x v="1"/>
  </r>
  <r>
    <x v="61"/>
    <x v="1"/>
    <x v="245"/>
    <x v="0"/>
    <x v="1"/>
    <x v="1"/>
    <x v="0"/>
    <x v="1"/>
    <n v="3363.6217877124122"/>
    <x v="1"/>
  </r>
  <r>
    <x v="61"/>
    <x v="1"/>
    <x v="245"/>
    <x v="0"/>
    <x v="1"/>
    <x v="1"/>
    <x v="0"/>
    <x v="2"/>
    <n v="0"/>
    <x v="1"/>
  </r>
  <r>
    <x v="61"/>
    <x v="1"/>
    <x v="245"/>
    <x v="0"/>
    <x v="1"/>
    <x v="1"/>
    <x v="0"/>
    <x v="3"/>
    <n v="0"/>
    <x v="1"/>
  </r>
  <r>
    <x v="61"/>
    <x v="1"/>
    <x v="245"/>
    <x v="0"/>
    <x v="1"/>
    <x v="1"/>
    <x v="0"/>
    <x v="4"/>
    <n v="0"/>
    <x v="1"/>
  </r>
  <r>
    <x v="61"/>
    <x v="1"/>
    <x v="245"/>
    <x v="0"/>
    <x v="1"/>
    <x v="1"/>
    <x v="0"/>
    <x v="5"/>
    <n v="0"/>
    <x v="1"/>
  </r>
  <r>
    <x v="61"/>
    <x v="1"/>
    <x v="245"/>
    <x v="0"/>
    <x v="1"/>
    <x v="1"/>
    <x v="0"/>
    <x v="6"/>
    <n v="0"/>
    <x v="1"/>
  </r>
  <r>
    <x v="61"/>
    <x v="1"/>
    <x v="245"/>
    <x v="0"/>
    <x v="1"/>
    <x v="1"/>
    <x v="0"/>
    <x v="7"/>
    <n v="0"/>
    <x v="1"/>
  </r>
  <r>
    <x v="61"/>
    <x v="1"/>
    <x v="245"/>
    <x v="0"/>
    <x v="1"/>
    <x v="1"/>
    <x v="0"/>
    <x v="8"/>
    <n v="0"/>
    <x v="1"/>
  </r>
  <r>
    <x v="61"/>
    <x v="1"/>
    <x v="245"/>
    <x v="0"/>
    <x v="1"/>
    <x v="1"/>
    <x v="0"/>
    <x v="9"/>
    <n v="0"/>
    <x v="1"/>
  </r>
  <r>
    <x v="61"/>
    <x v="1"/>
    <x v="245"/>
    <x v="0"/>
    <x v="1"/>
    <x v="1"/>
    <x v="0"/>
    <x v="10"/>
    <n v="0"/>
    <x v="1"/>
  </r>
  <r>
    <x v="61"/>
    <x v="1"/>
    <x v="245"/>
    <x v="0"/>
    <x v="1"/>
    <x v="1"/>
    <x v="0"/>
    <x v="12"/>
    <n v="0"/>
    <x v="1"/>
  </r>
  <r>
    <x v="62"/>
    <x v="0"/>
    <x v="246"/>
    <x v="0"/>
    <x v="0"/>
    <x v="0"/>
    <x v="14"/>
    <x v="0"/>
    <n v="1683.1014017611665"/>
    <x v="1"/>
  </r>
  <r>
    <x v="62"/>
    <x v="0"/>
    <x v="246"/>
    <x v="0"/>
    <x v="0"/>
    <x v="0"/>
    <x v="14"/>
    <x v="1"/>
    <n v="1381.3582277230471"/>
    <x v="1"/>
  </r>
  <r>
    <x v="62"/>
    <x v="0"/>
    <x v="246"/>
    <x v="0"/>
    <x v="0"/>
    <x v="0"/>
    <x v="14"/>
    <x v="2"/>
    <n v="1403.9533079333448"/>
    <x v="1"/>
  </r>
  <r>
    <x v="62"/>
    <x v="0"/>
    <x v="246"/>
    <x v="0"/>
    <x v="0"/>
    <x v="0"/>
    <x v="14"/>
    <x v="3"/>
    <n v="1433.4381186888543"/>
    <x v="1"/>
  </r>
  <r>
    <x v="62"/>
    <x v="0"/>
    <x v="246"/>
    <x v="0"/>
    <x v="0"/>
    <x v="0"/>
    <x v="14"/>
    <x v="4"/>
    <n v="1976.0055331986628"/>
    <x v="1"/>
  </r>
  <r>
    <x v="62"/>
    <x v="0"/>
    <x v="246"/>
    <x v="0"/>
    <x v="0"/>
    <x v="0"/>
    <x v="14"/>
    <x v="5"/>
    <n v="1353.8577469714473"/>
    <x v="1"/>
  </r>
  <r>
    <x v="62"/>
    <x v="0"/>
    <x v="246"/>
    <x v="0"/>
    <x v="0"/>
    <x v="0"/>
    <x v="14"/>
    <x v="6"/>
    <n v="2699.9174628582859"/>
    <x v="1"/>
  </r>
  <r>
    <x v="62"/>
    <x v="0"/>
    <x v="246"/>
    <x v="0"/>
    <x v="0"/>
    <x v="0"/>
    <x v="14"/>
    <x v="7"/>
    <n v="2328.3911297103423"/>
    <x v="1"/>
  </r>
  <r>
    <x v="62"/>
    <x v="0"/>
    <x v="246"/>
    <x v="0"/>
    <x v="0"/>
    <x v="0"/>
    <x v="14"/>
    <x v="8"/>
    <n v="1383.3803755815272"/>
    <x v="1"/>
  </r>
  <r>
    <x v="62"/>
    <x v="0"/>
    <x v="246"/>
    <x v="0"/>
    <x v="0"/>
    <x v="0"/>
    <x v="14"/>
    <x v="9"/>
    <n v="1363.6460645204772"/>
    <x v="1"/>
  </r>
  <r>
    <x v="62"/>
    <x v="0"/>
    <x v="246"/>
    <x v="0"/>
    <x v="0"/>
    <x v="0"/>
    <x v="14"/>
    <x v="10"/>
    <n v="2148.5551598545453"/>
    <x v="1"/>
  </r>
  <r>
    <x v="62"/>
    <x v="0"/>
    <x v="246"/>
    <x v="0"/>
    <x v="0"/>
    <x v="0"/>
    <x v="14"/>
    <x v="12"/>
    <n v="2987.9181729034663"/>
    <x v="1"/>
  </r>
  <r>
    <x v="63"/>
    <x v="0"/>
    <x v="247"/>
    <x v="0"/>
    <x v="0"/>
    <x v="0"/>
    <x v="14"/>
    <x v="0"/>
    <n v="2066.9563137583937"/>
    <x v="1"/>
  </r>
  <r>
    <x v="63"/>
    <x v="0"/>
    <x v="247"/>
    <x v="0"/>
    <x v="0"/>
    <x v="0"/>
    <x v="14"/>
    <x v="1"/>
    <n v="1696.3963712267253"/>
    <x v="1"/>
  </r>
  <r>
    <x v="63"/>
    <x v="0"/>
    <x v="247"/>
    <x v="0"/>
    <x v="0"/>
    <x v="0"/>
    <x v="14"/>
    <x v="2"/>
    <n v="1724.1445768022677"/>
    <x v="1"/>
  </r>
  <r>
    <x v="63"/>
    <x v="0"/>
    <x v="247"/>
    <x v="0"/>
    <x v="0"/>
    <x v="0"/>
    <x v="14"/>
    <x v="3"/>
    <n v="1859.9352173820189"/>
    <x v="1"/>
  </r>
  <r>
    <x v="63"/>
    <x v="0"/>
    <x v="247"/>
    <x v="0"/>
    <x v="0"/>
    <x v="0"/>
    <x v="14"/>
    <x v="4"/>
    <n v="2563.9294260914053"/>
    <x v="1"/>
  </r>
  <r>
    <x v="63"/>
    <x v="0"/>
    <x v="247"/>
    <x v="0"/>
    <x v="0"/>
    <x v="0"/>
    <x v="14"/>
    <x v="5"/>
    <n v="1756.6900869185242"/>
    <x v="1"/>
  </r>
  <r>
    <x v="63"/>
    <x v="0"/>
    <x v="247"/>
    <x v="0"/>
    <x v="0"/>
    <x v="0"/>
    <x v="14"/>
    <x v="6"/>
    <n v="3501.500675303887"/>
    <x v="1"/>
  </r>
  <r>
    <x v="63"/>
    <x v="0"/>
    <x v="247"/>
    <x v="0"/>
    <x v="0"/>
    <x v="0"/>
    <x v="14"/>
    <x v="7"/>
    <n v="3021.1900956219479"/>
    <x v="1"/>
  </r>
  <r>
    <x v="63"/>
    <x v="0"/>
    <x v="247"/>
    <x v="0"/>
    <x v="0"/>
    <x v="0"/>
    <x v="14"/>
    <x v="8"/>
    <n v="1794.6556223760354"/>
    <x v="1"/>
  </r>
  <r>
    <x v="63"/>
    <x v="0"/>
    <x v="247"/>
    <x v="0"/>
    <x v="0"/>
    <x v="0"/>
    <x v="14"/>
    <x v="9"/>
    <n v="1674.6447004577731"/>
    <x v="1"/>
  </r>
  <r>
    <x v="63"/>
    <x v="0"/>
    <x v="247"/>
    <x v="0"/>
    <x v="0"/>
    <x v="0"/>
    <x v="14"/>
    <x v="10"/>
    <n v="2638.563338175928"/>
    <x v="1"/>
  </r>
  <r>
    <x v="63"/>
    <x v="0"/>
    <x v="247"/>
    <x v="0"/>
    <x v="0"/>
    <x v="0"/>
    <x v="14"/>
    <x v="12"/>
    <n v="3875.0064193067469"/>
    <x v="1"/>
  </r>
  <r>
    <x v="64"/>
    <x v="0"/>
    <x v="248"/>
    <x v="0"/>
    <x v="0"/>
    <x v="0"/>
    <x v="14"/>
    <x v="0"/>
    <n v="3413.9610643572992"/>
    <x v="1"/>
  </r>
  <r>
    <x v="64"/>
    <x v="0"/>
    <x v="248"/>
    <x v="0"/>
    <x v="0"/>
    <x v="0"/>
    <x v="14"/>
    <x v="1"/>
    <n v="2801.9127073635923"/>
    <x v="1"/>
  </r>
  <r>
    <x v="64"/>
    <x v="0"/>
    <x v="248"/>
    <x v="0"/>
    <x v="0"/>
    <x v="0"/>
    <x v="14"/>
    <x v="2"/>
    <n v="2847.7440066562372"/>
    <x v="1"/>
  </r>
  <r>
    <x v="64"/>
    <x v="0"/>
    <x v="248"/>
    <x v="0"/>
    <x v="0"/>
    <x v="0"/>
    <x v="14"/>
    <x v="3"/>
    <n v="2907.5556119178118"/>
    <x v="1"/>
  </r>
  <r>
    <x v="64"/>
    <x v="0"/>
    <x v="248"/>
    <x v="0"/>
    <x v="0"/>
    <x v="0"/>
    <x v="14"/>
    <x v="4"/>
    <n v="4008.0756451840552"/>
    <x v="1"/>
  </r>
  <r>
    <x v="64"/>
    <x v="0"/>
    <x v="248"/>
    <x v="0"/>
    <x v="0"/>
    <x v="0"/>
    <x v="14"/>
    <x v="5"/>
    <n v="2746.1319403124753"/>
    <x v="1"/>
  </r>
  <r>
    <x v="64"/>
    <x v="0"/>
    <x v="248"/>
    <x v="0"/>
    <x v="0"/>
    <x v="0"/>
    <x v="14"/>
    <x v="6"/>
    <n v="5475.0737832024406"/>
    <x v="1"/>
  </r>
  <r>
    <x v="64"/>
    <x v="0"/>
    <x v="248"/>
    <x v="0"/>
    <x v="0"/>
    <x v="0"/>
    <x v="14"/>
    <x v="7"/>
    <n v="4722.851618008779"/>
    <x v="1"/>
  </r>
  <r>
    <x v="64"/>
    <x v="0"/>
    <x v="248"/>
    <x v="0"/>
    <x v="0"/>
    <x v="0"/>
    <x v="14"/>
    <x v="8"/>
    <n v="2807.1405026665157"/>
    <x v="1"/>
  </r>
  <r>
    <x v="64"/>
    <x v="0"/>
    <x v="248"/>
    <x v="0"/>
    <x v="0"/>
    <x v="0"/>
    <x v="14"/>
    <x v="9"/>
    <n v="2765.9857956066162"/>
    <x v="1"/>
  </r>
  <r>
    <x v="64"/>
    <x v="0"/>
    <x v="248"/>
    <x v="0"/>
    <x v="0"/>
    <x v="0"/>
    <x v="14"/>
    <x v="10"/>
    <n v="4358.0759024335039"/>
    <x v="1"/>
  </r>
  <r>
    <x v="64"/>
    <x v="0"/>
    <x v="248"/>
    <x v="0"/>
    <x v="0"/>
    <x v="0"/>
    <x v="14"/>
    <x v="12"/>
    <n v="6059.1009465523666"/>
    <x v="1"/>
  </r>
  <r>
    <x v="65"/>
    <x v="0"/>
    <x v="249"/>
    <x v="0"/>
    <x v="0"/>
    <x v="0"/>
    <x v="14"/>
    <x v="0"/>
    <n v="3478.5661059451559"/>
    <x v="1"/>
  </r>
  <r>
    <x v="65"/>
    <x v="0"/>
    <x v="249"/>
    <x v="0"/>
    <x v="0"/>
    <x v="0"/>
    <x v="14"/>
    <x v="1"/>
    <n v="2854.9354816636987"/>
    <x v="1"/>
  </r>
  <r>
    <x v="65"/>
    <x v="0"/>
    <x v="249"/>
    <x v="0"/>
    <x v="0"/>
    <x v="0"/>
    <x v="14"/>
    <x v="2"/>
    <n v="2901.6340822937086"/>
    <x v="1"/>
  </r>
  <r>
    <x v="65"/>
    <x v="0"/>
    <x v="249"/>
    <x v="0"/>
    <x v="0"/>
    <x v="0"/>
    <x v="14"/>
    <x v="3"/>
    <n v="2962.5716676471325"/>
    <x v="1"/>
  </r>
  <r>
    <x v="65"/>
    <x v="0"/>
    <x v="249"/>
    <x v="0"/>
    <x v="0"/>
    <x v="0"/>
    <x v="14"/>
    <x v="4"/>
    <n v="4083.9189745772428"/>
    <x v="1"/>
  </r>
  <r>
    <x v="65"/>
    <x v="0"/>
    <x v="249"/>
    <x v="0"/>
    <x v="0"/>
    <x v="0"/>
    <x v="14"/>
    <x v="5"/>
    <n v="2798.1088741096232"/>
    <x v="1"/>
  </r>
  <r>
    <x v="65"/>
    <x v="0"/>
    <x v="249"/>
    <x v="0"/>
    <x v="0"/>
    <x v="0"/>
    <x v="14"/>
    <x v="6"/>
    <n v="5587.9320694312446"/>
    <x v="1"/>
  </r>
  <r>
    <x v="65"/>
    <x v="0"/>
    <x v="249"/>
    <x v="0"/>
    <x v="0"/>
    <x v="0"/>
    <x v="14"/>
    <x v="7"/>
    <n v="4820.2370887600146"/>
    <x v="1"/>
  </r>
  <r>
    <x v="65"/>
    <x v="0"/>
    <x v="249"/>
    <x v="0"/>
    <x v="0"/>
    <x v="0"/>
    <x v="14"/>
    <x v="8"/>
    <n v="2863.9712640417565"/>
    <x v="1"/>
  </r>
  <r>
    <x v="65"/>
    <x v="0"/>
    <x v="249"/>
    <x v="0"/>
    <x v="0"/>
    <x v="0"/>
    <x v="14"/>
    <x v="9"/>
    <n v="2818.3286970011955"/>
    <x v="1"/>
  </r>
  <r>
    <x v="65"/>
    <x v="0"/>
    <x v="249"/>
    <x v="0"/>
    <x v="0"/>
    <x v="0"/>
    <x v="14"/>
    <x v="10"/>
    <n v="4440.5471637080545"/>
    <x v="1"/>
  </r>
  <r>
    <x v="65"/>
    <x v="0"/>
    <x v="249"/>
    <x v="0"/>
    <x v="0"/>
    <x v="0"/>
    <x v="14"/>
    <x v="12"/>
    <n v="6183.9978476705182"/>
    <x v="1"/>
  </r>
  <r>
    <x v="66"/>
    <x v="0"/>
    <x v="250"/>
    <x v="0"/>
    <x v="0"/>
    <x v="0"/>
    <x v="14"/>
    <x v="0"/>
    <n v="3345.9326643451286"/>
    <x v="1"/>
  </r>
  <r>
    <x v="66"/>
    <x v="0"/>
    <x v="250"/>
    <x v="0"/>
    <x v="0"/>
    <x v="0"/>
    <x v="14"/>
    <x v="1"/>
    <n v="2746.0803077367391"/>
    <x v="1"/>
  </r>
  <r>
    <x v="66"/>
    <x v="0"/>
    <x v="250"/>
    <x v="0"/>
    <x v="0"/>
    <x v="0"/>
    <x v="14"/>
    <x v="2"/>
    <n v="2790.998348236275"/>
    <x v="1"/>
  </r>
  <r>
    <x v="66"/>
    <x v="0"/>
    <x v="250"/>
    <x v="0"/>
    <x v="0"/>
    <x v="0"/>
    <x v="14"/>
    <x v="3"/>
    <n v="2849.6108865551846"/>
    <x v="1"/>
  </r>
  <r>
    <x v="66"/>
    <x v="0"/>
    <x v="250"/>
    <x v="0"/>
    <x v="0"/>
    <x v="0"/>
    <x v="14"/>
    <x v="4"/>
    <n v="3928.1958360752624"/>
    <x v="1"/>
  </r>
  <r>
    <x v="66"/>
    <x v="0"/>
    <x v="250"/>
    <x v="0"/>
    <x v="0"/>
    <x v="0"/>
    <x v="14"/>
    <x v="5"/>
    <n v="2691.4162617837774"/>
    <x v="1"/>
  </r>
  <r>
    <x v="66"/>
    <x v="0"/>
    <x v="250"/>
    <x v="0"/>
    <x v="0"/>
    <x v="0"/>
    <x v="14"/>
    <x v="6"/>
    <n v="0"/>
    <x v="1"/>
  </r>
  <r>
    <x v="66"/>
    <x v="0"/>
    <x v="250"/>
    <x v="0"/>
    <x v="0"/>
    <x v="0"/>
    <x v="14"/>
    <x v="7"/>
    <n v="0"/>
    <x v="1"/>
  </r>
  <r>
    <x v="66"/>
    <x v="0"/>
    <x v="250"/>
    <x v="0"/>
    <x v="0"/>
    <x v="0"/>
    <x v="14"/>
    <x v="8"/>
    <n v="0"/>
    <x v="1"/>
  </r>
  <r>
    <x v="66"/>
    <x v="0"/>
    <x v="250"/>
    <x v="0"/>
    <x v="0"/>
    <x v="0"/>
    <x v="14"/>
    <x v="9"/>
    <n v="0"/>
    <x v="1"/>
  </r>
  <r>
    <x v="66"/>
    <x v="0"/>
    <x v="250"/>
    <x v="0"/>
    <x v="0"/>
    <x v="0"/>
    <x v="14"/>
    <x v="10"/>
    <n v="0"/>
    <x v="1"/>
  </r>
  <r>
    <x v="66"/>
    <x v="0"/>
    <x v="250"/>
    <x v="0"/>
    <x v="0"/>
    <x v="0"/>
    <x v="14"/>
    <x v="12"/>
    <n v="0"/>
    <x v="1"/>
  </r>
  <r>
    <x v="67"/>
    <x v="0"/>
    <x v="251"/>
    <x v="0"/>
    <x v="0"/>
    <x v="0"/>
    <x v="14"/>
    <x v="0"/>
    <n v="1294.2705659697251"/>
    <x v="1"/>
  </r>
  <r>
    <x v="67"/>
    <x v="0"/>
    <x v="251"/>
    <x v="0"/>
    <x v="0"/>
    <x v="0"/>
    <x v="14"/>
    <x v="1"/>
    <n v="1062.2362344486614"/>
    <x v="1"/>
  </r>
  <r>
    <x v="67"/>
    <x v="0"/>
    <x v="251"/>
    <x v="0"/>
    <x v="0"/>
    <x v="0"/>
    <x v="14"/>
    <x v="2"/>
    <n v="1079.611389160857"/>
    <x v="1"/>
  </r>
  <r>
    <x v="67"/>
    <x v="0"/>
    <x v="251"/>
    <x v="0"/>
    <x v="0"/>
    <x v="0"/>
    <x v="14"/>
    <x v="3"/>
    <n v="0"/>
    <x v="1"/>
  </r>
  <r>
    <x v="67"/>
    <x v="0"/>
    <x v="251"/>
    <x v="0"/>
    <x v="0"/>
    <x v="0"/>
    <x v="14"/>
    <x v="4"/>
    <n v="0"/>
    <x v="1"/>
  </r>
  <r>
    <x v="67"/>
    <x v="0"/>
    <x v="251"/>
    <x v="0"/>
    <x v="0"/>
    <x v="0"/>
    <x v="14"/>
    <x v="5"/>
    <n v="0"/>
    <x v="1"/>
  </r>
  <r>
    <x v="67"/>
    <x v="0"/>
    <x v="251"/>
    <x v="0"/>
    <x v="0"/>
    <x v="0"/>
    <x v="14"/>
    <x v="6"/>
    <n v="0"/>
    <x v="1"/>
  </r>
  <r>
    <x v="67"/>
    <x v="0"/>
    <x v="251"/>
    <x v="0"/>
    <x v="0"/>
    <x v="0"/>
    <x v="14"/>
    <x v="7"/>
    <n v="0"/>
    <x v="1"/>
  </r>
  <r>
    <x v="67"/>
    <x v="0"/>
    <x v="251"/>
    <x v="0"/>
    <x v="0"/>
    <x v="0"/>
    <x v="14"/>
    <x v="8"/>
    <n v="0"/>
    <x v="1"/>
  </r>
  <r>
    <x v="67"/>
    <x v="0"/>
    <x v="251"/>
    <x v="0"/>
    <x v="0"/>
    <x v="0"/>
    <x v="14"/>
    <x v="9"/>
    <n v="0"/>
    <x v="1"/>
  </r>
  <r>
    <x v="67"/>
    <x v="0"/>
    <x v="251"/>
    <x v="0"/>
    <x v="0"/>
    <x v="0"/>
    <x v="14"/>
    <x v="10"/>
    <n v="0"/>
    <x v="1"/>
  </r>
  <r>
    <x v="67"/>
    <x v="0"/>
    <x v="251"/>
    <x v="0"/>
    <x v="0"/>
    <x v="0"/>
    <x v="14"/>
    <x v="12"/>
    <n v="0"/>
    <x v="1"/>
  </r>
  <r>
    <x v="68"/>
    <x v="0"/>
    <x v="252"/>
    <x v="0"/>
    <x v="0"/>
    <x v="0"/>
    <x v="14"/>
    <x v="0"/>
    <n v="7859.4716329603789"/>
    <x v="1"/>
  </r>
  <r>
    <x v="68"/>
    <x v="0"/>
    <x v="252"/>
    <x v="0"/>
    <x v="0"/>
    <x v="0"/>
    <x v="14"/>
    <x v="1"/>
    <n v="6450.4407128325201"/>
    <x v="1"/>
  </r>
  <r>
    <x v="68"/>
    <x v="0"/>
    <x v="252"/>
    <x v="0"/>
    <x v="0"/>
    <x v="0"/>
    <x v="14"/>
    <x v="2"/>
    <n v="6555.95152268122"/>
    <x v="1"/>
  </r>
  <r>
    <x v="68"/>
    <x v="0"/>
    <x v="252"/>
    <x v="0"/>
    <x v="0"/>
    <x v="0"/>
    <x v="14"/>
    <x v="3"/>
    <n v="6693.4514468965826"/>
    <x v="1"/>
  </r>
  <r>
    <x v="68"/>
    <x v="0"/>
    <x v="252"/>
    <x v="0"/>
    <x v="0"/>
    <x v="0"/>
    <x v="14"/>
    <x v="4"/>
    <n v="9226.94649263869"/>
    <x v="1"/>
  </r>
  <r>
    <x v="68"/>
    <x v="0"/>
    <x v="252"/>
    <x v="0"/>
    <x v="0"/>
    <x v="0"/>
    <x v="14"/>
    <x v="5"/>
    <n v="6321.8666698754096"/>
    <x v="1"/>
  </r>
  <r>
    <x v="68"/>
    <x v="0"/>
    <x v="252"/>
    <x v="0"/>
    <x v="0"/>
    <x v="0"/>
    <x v="14"/>
    <x v="6"/>
    <n v="12605.402431093993"/>
    <x v="1"/>
  </r>
  <r>
    <x v="68"/>
    <x v="0"/>
    <x v="252"/>
    <x v="0"/>
    <x v="0"/>
    <x v="0"/>
    <x v="14"/>
    <x v="7"/>
    <n v="0"/>
    <x v="1"/>
  </r>
  <r>
    <x v="68"/>
    <x v="0"/>
    <x v="252"/>
    <x v="0"/>
    <x v="0"/>
    <x v="0"/>
    <x v="14"/>
    <x v="8"/>
    <n v="0"/>
    <x v="1"/>
  </r>
  <r>
    <x v="68"/>
    <x v="0"/>
    <x v="252"/>
    <x v="0"/>
    <x v="0"/>
    <x v="0"/>
    <x v="14"/>
    <x v="9"/>
    <n v="0"/>
    <x v="1"/>
  </r>
  <r>
    <x v="68"/>
    <x v="0"/>
    <x v="252"/>
    <x v="0"/>
    <x v="0"/>
    <x v="0"/>
    <x v="14"/>
    <x v="10"/>
    <n v="0"/>
    <x v="1"/>
  </r>
  <r>
    <x v="68"/>
    <x v="0"/>
    <x v="252"/>
    <x v="0"/>
    <x v="0"/>
    <x v="0"/>
    <x v="14"/>
    <x v="12"/>
    <n v="0"/>
    <x v="1"/>
  </r>
  <r>
    <x v="69"/>
    <x v="0"/>
    <x v="253"/>
    <x v="0"/>
    <x v="0"/>
    <x v="0"/>
    <x v="14"/>
    <x v="0"/>
    <n v="1994.7089861106258"/>
    <x v="1"/>
  </r>
  <r>
    <x v="69"/>
    <x v="0"/>
    <x v="253"/>
    <x v="0"/>
    <x v="0"/>
    <x v="0"/>
    <x v="14"/>
    <x v="1"/>
    <n v="1637.1014051760651"/>
    <x v="1"/>
  </r>
  <r>
    <x v="69"/>
    <x v="0"/>
    <x v="253"/>
    <x v="0"/>
    <x v="0"/>
    <x v="0"/>
    <x v="14"/>
    <x v="2"/>
    <n v="1663.8797142489532"/>
    <x v="1"/>
  </r>
  <r>
    <x v="69"/>
    <x v="0"/>
    <x v="253"/>
    <x v="0"/>
    <x v="0"/>
    <x v="0"/>
    <x v="14"/>
    <x v="3"/>
    <n v="1698.8277208524814"/>
    <x v="1"/>
  </r>
  <r>
    <x v="69"/>
    <x v="0"/>
    <x v="253"/>
    <x v="0"/>
    <x v="0"/>
    <x v="0"/>
    <x v="14"/>
    <x v="4"/>
    <n v="6991.7564724380973"/>
    <x v="1"/>
  </r>
  <r>
    <x v="69"/>
    <x v="0"/>
    <x v="253"/>
    <x v="0"/>
    <x v="0"/>
    <x v="0"/>
    <x v="14"/>
    <x v="5"/>
    <n v="0"/>
    <x v="1"/>
  </r>
  <r>
    <x v="69"/>
    <x v="0"/>
    <x v="253"/>
    <x v="0"/>
    <x v="0"/>
    <x v="0"/>
    <x v="14"/>
    <x v="6"/>
    <n v="0"/>
    <x v="1"/>
  </r>
  <r>
    <x v="69"/>
    <x v="0"/>
    <x v="253"/>
    <x v="0"/>
    <x v="0"/>
    <x v="0"/>
    <x v="14"/>
    <x v="7"/>
    <n v="0"/>
    <x v="1"/>
  </r>
  <r>
    <x v="69"/>
    <x v="0"/>
    <x v="253"/>
    <x v="0"/>
    <x v="0"/>
    <x v="0"/>
    <x v="14"/>
    <x v="8"/>
    <n v="0"/>
    <x v="1"/>
  </r>
  <r>
    <x v="69"/>
    <x v="0"/>
    <x v="253"/>
    <x v="0"/>
    <x v="0"/>
    <x v="0"/>
    <x v="14"/>
    <x v="9"/>
    <n v="0"/>
    <x v="1"/>
  </r>
  <r>
    <x v="69"/>
    <x v="0"/>
    <x v="253"/>
    <x v="0"/>
    <x v="0"/>
    <x v="0"/>
    <x v="14"/>
    <x v="10"/>
    <n v="0"/>
    <x v="1"/>
  </r>
  <r>
    <x v="69"/>
    <x v="0"/>
    <x v="253"/>
    <x v="0"/>
    <x v="0"/>
    <x v="0"/>
    <x v="14"/>
    <x v="12"/>
    <n v="0"/>
    <x v="1"/>
  </r>
  <r>
    <x v="70"/>
    <x v="0"/>
    <x v="254"/>
    <x v="0"/>
    <x v="0"/>
    <x v="0"/>
    <x v="14"/>
    <x v="0"/>
    <n v="675.02842169564315"/>
    <x v="1"/>
  </r>
  <r>
    <x v="70"/>
    <x v="0"/>
    <x v="254"/>
    <x v="0"/>
    <x v="0"/>
    <x v="0"/>
    <x v="14"/>
    <x v="1"/>
    <n v="554.01062780915913"/>
    <x v="1"/>
  </r>
  <r>
    <x v="70"/>
    <x v="0"/>
    <x v="254"/>
    <x v="0"/>
    <x v="0"/>
    <x v="0"/>
    <x v="14"/>
    <x v="2"/>
    <n v="563.06825328181446"/>
    <x v="1"/>
  </r>
  <r>
    <x v="70"/>
    <x v="0"/>
    <x v="254"/>
    <x v="0"/>
    <x v="0"/>
    <x v="0"/>
    <x v="14"/>
    <x v="3"/>
    <n v="574.89324901322368"/>
    <x v="1"/>
  </r>
  <r>
    <x v="70"/>
    <x v="0"/>
    <x v="254"/>
    <x v="0"/>
    <x v="0"/>
    <x v="0"/>
    <x v="14"/>
    <x v="4"/>
    <n v="2217.0895953706231"/>
    <x v="1"/>
  </r>
  <r>
    <x v="70"/>
    <x v="0"/>
    <x v="254"/>
    <x v="0"/>
    <x v="0"/>
    <x v="0"/>
    <x v="14"/>
    <x v="5"/>
    <n v="0"/>
    <x v="1"/>
  </r>
  <r>
    <x v="70"/>
    <x v="0"/>
    <x v="254"/>
    <x v="0"/>
    <x v="0"/>
    <x v="0"/>
    <x v="14"/>
    <x v="6"/>
    <n v="0"/>
    <x v="1"/>
  </r>
  <r>
    <x v="70"/>
    <x v="0"/>
    <x v="254"/>
    <x v="0"/>
    <x v="0"/>
    <x v="0"/>
    <x v="14"/>
    <x v="7"/>
    <n v="0"/>
    <x v="1"/>
  </r>
  <r>
    <x v="70"/>
    <x v="0"/>
    <x v="254"/>
    <x v="0"/>
    <x v="0"/>
    <x v="0"/>
    <x v="14"/>
    <x v="8"/>
    <n v="0"/>
    <x v="1"/>
  </r>
  <r>
    <x v="70"/>
    <x v="0"/>
    <x v="254"/>
    <x v="0"/>
    <x v="0"/>
    <x v="0"/>
    <x v="14"/>
    <x v="9"/>
    <n v="0"/>
    <x v="1"/>
  </r>
  <r>
    <x v="70"/>
    <x v="0"/>
    <x v="254"/>
    <x v="0"/>
    <x v="0"/>
    <x v="0"/>
    <x v="14"/>
    <x v="10"/>
    <n v="0"/>
    <x v="1"/>
  </r>
  <r>
    <x v="70"/>
    <x v="0"/>
    <x v="254"/>
    <x v="0"/>
    <x v="0"/>
    <x v="0"/>
    <x v="14"/>
    <x v="12"/>
    <n v="0"/>
    <x v="1"/>
  </r>
  <r>
    <x v="30"/>
    <x v="0"/>
    <x v="255"/>
    <x v="0"/>
    <x v="0"/>
    <x v="0"/>
    <x v="14"/>
    <x v="0"/>
    <n v="1192.3894906095184"/>
    <x v="1"/>
  </r>
  <r>
    <x v="30"/>
    <x v="0"/>
    <x v="255"/>
    <x v="0"/>
    <x v="0"/>
    <x v="0"/>
    <x v="14"/>
    <x v="1"/>
    <n v="978.62020183717868"/>
    <x v="1"/>
  </r>
  <r>
    <x v="30"/>
    <x v="0"/>
    <x v="255"/>
    <x v="0"/>
    <x v="0"/>
    <x v="0"/>
    <x v="14"/>
    <x v="2"/>
    <n v="0"/>
    <x v="1"/>
  </r>
  <r>
    <x v="30"/>
    <x v="0"/>
    <x v="255"/>
    <x v="0"/>
    <x v="0"/>
    <x v="0"/>
    <x v="14"/>
    <x v="3"/>
    <n v="0"/>
    <x v="1"/>
  </r>
  <r>
    <x v="30"/>
    <x v="0"/>
    <x v="255"/>
    <x v="0"/>
    <x v="0"/>
    <x v="0"/>
    <x v="14"/>
    <x v="4"/>
    <n v="0"/>
    <x v="1"/>
  </r>
  <r>
    <x v="30"/>
    <x v="0"/>
    <x v="255"/>
    <x v="0"/>
    <x v="0"/>
    <x v="0"/>
    <x v="14"/>
    <x v="5"/>
    <n v="0"/>
    <x v="1"/>
  </r>
  <r>
    <x v="30"/>
    <x v="0"/>
    <x v="255"/>
    <x v="0"/>
    <x v="0"/>
    <x v="0"/>
    <x v="14"/>
    <x v="6"/>
    <n v="0"/>
    <x v="1"/>
  </r>
  <r>
    <x v="30"/>
    <x v="0"/>
    <x v="255"/>
    <x v="0"/>
    <x v="0"/>
    <x v="0"/>
    <x v="14"/>
    <x v="7"/>
    <n v="0"/>
    <x v="1"/>
  </r>
  <r>
    <x v="30"/>
    <x v="0"/>
    <x v="255"/>
    <x v="0"/>
    <x v="0"/>
    <x v="0"/>
    <x v="14"/>
    <x v="8"/>
    <n v="0"/>
    <x v="1"/>
  </r>
  <r>
    <x v="30"/>
    <x v="0"/>
    <x v="255"/>
    <x v="0"/>
    <x v="0"/>
    <x v="0"/>
    <x v="14"/>
    <x v="9"/>
    <n v="0"/>
    <x v="1"/>
  </r>
  <r>
    <x v="30"/>
    <x v="0"/>
    <x v="255"/>
    <x v="0"/>
    <x v="0"/>
    <x v="0"/>
    <x v="14"/>
    <x v="10"/>
    <n v="0"/>
    <x v="1"/>
  </r>
  <r>
    <x v="30"/>
    <x v="0"/>
    <x v="255"/>
    <x v="0"/>
    <x v="0"/>
    <x v="0"/>
    <x v="14"/>
    <x v="12"/>
    <n v="0"/>
    <x v="1"/>
  </r>
  <r>
    <x v="52"/>
    <x v="0"/>
    <x v="83"/>
    <x v="2"/>
    <x v="0"/>
    <x v="0"/>
    <x v="14"/>
    <x v="0"/>
    <n v="15627.149043833319"/>
    <x v="1"/>
  </r>
  <r>
    <x v="52"/>
    <x v="0"/>
    <x v="83"/>
    <x v="2"/>
    <x v="0"/>
    <x v="0"/>
    <x v="14"/>
    <x v="1"/>
    <n v="12771.725719447648"/>
    <x v="1"/>
  </r>
  <r>
    <x v="52"/>
    <x v="0"/>
    <x v="83"/>
    <x v="2"/>
    <x v="0"/>
    <x v="0"/>
    <x v="14"/>
    <x v="2"/>
    <n v="12720.816906483687"/>
    <x v="1"/>
  </r>
  <r>
    <x v="52"/>
    <x v="0"/>
    <x v="83"/>
    <x v="2"/>
    <x v="0"/>
    <x v="0"/>
    <x v="14"/>
    <x v="3"/>
    <n v="13033.346535653058"/>
    <x v="1"/>
  </r>
  <r>
    <x v="52"/>
    <x v="0"/>
    <x v="83"/>
    <x v="2"/>
    <x v="0"/>
    <x v="0"/>
    <x v="14"/>
    <x v="4"/>
    <n v="18057.935569806727"/>
    <x v="1"/>
  </r>
  <r>
    <x v="52"/>
    <x v="0"/>
    <x v="83"/>
    <x v="2"/>
    <x v="0"/>
    <x v="0"/>
    <x v="14"/>
    <x v="5"/>
    <n v="12583.421739554415"/>
    <x v="1"/>
  </r>
  <r>
    <x v="52"/>
    <x v="0"/>
    <x v="83"/>
    <x v="2"/>
    <x v="0"/>
    <x v="0"/>
    <x v="14"/>
    <x v="6"/>
    <n v="24597.318793457056"/>
    <x v="1"/>
  </r>
  <r>
    <x v="52"/>
    <x v="0"/>
    <x v="83"/>
    <x v="2"/>
    <x v="0"/>
    <x v="0"/>
    <x v="14"/>
    <x v="7"/>
    <n v="21641.215722496949"/>
    <x v="1"/>
  </r>
  <r>
    <x v="52"/>
    <x v="0"/>
    <x v="83"/>
    <x v="2"/>
    <x v="0"/>
    <x v="0"/>
    <x v="14"/>
    <x v="8"/>
    <n v="12712.143991830251"/>
    <x v="1"/>
  </r>
  <r>
    <x v="52"/>
    <x v="0"/>
    <x v="83"/>
    <x v="2"/>
    <x v="0"/>
    <x v="0"/>
    <x v="14"/>
    <x v="9"/>
    <n v="32706.012105438022"/>
    <x v="1"/>
  </r>
  <r>
    <x v="52"/>
    <x v="0"/>
    <x v="83"/>
    <x v="2"/>
    <x v="0"/>
    <x v="0"/>
    <x v="14"/>
    <x v="10"/>
    <n v="0"/>
    <x v="1"/>
  </r>
  <r>
    <x v="52"/>
    <x v="0"/>
    <x v="83"/>
    <x v="2"/>
    <x v="0"/>
    <x v="0"/>
    <x v="14"/>
    <x v="12"/>
    <n v="0"/>
    <x v="1"/>
  </r>
  <r>
    <x v="52"/>
    <x v="1"/>
    <x v="83"/>
    <x v="2"/>
    <x v="1"/>
    <x v="1"/>
    <x v="14"/>
    <x v="0"/>
    <n v="11766.323985945086"/>
    <x v="1"/>
  </r>
  <r>
    <x v="52"/>
    <x v="1"/>
    <x v="83"/>
    <x v="2"/>
    <x v="1"/>
    <x v="1"/>
    <x v="14"/>
    <x v="1"/>
    <n v="0"/>
    <x v="1"/>
  </r>
  <r>
    <x v="52"/>
    <x v="1"/>
    <x v="83"/>
    <x v="2"/>
    <x v="1"/>
    <x v="1"/>
    <x v="14"/>
    <x v="2"/>
    <n v="0"/>
    <x v="1"/>
  </r>
  <r>
    <x v="52"/>
    <x v="1"/>
    <x v="83"/>
    <x v="2"/>
    <x v="1"/>
    <x v="1"/>
    <x v="14"/>
    <x v="3"/>
    <n v="0"/>
    <x v="1"/>
  </r>
  <r>
    <x v="52"/>
    <x v="1"/>
    <x v="83"/>
    <x v="2"/>
    <x v="1"/>
    <x v="1"/>
    <x v="14"/>
    <x v="4"/>
    <n v="0"/>
    <x v="1"/>
  </r>
  <r>
    <x v="52"/>
    <x v="1"/>
    <x v="83"/>
    <x v="2"/>
    <x v="1"/>
    <x v="1"/>
    <x v="14"/>
    <x v="5"/>
    <n v="0"/>
    <x v="1"/>
  </r>
  <r>
    <x v="52"/>
    <x v="1"/>
    <x v="83"/>
    <x v="2"/>
    <x v="1"/>
    <x v="1"/>
    <x v="14"/>
    <x v="6"/>
    <n v="0"/>
    <x v="1"/>
  </r>
  <r>
    <x v="52"/>
    <x v="1"/>
    <x v="83"/>
    <x v="2"/>
    <x v="1"/>
    <x v="1"/>
    <x v="14"/>
    <x v="7"/>
    <n v="0"/>
    <x v="1"/>
  </r>
  <r>
    <x v="52"/>
    <x v="1"/>
    <x v="83"/>
    <x v="2"/>
    <x v="1"/>
    <x v="1"/>
    <x v="14"/>
    <x v="8"/>
    <n v="0"/>
    <x v="1"/>
  </r>
  <r>
    <x v="52"/>
    <x v="1"/>
    <x v="83"/>
    <x v="2"/>
    <x v="1"/>
    <x v="1"/>
    <x v="14"/>
    <x v="9"/>
    <n v="0"/>
    <x v="1"/>
  </r>
  <r>
    <x v="52"/>
    <x v="1"/>
    <x v="83"/>
    <x v="2"/>
    <x v="1"/>
    <x v="1"/>
    <x v="14"/>
    <x v="10"/>
    <n v="0"/>
    <x v="1"/>
  </r>
  <r>
    <x v="52"/>
    <x v="1"/>
    <x v="83"/>
    <x v="2"/>
    <x v="1"/>
    <x v="1"/>
    <x v="14"/>
    <x v="12"/>
    <n v="0"/>
    <x v="1"/>
  </r>
  <r>
    <x v="71"/>
    <x v="0"/>
    <x v="256"/>
    <x v="0"/>
    <x v="0"/>
    <x v="0"/>
    <x v="14"/>
    <x v="0"/>
    <n v="3378.517250586694"/>
    <x v="1"/>
  </r>
  <r>
    <x v="71"/>
    <x v="0"/>
    <x v="256"/>
    <x v="0"/>
    <x v="0"/>
    <x v="0"/>
    <x v="14"/>
    <x v="1"/>
    <n v="2772.8231921848414"/>
    <x v="1"/>
  </r>
  <r>
    <x v="71"/>
    <x v="0"/>
    <x v="256"/>
    <x v="0"/>
    <x v="0"/>
    <x v="0"/>
    <x v="14"/>
    <x v="2"/>
    <n v="2818.1786699884974"/>
    <x v="1"/>
  </r>
  <r>
    <x v="71"/>
    <x v="0"/>
    <x v="256"/>
    <x v="0"/>
    <x v="0"/>
    <x v="0"/>
    <x v="14"/>
    <x v="3"/>
    <n v="2877.3642480016933"/>
    <x v="1"/>
  </r>
  <r>
    <x v="71"/>
    <x v="0"/>
    <x v="256"/>
    <x v="0"/>
    <x v="0"/>
    <x v="0"/>
    <x v="14"/>
    <x v="4"/>
    <n v="3966.4574148531701"/>
    <x v="1"/>
  </r>
  <r>
    <x v="71"/>
    <x v="0"/>
    <x v="256"/>
    <x v="0"/>
    <x v="0"/>
    <x v="0"/>
    <x v="14"/>
    <x v="5"/>
    <n v="3082.1981249120336"/>
    <x v="1"/>
  </r>
  <r>
    <x v="71"/>
    <x v="0"/>
    <x v="256"/>
    <x v="0"/>
    <x v="0"/>
    <x v="0"/>
    <x v="14"/>
    <x v="6"/>
    <n v="13291.233555099796"/>
    <x v="1"/>
  </r>
  <r>
    <x v="71"/>
    <x v="0"/>
    <x v="256"/>
    <x v="0"/>
    <x v="0"/>
    <x v="0"/>
    <x v="14"/>
    <x v="7"/>
    <n v="0"/>
    <x v="1"/>
  </r>
  <r>
    <x v="71"/>
    <x v="0"/>
    <x v="256"/>
    <x v="0"/>
    <x v="0"/>
    <x v="0"/>
    <x v="14"/>
    <x v="8"/>
    <n v="0"/>
    <x v="1"/>
  </r>
  <r>
    <x v="71"/>
    <x v="0"/>
    <x v="256"/>
    <x v="0"/>
    <x v="0"/>
    <x v="0"/>
    <x v="14"/>
    <x v="9"/>
    <n v="0"/>
    <x v="1"/>
  </r>
  <r>
    <x v="71"/>
    <x v="0"/>
    <x v="256"/>
    <x v="0"/>
    <x v="0"/>
    <x v="0"/>
    <x v="14"/>
    <x v="10"/>
    <n v="0"/>
    <x v="1"/>
  </r>
  <r>
    <x v="71"/>
    <x v="0"/>
    <x v="256"/>
    <x v="0"/>
    <x v="0"/>
    <x v="0"/>
    <x v="14"/>
    <x v="12"/>
    <n v="0"/>
    <x v="1"/>
  </r>
  <r>
    <x v="72"/>
    <x v="0"/>
    <x v="257"/>
    <x v="0"/>
    <x v="0"/>
    <x v="0"/>
    <x v="14"/>
    <x v="0"/>
    <n v="1821.8534938407056"/>
    <x v="1"/>
  </r>
  <r>
    <x v="72"/>
    <x v="0"/>
    <x v="257"/>
    <x v="0"/>
    <x v="0"/>
    <x v="0"/>
    <x v="14"/>
    <x v="1"/>
    <n v="1495.2351122692194"/>
    <x v="1"/>
  </r>
  <r>
    <x v="72"/>
    <x v="0"/>
    <x v="257"/>
    <x v="0"/>
    <x v="0"/>
    <x v="0"/>
    <x v="14"/>
    <x v="2"/>
    <n v="1519.6928934710345"/>
    <x v="1"/>
  </r>
  <r>
    <x v="72"/>
    <x v="0"/>
    <x v="257"/>
    <x v="0"/>
    <x v="0"/>
    <x v="0"/>
    <x v="14"/>
    <x v="3"/>
    <n v="1551.6122383950637"/>
    <x v="1"/>
  </r>
  <r>
    <x v="72"/>
    <x v="0"/>
    <x v="257"/>
    <x v="0"/>
    <x v="0"/>
    <x v="0"/>
    <x v="14"/>
    <x v="4"/>
    <n v="2138.8881120383189"/>
    <x v="1"/>
  </r>
  <r>
    <x v="72"/>
    <x v="0"/>
    <x v="257"/>
    <x v="0"/>
    <x v="0"/>
    <x v="0"/>
    <x v="14"/>
    <x v="5"/>
    <n v="1465.4652957885069"/>
    <x v="1"/>
  </r>
  <r>
    <x v="72"/>
    <x v="0"/>
    <x v="257"/>
    <x v="0"/>
    <x v="0"/>
    <x v="0"/>
    <x v="14"/>
    <x v="6"/>
    <n v="2922.7402331048975"/>
    <x v="1"/>
  </r>
  <r>
    <x v="72"/>
    <x v="0"/>
    <x v="257"/>
    <x v="0"/>
    <x v="0"/>
    <x v="0"/>
    <x v="14"/>
    <x v="7"/>
    <n v="2520.3359830419945"/>
    <x v="1"/>
  </r>
  <r>
    <x v="72"/>
    <x v="0"/>
    <x v="257"/>
    <x v="0"/>
    <x v="0"/>
    <x v="0"/>
    <x v="14"/>
    <x v="8"/>
    <n v="1497.0418983320094"/>
    <x v="1"/>
  </r>
  <r>
    <x v="72"/>
    <x v="0"/>
    <x v="257"/>
    <x v="0"/>
    <x v="0"/>
    <x v="0"/>
    <x v="14"/>
    <x v="9"/>
    <n v="1476.0627876663686"/>
    <x v="1"/>
  </r>
  <r>
    <x v="72"/>
    <x v="0"/>
    <x v="257"/>
    <x v="0"/>
    <x v="0"/>
    <x v="0"/>
    <x v="14"/>
    <x v="10"/>
    <n v="2325.6784888863931"/>
    <x v="1"/>
  </r>
  <r>
    <x v="72"/>
    <x v="0"/>
    <x v="257"/>
    <x v="0"/>
    <x v="0"/>
    <x v="0"/>
    <x v="14"/>
    <x v="12"/>
    <n v="3234.5094904957141"/>
    <x v="1"/>
  </r>
  <r>
    <x v="73"/>
    <x v="0"/>
    <x v="258"/>
    <x v="0"/>
    <x v="0"/>
    <x v="0"/>
    <x v="14"/>
    <x v="0"/>
    <n v="0"/>
    <x v="1"/>
  </r>
  <r>
    <x v="73"/>
    <x v="0"/>
    <x v="258"/>
    <x v="0"/>
    <x v="0"/>
    <x v="0"/>
    <x v="14"/>
    <x v="1"/>
    <n v="1514.2693345532346"/>
    <x v="1"/>
  </r>
  <r>
    <x v="73"/>
    <x v="0"/>
    <x v="258"/>
    <x v="0"/>
    <x v="0"/>
    <x v="0"/>
    <x v="14"/>
    <x v="2"/>
    <n v="2605.5226157868351"/>
    <x v="1"/>
  </r>
  <r>
    <x v="73"/>
    <x v="0"/>
    <x v="258"/>
    <x v="0"/>
    <x v="0"/>
    <x v="0"/>
    <x v="14"/>
    <x v="3"/>
    <n v="2669.4747040835937"/>
    <x v="1"/>
  </r>
  <r>
    <x v="73"/>
    <x v="0"/>
    <x v="258"/>
    <x v="0"/>
    <x v="0"/>
    <x v="0"/>
    <x v="14"/>
    <x v="4"/>
    <n v="3679.8885996753793"/>
    <x v="1"/>
  </r>
  <r>
    <x v="73"/>
    <x v="0"/>
    <x v="258"/>
    <x v="0"/>
    <x v="0"/>
    <x v="0"/>
    <x v="14"/>
    <x v="5"/>
    <n v="2521.2883998650018"/>
    <x v="1"/>
  </r>
  <r>
    <x v="73"/>
    <x v="0"/>
    <x v="258"/>
    <x v="0"/>
    <x v="0"/>
    <x v="0"/>
    <x v="14"/>
    <x v="6"/>
    <n v="5026.5344404982252"/>
    <x v="1"/>
  </r>
  <r>
    <x v="73"/>
    <x v="0"/>
    <x v="258"/>
    <x v="0"/>
    <x v="0"/>
    <x v="0"/>
    <x v="14"/>
    <x v="7"/>
    <n v="4336.1612834284442"/>
    <x v="1"/>
  </r>
  <r>
    <x v="73"/>
    <x v="0"/>
    <x v="258"/>
    <x v="0"/>
    <x v="0"/>
    <x v="0"/>
    <x v="14"/>
    <x v="8"/>
    <n v="2576.8263644615909"/>
    <x v="1"/>
  </r>
  <r>
    <x v="73"/>
    <x v="0"/>
    <x v="258"/>
    <x v="0"/>
    <x v="0"/>
    <x v="0"/>
    <x v="14"/>
    <x v="9"/>
    <n v="3583.8615645383297"/>
    <x v="1"/>
  </r>
  <r>
    <x v="73"/>
    <x v="0"/>
    <x v="258"/>
    <x v="0"/>
    <x v="0"/>
    <x v="0"/>
    <x v="14"/>
    <x v="10"/>
    <n v="5646.7176175959858"/>
    <x v="1"/>
  </r>
  <r>
    <x v="73"/>
    <x v="0"/>
    <x v="258"/>
    <x v="0"/>
    <x v="0"/>
    <x v="0"/>
    <x v="14"/>
    <x v="12"/>
    <n v="5562.7158267238174"/>
    <x v="1"/>
  </r>
  <r>
    <x v="73"/>
    <x v="1"/>
    <x v="258"/>
    <x v="0"/>
    <x v="1"/>
    <x v="1"/>
    <x v="0"/>
    <x v="0"/>
    <n v="0"/>
    <x v="1"/>
  </r>
  <r>
    <x v="73"/>
    <x v="1"/>
    <x v="258"/>
    <x v="0"/>
    <x v="1"/>
    <x v="1"/>
    <x v="0"/>
    <x v="1"/>
    <n v="0"/>
    <x v="1"/>
  </r>
  <r>
    <x v="73"/>
    <x v="1"/>
    <x v="258"/>
    <x v="0"/>
    <x v="1"/>
    <x v="1"/>
    <x v="0"/>
    <x v="2"/>
    <n v="1085.0108537883145"/>
    <x v="1"/>
  </r>
  <r>
    <x v="73"/>
    <x v="1"/>
    <x v="258"/>
    <x v="0"/>
    <x v="1"/>
    <x v="1"/>
    <x v="0"/>
    <x v="3"/>
    <n v="0"/>
    <x v="1"/>
  </r>
  <r>
    <x v="73"/>
    <x v="1"/>
    <x v="258"/>
    <x v="0"/>
    <x v="1"/>
    <x v="1"/>
    <x v="0"/>
    <x v="4"/>
    <n v="0"/>
    <x v="1"/>
  </r>
  <r>
    <x v="73"/>
    <x v="1"/>
    <x v="258"/>
    <x v="0"/>
    <x v="1"/>
    <x v="1"/>
    <x v="0"/>
    <x v="5"/>
    <n v="0"/>
    <x v="1"/>
  </r>
  <r>
    <x v="73"/>
    <x v="1"/>
    <x v="258"/>
    <x v="0"/>
    <x v="1"/>
    <x v="1"/>
    <x v="0"/>
    <x v="6"/>
    <n v="0"/>
    <x v="1"/>
  </r>
  <r>
    <x v="73"/>
    <x v="1"/>
    <x v="258"/>
    <x v="0"/>
    <x v="1"/>
    <x v="1"/>
    <x v="0"/>
    <x v="7"/>
    <n v="0"/>
    <x v="1"/>
  </r>
  <r>
    <x v="73"/>
    <x v="1"/>
    <x v="258"/>
    <x v="0"/>
    <x v="1"/>
    <x v="1"/>
    <x v="0"/>
    <x v="8"/>
    <n v="0"/>
    <x v="1"/>
  </r>
  <r>
    <x v="73"/>
    <x v="1"/>
    <x v="258"/>
    <x v="0"/>
    <x v="1"/>
    <x v="1"/>
    <x v="0"/>
    <x v="9"/>
    <n v="0"/>
    <x v="1"/>
  </r>
  <r>
    <x v="73"/>
    <x v="1"/>
    <x v="258"/>
    <x v="0"/>
    <x v="1"/>
    <x v="1"/>
    <x v="0"/>
    <x v="10"/>
    <n v="0"/>
    <x v="1"/>
  </r>
  <r>
    <x v="73"/>
    <x v="1"/>
    <x v="258"/>
    <x v="0"/>
    <x v="1"/>
    <x v="1"/>
    <x v="0"/>
    <x v="12"/>
    <n v="0"/>
    <x v="1"/>
  </r>
  <r>
    <x v="74"/>
    <x v="0"/>
    <x v="259"/>
    <x v="0"/>
    <x v="0"/>
    <x v="0"/>
    <x v="14"/>
    <x v="0"/>
    <n v="0"/>
    <x v="1"/>
  </r>
  <r>
    <x v="74"/>
    <x v="0"/>
    <x v="259"/>
    <x v="0"/>
    <x v="0"/>
    <x v="0"/>
    <x v="14"/>
    <x v="1"/>
    <n v="0"/>
    <x v="1"/>
  </r>
  <r>
    <x v="74"/>
    <x v="0"/>
    <x v="259"/>
    <x v="0"/>
    <x v="0"/>
    <x v="0"/>
    <x v="14"/>
    <x v="2"/>
    <n v="0"/>
    <x v="1"/>
  </r>
  <r>
    <x v="74"/>
    <x v="0"/>
    <x v="259"/>
    <x v="0"/>
    <x v="0"/>
    <x v="0"/>
    <x v="14"/>
    <x v="3"/>
    <n v="0"/>
    <x v="1"/>
  </r>
  <r>
    <x v="74"/>
    <x v="0"/>
    <x v="259"/>
    <x v="0"/>
    <x v="0"/>
    <x v="0"/>
    <x v="14"/>
    <x v="4"/>
    <n v="0"/>
    <x v="1"/>
  </r>
  <r>
    <x v="74"/>
    <x v="0"/>
    <x v="259"/>
    <x v="0"/>
    <x v="0"/>
    <x v="0"/>
    <x v="14"/>
    <x v="5"/>
    <n v="0"/>
    <x v="1"/>
  </r>
  <r>
    <x v="74"/>
    <x v="0"/>
    <x v="259"/>
    <x v="0"/>
    <x v="0"/>
    <x v="0"/>
    <x v="14"/>
    <x v="6"/>
    <n v="0"/>
    <x v="1"/>
  </r>
  <r>
    <x v="74"/>
    <x v="0"/>
    <x v="259"/>
    <x v="0"/>
    <x v="0"/>
    <x v="0"/>
    <x v="14"/>
    <x v="7"/>
    <n v="1199.7126188938573"/>
    <x v="1"/>
  </r>
  <r>
    <x v="74"/>
    <x v="0"/>
    <x v="259"/>
    <x v="0"/>
    <x v="0"/>
    <x v="0"/>
    <x v="14"/>
    <x v="8"/>
    <n v="5141.6883581073416"/>
    <x v="1"/>
  </r>
  <r>
    <x v="74"/>
    <x v="0"/>
    <x v="259"/>
    <x v="0"/>
    <x v="0"/>
    <x v="0"/>
    <x v="14"/>
    <x v="9"/>
    <n v="4651.5217216622959"/>
    <x v="1"/>
  </r>
  <r>
    <x v="74"/>
    <x v="0"/>
    <x v="259"/>
    <x v="0"/>
    <x v="0"/>
    <x v="0"/>
    <x v="14"/>
    <x v="10"/>
    <n v="7328.9185927929238"/>
    <x v="1"/>
  </r>
  <r>
    <x v="74"/>
    <x v="0"/>
    <x v="259"/>
    <x v="0"/>
    <x v="0"/>
    <x v="0"/>
    <x v="14"/>
    <x v="12"/>
    <n v="10247.950860976518"/>
    <x v="1"/>
  </r>
  <r>
    <x v="75"/>
    <x v="0"/>
    <x v="260"/>
    <x v="0"/>
    <x v="0"/>
    <x v="0"/>
    <x v="14"/>
    <x v="0"/>
    <n v="0"/>
    <x v="1"/>
  </r>
  <r>
    <x v="75"/>
    <x v="0"/>
    <x v="260"/>
    <x v="0"/>
    <x v="0"/>
    <x v="0"/>
    <x v="14"/>
    <x v="1"/>
    <n v="0"/>
    <x v="1"/>
  </r>
  <r>
    <x v="75"/>
    <x v="0"/>
    <x v="260"/>
    <x v="0"/>
    <x v="0"/>
    <x v="0"/>
    <x v="14"/>
    <x v="2"/>
    <n v="0"/>
    <x v="1"/>
  </r>
  <r>
    <x v="75"/>
    <x v="0"/>
    <x v="260"/>
    <x v="0"/>
    <x v="0"/>
    <x v="0"/>
    <x v="14"/>
    <x v="3"/>
    <n v="0"/>
    <x v="1"/>
  </r>
  <r>
    <x v="75"/>
    <x v="0"/>
    <x v="260"/>
    <x v="0"/>
    <x v="0"/>
    <x v="0"/>
    <x v="14"/>
    <x v="4"/>
    <n v="0"/>
    <x v="1"/>
  </r>
  <r>
    <x v="75"/>
    <x v="0"/>
    <x v="260"/>
    <x v="0"/>
    <x v="0"/>
    <x v="0"/>
    <x v="14"/>
    <x v="5"/>
    <n v="0"/>
    <x v="1"/>
  </r>
  <r>
    <x v="75"/>
    <x v="0"/>
    <x v="260"/>
    <x v="0"/>
    <x v="0"/>
    <x v="0"/>
    <x v="14"/>
    <x v="6"/>
    <n v="0"/>
    <x v="1"/>
  </r>
  <r>
    <x v="75"/>
    <x v="0"/>
    <x v="260"/>
    <x v="0"/>
    <x v="0"/>
    <x v="0"/>
    <x v="14"/>
    <x v="7"/>
    <n v="0"/>
    <x v="1"/>
  </r>
  <r>
    <x v="75"/>
    <x v="0"/>
    <x v="260"/>
    <x v="0"/>
    <x v="0"/>
    <x v="0"/>
    <x v="14"/>
    <x v="8"/>
    <n v="1640.6143481220925"/>
    <x v="1"/>
  </r>
  <r>
    <x v="75"/>
    <x v="0"/>
    <x v="260"/>
    <x v="0"/>
    <x v="0"/>
    <x v="0"/>
    <x v="14"/>
    <x v="9"/>
    <n v="1594.5997902073559"/>
    <x v="1"/>
  </r>
  <r>
    <x v="75"/>
    <x v="0"/>
    <x v="260"/>
    <x v="0"/>
    <x v="0"/>
    <x v="0"/>
    <x v="14"/>
    <x v="10"/>
    <n v="2512.4449050918242"/>
    <x v="1"/>
  </r>
  <r>
    <x v="75"/>
    <x v="0"/>
    <x v="260"/>
    <x v="0"/>
    <x v="0"/>
    <x v="0"/>
    <x v="14"/>
    <x v="12"/>
    <n v="3513.1256545285128"/>
    <x v="1"/>
  </r>
  <r>
    <x v="76"/>
    <x v="0"/>
    <x v="261"/>
    <x v="0"/>
    <x v="0"/>
    <x v="0"/>
    <x v="14"/>
    <x v="0"/>
    <n v="813.01"/>
    <x v="1"/>
  </r>
  <r>
    <x v="76"/>
    <x v="0"/>
    <x v="261"/>
    <x v="0"/>
    <x v="0"/>
    <x v="0"/>
    <x v="14"/>
    <x v="1"/>
    <n v="816.4"/>
    <x v="1"/>
  </r>
  <r>
    <x v="76"/>
    <x v="0"/>
    <x v="261"/>
    <x v="0"/>
    <x v="0"/>
    <x v="0"/>
    <x v="14"/>
    <x v="2"/>
    <n v="833.10937919913999"/>
    <x v="1"/>
  </r>
  <r>
    <x v="76"/>
    <x v="0"/>
    <x v="261"/>
    <x v="0"/>
    <x v="0"/>
    <x v="0"/>
    <x v="14"/>
    <x v="3"/>
    <n v="207.55"/>
    <x v="1"/>
  </r>
  <r>
    <x v="76"/>
    <x v="0"/>
    <x v="261"/>
    <x v="0"/>
    <x v="0"/>
    <x v="0"/>
    <x v="14"/>
    <x v="4"/>
    <n v="0"/>
    <x v="1"/>
  </r>
  <r>
    <x v="76"/>
    <x v="0"/>
    <x v="261"/>
    <x v="0"/>
    <x v="0"/>
    <x v="0"/>
    <x v="14"/>
    <x v="5"/>
    <n v="0"/>
    <x v="1"/>
  </r>
  <r>
    <x v="76"/>
    <x v="0"/>
    <x v="261"/>
    <x v="0"/>
    <x v="0"/>
    <x v="0"/>
    <x v="14"/>
    <x v="6"/>
    <n v="0"/>
    <x v="1"/>
  </r>
  <r>
    <x v="76"/>
    <x v="0"/>
    <x v="261"/>
    <x v="0"/>
    <x v="0"/>
    <x v="0"/>
    <x v="14"/>
    <x v="7"/>
    <n v="0"/>
    <x v="1"/>
  </r>
  <r>
    <x v="76"/>
    <x v="0"/>
    <x v="261"/>
    <x v="0"/>
    <x v="0"/>
    <x v="0"/>
    <x v="14"/>
    <x v="8"/>
    <n v="0"/>
    <x v="1"/>
  </r>
  <r>
    <x v="76"/>
    <x v="0"/>
    <x v="261"/>
    <x v="0"/>
    <x v="0"/>
    <x v="0"/>
    <x v="14"/>
    <x v="9"/>
    <n v="0"/>
    <x v="1"/>
  </r>
  <r>
    <x v="76"/>
    <x v="0"/>
    <x v="261"/>
    <x v="0"/>
    <x v="0"/>
    <x v="0"/>
    <x v="14"/>
    <x v="10"/>
    <n v="0"/>
    <x v="1"/>
  </r>
  <r>
    <x v="76"/>
    <x v="0"/>
    <x v="261"/>
    <x v="0"/>
    <x v="0"/>
    <x v="0"/>
    <x v="14"/>
    <x v="12"/>
    <n v="0"/>
    <x v="1"/>
  </r>
  <r>
    <x v="77"/>
    <x v="0"/>
    <x v="262"/>
    <x v="0"/>
    <x v="0"/>
    <x v="0"/>
    <x v="14"/>
    <x v="0"/>
    <n v="1835.82"/>
    <x v="1"/>
  </r>
  <r>
    <x v="77"/>
    <x v="0"/>
    <x v="262"/>
    <x v="0"/>
    <x v="0"/>
    <x v="0"/>
    <x v="14"/>
    <x v="1"/>
    <n v="1843.6"/>
    <x v="1"/>
  </r>
  <r>
    <x v="77"/>
    <x v="0"/>
    <x v="262"/>
    <x v="0"/>
    <x v="0"/>
    <x v="0"/>
    <x v="14"/>
    <x v="2"/>
    <n v="1881.2147272238644"/>
    <x v="1"/>
  </r>
  <r>
    <x v="77"/>
    <x v="0"/>
    <x v="262"/>
    <x v="0"/>
    <x v="0"/>
    <x v="0"/>
    <x v="14"/>
    <x v="3"/>
    <n v="0"/>
    <x v="1"/>
  </r>
  <r>
    <x v="77"/>
    <x v="0"/>
    <x v="262"/>
    <x v="0"/>
    <x v="0"/>
    <x v="0"/>
    <x v="14"/>
    <x v="4"/>
    <n v="0"/>
    <x v="1"/>
  </r>
  <r>
    <x v="77"/>
    <x v="0"/>
    <x v="262"/>
    <x v="0"/>
    <x v="0"/>
    <x v="0"/>
    <x v="14"/>
    <x v="5"/>
    <n v="0"/>
    <x v="1"/>
  </r>
  <r>
    <x v="77"/>
    <x v="0"/>
    <x v="262"/>
    <x v="0"/>
    <x v="0"/>
    <x v="0"/>
    <x v="14"/>
    <x v="6"/>
    <n v="0"/>
    <x v="1"/>
  </r>
  <r>
    <x v="77"/>
    <x v="0"/>
    <x v="262"/>
    <x v="0"/>
    <x v="0"/>
    <x v="0"/>
    <x v="14"/>
    <x v="7"/>
    <n v="0"/>
    <x v="1"/>
  </r>
  <r>
    <x v="77"/>
    <x v="0"/>
    <x v="262"/>
    <x v="0"/>
    <x v="0"/>
    <x v="0"/>
    <x v="14"/>
    <x v="8"/>
    <n v="0"/>
    <x v="1"/>
  </r>
  <r>
    <x v="77"/>
    <x v="0"/>
    <x v="262"/>
    <x v="0"/>
    <x v="0"/>
    <x v="0"/>
    <x v="14"/>
    <x v="9"/>
    <n v="0"/>
    <x v="1"/>
  </r>
  <r>
    <x v="77"/>
    <x v="0"/>
    <x v="262"/>
    <x v="0"/>
    <x v="0"/>
    <x v="0"/>
    <x v="14"/>
    <x v="10"/>
    <n v="0"/>
    <x v="1"/>
  </r>
  <r>
    <x v="77"/>
    <x v="0"/>
    <x v="262"/>
    <x v="0"/>
    <x v="0"/>
    <x v="0"/>
    <x v="14"/>
    <x v="12"/>
    <n v="0"/>
    <x v="1"/>
  </r>
  <r>
    <x v="78"/>
    <x v="0"/>
    <x v="263"/>
    <x v="0"/>
    <x v="0"/>
    <x v="0"/>
    <x v="14"/>
    <x v="0"/>
    <n v="655.65171780750063"/>
    <x v="1"/>
  </r>
  <r>
    <x v="78"/>
    <x v="0"/>
    <x v="263"/>
    <x v="0"/>
    <x v="0"/>
    <x v="0"/>
    <x v="14"/>
    <x v="1"/>
    <n v="658.4"/>
    <x v="1"/>
  </r>
  <r>
    <x v="78"/>
    <x v="0"/>
    <x v="263"/>
    <x v="0"/>
    <x v="0"/>
    <x v="0"/>
    <x v="14"/>
    <x v="2"/>
    <n v="671.86240257995166"/>
    <x v="1"/>
  </r>
  <r>
    <x v="78"/>
    <x v="0"/>
    <x v="263"/>
    <x v="0"/>
    <x v="0"/>
    <x v="0"/>
    <x v="14"/>
    <x v="3"/>
    <n v="334.76"/>
    <x v="1"/>
  </r>
  <r>
    <x v="78"/>
    <x v="0"/>
    <x v="263"/>
    <x v="0"/>
    <x v="0"/>
    <x v="0"/>
    <x v="14"/>
    <x v="4"/>
    <n v="0"/>
    <x v="1"/>
  </r>
  <r>
    <x v="78"/>
    <x v="0"/>
    <x v="263"/>
    <x v="0"/>
    <x v="0"/>
    <x v="0"/>
    <x v="14"/>
    <x v="5"/>
    <n v="0"/>
    <x v="1"/>
  </r>
  <r>
    <x v="78"/>
    <x v="0"/>
    <x v="263"/>
    <x v="0"/>
    <x v="0"/>
    <x v="0"/>
    <x v="14"/>
    <x v="6"/>
    <n v="0"/>
    <x v="1"/>
  </r>
  <r>
    <x v="78"/>
    <x v="0"/>
    <x v="263"/>
    <x v="0"/>
    <x v="0"/>
    <x v="0"/>
    <x v="14"/>
    <x v="7"/>
    <n v="0"/>
    <x v="1"/>
  </r>
  <r>
    <x v="78"/>
    <x v="0"/>
    <x v="263"/>
    <x v="0"/>
    <x v="0"/>
    <x v="0"/>
    <x v="14"/>
    <x v="8"/>
    <n v="0"/>
    <x v="1"/>
  </r>
  <r>
    <x v="78"/>
    <x v="0"/>
    <x v="263"/>
    <x v="0"/>
    <x v="0"/>
    <x v="0"/>
    <x v="14"/>
    <x v="9"/>
    <n v="0"/>
    <x v="1"/>
  </r>
  <r>
    <x v="78"/>
    <x v="0"/>
    <x v="263"/>
    <x v="0"/>
    <x v="0"/>
    <x v="0"/>
    <x v="14"/>
    <x v="10"/>
    <n v="0"/>
    <x v="1"/>
  </r>
  <r>
    <x v="78"/>
    <x v="0"/>
    <x v="263"/>
    <x v="0"/>
    <x v="0"/>
    <x v="0"/>
    <x v="14"/>
    <x v="12"/>
    <n v="0"/>
    <x v="1"/>
  </r>
  <r>
    <x v="75"/>
    <x v="0"/>
    <x v="260"/>
    <x v="0"/>
    <x v="0"/>
    <x v="0"/>
    <x v="14"/>
    <x v="0"/>
    <n v="1442.4337791765013"/>
    <x v="1"/>
  </r>
  <r>
    <x v="75"/>
    <x v="0"/>
    <x v="260"/>
    <x v="0"/>
    <x v="0"/>
    <x v="0"/>
    <x v="14"/>
    <x v="1"/>
    <n v="1448.5"/>
    <x v="1"/>
  </r>
  <r>
    <x v="75"/>
    <x v="0"/>
    <x v="260"/>
    <x v="0"/>
    <x v="0"/>
    <x v="0"/>
    <x v="14"/>
    <x v="2"/>
    <n v="1478.0972856758935"/>
    <x v="1"/>
  </r>
  <r>
    <x v="75"/>
    <x v="0"/>
    <x v="260"/>
    <x v="0"/>
    <x v="0"/>
    <x v="0"/>
    <x v="14"/>
    <x v="3"/>
    <n v="1472.95"/>
    <x v="1"/>
  </r>
  <r>
    <x v="75"/>
    <x v="0"/>
    <x v="260"/>
    <x v="0"/>
    <x v="0"/>
    <x v="0"/>
    <x v="14"/>
    <x v="4"/>
    <n v="1465.49"/>
    <x v="1"/>
  </r>
  <r>
    <x v="75"/>
    <x v="0"/>
    <x v="260"/>
    <x v="0"/>
    <x v="0"/>
    <x v="0"/>
    <x v="14"/>
    <x v="5"/>
    <n v="1440.92"/>
    <x v="1"/>
  </r>
  <r>
    <x v="75"/>
    <x v="0"/>
    <x v="260"/>
    <x v="0"/>
    <x v="0"/>
    <x v="0"/>
    <x v="14"/>
    <x v="6"/>
    <n v="1470"/>
    <x v="1"/>
  </r>
  <r>
    <x v="75"/>
    <x v="0"/>
    <x v="260"/>
    <x v="0"/>
    <x v="0"/>
    <x v="0"/>
    <x v="14"/>
    <x v="7"/>
    <n v="1440.92"/>
    <x v="1"/>
  </r>
  <r>
    <x v="75"/>
    <x v="0"/>
    <x v="260"/>
    <x v="0"/>
    <x v="0"/>
    <x v="0"/>
    <x v="14"/>
    <x v="8"/>
    <n v="0"/>
    <x v="1"/>
  </r>
  <r>
    <x v="75"/>
    <x v="0"/>
    <x v="260"/>
    <x v="0"/>
    <x v="0"/>
    <x v="0"/>
    <x v="14"/>
    <x v="9"/>
    <n v="1478.0972856758935"/>
    <x v="1"/>
  </r>
  <r>
    <x v="75"/>
    <x v="0"/>
    <x v="260"/>
    <x v="0"/>
    <x v="0"/>
    <x v="0"/>
    <x v="14"/>
    <x v="10"/>
    <n v="1478.0972856758935"/>
    <x v="1"/>
  </r>
  <r>
    <x v="75"/>
    <x v="0"/>
    <x v="260"/>
    <x v="0"/>
    <x v="0"/>
    <x v="0"/>
    <x v="14"/>
    <x v="12"/>
    <n v="1478.0972856758935"/>
    <x v="1"/>
  </r>
  <r>
    <x v="79"/>
    <x v="0"/>
    <x v="264"/>
    <x v="0"/>
    <x v="0"/>
    <x v="0"/>
    <x v="14"/>
    <x v="0"/>
    <n v="367.16496197220033"/>
    <x v="1"/>
  </r>
  <r>
    <x v="79"/>
    <x v="0"/>
    <x v="264"/>
    <x v="0"/>
    <x v="0"/>
    <x v="0"/>
    <x v="14"/>
    <x v="1"/>
    <n v="368.7"/>
    <x v="1"/>
  </r>
  <r>
    <x v="79"/>
    <x v="0"/>
    <x v="264"/>
    <x v="0"/>
    <x v="0"/>
    <x v="0"/>
    <x v="14"/>
    <x v="2"/>
    <n v="376.24294544477289"/>
    <x v="1"/>
  </r>
  <r>
    <x v="79"/>
    <x v="0"/>
    <x v="264"/>
    <x v="0"/>
    <x v="0"/>
    <x v="0"/>
    <x v="14"/>
    <x v="3"/>
    <n v="374.93"/>
    <x v="1"/>
  </r>
  <r>
    <x v="79"/>
    <x v="0"/>
    <x v="264"/>
    <x v="0"/>
    <x v="0"/>
    <x v="0"/>
    <x v="14"/>
    <x v="4"/>
    <n v="373.03"/>
    <x v="1"/>
  </r>
  <r>
    <x v="79"/>
    <x v="0"/>
    <x v="264"/>
    <x v="0"/>
    <x v="0"/>
    <x v="0"/>
    <x v="14"/>
    <x v="5"/>
    <n v="366.78"/>
    <x v="1"/>
  </r>
  <r>
    <x v="79"/>
    <x v="0"/>
    <x v="264"/>
    <x v="0"/>
    <x v="0"/>
    <x v="0"/>
    <x v="14"/>
    <x v="6"/>
    <n v="855"/>
    <x v="1"/>
  </r>
  <r>
    <x v="79"/>
    <x v="0"/>
    <x v="264"/>
    <x v="0"/>
    <x v="0"/>
    <x v="0"/>
    <x v="14"/>
    <x v="7"/>
    <n v="838.35"/>
    <x v="1"/>
  </r>
  <r>
    <x v="79"/>
    <x v="0"/>
    <x v="264"/>
    <x v="0"/>
    <x v="0"/>
    <x v="0"/>
    <x v="14"/>
    <x v="8"/>
    <n v="848"/>
    <x v="1"/>
  </r>
  <r>
    <x v="79"/>
    <x v="0"/>
    <x v="264"/>
    <x v="0"/>
    <x v="0"/>
    <x v="0"/>
    <x v="14"/>
    <x v="9"/>
    <n v="376.24294544477289"/>
    <x v="1"/>
  </r>
  <r>
    <x v="79"/>
    <x v="0"/>
    <x v="264"/>
    <x v="0"/>
    <x v="0"/>
    <x v="0"/>
    <x v="14"/>
    <x v="10"/>
    <n v="376.24294544477289"/>
    <x v="1"/>
  </r>
  <r>
    <x v="79"/>
    <x v="0"/>
    <x v="264"/>
    <x v="0"/>
    <x v="0"/>
    <x v="0"/>
    <x v="14"/>
    <x v="12"/>
    <n v="376.24294544477289"/>
    <x v="1"/>
  </r>
  <r>
    <x v="80"/>
    <x v="0"/>
    <x v="265"/>
    <x v="1"/>
    <x v="0"/>
    <x v="0"/>
    <x v="14"/>
    <x v="0"/>
    <n v="2045.6333595594019"/>
    <x v="1"/>
  </r>
  <r>
    <x v="80"/>
    <x v="0"/>
    <x v="265"/>
    <x v="1"/>
    <x v="0"/>
    <x v="0"/>
    <x v="14"/>
    <x v="1"/>
    <n v="2054.3000000000002"/>
    <x v="1"/>
  </r>
  <r>
    <x v="80"/>
    <x v="0"/>
    <x v="265"/>
    <x v="1"/>
    <x v="0"/>
    <x v="0"/>
    <x v="14"/>
    <x v="2"/>
    <n v="2096.2106960494489"/>
    <x v="1"/>
  </r>
  <r>
    <x v="80"/>
    <x v="0"/>
    <x v="265"/>
    <x v="1"/>
    <x v="0"/>
    <x v="0"/>
    <x v="14"/>
    <x v="3"/>
    <n v="2088.91"/>
    <x v="1"/>
  </r>
  <r>
    <x v="80"/>
    <x v="0"/>
    <x v="265"/>
    <x v="1"/>
    <x v="0"/>
    <x v="0"/>
    <x v="14"/>
    <x v="4"/>
    <n v="2078.34"/>
    <x v="1"/>
  </r>
  <r>
    <x v="80"/>
    <x v="0"/>
    <x v="265"/>
    <x v="1"/>
    <x v="0"/>
    <x v="0"/>
    <x v="14"/>
    <x v="5"/>
    <n v="2043.49"/>
    <x v="1"/>
  </r>
  <r>
    <x v="80"/>
    <x v="0"/>
    <x v="265"/>
    <x v="1"/>
    <x v="0"/>
    <x v="0"/>
    <x v="14"/>
    <x v="6"/>
    <n v="2084"/>
    <x v="1"/>
  </r>
  <r>
    <x v="80"/>
    <x v="0"/>
    <x v="265"/>
    <x v="1"/>
    <x v="0"/>
    <x v="0"/>
    <x v="14"/>
    <x v="7"/>
    <n v="2043.49"/>
    <x v="1"/>
  </r>
  <r>
    <x v="80"/>
    <x v="0"/>
    <x v="265"/>
    <x v="1"/>
    <x v="0"/>
    <x v="0"/>
    <x v="14"/>
    <x v="8"/>
    <n v="2518"/>
    <x v="1"/>
  </r>
  <r>
    <x v="80"/>
    <x v="0"/>
    <x v="265"/>
    <x v="1"/>
    <x v="0"/>
    <x v="0"/>
    <x v="14"/>
    <x v="9"/>
    <n v="2096.2106960494489"/>
    <x v="1"/>
  </r>
  <r>
    <x v="80"/>
    <x v="0"/>
    <x v="265"/>
    <x v="1"/>
    <x v="0"/>
    <x v="0"/>
    <x v="14"/>
    <x v="10"/>
    <n v="2096.2106960494489"/>
    <x v="1"/>
  </r>
  <r>
    <x v="80"/>
    <x v="0"/>
    <x v="265"/>
    <x v="1"/>
    <x v="0"/>
    <x v="0"/>
    <x v="14"/>
    <x v="12"/>
    <n v="2096.2106960494489"/>
    <x v="1"/>
  </r>
  <r>
    <x v="50"/>
    <x v="0"/>
    <x v="266"/>
    <x v="0"/>
    <x v="0"/>
    <x v="0"/>
    <x v="14"/>
    <x v="0"/>
    <n v="655.65171780750063"/>
    <x v="1"/>
  </r>
  <r>
    <x v="50"/>
    <x v="0"/>
    <x v="266"/>
    <x v="0"/>
    <x v="0"/>
    <x v="0"/>
    <x v="14"/>
    <x v="1"/>
    <n v="658.4"/>
    <x v="1"/>
  </r>
  <r>
    <x v="50"/>
    <x v="0"/>
    <x v="266"/>
    <x v="0"/>
    <x v="0"/>
    <x v="0"/>
    <x v="14"/>
    <x v="2"/>
    <n v="1084.1171728030099"/>
    <x v="1"/>
  </r>
  <r>
    <x v="50"/>
    <x v="0"/>
    <x v="266"/>
    <x v="0"/>
    <x v="0"/>
    <x v="0"/>
    <x v="14"/>
    <x v="3"/>
    <n v="1080.3399999999999"/>
    <x v="1"/>
  </r>
  <r>
    <x v="50"/>
    <x v="0"/>
    <x v="266"/>
    <x v="0"/>
    <x v="0"/>
    <x v="0"/>
    <x v="14"/>
    <x v="4"/>
    <n v="1074.8699999999999"/>
    <x v="1"/>
  </r>
  <r>
    <x v="50"/>
    <x v="0"/>
    <x v="266"/>
    <x v="0"/>
    <x v="0"/>
    <x v="0"/>
    <x v="14"/>
    <x v="5"/>
    <n v="1056.8499999999999"/>
    <x v="1"/>
  </r>
  <r>
    <x v="50"/>
    <x v="0"/>
    <x v="266"/>
    <x v="0"/>
    <x v="0"/>
    <x v="0"/>
    <x v="14"/>
    <x v="6"/>
    <n v="1078"/>
    <x v="1"/>
  </r>
  <r>
    <x v="50"/>
    <x v="0"/>
    <x v="266"/>
    <x v="0"/>
    <x v="0"/>
    <x v="0"/>
    <x v="14"/>
    <x v="7"/>
    <n v="2062.35"/>
    <x v="1"/>
  </r>
  <r>
    <x v="50"/>
    <x v="0"/>
    <x v="266"/>
    <x v="0"/>
    <x v="0"/>
    <x v="0"/>
    <x v="14"/>
    <x v="8"/>
    <n v="0"/>
    <x v="1"/>
  </r>
  <r>
    <x v="50"/>
    <x v="0"/>
    <x v="266"/>
    <x v="0"/>
    <x v="0"/>
    <x v="0"/>
    <x v="14"/>
    <x v="9"/>
    <n v="0"/>
    <x v="1"/>
  </r>
  <r>
    <x v="50"/>
    <x v="0"/>
    <x v="266"/>
    <x v="0"/>
    <x v="0"/>
    <x v="0"/>
    <x v="14"/>
    <x v="10"/>
    <n v="0"/>
    <x v="1"/>
  </r>
  <r>
    <x v="50"/>
    <x v="0"/>
    <x v="266"/>
    <x v="0"/>
    <x v="0"/>
    <x v="0"/>
    <x v="14"/>
    <x v="12"/>
    <n v="0"/>
    <x v="1"/>
  </r>
  <r>
    <x v="81"/>
    <x v="0"/>
    <x v="267"/>
    <x v="0"/>
    <x v="0"/>
    <x v="0"/>
    <x v="14"/>
    <x v="0"/>
    <n v="655.65171780750063"/>
    <x v="1"/>
  </r>
  <r>
    <x v="81"/>
    <x v="0"/>
    <x v="267"/>
    <x v="0"/>
    <x v="0"/>
    <x v="0"/>
    <x v="14"/>
    <x v="1"/>
    <n v="658.4"/>
    <x v="1"/>
  </r>
  <r>
    <x v="81"/>
    <x v="0"/>
    <x v="267"/>
    <x v="0"/>
    <x v="0"/>
    <x v="0"/>
    <x v="14"/>
    <x v="2"/>
    <n v="671.86240257995166"/>
    <x v="1"/>
  </r>
  <r>
    <x v="81"/>
    <x v="0"/>
    <x v="267"/>
    <x v="0"/>
    <x v="0"/>
    <x v="0"/>
    <x v="14"/>
    <x v="3"/>
    <n v="669.52"/>
    <x v="1"/>
  </r>
  <r>
    <x v="81"/>
    <x v="0"/>
    <x v="267"/>
    <x v="0"/>
    <x v="0"/>
    <x v="0"/>
    <x v="14"/>
    <x v="4"/>
    <n v="666.13"/>
    <x v="1"/>
  </r>
  <r>
    <x v="81"/>
    <x v="0"/>
    <x v="267"/>
    <x v="0"/>
    <x v="0"/>
    <x v="0"/>
    <x v="14"/>
    <x v="5"/>
    <n v="654.96"/>
    <x v="1"/>
  </r>
  <r>
    <x v="81"/>
    <x v="0"/>
    <x v="267"/>
    <x v="0"/>
    <x v="0"/>
    <x v="0"/>
    <x v="14"/>
    <x v="6"/>
    <n v="0"/>
    <x v="1"/>
  </r>
  <r>
    <x v="81"/>
    <x v="0"/>
    <x v="267"/>
    <x v="0"/>
    <x v="0"/>
    <x v="0"/>
    <x v="14"/>
    <x v="7"/>
    <n v="0"/>
    <x v="1"/>
  </r>
  <r>
    <x v="81"/>
    <x v="0"/>
    <x v="267"/>
    <x v="0"/>
    <x v="0"/>
    <x v="0"/>
    <x v="14"/>
    <x v="8"/>
    <n v="0"/>
    <x v="1"/>
  </r>
  <r>
    <x v="81"/>
    <x v="0"/>
    <x v="267"/>
    <x v="0"/>
    <x v="0"/>
    <x v="0"/>
    <x v="14"/>
    <x v="9"/>
    <n v="0"/>
    <x v="1"/>
  </r>
  <r>
    <x v="81"/>
    <x v="0"/>
    <x v="267"/>
    <x v="0"/>
    <x v="0"/>
    <x v="0"/>
    <x v="14"/>
    <x v="10"/>
    <n v="0"/>
    <x v="1"/>
  </r>
  <r>
    <x v="81"/>
    <x v="0"/>
    <x v="267"/>
    <x v="0"/>
    <x v="0"/>
    <x v="0"/>
    <x v="14"/>
    <x v="12"/>
    <n v="0"/>
    <x v="1"/>
  </r>
  <r>
    <x v="82"/>
    <x v="0"/>
    <x v="268"/>
    <x v="0"/>
    <x v="0"/>
    <x v="0"/>
    <x v="14"/>
    <x v="0"/>
    <n v="655.65171780750063"/>
    <x v="1"/>
  </r>
  <r>
    <x v="82"/>
    <x v="0"/>
    <x v="268"/>
    <x v="0"/>
    <x v="0"/>
    <x v="0"/>
    <x v="14"/>
    <x v="1"/>
    <n v="658.4"/>
    <x v="1"/>
  </r>
  <r>
    <x v="82"/>
    <x v="0"/>
    <x v="268"/>
    <x v="0"/>
    <x v="0"/>
    <x v="0"/>
    <x v="14"/>
    <x v="2"/>
    <n v="671.86240257995166"/>
    <x v="1"/>
  </r>
  <r>
    <x v="82"/>
    <x v="0"/>
    <x v="268"/>
    <x v="0"/>
    <x v="0"/>
    <x v="0"/>
    <x v="14"/>
    <x v="3"/>
    <n v="167.38"/>
    <x v="1"/>
  </r>
  <r>
    <x v="82"/>
    <x v="0"/>
    <x v="268"/>
    <x v="0"/>
    <x v="0"/>
    <x v="0"/>
    <x v="14"/>
    <x v="4"/>
    <n v="0"/>
    <x v="1"/>
  </r>
  <r>
    <x v="82"/>
    <x v="0"/>
    <x v="268"/>
    <x v="0"/>
    <x v="0"/>
    <x v="0"/>
    <x v="14"/>
    <x v="5"/>
    <n v="0"/>
    <x v="1"/>
  </r>
  <r>
    <x v="82"/>
    <x v="0"/>
    <x v="268"/>
    <x v="0"/>
    <x v="0"/>
    <x v="0"/>
    <x v="14"/>
    <x v="6"/>
    <n v="0"/>
    <x v="1"/>
  </r>
  <r>
    <x v="82"/>
    <x v="0"/>
    <x v="268"/>
    <x v="0"/>
    <x v="0"/>
    <x v="0"/>
    <x v="14"/>
    <x v="7"/>
    <n v="0"/>
    <x v="1"/>
  </r>
  <r>
    <x v="82"/>
    <x v="0"/>
    <x v="268"/>
    <x v="0"/>
    <x v="0"/>
    <x v="0"/>
    <x v="14"/>
    <x v="8"/>
    <n v="0"/>
    <x v="1"/>
  </r>
  <r>
    <x v="82"/>
    <x v="0"/>
    <x v="268"/>
    <x v="0"/>
    <x v="0"/>
    <x v="0"/>
    <x v="14"/>
    <x v="9"/>
    <n v="0"/>
    <x v="1"/>
  </r>
  <r>
    <x v="82"/>
    <x v="0"/>
    <x v="268"/>
    <x v="0"/>
    <x v="0"/>
    <x v="0"/>
    <x v="14"/>
    <x v="10"/>
    <n v="0"/>
    <x v="1"/>
  </r>
  <r>
    <x v="82"/>
    <x v="0"/>
    <x v="268"/>
    <x v="0"/>
    <x v="0"/>
    <x v="0"/>
    <x v="14"/>
    <x v="12"/>
    <n v="0"/>
    <x v="1"/>
  </r>
  <r>
    <x v="83"/>
    <x v="0"/>
    <x v="269"/>
    <x v="0"/>
    <x v="0"/>
    <x v="0"/>
    <x v="14"/>
    <x v="0"/>
    <n v="1180.173092053501"/>
    <x v="1"/>
  </r>
  <r>
    <x v="83"/>
    <x v="0"/>
    <x v="269"/>
    <x v="0"/>
    <x v="0"/>
    <x v="0"/>
    <x v="14"/>
    <x v="1"/>
    <n v="1185.0999999999999"/>
    <x v="1"/>
  </r>
  <r>
    <x v="83"/>
    <x v="0"/>
    <x v="269"/>
    <x v="0"/>
    <x v="0"/>
    <x v="0"/>
    <x v="14"/>
    <x v="2"/>
    <n v="1209.3523246439129"/>
    <x v="1"/>
  </r>
  <r>
    <x v="83"/>
    <x v="0"/>
    <x v="269"/>
    <x v="0"/>
    <x v="0"/>
    <x v="0"/>
    <x v="14"/>
    <x v="3"/>
    <n v="0"/>
    <x v="1"/>
  </r>
  <r>
    <x v="83"/>
    <x v="0"/>
    <x v="269"/>
    <x v="0"/>
    <x v="0"/>
    <x v="0"/>
    <x v="14"/>
    <x v="4"/>
    <n v="0"/>
    <x v="1"/>
  </r>
  <r>
    <x v="83"/>
    <x v="0"/>
    <x v="269"/>
    <x v="0"/>
    <x v="0"/>
    <x v="0"/>
    <x v="14"/>
    <x v="5"/>
    <n v="0"/>
    <x v="1"/>
  </r>
  <r>
    <x v="83"/>
    <x v="0"/>
    <x v="269"/>
    <x v="0"/>
    <x v="0"/>
    <x v="0"/>
    <x v="14"/>
    <x v="6"/>
    <n v="0"/>
    <x v="1"/>
  </r>
  <r>
    <x v="83"/>
    <x v="0"/>
    <x v="269"/>
    <x v="0"/>
    <x v="0"/>
    <x v="0"/>
    <x v="14"/>
    <x v="7"/>
    <n v="0"/>
    <x v="1"/>
  </r>
  <r>
    <x v="83"/>
    <x v="0"/>
    <x v="269"/>
    <x v="0"/>
    <x v="0"/>
    <x v="0"/>
    <x v="14"/>
    <x v="8"/>
    <n v="0"/>
    <x v="1"/>
  </r>
  <r>
    <x v="83"/>
    <x v="0"/>
    <x v="269"/>
    <x v="0"/>
    <x v="0"/>
    <x v="0"/>
    <x v="14"/>
    <x v="9"/>
    <n v="0"/>
    <x v="1"/>
  </r>
  <r>
    <x v="83"/>
    <x v="0"/>
    <x v="269"/>
    <x v="0"/>
    <x v="0"/>
    <x v="0"/>
    <x v="14"/>
    <x v="10"/>
    <n v="0"/>
    <x v="1"/>
  </r>
  <r>
    <x v="83"/>
    <x v="0"/>
    <x v="269"/>
    <x v="0"/>
    <x v="0"/>
    <x v="0"/>
    <x v="14"/>
    <x v="12"/>
    <n v="0"/>
    <x v="1"/>
  </r>
  <r>
    <x v="51"/>
    <x v="0"/>
    <x v="270"/>
    <x v="0"/>
    <x v="0"/>
    <x v="0"/>
    <x v="14"/>
    <x v="0"/>
    <n v="655.65171780750063"/>
    <x v="1"/>
  </r>
  <r>
    <x v="51"/>
    <x v="0"/>
    <x v="270"/>
    <x v="0"/>
    <x v="0"/>
    <x v="0"/>
    <x v="14"/>
    <x v="1"/>
    <n v="658.4"/>
    <x v="1"/>
  </r>
  <r>
    <x v="51"/>
    <x v="0"/>
    <x v="270"/>
    <x v="0"/>
    <x v="0"/>
    <x v="0"/>
    <x v="14"/>
    <x v="2"/>
    <n v="671.86240257995166"/>
    <x v="1"/>
  </r>
  <r>
    <x v="51"/>
    <x v="0"/>
    <x v="270"/>
    <x v="0"/>
    <x v="0"/>
    <x v="0"/>
    <x v="14"/>
    <x v="3"/>
    <n v="669.52"/>
    <x v="1"/>
  </r>
  <r>
    <x v="51"/>
    <x v="0"/>
    <x v="270"/>
    <x v="0"/>
    <x v="0"/>
    <x v="0"/>
    <x v="14"/>
    <x v="4"/>
    <n v="666.13"/>
    <x v="1"/>
  </r>
  <r>
    <x v="51"/>
    <x v="0"/>
    <x v="270"/>
    <x v="0"/>
    <x v="0"/>
    <x v="0"/>
    <x v="14"/>
    <x v="5"/>
    <n v="654.96"/>
    <x v="1"/>
  </r>
  <r>
    <x v="51"/>
    <x v="0"/>
    <x v="270"/>
    <x v="0"/>
    <x v="0"/>
    <x v="0"/>
    <x v="14"/>
    <x v="6"/>
    <n v="668"/>
    <x v="1"/>
  </r>
  <r>
    <x v="51"/>
    <x v="0"/>
    <x v="270"/>
    <x v="0"/>
    <x v="0"/>
    <x v="0"/>
    <x v="14"/>
    <x v="7"/>
    <n v="654.96"/>
    <x v="1"/>
  </r>
  <r>
    <x v="51"/>
    <x v="0"/>
    <x v="270"/>
    <x v="0"/>
    <x v="0"/>
    <x v="0"/>
    <x v="14"/>
    <x v="8"/>
    <n v="0"/>
    <x v="1"/>
  </r>
  <r>
    <x v="51"/>
    <x v="0"/>
    <x v="270"/>
    <x v="0"/>
    <x v="0"/>
    <x v="0"/>
    <x v="14"/>
    <x v="9"/>
    <n v="0"/>
    <x v="1"/>
  </r>
  <r>
    <x v="51"/>
    <x v="0"/>
    <x v="270"/>
    <x v="0"/>
    <x v="0"/>
    <x v="0"/>
    <x v="14"/>
    <x v="10"/>
    <n v="0"/>
    <x v="1"/>
  </r>
  <r>
    <x v="51"/>
    <x v="0"/>
    <x v="270"/>
    <x v="0"/>
    <x v="0"/>
    <x v="0"/>
    <x v="14"/>
    <x v="12"/>
    <n v="0"/>
    <x v="1"/>
  </r>
  <r>
    <x v="84"/>
    <x v="0"/>
    <x v="271"/>
    <x v="0"/>
    <x v="0"/>
    <x v="0"/>
    <x v="14"/>
    <x v="0"/>
    <n v="1966.9551534225018"/>
    <x v="1"/>
  </r>
  <r>
    <x v="84"/>
    <x v="0"/>
    <x v="271"/>
    <x v="0"/>
    <x v="0"/>
    <x v="0"/>
    <x v="14"/>
    <x v="1"/>
    <n v="1975.2"/>
    <x v="1"/>
  </r>
  <r>
    <x v="84"/>
    <x v="0"/>
    <x v="271"/>
    <x v="0"/>
    <x v="0"/>
    <x v="0"/>
    <x v="14"/>
    <x v="2"/>
    <n v="2015.5872077398549"/>
    <x v="1"/>
  </r>
  <r>
    <x v="84"/>
    <x v="0"/>
    <x v="271"/>
    <x v="0"/>
    <x v="0"/>
    <x v="0"/>
    <x v="14"/>
    <x v="3"/>
    <n v="0"/>
    <x v="1"/>
  </r>
  <r>
    <x v="84"/>
    <x v="0"/>
    <x v="271"/>
    <x v="0"/>
    <x v="0"/>
    <x v="0"/>
    <x v="14"/>
    <x v="4"/>
    <n v="0"/>
    <x v="1"/>
  </r>
  <r>
    <x v="84"/>
    <x v="0"/>
    <x v="271"/>
    <x v="0"/>
    <x v="0"/>
    <x v="0"/>
    <x v="14"/>
    <x v="5"/>
    <n v="0"/>
    <x v="1"/>
  </r>
  <r>
    <x v="84"/>
    <x v="0"/>
    <x v="271"/>
    <x v="0"/>
    <x v="0"/>
    <x v="0"/>
    <x v="14"/>
    <x v="6"/>
    <n v="0"/>
    <x v="1"/>
  </r>
  <r>
    <x v="84"/>
    <x v="0"/>
    <x v="271"/>
    <x v="0"/>
    <x v="0"/>
    <x v="0"/>
    <x v="14"/>
    <x v="7"/>
    <n v="0"/>
    <x v="1"/>
  </r>
  <r>
    <x v="84"/>
    <x v="0"/>
    <x v="271"/>
    <x v="0"/>
    <x v="0"/>
    <x v="0"/>
    <x v="14"/>
    <x v="8"/>
    <n v="0"/>
    <x v="1"/>
  </r>
  <r>
    <x v="84"/>
    <x v="0"/>
    <x v="271"/>
    <x v="0"/>
    <x v="0"/>
    <x v="0"/>
    <x v="14"/>
    <x v="9"/>
    <n v="0"/>
    <x v="1"/>
  </r>
  <r>
    <x v="84"/>
    <x v="0"/>
    <x v="271"/>
    <x v="0"/>
    <x v="0"/>
    <x v="0"/>
    <x v="14"/>
    <x v="10"/>
    <n v="0"/>
    <x v="1"/>
  </r>
  <r>
    <x v="84"/>
    <x v="0"/>
    <x v="271"/>
    <x v="0"/>
    <x v="0"/>
    <x v="0"/>
    <x v="14"/>
    <x v="12"/>
    <n v="0"/>
    <x v="1"/>
  </r>
  <r>
    <x v="30"/>
    <x v="0"/>
    <x v="272"/>
    <x v="0"/>
    <x v="0"/>
    <x v="0"/>
    <x v="14"/>
    <x v="0"/>
    <n v="4101.7571466037243"/>
    <x v="1"/>
  </r>
  <r>
    <x v="30"/>
    <x v="0"/>
    <x v="272"/>
    <x v="0"/>
    <x v="0"/>
    <x v="0"/>
    <x v="14"/>
    <x v="1"/>
    <n v="0"/>
    <x v="1"/>
  </r>
  <r>
    <x v="30"/>
    <x v="0"/>
    <x v="272"/>
    <x v="0"/>
    <x v="0"/>
    <x v="0"/>
    <x v="14"/>
    <x v="2"/>
    <n v="0"/>
    <x v="1"/>
  </r>
  <r>
    <x v="30"/>
    <x v="0"/>
    <x v="272"/>
    <x v="0"/>
    <x v="0"/>
    <x v="0"/>
    <x v="14"/>
    <x v="3"/>
    <n v="0"/>
    <x v="1"/>
  </r>
  <r>
    <x v="30"/>
    <x v="0"/>
    <x v="272"/>
    <x v="0"/>
    <x v="0"/>
    <x v="0"/>
    <x v="14"/>
    <x v="4"/>
    <n v="0"/>
    <x v="1"/>
  </r>
  <r>
    <x v="30"/>
    <x v="0"/>
    <x v="272"/>
    <x v="0"/>
    <x v="0"/>
    <x v="0"/>
    <x v="14"/>
    <x v="5"/>
    <n v="0"/>
    <x v="1"/>
  </r>
  <r>
    <x v="30"/>
    <x v="0"/>
    <x v="272"/>
    <x v="0"/>
    <x v="0"/>
    <x v="0"/>
    <x v="14"/>
    <x v="6"/>
    <n v="0"/>
    <x v="1"/>
  </r>
  <r>
    <x v="30"/>
    <x v="0"/>
    <x v="272"/>
    <x v="0"/>
    <x v="0"/>
    <x v="0"/>
    <x v="14"/>
    <x v="7"/>
    <n v="0"/>
    <x v="1"/>
  </r>
  <r>
    <x v="30"/>
    <x v="0"/>
    <x v="272"/>
    <x v="0"/>
    <x v="0"/>
    <x v="0"/>
    <x v="14"/>
    <x v="8"/>
    <n v="0"/>
    <x v="1"/>
  </r>
  <r>
    <x v="30"/>
    <x v="0"/>
    <x v="272"/>
    <x v="0"/>
    <x v="0"/>
    <x v="0"/>
    <x v="14"/>
    <x v="9"/>
    <n v="0"/>
    <x v="1"/>
  </r>
  <r>
    <x v="30"/>
    <x v="0"/>
    <x v="272"/>
    <x v="0"/>
    <x v="0"/>
    <x v="0"/>
    <x v="14"/>
    <x v="10"/>
    <n v="0"/>
    <x v="1"/>
  </r>
  <r>
    <x v="30"/>
    <x v="0"/>
    <x v="272"/>
    <x v="0"/>
    <x v="0"/>
    <x v="0"/>
    <x v="14"/>
    <x v="12"/>
    <n v="0"/>
    <x v="1"/>
  </r>
  <r>
    <x v="73"/>
    <x v="0"/>
    <x v="258"/>
    <x v="0"/>
    <x v="0"/>
    <x v="0"/>
    <x v="14"/>
    <x v="0"/>
    <n v="1704.6944662995015"/>
    <x v="1"/>
  </r>
  <r>
    <x v="73"/>
    <x v="0"/>
    <x v="258"/>
    <x v="0"/>
    <x v="0"/>
    <x v="0"/>
    <x v="14"/>
    <x v="1"/>
    <n v="0"/>
    <x v="1"/>
  </r>
  <r>
    <x v="73"/>
    <x v="0"/>
    <x v="258"/>
    <x v="0"/>
    <x v="0"/>
    <x v="0"/>
    <x v="14"/>
    <x v="2"/>
    <n v="0"/>
    <x v="1"/>
  </r>
  <r>
    <x v="73"/>
    <x v="0"/>
    <x v="258"/>
    <x v="0"/>
    <x v="0"/>
    <x v="0"/>
    <x v="14"/>
    <x v="3"/>
    <n v="0"/>
    <x v="1"/>
  </r>
  <r>
    <x v="73"/>
    <x v="0"/>
    <x v="258"/>
    <x v="0"/>
    <x v="0"/>
    <x v="0"/>
    <x v="14"/>
    <x v="4"/>
    <n v="0"/>
    <x v="1"/>
  </r>
  <r>
    <x v="73"/>
    <x v="0"/>
    <x v="258"/>
    <x v="0"/>
    <x v="0"/>
    <x v="0"/>
    <x v="14"/>
    <x v="5"/>
    <n v="0"/>
    <x v="1"/>
  </r>
  <r>
    <x v="73"/>
    <x v="0"/>
    <x v="258"/>
    <x v="0"/>
    <x v="0"/>
    <x v="0"/>
    <x v="14"/>
    <x v="6"/>
    <n v="0"/>
    <x v="1"/>
  </r>
  <r>
    <x v="73"/>
    <x v="0"/>
    <x v="258"/>
    <x v="0"/>
    <x v="0"/>
    <x v="0"/>
    <x v="14"/>
    <x v="7"/>
    <n v="0"/>
    <x v="1"/>
  </r>
  <r>
    <x v="73"/>
    <x v="0"/>
    <x v="258"/>
    <x v="0"/>
    <x v="0"/>
    <x v="0"/>
    <x v="14"/>
    <x v="8"/>
    <n v="0"/>
    <x v="1"/>
  </r>
  <r>
    <x v="73"/>
    <x v="0"/>
    <x v="258"/>
    <x v="0"/>
    <x v="0"/>
    <x v="0"/>
    <x v="14"/>
    <x v="9"/>
    <n v="0"/>
    <x v="1"/>
  </r>
  <r>
    <x v="73"/>
    <x v="0"/>
    <x v="258"/>
    <x v="0"/>
    <x v="0"/>
    <x v="0"/>
    <x v="14"/>
    <x v="10"/>
    <n v="0"/>
    <x v="1"/>
  </r>
  <r>
    <x v="73"/>
    <x v="0"/>
    <x v="258"/>
    <x v="0"/>
    <x v="0"/>
    <x v="0"/>
    <x v="14"/>
    <x v="12"/>
    <n v="0"/>
    <x v="1"/>
  </r>
  <r>
    <x v="85"/>
    <x v="0"/>
    <x v="273"/>
    <x v="0"/>
    <x v="0"/>
    <x v="0"/>
    <x v="14"/>
    <x v="0"/>
    <n v="472.06923682140047"/>
    <x v="1"/>
  </r>
  <r>
    <x v="85"/>
    <x v="0"/>
    <x v="273"/>
    <x v="0"/>
    <x v="0"/>
    <x v="0"/>
    <x v="14"/>
    <x v="1"/>
    <n v="474.1"/>
    <x v="1"/>
  </r>
  <r>
    <x v="85"/>
    <x v="0"/>
    <x v="273"/>
    <x v="0"/>
    <x v="0"/>
    <x v="0"/>
    <x v="14"/>
    <x v="2"/>
    <n v="483.74092985756516"/>
    <x v="1"/>
  </r>
  <r>
    <x v="85"/>
    <x v="0"/>
    <x v="273"/>
    <x v="0"/>
    <x v="0"/>
    <x v="0"/>
    <x v="14"/>
    <x v="3"/>
    <n v="482.06"/>
    <x v="1"/>
  </r>
  <r>
    <x v="85"/>
    <x v="0"/>
    <x v="273"/>
    <x v="0"/>
    <x v="0"/>
    <x v="0"/>
    <x v="14"/>
    <x v="4"/>
    <n v="479.62"/>
    <x v="1"/>
  </r>
  <r>
    <x v="85"/>
    <x v="0"/>
    <x v="273"/>
    <x v="0"/>
    <x v="0"/>
    <x v="0"/>
    <x v="14"/>
    <x v="5"/>
    <n v="0"/>
    <x v="1"/>
  </r>
  <r>
    <x v="85"/>
    <x v="0"/>
    <x v="273"/>
    <x v="0"/>
    <x v="0"/>
    <x v="0"/>
    <x v="14"/>
    <x v="6"/>
    <n v="0"/>
    <x v="1"/>
  </r>
  <r>
    <x v="85"/>
    <x v="0"/>
    <x v="273"/>
    <x v="0"/>
    <x v="0"/>
    <x v="0"/>
    <x v="14"/>
    <x v="7"/>
    <n v="0"/>
    <x v="1"/>
  </r>
  <r>
    <x v="85"/>
    <x v="0"/>
    <x v="273"/>
    <x v="0"/>
    <x v="0"/>
    <x v="0"/>
    <x v="14"/>
    <x v="8"/>
    <n v="0"/>
    <x v="1"/>
  </r>
  <r>
    <x v="85"/>
    <x v="0"/>
    <x v="273"/>
    <x v="0"/>
    <x v="0"/>
    <x v="0"/>
    <x v="14"/>
    <x v="9"/>
    <n v="0"/>
    <x v="1"/>
  </r>
  <r>
    <x v="85"/>
    <x v="0"/>
    <x v="273"/>
    <x v="0"/>
    <x v="0"/>
    <x v="0"/>
    <x v="14"/>
    <x v="10"/>
    <n v="0"/>
    <x v="1"/>
  </r>
  <r>
    <x v="85"/>
    <x v="0"/>
    <x v="273"/>
    <x v="0"/>
    <x v="0"/>
    <x v="0"/>
    <x v="14"/>
    <x v="12"/>
    <n v="0"/>
    <x v="1"/>
  </r>
  <r>
    <x v="72"/>
    <x v="0"/>
    <x v="257"/>
    <x v="0"/>
    <x v="0"/>
    <x v="0"/>
    <x v="14"/>
    <x v="0"/>
    <n v="1180.17"/>
    <x v="1"/>
  </r>
  <r>
    <x v="72"/>
    <x v="0"/>
    <x v="257"/>
    <x v="0"/>
    <x v="0"/>
    <x v="0"/>
    <x v="14"/>
    <x v="1"/>
    <n v="0"/>
    <x v="1"/>
  </r>
  <r>
    <x v="72"/>
    <x v="0"/>
    <x v="257"/>
    <x v="0"/>
    <x v="0"/>
    <x v="0"/>
    <x v="14"/>
    <x v="2"/>
    <n v="0"/>
    <x v="1"/>
  </r>
  <r>
    <x v="72"/>
    <x v="0"/>
    <x v="257"/>
    <x v="0"/>
    <x v="0"/>
    <x v="0"/>
    <x v="14"/>
    <x v="3"/>
    <n v="0"/>
    <x v="1"/>
  </r>
  <r>
    <x v="72"/>
    <x v="0"/>
    <x v="257"/>
    <x v="0"/>
    <x v="0"/>
    <x v="0"/>
    <x v="14"/>
    <x v="4"/>
    <n v="0"/>
    <x v="1"/>
  </r>
  <r>
    <x v="72"/>
    <x v="0"/>
    <x v="257"/>
    <x v="0"/>
    <x v="0"/>
    <x v="0"/>
    <x v="14"/>
    <x v="5"/>
    <n v="0"/>
    <x v="1"/>
  </r>
  <r>
    <x v="72"/>
    <x v="0"/>
    <x v="257"/>
    <x v="0"/>
    <x v="0"/>
    <x v="0"/>
    <x v="14"/>
    <x v="6"/>
    <n v="0"/>
    <x v="1"/>
  </r>
  <r>
    <x v="72"/>
    <x v="0"/>
    <x v="257"/>
    <x v="0"/>
    <x v="0"/>
    <x v="0"/>
    <x v="14"/>
    <x v="7"/>
    <n v="0"/>
    <x v="1"/>
  </r>
  <r>
    <x v="72"/>
    <x v="0"/>
    <x v="257"/>
    <x v="0"/>
    <x v="0"/>
    <x v="0"/>
    <x v="14"/>
    <x v="8"/>
    <n v="0"/>
    <x v="1"/>
  </r>
  <r>
    <x v="72"/>
    <x v="0"/>
    <x v="257"/>
    <x v="0"/>
    <x v="0"/>
    <x v="0"/>
    <x v="14"/>
    <x v="9"/>
    <n v="0"/>
    <x v="1"/>
  </r>
  <r>
    <x v="72"/>
    <x v="0"/>
    <x v="257"/>
    <x v="0"/>
    <x v="0"/>
    <x v="0"/>
    <x v="14"/>
    <x v="10"/>
    <n v="0"/>
    <x v="1"/>
  </r>
  <r>
    <x v="72"/>
    <x v="0"/>
    <x v="257"/>
    <x v="0"/>
    <x v="0"/>
    <x v="0"/>
    <x v="14"/>
    <x v="12"/>
    <n v="0"/>
    <x v="1"/>
  </r>
  <r>
    <x v="30"/>
    <x v="2"/>
    <x v="274"/>
    <x v="0"/>
    <x v="2"/>
    <x v="3"/>
    <x v="5"/>
    <x v="0"/>
    <n v="0"/>
    <x v="1"/>
  </r>
  <r>
    <x v="30"/>
    <x v="2"/>
    <x v="274"/>
    <x v="0"/>
    <x v="2"/>
    <x v="3"/>
    <x v="5"/>
    <x v="1"/>
    <n v="0"/>
    <x v="1"/>
  </r>
  <r>
    <x v="30"/>
    <x v="2"/>
    <x v="274"/>
    <x v="0"/>
    <x v="2"/>
    <x v="3"/>
    <x v="5"/>
    <x v="2"/>
    <n v="0"/>
    <x v="1"/>
  </r>
  <r>
    <x v="30"/>
    <x v="2"/>
    <x v="274"/>
    <x v="0"/>
    <x v="2"/>
    <x v="3"/>
    <x v="5"/>
    <x v="3"/>
    <n v="1836"/>
    <x v="1"/>
  </r>
  <r>
    <x v="30"/>
    <x v="2"/>
    <x v="274"/>
    <x v="0"/>
    <x v="2"/>
    <x v="3"/>
    <x v="5"/>
    <x v="4"/>
    <n v="0"/>
    <x v="1"/>
  </r>
  <r>
    <x v="30"/>
    <x v="2"/>
    <x v="274"/>
    <x v="0"/>
    <x v="2"/>
    <x v="3"/>
    <x v="5"/>
    <x v="5"/>
    <n v="0"/>
    <x v="1"/>
  </r>
  <r>
    <x v="30"/>
    <x v="2"/>
    <x v="274"/>
    <x v="0"/>
    <x v="2"/>
    <x v="3"/>
    <x v="5"/>
    <x v="6"/>
    <n v="0"/>
    <x v="1"/>
  </r>
  <r>
    <x v="30"/>
    <x v="2"/>
    <x v="274"/>
    <x v="0"/>
    <x v="2"/>
    <x v="3"/>
    <x v="5"/>
    <x v="7"/>
    <n v="9909"/>
    <x v="1"/>
  </r>
  <r>
    <x v="30"/>
    <x v="2"/>
    <x v="274"/>
    <x v="0"/>
    <x v="2"/>
    <x v="3"/>
    <x v="5"/>
    <x v="8"/>
    <n v="0"/>
    <x v="1"/>
  </r>
  <r>
    <x v="30"/>
    <x v="2"/>
    <x v="274"/>
    <x v="0"/>
    <x v="2"/>
    <x v="3"/>
    <x v="5"/>
    <x v="9"/>
    <n v="0"/>
    <x v="1"/>
  </r>
  <r>
    <x v="30"/>
    <x v="2"/>
    <x v="274"/>
    <x v="0"/>
    <x v="2"/>
    <x v="3"/>
    <x v="5"/>
    <x v="10"/>
    <n v="0"/>
    <x v="1"/>
  </r>
  <r>
    <x v="30"/>
    <x v="2"/>
    <x v="274"/>
    <x v="0"/>
    <x v="2"/>
    <x v="3"/>
    <x v="5"/>
    <x v="12"/>
    <n v="0"/>
    <x v="1"/>
  </r>
  <r>
    <x v="30"/>
    <x v="1"/>
    <x v="275"/>
    <x v="0"/>
    <x v="2"/>
    <x v="3"/>
    <x v="14"/>
    <x v="0"/>
    <n v="0"/>
    <x v="1"/>
  </r>
  <r>
    <x v="30"/>
    <x v="1"/>
    <x v="275"/>
    <x v="0"/>
    <x v="2"/>
    <x v="3"/>
    <x v="14"/>
    <x v="1"/>
    <n v="0"/>
    <x v="1"/>
  </r>
  <r>
    <x v="30"/>
    <x v="1"/>
    <x v="275"/>
    <x v="0"/>
    <x v="2"/>
    <x v="3"/>
    <x v="14"/>
    <x v="2"/>
    <n v="0"/>
    <x v="1"/>
  </r>
  <r>
    <x v="30"/>
    <x v="1"/>
    <x v="275"/>
    <x v="0"/>
    <x v="2"/>
    <x v="3"/>
    <x v="14"/>
    <x v="3"/>
    <n v="0"/>
    <x v="1"/>
  </r>
  <r>
    <x v="30"/>
    <x v="1"/>
    <x v="275"/>
    <x v="0"/>
    <x v="2"/>
    <x v="3"/>
    <x v="14"/>
    <x v="4"/>
    <n v="0"/>
    <x v="1"/>
  </r>
  <r>
    <x v="30"/>
    <x v="1"/>
    <x v="275"/>
    <x v="0"/>
    <x v="2"/>
    <x v="3"/>
    <x v="14"/>
    <x v="5"/>
    <n v="0"/>
    <x v="1"/>
  </r>
  <r>
    <x v="30"/>
    <x v="1"/>
    <x v="275"/>
    <x v="0"/>
    <x v="2"/>
    <x v="3"/>
    <x v="14"/>
    <x v="6"/>
    <n v="0"/>
    <x v="1"/>
  </r>
  <r>
    <x v="30"/>
    <x v="1"/>
    <x v="275"/>
    <x v="0"/>
    <x v="2"/>
    <x v="3"/>
    <x v="14"/>
    <x v="7"/>
    <n v="838.3"/>
    <x v="1"/>
  </r>
  <r>
    <x v="30"/>
    <x v="1"/>
    <x v="275"/>
    <x v="0"/>
    <x v="2"/>
    <x v="3"/>
    <x v="14"/>
    <x v="8"/>
    <n v="848"/>
    <x v="1"/>
  </r>
  <r>
    <x v="30"/>
    <x v="1"/>
    <x v="275"/>
    <x v="0"/>
    <x v="2"/>
    <x v="3"/>
    <x v="14"/>
    <x v="9"/>
    <n v="848"/>
    <x v="1"/>
  </r>
  <r>
    <x v="30"/>
    <x v="1"/>
    <x v="275"/>
    <x v="0"/>
    <x v="2"/>
    <x v="3"/>
    <x v="14"/>
    <x v="10"/>
    <n v="848"/>
    <x v="1"/>
  </r>
  <r>
    <x v="30"/>
    <x v="1"/>
    <x v="275"/>
    <x v="0"/>
    <x v="2"/>
    <x v="3"/>
    <x v="14"/>
    <x v="12"/>
    <n v="848"/>
    <x v="1"/>
  </r>
  <r>
    <x v="70"/>
    <x v="1"/>
    <x v="254"/>
    <x v="0"/>
    <x v="2"/>
    <x v="3"/>
    <x v="15"/>
    <x v="0"/>
    <n v="0"/>
    <x v="1"/>
  </r>
  <r>
    <x v="70"/>
    <x v="1"/>
    <x v="254"/>
    <x v="0"/>
    <x v="2"/>
    <x v="3"/>
    <x v="15"/>
    <x v="1"/>
    <n v="0"/>
    <x v="1"/>
  </r>
  <r>
    <x v="70"/>
    <x v="1"/>
    <x v="254"/>
    <x v="0"/>
    <x v="2"/>
    <x v="3"/>
    <x v="15"/>
    <x v="2"/>
    <n v="0"/>
    <x v="1"/>
  </r>
  <r>
    <x v="70"/>
    <x v="1"/>
    <x v="254"/>
    <x v="0"/>
    <x v="2"/>
    <x v="3"/>
    <x v="15"/>
    <x v="3"/>
    <n v="0"/>
    <x v="1"/>
  </r>
  <r>
    <x v="70"/>
    <x v="1"/>
    <x v="254"/>
    <x v="0"/>
    <x v="2"/>
    <x v="3"/>
    <x v="15"/>
    <x v="4"/>
    <n v="0"/>
    <x v="1"/>
  </r>
  <r>
    <x v="70"/>
    <x v="1"/>
    <x v="254"/>
    <x v="0"/>
    <x v="2"/>
    <x v="3"/>
    <x v="15"/>
    <x v="5"/>
    <n v="654.96"/>
    <x v="1"/>
  </r>
  <r>
    <x v="70"/>
    <x v="1"/>
    <x v="254"/>
    <x v="0"/>
    <x v="2"/>
    <x v="3"/>
    <x v="15"/>
    <x v="6"/>
    <n v="0"/>
    <x v="1"/>
  </r>
  <r>
    <x v="70"/>
    <x v="1"/>
    <x v="254"/>
    <x v="0"/>
    <x v="2"/>
    <x v="3"/>
    <x v="15"/>
    <x v="7"/>
    <n v="0"/>
    <x v="1"/>
  </r>
  <r>
    <x v="70"/>
    <x v="1"/>
    <x v="254"/>
    <x v="0"/>
    <x v="2"/>
    <x v="3"/>
    <x v="15"/>
    <x v="8"/>
    <n v="0"/>
    <x v="1"/>
  </r>
  <r>
    <x v="70"/>
    <x v="1"/>
    <x v="254"/>
    <x v="0"/>
    <x v="2"/>
    <x v="3"/>
    <x v="15"/>
    <x v="9"/>
    <n v="0"/>
    <x v="1"/>
  </r>
  <r>
    <x v="70"/>
    <x v="1"/>
    <x v="254"/>
    <x v="0"/>
    <x v="2"/>
    <x v="3"/>
    <x v="15"/>
    <x v="10"/>
    <n v="0"/>
    <x v="1"/>
  </r>
  <r>
    <x v="70"/>
    <x v="1"/>
    <x v="254"/>
    <x v="0"/>
    <x v="2"/>
    <x v="3"/>
    <x v="15"/>
    <x v="12"/>
    <n v="0"/>
    <x v="1"/>
  </r>
  <r>
    <x v="86"/>
    <x v="0"/>
    <x v="276"/>
    <x v="0"/>
    <x v="0"/>
    <x v="0"/>
    <x v="14"/>
    <x v="0"/>
    <n v="0"/>
    <x v="1"/>
  </r>
  <r>
    <x v="86"/>
    <x v="0"/>
    <x v="276"/>
    <x v="0"/>
    <x v="0"/>
    <x v="0"/>
    <x v="14"/>
    <x v="1"/>
    <n v="0"/>
    <x v="1"/>
  </r>
  <r>
    <x v="86"/>
    <x v="0"/>
    <x v="276"/>
    <x v="0"/>
    <x v="0"/>
    <x v="0"/>
    <x v="14"/>
    <x v="2"/>
    <n v="0"/>
    <x v="1"/>
  </r>
  <r>
    <x v="86"/>
    <x v="0"/>
    <x v="276"/>
    <x v="0"/>
    <x v="0"/>
    <x v="0"/>
    <x v="14"/>
    <x v="3"/>
    <n v="0"/>
    <x v="1"/>
  </r>
  <r>
    <x v="86"/>
    <x v="0"/>
    <x v="276"/>
    <x v="0"/>
    <x v="0"/>
    <x v="0"/>
    <x v="14"/>
    <x v="4"/>
    <n v="0"/>
    <x v="1"/>
  </r>
  <r>
    <x v="86"/>
    <x v="0"/>
    <x v="276"/>
    <x v="0"/>
    <x v="0"/>
    <x v="0"/>
    <x v="14"/>
    <x v="5"/>
    <n v="196.49"/>
    <x v="1"/>
  </r>
  <r>
    <x v="86"/>
    <x v="0"/>
    <x v="276"/>
    <x v="0"/>
    <x v="0"/>
    <x v="0"/>
    <x v="14"/>
    <x v="6"/>
    <n v="481"/>
    <x v="1"/>
  </r>
  <r>
    <x v="86"/>
    <x v="0"/>
    <x v="276"/>
    <x v="0"/>
    <x v="0"/>
    <x v="0"/>
    <x v="14"/>
    <x v="7"/>
    <n v="471.57"/>
    <x v="1"/>
  </r>
  <r>
    <x v="86"/>
    <x v="0"/>
    <x v="276"/>
    <x v="0"/>
    <x v="0"/>
    <x v="0"/>
    <x v="14"/>
    <x v="8"/>
    <n v="477"/>
    <x v="1"/>
  </r>
  <r>
    <x v="86"/>
    <x v="0"/>
    <x v="276"/>
    <x v="0"/>
    <x v="0"/>
    <x v="0"/>
    <x v="14"/>
    <x v="9"/>
    <n v="471.57"/>
    <x v="1"/>
  </r>
  <r>
    <x v="86"/>
    <x v="0"/>
    <x v="276"/>
    <x v="0"/>
    <x v="0"/>
    <x v="0"/>
    <x v="14"/>
    <x v="10"/>
    <n v="471.57"/>
    <x v="1"/>
  </r>
  <r>
    <x v="86"/>
    <x v="0"/>
    <x v="276"/>
    <x v="0"/>
    <x v="0"/>
    <x v="0"/>
    <x v="14"/>
    <x v="12"/>
    <n v="471.57"/>
    <x v="1"/>
  </r>
  <r>
    <x v="30"/>
    <x v="1"/>
    <x v="277"/>
    <x v="0"/>
    <x v="2"/>
    <x v="3"/>
    <x v="14"/>
    <x v="0"/>
    <n v="0"/>
    <x v="1"/>
  </r>
  <r>
    <x v="30"/>
    <x v="1"/>
    <x v="277"/>
    <x v="0"/>
    <x v="2"/>
    <x v="3"/>
    <x v="14"/>
    <x v="1"/>
    <n v="0"/>
    <x v="1"/>
  </r>
  <r>
    <x v="30"/>
    <x v="1"/>
    <x v="277"/>
    <x v="0"/>
    <x v="2"/>
    <x v="3"/>
    <x v="14"/>
    <x v="2"/>
    <n v="604.67616232195644"/>
    <x v="1"/>
  </r>
  <r>
    <x v="30"/>
    <x v="1"/>
    <x v="277"/>
    <x v="0"/>
    <x v="2"/>
    <x v="3"/>
    <x v="14"/>
    <x v="3"/>
    <n v="0"/>
    <x v="1"/>
  </r>
  <r>
    <x v="30"/>
    <x v="1"/>
    <x v="277"/>
    <x v="0"/>
    <x v="2"/>
    <x v="3"/>
    <x v="14"/>
    <x v="4"/>
    <n v="0"/>
    <x v="1"/>
  </r>
  <r>
    <x v="30"/>
    <x v="1"/>
    <x v="277"/>
    <x v="0"/>
    <x v="2"/>
    <x v="3"/>
    <x v="14"/>
    <x v="5"/>
    <n v="0"/>
    <x v="1"/>
  </r>
  <r>
    <x v="30"/>
    <x v="1"/>
    <x v="277"/>
    <x v="0"/>
    <x v="2"/>
    <x v="3"/>
    <x v="14"/>
    <x v="6"/>
    <n v="0"/>
    <x v="1"/>
  </r>
  <r>
    <x v="30"/>
    <x v="1"/>
    <x v="277"/>
    <x v="0"/>
    <x v="2"/>
    <x v="3"/>
    <x v="14"/>
    <x v="7"/>
    <n v="0"/>
    <x v="1"/>
  </r>
  <r>
    <x v="30"/>
    <x v="1"/>
    <x v="277"/>
    <x v="0"/>
    <x v="2"/>
    <x v="3"/>
    <x v="14"/>
    <x v="8"/>
    <n v="0"/>
    <x v="1"/>
  </r>
  <r>
    <x v="30"/>
    <x v="1"/>
    <x v="277"/>
    <x v="0"/>
    <x v="2"/>
    <x v="3"/>
    <x v="14"/>
    <x v="9"/>
    <n v="0"/>
    <x v="1"/>
  </r>
  <r>
    <x v="30"/>
    <x v="1"/>
    <x v="277"/>
    <x v="0"/>
    <x v="2"/>
    <x v="3"/>
    <x v="14"/>
    <x v="10"/>
    <n v="0"/>
    <x v="1"/>
  </r>
  <r>
    <x v="30"/>
    <x v="1"/>
    <x v="277"/>
    <x v="0"/>
    <x v="2"/>
    <x v="3"/>
    <x v="14"/>
    <x v="12"/>
    <n v="0"/>
    <x v="1"/>
  </r>
  <r>
    <x v="30"/>
    <x v="2"/>
    <x v="278"/>
    <x v="0"/>
    <x v="2"/>
    <x v="3"/>
    <x v="16"/>
    <x v="0"/>
    <n v="0"/>
    <x v="1"/>
  </r>
  <r>
    <x v="30"/>
    <x v="2"/>
    <x v="278"/>
    <x v="0"/>
    <x v="2"/>
    <x v="3"/>
    <x v="16"/>
    <x v="1"/>
    <n v="0"/>
    <x v="1"/>
  </r>
  <r>
    <x v="30"/>
    <x v="2"/>
    <x v="278"/>
    <x v="0"/>
    <x v="2"/>
    <x v="3"/>
    <x v="16"/>
    <x v="2"/>
    <n v="0"/>
    <x v="1"/>
  </r>
  <r>
    <x v="30"/>
    <x v="2"/>
    <x v="278"/>
    <x v="0"/>
    <x v="2"/>
    <x v="3"/>
    <x v="16"/>
    <x v="3"/>
    <n v="0"/>
    <x v="1"/>
  </r>
  <r>
    <x v="30"/>
    <x v="2"/>
    <x v="278"/>
    <x v="0"/>
    <x v="2"/>
    <x v="3"/>
    <x v="16"/>
    <x v="4"/>
    <n v="0"/>
    <x v="1"/>
  </r>
  <r>
    <x v="30"/>
    <x v="2"/>
    <x v="278"/>
    <x v="0"/>
    <x v="2"/>
    <x v="3"/>
    <x v="16"/>
    <x v="5"/>
    <n v="0"/>
    <x v="1"/>
  </r>
  <r>
    <x v="30"/>
    <x v="2"/>
    <x v="278"/>
    <x v="0"/>
    <x v="2"/>
    <x v="3"/>
    <x v="16"/>
    <x v="6"/>
    <n v="3550"/>
    <x v="1"/>
  </r>
  <r>
    <x v="30"/>
    <x v="2"/>
    <x v="278"/>
    <x v="0"/>
    <x v="2"/>
    <x v="3"/>
    <x v="16"/>
    <x v="7"/>
    <n v="0"/>
    <x v="1"/>
  </r>
  <r>
    <x v="30"/>
    <x v="2"/>
    <x v="278"/>
    <x v="0"/>
    <x v="2"/>
    <x v="3"/>
    <x v="16"/>
    <x v="8"/>
    <n v="0"/>
    <x v="1"/>
  </r>
  <r>
    <x v="30"/>
    <x v="2"/>
    <x v="278"/>
    <x v="0"/>
    <x v="2"/>
    <x v="3"/>
    <x v="16"/>
    <x v="9"/>
    <n v="0"/>
    <x v="1"/>
  </r>
  <r>
    <x v="30"/>
    <x v="2"/>
    <x v="278"/>
    <x v="0"/>
    <x v="2"/>
    <x v="3"/>
    <x v="16"/>
    <x v="10"/>
    <n v="0"/>
    <x v="1"/>
  </r>
  <r>
    <x v="30"/>
    <x v="2"/>
    <x v="278"/>
    <x v="0"/>
    <x v="2"/>
    <x v="3"/>
    <x v="16"/>
    <x v="12"/>
    <n v="0"/>
    <x v="1"/>
  </r>
  <r>
    <x v="30"/>
    <x v="1"/>
    <x v="279"/>
    <x v="0"/>
    <x v="2"/>
    <x v="3"/>
    <x v="14"/>
    <x v="0"/>
    <n v="0"/>
    <x v="1"/>
  </r>
  <r>
    <x v="30"/>
    <x v="1"/>
    <x v="279"/>
    <x v="0"/>
    <x v="2"/>
    <x v="3"/>
    <x v="14"/>
    <x v="1"/>
    <n v="0"/>
    <x v="1"/>
  </r>
  <r>
    <x v="30"/>
    <x v="1"/>
    <x v="279"/>
    <x v="0"/>
    <x v="2"/>
    <x v="3"/>
    <x v="14"/>
    <x v="2"/>
    <n v="0"/>
    <x v="1"/>
  </r>
  <r>
    <x v="30"/>
    <x v="1"/>
    <x v="279"/>
    <x v="0"/>
    <x v="2"/>
    <x v="3"/>
    <x v="14"/>
    <x v="3"/>
    <n v="0"/>
    <x v="1"/>
  </r>
  <r>
    <x v="30"/>
    <x v="1"/>
    <x v="279"/>
    <x v="0"/>
    <x v="2"/>
    <x v="3"/>
    <x v="14"/>
    <x v="4"/>
    <n v="0"/>
    <x v="1"/>
  </r>
  <r>
    <x v="30"/>
    <x v="1"/>
    <x v="279"/>
    <x v="0"/>
    <x v="2"/>
    <x v="3"/>
    <x v="14"/>
    <x v="5"/>
    <n v="0"/>
    <x v="1"/>
  </r>
  <r>
    <x v="30"/>
    <x v="1"/>
    <x v="279"/>
    <x v="0"/>
    <x v="2"/>
    <x v="3"/>
    <x v="14"/>
    <x v="6"/>
    <n v="94"/>
    <x v="1"/>
  </r>
  <r>
    <x v="30"/>
    <x v="1"/>
    <x v="279"/>
    <x v="0"/>
    <x v="2"/>
    <x v="3"/>
    <x v="14"/>
    <x v="7"/>
    <n v="0"/>
    <x v="1"/>
  </r>
  <r>
    <x v="30"/>
    <x v="1"/>
    <x v="279"/>
    <x v="0"/>
    <x v="2"/>
    <x v="3"/>
    <x v="14"/>
    <x v="8"/>
    <n v="93"/>
    <x v="1"/>
  </r>
  <r>
    <x v="30"/>
    <x v="1"/>
    <x v="279"/>
    <x v="0"/>
    <x v="2"/>
    <x v="3"/>
    <x v="14"/>
    <x v="9"/>
    <n v="0"/>
    <x v="1"/>
  </r>
  <r>
    <x v="30"/>
    <x v="1"/>
    <x v="279"/>
    <x v="0"/>
    <x v="2"/>
    <x v="3"/>
    <x v="14"/>
    <x v="10"/>
    <n v="0"/>
    <x v="1"/>
  </r>
  <r>
    <x v="30"/>
    <x v="1"/>
    <x v="279"/>
    <x v="0"/>
    <x v="2"/>
    <x v="3"/>
    <x v="14"/>
    <x v="12"/>
    <n v="0"/>
    <x v="1"/>
  </r>
  <r>
    <x v="30"/>
    <x v="0"/>
    <x v="280"/>
    <x v="0"/>
    <x v="0"/>
    <x v="2"/>
    <x v="14"/>
    <x v="0"/>
    <n v="0"/>
    <x v="1"/>
  </r>
  <r>
    <x v="30"/>
    <x v="0"/>
    <x v="280"/>
    <x v="0"/>
    <x v="0"/>
    <x v="2"/>
    <x v="14"/>
    <x v="1"/>
    <n v="0"/>
    <x v="1"/>
  </r>
  <r>
    <x v="30"/>
    <x v="0"/>
    <x v="280"/>
    <x v="0"/>
    <x v="0"/>
    <x v="2"/>
    <x v="14"/>
    <x v="2"/>
    <n v="2418.7046492878258"/>
    <x v="1"/>
  </r>
  <r>
    <x v="30"/>
    <x v="0"/>
    <x v="280"/>
    <x v="0"/>
    <x v="0"/>
    <x v="2"/>
    <x v="14"/>
    <x v="3"/>
    <n v="0"/>
    <x v="1"/>
  </r>
  <r>
    <x v="30"/>
    <x v="0"/>
    <x v="280"/>
    <x v="0"/>
    <x v="0"/>
    <x v="2"/>
    <x v="14"/>
    <x v="4"/>
    <n v="0"/>
    <x v="1"/>
  </r>
  <r>
    <x v="30"/>
    <x v="0"/>
    <x v="280"/>
    <x v="0"/>
    <x v="0"/>
    <x v="2"/>
    <x v="14"/>
    <x v="5"/>
    <n v="0"/>
    <x v="1"/>
  </r>
  <r>
    <x v="30"/>
    <x v="0"/>
    <x v="280"/>
    <x v="0"/>
    <x v="0"/>
    <x v="2"/>
    <x v="14"/>
    <x v="6"/>
    <n v="0"/>
    <x v="1"/>
  </r>
  <r>
    <x v="30"/>
    <x v="0"/>
    <x v="280"/>
    <x v="0"/>
    <x v="0"/>
    <x v="2"/>
    <x v="14"/>
    <x v="7"/>
    <n v="0"/>
    <x v="1"/>
  </r>
  <r>
    <x v="30"/>
    <x v="0"/>
    <x v="280"/>
    <x v="0"/>
    <x v="0"/>
    <x v="2"/>
    <x v="14"/>
    <x v="8"/>
    <n v="0"/>
    <x v="1"/>
  </r>
  <r>
    <x v="30"/>
    <x v="0"/>
    <x v="280"/>
    <x v="0"/>
    <x v="0"/>
    <x v="2"/>
    <x v="14"/>
    <x v="9"/>
    <n v="0"/>
    <x v="1"/>
  </r>
  <r>
    <x v="30"/>
    <x v="0"/>
    <x v="280"/>
    <x v="0"/>
    <x v="0"/>
    <x v="2"/>
    <x v="14"/>
    <x v="10"/>
    <n v="0"/>
    <x v="1"/>
  </r>
  <r>
    <x v="30"/>
    <x v="0"/>
    <x v="280"/>
    <x v="0"/>
    <x v="0"/>
    <x v="2"/>
    <x v="14"/>
    <x v="12"/>
    <n v="0"/>
    <x v="1"/>
  </r>
  <r>
    <x v="30"/>
    <x v="0"/>
    <x v="281"/>
    <x v="2"/>
    <x v="2"/>
    <x v="3"/>
    <x v="14"/>
    <x v="0"/>
    <n v="1117.0858221872541"/>
    <x v="1"/>
  </r>
  <r>
    <x v="30"/>
    <x v="0"/>
    <x v="281"/>
    <x v="2"/>
    <x v="2"/>
    <x v="3"/>
    <x v="14"/>
    <x v="1"/>
    <n v="0"/>
    <x v="1"/>
  </r>
  <r>
    <x v="30"/>
    <x v="0"/>
    <x v="281"/>
    <x v="2"/>
    <x v="2"/>
    <x v="3"/>
    <x v="14"/>
    <x v="2"/>
    <n v="2110.5574200483743"/>
    <x v="1"/>
  </r>
  <r>
    <x v="30"/>
    <x v="0"/>
    <x v="281"/>
    <x v="2"/>
    <x v="2"/>
    <x v="3"/>
    <x v="14"/>
    <x v="3"/>
    <n v="1120"/>
    <x v="1"/>
  </r>
  <r>
    <x v="30"/>
    <x v="0"/>
    <x v="281"/>
    <x v="2"/>
    <x v="2"/>
    <x v="3"/>
    <x v="14"/>
    <x v="4"/>
    <n v="1119"/>
    <x v="1"/>
  </r>
  <r>
    <x v="30"/>
    <x v="0"/>
    <x v="281"/>
    <x v="2"/>
    <x v="2"/>
    <x v="3"/>
    <x v="14"/>
    <x v="5"/>
    <n v="1118"/>
    <x v="1"/>
  </r>
  <r>
    <x v="30"/>
    <x v="0"/>
    <x v="281"/>
    <x v="2"/>
    <x v="2"/>
    <x v="3"/>
    <x v="14"/>
    <x v="6"/>
    <n v="1124"/>
    <x v="1"/>
  </r>
  <r>
    <x v="30"/>
    <x v="0"/>
    <x v="281"/>
    <x v="2"/>
    <x v="2"/>
    <x v="3"/>
    <x v="14"/>
    <x v="7"/>
    <n v="1119"/>
    <x v="1"/>
  </r>
  <r>
    <x v="30"/>
    <x v="0"/>
    <x v="281"/>
    <x v="2"/>
    <x v="2"/>
    <x v="3"/>
    <x v="14"/>
    <x v="8"/>
    <n v="1120"/>
    <x v="1"/>
  </r>
  <r>
    <x v="30"/>
    <x v="0"/>
    <x v="281"/>
    <x v="2"/>
    <x v="2"/>
    <x v="3"/>
    <x v="14"/>
    <x v="9"/>
    <n v="1120"/>
    <x v="1"/>
  </r>
  <r>
    <x v="30"/>
    <x v="0"/>
    <x v="281"/>
    <x v="2"/>
    <x v="2"/>
    <x v="3"/>
    <x v="14"/>
    <x v="10"/>
    <n v="1120"/>
    <x v="1"/>
  </r>
  <r>
    <x v="30"/>
    <x v="0"/>
    <x v="281"/>
    <x v="2"/>
    <x v="2"/>
    <x v="3"/>
    <x v="14"/>
    <x v="12"/>
    <n v="1120"/>
    <x v="1"/>
  </r>
  <r>
    <x v="30"/>
    <x v="0"/>
    <x v="282"/>
    <x v="2"/>
    <x v="2"/>
    <x v="3"/>
    <x v="14"/>
    <x v="0"/>
    <n v="650"/>
    <x v="1"/>
  </r>
  <r>
    <x v="30"/>
    <x v="0"/>
    <x v="282"/>
    <x v="2"/>
    <x v="2"/>
    <x v="3"/>
    <x v="14"/>
    <x v="1"/>
    <n v="0"/>
    <x v="1"/>
  </r>
  <r>
    <x v="30"/>
    <x v="0"/>
    <x v="282"/>
    <x v="2"/>
    <x v="2"/>
    <x v="3"/>
    <x v="14"/>
    <x v="2"/>
    <n v="1300"/>
    <x v="1"/>
  </r>
  <r>
    <x v="30"/>
    <x v="0"/>
    <x v="282"/>
    <x v="2"/>
    <x v="2"/>
    <x v="3"/>
    <x v="14"/>
    <x v="3"/>
    <n v="1300"/>
    <x v="1"/>
  </r>
  <r>
    <x v="30"/>
    <x v="0"/>
    <x v="282"/>
    <x v="2"/>
    <x v="2"/>
    <x v="3"/>
    <x v="14"/>
    <x v="4"/>
    <n v="650"/>
    <x v="1"/>
  </r>
  <r>
    <x v="30"/>
    <x v="0"/>
    <x v="282"/>
    <x v="2"/>
    <x v="2"/>
    <x v="3"/>
    <x v="14"/>
    <x v="5"/>
    <n v="650"/>
    <x v="1"/>
  </r>
  <r>
    <x v="30"/>
    <x v="0"/>
    <x v="282"/>
    <x v="2"/>
    <x v="2"/>
    <x v="3"/>
    <x v="14"/>
    <x v="6"/>
    <n v="650"/>
    <x v="1"/>
  </r>
  <r>
    <x v="30"/>
    <x v="0"/>
    <x v="282"/>
    <x v="2"/>
    <x v="2"/>
    <x v="3"/>
    <x v="14"/>
    <x v="7"/>
    <n v="650"/>
    <x v="1"/>
  </r>
  <r>
    <x v="30"/>
    <x v="0"/>
    <x v="282"/>
    <x v="2"/>
    <x v="2"/>
    <x v="3"/>
    <x v="14"/>
    <x v="8"/>
    <n v="650"/>
    <x v="1"/>
  </r>
  <r>
    <x v="30"/>
    <x v="0"/>
    <x v="282"/>
    <x v="2"/>
    <x v="2"/>
    <x v="3"/>
    <x v="14"/>
    <x v="9"/>
    <n v="650"/>
    <x v="1"/>
  </r>
  <r>
    <x v="30"/>
    <x v="0"/>
    <x v="282"/>
    <x v="2"/>
    <x v="2"/>
    <x v="3"/>
    <x v="14"/>
    <x v="10"/>
    <n v="650"/>
    <x v="1"/>
  </r>
  <r>
    <x v="30"/>
    <x v="0"/>
    <x v="282"/>
    <x v="2"/>
    <x v="2"/>
    <x v="3"/>
    <x v="14"/>
    <x v="12"/>
    <n v="650"/>
    <x v="1"/>
  </r>
  <r>
    <x v="30"/>
    <x v="2"/>
    <x v="283"/>
    <x v="0"/>
    <x v="2"/>
    <x v="3"/>
    <x v="17"/>
    <x v="0"/>
    <n v="954.89116181484394"/>
    <x v="1"/>
  </r>
  <r>
    <x v="30"/>
    <x v="2"/>
    <x v="283"/>
    <x v="0"/>
    <x v="2"/>
    <x v="3"/>
    <x v="17"/>
    <x v="1"/>
    <n v="0"/>
    <x v="1"/>
  </r>
  <r>
    <x v="30"/>
    <x v="2"/>
    <x v="283"/>
    <x v="0"/>
    <x v="2"/>
    <x v="3"/>
    <x v="17"/>
    <x v="2"/>
    <n v="20942.010000000002"/>
    <x v="1"/>
  </r>
  <r>
    <x v="30"/>
    <x v="2"/>
    <x v="283"/>
    <x v="0"/>
    <x v="2"/>
    <x v="3"/>
    <x v="17"/>
    <x v="3"/>
    <n v="2912"/>
    <x v="1"/>
  </r>
  <r>
    <x v="30"/>
    <x v="2"/>
    <x v="283"/>
    <x v="0"/>
    <x v="2"/>
    <x v="3"/>
    <x v="17"/>
    <x v="4"/>
    <n v="0"/>
    <x v="1"/>
  </r>
  <r>
    <x v="30"/>
    <x v="2"/>
    <x v="283"/>
    <x v="0"/>
    <x v="2"/>
    <x v="3"/>
    <x v="17"/>
    <x v="5"/>
    <n v="0"/>
    <x v="1"/>
  </r>
  <r>
    <x v="30"/>
    <x v="2"/>
    <x v="283"/>
    <x v="0"/>
    <x v="2"/>
    <x v="3"/>
    <x v="17"/>
    <x v="6"/>
    <n v="0"/>
    <x v="1"/>
  </r>
  <r>
    <x v="30"/>
    <x v="2"/>
    <x v="283"/>
    <x v="0"/>
    <x v="2"/>
    <x v="3"/>
    <x v="17"/>
    <x v="7"/>
    <n v="36628"/>
    <x v="1"/>
  </r>
  <r>
    <x v="30"/>
    <x v="2"/>
    <x v="283"/>
    <x v="0"/>
    <x v="2"/>
    <x v="3"/>
    <x v="17"/>
    <x v="8"/>
    <n v="4768"/>
    <x v="1"/>
  </r>
  <r>
    <x v="30"/>
    <x v="2"/>
    <x v="283"/>
    <x v="0"/>
    <x v="2"/>
    <x v="3"/>
    <x v="17"/>
    <x v="9"/>
    <n v="0"/>
    <x v="1"/>
  </r>
  <r>
    <x v="30"/>
    <x v="2"/>
    <x v="283"/>
    <x v="0"/>
    <x v="2"/>
    <x v="3"/>
    <x v="17"/>
    <x v="10"/>
    <n v="0"/>
    <x v="1"/>
  </r>
  <r>
    <x v="30"/>
    <x v="2"/>
    <x v="283"/>
    <x v="0"/>
    <x v="2"/>
    <x v="3"/>
    <x v="17"/>
    <x v="12"/>
    <n v="0"/>
    <x v="1"/>
  </r>
  <r>
    <x v="30"/>
    <x v="2"/>
    <x v="284"/>
    <x v="0"/>
    <x v="2"/>
    <x v="3"/>
    <x v="17"/>
    <x v="0"/>
    <n v="7139"/>
    <x v="1"/>
  </r>
  <r>
    <x v="30"/>
    <x v="2"/>
    <x v="284"/>
    <x v="0"/>
    <x v="2"/>
    <x v="3"/>
    <x v="17"/>
    <x v="1"/>
    <n v="0"/>
    <x v="1"/>
  </r>
  <r>
    <x v="30"/>
    <x v="2"/>
    <x v="284"/>
    <x v="0"/>
    <x v="2"/>
    <x v="3"/>
    <x v="17"/>
    <x v="2"/>
    <n v="0"/>
    <x v="1"/>
  </r>
  <r>
    <x v="30"/>
    <x v="2"/>
    <x v="284"/>
    <x v="0"/>
    <x v="2"/>
    <x v="3"/>
    <x v="17"/>
    <x v="3"/>
    <n v="0"/>
    <x v="1"/>
  </r>
  <r>
    <x v="30"/>
    <x v="2"/>
    <x v="284"/>
    <x v="0"/>
    <x v="2"/>
    <x v="3"/>
    <x v="17"/>
    <x v="4"/>
    <n v="0"/>
    <x v="1"/>
  </r>
  <r>
    <x v="30"/>
    <x v="2"/>
    <x v="284"/>
    <x v="0"/>
    <x v="2"/>
    <x v="3"/>
    <x v="17"/>
    <x v="5"/>
    <n v="0"/>
    <x v="1"/>
  </r>
  <r>
    <x v="30"/>
    <x v="2"/>
    <x v="284"/>
    <x v="0"/>
    <x v="2"/>
    <x v="3"/>
    <x v="17"/>
    <x v="6"/>
    <n v="0"/>
    <x v="1"/>
  </r>
  <r>
    <x v="30"/>
    <x v="2"/>
    <x v="284"/>
    <x v="0"/>
    <x v="2"/>
    <x v="3"/>
    <x v="17"/>
    <x v="7"/>
    <n v="0"/>
    <x v="1"/>
  </r>
  <r>
    <x v="30"/>
    <x v="2"/>
    <x v="284"/>
    <x v="0"/>
    <x v="2"/>
    <x v="3"/>
    <x v="17"/>
    <x v="8"/>
    <n v="0"/>
    <x v="1"/>
  </r>
  <r>
    <x v="30"/>
    <x v="2"/>
    <x v="284"/>
    <x v="0"/>
    <x v="2"/>
    <x v="3"/>
    <x v="17"/>
    <x v="9"/>
    <n v="0"/>
    <x v="1"/>
  </r>
  <r>
    <x v="30"/>
    <x v="2"/>
    <x v="284"/>
    <x v="0"/>
    <x v="2"/>
    <x v="3"/>
    <x v="17"/>
    <x v="10"/>
    <n v="0"/>
    <x v="1"/>
  </r>
  <r>
    <x v="30"/>
    <x v="2"/>
    <x v="284"/>
    <x v="0"/>
    <x v="2"/>
    <x v="3"/>
    <x v="17"/>
    <x v="12"/>
    <n v="0"/>
    <x v="1"/>
  </r>
  <r>
    <x v="30"/>
    <x v="1"/>
    <x v="285"/>
    <x v="1"/>
    <x v="4"/>
    <x v="40"/>
    <x v="14"/>
    <x v="0"/>
    <n v="242"/>
    <x v="1"/>
  </r>
  <r>
    <x v="30"/>
    <x v="1"/>
    <x v="285"/>
    <x v="1"/>
    <x v="4"/>
    <x v="40"/>
    <x v="14"/>
    <x v="1"/>
    <n v="0"/>
    <x v="1"/>
  </r>
  <r>
    <x v="30"/>
    <x v="1"/>
    <x v="285"/>
    <x v="1"/>
    <x v="4"/>
    <x v="40"/>
    <x v="14"/>
    <x v="2"/>
    <n v="0"/>
    <x v="1"/>
  </r>
  <r>
    <x v="30"/>
    <x v="1"/>
    <x v="285"/>
    <x v="1"/>
    <x v="4"/>
    <x v="40"/>
    <x v="14"/>
    <x v="3"/>
    <n v="0"/>
    <x v="1"/>
  </r>
  <r>
    <x v="30"/>
    <x v="1"/>
    <x v="285"/>
    <x v="1"/>
    <x v="4"/>
    <x v="40"/>
    <x v="14"/>
    <x v="4"/>
    <n v="0"/>
    <x v="1"/>
  </r>
  <r>
    <x v="30"/>
    <x v="1"/>
    <x v="285"/>
    <x v="1"/>
    <x v="4"/>
    <x v="40"/>
    <x v="14"/>
    <x v="5"/>
    <n v="0"/>
    <x v="1"/>
  </r>
  <r>
    <x v="30"/>
    <x v="1"/>
    <x v="285"/>
    <x v="1"/>
    <x v="4"/>
    <x v="40"/>
    <x v="14"/>
    <x v="6"/>
    <n v="0"/>
    <x v="1"/>
  </r>
  <r>
    <x v="30"/>
    <x v="1"/>
    <x v="285"/>
    <x v="1"/>
    <x v="4"/>
    <x v="40"/>
    <x v="14"/>
    <x v="7"/>
    <n v="0"/>
    <x v="1"/>
  </r>
  <r>
    <x v="30"/>
    <x v="1"/>
    <x v="285"/>
    <x v="1"/>
    <x v="4"/>
    <x v="40"/>
    <x v="14"/>
    <x v="8"/>
    <n v="0"/>
    <x v="1"/>
  </r>
  <r>
    <x v="30"/>
    <x v="1"/>
    <x v="285"/>
    <x v="1"/>
    <x v="4"/>
    <x v="40"/>
    <x v="14"/>
    <x v="9"/>
    <n v="0"/>
    <x v="1"/>
  </r>
  <r>
    <x v="30"/>
    <x v="1"/>
    <x v="285"/>
    <x v="1"/>
    <x v="4"/>
    <x v="40"/>
    <x v="14"/>
    <x v="10"/>
    <n v="0"/>
    <x v="1"/>
  </r>
  <r>
    <x v="30"/>
    <x v="1"/>
    <x v="285"/>
    <x v="1"/>
    <x v="4"/>
    <x v="40"/>
    <x v="14"/>
    <x v="12"/>
    <n v="0"/>
    <x v="1"/>
  </r>
  <r>
    <x v="30"/>
    <x v="1"/>
    <x v="286"/>
    <x v="0"/>
    <x v="4"/>
    <x v="34"/>
    <x v="1"/>
    <x v="0"/>
    <n v="884.05"/>
    <x v="1"/>
  </r>
  <r>
    <x v="30"/>
    <x v="1"/>
    <x v="286"/>
    <x v="0"/>
    <x v="4"/>
    <x v="34"/>
    <x v="1"/>
    <x v="1"/>
    <n v="0"/>
    <x v="1"/>
  </r>
  <r>
    <x v="30"/>
    <x v="1"/>
    <x v="286"/>
    <x v="0"/>
    <x v="4"/>
    <x v="34"/>
    <x v="1"/>
    <x v="2"/>
    <n v="0"/>
    <x v="1"/>
  </r>
  <r>
    <x v="30"/>
    <x v="1"/>
    <x v="286"/>
    <x v="0"/>
    <x v="4"/>
    <x v="34"/>
    <x v="1"/>
    <x v="3"/>
    <n v="0"/>
    <x v="1"/>
  </r>
  <r>
    <x v="30"/>
    <x v="1"/>
    <x v="286"/>
    <x v="0"/>
    <x v="4"/>
    <x v="34"/>
    <x v="1"/>
    <x v="4"/>
    <n v="0"/>
    <x v="1"/>
  </r>
  <r>
    <x v="30"/>
    <x v="1"/>
    <x v="286"/>
    <x v="0"/>
    <x v="4"/>
    <x v="34"/>
    <x v="1"/>
    <x v="5"/>
    <n v="0"/>
    <x v="1"/>
  </r>
  <r>
    <x v="30"/>
    <x v="1"/>
    <x v="286"/>
    <x v="0"/>
    <x v="4"/>
    <x v="34"/>
    <x v="1"/>
    <x v="6"/>
    <n v="0"/>
    <x v="1"/>
  </r>
  <r>
    <x v="30"/>
    <x v="1"/>
    <x v="286"/>
    <x v="0"/>
    <x v="4"/>
    <x v="34"/>
    <x v="1"/>
    <x v="7"/>
    <n v="0"/>
    <x v="1"/>
  </r>
  <r>
    <x v="30"/>
    <x v="1"/>
    <x v="286"/>
    <x v="0"/>
    <x v="4"/>
    <x v="34"/>
    <x v="1"/>
    <x v="8"/>
    <n v="0"/>
    <x v="1"/>
  </r>
  <r>
    <x v="30"/>
    <x v="1"/>
    <x v="286"/>
    <x v="0"/>
    <x v="4"/>
    <x v="34"/>
    <x v="1"/>
    <x v="9"/>
    <n v="0"/>
    <x v="1"/>
  </r>
  <r>
    <x v="30"/>
    <x v="1"/>
    <x v="286"/>
    <x v="0"/>
    <x v="4"/>
    <x v="34"/>
    <x v="1"/>
    <x v="10"/>
    <n v="0"/>
    <x v="1"/>
  </r>
  <r>
    <x v="30"/>
    <x v="1"/>
    <x v="286"/>
    <x v="0"/>
    <x v="4"/>
    <x v="34"/>
    <x v="1"/>
    <x v="12"/>
    <n v="0"/>
    <x v="1"/>
  </r>
  <r>
    <x v="60"/>
    <x v="1"/>
    <x v="287"/>
    <x v="0"/>
    <x v="4"/>
    <x v="40"/>
    <x v="0"/>
    <x v="0"/>
    <n v="0"/>
    <x v="1"/>
  </r>
  <r>
    <x v="60"/>
    <x v="1"/>
    <x v="287"/>
    <x v="0"/>
    <x v="4"/>
    <x v="40"/>
    <x v="0"/>
    <x v="1"/>
    <n v="0"/>
    <x v="1"/>
  </r>
  <r>
    <x v="60"/>
    <x v="1"/>
    <x v="287"/>
    <x v="0"/>
    <x v="4"/>
    <x v="40"/>
    <x v="0"/>
    <x v="2"/>
    <n v="388"/>
    <x v="1"/>
  </r>
  <r>
    <x v="60"/>
    <x v="1"/>
    <x v="287"/>
    <x v="0"/>
    <x v="4"/>
    <x v="40"/>
    <x v="0"/>
    <x v="3"/>
    <n v="0"/>
    <x v="1"/>
  </r>
  <r>
    <x v="60"/>
    <x v="1"/>
    <x v="287"/>
    <x v="0"/>
    <x v="4"/>
    <x v="40"/>
    <x v="0"/>
    <x v="4"/>
    <n v="0"/>
    <x v="1"/>
  </r>
  <r>
    <x v="60"/>
    <x v="1"/>
    <x v="287"/>
    <x v="0"/>
    <x v="4"/>
    <x v="40"/>
    <x v="0"/>
    <x v="5"/>
    <n v="0"/>
    <x v="1"/>
  </r>
  <r>
    <x v="60"/>
    <x v="1"/>
    <x v="287"/>
    <x v="0"/>
    <x v="4"/>
    <x v="40"/>
    <x v="0"/>
    <x v="6"/>
    <n v="0"/>
    <x v="1"/>
  </r>
  <r>
    <x v="60"/>
    <x v="1"/>
    <x v="287"/>
    <x v="0"/>
    <x v="4"/>
    <x v="40"/>
    <x v="0"/>
    <x v="7"/>
    <n v="0"/>
    <x v="1"/>
  </r>
  <r>
    <x v="60"/>
    <x v="1"/>
    <x v="287"/>
    <x v="0"/>
    <x v="4"/>
    <x v="40"/>
    <x v="0"/>
    <x v="8"/>
    <n v="0"/>
    <x v="1"/>
  </r>
  <r>
    <x v="60"/>
    <x v="1"/>
    <x v="287"/>
    <x v="0"/>
    <x v="4"/>
    <x v="40"/>
    <x v="0"/>
    <x v="9"/>
    <n v="0"/>
    <x v="1"/>
  </r>
  <r>
    <x v="60"/>
    <x v="1"/>
    <x v="287"/>
    <x v="0"/>
    <x v="4"/>
    <x v="40"/>
    <x v="0"/>
    <x v="10"/>
    <n v="0"/>
    <x v="1"/>
  </r>
  <r>
    <x v="60"/>
    <x v="1"/>
    <x v="287"/>
    <x v="0"/>
    <x v="4"/>
    <x v="40"/>
    <x v="0"/>
    <x v="12"/>
    <n v="0"/>
    <x v="1"/>
  </r>
  <r>
    <x v="30"/>
    <x v="1"/>
    <x v="288"/>
    <x v="0"/>
    <x v="4"/>
    <x v="40"/>
    <x v="5"/>
    <x v="0"/>
    <n v="0"/>
    <x v="1"/>
  </r>
  <r>
    <x v="30"/>
    <x v="1"/>
    <x v="288"/>
    <x v="0"/>
    <x v="4"/>
    <x v="40"/>
    <x v="5"/>
    <x v="1"/>
    <n v="0"/>
    <x v="1"/>
  </r>
  <r>
    <x v="30"/>
    <x v="1"/>
    <x v="288"/>
    <x v="0"/>
    <x v="4"/>
    <x v="40"/>
    <x v="5"/>
    <x v="2"/>
    <n v="0"/>
    <x v="1"/>
  </r>
  <r>
    <x v="30"/>
    <x v="1"/>
    <x v="288"/>
    <x v="0"/>
    <x v="4"/>
    <x v="40"/>
    <x v="5"/>
    <x v="3"/>
    <n v="0"/>
    <x v="1"/>
  </r>
  <r>
    <x v="30"/>
    <x v="1"/>
    <x v="288"/>
    <x v="0"/>
    <x v="4"/>
    <x v="40"/>
    <x v="5"/>
    <x v="4"/>
    <n v="974"/>
    <x v="1"/>
  </r>
  <r>
    <x v="30"/>
    <x v="1"/>
    <x v="288"/>
    <x v="0"/>
    <x v="4"/>
    <x v="40"/>
    <x v="5"/>
    <x v="5"/>
    <n v="0"/>
    <x v="1"/>
  </r>
  <r>
    <x v="30"/>
    <x v="1"/>
    <x v="288"/>
    <x v="0"/>
    <x v="4"/>
    <x v="40"/>
    <x v="5"/>
    <x v="6"/>
    <n v="0"/>
    <x v="1"/>
  </r>
  <r>
    <x v="30"/>
    <x v="1"/>
    <x v="288"/>
    <x v="0"/>
    <x v="4"/>
    <x v="40"/>
    <x v="5"/>
    <x v="7"/>
    <n v="0"/>
    <x v="1"/>
  </r>
  <r>
    <x v="30"/>
    <x v="1"/>
    <x v="288"/>
    <x v="0"/>
    <x v="4"/>
    <x v="40"/>
    <x v="5"/>
    <x v="8"/>
    <n v="0"/>
    <x v="1"/>
  </r>
  <r>
    <x v="30"/>
    <x v="1"/>
    <x v="288"/>
    <x v="0"/>
    <x v="4"/>
    <x v="40"/>
    <x v="5"/>
    <x v="9"/>
    <n v="0"/>
    <x v="1"/>
  </r>
  <r>
    <x v="30"/>
    <x v="1"/>
    <x v="288"/>
    <x v="0"/>
    <x v="4"/>
    <x v="40"/>
    <x v="5"/>
    <x v="10"/>
    <n v="0"/>
    <x v="1"/>
  </r>
  <r>
    <x v="30"/>
    <x v="1"/>
    <x v="288"/>
    <x v="0"/>
    <x v="4"/>
    <x v="40"/>
    <x v="5"/>
    <x v="12"/>
    <n v="0"/>
    <x v="1"/>
  </r>
  <r>
    <x v="30"/>
    <x v="1"/>
    <x v="289"/>
    <x v="0"/>
    <x v="4"/>
    <x v="40"/>
    <x v="18"/>
    <x v="0"/>
    <n v="0"/>
    <x v="1"/>
  </r>
  <r>
    <x v="30"/>
    <x v="1"/>
    <x v="289"/>
    <x v="0"/>
    <x v="4"/>
    <x v="40"/>
    <x v="18"/>
    <x v="1"/>
    <n v="0"/>
    <x v="1"/>
  </r>
  <r>
    <x v="30"/>
    <x v="1"/>
    <x v="289"/>
    <x v="0"/>
    <x v="4"/>
    <x v="40"/>
    <x v="18"/>
    <x v="2"/>
    <n v="0"/>
    <x v="1"/>
  </r>
  <r>
    <x v="30"/>
    <x v="1"/>
    <x v="289"/>
    <x v="0"/>
    <x v="4"/>
    <x v="40"/>
    <x v="18"/>
    <x v="3"/>
    <n v="0"/>
    <x v="1"/>
  </r>
  <r>
    <x v="30"/>
    <x v="1"/>
    <x v="289"/>
    <x v="0"/>
    <x v="4"/>
    <x v="40"/>
    <x v="18"/>
    <x v="4"/>
    <n v="598"/>
    <x v="1"/>
  </r>
  <r>
    <x v="30"/>
    <x v="1"/>
    <x v="289"/>
    <x v="0"/>
    <x v="4"/>
    <x v="40"/>
    <x v="18"/>
    <x v="5"/>
    <n v="0"/>
    <x v="1"/>
  </r>
  <r>
    <x v="30"/>
    <x v="1"/>
    <x v="289"/>
    <x v="0"/>
    <x v="4"/>
    <x v="40"/>
    <x v="18"/>
    <x v="6"/>
    <n v="0"/>
    <x v="1"/>
  </r>
  <r>
    <x v="30"/>
    <x v="1"/>
    <x v="289"/>
    <x v="0"/>
    <x v="4"/>
    <x v="40"/>
    <x v="18"/>
    <x v="7"/>
    <n v="0"/>
    <x v="1"/>
  </r>
  <r>
    <x v="30"/>
    <x v="1"/>
    <x v="289"/>
    <x v="0"/>
    <x v="4"/>
    <x v="40"/>
    <x v="18"/>
    <x v="8"/>
    <n v="0"/>
    <x v="1"/>
  </r>
  <r>
    <x v="30"/>
    <x v="1"/>
    <x v="289"/>
    <x v="0"/>
    <x v="4"/>
    <x v="40"/>
    <x v="18"/>
    <x v="9"/>
    <n v="0"/>
    <x v="1"/>
  </r>
  <r>
    <x v="30"/>
    <x v="1"/>
    <x v="289"/>
    <x v="0"/>
    <x v="4"/>
    <x v="40"/>
    <x v="18"/>
    <x v="10"/>
    <n v="0"/>
    <x v="1"/>
  </r>
  <r>
    <x v="30"/>
    <x v="1"/>
    <x v="289"/>
    <x v="0"/>
    <x v="4"/>
    <x v="40"/>
    <x v="18"/>
    <x v="12"/>
    <n v="0"/>
    <x v="1"/>
  </r>
  <r>
    <x v="30"/>
    <x v="1"/>
    <x v="290"/>
    <x v="0"/>
    <x v="4"/>
    <x v="40"/>
    <x v="18"/>
    <x v="0"/>
    <n v="0"/>
    <x v="1"/>
  </r>
  <r>
    <x v="30"/>
    <x v="1"/>
    <x v="290"/>
    <x v="0"/>
    <x v="4"/>
    <x v="40"/>
    <x v="18"/>
    <x v="1"/>
    <n v="0"/>
    <x v="1"/>
  </r>
  <r>
    <x v="30"/>
    <x v="1"/>
    <x v="290"/>
    <x v="0"/>
    <x v="4"/>
    <x v="40"/>
    <x v="18"/>
    <x v="2"/>
    <n v="0"/>
    <x v="1"/>
  </r>
  <r>
    <x v="30"/>
    <x v="1"/>
    <x v="290"/>
    <x v="0"/>
    <x v="4"/>
    <x v="40"/>
    <x v="18"/>
    <x v="3"/>
    <n v="0"/>
    <x v="1"/>
  </r>
  <r>
    <x v="30"/>
    <x v="1"/>
    <x v="290"/>
    <x v="0"/>
    <x v="4"/>
    <x v="40"/>
    <x v="18"/>
    <x v="4"/>
    <n v="699"/>
    <x v="1"/>
  </r>
  <r>
    <x v="30"/>
    <x v="1"/>
    <x v="290"/>
    <x v="0"/>
    <x v="4"/>
    <x v="40"/>
    <x v="18"/>
    <x v="5"/>
    <n v="0"/>
    <x v="1"/>
  </r>
  <r>
    <x v="30"/>
    <x v="1"/>
    <x v="290"/>
    <x v="0"/>
    <x v="4"/>
    <x v="40"/>
    <x v="18"/>
    <x v="6"/>
    <n v="0"/>
    <x v="1"/>
  </r>
  <r>
    <x v="30"/>
    <x v="1"/>
    <x v="290"/>
    <x v="0"/>
    <x v="4"/>
    <x v="40"/>
    <x v="18"/>
    <x v="7"/>
    <n v="0"/>
    <x v="1"/>
  </r>
  <r>
    <x v="30"/>
    <x v="1"/>
    <x v="290"/>
    <x v="0"/>
    <x v="4"/>
    <x v="40"/>
    <x v="18"/>
    <x v="8"/>
    <n v="0"/>
    <x v="1"/>
  </r>
  <r>
    <x v="30"/>
    <x v="1"/>
    <x v="290"/>
    <x v="0"/>
    <x v="4"/>
    <x v="40"/>
    <x v="18"/>
    <x v="9"/>
    <n v="0"/>
    <x v="1"/>
  </r>
  <r>
    <x v="30"/>
    <x v="1"/>
    <x v="290"/>
    <x v="0"/>
    <x v="4"/>
    <x v="40"/>
    <x v="18"/>
    <x v="10"/>
    <n v="0"/>
    <x v="1"/>
  </r>
  <r>
    <x v="30"/>
    <x v="1"/>
    <x v="290"/>
    <x v="0"/>
    <x v="4"/>
    <x v="40"/>
    <x v="18"/>
    <x v="12"/>
    <n v="0"/>
    <x v="1"/>
  </r>
  <r>
    <x v="30"/>
    <x v="1"/>
    <x v="291"/>
    <x v="0"/>
    <x v="4"/>
    <x v="40"/>
    <x v="5"/>
    <x v="0"/>
    <n v="0"/>
    <x v="1"/>
  </r>
  <r>
    <x v="30"/>
    <x v="1"/>
    <x v="291"/>
    <x v="0"/>
    <x v="4"/>
    <x v="40"/>
    <x v="5"/>
    <x v="1"/>
    <n v="0"/>
    <x v="1"/>
  </r>
  <r>
    <x v="30"/>
    <x v="1"/>
    <x v="291"/>
    <x v="0"/>
    <x v="4"/>
    <x v="40"/>
    <x v="5"/>
    <x v="2"/>
    <n v="0"/>
    <x v="1"/>
  </r>
  <r>
    <x v="30"/>
    <x v="1"/>
    <x v="291"/>
    <x v="0"/>
    <x v="4"/>
    <x v="40"/>
    <x v="5"/>
    <x v="3"/>
    <n v="0"/>
    <x v="1"/>
  </r>
  <r>
    <x v="30"/>
    <x v="1"/>
    <x v="291"/>
    <x v="0"/>
    <x v="4"/>
    <x v="40"/>
    <x v="5"/>
    <x v="4"/>
    <n v="1905"/>
    <x v="1"/>
  </r>
  <r>
    <x v="30"/>
    <x v="1"/>
    <x v="291"/>
    <x v="0"/>
    <x v="4"/>
    <x v="40"/>
    <x v="5"/>
    <x v="5"/>
    <n v="0"/>
    <x v="1"/>
  </r>
  <r>
    <x v="30"/>
    <x v="1"/>
    <x v="291"/>
    <x v="0"/>
    <x v="4"/>
    <x v="40"/>
    <x v="5"/>
    <x v="6"/>
    <n v="0"/>
    <x v="1"/>
  </r>
  <r>
    <x v="30"/>
    <x v="1"/>
    <x v="291"/>
    <x v="0"/>
    <x v="4"/>
    <x v="40"/>
    <x v="5"/>
    <x v="7"/>
    <n v="0"/>
    <x v="1"/>
  </r>
  <r>
    <x v="30"/>
    <x v="1"/>
    <x v="291"/>
    <x v="0"/>
    <x v="4"/>
    <x v="40"/>
    <x v="5"/>
    <x v="8"/>
    <n v="0"/>
    <x v="1"/>
  </r>
  <r>
    <x v="30"/>
    <x v="1"/>
    <x v="291"/>
    <x v="0"/>
    <x v="4"/>
    <x v="40"/>
    <x v="5"/>
    <x v="9"/>
    <n v="0"/>
    <x v="1"/>
  </r>
  <r>
    <x v="30"/>
    <x v="1"/>
    <x v="291"/>
    <x v="0"/>
    <x v="4"/>
    <x v="40"/>
    <x v="5"/>
    <x v="10"/>
    <n v="0"/>
    <x v="1"/>
  </r>
  <r>
    <x v="30"/>
    <x v="1"/>
    <x v="291"/>
    <x v="0"/>
    <x v="4"/>
    <x v="40"/>
    <x v="5"/>
    <x v="12"/>
    <n v="0"/>
    <x v="1"/>
  </r>
  <r>
    <x v="30"/>
    <x v="1"/>
    <x v="292"/>
    <x v="0"/>
    <x v="4"/>
    <x v="40"/>
    <x v="0"/>
    <x v="0"/>
    <n v="0"/>
    <x v="1"/>
  </r>
  <r>
    <x v="30"/>
    <x v="1"/>
    <x v="292"/>
    <x v="0"/>
    <x v="4"/>
    <x v="40"/>
    <x v="0"/>
    <x v="1"/>
    <n v="0"/>
    <x v="1"/>
  </r>
  <r>
    <x v="30"/>
    <x v="1"/>
    <x v="292"/>
    <x v="0"/>
    <x v="4"/>
    <x v="40"/>
    <x v="0"/>
    <x v="2"/>
    <n v="0"/>
    <x v="1"/>
  </r>
  <r>
    <x v="30"/>
    <x v="1"/>
    <x v="292"/>
    <x v="0"/>
    <x v="4"/>
    <x v="40"/>
    <x v="0"/>
    <x v="3"/>
    <n v="0"/>
    <x v="1"/>
  </r>
  <r>
    <x v="30"/>
    <x v="1"/>
    <x v="292"/>
    <x v="0"/>
    <x v="4"/>
    <x v="40"/>
    <x v="0"/>
    <x v="4"/>
    <n v="0"/>
    <x v="1"/>
  </r>
  <r>
    <x v="30"/>
    <x v="1"/>
    <x v="292"/>
    <x v="0"/>
    <x v="4"/>
    <x v="40"/>
    <x v="0"/>
    <x v="5"/>
    <n v="634"/>
    <x v="1"/>
  </r>
  <r>
    <x v="30"/>
    <x v="1"/>
    <x v="292"/>
    <x v="0"/>
    <x v="4"/>
    <x v="40"/>
    <x v="0"/>
    <x v="6"/>
    <n v="0"/>
    <x v="1"/>
  </r>
  <r>
    <x v="30"/>
    <x v="1"/>
    <x v="292"/>
    <x v="0"/>
    <x v="4"/>
    <x v="40"/>
    <x v="0"/>
    <x v="7"/>
    <n v="0"/>
    <x v="1"/>
  </r>
  <r>
    <x v="30"/>
    <x v="1"/>
    <x v="292"/>
    <x v="0"/>
    <x v="4"/>
    <x v="40"/>
    <x v="0"/>
    <x v="8"/>
    <n v="0"/>
    <x v="1"/>
  </r>
  <r>
    <x v="30"/>
    <x v="1"/>
    <x v="292"/>
    <x v="0"/>
    <x v="4"/>
    <x v="40"/>
    <x v="0"/>
    <x v="9"/>
    <n v="0"/>
    <x v="1"/>
  </r>
  <r>
    <x v="30"/>
    <x v="1"/>
    <x v="292"/>
    <x v="0"/>
    <x v="4"/>
    <x v="40"/>
    <x v="0"/>
    <x v="10"/>
    <n v="0"/>
    <x v="1"/>
  </r>
  <r>
    <x v="30"/>
    <x v="1"/>
    <x v="292"/>
    <x v="0"/>
    <x v="4"/>
    <x v="40"/>
    <x v="0"/>
    <x v="12"/>
    <n v="0"/>
    <x v="1"/>
  </r>
  <r>
    <x v="30"/>
    <x v="1"/>
    <x v="293"/>
    <x v="0"/>
    <x v="4"/>
    <x v="40"/>
    <x v="5"/>
    <x v="0"/>
    <n v="0"/>
    <x v="1"/>
  </r>
  <r>
    <x v="30"/>
    <x v="1"/>
    <x v="293"/>
    <x v="0"/>
    <x v="4"/>
    <x v="40"/>
    <x v="5"/>
    <x v="1"/>
    <n v="0"/>
    <x v="1"/>
  </r>
  <r>
    <x v="30"/>
    <x v="1"/>
    <x v="293"/>
    <x v="0"/>
    <x v="4"/>
    <x v="40"/>
    <x v="5"/>
    <x v="2"/>
    <n v="0"/>
    <x v="1"/>
  </r>
  <r>
    <x v="30"/>
    <x v="1"/>
    <x v="293"/>
    <x v="0"/>
    <x v="4"/>
    <x v="40"/>
    <x v="5"/>
    <x v="3"/>
    <n v="0"/>
    <x v="1"/>
  </r>
  <r>
    <x v="30"/>
    <x v="1"/>
    <x v="293"/>
    <x v="0"/>
    <x v="4"/>
    <x v="40"/>
    <x v="5"/>
    <x v="4"/>
    <n v="0"/>
    <x v="1"/>
  </r>
  <r>
    <x v="30"/>
    <x v="1"/>
    <x v="293"/>
    <x v="0"/>
    <x v="4"/>
    <x v="40"/>
    <x v="5"/>
    <x v="5"/>
    <n v="335.28"/>
    <x v="1"/>
  </r>
  <r>
    <x v="30"/>
    <x v="1"/>
    <x v="293"/>
    <x v="0"/>
    <x v="4"/>
    <x v="40"/>
    <x v="5"/>
    <x v="6"/>
    <n v="0"/>
    <x v="1"/>
  </r>
  <r>
    <x v="30"/>
    <x v="1"/>
    <x v="293"/>
    <x v="0"/>
    <x v="4"/>
    <x v="40"/>
    <x v="5"/>
    <x v="7"/>
    <n v="0"/>
    <x v="1"/>
  </r>
  <r>
    <x v="30"/>
    <x v="1"/>
    <x v="293"/>
    <x v="0"/>
    <x v="4"/>
    <x v="40"/>
    <x v="5"/>
    <x v="8"/>
    <n v="0"/>
    <x v="1"/>
  </r>
  <r>
    <x v="30"/>
    <x v="1"/>
    <x v="293"/>
    <x v="0"/>
    <x v="4"/>
    <x v="40"/>
    <x v="5"/>
    <x v="9"/>
    <n v="0"/>
    <x v="1"/>
  </r>
  <r>
    <x v="30"/>
    <x v="1"/>
    <x v="293"/>
    <x v="0"/>
    <x v="4"/>
    <x v="40"/>
    <x v="5"/>
    <x v="10"/>
    <n v="0"/>
    <x v="1"/>
  </r>
  <r>
    <x v="30"/>
    <x v="1"/>
    <x v="293"/>
    <x v="0"/>
    <x v="4"/>
    <x v="40"/>
    <x v="5"/>
    <x v="12"/>
    <n v="0"/>
    <x v="1"/>
  </r>
  <r>
    <x v="30"/>
    <x v="1"/>
    <x v="292"/>
    <x v="0"/>
    <x v="4"/>
    <x v="40"/>
    <x v="0"/>
    <x v="0"/>
    <n v="0"/>
    <x v="1"/>
  </r>
  <r>
    <x v="30"/>
    <x v="1"/>
    <x v="292"/>
    <x v="0"/>
    <x v="4"/>
    <x v="40"/>
    <x v="0"/>
    <x v="1"/>
    <n v="0"/>
    <x v="1"/>
  </r>
  <r>
    <x v="30"/>
    <x v="1"/>
    <x v="292"/>
    <x v="0"/>
    <x v="4"/>
    <x v="40"/>
    <x v="0"/>
    <x v="2"/>
    <n v="0"/>
    <x v="1"/>
  </r>
  <r>
    <x v="30"/>
    <x v="1"/>
    <x v="292"/>
    <x v="0"/>
    <x v="4"/>
    <x v="40"/>
    <x v="0"/>
    <x v="3"/>
    <n v="0"/>
    <x v="1"/>
  </r>
  <r>
    <x v="30"/>
    <x v="1"/>
    <x v="292"/>
    <x v="0"/>
    <x v="4"/>
    <x v="40"/>
    <x v="0"/>
    <x v="4"/>
    <n v="0"/>
    <x v="1"/>
  </r>
  <r>
    <x v="30"/>
    <x v="1"/>
    <x v="292"/>
    <x v="0"/>
    <x v="4"/>
    <x v="40"/>
    <x v="0"/>
    <x v="5"/>
    <n v="235"/>
    <x v="1"/>
  </r>
  <r>
    <x v="30"/>
    <x v="1"/>
    <x v="292"/>
    <x v="0"/>
    <x v="4"/>
    <x v="40"/>
    <x v="0"/>
    <x v="6"/>
    <n v="0"/>
    <x v="1"/>
  </r>
  <r>
    <x v="30"/>
    <x v="1"/>
    <x v="292"/>
    <x v="0"/>
    <x v="4"/>
    <x v="40"/>
    <x v="0"/>
    <x v="7"/>
    <n v="0"/>
    <x v="1"/>
  </r>
  <r>
    <x v="30"/>
    <x v="1"/>
    <x v="292"/>
    <x v="0"/>
    <x v="4"/>
    <x v="40"/>
    <x v="0"/>
    <x v="8"/>
    <n v="0"/>
    <x v="1"/>
  </r>
  <r>
    <x v="30"/>
    <x v="1"/>
    <x v="292"/>
    <x v="0"/>
    <x v="4"/>
    <x v="40"/>
    <x v="0"/>
    <x v="9"/>
    <n v="0"/>
    <x v="1"/>
  </r>
  <r>
    <x v="30"/>
    <x v="1"/>
    <x v="292"/>
    <x v="0"/>
    <x v="4"/>
    <x v="40"/>
    <x v="0"/>
    <x v="10"/>
    <n v="0"/>
    <x v="1"/>
  </r>
  <r>
    <x v="30"/>
    <x v="1"/>
    <x v="292"/>
    <x v="0"/>
    <x v="4"/>
    <x v="40"/>
    <x v="0"/>
    <x v="12"/>
    <n v="0"/>
    <x v="1"/>
  </r>
  <r>
    <x v="30"/>
    <x v="1"/>
    <x v="294"/>
    <x v="0"/>
    <x v="4"/>
    <x v="40"/>
    <x v="0"/>
    <x v="0"/>
    <n v="0"/>
    <x v="1"/>
  </r>
  <r>
    <x v="30"/>
    <x v="1"/>
    <x v="294"/>
    <x v="0"/>
    <x v="4"/>
    <x v="40"/>
    <x v="0"/>
    <x v="1"/>
    <n v="0"/>
    <x v="1"/>
  </r>
  <r>
    <x v="30"/>
    <x v="1"/>
    <x v="294"/>
    <x v="0"/>
    <x v="4"/>
    <x v="40"/>
    <x v="0"/>
    <x v="2"/>
    <n v="0"/>
    <x v="1"/>
  </r>
  <r>
    <x v="30"/>
    <x v="1"/>
    <x v="294"/>
    <x v="0"/>
    <x v="4"/>
    <x v="40"/>
    <x v="0"/>
    <x v="3"/>
    <n v="0"/>
    <x v="1"/>
  </r>
  <r>
    <x v="30"/>
    <x v="1"/>
    <x v="294"/>
    <x v="0"/>
    <x v="4"/>
    <x v="40"/>
    <x v="0"/>
    <x v="4"/>
    <n v="0"/>
    <x v="1"/>
  </r>
  <r>
    <x v="30"/>
    <x v="1"/>
    <x v="294"/>
    <x v="0"/>
    <x v="4"/>
    <x v="40"/>
    <x v="0"/>
    <x v="5"/>
    <n v="328"/>
    <x v="1"/>
  </r>
  <r>
    <x v="30"/>
    <x v="1"/>
    <x v="294"/>
    <x v="0"/>
    <x v="4"/>
    <x v="40"/>
    <x v="0"/>
    <x v="6"/>
    <n v="0"/>
    <x v="1"/>
  </r>
  <r>
    <x v="30"/>
    <x v="1"/>
    <x v="294"/>
    <x v="0"/>
    <x v="4"/>
    <x v="40"/>
    <x v="0"/>
    <x v="7"/>
    <n v="0"/>
    <x v="1"/>
  </r>
  <r>
    <x v="30"/>
    <x v="1"/>
    <x v="294"/>
    <x v="0"/>
    <x v="4"/>
    <x v="40"/>
    <x v="0"/>
    <x v="8"/>
    <n v="0"/>
    <x v="1"/>
  </r>
  <r>
    <x v="30"/>
    <x v="1"/>
    <x v="294"/>
    <x v="0"/>
    <x v="4"/>
    <x v="40"/>
    <x v="0"/>
    <x v="9"/>
    <n v="0"/>
    <x v="1"/>
  </r>
  <r>
    <x v="30"/>
    <x v="1"/>
    <x v="294"/>
    <x v="0"/>
    <x v="4"/>
    <x v="40"/>
    <x v="0"/>
    <x v="10"/>
    <n v="0"/>
    <x v="1"/>
  </r>
  <r>
    <x v="30"/>
    <x v="1"/>
    <x v="294"/>
    <x v="0"/>
    <x v="4"/>
    <x v="40"/>
    <x v="0"/>
    <x v="12"/>
    <n v="0"/>
    <x v="1"/>
  </r>
  <r>
    <x v="30"/>
    <x v="1"/>
    <x v="295"/>
    <x v="0"/>
    <x v="4"/>
    <x v="40"/>
    <x v="5"/>
    <x v="0"/>
    <n v="0"/>
    <x v="1"/>
  </r>
  <r>
    <x v="30"/>
    <x v="1"/>
    <x v="295"/>
    <x v="0"/>
    <x v="4"/>
    <x v="40"/>
    <x v="5"/>
    <x v="1"/>
    <n v="0"/>
    <x v="1"/>
  </r>
  <r>
    <x v="30"/>
    <x v="1"/>
    <x v="295"/>
    <x v="0"/>
    <x v="4"/>
    <x v="40"/>
    <x v="5"/>
    <x v="2"/>
    <n v="0"/>
    <x v="1"/>
  </r>
  <r>
    <x v="30"/>
    <x v="1"/>
    <x v="295"/>
    <x v="0"/>
    <x v="4"/>
    <x v="40"/>
    <x v="5"/>
    <x v="3"/>
    <n v="0"/>
    <x v="1"/>
  </r>
  <r>
    <x v="30"/>
    <x v="1"/>
    <x v="295"/>
    <x v="0"/>
    <x v="4"/>
    <x v="40"/>
    <x v="5"/>
    <x v="4"/>
    <n v="0"/>
    <x v="1"/>
  </r>
  <r>
    <x v="30"/>
    <x v="1"/>
    <x v="295"/>
    <x v="0"/>
    <x v="4"/>
    <x v="40"/>
    <x v="5"/>
    <x v="5"/>
    <n v="555"/>
    <x v="1"/>
  </r>
  <r>
    <x v="30"/>
    <x v="1"/>
    <x v="295"/>
    <x v="0"/>
    <x v="4"/>
    <x v="40"/>
    <x v="5"/>
    <x v="6"/>
    <n v="0"/>
    <x v="1"/>
  </r>
  <r>
    <x v="30"/>
    <x v="1"/>
    <x v="295"/>
    <x v="0"/>
    <x v="4"/>
    <x v="40"/>
    <x v="5"/>
    <x v="7"/>
    <n v="0"/>
    <x v="1"/>
  </r>
  <r>
    <x v="30"/>
    <x v="1"/>
    <x v="295"/>
    <x v="0"/>
    <x v="4"/>
    <x v="40"/>
    <x v="5"/>
    <x v="8"/>
    <n v="0"/>
    <x v="1"/>
  </r>
  <r>
    <x v="30"/>
    <x v="1"/>
    <x v="295"/>
    <x v="0"/>
    <x v="4"/>
    <x v="40"/>
    <x v="5"/>
    <x v="9"/>
    <n v="0"/>
    <x v="1"/>
  </r>
  <r>
    <x v="30"/>
    <x v="1"/>
    <x v="295"/>
    <x v="0"/>
    <x v="4"/>
    <x v="40"/>
    <x v="5"/>
    <x v="10"/>
    <n v="0"/>
    <x v="1"/>
  </r>
  <r>
    <x v="30"/>
    <x v="1"/>
    <x v="295"/>
    <x v="0"/>
    <x v="4"/>
    <x v="40"/>
    <x v="5"/>
    <x v="12"/>
    <n v="0"/>
    <x v="1"/>
  </r>
  <r>
    <x v="30"/>
    <x v="1"/>
    <x v="296"/>
    <x v="0"/>
    <x v="4"/>
    <x v="40"/>
    <x v="14"/>
    <x v="0"/>
    <n v="0"/>
    <x v="1"/>
  </r>
  <r>
    <x v="30"/>
    <x v="1"/>
    <x v="296"/>
    <x v="0"/>
    <x v="4"/>
    <x v="40"/>
    <x v="14"/>
    <x v="1"/>
    <n v="0"/>
    <x v="1"/>
  </r>
  <r>
    <x v="30"/>
    <x v="1"/>
    <x v="296"/>
    <x v="0"/>
    <x v="4"/>
    <x v="40"/>
    <x v="14"/>
    <x v="2"/>
    <n v="0"/>
    <x v="1"/>
  </r>
  <r>
    <x v="30"/>
    <x v="1"/>
    <x v="296"/>
    <x v="0"/>
    <x v="4"/>
    <x v="40"/>
    <x v="14"/>
    <x v="3"/>
    <n v="0"/>
    <x v="1"/>
  </r>
  <r>
    <x v="30"/>
    <x v="1"/>
    <x v="296"/>
    <x v="0"/>
    <x v="4"/>
    <x v="40"/>
    <x v="14"/>
    <x v="4"/>
    <n v="0"/>
    <x v="1"/>
  </r>
  <r>
    <x v="30"/>
    <x v="1"/>
    <x v="296"/>
    <x v="0"/>
    <x v="4"/>
    <x v="40"/>
    <x v="14"/>
    <x v="5"/>
    <n v="179"/>
    <x v="1"/>
  </r>
  <r>
    <x v="30"/>
    <x v="1"/>
    <x v="296"/>
    <x v="0"/>
    <x v="4"/>
    <x v="40"/>
    <x v="14"/>
    <x v="6"/>
    <n v="0"/>
    <x v="1"/>
  </r>
  <r>
    <x v="30"/>
    <x v="1"/>
    <x v="296"/>
    <x v="0"/>
    <x v="4"/>
    <x v="40"/>
    <x v="14"/>
    <x v="7"/>
    <n v="0"/>
    <x v="1"/>
  </r>
  <r>
    <x v="30"/>
    <x v="1"/>
    <x v="296"/>
    <x v="0"/>
    <x v="4"/>
    <x v="40"/>
    <x v="14"/>
    <x v="8"/>
    <n v="0"/>
    <x v="1"/>
  </r>
  <r>
    <x v="30"/>
    <x v="1"/>
    <x v="296"/>
    <x v="0"/>
    <x v="4"/>
    <x v="40"/>
    <x v="14"/>
    <x v="9"/>
    <n v="0"/>
    <x v="1"/>
  </r>
  <r>
    <x v="30"/>
    <x v="1"/>
    <x v="296"/>
    <x v="0"/>
    <x v="4"/>
    <x v="40"/>
    <x v="14"/>
    <x v="10"/>
    <n v="0"/>
    <x v="1"/>
  </r>
  <r>
    <x v="30"/>
    <x v="1"/>
    <x v="296"/>
    <x v="0"/>
    <x v="4"/>
    <x v="40"/>
    <x v="14"/>
    <x v="12"/>
    <n v="0"/>
    <x v="1"/>
  </r>
  <r>
    <x v="30"/>
    <x v="1"/>
    <x v="297"/>
    <x v="0"/>
    <x v="4"/>
    <x v="40"/>
    <x v="14"/>
    <x v="0"/>
    <n v="0"/>
    <x v="1"/>
  </r>
  <r>
    <x v="30"/>
    <x v="1"/>
    <x v="297"/>
    <x v="0"/>
    <x v="4"/>
    <x v="40"/>
    <x v="14"/>
    <x v="1"/>
    <n v="0"/>
    <x v="1"/>
  </r>
  <r>
    <x v="30"/>
    <x v="1"/>
    <x v="297"/>
    <x v="0"/>
    <x v="4"/>
    <x v="40"/>
    <x v="14"/>
    <x v="2"/>
    <n v="0"/>
    <x v="1"/>
  </r>
  <r>
    <x v="30"/>
    <x v="1"/>
    <x v="297"/>
    <x v="0"/>
    <x v="4"/>
    <x v="40"/>
    <x v="14"/>
    <x v="3"/>
    <n v="0"/>
    <x v="1"/>
  </r>
  <r>
    <x v="30"/>
    <x v="1"/>
    <x v="297"/>
    <x v="0"/>
    <x v="4"/>
    <x v="40"/>
    <x v="14"/>
    <x v="4"/>
    <n v="0"/>
    <x v="1"/>
  </r>
  <r>
    <x v="30"/>
    <x v="1"/>
    <x v="297"/>
    <x v="0"/>
    <x v="4"/>
    <x v="40"/>
    <x v="14"/>
    <x v="5"/>
    <n v="0"/>
    <x v="1"/>
  </r>
  <r>
    <x v="30"/>
    <x v="1"/>
    <x v="297"/>
    <x v="0"/>
    <x v="4"/>
    <x v="40"/>
    <x v="14"/>
    <x v="6"/>
    <n v="0"/>
    <x v="1"/>
  </r>
  <r>
    <x v="30"/>
    <x v="1"/>
    <x v="297"/>
    <x v="0"/>
    <x v="4"/>
    <x v="40"/>
    <x v="14"/>
    <x v="7"/>
    <n v="386"/>
    <x v="1"/>
  </r>
  <r>
    <x v="30"/>
    <x v="1"/>
    <x v="297"/>
    <x v="0"/>
    <x v="4"/>
    <x v="40"/>
    <x v="14"/>
    <x v="8"/>
    <n v="0"/>
    <x v="1"/>
  </r>
  <r>
    <x v="30"/>
    <x v="1"/>
    <x v="297"/>
    <x v="0"/>
    <x v="4"/>
    <x v="40"/>
    <x v="14"/>
    <x v="9"/>
    <n v="0"/>
    <x v="1"/>
  </r>
  <r>
    <x v="30"/>
    <x v="1"/>
    <x v="297"/>
    <x v="0"/>
    <x v="4"/>
    <x v="40"/>
    <x v="14"/>
    <x v="10"/>
    <n v="0"/>
    <x v="1"/>
  </r>
  <r>
    <x v="30"/>
    <x v="1"/>
    <x v="297"/>
    <x v="0"/>
    <x v="4"/>
    <x v="40"/>
    <x v="14"/>
    <x v="12"/>
    <n v="0"/>
    <x v="1"/>
  </r>
  <r>
    <x v="30"/>
    <x v="1"/>
    <x v="298"/>
    <x v="0"/>
    <x v="4"/>
    <x v="40"/>
    <x v="14"/>
    <x v="0"/>
    <n v="0"/>
    <x v="1"/>
  </r>
  <r>
    <x v="30"/>
    <x v="1"/>
    <x v="298"/>
    <x v="0"/>
    <x v="4"/>
    <x v="40"/>
    <x v="14"/>
    <x v="1"/>
    <n v="0"/>
    <x v="1"/>
  </r>
  <r>
    <x v="30"/>
    <x v="1"/>
    <x v="298"/>
    <x v="0"/>
    <x v="4"/>
    <x v="40"/>
    <x v="14"/>
    <x v="2"/>
    <n v="0"/>
    <x v="1"/>
  </r>
  <r>
    <x v="30"/>
    <x v="1"/>
    <x v="298"/>
    <x v="0"/>
    <x v="4"/>
    <x v="40"/>
    <x v="14"/>
    <x v="3"/>
    <n v="0"/>
    <x v="1"/>
  </r>
  <r>
    <x v="30"/>
    <x v="1"/>
    <x v="298"/>
    <x v="0"/>
    <x v="4"/>
    <x v="40"/>
    <x v="14"/>
    <x v="4"/>
    <n v="0"/>
    <x v="1"/>
  </r>
  <r>
    <x v="30"/>
    <x v="1"/>
    <x v="298"/>
    <x v="0"/>
    <x v="4"/>
    <x v="40"/>
    <x v="14"/>
    <x v="5"/>
    <n v="0"/>
    <x v="1"/>
  </r>
  <r>
    <x v="30"/>
    <x v="1"/>
    <x v="298"/>
    <x v="0"/>
    <x v="4"/>
    <x v="40"/>
    <x v="14"/>
    <x v="6"/>
    <n v="0"/>
    <x v="1"/>
  </r>
  <r>
    <x v="30"/>
    <x v="1"/>
    <x v="298"/>
    <x v="0"/>
    <x v="4"/>
    <x v="40"/>
    <x v="14"/>
    <x v="7"/>
    <n v="723"/>
    <x v="1"/>
  </r>
  <r>
    <x v="30"/>
    <x v="1"/>
    <x v="298"/>
    <x v="0"/>
    <x v="4"/>
    <x v="40"/>
    <x v="14"/>
    <x v="8"/>
    <n v="0"/>
    <x v="1"/>
  </r>
  <r>
    <x v="30"/>
    <x v="1"/>
    <x v="298"/>
    <x v="0"/>
    <x v="4"/>
    <x v="40"/>
    <x v="14"/>
    <x v="9"/>
    <n v="0"/>
    <x v="1"/>
  </r>
  <r>
    <x v="30"/>
    <x v="1"/>
    <x v="298"/>
    <x v="0"/>
    <x v="4"/>
    <x v="40"/>
    <x v="14"/>
    <x v="10"/>
    <n v="0"/>
    <x v="1"/>
  </r>
  <r>
    <x v="30"/>
    <x v="1"/>
    <x v="298"/>
    <x v="0"/>
    <x v="4"/>
    <x v="40"/>
    <x v="14"/>
    <x v="12"/>
    <n v="0"/>
    <x v="1"/>
  </r>
  <r>
    <x v="30"/>
    <x v="1"/>
    <x v="299"/>
    <x v="0"/>
    <x v="4"/>
    <x v="40"/>
    <x v="14"/>
    <x v="0"/>
    <n v="0"/>
    <x v="1"/>
  </r>
  <r>
    <x v="30"/>
    <x v="1"/>
    <x v="299"/>
    <x v="0"/>
    <x v="4"/>
    <x v="40"/>
    <x v="14"/>
    <x v="1"/>
    <n v="0"/>
    <x v="1"/>
  </r>
  <r>
    <x v="30"/>
    <x v="1"/>
    <x v="299"/>
    <x v="0"/>
    <x v="4"/>
    <x v="40"/>
    <x v="14"/>
    <x v="2"/>
    <n v="0"/>
    <x v="1"/>
  </r>
  <r>
    <x v="30"/>
    <x v="1"/>
    <x v="299"/>
    <x v="0"/>
    <x v="4"/>
    <x v="40"/>
    <x v="14"/>
    <x v="3"/>
    <n v="0"/>
    <x v="1"/>
  </r>
  <r>
    <x v="30"/>
    <x v="1"/>
    <x v="299"/>
    <x v="0"/>
    <x v="4"/>
    <x v="40"/>
    <x v="14"/>
    <x v="4"/>
    <n v="0"/>
    <x v="1"/>
  </r>
  <r>
    <x v="30"/>
    <x v="1"/>
    <x v="299"/>
    <x v="0"/>
    <x v="4"/>
    <x v="40"/>
    <x v="14"/>
    <x v="5"/>
    <n v="0"/>
    <x v="1"/>
  </r>
  <r>
    <x v="30"/>
    <x v="1"/>
    <x v="299"/>
    <x v="0"/>
    <x v="4"/>
    <x v="40"/>
    <x v="14"/>
    <x v="6"/>
    <n v="0"/>
    <x v="1"/>
  </r>
  <r>
    <x v="30"/>
    <x v="1"/>
    <x v="299"/>
    <x v="0"/>
    <x v="4"/>
    <x v="40"/>
    <x v="14"/>
    <x v="7"/>
    <n v="899"/>
    <x v="1"/>
  </r>
  <r>
    <x v="30"/>
    <x v="1"/>
    <x v="299"/>
    <x v="0"/>
    <x v="4"/>
    <x v="40"/>
    <x v="14"/>
    <x v="8"/>
    <n v="0"/>
    <x v="1"/>
  </r>
  <r>
    <x v="30"/>
    <x v="1"/>
    <x v="299"/>
    <x v="0"/>
    <x v="4"/>
    <x v="40"/>
    <x v="14"/>
    <x v="9"/>
    <n v="0"/>
    <x v="1"/>
  </r>
  <r>
    <x v="30"/>
    <x v="1"/>
    <x v="299"/>
    <x v="0"/>
    <x v="4"/>
    <x v="40"/>
    <x v="14"/>
    <x v="10"/>
    <n v="0"/>
    <x v="1"/>
  </r>
  <r>
    <x v="30"/>
    <x v="1"/>
    <x v="299"/>
    <x v="0"/>
    <x v="4"/>
    <x v="40"/>
    <x v="14"/>
    <x v="12"/>
    <n v="0"/>
    <x v="1"/>
  </r>
  <r>
    <x v="30"/>
    <x v="1"/>
    <x v="293"/>
    <x v="0"/>
    <x v="4"/>
    <x v="40"/>
    <x v="14"/>
    <x v="0"/>
    <n v="0"/>
    <x v="1"/>
  </r>
  <r>
    <x v="30"/>
    <x v="1"/>
    <x v="293"/>
    <x v="0"/>
    <x v="4"/>
    <x v="40"/>
    <x v="14"/>
    <x v="1"/>
    <n v="0"/>
    <x v="1"/>
  </r>
  <r>
    <x v="30"/>
    <x v="1"/>
    <x v="293"/>
    <x v="0"/>
    <x v="4"/>
    <x v="40"/>
    <x v="14"/>
    <x v="2"/>
    <n v="0"/>
    <x v="1"/>
  </r>
  <r>
    <x v="30"/>
    <x v="1"/>
    <x v="293"/>
    <x v="0"/>
    <x v="4"/>
    <x v="40"/>
    <x v="14"/>
    <x v="3"/>
    <n v="0"/>
    <x v="1"/>
  </r>
  <r>
    <x v="30"/>
    <x v="1"/>
    <x v="293"/>
    <x v="0"/>
    <x v="4"/>
    <x v="40"/>
    <x v="14"/>
    <x v="4"/>
    <n v="0"/>
    <x v="1"/>
  </r>
  <r>
    <x v="30"/>
    <x v="1"/>
    <x v="293"/>
    <x v="0"/>
    <x v="4"/>
    <x v="40"/>
    <x v="14"/>
    <x v="5"/>
    <n v="0"/>
    <x v="1"/>
  </r>
  <r>
    <x v="30"/>
    <x v="1"/>
    <x v="293"/>
    <x v="0"/>
    <x v="4"/>
    <x v="40"/>
    <x v="14"/>
    <x v="6"/>
    <n v="0"/>
    <x v="1"/>
  </r>
  <r>
    <x v="30"/>
    <x v="1"/>
    <x v="293"/>
    <x v="0"/>
    <x v="4"/>
    <x v="40"/>
    <x v="14"/>
    <x v="7"/>
    <n v="1796"/>
    <x v="1"/>
  </r>
  <r>
    <x v="30"/>
    <x v="1"/>
    <x v="293"/>
    <x v="0"/>
    <x v="4"/>
    <x v="40"/>
    <x v="14"/>
    <x v="8"/>
    <n v="0"/>
    <x v="1"/>
  </r>
  <r>
    <x v="30"/>
    <x v="1"/>
    <x v="293"/>
    <x v="0"/>
    <x v="4"/>
    <x v="40"/>
    <x v="14"/>
    <x v="9"/>
    <n v="0"/>
    <x v="1"/>
  </r>
  <r>
    <x v="30"/>
    <x v="1"/>
    <x v="293"/>
    <x v="0"/>
    <x v="4"/>
    <x v="40"/>
    <x v="14"/>
    <x v="10"/>
    <n v="0"/>
    <x v="1"/>
  </r>
  <r>
    <x v="30"/>
    <x v="1"/>
    <x v="293"/>
    <x v="0"/>
    <x v="4"/>
    <x v="40"/>
    <x v="14"/>
    <x v="12"/>
    <n v="0"/>
    <x v="1"/>
  </r>
  <r>
    <x v="30"/>
    <x v="1"/>
    <x v="300"/>
    <x v="1"/>
    <x v="4"/>
    <x v="6"/>
    <x v="14"/>
    <x v="0"/>
    <n v="240"/>
    <x v="1"/>
  </r>
  <r>
    <x v="30"/>
    <x v="1"/>
    <x v="300"/>
    <x v="1"/>
    <x v="4"/>
    <x v="6"/>
    <x v="14"/>
    <x v="1"/>
    <n v="0"/>
    <x v="1"/>
  </r>
  <r>
    <x v="30"/>
    <x v="1"/>
    <x v="300"/>
    <x v="1"/>
    <x v="4"/>
    <x v="6"/>
    <x v="14"/>
    <x v="2"/>
    <n v="0"/>
    <x v="1"/>
  </r>
  <r>
    <x v="30"/>
    <x v="1"/>
    <x v="300"/>
    <x v="1"/>
    <x v="4"/>
    <x v="6"/>
    <x v="14"/>
    <x v="3"/>
    <n v="0"/>
    <x v="1"/>
  </r>
  <r>
    <x v="30"/>
    <x v="1"/>
    <x v="300"/>
    <x v="1"/>
    <x v="4"/>
    <x v="6"/>
    <x v="14"/>
    <x v="4"/>
    <n v="0"/>
    <x v="1"/>
  </r>
  <r>
    <x v="30"/>
    <x v="1"/>
    <x v="300"/>
    <x v="1"/>
    <x v="4"/>
    <x v="6"/>
    <x v="14"/>
    <x v="5"/>
    <n v="0"/>
    <x v="1"/>
  </r>
  <r>
    <x v="30"/>
    <x v="1"/>
    <x v="300"/>
    <x v="1"/>
    <x v="4"/>
    <x v="6"/>
    <x v="14"/>
    <x v="6"/>
    <n v="0"/>
    <x v="1"/>
  </r>
  <r>
    <x v="30"/>
    <x v="1"/>
    <x v="300"/>
    <x v="1"/>
    <x v="4"/>
    <x v="6"/>
    <x v="14"/>
    <x v="7"/>
    <n v="0"/>
    <x v="1"/>
  </r>
  <r>
    <x v="30"/>
    <x v="1"/>
    <x v="300"/>
    <x v="1"/>
    <x v="4"/>
    <x v="6"/>
    <x v="14"/>
    <x v="8"/>
    <n v="0"/>
    <x v="1"/>
  </r>
  <r>
    <x v="30"/>
    <x v="1"/>
    <x v="300"/>
    <x v="1"/>
    <x v="4"/>
    <x v="6"/>
    <x v="14"/>
    <x v="9"/>
    <n v="0"/>
    <x v="1"/>
  </r>
  <r>
    <x v="30"/>
    <x v="1"/>
    <x v="300"/>
    <x v="1"/>
    <x v="4"/>
    <x v="6"/>
    <x v="14"/>
    <x v="10"/>
    <n v="0"/>
    <x v="1"/>
  </r>
  <r>
    <x v="30"/>
    <x v="1"/>
    <x v="300"/>
    <x v="1"/>
    <x v="4"/>
    <x v="6"/>
    <x v="14"/>
    <x v="12"/>
    <n v="0"/>
    <x v="1"/>
  </r>
  <r>
    <x v="30"/>
    <x v="1"/>
    <x v="301"/>
    <x v="0"/>
    <x v="4"/>
    <x v="41"/>
    <x v="1"/>
    <x v="0"/>
    <n v="200"/>
    <x v="1"/>
  </r>
  <r>
    <x v="30"/>
    <x v="1"/>
    <x v="301"/>
    <x v="0"/>
    <x v="4"/>
    <x v="41"/>
    <x v="1"/>
    <x v="1"/>
    <n v="0"/>
    <x v="1"/>
  </r>
  <r>
    <x v="30"/>
    <x v="1"/>
    <x v="301"/>
    <x v="0"/>
    <x v="4"/>
    <x v="41"/>
    <x v="1"/>
    <x v="2"/>
    <n v="0"/>
    <x v="1"/>
  </r>
  <r>
    <x v="30"/>
    <x v="1"/>
    <x v="301"/>
    <x v="0"/>
    <x v="4"/>
    <x v="41"/>
    <x v="1"/>
    <x v="3"/>
    <n v="0"/>
    <x v="1"/>
  </r>
  <r>
    <x v="30"/>
    <x v="1"/>
    <x v="301"/>
    <x v="0"/>
    <x v="4"/>
    <x v="41"/>
    <x v="1"/>
    <x v="4"/>
    <n v="0"/>
    <x v="1"/>
  </r>
  <r>
    <x v="30"/>
    <x v="1"/>
    <x v="301"/>
    <x v="0"/>
    <x v="4"/>
    <x v="41"/>
    <x v="1"/>
    <x v="5"/>
    <n v="0"/>
    <x v="1"/>
  </r>
  <r>
    <x v="30"/>
    <x v="1"/>
    <x v="301"/>
    <x v="0"/>
    <x v="4"/>
    <x v="41"/>
    <x v="1"/>
    <x v="6"/>
    <n v="0"/>
    <x v="1"/>
  </r>
  <r>
    <x v="30"/>
    <x v="1"/>
    <x v="301"/>
    <x v="0"/>
    <x v="4"/>
    <x v="41"/>
    <x v="1"/>
    <x v="7"/>
    <n v="0"/>
    <x v="1"/>
  </r>
  <r>
    <x v="30"/>
    <x v="1"/>
    <x v="301"/>
    <x v="0"/>
    <x v="4"/>
    <x v="41"/>
    <x v="1"/>
    <x v="8"/>
    <n v="0"/>
    <x v="1"/>
  </r>
  <r>
    <x v="30"/>
    <x v="1"/>
    <x v="301"/>
    <x v="0"/>
    <x v="4"/>
    <x v="41"/>
    <x v="1"/>
    <x v="9"/>
    <n v="0"/>
    <x v="1"/>
  </r>
  <r>
    <x v="30"/>
    <x v="1"/>
    <x v="301"/>
    <x v="0"/>
    <x v="4"/>
    <x v="41"/>
    <x v="1"/>
    <x v="10"/>
    <n v="0"/>
    <x v="1"/>
  </r>
  <r>
    <x v="30"/>
    <x v="1"/>
    <x v="301"/>
    <x v="0"/>
    <x v="4"/>
    <x v="41"/>
    <x v="1"/>
    <x v="12"/>
    <n v="0"/>
    <x v="1"/>
  </r>
  <r>
    <x v="32"/>
    <x v="1"/>
    <x v="302"/>
    <x v="0"/>
    <x v="4"/>
    <x v="6"/>
    <x v="8"/>
    <x v="0"/>
    <n v="142.54000000000002"/>
    <x v="1"/>
  </r>
  <r>
    <x v="32"/>
    <x v="1"/>
    <x v="302"/>
    <x v="0"/>
    <x v="4"/>
    <x v="6"/>
    <x v="8"/>
    <x v="1"/>
    <n v="0"/>
    <x v="1"/>
  </r>
  <r>
    <x v="32"/>
    <x v="1"/>
    <x v="302"/>
    <x v="0"/>
    <x v="4"/>
    <x v="6"/>
    <x v="8"/>
    <x v="2"/>
    <n v="0"/>
    <x v="1"/>
  </r>
  <r>
    <x v="32"/>
    <x v="1"/>
    <x v="302"/>
    <x v="0"/>
    <x v="4"/>
    <x v="6"/>
    <x v="8"/>
    <x v="3"/>
    <n v="0"/>
    <x v="1"/>
  </r>
  <r>
    <x v="32"/>
    <x v="1"/>
    <x v="302"/>
    <x v="0"/>
    <x v="4"/>
    <x v="6"/>
    <x v="8"/>
    <x v="4"/>
    <n v="0"/>
    <x v="1"/>
  </r>
  <r>
    <x v="32"/>
    <x v="1"/>
    <x v="302"/>
    <x v="0"/>
    <x v="4"/>
    <x v="6"/>
    <x v="8"/>
    <x v="5"/>
    <n v="0"/>
    <x v="1"/>
  </r>
  <r>
    <x v="32"/>
    <x v="1"/>
    <x v="302"/>
    <x v="0"/>
    <x v="4"/>
    <x v="6"/>
    <x v="8"/>
    <x v="6"/>
    <n v="0"/>
    <x v="1"/>
  </r>
  <r>
    <x v="32"/>
    <x v="1"/>
    <x v="302"/>
    <x v="0"/>
    <x v="4"/>
    <x v="6"/>
    <x v="8"/>
    <x v="7"/>
    <n v="0"/>
    <x v="1"/>
  </r>
  <r>
    <x v="32"/>
    <x v="1"/>
    <x v="302"/>
    <x v="0"/>
    <x v="4"/>
    <x v="6"/>
    <x v="8"/>
    <x v="8"/>
    <n v="0"/>
    <x v="1"/>
  </r>
  <r>
    <x v="32"/>
    <x v="1"/>
    <x v="302"/>
    <x v="0"/>
    <x v="4"/>
    <x v="6"/>
    <x v="8"/>
    <x v="9"/>
    <n v="0"/>
    <x v="1"/>
  </r>
  <r>
    <x v="32"/>
    <x v="1"/>
    <x v="302"/>
    <x v="0"/>
    <x v="4"/>
    <x v="6"/>
    <x v="8"/>
    <x v="10"/>
    <n v="0"/>
    <x v="1"/>
  </r>
  <r>
    <x v="32"/>
    <x v="1"/>
    <x v="302"/>
    <x v="0"/>
    <x v="4"/>
    <x v="6"/>
    <x v="8"/>
    <x v="12"/>
    <n v="0"/>
    <x v="1"/>
  </r>
  <r>
    <x v="30"/>
    <x v="1"/>
    <x v="303"/>
    <x v="0"/>
    <x v="4"/>
    <x v="41"/>
    <x v="0"/>
    <x v="0"/>
    <n v="200"/>
    <x v="1"/>
  </r>
  <r>
    <x v="30"/>
    <x v="1"/>
    <x v="303"/>
    <x v="0"/>
    <x v="4"/>
    <x v="41"/>
    <x v="0"/>
    <x v="1"/>
    <n v="0"/>
    <x v="1"/>
  </r>
  <r>
    <x v="30"/>
    <x v="1"/>
    <x v="303"/>
    <x v="0"/>
    <x v="4"/>
    <x v="41"/>
    <x v="0"/>
    <x v="2"/>
    <n v="0"/>
    <x v="1"/>
  </r>
  <r>
    <x v="30"/>
    <x v="1"/>
    <x v="303"/>
    <x v="0"/>
    <x v="4"/>
    <x v="41"/>
    <x v="0"/>
    <x v="3"/>
    <n v="0"/>
    <x v="1"/>
  </r>
  <r>
    <x v="30"/>
    <x v="1"/>
    <x v="303"/>
    <x v="0"/>
    <x v="4"/>
    <x v="41"/>
    <x v="0"/>
    <x v="4"/>
    <n v="0"/>
    <x v="1"/>
  </r>
  <r>
    <x v="30"/>
    <x v="1"/>
    <x v="303"/>
    <x v="0"/>
    <x v="4"/>
    <x v="41"/>
    <x v="0"/>
    <x v="5"/>
    <n v="0"/>
    <x v="1"/>
  </r>
  <r>
    <x v="30"/>
    <x v="1"/>
    <x v="303"/>
    <x v="0"/>
    <x v="4"/>
    <x v="41"/>
    <x v="0"/>
    <x v="6"/>
    <n v="0"/>
    <x v="1"/>
  </r>
  <r>
    <x v="30"/>
    <x v="1"/>
    <x v="303"/>
    <x v="0"/>
    <x v="4"/>
    <x v="41"/>
    <x v="0"/>
    <x v="7"/>
    <n v="0"/>
    <x v="1"/>
  </r>
  <r>
    <x v="30"/>
    <x v="1"/>
    <x v="303"/>
    <x v="0"/>
    <x v="4"/>
    <x v="41"/>
    <x v="0"/>
    <x v="8"/>
    <n v="0"/>
    <x v="1"/>
  </r>
  <r>
    <x v="30"/>
    <x v="1"/>
    <x v="303"/>
    <x v="0"/>
    <x v="4"/>
    <x v="41"/>
    <x v="0"/>
    <x v="9"/>
    <n v="0"/>
    <x v="1"/>
  </r>
  <r>
    <x v="30"/>
    <x v="1"/>
    <x v="303"/>
    <x v="0"/>
    <x v="4"/>
    <x v="41"/>
    <x v="0"/>
    <x v="10"/>
    <n v="0"/>
    <x v="1"/>
  </r>
  <r>
    <x v="30"/>
    <x v="1"/>
    <x v="303"/>
    <x v="0"/>
    <x v="4"/>
    <x v="41"/>
    <x v="0"/>
    <x v="12"/>
    <n v="0"/>
    <x v="1"/>
  </r>
  <r>
    <x v="30"/>
    <x v="1"/>
    <x v="304"/>
    <x v="0"/>
    <x v="4"/>
    <x v="34"/>
    <x v="5"/>
    <x v="0"/>
    <n v="0"/>
    <x v="1"/>
  </r>
  <r>
    <x v="30"/>
    <x v="1"/>
    <x v="304"/>
    <x v="0"/>
    <x v="4"/>
    <x v="34"/>
    <x v="5"/>
    <x v="1"/>
    <n v="565.03"/>
    <x v="1"/>
  </r>
  <r>
    <x v="30"/>
    <x v="1"/>
    <x v="304"/>
    <x v="0"/>
    <x v="4"/>
    <x v="34"/>
    <x v="5"/>
    <x v="2"/>
    <n v="0"/>
    <x v="1"/>
  </r>
  <r>
    <x v="30"/>
    <x v="1"/>
    <x v="304"/>
    <x v="0"/>
    <x v="4"/>
    <x v="34"/>
    <x v="5"/>
    <x v="3"/>
    <n v="0"/>
    <x v="1"/>
  </r>
  <r>
    <x v="30"/>
    <x v="1"/>
    <x v="304"/>
    <x v="0"/>
    <x v="4"/>
    <x v="34"/>
    <x v="5"/>
    <x v="4"/>
    <n v="0"/>
    <x v="1"/>
  </r>
  <r>
    <x v="30"/>
    <x v="1"/>
    <x v="304"/>
    <x v="0"/>
    <x v="4"/>
    <x v="34"/>
    <x v="5"/>
    <x v="5"/>
    <n v="0"/>
    <x v="1"/>
  </r>
  <r>
    <x v="30"/>
    <x v="1"/>
    <x v="304"/>
    <x v="0"/>
    <x v="4"/>
    <x v="34"/>
    <x v="5"/>
    <x v="6"/>
    <n v="0"/>
    <x v="1"/>
  </r>
  <r>
    <x v="30"/>
    <x v="1"/>
    <x v="304"/>
    <x v="0"/>
    <x v="4"/>
    <x v="34"/>
    <x v="5"/>
    <x v="7"/>
    <n v="0"/>
    <x v="1"/>
  </r>
  <r>
    <x v="30"/>
    <x v="1"/>
    <x v="304"/>
    <x v="0"/>
    <x v="4"/>
    <x v="34"/>
    <x v="5"/>
    <x v="8"/>
    <n v="0"/>
    <x v="1"/>
  </r>
  <r>
    <x v="30"/>
    <x v="1"/>
    <x v="304"/>
    <x v="0"/>
    <x v="4"/>
    <x v="34"/>
    <x v="5"/>
    <x v="9"/>
    <n v="0"/>
    <x v="1"/>
  </r>
  <r>
    <x v="30"/>
    <x v="1"/>
    <x v="304"/>
    <x v="0"/>
    <x v="4"/>
    <x v="34"/>
    <x v="5"/>
    <x v="10"/>
    <n v="0"/>
    <x v="1"/>
  </r>
  <r>
    <x v="30"/>
    <x v="1"/>
    <x v="304"/>
    <x v="0"/>
    <x v="4"/>
    <x v="34"/>
    <x v="5"/>
    <x v="12"/>
    <n v="0"/>
    <x v="1"/>
  </r>
  <r>
    <x v="30"/>
    <x v="1"/>
    <x v="305"/>
    <x v="1"/>
    <x v="4"/>
    <x v="6"/>
    <x v="14"/>
    <x v="0"/>
    <n v="0"/>
    <x v="1"/>
  </r>
  <r>
    <x v="30"/>
    <x v="1"/>
    <x v="305"/>
    <x v="1"/>
    <x v="4"/>
    <x v="6"/>
    <x v="14"/>
    <x v="1"/>
    <n v="0"/>
    <x v="1"/>
  </r>
  <r>
    <x v="30"/>
    <x v="1"/>
    <x v="305"/>
    <x v="1"/>
    <x v="4"/>
    <x v="6"/>
    <x v="14"/>
    <x v="2"/>
    <n v="266.04000000000002"/>
    <x v="1"/>
  </r>
  <r>
    <x v="30"/>
    <x v="1"/>
    <x v="305"/>
    <x v="1"/>
    <x v="4"/>
    <x v="6"/>
    <x v="14"/>
    <x v="3"/>
    <n v="0"/>
    <x v="1"/>
  </r>
  <r>
    <x v="30"/>
    <x v="1"/>
    <x v="305"/>
    <x v="1"/>
    <x v="4"/>
    <x v="6"/>
    <x v="14"/>
    <x v="4"/>
    <n v="0"/>
    <x v="1"/>
  </r>
  <r>
    <x v="30"/>
    <x v="1"/>
    <x v="305"/>
    <x v="1"/>
    <x v="4"/>
    <x v="6"/>
    <x v="14"/>
    <x v="5"/>
    <n v="0"/>
    <x v="1"/>
  </r>
  <r>
    <x v="30"/>
    <x v="1"/>
    <x v="305"/>
    <x v="1"/>
    <x v="4"/>
    <x v="6"/>
    <x v="14"/>
    <x v="6"/>
    <n v="0"/>
    <x v="1"/>
  </r>
  <r>
    <x v="30"/>
    <x v="1"/>
    <x v="305"/>
    <x v="1"/>
    <x v="4"/>
    <x v="6"/>
    <x v="14"/>
    <x v="7"/>
    <n v="0"/>
    <x v="1"/>
  </r>
  <r>
    <x v="30"/>
    <x v="1"/>
    <x v="305"/>
    <x v="1"/>
    <x v="4"/>
    <x v="6"/>
    <x v="14"/>
    <x v="8"/>
    <n v="0"/>
    <x v="1"/>
  </r>
  <r>
    <x v="30"/>
    <x v="1"/>
    <x v="305"/>
    <x v="1"/>
    <x v="4"/>
    <x v="6"/>
    <x v="14"/>
    <x v="9"/>
    <n v="0"/>
    <x v="1"/>
  </r>
  <r>
    <x v="30"/>
    <x v="1"/>
    <x v="305"/>
    <x v="1"/>
    <x v="4"/>
    <x v="6"/>
    <x v="14"/>
    <x v="10"/>
    <n v="0"/>
    <x v="1"/>
  </r>
  <r>
    <x v="30"/>
    <x v="1"/>
    <x v="305"/>
    <x v="1"/>
    <x v="4"/>
    <x v="6"/>
    <x v="14"/>
    <x v="12"/>
    <n v="0"/>
    <x v="1"/>
  </r>
  <r>
    <x v="30"/>
    <x v="1"/>
    <x v="306"/>
    <x v="0"/>
    <x v="4"/>
    <x v="34"/>
    <x v="9"/>
    <x v="0"/>
    <n v="0"/>
    <x v="1"/>
  </r>
  <r>
    <x v="30"/>
    <x v="1"/>
    <x v="306"/>
    <x v="0"/>
    <x v="4"/>
    <x v="34"/>
    <x v="9"/>
    <x v="1"/>
    <n v="0"/>
    <x v="1"/>
  </r>
  <r>
    <x v="30"/>
    <x v="1"/>
    <x v="306"/>
    <x v="0"/>
    <x v="4"/>
    <x v="34"/>
    <x v="9"/>
    <x v="2"/>
    <n v="85.93"/>
    <x v="1"/>
  </r>
  <r>
    <x v="30"/>
    <x v="1"/>
    <x v="306"/>
    <x v="0"/>
    <x v="4"/>
    <x v="34"/>
    <x v="9"/>
    <x v="3"/>
    <n v="0"/>
    <x v="1"/>
  </r>
  <r>
    <x v="30"/>
    <x v="1"/>
    <x v="306"/>
    <x v="0"/>
    <x v="4"/>
    <x v="34"/>
    <x v="9"/>
    <x v="4"/>
    <n v="0"/>
    <x v="1"/>
  </r>
  <r>
    <x v="30"/>
    <x v="1"/>
    <x v="306"/>
    <x v="0"/>
    <x v="4"/>
    <x v="34"/>
    <x v="9"/>
    <x v="5"/>
    <n v="0"/>
    <x v="1"/>
  </r>
  <r>
    <x v="30"/>
    <x v="1"/>
    <x v="306"/>
    <x v="0"/>
    <x v="4"/>
    <x v="34"/>
    <x v="9"/>
    <x v="6"/>
    <n v="0"/>
    <x v="1"/>
  </r>
  <r>
    <x v="30"/>
    <x v="1"/>
    <x v="306"/>
    <x v="0"/>
    <x v="4"/>
    <x v="34"/>
    <x v="9"/>
    <x v="7"/>
    <n v="0"/>
    <x v="1"/>
  </r>
  <r>
    <x v="30"/>
    <x v="1"/>
    <x v="306"/>
    <x v="0"/>
    <x v="4"/>
    <x v="34"/>
    <x v="9"/>
    <x v="8"/>
    <n v="0"/>
    <x v="1"/>
  </r>
  <r>
    <x v="30"/>
    <x v="1"/>
    <x v="306"/>
    <x v="0"/>
    <x v="4"/>
    <x v="34"/>
    <x v="9"/>
    <x v="9"/>
    <n v="0"/>
    <x v="1"/>
  </r>
  <r>
    <x v="30"/>
    <x v="1"/>
    <x v="306"/>
    <x v="0"/>
    <x v="4"/>
    <x v="34"/>
    <x v="9"/>
    <x v="10"/>
    <n v="0"/>
    <x v="1"/>
  </r>
  <r>
    <x v="30"/>
    <x v="1"/>
    <x v="306"/>
    <x v="0"/>
    <x v="4"/>
    <x v="34"/>
    <x v="9"/>
    <x v="12"/>
    <n v="0"/>
    <x v="1"/>
  </r>
  <r>
    <x v="30"/>
    <x v="1"/>
    <x v="307"/>
    <x v="0"/>
    <x v="4"/>
    <x v="34"/>
    <x v="1"/>
    <x v="0"/>
    <n v="0"/>
    <x v="1"/>
  </r>
  <r>
    <x v="30"/>
    <x v="1"/>
    <x v="307"/>
    <x v="0"/>
    <x v="4"/>
    <x v="34"/>
    <x v="1"/>
    <x v="1"/>
    <n v="0"/>
    <x v="1"/>
  </r>
  <r>
    <x v="30"/>
    <x v="1"/>
    <x v="307"/>
    <x v="0"/>
    <x v="4"/>
    <x v="34"/>
    <x v="1"/>
    <x v="2"/>
    <n v="79.930000000000007"/>
    <x v="1"/>
  </r>
  <r>
    <x v="30"/>
    <x v="1"/>
    <x v="307"/>
    <x v="0"/>
    <x v="4"/>
    <x v="34"/>
    <x v="1"/>
    <x v="3"/>
    <n v="0"/>
    <x v="1"/>
  </r>
  <r>
    <x v="30"/>
    <x v="1"/>
    <x v="307"/>
    <x v="0"/>
    <x v="4"/>
    <x v="34"/>
    <x v="1"/>
    <x v="4"/>
    <n v="0"/>
    <x v="1"/>
  </r>
  <r>
    <x v="30"/>
    <x v="1"/>
    <x v="307"/>
    <x v="0"/>
    <x v="4"/>
    <x v="34"/>
    <x v="1"/>
    <x v="5"/>
    <n v="0"/>
    <x v="1"/>
  </r>
  <r>
    <x v="30"/>
    <x v="1"/>
    <x v="307"/>
    <x v="0"/>
    <x v="4"/>
    <x v="34"/>
    <x v="1"/>
    <x v="6"/>
    <n v="0"/>
    <x v="1"/>
  </r>
  <r>
    <x v="30"/>
    <x v="1"/>
    <x v="307"/>
    <x v="0"/>
    <x v="4"/>
    <x v="34"/>
    <x v="1"/>
    <x v="7"/>
    <n v="0"/>
    <x v="1"/>
  </r>
  <r>
    <x v="30"/>
    <x v="1"/>
    <x v="307"/>
    <x v="0"/>
    <x v="4"/>
    <x v="34"/>
    <x v="1"/>
    <x v="8"/>
    <n v="0"/>
    <x v="1"/>
  </r>
  <r>
    <x v="30"/>
    <x v="1"/>
    <x v="307"/>
    <x v="0"/>
    <x v="4"/>
    <x v="34"/>
    <x v="1"/>
    <x v="9"/>
    <n v="0"/>
    <x v="1"/>
  </r>
  <r>
    <x v="30"/>
    <x v="1"/>
    <x v="307"/>
    <x v="0"/>
    <x v="4"/>
    <x v="34"/>
    <x v="1"/>
    <x v="10"/>
    <n v="0"/>
    <x v="1"/>
  </r>
  <r>
    <x v="30"/>
    <x v="1"/>
    <x v="307"/>
    <x v="0"/>
    <x v="4"/>
    <x v="34"/>
    <x v="1"/>
    <x v="12"/>
    <n v="0"/>
    <x v="1"/>
  </r>
  <r>
    <x v="30"/>
    <x v="1"/>
    <x v="308"/>
    <x v="2"/>
    <x v="4"/>
    <x v="40"/>
    <x v="14"/>
    <x v="0"/>
    <n v="0"/>
    <x v="1"/>
  </r>
  <r>
    <x v="30"/>
    <x v="1"/>
    <x v="308"/>
    <x v="2"/>
    <x v="4"/>
    <x v="40"/>
    <x v="14"/>
    <x v="1"/>
    <n v="0"/>
    <x v="1"/>
  </r>
  <r>
    <x v="30"/>
    <x v="1"/>
    <x v="308"/>
    <x v="2"/>
    <x v="4"/>
    <x v="40"/>
    <x v="14"/>
    <x v="2"/>
    <n v="0"/>
    <x v="1"/>
  </r>
  <r>
    <x v="30"/>
    <x v="1"/>
    <x v="308"/>
    <x v="2"/>
    <x v="4"/>
    <x v="40"/>
    <x v="14"/>
    <x v="3"/>
    <n v="0"/>
    <x v="1"/>
  </r>
  <r>
    <x v="30"/>
    <x v="1"/>
    <x v="308"/>
    <x v="2"/>
    <x v="4"/>
    <x v="40"/>
    <x v="14"/>
    <x v="4"/>
    <n v="807.26"/>
    <x v="1"/>
  </r>
  <r>
    <x v="30"/>
    <x v="1"/>
    <x v="308"/>
    <x v="2"/>
    <x v="4"/>
    <x v="40"/>
    <x v="14"/>
    <x v="5"/>
    <n v="0"/>
    <x v="1"/>
  </r>
  <r>
    <x v="30"/>
    <x v="1"/>
    <x v="308"/>
    <x v="2"/>
    <x v="4"/>
    <x v="40"/>
    <x v="14"/>
    <x v="6"/>
    <n v="0"/>
    <x v="1"/>
  </r>
  <r>
    <x v="30"/>
    <x v="1"/>
    <x v="308"/>
    <x v="2"/>
    <x v="4"/>
    <x v="40"/>
    <x v="14"/>
    <x v="7"/>
    <n v="0"/>
    <x v="1"/>
  </r>
  <r>
    <x v="30"/>
    <x v="1"/>
    <x v="308"/>
    <x v="2"/>
    <x v="4"/>
    <x v="40"/>
    <x v="14"/>
    <x v="8"/>
    <n v="0"/>
    <x v="1"/>
  </r>
  <r>
    <x v="30"/>
    <x v="1"/>
    <x v="308"/>
    <x v="2"/>
    <x v="4"/>
    <x v="40"/>
    <x v="14"/>
    <x v="9"/>
    <n v="0"/>
    <x v="1"/>
  </r>
  <r>
    <x v="30"/>
    <x v="1"/>
    <x v="308"/>
    <x v="2"/>
    <x v="4"/>
    <x v="40"/>
    <x v="14"/>
    <x v="10"/>
    <n v="0"/>
    <x v="1"/>
  </r>
  <r>
    <x v="30"/>
    <x v="1"/>
    <x v="308"/>
    <x v="2"/>
    <x v="4"/>
    <x v="40"/>
    <x v="14"/>
    <x v="12"/>
    <n v="0"/>
    <x v="1"/>
  </r>
  <r>
    <x v="30"/>
    <x v="1"/>
    <x v="309"/>
    <x v="0"/>
    <x v="4"/>
    <x v="6"/>
    <x v="5"/>
    <x v="0"/>
    <n v="0"/>
    <x v="1"/>
  </r>
  <r>
    <x v="30"/>
    <x v="1"/>
    <x v="309"/>
    <x v="0"/>
    <x v="4"/>
    <x v="6"/>
    <x v="5"/>
    <x v="1"/>
    <n v="0"/>
    <x v="1"/>
  </r>
  <r>
    <x v="30"/>
    <x v="1"/>
    <x v="309"/>
    <x v="0"/>
    <x v="4"/>
    <x v="6"/>
    <x v="5"/>
    <x v="2"/>
    <n v="0"/>
    <x v="1"/>
  </r>
  <r>
    <x v="30"/>
    <x v="1"/>
    <x v="309"/>
    <x v="0"/>
    <x v="4"/>
    <x v="6"/>
    <x v="5"/>
    <x v="3"/>
    <n v="0"/>
    <x v="1"/>
  </r>
  <r>
    <x v="30"/>
    <x v="1"/>
    <x v="309"/>
    <x v="0"/>
    <x v="4"/>
    <x v="6"/>
    <x v="5"/>
    <x v="4"/>
    <n v="424"/>
    <x v="1"/>
  </r>
  <r>
    <x v="30"/>
    <x v="1"/>
    <x v="309"/>
    <x v="0"/>
    <x v="4"/>
    <x v="6"/>
    <x v="5"/>
    <x v="5"/>
    <n v="0"/>
    <x v="1"/>
  </r>
  <r>
    <x v="30"/>
    <x v="1"/>
    <x v="309"/>
    <x v="0"/>
    <x v="4"/>
    <x v="6"/>
    <x v="5"/>
    <x v="6"/>
    <n v="0"/>
    <x v="1"/>
  </r>
  <r>
    <x v="30"/>
    <x v="1"/>
    <x v="309"/>
    <x v="0"/>
    <x v="4"/>
    <x v="6"/>
    <x v="5"/>
    <x v="7"/>
    <n v="0"/>
    <x v="1"/>
  </r>
  <r>
    <x v="30"/>
    <x v="1"/>
    <x v="309"/>
    <x v="0"/>
    <x v="4"/>
    <x v="6"/>
    <x v="5"/>
    <x v="8"/>
    <n v="0"/>
    <x v="1"/>
  </r>
  <r>
    <x v="30"/>
    <x v="1"/>
    <x v="309"/>
    <x v="0"/>
    <x v="4"/>
    <x v="6"/>
    <x v="5"/>
    <x v="9"/>
    <n v="0"/>
    <x v="1"/>
  </r>
  <r>
    <x v="30"/>
    <x v="1"/>
    <x v="309"/>
    <x v="0"/>
    <x v="4"/>
    <x v="6"/>
    <x v="5"/>
    <x v="10"/>
    <n v="0"/>
    <x v="1"/>
  </r>
  <r>
    <x v="30"/>
    <x v="1"/>
    <x v="309"/>
    <x v="0"/>
    <x v="4"/>
    <x v="6"/>
    <x v="5"/>
    <x v="12"/>
    <n v="0"/>
    <x v="1"/>
  </r>
  <r>
    <x v="34"/>
    <x v="1"/>
    <x v="310"/>
    <x v="0"/>
    <x v="4"/>
    <x v="6"/>
    <x v="18"/>
    <x v="0"/>
    <n v="0"/>
    <x v="1"/>
  </r>
  <r>
    <x v="34"/>
    <x v="1"/>
    <x v="310"/>
    <x v="0"/>
    <x v="4"/>
    <x v="6"/>
    <x v="18"/>
    <x v="1"/>
    <n v="0"/>
    <x v="1"/>
  </r>
  <r>
    <x v="34"/>
    <x v="1"/>
    <x v="310"/>
    <x v="0"/>
    <x v="4"/>
    <x v="6"/>
    <x v="18"/>
    <x v="2"/>
    <n v="0"/>
    <x v="1"/>
  </r>
  <r>
    <x v="34"/>
    <x v="1"/>
    <x v="310"/>
    <x v="0"/>
    <x v="4"/>
    <x v="6"/>
    <x v="18"/>
    <x v="3"/>
    <n v="0"/>
    <x v="1"/>
  </r>
  <r>
    <x v="34"/>
    <x v="1"/>
    <x v="310"/>
    <x v="0"/>
    <x v="4"/>
    <x v="6"/>
    <x v="18"/>
    <x v="4"/>
    <n v="306.04000000000002"/>
    <x v="1"/>
  </r>
  <r>
    <x v="34"/>
    <x v="1"/>
    <x v="310"/>
    <x v="0"/>
    <x v="4"/>
    <x v="6"/>
    <x v="18"/>
    <x v="5"/>
    <n v="0"/>
    <x v="1"/>
  </r>
  <r>
    <x v="34"/>
    <x v="1"/>
    <x v="310"/>
    <x v="0"/>
    <x v="4"/>
    <x v="6"/>
    <x v="18"/>
    <x v="6"/>
    <n v="0"/>
    <x v="1"/>
  </r>
  <r>
    <x v="34"/>
    <x v="1"/>
    <x v="310"/>
    <x v="0"/>
    <x v="4"/>
    <x v="6"/>
    <x v="18"/>
    <x v="7"/>
    <n v="0"/>
    <x v="1"/>
  </r>
  <r>
    <x v="34"/>
    <x v="1"/>
    <x v="310"/>
    <x v="0"/>
    <x v="4"/>
    <x v="6"/>
    <x v="18"/>
    <x v="8"/>
    <n v="0"/>
    <x v="1"/>
  </r>
  <r>
    <x v="34"/>
    <x v="1"/>
    <x v="310"/>
    <x v="0"/>
    <x v="4"/>
    <x v="6"/>
    <x v="18"/>
    <x v="9"/>
    <n v="0"/>
    <x v="1"/>
  </r>
  <r>
    <x v="34"/>
    <x v="1"/>
    <x v="310"/>
    <x v="0"/>
    <x v="4"/>
    <x v="6"/>
    <x v="18"/>
    <x v="10"/>
    <n v="0"/>
    <x v="1"/>
  </r>
  <r>
    <x v="34"/>
    <x v="1"/>
    <x v="310"/>
    <x v="0"/>
    <x v="4"/>
    <x v="6"/>
    <x v="18"/>
    <x v="12"/>
    <n v="0"/>
    <x v="1"/>
  </r>
  <r>
    <x v="30"/>
    <x v="1"/>
    <x v="311"/>
    <x v="0"/>
    <x v="4"/>
    <x v="42"/>
    <x v="0"/>
    <x v="0"/>
    <n v="0"/>
    <x v="1"/>
  </r>
  <r>
    <x v="30"/>
    <x v="1"/>
    <x v="311"/>
    <x v="0"/>
    <x v="4"/>
    <x v="42"/>
    <x v="0"/>
    <x v="1"/>
    <n v="0"/>
    <x v="1"/>
  </r>
  <r>
    <x v="30"/>
    <x v="1"/>
    <x v="311"/>
    <x v="0"/>
    <x v="4"/>
    <x v="42"/>
    <x v="0"/>
    <x v="2"/>
    <n v="0"/>
    <x v="1"/>
  </r>
  <r>
    <x v="30"/>
    <x v="1"/>
    <x v="311"/>
    <x v="0"/>
    <x v="4"/>
    <x v="42"/>
    <x v="0"/>
    <x v="3"/>
    <n v="0"/>
    <x v="1"/>
  </r>
  <r>
    <x v="30"/>
    <x v="1"/>
    <x v="311"/>
    <x v="0"/>
    <x v="4"/>
    <x v="42"/>
    <x v="0"/>
    <x v="4"/>
    <n v="350.46"/>
    <x v="1"/>
  </r>
  <r>
    <x v="30"/>
    <x v="1"/>
    <x v="311"/>
    <x v="0"/>
    <x v="4"/>
    <x v="42"/>
    <x v="0"/>
    <x v="5"/>
    <n v="0"/>
    <x v="1"/>
  </r>
  <r>
    <x v="30"/>
    <x v="1"/>
    <x v="311"/>
    <x v="0"/>
    <x v="4"/>
    <x v="42"/>
    <x v="0"/>
    <x v="6"/>
    <n v="0"/>
    <x v="1"/>
  </r>
  <r>
    <x v="30"/>
    <x v="1"/>
    <x v="311"/>
    <x v="0"/>
    <x v="4"/>
    <x v="42"/>
    <x v="0"/>
    <x v="7"/>
    <n v="0"/>
    <x v="1"/>
  </r>
  <r>
    <x v="30"/>
    <x v="1"/>
    <x v="311"/>
    <x v="0"/>
    <x v="4"/>
    <x v="42"/>
    <x v="0"/>
    <x v="8"/>
    <n v="0"/>
    <x v="1"/>
  </r>
  <r>
    <x v="30"/>
    <x v="1"/>
    <x v="311"/>
    <x v="0"/>
    <x v="4"/>
    <x v="42"/>
    <x v="0"/>
    <x v="9"/>
    <n v="0"/>
    <x v="1"/>
  </r>
  <r>
    <x v="30"/>
    <x v="1"/>
    <x v="311"/>
    <x v="0"/>
    <x v="4"/>
    <x v="42"/>
    <x v="0"/>
    <x v="10"/>
    <n v="0"/>
    <x v="1"/>
  </r>
  <r>
    <x v="30"/>
    <x v="1"/>
    <x v="311"/>
    <x v="0"/>
    <x v="4"/>
    <x v="42"/>
    <x v="0"/>
    <x v="12"/>
    <n v="0"/>
    <x v="1"/>
  </r>
  <r>
    <x v="30"/>
    <x v="1"/>
    <x v="312"/>
    <x v="0"/>
    <x v="4"/>
    <x v="34"/>
    <x v="5"/>
    <x v="0"/>
    <n v="0"/>
    <x v="1"/>
  </r>
  <r>
    <x v="30"/>
    <x v="1"/>
    <x v="312"/>
    <x v="0"/>
    <x v="4"/>
    <x v="34"/>
    <x v="5"/>
    <x v="1"/>
    <n v="0"/>
    <x v="1"/>
  </r>
  <r>
    <x v="30"/>
    <x v="1"/>
    <x v="312"/>
    <x v="0"/>
    <x v="4"/>
    <x v="34"/>
    <x v="5"/>
    <x v="2"/>
    <n v="0"/>
    <x v="1"/>
  </r>
  <r>
    <x v="30"/>
    <x v="1"/>
    <x v="312"/>
    <x v="0"/>
    <x v="4"/>
    <x v="34"/>
    <x v="5"/>
    <x v="3"/>
    <n v="0"/>
    <x v="1"/>
  </r>
  <r>
    <x v="30"/>
    <x v="1"/>
    <x v="312"/>
    <x v="0"/>
    <x v="4"/>
    <x v="34"/>
    <x v="5"/>
    <x v="4"/>
    <n v="388.06"/>
    <x v="1"/>
  </r>
  <r>
    <x v="30"/>
    <x v="1"/>
    <x v="312"/>
    <x v="0"/>
    <x v="4"/>
    <x v="34"/>
    <x v="5"/>
    <x v="5"/>
    <n v="0"/>
    <x v="1"/>
  </r>
  <r>
    <x v="30"/>
    <x v="1"/>
    <x v="312"/>
    <x v="0"/>
    <x v="4"/>
    <x v="34"/>
    <x v="5"/>
    <x v="6"/>
    <n v="0"/>
    <x v="1"/>
  </r>
  <r>
    <x v="30"/>
    <x v="1"/>
    <x v="312"/>
    <x v="0"/>
    <x v="4"/>
    <x v="34"/>
    <x v="5"/>
    <x v="7"/>
    <n v="0"/>
    <x v="1"/>
  </r>
  <r>
    <x v="30"/>
    <x v="1"/>
    <x v="312"/>
    <x v="0"/>
    <x v="4"/>
    <x v="34"/>
    <x v="5"/>
    <x v="8"/>
    <n v="0"/>
    <x v="1"/>
  </r>
  <r>
    <x v="30"/>
    <x v="1"/>
    <x v="312"/>
    <x v="0"/>
    <x v="4"/>
    <x v="34"/>
    <x v="5"/>
    <x v="9"/>
    <n v="0"/>
    <x v="1"/>
  </r>
  <r>
    <x v="30"/>
    <x v="1"/>
    <x v="312"/>
    <x v="0"/>
    <x v="4"/>
    <x v="34"/>
    <x v="5"/>
    <x v="10"/>
    <n v="0"/>
    <x v="1"/>
  </r>
  <r>
    <x v="30"/>
    <x v="1"/>
    <x v="312"/>
    <x v="0"/>
    <x v="4"/>
    <x v="34"/>
    <x v="5"/>
    <x v="12"/>
    <n v="0"/>
    <x v="1"/>
  </r>
  <r>
    <x v="30"/>
    <x v="1"/>
    <x v="313"/>
    <x v="0"/>
    <x v="4"/>
    <x v="34"/>
    <x v="18"/>
    <x v="0"/>
    <n v="0"/>
    <x v="1"/>
  </r>
  <r>
    <x v="30"/>
    <x v="1"/>
    <x v="313"/>
    <x v="0"/>
    <x v="4"/>
    <x v="34"/>
    <x v="18"/>
    <x v="1"/>
    <n v="0"/>
    <x v="1"/>
  </r>
  <r>
    <x v="30"/>
    <x v="1"/>
    <x v="313"/>
    <x v="0"/>
    <x v="4"/>
    <x v="34"/>
    <x v="18"/>
    <x v="2"/>
    <n v="0"/>
    <x v="1"/>
  </r>
  <r>
    <x v="30"/>
    <x v="1"/>
    <x v="313"/>
    <x v="0"/>
    <x v="4"/>
    <x v="34"/>
    <x v="18"/>
    <x v="3"/>
    <n v="0"/>
    <x v="1"/>
  </r>
  <r>
    <x v="30"/>
    <x v="1"/>
    <x v="313"/>
    <x v="0"/>
    <x v="4"/>
    <x v="34"/>
    <x v="18"/>
    <x v="4"/>
    <n v="43"/>
    <x v="1"/>
  </r>
  <r>
    <x v="30"/>
    <x v="1"/>
    <x v="313"/>
    <x v="0"/>
    <x v="4"/>
    <x v="34"/>
    <x v="18"/>
    <x v="5"/>
    <n v="0"/>
    <x v="1"/>
  </r>
  <r>
    <x v="30"/>
    <x v="1"/>
    <x v="313"/>
    <x v="0"/>
    <x v="4"/>
    <x v="34"/>
    <x v="18"/>
    <x v="6"/>
    <n v="0"/>
    <x v="1"/>
  </r>
  <r>
    <x v="30"/>
    <x v="1"/>
    <x v="313"/>
    <x v="0"/>
    <x v="4"/>
    <x v="34"/>
    <x v="18"/>
    <x v="7"/>
    <n v="0"/>
    <x v="1"/>
  </r>
  <r>
    <x v="30"/>
    <x v="1"/>
    <x v="313"/>
    <x v="0"/>
    <x v="4"/>
    <x v="34"/>
    <x v="18"/>
    <x v="8"/>
    <n v="0"/>
    <x v="1"/>
  </r>
  <r>
    <x v="30"/>
    <x v="1"/>
    <x v="313"/>
    <x v="0"/>
    <x v="4"/>
    <x v="34"/>
    <x v="18"/>
    <x v="9"/>
    <n v="0"/>
    <x v="1"/>
  </r>
  <r>
    <x v="30"/>
    <x v="1"/>
    <x v="313"/>
    <x v="0"/>
    <x v="4"/>
    <x v="34"/>
    <x v="18"/>
    <x v="10"/>
    <n v="0"/>
    <x v="1"/>
  </r>
  <r>
    <x v="30"/>
    <x v="1"/>
    <x v="313"/>
    <x v="0"/>
    <x v="4"/>
    <x v="34"/>
    <x v="18"/>
    <x v="12"/>
    <n v="0"/>
    <x v="1"/>
  </r>
  <r>
    <x v="30"/>
    <x v="1"/>
    <x v="314"/>
    <x v="0"/>
    <x v="4"/>
    <x v="6"/>
    <x v="19"/>
    <x v="0"/>
    <n v="0"/>
    <x v="1"/>
  </r>
  <r>
    <x v="30"/>
    <x v="1"/>
    <x v="314"/>
    <x v="0"/>
    <x v="4"/>
    <x v="6"/>
    <x v="19"/>
    <x v="1"/>
    <n v="0"/>
    <x v="1"/>
  </r>
  <r>
    <x v="30"/>
    <x v="1"/>
    <x v="314"/>
    <x v="0"/>
    <x v="4"/>
    <x v="6"/>
    <x v="19"/>
    <x v="2"/>
    <n v="0"/>
    <x v="1"/>
  </r>
  <r>
    <x v="30"/>
    <x v="1"/>
    <x v="314"/>
    <x v="0"/>
    <x v="4"/>
    <x v="6"/>
    <x v="19"/>
    <x v="3"/>
    <n v="0"/>
    <x v="1"/>
  </r>
  <r>
    <x v="30"/>
    <x v="1"/>
    <x v="314"/>
    <x v="0"/>
    <x v="4"/>
    <x v="6"/>
    <x v="19"/>
    <x v="4"/>
    <n v="0"/>
    <x v="1"/>
  </r>
  <r>
    <x v="30"/>
    <x v="1"/>
    <x v="314"/>
    <x v="0"/>
    <x v="4"/>
    <x v="6"/>
    <x v="19"/>
    <x v="5"/>
    <n v="199.75"/>
    <x v="1"/>
  </r>
  <r>
    <x v="30"/>
    <x v="1"/>
    <x v="314"/>
    <x v="0"/>
    <x v="4"/>
    <x v="6"/>
    <x v="19"/>
    <x v="6"/>
    <n v="0"/>
    <x v="1"/>
  </r>
  <r>
    <x v="30"/>
    <x v="1"/>
    <x v="314"/>
    <x v="0"/>
    <x v="4"/>
    <x v="6"/>
    <x v="19"/>
    <x v="7"/>
    <n v="0"/>
    <x v="1"/>
  </r>
  <r>
    <x v="30"/>
    <x v="1"/>
    <x v="314"/>
    <x v="0"/>
    <x v="4"/>
    <x v="6"/>
    <x v="19"/>
    <x v="8"/>
    <n v="0"/>
    <x v="1"/>
  </r>
  <r>
    <x v="30"/>
    <x v="1"/>
    <x v="314"/>
    <x v="0"/>
    <x v="4"/>
    <x v="6"/>
    <x v="19"/>
    <x v="9"/>
    <n v="0"/>
    <x v="1"/>
  </r>
  <r>
    <x v="30"/>
    <x v="1"/>
    <x v="314"/>
    <x v="0"/>
    <x v="4"/>
    <x v="6"/>
    <x v="19"/>
    <x v="10"/>
    <n v="0"/>
    <x v="1"/>
  </r>
  <r>
    <x v="30"/>
    <x v="1"/>
    <x v="314"/>
    <x v="0"/>
    <x v="4"/>
    <x v="6"/>
    <x v="19"/>
    <x v="12"/>
    <n v="0"/>
    <x v="1"/>
  </r>
  <r>
    <x v="30"/>
    <x v="1"/>
    <x v="315"/>
    <x v="0"/>
    <x v="4"/>
    <x v="34"/>
    <x v="5"/>
    <x v="0"/>
    <n v="0"/>
    <x v="1"/>
  </r>
  <r>
    <x v="30"/>
    <x v="1"/>
    <x v="315"/>
    <x v="0"/>
    <x v="4"/>
    <x v="34"/>
    <x v="5"/>
    <x v="1"/>
    <n v="0"/>
    <x v="1"/>
  </r>
  <r>
    <x v="30"/>
    <x v="1"/>
    <x v="315"/>
    <x v="0"/>
    <x v="4"/>
    <x v="34"/>
    <x v="5"/>
    <x v="2"/>
    <n v="0"/>
    <x v="1"/>
  </r>
  <r>
    <x v="30"/>
    <x v="1"/>
    <x v="315"/>
    <x v="0"/>
    <x v="4"/>
    <x v="34"/>
    <x v="5"/>
    <x v="3"/>
    <n v="0"/>
    <x v="1"/>
  </r>
  <r>
    <x v="30"/>
    <x v="1"/>
    <x v="315"/>
    <x v="0"/>
    <x v="4"/>
    <x v="34"/>
    <x v="5"/>
    <x v="4"/>
    <n v="0"/>
    <x v="1"/>
  </r>
  <r>
    <x v="30"/>
    <x v="1"/>
    <x v="315"/>
    <x v="0"/>
    <x v="4"/>
    <x v="34"/>
    <x v="5"/>
    <x v="5"/>
    <n v="360.4"/>
    <x v="1"/>
  </r>
  <r>
    <x v="30"/>
    <x v="1"/>
    <x v="315"/>
    <x v="0"/>
    <x v="4"/>
    <x v="34"/>
    <x v="5"/>
    <x v="6"/>
    <n v="0"/>
    <x v="1"/>
  </r>
  <r>
    <x v="30"/>
    <x v="1"/>
    <x v="315"/>
    <x v="0"/>
    <x v="4"/>
    <x v="34"/>
    <x v="5"/>
    <x v="7"/>
    <n v="0"/>
    <x v="1"/>
  </r>
  <r>
    <x v="30"/>
    <x v="1"/>
    <x v="315"/>
    <x v="0"/>
    <x v="4"/>
    <x v="34"/>
    <x v="5"/>
    <x v="8"/>
    <n v="0"/>
    <x v="1"/>
  </r>
  <r>
    <x v="30"/>
    <x v="1"/>
    <x v="315"/>
    <x v="0"/>
    <x v="4"/>
    <x v="34"/>
    <x v="5"/>
    <x v="9"/>
    <n v="0"/>
    <x v="1"/>
  </r>
  <r>
    <x v="30"/>
    <x v="1"/>
    <x v="315"/>
    <x v="0"/>
    <x v="4"/>
    <x v="34"/>
    <x v="5"/>
    <x v="10"/>
    <n v="0"/>
    <x v="1"/>
  </r>
  <r>
    <x v="30"/>
    <x v="1"/>
    <x v="315"/>
    <x v="0"/>
    <x v="4"/>
    <x v="34"/>
    <x v="5"/>
    <x v="12"/>
    <n v="0"/>
    <x v="1"/>
  </r>
  <r>
    <x v="32"/>
    <x v="1"/>
    <x v="302"/>
    <x v="0"/>
    <x v="4"/>
    <x v="6"/>
    <x v="0"/>
    <x v="0"/>
    <n v="0"/>
    <x v="1"/>
  </r>
  <r>
    <x v="32"/>
    <x v="1"/>
    <x v="302"/>
    <x v="0"/>
    <x v="4"/>
    <x v="6"/>
    <x v="0"/>
    <x v="1"/>
    <n v="0"/>
    <x v="1"/>
  </r>
  <r>
    <x v="32"/>
    <x v="1"/>
    <x v="302"/>
    <x v="0"/>
    <x v="4"/>
    <x v="6"/>
    <x v="0"/>
    <x v="2"/>
    <n v="0"/>
    <x v="1"/>
  </r>
  <r>
    <x v="32"/>
    <x v="1"/>
    <x v="302"/>
    <x v="0"/>
    <x v="4"/>
    <x v="6"/>
    <x v="0"/>
    <x v="3"/>
    <n v="0"/>
    <x v="1"/>
  </r>
  <r>
    <x v="32"/>
    <x v="1"/>
    <x v="302"/>
    <x v="0"/>
    <x v="4"/>
    <x v="6"/>
    <x v="0"/>
    <x v="4"/>
    <n v="0"/>
    <x v="1"/>
  </r>
  <r>
    <x v="32"/>
    <x v="1"/>
    <x v="302"/>
    <x v="0"/>
    <x v="4"/>
    <x v="6"/>
    <x v="0"/>
    <x v="5"/>
    <n v="94.24"/>
    <x v="1"/>
  </r>
  <r>
    <x v="32"/>
    <x v="1"/>
    <x v="302"/>
    <x v="0"/>
    <x v="4"/>
    <x v="6"/>
    <x v="0"/>
    <x v="6"/>
    <n v="0"/>
    <x v="1"/>
  </r>
  <r>
    <x v="32"/>
    <x v="1"/>
    <x v="302"/>
    <x v="0"/>
    <x v="4"/>
    <x v="6"/>
    <x v="0"/>
    <x v="7"/>
    <n v="0"/>
    <x v="1"/>
  </r>
  <r>
    <x v="32"/>
    <x v="1"/>
    <x v="302"/>
    <x v="0"/>
    <x v="4"/>
    <x v="6"/>
    <x v="0"/>
    <x v="8"/>
    <n v="0"/>
    <x v="1"/>
  </r>
  <r>
    <x v="32"/>
    <x v="1"/>
    <x v="302"/>
    <x v="0"/>
    <x v="4"/>
    <x v="6"/>
    <x v="0"/>
    <x v="9"/>
    <n v="0"/>
    <x v="1"/>
  </r>
  <r>
    <x v="32"/>
    <x v="1"/>
    <x v="302"/>
    <x v="0"/>
    <x v="4"/>
    <x v="6"/>
    <x v="0"/>
    <x v="10"/>
    <n v="0"/>
    <x v="1"/>
  </r>
  <r>
    <x v="32"/>
    <x v="1"/>
    <x v="302"/>
    <x v="0"/>
    <x v="4"/>
    <x v="6"/>
    <x v="0"/>
    <x v="12"/>
    <n v="0"/>
    <x v="1"/>
  </r>
  <r>
    <x v="3"/>
    <x v="1"/>
    <x v="316"/>
    <x v="0"/>
    <x v="4"/>
    <x v="6"/>
    <x v="19"/>
    <x v="0"/>
    <n v="0"/>
    <x v="1"/>
  </r>
  <r>
    <x v="3"/>
    <x v="1"/>
    <x v="316"/>
    <x v="0"/>
    <x v="4"/>
    <x v="6"/>
    <x v="19"/>
    <x v="1"/>
    <n v="0"/>
    <x v="1"/>
  </r>
  <r>
    <x v="3"/>
    <x v="1"/>
    <x v="316"/>
    <x v="0"/>
    <x v="4"/>
    <x v="6"/>
    <x v="19"/>
    <x v="2"/>
    <n v="0"/>
    <x v="1"/>
  </r>
  <r>
    <x v="3"/>
    <x v="1"/>
    <x v="316"/>
    <x v="0"/>
    <x v="4"/>
    <x v="6"/>
    <x v="19"/>
    <x v="3"/>
    <n v="0"/>
    <x v="1"/>
  </r>
  <r>
    <x v="3"/>
    <x v="1"/>
    <x v="316"/>
    <x v="0"/>
    <x v="4"/>
    <x v="6"/>
    <x v="19"/>
    <x v="4"/>
    <n v="0"/>
    <x v="1"/>
  </r>
  <r>
    <x v="3"/>
    <x v="1"/>
    <x v="316"/>
    <x v="0"/>
    <x v="4"/>
    <x v="6"/>
    <x v="19"/>
    <x v="5"/>
    <n v="305.76"/>
    <x v="1"/>
  </r>
  <r>
    <x v="3"/>
    <x v="1"/>
    <x v="316"/>
    <x v="0"/>
    <x v="4"/>
    <x v="6"/>
    <x v="19"/>
    <x v="6"/>
    <n v="0"/>
    <x v="1"/>
  </r>
  <r>
    <x v="3"/>
    <x v="1"/>
    <x v="316"/>
    <x v="0"/>
    <x v="4"/>
    <x v="6"/>
    <x v="19"/>
    <x v="7"/>
    <n v="0"/>
    <x v="1"/>
  </r>
  <r>
    <x v="3"/>
    <x v="1"/>
    <x v="316"/>
    <x v="0"/>
    <x v="4"/>
    <x v="6"/>
    <x v="19"/>
    <x v="8"/>
    <n v="0"/>
    <x v="1"/>
  </r>
  <r>
    <x v="3"/>
    <x v="1"/>
    <x v="316"/>
    <x v="0"/>
    <x v="4"/>
    <x v="6"/>
    <x v="19"/>
    <x v="9"/>
    <n v="0"/>
    <x v="1"/>
  </r>
  <r>
    <x v="3"/>
    <x v="1"/>
    <x v="316"/>
    <x v="0"/>
    <x v="4"/>
    <x v="6"/>
    <x v="19"/>
    <x v="10"/>
    <n v="0"/>
    <x v="1"/>
  </r>
  <r>
    <x v="3"/>
    <x v="1"/>
    <x v="316"/>
    <x v="0"/>
    <x v="4"/>
    <x v="6"/>
    <x v="19"/>
    <x v="12"/>
    <n v="0"/>
    <x v="1"/>
  </r>
  <r>
    <x v="30"/>
    <x v="1"/>
    <x v="317"/>
    <x v="0"/>
    <x v="4"/>
    <x v="6"/>
    <x v="19"/>
    <x v="0"/>
    <n v="0"/>
    <x v="1"/>
  </r>
  <r>
    <x v="30"/>
    <x v="1"/>
    <x v="317"/>
    <x v="0"/>
    <x v="4"/>
    <x v="6"/>
    <x v="19"/>
    <x v="1"/>
    <n v="0"/>
    <x v="1"/>
  </r>
  <r>
    <x v="30"/>
    <x v="1"/>
    <x v="317"/>
    <x v="0"/>
    <x v="4"/>
    <x v="6"/>
    <x v="19"/>
    <x v="2"/>
    <n v="0"/>
    <x v="1"/>
  </r>
  <r>
    <x v="30"/>
    <x v="1"/>
    <x v="317"/>
    <x v="0"/>
    <x v="4"/>
    <x v="6"/>
    <x v="19"/>
    <x v="3"/>
    <n v="0"/>
    <x v="1"/>
  </r>
  <r>
    <x v="30"/>
    <x v="1"/>
    <x v="317"/>
    <x v="0"/>
    <x v="4"/>
    <x v="6"/>
    <x v="19"/>
    <x v="4"/>
    <n v="0"/>
    <x v="1"/>
  </r>
  <r>
    <x v="30"/>
    <x v="1"/>
    <x v="317"/>
    <x v="0"/>
    <x v="4"/>
    <x v="6"/>
    <x v="19"/>
    <x v="5"/>
    <n v="141.15797746921666"/>
    <x v="1"/>
  </r>
  <r>
    <x v="30"/>
    <x v="1"/>
    <x v="317"/>
    <x v="0"/>
    <x v="4"/>
    <x v="6"/>
    <x v="19"/>
    <x v="6"/>
    <n v="0"/>
    <x v="1"/>
  </r>
  <r>
    <x v="30"/>
    <x v="1"/>
    <x v="317"/>
    <x v="0"/>
    <x v="4"/>
    <x v="6"/>
    <x v="19"/>
    <x v="7"/>
    <n v="0"/>
    <x v="1"/>
  </r>
  <r>
    <x v="30"/>
    <x v="1"/>
    <x v="317"/>
    <x v="0"/>
    <x v="4"/>
    <x v="6"/>
    <x v="19"/>
    <x v="8"/>
    <n v="0"/>
    <x v="1"/>
  </r>
  <r>
    <x v="30"/>
    <x v="1"/>
    <x v="317"/>
    <x v="0"/>
    <x v="4"/>
    <x v="6"/>
    <x v="19"/>
    <x v="9"/>
    <n v="0"/>
    <x v="1"/>
  </r>
  <r>
    <x v="30"/>
    <x v="1"/>
    <x v="317"/>
    <x v="0"/>
    <x v="4"/>
    <x v="6"/>
    <x v="19"/>
    <x v="10"/>
    <n v="0"/>
    <x v="1"/>
  </r>
  <r>
    <x v="30"/>
    <x v="1"/>
    <x v="317"/>
    <x v="0"/>
    <x v="4"/>
    <x v="6"/>
    <x v="19"/>
    <x v="12"/>
    <n v="0"/>
    <x v="1"/>
  </r>
  <r>
    <x v="30"/>
    <x v="1"/>
    <x v="318"/>
    <x v="0"/>
    <x v="4"/>
    <x v="34"/>
    <x v="5"/>
    <x v="0"/>
    <n v="0"/>
    <x v="1"/>
  </r>
  <r>
    <x v="30"/>
    <x v="1"/>
    <x v="318"/>
    <x v="0"/>
    <x v="4"/>
    <x v="34"/>
    <x v="5"/>
    <x v="1"/>
    <n v="0"/>
    <x v="1"/>
  </r>
  <r>
    <x v="30"/>
    <x v="1"/>
    <x v="318"/>
    <x v="0"/>
    <x v="4"/>
    <x v="34"/>
    <x v="5"/>
    <x v="2"/>
    <n v="0"/>
    <x v="1"/>
  </r>
  <r>
    <x v="30"/>
    <x v="1"/>
    <x v="318"/>
    <x v="0"/>
    <x v="4"/>
    <x v="34"/>
    <x v="5"/>
    <x v="3"/>
    <n v="0"/>
    <x v="1"/>
  </r>
  <r>
    <x v="30"/>
    <x v="1"/>
    <x v="318"/>
    <x v="0"/>
    <x v="4"/>
    <x v="34"/>
    <x v="5"/>
    <x v="4"/>
    <n v="0"/>
    <x v="1"/>
  </r>
  <r>
    <x v="30"/>
    <x v="1"/>
    <x v="318"/>
    <x v="0"/>
    <x v="4"/>
    <x v="34"/>
    <x v="5"/>
    <x v="5"/>
    <n v="88.998166099030655"/>
    <x v="1"/>
  </r>
  <r>
    <x v="30"/>
    <x v="1"/>
    <x v="318"/>
    <x v="0"/>
    <x v="4"/>
    <x v="34"/>
    <x v="5"/>
    <x v="6"/>
    <n v="0"/>
    <x v="1"/>
  </r>
  <r>
    <x v="30"/>
    <x v="1"/>
    <x v="318"/>
    <x v="0"/>
    <x v="4"/>
    <x v="34"/>
    <x v="5"/>
    <x v="7"/>
    <n v="0"/>
    <x v="1"/>
  </r>
  <r>
    <x v="30"/>
    <x v="1"/>
    <x v="318"/>
    <x v="0"/>
    <x v="4"/>
    <x v="34"/>
    <x v="5"/>
    <x v="8"/>
    <n v="0"/>
    <x v="1"/>
  </r>
  <r>
    <x v="30"/>
    <x v="1"/>
    <x v="318"/>
    <x v="0"/>
    <x v="4"/>
    <x v="34"/>
    <x v="5"/>
    <x v="9"/>
    <n v="0"/>
    <x v="1"/>
  </r>
  <r>
    <x v="30"/>
    <x v="1"/>
    <x v="318"/>
    <x v="0"/>
    <x v="4"/>
    <x v="34"/>
    <x v="5"/>
    <x v="10"/>
    <n v="0"/>
    <x v="1"/>
  </r>
  <r>
    <x v="30"/>
    <x v="1"/>
    <x v="318"/>
    <x v="0"/>
    <x v="4"/>
    <x v="34"/>
    <x v="5"/>
    <x v="12"/>
    <n v="0"/>
    <x v="1"/>
  </r>
  <r>
    <x v="30"/>
    <x v="1"/>
    <x v="319"/>
    <x v="0"/>
    <x v="4"/>
    <x v="34"/>
    <x v="19"/>
    <x v="0"/>
    <n v="0"/>
    <x v="1"/>
  </r>
  <r>
    <x v="30"/>
    <x v="1"/>
    <x v="319"/>
    <x v="0"/>
    <x v="4"/>
    <x v="34"/>
    <x v="19"/>
    <x v="1"/>
    <n v="0"/>
    <x v="1"/>
  </r>
  <r>
    <x v="30"/>
    <x v="1"/>
    <x v="319"/>
    <x v="0"/>
    <x v="4"/>
    <x v="34"/>
    <x v="19"/>
    <x v="2"/>
    <n v="0"/>
    <x v="1"/>
  </r>
  <r>
    <x v="30"/>
    <x v="1"/>
    <x v="319"/>
    <x v="0"/>
    <x v="4"/>
    <x v="34"/>
    <x v="19"/>
    <x v="3"/>
    <n v="0"/>
    <x v="1"/>
  </r>
  <r>
    <x v="30"/>
    <x v="1"/>
    <x v="319"/>
    <x v="0"/>
    <x v="4"/>
    <x v="34"/>
    <x v="19"/>
    <x v="4"/>
    <n v="0"/>
    <x v="1"/>
  </r>
  <r>
    <x v="30"/>
    <x v="1"/>
    <x v="319"/>
    <x v="0"/>
    <x v="4"/>
    <x v="34"/>
    <x v="19"/>
    <x v="5"/>
    <n v="66.12"/>
    <x v="1"/>
  </r>
  <r>
    <x v="30"/>
    <x v="1"/>
    <x v="319"/>
    <x v="0"/>
    <x v="4"/>
    <x v="34"/>
    <x v="19"/>
    <x v="6"/>
    <n v="0"/>
    <x v="1"/>
  </r>
  <r>
    <x v="30"/>
    <x v="1"/>
    <x v="319"/>
    <x v="0"/>
    <x v="4"/>
    <x v="34"/>
    <x v="19"/>
    <x v="7"/>
    <n v="0"/>
    <x v="1"/>
  </r>
  <r>
    <x v="30"/>
    <x v="1"/>
    <x v="319"/>
    <x v="0"/>
    <x v="4"/>
    <x v="34"/>
    <x v="19"/>
    <x v="8"/>
    <n v="0"/>
    <x v="1"/>
  </r>
  <r>
    <x v="30"/>
    <x v="1"/>
    <x v="319"/>
    <x v="0"/>
    <x v="4"/>
    <x v="34"/>
    <x v="19"/>
    <x v="9"/>
    <n v="0"/>
    <x v="1"/>
  </r>
  <r>
    <x v="30"/>
    <x v="1"/>
    <x v="319"/>
    <x v="0"/>
    <x v="4"/>
    <x v="34"/>
    <x v="19"/>
    <x v="10"/>
    <n v="0"/>
    <x v="1"/>
  </r>
  <r>
    <x v="30"/>
    <x v="1"/>
    <x v="319"/>
    <x v="0"/>
    <x v="4"/>
    <x v="34"/>
    <x v="19"/>
    <x v="12"/>
    <n v="0"/>
    <x v="1"/>
  </r>
  <r>
    <x v="30"/>
    <x v="1"/>
    <x v="312"/>
    <x v="0"/>
    <x v="4"/>
    <x v="34"/>
    <x v="14"/>
    <x v="0"/>
    <n v="0"/>
    <x v="1"/>
  </r>
  <r>
    <x v="30"/>
    <x v="1"/>
    <x v="312"/>
    <x v="0"/>
    <x v="4"/>
    <x v="34"/>
    <x v="14"/>
    <x v="1"/>
    <n v="0"/>
    <x v="1"/>
  </r>
  <r>
    <x v="30"/>
    <x v="1"/>
    <x v="312"/>
    <x v="0"/>
    <x v="4"/>
    <x v="34"/>
    <x v="14"/>
    <x v="2"/>
    <n v="0"/>
    <x v="1"/>
  </r>
  <r>
    <x v="30"/>
    <x v="1"/>
    <x v="312"/>
    <x v="0"/>
    <x v="4"/>
    <x v="34"/>
    <x v="14"/>
    <x v="3"/>
    <n v="0"/>
    <x v="1"/>
  </r>
  <r>
    <x v="30"/>
    <x v="1"/>
    <x v="312"/>
    <x v="0"/>
    <x v="4"/>
    <x v="34"/>
    <x v="14"/>
    <x v="4"/>
    <n v="0"/>
    <x v="1"/>
  </r>
  <r>
    <x v="30"/>
    <x v="1"/>
    <x v="312"/>
    <x v="0"/>
    <x v="4"/>
    <x v="34"/>
    <x v="14"/>
    <x v="5"/>
    <n v="0"/>
    <x v="1"/>
  </r>
  <r>
    <x v="30"/>
    <x v="1"/>
    <x v="312"/>
    <x v="0"/>
    <x v="4"/>
    <x v="34"/>
    <x v="14"/>
    <x v="6"/>
    <n v="2195"/>
    <x v="1"/>
  </r>
  <r>
    <x v="30"/>
    <x v="1"/>
    <x v="312"/>
    <x v="0"/>
    <x v="4"/>
    <x v="34"/>
    <x v="14"/>
    <x v="7"/>
    <n v="0"/>
    <x v="1"/>
  </r>
  <r>
    <x v="30"/>
    <x v="1"/>
    <x v="312"/>
    <x v="0"/>
    <x v="4"/>
    <x v="34"/>
    <x v="14"/>
    <x v="8"/>
    <n v="0"/>
    <x v="1"/>
  </r>
  <r>
    <x v="30"/>
    <x v="1"/>
    <x v="312"/>
    <x v="0"/>
    <x v="4"/>
    <x v="34"/>
    <x v="14"/>
    <x v="9"/>
    <n v="0"/>
    <x v="1"/>
  </r>
  <r>
    <x v="30"/>
    <x v="1"/>
    <x v="312"/>
    <x v="0"/>
    <x v="4"/>
    <x v="34"/>
    <x v="14"/>
    <x v="10"/>
    <n v="0"/>
    <x v="1"/>
  </r>
  <r>
    <x v="30"/>
    <x v="1"/>
    <x v="312"/>
    <x v="0"/>
    <x v="4"/>
    <x v="34"/>
    <x v="14"/>
    <x v="12"/>
    <n v="0"/>
    <x v="1"/>
  </r>
  <r>
    <x v="30"/>
    <x v="1"/>
    <x v="320"/>
    <x v="0"/>
    <x v="4"/>
    <x v="34"/>
    <x v="14"/>
    <x v="0"/>
    <n v="0"/>
    <x v="1"/>
  </r>
  <r>
    <x v="30"/>
    <x v="1"/>
    <x v="320"/>
    <x v="0"/>
    <x v="4"/>
    <x v="34"/>
    <x v="14"/>
    <x v="1"/>
    <n v="0"/>
    <x v="1"/>
  </r>
  <r>
    <x v="30"/>
    <x v="1"/>
    <x v="320"/>
    <x v="0"/>
    <x v="4"/>
    <x v="34"/>
    <x v="14"/>
    <x v="2"/>
    <n v="0"/>
    <x v="1"/>
  </r>
  <r>
    <x v="30"/>
    <x v="1"/>
    <x v="320"/>
    <x v="0"/>
    <x v="4"/>
    <x v="34"/>
    <x v="14"/>
    <x v="3"/>
    <n v="0"/>
    <x v="1"/>
  </r>
  <r>
    <x v="30"/>
    <x v="1"/>
    <x v="320"/>
    <x v="0"/>
    <x v="4"/>
    <x v="34"/>
    <x v="14"/>
    <x v="4"/>
    <n v="0"/>
    <x v="1"/>
  </r>
  <r>
    <x v="30"/>
    <x v="1"/>
    <x v="320"/>
    <x v="0"/>
    <x v="4"/>
    <x v="34"/>
    <x v="14"/>
    <x v="5"/>
    <n v="0"/>
    <x v="1"/>
  </r>
  <r>
    <x v="30"/>
    <x v="1"/>
    <x v="320"/>
    <x v="0"/>
    <x v="4"/>
    <x v="34"/>
    <x v="14"/>
    <x v="6"/>
    <n v="0"/>
    <x v="1"/>
  </r>
  <r>
    <x v="30"/>
    <x v="1"/>
    <x v="320"/>
    <x v="0"/>
    <x v="4"/>
    <x v="34"/>
    <x v="14"/>
    <x v="7"/>
    <n v="87"/>
    <x v="1"/>
  </r>
  <r>
    <x v="30"/>
    <x v="1"/>
    <x v="320"/>
    <x v="0"/>
    <x v="4"/>
    <x v="34"/>
    <x v="14"/>
    <x v="8"/>
    <n v="0"/>
    <x v="1"/>
  </r>
  <r>
    <x v="30"/>
    <x v="1"/>
    <x v="320"/>
    <x v="0"/>
    <x v="4"/>
    <x v="34"/>
    <x v="14"/>
    <x v="9"/>
    <n v="0"/>
    <x v="1"/>
  </r>
  <r>
    <x v="30"/>
    <x v="1"/>
    <x v="320"/>
    <x v="0"/>
    <x v="4"/>
    <x v="34"/>
    <x v="14"/>
    <x v="10"/>
    <n v="0"/>
    <x v="1"/>
  </r>
  <r>
    <x v="30"/>
    <x v="1"/>
    <x v="320"/>
    <x v="0"/>
    <x v="4"/>
    <x v="34"/>
    <x v="14"/>
    <x v="12"/>
    <n v="0"/>
    <x v="1"/>
  </r>
  <r>
    <x v="30"/>
    <x v="1"/>
    <x v="321"/>
    <x v="0"/>
    <x v="4"/>
    <x v="34"/>
    <x v="14"/>
    <x v="0"/>
    <n v="0"/>
    <x v="1"/>
  </r>
  <r>
    <x v="30"/>
    <x v="1"/>
    <x v="321"/>
    <x v="0"/>
    <x v="4"/>
    <x v="34"/>
    <x v="14"/>
    <x v="1"/>
    <n v="0"/>
    <x v="1"/>
  </r>
  <r>
    <x v="30"/>
    <x v="1"/>
    <x v="321"/>
    <x v="0"/>
    <x v="4"/>
    <x v="34"/>
    <x v="14"/>
    <x v="2"/>
    <n v="0"/>
    <x v="1"/>
  </r>
  <r>
    <x v="30"/>
    <x v="1"/>
    <x v="321"/>
    <x v="0"/>
    <x v="4"/>
    <x v="34"/>
    <x v="14"/>
    <x v="3"/>
    <n v="0"/>
    <x v="1"/>
  </r>
  <r>
    <x v="30"/>
    <x v="1"/>
    <x v="321"/>
    <x v="0"/>
    <x v="4"/>
    <x v="34"/>
    <x v="14"/>
    <x v="4"/>
    <n v="0"/>
    <x v="1"/>
  </r>
  <r>
    <x v="30"/>
    <x v="1"/>
    <x v="321"/>
    <x v="0"/>
    <x v="4"/>
    <x v="34"/>
    <x v="14"/>
    <x v="5"/>
    <n v="0"/>
    <x v="1"/>
  </r>
  <r>
    <x v="30"/>
    <x v="1"/>
    <x v="321"/>
    <x v="0"/>
    <x v="4"/>
    <x v="34"/>
    <x v="14"/>
    <x v="6"/>
    <n v="0"/>
    <x v="1"/>
  </r>
  <r>
    <x v="30"/>
    <x v="1"/>
    <x v="321"/>
    <x v="0"/>
    <x v="4"/>
    <x v="34"/>
    <x v="14"/>
    <x v="7"/>
    <n v="112"/>
    <x v="1"/>
  </r>
  <r>
    <x v="30"/>
    <x v="1"/>
    <x v="321"/>
    <x v="0"/>
    <x v="4"/>
    <x v="34"/>
    <x v="14"/>
    <x v="8"/>
    <n v="0"/>
    <x v="1"/>
  </r>
  <r>
    <x v="30"/>
    <x v="1"/>
    <x v="321"/>
    <x v="0"/>
    <x v="4"/>
    <x v="34"/>
    <x v="14"/>
    <x v="9"/>
    <n v="0"/>
    <x v="1"/>
  </r>
  <r>
    <x v="30"/>
    <x v="1"/>
    <x v="321"/>
    <x v="0"/>
    <x v="4"/>
    <x v="34"/>
    <x v="14"/>
    <x v="10"/>
    <n v="0"/>
    <x v="1"/>
  </r>
  <r>
    <x v="30"/>
    <x v="1"/>
    <x v="321"/>
    <x v="0"/>
    <x v="4"/>
    <x v="34"/>
    <x v="14"/>
    <x v="12"/>
    <n v="0"/>
    <x v="1"/>
  </r>
  <r>
    <x v="73"/>
    <x v="1"/>
    <x v="322"/>
    <x v="0"/>
    <x v="4"/>
    <x v="41"/>
    <x v="14"/>
    <x v="0"/>
    <n v="0"/>
    <x v="1"/>
  </r>
  <r>
    <x v="73"/>
    <x v="1"/>
    <x v="322"/>
    <x v="0"/>
    <x v="4"/>
    <x v="41"/>
    <x v="14"/>
    <x v="1"/>
    <n v="0"/>
    <x v="1"/>
  </r>
  <r>
    <x v="73"/>
    <x v="1"/>
    <x v="322"/>
    <x v="0"/>
    <x v="4"/>
    <x v="41"/>
    <x v="14"/>
    <x v="2"/>
    <n v="0"/>
    <x v="1"/>
  </r>
  <r>
    <x v="73"/>
    <x v="1"/>
    <x v="322"/>
    <x v="0"/>
    <x v="4"/>
    <x v="41"/>
    <x v="14"/>
    <x v="3"/>
    <n v="0"/>
    <x v="1"/>
  </r>
  <r>
    <x v="73"/>
    <x v="1"/>
    <x v="322"/>
    <x v="0"/>
    <x v="4"/>
    <x v="41"/>
    <x v="14"/>
    <x v="4"/>
    <n v="0"/>
    <x v="1"/>
  </r>
  <r>
    <x v="73"/>
    <x v="1"/>
    <x v="322"/>
    <x v="0"/>
    <x v="4"/>
    <x v="41"/>
    <x v="14"/>
    <x v="5"/>
    <n v="0"/>
    <x v="1"/>
  </r>
  <r>
    <x v="73"/>
    <x v="1"/>
    <x v="322"/>
    <x v="0"/>
    <x v="4"/>
    <x v="41"/>
    <x v="14"/>
    <x v="6"/>
    <n v="0"/>
    <x v="1"/>
  </r>
  <r>
    <x v="73"/>
    <x v="1"/>
    <x v="322"/>
    <x v="0"/>
    <x v="4"/>
    <x v="41"/>
    <x v="14"/>
    <x v="7"/>
    <n v="0"/>
    <x v="1"/>
  </r>
  <r>
    <x v="73"/>
    <x v="1"/>
    <x v="322"/>
    <x v="0"/>
    <x v="4"/>
    <x v="41"/>
    <x v="14"/>
    <x v="8"/>
    <n v="200"/>
    <x v="1"/>
  </r>
  <r>
    <x v="73"/>
    <x v="1"/>
    <x v="322"/>
    <x v="0"/>
    <x v="4"/>
    <x v="41"/>
    <x v="14"/>
    <x v="9"/>
    <n v="0"/>
    <x v="1"/>
  </r>
  <r>
    <x v="73"/>
    <x v="1"/>
    <x v="322"/>
    <x v="0"/>
    <x v="4"/>
    <x v="41"/>
    <x v="14"/>
    <x v="10"/>
    <n v="0"/>
    <x v="1"/>
  </r>
  <r>
    <x v="73"/>
    <x v="1"/>
    <x v="322"/>
    <x v="0"/>
    <x v="4"/>
    <x v="41"/>
    <x v="14"/>
    <x v="12"/>
    <n v="0"/>
    <x v="1"/>
  </r>
  <r>
    <x v="30"/>
    <x v="1"/>
    <x v="323"/>
    <x v="2"/>
    <x v="3"/>
    <x v="43"/>
    <x v="14"/>
    <x v="0"/>
    <n v="0"/>
    <x v="1"/>
  </r>
  <r>
    <x v="30"/>
    <x v="1"/>
    <x v="323"/>
    <x v="2"/>
    <x v="3"/>
    <x v="43"/>
    <x v="14"/>
    <x v="1"/>
    <n v="0"/>
    <x v="1"/>
  </r>
  <r>
    <x v="30"/>
    <x v="1"/>
    <x v="323"/>
    <x v="2"/>
    <x v="3"/>
    <x v="43"/>
    <x v="14"/>
    <x v="2"/>
    <n v="0"/>
    <x v="1"/>
  </r>
  <r>
    <x v="30"/>
    <x v="1"/>
    <x v="323"/>
    <x v="2"/>
    <x v="3"/>
    <x v="43"/>
    <x v="14"/>
    <x v="3"/>
    <n v="0"/>
    <x v="1"/>
  </r>
  <r>
    <x v="30"/>
    <x v="1"/>
    <x v="323"/>
    <x v="2"/>
    <x v="3"/>
    <x v="43"/>
    <x v="14"/>
    <x v="4"/>
    <n v="0"/>
    <x v="1"/>
  </r>
  <r>
    <x v="30"/>
    <x v="1"/>
    <x v="323"/>
    <x v="2"/>
    <x v="3"/>
    <x v="43"/>
    <x v="14"/>
    <x v="5"/>
    <n v="0"/>
    <x v="1"/>
  </r>
  <r>
    <x v="30"/>
    <x v="1"/>
    <x v="323"/>
    <x v="2"/>
    <x v="3"/>
    <x v="43"/>
    <x v="14"/>
    <x v="6"/>
    <n v="0"/>
    <x v="1"/>
  </r>
  <r>
    <x v="30"/>
    <x v="1"/>
    <x v="323"/>
    <x v="2"/>
    <x v="3"/>
    <x v="43"/>
    <x v="14"/>
    <x v="7"/>
    <n v="0"/>
    <x v="1"/>
  </r>
  <r>
    <x v="30"/>
    <x v="1"/>
    <x v="323"/>
    <x v="2"/>
    <x v="3"/>
    <x v="43"/>
    <x v="14"/>
    <x v="8"/>
    <n v="0"/>
    <x v="1"/>
  </r>
  <r>
    <x v="30"/>
    <x v="1"/>
    <x v="323"/>
    <x v="2"/>
    <x v="3"/>
    <x v="43"/>
    <x v="14"/>
    <x v="9"/>
    <n v="0"/>
    <x v="1"/>
  </r>
  <r>
    <x v="30"/>
    <x v="1"/>
    <x v="323"/>
    <x v="2"/>
    <x v="3"/>
    <x v="43"/>
    <x v="14"/>
    <x v="10"/>
    <n v="0"/>
    <x v="1"/>
  </r>
  <r>
    <x v="30"/>
    <x v="1"/>
    <x v="323"/>
    <x v="2"/>
    <x v="3"/>
    <x v="43"/>
    <x v="14"/>
    <x v="12"/>
    <n v="0"/>
    <x v="1"/>
  </r>
  <r>
    <x v="30"/>
    <x v="1"/>
    <x v="324"/>
    <x v="2"/>
    <x v="3"/>
    <x v="44"/>
    <x v="14"/>
    <x v="0"/>
    <n v="0"/>
    <x v="1"/>
  </r>
  <r>
    <x v="30"/>
    <x v="1"/>
    <x v="324"/>
    <x v="2"/>
    <x v="3"/>
    <x v="44"/>
    <x v="14"/>
    <x v="1"/>
    <n v="0"/>
    <x v="1"/>
  </r>
  <r>
    <x v="30"/>
    <x v="1"/>
    <x v="324"/>
    <x v="2"/>
    <x v="3"/>
    <x v="44"/>
    <x v="14"/>
    <x v="2"/>
    <n v="0"/>
    <x v="1"/>
  </r>
  <r>
    <x v="30"/>
    <x v="1"/>
    <x v="324"/>
    <x v="2"/>
    <x v="3"/>
    <x v="44"/>
    <x v="14"/>
    <x v="3"/>
    <n v="0"/>
    <x v="1"/>
  </r>
  <r>
    <x v="30"/>
    <x v="1"/>
    <x v="324"/>
    <x v="2"/>
    <x v="3"/>
    <x v="44"/>
    <x v="14"/>
    <x v="4"/>
    <n v="30773"/>
    <x v="1"/>
  </r>
  <r>
    <x v="30"/>
    <x v="1"/>
    <x v="324"/>
    <x v="2"/>
    <x v="3"/>
    <x v="44"/>
    <x v="14"/>
    <x v="5"/>
    <n v="0"/>
    <x v="1"/>
  </r>
  <r>
    <x v="30"/>
    <x v="1"/>
    <x v="324"/>
    <x v="2"/>
    <x v="3"/>
    <x v="44"/>
    <x v="14"/>
    <x v="6"/>
    <n v="0"/>
    <x v="1"/>
  </r>
  <r>
    <x v="30"/>
    <x v="1"/>
    <x v="324"/>
    <x v="2"/>
    <x v="3"/>
    <x v="44"/>
    <x v="14"/>
    <x v="7"/>
    <n v="0"/>
    <x v="1"/>
  </r>
  <r>
    <x v="30"/>
    <x v="1"/>
    <x v="324"/>
    <x v="2"/>
    <x v="3"/>
    <x v="44"/>
    <x v="14"/>
    <x v="8"/>
    <n v="0"/>
    <x v="1"/>
  </r>
  <r>
    <x v="30"/>
    <x v="1"/>
    <x v="324"/>
    <x v="2"/>
    <x v="3"/>
    <x v="44"/>
    <x v="14"/>
    <x v="9"/>
    <n v="0"/>
    <x v="1"/>
  </r>
  <r>
    <x v="30"/>
    <x v="1"/>
    <x v="324"/>
    <x v="2"/>
    <x v="3"/>
    <x v="44"/>
    <x v="14"/>
    <x v="10"/>
    <n v="0"/>
    <x v="1"/>
  </r>
  <r>
    <x v="30"/>
    <x v="1"/>
    <x v="324"/>
    <x v="2"/>
    <x v="3"/>
    <x v="44"/>
    <x v="14"/>
    <x v="12"/>
    <n v="0"/>
    <x v="1"/>
  </r>
  <r>
    <x v="30"/>
    <x v="1"/>
    <x v="325"/>
    <x v="2"/>
    <x v="3"/>
    <x v="43"/>
    <x v="14"/>
    <x v="0"/>
    <n v="0"/>
    <x v="1"/>
  </r>
  <r>
    <x v="30"/>
    <x v="1"/>
    <x v="325"/>
    <x v="2"/>
    <x v="3"/>
    <x v="43"/>
    <x v="14"/>
    <x v="1"/>
    <n v="0"/>
    <x v="1"/>
  </r>
  <r>
    <x v="30"/>
    <x v="1"/>
    <x v="325"/>
    <x v="2"/>
    <x v="3"/>
    <x v="43"/>
    <x v="14"/>
    <x v="2"/>
    <n v="-556.87"/>
    <x v="1"/>
  </r>
  <r>
    <x v="30"/>
    <x v="1"/>
    <x v="325"/>
    <x v="2"/>
    <x v="3"/>
    <x v="43"/>
    <x v="14"/>
    <x v="3"/>
    <n v="0"/>
    <x v="1"/>
  </r>
  <r>
    <x v="30"/>
    <x v="1"/>
    <x v="325"/>
    <x v="2"/>
    <x v="3"/>
    <x v="43"/>
    <x v="14"/>
    <x v="4"/>
    <n v="0"/>
    <x v="1"/>
  </r>
  <r>
    <x v="30"/>
    <x v="1"/>
    <x v="325"/>
    <x v="2"/>
    <x v="3"/>
    <x v="43"/>
    <x v="14"/>
    <x v="5"/>
    <n v="0"/>
    <x v="1"/>
  </r>
  <r>
    <x v="30"/>
    <x v="1"/>
    <x v="325"/>
    <x v="2"/>
    <x v="3"/>
    <x v="43"/>
    <x v="14"/>
    <x v="6"/>
    <n v="0"/>
    <x v="1"/>
  </r>
  <r>
    <x v="30"/>
    <x v="1"/>
    <x v="325"/>
    <x v="2"/>
    <x v="3"/>
    <x v="43"/>
    <x v="14"/>
    <x v="7"/>
    <n v="0"/>
    <x v="1"/>
  </r>
  <r>
    <x v="30"/>
    <x v="1"/>
    <x v="325"/>
    <x v="2"/>
    <x v="3"/>
    <x v="43"/>
    <x v="14"/>
    <x v="8"/>
    <n v="0"/>
    <x v="1"/>
  </r>
  <r>
    <x v="30"/>
    <x v="1"/>
    <x v="325"/>
    <x v="2"/>
    <x v="3"/>
    <x v="43"/>
    <x v="14"/>
    <x v="9"/>
    <n v="0"/>
    <x v="1"/>
  </r>
  <r>
    <x v="30"/>
    <x v="1"/>
    <x v="325"/>
    <x v="2"/>
    <x v="3"/>
    <x v="43"/>
    <x v="14"/>
    <x v="10"/>
    <n v="0"/>
    <x v="1"/>
  </r>
  <r>
    <x v="30"/>
    <x v="1"/>
    <x v="325"/>
    <x v="2"/>
    <x v="3"/>
    <x v="43"/>
    <x v="14"/>
    <x v="12"/>
    <n v="0"/>
    <x v="1"/>
  </r>
  <r>
    <x v="30"/>
    <x v="1"/>
    <x v="326"/>
    <x v="0"/>
    <x v="1"/>
    <x v="45"/>
    <x v="0"/>
    <x v="0"/>
    <n v="0"/>
    <x v="1"/>
  </r>
  <r>
    <x v="30"/>
    <x v="1"/>
    <x v="326"/>
    <x v="0"/>
    <x v="1"/>
    <x v="45"/>
    <x v="0"/>
    <x v="1"/>
    <n v="447.72188569923622"/>
    <x v="1"/>
  </r>
  <r>
    <x v="30"/>
    <x v="1"/>
    <x v="326"/>
    <x v="0"/>
    <x v="1"/>
    <x v="45"/>
    <x v="0"/>
    <x v="2"/>
    <n v="1056.4364418167158"/>
    <x v="1"/>
  </r>
  <r>
    <x v="30"/>
    <x v="1"/>
    <x v="326"/>
    <x v="0"/>
    <x v="1"/>
    <x v="45"/>
    <x v="0"/>
    <x v="3"/>
    <n v="455"/>
    <x v="1"/>
  </r>
  <r>
    <x v="30"/>
    <x v="1"/>
    <x v="326"/>
    <x v="0"/>
    <x v="1"/>
    <x v="45"/>
    <x v="0"/>
    <x v="4"/>
    <n v="453"/>
    <x v="1"/>
  </r>
  <r>
    <x v="30"/>
    <x v="1"/>
    <x v="326"/>
    <x v="0"/>
    <x v="1"/>
    <x v="45"/>
    <x v="0"/>
    <x v="5"/>
    <n v="445"/>
    <x v="1"/>
  </r>
  <r>
    <x v="30"/>
    <x v="1"/>
    <x v="326"/>
    <x v="0"/>
    <x v="1"/>
    <x v="45"/>
    <x v="0"/>
    <x v="6"/>
    <n v="454"/>
    <x v="1"/>
  </r>
  <r>
    <x v="30"/>
    <x v="1"/>
    <x v="326"/>
    <x v="0"/>
    <x v="1"/>
    <x v="45"/>
    <x v="0"/>
    <x v="7"/>
    <n v="445"/>
    <x v="1"/>
  </r>
  <r>
    <x v="30"/>
    <x v="1"/>
    <x v="326"/>
    <x v="0"/>
    <x v="1"/>
    <x v="45"/>
    <x v="0"/>
    <x v="8"/>
    <n v="451"/>
    <x v="1"/>
  </r>
  <r>
    <x v="30"/>
    <x v="1"/>
    <x v="326"/>
    <x v="0"/>
    <x v="1"/>
    <x v="45"/>
    <x v="0"/>
    <x v="9"/>
    <n v="0"/>
    <x v="1"/>
  </r>
  <r>
    <x v="30"/>
    <x v="1"/>
    <x v="326"/>
    <x v="0"/>
    <x v="1"/>
    <x v="45"/>
    <x v="0"/>
    <x v="10"/>
    <n v="0"/>
    <x v="1"/>
  </r>
  <r>
    <x v="30"/>
    <x v="1"/>
    <x v="326"/>
    <x v="0"/>
    <x v="1"/>
    <x v="45"/>
    <x v="0"/>
    <x v="12"/>
    <n v="0"/>
    <x v="1"/>
  </r>
  <r>
    <x v="30"/>
    <x v="1"/>
    <x v="327"/>
    <x v="2"/>
    <x v="3"/>
    <x v="44"/>
    <x v="14"/>
    <x v="0"/>
    <n v="0"/>
    <x v="1"/>
  </r>
  <r>
    <x v="30"/>
    <x v="1"/>
    <x v="327"/>
    <x v="2"/>
    <x v="3"/>
    <x v="44"/>
    <x v="14"/>
    <x v="1"/>
    <n v="0"/>
    <x v="1"/>
  </r>
  <r>
    <x v="30"/>
    <x v="1"/>
    <x v="327"/>
    <x v="2"/>
    <x v="3"/>
    <x v="44"/>
    <x v="14"/>
    <x v="2"/>
    <n v="0"/>
    <x v="1"/>
  </r>
  <r>
    <x v="30"/>
    <x v="1"/>
    <x v="327"/>
    <x v="2"/>
    <x v="3"/>
    <x v="44"/>
    <x v="14"/>
    <x v="3"/>
    <n v="0"/>
    <x v="1"/>
  </r>
  <r>
    <x v="30"/>
    <x v="1"/>
    <x v="327"/>
    <x v="2"/>
    <x v="3"/>
    <x v="44"/>
    <x v="14"/>
    <x v="4"/>
    <n v="0"/>
    <x v="1"/>
  </r>
  <r>
    <x v="30"/>
    <x v="1"/>
    <x v="327"/>
    <x v="2"/>
    <x v="3"/>
    <x v="44"/>
    <x v="14"/>
    <x v="5"/>
    <n v="0"/>
    <x v="1"/>
  </r>
  <r>
    <x v="30"/>
    <x v="1"/>
    <x v="327"/>
    <x v="2"/>
    <x v="3"/>
    <x v="44"/>
    <x v="14"/>
    <x v="6"/>
    <n v="0"/>
    <x v="1"/>
  </r>
  <r>
    <x v="30"/>
    <x v="1"/>
    <x v="327"/>
    <x v="2"/>
    <x v="3"/>
    <x v="44"/>
    <x v="14"/>
    <x v="7"/>
    <n v="0"/>
    <x v="1"/>
  </r>
  <r>
    <x v="30"/>
    <x v="1"/>
    <x v="327"/>
    <x v="2"/>
    <x v="3"/>
    <x v="44"/>
    <x v="14"/>
    <x v="8"/>
    <n v="0"/>
    <x v="1"/>
  </r>
  <r>
    <x v="30"/>
    <x v="1"/>
    <x v="327"/>
    <x v="2"/>
    <x v="3"/>
    <x v="44"/>
    <x v="14"/>
    <x v="9"/>
    <n v="0"/>
    <x v="1"/>
  </r>
  <r>
    <x v="30"/>
    <x v="1"/>
    <x v="327"/>
    <x v="2"/>
    <x v="3"/>
    <x v="44"/>
    <x v="14"/>
    <x v="10"/>
    <n v="0"/>
    <x v="1"/>
  </r>
  <r>
    <x v="30"/>
    <x v="1"/>
    <x v="327"/>
    <x v="2"/>
    <x v="3"/>
    <x v="44"/>
    <x v="14"/>
    <x v="12"/>
    <n v="0"/>
    <x v="1"/>
  </r>
  <r>
    <x v="30"/>
    <x v="0"/>
    <x v="328"/>
    <x v="2"/>
    <x v="3"/>
    <x v="4"/>
    <x v="14"/>
    <x v="0"/>
    <n v="1417"/>
    <x v="1"/>
  </r>
  <r>
    <x v="30"/>
    <x v="0"/>
    <x v="328"/>
    <x v="2"/>
    <x v="3"/>
    <x v="4"/>
    <x v="14"/>
    <x v="1"/>
    <n v="58"/>
    <x v="1"/>
  </r>
  <r>
    <x v="30"/>
    <x v="0"/>
    <x v="328"/>
    <x v="2"/>
    <x v="3"/>
    <x v="4"/>
    <x v="14"/>
    <x v="2"/>
    <n v="1495.43"/>
    <x v="1"/>
  </r>
  <r>
    <x v="30"/>
    <x v="0"/>
    <x v="328"/>
    <x v="2"/>
    <x v="3"/>
    <x v="4"/>
    <x v="14"/>
    <x v="3"/>
    <n v="2058"/>
    <x v="1"/>
  </r>
  <r>
    <x v="30"/>
    <x v="0"/>
    <x v="328"/>
    <x v="2"/>
    <x v="3"/>
    <x v="4"/>
    <x v="14"/>
    <x v="4"/>
    <n v="2339"/>
    <x v="1"/>
  </r>
  <r>
    <x v="30"/>
    <x v="0"/>
    <x v="328"/>
    <x v="2"/>
    <x v="3"/>
    <x v="4"/>
    <x v="14"/>
    <x v="5"/>
    <n v="2255"/>
    <x v="1"/>
  </r>
  <r>
    <x v="30"/>
    <x v="0"/>
    <x v="328"/>
    <x v="2"/>
    <x v="3"/>
    <x v="4"/>
    <x v="14"/>
    <x v="6"/>
    <n v="2250"/>
    <x v="1"/>
  </r>
  <r>
    <x v="30"/>
    <x v="0"/>
    <x v="328"/>
    <x v="2"/>
    <x v="3"/>
    <x v="4"/>
    <x v="14"/>
    <x v="7"/>
    <n v="2244"/>
    <x v="1"/>
  </r>
  <r>
    <x v="30"/>
    <x v="0"/>
    <x v="328"/>
    <x v="2"/>
    <x v="3"/>
    <x v="4"/>
    <x v="14"/>
    <x v="8"/>
    <n v="2208"/>
    <x v="1"/>
  </r>
  <r>
    <x v="30"/>
    <x v="0"/>
    <x v="328"/>
    <x v="2"/>
    <x v="3"/>
    <x v="4"/>
    <x v="14"/>
    <x v="9"/>
    <n v="1495.43"/>
    <x v="1"/>
  </r>
  <r>
    <x v="30"/>
    <x v="0"/>
    <x v="328"/>
    <x v="2"/>
    <x v="3"/>
    <x v="4"/>
    <x v="14"/>
    <x v="10"/>
    <n v="1495.43"/>
    <x v="1"/>
  </r>
  <r>
    <x v="30"/>
    <x v="0"/>
    <x v="328"/>
    <x v="2"/>
    <x v="3"/>
    <x v="4"/>
    <x v="14"/>
    <x v="12"/>
    <n v="1495.43"/>
    <x v="1"/>
  </r>
  <r>
    <x v="30"/>
    <x v="0"/>
    <x v="173"/>
    <x v="2"/>
    <x v="7"/>
    <x v="25"/>
    <x v="14"/>
    <x v="0"/>
    <n v="241.48557828481506"/>
    <x v="1"/>
  </r>
  <r>
    <x v="30"/>
    <x v="0"/>
    <x v="173"/>
    <x v="2"/>
    <x v="7"/>
    <x v="25"/>
    <x v="14"/>
    <x v="1"/>
    <n v="285.41634974980246"/>
    <x v="1"/>
  </r>
  <r>
    <x v="30"/>
    <x v="0"/>
    <x v="173"/>
    <x v="2"/>
    <x v="7"/>
    <x v="25"/>
    <x v="14"/>
    <x v="2"/>
    <n v="234.09939263638807"/>
    <x v="1"/>
  </r>
  <r>
    <x v="30"/>
    <x v="0"/>
    <x v="173"/>
    <x v="2"/>
    <x v="7"/>
    <x v="25"/>
    <x v="14"/>
    <x v="3"/>
    <n v="208"/>
    <x v="1"/>
  </r>
  <r>
    <x v="30"/>
    <x v="0"/>
    <x v="173"/>
    <x v="2"/>
    <x v="7"/>
    <x v="25"/>
    <x v="14"/>
    <x v="4"/>
    <n v="243"/>
    <x v="1"/>
  </r>
  <r>
    <x v="30"/>
    <x v="0"/>
    <x v="173"/>
    <x v="2"/>
    <x v="7"/>
    <x v="25"/>
    <x v="14"/>
    <x v="5"/>
    <n v="524"/>
    <x v="1"/>
  </r>
  <r>
    <x v="30"/>
    <x v="0"/>
    <x v="173"/>
    <x v="2"/>
    <x v="7"/>
    <x v="25"/>
    <x v="14"/>
    <x v="6"/>
    <n v="805"/>
    <x v="1"/>
  </r>
  <r>
    <x v="30"/>
    <x v="0"/>
    <x v="173"/>
    <x v="2"/>
    <x v="7"/>
    <x v="25"/>
    <x v="14"/>
    <x v="7"/>
    <n v="953"/>
    <x v="1"/>
  </r>
  <r>
    <x v="30"/>
    <x v="0"/>
    <x v="173"/>
    <x v="2"/>
    <x v="7"/>
    <x v="25"/>
    <x v="14"/>
    <x v="8"/>
    <n v="271"/>
    <x v="1"/>
  </r>
  <r>
    <x v="30"/>
    <x v="0"/>
    <x v="173"/>
    <x v="2"/>
    <x v="7"/>
    <x v="25"/>
    <x v="14"/>
    <x v="9"/>
    <n v="234.09939263638807"/>
    <x v="1"/>
  </r>
  <r>
    <x v="30"/>
    <x v="0"/>
    <x v="173"/>
    <x v="2"/>
    <x v="7"/>
    <x v="25"/>
    <x v="14"/>
    <x v="10"/>
    <n v="234.09939263638807"/>
    <x v="1"/>
  </r>
  <r>
    <x v="30"/>
    <x v="0"/>
    <x v="173"/>
    <x v="2"/>
    <x v="7"/>
    <x v="25"/>
    <x v="14"/>
    <x v="12"/>
    <n v="234.09939263638807"/>
    <x v="1"/>
  </r>
  <r>
    <x v="30"/>
    <x v="0"/>
    <x v="329"/>
    <x v="2"/>
    <x v="3"/>
    <x v="19"/>
    <x v="14"/>
    <x v="0"/>
    <n v="7533.601223708366"/>
    <x v="1"/>
  </r>
  <r>
    <x v="30"/>
    <x v="0"/>
    <x v="329"/>
    <x v="2"/>
    <x v="3"/>
    <x v="19"/>
    <x v="14"/>
    <x v="1"/>
    <n v="6447.8746378720034"/>
    <x v="1"/>
  </r>
  <r>
    <x v="30"/>
    <x v="0"/>
    <x v="329"/>
    <x v="2"/>
    <x v="3"/>
    <x v="19"/>
    <x v="14"/>
    <x v="2"/>
    <n v="9290.6826122010207"/>
    <x v="1"/>
  </r>
  <r>
    <x v="30"/>
    <x v="0"/>
    <x v="329"/>
    <x v="2"/>
    <x v="3"/>
    <x v="19"/>
    <x v="14"/>
    <x v="3"/>
    <n v="7372"/>
    <x v="1"/>
  </r>
  <r>
    <x v="30"/>
    <x v="0"/>
    <x v="329"/>
    <x v="2"/>
    <x v="3"/>
    <x v="19"/>
    <x v="14"/>
    <x v="4"/>
    <n v="4341"/>
    <x v="1"/>
  </r>
  <r>
    <x v="30"/>
    <x v="0"/>
    <x v="329"/>
    <x v="2"/>
    <x v="3"/>
    <x v="19"/>
    <x v="14"/>
    <x v="5"/>
    <n v="4658"/>
    <x v="1"/>
  </r>
  <r>
    <x v="30"/>
    <x v="0"/>
    <x v="329"/>
    <x v="2"/>
    <x v="3"/>
    <x v="19"/>
    <x v="14"/>
    <x v="6"/>
    <n v="4025"/>
    <x v="1"/>
  </r>
  <r>
    <x v="30"/>
    <x v="0"/>
    <x v="329"/>
    <x v="2"/>
    <x v="3"/>
    <x v="19"/>
    <x v="14"/>
    <x v="7"/>
    <n v="4770"/>
    <x v="1"/>
  </r>
  <r>
    <x v="30"/>
    <x v="0"/>
    <x v="329"/>
    <x v="2"/>
    <x v="3"/>
    <x v="19"/>
    <x v="14"/>
    <x v="8"/>
    <n v="4122"/>
    <x v="1"/>
  </r>
  <r>
    <x v="30"/>
    <x v="0"/>
    <x v="329"/>
    <x v="2"/>
    <x v="3"/>
    <x v="19"/>
    <x v="14"/>
    <x v="9"/>
    <n v="7661"/>
    <x v="1"/>
  </r>
  <r>
    <x v="30"/>
    <x v="0"/>
    <x v="329"/>
    <x v="2"/>
    <x v="3"/>
    <x v="19"/>
    <x v="14"/>
    <x v="10"/>
    <n v="7661"/>
    <x v="1"/>
  </r>
  <r>
    <x v="30"/>
    <x v="0"/>
    <x v="329"/>
    <x v="2"/>
    <x v="3"/>
    <x v="19"/>
    <x v="14"/>
    <x v="12"/>
    <n v="7661"/>
    <x v="1"/>
  </r>
  <r>
    <x v="30"/>
    <x v="0"/>
    <x v="330"/>
    <x v="2"/>
    <x v="3"/>
    <x v="16"/>
    <x v="14"/>
    <x v="0"/>
    <n v="1065.827432467873"/>
    <x v="1"/>
  </r>
  <r>
    <x v="30"/>
    <x v="0"/>
    <x v="330"/>
    <x v="2"/>
    <x v="3"/>
    <x v="16"/>
    <x v="14"/>
    <x v="1"/>
    <n v="2175.3489597050302"/>
    <x v="1"/>
  </r>
  <r>
    <x v="30"/>
    <x v="0"/>
    <x v="330"/>
    <x v="2"/>
    <x v="3"/>
    <x v="16"/>
    <x v="14"/>
    <x v="2"/>
    <n v="1734.7621607094868"/>
    <x v="1"/>
  </r>
  <r>
    <x v="30"/>
    <x v="0"/>
    <x v="330"/>
    <x v="2"/>
    <x v="3"/>
    <x v="16"/>
    <x v="14"/>
    <x v="3"/>
    <n v="64"/>
    <x v="1"/>
  </r>
  <r>
    <x v="30"/>
    <x v="0"/>
    <x v="330"/>
    <x v="2"/>
    <x v="3"/>
    <x v="16"/>
    <x v="14"/>
    <x v="4"/>
    <n v="3154"/>
    <x v="1"/>
  </r>
  <r>
    <x v="30"/>
    <x v="0"/>
    <x v="330"/>
    <x v="2"/>
    <x v="3"/>
    <x v="16"/>
    <x v="14"/>
    <x v="5"/>
    <n v="1397"/>
    <x v="1"/>
  </r>
  <r>
    <x v="30"/>
    <x v="0"/>
    <x v="330"/>
    <x v="2"/>
    <x v="3"/>
    <x v="16"/>
    <x v="14"/>
    <x v="6"/>
    <n v="1334"/>
    <x v="1"/>
  </r>
  <r>
    <x v="30"/>
    <x v="0"/>
    <x v="330"/>
    <x v="2"/>
    <x v="3"/>
    <x v="16"/>
    <x v="14"/>
    <x v="7"/>
    <n v="1611"/>
    <x v="1"/>
  </r>
  <r>
    <x v="30"/>
    <x v="0"/>
    <x v="330"/>
    <x v="2"/>
    <x v="3"/>
    <x v="16"/>
    <x v="14"/>
    <x v="8"/>
    <n v="1466"/>
    <x v="1"/>
  </r>
  <r>
    <x v="30"/>
    <x v="0"/>
    <x v="330"/>
    <x v="2"/>
    <x v="3"/>
    <x v="16"/>
    <x v="14"/>
    <x v="9"/>
    <n v="1659"/>
    <x v="1"/>
  </r>
  <r>
    <x v="30"/>
    <x v="0"/>
    <x v="330"/>
    <x v="2"/>
    <x v="3"/>
    <x v="16"/>
    <x v="14"/>
    <x v="10"/>
    <n v="1659"/>
    <x v="1"/>
  </r>
  <r>
    <x v="30"/>
    <x v="0"/>
    <x v="330"/>
    <x v="2"/>
    <x v="3"/>
    <x v="16"/>
    <x v="14"/>
    <x v="12"/>
    <n v="1659"/>
    <x v="1"/>
  </r>
  <r>
    <x v="30"/>
    <x v="1"/>
    <x v="331"/>
    <x v="2"/>
    <x v="3"/>
    <x v="46"/>
    <x v="14"/>
    <x v="0"/>
    <n v="7865.7445580907415"/>
    <x v="1"/>
  </r>
  <r>
    <x v="30"/>
    <x v="1"/>
    <x v="331"/>
    <x v="2"/>
    <x v="3"/>
    <x v="46"/>
    <x v="14"/>
    <x v="1"/>
    <n v="9920.6742217540159"/>
    <x v="1"/>
  </r>
  <r>
    <x v="30"/>
    <x v="1"/>
    <x v="331"/>
    <x v="2"/>
    <x v="3"/>
    <x v="46"/>
    <x v="14"/>
    <x v="2"/>
    <n v="1138.9062080085998"/>
    <x v="1"/>
  </r>
  <r>
    <x v="30"/>
    <x v="1"/>
    <x v="331"/>
    <x v="2"/>
    <x v="3"/>
    <x v="46"/>
    <x v="14"/>
    <x v="3"/>
    <n v="2056"/>
    <x v="1"/>
  </r>
  <r>
    <x v="30"/>
    <x v="1"/>
    <x v="331"/>
    <x v="2"/>
    <x v="3"/>
    <x v="46"/>
    <x v="14"/>
    <x v="4"/>
    <n v="2039"/>
    <x v="1"/>
  </r>
  <r>
    <x v="30"/>
    <x v="1"/>
    <x v="331"/>
    <x v="2"/>
    <x v="3"/>
    <x v="46"/>
    <x v="14"/>
    <x v="5"/>
    <n v="916"/>
    <x v="1"/>
  </r>
  <r>
    <x v="30"/>
    <x v="1"/>
    <x v="331"/>
    <x v="2"/>
    <x v="3"/>
    <x v="46"/>
    <x v="14"/>
    <x v="6"/>
    <n v="857"/>
    <x v="1"/>
  </r>
  <r>
    <x v="30"/>
    <x v="1"/>
    <x v="331"/>
    <x v="2"/>
    <x v="3"/>
    <x v="46"/>
    <x v="14"/>
    <x v="7"/>
    <n v="2248"/>
    <x v="1"/>
  </r>
  <r>
    <x v="30"/>
    <x v="1"/>
    <x v="331"/>
    <x v="2"/>
    <x v="3"/>
    <x v="46"/>
    <x v="14"/>
    <x v="8"/>
    <n v="458"/>
    <x v="1"/>
  </r>
  <r>
    <x v="30"/>
    <x v="1"/>
    <x v="331"/>
    <x v="2"/>
    <x v="3"/>
    <x v="46"/>
    <x v="14"/>
    <x v="9"/>
    <n v="6308"/>
    <x v="1"/>
  </r>
  <r>
    <x v="30"/>
    <x v="1"/>
    <x v="331"/>
    <x v="2"/>
    <x v="3"/>
    <x v="46"/>
    <x v="14"/>
    <x v="10"/>
    <n v="6308"/>
    <x v="1"/>
  </r>
  <r>
    <x v="30"/>
    <x v="1"/>
    <x v="331"/>
    <x v="2"/>
    <x v="3"/>
    <x v="46"/>
    <x v="14"/>
    <x v="12"/>
    <n v="6308"/>
    <x v="1"/>
  </r>
  <r>
    <x v="30"/>
    <x v="1"/>
    <x v="332"/>
    <x v="0"/>
    <x v="3"/>
    <x v="21"/>
    <x v="0"/>
    <x v="0"/>
    <n v="0"/>
    <x v="1"/>
  </r>
  <r>
    <x v="30"/>
    <x v="1"/>
    <x v="332"/>
    <x v="0"/>
    <x v="3"/>
    <x v="21"/>
    <x v="0"/>
    <x v="1"/>
    <n v="0"/>
    <x v="1"/>
  </r>
  <r>
    <x v="30"/>
    <x v="1"/>
    <x v="332"/>
    <x v="0"/>
    <x v="3"/>
    <x v="21"/>
    <x v="0"/>
    <x v="2"/>
    <n v="0"/>
    <x v="1"/>
  </r>
  <r>
    <x v="30"/>
    <x v="1"/>
    <x v="332"/>
    <x v="0"/>
    <x v="3"/>
    <x v="21"/>
    <x v="0"/>
    <x v="3"/>
    <n v="125"/>
    <x v="1"/>
  </r>
  <r>
    <x v="30"/>
    <x v="1"/>
    <x v="332"/>
    <x v="0"/>
    <x v="3"/>
    <x v="21"/>
    <x v="0"/>
    <x v="4"/>
    <n v="697"/>
    <x v="1"/>
  </r>
  <r>
    <x v="30"/>
    <x v="1"/>
    <x v="332"/>
    <x v="0"/>
    <x v="3"/>
    <x v="21"/>
    <x v="0"/>
    <x v="5"/>
    <n v="0"/>
    <x v="1"/>
  </r>
  <r>
    <x v="30"/>
    <x v="1"/>
    <x v="332"/>
    <x v="0"/>
    <x v="3"/>
    <x v="21"/>
    <x v="0"/>
    <x v="6"/>
    <n v="0"/>
    <x v="1"/>
  </r>
  <r>
    <x v="30"/>
    <x v="1"/>
    <x v="332"/>
    <x v="0"/>
    <x v="3"/>
    <x v="21"/>
    <x v="0"/>
    <x v="7"/>
    <n v="0"/>
    <x v="1"/>
  </r>
  <r>
    <x v="30"/>
    <x v="1"/>
    <x v="332"/>
    <x v="0"/>
    <x v="3"/>
    <x v="21"/>
    <x v="0"/>
    <x v="8"/>
    <n v="0"/>
    <x v="1"/>
  </r>
  <r>
    <x v="30"/>
    <x v="1"/>
    <x v="332"/>
    <x v="0"/>
    <x v="3"/>
    <x v="21"/>
    <x v="0"/>
    <x v="9"/>
    <n v="0"/>
    <x v="1"/>
  </r>
  <r>
    <x v="30"/>
    <x v="1"/>
    <x v="332"/>
    <x v="0"/>
    <x v="3"/>
    <x v="21"/>
    <x v="0"/>
    <x v="10"/>
    <n v="0"/>
    <x v="1"/>
  </r>
  <r>
    <x v="30"/>
    <x v="1"/>
    <x v="332"/>
    <x v="0"/>
    <x v="3"/>
    <x v="21"/>
    <x v="0"/>
    <x v="12"/>
    <n v="0"/>
    <x v="1"/>
  </r>
  <r>
    <x v="30"/>
    <x v="1"/>
    <x v="333"/>
    <x v="0"/>
    <x v="3"/>
    <x v="2"/>
    <x v="0"/>
    <x v="0"/>
    <n v="1024.8275268817204"/>
    <x v="1"/>
  </r>
  <r>
    <x v="30"/>
    <x v="1"/>
    <x v="333"/>
    <x v="0"/>
    <x v="3"/>
    <x v="2"/>
    <x v="0"/>
    <x v="1"/>
    <n v="70547.163423755599"/>
    <x v="1"/>
  </r>
  <r>
    <x v="30"/>
    <x v="1"/>
    <x v="333"/>
    <x v="0"/>
    <x v="3"/>
    <x v="2"/>
    <x v="0"/>
    <x v="2"/>
    <n v="6141.8243294813201"/>
    <x v="1"/>
  </r>
  <r>
    <x v="30"/>
    <x v="1"/>
    <x v="333"/>
    <x v="0"/>
    <x v="3"/>
    <x v="2"/>
    <x v="0"/>
    <x v="3"/>
    <n v="6450"/>
    <x v="1"/>
  </r>
  <r>
    <x v="30"/>
    <x v="1"/>
    <x v="333"/>
    <x v="0"/>
    <x v="3"/>
    <x v="2"/>
    <x v="0"/>
    <x v="4"/>
    <n v="12531"/>
    <x v="1"/>
  </r>
  <r>
    <x v="30"/>
    <x v="1"/>
    <x v="333"/>
    <x v="0"/>
    <x v="3"/>
    <x v="2"/>
    <x v="0"/>
    <x v="5"/>
    <n v="8367"/>
    <x v="1"/>
  </r>
  <r>
    <x v="30"/>
    <x v="1"/>
    <x v="333"/>
    <x v="0"/>
    <x v="3"/>
    <x v="2"/>
    <x v="0"/>
    <x v="6"/>
    <n v="8543"/>
    <x v="1"/>
  </r>
  <r>
    <x v="30"/>
    <x v="1"/>
    <x v="333"/>
    <x v="0"/>
    <x v="3"/>
    <x v="2"/>
    <x v="0"/>
    <x v="7"/>
    <n v="6887"/>
    <x v="1"/>
  </r>
  <r>
    <x v="30"/>
    <x v="1"/>
    <x v="333"/>
    <x v="0"/>
    <x v="3"/>
    <x v="2"/>
    <x v="0"/>
    <x v="8"/>
    <n v="7012"/>
    <x v="1"/>
  </r>
  <r>
    <x v="30"/>
    <x v="1"/>
    <x v="333"/>
    <x v="0"/>
    <x v="3"/>
    <x v="2"/>
    <x v="0"/>
    <x v="9"/>
    <n v="8000"/>
    <x v="1"/>
  </r>
  <r>
    <x v="30"/>
    <x v="1"/>
    <x v="333"/>
    <x v="0"/>
    <x v="3"/>
    <x v="2"/>
    <x v="0"/>
    <x v="10"/>
    <n v="8000"/>
    <x v="1"/>
  </r>
  <r>
    <x v="30"/>
    <x v="1"/>
    <x v="333"/>
    <x v="0"/>
    <x v="3"/>
    <x v="2"/>
    <x v="0"/>
    <x v="12"/>
    <n v="8000"/>
    <x v="1"/>
  </r>
  <r>
    <x v="30"/>
    <x v="1"/>
    <x v="334"/>
    <x v="0"/>
    <x v="9"/>
    <x v="36"/>
    <x v="0"/>
    <x v="0"/>
    <n v="68490.427484920001"/>
    <x v="1"/>
  </r>
  <r>
    <x v="30"/>
    <x v="1"/>
    <x v="334"/>
    <x v="0"/>
    <x v="9"/>
    <x v="36"/>
    <x v="0"/>
    <x v="1"/>
    <n v="25772.715301553857"/>
    <x v="1"/>
  </r>
  <r>
    <x v="30"/>
    <x v="1"/>
    <x v="334"/>
    <x v="0"/>
    <x v="9"/>
    <x v="36"/>
    <x v="0"/>
    <x v="2"/>
    <n v="671.86240257995166"/>
    <x v="1"/>
  </r>
  <r>
    <x v="30"/>
    <x v="1"/>
    <x v="334"/>
    <x v="0"/>
    <x v="9"/>
    <x v="36"/>
    <x v="0"/>
    <x v="3"/>
    <n v="12133"/>
    <x v="1"/>
  </r>
  <r>
    <x v="30"/>
    <x v="1"/>
    <x v="334"/>
    <x v="0"/>
    <x v="9"/>
    <x v="36"/>
    <x v="0"/>
    <x v="4"/>
    <n v="4707"/>
    <x v="1"/>
  </r>
  <r>
    <x v="30"/>
    <x v="1"/>
    <x v="334"/>
    <x v="0"/>
    <x v="9"/>
    <x v="36"/>
    <x v="0"/>
    <x v="5"/>
    <n v="0"/>
    <x v="1"/>
  </r>
  <r>
    <x v="30"/>
    <x v="1"/>
    <x v="334"/>
    <x v="0"/>
    <x v="9"/>
    <x v="36"/>
    <x v="0"/>
    <x v="6"/>
    <n v="38504"/>
    <x v="1"/>
  </r>
  <r>
    <x v="30"/>
    <x v="1"/>
    <x v="334"/>
    <x v="0"/>
    <x v="9"/>
    <x v="36"/>
    <x v="0"/>
    <x v="7"/>
    <n v="49397"/>
    <x v="1"/>
  </r>
  <r>
    <x v="30"/>
    <x v="1"/>
    <x v="334"/>
    <x v="0"/>
    <x v="9"/>
    <x v="36"/>
    <x v="0"/>
    <x v="8"/>
    <n v="62034"/>
    <x v="1"/>
  </r>
  <r>
    <x v="30"/>
    <x v="1"/>
    <x v="334"/>
    <x v="0"/>
    <x v="9"/>
    <x v="36"/>
    <x v="0"/>
    <x v="9"/>
    <n v="6872"/>
    <x v="1"/>
  </r>
  <r>
    <x v="30"/>
    <x v="1"/>
    <x v="334"/>
    <x v="0"/>
    <x v="9"/>
    <x v="36"/>
    <x v="0"/>
    <x v="10"/>
    <n v="6872"/>
    <x v="1"/>
  </r>
  <r>
    <x v="30"/>
    <x v="1"/>
    <x v="334"/>
    <x v="0"/>
    <x v="9"/>
    <x v="36"/>
    <x v="0"/>
    <x v="12"/>
    <n v="6872"/>
    <x v="1"/>
  </r>
  <r>
    <x v="30"/>
    <x v="1"/>
    <x v="335"/>
    <x v="0"/>
    <x v="9"/>
    <x v="36"/>
    <x v="0"/>
    <x v="0"/>
    <n v="0"/>
    <x v="1"/>
  </r>
  <r>
    <x v="30"/>
    <x v="1"/>
    <x v="335"/>
    <x v="0"/>
    <x v="9"/>
    <x v="36"/>
    <x v="0"/>
    <x v="1"/>
    <n v="0"/>
    <x v="1"/>
  </r>
  <r>
    <x v="30"/>
    <x v="1"/>
    <x v="335"/>
    <x v="0"/>
    <x v="9"/>
    <x v="36"/>
    <x v="0"/>
    <x v="2"/>
    <n v="0"/>
    <x v="1"/>
  </r>
  <r>
    <x v="30"/>
    <x v="1"/>
    <x v="335"/>
    <x v="0"/>
    <x v="9"/>
    <x v="36"/>
    <x v="0"/>
    <x v="3"/>
    <m/>
    <x v="1"/>
  </r>
  <r>
    <x v="30"/>
    <x v="1"/>
    <x v="335"/>
    <x v="0"/>
    <x v="9"/>
    <x v="36"/>
    <x v="0"/>
    <x v="4"/>
    <n v="0"/>
    <x v="1"/>
  </r>
  <r>
    <x v="30"/>
    <x v="1"/>
    <x v="335"/>
    <x v="0"/>
    <x v="9"/>
    <x v="36"/>
    <x v="0"/>
    <x v="5"/>
    <n v="0"/>
    <x v="1"/>
  </r>
  <r>
    <x v="30"/>
    <x v="1"/>
    <x v="335"/>
    <x v="0"/>
    <x v="9"/>
    <x v="36"/>
    <x v="0"/>
    <x v="6"/>
    <m/>
    <x v="1"/>
  </r>
  <r>
    <x v="30"/>
    <x v="1"/>
    <x v="335"/>
    <x v="0"/>
    <x v="9"/>
    <x v="36"/>
    <x v="0"/>
    <x v="7"/>
    <n v="20149"/>
    <x v="1"/>
  </r>
  <r>
    <x v="30"/>
    <x v="1"/>
    <x v="335"/>
    <x v="0"/>
    <x v="9"/>
    <x v="36"/>
    <x v="0"/>
    <x v="8"/>
    <n v="0"/>
    <x v="1"/>
  </r>
  <r>
    <x v="30"/>
    <x v="1"/>
    <x v="335"/>
    <x v="0"/>
    <x v="9"/>
    <x v="36"/>
    <x v="0"/>
    <x v="9"/>
    <n v="0"/>
    <x v="1"/>
  </r>
  <r>
    <x v="30"/>
    <x v="1"/>
    <x v="335"/>
    <x v="0"/>
    <x v="9"/>
    <x v="36"/>
    <x v="0"/>
    <x v="10"/>
    <n v="0"/>
    <x v="1"/>
  </r>
  <r>
    <x v="30"/>
    <x v="1"/>
    <x v="335"/>
    <x v="0"/>
    <x v="9"/>
    <x v="36"/>
    <x v="0"/>
    <x v="12"/>
    <n v="0"/>
    <x v="1"/>
  </r>
  <r>
    <x v="30"/>
    <x v="1"/>
    <x v="336"/>
    <x v="3"/>
    <x v="8"/>
    <x v="23"/>
    <x v="14"/>
    <x v="0"/>
    <n v="0"/>
    <x v="1"/>
  </r>
  <r>
    <x v="30"/>
    <x v="1"/>
    <x v="336"/>
    <x v="3"/>
    <x v="8"/>
    <x v="23"/>
    <x v="14"/>
    <x v="1"/>
    <n v="0"/>
    <x v="1"/>
  </r>
  <r>
    <x v="30"/>
    <x v="1"/>
    <x v="336"/>
    <x v="3"/>
    <x v="8"/>
    <x v="23"/>
    <x v="14"/>
    <x v="2"/>
    <n v="0"/>
    <x v="1"/>
  </r>
  <r>
    <x v="30"/>
    <x v="1"/>
    <x v="336"/>
    <x v="3"/>
    <x v="8"/>
    <x v="23"/>
    <x v="14"/>
    <x v="3"/>
    <n v="0"/>
    <x v="1"/>
  </r>
  <r>
    <x v="30"/>
    <x v="1"/>
    <x v="336"/>
    <x v="3"/>
    <x v="8"/>
    <x v="23"/>
    <x v="14"/>
    <x v="4"/>
    <n v="0"/>
    <x v="1"/>
  </r>
  <r>
    <x v="30"/>
    <x v="1"/>
    <x v="336"/>
    <x v="3"/>
    <x v="8"/>
    <x v="23"/>
    <x v="14"/>
    <x v="5"/>
    <n v="5600.4"/>
    <x v="1"/>
  </r>
  <r>
    <x v="30"/>
    <x v="1"/>
    <x v="336"/>
    <x v="3"/>
    <x v="8"/>
    <x v="23"/>
    <x v="14"/>
    <x v="6"/>
    <n v="0"/>
    <x v="1"/>
  </r>
  <r>
    <x v="30"/>
    <x v="1"/>
    <x v="336"/>
    <x v="3"/>
    <x v="8"/>
    <x v="23"/>
    <x v="14"/>
    <x v="7"/>
    <n v="100000"/>
    <x v="1"/>
  </r>
  <r>
    <x v="30"/>
    <x v="1"/>
    <x v="336"/>
    <x v="3"/>
    <x v="8"/>
    <x v="23"/>
    <x v="14"/>
    <x v="8"/>
    <n v="0"/>
    <x v="1"/>
  </r>
  <r>
    <x v="30"/>
    <x v="1"/>
    <x v="336"/>
    <x v="3"/>
    <x v="8"/>
    <x v="23"/>
    <x v="14"/>
    <x v="9"/>
    <n v="33600.400000000001"/>
    <x v="1"/>
  </r>
  <r>
    <x v="30"/>
    <x v="1"/>
    <x v="336"/>
    <x v="3"/>
    <x v="8"/>
    <x v="23"/>
    <x v="14"/>
    <x v="10"/>
    <n v="33600.400000000001"/>
    <x v="1"/>
  </r>
  <r>
    <x v="30"/>
    <x v="1"/>
    <x v="336"/>
    <x v="3"/>
    <x v="8"/>
    <x v="23"/>
    <x v="14"/>
    <x v="12"/>
    <n v="28000"/>
    <x v="1"/>
  </r>
  <r>
    <x v="30"/>
    <x v="1"/>
    <x v="337"/>
    <x v="3"/>
    <x v="8"/>
    <x v="23"/>
    <x v="14"/>
    <x v="0"/>
    <n v="0"/>
    <x v="1"/>
  </r>
  <r>
    <x v="30"/>
    <x v="1"/>
    <x v="337"/>
    <x v="3"/>
    <x v="8"/>
    <x v="23"/>
    <x v="14"/>
    <x v="1"/>
    <n v="50000"/>
    <x v="1"/>
  </r>
  <r>
    <x v="30"/>
    <x v="1"/>
    <x v="337"/>
    <x v="3"/>
    <x v="8"/>
    <x v="23"/>
    <x v="14"/>
    <x v="2"/>
    <n v="0"/>
    <x v="1"/>
  </r>
  <r>
    <x v="30"/>
    <x v="1"/>
    <x v="337"/>
    <x v="3"/>
    <x v="8"/>
    <x v="23"/>
    <x v="14"/>
    <x v="3"/>
    <n v="0"/>
    <x v="1"/>
  </r>
  <r>
    <x v="30"/>
    <x v="1"/>
    <x v="337"/>
    <x v="3"/>
    <x v="8"/>
    <x v="23"/>
    <x v="14"/>
    <x v="4"/>
    <n v="0"/>
    <x v="1"/>
  </r>
  <r>
    <x v="30"/>
    <x v="1"/>
    <x v="337"/>
    <x v="3"/>
    <x v="8"/>
    <x v="23"/>
    <x v="14"/>
    <x v="5"/>
    <n v="0"/>
    <x v="1"/>
  </r>
  <r>
    <x v="30"/>
    <x v="1"/>
    <x v="337"/>
    <x v="3"/>
    <x v="8"/>
    <x v="23"/>
    <x v="14"/>
    <x v="6"/>
    <n v="0"/>
    <x v="1"/>
  </r>
  <r>
    <x v="30"/>
    <x v="1"/>
    <x v="337"/>
    <x v="3"/>
    <x v="8"/>
    <x v="23"/>
    <x v="14"/>
    <x v="7"/>
    <n v="0"/>
    <x v="1"/>
  </r>
  <r>
    <x v="30"/>
    <x v="1"/>
    <x v="337"/>
    <x v="3"/>
    <x v="8"/>
    <x v="23"/>
    <x v="14"/>
    <x v="8"/>
    <n v="0"/>
    <x v="1"/>
  </r>
  <r>
    <x v="30"/>
    <x v="1"/>
    <x v="337"/>
    <x v="3"/>
    <x v="8"/>
    <x v="23"/>
    <x v="14"/>
    <x v="9"/>
    <n v="0"/>
    <x v="1"/>
  </r>
  <r>
    <x v="30"/>
    <x v="1"/>
    <x v="337"/>
    <x v="3"/>
    <x v="8"/>
    <x v="23"/>
    <x v="14"/>
    <x v="10"/>
    <n v="0"/>
    <x v="1"/>
  </r>
  <r>
    <x v="30"/>
    <x v="1"/>
    <x v="337"/>
    <x v="3"/>
    <x v="8"/>
    <x v="23"/>
    <x v="14"/>
    <x v="12"/>
    <n v="0"/>
    <x v="1"/>
  </r>
  <r>
    <x v="30"/>
    <x v="1"/>
    <x v="338"/>
    <x v="3"/>
    <x v="8"/>
    <x v="23"/>
    <x v="14"/>
    <x v="0"/>
    <n v="0"/>
    <x v="1"/>
  </r>
  <r>
    <x v="30"/>
    <x v="1"/>
    <x v="338"/>
    <x v="3"/>
    <x v="8"/>
    <x v="23"/>
    <x v="14"/>
    <x v="1"/>
    <n v="0"/>
    <x v="1"/>
  </r>
  <r>
    <x v="30"/>
    <x v="1"/>
    <x v="338"/>
    <x v="3"/>
    <x v="8"/>
    <x v="23"/>
    <x v="14"/>
    <x v="2"/>
    <n v="0"/>
    <x v="1"/>
  </r>
  <r>
    <x v="30"/>
    <x v="1"/>
    <x v="338"/>
    <x v="3"/>
    <x v="8"/>
    <x v="23"/>
    <x v="14"/>
    <x v="3"/>
    <n v="0"/>
    <x v="1"/>
  </r>
  <r>
    <x v="30"/>
    <x v="1"/>
    <x v="338"/>
    <x v="3"/>
    <x v="8"/>
    <x v="23"/>
    <x v="14"/>
    <x v="4"/>
    <n v="0"/>
    <x v="1"/>
  </r>
  <r>
    <x v="30"/>
    <x v="1"/>
    <x v="338"/>
    <x v="3"/>
    <x v="8"/>
    <x v="23"/>
    <x v="14"/>
    <x v="5"/>
    <n v="44000"/>
    <x v="1"/>
  </r>
  <r>
    <x v="30"/>
    <x v="1"/>
    <x v="338"/>
    <x v="3"/>
    <x v="8"/>
    <x v="23"/>
    <x v="14"/>
    <x v="6"/>
    <n v="0"/>
    <x v="1"/>
  </r>
  <r>
    <x v="30"/>
    <x v="1"/>
    <x v="338"/>
    <x v="3"/>
    <x v="8"/>
    <x v="23"/>
    <x v="14"/>
    <x v="7"/>
    <n v="14000"/>
    <x v="1"/>
  </r>
  <r>
    <x v="30"/>
    <x v="1"/>
    <x v="338"/>
    <x v="3"/>
    <x v="8"/>
    <x v="23"/>
    <x v="14"/>
    <x v="8"/>
    <n v="0"/>
    <x v="1"/>
  </r>
  <r>
    <x v="30"/>
    <x v="1"/>
    <x v="338"/>
    <x v="3"/>
    <x v="8"/>
    <x v="23"/>
    <x v="14"/>
    <x v="9"/>
    <n v="14000"/>
    <x v="1"/>
  </r>
  <r>
    <x v="30"/>
    <x v="1"/>
    <x v="338"/>
    <x v="3"/>
    <x v="8"/>
    <x v="23"/>
    <x v="14"/>
    <x v="10"/>
    <n v="14000"/>
    <x v="1"/>
  </r>
  <r>
    <x v="30"/>
    <x v="1"/>
    <x v="338"/>
    <x v="3"/>
    <x v="8"/>
    <x v="23"/>
    <x v="14"/>
    <x v="12"/>
    <n v="14000"/>
    <x v="1"/>
  </r>
  <r>
    <x v="87"/>
    <x v="0"/>
    <x v="339"/>
    <x v="0"/>
    <x v="0"/>
    <x v="0"/>
    <x v="14"/>
    <x v="0"/>
    <n v="2829.3040493293315"/>
    <x v="2"/>
  </r>
  <r>
    <x v="87"/>
    <x v="0"/>
    <x v="339"/>
    <x v="0"/>
    <x v="0"/>
    <x v="0"/>
    <x v="14"/>
    <x v="1"/>
    <n v="2609.6521313614617"/>
    <x v="2"/>
  </r>
  <r>
    <x v="87"/>
    <x v="0"/>
    <x v="339"/>
    <x v="0"/>
    <x v="0"/>
    <x v="0"/>
    <x v="14"/>
    <x v="2"/>
    <n v="3831.9995754187171"/>
    <x v="2"/>
  </r>
  <r>
    <x v="87"/>
    <x v="0"/>
    <x v="339"/>
    <x v="0"/>
    <x v="0"/>
    <x v="0"/>
    <x v="14"/>
    <x v="3"/>
    <n v="2879.8682273358572"/>
    <x v="2"/>
  </r>
  <r>
    <x v="87"/>
    <x v="0"/>
    <x v="339"/>
    <x v="0"/>
    <x v="0"/>
    <x v="0"/>
    <x v="14"/>
    <x v="4"/>
    <n v="1881.46"/>
    <x v="2"/>
  </r>
  <r>
    <x v="87"/>
    <x v="0"/>
    <x v="339"/>
    <x v="0"/>
    <x v="0"/>
    <x v="0"/>
    <x v="14"/>
    <x v="5"/>
    <n v="3098.099976352838"/>
    <x v="2"/>
  </r>
  <r>
    <x v="87"/>
    <x v="0"/>
    <x v="339"/>
    <x v="0"/>
    <x v="0"/>
    <x v="0"/>
    <x v="14"/>
    <x v="6"/>
    <n v="4489.221970787904"/>
    <x v="2"/>
  </r>
  <r>
    <x v="87"/>
    <x v="0"/>
    <x v="339"/>
    <x v="0"/>
    <x v="0"/>
    <x v="0"/>
    <x v="14"/>
    <x v="7"/>
    <n v="2622.9914249360531"/>
    <x v="2"/>
  </r>
  <r>
    <x v="87"/>
    <x v="0"/>
    <x v="339"/>
    <x v="0"/>
    <x v="0"/>
    <x v="0"/>
    <x v="14"/>
    <x v="8"/>
    <n v="2724.3547400611619"/>
    <x v="2"/>
  </r>
  <r>
    <x v="87"/>
    <x v="0"/>
    <x v="339"/>
    <x v="0"/>
    <x v="0"/>
    <x v="0"/>
    <x v="14"/>
    <x v="9"/>
    <n v="2724.3547400611619"/>
    <x v="2"/>
  </r>
  <r>
    <x v="87"/>
    <x v="0"/>
    <x v="339"/>
    <x v="0"/>
    <x v="0"/>
    <x v="0"/>
    <x v="14"/>
    <x v="10"/>
    <n v="2724.3547400611619"/>
    <x v="2"/>
  </r>
  <r>
    <x v="87"/>
    <x v="0"/>
    <x v="339"/>
    <x v="0"/>
    <x v="0"/>
    <x v="0"/>
    <x v="14"/>
    <x v="12"/>
    <n v="2724.3547400611619"/>
    <x v="2"/>
  </r>
  <r>
    <x v="88"/>
    <x v="0"/>
    <x v="340"/>
    <x v="2"/>
    <x v="0"/>
    <x v="0"/>
    <x v="14"/>
    <x v="0"/>
    <n v="1531.8459506706686"/>
    <x v="2"/>
  </r>
  <r>
    <x v="88"/>
    <x v="0"/>
    <x v="340"/>
    <x v="2"/>
    <x v="0"/>
    <x v="0"/>
    <x v="14"/>
    <x v="1"/>
    <n v="1546.9078686385385"/>
    <x v="2"/>
  </r>
  <r>
    <x v="88"/>
    <x v="0"/>
    <x v="340"/>
    <x v="2"/>
    <x v="0"/>
    <x v="0"/>
    <x v="14"/>
    <x v="2"/>
    <n v="2115.5404245812829"/>
    <x v="2"/>
  </r>
  <r>
    <x v="88"/>
    <x v="0"/>
    <x v="340"/>
    <x v="2"/>
    <x v="0"/>
    <x v="0"/>
    <x v="14"/>
    <x v="3"/>
    <n v="1599.2617726641422"/>
    <x v="2"/>
  </r>
  <r>
    <x v="88"/>
    <x v="0"/>
    <x v="340"/>
    <x v="2"/>
    <x v="0"/>
    <x v="0"/>
    <x v="14"/>
    <x v="4"/>
    <n v="1060.3599999999999"/>
    <x v="2"/>
  </r>
  <r>
    <x v="88"/>
    <x v="0"/>
    <x v="340"/>
    <x v="2"/>
    <x v="0"/>
    <x v="0"/>
    <x v="14"/>
    <x v="5"/>
    <n v="1558.9100236471625"/>
    <x v="2"/>
  </r>
  <r>
    <x v="88"/>
    <x v="0"/>
    <x v="340"/>
    <x v="2"/>
    <x v="0"/>
    <x v="0"/>
    <x v="14"/>
    <x v="6"/>
    <n v="1362.7780292120963"/>
    <x v="2"/>
  </r>
  <r>
    <x v="88"/>
    <x v="0"/>
    <x v="340"/>
    <x v="2"/>
    <x v="0"/>
    <x v="0"/>
    <x v="14"/>
    <x v="7"/>
    <n v="1463.2385750639471"/>
    <x v="2"/>
  </r>
  <r>
    <x v="88"/>
    <x v="0"/>
    <x v="340"/>
    <x v="2"/>
    <x v="0"/>
    <x v="0"/>
    <x v="14"/>
    <x v="8"/>
    <n v="1558.6452599388379"/>
    <x v="2"/>
  </r>
  <r>
    <x v="88"/>
    <x v="0"/>
    <x v="340"/>
    <x v="2"/>
    <x v="0"/>
    <x v="0"/>
    <x v="14"/>
    <x v="9"/>
    <n v="1558.6452599388379"/>
    <x v="2"/>
  </r>
  <r>
    <x v="88"/>
    <x v="0"/>
    <x v="340"/>
    <x v="2"/>
    <x v="0"/>
    <x v="0"/>
    <x v="14"/>
    <x v="10"/>
    <n v="1558.6452599388379"/>
    <x v="2"/>
  </r>
  <r>
    <x v="88"/>
    <x v="0"/>
    <x v="340"/>
    <x v="2"/>
    <x v="0"/>
    <x v="0"/>
    <x v="14"/>
    <x v="12"/>
    <n v="1558.6452599388379"/>
    <x v="2"/>
  </r>
  <r>
    <x v="89"/>
    <x v="0"/>
    <x v="341"/>
    <x v="2"/>
    <x v="0"/>
    <x v="0"/>
    <x v="14"/>
    <x v="0"/>
    <n v="2802.86"/>
    <x v="2"/>
  </r>
  <r>
    <x v="89"/>
    <x v="0"/>
    <x v="341"/>
    <x v="2"/>
    <x v="0"/>
    <x v="0"/>
    <x v="14"/>
    <x v="1"/>
    <n v="2844.04"/>
    <x v="2"/>
  </r>
  <r>
    <x v="89"/>
    <x v="0"/>
    <x v="341"/>
    <x v="2"/>
    <x v="0"/>
    <x v="0"/>
    <x v="14"/>
    <x v="2"/>
    <n v="2846.91"/>
    <x v="2"/>
  </r>
  <r>
    <x v="89"/>
    <x v="0"/>
    <x v="341"/>
    <x v="2"/>
    <x v="0"/>
    <x v="0"/>
    <x v="14"/>
    <x v="3"/>
    <n v="2881.39"/>
    <x v="2"/>
  </r>
  <r>
    <x v="89"/>
    <x v="0"/>
    <x v="341"/>
    <x v="2"/>
    <x v="0"/>
    <x v="0"/>
    <x v="14"/>
    <x v="4"/>
    <n v="2950.14"/>
    <x v="2"/>
  </r>
  <r>
    <x v="89"/>
    <x v="0"/>
    <x v="341"/>
    <x v="2"/>
    <x v="0"/>
    <x v="0"/>
    <x v="14"/>
    <x v="5"/>
    <n v="2720.9"/>
    <x v="2"/>
  </r>
  <r>
    <x v="89"/>
    <x v="0"/>
    <x v="341"/>
    <x v="2"/>
    <x v="0"/>
    <x v="0"/>
    <x v="14"/>
    <x v="6"/>
    <n v="2788"/>
    <x v="2"/>
  </r>
  <r>
    <x v="89"/>
    <x v="0"/>
    <x v="341"/>
    <x v="2"/>
    <x v="0"/>
    <x v="0"/>
    <x v="14"/>
    <x v="7"/>
    <n v="2956.01"/>
    <x v="2"/>
  </r>
  <r>
    <x v="89"/>
    <x v="0"/>
    <x v="341"/>
    <x v="2"/>
    <x v="0"/>
    <x v="0"/>
    <x v="14"/>
    <x v="8"/>
    <n v="2946"/>
    <x v="2"/>
  </r>
  <r>
    <x v="89"/>
    <x v="0"/>
    <x v="341"/>
    <x v="2"/>
    <x v="0"/>
    <x v="0"/>
    <x v="14"/>
    <x v="9"/>
    <n v="2946"/>
    <x v="2"/>
  </r>
  <r>
    <x v="89"/>
    <x v="0"/>
    <x v="341"/>
    <x v="2"/>
    <x v="0"/>
    <x v="0"/>
    <x v="14"/>
    <x v="10"/>
    <n v="2946"/>
    <x v="2"/>
  </r>
  <r>
    <x v="89"/>
    <x v="0"/>
    <x v="341"/>
    <x v="2"/>
    <x v="0"/>
    <x v="0"/>
    <x v="14"/>
    <x v="12"/>
    <n v="2946"/>
    <x v="2"/>
  </r>
  <r>
    <x v="30"/>
    <x v="0"/>
    <x v="281"/>
    <x v="2"/>
    <x v="2"/>
    <x v="3"/>
    <x v="14"/>
    <x v="0"/>
    <n v="0"/>
    <x v="2"/>
  </r>
  <r>
    <x v="30"/>
    <x v="0"/>
    <x v="281"/>
    <x v="2"/>
    <x v="2"/>
    <x v="3"/>
    <x v="14"/>
    <x v="1"/>
    <n v="0"/>
    <x v="2"/>
  </r>
  <r>
    <x v="30"/>
    <x v="0"/>
    <x v="281"/>
    <x v="2"/>
    <x v="2"/>
    <x v="3"/>
    <x v="14"/>
    <x v="2"/>
    <n v="305.01"/>
    <x v="2"/>
  </r>
  <r>
    <x v="30"/>
    <x v="0"/>
    <x v="281"/>
    <x v="2"/>
    <x v="2"/>
    <x v="3"/>
    <x v="14"/>
    <x v="3"/>
    <n v="0"/>
    <x v="2"/>
  </r>
  <r>
    <x v="30"/>
    <x v="0"/>
    <x v="281"/>
    <x v="2"/>
    <x v="2"/>
    <x v="3"/>
    <x v="14"/>
    <x v="4"/>
    <n v="126.48"/>
    <x v="2"/>
  </r>
  <r>
    <x v="30"/>
    <x v="0"/>
    <x v="281"/>
    <x v="2"/>
    <x v="2"/>
    <x v="3"/>
    <x v="14"/>
    <x v="5"/>
    <n v="477.99"/>
    <x v="2"/>
  </r>
  <r>
    <x v="30"/>
    <x v="0"/>
    <x v="281"/>
    <x v="2"/>
    <x v="2"/>
    <x v="3"/>
    <x v="14"/>
    <x v="6"/>
    <n v="0"/>
    <x v="2"/>
  </r>
  <r>
    <x v="30"/>
    <x v="0"/>
    <x v="281"/>
    <x v="2"/>
    <x v="2"/>
    <x v="3"/>
    <x v="14"/>
    <x v="7"/>
    <n v="0"/>
    <x v="2"/>
  </r>
  <r>
    <x v="30"/>
    <x v="0"/>
    <x v="281"/>
    <x v="2"/>
    <x v="2"/>
    <x v="3"/>
    <x v="14"/>
    <x v="8"/>
    <n v="0"/>
    <x v="2"/>
  </r>
  <r>
    <x v="30"/>
    <x v="0"/>
    <x v="281"/>
    <x v="2"/>
    <x v="2"/>
    <x v="3"/>
    <x v="14"/>
    <x v="9"/>
    <n v="0"/>
    <x v="2"/>
  </r>
  <r>
    <x v="30"/>
    <x v="0"/>
    <x v="281"/>
    <x v="2"/>
    <x v="2"/>
    <x v="3"/>
    <x v="14"/>
    <x v="10"/>
    <n v="0"/>
    <x v="2"/>
  </r>
  <r>
    <x v="30"/>
    <x v="0"/>
    <x v="281"/>
    <x v="2"/>
    <x v="2"/>
    <x v="3"/>
    <x v="14"/>
    <x v="12"/>
    <n v="0"/>
    <x v="2"/>
  </r>
  <r>
    <x v="30"/>
    <x v="0"/>
    <x v="282"/>
    <x v="2"/>
    <x v="2"/>
    <x v="3"/>
    <x v="14"/>
    <x v="0"/>
    <n v="538.78"/>
    <x v="2"/>
  </r>
  <r>
    <x v="30"/>
    <x v="0"/>
    <x v="282"/>
    <x v="2"/>
    <x v="2"/>
    <x v="3"/>
    <x v="14"/>
    <x v="1"/>
    <n v="648.37"/>
    <x v="2"/>
  </r>
  <r>
    <x v="30"/>
    <x v="0"/>
    <x v="282"/>
    <x v="2"/>
    <x v="2"/>
    <x v="3"/>
    <x v="14"/>
    <x v="2"/>
    <n v="706"/>
    <x v="2"/>
  </r>
  <r>
    <x v="30"/>
    <x v="0"/>
    <x v="282"/>
    <x v="2"/>
    <x v="2"/>
    <x v="3"/>
    <x v="14"/>
    <x v="3"/>
    <n v="576.32653061224482"/>
    <x v="2"/>
  </r>
  <r>
    <x v="30"/>
    <x v="0"/>
    <x v="282"/>
    <x v="2"/>
    <x v="2"/>
    <x v="3"/>
    <x v="14"/>
    <x v="4"/>
    <n v="576.33000000000004"/>
    <x v="2"/>
  </r>
  <r>
    <x v="30"/>
    <x v="0"/>
    <x v="282"/>
    <x v="2"/>
    <x v="2"/>
    <x v="3"/>
    <x v="14"/>
    <x v="5"/>
    <n v="1096.99"/>
    <x v="2"/>
  </r>
  <r>
    <x v="30"/>
    <x v="0"/>
    <x v="282"/>
    <x v="2"/>
    <x v="2"/>
    <x v="3"/>
    <x v="14"/>
    <x v="6"/>
    <n v="11694"/>
    <x v="2"/>
  </r>
  <r>
    <x v="30"/>
    <x v="0"/>
    <x v="282"/>
    <x v="2"/>
    <x v="2"/>
    <x v="3"/>
    <x v="14"/>
    <x v="7"/>
    <n v="522.96"/>
    <x v="2"/>
  </r>
  <r>
    <x v="30"/>
    <x v="0"/>
    <x v="282"/>
    <x v="2"/>
    <x v="2"/>
    <x v="3"/>
    <x v="14"/>
    <x v="8"/>
    <n v="523"/>
    <x v="2"/>
  </r>
  <r>
    <x v="30"/>
    <x v="0"/>
    <x v="282"/>
    <x v="2"/>
    <x v="2"/>
    <x v="3"/>
    <x v="14"/>
    <x v="9"/>
    <n v="523"/>
    <x v="2"/>
  </r>
  <r>
    <x v="30"/>
    <x v="0"/>
    <x v="282"/>
    <x v="2"/>
    <x v="2"/>
    <x v="3"/>
    <x v="14"/>
    <x v="10"/>
    <n v="523"/>
    <x v="2"/>
  </r>
  <r>
    <x v="30"/>
    <x v="0"/>
    <x v="282"/>
    <x v="2"/>
    <x v="2"/>
    <x v="3"/>
    <x v="14"/>
    <x v="12"/>
    <n v="523"/>
    <x v="2"/>
  </r>
  <r>
    <x v="30"/>
    <x v="1"/>
    <x v="283"/>
    <x v="2"/>
    <x v="2"/>
    <x v="3"/>
    <x v="14"/>
    <x v="0"/>
    <n v="0"/>
    <x v="2"/>
  </r>
  <r>
    <x v="30"/>
    <x v="1"/>
    <x v="283"/>
    <x v="2"/>
    <x v="2"/>
    <x v="3"/>
    <x v="14"/>
    <x v="1"/>
    <n v="35366.730000000003"/>
    <x v="2"/>
  </r>
  <r>
    <x v="30"/>
    <x v="1"/>
    <x v="283"/>
    <x v="2"/>
    <x v="2"/>
    <x v="3"/>
    <x v="14"/>
    <x v="2"/>
    <n v="0"/>
    <x v="2"/>
  </r>
  <r>
    <x v="30"/>
    <x v="1"/>
    <x v="283"/>
    <x v="2"/>
    <x v="2"/>
    <x v="3"/>
    <x v="14"/>
    <x v="3"/>
    <n v="0"/>
    <x v="2"/>
  </r>
  <r>
    <x v="30"/>
    <x v="1"/>
    <x v="283"/>
    <x v="2"/>
    <x v="2"/>
    <x v="3"/>
    <x v="14"/>
    <x v="4"/>
    <n v="35577.58"/>
    <x v="2"/>
  </r>
  <r>
    <x v="30"/>
    <x v="1"/>
    <x v="283"/>
    <x v="2"/>
    <x v="2"/>
    <x v="3"/>
    <x v="14"/>
    <x v="5"/>
    <n v="2106.23"/>
    <x v="2"/>
  </r>
  <r>
    <x v="30"/>
    <x v="1"/>
    <x v="283"/>
    <x v="2"/>
    <x v="2"/>
    <x v="3"/>
    <x v="14"/>
    <x v="6"/>
    <n v="0"/>
    <x v="2"/>
  </r>
  <r>
    <x v="30"/>
    <x v="1"/>
    <x v="283"/>
    <x v="2"/>
    <x v="2"/>
    <x v="3"/>
    <x v="14"/>
    <x v="7"/>
    <n v="0"/>
    <x v="2"/>
  </r>
  <r>
    <x v="30"/>
    <x v="1"/>
    <x v="283"/>
    <x v="2"/>
    <x v="2"/>
    <x v="3"/>
    <x v="14"/>
    <x v="8"/>
    <n v="0"/>
    <x v="2"/>
  </r>
  <r>
    <x v="30"/>
    <x v="1"/>
    <x v="283"/>
    <x v="2"/>
    <x v="2"/>
    <x v="3"/>
    <x v="14"/>
    <x v="9"/>
    <n v="0"/>
    <x v="2"/>
  </r>
  <r>
    <x v="30"/>
    <x v="1"/>
    <x v="283"/>
    <x v="2"/>
    <x v="2"/>
    <x v="3"/>
    <x v="14"/>
    <x v="10"/>
    <n v="41296.311199999989"/>
    <x v="2"/>
  </r>
  <r>
    <x v="30"/>
    <x v="1"/>
    <x v="283"/>
    <x v="2"/>
    <x v="2"/>
    <x v="3"/>
    <x v="14"/>
    <x v="12"/>
    <n v="0"/>
    <x v="2"/>
  </r>
  <r>
    <x v="30"/>
    <x v="2"/>
    <x v="342"/>
    <x v="0"/>
    <x v="2"/>
    <x v="3"/>
    <x v="14"/>
    <x v="0"/>
    <n v="0"/>
    <x v="2"/>
  </r>
  <r>
    <x v="30"/>
    <x v="2"/>
    <x v="342"/>
    <x v="0"/>
    <x v="2"/>
    <x v="3"/>
    <x v="14"/>
    <x v="1"/>
    <n v="0"/>
    <x v="2"/>
  </r>
  <r>
    <x v="30"/>
    <x v="2"/>
    <x v="342"/>
    <x v="0"/>
    <x v="2"/>
    <x v="3"/>
    <x v="14"/>
    <x v="2"/>
    <n v="0"/>
    <x v="2"/>
  </r>
  <r>
    <x v="30"/>
    <x v="2"/>
    <x v="342"/>
    <x v="0"/>
    <x v="2"/>
    <x v="3"/>
    <x v="14"/>
    <x v="3"/>
    <n v="0"/>
    <x v="2"/>
  </r>
  <r>
    <x v="30"/>
    <x v="2"/>
    <x v="342"/>
    <x v="0"/>
    <x v="2"/>
    <x v="3"/>
    <x v="14"/>
    <x v="4"/>
    <n v="0"/>
    <x v="2"/>
  </r>
  <r>
    <x v="30"/>
    <x v="2"/>
    <x v="342"/>
    <x v="0"/>
    <x v="2"/>
    <x v="3"/>
    <x v="14"/>
    <x v="5"/>
    <n v="0"/>
    <x v="2"/>
  </r>
  <r>
    <x v="30"/>
    <x v="2"/>
    <x v="342"/>
    <x v="0"/>
    <x v="2"/>
    <x v="3"/>
    <x v="14"/>
    <x v="6"/>
    <n v="0"/>
    <x v="2"/>
  </r>
  <r>
    <x v="30"/>
    <x v="2"/>
    <x v="342"/>
    <x v="0"/>
    <x v="2"/>
    <x v="3"/>
    <x v="14"/>
    <x v="7"/>
    <n v="7419.75"/>
    <x v="2"/>
  </r>
  <r>
    <x v="30"/>
    <x v="2"/>
    <x v="342"/>
    <x v="0"/>
    <x v="2"/>
    <x v="3"/>
    <x v="14"/>
    <x v="8"/>
    <n v="0"/>
    <x v="2"/>
  </r>
  <r>
    <x v="30"/>
    <x v="2"/>
    <x v="342"/>
    <x v="0"/>
    <x v="2"/>
    <x v="3"/>
    <x v="14"/>
    <x v="9"/>
    <n v="0"/>
    <x v="2"/>
  </r>
  <r>
    <x v="30"/>
    <x v="2"/>
    <x v="342"/>
    <x v="0"/>
    <x v="2"/>
    <x v="3"/>
    <x v="14"/>
    <x v="10"/>
    <n v="0"/>
    <x v="2"/>
  </r>
  <r>
    <x v="30"/>
    <x v="2"/>
    <x v="342"/>
    <x v="0"/>
    <x v="2"/>
    <x v="3"/>
    <x v="14"/>
    <x v="12"/>
    <n v="0"/>
    <x v="2"/>
  </r>
  <r>
    <x v="30"/>
    <x v="1"/>
    <x v="343"/>
    <x v="0"/>
    <x v="4"/>
    <x v="40"/>
    <x v="20"/>
    <x v="0"/>
    <n v="0"/>
    <x v="2"/>
  </r>
  <r>
    <x v="30"/>
    <x v="1"/>
    <x v="343"/>
    <x v="0"/>
    <x v="4"/>
    <x v="40"/>
    <x v="20"/>
    <x v="1"/>
    <n v="0"/>
    <x v="2"/>
  </r>
  <r>
    <x v="30"/>
    <x v="1"/>
    <x v="343"/>
    <x v="0"/>
    <x v="4"/>
    <x v="40"/>
    <x v="20"/>
    <x v="2"/>
    <n v="0"/>
    <x v="2"/>
  </r>
  <r>
    <x v="30"/>
    <x v="1"/>
    <x v="343"/>
    <x v="0"/>
    <x v="4"/>
    <x v="40"/>
    <x v="20"/>
    <x v="3"/>
    <n v="0"/>
    <x v="2"/>
  </r>
  <r>
    <x v="30"/>
    <x v="1"/>
    <x v="343"/>
    <x v="0"/>
    <x v="4"/>
    <x v="40"/>
    <x v="20"/>
    <x v="4"/>
    <n v="0"/>
    <x v="2"/>
  </r>
  <r>
    <x v="30"/>
    <x v="1"/>
    <x v="343"/>
    <x v="0"/>
    <x v="4"/>
    <x v="40"/>
    <x v="20"/>
    <x v="5"/>
    <n v="0"/>
    <x v="2"/>
  </r>
  <r>
    <x v="30"/>
    <x v="1"/>
    <x v="343"/>
    <x v="0"/>
    <x v="4"/>
    <x v="40"/>
    <x v="20"/>
    <x v="6"/>
    <n v="0"/>
    <x v="2"/>
  </r>
  <r>
    <x v="30"/>
    <x v="1"/>
    <x v="343"/>
    <x v="0"/>
    <x v="4"/>
    <x v="40"/>
    <x v="20"/>
    <x v="7"/>
    <n v="0"/>
    <x v="2"/>
  </r>
  <r>
    <x v="30"/>
    <x v="1"/>
    <x v="343"/>
    <x v="0"/>
    <x v="4"/>
    <x v="40"/>
    <x v="20"/>
    <x v="8"/>
    <n v="0"/>
    <x v="2"/>
  </r>
  <r>
    <x v="30"/>
    <x v="1"/>
    <x v="343"/>
    <x v="0"/>
    <x v="4"/>
    <x v="40"/>
    <x v="20"/>
    <x v="9"/>
    <n v="0"/>
    <x v="2"/>
  </r>
  <r>
    <x v="30"/>
    <x v="1"/>
    <x v="343"/>
    <x v="0"/>
    <x v="4"/>
    <x v="40"/>
    <x v="20"/>
    <x v="10"/>
    <n v="0"/>
    <x v="2"/>
  </r>
  <r>
    <x v="30"/>
    <x v="1"/>
    <x v="343"/>
    <x v="0"/>
    <x v="4"/>
    <x v="40"/>
    <x v="20"/>
    <x v="12"/>
    <n v="0"/>
    <x v="2"/>
  </r>
  <r>
    <x v="30"/>
    <x v="1"/>
    <x v="344"/>
    <x v="1"/>
    <x v="4"/>
    <x v="40"/>
    <x v="14"/>
    <x v="0"/>
    <n v="0"/>
    <x v="2"/>
  </r>
  <r>
    <x v="30"/>
    <x v="1"/>
    <x v="344"/>
    <x v="1"/>
    <x v="4"/>
    <x v="40"/>
    <x v="14"/>
    <x v="1"/>
    <n v="0"/>
    <x v="2"/>
  </r>
  <r>
    <x v="30"/>
    <x v="1"/>
    <x v="344"/>
    <x v="1"/>
    <x v="4"/>
    <x v="40"/>
    <x v="14"/>
    <x v="2"/>
    <n v="0"/>
    <x v="2"/>
  </r>
  <r>
    <x v="30"/>
    <x v="1"/>
    <x v="344"/>
    <x v="1"/>
    <x v="4"/>
    <x v="40"/>
    <x v="14"/>
    <x v="3"/>
    <n v="0"/>
    <x v="2"/>
  </r>
  <r>
    <x v="30"/>
    <x v="1"/>
    <x v="344"/>
    <x v="1"/>
    <x v="4"/>
    <x v="40"/>
    <x v="14"/>
    <x v="4"/>
    <n v="0"/>
    <x v="2"/>
  </r>
  <r>
    <x v="30"/>
    <x v="1"/>
    <x v="344"/>
    <x v="1"/>
    <x v="4"/>
    <x v="40"/>
    <x v="14"/>
    <x v="5"/>
    <n v="0"/>
    <x v="2"/>
  </r>
  <r>
    <x v="30"/>
    <x v="1"/>
    <x v="344"/>
    <x v="1"/>
    <x v="4"/>
    <x v="40"/>
    <x v="14"/>
    <x v="6"/>
    <n v="0"/>
    <x v="2"/>
  </r>
  <r>
    <x v="30"/>
    <x v="1"/>
    <x v="344"/>
    <x v="1"/>
    <x v="4"/>
    <x v="40"/>
    <x v="14"/>
    <x v="7"/>
    <n v="0"/>
    <x v="2"/>
  </r>
  <r>
    <x v="30"/>
    <x v="1"/>
    <x v="344"/>
    <x v="1"/>
    <x v="4"/>
    <x v="40"/>
    <x v="14"/>
    <x v="8"/>
    <n v="0"/>
    <x v="2"/>
  </r>
  <r>
    <x v="30"/>
    <x v="1"/>
    <x v="344"/>
    <x v="1"/>
    <x v="4"/>
    <x v="40"/>
    <x v="14"/>
    <x v="9"/>
    <n v="0"/>
    <x v="2"/>
  </r>
  <r>
    <x v="30"/>
    <x v="1"/>
    <x v="344"/>
    <x v="1"/>
    <x v="4"/>
    <x v="40"/>
    <x v="14"/>
    <x v="10"/>
    <n v="0"/>
    <x v="2"/>
  </r>
  <r>
    <x v="30"/>
    <x v="1"/>
    <x v="344"/>
    <x v="1"/>
    <x v="4"/>
    <x v="40"/>
    <x v="14"/>
    <x v="12"/>
    <n v="0"/>
    <x v="2"/>
  </r>
  <r>
    <x v="30"/>
    <x v="1"/>
    <x v="345"/>
    <x v="0"/>
    <x v="4"/>
    <x v="40"/>
    <x v="21"/>
    <x v="0"/>
    <n v="0"/>
    <x v="2"/>
  </r>
  <r>
    <x v="30"/>
    <x v="1"/>
    <x v="345"/>
    <x v="0"/>
    <x v="4"/>
    <x v="40"/>
    <x v="21"/>
    <x v="1"/>
    <n v="0"/>
    <x v="2"/>
  </r>
  <r>
    <x v="30"/>
    <x v="1"/>
    <x v="345"/>
    <x v="0"/>
    <x v="4"/>
    <x v="40"/>
    <x v="21"/>
    <x v="2"/>
    <n v="0"/>
    <x v="2"/>
  </r>
  <r>
    <x v="30"/>
    <x v="1"/>
    <x v="345"/>
    <x v="0"/>
    <x v="4"/>
    <x v="40"/>
    <x v="21"/>
    <x v="3"/>
    <n v="0"/>
    <x v="2"/>
  </r>
  <r>
    <x v="30"/>
    <x v="1"/>
    <x v="345"/>
    <x v="0"/>
    <x v="4"/>
    <x v="40"/>
    <x v="21"/>
    <x v="4"/>
    <n v="0"/>
    <x v="2"/>
  </r>
  <r>
    <x v="30"/>
    <x v="1"/>
    <x v="345"/>
    <x v="0"/>
    <x v="4"/>
    <x v="40"/>
    <x v="21"/>
    <x v="5"/>
    <n v="0"/>
    <x v="2"/>
  </r>
  <r>
    <x v="30"/>
    <x v="1"/>
    <x v="345"/>
    <x v="0"/>
    <x v="4"/>
    <x v="40"/>
    <x v="21"/>
    <x v="6"/>
    <n v="0"/>
    <x v="2"/>
  </r>
  <r>
    <x v="30"/>
    <x v="1"/>
    <x v="345"/>
    <x v="0"/>
    <x v="4"/>
    <x v="40"/>
    <x v="21"/>
    <x v="7"/>
    <n v="0"/>
    <x v="2"/>
  </r>
  <r>
    <x v="30"/>
    <x v="1"/>
    <x v="345"/>
    <x v="0"/>
    <x v="4"/>
    <x v="40"/>
    <x v="21"/>
    <x v="8"/>
    <n v="0"/>
    <x v="2"/>
  </r>
  <r>
    <x v="30"/>
    <x v="1"/>
    <x v="345"/>
    <x v="0"/>
    <x v="4"/>
    <x v="40"/>
    <x v="21"/>
    <x v="9"/>
    <n v="0"/>
    <x v="2"/>
  </r>
  <r>
    <x v="30"/>
    <x v="1"/>
    <x v="345"/>
    <x v="0"/>
    <x v="4"/>
    <x v="40"/>
    <x v="21"/>
    <x v="10"/>
    <n v="0"/>
    <x v="2"/>
  </r>
  <r>
    <x v="30"/>
    <x v="1"/>
    <x v="345"/>
    <x v="0"/>
    <x v="4"/>
    <x v="40"/>
    <x v="21"/>
    <x v="12"/>
    <n v="0"/>
    <x v="2"/>
  </r>
  <r>
    <x v="30"/>
    <x v="1"/>
    <x v="346"/>
    <x v="1"/>
    <x v="4"/>
    <x v="40"/>
    <x v="14"/>
    <x v="0"/>
    <n v="0"/>
    <x v="2"/>
  </r>
  <r>
    <x v="30"/>
    <x v="1"/>
    <x v="346"/>
    <x v="1"/>
    <x v="4"/>
    <x v="40"/>
    <x v="14"/>
    <x v="1"/>
    <n v="0"/>
    <x v="2"/>
  </r>
  <r>
    <x v="30"/>
    <x v="1"/>
    <x v="346"/>
    <x v="1"/>
    <x v="4"/>
    <x v="40"/>
    <x v="14"/>
    <x v="2"/>
    <n v="0"/>
    <x v="2"/>
  </r>
  <r>
    <x v="30"/>
    <x v="1"/>
    <x v="346"/>
    <x v="1"/>
    <x v="4"/>
    <x v="40"/>
    <x v="14"/>
    <x v="3"/>
    <n v="0"/>
    <x v="2"/>
  </r>
  <r>
    <x v="30"/>
    <x v="1"/>
    <x v="346"/>
    <x v="1"/>
    <x v="4"/>
    <x v="40"/>
    <x v="14"/>
    <x v="4"/>
    <n v="0"/>
    <x v="2"/>
  </r>
  <r>
    <x v="30"/>
    <x v="1"/>
    <x v="346"/>
    <x v="1"/>
    <x v="4"/>
    <x v="40"/>
    <x v="14"/>
    <x v="5"/>
    <n v="0"/>
    <x v="2"/>
  </r>
  <r>
    <x v="30"/>
    <x v="1"/>
    <x v="346"/>
    <x v="1"/>
    <x v="4"/>
    <x v="40"/>
    <x v="14"/>
    <x v="6"/>
    <n v="0"/>
    <x v="2"/>
  </r>
  <r>
    <x v="30"/>
    <x v="1"/>
    <x v="346"/>
    <x v="1"/>
    <x v="4"/>
    <x v="40"/>
    <x v="14"/>
    <x v="7"/>
    <n v="0"/>
    <x v="2"/>
  </r>
  <r>
    <x v="30"/>
    <x v="1"/>
    <x v="346"/>
    <x v="1"/>
    <x v="4"/>
    <x v="40"/>
    <x v="14"/>
    <x v="8"/>
    <n v="0"/>
    <x v="2"/>
  </r>
  <r>
    <x v="30"/>
    <x v="1"/>
    <x v="346"/>
    <x v="1"/>
    <x v="4"/>
    <x v="40"/>
    <x v="14"/>
    <x v="9"/>
    <n v="2500"/>
    <x v="2"/>
  </r>
  <r>
    <x v="30"/>
    <x v="1"/>
    <x v="346"/>
    <x v="1"/>
    <x v="4"/>
    <x v="40"/>
    <x v="14"/>
    <x v="10"/>
    <n v="2500"/>
    <x v="2"/>
  </r>
  <r>
    <x v="30"/>
    <x v="1"/>
    <x v="346"/>
    <x v="1"/>
    <x v="4"/>
    <x v="40"/>
    <x v="14"/>
    <x v="12"/>
    <n v="2500"/>
    <x v="2"/>
  </r>
  <r>
    <x v="30"/>
    <x v="1"/>
    <x v="347"/>
    <x v="1"/>
    <x v="4"/>
    <x v="40"/>
    <x v="14"/>
    <x v="0"/>
    <n v="2054.67"/>
    <x v="2"/>
  </r>
  <r>
    <x v="30"/>
    <x v="1"/>
    <x v="347"/>
    <x v="1"/>
    <x v="4"/>
    <x v="40"/>
    <x v="14"/>
    <x v="1"/>
    <n v="0"/>
    <x v="2"/>
  </r>
  <r>
    <x v="30"/>
    <x v="1"/>
    <x v="347"/>
    <x v="1"/>
    <x v="4"/>
    <x v="40"/>
    <x v="14"/>
    <x v="2"/>
    <n v="0"/>
    <x v="2"/>
  </r>
  <r>
    <x v="30"/>
    <x v="1"/>
    <x v="347"/>
    <x v="1"/>
    <x v="4"/>
    <x v="40"/>
    <x v="14"/>
    <x v="3"/>
    <n v="0"/>
    <x v="2"/>
  </r>
  <r>
    <x v="30"/>
    <x v="1"/>
    <x v="347"/>
    <x v="1"/>
    <x v="4"/>
    <x v="40"/>
    <x v="14"/>
    <x v="4"/>
    <n v="0"/>
    <x v="2"/>
  </r>
  <r>
    <x v="30"/>
    <x v="1"/>
    <x v="347"/>
    <x v="1"/>
    <x v="4"/>
    <x v="40"/>
    <x v="14"/>
    <x v="5"/>
    <n v="0"/>
    <x v="2"/>
  </r>
  <r>
    <x v="30"/>
    <x v="1"/>
    <x v="347"/>
    <x v="1"/>
    <x v="4"/>
    <x v="40"/>
    <x v="14"/>
    <x v="6"/>
    <n v="0"/>
    <x v="2"/>
  </r>
  <r>
    <x v="30"/>
    <x v="1"/>
    <x v="347"/>
    <x v="1"/>
    <x v="4"/>
    <x v="40"/>
    <x v="14"/>
    <x v="7"/>
    <n v="0"/>
    <x v="2"/>
  </r>
  <r>
    <x v="30"/>
    <x v="1"/>
    <x v="347"/>
    <x v="1"/>
    <x v="4"/>
    <x v="40"/>
    <x v="14"/>
    <x v="8"/>
    <n v="0"/>
    <x v="2"/>
  </r>
  <r>
    <x v="30"/>
    <x v="1"/>
    <x v="347"/>
    <x v="1"/>
    <x v="4"/>
    <x v="40"/>
    <x v="14"/>
    <x v="9"/>
    <n v="0"/>
    <x v="2"/>
  </r>
  <r>
    <x v="30"/>
    <x v="1"/>
    <x v="347"/>
    <x v="1"/>
    <x v="4"/>
    <x v="40"/>
    <x v="14"/>
    <x v="10"/>
    <n v="0"/>
    <x v="2"/>
  </r>
  <r>
    <x v="30"/>
    <x v="1"/>
    <x v="347"/>
    <x v="1"/>
    <x v="4"/>
    <x v="40"/>
    <x v="14"/>
    <x v="12"/>
    <n v="0"/>
    <x v="2"/>
  </r>
  <r>
    <x v="30"/>
    <x v="1"/>
    <x v="348"/>
    <x v="1"/>
    <x v="4"/>
    <x v="40"/>
    <x v="14"/>
    <x v="0"/>
    <n v="0"/>
    <x v="2"/>
  </r>
  <r>
    <x v="30"/>
    <x v="1"/>
    <x v="348"/>
    <x v="1"/>
    <x v="4"/>
    <x v="40"/>
    <x v="14"/>
    <x v="1"/>
    <n v="0"/>
    <x v="2"/>
  </r>
  <r>
    <x v="30"/>
    <x v="1"/>
    <x v="348"/>
    <x v="1"/>
    <x v="4"/>
    <x v="40"/>
    <x v="14"/>
    <x v="2"/>
    <n v="0"/>
    <x v="2"/>
  </r>
  <r>
    <x v="30"/>
    <x v="1"/>
    <x v="348"/>
    <x v="1"/>
    <x v="4"/>
    <x v="40"/>
    <x v="14"/>
    <x v="3"/>
    <n v="0"/>
    <x v="2"/>
  </r>
  <r>
    <x v="30"/>
    <x v="1"/>
    <x v="348"/>
    <x v="1"/>
    <x v="4"/>
    <x v="40"/>
    <x v="14"/>
    <x v="4"/>
    <n v="0"/>
    <x v="2"/>
  </r>
  <r>
    <x v="30"/>
    <x v="1"/>
    <x v="348"/>
    <x v="1"/>
    <x v="4"/>
    <x v="40"/>
    <x v="14"/>
    <x v="5"/>
    <n v="0"/>
    <x v="2"/>
  </r>
  <r>
    <x v="30"/>
    <x v="1"/>
    <x v="348"/>
    <x v="1"/>
    <x v="4"/>
    <x v="40"/>
    <x v="14"/>
    <x v="6"/>
    <n v="0"/>
    <x v="2"/>
  </r>
  <r>
    <x v="30"/>
    <x v="1"/>
    <x v="348"/>
    <x v="1"/>
    <x v="4"/>
    <x v="40"/>
    <x v="14"/>
    <x v="7"/>
    <n v="0"/>
    <x v="2"/>
  </r>
  <r>
    <x v="30"/>
    <x v="1"/>
    <x v="348"/>
    <x v="1"/>
    <x v="4"/>
    <x v="40"/>
    <x v="14"/>
    <x v="8"/>
    <n v="0"/>
    <x v="2"/>
  </r>
  <r>
    <x v="30"/>
    <x v="1"/>
    <x v="348"/>
    <x v="1"/>
    <x v="4"/>
    <x v="40"/>
    <x v="14"/>
    <x v="9"/>
    <n v="0"/>
    <x v="2"/>
  </r>
  <r>
    <x v="30"/>
    <x v="1"/>
    <x v="348"/>
    <x v="1"/>
    <x v="4"/>
    <x v="40"/>
    <x v="14"/>
    <x v="10"/>
    <n v="0"/>
    <x v="2"/>
  </r>
  <r>
    <x v="30"/>
    <x v="1"/>
    <x v="348"/>
    <x v="1"/>
    <x v="4"/>
    <x v="40"/>
    <x v="14"/>
    <x v="12"/>
    <n v="0"/>
    <x v="2"/>
  </r>
  <r>
    <x v="30"/>
    <x v="1"/>
    <x v="349"/>
    <x v="0"/>
    <x v="4"/>
    <x v="40"/>
    <x v="20"/>
    <x v="0"/>
    <n v="5460.18"/>
    <x v="2"/>
  </r>
  <r>
    <x v="30"/>
    <x v="1"/>
    <x v="349"/>
    <x v="0"/>
    <x v="4"/>
    <x v="40"/>
    <x v="20"/>
    <x v="1"/>
    <n v="0"/>
    <x v="2"/>
  </r>
  <r>
    <x v="30"/>
    <x v="1"/>
    <x v="349"/>
    <x v="0"/>
    <x v="4"/>
    <x v="40"/>
    <x v="20"/>
    <x v="2"/>
    <n v="0"/>
    <x v="2"/>
  </r>
  <r>
    <x v="30"/>
    <x v="1"/>
    <x v="349"/>
    <x v="0"/>
    <x v="4"/>
    <x v="40"/>
    <x v="20"/>
    <x v="3"/>
    <n v="0"/>
    <x v="2"/>
  </r>
  <r>
    <x v="30"/>
    <x v="1"/>
    <x v="349"/>
    <x v="0"/>
    <x v="4"/>
    <x v="40"/>
    <x v="20"/>
    <x v="4"/>
    <n v="0"/>
    <x v="2"/>
  </r>
  <r>
    <x v="30"/>
    <x v="1"/>
    <x v="349"/>
    <x v="0"/>
    <x v="4"/>
    <x v="40"/>
    <x v="20"/>
    <x v="5"/>
    <n v="0"/>
    <x v="2"/>
  </r>
  <r>
    <x v="30"/>
    <x v="1"/>
    <x v="349"/>
    <x v="0"/>
    <x v="4"/>
    <x v="40"/>
    <x v="20"/>
    <x v="6"/>
    <n v="0"/>
    <x v="2"/>
  </r>
  <r>
    <x v="30"/>
    <x v="1"/>
    <x v="349"/>
    <x v="0"/>
    <x v="4"/>
    <x v="40"/>
    <x v="20"/>
    <x v="7"/>
    <n v="0"/>
    <x v="2"/>
  </r>
  <r>
    <x v="30"/>
    <x v="1"/>
    <x v="349"/>
    <x v="0"/>
    <x v="4"/>
    <x v="40"/>
    <x v="20"/>
    <x v="8"/>
    <n v="0"/>
    <x v="2"/>
  </r>
  <r>
    <x v="30"/>
    <x v="1"/>
    <x v="349"/>
    <x v="0"/>
    <x v="4"/>
    <x v="40"/>
    <x v="20"/>
    <x v="9"/>
    <n v="0"/>
    <x v="2"/>
  </r>
  <r>
    <x v="30"/>
    <x v="1"/>
    <x v="349"/>
    <x v="0"/>
    <x v="4"/>
    <x v="40"/>
    <x v="20"/>
    <x v="10"/>
    <n v="0"/>
    <x v="2"/>
  </r>
  <r>
    <x v="30"/>
    <x v="1"/>
    <x v="349"/>
    <x v="0"/>
    <x v="4"/>
    <x v="40"/>
    <x v="20"/>
    <x v="12"/>
    <n v="0"/>
    <x v="2"/>
  </r>
  <r>
    <x v="30"/>
    <x v="1"/>
    <x v="350"/>
    <x v="1"/>
    <x v="4"/>
    <x v="40"/>
    <x v="14"/>
    <x v="0"/>
    <n v="1867.32"/>
    <x v="2"/>
  </r>
  <r>
    <x v="30"/>
    <x v="1"/>
    <x v="350"/>
    <x v="1"/>
    <x v="4"/>
    <x v="40"/>
    <x v="14"/>
    <x v="1"/>
    <n v="0"/>
    <x v="2"/>
  </r>
  <r>
    <x v="30"/>
    <x v="1"/>
    <x v="350"/>
    <x v="1"/>
    <x v="4"/>
    <x v="40"/>
    <x v="14"/>
    <x v="2"/>
    <n v="0"/>
    <x v="2"/>
  </r>
  <r>
    <x v="30"/>
    <x v="1"/>
    <x v="350"/>
    <x v="1"/>
    <x v="4"/>
    <x v="40"/>
    <x v="14"/>
    <x v="3"/>
    <n v="0"/>
    <x v="2"/>
  </r>
  <r>
    <x v="30"/>
    <x v="1"/>
    <x v="350"/>
    <x v="1"/>
    <x v="4"/>
    <x v="40"/>
    <x v="14"/>
    <x v="4"/>
    <n v="0"/>
    <x v="2"/>
  </r>
  <r>
    <x v="30"/>
    <x v="1"/>
    <x v="350"/>
    <x v="1"/>
    <x v="4"/>
    <x v="40"/>
    <x v="14"/>
    <x v="5"/>
    <n v="0"/>
    <x v="2"/>
  </r>
  <r>
    <x v="30"/>
    <x v="1"/>
    <x v="350"/>
    <x v="1"/>
    <x v="4"/>
    <x v="40"/>
    <x v="14"/>
    <x v="6"/>
    <n v="0"/>
    <x v="2"/>
  </r>
  <r>
    <x v="30"/>
    <x v="1"/>
    <x v="350"/>
    <x v="1"/>
    <x v="4"/>
    <x v="40"/>
    <x v="14"/>
    <x v="7"/>
    <n v="0"/>
    <x v="2"/>
  </r>
  <r>
    <x v="30"/>
    <x v="1"/>
    <x v="350"/>
    <x v="1"/>
    <x v="4"/>
    <x v="40"/>
    <x v="14"/>
    <x v="8"/>
    <n v="0"/>
    <x v="2"/>
  </r>
  <r>
    <x v="30"/>
    <x v="1"/>
    <x v="350"/>
    <x v="1"/>
    <x v="4"/>
    <x v="40"/>
    <x v="14"/>
    <x v="9"/>
    <n v="0"/>
    <x v="2"/>
  </r>
  <r>
    <x v="30"/>
    <x v="1"/>
    <x v="350"/>
    <x v="1"/>
    <x v="4"/>
    <x v="40"/>
    <x v="14"/>
    <x v="10"/>
    <n v="0"/>
    <x v="2"/>
  </r>
  <r>
    <x v="30"/>
    <x v="1"/>
    <x v="350"/>
    <x v="1"/>
    <x v="4"/>
    <x v="40"/>
    <x v="14"/>
    <x v="12"/>
    <n v="0"/>
    <x v="2"/>
  </r>
  <r>
    <x v="30"/>
    <x v="1"/>
    <x v="351"/>
    <x v="0"/>
    <x v="4"/>
    <x v="40"/>
    <x v="21"/>
    <x v="0"/>
    <n v="2720.02"/>
    <x v="2"/>
  </r>
  <r>
    <x v="30"/>
    <x v="1"/>
    <x v="351"/>
    <x v="0"/>
    <x v="4"/>
    <x v="40"/>
    <x v="21"/>
    <x v="1"/>
    <n v="2102"/>
    <x v="2"/>
  </r>
  <r>
    <x v="30"/>
    <x v="1"/>
    <x v="351"/>
    <x v="0"/>
    <x v="4"/>
    <x v="40"/>
    <x v="21"/>
    <x v="2"/>
    <n v="0"/>
    <x v="2"/>
  </r>
  <r>
    <x v="30"/>
    <x v="1"/>
    <x v="351"/>
    <x v="0"/>
    <x v="4"/>
    <x v="40"/>
    <x v="21"/>
    <x v="3"/>
    <n v="0"/>
    <x v="2"/>
  </r>
  <r>
    <x v="30"/>
    <x v="1"/>
    <x v="351"/>
    <x v="0"/>
    <x v="4"/>
    <x v="40"/>
    <x v="21"/>
    <x v="4"/>
    <n v="0"/>
    <x v="2"/>
  </r>
  <r>
    <x v="30"/>
    <x v="1"/>
    <x v="351"/>
    <x v="0"/>
    <x v="4"/>
    <x v="40"/>
    <x v="21"/>
    <x v="5"/>
    <n v="0"/>
    <x v="2"/>
  </r>
  <r>
    <x v="30"/>
    <x v="1"/>
    <x v="351"/>
    <x v="0"/>
    <x v="4"/>
    <x v="40"/>
    <x v="21"/>
    <x v="6"/>
    <n v="0"/>
    <x v="2"/>
  </r>
  <r>
    <x v="30"/>
    <x v="1"/>
    <x v="351"/>
    <x v="0"/>
    <x v="4"/>
    <x v="40"/>
    <x v="21"/>
    <x v="7"/>
    <n v="0"/>
    <x v="2"/>
  </r>
  <r>
    <x v="30"/>
    <x v="1"/>
    <x v="351"/>
    <x v="0"/>
    <x v="4"/>
    <x v="40"/>
    <x v="21"/>
    <x v="8"/>
    <n v="0"/>
    <x v="2"/>
  </r>
  <r>
    <x v="30"/>
    <x v="1"/>
    <x v="351"/>
    <x v="0"/>
    <x v="4"/>
    <x v="40"/>
    <x v="21"/>
    <x v="9"/>
    <n v="0"/>
    <x v="2"/>
  </r>
  <r>
    <x v="30"/>
    <x v="1"/>
    <x v="351"/>
    <x v="0"/>
    <x v="4"/>
    <x v="40"/>
    <x v="21"/>
    <x v="10"/>
    <n v="0"/>
    <x v="2"/>
  </r>
  <r>
    <x v="30"/>
    <x v="1"/>
    <x v="351"/>
    <x v="0"/>
    <x v="4"/>
    <x v="40"/>
    <x v="21"/>
    <x v="12"/>
    <n v="0"/>
    <x v="2"/>
  </r>
  <r>
    <x v="30"/>
    <x v="1"/>
    <x v="352"/>
    <x v="1"/>
    <x v="4"/>
    <x v="40"/>
    <x v="14"/>
    <x v="0"/>
    <n v="8577.5499999999993"/>
    <x v="2"/>
  </r>
  <r>
    <x v="30"/>
    <x v="1"/>
    <x v="352"/>
    <x v="1"/>
    <x v="4"/>
    <x v="40"/>
    <x v="14"/>
    <x v="1"/>
    <n v="0"/>
    <x v="2"/>
  </r>
  <r>
    <x v="30"/>
    <x v="1"/>
    <x v="352"/>
    <x v="1"/>
    <x v="4"/>
    <x v="40"/>
    <x v="14"/>
    <x v="2"/>
    <n v="0"/>
    <x v="2"/>
  </r>
  <r>
    <x v="30"/>
    <x v="1"/>
    <x v="352"/>
    <x v="1"/>
    <x v="4"/>
    <x v="40"/>
    <x v="14"/>
    <x v="3"/>
    <n v="0"/>
    <x v="2"/>
  </r>
  <r>
    <x v="30"/>
    <x v="1"/>
    <x v="352"/>
    <x v="1"/>
    <x v="4"/>
    <x v="40"/>
    <x v="14"/>
    <x v="4"/>
    <n v="0"/>
    <x v="2"/>
  </r>
  <r>
    <x v="30"/>
    <x v="1"/>
    <x v="352"/>
    <x v="1"/>
    <x v="4"/>
    <x v="40"/>
    <x v="14"/>
    <x v="5"/>
    <n v="559.01"/>
    <x v="2"/>
  </r>
  <r>
    <x v="30"/>
    <x v="1"/>
    <x v="352"/>
    <x v="1"/>
    <x v="4"/>
    <x v="40"/>
    <x v="14"/>
    <x v="6"/>
    <n v="0"/>
    <x v="2"/>
  </r>
  <r>
    <x v="30"/>
    <x v="1"/>
    <x v="352"/>
    <x v="1"/>
    <x v="4"/>
    <x v="40"/>
    <x v="14"/>
    <x v="7"/>
    <n v="0"/>
    <x v="2"/>
  </r>
  <r>
    <x v="30"/>
    <x v="1"/>
    <x v="352"/>
    <x v="1"/>
    <x v="4"/>
    <x v="40"/>
    <x v="14"/>
    <x v="8"/>
    <n v="0"/>
    <x v="2"/>
  </r>
  <r>
    <x v="30"/>
    <x v="1"/>
    <x v="352"/>
    <x v="1"/>
    <x v="4"/>
    <x v="40"/>
    <x v="14"/>
    <x v="9"/>
    <n v="0"/>
    <x v="2"/>
  </r>
  <r>
    <x v="30"/>
    <x v="1"/>
    <x v="352"/>
    <x v="1"/>
    <x v="4"/>
    <x v="40"/>
    <x v="14"/>
    <x v="10"/>
    <n v="0"/>
    <x v="2"/>
  </r>
  <r>
    <x v="30"/>
    <x v="1"/>
    <x v="352"/>
    <x v="1"/>
    <x v="4"/>
    <x v="40"/>
    <x v="14"/>
    <x v="12"/>
    <n v="0"/>
    <x v="2"/>
  </r>
  <r>
    <x v="30"/>
    <x v="1"/>
    <x v="353"/>
    <x v="1"/>
    <x v="4"/>
    <x v="40"/>
    <x v="14"/>
    <x v="0"/>
    <n v="2019.77"/>
    <x v="2"/>
  </r>
  <r>
    <x v="30"/>
    <x v="1"/>
    <x v="353"/>
    <x v="1"/>
    <x v="4"/>
    <x v="40"/>
    <x v="14"/>
    <x v="1"/>
    <n v="0"/>
    <x v="2"/>
  </r>
  <r>
    <x v="30"/>
    <x v="1"/>
    <x v="353"/>
    <x v="1"/>
    <x v="4"/>
    <x v="40"/>
    <x v="14"/>
    <x v="2"/>
    <n v="0"/>
    <x v="2"/>
  </r>
  <r>
    <x v="30"/>
    <x v="1"/>
    <x v="353"/>
    <x v="1"/>
    <x v="4"/>
    <x v="40"/>
    <x v="14"/>
    <x v="3"/>
    <n v="0"/>
    <x v="2"/>
  </r>
  <r>
    <x v="30"/>
    <x v="1"/>
    <x v="353"/>
    <x v="1"/>
    <x v="4"/>
    <x v="40"/>
    <x v="14"/>
    <x v="4"/>
    <n v="0"/>
    <x v="2"/>
  </r>
  <r>
    <x v="30"/>
    <x v="1"/>
    <x v="353"/>
    <x v="1"/>
    <x v="4"/>
    <x v="40"/>
    <x v="14"/>
    <x v="5"/>
    <n v="0"/>
    <x v="2"/>
  </r>
  <r>
    <x v="30"/>
    <x v="1"/>
    <x v="353"/>
    <x v="1"/>
    <x v="4"/>
    <x v="40"/>
    <x v="14"/>
    <x v="6"/>
    <n v="0"/>
    <x v="2"/>
  </r>
  <r>
    <x v="30"/>
    <x v="1"/>
    <x v="353"/>
    <x v="1"/>
    <x v="4"/>
    <x v="40"/>
    <x v="14"/>
    <x v="7"/>
    <n v="0"/>
    <x v="2"/>
  </r>
  <r>
    <x v="30"/>
    <x v="1"/>
    <x v="353"/>
    <x v="1"/>
    <x v="4"/>
    <x v="40"/>
    <x v="14"/>
    <x v="8"/>
    <n v="0"/>
    <x v="2"/>
  </r>
  <r>
    <x v="30"/>
    <x v="1"/>
    <x v="353"/>
    <x v="1"/>
    <x v="4"/>
    <x v="40"/>
    <x v="14"/>
    <x v="9"/>
    <n v="0"/>
    <x v="2"/>
  </r>
  <r>
    <x v="30"/>
    <x v="1"/>
    <x v="353"/>
    <x v="1"/>
    <x v="4"/>
    <x v="40"/>
    <x v="14"/>
    <x v="10"/>
    <n v="0"/>
    <x v="2"/>
  </r>
  <r>
    <x v="30"/>
    <x v="1"/>
    <x v="353"/>
    <x v="1"/>
    <x v="4"/>
    <x v="40"/>
    <x v="14"/>
    <x v="12"/>
    <n v="0"/>
    <x v="2"/>
  </r>
  <r>
    <x v="30"/>
    <x v="1"/>
    <x v="354"/>
    <x v="1"/>
    <x v="4"/>
    <x v="40"/>
    <x v="14"/>
    <x v="0"/>
    <n v="3235.66"/>
    <x v="2"/>
  </r>
  <r>
    <x v="30"/>
    <x v="1"/>
    <x v="354"/>
    <x v="1"/>
    <x v="4"/>
    <x v="40"/>
    <x v="14"/>
    <x v="1"/>
    <n v="0"/>
    <x v="2"/>
  </r>
  <r>
    <x v="30"/>
    <x v="1"/>
    <x v="354"/>
    <x v="1"/>
    <x v="4"/>
    <x v="40"/>
    <x v="14"/>
    <x v="2"/>
    <n v="0"/>
    <x v="2"/>
  </r>
  <r>
    <x v="30"/>
    <x v="1"/>
    <x v="354"/>
    <x v="1"/>
    <x v="4"/>
    <x v="40"/>
    <x v="14"/>
    <x v="3"/>
    <n v="0"/>
    <x v="2"/>
  </r>
  <r>
    <x v="30"/>
    <x v="1"/>
    <x v="354"/>
    <x v="1"/>
    <x v="4"/>
    <x v="40"/>
    <x v="14"/>
    <x v="4"/>
    <n v="0"/>
    <x v="2"/>
  </r>
  <r>
    <x v="30"/>
    <x v="1"/>
    <x v="354"/>
    <x v="1"/>
    <x v="4"/>
    <x v="40"/>
    <x v="14"/>
    <x v="5"/>
    <n v="0"/>
    <x v="2"/>
  </r>
  <r>
    <x v="30"/>
    <x v="1"/>
    <x v="354"/>
    <x v="1"/>
    <x v="4"/>
    <x v="40"/>
    <x v="14"/>
    <x v="6"/>
    <n v="0"/>
    <x v="2"/>
  </r>
  <r>
    <x v="30"/>
    <x v="1"/>
    <x v="354"/>
    <x v="1"/>
    <x v="4"/>
    <x v="40"/>
    <x v="14"/>
    <x v="7"/>
    <n v="0"/>
    <x v="2"/>
  </r>
  <r>
    <x v="30"/>
    <x v="1"/>
    <x v="354"/>
    <x v="1"/>
    <x v="4"/>
    <x v="40"/>
    <x v="14"/>
    <x v="8"/>
    <n v="0"/>
    <x v="2"/>
  </r>
  <r>
    <x v="30"/>
    <x v="1"/>
    <x v="354"/>
    <x v="1"/>
    <x v="4"/>
    <x v="40"/>
    <x v="14"/>
    <x v="9"/>
    <n v="0"/>
    <x v="2"/>
  </r>
  <r>
    <x v="30"/>
    <x v="1"/>
    <x v="354"/>
    <x v="1"/>
    <x v="4"/>
    <x v="40"/>
    <x v="14"/>
    <x v="10"/>
    <n v="0"/>
    <x v="2"/>
  </r>
  <r>
    <x v="30"/>
    <x v="1"/>
    <x v="354"/>
    <x v="1"/>
    <x v="4"/>
    <x v="40"/>
    <x v="14"/>
    <x v="12"/>
    <n v="0"/>
    <x v="2"/>
  </r>
  <r>
    <x v="30"/>
    <x v="1"/>
    <x v="355"/>
    <x v="1"/>
    <x v="4"/>
    <x v="40"/>
    <x v="14"/>
    <x v="0"/>
    <n v="0"/>
    <x v="2"/>
  </r>
  <r>
    <x v="30"/>
    <x v="1"/>
    <x v="355"/>
    <x v="1"/>
    <x v="4"/>
    <x v="40"/>
    <x v="14"/>
    <x v="1"/>
    <n v="1699.59"/>
    <x v="2"/>
  </r>
  <r>
    <x v="30"/>
    <x v="1"/>
    <x v="355"/>
    <x v="1"/>
    <x v="4"/>
    <x v="40"/>
    <x v="14"/>
    <x v="2"/>
    <n v="0"/>
    <x v="2"/>
  </r>
  <r>
    <x v="30"/>
    <x v="1"/>
    <x v="355"/>
    <x v="1"/>
    <x v="4"/>
    <x v="40"/>
    <x v="14"/>
    <x v="3"/>
    <n v="0"/>
    <x v="2"/>
  </r>
  <r>
    <x v="30"/>
    <x v="1"/>
    <x v="355"/>
    <x v="1"/>
    <x v="4"/>
    <x v="40"/>
    <x v="14"/>
    <x v="4"/>
    <n v="0"/>
    <x v="2"/>
  </r>
  <r>
    <x v="30"/>
    <x v="1"/>
    <x v="355"/>
    <x v="1"/>
    <x v="4"/>
    <x v="40"/>
    <x v="14"/>
    <x v="5"/>
    <n v="0"/>
    <x v="2"/>
  </r>
  <r>
    <x v="30"/>
    <x v="1"/>
    <x v="355"/>
    <x v="1"/>
    <x v="4"/>
    <x v="40"/>
    <x v="14"/>
    <x v="6"/>
    <n v="0"/>
    <x v="2"/>
  </r>
  <r>
    <x v="30"/>
    <x v="1"/>
    <x v="355"/>
    <x v="1"/>
    <x v="4"/>
    <x v="40"/>
    <x v="14"/>
    <x v="7"/>
    <n v="0"/>
    <x v="2"/>
  </r>
  <r>
    <x v="30"/>
    <x v="1"/>
    <x v="355"/>
    <x v="1"/>
    <x v="4"/>
    <x v="40"/>
    <x v="14"/>
    <x v="8"/>
    <n v="0"/>
    <x v="2"/>
  </r>
  <r>
    <x v="30"/>
    <x v="1"/>
    <x v="355"/>
    <x v="1"/>
    <x v="4"/>
    <x v="40"/>
    <x v="14"/>
    <x v="9"/>
    <n v="0"/>
    <x v="2"/>
  </r>
  <r>
    <x v="30"/>
    <x v="1"/>
    <x v="355"/>
    <x v="1"/>
    <x v="4"/>
    <x v="40"/>
    <x v="14"/>
    <x v="10"/>
    <n v="0"/>
    <x v="2"/>
  </r>
  <r>
    <x v="30"/>
    <x v="1"/>
    <x v="355"/>
    <x v="1"/>
    <x v="4"/>
    <x v="40"/>
    <x v="14"/>
    <x v="12"/>
    <n v="0"/>
    <x v="2"/>
  </r>
  <r>
    <x v="30"/>
    <x v="1"/>
    <x v="356"/>
    <x v="0"/>
    <x v="4"/>
    <x v="40"/>
    <x v="13"/>
    <x v="0"/>
    <n v="0"/>
    <x v="2"/>
  </r>
  <r>
    <x v="30"/>
    <x v="1"/>
    <x v="356"/>
    <x v="0"/>
    <x v="4"/>
    <x v="40"/>
    <x v="13"/>
    <x v="1"/>
    <n v="0"/>
    <x v="2"/>
  </r>
  <r>
    <x v="30"/>
    <x v="1"/>
    <x v="356"/>
    <x v="0"/>
    <x v="4"/>
    <x v="40"/>
    <x v="13"/>
    <x v="2"/>
    <n v="0"/>
    <x v="2"/>
  </r>
  <r>
    <x v="30"/>
    <x v="1"/>
    <x v="356"/>
    <x v="0"/>
    <x v="4"/>
    <x v="40"/>
    <x v="13"/>
    <x v="3"/>
    <n v="8804.18"/>
    <x v="2"/>
  </r>
  <r>
    <x v="30"/>
    <x v="1"/>
    <x v="356"/>
    <x v="0"/>
    <x v="4"/>
    <x v="40"/>
    <x v="13"/>
    <x v="4"/>
    <n v="0"/>
    <x v="2"/>
  </r>
  <r>
    <x v="30"/>
    <x v="1"/>
    <x v="356"/>
    <x v="0"/>
    <x v="4"/>
    <x v="40"/>
    <x v="13"/>
    <x v="5"/>
    <n v="0"/>
    <x v="2"/>
  </r>
  <r>
    <x v="30"/>
    <x v="1"/>
    <x v="356"/>
    <x v="0"/>
    <x v="4"/>
    <x v="40"/>
    <x v="13"/>
    <x v="6"/>
    <n v="0"/>
    <x v="2"/>
  </r>
  <r>
    <x v="30"/>
    <x v="1"/>
    <x v="356"/>
    <x v="0"/>
    <x v="4"/>
    <x v="40"/>
    <x v="13"/>
    <x v="7"/>
    <n v="1290.19"/>
    <x v="2"/>
  </r>
  <r>
    <x v="30"/>
    <x v="1"/>
    <x v="356"/>
    <x v="0"/>
    <x v="4"/>
    <x v="40"/>
    <x v="13"/>
    <x v="8"/>
    <n v="0"/>
    <x v="2"/>
  </r>
  <r>
    <x v="30"/>
    <x v="1"/>
    <x v="356"/>
    <x v="0"/>
    <x v="4"/>
    <x v="40"/>
    <x v="13"/>
    <x v="9"/>
    <n v="0"/>
    <x v="2"/>
  </r>
  <r>
    <x v="30"/>
    <x v="1"/>
    <x v="356"/>
    <x v="0"/>
    <x v="4"/>
    <x v="40"/>
    <x v="13"/>
    <x v="10"/>
    <n v="0"/>
    <x v="2"/>
  </r>
  <r>
    <x v="30"/>
    <x v="1"/>
    <x v="356"/>
    <x v="0"/>
    <x v="4"/>
    <x v="40"/>
    <x v="13"/>
    <x v="12"/>
    <n v="0"/>
    <x v="2"/>
  </r>
  <r>
    <x v="30"/>
    <x v="1"/>
    <x v="357"/>
    <x v="0"/>
    <x v="4"/>
    <x v="40"/>
    <x v="14"/>
    <x v="0"/>
    <n v="0"/>
    <x v="2"/>
  </r>
  <r>
    <x v="30"/>
    <x v="1"/>
    <x v="357"/>
    <x v="0"/>
    <x v="4"/>
    <x v="40"/>
    <x v="14"/>
    <x v="1"/>
    <n v="0"/>
    <x v="2"/>
  </r>
  <r>
    <x v="30"/>
    <x v="1"/>
    <x v="357"/>
    <x v="0"/>
    <x v="4"/>
    <x v="40"/>
    <x v="14"/>
    <x v="2"/>
    <n v="0"/>
    <x v="2"/>
  </r>
  <r>
    <x v="30"/>
    <x v="1"/>
    <x v="357"/>
    <x v="0"/>
    <x v="4"/>
    <x v="40"/>
    <x v="14"/>
    <x v="3"/>
    <n v="0"/>
    <x v="2"/>
  </r>
  <r>
    <x v="30"/>
    <x v="1"/>
    <x v="357"/>
    <x v="0"/>
    <x v="4"/>
    <x v="40"/>
    <x v="14"/>
    <x v="4"/>
    <n v="0"/>
    <x v="2"/>
  </r>
  <r>
    <x v="30"/>
    <x v="1"/>
    <x v="357"/>
    <x v="0"/>
    <x v="4"/>
    <x v="40"/>
    <x v="14"/>
    <x v="5"/>
    <n v="0"/>
    <x v="2"/>
  </r>
  <r>
    <x v="30"/>
    <x v="1"/>
    <x v="357"/>
    <x v="0"/>
    <x v="4"/>
    <x v="40"/>
    <x v="14"/>
    <x v="6"/>
    <n v="0"/>
    <x v="2"/>
  </r>
  <r>
    <x v="30"/>
    <x v="1"/>
    <x v="357"/>
    <x v="0"/>
    <x v="4"/>
    <x v="40"/>
    <x v="14"/>
    <x v="7"/>
    <n v="1627.41"/>
    <x v="2"/>
  </r>
  <r>
    <x v="30"/>
    <x v="1"/>
    <x v="357"/>
    <x v="0"/>
    <x v="4"/>
    <x v="40"/>
    <x v="14"/>
    <x v="8"/>
    <n v="0"/>
    <x v="2"/>
  </r>
  <r>
    <x v="30"/>
    <x v="1"/>
    <x v="357"/>
    <x v="0"/>
    <x v="4"/>
    <x v="40"/>
    <x v="14"/>
    <x v="9"/>
    <n v="0"/>
    <x v="2"/>
  </r>
  <r>
    <x v="30"/>
    <x v="1"/>
    <x v="357"/>
    <x v="0"/>
    <x v="4"/>
    <x v="40"/>
    <x v="14"/>
    <x v="10"/>
    <n v="0"/>
    <x v="2"/>
  </r>
  <r>
    <x v="30"/>
    <x v="1"/>
    <x v="357"/>
    <x v="0"/>
    <x v="4"/>
    <x v="40"/>
    <x v="14"/>
    <x v="12"/>
    <n v="0"/>
    <x v="2"/>
  </r>
  <r>
    <x v="30"/>
    <x v="1"/>
    <x v="358"/>
    <x v="1"/>
    <x v="4"/>
    <x v="40"/>
    <x v="14"/>
    <x v="0"/>
    <n v="0"/>
    <x v="2"/>
  </r>
  <r>
    <x v="30"/>
    <x v="1"/>
    <x v="358"/>
    <x v="1"/>
    <x v="4"/>
    <x v="40"/>
    <x v="14"/>
    <x v="1"/>
    <n v="0"/>
    <x v="2"/>
  </r>
  <r>
    <x v="30"/>
    <x v="1"/>
    <x v="358"/>
    <x v="1"/>
    <x v="4"/>
    <x v="40"/>
    <x v="14"/>
    <x v="2"/>
    <n v="0"/>
    <x v="2"/>
  </r>
  <r>
    <x v="30"/>
    <x v="1"/>
    <x v="358"/>
    <x v="1"/>
    <x v="4"/>
    <x v="40"/>
    <x v="14"/>
    <x v="3"/>
    <n v="0"/>
    <x v="2"/>
  </r>
  <r>
    <x v="30"/>
    <x v="1"/>
    <x v="358"/>
    <x v="1"/>
    <x v="4"/>
    <x v="40"/>
    <x v="14"/>
    <x v="4"/>
    <n v="0"/>
    <x v="2"/>
  </r>
  <r>
    <x v="30"/>
    <x v="1"/>
    <x v="358"/>
    <x v="1"/>
    <x v="4"/>
    <x v="40"/>
    <x v="14"/>
    <x v="5"/>
    <n v="719.41"/>
    <x v="2"/>
  </r>
  <r>
    <x v="30"/>
    <x v="1"/>
    <x v="358"/>
    <x v="1"/>
    <x v="4"/>
    <x v="40"/>
    <x v="14"/>
    <x v="6"/>
    <n v="0"/>
    <x v="2"/>
  </r>
  <r>
    <x v="30"/>
    <x v="1"/>
    <x v="358"/>
    <x v="1"/>
    <x v="4"/>
    <x v="40"/>
    <x v="14"/>
    <x v="7"/>
    <n v="0"/>
    <x v="2"/>
  </r>
  <r>
    <x v="30"/>
    <x v="1"/>
    <x v="358"/>
    <x v="1"/>
    <x v="4"/>
    <x v="40"/>
    <x v="14"/>
    <x v="8"/>
    <n v="0"/>
    <x v="2"/>
  </r>
  <r>
    <x v="30"/>
    <x v="1"/>
    <x v="358"/>
    <x v="1"/>
    <x v="4"/>
    <x v="40"/>
    <x v="14"/>
    <x v="9"/>
    <n v="0"/>
    <x v="2"/>
  </r>
  <r>
    <x v="30"/>
    <x v="1"/>
    <x v="358"/>
    <x v="1"/>
    <x v="4"/>
    <x v="40"/>
    <x v="14"/>
    <x v="10"/>
    <n v="0"/>
    <x v="2"/>
  </r>
  <r>
    <x v="30"/>
    <x v="1"/>
    <x v="358"/>
    <x v="1"/>
    <x v="4"/>
    <x v="40"/>
    <x v="14"/>
    <x v="12"/>
    <n v="0"/>
    <x v="2"/>
  </r>
  <r>
    <x v="30"/>
    <x v="1"/>
    <x v="343"/>
    <x v="0"/>
    <x v="4"/>
    <x v="6"/>
    <x v="20"/>
    <x v="0"/>
    <n v="0"/>
    <x v="2"/>
  </r>
  <r>
    <x v="30"/>
    <x v="1"/>
    <x v="343"/>
    <x v="0"/>
    <x v="4"/>
    <x v="6"/>
    <x v="20"/>
    <x v="1"/>
    <n v="0"/>
    <x v="2"/>
  </r>
  <r>
    <x v="30"/>
    <x v="1"/>
    <x v="343"/>
    <x v="0"/>
    <x v="4"/>
    <x v="6"/>
    <x v="20"/>
    <x v="2"/>
    <n v="0"/>
    <x v="2"/>
  </r>
  <r>
    <x v="30"/>
    <x v="1"/>
    <x v="343"/>
    <x v="0"/>
    <x v="4"/>
    <x v="6"/>
    <x v="20"/>
    <x v="3"/>
    <n v="0"/>
    <x v="2"/>
  </r>
  <r>
    <x v="30"/>
    <x v="1"/>
    <x v="343"/>
    <x v="0"/>
    <x v="4"/>
    <x v="6"/>
    <x v="20"/>
    <x v="4"/>
    <n v="0"/>
    <x v="2"/>
  </r>
  <r>
    <x v="30"/>
    <x v="1"/>
    <x v="343"/>
    <x v="0"/>
    <x v="4"/>
    <x v="6"/>
    <x v="20"/>
    <x v="5"/>
    <n v="0"/>
    <x v="2"/>
  </r>
  <r>
    <x v="30"/>
    <x v="1"/>
    <x v="343"/>
    <x v="0"/>
    <x v="4"/>
    <x v="6"/>
    <x v="20"/>
    <x v="6"/>
    <n v="0"/>
    <x v="2"/>
  </r>
  <r>
    <x v="30"/>
    <x v="1"/>
    <x v="343"/>
    <x v="0"/>
    <x v="4"/>
    <x v="6"/>
    <x v="20"/>
    <x v="7"/>
    <n v="0"/>
    <x v="2"/>
  </r>
  <r>
    <x v="30"/>
    <x v="1"/>
    <x v="343"/>
    <x v="0"/>
    <x v="4"/>
    <x v="6"/>
    <x v="20"/>
    <x v="8"/>
    <n v="0"/>
    <x v="2"/>
  </r>
  <r>
    <x v="30"/>
    <x v="1"/>
    <x v="343"/>
    <x v="0"/>
    <x v="4"/>
    <x v="6"/>
    <x v="20"/>
    <x v="9"/>
    <n v="0"/>
    <x v="2"/>
  </r>
  <r>
    <x v="30"/>
    <x v="1"/>
    <x v="343"/>
    <x v="0"/>
    <x v="4"/>
    <x v="6"/>
    <x v="20"/>
    <x v="10"/>
    <n v="0"/>
    <x v="2"/>
  </r>
  <r>
    <x v="30"/>
    <x v="1"/>
    <x v="343"/>
    <x v="0"/>
    <x v="4"/>
    <x v="6"/>
    <x v="20"/>
    <x v="12"/>
    <n v="0"/>
    <x v="2"/>
  </r>
  <r>
    <x v="30"/>
    <x v="1"/>
    <x v="344"/>
    <x v="1"/>
    <x v="4"/>
    <x v="6"/>
    <x v="14"/>
    <x v="0"/>
    <n v="86.1"/>
    <x v="2"/>
  </r>
  <r>
    <x v="30"/>
    <x v="1"/>
    <x v="344"/>
    <x v="1"/>
    <x v="4"/>
    <x v="6"/>
    <x v="14"/>
    <x v="1"/>
    <n v="0"/>
    <x v="2"/>
  </r>
  <r>
    <x v="30"/>
    <x v="1"/>
    <x v="344"/>
    <x v="1"/>
    <x v="4"/>
    <x v="6"/>
    <x v="14"/>
    <x v="2"/>
    <n v="0"/>
    <x v="2"/>
  </r>
  <r>
    <x v="30"/>
    <x v="1"/>
    <x v="344"/>
    <x v="1"/>
    <x v="4"/>
    <x v="6"/>
    <x v="14"/>
    <x v="3"/>
    <n v="0"/>
    <x v="2"/>
  </r>
  <r>
    <x v="30"/>
    <x v="1"/>
    <x v="344"/>
    <x v="1"/>
    <x v="4"/>
    <x v="6"/>
    <x v="14"/>
    <x v="4"/>
    <n v="0"/>
    <x v="2"/>
  </r>
  <r>
    <x v="30"/>
    <x v="1"/>
    <x v="344"/>
    <x v="1"/>
    <x v="4"/>
    <x v="6"/>
    <x v="14"/>
    <x v="5"/>
    <n v="0"/>
    <x v="2"/>
  </r>
  <r>
    <x v="30"/>
    <x v="1"/>
    <x v="344"/>
    <x v="1"/>
    <x v="4"/>
    <x v="6"/>
    <x v="14"/>
    <x v="6"/>
    <n v="0"/>
    <x v="2"/>
  </r>
  <r>
    <x v="30"/>
    <x v="1"/>
    <x v="344"/>
    <x v="1"/>
    <x v="4"/>
    <x v="6"/>
    <x v="14"/>
    <x v="7"/>
    <n v="0"/>
    <x v="2"/>
  </r>
  <r>
    <x v="30"/>
    <x v="1"/>
    <x v="344"/>
    <x v="1"/>
    <x v="4"/>
    <x v="6"/>
    <x v="14"/>
    <x v="8"/>
    <n v="0"/>
    <x v="2"/>
  </r>
  <r>
    <x v="30"/>
    <x v="1"/>
    <x v="344"/>
    <x v="1"/>
    <x v="4"/>
    <x v="6"/>
    <x v="14"/>
    <x v="9"/>
    <n v="0"/>
    <x v="2"/>
  </r>
  <r>
    <x v="30"/>
    <x v="1"/>
    <x v="344"/>
    <x v="1"/>
    <x v="4"/>
    <x v="6"/>
    <x v="14"/>
    <x v="10"/>
    <n v="0"/>
    <x v="2"/>
  </r>
  <r>
    <x v="30"/>
    <x v="1"/>
    <x v="344"/>
    <x v="1"/>
    <x v="4"/>
    <x v="6"/>
    <x v="14"/>
    <x v="12"/>
    <n v="0"/>
    <x v="2"/>
  </r>
  <r>
    <x v="30"/>
    <x v="1"/>
    <x v="344"/>
    <x v="1"/>
    <x v="4"/>
    <x v="6"/>
    <x v="14"/>
    <x v="0"/>
    <n v="0"/>
    <x v="2"/>
  </r>
  <r>
    <x v="30"/>
    <x v="1"/>
    <x v="344"/>
    <x v="1"/>
    <x v="4"/>
    <x v="6"/>
    <x v="14"/>
    <x v="1"/>
    <n v="0"/>
    <x v="2"/>
  </r>
  <r>
    <x v="30"/>
    <x v="1"/>
    <x v="344"/>
    <x v="1"/>
    <x v="4"/>
    <x v="6"/>
    <x v="14"/>
    <x v="2"/>
    <n v="0"/>
    <x v="2"/>
  </r>
  <r>
    <x v="30"/>
    <x v="1"/>
    <x v="344"/>
    <x v="1"/>
    <x v="4"/>
    <x v="6"/>
    <x v="14"/>
    <x v="3"/>
    <n v="0"/>
    <x v="2"/>
  </r>
  <r>
    <x v="30"/>
    <x v="1"/>
    <x v="344"/>
    <x v="1"/>
    <x v="4"/>
    <x v="6"/>
    <x v="14"/>
    <x v="4"/>
    <n v="0"/>
    <x v="2"/>
  </r>
  <r>
    <x v="30"/>
    <x v="1"/>
    <x v="344"/>
    <x v="1"/>
    <x v="4"/>
    <x v="6"/>
    <x v="14"/>
    <x v="5"/>
    <n v="0"/>
    <x v="2"/>
  </r>
  <r>
    <x v="30"/>
    <x v="1"/>
    <x v="344"/>
    <x v="1"/>
    <x v="4"/>
    <x v="6"/>
    <x v="14"/>
    <x v="6"/>
    <n v="0"/>
    <x v="2"/>
  </r>
  <r>
    <x v="30"/>
    <x v="1"/>
    <x v="344"/>
    <x v="1"/>
    <x v="4"/>
    <x v="6"/>
    <x v="14"/>
    <x v="7"/>
    <n v="0"/>
    <x v="2"/>
  </r>
  <r>
    <x v="30"/>
    <x v="1"/>
    <x v="344"/>
    <x v="1"/>
    <x v="4"/>
    <x v="6"/>
    <x v="14"/>
    <x v="8"/>
    <n v="0"/>
    <x v="2"/>
  </r>
  <r>
    <x v="30"/>
    <x v="1"/>
    <x v="344"/>
    <x v="1"/>
    <x v="4"/>
    <x v="6"/>
    <x v="14"/>
    <x v="9"/>
    <n v="0"/>
    <x v="2"/>
  </r>
  <r>
    <x v="30"/>
    <x v="1"/>
    <x v="344"/>
    <x v="1"/>
    <x v="4"/>
    <x v="6"/>
    <x v="14"/>
    <x v="10"/>
    <n v="0"/>
    <x v="2"/>
  </r>
  <r>
    <x v="30"/>
    <x v="1"/>
    <x v="344"/>
    <x v="1"/>
    <x v="4"/>
    <x v="6"/>
    <x v="14"/>
    <x v="12"/>
    <n v="0"/>
    <x v="2"/>
  </r>
  <r>
    <x v="30"/>
    <x v="1"/>
    <x v="345"/>
    <x v="0"/>
    <x v="4"/>
    <x v="6"/>
    <x v="21"/>
    <x v="0"/>
    <n v="3040.43"/>
    <x v="2"/>
  </r>
  <r>
    <x v="30"/>
    <x v="1"/>
    <x v="345"/>
    <x v="0"/>
    <x v="4"/>
    <x v="6"/>
    <x v="21"/>
    <x v="1"/>
    <n v="0"/>
    <x v="2"/>
  </r>
  <r>
    <x v="30"/>
    <x v="1"/>
    <x v="345"/>
    <x v="0"/>
    <x v="4"/>
    <x v="6"/>
    <x v="21"/>
    <x v="2"/>
    <n v="0"/>
    <x v="2"/>
  </r>
  <r>
    <x v="30"/>
    <x v="1"/>
    <x v="345"/>
    <x v="0"/>
    <x v="4"/>
    <x v="6"/>
    <x v="21"/>
    <x v="3"/>
    <n v="0"/>
    <x v="2"/>
  </r>
  <r>
    <x v="30"/>
    <x v="1"/>
    <x v="345"/>
    <x v="0"/>
    <x v="4"/>
    <x v="6"/>
    <x v="21"/>
    <x v="4"/>
    <n v="0"/>
    <x v="2"/>
  </r>
  <r>
    <x v="30"/>
    <x v="1"/>
    <x v="345"/>
    <x v="0"/>
    <x v="4"/>
    <x v="6"/>
    <x v="21"/>
    <x v="5"/>
    <n v="0"/>
    <x v="2"/>
  </r>
  <r>
    <x v="30"/>
    <x v="1"/>
    <x v="345"/>
    <x v="0"/>
    <x v="4"/>
    <x v="6"/>
    <x v="21"/>
    <x v="6"/>
    <n v="0"/>
    <x v="2"/>
  </r>
  <r>
    <x v="30"/>
    <x v="1"/>
    <x v="345"/>
    <x v="0"/>
    <x v="4"/>
    <x v="6"/>
    <x v="21"/>
    <x v="7"/>
    <n v="0"/>
    <x v="2"/>
  </r>
  <r>
    <x v="30"/>
    <x v="1"/>
    <x v="345"/>
    <x v="0"/>
    <x v="4"/>
    <x v="6"/>
    <x v="21"/>
    <x v="8"/>
    <n v="0"/>
    <x v="2"/>
  </r>
  <r>
    <x v="30"/>
    <x v="1"/>
    <x v="345"/>
    <x v="0"/>
    <x v="4"/>
    <x v="6"/>
    <x v="21"/>
    <x v="9"/>
    <n v="0"/>
    <x v="2"/>
  </r>
  <r>
    <x v="30"/>
    <x v="1"/>
    <x v="345"/>
    <x v="0"/>
    <x v="4"/>
    <x v="6"/>
    <x v="21"/>
    <x v="10"/>
    <n v="0"/>
    <x v="2"/>
  </r>
  <r>
    <x v="30"/>
    <x v="1"/>
    <x v="345"/>
    <x v="0"/>
    <x v="4"/>
    <x v="6"/>
    <x v="21"/>
    <x v="12"/>
    <n v="0"/>
    <x v="2"/>
  </r>
  <r>
    <x v="30"/>
    <x v="1"/>
    <x v="346"/>
    <x v="1"/>
    <x v="4"/>
    <x v="6"/>
    <x v="14"/>
    <x v="0"/>
    <n v="368"/>
    <x v="2"/>
  </r>
  <r>
    <x v="30"/>
    <x v="1"/>
    <x v="346"/>
    <x v="1"/>
    <x v="4"/>
    <x v="6"/>
    <x v="14"/>
    <x v="1"/>
    <n v="0"/>
    <x v="2"/>
  </r>
  <r>
    <x v="30"/>
    <x v="1"/>
    <x v="346"/>
    <x v="1"/>
    <x v="4"/>
    <x v="6"/>
    <x v="14"/>
    <x v="2"/>
    <n v="0"/>
    <x v="2"/>
  </r>
  <r>
    <x v="30"/>
    <x v="1"/>
    <x v="346"/>
    <x v="1"/>
    <x v="4"/>
    <x v="6"/>
    <x v="14"/>
    <x v="3"/>
    <n v="0"/>
    <x v="2"/>
  </r>
  <r>
    <x v="30"/>
    <x v="1"/>
    <x v="346"/>
    <x v="1"/>
    <x v="4"/>
    <x v="6"/>
    <x v="14"/>
    <x v="4"/>
    <n v="0"/>
    <x v="2"/>
  </r>
  <r>
    <x v="30"/>
    <x v="1"/>
    <x v="346"/>
    <x v="1"/>
    <x v="4"/>
    <x v="6"/>
    <x v="14"/>
    <x v="5"/>
    <n v="0"/>
    <x v="2"/>
  </r>
  <r>
    <x v="30"/>
    <x v="1"/>
    <x v="346"/>
    <x v="1"/>
    <x v="4"/>
    <x v="6"/>
    <x v="14"/>
    <x v="6"/>
    <n v="0"/>
    <x v="2"/>
  </r>
  <r>
    <x v="30"/>
    <x v="1"/>
    <x v="346"/>
    <x v="1"/>
    <x v="4"/>
    <x v="6"/>
    <x v="14"/>
    <x v="7"/>
    <n v="0"/>
    <x v="2"/>
  </r>
  <r>
    <x v="30"/>
    <x v="1"/>
    <x v="346"/>
    <x v="1"/>
    <x v="4"/>
    <x v="6"/>
    <x v="14"/>
    <x v="8"/>
    <n v="0"/>
    <x v="2"/>
  </r>
  <r>
    <x v="30"/>
    <x v="1"/>
    <x v="346"/>
    <x v="1"/>
    <x v="4"/>
    <x v="6"/>
    <x v="14"/>
    <x v="9"/>
    <n v="2000"/>
    <x v="2"/>
  </r>
  <r>
    <x v="30"/>
    <x v="1"/>
    <x v="346"/>
    <x v="1"/>
    <x v="4"/>
    <x v="6"/>
    <x v="14"/>
    <x v="10"/>
    <n v="2000"/>
    <x v="2"/>
  </r>
  <r>
    <x v="30"/>
    <x v="1"/>
    <x v="346"/>
    <x v="1"/>
    <x v="4"/>
    <x v="6"/>
    <x v="14"/>
    <x v="12"/>
    <n v="2000"/>
    <x v="2"/>
  </r>
  <r>
    <x v="30"/>
    <x v="1"/>
    <x v="347"/>
    <x v="1"/>
    <x v="4"/>
    <x v="6"/>
    <x v="14"/>
    <x v="0"/>
    <n v="0"/>
    <x v="2"/>
  </r>
  <r>
    <x v="30"/>
    <x v="1"/>
    <x v="347"/>
    <x v="1"/>
    <x v="4"/>
    <x v="6"/>
    <x v="14"/>
    <x v="1"/>
    <n v="0"/>
    <x v="2"/>
  </r>
  <r>
    <x v="30"/>
    <x v="1"/>
    <x v="347"/>
    <x v="1"/>
    <x v="4"/>
    <x v="6"/>
    <x v="14"/>
    <x v="2"/>
    <n v="0"/>
    <x v="2"/>
  </r>
  <r>
    <x v="30"/>
    <x v="1"/>
    <x v="347"/>
    <x v="1"/>
    <x v="4"/>
    <x v="6"/>
    <x v="14"/>
    <x v="3"/>
    <n v="0"/>
    <x v="2"/>
  </r>
  <r>
    <x v="30"/>
    <x v="1"/>
    <x v="347"/>
    <x v="1"/>
    <x v="4"/>
    <x v="6"/>
    <x v="14"/>
    <x v="4"/>
    <n v="0"/>
    <x v="2"/>
  </r>
  <r>
    <x v="30"/>
    <x v="1"/>
    <x v="347"/>
    <x v="1"/>
    <x v="4"/>
    <x v="6"/>
    <x v="14"/>
    <x v="5"/>
    <n v="0"/>
    <x v="2"/>
  </r>
  <r>
    <x v="30"/>
    <x v="1"/>
    <x v="347"/>
    <x v="1"/>
    <x v="4"/>
    <x v="6"/>
    <x v="14"/>
    <x v="6"/>
    <n v="0"/>
    <x v="2"/>
  </r>
  <r>
    <x v="30"/>
    <x v="1"/>
    <x v="347"/>
    <x v="1"/>
    <x v="4"/>
    <x v="6"/>
    <x v="14"/>
    <x v="7"/>
    <n v="0"/>
    <x v="2"/>
  </r>
  <r>
    <x v="30"/>
    <x v="1"/>
    <x v="347"/>
    <x v="1"/>
    <x v="4"/>
    <x v="6"/>
    <x v="14"/>
    <x v="8"/>
    <n v="0"/>
    <x v="2"/>
  </r>
  <r>
    <x v="30"/>
    <x v="1"/>
    <x v="347"/>
    <x v="1"/>
    <x v="4"/>
    <x v="6"/>
    <x v="14"/>
    <x v="9"/>
    <n v="0"/>
    <x v="2"/>
  </r>
  <r>
    <x v="30"/>
    <x v="1"/>
    <x v="347"/>
    <x v="1"/>
    <x v="4"/>
    <x v="6"/>
    <x v="14"/>
    <x v="10"/>
    <n v="0"/>
    <x v="2"/>
  </r>
  <r>
    <x v="30"/>
    <x v="1"/>
    <x v="347"/>
    <x v="1"/>
    <x v="4"/>
    <x v="6"/>
    <x v="14"/>
    <x v="12"/>
    <n v="0"/>
    <x v="2"/>
  </r>
  <r>
    <x v="30"/>
    <x v="1"/>
    <x v="348"/>
    <x v="1"/>
    <x v="4"/>
    <x v="6"/>
    <x v="14"/>
    <x v="0"/>
    <n v="317.83"/>
    <x v="2"/>
  </r>
  <r>
    <x v="30"/>
    <x v="1"/>
    <x v="348"/>
    <x v="1"/>
    <x v="4"/>
    <x v="6"/>
    <x v="14"/>
    <x v="1"/>
    <n v="0"/>
    <x v="2"/>
  </r>
  <r>
    <x v="30"/>
    <x v="1"/>
    <x v="348"/>
    <x v="1"/>
    <x v="4"/>
    <x v="6"/>
    <x v="14"/>
    <x v="2"/>
    <n v="0"/>
    <x v="2"/>
  </r>
  <r>
    <x v="30"/>
    <x v="1"/>
    <x v="348"/>
    <x v="1"/>
    <x v="4"/>
    <x v="6"/>
    <x v="14"/>
    <x v="3"/>
    <n v="0"/>
    <x v="2"/>
  </r>
  <r>
    <x v="30"/>
    <x v="1"/>
    <x v="348"/>
    <x v="1"/>
    <x v="4"/>
    <x v="6"/>
    <x v="14"/>
    <x v="4"/>
    <n v="0"/>
    <x v="2"/>
  </r>
  <r>
    <x v="30"/>
    <x v="1"/>
    <x v="348"/>
    <x v="1"/>
    <x v="4"/>
    <x v="6"/>
    <x v="14"/>
    <x v="5"/>
    <n v="0"/>
    <x v="2"/>
  </r>
  <r>
    <x v="30"/>
    <x v="1"/>
    <x v="348"/>
    <x v="1"/>
    <x v="4"/>
    <x v="6"/>
    <x v="14"/>
    <x v="6"/>
    <n v="0"/>
    <x v="2"/>
  </r>
  <r>
    <x v="30"/>
    <x v="1"/>
    <x v="348"/>
    <x v="1"/>
    <x v="4"/>
    <x v="6"/>
    <x v="14"/>
    <x v="7"/>
    <n v="0"/>
    <x v="2"/>
  </r>
  <r>
    <x v="30"/>
    <x v="1"/>
    <x v="348"/>
    <x v="1"/>
    <x v="4"/>
    <x v="6"/>
    <x v="14"/>
    <x v="8"/>
    <n v="0"/>
    <x v="2"/>
  </r>
  <r>
    <x v="30"/>
    <x v="1"/>
    <x v="348"/>
    <x v="1"/>
    <x v="4"/>
    <x v="6"/>
    <x v="14"/>
    <x v="9"/>
    <n v="0"/>
    <x v="2"/>
  </r>
  <r>
    <x v="30"/>
    <x v="1"/>
    <x v="348"/>
    <x v="1"/>
    <x v="4"/>
    <x v="6"/>
    <x v="14"/>
    <x v="10"/>
    <n v="0"/>
    <x v="2"/>
  </r>
  <r>
    <x v="30"/>
    <x v="1"/>
    <x v="348"/>
    <x v="1"/>
    <x v="4"/>
    <x v="6"/>
    <x v="14"/>
    <x v="12"/>
    <n v="0"/>
    <x v="2"/>
  </r>
  <r>
    <x v="30"/>
    <x v="1"/>
    <x v="350"/>
    <x v="1"/>
    <x v="4"/>
    <x v="6"/>
    <x v="14"/>
    <x v="0"/>
    <n v="0"/>
    <x v="2"/>
  </r>
  <r>
    <x v="30"/>
    <x v="1"/>
    <x v="350"/>
    <x v="1"/>
    <x v="4"/>
    <x v="6"/>
    <x v="14"/>
    <x v="1"/>
    <n v="0"/>
    <x v="2"/>
  </r>
  <r>
    <x v="30"/>
    <x v="1"/>
    <x v="350"/>
    <x v="1"/>
    <x v="4"/>
    <x v="6"/>
    <x v="14"/>
    <x v="2"/>
    <n v="0"/>
    <x v="2"/>
  </r>
  <r>
    <x v="30"/>
    <x v="1"/>
    <x v="350"/>
    <x v="1"/>
    <x v="4"/>
    <x v="6"/>
    <x v="14"/>
    <x v="3"/>
    <n v="176.94"/>
    <x v="2"/>
  </r>
  <r>
    <x v="30"/>
    <x v="1"/>
    <x v="350"/>
    <x v="1"/>
    <x v="4"/>
    <x v="6"/>
    <x v="14"/>
    <x v="4"/>
    <n v="0"/>
    <x v="2"/>
  </r>
  <r>
    <x v="30"/>
    <x v="1"/>
    <x v="350"/>
    <x v="1"/>
    <x v="4"/>
    <x v="6"/>
    <x v="14"/>
    <x v="5"/>
    <n v="0"/>
    <x v="2"/>
  </r>
  <r>
    <x v="30"/>
    <x v="1"/>
    <x v="350"/>
    <x v="1"/>
    <x v="4"/>
    <x v="6"/>
    <x v="14"/>
    <x v="6"/>
    <n v="0"/>
    <x v="2"/>
  </r>
  <r>
    <x v="30"/>
    <x v="1"/>
    <x v="350"/>
    <x v="1"/>
    <x v="4"/>
    <x v="6"/>
    <x v="14"/>
    <x v="7"/>
    <n v="103.15"/>
    <x v="2"/>
  </r>
  <r>
    <x v="30"/>
    <x v="1"/>
    <x v="350"/>
    <x v="1"/>
    <x v="4"/>
    <x v="6"/>
    <x v="14"/>
    <x v="8"/>
    <n v="0"/>
    <x v="2"/>
  </r>
  <r>
    <x v="30"/>
    <x v="1"/>
    <x v="350"/>
    <x v="1"/>
    <x v="4"/>
    <x v="6"/>
    <x v="14"/>
    <x v="9"/>
    <n v="0"/>
    <x v="2"/>
  </r>
  <r>
    <x v="30"/>
    <x v="1"/>
    <x v="350"/>
    <x v="1"/>
    <x v="4"/>
    <x v="6"/>
    <x v="14"/>
    <x v="10"/>
    <n v="0"/>
    <x v="2"/>
  </r>
  <r>
    <x v="30"/>
    <x v="1"/>
    <x v="350"/>
    <x v="1"/>
    <x v="4"/>
    <x v="6"/>
    <x v="14"/>
    <x v="12"/>
    <n v="0"/>
    <x v="2"/>
  </r>
  <r>
    <x v="30"/>
    <x v="1"/>
    <x v="351"/>
    <x v="0"/>
    <x v="4"/>
    <x v="6"/>
    <x v="21"/>
    <x v="0"/>
    <n v="0"/>
    <x v="2"/>
  </r>
  <r>
    <x v="30"/>
    <x v="1"/>
    <x v="351"/>
    <x v="0"/>
    <x v="4"/>
    <x v="6"/>
    <x v="21"/>
    <x v="1"/>
    <n v="289.89999999999998"/>
    <x v="2"/>
  </r>
  <r>
    <x v="30"/>
    <x v="1"/>
    <x v="351"/>
    <x v="0"/>
    <x v="4"/>
    <x v="6"/>
    <x v="21"/>
    <x v="2"/>
    <n v="0"/>
    <x v="2"/>
  </r>
  <r>
    <x v="30"/>
    <x v="1"/>
    <x v="351"/>
    <x v="0"/>
    <x v="4"/>
    <x v="6"/>
    <x v="21"/>
    <x v="3"/>
    <n v="0"/>
    <x v="2"/>
  </r>
  <r>
    <x v="30"/>
    <x v="1"/>
    <x v="351"/>
    <x v="0"/>
    <x v="4"/>
    <x v="6"/>
    <x v="21"/>
    <x v="4"/>
    <n v="0"/>
    <x v="2"/>
  </r>
  <r>
    <x v="30"/>
    <x v="1"/>
    <x v="351"/>
    <x v="0"/>
    <x v="4"/>
    <x v="6"/>
    <x v="21"/>
    <x v="5"/>
    <n v="0"/>
    <x v="2"/>
  </r>
  <r>
    <x v="30"/>
    <x v="1"/>
    <x v="351"/>
    <x v="0"/>
    <x v="4"/>
    <x v="6"/>
    <x v="21"/>
    <x v="6"/>
    <n v="0"/>
    <x v="2"/>
  </r>
  <r>
    <x v="30"/>
    <x v="1"/>
    <x v="351"/>
    <x v="0"/>
    <x v="4"/>
    <x v="6"/>
    <x v="21"/>
    <x v="7"/>
    <n v="0"/>
    <x v="2"/>
  </r>
  <r>
    <x v="30"/>
    <x v="1"/>
    <x v="351"/>
    <x v="0"/>
    <x v="4"/>
    <x v="6"/>
    <x v="21"/>
    <x v="8"/>
    <n v="0"/>
    <x v="2"/>
  </r>
  <r>
    <x v="30"/>
    <x v="1"/>
    <x v="351"/>
    <x v="0"/>
    <x v="4"/>
    <x v="6"/>
    <x v="21"/>
    <x v="9"/>
    <n v="0"/>
    <x v="2"/>
  </r>
  <r>
    <x v="30"/>
    <x v="1"/>
    <x v="351"/>
    <x v="0"/>
    <x v="4"/>
    <x v="6"/>
    <x v="21"/>
    <x v="10"/>
    <n v="0"/>
    <x v="2"/>
  </r>
  <r>
    <x v="30"/>
    <x v="1"/>
    <x v="351"/>
    <x v="0"/>
    <x v="4"/>
    <x v="6"/>
    <x v="21"/>
    <x v="12"/>
    <n v="0"/>
    <x v="2"/>
  </r>
  <r>
    <x v="30"/>
    <x v="1"/>
    <x v="352"/>
    <x v="1"/>
    <x v="4"/>
    <x v="6"/>
    <x v="14"/>
    <x v="0"/>
    <n v="0"/>
    <x v="2"/>
  </r>
  <r>
    <x v="30"/>
    <x v="1"/>
    <x v="352"/>
    <x v="1"/>
    <x v="4"/>
    <x v="6"/>
    <x v="14"/>
    <x v="1"/>
    <n v="0"/>
    <x v="2"/>
  </r>
  <r>
    <x v="30"/>
    <x v="1"/>
    <x v="352"/>
    <x v="1"/>
    <x v="4"/>
    <x v="6"/>
    <x v="14"/>
    <x v="2"/>
    <n v="0"/>
    <x v="2"/>
  </r>
  <r>
    <x v="30"/>
    <x v="1"/>
    <x v="352"/>
    <x v="1"/>
    <x v="4"/>
    <x v="6"/>
    <x v="14"/>
    <x v="3"/>
    <n v="0"/>
    <x v="2"/>
  </r>
  <r>
    <x v="30"/>
    <x v="1"/>
    <x v="352"/>
    <x v="1"/>
    <x v="4"/>
    <x v="6"/>
    <x v="14"/>
    <x v="4"/>
    <n v="0"/>
    <x v="2"/>
  </r>
  <r>
    <x v="30"/>
    <x v="1"/>
    <x v="352"/>
    <x v="1"/>
    <x v="4"/>
    <x v="6"/>
    <x v="14"/>
    <x v="5"/>
    <n v="0"/>
    <x v="2"/>
  </r>
  <r>
    <x v="30"/>
    <x v="1"/>
    <x v="352"/>
    <x v="1"/>
    <x v="4"/>
    <x v="6"/>
    <x v="14"/>
    <x v="6"/>
    <n v="0"/>
    <x v="2"/>
  </r>
  <r>
    <x v="30"/>
    <x v="1"/>
    <x v="352"/>
    <x v="1"/>
    <x v="4"/>
    <x v="6"/>
    <x v="14"/>
    <x v="7"/>
    <n v="0"/>
    <x v="2"/>
  </r>
  <r>
    <x v="30"/>
    <x v="1"/>
    <x v="352"/>
    <x v="1"/>
    <x v="4"/>
    <x v="6"/>
    <x v="14"/>
    <x v="8"/>
    <n v="0"/>
    <x v="2"/>
  </r>
  <r>
    <x v="30"/>
    <x v="1"/>
    <x v="352"/>
    <x v="1"/>
    <x v="4"/>
    <x v="6"/>
    <x v="14"/>
    <x v="9"/>
    <n v="0"/>
    <x v="2"/>
  </r>
  <r>
    <x v="30"/>
    <x v="1"/>
    <x v="352"/>
    <x v="1"/>
    <x v="4"/>
    <x v="6"/>
    <x v="14"/>
    <x v="10"/>
    <n v="0"/>
    <x v="2"/>
  </r>
  <r>
    <x v="30"/>
    <x v="1"/>
    <x v="352"/>
    <x v="1"/>
    <x v="4"/>
    <x v="6"/>
    <x v="14"/>
    <x v="12"/>
    <n v="0"/>
    <x v="2"/>
  </r>
  <r>
    <x v="30"/>
    <x v="1"/>
    <x v="353"/>
    <x v="1"/>
    <x v="4"/>
    <x v="6"/>
    <x v="14"/>
    <x v="0"/>
    <n v="868.35"/>
    <x v="2"/>
  </r>
  <r>
    <x v="30"/>
    <x v="1"/>
    <x v="353"/>
    <x v="1"/>
    <x v="4"/>
    <x v="6"/>
    <x v="14"/>
    <x v="1"/>
    <n v="0"/>
    <x v="2"/>
  </r>
  <r>
    <x v="30"/>
    <x v="1"/>
    <x v="353"/>
    <x v="1"/>
    <x v="4"/>
    <x v="6"/>
    <x v="14"/>
    <x v="2"/>
    <n v="0"/>
    <x v="2"/>
  </r>
  <r>
    <x v="30"/>
    <x v="1"/>
    <x v="353"/>
    <x v="1"/>
    <x v="4"/>
    <x v="6"/>
    <x v="14"/>
    <x v="3"/>
    <n v="0"/>
    <x v="2"/>
  </r>
  <r>
    <x v="30"/>
    <x v="1"/>
    <x v="353"/>
    <x v="1"/>
    <x v="4"/>
    <x v="6"/>
    <x v="14"/>
    <x v="4"/>
    <n v="0"/>
    <x v="2"/>
  </r>
  <r>
    <x v="30"/>
    <x v="1"/>
    <x v="353"/>
    <x v="1"/>
    <x v="4"/>
    <x v="6"/>
    <x v="14"/>
    <x v="5"/>
    <n v="0"/>
    <x v="2"/>
  </r>
  <r>
    <x v="30"/>
    <x v="1"/>
    <x v="353"/>
    <x v="1"/>
    <x v="4"/>
    <x v="6"/>
    <x v="14"/>
    <x v="6"/>
    <n v="0"/>
    <x v="2"/>
  </r>
  <r>
    <x v="30"/>
    <x v="1"/>
    <x v="353"/>
    <x v="1"/>
    <x v="4"/>
    <x v="6"/>
    <x v="14"/>
    <x v="7"/>
    <n v="0"/>
    <x v="2"/>
  </r>
  <r>
    <x v="30"/>
    <x v="1"/>
    <x v="353"/>
    <x v="1"/>
    <x v="4"/>
    <x v="6"/>
    <x v="14"/>
    <x v="8"/>
    <n v="0"/>
    <x v="2"/>
  </r>
  <r>
    <x v="30"/>
    <x v="1"/>
    <x v="353"/>
    <x v="1"/>
    <x v="4"/>
    <x v="6"/>
    <x v="14"/>
    <x v="9"/>
    <n v="0"/>
    <x v="2"/>
  </r>
  <r>
    <x v="30"/>
    <x v="1"/>
    <x v="353"/>
    <x v="1"/>
    <x v="4"/>
    <x v="6"/>
    <x v="14"/>
    <x v="10"/>
    <n v="0"/>
    <x v="2"/>
  </r>
  <r>
    <x v="30"/>
    <x v="1"/>
    <x v="353"/>
    <x v="1"/>
    <x v="4"/>
    <x v="6"/>
    <x v="14"/>
    <x v="12"/>
    <n v="0"/>
    <x v="2"/>
  </r>
  <r>
    <x v="30"/>
    <x v="1"/>
    <x v="354"/>
    <x v="1"/>
    <x v="4"/>
    <x v="6"/>
    <x v="14"/>
    <x v="0"/>
    <n v="0"/>
    <x v="2"/>
  </r>
  <r>
    <x v="30"/>
    <x v="1"/>
    <x v="354"/>
    <x v="1"/>
    <x v="4"/>
    <x v="6"/>
    <x v="14"/>
    <x v="1"/>
    <n v="0"/>
    <x v="2"/>
  </r>
  <r>
    <x v="30"/>
    <x v="1"/>
    <x v="354"/>
    <x v="1"/>
    <x v="4"/>
    <x v="6"/>
    <x v="14"/>
    <x v="2"/>
    <n v="0"/>
    <x v="2"/>
  </r>
  <r>
    <x v="30"/>
    <x v="1"/>
    <x v="354"/>
    <x v="1"/>
    <x v="4"/>
    <x v="6"/>
    <x v="14"/>
    <x v="3"/>
    <n v="0"/>
    <x v="2"/>
  </r>
  <r>
    <x v="30"/>
    <x v="1"/>
    <x v="354"/>
    <x v="1"/>
    <x v="4"/>
    <x v="6"/>
    <x v="14"/>
    <x v="4"/>
    <n v="0"/>
    <x v="2"/>
  </r>
  <r>
    <x v="30"/>
    <x v="1"/>
    <x v="354"/>
    <x v="1"/>
    <x v="4"/>
    <x v="6"/>
    <x v="14"/>
    <x v="5"/>
    <n v="0"/>
    <x v="2"/>
  </r>
  <r>
    <x v="30"/>
    <x v="1"/>
    <x v="354"/>
    <x v="1"/>
    <x v="4"/>
    <x v="6"/>
    <x v="14"/>
    <x v="6"/>
    <n v="0"/>
    <x v="2"/>
  </r>
  <r>
    <x v="30"/>
    <x v="1"/>
    <x v="354"/>
    <x v="1"/>
    <x v="4"/>
    <x v="6"/>
    <x v="14"/>
    <x v="7"/>
    <n v="0"/>
    <x v="2"/>
  </r>
  <r>
    <x v="30"/>
    <x v="1"/>
    <x v="354"/>
    <x v="1"/>
    <x v="4"/>
    <x v="6"/>
    <x v="14"/>
    <x v="8"/>
    <n v="0"/>
    <x v="2"/>
  </r>
  <r>
    <x v="30"/>
    <x v="1"/>
    <x v="354"/>
    <x v="1"/>
    <x v="4"/>
    <x v="6"/>
    <x v="14"/>
    <x v="9"/>
    <n v="0"/>
    <x v="2"/>
  </r>
  <r>
    <x v="30"/>
    <x v="1"/>
    <x v="354"/>
    <x v="1"/>
    <x v="4"/>
    <x v="6"/>
    <x v="14"/>
    <x v="10"/>
    <n v="0"/>
    <x v="2"/>
  </r>
  <r>
    <x v="30"/>
    <x v="1"/>
    <x v="354"/>
    <x v="1"/>
    <x v="4"/>
    <x v="6"/>
    <x v="14"/>
    <x v="12"/>
    <n v="0"/>
    <x v="2"/>
  </r>
  <r>
    <x v="30"/>
    <x v="1"/>
    <x v="359"/>
    <x v="0"/>
    <x v="4"/>
    <x v="6"/>
    <x v="13"/>
    <x v="0"/>
    <n v="0"/>
    <x v="2"/>
  </r>
  <r>
    <x v="30"/>
    <x v="1"/>
    <x v="359"/>
    <x v="0"/>
    <x v="4"/>
    <x v="6"/>
    <x v="13"/>
    <x v="1"/>
    <n v="0"/>
    <x v="2"/>
  </r>
  <r>
    <x v="30"/>
    <x v="1"/>
    <x v="359"/>
    <x v="0"/>
    <x v="4"/>
    <x v="6"/>
    <x v="13"/>
    <x v="2"/>
    <n v="0"/>
    <x v="2"/>
  </r>
  <r>
    <x v="30"/>
    <x v="1"/>
    <x v="359"/>
    <x v="0"/>
    <x v="4"/>
    <x v="6"/>
    <x v="13"/>
    <x v="3"/>
    <n v="348.47"/>
    <x v="2"/>
  </r>
  <r>
    <x v="30"/>
    <x v="1"/>
    <x v="359"/>
    <x v="0"/>
    <x v="4"/>
    <x v="6"/>
    <x v="13"/>
    <x v="4"/>
    <n v="664.29"/>
    <x v="2"/>
  </r>
  <r>
    <x v="30"/>
    <x v="1"/>
    <x v="359"/>
    <x v="0"/>
    <x v="4"/>
    <x v="6"/>
    <x v="13"/>
    <x v="5"/>
    <n v="0"/>
    <x v="2"/>
  </r>
  <r>
    <x v="30"/>
    <x v="1"/>
    <x v="359"/>
    <x v="0"/>
    <x v="4"/>
    <x v="6"/>
    <x v="13"/>
    <x v="6"/>
    <n v="0"/>
    <x v="2"/>
  </r>
  <r>
    <x v="30"/>
    <x v="1"/>
    <x v="359"/>
    <x v="0"/>
    <x v="4"/>
    <x v="6"/>
    <x v="13"/>
    <x v="7"/>
    <n v="1172.5"/>
    <x v="2"/>
  </r>
  <r>
    <x v="30"/>
    <x v="1"/>
    <x v="359"/>
    <x v="0"/>
    <x v="4"/>
    <x v="6"/>
    <x v="13"/>
    <x v="8"/>
    <n v="1110"/>
    <x v="2"/>
  </r>
  <r>
    <x v="30"/>
    <x v="1"/>
    <x v="359"/>
    <x v="0"/>
    <x v="4"/>
    <x v="6"/>
    <x v="13"/>
    <x v="9"/>
    <n v="0"/>
    <x v="2"/>
  </r>
  <r>
    <x v="30"/>
    <x v="1"/>
    <x v="359"/>
    <x v="0"/>
    <x v="4"/>
    <x v="6"/>
    <x v="13"/>
    <x v="10"/>
    <n v="0"/>
    <x v="2"/>
  </r>
  <r>
    <x v="30"/>
    <x v="1"/>
    <x v="359"/>
    <x v="0"/>
    <x v="4"/>
    <x v="6"/>
    <x v="13"/>
    <x v="12"/>
    <n v="0"/>
    <x v="2"/>
  </r>
  <r>
    <x v="30"/>
    <x v="1"/>
    <x v="360"/>
    <x v="1"/>
    <x v="4"/>
    <x v="6"/>
    <x v="14"/>
    <x v="0"/>
    <n v="0"/>
    <x v="2"/>
  </r>
  <r>
    <x v="30"/>
    <x v="1"/>
    <x v="360"/>
    <x v="1"/>
    <x v="4"/>
    <x v="6"/>
    <x v="14"/>
    <x v="1"/>
    <n v="0"/>
    <x v="2"/>
  </r>
  <r>
    <x v="30"/>
    <x v="1"/>
    <x v="360"/>
    <x v="1"/>
    <x v="4"/>
    <x v="6"/>
    <x v="14"/>
    <x v="2"/>
    <n v="0"/>
    <x v="2"/>
  </r>
  <r>
    <x v="30"/>
    <x v="1"/>
    <x v="360"/>
    <x v="1"/>
    <x v="4"/>
    <x v="6"/>
    <x v="14"/>
    <x v="3"/>
    <n v="0"/>
    <x v="2"/>
  </r>
  <r>
    <x v="30"/>
    <x v="1"/>
    <x v="360"/>
    <x v="1"/>
    <x v="4"/>
    <x v="6"/>
    <x v="14"/>
    <x v="4"/>
    <n v="0"/>
    <x v="2"/>
  </r>
  <r>
    <x v="30"/>
    <x v="1"/>
    <x v="360"/>
    <x v="1"/>
    <x v="4"/>
    <x v="6"/>
    <x v="14"/>
    <x v="5"/>
    <n v="411.7"/>
    <x v="2"/>
  </r>
  <r>
    <x v="30"/>
    <x v="1"/>
    <x v="360"/>
    <x v="1"/>
    <x v="4"/>
    <x v="6"/>
    <x v="14"/>
    <x v="6"/>
    <n v="0"/>
    <x v="2"/>
  </r>
  <r>
    <x v="30"/>
    <x v="1"/>
    <x v="360"/>
    <x v="1"/>
    <x v="4"/>
    <x v="6"/>
    <x v="14"/>
    <x v="7"/>
    <n v="0"/>
    <x v="2"/>
  </r>
  <r>
    <x v="30"/>
    <x v="1"/>
    <x v="360"/>
    <x v="1"/>
    <x v="4"/>
    <x v="6"/>
    <x v="14"/>
    <x v="8"/>
    <n v="0"/>
    <x v="2"/>
  </r>
  <r>
    <x v="30"/>
    <x v="1"/>
    <x v="360"/>
    <x v="1"/>
    <x v="4"/>
    <x v="6"/>
    <x v="14"/>
    <x v="9"/>
    <n v="0"/>
    <x v="2"/>
  </r>
  <r>
    <x v="30"/>
    <x v="1"/>
    <x v="360"/>
    <x v="1"/>
    <x v="4"/>
    <x v="6"/>
    <x v="14"/>
    <x v="10"/>
    <n v="0"/>
    <x v="2"/>
  </r>
  <r>
    <x v="30"/>
    <x v="1"/>
    <x v="360"/>
    <x v="1"/>
    <x v="4"/>
    <x v="6"/>
    <x v="14"/>
    <x v="12"/>
    <n v="0"/>
    <x v="2"/>
  </r>
  <r>
    <x v="30"/>
    <x v="1"/>
    <x v="361"/>
    <x v="1"/>
    <x v="4"/>
    <x v="6"/>
    <x v="14"/>
    <x v="0"/>
    <n v="0"/>
    <x v="2"/>
  </r>
  <r>
    <x v="30"/>
    <x v="1"/>
    <x v="361"/>
    <x v="1"/>
    <x v="4"/>
    <x v="6"/>
    <x v="14"/>
    <x v="1"/>
    <n v="0"/>
    <x v="2"/>
  </r>
  <r>
    <x v="30"/>
    <x v="1"/>
    <x v="361"/>
    <x v="1"/>
    <x v="4"/>
    <x v="6"/>
    <x v="14"/>
    <x v="2"/>
    <n v="0"/>
    <x v="2"/>
  </r>
  <r>
    <x v="30"/>
    <x v="1"/>
    <x v="361"/>
    <x v="1"/>
    <x v="4"/>
    <x v="6"/>
    <x v="14"/>
    <x v="3"/>
    <n v="0"/>
    <x v="2"/>
  </r>
  <r>
    <x v="30"/>
    <x v="1"/>
    <x v="361"/>
    <x v="1"/>
    <x v="4"/>
    <x v="6"/>
    <x v="14"/>
    <x v="4"/>
    <n v="0"/>
    <x v="2"/>
  </r>
  <r>
    <x v="30"/>
    <x v="1"/>
    <x v="361"/>
    <x v="1"/>
    <x v="4"/>
    <x v="6"/>
    <x v="14"/>
    <x v="5"/>
    <n v="0"/>
    <x v="2"/>
  </r>
  <r>
    <x v="30"/>
    <x v="1"/>
    <x v="361"/>
    <x v="1"/>
    <x v="4"/>
    <x v="6"/>
    <x v="14"/>
    <x v="6"/>
    <n v="237"/>
    <x v="2"/>
  </r>
  <r>
    <x v="30"/>
    <x v="1"/>
    <x v="361"/>
    <x v="1"/>
    <x v="4"/>
    <x v="6"/>
    <x v="14"/>
    <x v="7"/>
    <n v="0"/>
    <x v="2"/>
  </r>
  <r>
    <x v="30"/>
    <x v="1"/>
    <x v="361"/>
    <x v="1"/>
    <x v="4"/>
    <x v="6"/>
    <x v="14"/>
    <x v="8"/>
    <n v="0"/>
    <x v="2"/>
  </r>
  <r>
    <x v="30"/>
    <x v="1"/>
    <x v="361"/>
    <x v="1"/>
    <x v="4"/>
    <x v="6"/>
    <x v="14"/>
    <x v="9"/>
    <n v="0"/>
    <x v="2"/>
  </r>
  <r>
    <x v="30"/>
    <x v="1"/>
    <x v="361"/>
    <x v="1"/>
    <x v="4"/>
    <x v="6"/>
    <x v="14"/>
    <x v="10"/>
    <n v="0"/>
    <x v="2"/>
  </r>
  <r>
    <x v="30"/>
    <x v="1"/>
    <x v="361"/>
    <x v="1"/>
    <x v="4"/>
    <x v="6"/>
    <x v="14"/>
    <x v="12"/>
    <n v="0"/>
    <x v="2"/>
  </r>
  <r>
    <x v="30"/>
    <x v="1"/>
    <x v="362"/>
    <x v="1"/>
    <x v="4"/>
    <x v="6"/>
    <x v="14"/>
    <x v="0"/>
    <n v="0"/>
    <x v="2"/>
  </r>
  <r>
    <x v="30"/>
    <x v="1"/>
    <x v="362"/>
    <x v="1"/>
    <x v="4"/>
    <x v="6"/>
    <x v="14"/>
    <x v="1"/>
    <n v="0"/>
    <x v="2"/>
  </r>
  <r>
    <x v="30"/>
    <x v="1"/>
    <x v="362"/>
    <x v="1"/>
    <x v="4"/>
    <x v="6"/>
    <x v="14"/>
    <x v="2"/>
    <n v="0"/>
    <x v="2"/>
  </r>
  <r>
    <x v="30"/>
    <x v="1"/>
    <x v="362"/>
    <x v="1"/>
    <x v="4"/>
    <x v="6"/>
    <x v="14"/>
    <x v="3"/>
    <n v="0"/>
    <x v="2"/>
  </r>
  <r>
    <x v="30"/>
    <x v="1"/>
    <x v="362"/>
    <x v="1"/>
    <x v="4"/>
    <x v="6"/>
    <x v="14"/>
    <x v="4"/>
    <n v="0"/>
    <x v="2"/>
  </r>
  <r>
    <x v="30"/>
    <x v="1"/>
    <x v="362"/>
    <x v="1"/>
    <x v="4"/>
    <x v="6"/>
    <x v="14"/>
    <x v="5"/>
    <n v="0"/>
    <x v="2"/>
  </r>
  <r>
    <x v="30"/>
    <x v="1"/>
    <x v="362"/>
    <x v="1"/>
    <x v="4"/>
    <x v="6"/>
    <x v="14"/>
    <x v="6"/>
    <n v="0"/>
    <x v="2"/>
  </r>
  <r>
    <x v="30"/>
    <x v="1"/>
    <x v="362"/>
    <x v="1"/>
    <x v="4"/>
    <x v="6"/>
    <x v="14"/>
    <x v="7"/>
    <n v="0"/>
    <x v="2"/>
  </r>
  <r>
    <x v="30"/>
    <x v="1"/>
    <x v="362"/>
    <x v="1"/>
    <x v="4"/>
    <x v="6"/>
    <x v="14"/>
    <x v="8"/>
    <n v="987"/>
    <x v="2"/>
  </r>
  <r>
    <x v="30"/>
    <x v="1"/>
    <x v="362"/>
    <x v="1"/>
    <x v="4"/>
    <x v="6"/>
    <x v="14"/>
    <x v="9"/>
    <n v="0"/>
    <x v="2"/>
  </r>
  <r>
    <x v="30"/>
    <x v="1"/>
    <x v="362"/>
    <x v="1"/>
    <x v="4"/>
    <x v="6"/>
    <x v="14"/>
    <x v="10"/>
    <n v="0"/>
    <x v="2"/>
  </r>
  <r>
    <x v="30"/>
    <x v="1"/>
    <x v="362"/>
    <x v="1"/>
    <x v="4"/>
    <x v="6"/>
    <x v="14"/>
    <x v="12"/>
    <n v="0"/>
    <x v="2"/>
  </r>
  <r>
    <x v="30"/>
    <x v="1"/>
    <x v="343"/>
    <x v="0"/>
    <x v="4"/>
    <x v="47"/>
    <x v="20"/>
    <x v="0"/>
    <n v="66.680000000000007"/>
    <x v="2"/>
  </r>
  <r>
    <x v="30"/>
    <x v="1"/>
    <x v="343"/>
    <x v="0"/>
    <x v="4"/>
    <x v="47"/>
    <x v="20"/>
    <x v="1"/>
    <n v="0"/>
    <x v="2"/>
  </r>
  <r>
    <x v="30"/>
    <x v="1"/>
    <x v="343"/>
    <x v="0"/>
    <x v="4"/>
    <x v="47"/>
    <x v="20"/>
    <x v="2"/>
    <n v="0"/>
    <x v="2"/>
  </r>
  <r>
    <x v="30"/>
    <x v="1"/>
    <x v="343"/>
    <x v="0"/>
    <x v="4"/>
    <x v="47"/>
    <x v="20"/>
    <x v="3"/>
    <n v="0"/>
    <x v="2"/>
  </r>
  <r>
    <x v="30"/>
    <x v="1"/>
    <x v="343"/>
    <x v="0"/>
    <x v="4"/>
    <x v="47"/>
    <x v="20"/>
    <x v="4"/>
    <n v="0"/>
    <x v="2"/>
  </r>
  <r>
    <x v="30"/>
    <x v="1"/>
    <x v="343"/>
    <x v="0"/>
    <x v="4"/>
    <x v="47"/>
    <x v="20"/>
    <x v="5"/>
    <n v="0"/>
    <x v="2"/>
  </r>
  <r>
    <x v="30"/>
    <x v="1"/>
    <x v="343"/>
    <x v="0"/>
    <x v="4"/>
    <x v="47"/>
    <x v="20"/>
    <x v="6"/>
    <n v="0"/>
    <x v="2"/>
  </r>
  <r>
    <x v="30"/>
    <x v="1"/>
    <x v="343"/>
    <x v="0"/>
    <x v="4"/>
    <x v="47"/>
    <x v="20"/>
    <x v="7"/>
    <n v="0"/>
    <x v="2"/>
  </r>
  <r>
    <x v="30"/>
    <x v="1"/>
    <x v="343"/>
    <x v="0"/>
    <x v="4"/>
    <x v="47"/>
    <x v="20"/>
    <x v="8"/>
    <n v="0"/>
    <x v="2"/>
  </r>
  <r>
    <x v="30"/>
    <x v="1"/>
    <x v="343"/>
    <x v="0"/>
    <x v="4"/>
    <x v="47"/>
    <x v="20"/>
    <x v="9"/>
    <n v="0"/>
    <x v="2"/>
  </r>
  <r>
    <x v="30"/>
    <x v="1"/>
    <x v="343"/>
    <x v="0"/>
    <x v="4"/>
    <x v="47"/>
    <x v="20"/>
    <x v="10"/>
    <n v="0"/>
    <x v="2"/>
  </r>
  <r>
    <x v="30"/>
    <x v="1"/>
    <x v="343"/>
    <x v="0"/>
    <x v="4"/>
    <x v="47"/>
    <x v="20"/>
    <x v="12"/>
    <n v="0"/>
    <x v="2"/>
  </r>
  <r>
    <x v="30"/>
    <x v="1"/>
    <x v="344"/>
    <x v="1"/>
    <x v="4"/>
    <x v="47"/>
    <x v="14"/>
    <x v="0"/>
    <n v="0"/>
    <x v="2"/>
  </r>
  <r>
    <x v="30"/>
    <x v="1"/>
    <x v="344"/>
    <x v="1"/>
    <x v="4"/>
    <x v="47"/>
    <x v="14"/>
    <x v="1"/>
    <n v="0"/>
    <x v="2"/>
  </r>
  <r>
    <x v="30"/>
    <x v="1"/>
    <x v="344"/>
    <x v="1"/>
    <x v="4"/>
    <x v="47"/>
    <x v="14"/>
    <x v="2"/>
    <n v="0"/>
    <x v="2"/>
  </r>
  <r>
    <x v="30"/>
    <x v="1"/>
    <x v="344"/>
    <x v="1"/>
    <x v="4"/>
    <x v="47"/>
    <x v="14"/>
    <x v="3"/>
    <n v="0"/>
    <x v="2"/>
  </r>
  <r>
    <x v="30"/>
    <x v="1"/>
    <x v="344"/>
    <x v="1"/>
    <x v="4"/>
    <x v="47"/>
    <x v="14"/>
    <x v="4"/>
    <n v="0"/>
    <x v="2"/>
  </r>
  <r>
    <x v="30"/>
    <x v="1"/>
    <x v="344"/>
    <x v="1"/>
    <x v="4"/>
    <x v="47"/>
    <x v="14"/>
    <x v="5"/>
    <n v="0"/>
    <x v="2"/>
  </r>
  <r>
    <x v="30"/>
    <x v="1"/>
    <x v="344"/>
    <x v="1"/>
    <x v="4"/>
    <x v="47"/>
    <x v="14"/>
    <x v="6"/>
    <n v="0"/>
    <x v="2"/>
  </r>
  <r>
    <x v="30"/>
    <x v="1"/>
    <x v="344"/>
    <x v="1"/>
    <x v="4"/>
    <x v="47"/>
    <x v="14"/>
    <x v="7"/>
    <n v="0"/>
    <x v="2"/>
  </r>
  <r>
    <x v="30"/>
    <x v="1"/>
    <x v="344"/>
    <x v="1"/>
    <x v="4"/>
    <x v="47"/>
    <x v="14"/>
    <x v="8"/>
    <n v="0"/>
    <x v="2"/>
  </r>
  <r>
    <x v="30"/>
    <x v="1"/>
    <x v="344"/>
    <x v="1"/>
    <x v="4"/>
    <x v="47"/>
    <x v="14"/>
    <x v="9"/>
    <n v="0"/>
    <x v="2"/>
  </r>
  <r>
    <x v="30"/>
    <x v="1"/>
    <x v="344"/>
    <x v="1"/>
    <x v="4"/>
    <x v="47"/>
    <x v="14"/>
    <x v="10"/>
    <n v="0"/>
    <x v="2"/>
  </r>
  <r>
    <x v="30"/>
    <x v="1"/>
    <x v="344"/>
    <x v="1"/>
    <x v="4"/>
    <x v="47"/>
    <x v="14"/>
    <x v="12"/>
    <n v="0"/>
    <x v="2"/>
  </r>
  <r>
    <x v="30"/>
    <x v="1"/>
    <x v="345"/>
    <x v="0"/>
    <x v="4"/>
    <x v="47"/>
    <x v="21"/>
    <x v="0"/>
    <n v="0"/>
    <x v="2"/>
  </r>
  <r>
    <x v="30"/>
    <x v="1"/>
    <x v="345"/>
    <x v="0"/>
    <x v="4"/>
    <x v="47"/>
    <x v="21"/>
    <x v="1"/>
    <n v="0"/>
    <x v="2"/>
  </r>
  <r>
    <x v="30"/>
    <x v="1"/>
    <x v="345"/>
    <x v="0"/>
    <x v="4"/>
    <x v="47"/>
    <x v="21"/>
    <x v="2"/>
    <n v="0"/>
    <x v="2"/>
  </r>
  <r>
    <x v="30"/>
    <x v="1"/>
    <x v="345"/>
    <x v="0"/>
    <x v="4"/>
    <x v="47"/>
    <x v="21"/>
    <x v="3"/>
    <n v="0"/>
    <x v="2"/>
  </r>
  <r>
    <x v="30"/>
    <x v="1"/>
    <x v="345"/>
    <x v="0"/>
    <x v="4"/>
    <x v="47"/>
    <x v="21"/>
    <x v="4"/>
    <n v="0"/>
    <x v="2"/>
  </r>
  <r>
    <x v="30"/>
    <x v="1"/>
    <x v="345"/>
    <x v="0"/>
    <x v="4"/>
    <x v="47"/>
    <x v="21"/>
    <x v="5"/>
    <n v="0"/>
    <x v="2"/>
  </r>
  <r>
    <x v="30"/>
    <x v="1"/>
    <x v="345"/>
    <x v="0"/>
    <x v="4"/>
    <x v="47"/>
    <x v="21"/>
    <x v="6"/>
    <n v="0"/>
    <x v="2"/>
  </r>
  <r>
    <x v="30"/>
    <x v="1"/>
    <x v="345"/>
    <x v="0"/>
    <x v="4"/>
    <x v="47"/>
    <x v="21"/>
    <x v="7"/>
    <n v="0"/>
    <x v="2"/>
  </r>
  <r>
    <x v="30"/>
    <x v="1"/>
    <x v="345"/>
    <x v="0"/>
    <x v="4"/>
    <x v="47"/>
    <x v="21"/>
    <x v="8"/>
    <n v="0"/>
    <x v="2"/>
  </r>
  <r>
    <x v="30"/>
    <x v="1"/>
    <x v="345"/>
    <x v="0"/>
    <x v="4"/>
    <x v="47"/>
    <x v="21"/>
    <x v="9"/>
    <n v="0"/>
    <x v="2"/>
  </r>
  <r>
    <x v="30"/>
    <x v="1"/>
    <x v="345"/>
    <x v="0"/>
    <x v="4"/>
    <x v="47"/>
    <x v="21"/>
    <x v="10"/>
    <n v="0"/>
    <x v="2"/>
  </r>
  <r>
    <x v="30"/>
    <x v="1"/>
    <x v="345"/>
    <x v="0"/>
    <x v="4"/>
    <x v="47"/>
    <x v="21"/>
    <x v="12"/>
    <n v="0"/>
    <x v="2"/>
  </r>
  <r>
    <x v="30"/>
    <x v="1"/>
    <x v="363"/>
    <x v="0"/>
    <x v="4"/>
    <x v="47"/>
    <x v="21"/>
    <x v="0"/>
    <n v="408.16"/>
    <x v="2"/>
  </r>
  <r>
    <x v="30"/>
    <x v="1"/>
    <x v="363"/>
    <x v="0"/>
    <x v="4"/>
    <x v="47"/>
    <x v="21"/>
    <x v="1"/>
    <n v="0"/>
    <x v="2"/>
  </r>
  <r>
    <x v="30"/>
    <x v="1"/>
    <x v="363"/>
    <x v="0"/>
    <x v="4"/>
    <x v="47"/>
    <x v="21"/>
    <x v="2"/>
    <n v="0"/>
    <x v="2"/>
  </r>
  <r>
    <x v="30"/>
    <x v="1"/>
    <x v="363"/>
    <x v="0"/>
    <x v="4"/>
    <x v="47"/>
    <x v="21"/>
    <x v="3"/>
    <n v="0"/>
    <x v="2"/>
  </r>
  <r>
    <x v="30"/>
    <x v="1"/>
    <x v="363"/>
    <x v="0"/>
    <x v="4"/>
    <x v="47"/>
    <x v="21"/>
    <x v="4"/>
    <n v="0"/>
    <x v="2"/>
  </r>
  <r>
    <x v="30"/>
    <x v="1"/>
    <x v="363"/>
    <x v="0"/>
    <x v="4"/>
    <x v="47"/>
    <x v="21"/>
    <x v="5"/>
    <n v="0"/>
    <x v="2"/>
  </r>
  <r>
    <x v="30"/>
    <x v="1"/>
    <x v="363"/>
    <x v="0"/>
    <x v="4"/>
    <x v="47"/>
    <x v="21"/>
    <x v="6"/>
    <n v="0"/>
    <x v="2"/>
  </r>
  <r>
    <x v="30"/>
    <x v="1"/>
    <x v="363"/>
    <x v="0"/>
    <x v="4"/>
    <x v="47"/>
    <x v="21"/>
    <x v="7"/>
    <n v="0"/>
    <x v="2"/>
  </r>
  <r>
    <x v="30"/>
    <x v="1"/>
    <x v="363"/>
    <x v="0"/>
    <x v="4"/>
    <x v="47"/>
    <x v="21"/>
    <x v="8"/>
    <n v="0"/>
    <x v="2"/>
  </r>
  <r>
    <x v="30"/>
    <x v="1"/>
    <x v="363"/>
    <x v="0"/>
    <x v="4"/>
    <x v="47"/>
    <x v="21"/>
    <x v="9"/>
    <n v="0"/>
    <x v="2"/>
  </r>
  <r>
    <x v="30"/>
    <x v="1"/>
    <x v="363"/>
    <x v="0"/>
    <x v="4"/>
    <x v="47"/>
    <x v="21"/>
    <x v="10"/>
    <n v="0"/>
    <x v="2"/>
  </r>
  <r>
    <x v="30"/>
    <x v="1"/>
    <x v="363"/>
    <x v="0"/>
    <x v="4"/>
    <x v="47"/>
    <x v="21"/>
    <x v="12"/>
    <n v="0"/>
    <x v="2"/>
  </r>
  <r>
    <x v="30"/>
    <x v="1"/>
    <x v="346"/>
    <x v="1"/>
    <x v="4"/>
    <x v="47"/>
    <x v="14"/>
    <x v="0"/>
    <n v="29.93"/>
    <x v="2"/>
  </r>
  <r>
    <x v="30"/>
    <x v="1"/>
    <x v="346"/>
    <x v="1"/>
    <x v="4"/>
    <x v="47"/>
    <x v="14"/>
    <x v="1"/>
    <n v="0"/>
    <x v="2"/>
  </r>
  <r>
    <x v="30"/>
    <x v="1"/>
    <x v="346"/>
    <x v="1"/>
    <x v="4"/>
    <x v="47"/>
    <x v="14"/>
    <x v="2"/>
    <n v="0"/>
    <x v="2"/>
  </r>
  <r>
    <x v="30"/>
    <x v="1"/>
    <x v="346"/>
    <x v="1"/>
    <x v="4"/>
    <x v="47"/>
    <x v="14"/>
    <x v="3"/>
    <n v="0"/>
    <x v="2"/>
  </r>
  <r>
    <x v="30"/>
    <x v="1"/>
    <x v="346"/>
    <x v="1"/>
    <x v="4"/>
    <x v="47"/>
    <x v="14"/>
    <x v="4"/>
    <n v="0"/>
    <x v="2"/>
  </r>
  <r>
    <x v="30"/>
    <x v="1"/>
    <x v="346"/>
    <x v="1"/>
    <x v="4"/>
    <x v="47"/>
    <x v="14"/>
    <x v="5"/>
    <n v="0"/>
    <x v="2"/>
  </r>
  <r>
    <x v="30"/>
    <x v="1"/>
    <x v="346"/>
    <x v="1"/>
    <x v="4"/>
    <x v="47"/>
    <x v="14"/>
    <x v="6"/>
    <n v="0"/>
    <x v="2"/>
  </r>
  <r>
    <x v="30"/>
    <x v="1"/>
    <x v="346"/>
    <x v="1"/>
    <x v="4"/>
    <x v="47"/>
    <x v="14"/>
    <x v="7"/>
    <n v="0"/>
    <x v="2"/>
  </r>
  <r>
    <x v="30"/>
    <x v="1"/>
    <x v="346"/>
    <x v="1"/>
    <x v="4"/>
    <x v="47"/>
    <x v="14"/>
    <x v="8"/>
    <n v="0"/>
    <x v="2"/>
  </r>
  <r>
    <x v="30"/>
    <x v="1"/>
    <x v="346"/>
    <x v="1"/>
    <x v="4"/>
    <x v="47"/>
    <x v="14"/>
    <x v="9"/>
    <n v="1000"/>
    <x v="2"/>
  </r>
  <r>
    <x v="30"/>
    <x v="1"/>
    <x v="346"/>
    <x v="1"/>
    <x v="4"/>
    <x v="47"/>
    <x v="14"/>
    <x v="10"/>
    <n v="1000"/>
    <x v="2"/>
  </r>
  <r>
    <x v="30"/>
    <x v="1"/>
    <x v="346"/>
    <x v="1"/>
    <x v="4"/>
    <x v="47"/>
    <x v="14"/>
    <x v="12"/>
    <n v="1000"/>
    <x v="2"/>
  </r>
  <r>
    <x v="30"/>
    <x v="1"/>
    <x v="364"/>
    <x v="1"/>
    <x v="4"/>
    <x v="47"/>
    <x v="14"/>
    <x v="0"/>
    <n v="123.12"/>
    <x v="2"/>
  </r>
  <r>
    <x v="30"/>
    <x v="1"/>
    <x v="364"/>
    <x v="1"/>
    <x v="4"/>
    <x v="47"/>
    <x v="14"/>
    <x v="1"/>
    <n v="0"/>
    <x v="2"/>
  </r>
  <r>
    <x v="30"/>
    <x v="1"/>
    <x v="364"/>
    <x v="1"/>
    <x v="4"/>
    <x v="47"/>
    <x v="14"/>
    <x v="2"/>
    <n v="0"/>
    <x v="2"/>
  </r>
  <r>
    <x v="30"/>
    <x v="1"/>
    <x v="364"/>
    <x v="1"/>
    <x v="4"/>
    <x v="47"/>
    <x v="14"/>
    <x v="3"/>
    <n v="0"/>
    <x v="2"/>
  </r>
  <r>
    <x v="30"/>
    <x v="1"/>
    <x v="364"/>
    <x v="1"/>
    <x v="4"/>
    <x v="47"/>
    <x v="14"/>
    <x v="4"/>
    <n v="0"/>
    <x v="2"/>
  </r>
  <r>
    <x v="30"/>
    <x v="1"/>
    <x v="364"/>
    <x v="1"/>
    <x v="4"/>
    <x v="47"/>
    <x v="14"/>
    <x v="5"/>
    <n v="0"/>
    <x v="2"/>
  </r>
  <r>
    <x v="30"/>
    <x v="1"/>
    <x v="364"/>
    <x v="1"/>
    <x v="4"/>
    <x v="47"/>
    <x v="14"/>
    <x v="6"/>
    <n v="0"/>
    <x v="2"/>
  </r>
  <r>
    <x v="30"/>
    <x v="1"/>
    <x v="364"/>
    <x v="1"/>
    <x v="4"/>
    <x v="47"/>
    <x v="14"/>
    <x v="7"/>
    <n v="0"/>
    <x v="2"/>
  </r>
  <r>
    <x v="30"/>
    <x v="1"/>
    <x v="364"/>
    <x v="1"/>
    <x v="4"/>
    <x v="47"/>
    <x v="14"/>
    <x v="8"/>
    <n v="0"/>
    <x v="2"/>
  </r>
  <r>
    <x v="30"/>
    <x v="1"/>
    <x v="364"/>
    <x v="1"/>
    <x v="4"/>
    <x v="47"/>
    <x v="14"/>
    <x v="9"/>
    <n v="0"/>
    <x v="2"/>
  </r>
  <r>
    <x v="30"/>
    <x v="1"/>
    <x v="364"/>
    <x v="1"/>
    <x v="4"/>
    <x v="47"/>
    <x v="14"/>
    <x v="10"/>
    <n v="0"/>
    <x v="2"/>
  </r>
  <r>
    <x v="30"/>
    <x v="1"/>
    <x v="364"/>
    <x v="1"/>
    <x v="4"/>
    <x v="47"/>
    <x v="14"/>
    <x v="12"/>
    <n v="0"/>
    <x v="2"/>
  </r>
  <r>
    <x v="30"/>
    <x v="1"/>
    <x v="348"/>
    <x v="1"/>
    <x v="4"/>
    <x v="47"/>
    <x v="14"/>
    <x v="0"/>
    <n v="0"/>
    <x v="2"/>
  </r>
  <r>
    <x v="30"/>
    <x v="1"/>
    <x v="348"/>
    <x v="1"/>
    <x v="4"/>
    <x v="47"/>
    <x v="14"/>
    <x v="1"/>
    <n v="0"/>
    <x v="2"/>
  </r>
  <r>
    <x v="30"/>
    <x v="1"/>
    <x v="348"/>
    <x v="1"/>
    <x v="4"/>
    <x v="47"/>
    <x v="14"/>
    <x v="2"/>
    <n v="0"/>
    <x v="2"/>
  </r>
  <r>
    <x v="30"/>
    <x v="1"/>
    <x v="348"/>
    <x v="1"/>
    <x v="4"/>
    <x v="47"/>
    <x v="14"/>
    <x v="3"/>
    <n v="0"/>
    <x v="2"/>
  </r>
  <r>
    <x v="30"/>
    <x v="1"/>
    <x v="348"/>
    <x v="1"/>
    <x v="4"/>
    <x v="47"/>
    <x v="14"/>
    <x v="4"/>
    <n v="0"/>
    <x v="2"/>
  </r>
  <r>
    <x v="30"/>
    <x v="1"/>
    <x v="348"/>
    <x v="1"/>
    <x v="4"/>
    <x v="47"/>
    <x v="14"/>
    <x v="5"/>
    <n v="0"/>
    <x v="2"/>
  </r>
  <r>
    <x v="30"/>
    <x v="1"/>
    <x v="348"/>
    <x v="1"/>
    <x v="4"/>
    <x v="47"/>
    <x v="14"/>
    <x v="6"/>
    <n v="0"/>
    <x v="2"/>
  </r>
  <r>
    <x v="30"/>
    <x v="1"/>
    <x v="348"/>
    <x v="1"/>
    <x v="4"/>
    <x v="47"/>
    <x v="14"/>
    <x v="7"/>
    <n v="0"/>
    <x v="2"/>
  </r>
  <r>
    <x v="30"/>
    <x v="1"/>
    <x v="348"/>
    <x v="1"/>
    <x v="4"/>
    <x v="47"/>
    <x v="14"/>
    <x v="8"/>
    <n v="0"/>
    <x v="2"/>
  </r>
  <r>
    <x v="30"/>
    <x v="1"/>
    <x v="348"/>
    <x v="1"/>
    <x v="4"/>
    <x v="47"/>
    <x v="14"/>
    <x v="9"/>
    <n v="0"/>
    <x v="2"/>
  </r>
  <r>
    <x v="30"/>
    <x v="1"/>
    <x v="348"/>
    <x v="1"/>
    <x v="4"/>
    <x v="47"/>
    <x v="14"/>
    <x v="10"/>
    <n v="0"/>
    <x v="2"/>
  </r>
  <r>
    <x v="30"/>
    <x v="1"/>
    <x v="348"/>
    <x v="1"/>
    <x v="4"/>
    <x v="47"/>
    <x v="14"/>
    <x v="12"/>
    <n v="0"/>
    <x v="2"/>
  </r>
  <r>
    <x v="30"/>
    <x v="1"/>
    <x v="349"/>
    <x v="0"/>
    <x v="4"/>
    <x v="47"/>
    <x v="20"/>
    <x v="0"/>
    <n v="280.27999999999997"/>
    <x v="2"/>
  </r>
  <r>
    <x v="30"/>
    <x v="1"/>
    <x v="349"/>
    <x v="0"/>
    <x v="4"/>
    <x v="47"/>
    <x v="20"/>
    <x v="1"/>
    <n v="0"/>
    <x v="2"/>
  </r>
  <r>
    <x v="30"/>
    <x v="1"/>
    <x v="349"/>
    <x v="0"/>
    <x v="4"/>
    <x v="47"/>
    <x v="20"/>
    <x v="2"/>
    <n v="0"/>
    <x v="2"/>
  </r>
  <r>
    <x v="30"/>
    <x v="1"/>
    <x v="349"/>
    <x v="0"/>
    <x v="4"/>
    <x v="47"/>
    <x v="20"/>
    <x v="3"/>
    <n v="0"/>
    <x v="2"/>
  </r>
  <r>
    <x v="30"/>
    <x v="1"/>
    <x v="349"/>
    <x v="0"/>
    <x v="4"/>
    <x v="47"/>
    <x v="20"/>
    <x v="4"/>
    <n v="0"/>
    <x v="2"/>
  </r>
  <r>
    <x v="30"/>
    <x v="1"/>
    <x v="349"/>
    <x v="0"/>
    <x v="4"/>
    <x v="47"/>
    <x v="20"/>
    <x v="5"/>
    <n v="0"/>
    <x v="2"/>
  </r>
  <r>
    <x v="30"/>
    <x v="1"/>
    <x v="349"/>
    <x v="0"/>
    <x v="4"/>
    <x v="47"/>
    <x v="20"/>
    <x v="6"/>
    <n v="0"/>
    <x v="2"/>
  </r>
  <r>
    <x v="30"/>
    <x v="1"/>
    <x v="349"/>
    <x v="0"/>
    <x v="4"/>
    <x v="47"/>
    <x v="20"/>
    <x v="7"/>
    <n v="0"/>
    <x v="2"/>
  </r>
  <r>
    <x v="30"/>
    <x v="1"/>
    <x v="349"/>
    <x v="0"/>
    <x v="4"/>
    <x v="47"/>
    <x v="20"/>
    <x v="8"/>
    <n v="0"/>
    <x v="2"/>
  </r>
  <r>
    <x v="30"/>
    <x v="1"/>
    <x v="349"/>
    <x v="0"/>
    <x v="4"/>
    <x v="47"/>
    <x v="20"/>
    <x v="9"/>
    <n v="0"/>
    <x v="2"/>
  </r>
  <r>
    <x v="30"/>
    <x v="1"/>
    <x v="349"/>
    <x v="0"/>
    <x v="4"/>
    <x v="47"/>
    <x v="20"/>
    <x v="10"/>
    <n v="0"/>
    <x v="2"/>
  </r>
  <r>
    <x v="30"/>
    <x v="1"/>
    <x v="349"/>
    <x v="0"/>
    <x v="4"/>
    <x v="47"/>
    <x v="20"/>
    <x v="12"/>
    <n v="0"/>
    <x v="2"/>
  </r>
  <r>
    <x v="30"/>
    <x v="1"/>
    <x v="350"/>
    <x v="1"/>
    <x v="4"/>
    <x v="47"/>
    <x v="14"/>
    <x v="0"/>
    <n v="0"/>
    <x v="2"/>
  </r>
  <r>
    <x v="30"/>
    <x v="1"/>
    <x v="350"/>
    <x v="1"/>
    <x v="4"/>
    <x v="47"/>
    <x v="14"/>
    <x v="1"/>
    <n v="0"/>
    <x v="2"/>
  </r>
  <r>
    <x v="30"/>
    <x v="1"/>
    <x v="350"/>
    <x v="1"/>
    <x v="4"/>
    <x v="47"/>
    <x v="14"/>
    <x v="2"/>
    <n v="0"/>
    <x v="2"/>
  </r>
  <r>
    <x v="30"/>
    <x v="1"/>
    <x v="350"/>
    <x v="1"/>
    <x v="4"/>
    <x v="47"/>
    <x v="14"/>
    <x v="3"/>
    <n v="49"/>
    <x v="2"/>
  </r>
  <r>
    <x v="30"/>
    <x v="1"/>
    <x v="350"/>
    <x v="1"/>
    <x v="4"/>
    <x v="47"/>
    <x v="14"/>
    <x v="4"/>
    <n v="0"/>
    <x v="2"/>
  </r>
  <r>
    <x v="30"/>
    <x v="1"/>
    <x v="350"/>
    <x v="1"/>
    <x v="4"/>
    <x v="47"/>
    <x v="14"/>
    <x v="5"/>
    <n v="0"/>
    <x v="2"/>
  </r>
  <r>
    <x v="30"/>
    <x v="1"/>
    <x v="350"/>
    <x v="1"/>
    <x v="4"/>
    <x v="47"/>
    <x v="14"/>
    <x v="6"/>
    <n v="0"/>
    <x v="2"/>
  </r>
  <r>
    <x v="30"/>
    <x v="1"/>
    <x v="350"/>
    <x v="1"/>
    <x v="4"/>
    <x v="47"/>
    <x v="14"/>
    <x v="7"/>
    <n v="52.1"/>
    <x v="2"/>
  </r>
  <r>
    <x v="30"/>
    <x v="1"/>
    <x v="350"/>
    <x v="1"/>
    <x v="4"/>
    <x v="47"/>
    <x v="14"/>
    <x v="8"/>
    <n v="0"/>
    <x v="2"/>
  </r>
  <r>
    <x v="30"/>
    <x v="1"/>
    <x v="350"/>
    <x v="1"/>
    <x v="4"/>
    <x v="47"/>
    <x v="14"/>
    <x v="9"/>
    <n v="0"/>
    <x v="2"/>
  </r>
  <r>
    <x v="30"/>
    <x v="1"/>
    <x v="350"/>
    <x v="1"/>
    <x v="4"/>
    <x v="47"/>
    <x v="14"/>
    <x v="10"/>
    <n v="0"/>
    <x v="2"/>
  </r>
  <r>
    <x v="30"/>
    <x v="1"/>
    <x v="350"/>
    <x v="1"/>
    <x v="4"/>
    <x v="47"/>
    <x v="14"/>
    <x v="12"/>
    <n v="0"/>
    <x v="2"/>
  </r>
  <r>
    <x v="30"/>
    <x v="1"/>
    <x v="351"/>
    <x v="0"/>
    <x v="4"/>
    <x v="47"/>
    <x v="21"/>
    <x v="0"/>
    <n v="0"/>
    <x v="2"/>
  </r>
  <r>
    <x v="30"/>
    <x v="1"/>
    <x v="351"/>
    <x v="0"/>
    <x v="4"/>
    <x v="47"/>
    <x v="21"/>
    <x v="1"/>
    <n v="0"/>
    <x v="2"/>
  </r>
  <r>
    <x v="30"/>
    <x v="1"/>
    <x v="351"/>
    <x v="0"/>
    <x v="4"/>
    <x v="47"/>
    <x v="21"/>
    <x v="2"/>
    <n v="91.74"/>
    <x v="2"/>
  </r>
  <r>
    <x v="30"/>
    <x v="1"/>
    <x v="351"/>
    <x v="0"/>
    <x v="4"/>
    <x v="47"/>
    <x v="21"/>
    <x v="3"/>
    <n v="0"/>
    <x v="2"/>
  </r>
  <r>
    <x v="30"/>
    <x v="1"/>
    <x v="351"/>
    <x v="0"/>
    <x v="4"/>
    <x v="47"/>
    <x v="21"/>
    <x v="4"/>
    <n v="0"/>
    <x v="2"/>
  </r>
  <r>
    <x v="30"/>
    <x v="1"/>
    <x v="351"/>
    <x v="0"/>
    <x v="4"/>
    <x v="47"/>
    <x v="21"/>
    <x v="5"/>
    <n v="0"/>
    <x v="2"/>
  </r>
  <r>
    <x v="30"/>
    <x v="1"/>
    <x v="351"/>
    <x v="0"/>
    <x v="4"/>
    <x v="47"/>
    <x v="21"/>
    <x v="6"/>
    <n v="0"/>
    <x v="2"/>
  </r>
  <r>
    <x v="30"/>
    <x v="1"/>
    <x v="351"/>
    <x v="0"/>
    <x v="4"/>
    <x v="47"/>
    <x v="21"/>
    <x v="7"/>
    <n v="0"/>
    <x v="2"/>
  </r>
  <r>
    <x v="30"/>
    <x v="1"/>
    <x v="351"/>
    <x v="0"/>
    <x v="4"/>
    <x v="47"/>
    <x v="21"/>
    <x v="8"/>
    <n v="0"/>
    <x v="2"/>
  </r>
  <r>
    <x v="30"/>
    <x v="1"/>
    <x v="351"/>
    <x v="0"/>
    <x v="4"/>
    <x v="47"/>
    <x v="21"/>
    <x v="9"/>
    <n v="0"/>
    <x v="2"/>
  </r>
  <r>
    <x v="30"/>
    <x v="1"/>
    <x v="351"/>
    <x v="0"/>
    <x v="4"/>
    <x v="47"/>
    <x v="21"/>
    <x v="10"/>
    <n v="0"/>
    <x v="2"/>
  </r>
  <r>
    <x v="30"/>
    <x v="1"/>
    <x v="351"/>
    <x v="0"/>
    <x v="4"/>
    <x v="47"/>
    <x v="21"/>
    <x v="12"/>
    <n v="0"/>
    <x v="2"/>
  </r>
  <r>
    <x v="30"/>
    <x v="1"/>
    <x v="352"/>
    <x v="1"/>
    <x v="4"/>
    <x v="47"/>
    <x v="14"/>
    <x v="0"/>
    <n v="0"/>
    <x v="2"/>
  </r>
  <r>
    <x v="30"/>
    <x v="1"/>
    <x v="352"/>
    <x v="1"/>
    <x v="4"/>
    <x v="47"/>
    <x v="14"/>
    <x v="1"/>
    <n v="0"/>
    <x v="2"/>
  </r>
  <r>
    <x v="30"/>
    <x v="1"/>
    <x v="352"/>
    <x v="1"/>
    <x v="4"/>
    <x v="47"/>
    <x v="14"/>
    <x v="2"/>
    <n v="0"/>
    <x v="2"/>
  </r>
  <r>
    <x v="30"/>
    <x v="1"/>
    <x v="352"/>
    <x v="1"/>
    <x v="4"/>
    <x v="47"/>
    <x v="14"/>
    <x v="3"/>
    <n v="0"/>
    <x v="2"/>
  </r>
  <r>
    <x v="30"/>
    <x v="1"/>
    <x v="352"/>
    <x v="1"/>
    <x v="4"/>
    <x v="47"/>
    <x v="14"/>
    <x v="4"/>
    <n v="0"/>
    <x v="2"/>
  </r>
  <r>
    <x v="30"/>
    <x v="1"/>
    <x v="352"/>
    <x v="1"/>
    <x v="4"/>
    <x v="47"/>
    <x v="14"/>
    <x v="5"/>
    <n v="0"/>
    <x v="2"/>
  </r>
  <r>
    <x v="30"/>
    <x v="1"/>
    <x v="352"/>
    <x v="1"/>
    <x v="4"/>
    <x v="47"/>
    <x v="14"/>
    <x v="6"/>
    <n v="0"/>
    <x v="2"/>
  </r>
  <r>
    <x v="30"/>
    <x v="1"/>
    <x v="352"/>
    <x v="1"/>
    <x v="4"/>
    <x v="47"/>
    <x v="14"/>
    <x v="7"/>
    <n v="0"/>
    <x v="2"/>
  </r>
  <r>
    <x v="30"/>
    <x v="1"/>
    <x v="352"/>
    <x v="1"/>
    <x v="4"/>
    <x v="47"/>
    <x v="14"/>
    <x v="8"/>
    <n v="0"/>
    <x v="2"/>
  </r>
  <r>
    <x v="30"/>
    <x v="1"/>
    <x v="352"/>
    <x v="1"/>
    <x v="4"/>
    <x v="47"/>
    <x v="14"/>
    <x v="9"/>
    <n v="0"/>
    <x v="2"/>
  </r>
  <r>
    <x v="30"/>
    <x v="1"/>
    <x v="352"/>
    <x v="1"/>
    <x v="4"/>
    <x v="47"/>
    <x v="14"/>
    <x v="10"/>
    <n v="0"/>
    <x v="2"/>
  </r>
  <r>
    <x v="30"/>
    <x v="1"/>
    <x v="352"/>
    <x v="1"/>
    <x v="4"/>
    <x v="47"/>
    <x v="14"/>
    <x v="12"/>
    <n v="0"/>
    <x v="2"/>
  </r>
  <r>
    <x v="30"/>
    <x v="1"/>
    <x v="353"/>
    <x v="1"/>
    <x v="4"/>
    <x v="47"/>
    <x v="14"/>
    <x v="0"/>
    <n v="425.57"/>
    <x v="2"/>
  </r>
  <r>
    <x v="30"/>
    <x v="1"/>
    <x v="353"/>
    <x v="1"/>
    <x v="4"/>
    <x v="47"/>
    <x v="14"/>
    <x v="1"/>
    <n v="0"/>
    <x v="2"/>
  </r>
  <r>
    <x v="30"/>
    <x v="1"/>
    <x v="353"/>
    <x v="1"/>
    <x v="4"/>
    <x v="47"/>
    <x v="14"/>
    <x v="2"/>
    <n v="0"/>
    <x v="2"/>
  </r>
  <r>
    <x v="30"/>
    <x v="1"/>
    <x v="353"/>
    <x v="1"/>
    <x v="4"/>
    <x v="47"/>
    <x v="14"/>
    <x v="3"/>
    <n v="0"/>
    <x v="2"/>
  </r>
  <r>
    <x v="30"/>
    <x v="1"/>
    <x v="353"/>
    <x v="1"/>
    <x v="4"/>
    <x v="47"/>
    <x v="14"/>
    <x v="4"/>
    <n v="0"/>
    <x v="2"/>
  </r>
  <r>
    <x v="30"/>
    <x v="1"/>
    <x v="353"/>
    <x v="1"/>
    <x v="4"/>
    <x v="47"/>
    <x v="14"/>
    <x v="5"/>
    <n v="0"/>
    <x v="2"/>
  </r>
  <r>
    <x v="30"/>
    <x v="1"/>
    <x v="353"/>
    <x v="1"/>
    <x v="4"/>
    <x v="47"/>
    <x v="14"/>
    <x v="6"/>
    <n v="0"/>
    <x v="2"/>
  </r>
  <r>
    <x v="30"/>
    <x v="1"/>
    <x v="353"/>
    <x v="1"/>
    <x v="4"/>
    <x v="47"/>
    <x v="14"/>
    <x v="7"/>
    <n v="0"/>
    <x v="2"/>
  </r>
  <r>
    <x v="30"/>
    <x v="1"/>
    <x v="353"/>
    <x v="1"/>
    <x v="4"/>
    <x v="47"/>
    <x v="14"/>
    <x v="8"/>
    <n v="0"/>
    <x v="2"/>
  </r>
  <r>
    <x v="30"/>
    <x v="1"/>
    <x v="353"/>
    <x v="1"/>
    <x v="4"/>
    <x v="47"/>
    <x v="14"/>
    <x v="9"/>
    <n v="0"/>
    <x v="2"/>
  </r>
  <r>
    <x v="30"/>
    <x v="1"/>
    <x v="353"/>
    <x v="1"/>
    <x v="4"/>
    <x v="47"/>
    <x v="14"/>
    <x v="10"/>
    <n v="0"/>
    <x v="2"/>
  </r>
  <r>
    <x v="30"/>
    <x v="1"/>
    <x v="353"/>
    <x v="1"/>
    <x v="4"/>
    <x v="47"/>
    <x v="14"/>
    <x v="12"/>
    <n v="0"/>
    <x v="2"/>
  </r>
  <r>
    <x v="30"/>
    <x v="1"/>
    <x v="354"/>
    <x v="1"/>
    <x v="4"/>
    <x v="47"/>
    <x v="14"/>
    <x v="0"/>
    <n v="0"/>
    <x v="2"/>
  </r>
  <r>
    <x v="30"/>
    <x v="1"/>
    <x v="354"/>
    <x v="1"/>
    <x v="4"/>
    <x v="47"/>
    <x v="14"/>
    <x v="1"/>
    <n v="0"/>
    <x v="2"/>
  </r>
  <r>
    <x v="30"/>
    <x v="1"/>
    <x v="354"/>
    <x v="1"/>
    <x v="4"/>
    <x v="47"/>
    <x v="14"/>
    <x v="2"/>
    <n v="0"/>
    <x v="2"/>
  </r>
  <r>
    <x v="30"/>
    <x v="1"/>
    <x v="354"/>
    <x v="1"/>
    <x v="4"/>
    <x v="47"/>
    <x v="14"/>
    <x v="3"/>
    <n v="0"/>
    <x v="2"/>
  </r>
  <r>
    <x v="30"/>
    <x v="1"/>
    <x v="354"/>
    <x v="1"/>
    <x v="4"/>
    <x v="47"/>
    <x v="14"/>
    <x v="4"/>
    <n v="0"/>
    <x v="2"/>
  </r>
  <r>
    <x v="30"/>
    <x v="1"/>
    <x v="354"/>
    <x v="1"/>
    <x v="4"/>
    <x v="47"/>
    <x v="14"/>
    <x v="5"/>
    <n v="0"/>
    <x v="2"/>
  </r>
  <r>
    <x v="30"/>
    <x v="1"/>
    <x v="354"/>
    <x v="1"/>
    <x v="4"/>
    <x v="47"/>
    <x v="14"/>
    <x v="6"/>
    <n v="0"/>
    <x v="2"/>
  </r>
  <r>
    <x v="30"/>
    <x v="1"/>
    <x v="354"/>
    <x v="1"/>
    <x v="4"/>
    <x v="47"/>
    <x v="14"/>
    <x v="7"/>
    <n v="0"/>
    <x v="2"/>
  </r>
  <r>
    <x v="30"/>
    <x v="1"/>
    <x v="354"/>
    <x v="1"/>
    <x v="4"/>
    <x v="47"/>
    <x v="14"/>
    <x v="8"/>
    <n v="0"/>
    <x v="2"/>
  </r>
  <r>
    <x v="30"/>
    <x v="1"/>
    <x v="354"/>
    <x v="1"/>
    <x v="4"/>
    <x v="47"/>
    <x v="14"/>
    <x v="9"/>
    <n v="0"/>
    <x v="2"/>
  </r>
  <r>
    <x v="30"/>
    <x v="1"/>
    <x v="354"/>
    <x v="1"/>
    <x v="4"/>
    <x v="47"/>
    <x v="14"/>
    <x v="10"/>
    <n v="0"/>
    <x v="2"/>
  </r>
  <r>
    <x v="30"/>
    <x v="1"/>
    <x v="354"/>
    <x v="1"/>
    <x v="4"/>
    <x v="47"/>
    <x v="14"/>
    <x v="12"/>
    <n v="0"/>
    <x v="2"/>
  </r>
  <r>
    <x v="30"/>
    <x v="1"/>
    <x v="359"/>
    <x v="0"/>
    <x v="4"/>
    <x v="47"/>
    <x v="13"/>
    <x v="0"/>
    <n v="0"/>
    <x v="2"/>
  </r>
  <r>
    <x v="30"/>
    <x v="1"/>
    <x v="359"/>
    <x v="0"/>
    <x v="4"/>
    <x v="47"/>
    <x v="13"/>
    <x v="1"/>
    <n v="0"/>
    <x v="2"/>
  </r>
  <r>
    <x v="30"/>
    <x v="1"/>
    <x v="359"/>
    <x v="0"/>
    <x v="4"/>
    <x v="47"/>
    <x v="13"/>
    <x v="2"/>
    <n v="0"/>
    <x v="2"/>
  </r>
  <r>
    <x v="30"/>
    <x v="1"/>
    <x v="359"/>
    <x v="0"/>
    <x v="4"/>
    <x v="47"/>
    <x v="13"/>
    <x v="3"/>
    <n v="0"/>
    <x v="2"/>
  </r>
  <r>
    <x v="30"/>
    <x v="1"/>
    <x v="359"/>
    <x v="0"/>
    <x v="4"/>
    <x v="47"/>
    <x v="13"/>
    <x v="4"/>
    <n v="189.33"/>
    <x v="2"/>
  </r>
  <r>
    <x v="30"/>
    <x v="1"/>
    <x v="359"/>
    <x v="0"/>
    <x v="4"/>
    <x v="47"/>
    <x v="13"/>
    <x v="5"/>
    <n v="0"/>
    <x v="2"/>
  </r>
  <r>
    <x v="30"/>
    <x v="1"/>
    <x v="359"/>
    <x v="0"/>
    <x v="4"/>
    <x v="47"/>
    <x v="13"/>
    <x v="6"/>
    <n v="0"/>
    <x v="2"/>
  </r>
  <r>
    <x v="30"/>
    <x v="1"/>
    <x v="359"/>
    <x v="0"/>
    <x v="4"/>
    <x v="47"/>
    <x v="13"/>
    <x v="7"/>
    <n v="1235.79"/>
    <x v="2"/>
  </r>
  <r>
    <x v="30"/>
    <x v="1"/>
    <x v="359"/>
    <x v="0"/>
    <x v="4"/>
    <x v="47"/>
    <x v="13"/>
    <x v="8"/>
    <n v="0"/>
    <x v="2"/>
  </r>
  <r>
    <x v="30"/>
    <x v="1"/>
    <x v="359"/>
    <x v="0"/>
    <x v="4"/>
    <x v="47"/>
    <x v="13"/>
    <x v="9"/>
    <n v="0"/>
    <x v="2"/>
  </r>
  <r>
    <x v="30"/>
    <x v="1"/>
    <x v="359"/>
    <x v="0"/>
    <x v="4"/>
    <x v="47"/>
    <x v="13"/>
    <x v="10"/>
    <n v="0"/>
    <x v="2"/>
  </r>
  <r>
    <x v="30"/>
    <x v="1"/>
    <x v="359"/>
    <x v="0"/>
    <x v="4"/>
    <x v="47"/>
    <x v="13"/>
    <x v="12"/>
    <n v="0"/>
    <x v="2"/>
  </r>
  <r>
    <x v="30"/>
    <x v="1"/>
    <x v="343"/>
    <x v="0"/>
    <x v="4"/>
    <x v="42"/>
    <x v="20"/>
    <x v="0"/>
    <n v="350.74"/>
    <x v="2"/>
  </r>
  <r>
    <x v="30"/>
    <x v="1"/>
    <x v="343"/>
    <x v="0"/>
    <x v="4"/>
    <x v="42"/>
    <x v="20"/>
    <x v="1"/>
    <n v="0"/>
    <x v="2"/>
  </r>
  <r>
    <x v="30"/>
    <x v="1"/>
    <x v="343"/>
    <x v="0"/>
    <x v="4"/>
    <x v="42"/>
    <x v="20"/>
    <x v="2"/>
    <n v="0"/>
    <x v="2"/>
  </r>
  <r>
    <x v="30"/>
    <x v="1"/>
    <x v="343"/>
    <x v="0"/>
    <x v="4"/>
    <x v="42"/>
    <x v="20"/>
    <x v="3"/>
    <n v="0"/>
    <x v="2"/>
  </r>
  <r>
    <x v="30"/>
    <x v="1"/>
    <x v="343"/>
    <x v="0"/>
    <x v="4"/>
    <x v="42"/>
    <x v="20"/>
    <x v="4"/>
    <n v="0"/>
    <x v="2"/>
  </r>
  <r>
    <x v="30"/>
    <x v="1"/>
    <x v="343"/>
    <x v="0"/>
    <x v="4"/>
    <x v="42"/>
    <x v="20"/>
    <x v="5"/>
    <n v="0"/>
    <x v="2"/>
  </r>
  <r>
    <x v="30"/>
    <x v="1"/>
    <x v="343"/>
    <x v="0"/>
    <x v="4"/>
    <x v="42"/>
    <x v="20"/>
    <x v="6"/>
    <n v="0"/>
    <x v="2"/>
  </r>
  <r>
    <x v="30"/>
    <x v="1"/>
    <x v="343"/>
    <x v="0"/>
    <x v="4"/>
    <x v="42"/>
    <x v="20"/>
    <x v="7"/>
    <n v="0"/>
    <x v="2"/>
  </r>
  <r>
    <x v="30"/>
    <x v="1"/>
    <x v="343"/>
    <x v="0"/>
    <x v="4"/>
    <x v="42"/>
    <x v="20"/>
    <x v="8"/>
    <n v="0"/>
    <x v="2"/>
  </r>
  <r>
    <x v="30"/>
    <x v="1"/>
    <x v="343"/>
    <x v="0"/>
    <x v="4"/>
    <x v="42"/>
    <x v="20"/>
    <x v="9"/>
    <n v="0"/>
    <x v="2"/>
  </r>
  <r>
    <x v="30"/>
    <x v="1"/>
    <x v="343"/>
    <x v="0"/>
    <x v="4"/>
    <x v="42"/>
    <x v="20"/>
    <x v="10"/>
    <n v="0"/>
    <x v="2"/>
  </r>
  <r>
    <x v="30"/>
    <x v="1"/>
    <x v="343"/>
    <x v="0"/>
    <x v="4"/>
    <x v="42"/>
    <x v="20"/>
    <x v="12"/>
    <n v="0"/>
    <x v="2"/>
  </r>
  <r>
    <x v="30"/>
    <x v="1"/>
    <x v="344"/>
    <x v="1"/>
    <x v="4"/>
    <x v="42"/>
    <x v="14"/>
    <x v="0"/>
    <n v="0"/>
    <x v="2"/>
  </r>
  <r>
    <x v="30"/>
    <x v="1"/>
    <x v="344"/>
    <x v="1"/>
    <x v="4"/>
    <x v="42"/>
    <x v="14"/>
    <x v="1"/>
    <n v="0"/>
    <x v="2"/>
  </r>
  <r>
    <x v="30"/>
    <x v="1"/>
    <x v="344"/>
    <x v="1"/>
    <x v="4"/>
    <x v="42"/>
    <x v="14"/>
    <x v="2"/>
    <n v="0"/>
    <x v="2"/>
  </r>
  <r>
    <x v="30"/>
    <x v="1"/>
    <x v="344"/>
    <x v="1"/>
    <x v="4"/>
    <x v="42"/>
    <x v="14"/>
    <x v="3"/>
    <n v="0"/>
    <x v="2"/>
  </r>
  <r>
    <x v="30"/>
    <x v="1"/>
    <x v="344"/>
    <x v="1"/>
    <x v="4"/>
    <x v="42"/>
    <x v="14"/>
    <x v="4"/>
    <n v="0"/>
    <x v="2"/>
  </r>
  <r>
    <x v="30"/>
    <x v="1"/>
    <x v="344"/>
    <x v="1"/>
    <x v="4"/>
    <x v="42"/>
    <x v="14"/>
    <x v="5"/>
    <n v="0"/>
    <x v="2"/>
  </r>
  <r>
    <x v="30"/>
    <x v="1"/>
    <x v="344"/>
    <x v="1"/>
    <x v="4"/>
    <x v="42"/>
    <x v="14"/>
    <x v="6"/>
    <n v="0"/>
    <x v="2"/>
  </r>
  <r>
    <x v="30"/>
    <x v="1"/>
    <x v="344"/>
    <x v="1"/>
    <x v="4"/>
    <x v="42"/>
    <x v="14"/>
    <x v="7"/>
    <n v="0"/>
    <x v="2"/>
  </r>
  <r>
    <x v="30"/>
    <x v="1"/>
    <x v="344"/>
    <x v="1"/>
    <x v="4"/>
    <x v="42"/>
    <x v="14"/>
    <x v="8"/>
    <n v="0"/>
    <x v="2"/>
  </r>
  <r>
    <x v="30"/>
    <x v="1"/>
    <x v="344"/>
    <x v="1"/>
    <x v="4"/>
    <x v="42"/>
    <x v="14"/>
    <x v="9"/>
    <n v="0"/>
    <x v="2"/>
  </r>
  <r>
    <x v="30"/>
    <x v="1"/>
    <x v="344"/>
    <x v="1"/>
    <x v="4"/>
    <x v="42"/>
    <x v="14"/>
    <x v="10"/>
    <n v="0"/>
    <x v="2"/>
  </r>
  <r>
    <x v="30"/>
    <x v="1"/>
    <x v="344"/>
    <x v="1"/>
    <x v="4"/>
    <x v="42"/>
    <x v="14"/>
    <x v="12"/>
    <n v="0"/>
    <x v="2"/>
  </r>
  <r>
    <x v="30"/>
    <x v="1"/>
    <x v="345"/>
    <x v="0"/>
    <x v="4"/>
    <x v="42"/>
    <x v="21"/>
    <x v="0"/>
    <n v="0"/>
    <x v="2"/>
  </r>
  <r>
    <x v="30"/>
    <x v="1"/>
    <x v="345"/>
    <x v="0"/>
    <x v="4"/>
    <x v="42"/>
    <x v="21"/>
    <x v="1"/>
    <n v="0"/>
    <x v="2"/>
  </r>
  <r>
    <x v="30"/>
    <x v="1"/>
    <x v="345"/>
    <x v="0"/>
    <x v="4"/>
    <x v="42"/>
    <x v="21"/>
    <x v="2"/>
    <n v="0"/>
    <x v="2"/>
  </r>
  <r>
    <x v="30"/>
    <x v="1"/>
    <x v="345"/>
    <x v="0"/>
    <x v="4"/>
    <x v="42"/>
    <x v="21"/>
    <x v="3"/>
    <n v="0"/>
    <x v="2"/>
  </r>
  <r>
    <x v="30"/>
    <x v="1"/>
    <x v="345"/>
    <x v="0"/>
    <x v="4"/>
    <x v="42"/>
    <x v="21"/>
    <x v="4"/>
    <n v="0"/>
    <x v="2"/>
  </r>
  <r>
    <x v="30"/>
    <x v="1"/>
    <x v="345"/>
    <x v="0"/>
    <x v="4"/>
    <x v="42"/>
    <x v="21"/>
    <x v="5"/>
    <n v="0"/>
    <x v="2"/>
  </r>
  <r>
    <x v="30"/>
    <x v="1"/>
    <x v="345"/>
    <x v="0"/>
    <x v="4"/>
    <x v="42"/>
    <x v="21"/>
    <x v="6"/>
    <n v="0"/>
    <x v="2"/>
  </r>
  <r>
    <x v="30"/>
    <x v="1"/>
    <x v="345"/>
    <x v="0"/>
    <x v="4"/>
    <x v="42"/>
    <x v="21"/>
    <x v="7"/>
    <n v="0"/>
    <x v="2"/>
  </r>
  <r>
    <x v="30"/>
    <x v="1"/>
    <x v="345"/>
    <x v="0"/>
    <x v="4"/>
    <x v="42"/>
    <x v="21"/>
    <x v="8"/>
    <n v="0"/>
    <x v="2"/>
  </r>
  <r>
    <x v="30"/>
    <x v="1"/>
    <x v="345"/>
    <x v="0"/>
    <x v="4"/>
    <x v="42"/>
    <x v="21"/>
    <x v="9"/>
    <n v="0"/>
    <x v="2"/>
  </r>
  <r>
    <x v="30"/>
    <x v="1"/>
    <x v="345"/>
    <x v="0"/>
    <x v="4"/>
    <x v="42"/>
    <x v="21"/>
    <x v="10"/>
    <n v="0"/>
    <x v="2"/>
  </r>
  <r>
    <x v="30"/>
    <x v="1"/>
    <x v="345"/>
    <x v="0"/>
    <x v="4"/>
    <x v="42"/>
    <x v="21"/>
    <x v="12"/>
    <n v="0"/>
    <x v="2"/>
  </r>
  <r>
    <x v="30"/>
    <x v="1"/>
    <x v="346"/>
    <x v="1"/>
    <x v="4"/>
    <x v="42"/>
    <x v="14"/>
    <x v="0"/>
    <n v="30.36"/>
    <x v="2"/>
  </r>
  <r>
    <x v="30"/>
    <x v="1"/>
    <x v="346"/>
    <x v="1"/>
    <x v="4"/>
    <x v="42"/>
    <x v="14"/>
    <x v="1"/>
    <n v="0"/>
    <x v="2"/>
  </r>
  <r>
    <x v="30"/>
    <x v="1"/>
    <x v="346"/>
    <x v="1"/>
    <x v="4"/>
    <x v="42"/>
    <x v="14"/>
    <x v="2"/>
    <n v="0"/>
    <x v="2"/>
  </r>
  <r>
    <x v="30"/>
    <x v="1"/>
    <x v="346"/>
    <x v="1"/>
    <x v="4"/>
    <x v="42"/>
    <x v="14"/>
    <x v="3"/>
    <n v="0"/>
    <x v="2"/>
  </r>
  <r>
    <x v="30"/>
    <x v="1"/>
    <x v="346"/>
    <x v="1"/>
    <x v="4"/>
    <x v="42"/>
    <x v="14"/>
    <x v="4"/>
    <n v="0"/>
    <x v="2"/>
  </r>
  <r>
    <x v="30"/>
    <x v="1"/>
    <x v="346"/>
    <x v="1"/>
    <x v="4"/>
    <x v="42"/>
    <x v="14"/>
    <x v="5"/>
    <n v="0"/>
    <x v="2"/>
  </r>
  <r>
    <x v="30"/>
    <x v="1"/>
    <x v="346"/>
    <x v="1"/>
    <x v="4"/>
    <x v="42"/>
    <x v="14"/>
    <x v="6"/>
    <n v="0"/>
    <x v="2"/>
  </r>
  <r>
    <x v="30"/>
    <x v="1"/>
    <x v="346"/>
    <x v="1"/>
    <x v="4"/>
    <x v="42"/>
    <x v="14"/>
    <x v="7"/>
    <n v="0"/>
    <x v="2"/>
  </r>
  <r>
    <x v="30"/>
    <x v="1"/>
    <x v="346"/>
    <x v="1"/>
    <x v="4"/>
    <x v="42"/>
    <x v="14"/>
    <x v="8"/>
    <n v="0"/>
    <x v="2"/>
  </r>
  <r>
    <x v="30"/>
    <x v="1"/>
    <x v="346"/>
    <x v="1"/>
    <x v="4"/>
    <x v="42"/>
    <x v="14"/>
    <x v="9"/>
    <n v="500"/>
    <x v="2"/>
  </r>
  <r>
    <x v="30"/>
    <x v="1"/>
    <x v="346"/>
    <x v="1"/>
    <x v="4"/>
    <x v="42"/>
    <x v="14"/>
    <x v="10"/>
    <n v="500"/>
    <x v="2"/>
  </r>
  <r>
    <x v="30"/>
    <x v="1"/>
    <x v="346"/>
    <x v="1"/>
    <x v="4"/>
    <x v="42"/>
    <x v="14"/>
    <x v="12"/>
    <n v="500"/>
    <x v="2"/>
  </r>
  <r>
    <x v="30"/>
    <x v="1"/>
    <x v="347"/>
    <x v="1"/>
    <x v="4"/>
    <x v="42"/>
    <x v="14"/>
    <x v="0"/>
    <n v="537.14"/>
    <x v="2"/>
  </r>
  <r>
    <x v="30"/>
    <x v="1"/>
    <x v="347"/>
    <x v="1"/>
    <x v="4"/>
    <x v="42"/>
    <x v="14"/>
    <x v="1"/>
    <n v="0"/>
    <x v="2"/>
  </r>
  <r>
    <x v="30"/>
    <x v="1"/>
    <x v="347"/>
    <x v="1"/>
    <x v="4"/>
    <x v="42"/>
    <x v="14"/>
    <x v="2"/>
    <n v="0"/>
    <x v="2"/>
  </r>
  <r>
    <x v="30"/>
    <x v="1"/>
    <x v="347"/>
    <x v="1"/>
    <x v="4"/>
    <x v="42"/>
    <x v="14"/>
    <x v="3"/>
    <n v="0"/>
    <x v="2"/>
  </r>
  <r>
    <x v="30"/>
    <x v="1"/>
    <x v="347"/>
    <x v="1"/>
    <x v="4"/>
    <x v="42"/>
    <x v="14"/>
    <x v="4"/>
    <n v="0"/>
    <x v="2"/>
  </r>
  <r>
    <x v="30"/>
    <x v="1"/>
    <x v="347"/>
    <x v="1"/>
    <x v="4"/>
    <x v="42"/>
    <x v="14"/>
    <x v="5"/>
    <n v="0"/>
    <x v="2"/>
  </r>
  <r>
    <x v="30"/>
    <x v="1"/>
    <x v="347"/>
    <x v="1"/>
    <x v="4"/>
    <x v="42"/>
    <x v="14"/>
    <x v="6"/>
    <n v="60"/>
    <x v="2"/>
  </r>
  <r>
    <x v="30"/>
    <x v="1"/>
    <x v="347"/>
    <x v="1"/>
    <x v="4"/>
    <x v="42"/>
    <x v="14"/>
    <x v="7"/>
    <n v="0"/>
    <x v="2"/>
  </r>
  <r>
    <x v="30"/>
    <x v="1"/>
    <x v="347"/>
    <x v="1"/>
    <x v="4"/>
    <x v="42"/>
    <x v="14"/>
    <x v="8"/>
    <n v="0"/>
    <x v="2"/>
  </r>
  <r>
    <x v="30"/>
    <x v="1"/>
    <x v="347"/>
    <x v="1"/>
    <x v="4"/>
    <x v="42"/>
    <x v="14"/>
    <x v="9"/>
    <n v="0"/>
    <x v="2"/>
  </r>
  <r>
    <x v="30"/>
    <x v="1"/>
    <x v="347"/>
    <x v="1"/>
    <x v="4"/>
    <x v="42"/>
    <x v="14"/>
    <x v="10"/>
    <n v="0"/>
    <x v="2"/>
  </r>
  <r>
    <x v="30"/>
    <x v="1"/>
    <x v="347"/>
    <x v="1"/>
    <x v="4"/>
    <x v="42"/>
    <x v="14"/>
    <x v="12"/>
    <n v="0"/>
    <x v="2"/>
  </r>
  <r>
    <x v="30"/>
    <x v="1"/>
    <x v="348"/>
    <x v="1"/>
    <x v="4"/>
    <x v="42"/>
    <x v="14"/>
    <x v="0"/>
    <n v="0"/>
    <x v="2"/>
  </r>
  <r>
    <x v="30"/>
    <x v="1"/>
    <x v="348"/>
    <x v="1"/>
    <x v="4"/>
    <x v="42"/>
    <x v="14"/>
    <x v="1"/>
    <n v="0"/>
    <x v="2"/>
  </r>
  <r>
    <x v="30"/>
    <x v="1"/>
    <x v="348"/>
    <x v="1"/>
    <x v="4"/>
    <x v="42"/>
    <x v="14"/>
    <x v="2"/>
    <n v="0"/>
    <x v="2"/>
  </r>
  <r>
    <x v="30"/>
    <x v="1"/>
    <x v="348"/>
    <x v="1"/>
    <x v="4"/>
    <x v="42"/>
    <x v="14"/>
    <x v="3"/>
    <n v="0"/>
    <x v="2"/>
  </r>
  <r>
    <x v="30"/>
    <x v="1"/>
    <x v="348"/>
    <x v="1"/>
    <x v="4"/>
    <x v="42"/>
    <x v="14"/>
    <x v="4"/>
    <n v="0"/>
    <x v="2"/>
  </r>
  <r>
    <x v="30"/>
    <x v="1"/>
    <x v="348"/>
    <x v="1"/>
    <x v="4"/>
    <x v="42"/>
    <x v="14"/>
    <x v="5"/>
    <n v="0"/>
    <x v="2"/>
  </r>
  <r>
    <x v="30"/>
    <x v="1"/>
    <x v="348"/>
    <x v="1"/>
    <x v="4"/>
    <x v="42"/>
    <x v="14"/>
    <x v="6"/>
    <n v="0"/>
    <x v="2"/>
  </r>
  <r>
    <x v="30"/>
    <x v="1"/>
    <x v="348"/>
    <x v="1"/>
    <x v="4"/>
    <x v="42"/>
    <x v="14"/>
    <x v="7"/>
    <n v="0"/>
    <x v="2"/>
  </r>
  <r>
    <x v="30"/>
    <x v="1"/>
    <x v="348"/>
    <x v="1"/>
    <x v="4"/>
    <x v="42"/>
    <x v="14"/>
    <x v="8"/>
    <n v="0"/>
    <x v="2"/>
  </r>
  <r>
    <x v="30"/>
    <x v="1"/>
    <x v="348"/>
    <x v="1"/>
    <x v="4"/>
    <x v="42"/>
    <x v="14"/>
    <x v="9"/>
    <n v="0"/>
    <x v="2"/>
  </r>
  <r>
    <x v="30"/>
    <x v="1"/>
    <x v="348"/>
    <x v="1"/>
    <x v="4"/>
    <x v="42"/>
    <x v="14"/>
    <x v="10"/>
    <n v="0"/>
    <x v="2"/>
  </r>
  <r>
    <x v="30"/>
    <x v="1"/>
    <x v="348"/>
    <x v="1"/>
    <x v="4"/>
    <x v="42"/>
    <x v="14"/>
    <x v="12"/>
    <n v="0"/>
    <x v="2"/>
  </r>
  <r>
    <x v="30"/>
    <x v="1"/>
    <x v="365"/>
    <x v="1"/>
    <x v="4"/>
    <x v="42"/>
    <x v="14"/>
    <x v="0"/>
    <n v="0"/>
    <x v="2"/>
  </r>
  <r>
    <x v="30"/>
    <x v="1"/>
    <x v="365"/>
    <x v="1"/>
    <x v="4"/>
    <x v="42"/>
    <x v="14"/>
    <x v="1"/>
    <n v="0"/>
    <x v="2"/>
  </r>
  <r>
    <x v="30"/>
    <x v="1"/>
    <x v="365"/>
    <x v="1"/>
    <x v="4"/>
    <x v="42"/>
    <x v="14"/>
    <x v="2"/>
    <n v="0"/>
    <x v="2"/>
  </r>
  <r>
    <x v="30"/>
    <x v="1"/>
    <x v="365"/>
    <x v="1"/>
    <x v="4"/>
    <x v="42"/>
    <x v="14"/>
    <x v="3"/>
    <n v="0"/>
    <x v="2"/>
  </r>
  <r>
    <x v="30"/>
    <x v="1"/>
    <x v="365"/>
    <x v="1"/>
    <x v="4"/>
    <x v="42"/>
    <x v="14"/>
    <x v="4"/>
    <n v="0"/>
    <x v="2"/>
  </r>
  <r>
    <x v="30"/>
    <x v="1"/>
    <x v="365"/>
    <x v="1"/>
    <x v="4"/>
    <x v="42"/>
    <x v="14"/>
    <x v="5"/>
    <n v="0"/>
    <x v="2"/>
  </r>
  <r>
    <x v="30"/>
    <x v="1"/>
    <x v="365"/>
    <x v="1"/>
    <x v="4"/>
    <x v="42"/>
    <x v="14"/>
    <x v="6"/>
    <n v="0"/>
    <x v="2"/>
  </r>
  <r>
    <x v="30"/>
    <x v="1"/>
    <x v="365"/>
    <x v="1"/>
    <x v="4"/>
    <x v="42"/>
    <x v="14"/>
    <x v="7"/>
    <n v="0"/>
    <x v="2"/>
  </r>
  <r>
    <x v="30"/>
    <x v="1"/>
    <x v="365"/>
    <x v="1"/>
    <x v="4"/>
    <x v="42"/>
    <x v="14"/>
    <x v="8"/>
    <n v="616"/>
    <x v="2"/>
  </r>
  <r>
    <x v="30"/>
    <x v="1"/>
    <x v="365"/>
    <x v="1"/>
    <x v="4"/>
    <x v="42"/>
    <x v="14"/>
    <x v="9"/>
    <n v="0"/>
    <x v="2"/>
  </r>
  <r>
    <x v="30"/>
    <x v="1"/>
    <x v="365"/>
    <x v="1"/>
    <x v="4"/>
    <x v="42"/>
    <x v="14"/>
    <x v="10"/>
    <n v="0"/>
    <x v="2"/>
  </r>
  <r>
    <x v="30"/>
    <x v="1"/>
    <x v="365"/>
    <x v="1"/>
    <x v="4"/>
    <x v="42"/>
    <x v="14"/>
    <x v="12"/>
    <n v="0"/>
    <x v="2"/>
  </r>
  <r>
    <x v="30"/>
    <x v="1"/>
    <x v="349"/>
    <x v="0"/>
    <x v="4"/>
    <x v="42"/>
    <x v="20"/>
    <x v="0"/>
    <n v="62.8"/>
    <x v="2"/>
  </r>
  <r>
    <x v="30"/>
    <x v="1"/>
    <x v="349"/>
    <x v="0"/>
    <x v="4"/>
    <x v="42"/>
    <x v="20"/>
    <x v="1"/>
    <n v="0"/>
    <x v="2"/>
  </r>
  <r>
    <x v="30"/>
    <x v="1"/>
    <x v="349"/>
    <x v="0"/>
    <x v="4"/>
    <x v="42"/>
    <x v="20"/>
    <x v="2"/>
    <n v="0"/>
    <x v="2"/>
  </r>
  <r>
    <x v="30"/>
    <x v="1"/>
    <x v="349"/>
    <x v="0"/>
    <x v="4"/>
    <x v="42"/>
    <x v="20"/>
    <x v="3"/>
    <n v="0"/>
    <x v="2"/>
  </r>
  <r>
    <x v="30"/>
    <x v="1"/>
    <x v="349"/>
    <x v="0"/>
    <x v="4"/>
    <x v="42"/>
    <x v="20"/>
    <x v="4"/>
    <n v="0"/>
    <x v="2"/>
  </r>
  <r>
    <x v="30"/>
    <x v="1"/>
    <x v="349"/>
    <x v="0"/>
    <x v="4"/>
    <x v="42"/>
    <x v="20"/>
    <x v="5"/>
    <n v="0"/>
    <x v="2"/>
  </r>
  <r>
    <x v="30"/>
    <x v="1"/>
    <x v="349"/>
    <x v="0"/>
    <x v="4"/>
    <x v="42"/>
    <x v="20"/>
    <x v="6"/>
    <n v="0"/>
    <x v="2"/>
  </r>
  <r>
    <x v="30"/>
    <x v="1"/>
    <x v="349"/>
    <x v="0"/>
    <x v="4"/>
    <x v="42"/>
    <x v="20"/>
    <x v="7"/>
    <n v="0"/>
    <x v="2"/>
  </r>
  <r>
    <x v="30"/>
    <x v="1"/>
    <x v="349"/>
    <x v="0"/>
    <x v="4"/>
    <x v="42"/>
    <x v="20"/>
    <x v="8"/>
    <n v="2141"/>
    <x v="2"/>
  </r>
  <r>
    <x v="30"/>
    <x v="1"/>
    <x v="349"/>
    <x v="0"/>
    <x v="4"/>
    <x v="42"/>
    <x v="20"/>
    <x v="9"/>
    <n v="0"/>
    <x v="2"/>
  </r>
  <r>
    <x v="30"/>
    <x v="1"/>
    <x v="349"/>
    <x v="0"/>
    <x v="4"/>
    <x v="42"/>
    <x v="20"/>
    <x v="10"/>
    <n v="0"/>
    <x v="2"/>
  </r>
  <r>
    <x v="30"/>
    <x v="1"/>
    <x v="349"/>
    <x v="0"/>
    <x v="4"/>
    <x v="42"/>
    <x v="20"/>
    <x v="12"/>
    <n v="0"/>
    <x v="2"/>
  </r>
  <r>
    <x v="30"/>
    <x v="1"/>
    <x v="350"/>
    <x v="1"/>
    <x v="4"/>
    <x v="42"/>
    <x v="14"/>
    <x v="0"/>
    <n v="0"/>
    <x v="2"/>
  </r>
  <r>
    <x v="30"/>
    <x v="1"/>
    <x v="350"/>
    <x v="1"/>
    <x v="4"/>
    <x v="42"/>
    <x v="14"/>
    <x v="1"/>
    <n v="0"/>
    <x v="2"/>
  </r>
  <r>
    <x v="30"/>
    <x v="1"/>
    <x v="350"/>
    <x v="1"/>
    <x v="4"/>
    <x v="42"/>
    <x v="14"/>
    <x v="2"/>
    <n v="0"/>
    <x v="2"/>
  </r>
  <r>
    <x v="30"/>
    <x v="1"/>
    <x v="350"/>
    <x v="1"/>
    <x v="4"/>
    <x v="42"/>
    <x v="14"/>
    <x v="3"/>
    <n v="56.97"/>
    <x v="2"/>
  </r>
  <r>
    <x v="30"/>
    <x v="1"/>
    <x v="350"/>
    <x v="1"/>
    <x v="4"/>
    <x v="42"/>
    <x v="14"/>
    <x v="4"/>
    <n v="0"/>
    <x v="2"/>
  </r>
  <r>
    <x v="30"/>
    <x v="1"/>
    <x v="350"/>
    <x v="1"/>
    <x v="4"/>
    <x v="42"/>
    <x v="14"/>
    <x v="5"/>
    <n v="0"/>
    <x v="2"/>
  </r>
  <r>
    <x v="30"/>
    <x v="1"/>
    <x v="350"/>
    <x v="1"/>
    <x v="4"/>
    <x v="42"/>
    <x v="14"/>
    <x v="6"/>
    <n v="0"/>
    <x v="2"/>
  </r>
  <r>
    <x v="30"/>
    <x v="1"/>
    <x v="350"/>
    <x v="1"/>
    <x v="4"/>
    <x v="42"/>
    <x v="14"/>
    <x v="7"/>
    <n v="100.14"/>
    <x v="2"/>
  </r>
  <r>
    <x v="30"/>
    <x v="1"/>
    <x v="350"/>
    <x v="1"/>
    <x v="4"/>
    <x v="42"/>
    <x v="14"/>
    <x v="8"/>
    <n v="0"/>
    <x v="2"/>
  </r>
  <r>
    <x v="30"/>
    <x v="1"/>
    <x v="350"/>
    <x v="1"/>
    <x v="4"/>
    <x v="42"/>
    <x v="14"/>
    <x v="9"/>
    <n v="0"/>
    <x v="2"/>
  </r>
  <r>
    <x v="30"/>
    <x v="1"/>
    <x v="350"/>
    <x v="1"/>
    <x v="4"/>
    <x v="42"/>
    <x v="14"/>
    <x v="10"/>
    <n v="0"/>
    <x v="2"/>
  </r>
  <r>
    <x v="30"/>
    <x v="1"/>
    <x v="350"/>
    <x v="1"/>
    <x v="4"/>
    <x v="42"/>
    <x v="14"/>
    <x v="12"/>
    <n v="0"/>
    <x v="2"/>
  </r>
  <r>
    <x v="30"/>
    <x v="1"/>
    <x v="351"/>
    <x v="0"/>
    <x v="4"/>
    <x v="42"/>
    <x v="21"/>
    <x v="0"/>
    <n v="1530.61"/>
    <x v="2"/>
  </r>
  <r>
    <x v="30"/>
    <x v="1"/>
    <x v="351"/>
    <x v="0"/>
    <x v="4"/>
    <x v="42"/>
    <x v="21"/>
    <x v="1"/>
    <n v="0"/>
    <x v="2"/>
  </r>
  <r>
    <x v="30"/>
    <x v="1"/>
    <x v="351"/>
    <x v="0"/>
    <x v="4"/>
    <x v="42"/>
    <x v="21"/>
    <x v="2"/>
    <n v="231.78"/>
    <x v="2"/>
  </r>
  <r>
    <x v="30"/>
    <x v="1"/>
    <x v="351"/>
    <x v="0"/>
    <x v="4"/>
    <x v="42"/>
    <x v="21"/>
    <x v="3"/>
    <n v="0"/>
    <x v="2"/>
  </r>
  <r>
    <x v="30"/>
    <x v="1"/>
    <x v="351"/>
    <x v="0"/>
    <x v="4"/>
    <x v="42"/>
    <x v="21"/>
    <x v="4"/>
    <n v="0"/>
    <x v="2"/>
  </r>
  <r>
    <x v="30"/>
    <x v="1"/>
    <x v="351"/>
    <x v="0"/>
    <x v="4"/>
    <x v="42"/>
    <x v="21"/>
    <x v="5"/>
    <n v="0"/>
    <x v="2"/>
  </r>
  <r>
    <x v="30"/>
    <x v="1"/>
    <x v="351"/>
    <x v="0"/>
    <x v="4"/>
    <x v="42"/>
    <x v="21"/>
    <x v="6"/>
    <n v="0"/>
    <x v="2"/>
  </r>
  <r>
    <x v="30"/>
    <x v="1"/>
    <x v="351"/>
    <x v="0"/>
    <x v="4"/>
    <x v="42"/>
    <x v="21"/>
    <x v="7"/>
    <n v="0"/>
    <x v="2"/>
  </r>
  <r>
    <x v="30"/>
    <x v="1"/>
    <x v="351"/>
    <x v="0"/>
    <x v="4"/>
    <x v="42"/>
    <x v="21"/>
    <x v="8"/>
    <n v="0"/>
    <x v="2"/>
  </r>
  <r>
    <x v="30"/>
    <x v="1"/>
    <x v="351"/>
    <x v="0"/>
    <x v="4"/>
    <x v="42"/>
    <x v="21"/>
    <x v="9"/>
    <n v="0"/>
    <x v="2"/>
  </r>
  <r>
    <x v="30"/>
    <x v="1"/>
    <x v="351"/>
    <x v="0"/>
    <x v="4"/>
    <x v="42"/>
    <x v="21"/>
    <x v="10"/>
    <n v="0"/>
    <x v="2"/>
  </r>
  <r>
    <x v="30"/>
    <x v="1"/>
    <x v="351"/>
    <x v="0"/>
    <x v="4"/>
    <x v="42"/>
    <x v="21"/>
    <x v="12"/>
    <n v="0"/>
    <x v="2"/>
  </r>
  <r>
    <x v="30"/>
    <x v="1"/>
    <x v="352"/>
    <x v="1"/>
    <x v="4"/>
    <x v="42"/>
    <x v="14"/>
    <x v="0"/>
    <n v="0"/>
    <x v="2"/>
  </r>
  <r>
    <x v="30"/>
    <x v="1"/>
    <x v="352"/>
    <x v="1"/>
    <x v="4"/>
    <x v="42"/>
    <x v="14"/>
    <x v="1"/>
    <n v="0"/>
    <x v="2"/>
  </r>
  <r>
    <x v="30"/>
    <x v="1"/>
    <x v="352"/>
    <x v="1"/>
    <x v="4"/>
    <x v="42"/>
    <x v="14"/>
    <x v="2"/>
    <n v="0"/>
    <x v="2"/>
  </r>
  <r>
    <x v="30"/>
    <x v="1"/>
    <x v="352"/>
    <x v="1"/>
    <x v="4"/>
    <x v="42"/>
    <x v="14"/>
    <x v="3"/>
    <n v="0"/>
    <x v="2"/>
  </r>
  <r>
    <x v="30"/>
    <x v="1"/>
    <x v="352"/>
    <x v="1"/>
    <x v="4"/>
    <x v="42"/>
    <x v="14"/>
    <x v="4"/>
    <n v="0"/>
    <x v="2"/>
  </r>
  <r>
    <x v="30"/>
    <x v="1"/>
    <x v="352"/>
    <x v="1"/>
    <x v="4"/>
    <x v="42"/>
    <x v="14"/>
    <x v="5"/>
    <n v="36.869999999999997"/>
    <x v="2"/>
  </r>
  <r>
    <x v="30"/>
    <x v="1"/>
    <x v="352"/>
    <x v="1"/>
    <x v="4"/>
    <x v="42"/>
    <x v="14"/>
    <x v="6"/>
    <n v="0"/>
    <x v="2"/>
  </r>
  <r>
    <x v="30"/>
    <x v="1"/>
    <x v="352"/>
    <x v="1"/>
    <x v="4"/>
    <x v="42"/>
    <x v="14"/>
    <x v="7"/>
    <n v="0"/>
    <x v="2"/>
  </r>
  <r>
    <x v="30"/>
    <x v="1"/>
    <x v="352"/>
    <x v="1"/>
    <x v="4"/>
    <x v="42"/>
    <x v="14"/>
    <x v="8"/>
    <n v="0"/>
    <x v="2"/>
  </r>
  <r>
    <x v="30"/>
    <x v="1"/>
    <x v="352"/>
    <x v="1"/>
    <x v="4"/>
    <x v="42"/>
    <x v="14"/>
    <x v="9"/>
    <n v="0"/>
    <x v="2"/>
  </r>
  <r>
    <x v="30"/>
    <x v="1"/>
    <x v="352"/>
    <x v="1"/>
    <x v="4"/>
    <x v="42"/>
    <x v="14"/>
    <x v="10"/>
    <n v="0"/>
    <x v="2"/>
  </r>
  <r>
    <x v="30"/>
    <x v="1"/>
    <x v="352"/>
    <x v="1"/>
    <x v="4"/>
    <x v="42"/>
    <x v="14"/>
    <x v="12"/>
    <n v="0"/>
    <x v="2"/>
  </r>
  <r>
    <x v="30"/>
    <x v="1"/>
    <x v="353"/>
    <x v="1"/>
    <x v="4"/>
    <x v="42"/>
    <x v="14"/>
    <x v="0"/>
    <n v="293.88"/>
    <x v="2"/>
  </r>
  <r>
    <x v="30"/>
    <x v="1"/>
    <x v="353"/>
    <x v="1"/>
    <x v="4"/>
    <x v="42"/>
    <x v="14"/>
    <x v="1"/>
    <n v="0"/>
    <x v="2"/>
  </r>
  <r>
    <x v="30"/>
    <x v="1"/>
    <x v="353"/>
    <x v="1"/>
    <x v="4"/>
    <x v="42"/>
    <x v="14"/>
    <x v="2"/>
    <n v="0"/>
    <x v="2"/>
  </r>
  <r>
    <x v="30"/>
    <x v="1"/>
    <x v="353"/>
    <x v="1"/>
    <x v="4"/>
    <x v="42"/>
    <x v="14"/>
    <x v="3"/>
    <n v="0"/>
    <x v="2"/>
  </r>
  <r>
    <x v="30"/>
    <x v="1"/>
    <x v="353"/>
    <x v="1"/>
    <x v="4"/>
    <x v="42"/>
    <x v="14"/>
    <x v="4"/>
    <n v="0"/>
    <x v="2"/>
  </r>
  <r>
    <x v="30"/>
    <x v="1"/>
    <x v="353"/>
    <x v="1"/>
    <x v="4"/>
    <x v="42"/>
    <x v="14"/>
    <x v="5"/>
    <n v="0"/>
    <x v="2"/>
  </r>
  <r>
    <x v="30"/>
    <x v="1"/>
    <x v="353"/>
    <x v="1"/>
    <x v="4"/>
    <x v="42"/>
    <x v="14"/>
    <x v="6"/>
    <n v="0"/>
    <x v="2"/>
  </r>
  <r>
    <x v="30"/>
    <x v="1"/>
    <x v="353"/>
    <x v="1"/>
    <x v="4"/>
    <x v="42"/>
    <x v="14"/>
    <x v="7"/>
    <n v="0"/>
    <x v="2"/>
  </r>
  <r>
    <x v="30"/>
    <x v="1"/>
    <x v="353"/>
    <x v="1"/>
    <x v="4"/>
    <x v="42"/>
    <x v="14"/>
    <x v="8"/>
    <n v="0"/>
    <x v="2"/>
  </r>
  <r>
    <x v="30"/>
    <x v="1"/>
    <x v="353"/>
    <x v="1"/>
    <x v="4"/>
    <x v="42"/>
    <x v="14"/>
    <x v="9"/>
    <n v="0"/>
    <x v="2"/>
  </r>
  <r>
    <x v="30"/>
    <x v="1"/>
    <x v="353"/>
    <x v="1"/>
    <x v="4"/>
    <x v="42"/>
    <x v="14"/>
    <x v="10"/>
    <n v="0"/>
    <x v="2"/>
  </r>
  <r>
    <x v="30"/>
    <x v="1"/>
    <x v="353"/>
    <x v="1"/>
    <x v="4"/>
    <x v="42"/>
    <x v="14"/>
    <x v="12"/>
    <n v="0"/>
    <x v="2"/>
  </r>
  <r>
    <x v="30"/>
    <x v="1"/>
    <x v="354"/>
    <x v="1"/>
    <x v="4"/>
    <x v="42"/>
    <x v="14"/>
    <x v="0"/>
    <n v="0"/>
    <x v="2"/>
  </r>
  <r>
    <x v="30"/>
    <x v="1"/>
    <x v="354"/>
    <x v="1"/>
    <x v="4"/>
    <x v="42"/>
    <x v="14"/>
    <x v="1"/>
    <n v="0"/>
    <x v="2"/>
  </r>
  <r>
    <x v="30"/>
    <x v="1"/>
    <x v="354"/>
    <x v="1"/>
    <x v="4"/>
    <x v="42"/>
    <x v="14"/>
    <x v="2"/>
    <n v="0"/>
    <x v="2"/>
  </r>
  <r>
    <x v="30"/>
    <x v="1"/>
    <x v="354"/>
    <x v="1"/>
    <x v="4"/>
    <x v="42"/>
    <x v="14"/>
    <x v="3"/>
    <n v="0"/>
    <x v="2"/>
  </r>
  <r>
    <x v="30"/>
    <x v="1"/>
    <x v="354"/>
    <x v="1"/>
    <x v="4"/>
    <x v="42"/>
    <x v="14"/>
    <x v="4"/>
    <n v="0"/>
    <x v="2"/>
  </r>
  <r>
    <x v="30"/>
    <x v="1"/>
    <x v="354"/>
    <x v="1"/>
    <x v="4"/>
    <x v="42"/>
    <x v="14"/>
    <x v="5"/>
    <n v="0"/>
    <x v="2"/>
  </r>
  <r>
    <x v="30"/>
    <x v="1"/>
    <x v="354"/>
    <x v="1"/>
    <x v="4"/>
    <x v="42"/>
    <x v="14"/>
    <x v="6"/>
    <n v="0"/>
    <x v="2"/>
  </r>
  <r>
    <x v="30"/>
    <x v="1"/>
    <x v="354"/>
    <x v="1"/>
    <x v="4"/>
    <x v="42"/>
    <x v="14"/>
    <x v="7"/>
    <n v="0"/>
    <x v="2"/>
  </r>
  <r>
    <x v="30"/>
    <x v="1"/>
    <x v="354"/>
    <x v="1"/>
    <x v="4"/>
    <x v="42"/>
    <x v="14"/>
    <x v="8"/>
    <n v="0"/>
    <x v="2"/>
  </r>
  <r>
    <x v="30"/>
    <x v="1"/>
    <x v="354"/>
    <x v="1"/>
    <x v="4"/>
    <x v="42"/>
    <x v="14"/>
    <x v="9"/>
    <n v="0"/>
    <x v="2"/>
  </r>
  <r>
    <x v="30"/>
    <x v="1"/>
    <x v="354"/>
    <x v="1"/>
    <x v="4"/>
    <x v="42"/>
    <x v="14"/>
    <x v="10"/>
    <n v="0"/>
    <x v="2"/>
  </r>
  <r>
    <x v="30"/>
    <x v="1"/>
    <x v="354"/>
    <x v="1"/>
    <x v="4"/>
    <x v="42"/>
    <x v="14"/>
    <x v="12"/>
    <n v="0"/>
    <x v="2"/>
  </r>
  <r>
    <x v="30"/>
    <x v="1"/>
    <x v="366"/>
    <x v="1"/>
    <x v="4"/>
    <x v="42"/>
    <x v="14"/>
    <x v="0"/>
    <n v="0"/>
    <x v="2"/>
  </r>
  <r>
    <x v="30"/>
    <x v="1"/>
    <x v="366"/>
    <x v="1"/>
    <x v="4"/>
    <x v="42"/>
    <x v="14"/>
    <x v="1"/>
    <n v="40.82"/>
    <x v="2"/>
  </r>
  <r>
    <x v="30"/>
    <x v="1"/>
    <x v="366"/>
    <x v="1"/>
    <x v="4"/>
    <x v="42"/>
    <x v="14"/>
    <x v="2"/>
    <n v="0"/>
    <x v="2"/>
  </r>
  <r>
    <x v="30"/>
    <x v="1"/>
    <x v="366"/>
    <x v="1"/>
    <x v="4"/>
    <x v="42"/>
    <x v="14"/>
    <x v="3"/>
    <n v="0"/>
    <x v="2"/>
  </r>
  <r>
    <x v="30"/>
    <x v="1"/>
    <x v="366"/>
    <x v="1"/>
    <x v="4"/>
    <x v="42"/>
    <x v="14"/>
    <x v="4"/>
    <n v="0"/>
    <x v="2"/>
  </r>
  <r>
    <x v="30"/>
    <x v="1"/>
    <x v="366"/>
    <x v="1"/>
    <x v="4"/>
    <x v="42"/>
    <x v="14"/>
    <x v="5"/>
    <n v="0"/>
    <x v="2"/>
  </r>
  <r>
    <x v="30"/>
    <x v="1"/>
    <x v="366"/>
    <x v="1"/>
    <x v="4"/>
    <x v="42"/>
    <x v="14"/>
    <x v="6"/>
    <n v="0"/>
    <x v="2"/>
  </r>
  <r>
    <x v="30"/>
    <x v="1"/>
    <x v="366"/>
    <x v="1"/>
    <x v="4"/>
    <x v="42"/>
    <x v="14"/>
    <x v="7"/>
    <n v="0"/>
    <x v="2"/>
  </r>
  <r>
    <x v="30"/>
    <x v="1"/>
    <x v="366"/>
    <x v="1"/>
    <x v="4"/>
    <x v="42"/>
    <x v="14"/>
    <x v="8"/>
    <n v="0"/>
    <x v="2"/>
  </r>
  <r>
    <x v="30"/>
    <x v="1"/>
    <x v="366"/>
    <x v="1"/>
    <x v="4"/>
    <x v="42"/>
    <x v="14"/>
    <x v="9"/>
    <n v="0"/>
    <x v="2"/>
  </r>
  <r>
    <x v="30"/>
    <x v="1"/>
    <x v="366"/>
    <x v="1"/>
    <x v="4"/>
    <x v="42"/>
    <x v="14"/>
    <x v="10"/>
    <n v="0"/>
    <x v="2"/>
  </r>
  <r>
    <x v="30"/>
    <x v="1"/>
    <x v="366"/>
    <x v="1"/>
    <x v="4"/>
    <x v="42"/>
    <x v="14"/>
    <x v="12"/>
    <n v="0"/>
    <x v="2"/>
  </r>
  <r>
    <x v="30"/>
    <x v="1"/>
    <x v="359"/>
    <x v="0"/>
    <x v="4"/>
    <x v="42"/>
    <x v="13"/>
    <x v="0"/>
    <n v="0"/>
    <x v="2"/>
  </r>
  <r>
    <x v="30"/>
    <x v="1"/>
    <x v="359"/>
    <x v="0"/>
    <x v="4"/>
    <x v="42"/>
    <x v="13"/>
    <x v="1"/>
    <n v="0"/>
    <x v="2"/>
  </r>
  <r>
    <x v="30"/>
    <x v="1"/>
    <x v="359"/>
    <x v="0"/>
    <x v="4"/>
    <x v="42"/>
    <x v="13"/>
    <x v="2"/>
    <n v="0"/>
    <x v="2"/>
  </r>
  <r>
    <x v="30"/>
    <x v="1"/>
    <x v="359"/>
    <x v="0"/>
    <x v="4"/>
    <x v="42"/>
    <x v="13"/>
    <x v="3"/>
    <n v="402.04"/>
    <x v="2"/>
  </r>
  <r>
    <x v="30"/>
    <x v="1"/>
    <x v="359"/>
    <x v="0"/>
    <x v="4"/>
    <x v="42"/>
    <x v="13"/>
    <x v="4"/>
    <n v="0"/>
    <x v="2"/>
  </r>
  <r>
    <x v="30"/>
    <x v="1"/>
    <x v="359"/>
    <x v="0"/>
    <x v="4"/>
    <x v="42"/>
    <x v="13"/>
    <x v="5"/>
    <n v="0"/>
    <x v="2"/>
  </r>
  <r>
    <x v="30"/>
    <x v="1"/>
    <x v="359"/>
    <x v="0"/>
    <x v="4"/>
    <x v="42"/>
    <x v="13"/>
    <x v="6"/>
    <n v="0"/>
    <x v="2"/>
  </r>
  <r>
    <x v="30"/>
    <x v="1"/>
    <x v="359"/>
    <x v="0"/>
    <x v="4"/>
    <x v="42"/>
    <x v="13"/>
    <x v="7"/>
    <n v="140.13999999999999"/>
    <x v="2"/>
  </r>
  <r>
    <x v="30"/>
    <x v="1"/>
    <x v="359"/>
    <x v="0"/>
    <x v="4"/>
    <x v="42"/>
    <x v="13"/>
    <x v="8"/>
    <n v="0"/>
    <x v="2"/>
  </r>
  <r>
    <x v="30"/>
    <x v="1"/>
    <x v="359"/>
    <x v="0"/>
    <x v="4"/>
    <x v="42"/>
    <x v="13"/>
    <x v="9"/>
    <n v="0"/>
    <x v="2"/>
  </r>
  <r>
    <x v="30"/>
    <x v="1"/>
    <x v="359"/>
    <x v="0"/>
    <x v="4"/>
    <x v="42"/>
    <x v="13"/>
    <x v="10"/>
    <n v="0"/>
    <x v="2"/>
  </r>
  <r>
    <x v="30"/>
    <x v="1"/>
    <x v="359"/>
    <x v="0"/>
    <x v="4"/>
    <x v="42"/>
    <x v="13"/>
    <x v="12"/>
    <n v="0"/>
    <x v="2"/>
  </r>
  <r>
    <x v="30"/>
    <x v="1"/>
    <x v="367"/>
    <x v="1"/>
    <x v="4"/>
    <x v="42"/>
    <x v="14"/>
    <x v="0"/>
    <n v="0"/>
    <x v="2"/>
  </r>
  <r>
    <x v="30"/>
    <x v="1"/>
    <x v="367"/>
    <x v="1"/>
    <x v="4"/>
    <x v="42"/>
    <x v="14"/>
    <x v="1"/>
    <n v="0"/>
    <x v="2"/>
  </r>
  <r>
    <x v="30"/>
    <x v="1"/>
    <x v="367"/>
    <x v="1"/>
    <x v="4"/>
    <x v="42"/>
    <x v="14"/>
    <x v="2"/>
    <n v="0"/>
    <x v="2"/>
  </r>
  <r>
    <x v="30"/>
    <x v="1"/>
    <x v="367"/>
    <x v="1"/>
    <x v="4"/>
    <x v="42"/>
    <x v="14"/>
    <x v="3"/>
    <n v="0"/>
    <x v="2"/>
  </r>
  <r>
    <x v="30"/>
    <x v="1"/>
    <x v="367"/>
    <x v="1"/>
    <x v="4"/>
    <x v="42"/>
    <x v="14"/>
    <x v="4"/>
    <n v="0"/>
    <x v="2"/>
  </r>
  <r>
    <x v="30"/>
    <x v="1"/>
    <x v="367"/>
    <x v="1"/>
    <x v="4"/>
    <x v="42"/>
    <x v="14"/>
    <x v="5"/>
    <n v="0"/>
    <x v="2"/>
  </r>
  <r>
    <x v="30"/>
    <x v="1"/>
    <x v="367"/>
    <x v="1"/>
    <x v="4"/>
    <x v="42"/>
    <x v="14"/>
    <x v="6"/>
    <n v="0"/>
    <x v="2"/>
  </r>
  <r>
    <x v="30"/>
    <x v="1"/>
    <x v="367"/>
    <x v="1"/>
    <x v="4"/>
    <x v="42"/>
    <x v="14"/>
    <x v="7"/>
    <n v="0"/>
    <x v="2"/>
  </r>
  <r>
    <x v="30"/>
    <x v="1"/>
    <x v="367"/>
    <x v="1"/>
    <x v="4"/>
    <x v="42"/>
    <x v="14"/>
    <x v="8"/>
    <n v="0"/>
    <x v="2"/>
  </r>
  <r>
    <x v="30"/>
    <x v="1"/>
    <x v="367"/>
    <x v="1"/>
    <x v="4"/>
    <x v="42"/>
    <x v="14"/>
    <x v="9"/>
    <n v="0"/>
    <x v="2"/>
  </r>
  <r>
    <x v="30"/>
    <x v="1"/>
    <x v="367"/>
    <x v="1"/>
    <x v="4"/>
    <x v="42"/>
    <x v="14"/>
    <x v="10"/>
    <n v="0"/>
    <x v="2"/>
  </r>
  <r>
    <x v="30"/>
    <x v="1"/>
    <x v="367"/>
    <x v="1"/>
    <x v="4"/>
    <x v="42"/>
    <x v="14"/>
    <x v="12"/>
    <n v="0"/>
    <x v="2"/>
  </r>
  <r>
    <x v="30"/>
    <x v="1"/>
    <x v="368"/>
    <x v="1"/>
    <x v="4"/>
    <x v="34"/>
    <x v="14"/>
    <x v="0"/>
    <n v="0"/>
    <x v="2"/>
  </r>
  <r>
    <x v="30"/>
    <x v="1"/>
    <x v="368"/>
    <x v="1"/>
    <x v="4"/>
    <x v="34"/>
    <x v="14"/>
    <x v="1"/>
    <n v="0"/>
    <x v="2"/>
  </r>
  <r>
    <x v="30"/>
    <x v="1"/>
    <x v="368"/>
    <x v="1"/>
    <x v="4"/>
    <x v="34"/>
    <x v="14"/>
    <x v="2"/>
    <n v="0"/>
    <x v="2"/>
  </r>
  <r>
    <x v="30"/>
    <x v="1"/>
    <x v="368"/>
    <x v="1"/>
    <x v="4"/>
    <x v="34"/>
    <x v="14"/>
    <x v="3"/>
    <n v="0"/>
    <x v="2"/>
  </r>
  <r>
    <x v="30"/>
    <x v="1"/>
    <x v="368"/>
    <x v="1"/>
    <x v="4"/>
    <x v="34"/>
    <x v="14"/>
    <x v="4"/>
    <n v="0"/>
    <x v="2"/>
  </r>
  <r>
    <x v="30"/>
    <x v="1"/>
    <x v="368"/>
    <x v="1"/>
    <x v="4"/>
    <x v="34"/>
    <x v="14"/>
    <x v="5"/>
    <n v="0"/>
    <x v="2"/>
  </r>
  <r>
    <x v="30"/>
    <x v="1"/>
    <x v="368"/>
    <x v="1"/>
    <x v="4"/>
    <x v="34"/>
    <x v="14"/>
    <x v="6"/>
    <n v="0"/>
    <x v="2"/>
  </r>
  <r>
    <x v="30"/>
    <x v="1"/>
    <x v="368"/>
    <x v="1"/>
    <x v="4"/>
    <x v="34"/>
    <x v="14"/>
    <x v="7"/>
    <n v="0"/>
    <x v="2"/>
  </r>
  <r>
    <x v="30"/>
    <x v="1"/>
    <x v="368"/>
    <x v="1"/>
    <x v="4"/>
    <x v="34"/>
    <x v="14"/>
    <x v="8"/>
    <n v="0"/>
    <x v="2"/>
  </r>
  <r>
    <x v="30"/>
    <x v="1"/>
    <x v="368"/>
    <x v="1"/>
    <x v="4"/>
    <x v="34"/>
    <x v="14"/>
    <x v="9"/>
    <n v="0"/>
    <x v="2"/>
  </r>
  <r>
    <x v="30"/>
    <x v="1"/>
    <x v="368"/>
    <x v="1"/>
    <x v="4"/>
    <x v="34"/>
    <x v="14"/>
    <x v="10"/>
    <n v="0"/>
    <x v="2"/>
  </r>
  <r>
    <x v="30"/>
    <x v="1"/>
    <x v="368"/>
    <x v="1"/>
    <x v="4"/>
    <x v="34"/>
    <x v="14"/>
    <x v="12"/>
    <n v="0"/>
    <x v="2"/>
  </r>
  <r>
    <x v="30"/>
    <x v="1"/>
    <x v="369"/>
    <x v="1"/>
    <x v="4"/>
    <x v="42"/>
    <x v="14"/>
    <x v="0"/>
    <n v="0"/>
    <x v="2"/>
  </r>
  <r>
    <x v="30"/>
    <x v="1"/>
    <x v="369"/>
    <x v="1"/>
    <x v="4"/>
    <x v="42"/>
    <x v="14"/>
    <x v="1"/>
    <n v="0"/>
    <x v="2"/>
  </r>
  <r>
    <x v="30"/>
    <x v="1"/>
    <x v="369"/>
    <x v="1"/>
    <x v="4"/>
    <x v="42"/>
    <x v="14"/>
    <x v="2"/>
    <n v="0"/>
    <x v="2"/>
  </r>
  <r>
    <x v="30"/>
    <x v="1"/>
    <x v="369"/>
    <x v="1"/>
    <x v="4"/>
    <x v="42"/>
    <x v="14"/>
    <x v="3"/>
    <n v="0"/>
    <x v="2"/>
  </r>
  <r>
    <x v="30"/>
    <x v="1"/>
    <x v="369"/>
    <x v="1"/>
    <x v="4"/>
    <x v="42"/>
    <x v="14"/>
    <x v="4"/>
    <n v="0"/>
    <x v="2"/>
  </r>
  <r>
    <x v="30"/>
    <x v="1"/>
    <x v="369"/>
    <x v="1"/>
    <x v="4"/>
    <x v="42"/>
    <x v="14"/>
    <x v="5"/>
    <n v="0"/>
    <x v="2"/>
  </r>
  <r>
    <x v="30"/>
    <x v="1"/>
    <x v="369"/>
    <x v="1"/>
    <x v="4"/>
    <x v="42"/>
    <x v="14"/>
    <x v="6"/>
    <n v="0"/>
    <x v="2"/>
  </r>
  <r>
    <x v="30"/>
    <x v="1"/>
    <x v="369"/>
    <x v="1"/>
    <x v="4"/>
    <x v="42"/>
    <x v="14"/>
    <x v="7"/>
    <n v="0"/>
    <x v="2"/>
  </r>
  <r>
    <x v="30"/>
    <x v="1"/>
    <x v="369"/>
    <x v="1"/>
    <x v="4"/>
    <x v="42"/>
    <x v="14"/>
    <x v="8"/>
    <n v="444"/>
    <x v="2"/>
  </r>
  <r>
    <x v="30"/>
    <x v="1"/>
    <x v="369"/>
    <x v="1"/>
    <x v="4"/>
    <x v="42"/>
    <x v="14"/>
    <x v="9"/>
    <n v="0"/>
    <x v="2"/>
  </r>
  <r>
    <x v="30"/>
    <x v="1"/>
    <x v="369"/>
    <x v="1"/>
    <x v="4"/>
    <x v="42"/>
    <x v="14"/>
    <x v="10"/>
    <n v="0"/>
    <x v="2"/>
  </r>
  <r>
    <x v="30"/>
    <x v="1"/>
    <x v="369"/>
    <x v="1"/>
    <x v="4"/>
    <x v="42"/>
    <x v="14"/>
    <x v="12"/>
    <n v="0"/>
    <x v="2"/>
  </r>
  <r>
    <x v="30"/>
    <x v="1"/>
    <x v="362"/>
    <x v="1"/>
    <x v="4"/>
    <x v="42"/>
    <x v="14"/>
    <x v="0"/>
    <n v="0"/>
    <x v="2"/>
  </r>
  <r>
    <x v="30"/>
    <x v="1"/>
    <x v="362"/>
    <x v="1"/>
    <x v="4"/>
    <x v="42"/>
    <x v="14"/>
    <x v="1"/>
    <n v="0"/>
    <x v="2"/>
  </r>
  <r>
    <x v="30"/>
    <x v="1"/>
    <x v="362"/>
    <x v="1"/>
    <x v="4"/>
    <x v="42"/>
    <x v="14"/>
    <x v="2"/>
    <n v="0"/>
    <x v="2"/>
  </r>
  <r>
    <x v="30"/>
    <x v="1"/>
    <x v="362"/>
    <x v="1"/>
    <x v="4"/>
    <x v="42"/>
    <x v="14"/>
    <x v="3"/>
    <n v="0"/>
    <x v="2"/>
  </r>
  <r>
    <x v="30"/>
    <x v="1"/>
    <x v="362"/>
    <x v="1"/>
    <x v="4"/>
    <x v="42"/>
    <x v="14"/>
    <x v="4"/>
    <n v="0"/>
    <x v="2"/>
  </r>
  <r>
    <x v="30"/>
    <x v="1"/>
    <x v="362"/>
    <x v="1"/>
    <x v="4"/>
    <x v="42"/>
    <x v="14"/>
    <x v="5"/>
    <n v="0"/>
    <x v="2"/>
  </r>
  <r>
    <x v="30"/>
    <x v="1"/>
    <x v="362"/>
    <x v="1"/>
    <x v="4"/>
    <x v="42"/>
    <x v="14"/>
    <x v="6"/>
    <n v="0"/>
    <x v="2"/>
  </r>
  <r>
    <x v="30"/>
    <x v="1"/>
    <x v="362"/>
    <x v="1"/>
    <x v="4"/>
    <x v="42"/>
    <x v="14"/>
    <x v="7"/>
    <n v="0"/>
    <x v="2"/>
  </r>
  <r>
    <x v="30"/>
    <x v="1"/>
    <x v="362"/>
    <x v="1"/>
    <x v="4"/>
    <x v="42"/>
    <x v="14"/>
    <x v="8"/>
    <n v="1217"/>
    <x v="2"/>
  </r>
  <r>
    <x v="30"/>
    <x v="1"/>
    <x v="362"/>
    <x v="1"/>
    <x v="4"/>
    <x v="42"/>
    <x v="14"/>
    <x v="9"/>
    <n v="0"/>
    <x v="2"/>
  </r>
  <r>
    <x v="30"/>
    <x v="1"/>
    <x v="362"/>
    <x v="1"/>
    <x v="4"/>
    <x v="42"/>
    <x v="14"/>
    <x v="10"/>
    <n v="0"/>
    <x v="2"/>
  </r>
  <r>
    <x v="30"/>
    <x v="1"/>
    <x v="362"/>
    <x v="1"/>
    <x v="4"/>
    <x v="42"/>
    <x v="14"/>
    <x v="12"/>
    <n v="0"/>
    <x v="2"/>
  </r>
  <r>
    <x v="30"/>
    <x v="1"/>
    <x v="370"/>
    <x v="2"/>
    <x v="3"/>
    <x v="42"/>
    <x v="14"/>
    <x v="0"/>
    <n v="0"/>
    <x v="2"/>
  </r>
  <r>
    <x v="30"/>
    <x v="1"/>
    <x v="370"/>
    <x v="2"/>
    <x v="3"/>
    <x v="42"/>
    <x v="14"/>
    <x v="1"/>
    <n v="11.29"/>
    <x v="2"/>
  </r>
  <r>
    <x v="30"/>
    <x v="1"/>
    <x v="370"/>
    <x v="2"/>
    <x v="3"/>
    <x v="42"/>
    <x v="14"/>
    <x v="2"/>
    <n v="0"/>
    <x v="2"/>
  </r>
  <r>
    <x v="30"/>
    <x v="1"/>
    <x v="370"/>
    <x v="2"/>
    <x v="3"/>
    <x v="42"/>
    <x v="14"/>
    <x v="3"/>
    <n v="0"/>
    <x v="2"/>
  </r>
  <r>
    <x v="30"/>
    <x v="1"/>
    <x v="370"/>
    <x v="2"/>
    <x v="3"/>
    <x v="42"/>
    <x v="14"/>
    <x v="4"/>
    <n v="0"/>
    <x v="2"/>
  </r>
  <r>
    <x v="30"/>
    <x v="1"/>
    <x v="370"/>
    <x v="2"/>
    <x v="3"/>
    <x v="42"/>
    <x v="14"/>
    <x v="5"/>
    <n v="0"/>
    <x v="2"/>
  </r>
  <r>
    <x v="30"/>
    <x v="1"/>
    <x v="370"/>
    <x v="2"/>
    <x v="3"/>
    <x v="42"/>
    <x v="14"/>
    <x v="6"/>
    <n v="36"/>
    <x v="2"/>
  </r>
  <r>
    <x v="30"/>
    <x v="1"/>
    <x v="370"/>
    <x v="2"/>
    <x v="3"/>
    <x v="42"/>
    <x v="14"/>
    <x v="7"/>
    <n v="0"/>
    <x v="2"/>
  </r>
  <r>
    <x v="30"/>
    <x v="1"/>
    <x v="370"/>
    <x v="2"/>
    <x v="3"/>
    <x v="42"/>
    <x v="14"/>
    <x v="8"/>
    <n v="0"/>
    <x v="2"/>
  </r>
  <r>
    <x v="30"/>
    <x v="1"/>
    <x v="370"/>
    <x v="2"/>
    <x v="3"/>
    <x v="42"/>
    <x v="14"/>
    <x v="9"/>
    <n v="0"/>
    <x v="2"/>
  </r>
  <r>
    <x v="30"/>
    <x v="1"/>
    <x v="370"/>
    <x v="2"/>
    <x v="3"/>
    <x v="42"/>
    <x v="14"/>
    <x v="10"/>
    <n v="0"/>
    <x v="2"/>
  </r>
  <r>
    <x v="30"/>
    <x v="1"/>
    <x v="370"/>
    <x v="2"/>
    <x v="3"/>
    <x v="42"/>
    <x v="14"/>
    <x v="12"/>
    <n v="0"/>
    <x v="2"/>
  </r>
  <r>
    <x v="30"/>
    <x v="1"/>
    <x v="323"/>
    <x v="2"/>
    <x v="3"/>
    <x v="43"/>
    <x v="14"/>
    <x v="0"/>
    <n v="0"/>
    <x v="2"/>
  </r>
  <r>
    <x v="30"/>
    <x v="1"/>
    <x v="323"/>
    <x v="2"/>
    <x v="3"/>
    <x v="43"/>
    <x v="14"/>
    <x v="1"/>
    <n v="0"/>
    <x v="2"/>
  </r>
  <r>
    <x v="30"/>
    <x v="1"/>
    <x v="323"/>
    <x v="2"/>
    <x v="3"/>
    <x v="43"/>
    <x v="14"/>
    <x v="2"/>
    <n v="0"/>
    <x v="2"/>
  </r>
  <r>
    <x v="30"/>
    <x v="1"/>
    <x v="323"/>
    <x v="2"/>
    <x v="3"/>
    <x v="43"/>
    <x v="14"/>
    <x v="3"/>
    <n v="0"/>
    <x v="2"/>
  </r>
  <r>
    <x v="30"/>
    <x v="1"/>
    <x v="323"/>
    <x v="2"/>
    <x v="3"/>
    <x v="43"/>
    <x v="14"/>
    <x v="4"/>
    <n v="0"/>
    <x v="2"/>
  </r>
  <r>
    <x v="30"/>
    <x v="1"/>
    <x v="323"/>
    <x v="2"/>
    <x v="3"/>
    <x v="43"/>
    <x v="14"/>
    <x v="5"/>
    <n v="0"/>
    <x v="2"/>
  </r>
  <r>
    <x v="30"/>
    <x v="1"/>
    <x v="323"/>
    <x v="2"/>
    <x v="3"/>
    <x v="43"/>
    <x v="14"/>
    <x v="6"/>
    <n v="0"/>
    <x v="2"/>
  </r>
  <r>
    <x v="30"/>
    <x v="1"/>
    <x v="323"/>
    <x v="2"/>
    <x v="3"/>
    <x v="43"/>
    <x v="14"/>
    <x v="7"/>
    <n v="0"/>
    <x v="2"/>
  </r>
  <r>
    <x v="30"/>
    <x v="1"/>
    <x v="323"/>
    <x v="2"/>
    <x v="3"/>
    <x v="43"/>
    <x v="14"/>
    <x v="8"/>
    <n v="0"/>
    <x v="2"/>
  </r>
  <r>
    <x v="30"/>
    <x v="1"/>
    <x v="323"/>
    <x v="2"/>
    <x v="3"/>
    <x v="43"/>
    <x v="14"/>
    <x v="9"/>
    <n v="0"/>
    <x v="2"/>
  </r>
  <r>
    <x v="30"/>
    <x v="1"/>
    <x v="323"/>
    <x v="2"/>
    <x v="3"/>
    <x v="43"/>
    <x v="14"/>
    <x v="10"/>
    <n v="0"/>
    <x v="2"/>
  </r>
  <r>
    <x v="30"/>
    <x v="1"/>
    <x v="323"/>
    <x v="2"/>
    <x v="3"/>
    <x v="43"/>
    <x v="14"/>
    <x v="12"/>
    <n v="0"/>
    <x v="2"/>
  </r>
  <r>
    <x v="30"/>
    <x v="1"/>
    <x v="324"/>
    <x v="2"/>
    <x v="3"/>
    <x v="44"/>
    <x v="14"/>
    <x v="0"/>
    <n v="0"/>
    <x v="2"/>
  </r>
  <r>
    <x v="30"/>
    <x v="1"/>
    <x v="324"/>
    <x v="2"/>
    <x v="3"/>
    <x v="44"/>
    <x v="14"/>
    <x v="1"/>
    <n v="0"/>
    <x v="2"/>
  </r>
  <r>
    <x v="30"/>
    <x v="1"/>
    <x v="324"/>
    <x v="2"/>
    <x v="3"/>
    <x v="44"/>
    <x v="14"/>
    <x v="2"/>
    <n v="0"/>
    <x v="2"/>
  </r>
  <r>
    <x v="30"/>
    <x v="1"/>
    <x v="324"/>
    <x v="2"/>
    <x v="3"/>
    <x v="44"/>
    <x v="14"/>
    <x v="3"/>
    <n v="0"/>
    <x v="2"/>
  </r>
  <r>
    <x v="30"/>
    <x v="1"/>
    <x v="324"/>
    <x v="2"/>
    <x v="3"/>
    <x v="44"/>
    <x v="14"/>
    <x v="4"/>
    <n v="0"/>
    <x v="2"/>
  </r>
  <r>
    <x v="30"/>
    <x v="1"/>
    <x v="324"/>
    <x v="2"/>
    <x v="3"/>
    <x v="44"/>
    <x v="14"/>
    <x v="5"/>
    <n v="0"/>
    <x v="2"/>
  </r>
  <r>
    <x v="30"/>
    <x v="1"/>
    <x v="324"/>
    <x v="2"/>
    <x v="3"/>
    <x v="44"/>
    <x v="14"/>
    <x v="6"/>
    <n v="0"/>
    <x v="2"/>
  </r>
  <r>
    <x v="30"/>
    <x v="1"/>
    <x v="324"/>
    <x v="2"/>
    <x v="3"/>
    <x v="44"/>
    <x v="14"/>
    <x v="7"/>
    <n v="0"/>
    <x v="2"/>
  </r>
  <r>
    <x v="30"/>
    <x v="1"/>
    <x v="324"/>
    <x v="2"/>
    <x v="3"/>
    <x v="44"/>
    <x v="14"/>
    <x v="8"/>
    <n v="0"/>
    <x v="2"/>
  </r>
  <r>
    <x v="30"/>
    <x v="1"/>
    <x v="324"/>
    <x v="2"/>
    <x v="3"/>
    <x v="44"/>
    <x v="14"/>
    <x v="9"/>
    <n v="0"/>
    <x v="2"/>
  </r>
  <r>
    <x v="30"/>
    <x v="1"/>
    <x v="324"/>
    <x v="2"/>
    <x v="3"/>
    <x v="44"/>
    <x v="14"/>
    <x v="10"/>
    <n v="0"/>
    <x v="2"/>
  </r>
  <r>
    <x v="30"/>
    <x v="1"/>
    <x v="324"/>
    <x v="2"/>
    <x v="3"/>
    <x v="44"/>
    <x v="14"/>
    <x v="12"/>
    <n v="0"/>
    <x v="2"/>
  </r>
  <r>
    <x v="30"/>
    <x v="1"/>
    <x v="325"/>
    <x v="2"/>
    <x v="3"/>
    <x v="43"/>
    <x v="14"/>
    <x v="0"/>
    <n v="0"/>
    <x v="2"/>
  </r>
  <r>
    <x v="30"/>
    <x v="1"/>
    <x v="325"/>
    <x v="2"/>
    <x v="3"/>
    <x v="43"/>
    <x v="14"/>
    <x v="1"/>
    <n v="0"/>
    <x v="2"/>
  </r>
  <r>
    <x v="30"/>
    <x v="1"/>
    <x v="325"/>
    <x v="2"/>
    <x v="3"/>
    <x v="43"/>
    <x v="14"/>
    <x v="2"/>
    <n v="0"/>
    <x v="2"/>
  </r>
  <r>
    <x v="30"/>
    <x v="1"/>
    <x v="325"/>
    <x v="2"/>
    <x v="3"/>
    <x v="43"/>
    <x v="14"/>
    <x v="3"/>
    <n v="0"/>
    <x v="2"/>
  </r>
  <r>
    <x v="30"/>
    <x v="1"/>
    <x v="325"/>
    <x v="2"/>
    <x v="3"/>
    <x v="43"/>
    <x v="14"/>
    <x v="4"/>
    <n v="0"/>
    <x v="2"/>
  </r>
  <r>
    <x v="30"/>
    <x v="1"/>
    <x v="325"/>
    <x v="2"/>
    <x v="3"/>
    <x v="43"/>
    <x v="14"/>
    <x v="5"/>
    <n v="0"/>
    <x v="2"/>
  </r>
  <r>
    <x v="30"/>
    <x v="1"/>
    <x v="325"/>
    <x v="2"/>
    <x v="3"/>
    <x v="43"/>
    <x v="14"/>
    <x v="6"/>
    <n v="0"/>
    <x v="2"/>
  </r>
  <r>
    <x v="30"/>
    <x v="1"/>
    <x v="325"/>
    <x v="2"/>
    <x v="3"/>
    <x v="43"/>
    <x v="14"/>
    <x v="7"/>
    <n v="0"/>
    <x v="2"/>
  </r>
  <r>
    <x v="30"/>
    <x v="1"/>
    <x v="325"/>
    <x v="2"/>
    <x v="3"/>
    <x v="43"/>
    <x v="14"/>
    <x v="8"/>
    <n v="0"/>
    <x v="2"/>
  </r>
  <r>
    <x v="30"/>
    <x v="1"/>
    <x v="325"/>
    <x v="2"/>
    <x v="3"/>
    <x v="43"/>
    <x v="14"/>
    <x v="9"/>
    <n v="0"/>
    <x v="2"/>
  </r>
  <r>
    <x v="30"/>
    <x v="1"/>
    <x v="325"/>
    <x v="2"/>
    <x v="3"/>
    <x v="43"/>
    <x v="14"/>
    <x v="10"/>
    <n v="0"/>
    <x v="2"/>
  </r>
  <r>
    <x v="30"/>
    <x v="1"/>
    <x v="325"/>
    <x v="2"/>
    <x v="3"/>
    <x v="43"/>
    <x v="14"/>
    <x v="12"/>
    <n v="0"/>
    <x v="2"/>
  </r>
  <r>
    <x v="30"/>
    <x v="1"/>
    <x v="326"/>
    <x v="0"/>
    <x v="1"/>
    <x v="45"/>
    <x v="0"/>
    <x v="0"/>
    <n v="0"/>
    <x v="2"/>
  </r>
  <r>
    <x v="30"/>
    <x v="1"/>
    <x v="326"/>
    <x v="0"/>
    <x v="1"/>
    <x v="45"/>
    <x v="0"/>
    <x v="1"/>
    <n v="0"/>
    <x v="2"/>
  </r>
  <r>
    <x v="30"/>
    <x v="1"/>
    <x v="326"/>
    <x v="0"/>
    <x v="1"/>
    <x v="45"/>
    <x v="0"/>
    <x v="2"/>
    <n v="0"/>
    <x v="2"/>
  </r>
  <r>
    <x v="30"/>
    <x v="1"/>
    <x v="326"/>
    <x v="0"/>
    <x v="1"/>
    <x v="45"/>
    <x v="0"/>
    <x v="3"/>
    <n v="0"/>
    <x v="2"/>
  </r>
  <r>
    <x v="30"/>
    <x v="1"/>
    <x v="326"/>
    <x v="0"/>
    <x v="1"/>
    <x v="45"/>
    <x v="0"/>
    <x v="4"/>
    <n v="0"/>
    <x v="2"/>
  </r>
  <r>
    <x v="30"/>
    <x v="1"/>
    <x v="326"/>
    <x v="0"/>
    <x v="1"/>
    <x v="45"/>
    <x v="0"/>
    <x v="5"/>
    <n v="0"/>
    <x v="2"/>
  </r>
  <r>
    <x v="30"/>
    <x v="1"/>
    <x v="326"/>
    <x v="0"/>
    <x v="1"/>
    <x v="45"/>
    <x v="0"/>
    <x v="6"/>
    <n v="0"/>
    <x v="2"/>
  </r>
  <r>
    <x v="30"/>
    <x v="1"/>
    <x v="326"/>
    <x v="0"/>
    <x v="1"/>
    <x v="45"/>
    <x v="0"/>
    <x v="7"/>
    <n v="0"/>
    <x v="2"/>
  </r>
  <r>
    <x v="30"/>
    <x v="1"/>
    <x v="326"/>
    <x v="0"/>
    <x v="1"/>
    <x v="45"/>
    <x v="0"/>
    <x v="8"/>
    <n v="0"/>
    <x v="2"/>
  </r>
  <r>
    <x v="30"/>
    <x v="1"/>
    <x v="326"/>
    <x v="0"/>
    <x v="1"/>
    <x v="45"/>
    <x v="0"/>
    <x v="9"/>
    <n v="0"/>
    <x v="2"/>
  </r>
  <r>
    <x v="30"/>
    <x v="1"/>
    <x v="326"/>
    <x v="0"/>
    <x v="1"/>
    <x v="45"/>
    <x v="0"/>
    <x v="10"/>
    <n v="0"/>
    <x v="2"/>
  </r>
  <r>
    <x v="30"/>
    <x v="1"/>
    <x v="326"/>
    <x v="0"/>
    <x v="1"/>
    <x v="45"/>
    <x v="0"/>
    <x v="12"/>
    <n v="0"/>
    <x v="2"/>
  </r>
  <r>
    <x v="30"/>
    <x v="1"/>
    <x v="327"/>
    <x v="2"/>
    <x v="3"/>
    <x v="44"/>
    <x v="14"/>
    <x v="0"/>
    <n v="0"/>
    <x v="2"/>
  </r>
  <r>
    <x v="30"/>
    <x v="1"/>
    <x v="327"/>
    <x v="2"/>
    <x v="3"/>
    <x v="44"/>
    <x v="14"/>
    <x v="1"/>
    <n v="0"/>
    <x v="2"/>
  </r>
  <r>
    <x v="30"/>
    <x v="1"/>
    <x v="327"/>
    <x v="2"/>
    <x v="3"/>
    <x v="44"/>
    <x v="14"/>
    <x v="2"/>
    <n v="0"/>
    <x v="2"/>
  </r>
  <r>
    <x v="30"/>
    <x v="1"/>
    <x v="327"/>
    <x v="2"/>
    <x v="3"/>
    <x v="44"/>
    <x v="14"/>
    <x v="3"/>
    <n v="0"/>
    <x v="2"/>
  </r>
  <r>
    <x v="30"/>
    <x v="1"/>
    <x v="327"/>
    <x v="2"/>
    <x v="3"/>
    <x v="44"/>
    <x v="14"/>
    <x v="4"/>
    <n v="0"/>
    <x v="2"/>
  </r>
  <r>
    <x v="30"/>
    <x v="1"/>
    <x v="327"/>
    <x v="2"/>
    <x v="3"/>
    <x v="44"/>
    <x v="14"/>
    <x v="5"/>
    <n v="0"/>
    <x v="2"/>
  </r>
  <r>
    <x v="30"/>
    <x v="1"/>
    <x v="327"/>
    <x v="2"/>
    <x v="3"/>
    <x v="44"/>
    <x v="14"/>
    <x v="6"/>
    <n v="0"/>
    <x v="2"/>
  </r>
  <r>
    <x v="30"/>
    <x v="1"/>
    <x v="327"/>
    <x v="2"/>
    <x v="3"/>
    <x v="44"/>
    <x v="14"/>
    <x v="7"/>
    <n v="0"/>
    <x v="2"/>
  </r>
  <r>
    <x v="30"/>
    <x v="1"/>
    <x v="327"/>
    <x v="2"/>
    <x v="3"/>
    <x v="44"/>
    <x v="14"/>
    <x v="8"/>
    <n v="0"/>
    <x v="2"/>
  </r>
  <r>
    <x v="30"/>
    <x v="1"/>
    <x v="327"/>
    <x v="2"/>
    <x v="3"/>
    <x v="44"/>
    <x v="14"/>
    <x v="9"/>
    <n v="0"/>
    <x v="2"/>
  </r>
  <r>
    <x v="30"/>
    <x v="1"/>
    <x v="327"/>
    <x v="2"/>
    <x v="3"/>
    <x v="44"/>
    <x v="14"/>
    <x v="10"/>
    <n v="0"/>
    <x v="2"/>
  </r>
  <r>
    <x v="30"/>
    <x v="1"/>
    <x v="327"/>
    <x v="2"/>
    <x v="3"/>
    <x v="44"/>
    <x v="14"/>
    <x v="12"/>
    <n v="0"/>
    <x v="2"/>
  </r>
  <r>
    <x v="30"/>
    <x v="0"/>
    <x v="328"/>
    <x v="2"/>
    <x v="3"/>
    <x v="4"/>
    <x v="14"/>
    <x v="0"/>
    <n v="0"/>
    <x v="2"/>
  </r>
  <r>
    <x v="30"/>
    <x v="0"/>
    <x v="328"/>
    <x v="2"/>
    <x v="3"/>
    <x v="4"/>
    <x v="14"/>
    <x v="1"/>
    <n v="0"/>
    <x v="2"/>
  </r>
  <r>
    <x v="30"/>
    <x v="0"/>
    <x v="328"/>
    <x v="2"/>
    <x v="3"/>
    <x v="4"/>
    <x v="14"/>
    <x v="2"/>
    <n v="0"/>
    <x v="2"/>
  </r>
  <r>
    <x v="30"/>
    <x v="0"/>
    <x v="328"/>
    <x v="2"/>
    <x v="3"/>
    <x v="4"/>
    <x v="14"/>
    <x v="3"/>
    <n v="0"/>
    <x v="2"/>
  </r>
  <r>
    <x v="30"/>
    <x v="0"/>
    <x v="328"/>
    <x v="2"/>
    <x v="3"/>
    <x v="4"/>
    <x v="14"/>
    <x v="4"/>
    <n v="0"/>
    <x v="2"/>
  </r>
  <r>
    <x v="30"/>
    <x v="0"/>
    <x v="328"/>
    <x v="2"/>
    <x v="3"/>
    <x v="4"/>
    <x v="14"/>
    <x v="5"/>
    <n v="0"/>
    <x v="2"/>
  </r>
  <r>
    <x v="30"/>
    <x v="0"/>
    <x v="328"/>
    <x v="2"/>
    <x v="3"/>
    <x v="4"/>
    <x v="14"/>
    <x v="6"/>
    <n v="0"/>
    <x v="2"/>
  </r>
  <r>
    <x v="30"/>
    <x v="0"/>
    <x v="328"/>
    <x v="2"/>
    <x v="3"/>
    <x v="4"/>
    <x v="14"/>
    <x v="7"/>
    <n v="0"/>
    <x v="2"/>
  </r>
  <r>
    <x v="30"/>
    <x v="0"/>
    <x v="328"/>
    <x v="2"/>
    <x v="3"/>
    <x v="4"/>
    <x v="14"/>
    <x v="8"/>
    <n v="535"/>
    <x v="2"/>
  </r>
  <r>
    <x v="30"/>
    <x v="0"/>
    <x v="328"/>
    <x v="2"/>
    <x v="3"/>
    <x v="4"/>
    <x v="14"/>
    <x v="9"/>
    <n v="535"/>
    <x v="2"/>
  </r>
  <r>
    <x v="30"/>
    <x v="0"/>
    <x v="328"/>
    <x v="2"/>
    <x v="3"/>
    <x v="4"/>
    <x v="14"/>
    <x v="10"/>
    <n v="535"/>
    <x v="2"/>
  </r>
  <r>
    <x v="30"/>
    <x v="0"/>
    <x v="328"/>
    <x v="2"/>
    <x v="3"/>
    <x v="4"/>
    <x v="14"/>
    <x v="12"/>
    <n v="535"/>
    <x v="2"/>
  </r>
  <r>
    <x v="30"/>
    <x v="0"/>
    <x v="173"/>
    <x v="2"/>
    <x v="7"/>
    <x v="25"/>
    <x v="14"/>
    <x v="0"/>
    <n v="66.86"/>
    <x v="2"/>
  </r>
  <r>
    <x v="30"/>
    <x v="0"/>
    <x v="173"/>
    <x v="2"/>
    <x v="7"/>
    <x v="25"/>
    <x v="14"/>
    <x v="1"/>
    <n v="248.68"/>
    <x v="2"/>
  </r>
  <r>
    <x v="30"/>
    <x v="0"/>
    <x v="173"/>
    <x v="2"/>
    <x v="7"/>
    <x v="25"/>
    <x v="14"/>
    <x v="2"/>
    <n v="13.2"/>
    <x v="2"/>
  </r>
  <r>
    <x v="30"/>
    <x v="0"/>
    <x v="173"/>
    <x v="2"/>
    <x v="7"/>
    <x v="25"/>
    <x v="14"/>
    <x v="3"/>
    <n v="16.62"/>
    <x v="2"/>
  </r>
  <r>
    <x v="30"/>
    <x v="0"/>
    <x v="173"/>
    <x v="2"/>
    <x v="7"/>
    <x v="25"/>
    <x v="14"/>
    <x v="4"/>
    <n v="17.09"/>
    <x v="2"/>
  </r>
  <r>
    <x v="30"/>
    <x v="0"/>
    <x v="173"/>
    <x v="2"/>
    <x v="7"/>
    <x v="25"/>
    <x v="14"/>
    <x v="5"/>
    <n v="774.1"/>
    <x v="2"/>
  </r>
  <r>
    <x v="30"/>
    <x v="0"/>
    <x v="173"/>
    <x v="2"/>
    <x v="7"/>
    <x v="25"/>
    <x v="14"/>
    <x v="6"/>
    <n v="908"/>
    <x v="2"/>
  </r>
  <r>
    <x v="30"/>
    <x v="0"/>
    <x v="173"/>
    <x v="2"/>
    <x v="7"/>
    <x v="25"/>
    <x v="14"/>
    <x v="7"/>
    <n v="37.1"/>
    <x v="2"/>
  </r>
  <r>
    <x v="30"/>
    <x v="0"/>
    <x v="173"/>
    <x v="2"/>
    <x v="7"/>
    <x v="25"/>
    <x v="14"/>
    <x v="8"/>
    <n v="437"/>
    <x v="2"/>
  </r>
  <r>
    <x v="30"/>
    <x v="0"/>
    <x v="173"/>
    <x v="2"/>
    <x v="7"/>
    <x v="25"/>
    <x v="14"/>
    <x v="9"/>
    <n v="437"/>
    <x v="2"/>
  </r>
  <r>
    <x v="30"/>
    <x v="0"/>
    <x v="173"/>
    <x v="2"/>
    <x v="7"/>
    <x v="25"/>
    <x v="14"/>
    <x v="10"/>
    <n v="437"/>
    <x v="2"/>
  </r>
  <r>
    <x v="30"/>
    <x v="0"/>
    <x v="173"/>
    <x v="2"/>
    <x v="7"/>
    <x v="25"/>
    <x v="14"/>
    <x v="12"/>
    <n v="437"/>
    <x v="2"/>
  </r>
  <r>
    <x v="30"/>
    <x v="0"/>
    <x v="329"/>
    <x v="2"/>
    <x v="3"/>
    <x v="19"/>
    <x v="14"/>
    <x v="0"/>
    <n v="1114.71"/>
    <x v="2"/>
  </r>
  <r>
    <x v="30"/>
    <x v="0"/>
    <x v="329"/>
    <x v="2"/>
    <x v="3"/>
    <x v="19"/>
    <x v="14"/>
    <x v="1"/>
    <n v="1114.71"/>
    <x v="2"/>
  </r>
  <r>
    <x v="30"/>
    <x v="0"/>
    <x v="329"/>
    <x v="2"/>
    <x v="3"/>
    <x v="19"/>
    <x v="14"/>
    <x v="2"/>
    <n v="1365.52"/>
    <x v="2"/>
  </r>
  <r>
    <x v="30"/>
    <x v="0"/>
    <x v="329"/>
    <x v="2"/>
    <x v="3"/>
    <x v="19"/>
    <x v="14"/>
    <x v="3"/>
    <n v="1114.708163265306"/>
    <x v="2"/>
  </r>
  <r>
    <x v="30"/>
    <x v="0"/>
    <x v="329"/>
    <x v="2"/>
    <x v="3"/>
    <x v="19"/>
    <x v="14"/>
    <x v="4"/>
    <n v="1185.24"/>
    <x v="2"/>
  </r>
  <r>
    <x v="30"/>
    <x v="0"/>
    <x v="329"/>
    <x v="2"/>
    <x v="3"/>
    <x v="19"/>
    <x v="14"/>
    <x v="5"/>
    <n v="1085.83"/>
    <x v="2"/>
  </r>
  <r>
    <x v="30"/>
    <x v="0"/>
    <x v="329"/>
    <x v="2"/>
    <x v="3"/>
    <x v="19"/>
    <x v="14"/>
    <x v="6"/>
    <n v="1042"/>
    <x v="2"/>
  </r>
  <r>
    <x v="30"/>
    <x v="0"/>
    <x v="329"/>
    <x v="2"/>
    <x v="3"/>
    <x v="19"/>
    <x v="14"/>
    <x v="7"/>
    <n v="1090.74"/>
    <x v="2"/>
  </r>
  <r>
    <x v="30"/>
    <x v="0"/>
    <x v="329"/>
    <x v="2"/>
    <x v="3"/>
    <x v="19"/>
    <x v="14"/>
    <x v="8"/>
    <n v="1108"/>
    <x v="2"/>
  </r>
  <r>
    <x v="30"/>
    <x v="0"/>
    <x v="329"/>
    <x v="2"/>
    <x v="3"/>
    <x v="19"/>
    <x v="14"/>
    <x v="9"/>
    <n v="1108"/>
    <x v="2"/>
  </r>
  <r>
    <x v="30"/>
    <x v="0"/>
    <x v="329"/>
    <x v="2"/>
    <x v="3"/>
    <x v="19"/>
    <x v="14"/>
    <x v="10"/>
    <n v="1108"/>
    <x v="2"/>
  </r>
  <r>
    <x v="30"/>
    <x v="0"/>
    <x v="329"/>
    <x v="2"/>
    <x v="3"/>
    <x v="19"/>
    <x v="14"/>
    <x v="12"/>
    <n v="1108"/>
    <x v="2"/>
  </r>
  <r>
    <x v="30"/>
    <x v="0"/>
    <x v="330"/>
    <x v="2"/>
    <x v="3"/>
    <x v="48"/>
    <x v="14"/>
    <x v="0"/>
    <n v="0"/>
    <x v="2"/>
  </r>
  <r>
    <x v="30"/>
    <x v="0"/>
    <x v="330"/>
    <x v="2"/>
    <x v="3"/>
    <x v="48"/>
    <x v="14"/>
    <x v="1"/>
    <n v="0"/>
    <x v="2"/>
  </r>
  <r>
    <x v="30"/>
    <x v="0"/>
    <x v="330"/>
    <x v="2"/>
    <x v="3"/>
    <x v="48"/>
    <x v="14"/>
    <x v="2"/>
    <n v="0"/>
    <x v="2"/>
  </r>
  <r>
    <x v="30"/>
    <x v="0"/>
    <x v="330"/>
    <x v="2"/>
    <x v="3"/>
    <x v="48"/>
    <x v="14"/>
    <x v="3"/>
    <n v="0"/>
    <x v="2"/>
  </r>
  <r>
    <x v="30"/>
    <x v="0"/>
    <x v="330"/>
    <x v="2"/>
    <x v="3"/>
    <x v="48"/>
    <x v="14"/>
    <x v="4"/>
    <n v="0"/>
    <x v="2"/>
  </r>
  <r>
    <x v="30"/>
    <x v="0"/>
    <x v="330"/>
    <x v="2"/>
    <x v="3"/>
    <x v="48"/>
    <x v="14"/>
    <x v="5"/>
    <n v="0"/>
    <x v="2"/>
  </r>
  <r>
    <x v="30"/>
    <x v="0"/>
    <x v="330"/>
    <x v="2"/>
    <x v="3"/>
    <x v="48"/>
    <x v="14"/>
    <x v="6"/>
    <n v="0"/>
    <x v="2"/>
  </r>
  <r>
    <x v="30"/>
    <x v="0"/>
    <x v="330"/>
    <x v="2"/>
    <x v="3"/>
    <x v="48"/>
    <x v="14"/>
    <x v="7"/>
    <n v="0"/>
    <x v="2"/>
  </r>
  <r>
    <x v="30"/>
    <x v="0"/>
    <x v="330"/>
    <x v="2"/>
    <x v="3"/>
    <x v="48"/>
    <x v="14"/>
    <x v="8"/>
    <n v="0"/>
    <x v="2"/>
  </r>
  <r>
    <x v="30"/>
    <x v="0"/>
    <x v="330"/>
    <x v="2"/>
    <x v="3"/>
    <x v="48"/>
    <x v="14"/>
    <x v="9"/>
    <n v="0"/>
    <x v="2"/>
  </r>
  <r>
    <x v="30"/>
    <x v="0"/>
    <x v="330"/>
    <x v="2"/>
    <x v="3"/>
    <x v="48"/>
    <x v="14"/>
    <x v="10"/>
    <n v="0"/>
    <x v="2"/>
  </r>
  <r>
    <x v="30"/>
    <x v="0"/>
    <x v="330"/>
    <x v="2"/>
    <x v="3"/>
    <x v="48"/>
    <x v="14"/>
    <x v="12"/>
    <n v="0"/>
    <x v="2"/>
  </r>
  <r>
    <x v="30"/>
    <x v="1"/>
    <x v="331"/>
    <x v="2"/>
    <x v="3"/>
    <x v="46"/>
    <x v="14"/>
    <x v="0"/>
    <n v="959.98"/>
    <x v="2"/>
  </r>
  <r>
    <x v="30"/>
    <x v="1"/>
    <x v="331"/>
    <x v="2"/>
    <x v="3"/>
    <x v="46"/>
    <x v="14"/>
    <x v="1"/>
    <n v="747.65"/>
    <x v="2"/>
  </r>
  <r>
    <x v="30"/>
    <x v="1"/>
    <x v="331"/>
    <x v="2"/>
    <x v="3"/>
    <x v="46"/>
    <x v="14"/>
    <x v="2"/>
    <n v="871.88"/>
    <x v="2"/>
  </r>
  <r>
    <x v="30"/>
    <x v="1"/>
    <x v="331"/>
    <x v="2"/>
    <x v="3"/>
    <x v="46"/>
    <x v="14"/>
    <x v="3"/>
    <n v="835.68"/>
    <x v="2"/>
  </r>
  <r>
    <x v="30"/>
    <x v="1"/>
    <x v="331"/>
    <x v="2"/>
    <x v="3"/>
    <x v="46"/>
    <x v="14"/>
    <x v="4"/>
    <n v="2697.45"/>
    <x v="2"/>
  </r>
  <r>
    <x v="30"/>
    <x v="1"/>
    <x v="331"/>
    <x v="2"/>
    <x v="3"/>
    <x v="46"/>
    <x v="14"/>
    <x v="5"/>
    <n v="708.7"/>
    <x v="2"/>
  </r>
  <r>
    <x v="30"/>
    <x v="1"/>
    <x v="331"/>
    <x v="2"/>
    <x v="3"/>
    <x v="46"/>
    <x v="14"/>
    <x v="6"/>
    <n v="734"/>
    <x v="2"/>
  </r>
  <r>
    <x v="30"/>
    <x v="1"/>
    <x v="331"/>
    <x v="2"/>
    <x v="3"/>
    <x v="46"/>
    <x v="14"/>
    <x v="7"/>
    <n v="3200.86"/>
    <x v="2"/>
  </r>
  <r>
    <x v="30"/>
    <x v="1"/>
    <x v="331"/>
    <x v="2"/>
    <x v="3"/>
    <x v="46"/>
    <x v="14"/>
    <x v="8"/>
    <n v="11336"/>
    <x v="2"/>
  </r>
  <r>
    <x v="30"/>
    <x v="1"/>
    <x v="331"/>
    <x v="2"/>
    <x v="3"/>
    <x v="46"/>
    <x v="14"/>
    <x v="9"/>
    <n v="860"/>
    <x v="2"/>
  </r>
  <r>
    <x v="30"/>
    <x v="1"/>
    <x v="331"/>
    <x v="2"/>
    <x v="3"/>
    <x v="46"/>
    <x v="14"/>
    <x v="10"/>
    <n v="860"/>
    <x v="2"/>
  </r>
  <r>
    <x v="30"/>
    <x v="1"/>
    <x v="331"/>
    <x v="2"/>
    <x v="3"/>
    <x v="46"/>
    <x v="14"/>
    <x v="12"/>
    <n v="860"/>
    <x v="2"/>
  </r>
  <r>
    <x v="30"/>
    <x v="1"/>
    <x v="332"/>
    <x v="2"/>
    <x v="3"/>
    <x v="49"/>
    <x v="14"/>
    <x v="0"/>
    <n v="0"/>
    <x v="2"/>
  </r>
  <r>
    <x v="30"/>
    <x v="1"/>
    <x v="332"/>
    <x v="2"/>
    <x v="3"/>
    <x v="49"/>
    <x v="14"/>
    <x v="1"/>
    <n v="0"/>
    <x v="2"/>
  </r>
  <r>
    <x v="30"/>
    <x v="1"/>
    <x v="332"/>
    <x v="2"/>
    <x v="3"/>
    <x v="49"/>
    <x v="14"/>
    <x v="2"/>
    <n v="0"/>
    <x v="2"/>
  </r>
  <r>
    <x v="30"/>
    <x v="1"/>
    <x v="332"/>
    <x v="2"/>
    <x v="3"/>
    <x v="49"/>
    <x v="14"/>
    <x v="3"/>
    <n v="0"/>
    <x v="2"/>
  </r>
  <r>
    <x v="30"/>
    <x v="1"/>
    <x v="332"/>
    <x v="2"/>
    <x v="3"/>
    <x v="49"/>
    <x v="14"/>
    <x v="4"/>
    <n v="0"/>
    <x v="2"/>
  </r>
  <r>
    <x v="30"/>
    <x v="1"/>
    <x v="332"/>
    <x v="2"/>
    <x v="3"/>
    <x v="49"/>
    <x v="14"/>
    <x v="5"/>
    <n v="0"/>
    <x v="2"/>
  </r>
  <r>
    <x v="30"/>
    <x v="1"/>
    <x v="332"/>
    <x v="2"/>
    <x v="3"/>
    <x v="49"/>
    <x v="14"/>
    <x v="6"/>
    <n v="0"/>
    <x v="2"/>
  </r>
  <r>
    <x v="30"/>
    <x v="1"/>
    <x v="332"/>
    <x v="2"/>
    <x v="3"/>
    <x v="49"/>
    <x v="14"/>
    <x v="7"/>
    <n v="0"/>
    <x v="2"/>
  </r>
  <r>
    <x v="30"/>
    <x v="1"/>
    <x v="332"/>
    <x v="2"/>
    <x v="3"/>
    <x v="49"/>
    <x v="14"/>
    <x v="8"/>
    <n v="0"/>
    <x v="2"/>
  </r>
  <r>
    <x v="30"/>
    <x v="1"/>
    <x v="332"/>
    <x v="2"/>
    <x v="3"/>
    <x v="49"/>
    <x v="14"/>
    <x v="9"/>
    <n v="0"/>
    <x v="2"/>
  </r>
  <r>
    <x v="30"/>
    <x v="1"/>
    <x v="332"/>
    <x v="2"/>
    <x v="3"/>
    <x v="49"/>
    <x v="14"/>
    <x v="10"/>
    <n v="0"/>
    <x v="2"/>
  </r>
  <r>
    <x v="30"/>
    <x v="1"/>
    <x v="332"/>
    <x v="2"/>
    <x v="3"/>
    <x v="49"/>
    <x v="14"/>
    <x v="12"/>
    <n v="0"/>
    <x v="2"/>
  </r>
  <r>
    <x v="30"/>
    <x v="1"/>
    <x v="371"/>
    <x v="0"/>
    <x v="3"/>
    <x v="11"/>
    <x v="0"/>
    <x v="0"/>
    <n v="0"/>
    <x v="2"/>
  </r>
  <r>
    <x v="30"/>
    <x v="1"/>
    <x v="371"/>
    <x v="0"/>
    <x v="3"/>
    <x v="11"/>
    <x v="0"/>
    <x v="1"/>
    <n v="0"/>
    <x v="2"/>
  </r>
  <r>
    <x v="30"/>
    <x v="1"/>
    <x v="371"/>
    <x v="0"/>
    <x v="3"/>
    <x v="11"/>
    <x v="0"/>
    <x v="2"/>
    <n v="0"/>
    <x v="2"/>
  </r>
  <r>
    <x v="30"/>
    <x v="1"/>
    <x v="371"/>
    <x v="0"/>
    <x v="3"/>
    <x v="11"/>
    <x v="0"/>
    <x v="3"/>
    <n v="1614.26"/>
    <x v="2"/>
  </r>
  <r>
    <x v="30"/>
    <x v="1"/>
    <x v="371"/>
    <x v="0"/>
    <x v="3"/>
    <x v="11"/>
    <x v="0"/>
    <x v="4"/>
    <n v="0"/>
    <x v="2"/>
  </r>
  <r>
    <x v="30"/>
    <x v="1"/>
    <x v="371"/>
    <x v="0"/>
    <x v="3"/>
    <x v="11"/>
    <x v="0"/>
    <x v="5"/>
    <n v="0"/>
    <x v="2"/>
  </r>
  <r>
    <x v="30"/>
    <x v="1"/>
    <x v="371"/>
    <x v="0"/>
    <x v="3"/>
    <x v="11"/>
    <x v="0"/>
    <x v="6"/>
    <n v="0"/>
    <x v="2"/>
  </r>
  <r>
    <x v="30"/>
    <x v="1"/>
    <x v="371"/>
    <x v="0"/>
    <x v="3"/>
    <x v="11"/>
    <x v="0"/>
    <x v="7"/>
    <n v="0"/>
    <x v="2"/>
  </r>
  <r>
    <x v="30"/>
    <x v="1"/>
    <x v="371"/>
    <x v="0"/>
    <x v="3"/>
    <x v="11"/>
    <x v="0"/>
    <x v="8"/>
    <n v="0"/>
    <x v="2"/>
  </r>
  <r>
    <x v="30"/>
    <x v="1"/>
    <x v="371"/>
    <x v="0"/>
    <x v="3"/>
    <x v="11"/>
    <x v="0"/>
    <x v="9"/>
    <n v="0"/>
    <x v="2"/>
  </r>
  <r>
    <x v="30"/>
    <x v="1"/>
    <x v="371"/>
    <x v="0"/>
    <x v="3"/>
    <x v="11"/>
    <x v="0"/>
    <x v="10"/>
    <n v="0"/>
    <x v="2"/>
  </r>
  <r>
    <x v="30"/>
    <x v="1"/>
    <x v="371"/>
    <x v="0"/>
    <x v="3"/>
    <x v="11"/>
    <x v="0"/>
    <x v="12"/>
    <n v="0"/>
    <x v="2"/>
  </r>
  <r>
    <x v="30"/>
    <x v="1"/>
    <x v="372"/>
    <x v="0"/>
    <x v="9"/>
    <x v="36"/>
    <x v="14"/>
    <x v="0"/>
    <n v="519.1"/>
    <x v="2"/>
  </r>
  <r>
    <x v="30"/>
    <x v="1"/>
    <x v="372"/>
    <x v="0"/>
    <x v="9"/>
    <x v="36"/>
    <x v="14"/>
    <x v="1"/>
    <n v="733.06"/>
    <x v="2"/>
  </r>
  <r>
    <x v="30"/>
    <x v="1"/>
    <x v="372"/>
    <x v="0"/>
    <x v="9"/>
    <x v="36"/>
    <x v="14"/>
    <x v="2"/>
    <n v="449"/>
    <x v="2"/>
  </r>
  <r>
    <x v="30"/>
    <x v="1"/>
    <x v="372"/>
    <x v="0"/>
    <x v="9"/>
    <x v="36"/>
    <x v="14"/>
    <x v="3"/>
    <n v="366.53"/>
    <x v="2"/>
  </r>
  <r>
    <x v="30"/>
    <x v="1"/>
    <x v="372"/>
    <x v="0"/>
    <x v="9"/>
    <x v="36"/>
    <x v="14"/>
    <x v="4"/>
    <n v="366.55"/>
    <x v="2"/>
  </r>
  <r>
    <x v="30"/>
    <x v="1"/>
    <x v="372"/>
    <x v="0"/>
    <x v="9"/>
    <x v="36"/>
    <x v="14"/>
    <x v="5"/>
    <n v="766.77"/>
    <x v="2"/>
  </r>
  <r>
    <x v="30"/>
    <x v="1"/>
    <x v="372"/>
    <x v="0"/>
    <x v="9"/>
    <x v="36"/>
    <x v="14"/>
    <x v="6"/>
    <n v="0"/>
    <x v="2"/>
  </r>
  <r>
    <x v="30"/>
    <x v="1"/>
    <x v="372"/>
    <x v="0"/>
    <x v="9"/>
    <x v="36"/>
    <x v="14"/>
    <x v="7"/>
    <n v="364.9"/>
    <x v="2"/>
  </r>
  <r>
    <x v="30"/>
    <x v="1"/>
    <x v="372"/>
    <x v="0"/>
    <x v="9"/>
    <x v="36"/>
    <x v="14"/>
    <x v="8"/>
    <n v="362"/>
    <x v="2"/>
  </r>
  <r>
    <x v="30"/>
    <x v="1"/>
    <x v="372"/>
    <x v="0"/>
    <x v="9"/>
    <x v="36"/>
    <x v="14"/>
    <x v="9"/>
    <n v="362"/>
    <x v="2"/>
  </r>
  <r>
    <x v="30"/>
    <x v="1"/>
    <x v="372"/>
    <x v="0"/>
    <x v="9"/>
    <x v="36"/>
    <x v="14"/>
    <x v="10"/>
    <n v="362"/>
    <x v="2"/>
  </r>
  <r>
    <x v="30"/>
    <x v="1"/>
    <x v="372"/>
    <x v="0"/>
    <x v="9"/>
    <x v="36"/>
    <x v="14"/>
    <x v="12"/>
    <n v="362"/>
    <x v="2"/>
  </r>
  <r>
    <x v="30"/>
    <x v="1"/>
    <x v="373"/>
    <x v="0"/>
    <x v="9"/>
    <x v="36"/>
    <x v="14"/>
    <x v="0"/>
    <n v="1263.2163265306122"/>
    <x v="2"/>
  </r>
  <r>
    <x v="30"/>
    <x v="1"/>
    <x v="373"/>
    <x v="0"/>
    <x v="9"/>
    <x v="36"/>
    <x v="14"/>
    <x v="1"/>
    <n v="329.77"/>
    <x v="2"/>
  </r>
  <r>
    <x v="30"/>
    <x v="1"/>
    <x v="373"/>
    <x v="0"/>
    <x v="9"/>
    <x v="36"/>
    <x v="14"/>
    <x v="2"/>
    <n v="77.510000000000005"/>
    <x v="2"/>
  </r>
  <r>
    <x v="30"/>
    <x v="1"/>
    <x v="373"/>
    <x v="0"/>
    <x v="9"/>
    <x v="36"/>
    <x v="14"/>
    <x v="3"/>
    <n v="67.3"/>
    <x v="2"/>
  </r>
  <r>
    <x v="30"/>
    <x v="1"/>
    <x v="373"/>
    <x v="0"/>
    <x v="9"/>
    <x v="36"/>
    <x v="14"/>
    <x v="4"/>
    <n v="128.16"/>
    <x v="2"/>
  </r>
  <r>
    <x v="30"/>
    <x v="1"/>
    <x v="373"/>
    <x v="0"/>
    <x v="9"/>
    <x v="36"/>
    <x v="14"/>
    <x v="5"/>
    <n v="49.39"/>
    <x v="2"/>
  </r>
  <r>
    <x v="30"/>
    <x v="1"/>
    <x v="373"/>
    <x v="0"/>
    <x v="9"/>
    <x v="36"/>
    <x v="14"/>
    <x v="6"/>
    <n v="152"/>
    <x v="2"/>
  </r>
  <r>
    <x v="30"/>
    <x v="1"/>
    <x v="373"/>
    <x v="0"/>
    <x v="9"/>
    <x v="36"/>
    <x v="14"/>
    <x v="7"/>
    <n v="750.73"/>
    <x v="2"/>
  </r>
  <r>
    <x v="30"/>
    <x v="1"/>
    <x v="373"/>
    <x v="0"/>
    <x v="9"/>
    <x v="36"/>
    <x v="14"/>
    <x v="8"/>
    <n v="864"/>
    <x v="2"/>
  </r>
  <r>
    <x v="30"/>
    <x v="1"/>
    <x v="373"/>
    <x v="0"/>
    <x v="9"/>
    <x v="36"/>
    <x v="14"/>
    <x v="9"/>
    <n v="864"/>
    <x v="2"/>
  </r>
  <r>
    <x v="30"/>
    <x v="1"/>
    <x v="373"/>
    <x v="0"/>
    <x v="9"/>
    <x v="36"/>
    <x v="14"/>
    <x v="10"/>
    <n v="864"/>
    <x v="2"/>
  </r>
  <r>
    <x v="30"/>
    <x v="1"/>
    <x v="373"/>
    <x v="0"/>
    <x v="9"/>
    <x v="36"/>
    <x v="14"/>
    <x v="12"/>
    <n v="864"/>
    <x v="2"/>
  </r>
  <r>
    <x v="30"/>
    <x v="1"/>
    <x v="374"/>
    <x v="0"/>
    <x v="9"/>
    <x v="36"/>
    <x v="14"/>
    <x v="0"/>
    <n v="407.50204081632648"/>
    <x v="2"/>
  </r>
  <r>
    <x v="30"/>
    <x v="1"/>
    <x v="374"/>
    <x v="0"/>
    <x v="9"/>
    <x v="36"/>
    <x v="14"/>
    <x v="1"/>
    <n v="54.67"/>
    <x v="2"/>
  </r>
  <r>
    <x v="30"/>
    <x v="1"/>
    <x v="374"/>
    <x v="0"/>
    <x v="9"/>
    <x v="36"/>
    <x v="14"/>
    <x v="2"/>
    <n v="3111.62"/>
    <x v="2"/>
  </r>
  <r>
    <x v="30"/>
    <x v="1"/>
    <x v="374"/>
    <x v="0"/>
    <x v="9"/>
    <x v="36"/>
    <x v="14"/>
    <x v="3"/>
    <n v="2540.1"/>
    <x v="2"/>
  </r>
  <r>
    <x v="30"/>
    <x v="1"/>
    <x v="374"/>
    <x v="0"/>
    <x v="9"/>
    <x v="36"/>
    <x v="14"/>
    <x v="4"/>
    <n v="2540.1"/>
    <x v="2"/>
  </r>
  <r>
    <x v="30"/>
    <x v="1"/>
    <x v="374"/>
    <x v="0"/>
    <x v="9"/>
    <x v="36"/>
    <x v="14"/>
    <x v="5"/>
    <n v="2447.69"/>
    <x v="2"/>
  </r>
  <r>
    <x v="30"/>
    <x v="1"/>
    <x v="374"/>
    <x v="0"/>
    <x v="9"/>
    <x v="36"/>
    <x v="14"/>
    <x v="6"/>
    <n v="2457"/>
    <x v="2"/>
  </r>
  <r>
    <x v="30"/>
    <x v="1"/>
    <x v="374"/>
    <x v="0"/>
    <x v="9"/>
    <x v="36"/>
    <x v="14"/>
    <x v="7"/>
    <n v="2478.54"/>
    <x v="2"/>
  </r>
  <r>
    <x v="30"/>
    <x v="1"/>
    <x v="374"/>
    <x v="0"/>
    <x v="9"/>
    <x v="36"/>
    <x v="14"/>
    <x v="8"/>
    <n v="2438"/>
    <x v="2"/>
  </r>
  <r>
    <x v="30"/>
    <x v="1"/>
    <x v="374"/>
    <x v="0"/>
    <x v="9"/>
    <x v="36"/>
    <x v="14"/>
    <x v="9"/>
    <n v="2438"/>
    <x v="2"/>
  </r>
  <r>
    <x v="30"/>
    <x v="1"/>
    <x v="374"/>
    <x v="0"/>
    <x v="9"/>
    <x v="36"/>
    <x v="14"/>
    <x v="10"/>
    <n v="2438"/>
    <x v="2"/>
  </r>
  <r>
    <x v="30"/>
    <x v="1"/>
    <x v="374"/>
    <x v="0"/>
    <x v="9"/>
    <x v="36"/>
    <x v="14"/>
    <x v="12"/>
    <n v="2438"/>
    <x v="2"/>
  </r>
  <r>
    <x v="30"/>
    <x v="1"/>
    <x v="375"/>
    <x v="0"/>
    <x v="9"/>
    <x v="36"/>
    <x v="14"/>
    <x v="0"/>
    <n v="2973.5122448979587"/>
    <x v="2"/>
  </r>
  <r>
    <x v="30"/>
    <x v="1"/>
    <x v="375"/>
    <x v="0"/>
    <x v="9"/>
    <x v="36"/>
    <x v="14"/>
    <x v="1"/>
    <n v="2548.19"/>
    <x v="2"/>
  </r>
  <r>
    <x v="30"/>
    <x v="1"/>
    <x v="375"/>
    <x v="0"/>
    <x v="9"/>
    <x v="36"/>
    <x v="14"/>
    <x v="2"/>
    <n v="0"/>
    <x v="2"/>
  </r>
  <r>
    <x v="30"/>
    <x v="1"/>
    <x v="375"/>
    <x v="0"/>
    <x v="9"/>
    <x v="36"/>
    <x v="14"/>
    <x v="3"/>
    <n v="208.62"/>
    <x v="2"/>
  </r>
  <r>
    <x v="30"/>
    <x v="1"/>
    <x v="375"/>
    <x v="0"/>
    <x v="9"/>
    <x v="36"/>
    <x v="14"/>
    <x v="4"/>
    <n v="397.32"/>
    <x v="2"/>
  </r>
  <r>
    <x v="30"/>
    <x v="1"/>
    <x v="375"/>
    <x v="0"/>
    <x v="9"/>
    <x v="36"/>
    <x v="14"/>
    <x v="5"/>
    <n v="415.37"/>
    <x v="2"/>
  </r>
  <r>
    <x v="30"/>
    <x v="1"/>
    <x v="375"/>
    <x v="0"/>
    <x v="9"/>
    <x v="36"/>
    <x v="14"/>
    <x v="6"/>
    <n v="96"/>
    <x v="2"/>
  </r>
  <r>
    <x v="30"/>
    <x v="1"/>
    <x v="375"/>
    <x v="0"/>
    <x v="9"/>
    <x v="36"/>
    <x v="14"/>
    <x v="7"/>
    <n v="242.17"/>
    <x v="2"/>
  </r>
  <r>
    <x v="30"/>
    <x v="1"/>
    <x v="375"/>
    <x v="0"/>
    <x v="9"/>
    <x v="36"/>
    <x v="14"/>
    <x v="8"/>
    <n v="0"/>
    <x v="2"/>
  </r>
  <r>
    <x v="30"/>
    <x v="1"/>
    <x v="375"/>
    <x v="0"/>
    <x v="9"/>
    <x v="36"/>
    <x v="14"/>
    <x v="9"/>
    <n v="0"/>
    <x v="2"/>
  </r>
  <r>
    <x v="30"/>
    <x v="1"/>
    <x v="375"/>
    <x v="0"/>
    <x v="9"/>
    <x v="36"/>
    <x v="14"/>
    <x v="10"/>
    <n v="0"/>
    <x v="2"/>
  </r>
  <r>
    <x v="30"/>
    <x v="1"/>
    <x v="375"/>
    <x v="0"/>
    <x v="9"/>
    <x v="36"/>
    <x v="14"/>
    <x v="12"/>
    <n v="0"/>
    <x v="2"/>
  </r>
  <r>
    <x v="30"/>
    <x v="1"/>
    <x v="376"/>
    <x v="0"/>
    <x v="9"/>
    <x v="36"/>
    <x v="14"/>
    <x v="0"/>
    <n v="9885.3795918367341"/>
    <x v="2"/>
  </r>
  <r>
    <x v="30"/>
    <x v="1"/>
    <x v="376"/>
    <x v="0"/>
    <x v="9"/>
    <x v="36"/>
    <x v="14"/>
    <x v="1"/>
    <n v="2514"/>
    <x v="2"/>
  </r>
  <r>
    <x v="30"/>
    <x v="1"/>
    <x v="376"/>
    <x v="0"/>
    <x v="9"/>
    <x v="36"/>
    <x v="14"/>
    <x v="2"/>
    <n v="2969.32"/>
    <x v="2"/>
  </r>
  <r>
    <x v="30"/>
    <x v="1"/>
    <x v="376"/>
    <x v="0"/>
    <x v="9"/>
    <x v="36"/>
    <x v="14"/>
    <x v="3"/>
    <n v="2987.78"/>
    <x v="2"/>
  </r>
  <r>
    <x v="30"/>
    <x v="1"/>
    <x v="376"/>
    <x v="0"/>
    <x v="9"/>
    <x v="36"/>
    <x v="14"/>
    <x v="4"/>
    <n v="5731.87"/>
    <x v="2"/>
  </r>
  <r>
    <x v="30"/>
    <x v="1"/>
    <x v="376"/>
    <x v="0"/>
    <x v="9"/>
    <x v="36"/>
    <x v="14"/>
    <x v="5"/>
    <n v="614.37"/>
    <x v="2"/>
  </r>
  <r>
    <x v="30"/>
    <x v="1"/>
    <x v="376"/>
    <x v="0"/>
    <x v="9"/>
    <x v="36"/>
    <x v="14"/>
    <x v="6"/>
    <n v="735"/>
    <x v="2"/>
  </r>
  <r>
    <x v="30"/>
    <x v="1"/>
    <x v="376"/>
    <x v="0"/>
    <x v="9"/>
    <x v="36"/>
    <x v="14"/>
    <x v="7"/>
    <n v="5011.09"/>
    <x v="2"/>
  </r>
  <r>
    <x v="30"/>
    <x v="1"/>
    <x v="376"/>
    <x v="0"/>
    <x v="9"/>
    <x v="36"/>
    <x v="14"/>
    <x v="8"/>
    <n v="2989"/>
    <x v="2"/>
  </r>
  <r>
    <x v="30"/>
    <x v="1"/>
    <x v="376"/>
    <x v="0"/>
    <x v="9"/>
    <x v="36"/>
    <x v="14"/>
    <x v="9"/>
    <n v="2989"/>
    <x v="2"/>
  </r>
  <r>
    <x v="30"/>
    <x v="1"/>
    <x v="376"/>
    <x v="0"/>
    <x v="9"/>
    <x v="36"/>
    <x v="14"/>
    <x v="10"/>
    <n v="2989"/>
    <x v="2"/>
  </r>
  <r>
    <x v="30"/>
    <x v="1"/>
    <x v="376"/>
    <x v="0"/>
    <x v="9"/>
    <x v="36"/>
    <x v="14"/>
    <x v="12"/>
    <n v="2989"/>
    <x v="2"/>
  </r>
  <r>
    <x v="30"/>
    <x v="1"/>
    <x v="377"/>
    <x v="0"/>
    <x v="9"/>
    <x v="36"/>
    <x v="14"/>
    <x v="0"/>
    <n v="9141.2510204081627"/>
    <x v="2"/>
  </r>
  <r>
    <x v="30"/>
    <x v="1"/>
    <x v="377"/>
    <x v="0"/>
    <x v="9"/>
    <x v="36"/>
    <x v="14"/>
    <x v="1"/>
    <n v="0"/>
    <x v="2"/>
  </r>
  <r>
    <x v="30"/>
    <x v="1"/>
    <x v="377"/>
    <x v="0"/>
    <x v="9"/>
    <x v="36"/>
    <x v="14"/>
    <x v="2"/>
    <n v="0"/>
    <x v="2"/>
  </r>
  <r>
    <x v="30"/>
    <x v="1"/>
    <x v="377"/>
    <x v="0"/>
    <x v="9"/>
    <x v="36"/>
    <x v="14"/>
    <x v="3"/>
    <n v="5015.09"/>
    <x v="2"/>
  </r>
  <r>
    <x v="30"/>
    <x v="1"/>
    <x v="377"/>
    <x v="0"/>
    <x v="9"/>
    <x v="36"/>
    <x v="14"/>
    <x v="4"/>
    <n v="0"/>
    <x v="2"/>
  </r>
  <r>
    <x v="30"/>
    <x v="1"/>
    <x v="377"/>
    <x v="0"/>
    <x v="9"/>
    <x v="36"/>
    <x v="14"/>
    <x v="5"/>
    <n v="0"/>
    <x v="2"/>
  </r>
  <r>
    <x v="30"/>
    <x v="1"/>
    <x v="377"/>
    <x v="0"/>
    <x v="9"/>
    <x v="36"/>
    <x v="14"/>
    <x v="6"/>
    <n v="1413"/>
    <x v="2"/>
  </r>
  <r>
    <x v="30"/>
    <x v="1"/>
    <x v="377"/>
    <x v="0"/>
    <x v="9"/>
    <x v="36"/>
    <x v="14"/>
    <x v="7"/>
    <n v="4462.34"/>
    <x v="2"/>
  </r>
  <r>
    <x v="30"/>
    <x v="1"/>
    <x v="377"/>
    <x v="0"/>
    <x v="9"/>
    <x v="36"/>
    <x v="14"/>
    <x v="8"/>
    <n v="4501"/>
    <x v="2"/>
  </r>
  <r>
    <x v="30"/>
    <x v="1"/>
    <x v="377"/>
    <x v="0"/>
    <x v="9"/>
    <x v="36"/>
    <x v="14"/>
    <x v="9"/>
    <n v="0"/>
    <x v="2"/>
  </r>
  <r>
    <x v="30"/>
    <x v="1"/>
    <x v="377"/>
    <x v="0"/>
    <x v="9"/>
    <x v="36"/>
    <x v="14"/>
    <x v="10"/>
    <n v="0"/>
    <x v="2"/>
  </r>
  <r>
    <x v="30"/>
    <x v="1"/>
    <x v="377"/>
    <x v="0"/>
    <x v="9"/>
    <x v="36"/>
    <x v="14"/>
    <x v="12"/>
    <n v="0"/>
    <x v="2"/>
  </r>
  <r>
    <x v="30"/>
    <x v="1"/>
    <x v="378"/>
    <x v="0"/>
    <x v="9"/>
    <x v="36"/>
    <x v="14"/>
    <x v="0"/>
    <n v="30195.593877551019"/>
    <x v="2"/>
  </r>
  <r>
    <x v="30"/>
    <x v="1"/>
    <x v="378"/>
    <x v="0"/>
    <x v="9"/>
    <x v="36"/>
    <x v="14"/>
    <x v="1"/>
    <n v="0"/>
    <x v="2"/>
  </r>
  <r>
    <x v="30"/>
    <x v="1"/>
    <x v="378"/>
    <x v="0"/>
    <x v="9"/>
    <x v="36"/>
    <x v="14"/>
    <x v="2"/>
    <n v="0"/>
    <x v="2"/>
  </r>
  <r>
    <x v="30"/>
    <x v="1"/>
    <x v="378"/>
    <x v="0"/>
    <x v="9"/>
    <x v="36"/>
    <x v="14"/>
    <x v="3"/>
    <n v="15885.86"/>
    <x v="2"/>
  </r>
  <r>
    <x v="30"/>
    <x v="1"/>
    <x v="378"/>
    <x v="0"/>
    <x v="9"/>
    <x v="36"/>
    <x v="14"/>
    <x v="4"/>
    <n v="0"/>
    <x v="2"/>
  </r>
  <r>
    <x v="30"/>
    <x v="1"/>
    <x v="378"/>
    <x v="0"/>
    <x v="9"/>
    <x v="36"/>
    <x v="14"/>
    <x v="5"/>
    <n v="0"/>
    <x v="2"/>
  </r>
  <r>
    <x v="30"/>
    <x v="1"/>
    <x v="378"/>
    <x v="0"/>
    <x v="9"/>
    <x v="36"/>
    <x v="14"/>
    <x v="6"/>
    <n v="4223"/>
    <x v="2"/>
  </r>
  <r>
    <x v="30"/>
    <x v="1"/>
    <x v="378"/>
    <x v="0"/>
    <x v="9"/>
    <x v="36"/>
    <x v="14"/>
    <x v="7"/>
    <n v="1493.44"/>
    <x v="2"/>
  </r>
  <r>
    <x v="30"/>
    <x v="1"/>
    <x v="378"/>
    <x v="0"/>
    <x v="9"/>
    <x v="36"/>
    <x v="14"/>
    <x v="8"/>
    <n v="1506"/>
    <x v="2"/>
  </r>
  <r>
    <x v="30"/>
    <x v="1"/>
    <x v="378"/>
    <x v="0"/>
    <x v="9"/>
    <x v="36"/>
    <x v="14"/>
    <x v="9"/>
    <n v="15885.86"/>
    <x v="2"/>
  </r>
  <r>
    <x v="30"/>
    <x v="1"/>
    <x v="378"/>
    <x v="0"/>
    <x v="9"/>
    <x v="36"/>
    <x v="14"/>
    <x v="10"/>
    <n v="0"/>
    <x v="2"/>
  </r>
  <r>
    <x v="30"/>
    <x v="1"/>
    <x v="378"/>
    <x v="0"/>
    <x v="9"/>
    <x v="36"/>
    <x v="14"/>
    <x v="12"/>
    <n v="0"/>
    <x v="2"/>
  </r>
  <r>
    <x v="30"/>
    <x v="1"/>
    <x v="379"/>
    <x v="0"/>
    <x v="9"/>
    <x v="36"/>
    <x v="14"/>
    <x v="0"/>
    <n v="0"/>
    <x v="2"/>
  </r>
  <r>
    <x v="30"/>
    <x v="1"/>
    <x v="379"/>
    <x v="0"/>
    <x v="9"/>
    <x v="36"/>
    <x v="14"/>
    <x v="1"/>
    <n v="0"/>
    <x v="2"/>
  </r>
  <r>
    <x v="30"/>
    <x v="1"/>
    <x v="379"/>
    <x v="0"/>
    <x v="9"/>
    <x v="36"/>
    <x v="14"/>
    <x v="2"/>
    <n v="0"/>
    <x v="2"/>
  </r>
  <r>
    <x v="30"/>
    <x v="1"/>
    <x v="379"/>
    <x v="0"/>
    <x v="9"/>
    <x v="36"/>
    <x v="14"/>
    <x v="3"/>
    <n v="5.24"/>
    <x v="2"/>
  </r>
  <r>
    <x v="30"/>
    <x v="1"/>
    <x v="379"/>
    <x v="0"/>
    <x v="9"/>
    <x v="36"/>
    <x v="14"/>
    <x v="4"/>
    <n v="0"/>
    <x v="2"/>
  </r>
  <r>
    <x v="30"/>
    <x v="1"/>
    <x v="379"/>
    <x v="0"/>
    <x v="9"/>
    <x v="36"/>
    <x v="14"/>
    <x v="5"/>
    <n v="0"/>
    <x v="2"/>
  </r>
  <r>
    <x v="30"/>
    <x v="1"/>
    <x v="379"/>
    <x v="0"/>
    <x v="9"/>
    <x v="36"/>
    <x v="14"/>
    <x v="6"/>
    <n v="0"/>
    <x v="2"/>
  </r>
  <r>
    <x v="30"/>
    <x v="1"/>
    <x v="379"/>
    <x v="0"/>
    <x v="9"/>
    <x v="36"/>
    <x v="14"/>
    <x v="7"/>
    <n v="0"/>
    <x v="2"/>
  </r>
  <r>
    <x v="30"/>
    <x v="1"/>
    <x v="379"/>
    <x v="0"/>
    <x v="9"/>
    <x v="36"/>
    <x v="14"/>
    <x v="8"/>
    <n v="0"/>
    <x v="2"/>
  </r>
  <r>
    <x v="30"/>
    <x v="1"/>
    <x v="379"/>
    <x v="0"/>
    <x v="9"/>
    <x v="36"/>
    <x v="14"/>
    <x v="9"/>
    <n v="5.24"/>
    <x v="2"/>
  </r>
  <r>
    <x v="30"/>
    <x v="1"/>
    <x v="379"/>
    <x v="0"/>
    <x v="9"/>
    <x v="36"/>
    <x v="14"/>
    <x v="10"/>
    <n v="0"/>
    <x v="2"/>
  </r>
  <r>
    <x v="30"/>
    <x v="1"/>
    <x v="379"/>
    <x v="0"/>
    <x v="9"/>
    <x v="36"/>
    <x v="14"/>
    <x v="12"/>
    <n v="0"/>
    <x v="2"/>
  </r>
  <r>
    <x v="30"/>
    <x v="1"/>
    <x v="336"/>
    <x v="3"/>
    <x v="8"/>
    <x v="23"/>
    <x v="14"/>
    <x v="0"/>
    <n v="0"/>
    <x v="2"/>
  </r>
  <r>
    <x v="30"/>
    <x v="1"/>
    <x v="336"/>
    <x v="3"/>
    <x v="8"/>
    <x v="23"/>
    <x v="14"/>
    <x v="1"/>
    <n v="0"/>
    <x v="2"/>
  </r>
  <r>
    <x v="30"/>
    <x v="1"/>
    <x v="336"/>
    <x v="3"/>
    <x v="8"/>
    <x v="23"/>
    <x v="14"/>
    <x v="2"/>
    <n v="0"/>
    <x v="2"/>
  </r>
  <r>
    <x v="30"/>
    <x v="1"/>
    <x v="336"/>
    <x v="3"/>
    <x v="8"/>
    <x v="23"/>
    <x v="14"/>
    <x v="3"/>
    <n v="0"/>
    <x v="2"/>
  </r>
  <r>
    <x v="30"/>
    <x v="1"/>
    <x v="336"/>
    <x v="3"/>
    <x v="8"/>
    <x v="23"/>
    <x v="14"/>
    <x v="4"/>
    <n v="0"/>
    <x v="2"/>
  </r>
  <r>
    <x v="30"/>
    <x v="1"/>
    <x v="336"/>
    <x v="3"/>
    <x v="8"/>
    <x v="23"/>
    <x v="14"/>
    <x v="5"/>
    <n v="0"/>
    <x v="2"/>
  </r>
  <r>
    <x v="30"/>
    <x v="1"/>
    <x v="336"/>
    <x v="3"/>
    <x v="8"/>
    <x v="23"/>
    <x v="14"/>
    <x v="6"/>
    <n v="0"/>
    <x v="2"/>
  </r>
  <r>
    <x v="30"/>
    <x v="1"/>
    <x v="336"/>
    <x v="3"/>
    <x v="8"/>
    <x v="23"/>
    <x v="14"/>
    <x v="7"/>
    <n v="0"/>
    <x v="2"/>
  </r>
  <r>
    <x v="30"/>
    <x v="1"/>
    <x v="336"/>
    <x v="3"/>
    <x v="8"/>
    <x v="23"/>
    <x v="14"/>
    <x v="8"/>
    <n v="0"/>
    <x v="2"/>
  </r>
  <r>
    <x v="30"/>
    <x v="1"/>
    <x v="336"/>
    <x v="3"/>
    <x v="8"/>
    <x v="23"/>
    <x v="14"/>
    <x v="9"/>
    <n v="0"/>
    <x v="2"/>
  </r>
  <r>
    <x v="30"/>
    <x v="1"/>
    <x v="336"/>
    <x v="3"/>
    <x v="8"/>
    <x v="23"/>
    <x v="14"/>
    <x v="10"/>
    <n v="0"/>
    <x v="2"/>
  </r>
  <r>
    <x v="30"/>
    <x v="1"/>
    <x v="336"/>
    <x v="3"/>
    <x v="8"/>
    <x v="23"/>
    <x v="14"/>
    <x v="12"/>
    <n v="0"/>
    <x v="2"/>
  </r>
  <r>
    <x v="30"/>
    <x v="1"/>
    <x v="337"/>
    <x v="3"/>
    <x v="8"/>
    <x v="23"/>
    <x v="14"/>
    <x v="0"/>
    <n v="0"/>
    <x v="2"/>
  </r>
  <r>
    <x v="30"/>
    <x v="1"/>
    <x v="337"/>
    <x v="3"/>
    <x v="8"/>
    <x v="23"/>
    <x v="14"/>
    <x v="1"/>
    <n v="0"/>
    <x v="2"/>
  </r>
  <r>
    <x v="30"/>
    <x v="1"/>
    <x v="337"/>
    <x v="3"/>
    <x v="8"/>
    <x v="23"/>
    <x v="14"/>
    <x v="2"/>
    <n v="0"/>
    <x v="2"/>
  </r>
  <r>
    <x v="30"/>
    <x v="1"/>
    <x v="337"/>
    <x v="3"/>
    <x v="8"/>
    <x v="23"/>
    <x v="14"/>
    <x v="3"/>
    <n v="0"/>
    <x v="2"/>
  </r>
  <r>
    <x v="30"/>
    <x v="1"/>
    <x v="337"/>
    <x v="3"/>
    <x v="8"/>
    <x v="23"/>
    <x v="14"/>
    <x v="4"/>
    <n v="0"/>
    <x v="2"/>
  </r>
  <r>
    <x v="30"/>
    <x v="1"/>
    <x v="337"/>
    <x v="3"/>
    <x v="8"/>
    <x v="23"/>
    <x v="14"/>
    <x v="5"/>
    <n v="0"/>
    <x v="2"/>
  </r>
  <r>
    <x v="30"/>
    <x v="1"/>
    <x v="337"/>
    <x v="3"/>
    <x v="8"/>
    <x v="23"/>
    <x v="14"/>
    <x v="6"/>
    <n v="0"/>
    <x v="2"/>
  </r>
  <r>
    <x v="30"/>
    <x v="1"/>
    <x v="337"/>
    <x v="3"/>
    <x v="8"/>
    <x v="23"/>
    <x v="14"/>
    <x v="7"/>
    <n v="0"/>
    <x v="2"/>
  </r>
  <r>
    <x v="30"/>
    <x v="1"/>
    <x v="337"/>
    <x v="3"/>
    <x v="8"/>
    <x v="23"/>
    <x v="14"/>
    <x v="8"/>
    <n v="0"/>
    <x v="2"/>
  </r>
  <r>
    <x v="30"/>
    <x v="1"/>
    <x v="337"/>
    <x v="3"/>
    <x v="8"/>
    <x v="23"/>
    <x v="14"/>
    <x v="9"/>
    <n v="0"/>
    <x v="2"/>
  </r>
  <r>
    <x v="30"/>
    <x v="1"/>
    <x v="337"/>
    <x v="3"/>
    <x v="8"/>
    <x v="23"/>
    <x v="14"/>
    <x v="10"/>
    <n v="0"/>
    <x v="2"/>
  </r>
  <r>
    <x v="30"/>
    <x v="1"/>
    <x v="337"/>
    <x v="3"/>
    <x v="8"/>
    <x v="23"/>
    <x v="14"/>
    <x v="12"/>
    <n v="0"/>
    <x v="2"/>
  </r>
  <r>
    <x v="30"/>
    <x v="1"/>
    <x v="338"/>
    <x v="3"/>
    <x v="8"/>
    <x v="23"/>
    <x v="14"/>
    <x v="0"/>
    <n v="0"/>
    <x v="2"/>
  </r>
  <r>
    <x v="30"/>
    <x v="1"/>
    <x v="338"/>
    <x v="3"/>
    <x v="8"/>
    <x v="23"/>
    <x v="14"/>
    <x v="1"/>
    <n v="188253.47"/>
    <x v="2"/>
  </r>
  <r>
    <x v="30"/>
    <x v="1"/>
    <x v="338"/>
    <x v="3"/>
    <x v="8"/>
    <x v="23"/>
    <x v="14"/>
    <x v="2"/>
    <n v="0"/>
    <x v="2"/>
  </r>
  <r>
    <x v="30"/>
    <x v="1"/>
    <x v="338"/>
    <x v="3"/>
    <x v="8"/>
    <x v="23"/>
    <x v="14"/>
    <x v="3"/>
    <n v="0"/>
    <x v="2"/>
  </r>
  <r>
    <x v="30"/>
    <x v="1"/>
    <x v="338"/>
    <x v="3"/>
    <x v="8"/>
    <x v="23"/>
    <x v="14"/>
    <x v="4"/>
    <n v="0"/>
    <x v="2"/>
  </r>
  <r>
    <x v="30"/>
    <x v="1"/>
    <x v="338"/>
    <x v="3"/>
    <x v="8"/>
    <x v="23"/>
    <x v="14"/>
    <x v="5"/>
    <n v="321484.53999999998"/>
    <x v="2"/>
  </r>
  <r>
    <x v="30"/>
    <x v="1"/>
    <x v="338"/>
    <x v="3"/>
    <x v="8"/>
    <x v="23"/>
    <x v="14"/>
    <x v="6"/>
    <n v="0"/>
    <x v="2"/>
  </r>
  <r>
    <x v="30"/>
    <x v="1"/>
    <x v="338"/>
    <x v="3"/>
    <x v="8"/>
    <x v="23"/>
    <x v="14"/>
    <x v="7"/>
    <n v="0"/>
    <x v="2"/>
  </r>
  <r>
    <x v="30"/>
    <x v="1"/>
    <x v="338"/>
    <x v="3"/>
    <x v="8"/>
    <x v="23"/>
    <x v="14"/>
    <x v="8"/>
    <n v="0"/>
    <x v="2"/>
  </r>
  <r>
    <x v="30"/>
    <x v="1"/>
    <x v="338"/>
    <x v="3"/>
    <x v="8"/>
    <x v="23"/>
    <x v="14"/>
    <x v="9"/>
    <n v="0"/>
    <x v="2"/>
  </r>
  <r>
    <x v="30"/>
    <x v="1"/>
    <x v="338"/>
    <x v="3"/>
    <x v="8"/>
    <x v="23"/>
    <x v="14"/>
    <x v="10"/>
    <n v="310392.04705290002"/>
    <x v="2"/>
  </r>
  <r>
    <x v="30"/>
    <x v="1"/>
    <x v="338"/>
    <x v="3"/>
    <x v="8"/>
    <x v="23"/>
    <x v="14"/>
    <x v="12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40">
  <r>
    <x v="0"/>
    <x v="0"/>
    <x v="0"/>
    <x v="0"/>
    <x v="0"/>
    <x v="0"/>
    <x v="0"/>
    <x v="0"/>
    <n v="2947.9802430904697"/>
    <x v="0"/>
  </r>
  <r>
    <x v="0"/>
    <x v="0"/>
    <x v="0"/>
    <x v="0"/>
    <x v="0"/>
    <x v="0"/>
    <x v="0"/>
    <x v="1"/>
    <n v="2825.3146426480248"/>
    <x v="0"/>
  </r>
  <r>
    <x v="0"/>
    <x v="0"/>
    <x v="0"/>
    <x v="0"/>
    <x v="0"/>
    <x v="0"/>
    <x v="0"/>
    <x v="2"/>
    <n v="2831.8560489492356"/>
    <x v="0"/>
  </r>
  <r>
    <x v="0"/>
    <x v="0"/>
    <x v="0"/>
    <x v="0"/>
    <x v="0"/>
    <x v="0"/>
    <x v="0"/>
    <x v="3"/>
    <n v="2796.9640518392966"/>
    <x v="0"/>
  </r>
  <r>
    <x v="0"/>
    <x v="0"/>
    <x v="0"/>
    <x v="0"/>
    <x v="0"/>
    <x v="0"/>
    <x v="0"/>
    <x v="4"/>
    <n v="2854.5880967501216"/>
    <x v="0"/>
  </r>
  <r>
    <x v="0"/>
    <x v="0"/>
    <x v="0"/>
    <x v="0"/>
    <x v="0"/>
    <x v="0"/>
    <x v="0"/>
    <x v="5"/>
    <n v="2927.2905029357667"/>
    <x v="0"/>
  </r>
  <r>
    <x v="0"/>
    <x v="0"/>
    <x v="0"/>
    <x v="0"/>
    <x v="0"/>
    <x v="0"/>
    <x v="0"/>
    <x v="6"/>
    <n v="2944.3130375187034"/>
    <x v="0"/>
  </r>
  <r>
    <x v="0"/>
    <x v="0"/>
    <x v="0"/>
    <x v="0"/>
    <x v="0"/>
    <x v="0"/>
    <x v="0"/>
    <x v="7"/>
    <n v="3029.155526177648"/>
    <x v="0"/>
  </r>
  <r>
    <x v="0"/>
    <x v="0"/>
    <x v="0"/>
    <x v="0"/>
    <x v="0"/>
    <x v="0"/>
    <x v="0"/>
    <x v="8"/>
    <n v="3023.000544445686"/>
    <x v="0"/>
  </r>
  <r>
    <x v="0"/>
    <x v="0"/>
    <x v="0"/>
    <x v="0"/>
    <x v="0"/>
    <x v="0"/>
    <x v="0"/>
    <x v="9"/>
    <n v="2797.3887566644094"/>
    <x v="0"/>
  </r>
  <r>
    <x v="0"/>
    <x v="0"/>
    <x v="0"/>
    <x v="0"/>
    <x v="0"/>
    <x v="0"/>
    <x v="0"/>
    <x v="10"/>
    <n v="3030.3577926520034"/>
    <x v="0"/>
  </r>
  <r>
    <x v="0"/>
    <x v="0"/>
    <x v="0"/>
    <x v="0"/>
    <x v="0"/>
    <x v="0"/>
    <x v="0"/>
    <x v="11"/>
    <n v="3432.2257283823988"/>
    <x v="0"/>
  </r>
  <r>
    <x v="1"/>
    <x v="0"/>
    <x v="1"/>
    <x v="0"/>
    <x v="0"/>
    <x v="0"/>
    <x v="0"/>
    <x v="0"/>
    <n v="10427.759626854762"/>
    <x v="0"/>
  </r>
  <r>
    <x v="1"/>
    <x v="0"/>
    <x v="1"/>
    <x v="0"/>
    <x v="0"/>
    <x v="0"/>
    <x v="0"/>
    <x v="1"/>
    <n v="9983.5296087945899"/>
    <x v="0"/>
  </r>
  <r>
    <x v="1"/>
    <x v="0"/>
    <x v="1"/>
    <x v="0"/>
    <x v="0"/>
    <x v="0"/>
    <x v="0"/>
    <x v="2"/>
    <n v="10086.707940044811"/>
    <x v="0"/>
  </r>
  <r>
    <x v="1"/>
    <x v="0"/>
    <x v="1"/>
    <x v="0"/>
    <x v="0"/>
    <x v="0"/>
    <x v="0"/>
    <x v="3"/>
    <n v="9968.5088756787609"/>
    <x v="0"/>
  </r>
  <r>
    <x v="1"/>
    <x v="0"/>
    <x v="1"/>
    <x v="0"/>
    <x v="0"/>
    <x v="0"/>
    <x v="0"/>
    <x v="4"/>
    <n v="10176.830513789117"/>
    <x v="0"/>
  </r>
  <r>
    <x v="1"/>
    <x v="0"/>
    <x v="1"/>
    <x v="0"/>
    <x v="0"/>
    <x v="0"/>
    <x v="0"/>
    <x v="5"/>
    <n v="10441.537632528352"/>
    <x v="0"/>
  </r>
  <r>
    <x v="1"/>
    <x v="0"/>
    <x v="1"/>
    <x v="0"/>
    <x v="0"/>
    <x v="0"/>
    <x v="0"/>
    <x v="6"/>
    <n v="10945.563409868324"/>
    <x v="0"/>
  </r>
  <r>
    <x v="1"/>
    <x v="0"/>
    <x v="1"/>
    <x v="0"/>
    <x v="0"/>
    <x v="0"/>
    <x v="0"/>
    <x v="7"/>
    <n v="12068.867384308482"/>
    <x v="0"/>
  </r>
  <r>
    <x v="1"/>
    <x v="0"/>
    <x v="1"/>
    <x v="0"/>
    <x v="0"/>
    <x v="0"/>
    <x v="0"/>
    <x v="8"/>
    <n v="11352.380854411766"/>
    <x v="0"/>
  </r>
  <r>
    <x v="1"/>
    <x v="0"/>
    <x v="1"/>
    <x v="0"/>
    <x v="0"/>
    <x v="0"/>
    <x v="0"/>
    <x v="9"/>
    <n v="10483.642252768304"/>
    <x v="0"/>
  </r>
  <r>
    <x v="1"/>
    <x v="0"/>
    <x v="1"/>
    <x v="0"/>
    <x v="0"/>
    <x v="0"/>
    <x v="0"/>
    <x v="10"/>
    <n v="10803.463269208429"/>
    <x v="0"/>
  </r>
  <r>
    <x v="1"/>
    <x v="0"/>
    <x v="1"/>
    <x v="0"/>
    <x v="0"/>
    <x v="0"/>
    <x v="0"/>
    <x v="11"/>
    <n v="12236.153987533291"/>
    <x v="0"/>
  </r>
  <r>
    <x v="2"/>
    <x v="0"/>
    <x v="2"/>
    <x v="1"/>
    <x v="0"/>
    <x v="0"/>
    <x v="0"/>
    <x v="0"/>
    <n v="3341.2793267193947"/>
    <x v="0"/>
  </r>
  <r>
    <x v="2"/>
    <x v="0"/>
    <x v="2"/>
    <x v="1"/>
    <x v="0"/>
    <x v="0"/>
    <x v="0"/>
    <x v="1"/>
    <n v="3225.9169104938628"/>
    <x v="0"/>
  </r>
  <r>
    <x v="2"/>
    <x v="0"/>
    <x v="2"/>
    <x v="1"/>
    <x v="0"/>
    <x v="0"/>
    <x v="0"/>
    <x v="2"/>
    <n v="3130.9924839771461"/>
    <x v="0"/>
  </r>
  <r>
    <x v="2"/>
    <x v="0"/>
    <x v="2"/>
    <x v="1"/>
    <x v="0"/>
    <x v="0"/>
    <x v="0"/>
    <x v="3"/>
    <n v="3092.3157399429861"/>
    <x v="0"/>
  </r>
  <r>
    <x v="2"/>
    <x v="0"/>
    <x v="2"/>
    <x v="1"/>
    <x v="0"/>
    <x v="0"/>
    <x v="0"/>
    <x v="4"/>
    <n v="3155.9569962542446"/>
    <x v="0"/>
  </r>
  <r>
    <x v="2"/>
    <x v="0"/>
    <x v="2"/>
    <x v="1"/>
    <x v="0"/>
    <x v="0"/>
    <x v="0"/>
    <x v="5"/>
    <n v="3447.4362653727239"/>
    <x v="0"/>
  </r>
  <r>
    <x v="2"/>
    <x v="0"/>
    <x v="2"/>
    <x v="1"/>
    <x v="0"/>
    <x v="0"/>
    <x v="0"/>
    <x v="6"/>
    <n v="3341.4649114216609"/>
    <x v="0"/>
  </r>
  <r>
    <x v="2"/>
    <x v="0"/>
    <x v="2"/>
    <x v="1"/>
    <x v="0"/>
    <x v="0"/>
    <x v="0"/>
    <x v="7"/>
    <n v="3754.8482423263426"/>
    <x v="0"/>
  </r>
  <r>
    <x v="2"/>
    <x v="0"/>
    <x v="2"/>
    <x v="1"/>
    <x v="0"/>
    <x v="0"/>
    <x v="0"/>
    <x v="8"/>
    <n v="3457.0856559939575"/>
    <x v="0"/>
  </r>
  <r>
    <x v="2"/>
    <x v="0"/>
    <x v="2"/>
    <x v="1"/>
    <x v="0"/>
    <x v="0"/>
    <x v="0"/>
    <x v="9"/>
    <n v="3177.1163678248236"/>
    <x v="0"/>
  </r>
  <r>
    <x v="2"/>
    <x v="0"/>
    <x v="2"/>
    <x v="1"/>
    <x v="0"/>
    <x v="0"/>
    <x v="0"/>
    <x v="10"/>
    <n v="3350.2833167985495"/>
    <x v="0"/>
  </r>
  <r>
    <x v="2"/>
    <x v="0"/>
    <x v="2"/>
    <x v="1"/>
    <x v="0"/>
    <x v="0"/>
    <x v="0"/>
    <x v="11"/>
    <n v="3794.5778631054218"/>
    <x v="0"/>
  </r>
  <r>
    <x v="2"/>
    <x v="1"/>
    <x v="2"/>
    <x v="1"/>
    <x v="1"/>
    <x v="1"/>
    <x v="0"/>
    <x v="0"/>
    <n v="0"/>
    <x v="0"/>
  </r>
  <r>
    <x v="2"/>
    <x v="1"/>
    <x v="2"/>
    <x v="1"/>
    <x v="1"/>
    <x v="1"/>
    <x v="0"/>
    <x v="1"/>
    <n v="22308.205076739425"/>
    <x v="0"/>
  </r>
  <r>
    <x v="2"/>
    <x v="1"/>
    <x v="2"/>
    <x v="1"/>
    <x v="1"/>
    <x v="1"/>
    <x v="0"/>
    <x v="2"/>
    <n v="0"/>
    <x v="0"/>
  </r>
  <r>
    <x v="2"/>
    <x v="1"/>
    <x v="2"/>
    <x v="1"/>
    <x v="1"/>
    <x v="1"/>
    <x v="0"/>
    <x v="3"/>
    <n v="0"/>
    <x v="0"/>
  </r>
  <r>
    <x v="2"/>
    <x v="1"/>
    <x v="2"/>
    <x v="1"/>
    <x v="1"/>
    <x v="1"/>
    <x v="0"/>
    <x v="4"/>
    <n v="0"/>
    <x v="0"/>
  </r>
  <r>
    <x v="2"/>
    <x v="1"/>
    <x v="2"/>
    <x v="1"/>
    <x v="1"/>
    <x v="1"/>
    <x v="0"/>
    <x v="5"/>
    <n v="0"/>
    <x v="0"/>
  </r>
  <r>
    <x v="2"/>
    <x v="1"/>
    <x v="2"/>
    <x v="1"/>
    <x v="1"/>
    <x v="1"/>
    <x v="0"/>
    <x v="6"/>
    <n v="0"/>
    <x v="0"/>
  </r>
  <r>
    <x v="2"/>
    <x v="1"/>
    <x v="2"/>
    <x v="1"/>
    <x v="1"/>
    <x v="1"/>
    <x v="0"/>
    <x v="7"/>
    <n v="0"/>
    <x v="0"/>
  </r>
  <r>
    <x v="2"/>
    <x v="1"/>
    <x v="2"/>
    <x v="1"/>
    <x v="1"/>
    <x v="1"/>
    <x v="0"/>
    <x v="8"/>
    <n v="0"/>
    <x v="0"/>
  </r>
  <r>
    <x v="2"/>
    <x v="1"/>
    <x v="2"/>
    <x v="1"/>
    <x v="1"/>
    <x v="1"/>
    <x v="0"/>
    <x v="9"/>
    <n v="0"/>
    <x v="0"/>
  </r>
  <r>
    <x v="2"/>
    <x v="1"/>
    <x v="2"/>
    <x v="1"/>
    <x v="1"/>
    <x v="1"/>
    <x v="0"/>
    <x v="10"/>
    <n v="0"/>
    <x v="0"/>
  </r>
  <r>
    <x v="2"/>
    <x v="1"/>
    <x v="2"/>
    <x v="1"/>
    <x v="1"/>
    <x v="1"/>
    <x v="0"/>
    <x v="11"/>
    <n v="0"/>
    <x v="0"/>
  </r>
  <r>
    <x v="3"/>
    <x v="0"/>
    <x v="3"/>
    <x v="0"/>
    <x v="0"/>
    <x v="0"/>
    <x v="0"/>
    <x v="0"/>
    <n v="4537.6827208226186"/>
    <x v="0"/>
  </r>
  <r>
    <x v="3"/>
    <x v="0"/>
    <x v="3"/>
    <x v="0"/>
    <x v="0"/>
    <x v="0"/>
    <x v="0"/>
    <x v="1"/>
    <n v="4348.7198506375153"/>
    <x v="0"/>
  </r>
  <r>
    <x v="3"/>
    <x v="0"/>
    <x v="3"/>
    <x v="0"/>
    <x v="0"/>
    <x v="0"/>
    <x v="0"/>
    <x v="2"/>
    <n v="4423.2777010511873"/>
    <x v="0"/>
  </r>
  <r>
    <x v="3"/>
    <x v="0"/>
    <x v="3"/>
    <x v="0"/>
    <x v="0"/>
    <x v="0"/>
    <x v="0"/>
    <x v="3"/>
    <n v="4366.3829042550224"/>
    <x v="0"/>
  </r>
  <r>
    <x v="3"/>
    <x v="0"/>
    <x v="3"/>
    <x v="0"/>
    <x v="0"/>
    <x v="0"/>
    <x v="0"/>
    <x v="4"/>
    <n v="4453.4067527662246"/>
    <x v="0"/>
  </r>
  <r>
    <x v="3"/>
    <x v="0"/>
    <x v="3"/>
    <x v="0"/>
    <x v="0"/>
    <x v="0"/>
    <x v="0"/>
    <x v="5"/>
    <n v="4564.9059350458119"/>
    <x v="0"/>
  </r>
  <r>
    <x v="3"/>
    <x v="0"/>
    <x v="3"/>
    <x v="0"/>
    <x v="0"/>
    <x v="0"/>
    <x v="0"/>
    <x v="6"/>
    <n v="5700.3997190035279"/>
    <x v="0"/>
  </r>
  <r>
    <x v="3"/>
    <x v="0"/>
    <x v="3"/>
    <x v="0"/>
    <x v="0"/>
    <x v="0"/>
    <x v="0"/>
    <x v="7"/>
    <n v="0"/>
    <x v="0"/>
  </r>
  <r>
    <x v="3"/>
    <x v="0"/>
    <x v="3"/>
    <x v="0"/>
    <x v="0"/>
    <x v="0"/>
    <x v="0"/>
    <x v="8"/>
    <n v="0"/>
    <x v="0"/>
  </r>
  <r>
    <x v="3"/>
    <x v="0"/>
    <x v="3"/>
    <x v="0"/>
    <x v="0"/>
    <x v="0"/>
    <x v="0"/>
    <x v="9"/>
    <n v="0"/>
    <x v="0"/>
  </r>
  <r>
    <x v="3"/>
    <x v="0"/>
    <x v="3"/>
    <x v="0"/>
    <x v="0"/>
    <x v="0"/>
    <x v="0"/>
    <x v="10"/>
    <n v="0"/>
    <x v="0"/>
  </r>
  <r>
    <x v="3"/>
    <x v="0"/>
    <x v="3"/>
    <x v="0"/>
    <x v="0"/>
    <x v="0"/>
    <x v="0"/>
    <x v="11"/>
    <n v="0"/>
    <x v="0"/>
  </r>
  <r>
    <x v="3"/>
    <x v="1"/>
    <x v="3"/>
    <x v="0"/>
    <x v="1"/>
    <x v="1"/>
    <x v="0"/>
    <x v="0"/>
    <n v="6673.0368892376864"/>
    <x v="0"/>
  </r>
  <r>
    <x v="3"/>
    <x v="1"/>
    <x v="3"/>
    <x v="0"/>
    <x v="1"/>
    <x v="1"/>
    <x v="0"/>
    <x v="1"/>
    <n v="0"/>
    <x v="0"/>
  </r>
  <r>
    <x v="3"/>
    <x v="1"/>
    <x v="3"/>
    <x v="0"/>
    <x v="1"/>
    <x v="1"/>
    <x v="0"/>
    <x v="2"/>
    <n v="0"/>
    <x v="0"/>
  </r>
  <r>
    <x v="3"/>
    <x v="1"/>
    <x v="3"/>
    <x v="0"/>
    <x v="1"/>
    <x v="1"/>
    <x v="0"/>
    <x v="3"/>
    <n v="0"/>
    <x v="0"/>
  </r>
  <r>
    <x v="3"/>
    <x v="1"/>
    <x v="3"/>
    <x v="0"/>
    <x v="1"/>
    <x v="1"/>
    <x v="0"/>
    <x v="4"/>
    <n v="0"/>
    <x v="0"/>
  </r>
  <r>
    <x v="3"/>
    <x v="1"/>
    <x v="3"/>
    <x v="0"/>
    <x v="1"/>
    <x v="1"/>
    <x v="0"/>
    <x v="5"/>
    <n v="0"/>
    <x v="0"/>
  </r>
  <r>
    <x v="3"/>
    <x v="1"/>
    <x v="3"/>
    <x v="0"/>
    <x v="1"/>
    <x v="1"/>
    <x v="0"/>
    <x v="6"/>
    <n v="0"/>
    <x v="0"/>
  </r>
  <r>
    <x v="3"/>
    <x v="1"/>
    <x v="3"/>
    <x v="0"/>
    <x v="1"/>
    <x v="1"/>
    <x v="0"/>
    <x v="7"/>
    <n v="0"/>
    <x v="0"/>
  </r>
  <r>
    <x v="3"/>
    <x v="1"/>
    <x v="3"/>
    <x v="0"/>
    <x v="1"/>
    <x v="1"/>
    <x v="0"/>
    <x v="8"/>
    <n v="0"/>
    <x v="0"/>
  </r>
  <r>
    <x v="3"/>
    <x v="1"/>
    <x v="3"/>
    <x v="0"/>
    <x v="1"/>
    <x v="1"/>
    <x v="0"/>
    <x v="9"/>
    <n v="0"/>
    <x v="0"/>
  </r>
  <r>
    <x v="3"/>
    <x v="1"/>
    <x v="3"/>
    <x v="0"/>
    <x v="1"/>
    <x v="1"/>
    <x v="0"/>
    <x v="10"/>
    <n v="0"/>
    <x v="0"/>
  </r>
  <r>
    <x v="3"/>
    <x v="1"/>
    <x v="3"/>
    <x v="0"/>
    <x v="1"/>
    <x v="1"/>
    <x v="0"/>
    <x v="11"/>
    <n v="0"/>
    <x v="0"/>
  </r>
  <r>
    <x v="4"/>
    <x v="0"/>
    <x v="4"/>
    <x v="0"/>
    <x v="0"/>
    <x v="0"/>
    <x v="0"/>
    <x v="0"/>
    <n v="8782.9383687410646"/>
    <x v="0"/>
  </r>
  <r>
    <x v="4"/>
    <x v="0"/>
    <x v="4"/>
    <x v="0"/>
    <x v="0"/>
    <x v="0"/>
    <x v="0"/>
    <x v="1"/>
    <n v="8366.8111641944906"/>
    <x v="0"/>
  </r>
  <r>
    <x v="4"/>
    <x v="0"/>
    <x v="4"/>
    <x v="0"/>
    <x v="0"/>
    <x v="0"/>
    <x v="0"/>
    <x v="2"/>
    <n v="8373.8724095435391"/>
    <x v="0"/>
  </r>
  <r>
    <x v="4"/>
    <x v="0"/>
    <x v="4"/>
    <x v="0"/>
    <x v="0"/>
    <x v="0"/>
    <x v="0"/>
    <x v="3"/>
    <n v="8271.4671799689677"/>
    <x v="0"/>
  </r>
  <r>
    <x v="4"/>
    <x v="0"/>
    <x v="4"/>
    <x v="0"/>
    <x v="0"/>
    <x v="0"/>
    <x v="0"/>
    <x v="4"/>
    <n v="8440.0668666362744"/>
    <x v="0"/>
  </r>
  <r>
    <x v="4"/>
    <x v="0"/>
    <x v="4"/>
    <x v="0"/>
    <x v="0"/>
    <x v="0"/>
    <x v="0"/>
    <x v="5"/>
    <n v="8656.028320407373"/>
    <x v="0"/>
  </r>
  <r>
    <x v="4"/>
    <x v="0"/>
    <x v="4"/>
    <x v="0"/>
    <x v="0"/>
    <x v="0"/>
    <x v="0"/>
    <x v="6"/>
    <n v="8389.7374808331897"/>
    <x v="0"/>
  </r>
  <r>
    <x v="4"/>
    <x v="0"/>
    <x v="4"/>
    <x v="0"/>
    <x v="0"/>
    <x v="0"/>
    <x v="0"/>
    <x v="7"/>
    <n v="8842.8203665990422"/>
    <x v="0"/>
  </r>
  <r>
    <x v="4"/>
    <x v="0"/>
    <x v="4"/>
    <x v="0"/>
    <x v="0"/>
    <x v="0"/>
    <x v="0"/>
    <x v="8"/>
    <n v="8926.0300938752134"/>
    <x v="0"/>
  </r>
  <r>
    <x v="4"/>
    <x v="0"/>
    <x v="4"/>
    <x v="0"/>
    <x v="0"/>
    <x v="0"/>
    <x v="0"/>
    <x v="9"/>
    <n v="8213.1019887944185"/>
    <x v="0"/>
  </r>
  <r>
    <x v="4"/>
    <x v="0"/>
    <x v="4"/>
    <x v="0"/>
    <x v="0"/>
    <x v="0"/>
    <x v="0"/>
    <x v="10"/>
    <n v="8959.7593533488525"/>
    <x v="0"/>
  </r>
  <r>
    <x v="4"/>
    <x v="0"/>
    <x v="4"/>
    <x v="0"/>
    <x v="0"/>
    <x v="0"/>
    <x v="0"/>
    <x v="11"/>
    <n v="10147.949079559476"/>
    <x v="0"/>
  </r>
  <r>
    <x v="4"/>
    <x v="1"/>
    <x v="4"/>
    <x v="0"/>
    <x v="1"/>
    <x v="1"/>
    <x v="0"/>
    <x v="0"/>
    <n v="0"/>
    <x v="0"/>
  </r>
  <r>
    <x v="4"/>
    <x v="1"/>
    <x v="4"/>
    <x v="0"/>
    <x v="1"/>
    <x v="1"/>
    <x v="0"/>
    <x v="1"/>
    <n v="0"/>
    <x v="0"/>
  </r>
  <r>
    <x v="4"/>
    <x v="1"/>
    <x v="4"/>
    <x v="0"/>
    <x v="1"/>
    <x v="1"/>
    <x v="0"/>
    <x v="2"/>
    <n v="0"/>
    <x v="0"/>
  </r>
  <r>
    <x v="4"/>
    <x v="1"/>
    <x v="4"/>
    <x v="0"/>
    <x v="1"/>
    <x v="1"/>
    <x v="0"/>
    <x v="3"/>
    <n v="0"/>
    <x v="0"/>
  </r>
  <r>
    <x v="4"/>
    <x v="1"/>
    <x v="4"/>
    <x v="0"/>
    <x v="1"/>
    <x v="1"/>
    <x v="0"/>
    <x v="4"/>
    <n v="0"/>
    <x v="0"/>
  </r>
  <r>
    <x v="4"/>
    <x v="1"/>
    <x v="4"/>
    <x v="0"/>
    <x v="1"/>
    <x v="1"/>
    <x v="0"/>
    <x v="5"/>
    <n v="0"/>
    <x v="0"/>
  </r>
  <r>
    <x v="4"/>
    <x v="1"/>
    <x v="4"/>
    <x v="0"/>
    <x v="1"/>
    <x v="1"/>
    <x v="0"/>
    <x v="6"/>
    <n v="0"/>
    <x v="0"/>
  </r>
  <r>
    <x v="4"/>
    <x v="1"/>
    <x v="4"/>
    <x v="0"/>
    <x v="1"/>
    <x v="1"/>
    <x v="0"/>
    <x v="7"/>
    <n v="0"/>
    <x v="0"/>
  </r>
  <r>
    <x v="4"/>
    <x v="1"/>
    <x v="4"/>
    <x v="0"/>
    <x v="1"/>
    <x v="1"/>
    <x v="0"/>
    <x v="8"/>
    <n v="0"/>
    <x v="0"/>
  </r>
  <r>
    <x v="4"/>
    <x v="1"/>
    <x v="4"/>
    <x v="0"/>
    <x v="1"/>
    <x v="1"/>
    <x v="0"/>
    <x v="9"/>
    <n v="13772.268547340378"/>
    <x v="0"/>
  </r>
  <r>
    <x v="4"/>
    <x v="1"/>
    <x v="4"/>
    <x v="0"/>
    <x v="1"/>
    <x v="1"/>
    <x v="0"/>
    <x v="10"/>
    <n v="0"/>
    <x v="0"/>
  </r>
  <r>
    <x v="4"/>
    <x v="1"/>
    <x v="4"/>
    <x v="0"/>
    <x v="1"/>
    <x v="1"/>
    <x v="0"/>
    <x v="11"/>
    <n v="0"/>
    <x v="0"/>
  </r>
  <r>
    <x v="5"/>
    <x v="0"/>
    <x v="5"/>
    <x v="1"/>
    <x v="0"/>
    <x v="0"/>
    <x v="0"/>
    <x v="0"/>
    <n v="2955.3281485219559"/>
    <x v="0"/>
  </r>
  <r>
    <x v="5"/>
    <x v="0"/>
    <x v="5"/>
    <x v="1"/>
    <x v="0"/>
    <x v="0"/>
    <x v="0"/>
    <x v="1"/>
    <n v="2832.3587619164009"/>
    <x v="0"/>
  </r>
  <r>
    <x v="5"/>
    <x v="0"/>
    <x v="5"/>
    <x v="1"/>
    <x v="0"/>
    <x v="0"/>
    <x v="0"/>
    <x v="2"/>
    <n v="4206.8493260566584"/>
    <x v="0"/>
  </r>
  <r>
    <x v="5"/>
    <x v="0"/>
    <x v="5"/>
    <x v="1"/>
    <x v="0"/>
    <x v="0"/>
    <x v="0"/>
    <x v="3"/>
    <n v="4151.3955187014362"/>
    <x v="0"/>
  </r>
  <r>
    <x v="5"/>
    <x v="0"/>
    <x v="5"/>
    <x v="1"/>
    <x v="0"/>
    <x v="0"/>
    <x v="0"/>
    <x v="4"/>
    <n v="4233.2228522959704"/>
    <x v="0"/>
  </r>
  <r>
    <x v="5"/>
    <x v="0"/>
    <x v="5"/>
    <x v="1"/>
    <x v="0"/>
    <x v="0"/>
    <x v="0"/>
    <x v="5"/>
    <n v="4338.0264052681796"/>
    <x v="0"/>
  </r>
  <r>
    <x v="5"/>
    <x v="0"/>
    <x v="5"/>
    <x v="1"/>
    <x v="0"/>
    <x v="0"/>
    <x v="0"/>
    <x v="6"/>
    <n v="4333.525977353097"/>
    <x v="0"/>
  </r>
  <r>
    <x v="5"/>
    <x v="0"/>
    <x v="5"/>
    <x v="1"/>
    <x v="0"/>
    <x v="0"/>
    <x v="0"/>
    <x v="7"/>
    <n v="4449.8699251918342"/>
    <x v="0"/>
  </r>
  <r>
    <x v="5"/>
    <x v="0"/>
    <x v="5"/>
    <x v="1"/>
    <x v="0"/>
    <x v="0"/>
    <x v="0"/>
    <x v="8"/>
    <n v="4531.8153609341625"/>
    <x v="0"/>
  </r>
  <r>
    <x v="5"/>
    <x v="0"/>
    <x v="5"/>
    <x v="1"/>
    <x v="0"/>
    <x v="0"/>
    <x v="0"/>
    <x v="9"/>
    <n v="4135.1181224315296"/>
    <x v="0"/>
  </r>
  <r>
    <x v="5"/>
    <x v="0"/>
    <x v="5"/>
    <x v="1"/>
    <x v="0"/>
    <x v="0"/>
    <x v="0"/>
    <x v="10"/>
    <n v="4493.8812268895117"/>
    <x v="0"/>
  </r>
  <r>
    <x v="5"/>
    <x v="0"/>
    <x v="5"/>
    <x v="1"/>
    <x v="0"/>
    <x v="0"/>
    <x v="0"/>
    <x v="11"/>
    <n v="5089.8328918865345"/>
    <x v="0"/>
  </r>
  <r>
    <x v="6"/>
    <x v="0"/>
    <x v="6"/>
    <x v="0"/>
    <x v="0"/>
    <x v="0"/>
    <x v="0"/>
    <x v="0"/>
    <n v="8425.1203392948155"/>
    <x v="0"/>
  </r>
  <r>
    <x v="6"/>
    <x v="0"/>
    <x v="6"/>
    <x v="0"/>
    <x v="0"/>
    <x v="0"/>
    <x v="0"/>
    <x v="1"/>
    <n v="8065.6523221894395"/>
    <x v="0"/>
  </r>
  <r>
    <x v="6"/>
    <x v="0"/>
    <x v="6"/>
    <x v="0"/>
    <x v="0"/>
    <x v="0"/>
    <x v="0"/>
    <x v="2"/>
    <n v="8084.2266265952112"/>
    <x v="0"/>
  </r>
  <r>
    <x v="6"/>
    <x v="0"/>
    <x v="6"/>
    <x v="0"/>
    <x v="0"/>
    <x v="0"/>
    <x v="0"/>
    <x v="3"/>
    <n v="9000.5222083130284"/>
    <x v="0"/>
  </r>
  <r>
    <x v="6"/>
    <x v="0"/>
    <x v="6"/>
    <x v="0"/>
    <x v="0"/>
    <x v="0"/>
    <x v="0"/>
    <x v="4"/>
    <n v="9188.1821260660054"/>
    <x v="0"/>
  </r>
  <r>
    <x v="6"/>
    <x v="0"/>
    <x v="6"/>
    <x v="0"/>
    <x v="0"/>
    <x v="0"/>
    <x v="0"/>
    <x v="5"/>
    <n v="9427.2680962373615"/>
    <x v="0"/>
  </r>
  <r>
    <x v="6"/>
    <x v="0"/>
    <x v="6"/>
    <x v="0"/>
    <x v="0"/>
    <x v="0"/>
    <x v="0"/>
    <x v="6"/>
    <n v="9215.5727465969649"/>
    <x v="0"/>
  </r>
  <r>
    <x v="6"/>
    <x v="0"/>
    <x v="6"/>
    <x v="0"/>
    <x v="0"/>
    <x v="0"/>
    <x v="0"/>
    <x v="7"/>
    <n v="9646.0850959629643"/>
    <x v="0"/>
  </r>
  <r>
    <x v="6"/>
    <x v="0"/>
    <x v="6"/>
    <x v="0"/>
    <x v="0"/>
    <x v="0"/>
    <x v="0"/>
    <x v="8"/>
    <n v="9698.6680896695398"/>
    <x v="0"/>
  </r>
  <r>
    <x v="6"/>
    <x v="0"/>
    <x v="6"/>
    <x v="0"/>
    <x v="0"/>
    <x v="0"/>
    <x v="0"/>
    <x v="9"/>
    <n v="8989.0109403487531"/>
    <x v="0"/>
  </r>
  <r>
    <x v="6"/>
    <x v="0"/>
    <x v="6"/>
    <x v="0"/>
    <x v="0"/>
    <x v="0"/>
    <x v="0"/>
    <x v="10"/>
    <n v="9753.9393994282691"/>
    <x v="0"/>
  </r>
  <r>
    <x v="6"/>
    <x v="0"/>
    <x v="6"/>
    <x v="0"/>
    <x v="0"/>
    <x v="0"/>
    <x v="0"/>
    <x v="11"/>
    <n v="11047.448535937599"/>
    <x v="0"/>
  </r>
  <r>
    <x v="7"/>
    <x v="0"/>
    <x v="7"/>
    <x v="0"/>
    <x v="0"/>
    <x v="0"/>
    <x v="0"/>
    <x v="0"/>
    <n v="4374.5965948470503"/>
    <x v="0"/>
  </r>
  <r>
    <x v="7"/>
    <x v="0"/>
    <x v="7"/>
    <x v="0"/>
    <x v="0"/>
    <x v="0"/>
    <x v="0"/>
    <x v="1"/>
    <n v="4190.4797924771401"/>
    <x v="0"/>
  </r>
  <r>
    <x v="7"/>
    <x v="0"/>
    <x v="7"/>
    <x v="0"/>
    <x v="0"/>
    <x v="0"/>
    <x v="0"/>
    <x v="2"/>
    <n v="4627.5342586623246"/>
    <x v="0"/>
  </r>
  <r>
    <x v="7"/>
    <x v="0"/>
    <x v="7"/>
    <x v="0"/>
    <x v="0"/>
    <x v="0"/>
    <x v="0"/>
    <x v="3"/>
    <n v="4568.2669930107631"/>
    <x v="0"/>
  </r>
  <r>
    <x v="7"/>
    <x v="0"/>
    <x v="7"/>
    <x v="0"/>
    <x v="0"/>
    <x v="0"/>
    <x v="0"/>
    <x v="4"/>
    <n v="4659.6312863855801"/>
    <x v="0"/>
  </r>
  <r>
    <x v="7"/>
    <x v="0"/>
    <x v="7"/>
    <x v="0"/>
    <x v="0"/>
    <x v="0"/>
    <x v="0"/>
    <x v="5"/>
    <n v="4776.4984336277648"/>
    <x v="0"/>
  </r>
  <r>
    <x v="7"/>
    <x v="0"/>
    <x v="7"/>
    <x v="0"/>
    <x v="0"/>
    <x v="0"/>
    <x v="0"/>
    <x v="6"/>
    <n v="4749.4501103163066"/>
    <x v="0"/>
  </r>
  <r>
    <x v="7"/>
    <x v="0"/>
    <x v="7"/>
    <x v="0"/>
    <x v="0"/>
    <x v="0"/>
    <x v="0"/>
    <x v="7"/>
    <n v="4897.0997249979437"/>
    <x v="0"/>
  </r>
  <r>
    <x v="7"/>
    <x v="0"/>
    <x v="7"/>
    <x v="0"/>
    <x v="0"/>
    <x v="0"/>
    <x v="0"/>
    <x v="8"/>
    <n v="3767.3152457584297"/>
    <x v="0"/>
  </r>
  <r>
    <x v="7"/>
    <x v="0"/>
    <x v="7"/>
    <x v="0"/>
    <x v="0"/>
    <x v="0"/>
    <x v="0"/>
    <x v="9"/>
    <n v="3300.8312789587271"/>
    <x v="0"/>
  </r>
  <r>
    <x v="7"/>
    <x v="0"/>
    <x v="7"/>
    <x v="0"/>
    <x v="0"/>
    <x v="0"/>
    <x v="0"/>
    <x v="10"/>
    <n v="4946.5455263613303"/>
    <x v="0"/>
  </r>
  <r>
    <x v="7"/>
    <x v="0"/>
    <x v="7"/>
    <x v="0"/>
    <x v="0"/>
    <x v="0"/>
    <x v="0"/>
    <x v="11"/>
    <n v="5602.5268248388238"/>
    <x v="0"/>
  </r>
  <r>
    <x v="7"/>
    <x v="1"/>
    <x v="7"/>
    <x v="0"/>
    <x v="1"/>
    <x v="1"/>
    <x v="0"/>
    <x v="0"/>
    <n v="1459.9454463513348"/>
    <x v="0"/>
  </r>
  <r>
    <x v="7"/>
    <x v="1"/>
    <x v="7"/>
    <x v="0"/>
    <x v="1"/>
    <x v="1"/>
    <x v="0"/>
    <x v="1"/>
    <n v="0"/>
    <x v="0"/>
  </r>
  <r>
    <x v="7"/>
    <x v="1"/>
    <x v="7"/>
    <x v="0"/>
    <x v="1"/>
    <x v="1"/>
    <x v="0"/>
    <x v="2"/>
    <n v="0"/>
    <x v="0"/>
  </r>
  <r>
    <x v="7"/>
    <x v="1"/>
    <x v="7"/>
    <x v="0"/>
    <x v="1"/>
    <x v="1"/>
    <x v="0"/>
    <x v="3"/>
    <n v="0"/>
    <x v="0"/>
  </r>
  <r>
    <x v="7"/>
    <x v="1"/>
    <x v="7"/>
    <x v="0"/>
    <x v="1"/>
    <x v="1"/>
    <x v="0"/>
    <x v="4"/>
    <n v="0"/>
    <x v="0"/>
  </r>
  <r>
    <x v="7"/>
    <x v="1"/>
    <x v="7"/>
    <x v="0"/>
    <x v="1"/>
    <x v="1"/>
    <x v="0"/>
    <x v="5"/>
    <n v="0"/>
    <x v="0"/>
  </r>
  <r>
    <x v="7"/>
    <x v="1"/>
    <x v="7"/>
    <x v="0"/>
    <x v="1"/>
    <x v="1"/>
    <x v="0"/>
    <x v="6"/>
    <n v="0"/>
    <x v="0"/>
  </r>
  <r>
    <x v="7"/>
    <x v="1"/>
    <x v="7"/>
    <x v="0"/>
    <x v="1"/>
    <x v="1"/>
    <x v="0"/>
    <x v="7"/>
    <n v="0"/>
    <x v="0"/>
  </r>
  <r>
    <x v="7"/>
    <x v="1"/>
    <x v="7"/>
    <x v="0"/>
    <x v="1"/>
    <x v="1"/>
    <x v="0"/>
    <x v="8"/>
    <n v="0"/>
    <x v="0"/>
  </r>
  <r>
    <x v="7"/>
    <x v="1"/>
    <x v="7"/>
    <x v="0"/>
    <x v="1"/>
    <x v="1"/>
    <x v="0"/>
    <x v="9"/>
    <n v="0"/>
    <x v="0"/>
  </r>
  <r>
    <x v="7"/>
    <x v="1"/>
    <x v="7"/>
    <x v="0"/>
    <x v="1"/>
    <x v="1"/>
    <x v="0"/>
    <x v="10"/>
    <n v="0"/>
    <x v="0"/>
  </r>
  <r>
    <x v="7"/>
    <x v="1"/>
    <x v="7"/>
    <x v="0"/>
    <x v="1"/>
    <x v="1"/>
    <x v="0"/>
    <x v="11"/>
    <n v="0"/>
    <x v="0"/>
  </r>
  <r>
    <x v="8"/>
    <x v="0"/>
    <x v="8"/>
    <x v="0"/>
    <x v="0"/>
    <x v="0"/>
    <x v="0"/>
    <x v="0"/>
    <n v="2947.7889902369975"/>
    <x v="0"/>
  </r>
  <r>
    <x v="8"/>
    <x v="0"/>
    <x v="8"/>
    <x v="0"/>
    <x v="0"/>
    <x v="0"/>
    <x v="0"/>
    <x v="1"/>
    <n v="2825.1312968057518"/>
    <x v="0"/>
  </r>
  <r>
    <x v="8"/>
    <x v="0"/>
    <x v="8"/>
    <x v="0"/>
    <x v="0"/>
    <x v="0"/>
    <x v="0"/>
    <x v="2"/>
    <n v="4206.8493260566584"/>
    <x v="0"/>
  </r>
  <r>
    <x v="8"/>
    <x v="0"/>
    <x v="8"/>
    <x v="0"/>
    <x v="0"/>
    <x v="0"/>
    <x v="0"/>
    <x v="3"/>
    <n v="4151.3789042084545"/>
    <x v="0"/>
  </r>
  <r>
    <x v="8"/>
    <x v="0"/>
    <x v="8"/>
    <x v="0"/>
    <x v="0"/>
    <x v="0"/>
    <x v="0"/>
    <x v="4"/>
    <n v="4233.1903590829788"/>
    <x v="0"/>
  </r>
  <r>
    <x v="8"/>
    <x v="0"/>
    <x v="8"/>
    <x v="0"/>
    <x v="0"/>
    <x v="0"/>
    <x v="0"/>
    <x v="5"/>
    <n v="4337.9800589869601"/>
    <x v="0"/>
  </r>
  <r>
    <x v="8"/>
    <x v="0"/>
    <x v="8"/>
    <x v="0"/>
    <x v="0"/>
    <x v="0"/>
    <x v="0"/>
    <x v="6"/>
    <n v="4333.4783995068019"/>
    <x v="0"/>
  </r>
  <r>
    <x v="8"/>
    <x v="0"/>
    <x v="8"/>
    <x v="0"/>
    <x v="0"/>
    <x v="0"/>
    <x v="0"/>
    <x v="7"/>
    <n v="4449.8018626933526"/>
    <x v="0"/>
  </r>
  <r>
    <x v="8"/>
    <x v="0"/>
    <x v="8"/>
    <x v="0"/>
    <x v="0"/>
    <x v="0"/>
    <x v="0"/>
    <x v="8"/>
    <n v="4531.7375866661669"/>
    <x v="0"/>
  </r>
  <r>
    <x v="8"/>
    <x v="0"/>
    <x v="8"/>
    <x v="0"/>
    <x v="0"/>
    <x v="0"/>
    <x v="0"/>
    <x v="9"/>
    <n v="4126.666081224027"/>
    <x v="0"/>
  </r>
  <r>
    <x v="8"/>
    <x v="0"/>
    <x v="8"/>
    <x v="0"/>
    <x v="0"/>
    <x v="0"/>
    <x v="0"/>
    <x v="10"/>
    <n v="4493.8467329247578"/>
    <x v="0"/>
  </r>
  <r>
    <x v="8"/>
    <x v="0"/>
    <x v="8"/>
    <x v="0"/>
    <x v="0"/>
    <x v="0"/>
    <x v="0"/>
    <x v="11"/>
    <n v="5089.7938235383708"/>
    <x v="0"/>
  </r>
  <r>
    <x v="8"/>
    <x v="1"/>
    <x v="8"/>
    <x v="0"/>
    <x v="1"/>
    <x v="1"/>
    <x v="0"/>
    <x v="0"/>
    <n v="0"/>
    <x v="0"/>
  </r>
  <r>
    <x v="8"/>
    <x v="1"/>
    <x v="8"/>
    <x v="0"/>
    <x v="1"/>
    <x v="1"/>
    <x v="0"/>
    <x v="1"/>
    <n v="2099.3798733488138"/>
    <x v="0"/>
  </r>
  <r>
    <x v="8"/>
    <x v="1"/>
    <x v="8"/>
    <x v="0"/>
    <x v="1"/>
    <x v="1"/>
    <x v="0"/>
    <x v="2"/>
    <n v="0"/>
    <x v="0"/>
  </r>
  <r>
    <x v="8"/>
    <x v="1"/>
    <x v="8"/>
    <x v="0"/>
    <x v="1"/>
    <x v="1"/>
    <x v="0"/>
    <x v="3"/>
    <n v="0"/>
    <x v="0"/>
  </r>
  <r>
    <x v="8"/>
    <x v="1"/>
    <x v="8"/>
    <x v="0"/>
    <x v="1"/>
    <x v="1"/>
    <x v="0"/>
    <x v="4"/>
    <n v="0"/>
    <x v="0"/>
  </r>
  <r>
    <x v="8"/>
    <x v="1"/>
    <x v="8"/>
    <x v="0"/>
    <x v="1"/>
    <x v="1"/>
    <x v="0"/>
    <x v="5"/>
    <n v="0"/>
    <x v="0"/>
  </r>
  <r>
    <x v="8"/>
    <x v="1"/>
    <x v="8"/>
    <x v="0"/>
    <x v="1"/>
    <x v="1"/>
    <x v="0"/>
    <x v="6"/>
    <n v="0"/>
    <x v="0"/>
  </r>
  <r>
    <x v="8"/>
    <x v="1"/>
    <x v="8"/>
    <x v="0"/>
    <x v="1"/>
    <x v="1"/>
    <x v="0"/>
    <x v="7"/>
    <n v="0"/>
    <x v="0"/>
  </r>
  <r>
    <x v="8"/>
    <x v="1"/>
    <x v="8"/>
    <x v="0"/>
    <x v="1"/>
    <x v="1"/>
    <x v="0"/>
    <x v="8"/>
    <n v="0"/>
    <x v="0"/>
  </r>
  <r>
    <x v="8"/>
    <x v="1"/>
    <x v="8"/>
    <x v="0"/>
    <x v="1"/>
    <x v="1"/>
    <x v="0"/>
    <x v="9"/>
    <n v="0"/>
    <x v="0"/>
  </r>
  <r>
    <x v="8"/>
    <x v="1"/>
    <x v="8"/>
    <x v="0"/>
    <x v="1"/>
    <x v="1"/>
    <x v="0"/>
    <x v="10"/>
    <n v="0"/>
    <x v="0"/>
  </r>
  <r>
    <x v="8"/>
    <x v="1"/>
    <x v="8"/>
    <x v="0"/>
    <x v="1"/>
    <x v="1"/>
    <x v="0"/>
    <x v="11"/>
    <n v="0"/>
    <x v="0"/>
  </r>
  <r>
    <x v="9"/>
    <x v="0"/>
    <x v="9"/>
    <x v="0"/>
    <x v="0"/>
    <x v="0"/>
    <x v="0"/>
    <x v="0"/>
    <n v="2360.8091638587653"/>
    <x v="0"/>
  </r>
  <r>
    <x v="9"/>
    <x v="0"/>
    <x v="9"/>
    <x v="0"/>
    <x v="0"/>
    <x v="0"/>
    <x v="0"/>
    <x v="1"/>
    <n v="2262.9607539069893"/>
    <x v="0"/>
  </r>
  <r>
    <x v="9"/>
    <x v="0"/>
    <x v="9"/>
    <x v="0"/>
    <x v="0"/>
    <x v="0"/>
    <x v="0"/>
    <x v="2"/>
    <n v="3085.0228391082164"/>
    <x v="0"/>
  </r>
  <r>
    <x v="9"/>
    <x v="0"/>
    <x v="9"/>
    <x v="0"/>
    <x v="0"/>
    <x v="0"/>
    <x v="0"/>
    <x v="3"/>
    <n v="3046.9277142004894"/>
    <x v="0"/>
  </r>
  <r>
    <x v="9"/>
    <x v="0"/>
    <x v="9"/>
    <x v="0"/>
    <x v="0"/>
    <x v="0"/>
    <x v="0"/>
    <x v="4"/>
    <n v="1593.0391023487584"/>
    <x v="0"/>
  </r>
  <r>
    <x v="9"/>
    <x v="0"/>
    <x v="9"/>
    <x v="0"/>
    <x v="0"/>
    <x v="0"/>
    <x v="0"/>
    <x v="5"/>
    <n v="3188.7689799643263"/>
    <x v="0"/>
  </r>
  <r>
    <x v="9"/>
    <x v="0"/>
    <x v="9"/>
    <x v="0"/>
    <x v="0"/>
    <x v="0"/>
    <x v="0"/>
    <x v="6"/>
    <n v="3198.1772305619111"/>
    <x v="0"/>
  </r>
  <r>
    <x v="9"/>
    <x v="0"/>
    <x v="9"/>
    <x v="0"/>
    <x v="0"/>
    <x v="0"/>
    <x v="0"/>
    <x v="7"/>
    <n v="3275.6527421463466"/>
    <x v="0"/>
  </r>
  <r>
    <x v="9"/>
    <x v="0"/>
    <x v="9"/>
    <x v="0"/>
    <x v="0"/>
    <x v="0"/>
    <x v="0"/>
    <x v="8"/>
    <n v="6341.1469576415984"/>
    <x v="0"/>
  </r>
  <r>
    <x v="9"/>
    <x v="0"/>
    <x v="9"/>
    <x v="0"/>
    <x v="0"/>
    <x v="0"/>
    <x v="0"/>
    <x v="9"/>
    <n v="0"/>
    <x v="0"/>
  </r>
  <r>
    <x v="9"/>
    <x v="0"/>
    <x v="9"/>
    <x v="0"/>
    <x v="0"/>
    <x v="0"/>
    <x v="0"/>
    <x v="10"/>
    <n v="0"/>
    <x v="0"/>
  </r>
  <r>
    <x v="9"/>
    <x v="0"/>
    <x v="9"/>
    <x v="0"/>
    <x v="0"/>
    <x v="0"/>
    <x v="0"/>
    <x v="11"/>
    <n v="0"/>
    <x v="0"/>
  </r>
  <r>
    <x v="10"/>
    <x v="0"/>
    <x v="10"/>
    <x v="0"/>
    <x v="0"/>
    <x v="0"/>
    <x v="0"/>
    <x v="0"/>
    <n v="2214.8277587326488"/>
    <x v="0"/>
  </r>
  <r>
    <x v="10"/>
    <x v="0"/>
    <x v="10"/>
    <x v="0"/>
    <x v="0"/>
    <x v="0"/>
    <x v="0"/>
    <x v="1"/>
    <n v="2123.0160915495571"/>
    <x v="0"/>
  </r>
  <r>
    <x v="10"/>
    <x v="0"/>
    <x v="10"/>
    <x v="0"/>
    <x v="0"/>
    <x v="0"/>
    <x v="0"/>
    <x v="2"/>
    <n v="2524.109595633995"/>
    <x v="0"/>
  </r>
  <r>
    <x v="10"/>
    <x v="0"/>
    <x v="10"/>
    <x v="0"/>
    <x v="0"/>
    <x v="0"/>
    <x v="0"/>
    <x v="3"/>
    <n v="2492.4647008083712"/>
    <x v="0"/>
  </r>
  <r>
    <x v="10"/>
    <x v="0"/>
    <x v="10"/>
    <x v="0"/>
    <x v="0"/>
    <x v="0"/>
    <x v="0"/>
    <x v="4"/>
    <n v="2543.4429783806818"/>
    <x v="0"/>
  </r>
  <r>
    <x v="10"/>
    <x v="0"/>
    <x v="10"/>
    <x v="0"/>
    <x v="0"/>
    <x v="0"/>
    <x v="0"/>
    <x v="5"/>
    <n v="2451.1331546603565"/>
    <x v="0"/>
  </r>
  <r>
    <x v="10"/>
    <x v="0"/>
    <x v="10"/>
    <x v="0"/>
    <x v="0"/>
    <x v="0"/>
    <x v="0"/>
    <x v="6"/>
    <n v="2490.2272737815738"/>
    <x v="0"/>
  </r>
  <r>
    <x v="10"/>
    <x v="0"/>
    <x v="10"/>
    <x v="0"/>
    <x v="0"/>
    <x v="0"/>
    <x v="0"/>
    <x v="7"/>
    <n v="2842.5991770783512"/>
    <x v="0"/>
  </r>
  <r>
    <x v="10"/>
    <x v="0"/>
    <x v="10"/>
    <x v="0"/>
    <x v="0"/>
    <x v="0"/>
    <x v="0"/>
    <x v="8"/>
    <n v="2682.7515828937162"/>
    <x v="0"/>
  </r>
  <r>
    <x v="10"/>
    <x v="0"/>
    <x v="10"/>
    <x v="0"/>
    <x v="0"/>
    <x v="0"/>
    <x v="0"/>
    <x v="9"/>
    <n v="2497.453537786721"/>
    <x v="0"/>
  </r>
  <r>
    <x v="10"/>
    <x v="0"/>
    <x v="10"/>
    <x v="0"/>
    <x v="0"/>
    <x v="0"/>
    <x v="0"/>
    <x v="10"/>
    <n v="2700.054084327181"/>
    <x v="0"/>
  </r>
  <r>
    <x v="10"/>
    <x v="0"/>
    <x v="10"/>
    <x v="0"/>
    <x v="0"/>
    <x v="0"/>
    <x v="0"/>
    <x v="11"/>
    <n v="3058.119116733601"/>
    <x v="0"/>
  </r>
  <r>
    <x v="11"/>
    <x v="0"/>
    <x v="11"/>
    <x v="0"/>
    <x v="0"/>
    <x v="0"/>
    <x v="0"/>
    <x v="0"/>
    <n v="6440.2135491262534"/>
    <x v="0"/>
  </r>
  <r>
    <x v="11"/>
    <x v="0"/>
    <x v="11"/>
    <x v="0"/>
    <x v="0"/>
    <x v="0"/>
    <x v="0"/>
    <x v="1"/>
    <n v="6173.9543026049478"/>
    <x v="0"/>
  </r>
  <r>
    <x v="11"/>
    <x v="0"/>
    <x v="11"/>
    <x v="0"/>
    <x v="0"/>
    <x v="0"/>
    <x v="0"/>
    <x v="2"/>
    <n v="6184.0530841890932"/>
    <x v="0"/>
  </r>
  <r>
    <x v="11"/>
    <x v="0"/>
    <x v="11"/>
    <x v="0"/>
    <x v="0"/>
    <x v="0"/>
    <x v="0"/>
    <x v="3"/>
    <n v="5690.3406219074623"/>
    <x v="0"/>
  </r>
  <r>
    <x v="11"/>
    <x v="0"/>
    <x v="11"/>
    <x v="0"/>
    <x v="0"/>
    <x v="0"/>
    <x v="0"/>
    <x v="4"/>
    <n v="6233.7734662571002"/>
    <x v="0"/>
  </r>
  <r>
    <x v="11"/>
    <x v="0"/>
    <x v="11"/>
    <x v="0"/>
    <x v="0"/>
    <x v="0"/>
    <x v="0"/>
    <x v="5"/>
    <n v="5411.6843559768658"/>
    <x v="0"/>
  </r>
  <r>
    <x v="11"/>
    <x v="0"/>
    <x v="11"/>
    <x v="0"/>
    <x v="0"/>
    <x v="0"/>
    <x v="0"/>
    <x v="6"/>
    <n v="8398.6009537282807"/>
    <x v="0"/>
  </r>
  <r>
    <x v="11"/>
    <x v="0"/>
    <x v="11"/>
    <x v="0"/>
    <x v="0"/>
    <x v="0"/>
    <x v="0"/>
    <x v="7"/>
    <n v="6548.0606786585531"/>
    <x v="0"/>
  </r>
  <r>
    <x v="11"/>
    <x v="0"/>
    <x v="11"/>
    <x v="0"/>
    <x v="0"/>
    <x v="0"/>
    <x v="0"/>
    <x v="8"/>
    <n v="6594.0449466209384"/>
    <x v="0"/>
  </r>
  <r>
    <x v="11"/>
    <x v="0"/>
    <x v="11"/>
    <x v="0"/>
    <x v="0"/>
    <x v="0"/>
    <x v="0"/>
    <x v="9"/>
    <n v="6079.7913630799412"/>
    <x v="0"/>
  </r>
  <r>
    <x v="11"/>
    <x v="0"/>
    <x v="11"/>
    <x v="0"/>
    <x v="0"/>
    <x v="0"/>
    <x v="0"/>
    <x v="10"/>
    <n v="6617.6146473131912"/>
    <x v="0"/>
  </r>
  <r>
    <x v="11"/>
    <x v="0"/>
    <x v="11"/>
    <x v="0"/>
    <x v="0"/>
    <x v="0"/>
    <x v="0"/>
    <x v="11"/>
    <n v="7495.2031433724669"/>
    <x v="0"/>
  </r>
  <r>
    <x v="11"/>
    <x v="1"/>
    <x v="11"/>
    <x v="0"/>
    <x v="1"/>
    <x v="1"/>
    <x v="0"/>
    <x v="0"/>
    <n v="7866.8123815374774"/>
    <x v="0"/>
  </r>
  <r>
    <x v="11"/>
    <x v="1"/>
    <x v="11"/>
    <x v="0"/>
    <x v="1"/>
    <x v="1"/>
    <x v="0"/>
    <x v="1"/>
    <n v="0"/>
    <x v="0"/>
  </r>
  <r>
    <x v="11"/>
    <x v="1"/>
    <x v="11"/>
    <x v="0"/>
    <x v="1"/>
    <x v="1"/>
    <x v="0"/>
    <x v="2"/>
    <n v="0"/>
    <x v="0"/>
  </r>
  <r>
    <x v="11"/>
    <x v="1"/>
    <x v="11"/>
    <x v="0"/>
    <x v="1"/>
    <x v="1"/>
    <x v="0"/>
    <x v="3"/>
    <n v="0"/>
    <x v="0"/>
  </r>
  <r>
    <x v="11"/>
    <x v="1"/>
    <x v="11"/>
    <x v="0"/>
    <x v="1"/>
    <x v="1"/>
    <x v="0"/>
    <x v="4"/>
    <n v="0"/>
    <x v="0"/>
  </r>
  <r>
    <x v="11"/>
    <x v="1"/>
    <x v="11"/>
    <x v="0"/>
    <x v="1"/>
    <x v="1"/>
    <x v="0"/>
    <x v="5"/>
    <n v="0"/>
    <x v="0"/>
  </r>
  <r>
    <x v="11"/>
    <x v="1"/>
    <x v="11"/>
    <x v="0"/>
    <x v="1"/>
    <x v="1"/>
    <x v="0"/>
    <x v="6"/>
    <n v="0"/>
    <x v="0"/>
  </r>
  <r>
    <x v="11"/>
    <x v="1"/>
    <x v="11"/>
    <x v="0"/>
    <x v="1"/>
    <x v="1"/>
    <x v="0"/>
    <x v="7"/>
    <n v="0"/>
    <x v="0"/>
  </r>
  <r>
    <x v="11"/>
    <x v="1"/>
    <x v="11"/>
    <x v="0"/>
    <x v="1"/>
    <x v="1"/>
    <x v="0"/>
    <x v="8"/>
    <n v="0"/>
    <x v="0"/>
  </r>
  <r>
    <x v="11"/>
    <x v="1"/>
    <x v="11"/>
    <x v="0"/>
    <x v="1"/>
    <x v="1"/>
    <x v="0"/>
    <x v="9"/>
    <n v="0"/>
    <x v="0"/>
  </r>
  <r>
    <x v="11"/>
    <x v="1"/>
    <x v="11"/>
    <x v="0"/>
    <x v="1"/>
    <x v="1"/>
    <x v="0"/>
    <x v="10"/>
    <n v="0"/>
    <x v="0"/>
  </r>
  <r>
    <x v="11"/>
    <x v="1"/>
    <x v="11"/>
    <x v="0"/>
    <x v="1"/>
    <x v="1"/>
    <x v="0"/>
    <x v="11"/>
    <n v="0"/>
    <x v="0"/>
  </r>
  <r>
    <x v="12"/>
    <x v="0"/>
    <x v="12"/>
    <x v="0"/>
    <x v="0"/>
    <x v="0"/>
    <x v="0"/>
    <x v="0"/>
    <n v="3630.5470776776629"/>
    <x v="0"/>
  </r>
  <r>
    <x v="12"/>
    <x v="0"/>
    <x v="12"/>
    <x v="0"/>
    <x v="0"/>
    <x v="0"/>
    <x v="0"/>
    <x v="1"/>
    <n v="3477.3078532213081"/>
    <x v="0"/>
  </r>
  <r>
    <x v="12"/>
    <x v="0"/>
    <x v="12"/>
    <x v="0"/>
    <x v="0"/>
    <x v="0"/>
    <x v="0"/>
    <x v="2"/>
    <n v="1991.6570901336561"/>
    <x v="0"/>
  </r>
  <r>
    <x v="12"/>
    <x v="0"/>
    <x v="12"/>
    <x v="0"/>
    <x v="0"/>
    <x v="0"/>
    <x v="0"/>
    <x v="3"/>
    <n v="3438.5714654589328"/>
    <x v="0"/>
  </r>
  <r>
    <x v="12"/>
    <x v="0"/>
    <x v="12"/>
    <x v="0"/>
    <x v="0"/>
    <x v="0"/>
    <x v="0"/>
    <x v="4"/>
    <n v="3509.2670030997369"/>
    <x v="0"/>
  </r>
  <r>
    <x v="12"/>
    <x v="0"/>
    <x v="12"/>
    <x v="0"/>
    <x v="0"/>
    <x v="0"/>
    <x v="0"/>
    <x v="5"/>
    <n v="3598.4541744020466"/>
    <x v="0"/>
  </r>
  <r>
    <x v="12"/>
    <x v="0"/>
    <x v="12"/>
    <x v="0"/>
    <x v="0"/>
    <x v="0"/>
    <x v="0"/>
    <x v="6"/>
    <n v="3608.7222681969361"/>
    <x v="0"/>
  </r>
  <r>
    <x v="12"/>
    <x v="0"/>
    <x v="12"/>
    <x v="0"/>
    <x v="0"/>
    <x v="0"/>
    <x v="0"/>
    <x v="7"/>
    <n v="3694.1882803642866"/>
    <x v="0"/>
  </r>
  <r>
    <x v="12"/>
    <x v="0"/>
    <x v="12"/>
    <x v="0"/>
    <x v="0"/>
    <x v="0"/>
    <x v="0"/>
    <x v="8"/>
    <n v="3770.5847563322664"/>
    <x v="0"/>
  </r>
  <r>
    <x v="12"/>
    <x v="0"/>
    <x v="12"/>
    <x v="0"/>
    <x v="0"/>
    <x v="0"/>
    <x v="0"/>
    <x v="9"/>
    <n v="6794.0432455746886"/>
    <x v="0"/>
  </r>
  <r>
    <x v="12"/>
    <x v="0"/>
    <x v="12"/>
    <x v="0"/>
    <x v="0"/>
    <x v="0"/>
    <x v="0"/>
    <x v="10"/>
    <n v="0"/>
    <x v="0"/>
  </r>
  <r>
    <x v="12"/>
    <x v="0"/>
    <x v="12"/>
    <x v="0"/>
    <x v="0"/>
    <x v="0"/>
    <x v="0"/>
    <x v="11"/>
    <n v="0"/>
    <x v="0"/>
  </r>
  <r>
    <x v="13"/>
    <x v="0"/>
    <x v="13"/>
    <x v="0"/>
    <x v="0"/>
    <x v="0"/>
    <x v="0"/>
    <x v="0"/>
    <n v="1900.1613368442065"/>
    <x v="0"/>
  </r>
  <r>
    <x v="13"/>
    <x v="0"/>
    <x v="13"/>
    <x v="0"/>
    <x v="0"/>
    <x v="0"/>
    <x v="0"/>
    <x v="1"/>
    <n v="1821.3575971346481"/>
    <x v="0"/>
  </r>
  <r>
    <x v="13"/>
    <x v="0"/>
    <x v="13"/>
    <x v="0"/>
    <x v="0"/>
    <x v="0"/>
    <x v="0"/>
    <x v="2"/>
    <n v="2524.109595633995"/>
    <x v="0"/>
  </r>
  <r>
    <x v="13"/>
    <x v="0"/>
    <x v="13"/>
    <x v="0"/>
    <x v="0"/>
    <x v="0"/>
    <x v="0"/>
    <x v="3"/>
    <n v="2492.4647008083712"/>
    <x v="0"/>
  </r>
  <r>
    <x v="13"/>
    <x v="0"/>
    <x v="13"/>
    <x v="0"/>
    <x v="0"/>
    <x v="0"/>
    <x v="0"/>
    <x v="4"/>
    <n v="2543.4429783806818"/>
    <x v="0"/>
  </r>
  <r>
    <x v="13"/>
    <x v="0"/>
    <x v="13"/>
    <x v="0"/>
    <x v="0"/>
    <x v="0"/>
    <x v="0"/>
    <x v="5"/>
    <n v="2607.7430321829534"/>
    <x v="0"/>
  </r>
  <r>
    <x v="13"/>
    <x v="0"/>
    <x v="13"/>
    <x v="0"/>
    <x v="0"/>
    <x v="0"/>
    <x v="0"/>
    <x v="6"/>
    <n v="2641.5430165294088"/>
    <x v="0"/>
  </r>
  <r>
    <x v="13"/>
    <x v="0"/>
    <x v="13"/>
    <x v="0"/>
    <x v="0"/>
    <x v="0"/>
    <x v="0"/>
    <x v="7"/>
    <n v="2682.603478201775"/>
    <x v="0"/>
  </r>
  <r>
    <x v="13"/>
    <x v="0"/>
    <x v="13"/>
    <x v="0"/>
    <x v="0"/>
    <x v="0"/>
    <x v="0"/>
    <x v="8"/>
    <n v="2682.7515828937162"/>
    <x v="0"/>
  </r>
  <r>
    <x v="13"/>
    <x v="0"/>
    <x v="13"/>
    <x v="0"/>
    <x v="0"/>
    <x v="0"/>
    <x v="0"/>
    <x v="9"/>
    <n v="2497.453537786721"/>
    <x v="0"/>
  </r>
  <r>
    <x v="13"/>
    <x v="0"/>
    <x v="13"/>
    <x v="0"/>
    <x v="0"/>
    <x v="0"/>
    <x v="0"/>
    <x v="10"/>
    <n v="2700.054084327181"/>
    <x v="0"/>
  </r>
  <r>
    <x v="13"/>
    <x v="0"/>
    <x v="13"/>
    <x v="0"/>
    <x v="0"/>
    <x v="0"/>
    <x v="0"/>
    <x v="11"/>
    <n v="3058.119116733601"/>
    <x v="0"/>
  </r>
  <r>
    <x v="14"/>
    <x v="0"/>
    <x v="14"/>
    <x v="0"/>
    <x v="0"/>
    <x v="0"/>
    <x v="0"/>
    <x v="0"/>
    <n v="1938.2542334304057"/>
    <x v="0"/>
  </r>
  <r>
    <x v="14"/>
    <x v="0"/>
    <x v="14"/>
    <x v="0"/>
    <x v="0"/>
    <x v="0"/>
    <x v="0"/>
    <x v="1"/>
    <n v="1857.8770098248419"/>
    <x v="0"/>
  </r>
  <r>
    <x v="14"/>
    <x v="0"/>
    <x v="14"/>
    <x v="0"/>
    <x v="0"/>
    <x v="0"/>
    <x v="0"/>
    <x v="2"/>
    <n v="2243.6529738968848"/>
    <x v="0"/>
  </r>
  <r>
    <x v="14"/>
    <x v="0"/>
    <x v="14"/>
    <x v="0"/>
    <x v="0"/>
    <x v="0"/>
    <x v="0"/>
    <x v="3"/>
    <n v="2215.556484454904"/>
    <x v="0"/>
  </r>
  <r>
    <x v="14"/>
    <x v="0"/>
    <x v="14"/>
    <x v="0"/>
    <x v="0"/>
    <x v="0"/>
    <x v="0"/>
    <x v="4"/>
    <n v="2260.8933001922974"/>
    <x v="0"/>
  </r>
  <r>
    <x v="14"/>
    <x v="0"/>
    <x v="14"/>
    <x v="0"/>
    <x v="0"/>
    <x v="0"/>
    <x v="0"/>
    <x v="5"/>
    <n v="2318.0773262457933"/>
    <x v="0"/>
  </r>
  <r>
    <x v="14"/>
    <x v="0"/>
    <x v="14"/>
    <x v="0"/>
    <x v="0"/>
    <x v="0"/>
    <x v="0"/>
    <x v="6"/>
    <n v="2360.6434120032291"/>
    <x v="0"/>
  </r>
  <r>
    <x v="14"/>
    <x v="0"/>
    <x v="14"/>
    <x v="0"/>
    <x v="0"/>
    <x v="0"/>
    <x v="0"/>
    <x v="7"/>
    <n v="2386.5227320891527"/>
    <x v="0"/>
  </r>
  <r>
    <x v="14"/>
    <x v="0"/>
    <x v="14"/>
    <x v="0"/>
    <x v="0"/>
    <x v="0"/>
    <x v="0"/>
    <x v="8"/>
    <n v="2388.0888120004661"/>
    <x v="0"/>
  </r>
  <r>
    <x v="14"/>
    <x v="0"/>
    <x v="14"/>
    <x v="0"/>
    <x v="0"/>
    <x v="0"/>
    <x v="0"/>
    <x v="9"/>
    <n v="2221.8621807933118"/>
    <x v="0"/>
  </r>
  <r>
    <x v="14"/>
    <x v="0"/>
    <x v="14"/>
    <x v="0"/>
    <x v="0"/>
    <x v="0"/>
    <x v="0"/>
    <x v="10"/>
    <n v="2400.106564723817"/>
    <x v="0"/>
  </r>
  <r>
    <x v="14"/>
    <x v="0"/>
    <x v="14"/>
    <x v="0"/>
    <x v="0"/>
    <x v="0"/>
    <x v="0"/>
    <x v="11"/>
    <n v="2718.3943500926957"/>
    <x v="0"/>
  </r>
  <r>
    <x v="15"/>
    <x v="0"/>
    <x v="15"/>
    <x v="0"/>
    <x v="0"/>
    <x v="0"/>
    <x v="0"/>
    <x v="0"/>
    <n v="2947.5685384745989"/>
    <x v="0"/>
  </r>
  <r>
    <x v="15"/>
    <x v="0"/>
    <x v="15"/>
    <x v="0"/>
    <x v="0"/>
    <x v="0"/>
    <x v="0"/>
    <x v="1"/>
    <n v="2824.9199592318346"/>
    <x v="0"/>
  </r>
  <r>
    <x v="15"/>
    <x v="0"/>
    <x v="15"/>
    <x v="0"/>
    <x v="0"/>
    <x v="0"/>
    <x v="0"/>
    <x v="2"/>
    <n v="4206.8493260566584"/>
    <x v="0"/>
  </r>
  <r>
    <x v="15"/>
    <x v="0"/>
    <x v="15"/>
    <x v="0"/>
    <x v="0"/>
    <x v="0"/>
    <x v="0"/>
    <x v="3"/>
    <n v="4151.3789042084545"/>
    <x v="0"/>
  </r>
  <r>
    <x v="15"/>
    <x v="0"/>
    <x v="15"/>
    <x v="0"/>
    <x v="0"/>
    <x v="0"/>
    <x v="0"/>
    <x v="4"/>
    <n v="4233.1903590829788"/>
    <x v="0"/>
  </r>
  <r>
    <x v="15"/>
    <x v="0"/>
    <x v="15"/>
    <x v="0"/>
    <x v="0"/>
    <x v="0"/>
    <x v="0"/>
    <x v="5"/>
    <n v="4337.9800589869601"/>
    <x v="0"/>
  </r>
  <r>
    <x v="15"/>
    <x v="0"/>
    <x v="15"/>
    <x v="0"/>
    <x v="0"/>
    <x v="0"/>
    <x v="0"/>
    <x v="6"/>
    <n v="4333.4783995068019"/>
    <x v="0"/>
  </r>
  <r>
    <x v="15"/>
    <x v="0"/>
    <x v="15"/>
    <x v="0"/>
    <x v="0"/>
    <x v="0"/>
    <x v="0"/>
    <x v="7"/>
    <n v="4449.8018626933526"/>
    <x v="0"/>
  </r>
  <r>
    <x v="15"/>
    <x v="0"/>
    <x v="15"/>
    <x v="0"/>
    <x v="0"/>
    <x v="0"/>
    <x v="0"/>
    <x v="8"/>
    <n v="4531.7375866661669"/>
    <x v="0"/>
  </r>
  <r>
    <x v="15"/>
    <x v="0"/>
    <x v="15"/>
    <x v="0"/>
    <x v="0"/>
    <x v="0"/>
    <x v="0"/>
    <x v="9"/>
    <n v="4139.3751306395125"/>
    <x v="0"/>
  </r>
  <r>
    <x v="15"/>
    <x v="0"/>
    <x v="15"/>
    <x v="0"/>
    <x v="0"/>
    <x v="0"/>
    <x v="0"/>
    <x v="10"/>
    <n v="4493.8467329247578"/>
    <x v="0"/>
  </r>
  <r>
    <x v="15"/>
    <x v="0"/>
    <x v="15"/>
    <x v="0"/>
    <x v="0"/>
    <x v="0"/>
    <x v="0"/>
    <x v="11"/>
    <n v="5089.7938235383708"/>
    <x v="0"/>
  </r>
  <r>
    <x v="16"/>
    <x v="0"/>
    <x v="16"/>
    <x v="0"/>
    <x v="0"/>
    <x v="0"/>
    <x v="0"/>
    <x v="0"/>
    <n v="1954.0566829417126"/>
    <x v="0"/>
  </r>
  <r>
    <x v="16"/>
    <x v="0"/>
    <x v="16"/>
    <x v="0"/>
    <x v="0"/>
    <x v="0"/>
    <x v="0"/>
    <x v="1"/>
    <n v="1308.9423572342519"/>
    <x v="0"/>
  </r>
  <r>
    <x v="16"/>
    <x v="0"/>
    <x v="16"/>
    <x v="0"/>
    <x v="0"/>
    <x v="0"/>
    <x v="0"/>
    <x v="2"/>
    <n v="0"/>
    <x v="0"/>
  </r>
  <r>
    <x v="16"/>
    <x v="0"/>
    <x v="16"/>
    <x v="0"/>
    <x v="0"/>
    <x v="0"/>
    <x v="0"/>
    <x v="3"/>
    <n v="0"/>
    <x v="0"/>
  </r>
  <r>
    <x v="16"/>
    <x v="0"/>
    <x v="16"/>
    <x v="0"/>
    <x v="0"/>
    <x v="0"/>
    <x v="0"/>
    <x v="4"/>
    <n v="0"/>
    <x v="0"/>
  </r>
  <r>
    <x v="16"/>
    <x v="0"/>
    <x v="16"/>
    <x v="0"/>
    <x v="0"/>
    <x v="0"/>
    <x v="0"/>
    <x v="5"/>
    <n v="0"/>
    <x v="0"/>
  </r>
  <r>
    <x v="16"/>
    <x v="0"/>
    <x v="16"/>
    <x v="0"/>
    <x v="0"/>
    <x v="0"/>
    <x v="0"/>
    <x v="6"/>
    <n v="0"/>
    <x v="0"/>
  </r>
  <r>
    <x v="16"/>
    <x v="0"/>
    <x v="16"/>
    <x v="0"/>
    <x v="0"/>
    <x v="0"/>
    <x v="0"/>
    <x v="7"/>
    <n v="0"/>
    <x v="0"/>
  </r>
  <r>
    <x v="16"/>
    <x v="0"/>
    <x v="16"/>
    <x v="0"/>
    <x v="0"/>
    <x v="0"/>
    <x v="0"/>
    <x v="8"/>
    <n v="0"/>
    <x v="0"/>
  </r>
  <r>
    <x v="16"/>
    <x v="0"/>
    <x v="16"/>
    <x v="0"/>
    <x v="0"/>
    <x v="0"/>
    <x v="0"/>
    <x v="9"/>
    <n v="0"/>
    <x v="0"/>
  </r>
  <r>
    <x v="16"/>
    <x v="0"/>
    <x v="16"/>
    <x v="0"/>
    <x v="0"/>
    <x v="0"/>
    <x v="0"/>
    <x v="10"/>
    <n v="0"/>
    <x v="0"/>
  </r>
  <r>
    <x v="16"/>
    <x v="0"/>
    <x v="16"/>
    <x v="0"/>
    <x v="0"/>
    <x v="0"/>
    <x v="0"/>
    <x v="11"/>
    <n v="0"/>
    <x v="0"/>
  </r>
  <r>
    <x v="17"/>
    <x v="0"/>
    <x v="17"/>
    <x v="2"/>
    <x v="0"/>
    <x v="0"/>
    <x v="0"/>
    <x v="0"/>
    <n v="2585.675801287583"/>
    <x v="0"/>
  </r>
  <r>
    <x v="17"/>
    <x v="0"/>
    <x v="17"/>
    <x v="2"/>
    <x v="0"/>
    <x v="0"/>
    <x v="0"/>
    <x v="1"/>
    <n v="2478.5320772353562"/>
    <x v="0"/>
  </r>
  <r>
    <x v="17"/>
    <x v="0"/>
    <x v="17"/>
    <x v="2"/>
    <x v="0"/>
    <x v="0"/>
    <x v="0"/>
    <x v="2"/>
    <n v="3505.7077717138818"/>
    <x v="0"/>
  </r>
  <r>
    <x v="17"/>
    <x v="0"/>
    <x v="17"/>
    <x v="2"/>
    <x v="0"/>
    <x v="0"/>
    <x v="0"/>
    <x v="3"/>
    <n v="3458.9532947236298"/>
    <x v="0"/>
  </r>
  <r>
    <x v="17"/>
    <x v="0"/>
    <x v="17"/>
    <x v="2"/>
    <x v="0"/>
    <x v="0"/>
    <x v="0"/>
    <x v="4"/>
    <n v="3526.4912314821008"/>
    <x v="0"/>
  </r>
  <r>
    <x v="17"/>
    <x v="0"/>
    <x v="17"/>
    <x v="2"/>
    <x v="0"/>
    <x v="0"/>
    <x v="0"/>
    <x v="5"/>
    <n v="3613.3574004563834"/>
    <x v="0"/>
  </r>
  <r>
    <x v="17"/>
    <x v="0"/>
    <x v="17"/>
    <x v="2"/>
    <x v="0"/>
    <x v="0"/>
    <x v="0"/>
    <x v="6"/>
    <n v="3633.3521997451649"/>
    <x v="0"/>
  </r>
  <r>
    <x v="17"/>
    <x v="0"/>
    <x v="17"/>
    <x v="2"/>
    <x v="0"/>
    <x v="0"/>
    <x v="0"/>
    <x v="7"/>
    <n v="3709.3410639936596"/>
    <x v="0"/>
  </r>
  <r>
    <x v="17"/>
    <x v="0"/>
    <x v="17"/>
    <x v="2"/>
    <x v="0"/>
    <x v="0"/>
    <x v="0"/>
    <x v="8"/>
    <n v="3796.5793097509645"/>
    <x v="0"/>
  </r>
  <r>
    <x v="17"/>
    <x v="0"/>
    <x v="17"/>
    <x v="2"/>
    <x v="0"/>
    <x v="0"/>
    <x v="0"/>
    <x v="9"/>
    <n v="3453.7916023529083"/>
    <x v="0"/>
  </r>
  <r>
    <x v="17"/>
    <x v="0"/>
    <x v="17"/>
    <x v="2"/>
    <x v="0"/>
    <x v="0"/>
    <x v="0"/>
    <x v="10"/>
    <n v="3743.632994268803"/>
    <x v="0"/>
  </r>
  <r>
    <x v="17"/>
    <x v="0"/>
    <x v="17"/>
    <x v="2"/>
    <x v="0"/>
    <x v="0"/>
    <x v="0"/>
    <x v="11"/>
    <n v="4240.0912234544712"/>
    <x v="0"/>
  </r>
  <r>
    <x v="18"/>
    <x v="0"/>
    <x v="18"/>
    <x v="0"/>
    <x v="0"/>
    <x v="0"/>
    <x v="0"/>
    <x v="0"/>
    <n v="6756.0610668807931"/>
    <x v="0"/>
  </r>
  <r>
    <x v="18"/>
    <x v="0"/>
    <x v="18"/>
    <x v="0"/>
    <x v="0"/>
    <x v="0"/>
    <x v="0"/>
    <x v="1"/>
    <n v="6512.7914149902817"/>
    <x v="0"/>
  </r>
  <r>
    <x v="18"/>
    <x v="0"/>
    <x v="18"/>
    <x v="0"/>
    <x v="0"/>
    <x v="0"/>
    <x v="0"/>
    <x v="2"/>
    <n v="8230.7511886217653"/>
    <x v="0"/>
  </r>
  <r>
    <x v="18"/>
    <x v="0"/>
    <x v="18"/>
    <x v="0"/>
    <x v="0"/>
    <x v="0"/>
    <x v="0"/>
    <x v="3"/>
    <n v="8132.7126263774908"/>
    <x v="0"/>
  </r>
  <r>
    <x v="18"/>
    <x v="0"/>
    <x v="18"/>
    <x v="0"/>
    <x v="0"/>
    <x v="0"/>
    <x v="0"/>
    <x v="4"/>
    <n v="8260.3497310761613"/>
    <x v="0"/>
  </r>
  <r>
    <x v="18"/>
    <x v="0"/>
    <x v="18"/>
    <x v="0"/>
    <x v="0"/>
    <x v="0"/>
    <x v="0"/>
    <x v="5"/>
    <n v="8477.7066584551776"/>
    <x v="0"/>
  </r>
  <r>
    <x v="18"/>
    <x v="0"/>
    <x v="18"/>
    <x v="0"/>
    <x v="0"/>
    <x v="0"/>
    <x v="0"/>
    <x v="6"/>
    <n v="8303.7475203969279"/>
    <x v="0"/>
  </r>
  <r>
    <x v="18"/>
    <x v="0"/>
    <x v="18"/>
    <x v="0"/>
    <x v="0"/>
    <x v="0"/>
    <x v="0"/>
    <x v="7"/>
    <n v="8676.4371502019112"/>
    <x v="0"/>
  </r>
  <r>
    <x v="18"/>
    <x v="0"/>
    <x v="18"/>
    <x v="0"/>
    <x v="0"/>
    <x v="0"/>
    <x v="0"/>
    <x v="8"/>
    <n v="8709.3315396710605"/>
    <x v="0"/>
  </r>
  <r>
    <x v="18"/>
    <x v="0"/>
    <x v="18"/>
    <x v="0"/>
    <x v="0"/>
    <x v="0"/>
    <x v="0"/>
    <x v="9"/>
    <n v="8066.0706270098663"/>
    <x v="0"/>
  </r>
  <r>
    <x v="18"/>
    <x v="0"/>
    <x v="18"/>
    <x v="0"/>
    <x v="0"/>
    <x v="0"/>
    <x v="0"/>
    <x v="10"/>
    <n v="8768.9762337675347"/>
    <x v="0"/>
  </r>
  <r>
    <x v="18"/>
    <x v="0"/>
    <x v="18"/>
    <x v="0"/>
    <x v="0"/>
    <x v="0"/>
    <x v="0"/>
    <x v="11"/>
    <n v="9931.8654431136947"/>
    <x v="0"/>
  </r>
  <r>
    <x v="18"/>
    <x v="1"/>
    <x v="18"/>
    <x v="0"/>
    <x v="1"/>
    <x v="1"/>
    <x v="0"/>
    <x v="0"/>
    <n v="0"/>
    <x v="0"/>
  </r>
  <r>
    <x v="18"/>
    <x v="1"/>
    <x v="18"/>
    <x v="0"/>
    <x v="1"/>
    <x v="1"/>
    <x v="0"/>
    <x v="1"/>
    <n v="0"/>
    <x v="0"/>
  </r>
  <r>
    <x v="18"/>
    <x v="1"/>
    <x v="18"/>
    <x v="0"/>
    <x v="1"/>
    <x v="1"/>
    <x v="0"/>
    <x v="2"/>
    <n v="0"/>
    <x v="0"/>
  </r>
  <r>
    <x v="18"/>
    <x v="1"/>
    <x v="18"/>
    <x v="0"/>
    <x v="1"/>
    <x v="1"/>
    <x v="0"/>
    <x v="3"/>
    <n v="0"/>
    <x v="0"/>
  </r>
  <r>
    <x v="18"/>
    <x v="1"/>
    <x v="18"/>
    <x v="0"/>
    <x v="1"/>
    <x v="1"/>
    <x v="0"/>
    <x v="4"/>
    <n v="11725.811644817961"/>
    <x v="0"/>
  </r>
  <r>
    <x v="18"/>
    <x v="1"/>
    <x v="18"/>
    <x v="0"/>
    <x v="1"/>
    <x v="1"/>
    <x v="0"/>
    <x v="5"/>
    <n v="0"/>
    <x v="0"/>
  </r>
  <r>
    <x v="18"/>
    <x v="1"/>
    <x v="18"/>
    <x v="0"/>
    <x v="1"/>
    <x v="1"/>
    <x v="0"/>
    <x v="6"/>
    <n v="0"/>
    <x v="0"/>
  </r>
  <r>
    <x v="18"/>
    <x v="1"/>
    <x v="18"/>
    <x v="0"/>
    <x v="1"/>
    <x v="1"/>
    <x v="0"/>
    <x v="7"/>
    <n v="0"/>
    <x v="0"/>
  </r>
  <r>
    <x v="18"/>
    <x v="1"/>
    <x v="18"/>
    <x v="0"/>
    <x v="1"/>
    <x v="1"/>
    <x v="0"/>
    <x v="8"/>
    <n v="0"/>
    <x v="0"/>
  </r>
  <r>
    <x v="18"/>
    <x v="1"/>
    <x v="18"/>
    <x v="0"/>
    <x v="1"/>
    <x v="1"/>
    <x v="0"/>
    <x v="9"/>
    <n v="0"/>
    <x v="0"/>
  </r>
  <r>
    <x v="18"/>
    <x v="1"/>
    <x v="18"/>
    <x v="0"/>
    <x v="1"/>
    <x v="1"/>
    <x v="0"/>
    <x v="10"/>
    <n v="0"/>
    <x v="0"/>
  </r>
  <r>
    <x v="18"/>
    <x v="1"/>
    <x v="18"/>
    <x v="0"/>
    <x v="1"/>
    <x v="1"/>
    <x v="0"/>
    <x v="11"/>
    <n v="0"/>
    <x v="0"/>
  </r>
  <r>
    <x v="19"/>
    <x v="0"/>
    <x v="19"/>
    <x v="0"/>
    <x v="0"/>
    <x v="0"/>
    <x v="0"/>
    <x v="0"/>
    <n v="1801.6704971424529"/>
    <x v="0"/>
  </r>
  <r>
    <x v="19"/>
    <x v="0"/>
    <x v="19"/>
    <x v="0"/>
    <x v="0"/>
    <x v="0"/>
    <x v="0"/>
    <x v="1"/>
    <n v="1726.4404343008016"/>
    <x v="0"/>
  </r>
  <r>
    <x v="19"/>
    <x v="0"/>
    <x v="19"/>
    <x v="0"/>
    <x v="0"/>
    <x v="0"/>
    <x v="0"/>
    <x v="2"/>
    <n v="2243.6529738968848"/>
    <x v="0"/>
  </r>
  <r>
    <x v="19"/>
    <x v="0"/>
    <x v="19"/>
    <x v="0"/>
    <x v="0"/>
    <x v="0"/>
    <x v="0"/>
    <x v="3"/>
    <n v="1983.7760001205618"/>
    <x v="0"/>
  </r>
  <r>
    <x v="19"/>
    <x v="0"/>
    <x v="19"/>
    <x v="0"/>
    <x v="0"/>
    <x v="0"/>
    <x v="0"/>
    <x v="4"/>
    <n v="2102.2769745992928"/>
    <x v="0"/>
  </r>
  <r>
    <x v="19"/>
    <x v="0"/>
    <x v="19"/>
    <x v="0"/>
    <x v="0"/>
    <x v="0"/>
    <x v="0"/>
    <x v="5"/>
    <n v="2154.9123465733492"/>
    <x v="0"/>
  </r>
  <r>
    <x v="19"/>
    <x v="0"/>
    <x v="19"/>
    <x v="0"/>
    <x v="0"/>
    <x v="0"/>
    <x v="0"/>
    <x v="6"/>
    <n v="2848.995020511762"/>
    <x v="0"/>
  </r>
  <r>
    <x v="19"/>
    <x v="0"/>
    <x v="19"/>
    <x v="0"/>
    <x v="0"/>
    <x v="0"/>
    <x v="0"/>
    <x v="7"/>
    <n v="2297.7869895033923"/>
    <x v="0"/>
  </r>
  <r>
    <x v="19"/>
    <x v="0"/>
    <x v="19"/>
    <x v="0"/>
    <x v="0"/>
    <x v="0"/>
    <x v="0"/>
    <x v="8"/>
    <n v="2385.685287987586"/>
    <x v="0"/>
  </r>
  <r>
    <x v="19"/>
    <x v="0"/>
    <x v="19"/>
    <x v="0"/>
    <x v="0"/>
    <x v="0"/>
    <x v="0"/>
    <x v="9"/>
    <n v="2215.8946568317492"/>
    <x v="0"/>
  </r>
  <r>
    <x v="19"/>
    <x v="0"/>
    <x v="19"/>
    <x v="0"/>
    <x v="0"/>
    <x v="0"/>
    <x v="0"/>
    <x v="10"/>
    <n v="2231.7235259064782"/>
    <x v="0"/>
  </r>
  <r>
    <x v="19"/>
    <x v="0"/>
    <x v="19"/>
    <x v="0"/>
    <x v="0"/>
    <x v="0"/>
    <x v="0"/>
    <x v="11"/>
    <n v="2527.6813592196577"/>
    <x v="0"/>
  </r>
  <r>
    <x v="19"/>
    <x v="1"/>
    <x v="19"/>
    <x v="0"/>
    <x v="1"/>
    <x v="1"/>
    <x v="0"/>
    <x v="0"/>
    <n v="1459.9454463513348"/>
    <x v="0"/>
  </r>
  <r>
    <x v="19"/>
    <x v="1"/>
    <x v="19"/>
    <x v="0"/>
    <x v="1"/>
    <x v="1"/>
    <x v="0"/>
    <x v="1"/>
    <n v="0"/>
    <x v="0"/>
  </r>
  <r>
    <x v="19"/>
    <x v="1"/>
    <x v="19"/>
    <x v="0"/>
    <x v="1"/>
    <x v="1"/>
    <x v="0"/>
    <x v="2"/>
    <n v="0"/>
    <x v="0"/>
  </r>
  <r>
    <x v="19"/>
    <x v="1"/>
    <x v="19"/>
    <x v="0"/>
    <x v="1"/>
    <x v="1"/>
    <x v="0"/>
    <x v="3"/>
    <n v="0"/>
    <x v="0"/>
  </r>
  <r>
    <x v="19"/>
    <x v="1"/>
    <x v="19"/>
    <x v="0"/>
    <x v="1"/>
    <x v="1"/>
    <x v="0"/>
    <x v="4"/>
    <n v="0"/>
    <x v="0"/>
  </r>
  <r>
    <x v="19"/>
    <x v="1"/>
    <x v="19"/>
    <x v="0"/>
    <x v="1"/>
    <x v="1"/>
    <x v="0"/>
    <x v="5"/>
    <n v="0"/>
    <x v="0"/>
  </r>
  <r>
    <x v="19"/>
    <x v="1"/>
    <x v="19"/>
    <x v="0"/>
    <x v="1"/>
    <x v="1"/>
    <x v="0"/>
    <x v="6"/>
    <n v="0"/>
    <x v="0"/>
  </r>
  <r>
    <x v="19"/>
    <x v="1"/>
    <x v="19"/>
    <x v="0"/>
    <x v="1"/>
    <x v="1"/>
    <x v="0"/>
    <x v="7"/>
    <n v="0"/>
    <x v="0"/>
  </r>
  <r>
    <x v="19"/>
    <x v="1"/>
    <x v="19"/>
    <x v="0"/>
    <x v="1"/>
    <x v="1"/>
    <x v="0"/>
    <x v="8"/>
    <n v="0"/>
    <x v="0"/>
  </r>
  <r>
    <x v="19"/>
    <x v="1"/>
    <x v="19"/>
    <x v="0"/>
    <x v="1"/>
    <x v="1"/>
    <x v="0"/>
    <x v="9"/>
    <n v="0"/>
    <x v="0"/>
  </r>
  <r>
    <x v="19"/>
    <x v="1"/>
    <x v="19"/>
    <x v="0"/>
    <x v="1"/>
    <x v="1"/>
    <x v="0"/>
    <x v="10"/>
    <n v="0"/>
    <x v="0"/>
  </r>
  <r>
    <x v="19"/>
    <x v="1"/>
    <x v="19"/>
    <x v="0"/>
    <x v="1"/>
    <x v="1"/>
    <x v="0"/>
    <x v="11"/>
    <n v="0"/>
    <x v="0"/>
  </r>
  <r>
    <x v="20"/>
    <x v="0"/>
    <x v="20"/>
    <x v="0"/>
    <x v="0"/>
    <x v="0"/>
    <x v="0"/>
    <x v="0"/>
    <n v="1940.7740992708082"/>
    <x v="0"/>
  </r>
  <r>
    <x v="20"/>
    <x v="0"/>
    <x v="20"/>
    <x v="0"/>
    <x v="0"/>
    <x v="0"/>
    <x v="0"/>
    <x v="1"/>
    <n v="1860.2926962657752"/>
    <x v="0"/>
  </r>
  <r>
    <x v="20"/>
    <x v="0"/>
    <x v="20"/>
    <x v="0"/>
    <x v="0"/>
    <x v="0"/>
    <x v="0"/>
    <x v="2"/>
    <n v="1511.9865208442411"/>
    <x v="0"/>
  </r>
  <r>
    <x v="20"/>
    <x v="0"/>
    <x v="20"/>
    <x v="0"/>
    <x v="0"/>
    <x v="0"/>
    <x v="0"/>
    <x v="3"/>
    <n v="2215.556484454904"/>
    <x v="0"/>
  </r>
  <r>
    <x v="20"/>
    <x v="0"/>
    <x v="20"/>
    <x v="0"/>
    <x v="0"/>
    <x v="0"/>
    <x v="0"/>
    <x v="4"/>
    <n v="2260.8933001922974"/>
    <x v="0"/>
  </r>
  <r>
    <x v="20"/>
    <x v="0"/>
    <x v="20"/>
    <x v="0"/>
    <x v="0"/>
    <x v="0"/>
    <x v="0"/>
    <x v="5"/>
    <n v="2318.0773262457933"/>
    <x v="0"/>
  </r>
  <r>
    <x v="20"/>
    <x v="0"/>
    <x v="20"/>
    <x v="0"/>
    <x v="0"/>
    <x v="0"/>
    <x v="0"/>
    <x v="6"/>
    <n v="3719.6206305170967"/>
    <x v="0"/>
  </r>
  <r>
    <x v="20"/>
    <x v="0"/>
    <x v="20"/>
    <x v="0"/>
    <x v="0"/>
    <x v="0"/>
    <x v="0"/>
    <x v="7"/>
    <n v="2386.5478856211998"/>
    <x v="0"/>
  </r>
  <r>
    <x v="20"/>
    <x v="0"/>
    <x v="20"/>
    <x v="0"/>
    <x v="0"/>
    <x v="0"/>
    <x v="0"/>
    <x v="8"/>
    <n v="2388.6900669184361"/>
    <x v="0"/>
  </r>
  <r>
    <x v="20"/>
    <x v="0"/>
    <x v="20"/>
    <x v="0"/>
    <x v="0"/>
    <x v="0"/>
    <x v="0"/>
    <x v="9"/>
    <n v="2221.8855936498421"/>
    <x v="0"/>
  </r>
  <r>
    <x v="20"/>
    <x v="0"/>
    <x v="20"/>
    <x v="0"/>
    <x v="0"/>
    <x v="0"/>
    <x v="0"/>
    <x v="10"/>
    <n v="2400.106564723817"/>
    <x v="0"/>
  </r>
  <r>
    <x v="20"/>
    <x v="0"/>
    <x v="20"/>
    <x v="0"/>
    <x v="0"/>
    <x v="0"/>
    <x v="0"/>
    <x v="11"/>
    <n v="2718.3943500926957"/>
    <x v="0"/>
  </r>
  <r>
    <x v="21"/>
    <x v="0"/>
    <x v="21"/>
    <x v="0"/>
    <x v="0"/>
    <x v="0"/>
    <x v="0"/>
    <x v="0"/>
    <n v="5083.8147335573876"/>
    <x v="0"/>
  </r>
  <r>
    <x v="21"/>
    <x v="0"/>
    <x v="21"/>
    <x v="0"/>
    <x v="0"/>
    <x v="0"/>
    <x v="0"/>
    <x v="1"/>
    <n v="4873.6333987172484"/>
    <x v="0"/>
  </r>
  <r>
    <x v="21"/>
    <x v="0"/>
    <x v="21"/>
    <x v="0"/>
    <x v="0"/>
    <x v="0"/>
    <x v="0"/>
    <x v="2"/>
    <n v="4887.8344629951889"/>
    <x v="0"/>
  </r>
  <r>
    <x v="21"/>
    <x v="0"/>
    <x v="21"/>
    <x v="0"/>
    <x v="0"/>
    <x v="0"/>
    <x v="0"/>
    <x v="3"/>
    <n v="4825.3028912176223"/>
    <x v="0"/>
  </r>
  <r>
    <x v="21"/>
    <x v="0"/>
    <x v="21"/>
    <x v="0"/>
    <x v="0"/>
    <x v="0"/>
    <x v="0"/>
    <x v="4"/>
    <n v="4915.4107953140065"/>
    <x v="0"/>
  </r>
  <r>
    <x v="21"/>
    <x v="0"/>
    <x v="21"/>
    <x v="0"/>
    <x v="0"/>
    <x v="0"/>
    <x v="0"/>
    <x v="5"/>
    <n v="6517.6963559399564"/>
    <x v="0"/>
  </r>
  <r>
    <x v="21"/>
    <x v="0"/>
    <x v="21"/>
    <x v="0"/>
    <x v="0"/>
    <x v="0"/>
    <x v="0"/>
    <x v="6"/>
    <n v="6426.1493876919094"/>
    <x v="0"/>
  </r>
  <r>
    <x v="21"/>
    <x v="0"/>
    <x v="21"/>
    <x v="0"/>
    <x v="0"/>
    <x v="0"/>
    <x v="0"/>
    <x v="7"/>
    <n v="6689.0506646438798"/>
    <x v="0"/>
  </r>
  <r>
    <x v="21"/>
    <x v="0"/>
    <x v="21"/>
    <x v="0"/>
    <x v="0"/>
    <x v="0"/>
    <x v="0"/>
    <x v="8"/>
    <n v="6729.9375320361369"/>
    <x v="0"/>
  </r>
  <r>
    <x v="21"/>
    <x v="0"/>
    <x v="21"/>
    <x v="0"/>
    <x v="0"/>
    <x v="0"/>
    <x v="0"/>
    <x v="9"/>
    <n v="6206.2221655713802"/>
    <x v="0"/>
  </r>
  <r>
    <x v="21"/>
    <x v="0"/>
    <x v="21"/>
    <x v="0"/>
    <x v="0"/>
    <x v="0"/>
    <x v="0"/>
    <x v="10"/>
    <n v="6748.8191910756932"/>
    <x v="0"/>
  </r>
  <r>
    <x v="21"/>
    <x v="0"/>
    <x v="21"/>
    <x v="0"/>
    <x v="0"/>
    <x v="0"/>
    <x v="0"/>
    <x v="11"/>
    <n v="7643.8072494203652"/>
    <x v="0"/>
  </r>
  <r>
    <x v="21"/>
    <x v="1"/>
    <x v="21"/>
    <x v="0"/>
    <x v="1"/>
    <x v="1"/>
    <x v="0"/>
    <x v="0"/>
    <n v="4102.7795718090192"/>
    <x v="0"/>
  </r>
  <r>
    <x v="21"/>
    <x v="1"/>
    <x v="21"/>
    <x v="0"/>
    <x v="1"/>
    <x v="1"/>
    <x v="0"/>
    <x v="1"/>
    <n v="0"/>
    <x v="0"/>
  </r>
  <r>
    <x v="21"/>
    <x v="1"/>
    <x v="21"/>
    <x v="0"/>
    <x v="1"/>
    <x v="1"/>
    <x v="0"/>
    <x v="2"/>
    <n v="0"/>
    <x v="0"/>
  </r>
  <r>
    <x v="21"/>
    <x v="1"/>
    <x v="21"/>
    <x v="0"/>
    <x v="1"/>
    <x v="1"/>
    <x v="0"/>
    <x v="3"/>
    <n v="0"/>
    <x v="0"/>
  </r>
  <r>
    <x v="21"/>
    <x v="1"/>
    <x v="21"/>
    <x v="0"/>
    <x v="1"/>
    <x v="1"/>
    <x v="0"/>
    <x v="4"/>
    <n v="0"/>
    <x v="0"/>
  </r>
  <r>
    <x v="21"/>
    <x v="1"/>
    <x v="21"/>
    <x v="0"/>
    <x v="1"/>
    <x v="1"/>
    <x v="0"/>
    <x v="5"/>
    <n v="0"/>
    <x v="0"/>
  </r>
  <r>
    <x v="21"/>
    <x v="1"/>
    <x v="21"/>
    <x v="0"/>
    <x v="1"/>
    <x v="1"/>
    <x v="0"/>
    <x v="6"/>
    <n v="0"/>
    <x v="0"/>
  </r>
  <r>
    <x v="21"/>
    <x v="1"/>
    <x v="21"/>
    <x v="0"/>
    <x v="1"/>
    <x v="1"/>
    <x v="0"/>
    <x v="7"/>
    <n v="0"/>
    <x v="0"/>
  </r>
  <r>
    <x v="21"/>
    <x v="1"/>
    <x v="21"/>
    <x v="0"/>
    <x v="1"/>
    <x v="1"/>
    <x v="0"/>
    <x v="8"/>
    <n v="0"/>
    <x v="0"/>
  </r>
  <r>
    <x v="21"/>
    <x v="1"/>
    <x v="21"/>
    <x v="0"/>
    <x v="1"/>
    <x v="1"/>
    <x v="0"/>
    <x v="9"/>
    <n v="11017.814837872302"/>
    <x v="0"/>
  </r>
  <r>
    <x v="21"/>
    <x v="1"/>
    <x v="21"/>
    <x v="0"/>
    <x v="1"/>
    <x v="1"/>
    <x v="0"/>
    <x v="10"/>
    <n v="0"/>
    <x v="0"/>
  </r>
  <r>
    <x v="21"/>
    <x v="1"/>
    <x v="21"/>
    <x v="0"/>
    <x v="1"/>
    <x v="1"/>
    <x v="0"/>
    <x v="11"/>
    <n v="0"/>
    <x v="0"/>
  </r>
  <r>
    <x v="22"/>
    <x v="0"/>
    <x v="22"/>
    <x v="0"/>
    <x v="0"/>
    <x v="0"/>
    <x v="0"/>
    <x v="0"/>
    <n v="1899.7832109736016"/>
    <x v="0"/>
  </r>
  <r>
    <x v="22"/>
    <x v="0"/>
    <x v="22"/>
    <x v="0"/>
    <x v="0"/>
    <x v="0"/>
    <x v="0"/>
    <x v="1"/>
    <n v="1820.9965037964323"/>
    <x v="0"/>
  </r>
  <r>
    <x v="22"/>
    <x v="0"/>
    <x v="22"/>
    <x v="0"/>
    <x v="0"/>
    <x v="0"/>
    <x v="0"/>
    <x v="2"/>
    <n v="1824.8456983737485"/>
    <x v="0"/>
  </r>
  <r>
    <x v="22"/>
    <x v="0"/>
    <x v="22"/>
    <x v="0"/>
    <x v="0"/>
    <x v="0"/>
    <x v="0"/>
    <x v="3"/>
    <n v="1802.0480604331906"/>
    <x v="0"/>
  </r>
  <r>
    <x v="22"/>
    <x v="0"/>
    <x v="22"/>
    <x v="0"/>
    <x v="0"/>
    <x v="0"/>
    <x v="0"/>
    <x v="4"/>
    <n v="1838.960453005192"/>
    <x v="0"/>
  </r>
  <r>
    <x v="22"/>
    <x v="0"/>
    <x v="22"/>
    <x v="0"/>
    <x v="0"/>
    <x v="0"/>
    <x v="0"/>
    <x v="5"/>
    <n v="1885.521690348012"/>
    <x v="0"/>
  </r>
  <r>
    <x v="22"/>
    <x v="0"/>
    <x v="22"/>
    <x v="0"/>
    <x v="0"/>
    <x v="0"/>
    <x v="0"/>
    <x v="6"/>
    <n v="1942.8791358671353"/>
    <x v="0"/>
  </r>
  <r>
    <x v="22"/>
    <x v="0"/>
    <x v="22"/>
    <x v="0"/>
    <x v="0"/>
    <x v="0"/>
    <x v="0"/>
    <x v="7"/>
    <n v="1944.6447161310509"/>
    <x v="0"/>
  </r>
  <r>
    <x v="22"/>
    <x v="0"/>
    <x v="22"/>
    <x v="0"/>
    <x v="0"/>
    <x v="0"/>
    <x v="0"/>
    <x v="8"/>
    <n v="1941.9935586827946"/>
    <x v="0"/>
  </r>
  <r>
    <x v="22"/>
    <x v="0"/>
    <x v="22"/>
    <x v="0"/>
    <x v="0"/>
    <x v="0"/>
    <x v="0"/>
    <x v="9"/>
    <n v="1810.5616439881198"/>
    <x v="0"/>
  </r>
  <r>
    <x v="22"/>
    <x v="0"/>
    <x v="22"/>
    <x v="0"/>
    <x v="0"/>
    <x v="0"/>
    <x v="0"/>
    <x v="10"/>
    <n v="1952.1934339625152"/>
    <x v="0"/>
  </r>
  <r>
    <x v="22"/>
    <x v="0"/>
    <x v="22"/>
    <x v="0"/>
    <x v="0"/>
    <x v="0"/>
    <x v="0"/>
    <x v="11"/>
    <n v="2211.0816574439991"/>
    <x v="0"/>
  </r>
  <r>
    <x v="23"/>
    <x v="0"/>
    <x v="23"/>
    <x v="0"/>
    <x v="0"/>
    <x v="0"/>
    <x v="0"/>
    <x v="0"/>
    <n v="1900.1613368442065"/>
    <x v="0"/>
  </r>
  <r>
    <x v="23"/>
    <x v="0"/>
    <x v="23"/>
    <x v="0"/>
    <x v="0"/>
    <x v="0"/>
    <x v="0"/>
    <x v="1"/>
    <n v="1821.3575971346481"/>
    <x v="0"/>
  </r>
  <r>
    <x v="23"/>
    <x v="0"/>
    <x v="23"/>
    <x v="0"/>
    <x v="0"/>
    <x v="0"/>
    <x v="0"/>
    <x v="2"/>
    <n v="1825.2074874157895"/>
    <x v="0"/>
  </r>
  <r>
    <x v="23"/>
    <x v="0"/>
    <x v="23"/>
    <x v="0"/>
    <x v="0"/>
    <x v="0"/>
    <x v="0"/>
    <x v="3"/>
    <n v="1802.4052720322866"/>
    <x v="0"/>
  </r>
  <r>
    <x v="23"/>
    <x v="0"/>
    <x v="23"/>
    <x v="0"/>
    <x v="0"/>
    <x v="0"/>
    <x v="0"/>
    <x v="4"/>
    <n v="1839.3249420900549"/>
    <x v="0"/>
  </r>
  <r>
    <x v="23"/>
    <x v="0"/>
    <x v="23"/>
    <x v="0"/>
    <x v="0"/>
    <x v="0"/>
    <x v="0"/>
    <x v="5"/>
    <n v="1885.8953572403364"/>
    <x v="0"/>
  </r>
  <r>
    <x v="23"/>
    <x v="0"/>
    <x v="23"/>
    <x v="0"/>
    <x v="0"/>
    <x v="0"/>
    <x v="0"/>
    <x v="6"/>
    <n v="1944.1035657350235"/>
    <x v="0"/>
  </r>
  <r>
    <x v="23"/>
    <x v="0"/>
    <x v="23"/>
    <x v="0"/>
    <x v="0"/>
    <x v="0"/>
    <x v="0"/>
    <x v="7"/>
    <n v="1789.7951339875046"/>
    <x v="0"/>
  </r>
  <r>
    <x v="23"/>
    <x v="0"/>
    <x v="23"/>
    <x v="0"/>
    <x v="0"/>
    <x v="0"/>
    <x v="0"/>
    <x v="8"/>
    <n v="1945.5427574896171"/>
    <x v="0"/>
  </r>
  <r>
    <x v="23"/>
    <x v="0"/>
    <x v="23"/>
    <x v="0"/>
    <x v="0"/>
    <x v="0"/>
    <x v="0"/>
    <x v="9"/>
    <n v="1781.9180798633611"/>
    <x v="0"/>
  </r>
  <r>
    <x v="23"/>
    <x v="0"/>
    <x v="23"/>
    <x v="0"/>
    <x v="0"/>
    <x v="0"/>
    <x v="0"/>
    <x v="10"/>
    <n v="1952.5803662628034"/>
    <x v="0"/>
  </r>
  <r>
    <x v="23"/>
    <x v="0"/>
    <x v="23"/>
    <x v="0"/>
    <x v="0"/>
    <x v="0"/>
    <x v="0"/>
    <x v="11"/>
    <n v="2211.5199023929658"/>
    <x v="0"/>
  </r>
  <r>
    <x v="24"/>
    <x v="0"/>
    <x v="24"/>
    <x v="0"/>
    <x v="0"/>
    <x v="0"/>
    <x v="0"/>
    <x v="0"/>
    <n v="3560.6580292153785"/>
    <x v="0"/>
  </r>
  <r>
    <x v="24"/>
    <x v="0"/>
    <x v="24"/>
    <x v="0"/>
    <x v="0"/>
    <x v="0"/>
    <x v="0"/>
    <x v="1"/>
    <n v="1415.3235337631652"/>
    <x v="0"/>
  </r>
  <r>
    <x v="24"/>
    <x v="0"/>
    <x v="24"/>
    <x v="0"/>
    <x v="0"/>
    <x v="0"/>
    <x v="0"/>
    <x v="2"/>
    <n v="0"/>
    <x v="0"/>
  </r>
  <r>
    <x v="24"/>
    <x v="0"/>
    <x v="24"/>
    <x v="0"/>
    <x v="0"/>
    <x v="0"/>
    <x v="0"/>
    <x v="3"/>
    <n v="0"/>
    <x v="0"/>
  </r>
  <r>
    <x v="24"/>
    <x v="0"/>
    <x v="24"/>
    <x v="0"/>
    <x v="0"/>
    <x v="0"/>
    <x v="0"/>
    <x v="4"/>
    <n v="0"/>
    <x v="0"/>
  </r>
  <r>
    <x v="24"/>
    <x v="0"/>
    <x v="24"/>
    <x v="0"/>
    <x v="0"/>
    <x v="0"/>
    <x v="0"/>
    <x v="5"/>
    <n v="0"/>
    <x v="0"/>
  </r>
  <r>
    <x v="24"/>
    <x v="0"/>
    <x v="24"/>
    <x v="0"/>
    <x v="0"/>
    <x v="0"/>
    <x v="0"/>
    <x v="6"/>
    <n v="0"/>
    <x v="0"/>
  </r>
  <r>
    <x v="24"/>
    <x v="0"/>
    <x v="24"/>
    <x v="0"/>
    <x v="0"/>
    <x v="0"/>
    <x v="0"/>
    <x v="7"/>
    <n v="0"/>
    <x v="0"/>
  </r>
  <r>
    <x v="24"/>
    <x v="0"/>
    <x v="24"/>
    <x v="0"/>
    <x v="0"/>
    <x v="0"/>
    <x v="0"/>
    <x v="8"/>
    <n v="0"/>
    <x v="0"/>
  </r>
  <r>
    <x v="24"/>
    <x v="0"/>
    <x v="24"/>
    <x v="0"/>
    <x v="0"/>
    <x v="0"/>
    <x v="0"/>
    <x v="9"/>
    <n v="0"/>
    <x v="0"/>
  </r>
  <r>
    <x v="24"/>
    <x v="0"/>
    <x v="24"/>
    <x v="0"/>
    <x v="0"/>
    <x v="0"/>
    <x v="0"/>
    <x v="10"/>
    <n v="0"/>
    <x v="0"/>
  </r>
  <r>
    <x v="24"/>
    <x v="0"/>
    <x v="24"/>
    <x v="0"/>
    <x v="0"/>
    <x v="0"/>
    <x v="0"/>
    <x v="11"/>
    <n v="0"/>
    <x v="0"/>
  </r>
  <r>
    <x v="25"/>
    <x v="0"/>
    <x v="25"/>
    <x v="1"/>
    <x v="0"/>
    <x v="0"/>
    <x v="0"/>
    <x v="0"/>
    <n v="7950.2818425417217"/>
    <x v="0"/>
  </r>
  <r>
    <x v="25"/>
    <x v="0"/>
    <x v="25"/>
    <x v="1"/>
    <x v="0"/>
    <x v="0"/>
    <x v="0"/>
    <x v="1"/>
    <n v="8123.8317368262633"/>
    <x v="0"/>
  </r>
  <r>
    <x v="25"/>
    <x v="0"/>
    <x v="25"/>
    <x v="1"/>
    <x v="0"/>
    <x v="0"/>
    <x v="0"/>
    <x v="2"/>
    <n v="0"/>
    <x v="0"/>
  </r>
  <r>
    <x v="25"/>
    <x v="0"/>
    <x v="25"/>
    <x v="1"/>
    <x v="0"/>
    <x v="0"/>
    <x v="0"/>
    <x v="3"/>
    <n v="0"/>
    <x v="0"/>
  </r>
  <r>
    <x v="25"/>
    <x v="0"/>
    <x v="25"/>
    <x v="1"/>
    <x v="0"/>
    <x v="0"/>
    <x v="0"/>
    <x v="4"/>
    <n v="0"/>
    <x v="0"/>
  </r>
  <r>
    <x v="25"/>
    <x v="0"/>
    <x v="25"/>
    <x v="1"/>
    <x v="0"/>
    <x v="0"/>
    <x v="0"/>
    <x v="5"/>
    <n v="0"/>
    <x v="0"/>
  </r>
  <r>
    <x v="25"/>
    <x v="0"/>
    <x v="25"/>
    <x v="1"/>
    <x v="0"/>
    <x v="0"/>
    <x v="0"/>
    <x v="6"/>
    <n v="0"/>
    <x v="0"/>
  </r>
  <r>
    <x v="25"/>
    <x v="0"/>
    <x v="25"/>
    <x v="1"/>
    <x v="0"/>
    <x v="0"/>
    <x v="0"/>
    <x v="7"/>
    <n v="0"/>
    <x v="0"/>
  </r>
  <r>
    <x v="25"/>
    <x v="0"/>
    <x v="25"/>
    <x v="1"/>
    <x v="0"/>
    <x v="0"/>
    <x v="0"/>
    <x v="8"/>
    <n v="0"/>
    <x v="0"/>
  </r>
  <r>
    <x v="25"/>
    <x v="0"/>
    <x v="25"/>
    <x v="1"/>
    <x v="0"/>
    <x v="0"/>
    <x v="0"/>
    <x v="9"/>
    <n v="0"/>
    <x v="0"/>
  </r>
  <r>
    <x v="25"/>
    <x v="0"/>
    <x v="25"/>
    <x v="1"/>
    <x v="0"/>
    <x v="0"/>
    <x v="0"/>
    <x v="10"/>
    <n v="0"/>
    <x v="0"/>
  </r>
  <r>
    <x v="25"/>
    <x v="0"/>
    <x v="25"/>
    <x v="1"/>
    <x v="0"/>
    <x v="0"/>
    <x v="0"/>
    <x v="11"/>
    <n v="0"/>
    <x v="0"/>
  </r>
  <r>
    <x v="26"/>
    <x v="0"/>
    <x v="26"/>
    <x v="0"/>
    <x v="0"/>
    <x v="0"/>
    <x v="0"/>
    <x v="0"/>
    <n v="3224.2442599580868"/>
    <x v="0"/>
  </r>
  <r>
    <x v="26"/>
    <x v="0"/>
    <x v="26"/>
    <x v="0"/>
    <x v="0"/>
    <x v="0"/>
    <x v="0"/>
    <x v="1"/>
    <n v="3090.157012017306"/>
    <x v="0"/>
  </r>
  <r>
    <x v="26"/>
    <x v="0"/>
    <x v="26"/>
    <x v="0"/>
    <x v="0"/>
    <x v="0"/>
    <x v="0"/>
    <x v="2"/>
    <n v="3097.208679322694"/>
    <x v="0"/>
  </r>
  <r>
    <x v="26"/>
    <x v="0"/>
    <x v="26"/>
    <x v="0"/>
    <x v="0"/>
    <x v="0"/>
    <x v="0"/>
    <x v="3"/>
    <n v="3058.9593762010477"/>
    <x v="0"/>
  </r>
  <r>
    <x v="26"/>
    <x v="0"/>
    <x v="26"/>
    <x v="0"/>
    <x v="0"/>
    <x v="0"/>
    <x v="0"/>
    <x v="4"/>
    <n v="3121.9210620196714"/>
    <x v="0"/>
  </r>
  <r>
    <x v="26"/>
    <x v="0"/>
    <x v="26"/>
    <x v="0"/>
    <x v="0"/>
    <x v="0"/>
    <x v="0"/>
    <x v="5"/>
    <n v="3148.903936509942"/>
    <x v="0"/>
  </r>
  <r>
    <x v="26"/>
    <x v="0"/>
    <x v="26"/>
    <x v="0"/>
    <x v="0"/>
    <x v="0"/>
    <x v="0"/>
    <x v="6"/>
    <n v="0"/>
    <x v="0"/>
  </r>
  <r>
    <x v="26"/>
    <x v="0"/>
    <x v="26"/>
    <x v="0"/>
    <x v="0"/>
    <x v="0"/>
    <x v="0"/>
    <x v="7"/>
    <n v="0"/>
    <x v="0"/>
  </r>
  <r>
    <x v="26"/>
    <x v="0"/>
    <x v="26"/>
    <x v="0"/>
    <x v="0"/>
    <x v="0"/>
    <x v="0"/>
    <x v="8"/>
    <n v="0"/>
    <x v="0"/>
  </r>
  <r>
    <x v="26"/>
    <x v="0"/>
    <x v="26"/>
    <x v="0"/>
    <x v="0"/>
    <x v="0"/>
    <x v="0"/>
    <x v="9"/>
    <n v="0"/>
    <x v="0"/>
  </r>
  <r>
    <x v="26"/>
    <x v="0"/>
    <x v="26"/>
    <x v="0"/>
    <x v="0"/>
    <x v="0"/>
    <x v="0"/>
    <x v="10"/>
    <n v="0"/>
    <x v="0"/>
  </r>
  <r>
    <x v="26"/>
    <x v="0"/>
    <x v="26"/>
    <x v="0"/>
    <x v="0"/>
    <x v="0"/>
    <x v="0"/>
    <x v="11"/>
    <n v="0"/>
    <x v="0"/>
  </r>
  <r>
    <x v="27"/>
    <x v="0"/>
    <x v="27"/>
    <x v="0"/>
    <x v="0"/>
    <x v="0"/>
    <x v="0"/>
    <x v="0"/>
    <n v="1616.1771284562842"/>
    <x v="0"/>
  </r>
  <r>
    <x v="27"/>
    <x v="0"/>
    <x v="27"/>
    <x v="0"/>
    <x v="0"/>
    <x v="0"/>
    <x v="0"/>
    <x v="1"/>
    <n v="1549.1156135051031"/>
    <x v="0"/>
  </r>
  <r>
    <x v="27"/>
    <x v="0"/>
    <x v="27"/>
    <x v="0"/>
    <x v="0"/>
    <x v="0"/>
    <x v="0"/>
    <x v="2"/>
    <n v="1552.4409862467105"/>
    <x v="0"/>
  </r>
  <r>
    <x v="27"/>
    <x v="0"/>
    <x v="27"/>
    <x v="0"/>
    <x v="0"/>
    <x v="0"/>
    <x v="0"/>
    <x v="3"/>
    <n v="1533.0898789712321"/>
    <x v="0"/>
  </r>
  <r>
    <x v="27"/>
    <x v="0"/>
    <x v="27"/>
    <x v="0"/>
    <x v="0"/>
    <x v="0"/>
    <x v="0"/>
    <x v="4"/>
    <n v="1564.5227760775958"/>
    <x v="0"/>
  </r>
  <r>
    <x v="27"/>
    <x v="0"/>
    <x v="27"/>
    <x v="0"/>
    <x v="0"/>
    <x v="0"/>
    <x v="0"/>
    <x v="5"/>
    <n v="1078.9066670566858"/>
    <x v="0"/>
  </r>
  <r>
    <x v="27"/>
    <x v="0"/>
    <x v="27"/>
    <x v="0"/>
    <x v="0"/>
    <x v="0"/>
    <x v="0"/>
    <x v="6"/>
    <n v="0"/>
    <x v="0"/>
  </r>
  <r>
    <x v="27"/>
    <x v="0"/>
    <x v="27"/>
    <x v="0"/>
    <x v="0"/>
    <x v="0"/>
    <x v="0"/>
    <x v="7"/>
    <n v="0"/>
    <x v="0"/>
  </r>
  <r>
    <x v="27"/>
    <x v="0"/>
    <x v="27"/>
    <x v="0"/>
    <x v="0"/>
    <x v="0"/>
    <x v="0"/>
    <x v="8"/>
    <n v="0"/>
    <x v="0"/>
  </r>
  <r>
    <x v="27"/>
    <x v="0"/>
    <x v="27"/>
    <x v="0"/>
    <x v="0"/>
    <x v="0"/>
    <x v="0"/>
    <x v="9"/>
    <n v="0"/>
    <x v="0"/>
  </r>
  <r>
    <x v="27"/>
    <x v="0"/>
    <x v="27"/>
    <x v="0"/>
    <x v="0"/>
    <x v="0"/>
    <x v="0"/>
    <x v="10"/>
    <n v="0"/>
    <x v="0"/>
  </r>
  <r>
    <x v="27"/>
    <x v="0"/>
    <x v="27"/>
    <x v="0"/>
    <x v="0"/>
    <x v="0"/>
    <x v="0"/>
    <x v="11"/>
    <n v="0"/>
    <x v="0"/>
  </r>
  <r>
    <x v="28"/>
    <x v="0"/>
    <x v="28"/>
    <x v="0"/>
    <x v="0"/>
    <x v="0"/>
    <x v="0"/>
    <x v="0"/>
    <n v="2200.2998415960069"/>
    <x v="0"/>
  </r>
  <r>
    <x v="28"/>
    <x v="0"/>
    <x v="28"/>
    <x v="0"/>
    <x v="0"/>
    <x v="0"/>
    <x v="0"/>
    <x v="1"/>
    <n v="1799.0397894943681"/>
    <x v="0"/>
  </r>
  <r>
    <x v="28"/>
    <x v="0"/>
    <x v="28"/>
    <x v="0"/>
    <x v="0"/>
    <x v="0"/>
    <x v="0"/>
    <x v="2"/>
    <n v="2524.109595633995"/>
    <x v="0"/>
  </r>
  <r>
    <x v="28"/>
    <x v="0"/>
    <x v="28"/>
    <x v="0"/>
    <x v="0"/>
    <x v="0"/>
    <x v="0"/>
    <x v="3"/>
    <n v="2467.2148251001795"/>
    <x v="0"/>
  </r>
  <r>
    <x v="28"/>
    <x v="0"/>
    <x v="28"/>
    <x v="0"/>
    <x v="0"/>
    <x v="0"/>
    <x v="0"/>
    <x v="4"/>
    <n v="2517.6786859750741"/>
    <x v="0"/>
  </r>
  <r>
    <x v="28"/>
    <x v="0"/>
    <x v="28"/>
    <x v="0"/>
    <x v="0"/>
    <x v="0"/>
    <x v="0"/>
    <x v="5"/>
    <n v="2581.3299968522501"/>
    <x v="0"/>
  </r>
  <r>
    <x v="28"/>
    <x v="0"/>
    <x v="28"/>
    <x v="0"/>
    <x v="0"/>
    <x v="0"/>
    <x v="0"/>
    <x v="6"/>
    <n v="2614.7412962326516"/>
    <x v="0"/>
  </r>
  <r>
    <x v="28"/>
    <x v="0"/>
    <x v="28"/>
    <x v="0"/>
    <x v="0"/>
    <x v="0"/>
    <x v="0"/>
    <x v="7"/>
    <n v="2655.4243470145902"/>
    <x v="0"/>
  </r>
  <r>
    <x v="28"/>
    <x v="0"/>
    <x v="28"/>
    <x v="0"/>
    <x v="0"/>
    <x v="0"/>
    <x v="0"/>
    <x v="8"/>
    <n v="2625.4618605605847"/>
    <x v="0"/>
  </r>
  <r>
    <x v="28"/>
    <x v="0"/>
    <x v="28"/>
    <x v="0"/>
    <x v="0"/>
    <x v="0"/>
    <x v="0"/>
    <x v="9"/>
    <n v="2467.1972410150693"/>
    <x v="0"/>
  </r>
  <r>
    <x v="28"/>
    <x v="0"/>
    <x v="28"/>
    <x v="0"/>
    <x v="0"/>
    <x v="0"/>
    <x v="0"/>
    <x v="10"/>
    <n v="2672.7033697521479"/>
    <x v="0"/>
  </r>
  <r>
    <x v="28"/>
    <x v="0"/>
    <x v="28"/>
    <x v="0"/>
    <x v="0"/>
    <x v="0"/>
    <x v="0"/>
    <x v="11"/>
    <n v="3027.14131388745"/>
    <x v="0"/>
  </r>
  <r>
    <x v="29"/>
    <x v="0"/>
    <x v="29"/>
    <x v="2"/>
    <x v="0"/>
    <x v="0"/>
    <x v="0"/>
    <x v="0"/>
    <n v="1882.5879735064757"/>
    <x v="0"/>
  </r>
  <r>
    <x v="29"/>
    <x v="0"/>
    <x v="29"/>
    <x v="2"/>
    <x v="0"/>
    <x v="0"/>
    <x v="0"/>
    <x v="1"/>
    <n v="1803.9649346772444"/>
    <x v="0"/>
  </r>
  <r>
    <x v="29"/>
    <x v="0"/>
    <x v="29"/>
    <x v="2"/>
    <x v="0"/>
    <x v="0"/>
    <x v="0"/>
    <x v="2"/>
    <n v="1806.7267983264226"/>
    <x v="0"/>
  </r>
  <r>
    <x v="29"/>
    <x v="0"/>
    <x v="29"/>
    <x v="2"/>
    <x v="0"/>
    <x v="0"/>
    <x v="0"/>
    <x v="3"/>
    <n v="1783.4190601780113"/>
    <x v="0"/>
  </r>
  <r>
    <x v="29"/>
    <x v="0"/>
    <x v="29"/>
    <x v="2"/>
    <x v="0"/>
    <x v="0"/>
    <x v="0"/>
    <x v="4"/>
    <n v="1819.1621970545318"/>
    <x v="0"/>
  </r>
  <r>
    <x v="29"/>
    <x v="0"/>
    <x v="29"/>
    <x v="2"/>
    <x v="0"/>
    <x v="0"/>
    <x v="0"/>
    <x v="5"/>
    <n v="1864.6137242332984"/>
    <x v="0"/>
  </r>
  <r>
    <x v="29"/>
    <x v="0"/>
    <x v="29"/>
    <x v="2"/>
    <x v="0"/>
    <x v="0"/>
    <x v="0"/>
    <x v="6"/>
    <n v="1921.3389656312459"/>
    <x v="0"/>
  </r>
  <r>
    <x v="29"/>
    <x v="0"/>
    <x v="29"/>
    <x v="2"/>
    <x v="0"/>
    <x v="0"/>
    <x v="0"/>
    <x v="7"/>
    <n v="1910.8176543856423"/>
    <x v="0"/>
  </r>
  <r>
    <x v="29"/>
    <x v="0"/>
    <x v="29"/>
    <x v="2"/>
    <x v="0"/>
    <x v="0"/>
    <x v="0"/>
    <x v="8"/>
    <n v="1931.1290917073386"/>
    <x v="0"/>
  </r>
  <r>
    <x v="29"/>
    <x v="0"/>
    <x v="29"/>
    <x v="2"/>
    <x v="0"/>
    <x v="0"/>
    <x v="0"/>
    <x v="9"/>
    <n v="2260.7647077589845"/>
    <x v="0"/>
  </r>
  <r>
    <x v="29"/>
    <x v="0"/>
    <x v="29"/>
    <x v="2"/>
    <x v="0"/>
    <x v="0"/>
    <x v="0"/>
    <x v="10"/>
    <n v="1931.1761112639076"/>
    <x v="0"/>
  </r>
  <r>
    <x v="29"/>
    <x v="0"/>
    <x v="29"/>
    <x v="2"/>
    <x v="0"/>
    <x v="0"/>
    <x v="0"/>
    <x v="11"/>
    <n v="2187.2771430454709"/>
    <x v="0"/>
  </r>
  <r>
    <x v="30"/>
    <x v="0"/>
    <x v="30"/>
    <x v="0"/>
    <x v="0"/>
    <x v="0"/>
    <x v="0"/>
    <x v="0"/>
    <n v="1607.8028813760129"/>
    <x v="0"/>
  </r>
  <r>
    <x v="30"/>
    <x v="0"/>
    <x v="30"/>
    <x v="0"/>
    <x v="0"/>
    <x v="0"/>
    <x v="0"/>
    <x v="1"/>
    <n v="1541.087584869417"/>
    <x v="0"/>
  </r>
  <r>
    <x v="30"/>
    <x v="0"/>
    <x v="30"/>
    <x v="0"/>
    <x v="0"/>
    <x v="0"/>
    <x v="0"/>
    <x v="2"/>
    <n v="1544.3974903352901"/>
    <x v="0"/>
  </r>
  <r>
    <x v="30"/>
    <x v="0"/>
    <x v="30"/>
    <x v="0"/>
    <x v="0"/>
    <x v="0"/>
    <x v="0"/>
    <x v="3"/>
    <n v="513.72150752003313"/>
    <x v="0"/>
  </r>
  <r>
    <x v="30"/>
    <x v="0"/>
    <x v="30"/>
    <x v="0"/>
    <x v="0"/>
    <x v="0"/>
    <x v="0"/>
    <x v="4"/>
    <n v="0"/>
    <x v="0"/>
  </r>
  <r>
    <x v="30"/>
    <x v="0"/>
    <x v="30"/>
    <x v="0"/>
    <x v="0"/>
    <x v="0"/>
    <x v="0"/>
    <x v="5"/>
    <n v="0"/>
    <x v="0"/>
  </r>
  <r>
    <x v="30"/>
    <x v="0"/>
    <x v="30"/>
    <x v="0"/>
    <x v="0"/>
    <x v="0"/>
    <x v="0"/>
    <x v="6"/>
    <n v="0"/>
    <x v="0"/>
  </r>
  <r>
    <x v="30"/>
    <x v="0"/>
    <x v="30"/>
    <x v="0"/>
    <x v="0"/>
    <x v="0"/>
    <x v="0"/>
    <x v="7"/>
    <n v="0"/>
    <x v="0"/>
  </r>
  <r>
    <x v="30"/>
    <x v="0"/>
    <x v="30"/>
    <x v="0"/>
    <x v="0"/>
    <x v="0"/>
    <x v="0"/>
    <x v="8"/>
    <n v="0"/>
    <x v="0"/>
  </r>
  <r>
    <x v="30"/>
    <x v="0"/>
    <x v="30"/>
    <x v="0"/>
    <x v="0"/>
    <x v="0"/>
    <x v="0"/>
    <x v="9"/>
    <n v="0"/>
    <x v="0"/>
  </r>
  <r>
    <x v="30"/>
    <x v="0"/>
    <x v="30"/>
    <x v="0"/>
    <x v="0"/>
    <x v="0"/>
    <x v="0"/>
    <x v="10"/>
    <n v="0"/>
    <x v="0"/>
  </r>
  <r>
    <x v="30"/>
    <x v="0"/>
    <x v="30"/>
    <x v="0"/>
    <x v="0"/>
    <x v="0"/>
    <x v="0"/>
    <x v="11"/>
    <n v="0"/>
    <x v="0"/>
  </r>
  <r>
    <x v="30"/>
    <x v="0"/>
    <x v="31"/>
    <x v="0"/>
    <x v="0"/>
    <x v="0"/>
    <x v="0"/>
    <x v="0"/>
    <n v="1608.1299091559956"/>
    <x v="0"/>
  </r>
  <r>
    <x v="30"/>
    <x v="0"/>
    <x v="31"/>
    <x v="0"/>
    <x v="0"/>
    <x v="0"/>
    <x v="0"/>
    <x v="1"/>
    <n v="1541.399692677255"/>
    <x v="0"/>
  </r>
  <r>
    <x v="30"/>
    <x v="0"/>
    <x v="31"/>
    <x v="0"/>
    <x v="0"/>
    <x v="0"/>
    <x v="0"/>
    <x v="2"/>
    <n v="1544.710199468527"/>
    <x v="0"/>
  </r>
  <r>
    <x v="30"/>
    <x v="0"/>
    <x v="31"/>
    <x v="0"/>
    <x v="0"/>
    <x v="0"/>
    <x v="0"/>
    <x v="3"/>
    <n v="1525.4569039874489"/>
    <x v="0"/>
  </r>
  <r>
    <x v="30"/>
    <x v="0"/>
    <x v="31"/>
    <x v="0"/>
    <x v="0"/>
    <x v="0"/>
    <x v="0"/>
    <x v="4"/>
    <n v="1556.7342941983329"/>
    <x v="0"/>
  </r>
  <r>
    <x v="30"/>
    <x v="0"/>
    <x v="31"/>
    <x v="0"/>
    <x v="0"/>
    <x v="0"/>
    <x v="0"/>
    <x v="5"/>
    <n v="1596.18909830711"/>
    <x v="0"/>
  </r>
  <r>
    <x v="30"/>
    <x v="0"/>
    <x v="31"/>
    <x v="0"/>
    <x v="0"/>
    <x v="0"/>
    <x v="0"/>
    <x v="6"/>
    <n v="1653.6324180130089"/>
    <x v="0"/>
  </r>
  <r>
    <x v="30"/>
    <x v="0"/>
    <x v="31"/>
    <x v="0"/>
    <x v="0"/>
    <x v="0"/>
    <x v="0"/>
    <x v="7"/>
    <n v="1638.0231604709572"/>
    <x v="0"/>
  </r>
  <r>
    <x v="30"/>
    <x v="0"/>
    <x v="31"/>
    <x v="0"/>
    <x v="0"/>
    <x v="0"/>
    <x v="0"/>
    <x v="8"/>
    <n v="1635.0798449211572"/>
    <x v="0"/>
  </r>
  <r>
    <x v="30"/>
    <x v="0"/>
    <x v="31"/>
    <x v="0"/>
    <x v="0"/>
    <x v="0"/>
    <x v="0"/>
    <x v="9"/>
    <n v="1525.1589228815851"/>
    <x v="0"/>
  </r>
  <r>
    <x v="30"/>
    <x v="0"/>
    <x v="31"/>
    <x v="0"/>
    <x v="0"/>
    <x v="0"/>
    <x v="0"/>
    <x v="10"/>
    <n v="1652.5893542690969"/>
    <x v="0"/>
  </r>
  <r>
    <x v="30"/>
    <x v="0"/>
    <x v="31"/>
    <x v="0"/>
    <x v="0"/>
    <x v="0"/>
    <x v="0"/>
    <x v="11"/>
    <n v="1871.7458756608978"/>
    <x v="0"/>
  </r>
  <r>
    <x v="31"/>
    <x v="0"/>
    <x v="32"/>
    <x v="0"/>
    <x v="0"/>
    <x v="0"/>
    <x v="0"/>
    <x v="0"/>
    <n v="1608.1299091559956"/>
    <x v="0"/>
  </r>
  <r>
    <x v="31"/>
    <x v="0"/>
    <x v="32"/>
    <x v="0"/>
    <x v="0"/>
    <x v="0"/>
    <x v="0"/>
    <x v="1"/>
    <n v="1541.399692677255"/>
    <x v="0"/>
  </r>
  <r>
    <x v="31"/>
    <x v="0"/>
    <x v="32"/>
    <x v="0"/>
    <x v="0"/>
    <x v="0"/>
    <x v="0"/>
    <x v="2"/>
    <n v="1822.9680412912187"/>
    <x v="0"/>
  </r>
  <r>
    <x v="31"/>
    <x v="0"/>
    <x v="32"/>
    <x v="0"/>
    <x v="0"/>
    <x v="0"/>
    <x v="0"/>
    <x v="3"/>
    <n v="1800.1941599247041"/>
    <x v="0"/>
  </r>
  <r>
    <x v="31"/>
    <x v="0"/>
    <x v="32"/>
    <x v="0"/>
    <x v="0"/>
    <x v="0"/>
    <x v="0"/>
    <x v="4"/>
    <n v="1837.0687829097205"/>
    <x v="0"/>
  </r>
  <r>
    <x v="31"/>
    <x v="0"/>
    <x v="32"/>
    <x v="0"/>
    <x v="0"/>
    <x v="0"/>
    <x v="0"/>
    <x v="5"/>
    <n v="2463.6785136576996"/>
    <x v="0"/>
  </r>
  <r>
    <x v="31"/>
    <x v="0"/>
    <x v="32"/>
    <x v="0"/>
    <x v="0"/>
    <x v="0"/>
    <x v="0"/>
    <x v="6"/>
    <n v="2485.6877875056548"/>
    <x v="0"/>
  </r>
  <r>
    <x v="31"/>
    <x v="0"/>
    <x v="32"/>
    <x v="0"/>
    <x v="0"/>
    <x v="0"/>
    <x v="0"/>
    <x v="7"/>
    <n v="2517.8078935627059"/>
    <x v="0"/>
  </r>
  <r>
    <x v="31"/>
    <x v="0"/>
    <x v="32"/>
    <x v="0"/>
    <x v="0"/>
    <x v="0"/>
    <x v="0"/>
    <x v="8"/>
    <n v="2523.7331180216765"/>
    <x v="0"/>
  </r>
  <r>
    <x v="31"/>
    <x v="0"/>
    <x v="32"/>
    <x v="0"/>
    <x v="0"/>
    <x v="0"/>
    <x v="0"/>
    <x v="9"/>
    <n v="2344.0607651601536"/>
    <x v="0"/>
  </r>
  <r>
    <x v="31"/>
    <x v="0"/>
    <x v="32"/>
    <x v="0"/>
    <x v="0"/>
    <x v="0"/>
    <x v="0"/>
    <x v="10"/>
    <n v="2549.5539166285948"/>
    <x v="0"/>
  </r>
  <r>
    <x v="31"/>
    <x v="0"/>
    <x v="32"/>
    <x v="0"/>
    <x v="0"/>
    <x v="0"/>
    <x v="0"/>
    <x v="11"/>
    <n v="2887.6605164476937"/>
    <x v="0"/>
  </r>
  <r>
    <x v="32"/>
    <x v="0"/>
    <x v="33"/>
    <x v="0"/>
    <x v="0"/>
    <x v="0"/>
    <x v="0"/>
    <x v="0"/>
    <n v="10340.278235763943"/>
    <x v="0"/>
  </r>
  <r>
    <x v="32"/>
    <x v="0"/>
    <x v="33"/>
    <x v="0"/>
    <x v="0"/>
    <x v="0"/>
    <x v="0"/>
    <x v="1"/>
    <n v="9912.7777078895706"/>
    <x v="0"/>
  </r>
  <r>
    <x v="32"/>
    <x v="0"/>
    <x v="33"/>
    <x v="0"/>
    <x v="0"/>
    <x v="0"/>
    <x v="0"/>
    <x v="2"/>
    <n v="9941.9923232284618"/>
    <x v="0"/>
  </r>
  <r>
    <x v="32"/>
    <x v="0"/>
    <x v="33"/>
    <x v="0"/>
    <x v="0"/>
    <x v="0"/>
    <x v="0"/>
    <x v="3"/>
    <n v="9825.5356254111393"/>
    <x v="0"/>
  </r>
  <r>
    <x v="32"/>
    <x v="0"/>
    <x v="33"/>
    <x v="0"/>
    <x v="0"/>
    <x v="0"/>
    <x v="0"/>
    <x v="4"/>
    <n v="10030.851222553089"/>
    <x v="0"/>
  </r>
  <r>
    <x v="32"/>
    <x v="0"/>
    <x v="33"/>
    <x v="0"/>
    <x v="0"/>
    <x v="0"/>
    <x v="0"/>
    <x v="5"/>
    <n v="10291.810177766709"/>
    <x v="0"/>
  </r>
  <r>
    <x v="32"/>
    <x v="0"/>
    <x v="33"/>
    <x v="0"/>
    <x v="0"/>
    <x v="0"/>
    <x v="0"/>
    <x v="6"/>
    <n v="10050.912386832391"/>
    <x v="0"/>
  </r>
  <r>
    <x v="32"/>
    <x v="0"/>
    <x v="33"/>
    <x v="0"/>
    <x v="0"/>
    <x v="0"/>
    <x v="0"/>
    <x v="7"/>
    <n v="10530.224349338012"/>
    <x v="0"/>
  </r>
  <r>
    <x v="32"/>
    <x v="0"/>
    <x v="33"/>
    <x v="0"/>
    <x v="0"/>
    <x v="0"/>
    <x v="0"/>
    <x v="8"/>
    <n v="10562.402188172307"/>
    <x v="0"/>
  </r>
  <r>
    <x v="32"/>
    <x v="0"/>
    <x v="33"/>
    <x v="0"/>
    <x v="0"/>
    <x v="0"/>
    <x v="0"/>
    <x v="9"/>
    <n v="9818.5738957098183"/>
    <x v="0"/>
  </r>
  <r>
    <x v="32"/>
    <x v="0"/>
    <x v="33"/>
    <x v="0"/>
    <x v="0"/>
    <x v="0"/>
    <x v="0"/>
    <x v="10"/>
    <n v="10648.495383205351"/>
    <x v="0"/>
  </r>
  <r>
    <x v="32"/>
    <x v="0"/>
    <x v="33"/>
    <x v="0"/>
    <x v="0"/>
    <x v="0"/>
    <x v="0"/>
    <x v="11"/>
    <n v="12060.635186848269"/>
    <x v="0"/>
  </r>
  <r>
    <x v="32"/>
    <x v="1"/>
    <x v="33"/>
    <x v="0"/>
    <x v="1"/>
    <x v="1"/>
    <x v="0"/>
    <x v="0"/>
    <n v="2860.3835163093895"/>
    <x v="0"/>
  </r>
  <r>
    <x v="32"/>
    <x v="1"/>
    <x v="33"/>
    <x v="0"/>
    <x v="1"/>
    <x v="1"/>
    <x v="0"/>
    <x v="1"/>
    <n v="0"/>
    <x v="0"/>
  </r>
  <r>
    <x v="32"/>
    <x v="1"/>
    <x v="33"/>
    <x v="0"/>
    <x v="1"/>
    <x v="1"/>
    <x v="0"/>
    <x v="2"/>
    <n v="0"/>
    <x v="0"/>
  </r>
  <r>
    <x v="32"/>
    <x v="1"/>
    <x v="33"/>
    <x v="0"/>
    <x v="1"/>
    <x v="1"/>
    <x v="0"/>
    <x v="3"/>
    <n v="0"/>
    <x v="0"/>
  </r>
  <r>
    <x v="32"/>
    <x v="1"/>
    <x v="33"/>
    <x v="0"/>
    <x v="1"/>
    <x v="1"/>
    <x v="0"/>
    <x v="4"/>
    <n v="0"/>
    <x v="0"/>
  </r>
  <r>
    <x v="32"/>
    <x v="1"/>
    <x v="33"/>
    <x v="0"/>
    <x v="1"/>
    <x v="1"/>
    <x v="0"/>
    <x v="5"/>
    <n v="0"/>
    <x v="0"/>
  </r>
  <r>
    <x v="32"/>
    <x v="1"/>
    <x v="33"/>
    <x v="0"/>
    <x v="1"/>
    <x v="1"/>
    <x v="0"/>
    <x v="6"/>
    <n v="0"/>
    <x v="0"/>
  </r>
  <r>
    <x v="32"/>
    <x v="1"/>
    <x v="33"/>
    <x v="0"/>
    <x v="1"/>
    <x v="1"/>
    <x v="0"/>
    <x v="7"/>
    <n v="0"/>
    <x v="0"/>
  </r>
  <r>
    <x v="32"/>
    <x v="1"/>
    <x v="33"/>
    <x v="0"/>
    <x v="1"/>
    <x v="1"/>
    <x v="0"/>
    <x v="8"/>
    <n v="0"/>
    <x v="0"/>
  </r>
  <r>
    <x v="32"/>
    <x v="1"/>
    <x v="33"/>
    <x v="0"/>
    <x v="1"/>
    <x v="1"/>
    <x v="0"/>
    <x v="9"/>
    <n v="0"/>
    <x v="0"/>
  </r>
  <r>
    <x v="32"/>
    <x v="1"/>
    <x v="33"/>
    <x v="0"/>
    <x v="1"/>
    <x v="1"/>
    <x v="0"/>
    <x v="10"/>
    <n v="0"/>
    <x v="0"/>
  </r>
  <r>
    <x v="32"/>
    <x v="1"/>
    <x v="33"/>
    <x v="0"/>
    <x v="1"/>
    <x v="1"/>
    <x v="0"/>
    <x v="11"/>
    <n v="0"/>
    <x v="0"/>
  </r>
  <r>
    <x v="33"/>
    <x v="0"/>
    <x v="34"/>
    <x v="0"/>
    <x v="0"/>
    <x v="0"/>
    <x v="0"/>
    <x v="0"/>
    <n v="8612.8751634773835"/>
    <x v="0"/>
  </r>
  <r>
    <x v="33"/>
    <x v="0"/>
    <x v="34"/>
    <x v="0"/>
    <x v="0"/>
    <x v="0"/>
    <x v="0"/>
    <x v="1"/>
    <n v="8256.7910625517725"/>
    <x v="0"/>
  </r>
  <r>
    <x v="33"/>
    <x v="0"/>
    <x v="34"/>
    <x v="0"/>
    <x v="0"/>
    <x v="0"/>
    <x v="0"/>
    <x v="2"/>
    <n v="8277.5327554106225"/>
    <x v="0"/>
  </r>
  <r>
    <x v="33"/>
    <x v="0"/>
    <x v="34"/>
    <x v="0"/>
    <x v="0"/>
    <x v="0"/>
    <x v="0"/>
    <x v="3"/>
    <n v="8177.8985091220493"/>
    <x v="0"/>
  </r>
  <r>
    <x v="33"/>
    <x v="0"/>
    <x v="34"/>
    <x v="0"/>
    <x v="0"/>
    <x v="0"/>
    <x v="0"/>
    <x v="4"/>
    <n v="8346.2575479809475"/>
    <x v="0"/>
  </r>
  <r>
    <x v="33"/>
    <x v="0"/>
    <x v="34"/>
    <x v="0"/>
    <x v="0"/>
    <x v="0"/>
    <x v="0"/>
    <x v="5"/>
    <n v="8561.138654576278"/>
    <x v="0"/>
  </r>
  <r>
    <x v="33"/>
    <x v="0"/>
    <x v="34"/>
    <x v="0"/>
    <x v="0"/>
    <x v="0"/>
    <x v="0"/>
    <x v="6"/>
    <n v="8384.3220024460734"/>
    <x v="0"/>
  </r>
  <r>
    <x v="33"/>
    <x v="0"/>
    <x v="34"/>
    <x v="0"/>
    <x v="0"/>
    <x v="0"/>
    <x v="0"/>
    <x v="7"/>
    <n v="0"/>
    <x v="0"/>
  </r>
  <r>
    <x v="33"/>
    <x v="0"/>
    <x v="34"/>
    <x v="0"/>
    <x v="0"/>
    <x v="0"/>
    <x v="0"/>
    <x v="8"/>
    <n v="12470.381469878803"/>
    <x v="0"/>
  </r>
  <r>
    <x v="33"/>
    <x v="0"/>
    <x v="34"/>
    <x v="0"/>
    <x v="0"/>
    <x v="0"/>
    <x v="0"/>
    <x v="9"/>
    <n v="0"/>
    <x v="0"/>
  </r>
  <r>
    <x v="33"/>
    <x v="0"/>
    <x v="34"/>
    <x v="0"/>
    <x v="0"/>
    <x v="0"/>
    <x v="0"/>
    <x v="10"/>
    <n v="0"/>
    <x v="0"/>
  </r>
  <r>
    <x v="33"/>
    <x v="0"/>
    <x v="34"/>
    <x v="0"/>
    <x v="0"/>
    <x v="0"/>
    <x v="0"/>
    <x v="11"/>
    <n v="0"/>
    <x v="0"/>
  </r>
  <r>
    <x v="33"/>
    <x v="1"/>
    <x v="34"/>
    <x v="0"/>
    <x v="1"/>
    <x v="1"/>
    <x v="0"/>
    <x v="0"/>
    <n v="2166.2466140598622"/>
    <x v="0"/>
  </r>
  <r>
    <x v="33"/>
    <x v="1"/>
    <x v="34"/>
    <x v="0"/>
    <x v="1"/>
    <x v="1"/>
    <x v="0"/>
    <x v="1"/>
    <n v="0"/>
    <x v="0"/>
  </r>
  <r>
    <x v="33"/>
    <x v="1"/>
    <x v="34"/>
    <x v="0"/>
    <x v="1"/>
    <x v="1"/>
    <x v="0"/>
    <x v="2"/>
    <n v="0"/>
    <x v="0"/>
  </r>
  <r>
    <x v="33"/>
    <x v="1"/>
    <x v="34"/>
    <x v="0"/>
    <x v="1"/>
    <x v="1"/>
    <x v="0"/>
    <x v="3"/>
    <n v="0"/>
    <x v="0"/>
  </r>
  <r>
    <x v="33"/>
    <x v="1"/>
    <x v="34"/>
    <x v="0"/>
    <x v="1"/>
    <x v="1"/>
    <x v="0"/>
    <x v="4"/>
    <n v="0"/>
    <x v="0"/>
  </r>
  <r>
    <x v="33"/>
    <x v="1"/>
    <x v="34"/>
    <x v="0"/>
    <x v="1"/>
    <x v="1"/>
    <x v="0"/>
    <x v="5"/>
    <n v="0"/>
    <x v="0"/>
  </r>
  <r>
    <x v="33"/>
    <x v="1"/>
    <x v="34"/>
    <x v="0"/>
    <x v="1"/>
    <x v="1"/>
    <x v="0"/>
    <x v="6"/>
    <n v="0"/>
    <x v="0"/>
  </r>
  <r>
    <x v="33"/>
    <x v="1"/>
    <x v="34"/>
    <x v="0"/>
    <x v="1"/>
    <x v="1"/>
    <x v="0"/>
    <x v="7"/>
    <n v="0"/>
    <x v="0"/>
  </r>
  <r>
    <x v="33"/>
    <x v="1"/>
    <x v="34"/>
    <x v="0"/>
    <x v="1"/>
    <x v="1"/>
    <x v="0"/>
    <x v="8"/>
    <n v="0"/>
    <x v="0"/>
  </r>
  <r>
    <x v="33"/>
    <x v="1"/>
    <x v="34"/>
    <x v="0"/>
    <x v="1"/>
    <x v="1"/>
    <x v="0"/>
    <x v="9"/>
    <n v="0"/>
    <x v="0"/>
  </r>
  <r>
    <x v="33"/>
    <x v="1"/>
    <x v="34"/>
    <x v="0"/>
    <x v="1"/>
    <x v="1"/>
    <x v="0"/>
    <x v="10"/>
    <n v="0"/>
    <x v="0"/>
  </r>
  <r>
    <x v="33"/>
    <x v="1"/>
    <x v="34"/>
    <x v="0"/>
    <x v="1"/>
    <x v="1"/>
    <x v="0"/>
    <x v="11"/>
    <n v="0"/>
    <x v="0"/>
  </r>
  <r>
    <x v="34"/>
    <x v="0"/>
    <x v="35"/>
    <x v="0"/>
    <x v="0"/>
    <x v="0"/>
    <x v="0"/>
    <x v="0"/>
    <n v="6116.6472997968531"/>
    <x v="0"/>
  </r>
  <r>
    <x v="34"/>
    <x v="0"/>
    <x v="35"/>
    <x v="0"/>
    <x v="0"/>
    <x v="0"/>
    <x v="0"/>
    <x v="1"/>
    <n v="5859.2992471874277"/>
    <x v="0"/>
  </r>
  <r>
    <x v="34"/>
    <x v="0"/>
    <x v="35"/>
    <x v="0"/>
    <x v="0"/>
    <x v="0"/>
    <x v="0"/>
    <x v="2"/>
    <n v="5868.732899803842"/>
    <x v="0"/>
  </r>
  <r>
    <x v="34"/>
    <x v="0"/>
    <x v="35"/>
    <x v="0"/>
    <x v="0"/>
    <x v="0"/>
    <x v="0"/>
    <x v="3"/>
    <n v="5770.9610645576913"/>
    <x v="0"/>
  </r>
  <r>
    <x v="34"/>
    <x v="0"/>
    <x v="35"/>
    <x v="0"/>
    <x v="0"/>
    <x v="0"/>
    <x v="0"/>
    <x v="4"/>
    <n v="5886.5524049765663"/>
    <x v="0"/>
  </r>
  <r>
    <x v="34"/>
    <x v="0"/>
    <x v="35"/>
    <x v="0"/>
    <x v="0"/>
    <x v="0"/>
    <x v="0"/>
    <x v="5"/>
    <n v="6034.1018778502585"/>
    <x v="0"/>
  </r>
  <r>
    <x v="34"/>
    <x v="0"/>
    <x v="35"/>
    <x v="0"/>
    <x v="0"/>
    <x v="0"/>
    <x v="0"/>
    <x v="6"/>
    <n v="5965.3229626135026"/>
    <x v="0"/>
  </r>
  <r>
    <x v="34"/>
    <x v="0"/>
    <x v="35"/>
    <x v="0"/>
    <x v="0"/>
    <x v="0"/>
    <x v="0"/>
    <x v="7"/>
    <n v="6181.7068824830994"/>
    <x v="0"/>
  </r>
  <r>
    <x v="34"/>
    <x v="0"/>
    <x v="35"/>
    <x v="0"/>
    <x v="0"/>
    <x v="0"/>
    <x v="0"/>
    <x v="8"/>
    <n v="6249.5378438961834"/>
    <x v="0"/>
  </r>
  <r>
    <x v="34"/>
    <x v="0"/>
    <x v="35"/>
    <x v="0"/>
    <x v="0"/>
    <x v="0"/>
    <x v="0"/>
    <x v="9"/>
    <n v="5733.3650972669957"/>
    <x v="0"/>
  </r>
  <r>
    <x v="34"/>
    <x v="0"/>
    <x v="35"/>
    <x v="0"/>
    <x v="0"/>
    <x v="0"/>
    <x v="0"/>
    <x v="10"/>
    <n v="6249.0136396854105"/>
    <x v="0"/>
  </r>
  <r>
    <x v="34"/>
    <x v="0"/>
    <x v="35"/>
    <x v="0"/>
    <x v="0"/>
    <x v="0"/>
    <x v="0"/>
    <x v="11"/>
    <n v="7077.720473518958"/>
    <x v="0"/>
  </r>
  <r>
    <x v="35"/>
    <x v="0"/>
    <x v="36"/>
    <x v="0"/>
    <x v="0"/>
    <x v="0"/>
    <x v="0"/>
    <x v="0"/>
    <n v="1607.4685538687984"/>
    <x v="0"/>
  </r>
  <r>
    <x v="35"/>
    <x v="0"/>
    <x v="36"/>
    <x v="0"/>
    <x v="0"/>
    <x v="0"/>
    <x v="0"/>
    <x v="1"/>
    <n v="1411.7377929394856"/>
    <x v="0"/>
  </r>
  <r>
    <x v="35"/>
    <x v="0"/>
    <x v="36"/>
    <x v="0"/>
    <x v="0"/>
    <x v="0"/>
    <x v="0"/>
    <x v="2"/>
    <n v="1544.0749652202926"/>
    <x v="0"/>
  </r>
  <r>
    <x v="35"/>
    <x v="0"/>
    <x v="36"/>
    <x v="0"/>
    <x v="0"/>
    <x v="0"/>
    <x v="0"/>
    <x v="3"/>
    <n v="474.45315335894793"/>
    <x v="0"/>
  </r>
  <r>
    <x v="35"/>
    <x v="0"/>
    <x v="36"/>
    <x v="0"/>
    <x v="0"/>
    <x v="0"/>
    <x v="0"/>
    <x v="4"/>
    <n v="0"/>
    <x v="0"/>
  </r>
  <r>
    <x v="35"/>
    <x v="0"/>
    <x v="36"/>
    <x v="0"/>
    <x v="0"/>
    <x v="0"/>
    <x v="0"/>
    <x v="5"/>
    <n v="0"/>
    <x v="0"/>
  </r>
  <r>
    <x v="35"/>
    <x v="0"/>
    <x v="36"/>
    <x v="0"/>
    <x v="0"/>
    <x v="0"/>
    <x v="0"/>
    <x v="6"/>
    <n v="0"/>
    <x v="0"/>
  </r>
  <r>
    <x v="35"/>
    <x v="0"/>
    <x v="36"/>
    <x v="0"/>
    <x v="0"/>
    <x v="0"/>
    <x v="0"/>
    <x v="7"/>
    <n v="0"/>
    <x v="0"/>
  </r>
  <r>
    <x v="35"/>
    <x v="0"/>
    <x v="36"/>
    <x v="0"/>
    <x v="0"/>
    <x v="0"/>
    <x v="0"/>
    <x v="8"/>
    <n v="0"/>
    <x v="0"/>
  </r>
  <r>
    <x v="35"/>
    <x v="0"/>
    <x v="36"/>
    <x v="0"/>
    <x v="0"/>
    <x v="0"/>
    <x v="0"/>
    <x v="9"/>
    <n v="0"/>
    <x v="0"/>
  </r>
  <r>
    <x v="35"/>
    <x v="0"/>
    <x v="36"/>
    <x v="0"/>
    <x v="0"/>
    <x v="0"/>
    <x v="0"/>
    <x v="10"/>
    <n v="0"/>
    <x v="0"/>
  </r>
  <r>
    <x v="35"/>
    <x v="0"/>
    <x v="36"/>
    <x v="0"/>
    <x v="0"/>
    <x v="0"/>
    <x v="0"/>
    <x v="11"/>
    <n v="0"/>
    <x v="0"/>
  </r>
  <r>
    <x v="36"/>
    <x v="0"/>
    <x v="37"/>
    <x v="0"/>
    <x v="0"/>
    <x v="0"/>
    <x v="0"/>
    <x v="0"/>
    <n v="8571.5703869092104"/>
    <x v="0"/>
  </r>
  <r>
    <x v="36"/>
    <x v="0"/>
    <x v="37"/>
    <x v="0"/>
    <x v="0"/>
    <x v="0"/>
    <x v="0"/>
    <x v="1"/>
    <n v="8217.1939589672511"/>
    <x v="0"/>
  </r>
  <r>
    <x v="36"/>
    <x v="0"/>
    <x v="37"/>
    <x v="0"/>
    <x v="0"/>
    <x v="0"/>
    <x v="0"/>
    <x v="2"/>
    <n v="8208.0734661881015"/>
    <x v="0"/>
  </r>
  <r>
    <x v="36"/>
    <x v="0"/>
    <x v="37"/>
    <x v="0"/>
    <x v="0"/>
    <x v="0"/>
    <x v="0"/>
    <x v="3"/>
    <n v="5202.6789466284536"/>
    <x v="0"/>
  </r>
  <r>
    <x v="36"/>
    <x v="0"/>
    <x v="37"/>
    <x v="0"/>
    <x v="0"/>
    <x v="0"/>
    <x v="0"/>
    <x v="4"/>
    <n v="9345.936675140536"/>
    <x v="0"/>
  </r>
  <r>
    <x v="36"/>
    <x v="0"/>
    <x v="37"/>
    <x v="0"/>
    <x v="0"/>
    <x v="0"/>
    <x v="0"/>
    <x v="5"/>
    <n v="0"/>
    <x v="0"/>
  </r>
  <r>
    <x v="36"/>
    <x v="0"/>
    <x v="37"/>
    <x v="0"/>
    <x v="0"/>
    <x v="0"/>
    <x v="0"/>
    <x v="6"/>
    <n v="0"/>
    <x v="0"/>
  </r>
  <r>
    <x v="36"/>
    <x v="0"/>
    <x v="37"/>
    <x v="0"/>
    <x v="0"/>
    <x v="0"/>
    <x v="0"/>
    <x v="7"/>
    <n v="0"/>
    <x v="0"/>
  </r>
  <r>
    <x v="36"/>
    <x v="0"/>
    <x v="37"/>
    <x v="0"/>
    <x v="0"/>
    <x v="0"/>
    <x v="0"/>
    <x v="8"/>
    <n v="0"/>
    <x v="0"/>
  </r>
  <r>
    <x v="36"/>
    <x v="0"/>
    <x v="37"/>
    <x v="0"/>
    <x v="0"/>
    <x v="0"/>
    <x v="0"/>
    <x v="9"/>
    <n v="0"/>
    <x v="0"/>
  </r>
  <r>
    <x v="36"/>
    <x v="0"/>
    <x v="37"/>
    <x v="0"/>
    <x v="0"/>
    <x v="0"/>
    <x v="0"/>
    <x v="10"/>
    <n v="0"/>
    <x v="0"/>
  </r>
  <r>
    <x v="36"/>
    <x v="0"/>
    <x v="37"/>
    <x v="0"/>
    <x v="0"/>
    <x v="0"/>
    <x v="0"/>
    <x v="11"/>
    <n v="0"/>
    <x v="0"/>
  </r>
  <r>
    <x v="36"/>
    <x v="1"/>
    <x v="37"/>
    <x v="0"/>
    <x v="1"/>
    <x v="1"/>
    <x v="0"/>
    <x v="0"/>
    <n v="4820.5573706713139"/>
    <x v="0"/>
  </r>
  <r>
    <x v="36"/>
    <x v="1"/>
    <x v="37"/>
    <x v="0"/>
    <x v="1"/>
    <x v="1"/>
    <x v="0"/>
    <x v="1"/>
    <n v="0"/>
    <x v="0"/>
  </r>
  <r>
    <x v="36"/>
    <x v="1"/>
    <x v="37"/>
    <x v="0"/>
    <x v="1"/>
    <x v="1"/>
    <x v="0"/>
    <x v="2"/>
    <n v="0"/>
    <x v="0"/>
  </r>
  <r>
    <x v="36"/>
    <x v="1"/>
    <x v="37"/>
    <x v="0"/>
    <x v="1"/>
    <x v="1"/>
    <x v="0"/>
    <x v="3"/>
    <n v="0"/>
    <x v="0"/>
  </r>
  <r>
    <x v="36"/>
    <x v="1"/>
    <x v="37"/>
    <x v="0"/>
    <x v="1"/>
    <x v="1"/>
    <x v="0"/>
    <x v="4"/>
    <n v="0"/>
    <x v="0"/>
  </r>
  <r>
    <x v="36"/>
    <x v="1"/>
    <x v="37"/>
    <x v="0"/>
    <x v="1"/>
    <x v="1"/>
    <x v="0"/>
    <x v="5"/>
    <n v="0"/>
    <x v="0"/>
  </r>
  <r>
    <x v="36"/>
    <x v="1"/>
    <x v="37"/>
    <x v="0"/>
    <x v="1"/>
    <x v="1"/>
    <x v="0"/>
    <x v="6"/>
    <n v="0"/>
    <x v="0"/>
  </r>
  <r>
    <x v="36"/>
    <x v="1"/>
    <x v="37"/>
    <x v="0"/>
    <x v="1"/>
    <x v="1"/>
    <x v="0"/>
    <x v="7"/>
    <n v="0"/>
    <x v="0"/>
  </r>
  <r>
    <x v="36"/>
    <x v="1"/>
    <x v="37"/>
    <x v="0"/>
    <x v="1"/>
    <x v="1"/>
    <x v="0"/>
    <x v="8"/>
    <n v="0"/>
    <x v="0"/>
  </r>
  <r>
    <x v="36"/>
    <x v="1"/>
    <x v="37"/>
    <x v="0"/>
    <x v="1"/>
    <x v="1"/>
    <x v="0"/>
    <x v="9"/>
    <n v="0"/>
    <x v="0"/>
  </r>
  <r>
    <x v="36"/>
    <x v="1"/>
    <x v="37"/>
    <x v="0"/>
    <x v="1"/>
    <x v="1"/>
    <x v="0"/>
    <x v="10"/>
    <n v="0"/>
    <x v="0"/>
  </r>
  <r>
    <x v="36"/>
    <x v="1"/>
    <x v="37"/>
    <x v="0"/>
    <x v="1"/>
    <x v="1"/>
    <x v="0"/>
    <x v="11"/>
    <n v="0"/>
    <x v="0"/>
  </r>
  <r>
    <x v="37"/>
    <x v="0"/>
    <x v="38"/>
    <x v="0"/>
    <x v="0"/>
    <x v="0"/>
    <x v="0"/>
    <x v="0"/>
    <n v="1606.9736323624854"/>
    <x v="0"/>
  </r>
  <r>
    <x v="37"/>
    <x v="0"/>
    <x v="38"/>
    <x v="0"/>
    <x v="0"/>
    <x v="0"/>
    <x v="0"/>
    <x v="1"/>
    <n v="1541.8741525286318"/>
    <x v="0"/>
  </r>
  <r>
    <x v="37"/>
    <x v="0"/>
    <x v="38"/>
    <x v="0"/>
    <x v="0"/>
    <x v="0"/>
    <x v="0"/>
    <x v="2"/>
    <n v="1545.1855734423714"/>
    <x v="0"/>
  </r>
  <r>
    <x v="37"/>
    <x v="0"/>
    <x v="38"/>
    <x v="0"/>
    <x v="0"/>
    <x v="0"/>
    <x v="0"/>
    <x v="3"/>
    <n v="1525.9262634141678"/>
    <x v="0"/>
  </r>
  <r>
    <x v="37"/>
    <x v="0"/>
    <x v="38"/>
    <x v="0"/>
    <x v="0"/>
    <x v="0"/>
    <x v="0"/>
    <x v="4"/>
    <n v="1557.2132159028622"/>
    <x v="0"/>
  </r>
  <r>
    <x v="37"/>
    <x v="0"/>
    <x v="38"/>
    <x v="0"/>
    <x v="0"/>
    <x v="0"/>
    <x v="0"/>
    <x v="5"/>
    <n v="2542.2702200340377"/>
    <x v="0"/>
  </r>
  <r>
    <x v="37"/>
    <x v="0"/>
    <x v="38"/>
    <x v="0"/>
    <x v="0"/>
    <x v="0"/>
    <x v="0"/>
    <x v="6"/>
    <n v="0"/>
    <x v="0"/>
  </r>
  <r>
    <x v="37"/>
    <x v="0"/>
    <x v="38"/>
    <x v="0"/>
    <x v="0"/>
    <x v="0"/>
    <x v="0"/>
    <x v="7"/>
    <n v="0"/>
    <x v="0"/>
  </r>
  <r>
    <x v="37"/>
    <x v="0"/>
    <x v="38"/>
    <x v="0"/>
    <x v="0"/>
    <x v="0"/>
    <x v="0"/>
    <x v="8"/>
    <n v="0"/>
    <x v="0"/>
  </r>
  <r>
    <x v="37"/>
    <x v="0"/>
    <x v="38"/>
    <x v="0"/>
    <x v="0"/>
    <x v="0"/>
    <x v="0"/>
    <x v="9"/>
    <n v="0"/>
    <x v="0"/>
  </r>
  <r>
    <x v="37"/>
    <x v="0"/>
    <x v="38"/>
    <x v="0"/>
    <x v="0"/>
    <x v="0"/>
    <x v="0"/>
    <x v="10"/>
    <n v="0"/>
    <x v="0"/>
  </r>
  <r>
    <x v="37"/>
    <x v="0"/>
    <x v="38"/>
    <x v="0"/>
    <x v="0"/>
    <x v="0"/>
    <x v="0"/>
    <x v="11"/>
    <n v="0"/>
    <x v="0"/>
  </r>
  <r>
    <x v="38"/>
    <x v="0"/>
    <x v="39"/>
    <x v="0"/>
    <x v="0"/>
    <x v="0"/>
    <x v="0"/>
    <x v="0"/>
    <n v="928.23769462651785"/>
    <x v="0"/>
  </r>
  <r>
    <x v="38"/>
    <x v="0"/>
    <x v="39"/>
    <x v="0"/>
    <x v="0"/>
    <x v="0"/>
    <x v="0"/>
    <x v="1"/>
    <n v="1486.1762049021056"/>
    <x v="0"/>
  </r>
  <r>
    <x v="38"/>
    <x v="0"/>
    <x v="39"/>
    <x v="0"/>
    <x v="0"/>
    <x v="0"/>
    <x v="0"/>
    <x v="2"/>
    <n v="1485.2393728291727"/>
    <x v="0"/>
  </r>
  <r>
    <x v="38"/>
    <x v="0"/>
    <x v="39"/>
    <x v="0"/>
    <x v="0"/>
    <x v="0"/>
    <x v="0"/>
    <x v="3"/>
    <n v="1465.9216374714536"/>
    <x v="0"/>
  </r>
  <r>
    <x v="38"/>
    <x v="0"/>
    <x v="39"/>
    <x v="0"/>
    <x v="0"/>
    <x v="0"/>
    <x v="0"/>
    <x v="4"/>
    <n v="1495.1102093854463"/>
    <x v="0"/>
  </r>
  <r>
    <x v="38"/>
    <x v="0"/>
    <x v="39"/>
    <x v="0"/>
    <x v="0"/>
    <x v="0"/>
    <x v="0"/>
    <x v="5"/>
    <n v="1532.3384060008434"/>
    <x v="0"/>
  </r>
  <r>
    <x v="38"/>
    <x v="0"/>
    <x v="39"/>
    <x v="0"/>
    <x v="0"/>
    <x v="0"/>
    <x v="0"/>
    <x v="6"/>
    <n v="1603.4699751853648"/>
    <x v="0"/>
  </r>
  <r>
    <x v="38"/>
    <x v="0"/>
    <x v="39"/>
    <x v="0"/>
    <x v="0"/>
    <x v="0"/>
    <x v="0"/>
    <x v="7"/>
    <n v="1924.1712206638467"/>
    <x v="0"/>
  </r>
  <r>
    <x v="38"/>
    <x v="0"/>
    <x v="39"/>
    <x v="0"/>
    <x v="0"/>
    <x v="0"/>
    <x v="0"/>
    <x v="8"/>
    <n v="1956.9501486820463"/>
    <x v="0"/>
  </r>
  <r>
    <x v="38"/>
    <x v="0"/>
    <x v="39"/>
    <x v="0"/>
    <x v="0"/>
    <x v="0"/>
    <x v="0"/>
    <x v="9"/>
    <n v="1775.861036156241"/>
    <x v="0"/>
  </r>
  <r>
    <x v="38"/>
    <x v="0"/>
    <x v="39"/>
    <x v="0"/>
    <x v="0"/>
    <x v="0"/>
    <x v="0"/>
    <x v="10"/>
    <n v="1587.170800243603"/>
    <x v="0"/>
  </r>
  <r>
    <x v="38"/>
    <x v="0"/>
    <x v="39"/>
    <x v="0"/>
    <x v="0"/>
    <x v="0"/>
    <x v="0"/>
    <x v="11"/>
    <n v="1797.6519040565163"/>
    <x v="0"/>
  </r>
  <r>
    <x v="39"/>
    <x v="0"/>
    <x v="40"/>
    <x v="0"/>
    <x v="0"/>
    <x v="0"/>
    <x v="0"/>
    <x v="0"/>
    <n v="0"/>
    <x v="0"/>
  </r>
  <r>
    <x v="39"/>
    <x v="0"/>
    <x v="40"/>
    <x v="0"/>
    <x v="0"/>
    <x v="0"/>
    <x v="0"/>
    <x v="1"/>
    <n v="0"/>
    <x v="0"/>
  </r>
  <r>
    <x v="39"/>
    <x v="0"/>
    <x v="40"/>
    <x v="0"/>
    <x v="0"/>
    <x v="0"/>
    <x v="0"/>
    <x v="2"/>
    <n v="941.10304446726559"/>
    <x v="0"/>
  </r>
  <r>
    <x v="39"/>
    <x v="0"/>
    <x v="40"/>
    <x v="0"/>
    <x v="0"/>
    <x v="0"/>
    <x v="0"/>
    <x v="3"/>
    <n v="1384.8318353945042"/>
    <x v="0"/>
  </r>
  <r>
    <x v="39"/>
    <x v="0"/>
    <x v="40"/>
    <x v="0"/>
    <x v="0"/>
    <x v="0"/>
    <x v="0"/>
    <x v="4"/>
    <n v="1413.2442656271437"/>
    <x v="0"/>
  </r>
  <r>
    <x v="39"/>
    <x v="0"/>
    <x v="40"/>
    <x v="0"/>
    <x v="0"/>
    <x v="0"/>
    <x v="0"/>
    <x v="5"/>
    <n v="1449.0860017194657"/>
    <x v="0"/>
  </r>
  <r>
    <x v="39"/>
    <x v="0"/>
    <x v="40"/>
    <x v="0"/>
    <x v="0"/>
    <x v="0"/>
    <x v="0"/>
    <x v="6"/>
    <n v="1481.5545427510513"/>
    <x v="0"/>
  </r>
  <r>
    <x v="39"/>
    <x v="0"/>
    <x v="40"/>
    <x v="0"/>
    <x v="0"/>
    <x v="0"/>
    <x v="0"/>
    <x v="7"/>
    <n v="1499.0632124838253"/>
    <x v="0"/>
  </r>
  <r>
    <x v="39"/>
    <x v="0"/>
    <x v="40"/>
    <x v="0"/>
    <x v="0"/>
    <x v="0"/>
    <x v="0"/>
    <x v="8"/>
    <n v="1500.7382578888817"/>
    <x v="0"/>
  </r>
  <r>
    <x v="39"/>
    <x v="0"/>
    <x v="40"/>
    <x v="0"/>
    <x v="0"/>
    <x v="0"/>
    <x v="0"/>
    <x v="9"/>
    <n v="1394.0303995886477"/>
    <x v="0"/>
  </r>
  <r>
    <x v="39"/>
    <x v="0"/>
    <x v="40"/>
    <x v="0"/>
    <x v="0"/>
    <x v="0"/>
    <x v="0"/>
    <x v="10"/>
    <n v="1500.2640059137243"/>
    <x v="0"/>
  </r>
  <r>
    <x v="39"/>
    <x v="0"/>
    <x v="40"/>
    <x v="0"/>
    <x v="0"/>
    <x v="0"/>
    <x v="0"/>
    <x v="11"/>
    <n v="1699.2200501699806"/>
    <x v="0"/>
  </r>
  <r>
    <x v="40"/>
    <x v="0"/>
    <x v="41"/>
    <x v="0"/>
    <x v="0"/>
    <x v="0"/>
    <x v="0"/>
    <x v="0"/>
    <n v="0"/>
    <x v="0"/>
  </r>
  <r>
    <x v="40"/>
    <x v="0"/>
    <x v="41"/>
    <x v="0"/>
    <x v="0"/>
    <x v="0"/>
    <x v="0"/>
    <x v="1"/>
    <n v="0"/>
    <x v="0"/>
  </r>
  <r>
    <x v="40"/>
    <x v="0"/>
    <x v="41"/>
    <x v="0"/>
    <x v="0"/>
    <x v="0"/>
    <x v="0"/>
    <x v="2"/>
    <n v="0"/>
    <x v="0"/>
  </r>
  <r>
    <x v="40"/>
    <x v="0"/>
    <x v="41"/>
    <x v="0"/>
    <x v="0"/>
    <x v="0"/>
    <x v="0"/>
    <x v="3"/>
    <n v="0"/>
    <x v="0"/>
  </r>
  <r>
    <x v="40"/>
    <x v="0"/>
    <x v="41"/>
    <x v="0"/>
    <x v="0"/>
    <x v="0"/>
    <x v="0"/>
    <x v="4"/>
    <n v="1554.081152720144"/>
    <x v="0"/>
  </r>
  <r>
    <x v="40"/>
    <x v="0"/>
    <x v="41"/>
    <x v="0"/>
    <x v="0"/>
    <x v="0"/>
    <x v="0"/>
    <x v="5"/>
    <n v="1580.6022646048"/>
    <x v="0"/>
  </r>
  <r>
    <x v="40"/>
    <x v="0"/>
    <x v="41"/>
    <x v="0"/>
    <x v="0"/>
    <x v="0"/>
    <x v="0"/>
    <x v="6"/>
    <n v="1584.398255563138"/>
    <x v="0"/>
  </r>
  <r>
    <x v="40"/>
    <x v="0"/>
    <x v="41"/>
    <x v="0"/>
    <x v="0"/>
    <x v="0"/>
    <x v="0"/>
    <x v="7"/>
    <n v="1634.3019173474463"/>
    <x v="0"/>
  </r>
  <r>
    <x v="40"/>
    <x v="0"/>
    <x v="41"/>
    <x v="0"/>
    <x v="0"/>
    <x v="0"/>
    <x v="0"/>
    <x v="8"/>
    <n v="1652.3532107112926"/>
    <x v="0"/>
  </r>
  <r>
    <x v="40"/>
    <x v="0"/>
    <x v="41"/>
    <x v="0"/>
    <x v="0"/>
    <x v="0"/>
    <x v="0"/>
    <x v="9"/>
    <n v="1500.5437473069237"/>
    <x v="0"/>
  </r>
  <r>
    <x v="40"/>
    <x v="0"/>
    <x v="41"/>
    <x v="0"/>
    <x v="0"/>
    <x v="0"/>
    <x v="0"/>
    <x v="10"/>
    <n v="1649.7728470600214"/>
    <x v="0"/>
  </r>
  <r>
    <x v="40"/>
    <x v="0"/>
    <x v="41"/>
    <x v="0"/>
    <x v="0"/>
    <x v="0"/>
    <x v="0"/>
    <x v="11"/>
    <n v="1868.5558601021396"/>
    <x v="0"/>
  </r>
  <r>
    <x v="41"/>
    <x v="0"/>
    <x v="42"/>
    <x v="0"/>
    <x v="0"/>
    <x v="0"/>
    <x v="0"/>
    <x v="0"/>
    <n v="0"/>
    <x v="0"/>
  </r>
  <r>
    <x v="41"/>
    <x v="0"/>
    <x v="42"/>
    <x v="0"/>
    <x v="0"/>
    <x v="0"/>
    <x v="0"/>
    <x v="1"/>
    <n v="0"/>
    <x v="0"/>
  </r>
  <r>
    <x v="41"/>
    <x v="0"/>
    <x v="42"/>
    <x v="0"/>
    <x v="0"/>
    <x v="0"/>
    <x v="0"/>
    <x v="2"/>
    <n v="0"/>
    <x v="0"/>
  </r>
  <r>
    <x v="41"/>
    <x v="0"/>
    <x v="42"/>
    <x v="0"/>
    <x v="0"/>
    <x v="0"/>
    <x v="0"/>
    <x v="3"/>
    <n v="0"/>
    <x v="0"/>
  </r>
  <r>
    <x v="41"/>
    <x v="0"/>
    <x v="42"/>
    <x v="0"/>
    <x v="0"/>
    <x v="0"/>
    <x v="0"/>
    <x v="4"/>
    <n v="0"/>
    <x v="0"/>
  </r>
  <r>
    <x v="41"/>
    <x v="0"/>
    <x v="42"/>
    <x v="0"/>
    <x v="0"/>
    <x v="0"/>
    <x v="0"/>
    <x v="5"/>
    <n v="9618.1162890101532"/>
    <x v="0"/>
  </r>
  <r>
    <x v="41"/>
    <x v="0"/>
    <x v="42"/>
    <x v="0"/>
    <x v="0"/>
    <x v="0"/>
    <x v="0"/>
    <x v="6"/>
    <n v="9327.9782071659411"/>
    <x v="0"/>
  </r>
  <r>
    <x v="41"/>
    <x v="0"/>
    <x v="42"/>
    <x v="0"/>
    <x v="0"/>
    <x v="0"/>
    <x v="0"/>
    <x v="7"/>
    <n v="9841.641970676701"/>
    <x v="0"/>
  </r>
  <r>
    <x v="41"/>
    <x v="0"/>
    <x v="42"/>
    <x v="0"/>
    <x v="0"/>
    <x v="0"/>
    <x v="0"/>
    <x v="8"/>
    <n v="9929.0623933360075"/>
    <x v="0"/>
  </r>
  <r>
    <x v="41"/>
    <x v="0"/>
    <x v="42"/>
    <x v="0"/>
    <x v="0"/>
    <x v="0"/>
    <x v="0"/>
    <x v="9"/>
    <n v="6512.2777805915066"/>
    <x v="0"/>
  </r>
  <r>
    <x v="41"/>
    <x v="0"/>
    <x v="42"/>
    <x v="0"/>
    <x v="0"/>
    <x v="0"/>
    <x v="0"/>
    <x v="10"/>
    <n v="0"/>
    <x v="0"/>
  </r>
  <r>
    <x v="41"/>
    <x v="0"/>
    <x v="42"/>
    <x v="0"/>
    <x v="0"/>
    <x v="0"/>
    <x v="0"/>
    <x v="11"/>
    <n v="0"/>
    <x v="0"/>
  </r>
  <r>
    <x v="42"/>
    <x v="0"/>
    <x v="43"/>
    <x v="1"/>
    <x v="0"/>
    <x v="2"/>
    <x v="0"/>
    <x v="0"/>
    <n v="0"/>
    <x v="0"/>
  </r>
  <r>
    <x v="42"/>
    <x v="0"/>
    <x v="43"/>
    <x v="1"/>
    <x v="0"/>
    <x v="2"/>
    <x v="0"/>
    <x v="1"/>
    <n v="0"/>
    <x v="0"/>
  </r>
  <r>
    <x v="42"/>
    <x v="0"/>
    <x v="43"/>
    <x v="1"/>
    <x v="0"/>
    <x v="2"/>
    <x v="0"/>
    <x v="2"/>
    <n v="0"/>
    <x v="0"/>
  </r>
  <r>
    <x v="42"/>
    <x v="0"/>
    <x v="43"/>
    <x v="1"/>
    <x v="0"/>
    <x v="2"/>
    <x v="0"/>
    <x v="3"/>
    <n v="0"/>
    <x v="0"/>
  </r>
  <r>
    <x v="42"/>
    <x v="0"/>
    <x v="43"/>
    <x v="1"/>
    <x v="0"/>
    <x v="2"/>
    <x v="0"/>
    <x v="4"/>
    <n v="0"/>
    <x v="0"/>
  </r>
  <r>
    <x v="42"/>
    <x v="0"/>
    <x v="43"/>
    <x v="1"/>
    <x v="0"/>
    <x v="2"/>
    <x v="0"/>
    <x v="5"/>
    <n v="0"/>
    <x v="0"/>
  </r>
  <r>
    <x v="42"/>
    <x v="0"/>
    <x v="43"/>
    <x v="1"/>
    <x v="0"/>
    <x v="2"/>
    <x v="0"/>
    <x v="6"/>
    <n v="0"/>
    <x v="0"/>
  </r>
  <r>
    <x v="42"/>
    <x v="0"/>
    <x v="43"/>
    <x v="1"/>
    <x v="0"/>
    <x v="2"/>
    <x v="0"/>
    <x v="7"/>
    <n v="0"/>
    <x v="0"/>
  </r>
  <r>
    <x v="42"/>
    <x v="0"/>
    <x v="43"/>
    <x v="1"/>
    <x v="0"/>
    <x v="2"/>
    <x v="0"/>
    <x v="8"/>
    <n v="0"/>
    <x v="0"/>
  </r>
  <r>
    <x v="42"/>
    <x v="0"/>
    <x v="43"/>
    <x v="1"/>
    <x v="0"/>
    <x v="2"/>
    <x v="0"/>
    <x v="9"/>
    <n v="0"/>
    <x v="0"/>
  </r>
  <r>
    <x v="42"/>
    <x v="0"/>
    <x v="43"/>
    <x v="1"/>
    <x v="0"/>
    <x v="2"/>
    <x v="0"/>
    <x v="10"/>
    <n v="0"/>
    <x v="0"/>
  </r>
  <r>
    <x v="42"/>
    <x v="0"/>
    <x v="43"/>
    <x v="1"/>
    <x v="0"/>
    <x v="2"/>
    <x v="0"/>
    <x v="11"/>
    <n v="0"/>
    <x v="0"/>
  </r>
  <r>
    <x v="30"/>
    <x v="0"/>
    <x v="44"/>
    <x v="0"/>
    <x v="0"/>
    <x v="0"/>
    <x v="0"/>
    <x v="0"/>
    <n v="0"/>
    <x v="0"/>
  </r>
  <r>
    <x v="30"/>
    <x v="0"/>
    <x v="44"/>
    <x v="0"/>
    <x v="0"/>
    <x v="0"/>
    <x v="0"/>
    <x v="1"/>
    <n v="0"/>
    <x v="0"/>
  </r>
  <r>
    <x v="30"/>
    <x v="0"/>
    <x v="44"/>
    <x v="0"/>
    <x v="0"/>
    <x v="0"/>
    <x v="0"/>
    <x v="2"/>
    <n v="0"/>
    <x v="0"/>
  </r>
  <r>
    <x v="30"/>
    <x v="0"/>
    <x v="44"/>
    <x v="0"/>
    <x v="0"/>
    <x v="0"/>
    <x v="0"/>
    <x v="3"/>
    <n v="0"/>
    <x v="0"/>
  </r>
  <r>
    <x v="30"/>
    <x v="0"/>
    <x v="44"/>
    <x v="0"/>
    <x v="0"/>
    <x v="0"/>
    <x v="0"/>
    <x v="4"/>
    <n v="0"/>
    <x v="0"/>
  </r>
  <r>
    <x v="30"/>
    <x v="0"/>
    <x v="44"/>
    <x v="0"/>
    <x v="0"/>
    <x v="0"/>
    <x v="0"/>
    <x v="5"/>
    <n v="0"/>
    <x v="0"/>
  </r>
  <r>
    <x v="30"/>
    <x v="0"/>
    <x v="44"/>
    <x v="0"/>
    <x v="0"/>
    <x v="0"/>
    <x v="0"/>
    <x v="6"/>
    <n v="0"/>
    <x v="0"/>
  </r>
  <r>
    <x v="30"/>
    <x v="0"/>
    <x v="44"/>
    <x v="0"/>
    <x v="0"/>
    <x v="0"/>
    <x v="0"/>
    <x v="7"/>
    <n v="0"/>
    <x v="0"/>
  </r>
  <r>
    <x v="30"/>
    <x v="0"/>
    <x v="44"/>
    <x v="0"/>
    <x v="0"/>
    <x v="0"/>
    <x v="0"/>
    <x v="8"/>
    <n v="0"/>
    <x v="0"/>
  </r>
  <r>
    <x v="30"/>
    <x v="0"/>
    <x v="44"/>
    <x v="0"/>
    <x v="0"/>
    <x v="0"/>
    <x v="0"/>
    <x v="9"/>
    <n v="0"/>
    <x v="0"/>
  </r>
  <r>
    <x v="30"/>
    <x v="0"/>
    <x v="44"/>
    <x v="0"/>
    <x v="0"/>
    <x v="0"/>
    <x v="0"/>
    <x v="10"/>
    <n v="0"/>
    <x v="0"/>
  </r>
  <r>
    <x v="30"/>
    <x v="0"/>
    <x v="44"/>
    <x v="0"/>
    <x v="0"/>
    <x v="0"/>
    <x v="0"/>
    <x v="11"/>
    <n v="0"/>
    <x v="0"/>
  </r>
  <r>
    <x v="43"/>
    <x v="0"/>
    <x v="45"/>
    <x v="0"/>
    <x v="0"/>
    <x v="0"/>
    <x v="0"/>
    <x v="0"/>
    <n v="0"/>
    <x v="0"/>
  </r>
  <r>
    <x v="43"/>
    <x v="0"/>
    <x v="45"/>
    <x v="0"/>
    <x v="0"/>
    <x v="0"/>
    <x v="0"/>
    <x v="1"/>
    <n v="0"/>
    <x v="0"/>
  </r>
  <r>
    <x v="43"/>
    <x v="0"/>
    <x v="45"/>
    <x v="0"/>
    <x v="0"/>
    <x v="0"/>
    <x v="0"/>
    <x v="2"/>
    <n v="0"/>
    <x v="0"/>
  </r>
  <r>
    <x v="43"/>
    <x v="0"/>
    <x v="45"/>
    <x v="0"/>
    <x v="0"/>
    <x v="0"/>
    <x v="0"/>
    <x v="3"/>
    <n v="0"/>
    <x v="0"/>
  </r>
  <r>
    <x v="43"/>
    <x v="0"/>
    <x v="45"/>
    <x v="0"/>
    <x v="0"/>
    <x v="0"/>
    <x v="0"/>
    <x v="4"/>
    <n v="0"/>
    <x v="0"/>
  </r>
  <r>
    <x v="43"/>
    <x v="0"/>
    <x v="45"/>
    <x v="0"/>
    <x v="0"/>
    <x v="0"/>
    <x v="0"/>
    <x v="5"/>
    <n v="0"/>
    <x v="0"/>
  </r>
  <r>
    <x v="43"/>
    <x v="0"/>
    <x v="45"/>
    <x v="0"/>
    <x v="0"/>
    <x v="0"/>
    <x v="0"/>
    <x v="6"/>
    <n v="547.95405578049042"/>
    <x v="0"/>
  </r>
  <r>
    <x v="43"/>
    <x v="0"/>
    <x v="45"/>
    <x v="0"/>
    <x v="0"/>
    <x v="0"/>
    <x v="0"/>
    <x v="7"/>
    <n v="1627.9380737394069"/>
    <x v="0"/>
  </r>
  <r>
    <x v="43"/>
    <x v="0"/>
    <x v="45"/>
    <x v="0"/>
    <x v="0"/>
    <x v="0"/>
    <x v="0"/>
    <x v="8"/>
    <n v="1636.0101448191106"/>
    <x v="0"/>
  </r>
  <r>
    <x v="43"/>
    <x v="0"/>
    <x v="45"/>
    <x v="0"/>
    <x v="0"/>
    <x v="0"/>
    <x v="0"/>
    <x v="9"/>
    <n v="1515.7717446397178"/>
    <x v="0"/>
  </r>
  <r>
    <x v="43"/>
    <x v="0"/>
    <x v="45"/>
    <x v="0"/>
    <x v="0"/>
    <x v="0"/>
    <x v="0"/>
    <x v="10"/>
    <n v="1652.5893542690969"/>
    <x v="0"/>
  </r>
  <r>
    <x v="43"/>
    <x v="0"/>
    <x v="45"/>
    <x v="0"/>
    <x v="0"/>
    <x v="0"/>
    <x v="0"/>
    <x v="11"/>
    <n v="1871.7458756608978"/>
    <x v="0"/>
  </r>
  <r>
    <x v="44"/>
    <x v="0"/>
    <x v="46"/>
    <x v="0"/>
    <x v="0"/>
    <x v="0"/>
    <x v="0"/>
    <x v="0"/>
    <n v="0"/>
    <x v="0"/>
  </r>
  <r>
    <x v="44"/>
    <x v="0"/>
    <x v="46"/>
    <x v="0"/>
    <x v="0"/>
    <x v="0"/>
    <x v="0"/>
    <x v="1"/>
    <n v="0"/>
    <x v="0"/>
  </r>
  <r>
    <x v="44"/>
    <x v="0"/>
    <x v="46"/>
    <x v="0"/>
    <x v="0"/>
    <x v="0"/>
    <x v="0"/>
    <x v="2"/>
    <n v="0"/>
    <x v="0"/>
  </r>
  <r>
    <x v="44"/>
    <x v="0"/>
    <x v="46"/>
    <x v="0"/>
    <x v="0"/>
    <x v="0"/>
    <x v="0"/>
    <x v="3"/>
    <n v="0"/>
    <x v="0"/>
  </r>
  <r>
    <x v="44"/>
    <x v="0"/>
    <x v="46"/>
    <x v="0"/>
    <x v="0"/>
    <x v="0"/>
    <x v="0"/>
    <x v="4"/>
    <n v="0"/>
    <x v="0"/>
  </r>
  <r>
    <x v="44"/>
    <x v="0"/>
    <x v="46"/>
    <x v="0"/>
    <x v="0"/>
    <x v="0"/>
    <x v="0"/>
    <x v="5"/>
    <n v="0"/>
    <x v="0"/>
  </r>
  <r>
    <x v="44"/>
    <x v="0"/>
    <x v="46"/>
    <x v="0"/>
    <x v="0"/>
    <x v="0"/>
    <x v="0"/>
    <x v="6"/>
    <n v="0"/>
    <x v="0"/>
  </r>
  <r>
    <x v="44"/>
    <x v="0"/>
    <x v="46"/>
    <x v="0"/>
    <x v="0"/>
    <x v="0"/>
    <x v="0"/>
    <x v="7"/>
    <n v="0"/>
    <x v="0"/>
  </r>
  <r>
    <x v="44"/>
    <x v="0"/>
    <x v="46"/>
    <x v="0"/>
    <x v="0"/>
    <x v="0"/>
    <x v="0"/>
    <x v="8"/>
    <n v="7567.3929019102188"/>
    <x v="0"/>
  </r>
  <r>
    <x v="44"/>
    <x v="0"/>
    <x v="46"/>
    <x v="0"/>
    <x v="0"/>
    <x v="0"/>
    <x v="0"/>
    <x v="9"/>
    <n v="6949.092822107501"/>
    <x v="0"/>
  </r>
  <r>
    <x v="44"/>
    <x v="0"/>
    <x v="46"/>
    <x v="0"/>
    <x v="0"/>
    <x v="0"/>
    <x v="0"/>
    <x v="10"/>
    <n v="7588.028858535562"/>
    <x v="0"/>
  </r>
  <r>
    <x v="44"/>
    <x v="0"/>
    <x v="46"/>
    <x v="0"/>
    <x v="0"/>
    <x v="0"/>
    <x v="0"/>
    <x v="11"/>
    <n v="8594.3078863904557"/>
    <x v="0"/>
  </r>
  <r>
    <x v="45"/>
    <x v="0"/>
    <x v="47"/>
    <x v="0"/>
    <x v="0"/>
    <x v="0"/>
    <x v="0"/>
    <x v="0"/>
    <n v="0"/>
    <x v="0"/>
  </r>
  <r>
    <x v="45"/>
    <x v="0"/>
    <x v="47"/>
    <x v="0"/>
    <x v="0"/>
    <x v="0"/>
    <x v="0"/>
    <x v="1"/>
    <n v="3372.6943545457543"/>
    <x v="0"/>
  </r>
  <r>
    <x v="45"/>
    <x v="0"/>
    <x v="47"/>
    <x v="0"/>
    <x v="0"/>
    <x v="0"/>
    <x v="0"/>
    <x v="2"/>
    <n v="0"/>
    <x v="0"/>
  </r>
  <r>
    <x v="45"/>
    <x v="0"/>
    <x v="47"/>
    <x v="0"/>
    <x v="0"/>
    <x v="0"/>
    <x v="0"/>
    <x v="3"/>
    <n v="0"/>
    <x v="0"/>
  </r>
  <r>
    <x v="45"/>
    <x v="0"/>
    <x v="47"/>
    <x v="0"/>
    <x v="0"/>
    <x v="0"/>
    <x v="0"/>
    <x v="4"/>
    <n v="0"/>
    <x v="0"/>
  </r>
  <r>
    <x v="45"/>
    <x v="0"/>
    <x v="47"/>
    <x v="0"/>
    <x v="0"/>
    <x v="0"/>
    <x v="0"/>
    <x v="5"/>
    <n v="0"/>
    <x v="0"/>
  </r>
  <r>
    <x v="45"/>
    <x v="0"/>
    <x v="47"/>
    <x v="0"/>
    <x v="0"/>
    <x v="0"/>
    <x v="0"/>
    <x v="6"/>
    <n v="0"/>
    <x v="0"/>
  </r>
  <r>
    <x v="45"/>
    <x v="0"/>
    <x v="47"/>
    <x v="0"/>
    <x v="0"/>
    <x v="0"/>
    <x v="0"/>
    <x v="7"/>
    <n v="0"/>
    <x v="0"/>
  </r>
  <r>
    <x v="45"/>
    <x v="0"/>
    <x v="47"/>
    <x v="0"/>
    <x v="0"/>
    <x v="0"/>
    <x v="0"/>
    <x v="8"/>
    <n v="0"/>
    <x v="0"/>
  </r>
  <r>
    <x v="45"/>
    <x v="0"/>
    <x v="47"/>
    <x v="0"/>
    <x v="0"/>
    <x v="0"/>
    <x v="0"/>
    <x v="9"/>
    <n v="0"/>
    <x v="0"/>
  </r>
  <r>
    <x v="45"/>
    <x v="0"/>
    <x v="47"/>
    <x v="0"/>
    <x v="0"/>
    <x v="0"/>
    <x v="0"/>
    <x v="10"/>
    <n v="0"/>
    <x v="0"/>
  </r>
  <r>
    <x v="45"/>
    <x v="0"/>
    <x v="47"/>
    <x v="0"/>
    <x v="0"/>
    <x v="0"/>
    <x v="0"/>
    <x v="11"/>
    <n v="0"/>
    <x v="0"/>
  </r>
  <r>
    <x v="46"/>
    <x v="0"/>
    <x v="48"/>
    <x v="0"/>
    <x v="0"/>
    <x v="0"/>
    <x v="0"/>
    <x v="0"/>
    <n v="0"/>
    <x v="0"/>
  </r>
  <r>
    <x v="46"/>
    <x v="0"/>
    <x v="48"/>
    <x v="0"/>
    <x v="0"/>
    <x v="0"/>
    <x v="0"/>
    <x v="1"/>
    <n v="0"/>
    <x v="0"/>
  </r>
  <r>
    <x v="46"/>
    <x v="0"/>
    <x v="48"/>
    <x v="0"/>
    <x v="0"/>
    <x v="0"/>
    <x v="0"/>
    <x v="2"/>
    <n v="0"/>
    <x v="0"/>
  </r>
  <r>
    <x v="46"/>
    <x v="0"/>
    <x v="48"/>
    <x v="0"/>
    <x v="0"/>
    <x v="0"/>
    <x v="0"/>
    <x v="3"/>
    <n v="0"/>
    <x v="0"/>
  </r>
  <r>
    <x v="46"/>
    <x v="0"/>
    <x v="48"/>
    <x v="0"/>
    <x v="0"/>
    <x v="0"/>
    <x v="0"/>
    <x v="4"/>
    <n v="0"/>
    <x v="0"/>
  </r>
  <r>
    <x v="46"/>
    <x v="0"/>
    <x v="48"/>
    <x v="0"/>
    <x v="0"/>
    <x v="0"/>
    <x v="0"/>
    <x v="5"/>
    <n v="0"/>
    <x v="0"/>
  </r>
  <r>
    <x v="46"/>
    <x v="0"/>
    <x v="48"/>
    <x v="0"/>
    <x v="0"/>
    <x v="0"/>
    <x v="0"/>
    <x v="6"/>
    <n v="0"/>
    <x v="0"/>
  </r>
  <r>
    <x v="46"/>
    <x v="0"/>
    <x v="48"/>
    <x v="0"/>
    <x v="0"/>
    <x v="0"/>
    <x v="0"/>
    <x v="7"/>
    <n v="0"/>
    <x v="0"/>
  </r>
  <r>
    <x v="46"/>
    <x v="0"/>
    <x v="48"/>
    <x v="0"/>
    <x v="0"/>
    <x v="0"/>
    <x v="0"/>
    <x v="8"/>
    <n v="0"/>
    <x v="0"/>
  </r>
  <r>
    <x v="46"/>
    <x v="0"/>
    <x v="48"/>
    <x v="0"/>
    <x v="0"/>
    <x v="0"/>
    <x v="0"/>
    <x v="9"/>
    <n v="13482.882886169953"/>
    <x v="0"/>
  </r>
  <r>
    <x v="46"/>
    <x v="0"/>
    <x v="48"/>
    <x v="0"/>
    <x v="0"/>
    <x v="0"/>
    <x v="0"/>
    <x v="10"/>
    <n v="0"/>
    <x v="0"/>
  </r>
  <r>
    <x v="46"/>
    <x v="0"/>
    <x v="48"/>
    <x v="0"/>
    <x v="0"/>
    <x v="0"/>
    <x v="0"/>
    <x v="11"/>
    <n v="0"/>
    <x v="0"/>
  </r>
  <r>
    <x v="30"/>
    <x v="0"/>
    <x v="49"/>
    <x v="0"/>
    <x v="0"/>
    <x v="0"/>
    <x v="0"/>
    <x v="0"/>
    <n v="0"/>
    <x v="0"/>
  </r>
  <r>
    <x v="30"/>
    <x v="0"/>
    <x v="49"/>
    <x v="0"/>
    <x v="0"/>
    <x v="0"/>
    <x v="0"/>
    <x v="1"/>
    <n v="0"/>
    <x v="0"/>
  </r>
  <r>
    <x v="30"/>
    <x v="0"/>
    <x v="49"/>
    <x v="0"/>
    <x v="0"/>
    <x v="0"/>
    <x v="0"/>
    <x v="2"/>
    <n v="0"/>
    <x v="0"/>
  </r>
  <r>
    <x v="30"/>
    <x v="0"/>
    <x v="49"/>
    <x v="0"/>
    <x v="0"/>
    <x v="0"/>
    <x v="0"/>
    <x v="3"/>
    <n v="0"/>
    <x v="0"/>
  </r>
  <r>
    <x v="30"/>
    <x v="0"/>
    <x v="49"/>
    <x v="0"/>
    <x v="0"/>
    <x v="0"/>
    <x v="0"/>
    <x v="4"/>
    <n v="0"/>
    <x v="0"/>
  </r>
  <r>
    <x v="30"/>
    <x v="0"/>
    <x v="49"/>
    <x v="0"/>
    <x v="0"/>
    <x v="0"/>
    <x v="0"/>
    <x v="5"/>
    <n v="0"/>
    <x v="0"/>
  </r>
  <r>
    <x v="30"/>
    <x v="0"/>
    <x v="49"/>
    <x v="0"/>
    <x v="0"/>
    <x v="0"/>
    <x v="0"/>
    <x v="6"/>
    <n v="0"/>
    <x v="0"/>
  </r>
  <r>
    <x v="30"/>
    <x v="0"/>
    <x v="49"/>
    <x v="0"/>
    <x v="0"/>
    <x v="0"/>
    <x v="0"/>
    <x v="7"/>
    <n v="0"/>
    <x v="0"/>
  </r>
  <r>
    <x v="30"/>
    <x v="0"/>
    <x v="49"/>
    <x v="0"/>
    <x v="0"/>
    <x v="0"/>
    <x v="0"/>
    <x v="8"/>
    <n v="0"/>
    <x v="0"/>
  </r>
  <r>
    <x v="30"/>
    <x v="0"/>
    <x v="49"/>
    <x v="0"/>
    <x v="0"/>
    <x v="0"/>
    <x v="0"/>
    <x v="9"/>
    <n v="1118.9004135915743"/>
    <x v="0"/>
  </r>
  <r>
    <x v="30"/>
    <x v="0"/>
    <x v="49"/>
    <x v="0"/>
    <x v="0"/>
    <x v="0"/>
    <x v="0"/>
    <x v="10"/>
    <n v="0"/>
    <x v="0"/>
  </r>
  <r>
    <x v="30"/>
    <x v="0"/>
    <x v="49"/>
    <x v="0"/>
    <x v="0"/>
    <x v="0"/>
    <x v="0"/>
    <x v="11"/>
    <n v="0"/>
    <x v="0"/>
  </r>
  <r>
    <x v="30"/>
    <x v="0"/>
    <x v="50"/>
    <x v="0"/>
    <x v="0"/>
    <x v="0"/>
    <x v="0"/>
    <x v="0"/>
    <n v="157.80000506045681"/>
    <x v="0"/>
  </r>
  <r>
    <x v="30"/>
    <x v="0"/>
    <x v="50"/>
    <x v="0"/>
    <x v="0"/>
    <x v="0"/>
    <x v="0"/>
    <x v="1"/>
    <n v="296.78609910526558"/>
    <x v="0"/>
  </r>
  <r>
    <x v="30"/>
    <x v="0"/>
    <x v="50"/>
    <x v="0"/>
    <x v="0"/>
    <x v="0"/>
    <x v="0"/>
    <x v="2"/>
    <n v="204.3324990901786"/>
    <x v="0"/>
  </r>
  <r>
    <x v="30"/>
    <x v="0"/>
    <x v="50"/>
    <x v="0"/>
    <x v="0"/>
    <x v="0"/>
    <x v="0"/>
    <x v="3"/>
    <n v="0"/>
    <x v="0"/>
  </r>
  <r>
    <x v="30"/>
    <x v="0"/>
    <x v="50"/>
    <x v="0"/>
    <x v="0"/>
    <x v="0"/>
    <x v="0"/>
    <x v="4"/>
    <n v="0"/>
    <x v="0"/>
  </r>
  <r>
    <x v="30"/>
    <x v="0"/>
    <x v="50"/>
    <x v="0"/>
    <x v="0"/>
    <x v="0"/>
    <x v="0"/>
    <x v="5"/>
    <n v="0"/>
    <x v="0"/>
  </r>
  <r>
    <x v="30"/>
    <x v="0"/>
    <x v="50"/>
    <x v="0"/>
    <x v="0"/>
    <x v="0"/>
    <x v="0"/>
    <x v="6"/>
    <n v="0"/>
    <x v="0"/>
  </r>
  <r>
    <x v="30"/>
    <x v="0"/>
    <x v="50"/>
    <x v="0"/>
    <x v="0"/>
    <x v="0"/>
    <x v="0"/>
    <x v="7"/>
    <n v="0"/>
    <x v="0"/>
  </r>
  <r>
    <x v="30"/>
    <x v="0"/>
    <x v="50"/>
    <x v="0"/>
    <x v="0"/>
    <x v="0"/>
    <x v="0"/>
    <x v="8"/>
    <n v="0"/>
    <x v="0"/>
  </r>
  <r>
    <x v="30"/>
    <x v="0"/>
    <x v="50"/>
    <x v="0"/>
    <x v="0"/>
    <x v="0"/>
    <x v="0"/>
    <x v="9"/>
    <n v="0"/>
    <x v="0"/>
  </r>
  <r>
    <x v="30"/>
    <x v="0"/>
    <x v="50"/>
    <x v="0"/>
    <x v="0"/>
    <x v="0"/>
    <x v="0"/>
    <x v="10"/>
    <n v="0"/>
    <x v="0"/>
  </r>
  <r>
    <x v="30"/>
    <x v="0"/>
    <x v="50"/>
    <x v="0"/>
    <x v="0"/>
    <x v="0"/>
    <x v="0"/>
    <x v="11"/>
    <n v="0"/>
    <x v="0"/>
  </r>
  <r>
    <x v="30"/>
    <x v="0"/>
    <x v="51"/>
    <x v="0"/>
    <x v="0"/>
    <x v="0"/>
    <x v="0"/>
    <x v="0"/>
    <n v="157.80000506045681"/>
    <x v="0"/>
  </r>
  <r>
    <x v="30"/>
    <x v="0"/>
    <x v="51"/>
    <x v="0"/>
    <x v="0"/>
    <x v="0"/>
    <x v="0"/>
    <x v="1"/>
    <n v="296.78609910526558"/>
    <x v="0"/>
  </r>
  <r>
    <x v="30"/>
    <x v="0"/>
    <x v="51"/>
    <x v="0"/>
    <x v="0"/>
    <x v="0"/>
    <x v="0"/>
    <x v="2"/>
    <n v="204.3324990901786"/>
    <x v="0"/>
  </r>
  <r>
    <x v="30"/>
    <x v="0"/>
    <x v="51"/>
    <x v="0"/>
    <x v="0"/>
    <x v="0"/>
    <x v="0"/>
    <x v="3"/>
    <n v="0"/>
    <x v="0"/>
  </r>
  <r>
    <x v="30"/>
    <x v="0"/>
    <x v="51"/>
    <x v="0"/>
    <x v="0"/>
    <x v="0"/>
    <x v="0"/>
    <x v="4"/>
    <n v="0"/>
    <x v="0"/>
  </r>
  <r>
    <x v="30"/>
    <x v="0"/>
    <x v="51"/>
    <x v="0"/>
    <x v="0"/>
    <x v="0"/>
    <x v="0"/>
    <x v="5"/>
    <n v="0"/>
    <x v="0"/>
  </r>
  <r>
    <x v="30"/>
    <x v="0"/>
    <x v="51"/>
    <x v="0"/>
    <x v="0"/>
    <x v="0"/>
    <x v="0"/>
    <x v="6"/>
    <n v="0"/>
    <x v="0"/>
  </r>
  <r>
    <x v="30"/>
    <x v="0"/>
    <x v="51"/>
    <x v="0"/>
    <x v="0"/>
    <x v="0"/>
    <x v="0"/>
    <x v="7"/>
    <n v="0"/>
    <x v="0"/>
  </r>
  <r>
    <x v="30"/>
    <x v="0"/>
    <x v="51"/>
    <x v="0"/>
    <x v="0"/>
    <x v="0"/>
    <x v="0"/>
    <x v="8"/>
    <n v="0"/>
    <x v="0"/>
  </r>
  <r>
    <x v="30"/>
    <x v="0"/>
    <x v="51"/>
    <x v="0"/>
    <x v="0"/>
    <x v="0"/>
    <x v="0"/>
    <x v="9"/>
    <n v="0"/>
    <x v="0"/>
  </r>
  <r>
    <x v="30"/>
    <x v="0"/>
    <x v="51"/>
    <x v="0"/>
    <x v="0"/>
    <x v="0"/>
    <x v="0"/>
    <x v="10"/>
    <n v="0"/>
    <x v="0"/>
  </r>
  <r>
    <x v="30"/>
    <x v="0"/>
    <x v="51"/>
    <x v="0"/>
    <x v="0"/>
    <x v="0"/>
    <x v="0"/>
    <x v="11"/>
    <n v="0"/>
    <x v="0"/>
  </r>
  <r>
    <x v="39"/>
    <x v="0"/>
    <x v="40"/>
    <x v="0"/>
    <x v="0"/>
    <x v="0"/>
    <x v="0"/>
    <x v="0"/>
    <n v="157.80000506045681"/>
    <x v="0"/>
  </r>
  <r>
    <x v="39"/>
    <x v="0"/>
    <x v="40"/>
    <x v="0"/>
    <x v="0"/>
    <x v="0"/>
    <x v="0"/>
    <x v="1"/>
    <n v="296.78609910526558"/>
    <x v="0"/>
  </r>
  <r>
    <x v="39"/>
    <x v="0"/>
    <x v="40"/>
    <x v="0"/>
    <x v="0"/>
    <x v="0"/>
    <x v="0"/>
    <x v="2"/>
    <n v="102.16680681655458"/>
    <x v="0"/>
  </r>
  <r>
    <x v="39"/>
    <x v="0"/>
    <x v="40"/>
    <x v="0"/>
    <x v="0"/>
    <x v="0"/>
    <x v="0"/>
    <x v="3"/>
    <n v="0"/>
    <x v="0"/>
  </r>
  <r>
    <x v="39"/>
    <x v="0"/>
    <x v="40"/>
    <x v="0"/>
    <x v="0"/>
    <x v="0"/>
    <x v="0"/>
    <x v="4"/>
    <n v="0"/>
    <x v="0"/>
  </r>
  <r>
    <x v="39"/>
    <x v="0"/>
    <x v="40"/>
    <x v="0"/>
    <x v="0"/>
    <x v="0"/>
    <x v="0"/>
    <x v="5"/>
    <n v="0"/>
    <x v="0"/>
  </r>
  <r>
    <x v="39"/>
    <x v="0"/>
    <x v="40"/>
    <x v="0"/>
    <x v="0"/>
    <x v="0"/>
    <x v="0"/>
    <x v="6"/>
    <n v="0"/>
    <x v="0"/>
  </r>
  <r>
    <x v="39"/>
    <x v="0"/>
    <x v="40"/>
    <x v="0"/>
    <x v="0"/>
    <x v="0"/>
    <x v="0"/>
    <x v="7"/>
    <n v="0"/>
    <x v="0"/>
  </r>
  <r>
    <x v="39"/>
    <x v="0"/>
    <x v="40"/>
    <x v="0"/>
    <x v="0"/>
    <x v="0"/>
    <x v="0"/>
    <x v="8"/>
    <n v="0"/>
    <x v="0"/>
  </r>
  <r>
    <x v="39"/>
    <x v="0"/>
    <x v="40"/>
    <x v="0"/>
    <x v="0"/>
    <x v="0"/>
    <x v="0"/>
    <x v="9"/>
    <n v="0"/>
    <x v="0"/>
  </r>
  <r>
    <x v="39"/>
    <x v="0"/>
    <x v="40"/>
    <x v="0"/>
    <x v="0"/>
    <x v="0"/>
    <x v="0"/>
    <x v="10"/>
    <n v="0"/>
    <x v="0"/>
  </r>
  <r>
    <x v="39"/>
    <x v="0"/>
    <x v="40"/>
    <x v="0"/>
    <x v="0"/>
    <x v="0"/>
    <x v="0"/>
    <x v="11"/>
    <n v="0"/>
    <x v="0"/>
  </r>
  <r>
    <x v="30"/>
    <x v="0"/>
    <x v="52"/>
    <x v="0"/>
    <x v="0"/>
    <x v="0"/>
    <x v="0"/>
    <x v="0"/>
    <n v="0"/>
    <x v="0"/>
  </r>
  <r>
    <x v="30"/>
    <x v="0"/>
    <x v="52"/>
    <x v="0"/>
    <x v="0"/>
    <x v="0"/>
    <x v="0"/>
    <x v="1"/>
    <n v="0"/>
    <x v="0"/>
  </r>
  <r>
    <x v="30"/>
    <x v="0"/>
    <x v="52"/>
    <x v="0"/>
    <x v="0"/>
    <x v="0"/>
    <x v="0"/>
    <x v="2"/>
    <n v="0"/>
    <x v="0"/>
  </r>
  <r>
    <x v="30"/>
    <x v="0"/>
    <x v="52"/>
    <x v="0"/>
    <x v="0"/>
    <x v="0"/>
    <x v="0"/>
    <x v="3"/>
    <n v="308.17134914893109"/>
    <x v="0"/>
  </r>
  <r>
    <x v="30"/>
    <x v="0"/>
    <x v="52"/>
    <x v="0"/>
    <x v="0"/>
    <x v="0"/>
    <x v="0"/>
    <x v="4"/>
    <n v="0"/>
    <x v="0"/>
  </r>
  <r>
    <x v="30"/>
    <x v="0"/>
    <x v="52"/>
    <x v="0"/>
    <x v="0"/>
    <x v="0"/>
    <x v="0"/>
    <x v="5"/>
    <n v="0"/>
    <x v="0"/>
  </r>
  <r>
    <x v="30"/>
    <x v="0"/>
    <x v="52"/>
    <x v="0"/>
    <x v="0"/>
    <x v="0"/>
    <x v="0"/>
    <x v="6"/>
    <n v="0"/>
    <x v="0"/>
  </r>
  <r>
    <x v="30"/>
    <x v="0"/>
    <x v="52"/>
    <x v="0"/>
    <x v="0"/>
    <x v="0"/>
    <x v="0"/>
    <x v="7"/>
    <n v="0"/>
    <x v="0"/>
  </r>
  <r>
    <x v="30"/>
    <x v="0"/>
    <x v="52"/>
    <x v="0"/>
    <x v="0"/>
    <x v="0"/>
    <x v="0"/>
    <x v="8"/>
    <n v="0"/>
    <x v="0"/>
  </r>
  <r>
    <x v="30"/>
    <x v="0"/>
    <x v="52"/>
    <x v="0"/>
    <x v="0"/>
    <x v="0"/>
    <x v="0"/>
    <x v="9"/>
    <n v="0"/>
    <x v="0"/>
  </r>
  <r>
    <x v="30"/>
    <x v="0"/>
    <x v="52"/>
    <x v="0"/>
    <x v="0"/>
    <x v="0"/>
    <x v="0"/>
    <x v="10"/>
    <n v="0"/>
    <x v="0"/>
  </r>
  <r>
    <x v="30"/>
    <x v="0"/>
    <x v="52"/>
    <x v="0"/>
    <x v="0"/>
    <x v="0"/>
    <x v="0"/>
    <x v="11"/>
    <n v="0"/>
    <x v="0"/>
  </r>
  <r>
    <x v="47"/>
    <x v="1"/>
    <x v="53"/>
    <x v="2"/>
    <x v="2"/>
    <x v="3"/>
    <x v="1"/>
    <x v="0"/>
    <n v="42198.645552370421"/>
    <x v="0"/>
  </r>
  <r>
    <x v="47"/>
    <x v="1"/>
    <x v="53"/>
    <x v="2"/>
    <x v="2"/>
    <x v="3"/>
    <x v="1"/>
    <x v="1"/>
    <n v="0"/>
    <x v="0"/>
  </r>
  <r>
    <x v="47"/>
    <x v="1"/>
    <x v="53"/>
    <x v="2"/>
    <x v="2"/>
    <x v="3"/>
    <x v="1"/>
    <x v="2"/>
    <n v="13886.802564903501"/>
    <x v="0"/>
  </r>
  <r>
    <x v="47"/>
    <x v="1"/>
    <x v="53"/>
    <x v="2"/>
    <x v="2"/>
    <x v="3"/>
    <x v="1"/>
    <x v="3"/>
    <n v="0"/>
    <x v="0"/>
  </r>
  <r>
    <x v="47"/>
    <x v="1"/>
    <x v="53"/>
    <x v="2"/>
    <x v="2"/>
    <x v="3"/>
    <x v="1"/>
    <x v="4"/>
    <n v="0"/>
    <x v="0"/>
  </r>
  <r>
    <x v="47"/>
    <x v="1"/>
    <x v="53"/>
    <x v="2"/>
    <x v="2"/>
    <x v="3"/>
    <x v="1"/>
    <x v="5"/>
    <n v="22741.378119181591"/>
    <x v="0"/>
  </r>
  <r>
    <x v="47"/>
    <x v="1"/>
    <x v="53"/>
    <x v="2"/>
    <x v="2"/>
    <x v="3"/>
    <x v="1"/>
    <x v="6"/>
    <n v="0"/>
    <x v="0"/>
  </r>
  <r>
    <x v="47"/>
    <x v="1"/>
    <x v="53"/>
    <x v="2"/>
    <x v="2"/>
    <x v="3"/>
    <x v="1"/>
    <x v="7"/>
    <n v="7569.294565577462"/>
    <x v="0"/>
  </r>
  <r>
    <x v="47"/>
    <x v="1"/>
    <x v="53"/>
    <x v="2"/>
    <x v="2"/>
    <x v="3"/>
    <x v="1"/>
    <x v="8"/>
    <n v="0"/>
    <x v="0"/>
  </r>
  <r>
    <x v="47"/>
    <x v="1"/>
    <x v="53"/>
    <x v="2"/>
    <x v="2"/>
    <x v="3"/>
    <x v="1"/>
    <x v="9"/>
    <n v="1156.193060441612"/>
    <x v="0"/>
  </r>
  <r>
    <x v="47"/>
    <x v="1"/>
    <x v="53"/>
    <x v="2"/>
    <x v="2"/>
    <x v="3"/>
    <x v="1"/>
    <x v="10"/>
    <n v="0"/>
    <x v="0"/>
  </r>
  <r>
    <x v="47"/>
    <x v="1"/>
    <x v="53"/>
    <x v="2"/>
    <x v="2"/>
    <x v="3"/>
    <x v="1"/>
    <x v="11"/>
    <n v="0"/>
    <x v="0"/>
  </r>
  <r>
    <x v="30"/>
    <x v="2"/>
    <x v="54"/>
    <x v="2"/>
    <x v="2"/>
    <x v="3"/>
    <x v="0"/>
    <x v="0"/>
    <n v="0"/>
    <x v="0"/>
  </r>
  <r>
    <x v="30"/>
    <x v="2"/>
    <x v="54"/>
    <x v="2"/>
    <x v="2"/>
    <x v="3"/>
    <x v="0"/>
    <x v="1"/>
    <n v="0"/>
    <x v="0"/>
  </r>
  <r>
    <x v="30"/>
    <x v="2"/>
    <x v="54"/>
    <x v="2"/>
    <x v="2"/>
    <x v="3"/>
    <x v="0"/>
    <x v="2"/>
    <n v="0"/>
    <x v="0"/>
  </r>
  <r>
    <x v="30"/>
    <x v="2"/>
    <x v="54"/>
    <x v="2"/>
    <x v="2"/>
    <x v="3"/>
    <x v="0"/>
    <x v="3"/>
    <n v="0"/>
    <x v="0"/>
  </r>
  <r>
    <x v="30"/>
    <x v="2"/>
    <x v="54"/>
    <x v="2"/>
    <x v="2"/>
    <x v="3"/>
    <x v="0"/>
    <x v="4"/>
    <n v="0"/>
    <x v="0"/>
  </r>
  <r>
    <x v="30"/>
    <x v="2"/>
    <x v="54"/>
    <x v="2"/>
    <x v="2"/>
    <x v="3"/>
    <x v="0"/>
    <x v="5"/>
    <n v="0"/>
    <x v="0"/>
  </r>
  <r>
    <x v="30"/>
    <x v="2"/>
    <x v="54"/>
    <x v="2"/>
    <x v="2"/>
    <x v="3"/>
    <x v="0"/>
    <x v="6"/>
    <n v="0"/>
    <x v="0"/>
  </r>
  <r>
    <x v="30"/>
    <x v="2"/>
    <x v="54"/>
    <x v="2"/>
    <x v="2"/>
    <x v="3"/>
    <x v="0"/>
    <x v="7"/>
    <n v="17316.154969763866"/>
    <x v="0"/>
  </r>
  <r>
    <x v="30"/>
    <x v="2"/>
    <x v="54"/>
    <x v="2"/>
    <x v="2"/>
    <x v="3"/>
    <x v="0"/>
    <x v="8"/>
    <n v="0"/>
    <x v="0"/>
  </r>
  <r>
    <x v="30"/>
    <x v="2"/>
    <x v="54"/>
    <x v="2"/>
    <x v="2"/>
    <x v="3"/>
    <x v="0"/>
    <x v="9"/>
    <n v="0"/>
    <x v="0"/>
  </r>
  <r>
    <x v="30"/>
    <x v="2"/>
    <x v="54"/>
    <x v="2"/>
    <x v="2"/>
    <x v="3"/>
    <x v="0"/>
    <x v="10"/>
    <n v="0"/>
    <x v="0"/>
  </r>
  <r>
    <x v="30"/>
    <x v="2"/>
    <x v="54"/>
    <x v="2"/>
    <x v="2"/>
    <x v="3"/>
    <x v="0"/>
    <x v="11"/>
    <n v="0"/>
    <x v="0"/>
  </r>
  <r>
    <x v="30"/>
    <x v="2"/>
    <x v="55"/>
    <x v="0"/>
    <x v="2"/>
    <x v="3"/>
    <x v="2"/>
    <x v="0"/>
    <n v="0"/>
    <x v="0"/>
  </r>
  <r>
    <x v="30"/>
    <x v="2"/>
    <x v="55"/>
    <x v="0"/>
    <x v="2"/>
    <x v="3"/>
    <x v="2"/>
    <x v="1"/>
    <n v="0"/>
    <x v="0"/>
  </r>
  <r>
    <x v="30"/>
    <x v="2"/>
    <x v="55"/>
    <x v="0"/>
    <x v="2"/>
    <x v="3"/>
    <x v="2"/>
    <x v="2"/>
    <n v="0"/>
    <x v="0"/>
  </r>
  <r>
    <x v="30"/>
    <x v="2"/>
    <x v="55"/>
    <x v="0"/>
    <x v="2"/>
    <x v="3"/>
    <x v="2"/>
    <x v="3"/>
    <n v="0"/>
    <x v="0"/>
  </r>
  <r>
    <x v="30"/>
    <x v="2"/>
    <x v="55"/>
    <x v="0"/>
    <x v="2"/>
    <x v="3"/>
    <x v="2"/>
    <x v="4"/>
    <n v="0"/>
    <x v="0"/>
  </r>
  <r>
    <x v="30"/>
    <x v="2"/>
    <x v="55"/>
    <x v="0"/>
    <x v="2"/>
    <x v="3"/>
    <x v="2"/>
    <x v="5"/>
    <n v="0"/>
    <x v="0"/>
  </r>
  <r>
    <x v="30"/>
    <x v="2"/>
    <x v="55"/>
    <x v="0"/>
    <x v="2"/>
    <x v="3"/>
    <x v="2"/>
    <x v="6"/>
    <n v="0"/>
    <x v="0"/>
  </r>
  <r>
    <x v="30"/>
    <x v="2"/>
    <x v="55"/>
    <x v="0"/>
    <x v="2"/>
    <x v="3"/>
    <x v="2"/>
    <x v="7"/>
    <n v="0"/>
    <x v="0"/>
  </r>
  <r>
    <x v="30"/>
    <x v="2"/>
    <x v="55"/>
    <x v="0"/>
    <x v="2"/>
    <x v="3"/>
    <x v="2"/>
    <x v="8"/>
    <n v="0"/>
    <x v="0"/>
  </r>
  <r>
    <x v="30"/>
    <x v="2"/>
    <x v="55"/>
    <x v="0"/>
    <x v="2"/>
    <x v="3"/>
    <x v="2"/>
    <x v="9"/>
    <n v="0"/>
    <x v="0"/>
  </r>
  <r>
    <x v="30"/>
    <x v="2"/>
    <x v="55"/>
    <x v="0"/>
    <x v="2"/>
    <x v="3"/>
    <x v="2"/>
    <x v="10"/>
    <n v="0"/>
    <x v="0"/>
  </r>
  <r>
    <x v="30"/>
    <x v="2"/>
    <x v="55"/>
    <x v="0"/>
    <x v="2"/>
    <x v="3"/>
    <x v="2"/>
    <x v="11"/>
    <n v="0"/>
    <x v="0"/>
  </r>
  <r>
    <x v="30"/>
    <x v="2"/>
    <x v="56"/>
    <x v="0"/>
    <x v="2"/>
    <x v="3"/>
    <x v="0"/>
    <x v="0"/>
    <n v="0"/>
    <x v="0"/>
  </r>
  <r>
    <x v="30"/>
    <x v="2"/>
    <x v="56"/>
    <x v="0"/>
    <x v="2"/>
    <x v="3"/>
    <x v="0"/>
    <x v="1"/>
    <n v="0"/>
    <x v="0"/>
  </r>
  <r>
    <x v="30"/>
    <x v="2"/>
    <x v="56"/>
    <x v="0"/>
    <x v="2"/>
    <x v="3"/>
    <x v="0"/>
    <x v="2"/>
    <n v="0"/>
    <x v="0"/>
  </r>
  <r>
    <x v="30"/>
    <x v="2"/>
    <x v="56"/>
    <x v="0"/>
    <x v="2"/>
    <x v="3"/>
    <x v="0"/>
    <x v="3"/>
    <n v="0"/>
    <x v="0"/>
  </r>
  <r>
    <x v="30"/>
    <x v="2"/>
    <x v="56"/>
    <x v="0"/>
    <x v="2"/>
    <x v="3"/>
    <x v="0"/>
    <x v="4"/>
    <n v="0"/>
    <x v="0"/>
  </r>
  <r>
    <x v="30"/>
    <x v="2"/>
    <x v="56"/>
    <x v="0"/>
    <x v="2"/>
    <x v="3"/>
    <x v="0"/>
    <x v="5"/>
    <n v="0"/>
    <x v="0"/>
  </r>
  <r>
    <x v="30"/>
    <x v="2"/>
    <x v="56"/>
    <x v="0"/>
    <x v="2"/>
    <x v="3"/>
    <x v="0"/>
    <x v="6"/>
    <n v="0"/>
    <x v="0"/>
  </r>
  <r>
    <x v="30"/>
    <x v="2"/>
    <x v="56"/>
    <x v="0"/>
    <x v="2"/>
    <x v="3"/>
    <x v="0"/>
    <x v="7"/>
    <n v="0"/>
    <x v="0"/>
  </r>
  <r>
    <x v="30"/>
    <x v="2"/>
    <x v="56"/>
    <x v="0"/>
    <x v="2"/>
    <x v="3"/>
    <x v="0"/>
    <x v="8"/>
    <n v="0"/>
    <x v="0"/>
  </r>
  <r>
    <x v="30"/>
    <x v="2"/>
    <x v="56"/>
    <x v="0"/>
    <x v="2"/>
    <x v="3"/>
    <x v="0"/>
    <x v="9"/>
    <n v="0"/>
    <x v="0"/>
  </r>
  <r>
    <x v="30"/>
    <x v="2"/>
    <x v="56"/>
    <x v="0"/>
    <x v="2"/>
    <x v="3"/>
    <x v="0"/>
    <x v="10"/>
    <n v="0"/>
    <x v="0"/>
  </r>
  <r>
    <x v="30"/>
    <x v="2"/>
    <x v="56"/>
    <x v="0"/>
    <x v="2"/>
    <x v="3"/>
    <x v="0"/>
    <x v="11"/>
    <n v="0"/>
    <x v="0"/>
  </r>
  <r>
    <x v="30"/>
    <x v="1"/>
    <x v="57"/>
    <x v="2"/>
    <x v="2"/>
    <x v="3"/>
    <x v="0"/>
    <x v="0"/>
    <n v="0"/>
    <x v="0"/>
  </r>
  <r>
    <x v="30"/>
    <x v="1"/>
    <x v="57"/>
    <x v="2"/>
    <x v="2"/>
    <x v="3"/>
    <x v="0"/>
    <x v="1"/>
    <n v="0"/>
    <x v="0"/>
  </r>
  <r>
    <x v="30"/>
    <x v="1"/>
    <x v="57"/>
    <x v="2"/>
    <x v="2"/>
    <x v="3"/>
    <x v="0"/>
    <x v="2"/>
    <n v="0"/>
    <x v="0"/>
  </r>
  <r>
    <x v="30"/>
    <x v="1"/>
    <x v="57"/>
    <x v="2"/>
    <x v="2"/>
    <x v="3"/>
    <x v="0"/>
    <x v="3"/>
    <n v="0"/>
    <x v="0"/>
  </r>
  <r>
    <x v="30"/>
    <x v="1"/>
    <x v="57"/>
    <x v="2"/>
    <x v="2"/>
    <x v="3"/>
    <x v="0"/>
    <x v="4"/>
    <n v="0"/>
    <x v="0"/>
  </r>
  <r>
    <x v="30"/>
    <x v="1"/>
    <x v="57"/>
    <x v="2"/>
    <x v="2"/>
    <x v="3"/>
    <x v="0"/>
    <x v="5"/>
    <n v="0"/>
    <x v="0"/>
  </r>
  <r>
    <x v="30"/>
    <x v="1"/>
    <x v="57"/>
    <x v="2"/>
    <x v="2"/>
    <x v="3"/>
    <x v="0"/>
    <x v="6"/>
    <n v="0"/>
    <x v="0"/>
  </r>
  <r>
    <x v="30"/>
    <x v="1"/>
    <x v="57"/>
    <x v="2"/>
    <x v="2"/>
    <x v="3"/>
    <x v="0"/>
    <x v="7"/>
    <n v="0"/>
    <x v="0"/>
  </r>
  <r>
    <x v="30"/>
    <x v="1"/>
    <x v="57"/>
    <x v="2"/>
    <x v="2"/>
    <x v="3"/>
    <x v="0"/>
    <x v="8"/>
    <n v="0"/>
    <x v="0"/>
  </r>
  <r>
    <x v="30"/>
    <x v="1"/>
    <x v="57"/>
    <x v="2"/>
    <x v="2"/>
    <x v="3"/>
    <x v="0"/>
    <x v="9"/>
    <n v="0"/>
    <x v="0"/>
  </r>
  <r>
    <x v="30"/>
    <x v="1"/>
    <x v="57"/>
    <x v="2"/>
    <x v="2"/>
    <x v="3"/>
    <x v="0"/>
    <x v="10"/>
    <n v="0"/>
    <x v="0"/>
  </r>
  <r>
    <x v="30"/>
    <x v="1"/>
    <x v="57"/>
    <x v="2"/>
    <x v="2"/>
    <x v="3"/>
    <x v="0"/>
    <x v="11"/>
    <n v="0"/>
    <x v="0"/>
  </r>
  <r>
    <x v="30"/>
    <x v="2"/>
    <x v="58"/>
    <x v="0"/>
    <x v="2"/>
    <x v="3"/>
    <x v="3"/>
    <x v="0"/>
    <n v="0"/>
    <x v="0"/>
  </r>
  <r>
    <x v="30"/>
    <x v="2"/>
    <x v="58"/>
    <x v="0"/>
    <x v="2"/>
    <x v="3"/>
    <x v="3"/>
    <x v="1"/>
    <n v="0"/>
    <x v="0"/>
  </r>
  <r>
    <x v="30"/>
    <x v="2"/>
    <x v="58"/>
    <x v="0"/>
    <x v="2"/>
    <x v="3"/>
    <x v="3"/>
    <x v="2"/>
    <n v="0"/>
    <x v="0"/>
  </r>
  <r>
    <x v="30"/>
    <x v="2"/>
    <x v="58"/>
    <x v="0"/>
    <x v="2"/>
    <x v="3"/>
    <x v="3"/>
    <x v="3"/>
    <n v="0"/>
    <x v="0"/>
  </r>
  <r>
    <x v="30"/>
    <x v="2"/>
    <x v="58"/>
    <x v="0"/>
    <x v="2"/>
    <x v="3"/>
    <x v="3"/>
    <x v="4"/>
    <n v="0"/>
    <x v="0"/>
  </r>
  <r>
    <x v="30"/>
    <x v="2"/>
    <x v="58"/>
    <x v="0"/>
    <x v="2"/>
    <x v="3"/>
    <x v="3"/>
    <x v="5"/>
    <n v="0"/>
    <x v="0"/>
  </r>
  <r>
    <x v="30"/>
    <x v="2"/>
    <x v="58"/>
    <x v="0"/>
    <x v="2"/>
    <x v="3"/>
    <x v="3"/>
    <x v="6"/>
    <n v="0"/>
    <x v="0"/>
  </r>
  <r>
    <x v="30"/>
    <x v="2"/>
    <x v="58"/>
    <x v="0"/>
    <x v="2"/>
    <x v="3"/>
    <x v="3"/>
    <x v="7"/>
    <n v="0"/>
    <x v="0"/>
  </r>
  <r>
    <x v="30"/>
    <x v="2"/>
    <x v="58"/>
    <x v="0"/>
    <x v="2"/>
    <x v="3"/>
    <x v="3"/>
    <x v="8"/>
    <n v="16233.078418504136"/>
    <x v="0"/>
  </r>
  <r>
    <x v="30"/>
    <x v="2"/>
    <x v="58"/>
    <x v="0"/>
    <x v="2"/>
    <x v="3"/>
    <x v="3"/>
    <x v="9"/>
    <n v="0"/>
    <x v="0"/>
  </r>
  <r>
    <x v="30"/>
    <x v="2"/>
    <x v="58"/>
    <x v="0"/>
    <x v="2"/>
    <x v="3"/>
    <x v="3"/>
    <x v="10"/>
    <n v="0"/>
    <x v="0"/>
  </r>
  <r>
    <x v="30"/>
    <x v="2"/>
    <x v="58"/>
    <x v="0"/>
    <x v="2"/>
    <x v="3"/>
    <x v="3"/>
    <x v="11"/>
    <n v="0"/>
    <x v="0"/>
  </r>
  <r>
    <x v="30"/>
    <x v="2"/>
    <x v="59"/>
    <x v="0"/>
    <x v="2"/>
    <x v="3"/>
    <x v="4"/>
    <x v="0"/>
    <n v="0"/>
    <x v="0"/>
  </r>
  <r>
    <x v="30"/>
    <x v="2"/>
    <x v="59"/>
    <x v="0"/>
    <x v="2"/>
    <x v="3"/>
    <x v="4"/>
    <x v="1"/>
    <n v="0"/>
    <x v="0"/>
  </r>
  <r>
    <x v="30"/>
    <x v="2"/>
    <x v="59"/>
    <x v="0"/>
    <x v="2"/>
    <x v="3"/>
    <x v="4"/>
    <x v="2"/>
    <n v="0"/>
    <x v="0"/>
  </r>
  <r>
    <x v="30"/>
    <x v="2"/>
    <x v="59"/>
    <x v="0"/>
    <x v="2"/>
    <x v="3"/>
    <x v="4"/>
    <x v="3"/>
    <n v="0"/>
    <x v="0"/>
  </r>
  <r>
    <x v="30"/>
    <x v="2"/>
    <x v="59"/>
    <x v="0"/>
    <x v="2"/>
    <x v="3"/>
    <x v="4"/>
    <x v="4"/>
    <n v="0"/>
    <x v="0"/>
  </r>
  <r>
    <x v="30"/>
    <x v="2"/>
    <x v="59"/>
    <x v="0"/>
    <x v="2"/>
    <x v="3"/>
    <x v="4"/>
    <x v="5"/>
    <n v="0"/>
    <x v="0"/>
  </r>
  <r>
    <x v="30"/>
    <x v="2"/>
    <x v="59"/>
    <x v="0"/>
    <x v="2"/>
    <x v="3"/>
    <x v="4"/>
    <x v="6"/>
    <n v="0"/>
    <x v="0"/>
  </r>
  <r>
    <x v="30"/>
    <x v="2"/>
    <x v="59"/>
    <x v="0"/>
    <x v="2"/>
    <x v="3"/>
    <x v="4"/>
    <x v="7"/>
    <n v="0"/>
    <x v="0"/>
  </r>
  <r>
    <x v="30"/>
    <x v="2"/>
    <x v="59"/>
    <x v="0"/>
    <x v="2"/>
    <x v="3"/>
    <x v="4"/>
    <x v="8"/>
    <n v="5904.7091966467624"/>
    <x v="0"/>
  </r>
  <r>
    <x v="30"/>
    <x v="2"/>
    <x v="59"/>
    <x v="0"/>
    <x v="2"/>
    <x v="3"/>
    <x v="4"/>
    <x v="9"/>
    <n v="0"/>
    <x v="0"/>
  </r>
  <r>
    <x v="30"/>
    <x v="2"/>
    <x v="59"/>
    <x v="0"/>
    <x v="2"/>
    <x v="3"/>
    <x v="4"/>
    <x v="10"/>
    <n v="0"/>
    <x v="0"/>
  </r>
  <r>
    <x v="30"/>
    <x v="2"/>
    <x v="59"/>
    <x v="0"/>
    <x v="2"/>
    <x v="3"/>
    <x v="4"/>
    <x v="11"/>
    <n v="0"/>
    <x v="0"/>
  </r>
  <r>
    <x v="30"/>
    <x v="2"/>
    <x v="60"/>
    <x v="0"/>
    <x v="2"/>
    <x v="3"/>
    <x v="5"/>
    <x v="0"/>
    <n v="0"/>
    <x v="0"/>
  </r>
  <r>
    <x v="30"/>
    <x v="2"/>
    <x v="60"/>
    <x v="0"/>
    <x v="2"/>
    <x v="3"/>
    <x v="5"/>
    <x v="1"/>
    <n v="0"/>
    <x v="0"/>
  </r>
  <r>
    <x v="30"/>
    <x v="2"/>
    <x v="60"/>
    <x v="0"/>
    <x v="2"/>
    <x v="3"/>
    <x v="5"/>
    <x v="2"/>
    <n v="0"/>
    <x v="0"/>
  </r>
  <r>
    <x v="30"/>
    <x v="2"/>
    <x v="60"/>
    <x v="0"/>
    <x v="2"/>
    <x v="3"/>
    <x v="5"/>
    <x v="3"/>
    <n v="0"/>
    <x v="0"/>
  </r>
  <r>
    <x v="30"/>
    <x v="2"/>
    <x v="60"/>
    <x v="0"/>
    <x v="2"/>
    <x v="3"/>
    <x v="5"/>
    <x v="4"/>
    <n v="0"/>
    <x v="0"/>
  </r>
  <r>
    <x v="30"/>
    <x v="2"/>
    <x v="60"/>
    <x v="0"/>
    <x v="2"/>
    <x v="3"/>
    <x v="5"/>
    <x v="5"/>
    <n v="0"/>
    <x v="0"/>
  </r>
  <r>
    <x v="30"/>
    <x v="2"/>
    <x v="60"/>
    <x v="0"/>
    <x v="2"/>
    <x v="3"/>
    <x v="5"/>
    <x v="6"/>
    <n v="0"/>
    <x v="0"/>
  </r>
  <r>
    <x v="30"/>
    <x v="2"/>
    <x v="60"/>
    <x v="0"/>
    <x v="2"/>
    <x v="3"/>
    <x v="5"/>
    <x v="7"/>
    <n v="0"/>
    <x v="0"/>
  </r>
  <r>
    <x v="30"/>
    <x v="2"/>
    <x v="60"/>
    <x v="0"/>
    <x v="2"/>
    <x v="3"/>
    <x v="5"/>
    <x v="8"/>
    <n v="0"/>
    <x v="0"/>
  </r>
  <r>
    <x v="30"/>
    <x v="2"/>
    <x v="60"/>
    <x v="0"/>
    <x v="2"/>
    <x v="3"/>
    <x v="5"/>
    <x v="9"/>
    <n v="2402.5204977845988"/>
    <x v="0"/>
  </r>
  <r>
    <x v="30"/>
    <x v="2"/>
    <x v="60"/>
    <x v="0"/>
    <x v="2"/>
    <x v="3"/>
    <x v="5"/>
    <x v="10"/>
    <n v="0"/>
    <x v="0"/>
  </r>
  <r>
    <x v="30"/>
    <x v="2"/>
    <x v="60"/>
    <x v="0"/>
    <x v="2"/>
    <x v="3"/>
    <x v="5"/>
    <x v="11"/>
    <n v="0"/>
    <x v="0"/>
  </r>
  <r>
    <x v="48"/>
    <x v="0"/>
    <x v="61"/>
    <x v="0"/>
    <x v="0"/>
    <x v="0"/>
    <x v="0"/>
    <x v="0"/>
    <n v="1462.6463805211481"/>
    <x v="0"/>
  </r>
  <r>
    <x v="48"/>
    <x v="0"/>
    <x v="61"/>
    <x v="0"/>
    <x v="0"/>
    <x v="0"/>
    <x v="0"/>
    <x v="1"/>
    <n v="720.92548762539332"/>
    <x v="0"/>
  </r>
  <r>
    <x v="48"/>
    <x v="0"/>
    <x v="61"/>
    <x v="0"/>
    <x v="0"/>
    <x v="0"/>
    <x v="0"/>
    <x v="2"/>
    <n v="0"/>
    <x v="0"/>
  </r>
  <r>
    <x v="48"/>
    <x v="0"/>
    <x v="61"/>
    <x v="0"/>
    <x v="0"/>
    <x v="0"/>
    <x v="0"/>
    <x v="3"/>
    <n v="561.93443026292016"/>
    <x v="0"/>
  </r>
  <r>
    <x v="48"/>
    <x v="0"/>
    <x v="61"/>
    <x v="0"/>
    <x v="0"/>
    <x v="0"/>
    <x v="0"/>
    <x v="4"/>
    <n v="0"/>
    <x v="0"/>
  </r>
  <r>
    <x v="48"/>
    <x v="0"/>
    <x v="61"/>
    <x v="0"/>
    <x v="0"/>
    <x v="0"/>
    <x v="0"/>
    <x v="5"/>
    <n v="0"/>
    <x v="0"/>
  </r>
  <r>
    <x v="48"/>
    <x v="0"/>
    <x v="61"/>
    <x v="0"/>
    <x v="0"/>
    <x v="0"/>
    <x v="0"/>
    <x v="6"/>
    <n v="0"/>
    <x v="0"/>
  </r>
  <r>
    <x v="48"/>
    <x v="0"/>
    <x v="61"/>
    <x v="0"/>
    <x v="0"/>
    <x v="0"/>
    <x v="0"/>
    <x v="7"/>
    <n v="0"/>
    <x v="0"/>
  </r>
  <r>
    <x v="48"/>
    <x v="0"/>
    <x v="61"/>
    <x v="0"/>
    <x v="0"/>
    <x v="0"/>
    <x v="0"/>
    <x v="8"/>
    <n v="0"/>
    <x v="0"/>
  </r>
  <r>
    <x v="48"/>
    <x v="0"/>
    <x v="61"/>
    <x v="0"/>
    <x v="0"/>
    <x v="0"/>
    <x v="0"/>
    <x v="9"/>
    <n v="0"/>
    <x v="0"/>
  </r>
  <r>
    <x v="48"/>
    <x v="0"/>
    <x v="61"/>
    <x v="0"/>
    <x v="0"/>
    <x v="0"/>
    <x v="0"/>
    <x v="10"/>
    <n v="0"/>
    <x v="0"/>
  </r>
  <r>
    <x v="48"/>
    <x v="0"/>
    <x v="61"/>
    <x v="0"/>
    <x v="0"/>
    <x v="0"/>
    <x v="0"/>
    <x v="11"/>
    <n v="0"/>
    <x v="0"/>
  </r>
  <r>
    <x v="46"/>
    <x v="0"/>
    <x v="62"/>
    <x v="0"/>
    <x v="0"/>
    <x v="0"/>
    <x v="0"/>
    <x v="0"/>
    <n v="8284.5209769764242"/>
    <x v="0"/>
  </r>
  <r>
    <x v="46"/>
    <x v="0"/>
    <x v="62"/>
    <x v="0"/>
    <x v="0"/>
    <x v="0"/>
    <x v="0"/>
    <x v="1"/>
    <n v="8166.7343177433777"/>
    <x v="0"/>
  </r>
  <r>
    <x v="46"/>
    <x v="0"/>
    <x v="62"/>
    <x v="0"/>
    <x v="0"/>
    <x v="0"/>
    <x v="0"/>
    <x v="2"/>
    <n v="7734.5434208443294"/>
    <x v="0"/>
  </r>
  <r>
    <x v="46"/>
    <x v="0"/>
    <x v="62"/>
    <x v="0"/>
    <x v="0"/>
    <x v="0"/>
    <x v="0"/>
    <x v="3"/>
    <n v="8554.411375912503"/>
    <x v="0"/>
  </r>
  <r>
    <x v="46"/>
    <x v="0"/>
    <x v="62"/>
    <x v="0"/>
    <x v="0"/>
    <x v="0"/>
    <x v="0"/>
    <x v="4"/>
    <n v="9104.4462231917751"/>
    <x v="0"/>
  </r>
  <r>
    <x v="46"/>
    <x v="0"/>
    <x v="62"/>
    <x v="0"/>
    <x v="0"/>
    <x v="0"/>
    <x v="0"/>
    <x v="5"/>
    <n v="0"/>
    <x v="0"/>
  </r>
  <r>
    <x v="46"/>
    <x v="0"/>
    <x v="62"/>
    <x v="0"/>
    <x v="0"/>
    <x v="0"/>
    <x v="0"/>
    <x v="6"/>
    <n v="15566.365147193686"/>
    <x v="0"/>
  </r>
  <r>
    <x v="46"/>
    <x v="0"/>
    <x v="62"/>
    <x v="0"/>
    <x v="0"/>
    <x v="0"/>
    <x v="0"/>
    <x v="7"/>
    <n v="7721.5165427002548"/>
    <x v="0"/>
  </r>
  <r>
    <x v="46"/>
    <x v="0"/>
    <x v="62"/>
    <x v="0"/>
    <x v="0"/>
    <x v="0"/>
    <x v="0"/>
    <x v="8"/>
    <n v="9094.1615789939151"/>
    <x v="0"/>
  </r>
  <r>
    <x v="46"/>
    <x v="0"/>
    <x v="62"/>
    <x v="0"/>
    <x v="0"/>
    <x v="0"/>
    <x v="0"/>
    <x v="9"/>
    <n v="0"/>
    <x v="0"/>
  </r>
  <r>
    <x v="46"/>
    <x v="0"/>
    <x v="62"/>
    <x v="0"/>
    <x v="0"/>
    <x v="0"/>
    <x v="0"/>
    <x v="10"/>
    <n v="11219.184672430598"/>
    <x v="0"/>
  </r>
  <r>
    <x v="46"/>
    <x v="0"/>
    <x v="62"/>
    <x v="0"/>
    <x v="0"/>
    <x v="0"/>
    <x v="0"/>
    <x v="11"/>
    <n v="11219.184672430598"/>
    <x v="0"/>
  </r>
  <r>
    <x v="46"/>
    <x v="0"/>
    <x v="62"/>
    <x v="0"/>
    <x v="0"/>
    <x v="0"/>
    <x v="0"/>
    <x v="0"/>
    <n v="1421.030864647802"/>
    <x v="0"/>
  </r>
  <r>
    <x v="46"/>
    <x v="0"/>
    <x v="62"/>
    <x v="0"/>
    <x v="0"/>
    <x v="0"/>
    <x v="0"/>
    <x v="1"/>
    <n v="1522.5577998970762"/>
    <x v="0"/>
  </r>
  <r>
    <x v="46"/>
    <x v="0"/>
    <x v="62"/>
    <x v="0"/>
    <x v="0"/>
    <x v="0"/>
    <x v="0"/>
    <x v="2"/>
    <n v="1418.2480773497332"/>
    <x v="0"/>
  </r>
  <r>
    <x v="46"/>
    <x v="0"/>
    <x v="62"/>
    <x v="0"/>
    <x v="0"/>
    <x v="0"/>
    <x v="0"/>
    <x v="3"/>
    <n v="994.69329244578125"/>
    <x v="0"/>
  </r>
  <r>
    <x v="46"/>
    <x v="0"/>
    <x v="62"/>
    <x v="0"/>
    <x v="0"/>
    <x v="0"/>
    <x v="0"/>
    <x v="4"/>
    <n v="1493.7902501678964"/>
    <x v="0"/>
  </r>
  <r>
    <x v="46"/>
    <x v="0"/>
    <x v="62"/>
    <x v="0"/>
    <x v="0"/>
    <x v="0"/>
    <x v="0"/>
    <x v="5"/>
    <n v="0"/>
    <x v="0"/>
  </r>
  <r>
    <x v="46"/>
    <x v="0"/>
    <x v="62"/>
    <x v="0"/>
    <x v="0"/>
    <x v="0"/>
    <x v="0"/>
    <x v="6"/>
    <n v="1385.6391081871823"/>
    <x v="0"/>
  </r>
  <r>
    <x v="46"/>
    <x v="0"/>
    <x v="62"/>
    <x v="0"/>
    <x v="0"/>
    <x v="0"/>
    <x v="0"/>
    <x v="7"/>
    <n v="2884.4640596504009"/>
    <x v="0"/>
  </r>
  <r>
    <x v="46"/>
    <x v="0"/>
    <x v="62"/>
    <x v="0"/>
    <x v="0"/>
    <x v="0"/>
    <x v="0"/>
    <x v="8"/>
    <n v="0"/>
    <x v="0"/>
  </r>
  <r>
    <x v="46"/>
    <x v="0"/>
    <x v="62"/>
    <x v="0"/>
    <x v="0"/>
    <x v="0"/>
    <x v="0"/>
    <x v="9"/>
    <n v="2339.2851407866515"/>
    <x v="0"/>
  </r>
  <r>
    <x v="46"/>
    <x v="0"/>
    <x v="62"/>
    <x v="0"/>
    <x v="0"/>
    <x v="0"/>
    <x v="0"/>
    <x v="10"/>
    <n v="2250.3307460676292"/>
    <x v="0"/>
  </r>
  <r>
    <x v="46"/>
    <x v="0"/>
    <x v="62"/>
    <x v="0"/>
    <x v="0"/>
    <x v="0"/>
    <x v="0"/>
    <x v="11"/>
    <n v="2250.3307460676292"/>
    <x v="0"/>
  </r>
  <r>
    <x v="46"/>
    <x v="0"/>
    <x v="62"/>
    <x v="0"/>
    <x v="0"/>
    <x v="0"/>
    <x v="0"/>
    <x v="0"/>
    <n v="0"/>
    <x v="0"/>
  </r>
  <r>
    <x v="46"/>
    <x v="0"/>
    <x v="62"/>
    <x v="0"/>
    <x v="0"/>
    <x v="0"/>
    <x v="0"/>
    <x v="1"/>
    <n v="1467.753278836298"/>
    <x v="0"/>
  </r>
  <r>
    <x v="46"/>
    <x v="0"/>
    <x v="62"/>
    <x v="0"/>
    <x v="0"/>
    <x v="0"/>
    <x v="0"/>
    <x v="2"/>
    <n v="0"/>
    <x v="0"/>
  </r>
  <r>
    <x v="46"/>
    <x v="0"/>
    <x v="62"/>
    <x v="0"/>
    <x v="0"/>
    <x v="0"/>
    <x v="0"/>
    <x v="3"/>
    <n v="0"/>
    <x v="0"/>
  </r>
  <r>
    <x v="46"/>
    <x v="0"/>
    <x v="62"/>
    <x v="0"/>
    <x v="0"/>
    <x v="0"/>
    <x v="0"/>
    <x v="4"/>
    <n v="260.87985968628828"/>
    <x v="0"/>
  </r>
  <r>
    <x v="46"/>
    <x v="0"/>
    <x v="62"/>
    <x v="0"/>
    <x v="0"/>
    <x v="0"/>
    <x v="0"/>
    <x v="5"/>
    <n v="0"/>
    <x v="0"/>
  </r>
  <r>
    <x v="46"/>
    <x v="0"/>
    <x v="62"/>
    <x v="0"/>
    <x v="0"/>
    <x v="0"/>
    <x v="0"/>
    <x v="6"/>
    <n v="0"/>
    <x v="0"/>
  </r>
  <r>
    <x v="46"/>
    <x v="0"/>
    <x v="62"/>
    <x v="0"/>
    <x v="0"/>
    <x v="0"/>
    <x v="0"/>
    <x v="7"/>
    <n v="0"/>
    <x v="0"/>
  </r>
  <r>
    <x v="46"/>
    <x v="0"/>
    <x v="62"/>
    <x v="0"/>
    <x v="0"/>
    <x v="0"/>
    <x v="0"/>
    <x v="8"/>
    <n v="0"/>
    <x v="0"/>
  </r>
  <r>
    <x v="46"/>
    <x v="0"/>
    <x v="62"/>
    <x v="0"/>
    <x v="0"/>
    <x v="0"/>
    <x v="0"/>
    <x v="9"/>
    <n v="0"/>
    <x v="0"/>
  </r>
  <r>
    <x v="46"/>
    <x v="0"/>
    <x v="62"/>
    <x v="0"/>
    <x v="0"/>
    <x v="0"/>
    <x v="0"/>
    <x v="10"/>
    <n v="0"/>
    <x v="0"/>
  </r>
  <r>
    <x v="46"/>
    <x v="0"/>
    <x v="62"/>
    <x v="0"/>
    <x v="0"/>
    <x v="0"/>
    <x v="0"/>
    <x v="11"/>
    <n v="0"/>
    <x v="0"/>
  </r>
  <r>
    <x v="46"/>
    <x v="1"/>
    <x v="62"/>
    <x v="0"/>
    <x v="1"/>
    <x v="1"/>
    <x v="0"/>
    <x v="0"/>
    <n v="11835.029967109176"/>
    <x v="0"/>
  </r>
  <r>
    <x v="46"/>
    <x v="1"/>
    <x v="62"/>
    <x v="0"/>
    <x v="1"/>
    <x v="1"/>
    <x v="0"/>
    <x v="1"/>
    <n v="0"/>
    <x v="0"/>
  </r>
  <r>
    <x v="46"/>
    <x v="1"/>
    <x v="62"/>
    <x v="0"/>
    <x v="1"/>
    <x v="1"/>
    <x v="0"/>
    <x v="2"/>
    <n v="11145.429305699388"/>
    <x v="0"/>
  </r>
  <r>
    <x v="46"/>
    <x v="1"/>
    <x v="62"/>
    <x v="0"/>
    <x v="1"/>
    <x v="1"/>
    <x v="0"/>
    <x v="3"/>
    <n v="0"/>
    <x v="0"/>
  </r>
  <r>
    <x v="46"/>
    <x v="1"/>
    <x v="62"/>
    <x v="0"/>
    <x v="1"/>
    <x v="1"/>
    <x v="0"/>
    <x v="4"/>
    <n v="0"/>
    <x v="0"/>
  </r>
  <r>
    <x v="46"/>
    <x v="1"/>
    <x v="62"/>
    <x v="0"/>
    <x v="1"/>
    <x v="1"/>
    <x v="0"/>
    <x v="5"/>
    <n v="0"/>
    <x v="0"/>
  </r>
  <r>
    <x v="46"/>
    <x v="1"/>
    <x v="62"/>
    <x v="0"/>
    <x v="1"/>
    <x v="1"/>
    <x v="0"/>
    <x v="6"/>
    <n v="0"/>
    <x v="0"/>
  </r>
  <r>
    <x v="46"/>
    <x v="1"/>
    <x v="62"/>
    <x v="0"/>
    <x v="1"/>
    <x v="1"/>
    <x v="0"/>
    <x v="7"/>
    <n v="0"/>
    <x v="0"/>
  </r>
  <r>
    <x v="46"/>
    <x v="1"/>
    <x v="62"/>
    <x v="0"/>
    <x v="1"/>
    <x v="1"/>
    <x v="0"/>
    <x v="8"/>
    <n v="0"/>
    <x v="0"/>
  </r>
  <r>
    <x v="46"/>
    <x v="1"/>
    <x v="62"/>
    <x v="0"/>
    <x v="1"/>
    <x v="1"/>
    <x v="0"/>
    <x v="9"/>
    <n v="0"/>
    <x v="0"/>
  </r>
  <r>
    <x v="46"/>
    <x v="1"/>
    <x v="62"/>
    <x v="0"/>
    <x v="1"/>
    <x v="1"/>
    <x v="0"/>
    <x v="10"/>
    <n v="0"/>
    <x v="0"/>
  </r>
  <r>
    <x v="46"/>
    <x v="1"/>
    <x v="62"/>
    <x v="0"/>
    <x v="1"/>
    <x v="1"/>
    <x v="0"/>
    <x v="11"/>
    <n v="0"/>
    <x v="0"/>
  </r>
  <r>
    <x v="49"/>
    <x v="0"/>
    <x v="63"/>
    <x v="1"/>
    <x v="0"/>
    <x v="0"/>
    <x v="0"/>
    <x v="0"/>
    <n v="2059.2952142769968"/>
    <x v="0"/>
  </r>
  <r>
    <x v="49"/>
    <x v="0"/>
    <x v="63"/>
    <x v="1"/>
    <x v="0"/>
    <x v="0"/>
    <x v="0"/>
    <x v="1"/>
    <n v="2047.8240838263323"/>
    <x v="0"/>
  </r>
  <r>
    <x v="49"/>
    <x v="0"/>
    <x v="63"/>
    <x v="1"/>
    <x v="0"/>
    <x v="0"/>
    <x v="0"/>
    <x v="2"/>
    <n v="1922.5865552331445"/>
    <x v="0"/>
  </r>
  <r>
    <x v="49"/>
    <x v="0"/>
    <x v="63"/>
    <x v="1"/>
    <x v="0"/>
    <x v="0"/>
    <x v="0"/>
    <x v="3"/>
    <n v="2126.3823091276245"/>
    <x v="0"/>
  </r>
  <r>
    <x v="49"/>
    <x v="0"/>
    <x v="63"/>
    <x v="1"/>
    <x v="0"/>
    <x v="0"/>
    <x v="0"/>
    <x v="4"/>
    <n v="2250.0887897942366"/>
    <x v="0"/>
  </r>
  <r>
    <x v="49"/>
    <x v="0"/>
    <x v="63"/>
    <x v="1"/>
    <x v="0"/>
    <x v="0"/>
    <x v="0"/>
    <x v="5"/>
    <n v="0"/>
    <x v="0"/>
  </r>
  <r>
    <x v="49"/>
    <x v="0"/>
    <x v="63"/>
    <x v="1"/>
    <x v="0"/>
    <x v="0"/>
    <x v="0"/>
    <x v="6"/>
    <n v="3847.0987533896546"/>
    <x v="0"/>
  </r>
  <r>
    <x v="49"/>
    <x v="0"/>
    <x v="63"/>
    <x v="1"/>
    <x v="0"/>
    <x v="0"/>
    <x v="0"/>
    <x v="7"/>
    <n v="1902.8022908797057"/>
    <x v="0"/>
  </r>
  <r>
    <x v="49"/>
    <x v="0"/>
    <x v="63"/>
    <x v="1"/>
    <x v="0"/>
    <x v="0"/>
    <x v="0"/>
    <x v="8"/>
    <n v="2241.0612462520717"/>
    <x v="0"/>
  </r>
  <r>
    <x v="49"/>
    <x v="0"/>
    <x v="63"/>
    <x v="1"/>
    <x v="0"/>
    <x v="0"/>
    <x v="0"/>
    <x v="9"/>
    <n v="0"/>
    <x v="0"/>
  </r>
  <r>
    <x v="49"/>
    <x v="0"/>
    <x v="63"/>
    <x v="1"/>
    <x v="0"/>
    <x v="0"/>
    <x v="0"/>
    <x v="10"/>
    <n v="2772.7289549761858"/>
    <x v="0"/>
  </r>
  <r>
    <x v="49"/>
    <x v="0"/>
    <x v="63"/>
    <x v="1"/>
    <x v="0"/>
    <x v="0"/>
    <x v="0"/>
    <x v="11"/>
    <n v="2772.7289549761858"/>
    <x v="0"/>
  </r>
  <r>
    <x v="6"/>
    <x v="1"/>
    <x v="6"/>
    <x v="0"/>
    <x v="1"/>
    <x v="1"/>
    <x v="0"/>
    <x v="0"/>
    <n v="15924.032820745397"/>
    <x v="0"/>
  </r>
  <r>
    <x v="6"/>
    <x v="1"/>
    <x v="6"/>
    <x v="0"/>
    <x v="1"/>
    <x v="1"/>
    <x v="0"/>
    <x v="1"/>
    <n v="0"/>
    <x v="0"/>
  </r>
  <r>
    <x v="6"/>
    <x v="1"/>
    <x v="6"/>
    <x v="0"/>
    <x v="1"/>
    <x v="1"/>
    <x v="0"/>
    <x v="2"/>
    <n v="0"/>
    <x v="0"/>
  </r>
  <r>
    <x v="6"/>
    <x v="1"/>
    <x v="6"/>
    <x v="0"/>
    <x v="1"/>
    <x v="1"/>
    <x v="0"/>
    <x v="3"/>
    <n v="0"/>
    <x v="0"/>
  </r>
  <r>
    <x v="6"/>
    <x v="1"/>
    <x v="6"/>
    <x v="0"/>
    <x v="1"/>
    <x v="1"/>
    <x v="0"/>
    <x v="4"/>
    <n v="0"/>
    <x v="0"/>
  </r>
  <r>
    <x v="6"/>
    <x v="1"/>
    <x v="6"/>
    <x v="0"/>
    <x v="1"/>
    <x v="1"/>
    <x v="0"/>
    <x v="5"/>
    <n v="0"/>
    <x v="0"/>
  </r>
  <r>
    <x v="6"/>
    <x v="1"/>
    <x v="6"/>
    <x v="0"/>
    <x v="1"/>
    <x v="1"/>
    <x v="0"/>
    <x v="6"/>
    <n v="0"/>
    <x v="0"/>
  </r>
  <r>
    <x v="6"/>
    <x v="1"/>
    <x v="6"/>
    <x v="0"/>
    <x v="1"/>
    <x v="1"/>
    <x v="0"/>
    <x v="7"/>
    <n v="0"/>
    <x v="0"/>
  </r>
  <r>
    <x v="6"/>
    <x v="1"/>
    <x v="6"/>
    <x v="0"/>
    <x v="1"/>
    <x v="1"/>
    <x v="0"/>
    <x v="8"/>
    <n v="0"/>
    <x v="0"/>
  </r>
  <r>
    <x v="6"/>
    <x v="1"/>
    <x v="6"/>
    <x v="0"/>
    <x v="1"/>
    <x v="1"/>
    <x v="0"/>
    <x v="9"/>
    <n v="0"/>
    <x v="0"/>
  </r>
  <r>
    <x v="6"/>
    <x v="1"/>
    <x v="6"/>
    <x v="0"/>
    <x v="1"/>
    <x v="1"/>
    <x v="0"/>
    <x v="10"/>
    <n v="0"/>
    <x v="0"/>
  </r>
  <r>
    <x v="6"/>
    <x v="1"/>
    <x v="6"/>
    <x v="0"/>
    <x v="1"/>
    <x v="1"/>
    <x v="0"/>
    <x v="11"/>
    <n v="0"/>
    <x v="0"/>
  </r>
  <r>
    <x v="30"/>
    <x v="2"/>
    <x v="64"/>
    <x v="0"/>
    <x v="2"/>
    <x v="3"/>
    <x v="6"/>
    <x v="0"/>
    <n v="1650.98668041173"/>
    <x v="0"/>
  </r>
  <r>
    <x v="30"/>
    <x v="2"/>
    <x v="64"/>
    <x v="0"/>
    <x v="2"/>
    <x v="3"/>
    <x v="6"/>
    <x v="1"/>
    <n v="1712.9425210399149"/>
    <x v="0"/>
  </r>
  <r>
    <x v="30"/>
    <x v="2"/>
    <x v="64"/>
    <x v="0"/>
    <x v="2"/>
    <x v="3"/>
    <x v="6"/>
    <x v="2"/>
    <n v="1631.5403870587636"/>
    <x v="0"/>
  </r>
  <r>
    <x v="30"/>
    <x v="2"/>
    <x v="64"/>
    <x v="0"/>
    <x v="2"/>
    <x v="3"/>
    <x v="6"/>
    <x v="3"/>
    <n v="1790.6727682187452"/>
    <x v="0"/>
  </r>
  <r>
    <x v="30"/>
    <x v="2"/>
    <x v="64"/>
    <x v="0"/>
    <x v="2"/>
    <x v="3"/>
    <x v="6"/>
    <x v="4"/>
    <n v="1770.0763699679583"/>
    <x v="0"/>
  </r>
  <r>
    <x v="30"/>
    <x v="2"/>
    <x v="64"/>
    <x v="0"/>
    <x v="2"/>
    <x v="3"/>
    <x v="6"/>
    <x v="5"/>
    <n v="1891.6247606808504"/>
    <x v="0"/>
  </r>
  <r>
    <x v="30"/>
    <x v="2"/>
    <x v="64"/>
    <x v="0"/>
    <x v="2"/>
    <x v="3"/>
    <x v="6"/>
    <x v="6"/>
    <n v="0"/>
    <x v="0"/>
  </r>
  <r>
    <x v="30"/>
    <x v="2"/>
    <x v="64"/>
    <x v="0"/>
    <x v="2"/>
    <x v="3"/>
    <x v="6"/>
    <x v="7"/>
    <n v="1543.1230195828095"/>
    <x v="0"/>
  </r>
  <r>
    <x v="30"/>
    <x v="2"/>
    <x v="64"/>
    <x v="0"/>
    <x v="2"/>
    <x v="3"/>
    <x v="6"/>
    <x v="8"/>
    <n v="0"/>
    <x v="0"/>
  </r>
  <r>
    <x v="30"/>
    <x v="2"/>
    <x v="64"/>
    <x v="0"/>
    <x v="2"/>
    <x v="3"/>
    <x v="6"/>
    <x v="9"/>
    <n v="3303.4087441188917"/>
    <x v="0"/>
  </r>
  <r>
    <x v="30"/>
    <x v="2"/>
    <x v="64"/>
    <x v="0"/>
    <x v="2"/>
    <x v="3"/>
    <x v="6"/>
    <x v="10"/>
    <n v="0"/>
    <x v="0"/>
  </r>
  <r>
    <x v="30"/>
    <x v="2"/>
    <x v="64"/>
    <x v="0"/>
    <x v="2"/>
    <x v="3"/>
    <x v="6"/>
    <x v="11"/>
    <n v="0"/>
    <x v="0"/>
  </r>
  <r>
    <x v="30"/>
    <x v="2"/>
    <x v="65"/>
    <x v="0"/>
    <x v="2"/>
    <x v="3"/>
    <x v="0"/>
    <x v="0"/>
    <n v="0"/>
    <x v="0"/>
  </r>
  <r>
    <x v="30"/>
    <x v="2"/>
    <x v="65"/>
    <x v="0"/>
    <x v="2"/>
    <x v="3"/>
    <x v="0"/>
    <x v="1"/>
    <n v="0"/>
    <x v="0"/>
  </r>
  <r>
    <x v="30"/>
    <x v="2"/>
    <x v="65"/>
    <x v="0"/>
    <x v="2"/>
    <x v="3"/>
    <x v="0"/>
    <x v="2"/>
    <n v="0"/>
    <x v="0"/>
  </r>
  <r>
    <x v="30"/>
    <x v="2"/>
    <x v="65"/>
    <x v="0"/>
    <x v="2"/>
    <x v="3"/>
    <x v="0"/>
    <x v="3"/>
    <n v="0"/>
    <x v="0"/>
  </r>
  <r>
    <x v="30"/>
    <x v="2"/>
    <x v="65"/>
    <x v="0"/>
    <x v="2"/>
    <x v="3"/>
    <x v="0"/>
    <x v="4"/>
    <n v="0"/>
    <x v="0"/>
  </r>
  <r>
    <x v="30"/>
    <x v="2"/>
    <x v="65"/>
    <x v="0"/>
    <x v="2"/>
    <x v="3"/>
    <x v="0"/>
    <x v="5"/>
    <n v="0"/>
    <x v="0"/>
  </r>
  <r>
    <x v="30"/>
    <x v="2"/>
    <x v="65"/>
    <x v="0"/>
    <x v="2"/>
    <x v="3"/>
    <x v="0"/>
    <x v="6"/>
    <n v="0"/>
    <x v="0"/>
  </r>
  <r>
    <x v="30"/>
    <x v="2"/>
    <x v="65"/>
    <x v="0"/>
    <x v="2"/>
    <x v="3"/>
    <x v="0"/>
    <x v="7"/>
    <n v="0"/>
    <x v="0"/>
  </r>
  <r>
    <x v="30"/>
    <x v="2"/>
    <x v="65"/>
    <x v="0"/>
    <x v="2"/>
    <x v="3"/>
    <x v="0"/>
    <x v="8"/>
    <n v="0"/>
    <x v="0"/>
  </r>
  <r>
    <x v="30"/>
    <x v="2"/>
    <x v="65"/>
    <x v="0"/>
    <x v="2"/>
    <x v="3"/>
    <x v="0"/>
    <x v="9"/>
    <n v="4911.296007141872"/>
    <x v="0"/>
  </r>
  <r>
    <x v="30"/>
    <x v="2"/>
    <x v="65"/>
    <x v="0"/>
    <x v="2"/>
    <x v="3"/>
    <x v="0"/>
    <x v="10"/>
    <n v="0"/>
    <x v="0"/>
  </r>
  <r>
    <x v="30"/>
    <x v="2"/>
    <x v="65"/>
    <x v="0"/>
    <x v="2"/>
    <x v="3"/>
    <x v="0"/>
    <x v="11"/>
    <n v="0"/>
    <x v="0"/>
  </r>
  <r>
    <x v="30"/>
    <x v="2"/>
    <x v="66"/>
    <x v="0"/>
    <x v="2"/>
    <x v="3"/>
    <x v="7"/>
    <x v="0"/>
    <n v="0"/>
    <x v="0"/>
  </r>
  <r>
    <x v="30"/>
    <x v="2"/>
    <x v="66"/>
    <x v="0"/>
    <x v="2"/>
    <x v="3"/>
    <x v="7"/>
    <x v="1"/>
    <n v="0"/>
    <x v="0"/>
  </r>
  <r>
    <x v="30"/>
    <x v="2"/>
    <x v="66"/>
    <x v="0"/>
    <x v="2"/>
    <x v="3"/>
    <x v="7"/>
    <x v="2"/>
    <n v="0"/>
    <x v="0"/>
  </r>
  <r>
    <x v="30"/>
    <x v="2"/>
    <x v="66"/>
    <x v="0"/>
    <x v="2"/>
    <x v="3"/>
    <x v="7"/>
    <x v="3"/>
    <n v="0"/>
    <x v="0"/>
  </r>
  <r>
    <x v="30"/>
    <x v="2"/>
    <x v="66"/>
    <x v="0"/>
    <x v="2"/>
    <x v="3"/>
    <x v="7"/>
    <x v="4"/>
    <n v="1367.9965906257648"/>
    <x v="0"/>
  </r>
  <r>
    <x v="30"/>
    <x v="2"/>
    <x v="66"/>
    <x v="0"/>
    <x v="2"/>
    <x v="3"/>
    <x v="7"/>
    <x v="5"/>
    <n v="0"/>
    <x v="0"/>
  </r>
  <r>
    <x v="30"/>
    <x v="2"/>
    <x v="66"/>
    <x v="0"/>
    <x v="2"/>
    <x v="3"/>
    <x v="7"/>
    <x v="6"/>
    <n v="0"/>
    <x v="0"/>
  </r>
  <r>
    <x v="30"/>
    <x v="2"/>
    <x v="66"/>
    <x v="0"/>
    <x v="2"/>
    <x v="3"/>
    <x v="7"/>
    <x v="7"/>
    <n v="0"/>
    <x v="0"/>
  </r>
  <r>
    <x v="30"/>
    <x v="2"/>
    <x v="66"/>
    <x v="0"/>
    <x v="2"/>
    <x v="3"/>
    <x v="7"/>
    <x v="8"/>
    <n v="0"/>
    <x v="0"/>
  </r>
  <r>
    <x v="30"/>
    <x v="2"/>
    <x v="66"/>
    <x v="0"/>
    <x v="2"/>
    <x v="3"/>
    <x v="7"/>
    <x v="9"/>
    <n v="0"/>
    <x v="0"/>
  </r>
  <r>
    <x v="30"/>
    <x v="2"/>
    <x v="66"/>
    <x v="0"/>
    <x v="2"/>
    <x v="3"/>
    <x v="7"/>
    <x v="10"/>
    <n v="0"/>
    <x v="0"/>
  </r>
  <r>
    <x v="30"/>
    <x v="2"/>
    <x v="66"/>
    <x v="0"/>
    <x v="2"/>
    <x v="3"/>
    <x v="7"/>
    <x v="11"/>
    <n v="0"/>
    <x v="0"/>
  </r>
  <r>
    <x v="16"/>
    <x v="2"/>
    <x v="67"/>
    <x v="0"/>
    <x v="2"/>
    <x v="3"/>
    <x v="7"/>
    <x v="0"/>
    <n v="621.23492500952113"/>
    <x v="0"/>
  </r>
  <r>
    <x v="16"/>
    <x v="2"/>
    <x v="67"/>
    <x v="0"/>
    <x v="2"/>
    <x v="3"/>
    <x v="7"/>
    <x v="1"/>
    <n v="28847.599335876643"/>
    <x v="0"/>
  </r>
  <r>
    <x v="16"/>
    <x v="2"/>
    <x v="67"/>
    <x v="0"/>
    <x v="2"/>
    <x v="3"/>
    <x v="7"/>
    <x v="2"/>
    <n v="0"/>
    <x v="0"/>
  </r>
  <r>
    <x v="16"/>
    <x v="2"/>
    <x v="67"/>
    <x v="0"/>
    <x v="2"/>
    <x v="3"/>
    <x v="7"/>
    <x v="3"/>
    <n v="0"/>
    <x v="0"/>
  </r>
  <r>
    <x v="16"/>
    <x v="2"/>
    <x v="67"/>
    <x v="0"/>
    <x v="2"/>
    <x v="3"/>
    <x v="7"/>
    <x v="4"/>
    <n v="0"/>
    <x v="0"/>
  </r>
  <r>
    <x v="16"/>
    <x v="2"/>
    <x v="67"/>
    <x v="0"/>
    <x v="2"/>
    <x v="3"/>
    <x v="7"/>
    <x v="5"/>
    <n v="0"/>
    <x v="0"/>
  </r>
  <r>
    <x v="16"/>
    <x v="2"/>
    <x v="67"/>
    <x v="0"/>
    <x v="2"/>
    <x v="3"/>
    <x v="7"/>
    <x v="6"/>
    <n v="0"/>
    <x v="0"/>
  </r>
  <r>
    <x v="16"/>
    <x v="2"/>
    <x v="67"/>
    <x v="0"/>
    <x v="2"/>
    <x v="3"/>
    <x v="7"/>
    <x v="7"/>
    <n v="0"/>
    <x v="0"/>
  </r>
  <r>
    <x v="16"/>
    <x v="2"/>
    <x v="67"/>
    <x v="0"/>
    <x v="2"/>
    <x v="3"/>
    <x v="7"/>
    <x v="8"/>
    <n v="0"/>
    <x v="0"/>
  </r>
  <r>
    <x v="16"/>
    <x v="2"/>
    <x v="67"/>
    <x v="0"/>
    <x v="2"/>
    <x v="3"/>
    <x v="7"/>
    <x v="9"/>
    <n v="0"/>
    <x v="0"/>
  </r>
  <r>
    <x v="16"/>
    <x v="2"/>
    <x v="67"/>
    <x v="0"/>
    <x v="2"/>
    <x v="3"/>
    <x v="7"/>
    <x v="10"/>
    <n v="0"/>
    <x v="0"/>
  </r>
  <r>
    <x v="16"/>
    <x v="2"/>
    <x v="67"/>
    <x v="0"/>
    <x v="2"/>
    <x v="3"/>
    <x v="7"/>
    <x v="11"/>
    <n v="0"/>
    <x v="0"/>
  </r>
  <r>
    <x v="40"/>
    <x v="0"/>
    <x v="41"/>
    <x v="0"/>
    <x v="0"/>
    <x v="0"/>
    <x v="0"/>
    <x v="0"/>
    <n v="0"/>
    <x v="0"/>
  </r>
  <r>
    <x v="40"/>
    <x v="0"/>
    <x v="41"/>
    <x v="0"/>
    <x v="0"/>
    <x v="0"/>
    <x v="0"/>
    <x v="1"/>
    <n v="0"/>
    <x v="0"/>
  </r>
  <r>
    <x v="40"/>
    <x v="0"/>
    <x v="41"/>
    <x v="0"/>
    <x v="0"/>
    <x v="0"/>
    <x v="0"/>
    <x v="2"/>
    <n v="0"/>
    <x v="0"/>
  </r>
  <r>
    <x v="40"/>
    <x v="0"/>
    <x v="41"/>
    <x v="0"/>
    <x v="0"/>
    <x v="0"/>
    <x v="0"/>
    <x v="3"/>
    <n v="0"/>
    <x v="0"/>
  </r>
  <r>
    <x v="40"/>
    <x v="0"/>
    <x v="41"/>
    <x v="0"/>
    <x v="0"/>
    <x v="0"/>
    <x v="0"/>
    <x v="4"/>
    <n v="502.19372989610497"/>
    <x v="0"/>
  </r>
  <r>
    <x v="40"/>
    <x v="0"/>
    <x v="41"/>
    <x v="0"/>
    <x v="0"/>
    <x v="0"/>
    <x v="0"/>
    <x v="5"/>
    <n v="0"/>
    <x v="0"/>
  </r>
  <r>
    <x v="40"/>
    <x v="0"/>
    <x v="41"/>
    <x v="0"/>
    <x v="0"/>
    <x v="0"/>
    <x v="0"/>
    <x v="6"/>
    <n v="0"/>
    <x v="0"/>
  </r>
  <r>
    <x v="40"/>
    <x v="0"/>
    <x v="41"/>
    <x v="0"/>
    <x v="0"/>
    <x v="0"/>
    <x v="0"/>
    <x v="7"/>
    <n v="0"/>
    <x v="0"/>
  </r>
  <r>
    <x v="40"/>
    <x v="0"/>
    <x v="41"/>
    <x v="0"/>
    <x v="0"/>
    <x v="0"/>
    <x v="0"/>
    <x v="8"/>
    <n v="0"/>
    <x v="0"/>
  </r>
  <r>
    <x v="40"/>
    <x v="0"/>
    <x v="41"/>
    <x v="0"/>
    <x v="0"/>
    <x v="0"/>
    <x v="0"/>
    <x v="9"/>
    <n v="0"/>
    <x v="0"/>
  </r>
  <r>
    <x v="40"/>
    <x v="0"/>
    <x v="41"/>
    <x v="0"/>
    <x v="0"/>
    <x v="0"/>
    <x v="0"/>
    <x v="10"/>
    <n v="0"/>
    <x v="0"/>
  </r>
  <r>
    <x v="40"/>
    <x v="0"/>
    <x v="41"/>
    <x v="0"/>
    <x v="0"/>
    <x v="0"/>
    <x v="0"/>
    <x v="11"/>
    <n v="0"/>
    <x v="0"/>
  </r>
  <r>
    <x v="30"/>
    <x v="2"/>
    <x v="68"/>
    <x v="0"/>
    <x v="2"/>
    <x v="3"/>
    <x v="8"/>
    <x v="0"/>
    <n v="0"/>
    <x v="0"/>
  </r>
  <r>
    <x v="30"/>
    <x v="2"/>
    <x v="68"/>
    <x v="0"/>
    <x v="2"/>
    <x v="3"/>
    <x v="8"/>
    <x v="1"/>
    <n v="0"/>
    <x v="0"/>
  </r>
  <r>
    <x v="30"/>
    <x v="2"/>
    <x v="68"/>
    <x v="0"/>
    <x v="2"/>
    <x v="3"/>
    <x v="8"/>
    <x v="2"/>
    <n v="0"/>
    <x v="0"/>
  </r>
  <r>
    <x v="30"/>
    <x v="2"/>
    <x v="68"/>
    <x v="0"/>
    <x v="2"/>
    <x v="3"/>
    <x v="8"/>
    <x v="3"/>
    <n v="0"/>
    <x v="0"/>
  </r>
  <r>
    <x v="30"/>
    <x v="2"/>
    <x v="68"/>
    <x v="0"/>
    <x v="2"/>
    <x v="3"/>
    <x v="8"/>
    <x v="4"/>
    <n v="0"/>
    <x v="0"/>
  </r>
  <r>
    <x v="30"/>
    <x v="2"/>
    <x v="68"/>
    <x v="0"/>
    <x v="2"/>
    <x v="3"/>
    <x v="8"/>
    <x v="5"/>
    <n v="0"/>
    <x v="0"/>
  </r>
  <r>
    <x v="30"/>
    <x v="2"/>
    <x v="68"/>
    <x v="0"/>
    <x v="2"/>
    <x v="3"/>
    <x v="8"/>
    <x v="6"/>
    <n v="0"/>
    <x v="0"/>
  </r>
  <r>
    <x v="30"/>
    <x v="2"/>
    <x v="68"/>
    <x v="0"/>
    <x v="2"/>
    <x v="3"/>
    <x v="8"/>
    <x v="7"/>
    <n v="0"/>
    <x v="0"/>
  </r>
  <r>
    <x v="30"/>
    <x v="2"/>
    <x v="68"/>
    <x v="0"/>
    <x v="2"/>
    <x v="3"/>
    <x v="8"/>
    <x v="8"/>
    <n v="0"/>
    <x v="0"/>
  </r>
  <r>
    <x v="30"/>
    <x v="2"/>
    <x v="68"/>
    <x v="0"/>
    <x v="2"/>
    <x v="3"/>
    <x v="8"/>
    <x v="9"/>
    <n v="9869.4923048147211"/>
    <x v="0"/>
  </r>
  <r>
    <x v="30"/>
    <x v="2"/>
    <x v="68"/>
    <x v="0"/>
    <x v="2"/>
    <x v="3"/>
    <x v="8"/>
    <x v="10"/>
    <n v="0"/>
    <x v="0"/>
  </r>
  <r>
    <x v="30"/>
    <x v="2"/>
    <x v="68"/>
    <x v="0"/>
    <x v="2"/>
    <x v="3"/>
    <x v="8"/>
    <x v="11"/>
    <n v="0"/>
    <x v="0"/>
  </r>
  <r>
    <x v="30"/>
    <x v="2"/>
    <x v="69"/>
    <x v="2"/>
    <x v="2"/>
    <x v="3"/>
    <x v="0"/>
    <x v="0"/>
    <n v="0"/>
    <x v="0"/>
  </r>
  <r>
    <x v="30"/>
    <x v="2"/>
    <x v="69"/>
    <x v="2"/>
    <x v="2"/>
    <x v="3"/>
    <x v="0"/>
    <x v="1"/>
    <n v="0"/>
    <x v="0"/>
  </r>
  <r>
    <x v="30"/>
    <x v="2"/>
    <x v="69"/>
    <x v="2"/>
    <x v="2"/>
    <x v="3"/>
    <x v="0"/>
    <x v="2"/>
    <n v="0"/>
    <x v="0"/>
  </r>
  <r>
    <x v="30"/>
    <x v="2"/>
    <x v="69"/>
    <x v="2"/>
    <x v="2"/>
    <x v="3"/>
    <x v="0"/>
    <x v="3"/>
    <n v="0"/>
    <x v="0"/>
  </r>
  <r>
    <x v="30"/>
    <x v="2"/>
    <x v="69"/>
    <x v="2"/>
    <x v="2"/>
    <x v="3"/>
    <x v="0"/>
    <x v="4"/>
    <n v="0"/>
    <x v="0"/>
  </r>
  <r>
    <x v="30"/>
    <x v="2"/>
    <x v="69"/>
    <x v="2"/>
    <x v="2"/>
    <x v="3"/>
    <x v="0"/>
    <x v="5"/>
    <n v="0"/>
    <x v="0"/>
  </r>
  <r>
    <x v="30"/>
    <x v="2"/>
    <x v="69"/>
    <x v="2"/>
    <x v="2"/>
    <x v="3"/>
    <x v="0"/>
    <x v="6"/>
    <n v="0"/>
    <x v="0"/>
  </r>
  <r>
    <x v="30"/>
    <x v="2"/>
    <x v="69"/>
    <x v="2"/>
    <x v="2"/>
    <x v="3"/>
    <x v="0"/>
    <x v="7"/>
    <n v="0"/>
    <x v="0"/>
  </r>
  <r>
    <x v="30"/>
    <x v="2"/>
    <x v="69"/>
    <x v="2"/>
    <x v="2"/>
    <x v="3"/>
    <x v="0"/>
    <x v="8"/>
    <n v="0"/>
    <x v="0"/>
  </r>
  <r>
    <x v="30"/>
    <x v="2"/>
    <x v="69"/>
    <x v="2"/>
    <x v="2"/>
    <x v="3"/>
    <x v="0"/>
    <x v="9"/>
    <n v="15038.632693979127"/>
    <x v="0"/>
  </r>
  <r>
    <x v="30"/>
    <x v="2"/>
    <x v="69"/>
    <x v="2"/>
    <x v="2"/>
    <x v="3"/>
    <x v="0"/>
    <x v="10"/>
    <n v="0"/>
    <x v="0"/>
  </r>
  <r>
    <x v="30"/>
    <x v="2"/>
    <x v="69"/>
    <x v="2"/>
    <x v="2"/>
    <x v="3"/>
    <x v="0"/>
    <x v="11"/>
    <n v="0"/>
    <x v="0"/>
  </r>
  <r>
    <x v="30"/>
    <x v="2"/>
    <x v="70"/>
    <x v="0"/>
    <x v="2"/>
    <x v="3"/>
    <x v="5"/>
    <x v="0"/>
    <n v="0"/>
    <x v="0"/>
  </r>
  <r>
    <x v="30"/>
    <x v="2"/>
    <x v="70"/>
    <x v="0"/>
    <x v="2"/>
    <x v="3"/>
    <x v="5"/>
    <x v="1"/>
    <n v="0"/>
    <x v="0"/>
  </r>
  <r>
    <x v="30"/>
    <x v="2"/>
    <x v="70"/>
    <x v="0"/>
    <x v="2"/>
    <x v="3"/>
    <x v="5"/>
    <x v="2"/>
    <n v="0"/>
    <x v="0"/>
  </r>
  <r>
    <x v="30"/>
    <x v="2"/>
    <x v="70"/>
    <x v="0"/>
    <x v="2"/>
    <x v="3"/>
    <x v="5"/>
    <x v="3"/>
    <n v="0"/>
    <x v="0"/>
  </r>
  <r>
    <x v="30"/>
    <x v="2"/>
    <x v="70"/>
    <x v="0"/>
    <x v="2"/>
    <x v="3"/>
    <x v="5"/>
    <x v="4"/>
    <n v="0"/>
    <x v="0"/>
  </r>
  <r>
    <x v="30"/>
    <x v="2"/>
    <x v="70"/>
    <x v="0"/>
    <x v="2"/>
    <x v="3"/>
    <x v="5"/>
    <x v="5"/>
    <n v="0"/>
    <x v="0"/>
  </r>
  <r>
    <x v="30"/>
    <x v="2"/>
    <x v="70"/>
    <x v="0"/>
    <x v="2"/>
    <x v="3"/>
    <x v="5"/>
    <x v="6"/>
    <n v="0"/>
    <x v="0"/>
  </r>
  <r>
    <x v="30"/>
    <x v="2"/>
    <x v="70"/>
    <x v="0"/>
    <x v="2"/>
    <x v="3"/>
    <x v="5"/>
    <x v="7"/>
    <n v="0"/>
    <x v="0"/>
  </r>
  <r>
    <x v="30"/>
    <x v="2"/>
    <x v="70"/>
    <x v="0"/>
    <x v="2"/>
    <x v="3"/>
    <x v="5"/>
    <x v="8"/>
    <n v="0"/>
    <x v="0"/>
  </r>
  <r>
    <x v="30"/>
    <x v="2"/>
    <x v="70"/>
    <x v="0"/>
    <x v="2"/>
    <x v="3"/>
    <x v="5"/>
    <x v="9"/>
    <n v="927.27262992810995"/>
    <x v="0"/>
  </r>
  <r>
    <x v="30"/>
    <x v="2"/>
    <x v="70"/>
    <x v="0"/>
    <x v="2"/>
    <x v="3"/>
    <x v="5"/>
    <x v="10"/>
    <n v="0"/>
    <x v="0"/>
  </r>
  <r>
    <x v="30"/>
    <x v="2"/>
    <x v="70"/>
    <x v="0"/>
    <x v="2"/>
    <x v="3"/>
    <x v="5"/>
    <x v="11"/>
    <n v="0"/>
    <x v="0"/>
  </r>
  <r>
    <x v="30"/>
    <x v="2"/>
    <x v="71"/>
    <x v="0"/>
    <x v="2"/>
    <x v="3"/>
    <x v="9"/>
    <x v="0"/>
    <n v="0"/>
    <x v="0"/>
  </r>
  <r>
    <x v="30"/>
    <x v="2"/>
    <x v="71"/>
    <x v="0"/>
    <x v="2"/>
    <x v="3"/>
    <x v="9"/>
    <x v="1"/>
    <n v="0"/>
    <x v="0"/>
  </r>
  <r>
    <x v="30"/>
    <x v="2"/>
    <x v="71"/>
    <x v="0"/>
    <x v="2"/>
    <x v="3"/>
    <x v="9"/>
    <x v="2"/>
    <n v="0"/>
    <x v="0"/>
  </r>
  <r>
    <x v="30"/>
    <x v="2"/>
    <x v="71"/>
    <x v="0"/>
    <x v="2"/>
    <x v="3"/>
    <x v="9"/>
    <x v="3"/>
    <n v="0"/>
    <x v="0"/>
  </r>
  <r>
    <x v="30"/>
    <x v="2"/>
    <x v="71"/>
    <x v="0"/>
    <x v="2"/>
    <x v="3"/>
    <x v="9"/>
    <x v="4"/>
    <n v="0"/>
    <x v="0"/>
  </r>
  <r>
    <x v="30"/>
    <x v="2"/>
    <x v="71"/>
    <x v="0"/>
    <x v="2"/>
    <x v="3"/>
    <x v="9"/>
    <x v="5"/>
    <n v="0"/>
    <x v="0"/>
  </r>
  <r>
    <x v="30"/>
    <x v="2"/>
    <x v="71"/>
    <x v="0"/>
    <x v="2"/>
    <x v="3"/>
    <x v="9"/>
    <x v="6"/>
    <n v="0"/>
    <x v="0"/>
  </r>
  <r>
    <x v="30"/>
    <x v="2"/>
    <x v="71"/>
    <x v="0"/>
    <x v="2"/>
    <x v="3"/>
    <x v="9"/>
    <x v="7"/>
    <n v="0"/>
    <x v="0"/>
  </r>
  <r>
    <x v="30"/>
    <x v="2"/>
    <x v="71"/>
    <x v="0"/>
    <x v="2"/>
    <x v="3"/>
    <x v="9"/>
    <x v="8"/>
    <n v="0"/>
    <x v="0"/>
  </r>
  <r>
    <x v="30"/>
    <x v="2"/>
    <x v="71"/>
    <x v="0"/>
    <x v="2"/>
    <x v="3"/>
    <x v="9"/>
    <x v="9"/>
    <n v="21999.543145044408"/>
    <x v="0"/>
  </r>
  <r>
    <x v="30"/>
    <x v="2"/>
    <x v="71"/>
    <x v="0"/>
    <x v="2"/>
    <x v="3"/>
    <x v="9"/>
    <x v="10"/>
    <n v="0"/>
    <x v="0"/>
  </r>
  <r>
    <x v="30"/>
    <x v="2"/>
    <x v="71"/>
    <x v="0"/>
    <x v="2"/>
    <x v="3"/>
    <x v="9"/>
    <x v="11"/>
    <n v="0"/>
    <x v="0"/>
  </r>
  <r>
    <x v="30"/>
    <x v="2"/>
    <x v="72"/>
    <x v="0"/>
    <x v="2"/>
    <x v="3"/>
    <x v="9"/>
    <x v="0"/>
    <n v="11892.874859576419"/>
    <x v="0"/>
  </r>
  <r>
    <x v="30"/>
    <x v="2"/>
    <x v="72"/>
    <x v="0"/>
    <x v="2"/>
    <x v="3"/>
    <x v="9"/>
    <x v="1"/>
    <n v="16400.786845630206"/>
    <x v="0"/>
  </r>
  <r>
    <x v="30"/>
    <x v="2"/>
    <x v="72"/>
    <x v="0"/>
    <x v="2"/>
    <x v="3"/>
    <x v="9"/>
    <x v="2"/>
    <n v="0"/>
    <x v="0"/>
  </r>
  <r>
    <x v="30"/>
    <x v="2"/>
    <x v="72"/>
    <x v="0"/>
    <x v="2"/>
    <x v="3"/>
    <x v="9"/>
    <x v="3"/>
    <n v="0"/>
    <x v="0"/>
  </r>
  <r>
    <x v="30"/>
    <x v="2"/>
    <x v="72"/>
    <x v="0"/>
    <x v="2"/>
    <x v="3"/>
    <x v="9"/>
    <x v="4"/>
    <n v="16135.033219404597"/>
    <x v="0"/>
  </r>
  <r>
    <x v="30"/>
    <x v="2"/>
    <x v="72"/>
    <x v="0"/>
    <x v="2"/>
    <x v="3"/>
    <x v="9"/>
    <x v="5"/>
    <n v="0"/>
    <x v="0"/>
  </r>
  <r>
    <x v="30"/>
    <x v="2"/>
    <x v="72"/>
    <x v="0"/>
    <x v="2"/>
    <x v="3"/>
    <x v="9"/>
    <x v="6"/>
    <n v="16383.136550469861"/>
    <x v="0"/>
  </r>
  <r>
    <x v="30"/>
    <x v="2"/>
    <x v="72"/>
    <x v="0"/>
    <x v="2"/>
    <x v="3"/>
    <x v="9"/>
    <x v="7"/>
    <n v="0"/>
    <x v="0"/>
  </r>
  <r>
    <x v="30"/>
    <x v="2"/>
    <x v="72"/>
    <x v="0"/>
    <x v="2"/>
    <x v="3"/>
    <x v="9"/>
    <x v="8"/>
    <n v="0"/>
    <x v="0"/>
  </r>
  <r>
    <x v="30"/>
    <x v="2"/>
    <x v="72"/>
    <x v="0"/>
    <x v="2"/>
    <x v="3"/>
    <x v="9"/>
    <x v="9"/>
    <n v="0"/>
    <x v="0"/>
  </r>
  <r>
    <x v="30"/>
    <x v="2"/>
    <x v="72"/>
    <x v="0"/>
    <x v="2"/>
    <x v="3"/>
    <x v="9"/>
    <x v="10"/>
    <n v="0"/>
    <x v="0"/>
  </r>
  <r>
    <x v="30"/>
    <x v="2"/>
    <x v="72"/>
    <x v="0"/>
    <x v="2"/>
    <x v="3"/>
    <x v="9"/>
    <x v="11"/>
    <n v="0"/>
    <x v="0"/>
  </r>
  <r>
    <x v="30"/>
    <x v="2"/>
    <x v="73"/>
    <x v="0"/>
    <x v="2"/>
    <x v="3"/>
    <x v="9"/>
    <x v="0"/>
    <n v="0"/>
    <x v="0"/>
  </r>
  <r>
    <x v="30"/>
    <x v="2"/>
    <x v="73"/>
    <x v="0"/>
    <x v="2"/>
    <x v="3"/>
    <x v="9"/>
    <x v="1"/>
    <n v="0"/>
    <x v="0"/>
  </r>
  <r>
    <x v="30"/>
    <x v="2"/>
    <x v="73"/>
    <x v="0"/>
    <x v="2"/>
    <x v="3"/>
    <x v="9"/>
    <x v="2"/>
    <n v="0"/>
    <x v="0"/>
  </r>
  <r>
    <x v="30"/>
    <x v="2"/>
    <x v="73"/>
    <x v="0"/>
    <x v="2"/>
    <x v="3"/>
    <x v="9"/>
    <x v="3"/>
    <n v="0"/>
    <x v="0"/>
  </r>
  <r>
    <x v="30"/>
    <x v="2"/>
    <x v="73"/>
    <x v="0"/>
    <x v="2"/>
    <x v="3"/>
    <x v="9"/>
    <x v="4"/>
    <n v="0"/>
    <x v="0"/>
  </r>
  <r>
    <x v="30"/>
    <x v="2"/>
    <x v="73"/>
    <x v="0"/>
    <x v="2"/>
    <x v="3"/>
    <x v="9"/>
    <x v="5"/>
    <n v="0"/>
    <x v="0"/>
  </r>
  <r>
    <x v="30"/>
    <x v="2"/>
    <x v="73"/>
    <x v="0"/>
    <x v="2"/>
    <x v="3"/>
    <x v="9"/>
    <x v="6"/>
    <n v="0"/>
    <x v="0"/>
  </r>
  <r>
    <x v="30"/>
    <x v="2"/>
    <x v="73"/>
    <x v="0"/>
    <x v="2"/>
    <x v="3"/>
    <x v="9"/>
    <x v="7"/>
    <n v="8607.705068641837"/>
    <x v="0"/>
  </r>
  <r>
    <x v="30"/>
    <x v="2"/>
    <x v="73"/>
    <x v="0"/>
    <x v="2"/>
    <x v="3"/>
    <x v="9"/>
    <x v="8"/>
    <n v="0"/>
    <x v="0"/>
  </r>
  <r>
    <x v="30"/>
    <x v="2"/>
    <x v="73"/>
    <x v="0"/>
    <x v="2"/>
    <x v="3"/>
    <x v="9"/>
    <x v="9"/>
    <n v="0"/>
    <x v="0"/>
  </r>
  <r>
    <x v="30"/>
    <x v="2"/>
    <x v="73"/>
    <x v="0"/>
    <x v="2"/>
    <x v="3"/>
    <x v="9"/>
    <x v="10"/>
    <n v="0"/>
    <x v="0"/>
  </r>
  <r>
    <x v="30"/>
    <x v="2"/>
    <x v="73"/>
    <x v="0"/>
    <x v="2"/>
    <x v="3"/>
    <x v="9"/>
    <x v="11"/>
    <n v="0"/>
    <x v="0"/>
  </r>
  <r>
    <x v="30"/>
    <x v="2"/>
    <x v="74"/>
    <x v="0"/>
    <x v="2"/>
    <x v="3"/>
    <x v="0"/>
    <x v="0"/>
    <n v="0"/>
    <x v="0"/>
  </r>
  <r>
    <x v="30"/>
    <x v="2"/>
    <x v="74"/>
    <x v="0"/>
    <x v="2"/>
    <x v="3"/>
    <x v="0"/>
    <x v="1"/>
    <n v="0"/>
    <x v="0"/>
  </r>
  <r>
    <x v="30"/>
    <x v="2"/>
    <x v="74"/>
    <x v="0"/>
    <x v="2"/>
    <x v="3"/>
    <x v="0"/>
    <x v="2"/>
    <n v="0"/>
    <x v="0"/>
  </r>
  <r>
    <x v="30"/>
    <x v="2"/>
    <x v="74"/>
    <x v="0"/>
    <x v="2"/>
    <x v="3"/>
    <x v="0"/>
    <x v="3"/>
    <n v="0"/>
    <x v="0"/>
  </r>
  <r>
    <x v="30"/>
    <x v="2"/>
    <x v="74"/>
    <x v="0"/>
    <x v="2"/>
    <x v="3"/>
    <x v="0"/>
    <x v="4"/>
    <n v="0"/>
    <x v="0"/>
  </r>
  <r>
    <x v="30"/>
    <x v="2"/>
    <x v="74"/>
    <x v="0"/>
    <x v="2"/>
    <x v="3"/>
    <x v="0"/>
    <x v="5"/>
    <n v="0"/>
    <x v="0"/>
  </r>
  <r>
    <x v="30"/>
    <x v="2"/>
    <x v="74"/>
    <x v="0"/>
    <x v="2"/>
    <x v="3"/>
    <x v="0"/>
    <x v="6"/>
    <n v="0"/>
    <x v="0"/>
  </r>
  <r>
    <x v="30"/>
    <x v="2"/>
    <x v="74"/>
    <x v="0"/>
    <x v="2"/>
    <x v="3"/>
    <x v="0"/>
    <x v="7"/>
    <n v="0"/>
    <x v="0"/>
  </r>
  <r>
    <x v="30"/>
    <x v="2"/>
    <x v="74"/>
    <x v="0"/>
    <x v="2"/>
    <x v="3"/>
    <x v="0"/>
    <x v="8"/>
    <n v="0"/>
    <x v="0"/>
  </r>
  <r>
    <x v="30"/>
    <x v="2"/>
    <x v="74"/>
    <x v="0"/>
    <x v="2"/>
    <x v="3"/>
    <x v="0"/>
    <x v="9"/>
    <n v="0"/>
    <x v="0"/>
  </r>
  <r>
    <x v="30"/>
    <x v="2"/>
    <x v="74"/>
    <x v="0"/>
    <x v="2"/>
    <x v="3"/>
    <x v="0"/>
    <x v="10"/>
    <n v="0"/>
    <x v="0"/>
  </r>
  <r>
    <x v="30"/>
    <x v="2"/>
    <x v="74"/>
    <x v="0"/>
    <x v="2"/>
    <x v="3"/>
    <x v="0"/>
    <x v="11"/>
    <n v="0"/>
    <x v="0"/>
  </r>
  <r>
    <x v="30"/>
    <x v="2"/>
    <x v="75"/>
    <x v="0"/>
    <x v="2"/>
    <x v="3"/>
    <x v="6"/>
    <x v="0"/>
    <n v="0"/>
    <x v="0"/>
  </r>
  <r>
    <x v="30"/>
    <x v="2"/>
    <x v="75"/>
    <x v="0"/>
    <x v="2"/>
    <x v="3"/>
    <x v="6"/>
    <x v="1"/>
    <n v="0"/>
    <x v="0"/>
  </r>
  <r>
    <x v="30"/>
    <x v="2"/>
    <x v="75"/>
    <x v="0"/>
    <x v="2"/>
    <x v="3"/>
    <x v="6"/>
    <x v="2"/>
    <n v="1745.8200464447523"/>
    <x v="0"/>
  </r>
  <r>
    <x v="30"/>
    <x v="2"/>
    <x v="75"/>
    <x v="0"/>
    <x v="2"/>
    <x v="3"/>
    <x v="6"/>
    <x v="3"/>
    <n v="0"/>
    <x v="0"/>
  </r>
  <r>
    <x v="30"/>
    <x v="2"/>
    <x v="75"/>
    <x v="0"/>
    <x v="2"/>
    <x v="3"/>
    <x v="6"/>
    <x v="4"/>
    <n v="0"/>
    <x v="0"/>
  </r>
  <r>
    <x v="30"/>
    <x v="2"/>
    <x v="75"/>
    <x v="0"/>
    <x v="2"/>
    <x v="3"/>
    <x v="6"/>
    <x v="5"/>
    <n v="0"/>
    <x v="0"/>
  </r>
  <r>
    <x v="30"/>
    <x v="2"/>
    <x v="75"/>
    <x v="0"/>
    <x v="2"/>
    <x v="3"/>
    <x v="6"/>
    <x v="6"/>
    <n v="0"/>
    <x v="0"/>
  </r>
  <r>
    <x v="30"/>
    <x v="2"/>
    <x v="75"/>
    <x v="0"/>
    <x v="2"/>
    <x v="3"/>
    <x v="6"/>
    <x v="7"/>
    <n v="431.96369687448856"/>
    <x v="0"/>
  </r>
  <r>
    <x v="30"/>
    <x v="2"/>
    <x v="75"/>
    <x v="0"/>
    <x v="2"/>
    <x v="3"/>
    <x v="6"/>
    <x v="8"/>
    <n v="0"/>
    <x v="0"/>
  </r>
  <r>
    <x v="30"/>
    <x v="2"/>
    <x v="75"/>
    <x v="0"/>
    <x v="2"/>
    <x v="3"/>
    <x v="6"/>
    <x v="9"/>
    <n v="0"/>
    <x v="0"/>
  </r>
  <r>
    <x v="30"/>
    <x v="2"/>
    <x v="75"/>
    <x v="0"/>
    <x v="2"/>
    <x v="3"/>
    <x v="6"/>
    <x v="10"/>
    <n v="0"/>
    <x v="0"/>
  </r>
  <r>
    <x v="30"/>
    <x v="2"/>
    <x v="75"/>
    <x v="0"/>
    <x v="2"/>
    <x v="3"/>
    <x v="6"/>
    <x v="11"/>
    <n v="0"/>
    <x v="0"/>
  </r>
  <r>
    <x v="30"/>
    <x v="1"/>
    <x v="76"/>
    <x v="1"/>
    <x v="2"/>
    <x v="3"/>
    <x v="0"/>
    <x v="0"/>
    <n v="5504.2298195881522"/>
    <x v="0"/>
  </r>
  <r>
    <x v="30"/>
    <x v="1"/>
    <x v="76"/>
    <x v="1"/>
    <x v="2"/>
    <x v="3"/>
    <x v="0"/>
    <x v="1"/>
    <n v="3751.6137215698409"/>
    <x v="0"/>
  </r>
  <r>
    <x v="30"/>
    <x v="1"/>
    <x v="76"/>
    <x v="1"/>
    <x v="2"/>
    <x v="3"/>
    <x v="0"/>
    <x v="2"/>
    <n v="3289.5455960039103"/>
    <x v="0"/>
  </r>
  <r>
    <x v="30"/>
    <x v="1"/>
    <x v="76"/>
    <x v="1"/>
    <x v="2"/>
    <x v="3"/>
    <x v="0"/>
    <x v="3"/>
    <n v="0"/>
    <x v="0"/>
  </r>
  <r>
    <x v="30"/>
    <x v="1"/>
    <x v="76"/>
    <x v="1"/>
    <x v="2"/>
    <x v="3"/>
    <x v="0"/>
    <x v="4"/>
    <n v="0"/>
    <x v="0"/>
  </r>
  <r>
    <x v="30"/>
    <x v="1"/>
    <x v="76"/>
    <x v="1"/>
    <x v="2"/>
    <x v="3"/>
    <x v="0"/>
    <x v="5"/>
    <n v="0"/>
    <x v="0"/>
  </r>
  <r>
    <x v="30"/>
    <x v="1"/>
    <x v="76"/>
    <x v="1"/>
    <x v="2"/>
    <x v="3"/>
    <x v="0"/>
    <x v="6"/>
    <n v="0"/>
    <x v="0"/>
  </r>
  <r>
    <x v="30"/>
    <x v="1"/>
    <x v="76"/>
    <x v="1"/>
    <x v="2"/>
    <x v="3"/>
    <x v="0"/>
    <x v="7"/>
    <n v="0"/>
    <x v="0"/>
  </r>
  <r>
    <x v="30"/>
    <x v="1"/>
    <x v="76"/>
    <x v="1"/>
    <x v="2"/>
    <x v="3"/>
    <x v="0"/>
    <x v="8"/>
    <n v="0"/>
    <x v="0"/>
  </r>
  <r>
    <x v="30"/>
    <x v="1"/>
    <x v="76"/>
    <x v="1"/>
    <x v="2"/>
    <x v="3"/>
    <x v="0"/>
    <x v="9"/>
    <n v="0"/>
    <x v="0"/>
  </r>
  <r>
    <x v="30"/>
    <x v="1"/>
    <x v="76"/>
    <x v="1"/>
    <x v="2"/>
    <x v="3"/>
    <x v="0"/>
    <x v="10"/>
    <n v="0"/>
    <x v="0"/>
  </r>
  <r>
    <x v="30"/>
    <x v="1"/>
    <x v="76"/>
    <x v="1"/>
    <x v="2"/>
    <x v="3"/>
    <x v="0"/>
    <x v="11"/>
    <n v="0"/>
    <x v="0"/>
  </r>
  <r>
    <x v="30"/>
    <x v="2"/>
    <x v="77"/>
    <x v="0"/>
    <x v="2"/>
    <x v="3"/>
    <x v="4"/>
    <x v="0"/>
    <n v="0"/>
    <x v="0"/>
  </r>
  <r>
    <x v="30"/>
    <x v="2"/>
    <x v="77"/>
    <x v="0"/>
    <x v="2"/>
    <x v="3"/>
    <x v="4"/>
    <x v="1"/>
    <n v="5071.0392437953096"/>
    <x v="0"/>
  </r>
  <r>
    <x v="30"/>
    <x v="2"/>
    <x v="77"/>
    <x v="0"/>
    <x v="2"/>
    <x v="3"/>
    <x v="4"/>
    <x v="2"/>
    <n v="4760.9105603387461"/>
    <x v="0"/>
  </r>
  <r>
    <x v="30"/>
    <x v="2"/>
    <x v="77"/>
    <x v="0"/>
    <x v="2"/>
    <x v="3"/>
    <x v="4"/>
    <x v="3"/>
    <n v="0"/>
    <x v="0"/>
  </r>
  <r>
    <x v="30"/>
    <x v="2"/>
    <x v="77"/>
    <x v="0"/>
    <x v="2"/>
    <x v="3"/>
    <x v="4"/>
    <x v="4"/>
    <n v="0"/>
    <x v="0"/>
  </r>
  <r>
    <x v="30"/>
    <x v="2"/>
    <x v="77"/>
    <x v="0"/>
    <x v="2"/>
    <x v="3"/>
    <x v="4"/>
    <x v="5"/>
    <n v="0"/>
    <x v="0"/>
  </r>
  <r>
    <x v="30"/>
    <x v="2"/>
    <x v="77"/>
    <x v="0"/>
    <x v="2"/>
    <x v="3"/>
    <x v="4"/>
    <x v="6"/>
    <n v="0"/>
    <x v="0"/>
  </r>
  <r>
    <x v="30"/>
    <x v="2"/>
    <x v="77"/>
    <x v="0"/>
    <x v="2"/>
    <x v="3"/>
    <x v="4"/>
    <x v="7"/>
    <n v="0"/>
    <x v="0"/>
  </r>
  <r>
    <x v="30"/>
    <x v="2"/>
    <x v="77"/>
    <x v="0"/>
    <x v="2"/>
    <x v="3"/>
    <x v="4"/>
    <x v="8"/>
    <n v="0"/>
    <x v="0"/>
  </r>
  <r>
    <x v="30"/>
    <x v="2"/>
    <x v="77"/>
    <x v="0"/>
    <x v="2"/>
    <x v="3"/>
    <x v="4"/>
    <x v="9"/>
    <n v="0"/>
    <x v="0"/>
  </r>
  <r>
    <x v="30"/>
    <x v="2"/>
    <x v="77"/>
    <x v="0"/>
    <x v="2"/>
    <x v="3"/>
    <x v="4"/>
    <x v="10"/>
    <n v="0"/>
    <x v="0"/>
  </r>
  <r>
    <x v="30"/>
    <x v="2"/>
    <x v="77"/>
    <x v="0"/>
    <x v="2"/>
    <x v="3"/>
    <x v="4"/>
    <x v="11"/>
    <n v="0"/>
    <x v="0"/>
  </r>
  <r>
    <x v="30"/>
    <x v="2"/>
    <x v="78"/>
    <x v="0"/>
    <x v="2"/>
    <x v="3"/>
    <x v="10"/>
    <x v="0"/>
    <n v="0"/>
    <x v="0"/>
  </r>
  <r>
    <x v="30"/>
    <x v="2"/>
    <x v="78"/>
    <x v="0"/>
    <x v="2"/>
    <x v="3"/>
    <x v="10"/>
    <x v="1"/>
    <n v="0"/>
    <x v="0"/>
  </r>
  <r>
    <x v="30"/>
    <x v="2"/>
    <x v="78"/>
    <x v="0"/>
    <x v="2"/>
    <x v="3"/>
    <x v="10"/>
    <x v="2"/>
    <n v="8620.8892590947253"/>
    <x v="0"/>
  </r>
  <r>
    <x v="30"/>
    <x v="2"/>
    <x v="78"/>
    <x v="0"/>
    <x v="2"/>
    <x v="3"/>
    <x v="10"/>
    <x v="3"/>
    <n v="0"/>
    <x v="0"/>
  </r>
  <r>
    <x v="30"/>
    <x v="2"/>
    <x v="78"/>
    <x v="0"/>
    <x v="2"/>
    <x v="3"/>
    <x v="10"/>
    <x v="4"/>
    <n v="0"/>
    <x v="0"/>
  </r>
  <r>
    <x v="30"/>
    <x v="2"/>
    <x v="78"/>
    <x v="0"/>
    <x v="2"/>
    <x v="3"/>
    <x v="10"/>
    <x v="5"/>
    <n v="0"/>
    <x v="0"/>
  </r>
  <r>
    <x v="30"/>
    <x v="2"/>
    <x v="78"/>
    <x v="0"/>
    <x v="2"/>
    <x v="3"/>
    <x v="10"/>
    <x v="6"/>
    <n v="0"/>
    <x v="0"/>
  </r>
  <r>
    <x v="30"/>
    <x v="2"/>
    <x v="78"/>
    <x v="0"/>
    <x v="2"/>
    <x v="3"/>
    <x v="10"/>
    <x v="7"/>
    <n v="0"/>
    <x v="0"/>
  </r>
  <r>
    <x v="30"/>
    <x v="2"/>
    <x v="78"/>
    <x v="0"/>
    <x v="2"/>
    <x v="3"/>
    <x v="10"/>
    <x v="8"/>
    <n v="0"/>
    <x v="0"/>
  </r>
  <r>
    <x v="30"/>
    <x v="2"/>
    <x v="78"/>
    <x v="0"/>
    <x v="2"/>
    <x v="3"/>
    <x v="10"/>
    <x v="9"/>
    <n v="0"/>
    <x v="0"/>
  </r>
  <r>
    <x v="30"/>
    <x v="2"/>
    <x v="78"/>
    <x v="0"/>
    <x v="2"/>
    <x v="3"/>
    <x v="10"/>
    <x v="10"/>
    <n v="0"/>
    <x v="0"/>
  </r>
  <r>
    <x v="30"/>
    <x v="2"/>
    <x v="78"/>
    <x v="0"/>
    <x v="2"/>
    <x v="3"/>
    <x v="10"/>
    <x v="11"/>
    <n v="0"/>
    <x v="0"/>
  </r>
  <r>
    <x v="30"/>
    <x v="2"/>
    <x v="79"/>
    <x v="0"/>
    <x v="2"/>
    <x v="3"/>
    <x v="9"/>
    <x v="0"/>
    <n v="0"/>
    <x v="0"/>
  </r>
  <r>
    <x v="30"/>
    <x v="2"/>
    <x v="79"/>
    <x v="0"/>
    <x v="2"/>
    <x v="3"/>
    <x v="9"/>
    <x v="1"/>
    <n v="0"/>
    <x v="0"/>
  </r>
  <r>
    <x v="30"/>
    <x v="2"/>
    <x v="79"/>
    <x v="0"/>
    <x v="2"/>
    <x v="3"/>
    <x v="9"/>
    <x v="2"/>
    <n v="0"/>
    <x v="0"/>
  </r>
  <r>
    <x v="30"/>
    <x v="2"/>
    <x v="79"/>
    <x v="0"/>
    <x v="2"/>
    <x v="3"/>
    <x v="9"/>
    <x v="3"/>
    <n v="0"/>
    <x v="0"/>
  </r>
  <r>
    <x v="30"/>
    <x v="2"/>
    <x v="79"/>
    <x v="0"/>
    <x v="2"/>
    <x v="3"/>
    <x v="9"/>
    <x v="4"/>
    <n v="1826.159017804018"/>
    <x v="0"/>
  </r>
  <r>
    <x v="30"/>
    <x v="2"/>
    <x v="79"/>
    <x v="0"/>
    <x v="2"/>
    <x v="3"/>
    <x v="9"/>
    <x v="5"/>
    <n v="0"/>
    <x v="0"/>
  </r>
  <r>
    <x v="30"/>
    <x v="2"/>
    <x v="79"/>
    <x v="0"/>
    <x v="2"/>
    <x v="3"/>
    <x v="9"/>
    <x v="6"/>
    <n v="0"/>
    <x v="0"/>
  </r>
  <r>
    <x v="30"/>
    <x v="2"/>
    <x v="79"/>
    <x v="0"/>
    <x v="2"/>
    <x v="3"/>
    <x v="9"/>
    <x v="7"/>
    <n v="0"/>
    <x v="0"/>
  </r>
  <r>
    <x v="30"/>
    <x v="2"/>
    <x v="79"/>
    <x v="0"/>
    <x v="2"/>
    <x v="3"/>
    <x v="9"/>
    <x v="8"/>
    <n v="0"/>
    <x v="0"/>
  </r>
  <r>
    <x v="30"/>
    <x v="2"/>
    <x v="79"/>
    <x v="0"/>
    <x v="2"/>
    <x v="3"/>
    <x v="9"/>
    <x v="9"/>
    <n v="0"/>
    <x v="0"/>
  </r>
  <r>
    <x v="30"/>
    <x v="2"/>
    <x v="79"/>
    <x v="0"/>
    <x v="2"/>
    <x v="3"/>
    <x v="9"/>
    <x v="10"/>
    <n v="0"/>
    <x v="0"/>
  </r>
  <r>
    <x v="30"/>
    <x v="2"/>
    <x v="79"/>
    <x v="0"/>
    <x v="2"/>
    <x v="3"/>
    <x v="9"/>
    <x v="11"/>
    <n v="0"/>
    <x v="0"/>
  </r>
  <r>
    <x v="30"/>
    <x v="2"/>
    <x v="80"/>
    <x v="0"/>
    <x v="2"/>
    <x v="3"/>
    <x v="3"/>
    <x v="0"/>
    <n v="0"/>
    <x v="0"/>
  </r>
  <r>
    <x v="30"/>
    <x v="2"/>
    <x v="80"/>
    <x v="0"/>
    <x v="2"/>
    <x v="3"/>
    <x v="3"/>
    <x v="1"/>
    <n v="0"/>
    <x v="0"/>
  </r>
  <r>
    <x v="30"/>
    <x v="2"/>
    <x v="80"/>
    <x v="0"/>
    <x v="2"/>
    <x v="3"/>
    <x v="3"/>
    <x v="2"/>
    <n v="216.20126675781788"/>
    <x v="0"/>
  </r>
  <r>
    <x v="30"/>
    <x v="2"/>
    <x v="80"/>
    <x v="0"/>
    <x v="2"/>
    <x v="3"/>
    <x v="3"/>
    <x v="3"/>
    <n v="0"/>
    <x v="0"/>
  </r>
  <r>
    <x v="30"/>
    <x v="2"/>
    <x v="80"/>
    <x v="0"/>
    <x v="2"/>
    <x v="3"/>
    <x v="3"/>
    <x v="4"/>
    <n v="497.88921221128123"/>
    <x v="0"/>
  </r>
  <r>
    <x v="30"/>
    <x v="2"/>
    <x v="80"/>
    <x v="0"/>
    <x v="2"/>
    <x v="3"/>
    <x v="3"/>
    <x v="5"/>
    <n v="699.07750196202403"/>
    <x v="0"/>
  </r>
  <r>
    <x v="30"/>
    <x v="2"/>
    <x v="80"/>
    <x v="0"/>
    <x v="2"/>
    <x v="3"/>
    <x v="3"/>
    <x v="6"/>
    <n v="0"/>
    <x v="0"/>
  </r>
  <r>
    <x v="30"/>
    <x v="2"/>
    <x v="80"/>
    <x v="0"/>
    <x v="2"/>
    <x v="3"/>
    <x v="3"/>
    <x v="7"/>
    <n v="404.77513405384911"/>
    <x v="0"/>
  </r>
  <r>
    <x v="30"/>
    <x v="2"/>
    <x v="80"/>
    <x v="0"/>
    <x v="2"/>
    <x v="3"/>
    <x v="3"/>
    <x v="8"/>
    <n v="0"/>
    <x v="0"/>
  </r>
  <r>
    <x v="30"/>
    <x v="2"/>
    <x v="80"/>
    <x v="0"/>
    <x v="2"/>
    <x v="3"/>
    <x v="3"/>
    <x v="9"/>
    <n v="0"/>
    <x v="0"/>
  </r>
  <r>
    <x v="30"/>
    <x v="2"/>
    <x v="80"/>
    <x v="0"/>
    <x v="2"/>
    <x v="3"/>
    <x v="3"/>
    <x v="10"/>
    <n v="0"/>
    <x v="0"/>
  </r>
  <r>
    <x v="30"/>
    <x v="2"/>
    <x v="80"/>
    <x v="0"/>
    <x v="2"/>
    <x v="3"/>
    <x v="3"/>
    <x v="11"/>
    <n v="0"/>
    <x v="0"/>
  </r>
  <r>
    <x v="50"/>
    <x v="1"/>
    <x v="81"/>
    <x v="0"/>
    <x v="1"/>
    <x v="1"/>
    <x v="0"/>
    <x v="0"/>
    <n v="337.29835406261157"/>
    <x v="0"/>
  </r>
  <r>
    <x v="50"/>
    <x v="1"/>
    <x v="81"/>
    <x v="0"/>
    <x v="1"/>
    <x v="1"/>
    <x v="0"/>
    <x v="1"/>
    <n v="0"/>
    <x v="0"/>
  </r>
  <r>
    <x v="50"/>
    <x v="1"/>
    <x v="81"/>
    <x v="0"/>
    <x v="1"/>
    <x v="1"/>
    <x v="0"/>
    <x v="2"/>
    <n v="936.2160616787487"/>
    <x v="0"/>
  </r>
  <r>
    <x v="50"/>
    <x v="1"/>
    <x v="81"/>
    <x v="0"/>
    <x v="1"/>
    <x v="1"/>
    <x v="0"/>
    <x v="3"/>
    <n v="0"/>
    <x v="0"/>
  </r>
  <r>
    <x v="50"/>
    <x v="1"/>
    <x v="81"/>
    <x v="0"/>
    <x v="1"/>
    <x v="1"/>
    <x v="0"/>
    <x v="4"/>
    <n v="0"/>
    <x v="0"/>
  </r>
  <r>
    <x v="50"/>
    <x v="1"/>
    <x v="81"/>
    <x v="0"/>
    <x v="1"/>
    <x v="1"/>
    <x v="0"/>
    <x v="5"/>
    <n v="0"/>
    <x v="0"/>
  </r>
  <r>
    <x v="50"/>
    <x v="1"/>
    <x v="81"/>
    <x v="0"/>
    <x v="1"/>
    <x v="1"/>
    <x v="0"/>
    <x v="6"/>
    <n v="623.64593075492519"/>
    <x v="0"/>
  </r>
  <r>
    <x v="50"/>
    <x v="1"/>
    <x v="81"/>
    <x v="0"/>
    <x v="1"/>
    <x v="1"/>
    <x v="0"/>
    <x v="7"/>
    <n v="0"/>
    <x v="0"/>
  </r>
  <r>
    <x v="50"/>
    <x v="1"/>
    <x v="81"/>
    <x v="0"/>
    <x v="1"/>
    <x v="1"/>
    <x v="0"/>
    <x v="8"/>
    <n v="0"/>
    <x v="0"/>
  </r>
  <r>
    <x v="50"/>
    <x v="1"/>
    <x v="81"/>
    <x v="0"/>
    <x v="1"/>
    <x v="1"/>
    <x v="0"/>
    <x v="9"/>
    <n v="519.73630907470567"/>
    <x v="0"/>
  </r>
  <r>
    <x v="50"/>
    <x v="1"/>
    <x v="81"/>
    <x v="0"/>
    <x v="1"/>
    <x v="1"/>
    <x v="0"/>
    <x v="10"/>
    <n v="0"/>
    <x v="0"/>
  </r>
  <r>
    <x v="50"/>
    <x v="1"/>
    <x v="81"/>
    <x v="0"/>
    <x v="1"/>
    <x v="1"/>
    <x v="0"/>
    <x v="11"/>
    <n v="0"/>
    <x v="0"/>
  </r>
  <r>
    <x v="50"/>
    <x v="1"/>
    <x v="81"/>
    <x v="0"/>
    <x v="1"/>
    <x v="1"/>
    <x v="0"/>
    <x v="0"/>
    <n v="0"/>
    <x v="0"/>
  </r>
  <r>
    <x v="50"/>
    <x v="1"/>
    <x v="81"/>
    <x v="0"/>
    <x v="1"/>
    <x v="1"/>
    <x v="0"/>
    <x v="1"/>
    <n v="0"/>
    <x v="0"/>
  </r>
  <r>
    <x v="50"/>
    <x v="1"/>
    <x v="81"/>
    <x v="0"/>
    <x v="1"/>
    <x v="1"/>
    <x v="0"/>
    <x v="2"/>
    <n v="0"/>
    <x v="0"/>
  </r>
  <r>
    <x v="50"/>
    <x v="1"/>
    <x v="81"/>
    <x v="0"/>
    <x v="1"/>
    <x v="1"/>
    <x v="0"/>
    <x v="3"/>
    <n v="0"/>
    <x v="0"/>
  </r>
  <r>
    <x v="50"/>
    <x v="1"/>
    <x v="81"/>
    <x v="0"/>
    <x v="1"/>
    <x v="1"/>
    <x v="0"/>
    <x v="4"/>
    <n v="0"/>
    <x v="0"/>
  </r>
  <r>
    <x v="50"/>
    <x v="1"/>
    <x v="81"/>
    <x v="0"/>
    <x v="1"/>
    <x v="1"/>
    <x v="0"/>
    <x v="5"/>
    <n v="0"/>
    <x v="0"/>
  </r>
  <r>
    <x v="50"/>
    <x v="1"/>
    <x v="81"/>
    <x v="0"/>
    <x v="1"/>
    <x v="1"/>
    <x v="0"/>
    <x v="6"/>
    <n v="0"/>
    <x v="0"/>
  </r>
  <r>
    <x v="50"/>
    <x v="1"/>
    <x v="81"/>
    <x v="0"/>
    <x v="1"/>
    <x v="1"/>
    <x v="0"/>
    <x v="7"/>
    <n v="0"/>
    <x v="0"/>
  </r>
  <r>
    <x v="50"/>
    <x v="1"/>
    <x v="81"/>
    <x v="0"/>
    <x v="1"/>
    <x v="1"/>
    <x v="0"/>
    <x v="8"/>
    <n v="0"/>
    <x v="0"/>
  </r>
  <r>
    <x v="50"/>
    <x v="1"/>
    <x v="81"/>
    <x v="0"/>
    <x v="1"/>
    <x v="1"/>
    <x v="0"/>
    <x v="9"/>
    <n v="0"/>
    <x v="0"/>
  </r>
  <r>
    <x v="50"/>
    <x v="1"/>
    <x v="81"/>
    <x v="0"/>
    <x v="1"/>
    <x v="1"/>
    <x v="0"/>
    <x v="10"/>
    <n v="0"/>
    <x v="0"/>
  </r>
  <r>
    <x v="50"/>
    <x v="1"/>
    <x v="81"/>
    <x v="0"/>
    <x v="1"/>
    <x v="1"/>
    <x v="0"/>
    <x v="11"/>
    <n v="0"/>
    <x v="0"/>
  </r>
  <r>
    <x v="30"/>
    <x v="1"/>
    <x v="82"/>
    <x v="2"/>
    <x v="2"/>
    <x v="3"/>
    <x v="0"/>
    <x v="0"/>
    <n v="0"/>
    <x v="0"/>
  </r>
  <r>
    <x v="30"/>
    <x v="1"/>
    <x v="82"/>
    <x v="2"/>
    <x v="2"/>
    <x v="3"/>
    <x v="0"/>
    <x v="1"/>
    <n v="0"/>
    <x v="0"/>
  </r>
  <r>
    <x v="30"/>
    <x v="1"/>
    <x v="82"/>
    <x v="2"/>
    <x v="2"/>
    <x v="3"/>
    <x v="0"/>
    <x v="2"/>
    <n v="0"/>
    <x v="0"/>
  </r>
  <r>
    <x v="30"/>
    <x v="1"/>
    <x v="82"/>
    <x v="2"/>
    <x v="2"/>
    <x v="3"/>
    <x v="0"/>
    <x v="3"/>
    <n v="0"/>
    <x v="0"/>
  </r>
  <r>
    <x v="30"/>
    <x v="1"/>
    <x v="82"/>
    <x v="2"/>
    <x v="2"/>
    <x v="3"/>
    <x v="0"/>
    <x v="4"/>
    <n v="1539.4455300122952"/>
    <x v="0"/>
  </r>
  <r>
    <x v="30"/>
    <x v="1"/>
    <x v="82"/>
    <x v="2"/>
    <x v="2"/>
    <x v="3"/>
    <x v="0"/>
    <x v="5"/>
    <n v="0"/>
    <x v="0"/>
  </r>
  <r>
    <x v="30"/>
    <x v="1"/>
    <x v="82"/>
    <x v="2"/>
    <x v="2"/>
    <x v="3"/>
    <x v="0"/>
    <x v="6"/>
    <n v="0"/>
    <x v="0"/>
  </r>
  <r>
    <x v="30"/>
    <x v="1"/>
    <x v="82"/>
    <x v="2"/>
    <x v="2"/>
    <x v="3"/>
    <x v="0"/>
    <x v="7"/>
    <n v="0"/>
    <x v="0"/>
  </r>
  <r>
    <x v="30"/>
    <x v="1"/>
    <x v="82"/>
    <x v="2"/>
    <x v="2"/>
    <x v="3"/>
    <x v="0"/>
    <x v="8"/>
    <n v="0"/>
    <x v="0"/>
  </r>
  <r>
    <x v="30"/>
    <x v="1"/>
    <x v="82"/>
    <x v="2"/>
    <x v="2"/>
    <x v="3"/>
    <x v="0"/>
    <x v="9"/>
    <n v="342.45337314032508"/>
    <x v="0"/>
  </r>
  <r>
    <x v="30"/>
    <x v="1"/>
    <x v="82"/>
    <x v="2"/>
    <x v="2"/>
    <x v="3"/>
    <x v="0"/>
    <x v="10"/>
    <n v="0"/>
    <x v="0"/>
  </r>
  <r>
    <x v="30"/>
    <x v="1"/>
    <x v="82"/>
    <x v="2"/>
    <x v="2"/>
    <x v="3"/>
    <x v="0"/>
    <x v="11"/>
    <n v="0"/>
    <x v="0"/>
  </r>
  <r>
    <x v="51"/>
    <x v="1"/>
    <x v="83"/>
    <x v="0"/>
    <x v="1"/>
    <x v="1"/>
    <x v="0"/>
    <x v="0"/>
    <n v="0"/>
    <x v="0"/>
  </r>
  <r>
    <x v="51"/>
    <x v="1"/>
    <x v="83"/>
    <x v="0"/>
    <x v="1"/>
    <x v="1"/>
    <x v="0"/>
    <x v="1"/>
    <n v="0"/>
    <x v="0"/>
  </r>
  <r>
    <x v="51"/>
    <x v="1"/>
    <x v="83"/>
    <x v="0"/>
    <x v="1"/>
    <x v="1"/>
    <x v="0"/>
    <x v="2"/>
    <n v="352.52992893927166"/>
    <x v="0"/>
  </r>
  <r>
    <x v="51"/>
    <x v="1"/>
    <x v="83"/>
    <x v="0"/>
    <x v="1"/>
    <x v="1"/>
    <x v="0"/>
    <x v="3"/>
    <n v="0"/>
    <x v="0"/>
  </r>
  <r>
    <x v="51"/>
    <x v="1"/>
    <x v="83"/>
    <x v="0"/>
    <x v="1"/>
    <x v="1"/>
    <x v="0"/>
    <x v="4"/>
    <n v="0"/>
    <x v="0"/>
  </r>
  <r>
    <x v="51"/>
    <x v="1"/>
    <x v="83"/>
    <x v="0"/>
    <x v="1"/>
    <x v="1"/>
    <x v="0"/>
    <x v="5"/>
    <n v="0"/>
    <x v="0"/>
  </r>
  <r>
    <x v="51"/>
    <x v="1"/>
    <x v="83"/>
    <x v="0"/>
    <x v="1"/>
    <x v="1"/>
    <x v="0"/>
    <x v="6"/>
    <n v="0"/>
    <x v="0"/>
  </r>
  <r>
    <x v="51"/>
    <x v="1"/>
    <x v="83"/>
    <x v="0"/>
    <x v="1"/>
    <x v="1"/>
    <x v="0"/>
    <x v="7"/>
    <n v="0"/>
    <x v="0"/>
  </r>
  <r>
    <x v="51"/>
    <x v="1"/>
    <x v="83"/>
    <x v="0"/>
    <x v="1"/>
    <x v="1"/>
    <x v="0"/>
    <x v="8"/>
    <n v="0"/>
    <x v="0"/>
  </r>
  <r>
    <x v="51"/>
    <x v="1"/>
    <x v="83"/>
    <x v="0"/>
    <x v="1"/>
    <x v="1"/>
    <x v="0"/>
    <x v="9"/>
    <n v="0"/>
    <x v="0"/>
  </r>
  <r>
    <x v="51"/>
    <x v="1"/>
    <x v="83"/>
    <x v="0"/>
    <x v="1"/>
    <x v="1"/>
    <x v="0"/>
    <x v="10"/>
    <n v="0"/>
    <x v="0"/>
  </r>
  <r>
    <x v="51"/>
    <x v="1"/>
    <x v="83"/>
    <x v="0"/>
    <x v="1"/>
    <x v="1"/>
    <x v="0"/>
    <x v="11"/>
    <n v="0"/>
    <x v="0"/>
  </r>
  <r>
    <x v="41"/>
    <x v="0"/>
    <x v="42"/>
    <x v="0"/>
    <x v="0"/>
    <x v="0"/>
    <x v="0"/>
    <x v="0"/>
    <n v="0"/>
    <x v="0"/>
  </r>
  <r>
    <x v="41"/>
    <x v="0"/>
    <x v="42"/>
    <x v="0"/>
    <x v="0"/>
    <x v="0"/>
    <x v="0"/>
    <x v="1"/>
    <n v="0"/>
    <x v="0"/>
  </r>
  <r>
    <x v="41"/>
    <x v="0"/>
    <x v="42"/>
    <x v="0"/>
    <x v="0"/>
    <x v="0"/>
    <x v="0"/>
    <x v="2"/>
    <n v="8988.0921457149507"/>
    <x v="0"/>
  </r>
  <r>
    <x v="41"/>
    <x v="0"/>
    <x v="42"/>
    <x v="0"/>
    <x v="0"/>
    <x v="0"/>
    <x v="0"/>
    <x v="3"/>
    <n v="9037.1248137924049"/>
    <x v="0"/>
  </r>
  <r>
    <x v="41"/>
    <x v="0"/>
    <x v="42"/>
    <x v="0"/>
    <x v="0"/>
    <x v="0"/>
    <x v="0"/>
    <x v="4"/>
    <n v="9562.8773566255059"/>
    <x v="0"/>
  </r>
  <r>
    <x v="41"/>
    <x v="0"/>
    <x v="42"/>
    <x v="0"/>
    <x v="0"/>
    <x v="0"/>
    <x v="0"/>
    <x v="5"/>
    <n v="0"/>
    <x v="0"/>
  </r>
  <r>
    <x v="41"/>
    <x v="0"/>
    <x v="42"/>
    <x v="0"/>
    <x v="0"/>
    <x v="0"/>
    <x v="0"/>
    <x v="6"/>
    <n v="0"/>
    <x v="0"/>
  </r>
  <r>
    <x v="41"/>
    <x v="0"/>
    <x v="42"/>
    <x v="0"/>
    <x v="0"/>
    <x v="0"/>
    <x v="0"/>
    <x v="7"/>
    <n v="0"/>
    <x v="0"/>
  </r>
  <r>
    <x v="41"/>
    <x v="0"/>
    <x v="42"/>
    <x v="0"/>
    <x v="0"/>
    <x v="0"/>
    <x v="0"/>
    <x v="8"/>
    <n v="0"/>
    <x v="0"/>
  </r>
  <r>
    <x v="41"/>
    <x v="0"/>
    <x v="42"/>
    <x v="0"/>
    <x v="0"/>
    <x v="0"/>
    <x v="0"/>
    <x v="9"/>
    <n v="0"/>
    <x v="0"/>
  </r>
  <r>
    <x v="41"/>
    <x v="0"/>
    <x v="42"/>
    <x v="0"/>
    <x v="0"/>
    <x v="0"/>
    <x v="0"/>
    <x v="10"/>
    <n v="0"/>
    <x v="0"/>
  </r>
  <r>
    <x v="41"/>
    <x v="0"/>
    <x v="42"/>
    <x v="0"/>
    <x v="0"/>
    <x v="0"/>
    <x v="0"/>
    <x v="11"/>
    <n v="0"/>
    <x v="0"/>
  </r>
  <r>
    <x v="30"/>
    <x v="0"/>
    <x v="84"/>
    <x v="1"/>
    <x v="0"/>
    <x v="0"/>
    <x v="0"/>
    <x v="0"/>
    <n v="0"/>
    <x v="0"/>
  </r>
  <r>
    <x v="30"/>
    <x v="0"/>
    <x v="84"/>
    <x v="1"/>
    <x v="0"/>
    <x v="0"/>
    <x v="0"/>
    <x v="1"/>
    <n v="0"/>
    <x v="0"/>
  </r>
  <r>
    <x v="30"/>
    <x v="0"/>
    <x v="84"/>
    <x v="1"/>
    <x v="0"/>
    <x v="0"/>
    <x v="0"/>
    <x v="2"/>
    <n v="6729.0529433160063"/>
    <x v="0"/>
  </r>
  <r>
    <x v="30"/>
    <x v="0"/>
    <x v="84"/>
    <x v="1"/>
    <x v="0"/>
    <x v="0"/>
    <x v="0"/>
    <x v="3"/>
    <n v="0"/>
    <x v="0"/>
  </r>
  <r>
    <x v="30"/>
    <x v="0"/>
    <x v="84"/>
    <x v="1"/>
    <x v="0"/>
    <x v="0"/>
    <x v="0"/>
    <x v="4"/>
    <n v="0"/>
    <x v="0"/>
  </r>
  <r>
    <x v="30"/>
    <x v="0"/>
    <x v="84"/>
    <x v="1"/>
    <x v="0"/>
    <x v="0"/>
    <x v="0"/>
    <x v="5"/>
    <n v="0"/>
    <x v="0"/>
  </r>
  <r>
    <x v="30"/>
    <x v="0"/>
    <x v="84"/>
    <x v="1"/>
    <x v="0"/>
    <x v="0"/>
    <x v="0"/>
    <x v="6"/>
    <n v="0"/>
    <x v="0"/>
  </r>
  <r>
    <x v="30"/>
    <x v="0"/>
    <x v="84"/>
    <x v="1"/>
    <x v="0"/>
    <x v="0"/>
    <x v="0"/>
    <x v="7"/>
    <n v="0"/>
    <x v="0"/>
  </r>
  <r>
    <x v="30"/>
    <x v="0"/>
    <x v="84"/>
    <x v="1"/>
    <x v="0"/>
    <x v="0"/>
    <x v="0"/>
    <x v="8"/>
    <n v="0"/>
    <x v="0"/>
  </r>
  <r>
    <x v="30"/>
    <x v="0"/>
    <x v="84"/>
    <x v="1"/>
    <x v="0"/>
    <x v="0"/>
    <x v="0"/>
    <x v="9"/>
    <n v="0"/>
    <x v="0"/>
  </r>
  <r>
    <x v="30"/>
    <x v="0"/>
    <x v="84"/>
    <x v="1"/>
    <x v="0"/>
    <x v="0"/>
    <x v="0"/>
    <x v="10"/>
    <n v="0"/>
    <x v="0"/>
  </r>
  <r>
    <x v="30"/>
    <x v="0"/>
    <x v="84"/>
    <x v="1"/>
    <x v="0"/>
    <x v="0"/>
    <x v="0"/>
    <x v="11"/>
    <n v="0"/>
    <x v="0"/>
  </r>
  <r>
    <x v="1"/>
    <x v="1"/>
    <x v="1"/>
    <x v="2"/>
    <x v="1"/>
    <x v="1"/>
    <x v="0"/>
    <x v="0"/>
    <n v="18986.346824734897"/>
    <x v="0"/>
  </r>
  <r>
    <x v="1"/>
    <x v="1"/>
    <x v="1"/>
    <x v="2"/>
    <x v="1"/>
    <x v="1"/>
    <x v="0"/>
    <x v="1"/>
    <n v="0"/>
    <x v="0"/>
  </r>
  <r>
    <x v="1"/>
    <x v="1"/>
    <x v="1"/>
    <x v="2"/>
    <x v="1"/>
    <x v="1"/>
    <x v="0"/>
    <x v="2"/>
    <n v="0"/>
    <x v="0"/>
  </r>
  <r>
    <x v="1"/>
    <x v="1"/>
    <x v="1"/>
    <x v="2"/>
    <x v="1"/>
    <x v="1"/>
    <x v="0"/>
    <x v="3"/>
    <n v="0"/>
    <x v="0"/>
  </r>
  <r>
    <x v="1"/>
    <x v="1"/>
    <x v="1"/>
    <x v="2"/>
    <x v="1"/>
    <x v="1"/>
    <x v="0"/>
    <x v="4"/>
    <n v="0"/>
    <x v="0"/>
  </r>
  <r>
    <x v="1"/>
    <x v="1"/>
    <x v="1"/>
    <x v="2"/>
    <x v="1"/>
    <x v="1"/>
    <x v="0"/>
    <x v="5"/>
    <n v="0"/>
    <x v="0"/>
  </r>
  <r>
    <x v="1"/>
    <x v="1"/>
    <x v="1"/>
    <x v="2"/>
    <x v="1"/>
    <x v="1"/>
    <x v="0"/>
    <x v="6"/>
    <n v="0"/>
    <x v="0"/>
  </r>
  <r>
    <x v="1"/>
    <x v="1"/>
    <x v="1"/>
    <x v="2"/>
    <x v="1"/>
    <x v="1"/>
    <x v="0"/>
    <x v="7"/>
    <n v="0"/>
    <x v="0"/>
  </r>
  <r>
    <x v="1"/>
    <x v="1"/>
    <x v="1"/>
    <x v="2"/>
    <x v="1"/>
    <x v="1"/>
    <x v="0"/>
    <x v="8"/>
    <n v="0"/>
    <x v="0"/>
  </r>
  <r>
    <x v="1"/>
    <x v="1"/>
    <x v="1"/>
    <x v="2"/>
    <x v="1"/>
    <x v="1"/>
    <x v="0"/>
    <x v="9"/>
    <n v="0"/>
    <x v="0"/>
  </r>
  <r>
    <x v="1"/>
    <x v="1"/>
    <x v="1"/>
    <x v="2"/>
    <x v="1"/>
    <x v="1"/>
    <x v="0"/>
    <x v="10"/>
    <n v="0"/>
    <x v="0"/>
  </r>
  <r>
    <x v="1"/>
    <x v="1"/>
    <x v="1"/>
    <x v="2"/>
    <x v="1"/>
    <x v="1"/>
    <x v="0"/>
    <x v="11"/>
    <n v="0"/>
    <x v="0"/>
  </r>
  <r>
    <x v="30"/>
    <x v="2"/>
    <x v="85"/>
    <x v="0"/>
    <x v="2"/>
    <x v="3"/>
    <x v="11"/>
    <x v="0"/>
    <n v="0"/>
    <x v="0"/>
  </r>
  <r>
    <x v="30"/>
    <x v="2"/>
    <x v="85"/>
    <x v="0"/>
    <x v="2"/>
    <x v="3"/>
    <x v="11"/>
    <x v="1"/>
    <n v="0"/>
    <x v="0"/>
  </r>
  <r>
    <x v="30"/>
    <x v="2"/>
    <x v="85"/>
    <x v="0"/>
    <x v="2"/>
    <x v="3"/>
    <x v="11"/>
    <x v="2"/>
    <n v="0"/>
    <x v="0"/>
  </r>
  <r>
    <x v="30"/>
    <x v="2"/>
    <x v="85"/>
    <x v="0"/>
    <x v="2"/>
    <x v="3"/>
    <x v="11"/>
    <x v="3"/>
    <n v="0"/>
    <x v="0"/>
  </r>
  <r>
    <x v="30"/>
    <x v="2"/>
    <x v="85"/>
    <x v="0"/>
    <x v="2"/>
    <x v="3"/>
    <x v="11"/>
    <x v="4"/>
    <n v="0"/>
    <x v="0"/>
  </r>
  <r>
    <x v="30"/>
    <x v="2"/>
    <x v="85"/>
    <x v="0"/>
    <x v="2"/>
    <x v="3"/>
    <x v="11"/>
    <x v="5"/>
    <n v="0"/>
    <x v="0"/>
  </r>
  <r>
    <x v="30"/>
    <x v="2"/>
    <x v="85"/>
    <x v="0"/>
    <x v="2"/>
    <x v="3"/>
    <x v="11"/>
    <x v="6"/>
    <n v="0"/>
    <x v="0"/>
  </r>
  <r>
    <x v="30"/>
    <x v="2"/>
    <x v="85"/>
    <x v="0"/>
    <x v="2"/>
    <x v="3"/>
    <x v="11"/>
    <x v="7"/>
    <n v="6459.7192568341861"/>
    <x v="0"/>
  </r>
  <r>
    <x v="30"/>
    <x v="2"/>
    <x v="85"/>
    <x v="0"/>
    <x v="2"/>
    <x v="3"/>
    <x v="11"/>
    <x v="8"/>
    <n v="0"/>
    <x v="0"/>
  </r>
  <r>
    <x v="30"/>
    <x v="2"/>
    <x v="85"/>
    <x v="0"/>
    <x v="2"/>
    <x v="3"/>
    <x v="11"/>
    <x v="9"/>
    <n v="0"/>
    <x v="0"/>
  </r>
  <r>
    <x v="30"/>
    <x v="2"/>
    <x v="85"/>
    <x v="0"/>
    <x v="2"/>
    <x v="3"/>
    <x v="11"/>
    <x v="10"/>
    <n v="0"/>
    <x v="0"/>
  </r>
  <r>
    <x v="30"/>
    <x v="2"/>
    <x v="85"/>
    <x v="0"/>
    <x v="2"/>
    <x v="3"/>
    <x v="11"/>
    <x v="11"/>
    <n v="0"/>
    <x v="0"/>
  </r>
  <r>
    <x v="30"/>
    <x v="2"/>
    <x v="86"/>
    <x v="0"/>
    <x v="2"/>
    <x v="3"/>
    <x v="11"/>
    <x v="0"/>
    <n v="0"/>
    <x v="0"/>
  </r>
  <r>
    <x v="30"/>
    <x v="2"/>
    <x v="86"/>
    <x v="0"/>
    <x v="2"/>
    <x v="3"/>
    <x v="11"/>
    <x v="1"/>
    <n v="0"/>
    <x v="0"/>
  </r>
  <r>
    <x v="30"/>
    <x v="2"/>
    <x v="86"/>
    <x v="0"/>
    <x v="2"/>
    <x v="3"/>
    <x v="11"/>
    <x v="2"/>
    <n v="0"/>
    <x v="0"/>
  </r>
  <r>
    <x v="30"/>
    <x v="2"/>
    <x v="86"/>
    <x v="0"/>
    <x v="2"/>
    <x v="3"/>
    <x v="11"/>
    <x v="3"/>
    <n v="0"/>
    <x v="0"/>
  </r>
  <r>
    <x v="30"/>
    <x v="2"/>
    <x v="86"/>
    <x v="0"/>
    <x v="2"/>
    <x v="3"/>
    <x v="11"/>
    <x v="4"/>
    <n v="0"/>
    <x v="0"/>
  </r>
  <r>
    <x v="30"/>
    <x v="2"/>
    <x v="86"/>
    <x v="0"/>
    <x v="2"/>
    <x v="3"/>
    <x v="11"/>
    <x v="5"/>
    <n v="0"/>
    <x v="0"/>
  </r>
  <r>
    <x v="30"/>
    <x v="2"/>
    <x v="86"/>
    <x v="0"/>
    <x v="2"/>
    <x v="3"/>
    <x v="11"/>
    <x v="6"/>
    <n v="0"/>
    <x v="0"/>
  </r>
  <r>
    <x v="30"/>
    <x v="2"/>
    <x v="86"/>
    <x v="0"/>
    <x v="2"/>
    <x v="3"/>
    <x v="11"/>
    <x v="7"/>
    <n v="6042.5764594265147"/>
    <x v="0"/>
  </r>
  <r>
    <x v="30"/>
    <x v="2"/>
    <x v="86"/>
    <x v="0"/>
    <x v="2"/>
    <x v="3"/>
    <x v="11"/>
    <x v="8"/>
    <n v="0"/>
    <x v="0"/>
  </r>
  <r>
    <x v="30"/>
    <x v="2"/>
    <x v="86"/>
    <x v="0"/>
    <x v="2"/>
    <x v="3"/>
    <x v="11"/>
    <x v="9"/>
    <n v="0"/>
    <x v="0"/>
  </r>
  <r>
    <x v="30"/>
    <x v="2"/>
    <x v="86"/>
    <x v="0"/>
    <x v="2"/>
    <x v="3"/>
    <x v="11"/>
    <x v="10"/>
    <n v="0"/>
    <x v="0"/>
  </r>
  <r>
    <x v="30"/>
    <x v="2"/>
    <x v="86"/>
    <x v="0"/>
    <x v="2"/>
    <x v="3"/>
    <x v="11"/>
    <x v="11"/>
    <n v="0"/>
    <x v="0"/>
  </r>
  <r>
    <x v="30"/>
    <x v="0"/>
    <x v="87"/>
    <x v="2"/>
    <x v="3"/>
    <x v="4"/>
    <x v="0"/>
    <x v="0"/>
    <n v="11332.385819227084"/>
    <x v="0"/>
  </r>
  <r>
    <x v="30"/>
    <x v="0"/>
    <x v="87"/>
    <x v="2"/>
    <x v="3"/>
    <x v="4"/>
    <x v="0"/>
    <x v="1"/>
    <n v="0"/>
    <x v="0"/>
  </r>
  <r>
    <x v="30"/>
    <x v="0"/>
    <x v="87"/>
    <x v="2"/>
    <x v="3"/>
    <x v="4"/>
    <x v="0"/>
    <x v="2"/>
    <n v="0"/>
    <x v="0"/>
  </r>
  <r>
    <x v="30"/>
    <x v="0"/>
    <x v="87"/>
    <x v="2"/>
    <x v="3"/>
    <x v="4"/>
    <x v="0"/>
    <x v="3"/>
    <n v="5740.8586247838857"/>
    <x v="0"/>
  </r>
  <r>
    <x v="30"/>
    <x v="0"/>
    <x v="87"/>
    <x v="2"/>
    <x v="3"/>
    <x v="4"/>
    <x v="0"/>
    <x v="4"/>
    <n v="10765.362574628492"/>
    <x v="0"/>
  </r>
  <r>
    <x v="30"/>
    <x v="0"/>
    <x v="87"/>
    <x v="2"/>
    <x v="3"/>
    <x v="4"/>
    <x v="0"/>
    <x v="5"/>
    <n v="6994.2920697995851"/>
    <x v="0"/>
  </r>
  <r>
    <x v="30"/>
    <x v="0"/>
    <x v="87"/>
    <x v="2"/>
    <x v="3"/>
    <x v="4"/>
    <x v="0"/>
    <x v="6"/>
    <n v="4987.7725158923167"/>
    <x v="0"/>
  </r>
  <r>
    <x v="30"/>
    <x v="0"/>
    <x v="87"/>
    <x v="2"/>
    <x v="3"/>
    <x v="4"/>
    <x v="0"/>
    <x v="7"/>
    <n v="4749.312829336488"/>
    <x v="0"/>
  </r>
  <r>
    <x v="30"/>
    <x v="0"/>
    <x v="87"/>
    <x v="2"/>
    <x v="3"/>
    <x v="4"/>
    <x v="0"/>
    <x v="8"/>
    <n v="3756.4882693989484"/>
    <x v="0"/>
  </r>
  <r>
    <x v="30"/>
    <x v="0"/>
    <x v="87"/>
    <x v="2"/>
    <x v="3"/>
    <x v="4"/>
    <x v="0"/>
    <x v="9"/>
    <n v="10809.470877373342"/>
    <x v="0"/>
  </r>
  <r>
    <x v="30"/>
    <x v="0"/>
    <x v="87"/>
    <x v="2"/>
    <x v="3"/>
    <x v="4"/>
    <x v="0"/>
    <x v="10"/>
    <n v="6451.8210264847248"/>
    <x v="0"/>
  </r>
  <r>
    <x v="30"/>
    <x v="0"/>
    <x v="87"/>
    <x v="2"/>
    <x v="3"/>
    <x v="4"/>
    <x v="0"/>
    <x v="11"/>
    <n v="6451.8210264847248"/>
    <x v="0"/>
  </r>
  <r>
    <x v="52"/>
    <x v="1"/>
    <x v="88"/>
    <x v="2"/>
    <x v="4"/>
    <x v="5"/>
    <x v="0"/>
    <x v="0"/>
    <n v="738.71848808907589"/>
    <x v="0"/>
  </r>
  <r>
    <x v="52"/>
    <x v="1"/>
    <x v="88"/>
    <x v="2"/>
    <x v="4"/>
    <x v="5"/>
    <x v="0"/>
    <x v="1"/>
    <n v="0"/>
    <x v="0"/>
  </r>
  <r>
    <x v="52"/>
    <x v="1"/>
    <x v="88"/>
    <x v="2"/>
    <x v="4"/>
    <x v="5"/>
    <x v="0"/>
    <x v="2"/>
    <n v="0"/>
    <x v="0"/>
  </r>
  <r>
    <x v="52"/>
    <x v="1"/>
    <x v="88"/>
    <x v="2"/>
    <x v="4"/>
    <x v="5"/>
    <x v="0"/>
    <x v="3"/>
    <n v="0"/>
    <x v="0"/>
  </r>
  <r>
    <x v="52"/>
    <x v="1"/>
    <x v="88"/>
    <x v="2"/>
    <x v="4"/>
    <x v="5"/>
    <x v="0"/>
    <x v="4"/>
    <n v="0"/>
    <x v="0"/>
  </r>
  <r>
    <x v="52"/>
    <x v="1"/>
    <x v="88"/>
    <x v="2"/>
    <x v="4"/>
    <x v="5"/>
    <x v="0"/>
    <x v="5"/>
    <n v="0"/>
    <x v="0"/>
  </r>
  <r>
    <x v="52"/>
    <x v="1"/>
    <x v="88"/>
    <x v="2"/>
    <x v="4"/>
    <x v="5"/>
    <x v="0"/>
    <x v="6"/>
    <n v="0"/>
    <x v="0"/>
  </r>
  <r>
    <x v="52"/>
    <x v="1"/>
    <x v="88"/>
    <x v="2"/>
    <x v="4"/>
    <x v="5"/>
    <x v="0"/>
    <x v="7"/>
    <n v="0"/>
    <x v="0"/>
  </r>
  <r>
    <x v="52"/>
    <x v="1"/>
    <x v="88"/>
    <x v="2"/>
    <x v="4"/>
    <x v="5"/>
    <x v="0"/>
    <x v="8"/>
    <n v="0"/>
    <x v="0"/>
  </r>
  <r>
    <x v="52"/>
    <x v="1"/>
    <x v="88"/>
    <x v="2"/>
    <x v="4"/>
    <x v="5"/>
    <x v="0"/>
    <x v="9"/>
    <n v="0"/>
    <x v="0"/>
  </r>
  <r>
    <x v="52"/>
    <x v="1"/>
    <x v="88"/>
    <x v="2"/>
    <x v="4"/>
    <x v="5"/>
    <x v="0"/>
    <x v="10"/>
    <n v="0"/>
    <x v="0"/>
  </r>
  <r>
    <x v="52"/>
    <x v="1"/>
    <x v="88"/>
    <x v="2"/>
    <x v="4"/>
    <x v="5"/>
    <x v="0"/>
    <x v="11"/>
    <n v="0"/>
    <x v="0"/>
  </r>
  <r>
    <x v="50"/>
    <x v="1"/>
    <x v="81"/>
    <x v="0"/>
    <x v="4"/>
    <x v="5"/>
    <x v="0"/>
    <x v="0"/>
    <n v="667.18355929030054"/>
    <x v="0"/>
  </r>
  <r>
    <x v="50"/>
    <x v="1"/>
    <x v="81"/>
    <x v="0"/>
    <x v="4"/>
    <x v="5"/>
    <x v="0"/>
    <x v="1"/>
    <n v="0"/>
    <x v="0"/>
  </r>
  <r>
    <x v="50"/>
    <x v="1"/>
    <x v="81"/>
    <x v="0"/>
    <x v="4"/>
    <x v="5"/>
    <x v="0"/>
    <x v="2"/>
    <n v="0"/>
    <x v="0"/>
  </r>
  <r>
    <x v="50"/>
    <x v="1"/>
    <x v="81"/>
    <x v="0"/>
    <x v="4"/>
    <x v="5"/>
    <x v="0"/>
    <x v="3"/>
    <n v="280.7507238527715"/>
    <x v="0"/>
  </r>
  <r>
    <x v="50"/>
    <x v="1"/>
    <x v="81"/>
    <x v="0"/>
    <x v="4"/>
    <x v="5"/>
    <x v="0"/>
    <x v="4"/>
    <n v="0"/>
    <x v="0"/>
  </r>
  <r>
    <x v="50"/>
    <x v="1"/>
    <x v="81"/>
    <x v="0"/>
    <x v="4"/>
    <x v="5"/>
    <x v="0"/>
    <x v="5"/>
    <n v="0"/>
    <x v="0"/>
  </r>
  <r>
    <x v="50"/>
    <x v="1"/>
    <x v="81"/>
    <x v="0"/>
    <x v="4"/>
    <x v="5"/>
    <x v="0"/>
    <x v="6"/>
    <n v="0"/>
    <x v="0"/>
  </r>
  <r>
    <x v="50"/>
    <x v="1"/>
    <x v="81"/>
    <x v="0"/>
    <x v="4"/>
    <x v="5"/>
    <x v="0"/>
    <x v="7"/>
    <n v="0"/>
    <x v="0"/>
  </r>
  <r>
    <x v="50"/>
    <x v="1"/>
    <x v="81"/>
    <x v="0"/>
    <x v="4"/>
    <x v="5"/>
    <x v="0"/>
    <x v="8"/>
    <n v="0"/>
    <x v="0"/>
  </r>
  <r>
    <x v="50"/>
    <x v="1"/>
    <x v="81"/>
    <x v="0"/>
    <x v="4"/>
    <x v="5"/>
    <x v="0"/>
    <x v="9"/>
    <n v="0"/>
    <x v="0"/>
  </r>
  <r>
    <x v="50"/>
    <x v="1"/>
    <x v="81"/>
    <x v="0"/>
    <x v="4"/>
    <x v="5"/>
    <x v="0"/>
    <x v="10"/>
    <n v="0"/>
    <x v="0"/>
  </r>
  <r>
    <x v="50"/>
    <x v="1"/>
    <x v="81"/>
    <x v="0"/>
    <x v="4"/>
    <x v="5"/>
    <x v="0"/>
    <x v="11"/>
    <n v="0"/>
    <x v="0"/>
  </r>
  <r>
    <x v="30"/>
    <x v="1"/>
    <x v="89"/>
    <x v="0"/>
    <x v="4"/>
    <x v="5"/>
    <x v="0"/>
    <x v="0"/>
    <n v="1105.2875031663343"/>
    <x v="0"/>
  </r>
  <r>
    <x v="30"/>
    <x v="1"/>
    <x v="89"/>
    <x v="0"/>
    <x v="4"/>
    <x v="5"/>
    <x v="0"/>
    <x v="1"/>
    <n v="0"/>
    <x v="0"/>
  </r>
  <r>
    <x v="30"/>
    <x v="1"/>
    <x v="89"/>
    <x v="0"/>
    <x v="4"/>
    <x v="5"/>
    <x v="0"/>
    <x v="2"/>
    <n v="0"/>
    <x v="0"/>
  </r>
  <r>
    <x v="30"/>
    <x v="1"/>
    <x v="89"/>
    <x v="0"/>
    <x v="4"/>
    <x v="5"/>
    <x v="0"/>
    <x v="3"/>
    <n v="1192.1074010040202"/>
    <x v="0"/>
  </r>
  <r>
    <x v="30"/>
    <x v="1"/>
    <x v="89"/>
    <x v="0"/>
    <x v="4"/>
    <x v="5"/>
    <x v="0"/>
    <x v="4"/>
    <n v="0"/>
    <x v="0"/>
  </r>
  <r>
    <x v="30"/>
    <x v="1"/>
    <x v="89"/>
    <x v="0"/>
    <x v="4"/>
    <x v="5"/>
    <x v="0"/>
    <x v="5"/>
    <n v="0"/>
    <x v="0"/>
  </r>
  <r>
    <x v="30"/>
    <x v="1"/>
    <x v="89"/>
    <x v="0"/>
    <x v="4"/>
    <x v="5"/>
    <x v="0"/>
    <x v="6"/>
    <n v="0"/>
    <x v="0"/>
  </r>
  <r>
    <x v="30"/>
    <x v="1"/>
    <x v="89"/>
    <x v="0"/>
    <x v="4"/>
    <x v="5"/>
    <x v="0"/>
    <x v="7"/>
    <n v="0"/>
    <x v="0"/>
  </r>
  <r>
    <x v="30"/>
    <x v="1"/>
    <x v="89"/>
    <x v="0"/>
    <x v="4"/>
    <x v="5"/>
    <x v="0"/>
    <x v="8"/>
    <n v="0"/>
    <x v="0"/>
  </r>
  <r>
    <x v="30"/>
    <x v="1"/>
    <x v="89"/>
    <x v="0"/>
    <x v="4"/>
    <x v="5"/>
    <x v="0"/>
    <x v="9"/>
    <n v="0"/>
    <x v="0"/>
  </r>
  <r>
    <x v="30"/>
    <x v="1"/>
    <x v="89"/>
    <x v="0"/>
    <x v="4"/>
    <x v="5"/>
    <x v="0"/>
    <x v="10"/>
    <n v="0"/>
    <x v="0"/>
  </r>
  <r>
    <x v="30"/>
    <x v="1"/>
    <x v="89"/>
    <x v="0"/>
    <x v="4"/>
    <x v="5"/>
    <x v="0"/>
    <x v="11"/>
    <n v="0"/>
    <x v="0"/>
  </r>
  <r>
    <x v="30"/>
    <x v="1"/>
    <x v="90"/>
    <x v="0"/>
    <x v="4"/>
    <x v="5"/>
    <x v="0"/>
    <x v="0"/>
    <n v="521.30860472031634"/>
    <x v="0"/>
  </r>
  <r>
    <x v="30"/>
    <x v="1"/>
    <x v="90"/>
    <x v="0"/>
    <x v="4"/>
    <x v="5"/>
    <x v="0"/>
    <x v="1"/>
    <n v="0"/>
    <x v="0"/>
  </r>
  <r>
    <x v="30"/>
    <x v="1"/>
    <x v="90"/>
    <x v="0"/>
    <x v="4"/>
    <x v="5"/>
    <x v="0"/>
    <x v="2"/>
    <n v="356.58570351161757"/>
    <x v="0"/>
  </r>
  <r>
    <x v="30"/>
    <x v="1"/>
    <x v="90"/>
    <x v="0"/>
    <x v="4"/>
    <x v="5"/>
    <x v="0"/>
    <x v="3"/>
    <n v="0"/>
    <x v="0"/>
  </r>
  <r>
    <x v="30"/>
    <x v="1"/>
    <x v="90"/>
    <x v="0"/>
    <x v="4"/>
    <x v="5"/>
    <x v="0"/>
    <x v="4"/>
    <n v="0"/>
    <x v="0"/>
  </r>
  <r>
    <x v="30"/>
    <x v="1"/>
    <x v="90"/>
    <x v="0"/>
    <x v="4"/>
    <x v="5"/>
    <x v="0"/>
    <x v="5"/>
    <n v="0"/>
    <x v="0"/>
  </r>
  <r>
    <x v="30"/>
    <x v="1"/>
    <x v="90"/>
    <x v="0"/>
    <x v="4"/>
    <x v="5"/>
    <x v="0"/>
    <x v="6"/>
    <n v="0"/>
    <x v="0"/>
  </r>
  <r>
    <x v="30"/>
    <x v="1"/>
    <x v="90"/>
    <x v="0"/>
    <x v="4"/>
    <x v="5"/>
    <x v="0"/>
    <x v="7"/>
    <n v="0"/>
    <x v="0"/>
  </r>
  <r>
    <x v="30"/>
    <x v="1"/>
    <x v="90"/>
    <x v="0"/>
    <x v="4"/>
    <x v="5"/>
    <x v="0"/>
    <x v="8"/>
    <n v="0"/>
    <x v="0"/>
  </r>
  <r>
    <x v="30"/>
    <x v="1"/>
    <x v="90"/>
    <x v="0"/>
    <x v="4"/>
    <x v="5"/>
    <x v="0"/>
    <x v="9"/>
    <n v="0"/>
    <x v="0"/>
  </r>
  <r>
    <x v="30"/>
    <x v="1"/>
    <x v="90"/>
    <x v="0"/>
    <x v="4"/>
    <x v="5"/>
    <x v="0"/>
    <x v="10"/>
    <n v="0"/>
    <x v="0"/>
  </r>
  <r>
    <x v="30"/>
    <x v="1"/>
    <x v="90"/>
    <x v="0"/>
    <x v="4"/>
    <x v="5"/>
    <x v="0"/>
    <x v="11"/>
    <n v="0"/>
    <x v="0"/>
  </r>
  <r>
    <x v="30"/>
    <x v="1"/>
    <x v="91"/>
    <x v="0"/>
    <x v="4"/>
    <x v="5"/>
    <x v="12"/>
    <x v="0"/>
    <n v="1114.6675624180882"/>
    <x v="0"/>
  </r>
  <r>
    <x v="30"/>
    <x v="1"/>
    <x v="91"/>
    <x v="0"/>
    <x v="4"/>
    <x v="5"/>
    <x v="12"/>
    <x v="1"/>
    <n v="0"/>
    <x v="0"/>
  </r>
  <r>
    <x v="30"/>
    <x v="1"/>
    <x v="91"/>
    <x v="0"/>
    <x v="4"/>
    <x v="5"/>
    <x v="12"/>
    <x v="2"/>
    <n v="0"/>
    <x v="0"/>
  </r>
  <r>
    <x v="30"/>
    <x v="1"/>
    <x v="91"/>
    <x v="0"/>
    <x v="4"/>
    <x v="5"/>
    <x v="12"/>
    <x v="3"/>
    <n v="0"/>
    <x v="0"/>
  </r>
  <r>
    <x v="30"/>
    <x v="1"/>
    <x v="91"/>
    <x v="0"/>
    <x v="4"/>
    <x v="5"/>
    <x v="12"/>
    <x v="4"/>
    <n v="0"/>
    <x v="0"/>
  </r>
  <r>
    <x v="30"/>
    <x v="1"/>
    <x v="91"/>
    <x v="0"/>
    <x v="4"/>
    <x v="5"/>
    <x v="12"/>
    <x v="5"/>
    <n v="0"/>
    <x v="0"/>
  </r>
  <r>
    <x v="30"/>
    <x v="1"/>
    <x v="91"/>
    <x v="0"/>
    <x v="4"/>
    <x v="5"/>
    <x v="12"/>
    <x v="6"/>
    <n v="0"/>
    <x v="0"/>
  </r>
  <r>
    <x v="30"/>
    <x v="1"/>
    <x v="91"/>
    <x v="0"/>
    <x v="4"/>
    <x v="5"/>
    <x v="12"/>
    <x v="7"/>
    <n v="0"/>
    <x v="0"/>
  </r>
  <r>
    <x v="30"/>
    <x v="1"/>
    <x v="91"/>
    <x v="0"/>
    <x v="4"/>
    <x v="5"/>
    <x v="12"/>
    <x v="8"/>
    <n v="0"/>
    <x v="0"/>
  </r>
  <r>
    <x v="30"/>
    <x v="1"/>
    <x v="91"/>
    <x v="0"/>
    <x v="4"/>
    <x v="5"/>
    <x v="12"/>
    <x v="9"/>
    <n v="0"/>
    <x v="0"/>
  </r>
  <r>
    <x v="30"/>
    <x v="1"/>
    <x v="91"/>
    <x v="0"/>
    <x v="4"/>
    <x v="5"/>
    <x v="12"/>
    <x v="10"/>
    <n v="0"/>
    <x v="0"/>
  </r>
  <r>
    <x v="30"/>
    <x v="1"/>
    <x v="91"/>
    <x v="0"/>
    <x v="4"/>
    <x v="5"/>
    <x v="12"/>
    <x v="11"/>
    <n v="0"/>
    <x v="0"/>
  </r>
  <r>
    <x v="30"/>
    <x v="1"/>
    <x v="92"/>
    <x v="1"/>
    <x v="4"/>
    <x v="5"/>
    <x v="0"/>
    <x v="0"/>
    <n v="2598.5969008469256"/>
    <x v="0"/>
  </r>
  <r>
    <x v="30"/>
    <x v="1"/>
    <x v="92"/>
    <x v="1"/>
    <x v="4"/>
    <x v="5"/>
    <x v="0"/>
    <x v="1"/>
    <n v="0"/>
    <x v="0"/>
  </r>
  <r>
    <x v="30"/>
    <x v="1"/>
    <x v="92"/>
    <x v="1"/>
    <x v="4"/>
    <x v="5"/>
    <x v="0"/>
    <x v="2"/>
    <n v="796.53693965472712"/>
    <x v="0"/>
  </r>
  <r>
    <x v="30"/>
    <x v="1"/>
    <x v="92"/>
    <x v="1"/>
    <x v="4"/>
    <x v="5"/>
    <x v="0"/>
    <x v="3"/>
    <n v="0"/>
    <x v="0"/>
  </r>
  <r>
    <x v="30"/>
    <x v="1"/>
    <x v="92"/>
    <x v="1"/>
    <x v="4"/>
    <x v="5"/>
    <x v="0"/>
    <x v="4"/>
    <n v="0"/>
    <x v="0"/>
  </r>
  <r>
    <x v="30"/>
    <x v="1"/>
    <x v="92"/>
    <x v="1"/>
    <x v="4"/>
    <x v="5"/>
    <x v="0"/>
    <x v="5"/>
    <n v="0"/>
    <x v="0"/>
  </r>
  <r>
    <x v="30"/>
    <x v="1"/>
    <x v="92"/>
    <x v="1"/>
    <x v="4"/>
    <x v="5"/>
    <x v="0"/>
    <x v="6"/>
    <n v="0"/>
    <x v="0"/>
  </r>
  <r>
    <x v="30"/>
    <x v="1"/>
    <x v="92"/>
    <x v="1"/>
    <x v="4"/>
    <x v="5"/>
    <x v="0"/>
    <x v="7"/>
    <n v="0"/>
    <x v="0"/>
  </r>
  <r>
    <x v="30"/>
    <x v="1"/>
    <x v="92"/>
    <x v="1"/>
    <x v="4"/>
    <x v="5"/>
    <x v="0"/>
    <x v="8"/>
    <n v="0"/>
    <x v="0"/>
  </r>
  <r>
    <x v="30"/>
    <x v="1"/>
    <x v="92"/>
    <x v="1"/>
    <x v="4"/>
    <x v="5"/>
    <x v="0"/>
    <x v="9"/>
    <n v="0"/>
    <x v="0"/>
  </r>
  <r>
    <x v="30"/>
    <x v="1"/>
    <x v="92"/>
    <x v="1"/>
    <x v="4"/>
    <x v="5"/>
    <x v="0"/>
    <x v="10"/>
    <n v="0"/>
    <x v="0"/>
  </r>
  <r>
    <x v="30"/>
    <x v="1"/>
    <x v="92"/>
    <x v="1"/>
    <x v="4"/>
    <x v="5"/>
    <x v="0"/>
    <x v="11"/>
    <n v="0"/>
    <x v="0"/>
  </r>
  <r>
    <x v="30"/>
    <x v="1"/>
    <x v="93"/>
    <x v="0"/>
    <x v="4"/>
    <x v="5"/>
    <x v="0"/>
    <x v="0"/>
    <n v="0"/>
    <x v="0"/>
  </r>
  <r>
    <x v="30"/>
    <x v="1"/>
    <x v="93"/>
    <x v="0"/>
    <x v="4"/>
    <x v="5"/>
    <x v="0"/>
    <x v="1"/>
    <n v="376.88491239724317"/>
    <x v="0"/>
  </r>
  <r>
    <x v="30"/>
    <x v="1"/>
    <x v="93"/>
    <x v="0"/>
    <x v="4"/>
    <x v="5"/>
    <x v="0"/>
    <x v="2"/>
    <n v="0"/>
    <x v="0"/>
  </r>
  <r>
    <x v="30"/>
    <x v="1"/>
    <x v="93"/>
    <x v="0"/>
    <x v="4"/>
    <x v="5"/>
    <x v="0"/>
    <x v="3"/>
    <n v="0"/>
    <x v="0"/>
  </r>
  <r>
    <x v="30"/>
    <x v="1"/>
    <x v="93"/>
    <x v="0"/>
    <x v="4"/>
    <x v="5"/>
    <x v="0"/>
    <x v="4"/>
    <n v="0"/>
    <x v="0"/>
  </r>
  <r>
    <x v="30"/>
    <x v="1"/>
    <x v="93"/>
    <x v="0"/>
    <x v="4"/>
    <x v="5"/>
    <x v="0"/>
    <x v="5"/>
    <n v="0"/>
    <x v="0"/>
  </r>
  <r>
    <x v="30"/>
    <x v="1"/>
    <x v="93"/>
    <x v="0"/>
    <x v="4"/>
    <x v="5"/>
    <x v="0"/>
    <x v="6"/>
    <n v="0"/>
    <x v="0"/>
  </r>
  <r>
    <x v="30"/>
    <x v="1"/>
    <x v="93"/>
    <x v="0"/>
    <x v="4"/>
    <x v="5"/>
    <x v="0"/>
    <x v="7"/>
    <n v="0"/>
    <x v="0"/>
  </r>
  <r>
    <x v="30"/>
    <x v="1"/>
    <x v="93"/>
    <x v="0"/>
    <x v="4"/>
    <x v="5"/>
    <x v="0"/>
    <x v="8"/>
    <n v="0"/>
    <x v="0"/>
  </r>
  <r>
    <x v="30"/>
    <x v="1"/>
    <x v="93"/>
    <x v="0"/>
    <x v="4"/>
    <x v="5"/>
    <x v="0"/>
    <x v="9"/>
    <n v="0"/>
    <x v="0"/>
  </r>
  <r>
    <x v="30"/>
    <x v="1"/>
    <x v="93"/>
    <x v="0"/>
    <x v="4"/>
    <x v="5"/>
    <x v="0"/>
    <x v="10"/>
    <n v="0"/>
    <x v="0"/>
  </r>
  <r>
    <x v="30"/>
    <x v="1"/>
    <x v="93"/>
    <x v="0"/>
    <x v="4"/>
    <x v="5"/>
    <x v="0"/>
    <x v="11"/>
    <n v="0"/>
    <x v="0"/>
  </r>
  <r>
    <x v="30"/>
    <x v="1"/>
    <x v="94"/>
    <x v="0"/>
    <x v="4"/>
    <x v="5"/>
    <x v="0"/>
    <x v="0"/>
    <n v="0"/>
    <x v="0"/>
  </r>
  <r>
    <x v="30"/>
    <x v="1"/>
    <x v="94"/>
    <x v="0"/>
    <x v="4"/>
    <x v="5"/>
    <x v="0"/>
    <x v="1"/>
    <n v="898.94959727642606"/>
    <x v="0"/>
  </r>
  <r>
    <x v="30"/>
    <x v="1"/>
    <x v="94"/>
    <x v="0"/>
    <x v="4"/>
    <x v="5"/>
    <x v="0"/>
    <x v="2"/>
    <n v="0"/>
    <x v="0"/>
  </r>
  <r>
    <x v="30"/>
    <x v="1"/>
    <x v="94"/>
    <x v="0"/>
    <x v="4"/>
    <x v="5"/>
    <x v="0"/>
    <x v="3"/>
    <n v="0"/>
    <x v="0"/>
  </r>
  <r>
    <x v="30"/>
    <x v="1"/>
    <x v="94"/>
    <x v="0"/>
    <x v="4"/>
    <x v="5"/>
    <x v="0"/>
    <x v="4"/>
    <n v="0"/>
    <x v="0"/>
  </r>
  <r>
    <x v="30"/>
    <x v="1"/>
    <x v="94"/>
    <x v="0"/>
    <x v="4"/>
    <x v="5"/>
    <x v="0"/>
    <x v="5"/>
    <n v="0"/>
    <x v="0"/>
  </r>
  <r>
    <x v="30"/>
    <x v="1"/>
    <x v="94"/>
    <x v="0"/>
    <x v="4"/>
    <x v="5"/>
    <x v="0"/>
    <x v="6"/>
    <n v="0"/>
    <x v="0"/>
  </r>
  <r>
    <x v="30"/>
    <x v="1"/>
    <x v="94"/>
    <x v="0"/>
    <x v="4"/>
    <x v="5"/>
    <x v="0"/>
    <x v="7"/>
    <n v="0"/>
    <x v="0"/>
  </r>
  <r>
    <x v="30"/>
    <x v="1"/>
    <x v="94"/>
    <x v="0"/>
    <x v="4"/>
    <x v="5"/>
    <x v="0"/>
    <x v="8"/>
    <n v="0"/>
    <x v="0"/>
  </r>
  <r>
    <x v="30"/>
    <x v="1"/>
    <x v="94"/>
    <x v="0"/>
    <x v="4"/>
    <x v="5"/>
    <x v="0"/>
    <x v="9"/>
    <n v="0"/>
    <x v="0"/>
  </r>
  <r>
    <x v="30"/>
    <x v="1"/>
    <x v="94"/>
    <x v="0"/>
    <x v="4"/>
    <x v="5"/>
    <x v="0"/>
    <x v="10"/>
    <n v="0"/>
    <x v="0"/>
  </r>
  <r>
    <x v="30"/>
    <x v="1"/>
    <x v="94"/>
    <x v="0"/>
    <x v="4"/>
    <x v="5"/>
    <x v="0"/>
    <x v="11"/>
    <n v="0"/>
    <x v="0"/>
  </r>
  <r>
    <x v="30"/>
    <x v="1"/>
    <x v="95"/>
    <x v="0"/>
    <x v="4"/>
    <x v="5"/>
    <x v="0"/>
    <x v="0"/>
    <n v="0"/>
    <x v="0"/>
  </r>
  <r>
    <x v="30"/>
    <x v="1"/>
    <x v="95"/>
    <x v="0"/>
    <x v="4"/>
    <x v="5"/>
    <x v="0"/>
    <x v="1"/>
    <n v="1116.9517562069252"/>
    <x v="0"/>
  </r>
  <r>
    <x v="30"/>
    <x v="1"/>
    <x v="95"/>
    <x v="0"/>
    <x v="4"/>
    <x v="5"/>
    <x v="0"/>
    <x v="2"/>
    <n v="0"/>
    <x v="0"/>
  </r>
  <r>
    <x v="30"/>
    <x v="1"/>
    <x v="95"/>
    <x v="0"/>
    <x v="4"/>
    <x v="5"/>
    <x v="0"/>
    <x v="3"/>
    <n v="0"/>
    <x v="0"/>
  </r>
  <r>
    <x v="30"/>
    <x v="1"/>
    <x v="95"/>
    <x v="0"/>
    <x v="4"/>
    <x v="5"/>
    <x v="0"/>
    <x v="4"/>
    <n v="0"/>
    <x v="0"/>
  </r>
  <r>
    <x v="30"/>
    <x v="1"/>
    <x v="95"/>
    <x v="0"/>
    <x v="4"/>
    <x v="5"/>
    <x v="0"/>
    <x v="5"/>
    <n v="0"/>
    <x v="0"/>
  </r>
  <r>
    <x v="30"/>
    <x v="1"/>
    <x v="95"/>
    <x v="0"/>
    <x v="4"/>
    <x v="5"/>
    <x v="0"/>
    <x v="6"/>
    <n v="0"/>
    <x v="0"/>
  </r>
  <r>
    <x v="30"/>
    <x v="1"/>
    <x v="95"/>
    <x v="0"/>
    <x v="4"/>
    <x v="5"/>
    <x v="0"/>
    <x v="7"/>
    <n v="0"/>
    <x v="0"/>
  </r>
  <r>
    <x v="30"/>
    <x v="1"/>
    <x v="95"/>
    <x v="0"/>
    <x v="4"/>
    <x v="5"/>
    <x v="0"/>
    <x v="8"/>
    <n v="0"/>
    <x v="0"/>
  </r>
  <r>
    <x v="30"/>
    <x v="1"/>
    <x v="95"/>
    <x v="0"/>
    <x v="4"/>
    <x v="5"/>
    <x v="0"/>
    <x v="9"/>
    <n v="0"/>
    <x v="0"/>
  </r>
  <r>
    <x v="30"/>
    <x v="1"/>
    <x v="95"/>
    <x v="0"/>
    <x v="4"/>
    <x v="5"/>
    <x v="0"/>
    <x v="10"/>
    <n v="0"/>
    <x v="0"/>
  </r>
  <r>
    <x v="30"/>
    <x v="1"/>
    <x v="95"/>
    <x v="0"/>
    <x v="4"/>
    <x v="5"/>
    <x v="0"/>
    <x v="11"/>
    <n v="0"/>
    <x v="0"/>
  </r>
  <r>
    <x v="30"/>
    <x v="1"/>
    <x v="96"/>
    <x v="0"/>
    <x v="4"/>
    <x v="5"/>
    <x v="0"/>
    <x v="0"/>
    <n v="0"/>
    <x v="0"/>
  </r>
  <r>
    <x v="30"/>
    <x v="1"/>
    <x v="96"/>
    <x v="0"/>
    <x v="4"/>
    <x v="5"/>
    <x v="0"/>
    <x v="1"/>
    <n v="282.53342190484096"/>
    <x v="0"/>
  </r>
  <r>
    <x v="30"/>
    <x v="1"/>
    <x v="96"/>
    <x v="0"/>
    <x v="4"/>
    <x v="5"/>
    <x v="0"/>
    <x v="2"/>
    <n v="0"/>
    <x v="0"/>
  </r>
  <r>
    <x v="30"/>
    <x v="1"/>
    <x v="96"/>
    <x v="0"/>
    <x v="4"/>
    <x v="5"/>
    <x v="0"/>
    <x v="3"/>
    <n v="0"/>
    <x v="0"/>
  </r>
  <r>
    <x v="30"/>
    <x v="1"/>
    <x v="96"/>
    <x v="0"/>
    <x v="4"/>
    <x v="5"/>
    <x v="0"/>
    <x v="4"/>
    <n v="0"/>
    <x v="0"/>
  </r>
  <r>
    <x v="30"/>
    <x v="1"/>
    <x v="96"/>
    <x v="0"/>
    <x v="4"/>
    <x v="5"/>
    <x v="0"/>
    <x v="5"/>
    <n v="0"/>
    <x v="0"/>
  </r>
  <r>
    <x v="30"/>
    <x v="1"/>
    <x v="96"/>
    <x v="0"/>
    <x v="4"/>
    <x v="5"/>
    <x v="0"/>
    <x v="6"/>
    <n v="0"/>
    <x v="0"/>
  </r>
  <r>
    <x v="30"/>
    <x v="1"/>
    <x v="96"/>
    <x v="0"/>
    <x v="4"/>
    <x v="5"/>
    <x v="0"/>
    <x v="7"/>
    <n v="0"/>
    <x v="0"/>
  </r>
  <r>
    <x v="30"/>
    <x v="1"/>
    <x v="96"/>
    <x v="0"/>
    <x v="4"/>
    <x v="5"/>
    <x v="0"/>
    <x v="8"/>
    <n v="0"/>
    <x v="0"/>
  </r>
  <r>
    <x v="30"/>
    <x v="1"/>
    <x v="96"/>
    <x v="0"/>
    <x v="4"/>
    <x v="5"/>
    <x v="0"/>
    <x v="9"/>
    <n v="0"/>
    <x v="0"/>
  </r>
  <r>
    <x v="30"/>
    <x v="1"/>
    <x v="96"/>
    <x v="0"/>
    <x v="4"/>
    <x v="5"/>
    <x v="0"/>
    <x v="10"/>
    <n v="0"/>
    <x v="0"/>
  </r>
  <r>
    <x v="30"/>
    <x v="1"/>
    <x v="96"/>
    <x v="0"/>
    <x v="4"/>
    <x v="5"/>
    <x v="0"/>
    <x v="11"/>
    <n v="0"/>
    <x v="0"/>
  </r>
  <r>
    <x v="30"/>
    <x v="1"/>
    <x v="97"/>
    <x v="0"/>
    <x v="4"/>
    <x v="5"/>
    <x v="13"/>
    <x v="0"/>
    <n v="0"/>
    <x v="0"/>
  </r>
  <r>
    <x v="30"/>
    <x v="1"/>
    <x v="97"/>
    <x v="0"/>
    <x v="4"/>
    <x v="5"/>
    <x v="13"/>
    <x v="1"/>
    <n v="1049.6969193722493"/>
    <x v="0"/>
  </r>
  <r>
    <x v="30"/>
    <x v="1"/>
    <x v="97"/>
    <x v="0"/>
    <x v="4"/>
    <x v="5"/>
    <x v="13"/>
    <x v="2"/>
    <n v="0"/>
    <x v="0"/>
  </r>
  <r>
    <x v="30"/>
    <x v="1"/>
    <x v="97"/>
    <x v="0"/>
    <x v="4"/>
    <x v="5"/>
    <x v="13"/>
    <x v="3"/>
    <n v="0"/>
    <x v="0"/>
  </r>
  <r>
    <x v="30"/>
    <x v="1"/>
    <x v="97"/>
    <x v="0"/>
    <x v="4"/>
    <x v="5"/>
    <x v="13"/>
    <x v="4"/>
    <n v="0"/>
    <x v="0"/>
  </r>
  <r>
    <x v="30"/>
    <x v="1"/>
    <x v="97"/>
    <x v="0"/>
    <x v="4"/>
    <x v="5"/>
    <x v="13"/>
    <x v="5"/>
    <n v="0"/>
    <x v="0"/>
  </r>
  <r>
    <x v="30"/>
    <x v="1"/>
    <x v="97"/>
    <x v="0"/>
    <x v="4"/>
    <x v="5"/>
    <x v="13"/>
    <x v="6"/>
    <n v="0"/>
    <x v="0"/>
  </r>
  <r>
    <x v="30"/>
    <x v="1"/>
    <x v="97"/>
    <x v="0"/>
    <x v="4"/>
    <x v="5"/>
    <x v="13"/>
    <x v="7"/>
    <n v="0"/>
    <x v="0"/>
  </r>
  <r>
    <x v="30"/>
    <x v="1"/>
    <x v="97"/>
    <x v="0"/>
    <x v="4"/>
    <x v="5"/>
    <x v="13"/>
    <x v="8"/>
    <n v="0"/>
    <x v="0"/>
  </r>
  <r>
    <x v="30"/>
    <x v="1"/>
    <x v="97"/>
    <x v="0"/>
    <x v="4"/>
    <x v="5"/>
    <x v="13"/>
    <x v="9"/>
    <n v="0"/>
    <x v="0"/>
  </r>
  <r>
    <x v="30"/>
    <x v="1"/>
    <x v="97"/>
    <x v="0"/>
    <x v="4"/>
    <x v="5"/>
    <x v="13"/>
    <x v="10"/>
    <n v="0"/>
    <x v="0"/>
  </r>
  <r>
    <x v="30"/>
    <x v="1"/>
    <x v="97"/>
    <x v="0"/>
    <x v="4"/>
    <x v="5"/>
    <x v="13"/>
    <x v="11"/>
    <n v="0"/>
    <x v="0"/>
  </r>
  <r>
    <x v="30"/>
    <x v="1"/>
    <x v="98"/>
    <x v="0"/>
    <x v="4"/>
    <x v="5"/>
    <x v="13"/>
    <x v="0"/>
    <n v="0"/>
    <x v="0"/>
  </r>
  <r>
    <x v="30"/>
    <x v="1"/>
    <x v="98"/>
    <x v="0"/>
    <x v="4"/>
    <x v="5"/>
    <x v="13"/>
    <x v="1"/>
    <n v="907.97870132026901"/>
    <x v="0"/>
  </r>
  <r>
    <x v="30"/>
    <x v="1"/>
    <x v="98"/>
    <x v="0"/>
    <x v="4"/>
    <x v="5"/>
    <x v="13"/>
    <x v="2"/>
    <n v="0"/>
    <x v="0"/>
  </r>
  <r>
    <x v="30"/>
    <x v="1"/>
    <x v="98"/>
    <x v="0"/>
    <x v="4"/>
    <x v="5"/>
    <x v="13"/>
    <x v="3"/>
    <n v="0"/>
    <x v="0"/>
  </r>
  <r>
    <x v="30"/>
    <x v="1"/>
    <x v="98"/>
    <x v="0"/>
    <x v="4"/>
    <x v="5"/>
    <x v="13"/>
    <x v="4"/>
    <n v="0"/>
    <x v="0"/>
  </r>
  <r>
    <x v="30"/>
    <x v="1"/>
    <x v="98"/>
    <x v="0"/>
    <x v="4"/>
    <x v="5"/>
    <x v="13"/>
    <x v="5"/>
    <n v="0"/>
    <x v="0"/>
  </r>
  <r>
    <x v="30"/>
    <x v="1"/>
    <x v="98"/>
    <x v="0"/>
    <x v="4"/>
    <x v="5"/>
    <x v="13"/>
    <x v="6"/>
    <n v="0"/>
    <x v="0"/>
  </r>
  <r>
    <x v="30"/>
    <x v="1"/>
    <x v="98"/>
    <x v="0"/>
    <x v="4"/>
    <x v="5"/>
    <x v="13"/>
    <x v="7"/>
    <n v="0"/>
    <x v="0"/>
  </r>
  <r>
    <x v="30"/>
    <x v="1"/>
    <x v="98"/>
    <x v="0"/>
    <x v="4"/>
    <x v="5"/>
    <x v="13"/>
    <x v="8"/>
    <n v="0"/>
    <x v="0"/>
  </r>
  <r>
    <x v="30"/>
    <x v="1"/>
    <x v="98"/>
    <x v="0"/>
    <x v="4"/>
    <x v="5"/>
    <x v="13"/>
    <x v="9"/>
    <n v="0"/>
    <x v="0"/>
  </r>
  <r>
    <x v="30"/>
    <x v="1"/>
    <x v="98"/>
    <x v="0"/>
    <x v="4"/>
    <x v="5"/>
    <x v="13"/>
    <x v="10"/>
    <n v="0"/>
    <x v="0"/>
  </r>
  <r>
    <x v="30"/>
    <x v="1"/>
    <x v="98"/>
    <x v="0"/>
    <x v="4"/>
    <x v="5"/>
    <x v="13"/>
    <x v="11"/>
    <n v="0"/>
    <x v="0"/>
  </r>
  <r>
    <x v="30"/>
    <x v="1"/>
    <x v="99"/>
    <x v="0"/>
    <x v="4"/>
    <x v="5"/>
    <x v="0"/>
    <x v="0"/>
    <n v="0"/>
    <x v="0"/>
  </r>
  <r>
    <x v="30"/>
    <x v="1"/>
    <x v="99"/>
    <x v="0"/>
    <x v="4"/>
    <x v="5"/>
    <x v="0"/>
    <x v="1"/>
    <n v="521.75952835672172"/>
    <x v="0"/>
  </r>
  <r>
    <x v="30"/>
    <x v="1"/>
    <x v="99"/>
    <x v="0"/>
    <x v="4"/>
    <x v="5"/>
    <x v="0"/>
    <x v="2"/>
    <n v="0"/>
    <x v="0"/>
  </r>
  <r>
    <x v="30"/>
    <x v="1"/>
    <x v="99"/>
    <x v="0"/>
    <x v="4"/>
    <x v="5"/>
    <x v="0"/>
    <x v="3"/>
    <n v="0"/>
    <x v="0"/>
  </r>
  <r>
    <x v="30"/>
    <x v="1"/>
    <x v="99"/>
    <x v="0"/>
    <x v="4"/>
    <x v="5"/>
    <x v="0"/>
    <x v="4"/>
    <n v="0"/>
    <x v="0"/>
  </r>
  <r>
    <x v="30"/>
    <x v="1"/>
    <x v="99"/>
    <x v="0"/>
    <x v="4"/>
    <x v="5"/>
    <x v="0"/>
    <x v="5"/>
    <n v="0"/>
    <x v="0"/>
  </r>
  <r>
    <x v="30"/>
    <x v="1"/>
    <x v="99"/>
    <x v="0"/>
    <x v="4"/>
    <x v="5"/>
    <x v="0"/>
    <x v="6"/>
    <n v="0"/>
    <x v="0"/>
  </r>
  <r>
    <x v="30"/>
    <x v="1"/>
    <x v="99"/>
    <x v="0"/>
    <x v="4"/>
    <x v="5"/>
    <x v="0"/>
    <x v="7"/>
    <n v="0"/>
    <x v="0"/>
  </r>
  <r>
    <x v="30"/>
    <x v="1"/>
    <x v="99"/>
    <x v="0"/>
    <x v="4"/>
    <x v="5"/>
    <x v="0"/>
    <x v="8"/>
    <n v="0"/>
    <x v="0"/>
  </r>
  <r>
    <x v="30"/>
    <x v="1"/>
    <x v="99"/>
    <x v="0"/>
    <x v="4"/>
    <x v="5"/>
    <x v="0"/>
    <x v="9"/>
    <n v="0"/>
    <x v="0"/>
  </r>
  <r>
    <x v="30"/>
    <x v="1"/>
    <x v="99"/>
    <x v="0"/>
    <x v="4"/>
    <x v="5"/>
    <x v="0"/>
    <x v="10"/>
    <n v="0"/>
    <x v="0"/>
  </r>
  <r>
    <x v="30"/>
    <x v="1"/>
    <x v="99"/>
    <x v="0"/>
    <x v="4"/>
    <x v="5"/>
    <x v="0"/>
    <x v="11"/>
    <n v="0"/>
    <x v="0"/>
  </r>
  <r>
    <x v="30"/>
    <x v="1"/>
    <x v="100"/>
    <x v="0"/>
    <x v="4"/>
    <x v="5"/>
    <x v="0"/>
    <x v="0"/>
    <n v="372.01731296600184"/>
    <x v="0"/>
  </r>
  <r>
    <x v="30"/>
    <x v="1"/>
    <x v="100"/>
    <x v="0"/>
    <x v="4"/>
    <x v="5"/>
    <x v="0"/>
    <x v="1"/>
    <n v="0"/>
    <x v="0"/>
  </r>
  <r>
    <x v="30"/>
    <x v="1"/>
    <x v="100"/>
    <x v="0"/>
    <x v="4"/>
    <x v="5"/>
    <x v="0"/>
    <x v="2"/>
    <n v="0"/>
    <x v="0"/>
  </r>
  <r>
    <x v="30"/>
    <x v="1"/>
    <x v="100"/>
    <x v="0"/>
    <x v="4"/>
    <x v="5"/>
    <x v="0"/>
    <x v="3"/>
    <n v="0"/>
    <x v="0"/>
  </r>
  <r>
    <x v="30"/>
    <x v="1"/>
    <x v="100"/>
    <x v="0"/>
    <x v="4"/>
    <x v="5"/>
    <x v="0"/>
    <x v="4"/>
    <n v="0"/>
    <x v="0"/>
  </r>
  <r>
    <x v="30"/>
    <x v="1"/>
    <x v="100"/>
    <x v="0"/>
    <x v="4"/>
    <x v="5"/>
    <x v="0"/>
    <x v="5"/>
    <n v="0"/>
    <x v="0"/>
  </r>
  <r>
    <x v="30"/>
    <x v="1"/>
    <x v="100"/>
    <x v="0"/>
    <x v="4"/>
    <x v="5"/>
    <x v="0"/>
    <x v="6"/>
    <n v="0"/>
    <x v="0"/>
  </r>
  <r>
    <x v="30"/>
    <x v="1"/>
    <x v="100"/>
    <x v="0"/>
    <x v="4"/>
    <x v="5"/>
    <x v="0"/>
    <x v="7"/>
    <n v="0"/>
    <x v="0"/>
  </r>
  <r>
    <x v="30"/>
    <x v="1"/>
    <x v="100"/>
    <x v="0"/>
    <x v="4"/>
    <x v="5"/>
    <x v="0"/>
    <x v="8"/>
    <n v="0"/>
    <x v="0"/>
  </r>
  <r>
    <x v="30"/>
    <x v="1"/>
    <x v="100"/>
    <x v="0"/>
    <x v="4"/>
    <x v="5"/>
    <x v="0"/>
    <x v="9"/>
    <n v="1022.067658303081"/>
    <x v="0"/>
  </r>
  <r>
    <x v="30"/>
    <x v="1"/>
    <x v="100"/>
    <x v="0"/>
    <x v="4"/>
    <x v="5"/>
    <x v="0"/>
    <x v="10"/>
    <n v="0"/>
    <x v="0"/>
  </r>
  <r>
    <x v="30"/>
    <x v="1"/>
    <x v="100"/>
    <x v="0"/>
    <x v="4"/>
    <x v="5"/>
    <x v="0"/>
    <x v="11"/>
    <n v="0"/>
    <x v="0"/>
  </r>
  <r>
    <x v="30"/>
    <x v="1"/>
    <x v="101"/>
    <x v="0"/>
    <x v="4"/>
    <x v="5"/>
    <x v="1"/>
    <x v="0"/>
    <n v="0"/>
    <x v="0"/>
  </r>
  <r>
    <x v="30"/>
    <x v="1"/>
    <x v="101"/>
    <x v="0"/>
    <x v="4"/>
    <x v="5"/>
    <x v="1"/>
    <x v="1"/>
    <n v="0"/>
    <x v="0"/>
  </r>
  <r>
    <x v="30"/>
    <x v="1"/>
    <x v="101"/>
    <x v="0"/>
    <x v="4"/>
    <x v="5"/>
    <x v="1"/>
    <x v="2"/>
    <n v="3357.6343330612754"/>
    <x v="0"/>
  </r>
  <r>
    <x v="30"/>
    <x v="1"/>
    <x v="101"/>
    <x v="0"/>
    <x v="4"/>
    <x v="5"/>
    <x v="1"/>
    <x v="3"/>
    <n v="0"/>
    <x v="0"/>
  </r>
  <r>
    <x v="30"/>
    <x v="1"/>
    <x v="101"/>
    <x v="0"/>
    <x v="4"/>
    <x v="5"/>
    <x v="1"/>
    <x v="4"/>
    <n v="0"/>
    <x v="0"/>
  </r>
  <r>
    <x v="30"/>
    <x v="1"/>
    <x v="101"/>
    <x v="0"/>
    <x v="4"/>
    <x v="5"/>
    <x v="1"/>
    <x v="5"/>
    <n v="0"/>
    <x v="0"/>
  </r>
  <r>
    <x v="30"/>
    <x v="1"/>
    <x v="101"/>
    <x v="0"/>
    <x v="4"/>
    <x v="5"/>
    <x v="1"/>
    <x v="6"/>
    <n v="0"/>
    <x v="0"/>
  </r>
  <r>
    <x v="30"/>
    <x v="1"/>
    <x v="101"/>
    <x v="0"/>
    <x v="4"/>
    <x v="5"/>
    <x v="1"/>
    <x v="7"/>
    <n v="0"/>
    <x v="0"/>
  </r>
  <r>
    <x v="30"/>
    <x v="1"/>
    <x v="101"/>
    <x v="0"/>
    <x v="4"/>
    <x v="5"/>
    <x v="1"/>
    <x v="8"/>
    <n v="4966.4762850757388"/>
    <x v="0"/>
  </r>
  <r>
    <x v="30"/>
    <x v="1"/>
    <x v="101"/>
    <x v="0"/>
    <x v="4"/>
    <x v="5"/>
    <x v="1"/>
    <x v="9"/>
    <n v="0"/>
    <x v="0"/>
  </r>
  <r>
    <x v="30"/>
    <x v="1"/>
    <x v="101"/>
    <x v="0"/>
    <x v="4"/>
    <x v="5"/>
    <x v="1"/>
    <x v="10"/>
    <n v="0"/>
    <x v="0"/>
  </r>
  <r>
    <x v="30"/>
    <x v="1"/>
    <x v="101"/>
    <x v="0"/>
    <x v="4"/>
    <x v="5"/>
    <x v="1"/>
    <x v="11"/>
    <n v="0"/>
    <x v="0"/>
  </r>
  <r>
    <x v="30"/>
    <x v="1"/>
    <x v="102"/>
    <x v="0"/>
    <x v="4"/>
    <x v="5"/>
    <x v="1"/>
    <x v="0"/>
    <n v="0"/>
    <x v="0"/>
  </r>
  <r>
    <x v="30"/>
    <x v="1"/>
    <x v="102"/>
    <x v="0"/>
    <x v="4"/>
    <x v="5"/>
    <x v="1"/>
    <x v="1"/>
    <n v="0"/>
    <x v="0"/>
  </r>
  <r>
    <x v="30"/>
    <x v="1"/>
    <x v="102"/>
    <x v="0"/>
    <x v="4"/>
    <x v="5"/>
    <x v="1"/>
    <x v="2"/>
    <n v="569.12896593761945"/>
    <x v="0"/>
  </r>
  <r>
    <x v="30"/>
    <x v="1"/>
    <x v="102"/>
    <x v="0"/>
    <x v="4"/>
    <x v="5"/>
    <x v="1"/>
    <x v="3"/>
    <n v="0"/>
    <x v="0"/>
  </r>
  <r>
    <x v="30"/>
    <x v="1"/>
    <x v="102"/>
    <x v="0"/>
    <x v="4"/>
    <x v="5"/>
    <x v="1"/>
    <x v="4"/>
    <n v="0"/>
    <x v="0"/>
  </r>
  <r>
    <x v="30"/>
    <x v="1"/>
    <x v="102"/>
    <x v="0"/>
    <x v="4"/>
    <x v="5"/>
    <x v="1"/>
    <x v="5"/>
    <n v="0"/>
    <x v="0"/>
  </r>
  <r>
    <x v="30"/>
    <x v="1"/>
    <x v="102"/>
    <x v="0"/>
    <x v="4"/>
    <x v="5"/>
    <x v="1"/>
    <x v="6"/>
    <n v="0"/>
    <x v="0"/>
  </r>
  <r>
    <x v="30"/>
    <x v="1"/>
    <x v="102"/>
    <x v="0"/>
    <x v="4"/>
    <x v="5"/>
    <x v="1"/>
    <x v="7"/>
    <n v="0"/>
    <x v="0"/>
  </r>
  <r>
    <x v="30"/>
    <x v="1"/>
    <x v="102"/>
    <x v="0"/>
    <x v="4"/>
    <x v="5"/>
    <x v="1"/>
    <x v="8"/>
    <n v="0"/>
    <x v="0"/>
  </r>
  <r>
    <x v="30"/>
    <x v="1"/>
    <x v="102"/>
    <x v="0"/>
    <x v="4"/>
    <x v="5"/>
    <x v="1"/>
    <x v="9"/>
    <n v="0"/>
    <x v="0"/>
  </r>
  <r>
    <x v="30"/>
    <x v="1"/>
    <x v="102"/>
    <x v="0"/>
    <x v="4"/>
    <x v="5"/>
    <x v="1"/>
    <x v="10"/>
    <n v="0"/>
    <x v="0"/>
  </r>
  <r>
    <x v="30"/>
    <x v="1"/>
    <x v="102"/>
    <x v="0"/>
    <x v="4"/>
    <x v="5"/>
    <x v="1"/>
    <x v="11"/>
    <n v="0"/>
    <x v="0"/>
  </r>
  <r>
    <x v="30"/>
    <x v="1"/>
    <x v="103"/>
    <x v="2"/>
    <x v="4"/>
    <x v="6"/>
    <x v="0"/>
    <x v="0"/>
    <n v="615.97594687166156"/>
    <x v="0"/>
  </r>
  <r>
    <x v="30"/>
    <x v="1"/>
    <x v="103"/>
    <x v="2"/>
    <x v="4"/>
    <x v="6"/>
    <x v="0"/>
    <x v="1"/>
    <n v="0"/>
    <x v="0"/>
  </r>
  <r>
    <x v="30"/>
    <x v="1"/>
    <x v="103"/>
    <x v="2"/>
    <x v="4"/>
    <x v="6"/>
    <x v="0"/>
    <x v="2"/>
    <n v="0"/>
    <x v="0"/>
  </r>
  <r>
    <x v="30"/>
    <x v="1"/>
    <x v="103"/>
    <x v="2"/>
    <x v="4"/>
    <x v="6"/>
    <x v="0"/>
    <x v="3"/>
    <n v="0"/>
    <x v="0"/>
  </r>
  <r>
    <x v="30"/>
    <x v="1"/>
    <x v="103"/>
    <x v="2"/>
    <x v="4"/>
    <x v="6"/>
    <x v="0"/>
    <x v="4"/>
    <n v="0"/>
    <x v="0"/>
  </r>
  <r>
    <x v="30"/>
    <x v="1"/>
    <x v="103"/>
    <x v="2"/>
    <x v="4"/>
    <x v="6"/>
    <x v="0"/>
    <x v="5"/>
    <n v="0"/>
    <x v="0"/>
  </r>
  <r>
    <x v="30"/>
    <x v="1"/>
    <x v="103"/>
    <x v="2"/>
    <x v="4"/>
    <x v="6"/>
    <x v="0"/>
    <x v="6"/>
    <n v="0"/>
    <x v="0"/>
  </r>
  <r>
    <x v="30"/>
    <x v="1"/>
    <x v="103"/>
    <x v="2"/>
    <x v="4"/>
    <x v="6"/>
    <x v="0"/>
    <x v="7"/>
    <n v="0"/>
    <x v="0"/>
  </r>
  <r>
    <x v="30"/>
    <x v="1"/>
    <x v="103"/>
    <x v="2"/>
    <x v="4"/>
    <x v="6"/>
    <x v="0"/>
    <x v="8"/>
    <n v="0"/>
    <x v="0"/>
  </r>
  <r>
    <x v="30"/>
    <x v="1"/>
    <x v="103"/>
    <x v="2"/>
    <x v="4"/>
    <x v="6"/>
    <x v="0"/>
    <x v="9"/>
    <n v="0"/>
    <x v="0"/>
  </r>
  <r>
    <x v="30"/>
    <x v="1"/>
    <x v="103"/>
    <x v="2"/>
    <x v="4"/>
    <x v="6"/>
    <x v="0"/>
    <x v="10"/>
    <n v="0"/>
    <x v="0"/>
  </r>
  <r>
    <x v="30"/>
    <x v="1"/>
    <x v="103"/>
    <x v="2"/>
    <x v="4"/>
    <x v="6"/>
    <x v="0"/>
    <x v="11"/>
    <n v="0"/>
    <x v="0"/>
  </r>
  <r>
    <x v="30"/>
    <x v="1"/>
    <x v="104"/>
    <x v="2"/>
    <x v="4"/>
    <x v="7"/>
    <x v="0"/>
    <x v="0"/>
    <n v="0"/>
    <x v="0"/>
  </r>
  <r>
    <x v="30"/>
    <x v="1"/>
    <x v="104"/>
    <x v="2"/>
    <x v="4"/>
    <x v="7"/>
    <x v="0"/>
    <x v="1"/>
    <n v="0"/>
    <x v="0"/>
  </r>
  <r>
    <x v="30"/>
    <x v="1"/>
    <x v="104"/>
    <x v="2"/>
    <x v="4"/>
    <x v="7"/>
    <x v="0"/>
    <x v="2"/>
    <n v="29.960844275929045"/>
    <x v="0"/>
  </r>
  <r>
    <x v="30"/>
    <x v="1"/>
    <x v="104"/>
    <x v="2"/>
    <x v="4"/>
    <x v="7"/>
    <x v="0"/>
    <x v="3"/>
    <n v="0"/>
    <x v="0"/>
  </r>
  <r>
    <x v="30"/>
    <x v="1"/>
    <x v="104"/>
    <x v="2"/>
    <x v="4"/>
    <x v="7"/>
    <x v="0"/>
    <x v="4"/>
    <n v="0"/>
    <x v="0"/>
  </r>
  <r>
    <x v="30"/>
    <x v="1"/>
    <x v="104"/>
    <x v="2"/>
    <x v="4"/>
    <x v="7"/>
    <x v="0"/>
    <x v="5"/>
    <n v="0"/>
    <x v="0"/>
  </r>
  <r>
    <x v="30"/>
    <x v="1"/>
    <x v="104"/>
    <x v="2"/>
    <x v="4"/>
    <x v="7"/>
    <x v="0"/>
    <x v="6"/>
    <n v="0"/>
    <x v="0"/>
  </r>
  <r>
    <x v="30"/>
    <x v="1"/>
    <x v="104"/>
    <x v="2"/>
    <x v="4"/>
    <x v="7"/>
    <x v="0"/>
    <x v="7"/>
    <n v="0"/>
    <x v="0"/>
  </r>
  <r>
    <x v="30"/>
    <x v="1"/>
    <x v="104"/>
    <x v="2"/>
    <x v="4"/>
    <x v="7"/>
    <x v="0"/>
    <x v="8"/>
    <n v="0"/>
    <x v="0"/>
  </r>
  <r>
    <x v="30"/>
    <x v="1"/>
    <x v="104"/>
    <x v="2"/>
    <x v="4"/>
    <x v="7"/>
    <x v="0"/>
    <x v="9"/>
    <n v="0"/>
    <x v="0"/>
  </r>
  <r>
    <x v="30"/>
    <x v="1"/>
    <x v="104"/>
    <x v="2"/>
    <x v="4"/>
    <x v="7"/>
    <x v="0"/>
    <x v="10"/>
    <n v="0"/>
    <x v="0"/>
  </r>
  <r>
    <x v="30"/>
    <x v="1"/>
    <x v="104"/>
    <x v="2"/>
    <x v="4"/>
    <x v="7"/>
    <x v="0"/>
    <x v="11"/>
    <n v="0"/>
    <x v="0"/>
  </r>
  <r>
    <x v="30"/>
    <x v="1"/>
    <x v="105"/>
    <x v="0"/>
    <x v="1"/>
    <x v="8"/>
    <x v="0"/>
    <x v="0"/>
    <n v="2621.6368021674248"/>
    <x v="0"/>
  </r>
  <r>
    <x v="30"/>
    <x v="1"/>
    <x v="105"/>
    <x v="0"/>
    <x v="1"/>
    <x v="8"/>
    <x v="0"/>
    <x v="1"/>
    <n v="0"/>
    <x v="0"/>
  </r>
  <r>
    <x v="30"/>
    <x v="1"/>
    <x v="105"/>
    <x v="0"/>
    <x v="1"/>
    <x v="8"/>
    <x v="0"/>
    <x v="2"/>
    <n v="0"/>
    <x v="0"/>
  </r>
  <r>
    <x v="30"/>
    <x v="1"/>
    <x v="105"/>
    <x v="0"/>
    <x v="1"/>
    <x v="8"/>
    <x v="0"/>
    <x v="3"/>
    <n v="0"/>
    <x v="0"/>
  </r>
  <r>
    <x v="30"/>
    <x v="1"/>
    <x v="105"/>
    <x v="0"/>
    <x v="1"/>
    <x v="8"/>
    <x v="0"/>
    <x v="4"/>
    <n v="0"/>
    <x v="0"/>
  </r>
  <r>
    <x v="30"/>
    <x v="1"/>
    <x v="105"/>
    <x v="0"/>
    <x v="1"/>
    <x v="8"/>
    <x v="0"/>
    <x v="5"/>
    <n v="0"/>
    <x v="0"/>
  </r>
  <r>
    <x v="30"/>
    <x v="1"/>
    <x v="105"/>
    <x v="0"/>
    <x v="1"/>
    <x v="8"/>
    <x v="0"/>
    <x v="6"/>
    <n v="0"/>
    <x v="0"/>
  </r>
  <r>
    <x v="30"/>
    <x v="1"/>
    <x v="105"/>
    <x v="0"/>
    <x v="1"/>
    <x v="8"/>
    <x v="0"/>
    <x v="7"/>
    <n v="0"/>
    <x v="0"/>
  </r>
  <r>
    <x v="30"/>
    <x v="1"/>
    <x v="105"/>
    <x v="0"/>
    <x v="1"/>
    <x v="8"/>
    <x v="0"/>
    <x v="8"/>
    <n v="0"/>
    <x v="0"/>
  </r>
  <r>
    <x v="30"/>
    <x v="1"/>
    <x v="105"/>
    <x v="0"/>
    <x v="1"/>
    <x v="8"/>
    <x v="0"/>
    <x v="9"/>
    <n v="0"/>
    <x v="0"/>
  </r>
  <r>
    <x v="30"/>
    <x v="1"/>
    <x v="105"/>
    <x v="0"/>
    <x v="1"/>
    <x v="8"/>
    <x v="0"/>
    <x v="10"/>
    <n v="0"/>
    <x v="0"/>
  </r>
  <r>
    <x v="30"/>
    <x v="1"/>
    <x v="105"/>
    <x v="0"/>
    <x v="1"/>
    <x v="8"/>
    <x v="0"/>
    <x v="11"/>
    <n v="0"/>
    <x v="0"/>
  </r>
  <r>
    <x v="30"/>
    <x v="1"/>
    <x v="106"/>
    <x v="0"/>
    <x v="4"/>
    <x v="5"/>
    <x v="0"/>
    <x v="0"/>
    <n v="4528.1390764215466"/>
    <x v="0"/>
  </r>
  <r>
    <x v="30"/>
    <x v="1"/>
    <x v="106"/>
    <x v="0"/>
    <x v="4"/>
    <x v="5"/>
    <x v="0"/>
    <x v="1"/>
    <n v="0"/>
    <x v="0"/>
  </r>
  <r>
    <x v="30"/>
    <x v="1"/>
    <x v="106"/>
    <x v="0"/>
    <x v="4"/>
    <x v="5"/>
    <x v="0"/>
    <x v="2"/>
    <n v="0"/>
    <x v="0"/>
  </r>
  <r>
    <x v="30"/>
    <x v="1"/>
    <x v="106"/>
    <x v="0"/>
    <x v="4"/>
    <x v="5"/>
    <x v="0"/>
    <x v="3"/>
    <n v="0"/>
    <x v="0"/>
  </r>
  <r>
    <x v="30"/>
    <x v="1"/>
    <x v="106"/>
    <x v="0"/>
    <x v="4"/>
    <x v="5"/>
    <x v="0"/>
    <x v="4"/>
    <n v="0"/>
    <x v="0"/>
  </r>
  <r>
    <x v="30"/>
    <x v="1"/>
    <x v="106"/>
    <x v="0"/>
    <x v="4"/>
    <x v="5"/>
    <x v="0"/>
    <x v="5"/>
    <n v="0"/>
    <x v="0"/>
  </r>
  <r>
    <x v="30"/>
    <x v="1"/>
    <x v="106"/>
    <x v="0"/>
    <x v="4"/>
    <x v="5"/>
    <x v="0"/>
    <x v="6"/>
    <n v="0"/>
    <x v="0"/>
  </r>
  <r>
    <x v="30"/>
    <x v="1"/>
    <x v="106"/>
    <x v="0"/>
    <x v="4"/>
    <x v="5"/>
    <x v="0"/>
    <x v="7"/>
    <n v="0"/>
    <x v="0"/>
  </r>
  <r>
    <x v="30"/>
    <x v="1"/>
    <x v="106"/>
    <x v="0"/>
    <x v="4"/>
    <x v="5"/>
    <x v="0"/>
    <x v="8"/>
    <n v="0"/>
    <x v="0"/>
  </r>
  <r>
    <x v="30"/>
    <x v="1"/>
    <x v="106"/>
    <x v="0"/>
    <x v="4"/>
    <x v="5"/>
    <x v="0"/>
    <x v="9"/>
    <n v="0"/>
    <x v="0"/>
  </r>
  <r>
    <x v="30"/>
    <x v="1"/>
    <x v="106"/>
    <x v="0"/>
    <x v="4"/>
    <x v="5"/>
    <x v="0"/>
    <x v="10"/>
    <n v="0"/>
    <x v="0"/>
  </r>
  <r>
    <x v="30"/>
    <x v="1"/>
    <x v="106"/>
    <x v="0"/>
    <x v="4"/>
    <x v="5"/>
    <x v="0"/>
    <x v="11"/>
    <n v="0"/>
    <x v="0"/>
  </r>
  <r>
    <x v="30"/>
    <x v="1"/>
    <x v="107"/>
    <x v="0"/>
    <x v="1"/>
    <x v="9"/>
    <x v="0"/>
    <x v="0"/>
    <n v="634.1523585061509"/>
    <x v="0"/>
  </r>
  <r>
    <x v="30"/>
    <x v="1"/>
    <x v="107"/>
    <x v="0"/>
    <x v="1"/>
    <x v="9"/>
    <x v="0"/>
    <x v="1"/>
    <n v="160.97214149298347"/>
    <x v="0"/>
  </r>
  <r>
    <x v="30"/>
    <x v="1"/>
    <x v="107"/>
    <x v="0"/>
    <x v="1"/>
    <x v="9"/>
    <x v="0"/>
    <x v="2"/>
    <n v="0"/>
    <x v="0"/>
  </r>
  <r>
    <x v="30"/>
    <x v="1"/>
    <x v="107"/>
    <x v="0"/>
    <x v="1"/>
    <x v="9"/>
    <x v="0"/>
    <x v="3"/>
    <n v="0"/>
    <x v="0"/>
  </r>
  <r>
    <x v="30"/>
    <x v="1"/>
    <x v="107"/>
    <x v="0"/>
    <x v="1"/>
    <x v="9"/>
    <x v="0"/>
    <x v="4"/>
    <n v="0"/>
    <x v="0"/>
  </r>
  <r>
    <x v="30"/>
    <x v="1"/>
    <x v="107"/>
    <x v="0"/>
    <x v="1"/>
    <x v="9"/>
    <x v="0"/>
    <x v="5"/>
    <n v="0"/>
    <x v="0"/>
  </r>
  <r>
    <x v="30"/>
    <x v="1"/>
    <x v="107"/>
    <x v="0"/>
    <x v="1"/>
    <x v="9"/>
    <x v="0"/>
    <x v="6"/>
    <n v="0"/>
    <x v="0"/>
  </r>
  <r>
    <x v="30"/>
    <x v="1"/>
    <x v="107"/>
    <x v="0"/>
    <x v="1"/>
    <x v="9"/>
    <x v="0"/>
    <x v="7"/>
    <n v="0"/>
    <x v="0"/>
  </r>
  <r>
    <x v="30"/>
    <x v="1"/>
    <x v="107"/>
    <x v="0"/>
    <x v="1"/>
    <x v="9"/>
    <x v="0"/>
    <x v="8"/>
    <n v="0"/>
    <x v="0"/>
  </r>
  <r>
    <x v="30"/>
    <x v="1"/>
    <x v="107"/>
    <x v="0"/>
    <x v="1"/>
    <x v="9"/>
    <x v="0"/>
    <x v="9"/>
    <n v="0"/>
    <x v="0"/>
  </r>
  <r>
    <x v="30"/>
    <x v="1"/>
    <x v="107"/>
    <x v="0"/>
    <x v="1"/>
    <x v="9"/>
    <x v="0"/>
    <x v="10"/>
    <n v="0"/>
    <x v="0"/>
  </r>
  <r>
    <x v="30"/>
    <x v="1"/>
    <x v="107"/>
    <x v="0"/>
    <x v="1"/>
    <x v="9"/>
    <x v="0"/>
    <x v="11"/>
    <n v="0"/>
    <x v="0"/>
  </r>
  <r>
    <x v="30"/>
    <x v="1"/>
    <x v="108"/>
    <x v="0"/>
    <x v="4"/>
    <x v="4"/>
    <x v="1"/>
    <x v="0"/>
    <n v="6975.3929008028726"/>
    <x v="0"/>
  </r>
  <r>
    <x v="30"/>
    <x v="1"/>
    <x v="108"/>
    <x v="0"/>
    <x v="4"/>
    <x v="4"/>
    <x v="1"/>
    <x v="1"/>
    <n v="1501.7489412936975"/>
    <x v="0"/>
  </r>
  <r>
    <x v="30"/>
    <x v="1"/>
    <x v="108"/>
    <x v="0"/>
    <x v="4"/>
    <x v="4"/>
    <x v="1"/>
    <x v="2"/>
    <n v="0"/>
    <x v="0"/>
  </r>
  <r>
    <x v="30"/>
    <x v="1"/>
    <x v="108"/>
    <x v="0"/>
    <x v="4"/>
    <x v="4"/>
    <x v="1"/>
    <x v="3"/>
    <n v="0"/>
    <x v="0"/>
  </r>
  <r>
    <x v="30"/>
    <x v="1"/>
    <x v="108"/>
    <x v="0"/>
    <x v="4"/>
    <x v="4"/>
    <x v="1"/>
    <x v="4"/>
    <n v="0"/>
    <x v="0"/>
  </r>
  <r>
    <x v="30"/>
    <x v="1"/>
    <x v="108"/>
    <x v="0"/>
    <x v="4"/>
    <x v="4"/>
    <x v="1"/>
    <x v="5"/>
    <n v="0"/>
    <x v="0"/>
  </r>
  <r>
    <x v="30"/>
    <x v="1"/>
    <x v="108"/>
    <x v="0"/>
    <x v="4"/>
    <x v="4"/>
    <x v="1"/>
    <x v="6"/>
    <n v="0"/>
    <x v="0"/>
  </r>
  <r>
    <x v="30"/>
    <x v="1"/>
    <x v="108"/>
    <x v="0"/>
    <x v="4"/>
    <x v="4"/>
    <x v="1"/>
    <x v="7"/>
    <n v="0"/>
    <x v="0"/>
  </r>
  <r>
    <x v="30"/>
    <x v="1"/>
    <x v="108"/>
    <x v="0"/>
    <x v="4"/>
    <x v="4"/>
    <x v="1"/>
    <x v="8"/>
    <n v="0"/>
    <x v="0"/>
  </r>
  <r>
    <x v="30"/>
    <x v="1"/>
    <x v="108"/>
    <x v="0"/>
    <x v="4"/>
    <x v="4"/>
    <x v="1"/>
    <x v="9"/>
    <n v="0"/>
    <x v="0"/>
  </r>
  <r>
    <x v="30"/>
    <x v="1"/>
    <x v="108"/>
    <x v="0"/>
    <x v="4"/>
    <x v="4"/>
    <x v="1"/>
    <x v="10"/>
    <n v="0"/>
    <x v="0"/>
  </r>
  <r>
    <x v="30"/>
    <x v="1"/>
    <x v="108"/>
    <x v="0"/>
    <x v="4"/>
    <x v="4"/>
    <x v="1"/>
    <x v="11"/>
    <n v="0"/>
    <x v="0"/>
  </r>
  <r>
    <x v="30"/>
    <x v="1"/>
    <x v="109"/>
    <x v="0"/>
    <x v="4"/>
    <x v="4"/>
    <x v="1"/>
    <x v="0"/>
    <n v="4756.2880648465289"/>
    <x v="0"/>
  </r>
  <r>
    <x v="30"/>
    <x v="1"/>
    <x v="109"/>
    <x v="0"/>
    <x v="4"/>
    <x v="4"/>
    <x v="1"/>
    <x v="1"/>
    <n v="3749.3180685875609"/>
    <x v="0"/>
  </r>
  <r>
    <x v="30"/>
    <x v="1"/>
    <x v="109"/>
    <x v="0"/>
    <x v="4"/>
    <x v="4"/>
    <x v="1"/>
    <x v="2"/>
    <n v="0"/>
    <x v="0"/>
  </r>
  <r>
    <x v="30"/>
    <x v="1"/>
    <x v="109"/>
    <x v="0"/>
    <x v="4"/>
    <x v="4"/>
    <x v="1"/>
    <x v="3"/>
    <n v="0"/>
    <x v="0"/>
  </r>
  <r>
    <x v="30"/>
    <x v="1"/>
    <x v="109"/>
    <x v="0"/>
    <x v="4"/>
    <x v="4"/>
    <x v="1"/>
    <x v="4"/>
    <n v="0"/>
    <x v="0"/>
  </r>
  <r>
    <x v="30"/>
    <x v="1"/>
    <x v="109"/>
    <x v="0"/>
    <x v="4"/>
    <x v="4"/>
    <x v="1"/>
    <x v="5"/>
    <n v="0"/>
    <x v="0"/>
  </r>
  <r>
    <x v="30"/>
    <x v="1"/>
    <x v="109"/>
    <x v="0"/>
    <x v="4"/>
    <x v="4"/>
    <x v="1"/>
    <x v="6"/>
    <n v="0"/>
    <x v="0"/>
  </r>
  <r>
    <x v="30"/>
    <x v="1"/>
    <x v="109"/>
    <x v="0"/>
    <x v="4"/>
    <x v="4"/>
    <x v="1"/>
    <x v="7"/>
    <n v="0"/>
    <x v="0"/>
  </r>
  <r>
    <x v="30"/>
    <x v="1"/>
    <x v="109"/>
    <x v="0"/>
    <x v="4"/>
    <x v="4"/>
    <x v="1"/>
    <x v="8"/>
    <n v="0"/>
    <x v="0"/>
  </r>
  <r>
    <x v="30"/>
    <x v="1"/>
    <x v="109"/>
    <x v="0"/>
    <x v="4"/>
    <x v="4"/>
    <x v="1"/>
    <x v="9"/>
    <n v="0"/>
    <x v="0"/>
  </r>
  <r>
    <x v="30"/>
    <x v="1"/>
    <x v="109"/>
    <x v="0"/>
    <x v="4"/>
    <x v="4"/>
    <x v="1"/>
    <x v="10"/>
    <n v="0"/>
    <x v="0"/>
  </r>
  <r>
    <x v="30"/>
    <x v="1"/>
    <x v="109"/>
    <x v="0"/>
    <x v="4"/>
    <x v="4"/>
    <x v="1"/>
    <x v="11"/>
    <n v="0"/>
    <x v="0"/>
  </r>
  <r>
    <x v="30"/>
    <x v="1"/>
    <x v="110"/>
    <x v="2"/>
    <x v="4"/>
    <x v="4"/>
    <x v="0"/>
    <x v="0"/>
    <n v="371.48647011530966"/>
    <x v="0"/>
  </r>
  <r>
    <x v="30"/>
    <x v="1"/>
    <x v="110"/>
    <x v="2"/>
    <x v="4"/>
    <x v="4"/>
    <x v="0"/>
    <x v="1"/>
    <n v="0"/>
    <x v="0"/>
  </r>
  <r>
    <x v="30"/>
    <x v="1"/>
    <x v="110"/>
    <x v="2"/>
    <x v="4"/>
    <x v="4"/>
    <x v="0"/>
    <x v="2"/>
    <n v="0"/>
    <x v="0"/>
  </r>
  <r>
    <x v="30"/>
    <x v="1"/>
    <x v="110"/>
    <x v="2"/>
    <x v="4"/>
    <x v="4"/>
    <x v="0"/>
    <x v="3"/>
    <n v="0"/>
    <x v="0"/>
  </r>
  <r>
    <x v="30"/>
    <x v="1"/>
    <x v="110"/>
    <x v="2"/>
    <x v="4"/>
    <x v="4"/>
    <x v="0"/>
    <x v="4"/>
    <n v="0"/>
    <x v="0"/>
  </r>
  <r>
    <x v="30"/>
    <x v="1"/>
    <x v="110"/>
    <x v="2"/>
    <x v="4"/>
    <x v="4"/>
    <x v="0"/>
    <x v="5"/>
    <n v="0"/>
    <x v="0"/>
  </r>
  <r>
    <x v="30"/>
    <x v="1"/>
    <x v="110"/>
    <x v="2"/>
    <x v="4"/>
    <x v="4"/>
    <x v="0"/>
    <x v="6"/>
    <n v="0"/>
    <x v="0"/>
  </r>
  <r>
    <x v="30"/>
    <x v="1"/>
    <x v="110"/>
    <x v="2"/>
    <x v="4"/>
    <x v="4"/>
    <x v="0"/>
    <x v="7"/>
    <n v="0"/>
    <x v="0"/>
  </r>
  <r>
    <x v="30"/>
    <x v="1"/>
    <x v="110"/>
    <x v="2"/>
    <x v="4"/>
    <x v="4"/>
    <x v="0"/>
    <x v="8"/>
    <n v="0"/>
    <x v="0"/>
  </r>
  <r>
    <x v="30"/>
    <x v="1"/>
    <x v="110"/>
    <x v="2"/>
    <x v="4"/>
    <x v="4"/>
    <x v="0"/>
    <x v="9"/>
    <n v="0"/>
    <x v="0"/>
  </r>
  <r>
    <x v="30"/>
    <x v="1"/>
    <x v="110"/>
    <x v="2"/>
    <x v="4"/>
    <x v="4"/>
    <x v="0"/>
    <x v="10"/>
    <n v="0"/>
    <x v="0"/>
  </r>
  <r>
    <x v="30"/>
    <x v="1"/>
    <x v="110"/>
    <x v="2"/>
    <x v="4"/>
    <x v="4"/>
    <x v="0"/>
    <x v="11"/>
    <n v="0"/>
    <x v="0"/>
  </r>
  <r>
    <x v="30"/>
    <x v="1"/>
    <x v="111"/>
    <x v="0"/>
    <x v="4"/>
    <x v="5"/>
    <x v="1"/>
    <x v="0"/>
    <n v="8830.2393198162972"/>
    <x v="0"/>
  </r>
  <r>
    <x v="30"/>
    <x v="1"/>
    <x v="111"/>
    <x v="0"/>
    <x v="4"/>
    <x v="5"/>
    <x v="1"/>
    <x v="1"/>
    <n v="0"/>
    <x v="0"/>
  </r>
  <r>
    <x v="30"/>
    <x v="1"/>
    <x v="111"/>
    <x v="0"/>
    <x v="4"/>
    <x v="5"/>
    <x v="1"/>
    <x v="2"/>
    <n v="0"/>
    <x v="0"/>
  </r>
  <r>
    <x v="30"/>
    <x v="1"/>
    <x v="111"/>
    <x v="0"/>
    <x v="4"/>
    <x v="5"/>
    <x v="1"/>
    <x v="3"/>
    <n v="0"/>
    <x v="0"/>
  </r>
  <r>
    <x v="30"/>
    <x v="1"/>
    <x v="111"/>
    <x v="0"/>
    <x v="4"/>
    <x v="5"/>
    <x v="1"/>
    <x v="4"/>
    <n v="0"/>
    <x v="0"/>
  </r>
  <r>
    <x v="30"/>
    <x v="1"/>
    <x v="111"/>
    <x v="0"/>
    <x v="4"/>
    <x v="5"/>
    <x v="1"/>
    <x v="5"/>
    <n v="0"/>
    <x v="0"/>
  </r>
  <r>
    <x v="30"/>
    <x v="1"/>
    <x v="111"/>
    <x v="0"/>
    <x v="4"/>
    <x v="5"/>
    <x v="1"/>
    <x v="6"/>
    <n v="0"/>
    <x v="0"/>
  </r>
  <r>
    <x v="30"/>
    <x v="1"/>
    <x v="111"/>
    <x v="0"/>
    <x v="4"/>
    <x v="5"/>
    <x v="1"/>
    <x v="7"/>
    <n v="0"/>
    <x v="0"/>
  </r>
  <r>
    <x v="30"/>
    <x v="1"/>
    <x v="111"/>
    <x v="0"/>
    <x v="4"/>
    <x v="5"/>
    <x v="1"/>
    <x v="8"/>
    <n v="0"/>
    <x v="0"/>
  </r>
  <r>
    <x v="30"/>
    <x v="1"/>
    <x v="111"/>
    <x v="0"/>
    <x v="4"/>
    <x v="5"/>
    <x v="1"/>
    <x v="9"/>
    <n v="0"/>
    <x v="0"/>
  </r>
  <r>
    <x v="30"/>
    <x v="1"/>
    <x v="111"/>
    <x v="0"/>
    <x v="4"/>
    <x v="5"/>
    <x v="1"/>
    <x v="10"/>
    <n v="0"/>
    <x v="0"/>
  </r>
  <r>
    <x v="30"/>
    <x v="1"/>
    <x v="111"/>
    <x v="0"/>
    <x v="4"/>
    <x v="5"/>
    <x v="1"/>
    <x v="11"/>
    <n v="0"/>
    <x v="0"/>
  </r>
  <r>
    <x v="30"/>
    <x v="1"/>
    <x v="112"/>
    <x v="0"/>
    <x v="4"/>
    <x v="6"/>
    <x v="13"/>
    <x v="0"/>
    <n v="0"/>
    <x v="0"/>
  </r>
  <r>
    <x v="30"/>
    <x v="1"/>
    <x v="112"/>
    <x v="0"/>
    <x v="4"/>
    <x v="6"/>
    <x v="13"/>
    <x v="1"/>
    <n v="352.01984555343353"/>
    <x v="0"/>
  </r>
  <r>
    <x v="30"/>
    <x v="1"/>
    <x v="112"/>
    <x v="0"/>
    <x v="4"/>
    <x v="6"/>
    <x v="13"/>
    <x v="2"/>
    <n v="0"/>
    <x v="0"/>
  </r>
  <r>
    <x v="30"/>
    <x v="1"/>
    <x v="112"/>
    <x v="0"/>
    <x v="4"/>
    <x v="6"/>
    <x v="13"/>
    <x v="3"/>
    <n v="0"/>
    <x v="0"/>
  </r>
  <r>
    <x v="30"/>
    <x v="1"/>
    <x v="112"/>
    <x v="0"/>
    <x v="4"/>
    <x v="6"/>
    <x v="13"/>
    <x v="4"/>
    <n v="0"/>
    <x v="0"/>
  </r>
  <r>
    <x v="30"/>
    <x v="1"/>
    <x v="112"/>
    <x v="0"/>
    <x v="4"/>
    <x v="6"/>
    <x v="13"/>
    <x v="5"/>
    <n v="0"/>
    <x v="0"/>
  </r>
  <r>
    <x v="30"/>
    <x v="1"/>
    <x v="112"/>
    <x v="0"/>
    <x v="4"/>
    <x v="6"/>
    <x v="13"/>
    <x v="6"/>
    <n v="0"/>
    <x v="0"/>
  </r>
  <r>
    <x v="30"/>
    <x v="1"/>
    <x v="112"/>
    <x v="0"/>
    <x v="4"/>
    <x v="6"/>
    <x v="13"/>
    <x v="7"/>
    <n v="0"/>
    <x v="0"/>
  </r>
  <r>
    <x v="30"/>
    <x v="1"/>
    <x v="112"/>
    <x v="0"/>
    <x v="4"/>
    <x v="6"/>
    <x v="13"/>
    <x v="8"/>
    <n v="0"/>
    <x v="0"/>
  </r>
  <r>
    <x v="30"/>
    <x v="1"/>
    <x v="112"/>
    <x v="0"/>
    <x v="4"/>
    <x v="6"/>
    <x v="13"/>
    <x v="9"/>
    <n v="0"/>
    <x v="0"/>
  </r>
  <r>
    <x v="30"/>
    <x v="1"/>
    <x v="112"/>
    <x v="0"/>
    <x v="4"/>
    <x v="6"/>
    <x v="13"/>
    <x v="10"/>
    <n v="0"/>
    <x v="0"/>
  </r>
  <r>
    <x v="30"/>
    <x v="1"/>
    <x v="112"/>
    <x v="0"/>
    <x v="4"/>
    <x v="6"/>
    <x v="13"/>
    <x v="11"/>
    <n v="0"/>
    <x v="0"/>
  </r>
  <r>
    <x v="30"/>
    <x v="1"/>
    <x v="113"/>
    <x v="2"/>
    <x v="3"/>
    <x v="9"/>
    <x v="0"/>
    <x v="0"/>
    <n v="43.40356171323473"/>
    <x v="0"/>
  </r>
  <r>
    <x v="30"/>
    <x v="1"/>
    <x v="113"/>
    <x v="2"/>
    <x v="3"/>
    <x v="9"/>
    <x v="0"/>
    <x v="1"/>
    <n v="0"/>
    <x v="0"/>
  </r>
  <r>
    <x v="30"/>
    <x v="1"/>
    <x v="113"/>
    <x v="2"/>
    <x v="3"/>
    <x v="9"/>
    <x v="0"/>
    <x v="2"/>
    <n v="40.791172915396778"/>
    <x v="0"/>
  </r>
  <r>
    <x v="30"/>
    <x v="1"/>
    <x v="113"/>
    <x v="2"/>
    <x v="3"/>
    <x v="9"/>
    <x v="0"/>
    <x v="3"/>
    <n v="0"/>
    <x v="0"/>
  </r>
  <r>
    <x v="30"/>
    <x v="1"/>
    <x v="113"/>
    <x v="2"/>
    <x v="3"/>
    <x v="9"/>
    <x v="0"/>
    <x v="4"/>
    <n v="0"/>
    <x v="0"/>
  </r>
  <r>
    <x v="30"/>
    <x v="1"/>
    <x v="113"/>
    <x v="2"/>
    <x v="3"/>
    <x v="9"/>
    <x v="0"/>
    <x v="5"/>
    <n v="0"/>
    <x v="0"/>
  </r>
  <r>
    <x v="30"/>
    <x v="1"/>
    <x v="113"/>
    <x v="2"/>
    <x v="3"/>
    <x v="9"/>
    <x v="0"/>
    <x v="6"/>
    <n v="0"/>
    <x v="0"/>
  </r>
  <r>
    <x v="30"/>
    <x v="1"/>
    <x v="113"/>
    <x v="2"/>
    <x v="3"/>
    <x v="9"/>
    <x v="0"/>
    <x v="7"/>
    <n v="0"/>
    <x v="0"/>
  </r>
  <r>
    <x v="30"/>
    <x v="1"/>
    <x v="113"/>
    <x v="2"/>
    <x v="3"/>
    <x v="9"/>
    <x v="0"/>
    <x v="8"/>
    <n v="0"/>
    <x v="0"/>
  </r>
  <r>
    <x v="30"/>
    <x v="1"/>
    <x v="113"/>
    <x v="2"/>
    <x v="3"/>
    <x v="9"/>
    <x v="0"/>
    <x v="9"/>
    <n v="0"/>
    <x v="0"/>
  </r>
  <r>
    <x v="30"/>
    <x v="1"/>
    <x v="113"/>
    <x v="2"/>
    <x v="3"/>
    <x v="9"/>
    <x v="0"/>
    <x v="10"/>
    <n v="0"/>
    <x v="0"/>
  </r>
  <r>
    <x v="30"/>
    <x v="1"/>
    <x v="113"/>
    <x v="2"/>
    <x v="3"/>
    <x v="9"/>
    <x v="0"/>
    <x v="11"/>
    <n v="0"/>
    <x v="0"/>
  </r>
  <r>
    <x v="30"/>
    <x v="1"/>
    <x v="114"/>
    <x v="2"/>
    <x v="3"/>
    <x v="9"/>
    <x v="0"/>
    <x v="0"/>
    <n v="59.50506062842102"/>
    <x v="0"/>
  </r>
  <r>
    <x v="30"/>
    <x v="1"/>
    <x v="114"/>
    <x v="2"/>
    <x v="3"/>
    <x v="9"/>
    <x v="0"/>
    <x v="1"/>
    <n v="0"/>
    <x v="0"/>
  </r>
  <r>
    <x v="30"/>
    <x v="1"/>
    <x v="114"/>
    <x v="2"/>
    <x v="3"/>
    <x v="9"/>
    <x v="0"/>
    <x v="2"/>
    <n v="21.726777762854752"/>
    <x v="0"/>
  </r>
  <r>
    <x v="30"/>
    <x v="1"/>
    <x v="114"/>
    <x v="2"/>
    <x v="3"/>
    <x v="9"/>
    <x v="0"/>
    <x v="3"/>
    <n v="0"/>
    <x v="0"/>
  </r>
  <r>
    <x v="30"/>
    <x v="1"/>
    <x v="114"/>
    <x v="2"/>
    <x v="3"/>
    <x v="9"/>
    <x v="0"/>
    <x v="4"/>
    <n v="0"/>
    <x v="0"/>
  </r>
  <r>
    <x v="30"/>
    <x v="1"/>
    <x v="114"/>
    <x v="2"/>
    <x v="3"/>
    <x v="9"/>
    <x v="0"/>
    <x v="5"/>
    <n v="0"/>
    <x v="0"/>
  </r>
  <r>
    <x v="30"/>
    <x v="1"/>
    <x v="114"/>
    <x v="2"/>
    <x v="3"/>
    <x v="9"/>
    <x v="0"/>
    <x v="6"/>
    <n v="0"/>
    <x v="0"/>
  </r>
  <r>
    <x v="30"/>
    <x v="1"/>
    <x v="114"/>
    <x v="2"/>
    <x v="3"/>
    <x v="9"/>
    <x v="0"/>
    <x v="7"/>
    <n v="0"/>
    <x v="0"/>
  </r>
  <r>
    <x v="30"/>
    <x v="1"/>
    <x v="114"/>
    <x v="2"/>
    <x v="3"/>
    <x v="9"/>
    <x v="0"/>
    <x v="8"/>
    <n v="0"/>
    <x v="0"/>
  </r>
  <r>
    <x v="30"/>
    <x v="1"/>
    <x v="114"/>
    <x v="2"/>
    <x v="3"/>
    <x v="9"/>
    <x v="0"/>
    <x v="9"/>
    <n v="0"/>
    <x v="0"/>
  </r>
  <r>
    <x v="30"/>
    <x v="1"/>
    <x v="114"/>
    <x v="2"/>
    <x v="3"/>
    <x v="9"/>
    <x v="0"/>
    <x v="10"/>
    <n v="0"/>
    <x v="0"/>
  </r>
  <r>
    <x v="30"/>
    <x v="1"/>
    <x v="114"/>
    <x v="2"/>
    <x v="3"/>
    <x v="9"/>
    <x v="0"/>
    <x v="11"/>
    <n v="0"/>
    <x v="0"/>
  </r>
  <r>
    <x v="30"/>
    <x v="1"/>
    <x v="115"/>
    <x v="0"/>
    <x v="5"/>
    <x v="10"/>
    <x v="0"/>
    <x v="0"/>
    <n v="10674.305884426039"/>
    <x v="0"/>
  </r>
  <r>
    <x v="30"/>
    <x v="1"/>
    <x v="115"/>
    <x v="0"/>
    <x v="5"/>
    <x v="10"/>
    <x v="0"/>
    <x v="1"/>
    <n v="0"/>
    <x v="0"/>
  </r>
  <r>
    <x v="30"/>
    <x v="1"/>
    <x v="115"/>
    <x v="0"/>
    <x v="5"/>
    <x v="10"/>
    <x v="0"/>
    <x v="2"/>
    <n v="0"/>
    <x v="0"/>
  </r>
  <r>
    <x v="30"/>
    <x v="1"/>
    <x v="115"/>
    <x v="0"/>
    <x v="5"/>
    <x v="10"/>
    <x v="0"/>
    <x v="3"/>
    <n v="0"/>
    <x v="0"/>
  </r>
  <r>
    <x v="30"/>
    <x v="1"/>
    <x v="115"/>
    <x v="0"/>
    <x v="5"/>
    <x v="10"/>
    <x v="0"/>
    <x v="4"/>
    <n v="0"/>
    <x v="0"/>
  </r>
  <r>
    <x v="30"/>
    <x v="1"/>
    <x v="115"/>
    <x v="0"/>
    <x v="5"/>
    <x v="10"/>
    <x v="0"/>
    <x v="5"/>
    <n v="0"/>
    <x v="0"/>
  </r>
  <r>
    <x v="30"/>
    <x v="1"/>
    <x v="115"/>
    <x v="0"/>
    <x v="5"/>
    <x v="10"/>
    <x v="0"/>
    <x v="6"/>
    <n v="0"/>
    <x v="0"/>
  </r>
  <r>
    <x v="30"/>
    <x v="1"/>
    <x v="115"/>
    <x v="0"/>
    <x v="5"/>
    <x v="10"/>
    <x v="0"/>
    <x v="7"/>
    <n v="0"/>
    <x v="0"/>
  </r>
  <r>
    <x v="30"/>
    <x v="1"/>
    <x v="115"/>
    <x v="0"/>
    <x v="5"/>
    <x v="10"/>
    <x v="0"/>
    <x v="8"/>
    <n v="0"/>
    <x v="0"/>
  </r>
  <r>
    <x v="30"/>
    <x v="1"/>
    <x v="115"/>
    <x v="0"/>
    <x v="5"/>
    <x v="10"/>
    <x v="0"/>
    <x v="9"/>
    <n v="0"/>
    <x v="0"/>
  </r>
  <r>
    <x v="30"/>
    <x v="1"/>
    <x v="115"/>
    <x v="0"/>
    <x v="5"/>
    <x v="10"/>
    <x v="0"/>
    <x v="10"/>
    <n v="0"/>
    <x v="0"/>
  </r>
  <r>
    <x v="30"/>
    <x v="1"/>
    <x v="115"/>
    <x v="0"/>
    <x v="5"/>
    <x v="10"/>
    <x v="0"/>
    <x v="11"/>
    <n v="0"/>
    <x v="0"/>
  </r>
  <r>
    <x v="30"/>
    <x v="1"/>
    <x v="116"/>
    <x v="0"/>
    <x v="5"/>
    <x v="10"/>
    <x v="0"/>
    <x v="0"/>
    <n v="1040.5874514036498"/>
    <x v="0"/>
  </r>
  <r>
    <x v="30"/>
    <x v="1"/>
    <x v="116"/>
    <x v="0"/>
    <x v="5"/>
    <x v="10"/>
    <x v="0"/>
    <x v="1"/>
    <n v="519.32450386116409"/>
    <x v="0"/>
  </r>
  <r>
    <x v="30"/>
    <x v="1"/>
    <x v="116"/>
    <x v="0"/>
    <x v="5"/>
    <x v="10"/>
    <x v="0"/>
    <x v="2"/>
    <n v="0"/>
    <x v="0"/>
  </r>
  <r>
    <x v="30"/>
    <x v="1"/>
    <x v="116"/>
    <x v="0"/>
    <x v="5"/>
    <x v="10"/>
    <x v="0"/>
    <x v="3"/>
    <n v="0"/>
    <x v="0"/>
  </r>
  <r>
    <x v="30"/>
    <x v="1"/>
    <x v="116"/>
    <x v="0"/>
    <x v="5"/>
    <x v="10"/>
    <x v="0"/>
    <x v="4"/>
    <n v="4112.9766418268182"/>
    <x v="0"/>
  </r>
  <r>
    <x v="30"/>
    <x v="1"/>
    <x v="116"/>
    <x v="0"/>
    <x v="5"/>
    <x v="10"/>
    <x v="0"/>
    <x v="5"/>
    <n v="0"/>
    <x v="0"/>
  </r>
  <r>
    <x v="30"/>
    <x v="1"/>
    <x v="116"/>
    <x v="0"/>
    <x v="5"/>
    <x v="10"/>
    <x v="0"/>
    <x v="6"/>
    <n v="2910.1433508255473"/>
    <x v="0"/>
  </r>
  <r>
    <x v="30"/>
    <x v="1"/>
    <x v="116"/>
    <x v="0"/>
    <x v="5"/>
    <x v="10"/>
    <x v="0"/>
    <x v="7"/>
    <n v="202.59167652435747"/>
    <x v="0"/>
  </r>
  <r>
    <x v="30"/>
    <x v="1"/>
    <x v="116"/>
    <x v="0"/>
    <x v="5"/>
    <x v="10"/>
    <x v="0"/>
    <x v="8"/>
    <n v="0"/>
    <x v="0"/>
  </r>
  <r>
    <x v="30"/>
    <x v="1"/>
    <x v="116"/>
    <x v="0"/>
    <x v="5"/>
    <x v="10"/>
    <x v="0"/>
    <x v="9"/>
    <n v="0"/>
    <x v="0"/>
  </r>
  <r>
    <x v="30"/>
    <x v="1"/>
    <x v="116"/>
    <x v="0"/>
    <x v="5"/>
    <x v="10"/>
    <x v="0"/>
    <x v="10"/>
    <n v="538.01520479155238"/>
    <x v="0"/>
  </r>
  <r>
    <x v="30"/>
    <x v="1"/>
    <x v="116"/>
    <x v="0"/>
    <x v="5"/>
    <x v="10"/>
    <x v="0"/>
    <x v="11"/>
    <n v="538.01520479155238"/>
    <x v="0"/>
  </r>
  <r>
    <x v="30"/>
    <x v="1"/>
    <x v="117"/>
    <x v="0"/>
    <x v="3"/>
    <x v="11"/>
    <x v="0"/>
    <x v="0"/>
    <n v="1887.7773984294981"/>
    <x v="0"/>
  </r>
  <r>
    <x v="30"/>
    <x v="1"/>
    <x v="117"/>
    <x v="0"/>
    <x v="3"/>
    <x v="11"/>
    <x v="0"/>
    <x v="1"/>
    <n v="1871.807273935066"/>
    <x v="0"/>
  </r>
  <r>
    <x v="30"/>
    <x v="1"/>
    <x v="117"/>
    <x v="0"/>
    <x v="3"/>
    <x v="11"/>
    <x v="0"/>
    <x v="2"/>
    <n v="0"/>
    <x v="0"/>
  </r>
  <r>
    <x v="30"/>
    <x v="1"/>
    <x v="117"/>
    <x v="0"/>
    <x v="3"/>
    <x v="11"/>
    <x v="0"/>
    <x v="3"/>
    <n v="1928.3417001687253"/>
    <x v="0"/>
  </r>
  <r>
    <x v="30"/>
    <x v="1"/>
    <x v="117"/>
    <x v="0"/>
    <x v="3"/>
    <x v="11"/>
    <x v="0"/>
    <x v="4"/>
    <n v="2040.8757136009065"/>
    <x v="0"/>
  </r>
  <r>
    <x v="30"/>
    <x v="1"/>
    <x v="117"/>
    <x v="0"/>
    <x v="3"/>
    <x v="11"/>
    <x v="0"/>
    <x v="5"/>
    <n v="2023.0174498963372"/>
    <x v="0"/>
  </r>
  <r>
    <x v="30"/>
    <x v="1"/>
    <x v="117"/>
    <x v="0"/>
    <x v="3"/>
    <x v="11"/>
    <x v="0"/>
    <x v="6"/>
    <n v="4142.2628951747092"/>
    <x v="0"/>
  </r>
  <r>
    <x v="30"/>
    <x v="1"/>
    <x v="117"/>
    <x v="0"/>
    <x v="3"/>
    <x v="11"/>
    <x v="0"/>
    <x v="7"/>
    <n v="0"/>
    <x v="0"/>
  </r>
  <r>
    <x v="30"/>
    <x v="1"/>
    <x v="117"/>
    <x v="0"/>
    <x v="3"/>
    <x v="11"/>
    <x v="0"/>
    <x v="8"/>
    <n v="0"/>
    <x v="0"/>
  </r>
  <r>
    <x v="30"/>
    <x v="1"/>
    <x v="117"/>
    <x v="0"/>
    <x v="3"/>
    <x v="11"/>
    <x v="0"/>
    <x v="9"/>
    <n v="4146.6679517246548"/>
    <x v="0"/>
  </r>
  <r>
    <x v="30"/>
    <x v="1"/>
    <x v="117"/>
    <x v="0"/>
    <x v="3"/>
    <x v="11"/>
    <x v="0"/>
    <x v="10"/>
    <n v="2015.1187672720625"/>
    <x v="0"/>
  </r>
  <r>
    <x v="30"/>
    <x v="1"/>
    <x v="117"/>
    <x v="0"/>
    <x v="3"/>
    <x v="11"/>
    <x v="0"/>
    <x v="11"/>
    <n v="2015.1187672720625"/>
    <x v="0"/>
  </r>
  <r>
    <x v="30"/>
    <x v="2"/>
    <x v="118"/>
    <x v="0"/>
    <x v="2"/>
    <x v="3"/>
    <x v="9"/>
    <x v="0"/>
    <n v="38183.680437009221"/>
    <x v="0"/>
  </r>
  <r>
    <x v="30"/>
    <x v="2"/>
    <x v="118"/>
    <x v="0"/>
    <x v="2"/>
    <x v="3"/>
    <x v="9"/>
    <x v="1"/>
    <n v="0"/>
    <x v="0"/>
  </r>
  <r>
    <x v="30"/>
    <x v="2"/>
    <x v="118"/>
    <x v="0"/>
    <x v="2"/>
    <x v="3"/>
    <x v="9"/>
    <x v="2"/>
    <n v="0"/>
    <x v="0"/>
  </r>
  <r>
    <x v="30"/>
    <x v="2"/>
    <x v="118"/>
    <x v="0"/>
    <x v="2"/>
    <x v="3"/>
    <x v="9"/>
    <x v="3"/>
    <n v="0"/>
    <x v="0"/>
  </r>
  <r>
    <x v="30"/>
    <x v="2"/>
    <x v="118"/>
    <x v="0"/>
    <x v="2"/>
    <x v="3"/>
    <x v="9"/>
    <x v="4"/>
    <n v="0"/>
    <x v="0"/>
  </r>
  <r>
    <x v="30"/>
    <x v="2"/>
    <x v="118"/>
    <x v="0"/>
    <x v="2"/>
    <x v="3"/>
    <x v="9"/>
    <x v="5"/>
    <n v="0"/>
    <x v="0"/>
  </r>
  <r>
    <x v="30"/>
    <x v="2"/>
    <x v="118"/>
    <x v="0"/>
    <x v="2"/>
    <x v="3"/>
    <x v="9"/>
    <x v="6"/>
    <n v="0"/>
    <x v="0"/>
  </r>
  <r>
    <x v="30"/>
    <x v="2"/>
    <x v="118"/>
    <x v="0"/>
    <x v="2"/>
    <x v="3"/>
    <x v="9"/>
    <x v="7"/>
    <n v="0"/>
    <x v="0"/>
  </r>
  <r>
    <x v="30"/>
    <x v="2"/>
    <x v="118"/>
    <x v="0"/>
    <x v="2"/>
    <x v="3"/>
    <x v="9"/>
    <x v="8"/>
    <n v="0"/>
    <x v="0"/>
  </r>
  <r>
    <x v="30"/>
    <x v="2"/>
    <x v="118"/>
    <x v="0"/>
    <x v="2"/>
    <x v="3"/>
    <x v="9"/>
    <x v="9"/>
    <n v="0"/>
    <x v="0"/>
  </r>
  <r>
    <x v="30"/>
    <x v="2"/>
    <x v="118"/>
    <x v="0"/>
    <x v="2"/>
    <x v="3"/>
    <x v="9"/>
    <x v="10"/>
    <n v="0"/>
    <x v="0"/>
  </r>
  <r>
    <x v="30"/>
    <x v="2"/>
    <x v="118"/>
    <x v="0"/>
    <x v="2"/>
    <x v="3"/>
    <x v="9"/>
    <x v="11"/>
    <n v="0"/>
    <x v="0"/>
  </r>
  <r>
    <x v="30"/>
    <x v="2"/>
    <x v="119"/>
    <x v="0"/>
    <x v="2"/>
    <x v="3"/>
    <x v="9"/>
    <x v="0"/>
    <n v="0"/>
    <x v="0"/>
  </r>
  <r>
    <x v="30"/>
    <x v="2"/>
    <x v="119"/>
    <x v="0"/>
    <x v="2"/>
    <x v="3"/>
    <x v="9"/>
    <x v="1"/>
    <n v="0"/>
    <x v="0"/>
  </r>
  <r>
    <x v="30"/>
    <x v="2"/>
    <x v="119"/>
    <x v="0"/>
    <x v="2"/>
    <x v="3"/>
    <x v="9"/>
    <x v="2"/>
    <n v="0"/>
    <x v="0"/>
  </r>
  <r>
    <x v="30"/>
    <x v="2"/>
    <x v="119"/>
    <x v="0"/>
    <x v="2"/>
    <x v="3"/>
    <x v="9"/>
    <x v="3"/>
    <n v="0"/>
    <x v="0"/>
  </r>
  <r>
    <x v="30"/>
    <x v="2"/>
    <x v="119"/>
    <x v="0"/>
    <x v="2"/>
    <x v="3"/>
    <x v="9"/>
    <x v="4"/>
    <n v="0"/>
    <x v="0"/>
  </r>
  <r>
    <x v="30"/>
    <x v="2"/>
    <x v="119"/>
    <x v="0"/>
    <x v="2"/>
    <x v="3"/>
    <x v="9"/>
    <x v="5"/>
    <n v="18250.565825846577"/>
    <x v="0"/>
  </r>
  <r>
    <x v="30"/>
    <x v="2"/>
    <x v="119"/>
    <x v="0"/>
    <x v="2"/>
    <x v="3"/>
    <x v="9"/>
    <x v="6"/>
    <n v="17011.652587567729"/>
    <x v="0"/>
  </r>
  <r>
    <x v="30"/>
    <x v="2"/>
    <x v="119"/>
    <x v="0"/>
    <x v="2"/>
    <x v="3"/>
    <x v="9"/>
    <x v="7"/>
    <n v="0"/>
    <x v="0"/>
  </r>
  <r>
    <x v="30"/>
    <x v="2"/>
    <x v="119"/>
    <x v="0"/>
    <x v="2"/>
    <x v="3"/>
    <x v="9"/>
    <x v="8"/>
    <n v="0"/>
    <x v="0"/>
  </r>
  <r>
    <x v="30"/>
    <x v="2"/>
    <x v="119"/>
    <x v="0"/>
    <x v="2"/>
    <x v="3"/>
    <x v="9"/>
    <x v="9"/>
    <n v="0"/>
    <x v="0"/>
  </r>
  <r>
    <x v="30"/>
    <x v="2"/>
    <x v="119"/>
    <x v="0"/>
    <x v="2"/>
    <x v="3"/>
    <x v="9"/>
    <x v="10"/>
    <n v="0"/>
    <x v="0"/>
  </r>
  <r>
    <x v="30"/>
    <x v="2"/>
    <x v="119"/>
    <x v="0"/>
    <x v="2"/>
    <x v="3"/>
    <x v="9"/>
    <x v="11"/>
    <n v="0"/>
    <x v="0"/>
  </r>
  <r>
    <x v="30"/>
    <x v="2"/>
    <x v="120"/>
    <x v="0"/>
    <x v="2"/>
    <x v="3"/>
    <x v="9"/>
    <x v="0"/>
    <n v="0"/>
    <x v="0"/>
  </r>
  <r>
    <x v="30"/>
    <x v="2"/>
    <x v="120"/>
    <x v="0"/>
    <x v="2"/>
    <x v="3"/>
    <x v="9"/>
    <x v="1"/>
    <n v="0"/>
    <x v="0"/>
  </r>
  <r>
    <x v="30"/>
    <x v="2"/>
    <x v="120"/>
    <x v="0"/>
    <x v="2"/>
    <x v="3"/>
    <x v="9"/>
    <x v="2"/>
    <n v="0"/>
    <x v="0"/>
  </r>
  <r>
    <x v="30"/>
    <x v="2"/>
    <x v="120"/>
    <x v="0"/>
    <x v="2"/>
    <x v="3"/>
    <x v="9"/>
    <x v="3"/>
    <n v="0"/>
    <x v="0"/>
  </r>
  <r>
    <x v="30"/>
    <x v="2"/>
    <x v="120"/>
    <x v="0"/>
    <x v="2"/>
    <x v="3"/>
    <x v="9"/>
    <x v="4"/>
    <n v="0"/>
    <x v="0"/>
  </r>
  <r>
    <x v="30"/>
    <x v="2"/>
    <x v="120"/>
    <x v="0"/>
    <x v="2"/>
    <x v="3"/>
    <x v="9"/>
    <x v="5"/>
    <n v="49866.925103662747"/>
    <x v="0"/>
  </r>
  <r>
    <x v="30"/>
    <x v="2"/>
    <x v="120"/>
    <x v="0"/>
    <x v="2"/>
    <x v="3"/>
    <x v="9"/>
    <x v="6"/>
    <n v="847.49562694654219"/>
    <x v="0"/>
  </r>
  <r>
    <x v="30"/>
    <x v="2"/>
    <x v="120"/>
    <x v="0"/>
    <x v="2"/>
    <x v="3"/>
    <x v="9"/>
    <x v="7"/>
    <n v="0"/>
    <x v="0"/>
  </r>
  <r>
    <x v="30"/>
    <x v="2"/>
    <x v="120"/>
    <x v="0"/>
    <x v="2"/>
    <x v="3"/>
    <x v="9"/>
    <x v="8"/>
    <n v="0"/>
    <x v="0"/>
  </r>
  <r>
    <x v="30"/>
    <x v="2"/>
    <x v="120"/>
    <x v="0"/>
    <x v="2"/>
    <x v="3"/>
    <x v="9"/>
    <x v="9"/>
    <n v="0"/>
    <x v="0"/>
  </r>
  <r>
    <x v="30"/>
    <x v="2"/>
    <x v="120"/>
    <x v="0"/>
    <x v="2"/>
    <x v="3"/>
    <x v="9"/>
    <x v="10"/>
    <n v="0"/>
    <x v="0"/>
  </r>
  <r>
    <x v="30"/>
    <x v="2"/>
    <x v="120"/>
    <x v="0"/>
    <x v="2"/>
    <x v="3"/>
    <x v="9"/>
    <x v="11"/>
    <n v="0"/>
    <x v="0"/>
  </r>
  <r>
    <x v="30"/>
    <x v="1"/>
    <x v="121"/>
    <x v="2"/>
    <x v="2"/>
    <x v="3"/>
    <x v="0"/>
    <x v="0"/>
    <n v="0"/>
    <x v="0"/>
  </r>
  <r>
    <x v="30"/>
    <x v="1"/>
    <x v="121"/>
    <x v="2"/>
    <x v="2"/>
    <x v="3"/>
    <x v="0"/>
    <x v="1"/>
    <n v="0"/>
    <x v="0"/>
  </r>
  <r>
    <x v="30"/>
    <x v="1"/>
    <x v="121"/>
    <x v="2"/>
    <x v="2"/>
    <x v="3"/>
    <x v="0"/>
    <x v="2"/>
    <n v="0"/>
    <x v="0"/>
  </r>
  <r>
    <x v="30"/>
    <x v="1"/>
    <x v="121"/>
    <x v="2"/>
    <x v="2"/>
    <x v="3"/>
    <x v="0"/>
    <x v="3"/>
    <n v="0"/>
    <x v="0"/>
  </r>
  <r>
    <x v="30"/>
    <x v="1"/>
    <x v="121"/>
    <x v="2"/>
    <x v="2"/>
    <x v="3"/>
    <x v="0"/>
    <x v="4"/>
    <n v="914.87231446376438"/>
    <x v="0"/>
  </r>
  <r>
    <x v="30"/>
    <x v="1"/>
    <x v="121"/>
    <x v="2"/>
    <x v="2"/>
    <x v="3"/>
    <x v="0"/>
    <x v="5"/>
    <n v="0"/>
    <x v="0"/>
  </r>
  <r>
    <x v="30"/>
    <x v="1"/>
    <x v="121"/>
    <x v="2"/>
    <x v="2"/>
    <x v="3"/>
    <x v="0"/>
    <x v="6"/>
    <n v="0"/>
    <x v="0"/>
  </r>
  <r>
    <x v="30"/>
    <x v="1"/>
    <x v="121"/>
    <x v="2"/>
    <x v="2"/>
    <x v="3"/>
    <x v="0"/>
    <x v="7"/>
    <n v="0"/>
    <x v="0"/>
  </r>
  <r>
    <x v="30"/>
    <x v="1"/>
    <x v="121"/>
    <x v="2"/>
    <x v="2"/>
    <x v="3"/>
    <x v="0"/>
    <x v="8"/>
    <n v="0"/>
    <x v="0"/>
  </r>
  <r>
    <x v="30"/>
    <x v="1"/>
    <x v="121"/>
    <x v="2"/>
    <x v="2"/>
    <x v="3"/>
    <x v="0"/>
    <x v="9"/>
    <n v="0"/>
    <x v="0"/>
  </r>
  <r>
    <x v="30"/>
    <x v="1"/>
    <x v="121"/>
    <x v="2"/>
    <x v="2"/>
    <x v="3"/>
    <x v="0"/>
    <x v="10"/>
    <n v="0"/>
    <x v="0"/>
  </r>
  <r>
    <x v="30"/>
    <x v="1"/>
    <x v="121"/>
    <x v="2"/>
    <x v="2"/>
    <x v="3"/>
    <x v="0"/>
    <x v="11"/>
    <n v="0"/>
    <x v="0"/>
  </r>
  <r>
    <x v="30"/>
    <x v="2"/>
    <x v="122"/>
    <x v="2"/>
    <x v="2"/>
    <x v="3"/>
    <x v="0"/>
    <x v="0"/>
    <n v="0"/>
    <x v="0"/>
  </r>
  <r>
    <x v="30"/>
    <x v="2"/>
    <x v="122"/>
    <x v="2"/>
    <x v="2"/>
    <x v="3"/>
    <x v="0"/>
    <x v="1"/>
    <n v="0"/>
    <x v="0"/>
  </r>
  <r>
    <x v="30"/>
    <x v="2"/>
    <x v="122"/>
    <x v="2"/>
    <x v="2"/>
    <x v="3"/>
    <x v="0"/>
    <x v="2"/>
    <n v="0"/>
    <x v="0"/>
  </r>
  <r>
    <x v="30"/>
    <x v="2"/>
    <x v="122"/>
    <x v="2"/>
    <x v="2"/>
    <x v="3"/>
    <x v="0"/>
    <x v="3"/>
    <n v="0"/>
    <x v="0"/>
  </r>
  <r>
    <x v="30"/>
    <x v="2"/>
    <x v="122"/>
    <x v="2"/>
    <x v="2"/>
    <x v="3"/>
    <x v="0"/>
    <x v="4"/>
    <n v="22490.980302436048"/>
    <x v="0"/>
  </r>
  <r>
    <x v="30"/>
    <x v="2"/>
    <x v="122"/>
    <x v="2"/>
    <x v="2"/>
    <x v="3"/>
    <x v="0"/>
    <x v="5"/>
    <n v="0"/>
    <x v="0"/>
  </r>
  <r>
    <x v="30"/>
    <x v="2"/>
    <x v="122"/>
    <x v="2"/>
    <x v="2"/>
    <x v="3"/>
    <x v="0"/>
    <x v="6"/>
    <n v="0"/>
    <x v="0"/>
  </r>
  <r>
    <x v="30"/>
    <x v="2"/>
    <x v="122"/>
    <x v="2"/>
    <x v="2"/>
    <x v="3"/>
    <x v="0"/>
    <x v="7"/>
    <n v="0"/>
    <x v="0"/>
  </r>
  <r>
    <x v="30"/>
    <x v="2"/>
    <x v="122"/>
    <x v="2"/>
    <x v="2"/>
    <x v="3"/>
    <x v="0"/>
    <x v="8"/>
    <n v="0"/>
    <x v="0"/>
  </r>
  <r>
    <x v="30"/>
    <x v="2"/>
    <x v="122"/>
    <x v="2"/>
    <x v="2"/>
    <x v="3"/>
    <x v="0"/>
    <x v="9"/>
    <n v="0"/>
    <x v="0"/>
  </r>
  <r>
    <x v="30"/>
    <x v="2"/>
    <x v="122"/>
    <x v="2"/>
    <x v="2"/>
    <x v="3"/>
    <x v="0"/>
    <x v="10"/>
    <n v="0"/>
    <x v="0"/>
  </r>
  <r>
    <x v="30"/>
    <x v="2"/>
    <x v="122"/>
    <x v="2"/>
    <x v="2"/>
    <x v="3"/>
    <x v="0"/>
    <x v="11"/>
    <n v="0"/>
    <x v="0"/>
  </r>
  <r>
    <x v="30"/>
    <x v="0"/>
    <x v="123"/>
    <x v="1"/>
    <x v="3"/>
    <x v="12"/>
    <x v="0"/>
    <x v="0"/>
    <n v="0"/>
    <x v="0"/>
  </r>
  <r>
    <x v="30"/>
    <x v="0"/>
    <x v="123"/>
    <x v="1"/>
    <x v="3"/>
    <x v="12"/>
    <x v="0"/>
    <x v="1"/>
    <n v="0"/>
    <x v="0"/>
  </r>
  <r>
    <x v="30"/>
    <x v="0"/>
    <x v="123"/>
    <x v="1"/>
    <x v="3"/>
    <x v="12"/>
    <x v="0"/>
    <x v="2"/>
    <n v="0"/>
    <x v="0"/>
  </r>
  <r>
    <x v="30"/>
    <x v="0"/>
    <x v="123"/>
    <x v="1"/>
    <x v="3"/>
    <x v="12"/>
    <x v="0"/>
    <x v="3"/>
    <n v="225.01718499385507"/>
    <x v="0"/>
  </r>
  <r>
    <x v="30"/>
    <x v="0"/>
    <x v="123"/>
    <x v="1"/>
    <x v="3"/>
    <x v="12"/>
    <x v="0"/>
    <x v="4"/>
    <n v="0"/>
    <x v="0"/>
  </r>
  <r>
    <x v="30"/>
    <x v="0"/>
    <x v="123"/>
    <x v="1"/>
    <x v="3"/>
    <x v="12"/>
    <x v="0"/>
    <x v="5"/>
    <n v="0"/>
    <x v="0"/>
  </r>
  <r>
    <x v="30"/>
    <x v="0"/>
    <x v="123"/>
    <x v="1"/>
    <x v="3"/>
    <x v="12"/>
    <x v="0"/>
    <x v="6"/>
    <n v="0"/>
    <x v="0"/>
  </r>
  <r>
    <x v="30"/>
    <x v="0"/>
    <x v="123"/>
    <x v="1"/>
    <x v="3"/>
    <x v="12"/>
    <x v="0"/>
    <x v="7"/>
    <n v="0"/>
    <x v="0"/>
  </r>
  <r>
    <x v="30"/>
    <x v="0"/>
    <x v="123"/>
    <x v="1"/>
    <x v="3"/>
    <x v="12"/>
    <x v="0"/>
    <x v="8"/>
    <n v="0"/>
    <x v="0"/>
  </r>
  <r>
    <x v="30"/>
    <x v="0"/>
    <x v="123"/>
    <x v="1"/>
    <x v="3"/>
    <x v="12"/>
    <x v="0"/>
    <x v="9"/>
    <n v="0"/>
    <x v="0"/>
  </r>
  <r>
    <x v="30"/>
    <x v="0"/>
    <x v="123"/>
    <x v="1"/>
    <x v="3"/>
    <x v="12"/>
    <x v="0"/>
    <x v="10"/>
    <n v="0"/>
    <x v="0"/>
  </r>
  <r>
    <x v="30"/>
    <x v="0"/>
    <x v="123"/>
    <x v="1"/>
    <x v="3"/>
    <x v="12"/>
    <x v="0"/>
    <x v="11"/>
    <n v="0"/>
    <x v="0"/>
  </r>
  <r>
    <x v="30"/>
    <x v="0"/>
    <x v="124"/>
    <x v="1"/>
    <x v="3"/>
    <x v="12"/>
    <x v="0"/>
    <x v="0"/>
    <n v="225.20512340444279"/>
    <x v="0"/>
  </r>
  <r>
    <x v="30"/>
    <x v="0"/>
    <x v="124"/>
    <x v="1"/>
    <x v="3"/>
    <x v="12"/>
    <x v="0"/>
    <x v="1"/>
    <n v="0"/>
    <x v="0"/>
  </r>
  <r>
    <x v="30"/>
    <x v="0"/>
    <x v="124"/>
    <x v="1"/>
    <x v="3"/>
    <x v="12"/>
    <x v="0"/>
    <x v="2"/>
    <n v="0"/>
    <x v="0"/>
  </r>
  <r>
    <x v="30"/>
    <x v="0"/>
    <x v="124"/>
    <x v="1"/>
    <x v="3"/>
    <x v="12"/>
    <x v="0"/>
    <x v="3"/>
    <n v="55.773116420522008"/>
    <x v="0"/>
  </r>
  <r>
    <x v="30"/>
    <x v="0"/>
    <x v="124"/>
    <x v="1"/>
    <x v="3"/>
    <x v="12"/>
    <x v="0"/>
    <x v="4"/>
    <n v="0"/>
    <x v="0"/>
  </r>
  <r>
    <x v="30"/>
    <x v="0"/>
    <x v="124"/>
    <x v="1"/>
    <x v="3"/>
    <x v="12"/>
    <x v="0"/>
    <x v="5"/>
    <n v="141.96505701451278"/>
    <x v="0"/>
  </r>
  <r>
    <x v="30"/>
    <x v="0"/>
    <x v="124"/>
    <x v="1"/>
    <x v="3"/>
    <x v="12"/>
    <x v="0"/>
    <x v="6"/>
    <n v="0"/>
    <x v="0"/>
  </r>
  <r>
    <x v="30"/>
    <x v="0"/>
    <x v="124"/>
    <x v="1"/>
    <x v="3"/>
    <x v="12"/>
    <x v="0"/>
    <x v="7"/>
    <n v="0"/>
    <x v="0"/>
  </r>
  <r>
    <x v="30"/>
    <x v="0"/>
    <x v="124"/>
    <x v="1"/>
    <x v="3"/>
    <x v="12"/>
    <x v="0"/>
    <x v="8"/>
    <n v="0"/>
    <x v="0"/>
  </r>
  <r>
    <x v="30"/>
    <x v="0"/>
    <x v="124"/>
    <x v="1"/>
    <x v="3"/>
    <x v="12"/>
    <x v="0"/>
    <x v="9"/>
    <n v="0"/>
    <x v="0"/>
  </r>
  <r>
    <x v="30"/>
    <x v="0"/>
    <x v="124"/>
    <x v="1"/>
    <x v="3"/>
    <x v="12"/>
    <x v="0"/>
    <x v="10"/>
    <n v="0"/>
    <x v="0"/>
  </r>
  <r>
    <x v="30"/>
    <x v="0"/>
    <x v="124"/>
    <x v="1"/>
    <x v="3"/>
    <x v="12"/>
    <x v="0"/>
    <x v="11"/>
    <n v="0"/>
    <x v="0"/>
  </r>
  <r>
    <x v="30"/>
    <x v="0"/>
    <x v="125"/>
    <x v="1"/>
    <x v="3"/>
    <x v="12"/>
    <x v="0"/>
    <x v="0"/>
    <n v="0"/>
    <x v="0"/>
  </r>
  <r>
    <x v="30"/>
    <x v="0"/>
    <x v="125"/>
    <x v="1"/>
    <x v="3"/>
    <x v="12"/>
    <x v="0"/>
    <x v="1"/>
    <n v="0"/>
    <x v="0"/>
  </r>
  <r>
    <x v="30"/>
    <x v="0"/>
    <x v="125"/>
    <x v="1"/>
    <x v="3"/>
    <x v="12"/>
    <x v="0"/>
    <x v="2"/>
    <n v="0"/>
    <x v="0"/>
  </r>
  <r>
    <x v="30"/>
    <x v="0"/>
    <x v="125"/>
    <x v="1"/>
    <x v="3"/>
    <x v="12"/>
    <x v="0"/>
    <x v="3"/>
    <n v="630.85591684546"/>
    <x v="0"/>
  </r>
  <r>
    <x v="30"/>
    <x v="0"/>
    <x v="125"/>
    <x v="1"/>
    <x v="3"/>
    <x v="12"/>
    <x v="0"/>
    <x v="4"/>
    <n v="0"/>
    <x v="0"/>
  </r>
  <r>
    <x v="30"/>
    <x v="0"/>
    <x v="125"/>
    <x v="1"/>
    <x v="3"/>
    <x v="12"/>
    <x v="0"/>
    <x v="5"/>
    <n v="0"/>
    <x v="0"/>
  </r>
  <r>
    <x v="30"/>
    <x v="0"/>
    <x v="125"/>
    <x v="1"/>
    <x v="3"/>
    <x v="12"/>
    <x v="0"/>
    <x v="6"/>
    <n v="0"/>
    <x v="0"/>
  </r>
  <r>
    <x v="30"/>
    <x v="0"/>
    <x v="125"/>
    <x v="1"/>
    <x v="3"/>
    <x v="12"/>
    <x v="0"/>
    <x v="7"/>
    <n v="0"/>
    <x v="0"/>
  </r>
  <r>
    <x v="30"/>
    <x v="0"/>
    <x v="125"/>
    <x v="1"/>
    <x v="3"/>
    <x v="12"/>
    <x v="0"/>
    <x v="8"/>
    <n v="0"/>
    <x v="0"/>
  </r>
  <r>
    <x v="30"/>
    <x v="0"/>
    <x v="125"/>
    <x v="1"/>
    <x v="3"/>
    <x v="12"/>
    <x v="0"/>
    <x v="9"/>
    <n v="0"/>
    <x v="0"/>
  </r>
  <r>
    <x v="30"/>
    <x v="0"/>
    <x v="125"/>
    <x v="1"/>
    <x v="3"/>
    <x v="12"/>
    <x v="0"/>
    <x v="10"/>
    <n v="0"/>
    <x v="0"/>
  </r>
  <r>
    <x v="30"/>
    <x v="0"/>
    <x v="125"/>
    <x v="1"/>
    <x v="3"/>
    <x v="12"/>
    <x v="0"/>
    <x v="11"/>
    <n v="0"/>
    <x v="0"/>
  </r>
  <r>
    <x v="30"/>
    <x v="0"/>
    <x v="126"/>
    <x v="1"/>
    <x v="3"/>
    <x v="12"/>
    <x v="0"/>
    <x v="0"/>
    <n v="0"/>
    <x v="0"/>
  </r>
  <r>
    <x v="30"/>
    <x v="0"/>
    <x v="126"/>
    <x v="1"/>
    <x v="3"/>
    <x v="12"/>
    <x v="0"/>
    <x v="1"/>
    <n v="0"/>
    <x v="0"/>
  </r>
  <r>
    <x v="30"/>
    <x v="0"/>
    <x v="126"/>
    <x v="1"/>
    <x v="3"/>
    <x v="12"/>
    <x v="0"/>
    <x v="2"/>
    <n v="0"/>
    <x v="0"/>
  </r>
  <r>
    <x v="30"/>
    <x v="0"/>
    <x v="126"/>
    <x v="1"/>
    <x v="3"/>
    <x v="12"/>
    <x v="0"/>
    <x v="3"/>
    <n v="457.79261357718667"/>
    <x v="0"/>
  </r>
  <r>
    <x v="30"/>
    <x v="0"/>
    <x v="126"/>
    <x v="1"/>
    <x v="3"/>
    <x v="12"/>
    <x v="0"/>
    <x v="4"/>
    <n v="0"/>
    <x v="0"/>
  </r>
  <r>
    <x v="30"/>
    <x v="0"/>
    <x v="126"/>
    <x v="1"/>
    <x v="3"/>
    <x v="12"/>
    <x v="0"/>
    <x v="5"/>
    <n v="0"/>
    <x v="0"/>
  </r>
  <r>
    <x v="30"/>
    <x v="0"/>
    <x v="126"/>
    <x v="1"/>
    <x v="3"/>
    <x v="12"/>
    <x v="0"/>
    <x v="6"/>
    <n v="0"/>
    <x v="0"/>
  </r>
  <r>
    <x v="30"/>
    <x v="0"/>
    <x v="126"/>
    <x v="1"/>
    <x v="3"/>
    <x v="12"/>
    <x v="0"/>
    <x v="7"/>
    <n v="0"/>
    <x v="0"/>
  </r>
  <r>
    <x v="30"/>
    <x v="0"/>
    <x v="126"/>
    <x v="1"/>
    <x v="3"/>
    <x v="12"/>
    <x v="0"/>
    <x v="8"/>
    <n v="0"/>
    <x v="0"/>
  </r>
  <r>
    <x v="30"/>
    <x v="0"/>
    <x v="126"/>
    <x v="1"/>
    <x v="3"/>
    <x v="12"/>
    <x v="0"/>
    <x v="9"/>
    <n v="0"/>
    <x v="0"/>
  </r>
  <r>
    <x v="30"/>
    <x v="0"/>
    <x v="126"/>
    <x v="1"/>
    <x v="3"/>
    <x v="12"/>
    <x v="0"/>
    <x v="10"/>
    <n v="0"/>
    <x v="0"/>
  </r>
  <r>
    <x v="30"/>
    <x v="0"/>
    <x v="126"/>
    <x v="1"/>
    <x v="3"/>
    <x v="12"/>
    <x v="0"/>
    <x v="11"/>
    <n v="0"/>
    <x v="0"/>
  </r>
  <r>
    <x v="30"/>
    <x v="0"/>
    <x v="127"/>
    <x v="1"/>
    <x v="3"/>
    <x v="12"/>
    <x v="0"/>
    <x v="0"/>
    <n v="0"/>
    <x v="0"/>
  </r>
  <r>
    <x v="30"/>
    <x v="0"/>
    <x v="127"/>
    <x v="1"/>
    <x v="3"/>
    <x v="12"/>
    <x v="0"/>
    <x v="1"/>
    <n v="0"/>
    <x v="0"/>
  </r>
  <r>
    <x v="30"/>
    <x v="0"/>
    <x v="127"/>
    <x v="1"/>
    <x v="3"/>
    <x v="12"/>
    <x v="0"/>
    <x v="2"/>
    <n v="0"/>
    <x v="0"/>
  </r>
  <r>
    <x v="30"/>
    <x v="0"/>
    <x v="127"/>
    <x v="1"/>
    <x v="3"/>
    <x v="12"/>
    <x v="0"/>
    <x v="3"/>
    <n v="0"/>
    <x v="0"/>
  </r>
  <r>
    <x v="30"/>
    <x v="0"/>
    <x v="127"/>
    <x v="1"/>
    <x v="3"/>
    <x v="12"/>
    <x v="0"/>
    <x v="4"/>
    <n v="0"/>
    <x v="0"/>
  </r>
  <r>
    <x v="30"/>
    <x v="0"/>
    <x v="127"/>
    <x v="1"/>
    <x v="3"/>
    <x v="12"/>
    <x v="0"/>
    <x v="5"/>
    <n v="0"/>
    <x v="0"/>
  </r>
  <r>
    <x v="30"/>
    <x v="0"/>
    <x v="127"/>
    <x v="1"/>
    <x v="3"/>
    <x v="12"/>
    <x v="0"/>
    <x v="6"/>
    <n v="0"/>
    <x v="0"/>
  </r>
  <r>
    <x v="30"/>
    <x v="0"/>
    <x v="127"/>
    <x v="1"/>
    <x v="3"/>
    <x v="12"/>
    <x v="0"/>
    <x v="7"/>
    <n v="0"/>
    <x v="0"/>
  </r>
  <r>
    <x v="30"/>
    <x v="0"/>
    <x v="127"/>
    <x v="1"/>
    <x v="3"/>
    <x v="12"/>
    <x v="0"/>
    <x v="8"/>
    <n v="0"/>
    <x v="0"/>
  </r>
  <r>
    <x v="30"/>
    <x v="0"/>
    <x v="127"/>
    <x v="1"/>
    <x v="3"/>
    <x v="12"/>
    <x v="0"/>
    <x v="9"/>
    <n v="0"/>
    <x v="0"/>
  </r>
  <r>
    <x v="30"/>
    <x v="0"/>
    <x v="127"/>
    <x v="1"/>
    <x v="3"/>
    <x v="12"/>
    <x v="0"/>
    <x v="10"/>
    <n v="0"/>
    <x v="0"/>
  </r>
  <r>
    <x v="30"/>
    <x v="0"/>
    <x v="127"/>
    <x v="1"/>
    <x v="3"/>
    <x v="12"/>
    <x v="0"/>
    <x v="11"/>
    <n v="0"/>
    <x v="0"/>
  </r>
  <r>
    <x v="30"/>
    <x v="0"/>
    <x v="128"/>
    <x v="1"/>
    <x v="3"/>
    <x v="12"/>
    <x v="0"/>
    <x v="0"/>
    <n v="561.68019471580078"/>
    <x v="0"/>
  </r>
  <r>
    <x v="30"/>
    <x v="0"/>
    <x v="128"/>
    <x v="1"/>
    <x v="3"/>
    <x v="12"/>
    <x v="0"/>
    <x v="1"/>
    <n v="0"/>
    <x v="0"/>
  </r>
  <r>
    <x v="30"/>
    <x v="0"/>
    <x v="128"/>
    <x v="1"/>
    <x v="3"/>
    <x v="12"/>
    <x v="0"/>
    <x v="2"/>
    <n v="0"/>
    <x v="0"/>
  </r>
  <r>
    <x v="30"/>
    <x v="0"/>
    <x v="128"/>
    <x v="1"/>
    <x v="3"/>
    <x v="12"/>
    <x v="0"/>
    <x v="3"/>
    <n v="0"/>
    <x v="0"/>
  </r>
  <r>
    <x v="30"/>
    <x v="0"/>
    <x v="128"/>
    <x v="1"/>
    <x v="3"/>
    <x v="12"/>
    <x v="0"/>
    <x v="4"/>
    <n v="0"/>
    <x v="0"/>
  </r>
  <r>
    <x v="30"/>
    <x v="0"/>
    <x v="128"/>
    <x v="1"/>
    <x v="3"/>
    <x v="12"/>
    <x v="0"/>
    <x v="5"/>
    <n v="0"/>
    <x v="0"/>
  </r>
  <r>
    <x v="30"/>
    <x v="0"/>
    <x v="128"/>
    <x v="1"/>
    <x v="3"/>
    <x v="12"/>
    <x v="0"/>
    <x v="6"/>
    <n v="0"/>
    <x v="0"/>
  </r>
  <r>
    <x v="30"/>
    <x v="0"/>
    <x v="128"/>
    <x v="1"/>
    <x v="3"/>
    <x v="12"/>
    <x v="0"/>
    <x v="7"/>
    <n v="0"/>
    <x v="0"/>
  </r>
  <r>
    <x v="30"/>
    <x v="0"/>
    <x v="128"/>
    <x v="1"/>
    <x v="3"/>
    <x v="12"/>
    <x v="0"/>
    <x v="8"/>
    <n v="0"/>
    <x v="0"/>
  </r>
  <r>
    <x v="30"/>
    <x v="0"/>
    <x v="128"/>
    <x v="1"/>
    <x v="3"/>
    <x v="12"/>
    <x v="0"/>
    <x v="9"/>
    <n v="0"/>
    <x v="0"/>
  </r>
  <r>
    <x v="30"/>
    <x v="0"/>
    <x v="128"/>
    <x v="1"/>
    <x v="3"/>
    <x v="12"/>
    <x v="0"/>
    <x v="10"/>
    <n v="0"/>
    <x v="0"/>
  </r>
  <r>
    <x v="30"/>
    <x v="0"/>
    <x v="128"/>
    <x v="1"/>
    <x v="3"/>
    <x v="12"/>
    <x v="0"/>
    <x v="11"/>
    <n v="0"/>
    <x v="0"/>
  </r>
  <r>
    <x v="30"/>
    <x v="0"/>
    <x v="129"/>
    <x v="0"/>
    <x v="3"/>
    <x v="11"/>
    <x v="0"/>
    <x v="0"/>
    <n v="1408.330488221236"/>
    <x v="0"/>
  </r>
  <r>
    <x v="30"/>
    <x v="0"/>
    <x v="129"/>
    <x v="0"/>
    <x v="3"/>
    <x v="11"/>
    <x v="0"/>
    <x v="1"/>
    <n v="0"/>
    <x v="0"/>
  </r>
  <r>
    <x v="30"/>
    <x v="0"/>
    <x v="129"/>
    <x v="0"/>
    <x v="3"/>
    <x v="11"/>
    <x v="0"/>
    <x v="2"/>
    <n v="0"/>
    <x v="0"/>
  </r>
  <r>
    <x v="30"/>
    <x v="0"/>
    <x v="129"/>
    <x v="0"/>
    <x v="3"/>
    <x v="11"/>
    <x v="0"/>
    <x v="3"/>
    <n v="0"/>
    <x v="0"/>
  </r>
  <r>
    <x v="30"/>
    <x v="0"/>
    <x v="129"/>
    <x v="0"/>
    <x v="3"/>
    <x v="11"/>
    <x v="0"/>
    <x v="4"/>
    <n v="0"/>
    <x v="0"/>
  </r>
  <r>
    <x v="30"/>
    <x v="0"/>
    <x v="129"/>
    <x v="0"/>
    <x v="3"/>
    <x v="11"/>
    <x v="0"/>
    <x v="5"/>
    <n v="0"/>
    <x v="0"/>
  </r>
  <r>
    <x v="30"/>
    <x v="0"/>
    <x v="129"/>
    <x v="0"/>
    <x v="3"/>
    <x v="11"/>
    <x v="0"/>
    <x v="6"/>
    <n v="1459.0863518068177"/>
    <x v="0"/>
  </r>
  <r>
    <x v="30"/>
    <x v="0"/>
    <x v="129"/>
    <x v="0"/>
    <x v="3"/>
    <x v="11"/>
    <x v="0"/>
    <x v="7"/>
    <n v="0"/>
    <x v="0"/>
  </r>
  <r>
    <x v="30"/>
    <x v="0"/>
    <x v="129"/>
    <x v="0"/>
    <x v="3"/>
    <x v="11"/>
    <x v="0"/>
    <x v="8"/>
    <n v="0"/>
    <x v="0"/>
  </r>
  <r>
    <x v="30"/>
    <x v="0"/>
    <x v="129"/>
    <x v="0"/>
    <x v="3"/>
    <x v="11"/>
    <x v="0"/>
    <x v="9"/>
    <n v="1398.8391642839551"/>
    <x v="0"/>
  </r>
  <r>
    <x v="30"/>
    <x v="0"/>
    <x v="129"/>
    <x v="0"/>
    <x v="3"/>
    <x v="11"/>
    <x v="0"/>
    <x v="10"/>
    <n v="0"/>
    <x v="0"/>
  </r>
  <r>
    <x v="30"/>
    <x v="0"/>
    <x v="129"/>
    <x v="0"/>
    <x v="3"/>
    <x v="11"/>
    <x v="0"/>
    <x v="11"/>
    <n v="0"/>
    <x v="0"/>
  </r>
  <r>
    <x v="30"/>
    <x v="1"/>
    <x v="130"/>
    <x v="1"/>
    <x v="3"/>
    <x v="13"/>
    <x v="0"/>
    <x v="0"/>
    <n v="0"/>
    <x v="0"/>
  </r>
  <r>
    <x v="30"/>
    <x v="1"/>
    <x v="130"/>
    <x v="1"/>
    <x v="3"/>
    <x v="13"/>
    <x v="0"/>
    <x v="1"/>
    <n v="648.98800132857252"/>
    <x v="0"/>
  </r>
  <r>
    <x v="30"/>
    <x v="1"/>
    <x v="130"/>
    <x v="1"/>
    <x v="3"/>
    <x v="13"/>
    <x v="0"/>
    <x v="2"/>
    <n v="0"/>
    <x v="0"/>
  </r>
  <r>
    <x v="30"/>
    <x v="1"/>
    <x v="130"/>
    <x v="1"/>
    <x v="3"/>
    <x v="13"/>
    <x v="0"/>
    <x v="3"/>
    <n v="0"/>
    <x v="0"/>
  </r>
  <r>
    <x v="30"/>
    <x v="1"/>
    <x v="130"/>
    <x v="1"/>
    <x v="3"/>
    <x v="13"/>
    <x v="0"/>
    <x v="4"/>
    <n v="0"/>
    <x v="0"/>
  </r>
  <r>
    <x v="30"/>
    <x v="1"/>
    <x v="130"/>
    <x v="1"/>
    <x v="3"/>
    <x v="13"/>
    <x v="0"/>
    <x v="5"/>
    <n v="0"/>
    <x v="0"/>
  </r>
  <r>
    <x v="30"/>
    <x v="1"/>
    <x v="130"/>
    <x v="1"/>
    <x v="3"/>
    <x v="13"/>
    <x v="0"/>
    <x v="6"/>
    <n v="0"/>
    <x v="0"/>
  </r>
  <r>
    <x v="30"/>
    <x v="1"/>
    <x v="130"/>
    <x v="1"/>
    <x v="3"/>
    <x v="13"/>
    <x v="0"/>
    <x v="7"/>
    <n v="0"/>
    <x v="0"/>
  </r>
  <r>
    <x v="30"/>
    <x v="1"/>
    <x v="130"/>
    <x v="1"/>
    <x v="3"/>
    <x v="13"/>
    <x v="0"/>
    <x v="8"/>
    <n v="0"/>
    <x v="0"/>
  </r>
  <r>
    <x v="30"/>
    <x v="1"/>
    <x v="130"/>
    <x v="1"/>
    <x v="3"/>
    <x v="13"/>
    <x v="0"/>
    <x v="9"/>
    <n v="0"/>
    <x v="0"/>
  </r>
  <r>
    <x v="30"/>
    <x v="1"/>
    <x v="130"/>
    <x v="1"/>
    <x v="3"/>
    <x v="13"/>
    <x v="0"/>
    <x v="10"/>
    <n v="0"/>
    <x v="0"/>
  </r>
  <r>
    <x v="30"/>
    <x v="1"/>
    <x v="130"/>
    <x v="1"/>
    <x v="3"/>
    <x v="13"/>
    <x v="0"/>
    <x v="11"/>
    <n v="0"/>
    <x v="0"/>
  </r>
  <r>
    <x v="30"/>
    <x v="1"/>
    <x v="131"/>
    <x v="0"/>
    <x v="4"/>
    <x v="14"/>
    <x v="1"/>
    <x v="0"/>
    <n v="759.28038855053467"/>
    <x v="0"/>
  </r>
  <r>
    <x v="30"/>
    <x v="1"/>
    <x v="131"/>
    <x v="0"/>
    <x v="4"/>
    <x v="14"/>
    <x v="1"/>
    <x v="1"/>
    <n v="0"/>
    <x v="0"/>
  </r>
  <r>
    <x v="30"/>
    <x v="1"/>
    <x v="131"/>
    <x v="0"/>
    <x v="4"/>
    <x v="14"/>
    <x v="1"/>
    <x v="2"/>
    <n v="0"/>
    <x v="0"/>
  </r>
  <r>
    <x v="30"/>
    <x v="1"/>
    <x v="131"/>
    <x v="0"/>
    <x v="4"/>
    <x v="14"/>
    <x v="1"/>
    <x v="3"/>
    <n v="0"/>
    <x v="0"/>
  </r>
  <r>
    <x v="30"/>
    <x v="1"/>
    <x v="131"/>
    <x v="0"/>
    <x v="4"/>
    <x v="14"/>
    <x v="1"/>
    <x v="4"/>
    <n v="0"/>
    <x v="0"/>
  </r>
  <r>
    <x v="30"/>
    <x v="1"/>
    <x v="131"/>
    <x v="0"/>
    <x v="4"/>
    <x v="14"/>
    <x v="1"/>
    <x v="5"/>
    <n v="1344.3385020732549"/>
    <x v="0"/>
  </r>
  <r>
    <x v="30"/>
    <x v="1"/>
    <x v="131"/>
    <x v="0"/>
    <x v="4"/>
    <x v="14"/>
    <x v="1"/>
    <x v="6"/>
    <n v="0"/>
    <x v="0"/>
  </r>
  <r>
    <x v="30"/>
    <x v="1"/>
    <x v="131"/>
    <x v="0"/>
    <x v="4"/>
    <x v="14"/>
    <x v="1"/>
    <x v="7"/>
    <n v="0"/>
    <x v="0"/>
  </r>
  <r>
    <x v="30"/>
    <x v="1"/>
    <x v="131"/>
    <x v="0"/>
    <x v="4"/>
    <x v="14"/>
    <x v="1"/>
    <x v="8"/>
    <n v="0"/>
    <x v="0"/>
  </r>
  <r>
    <x v="30"/>
    <x v="1"/>
    <x v="131"/>
    <x v="0"/>
    <x v="4"/>
    <x v="14"/>
    <x v="1"/>
    <x v="9"/>
    <n v="230.94419635686063"/>
    <x v="0"/>
  </r>
  <r>
    <x v="30"/>
    <x v="1"/>
    <x v="131"/>
    <x v="0"/>
    <x v="4"/>
    <x v="14"/>
    <x v="1"/>
    <x v="10"/>
    <n v="0"/>
    <x v="0"/>
  </r>
  <r>
    <x v="30"/>
    <x v="1"/>
    <x v="131"/>
    <x v="0"/>
    <x v="4"/>
    <x v="14"/>
    <x v="1"/>
    <x v="11"/>
    <n v="0"/>
    <x v="0"/>
  </r>
  <r>
    <x v="30"/>
    <x v="1"/>
    <x v="132"/>
    <x v="1"/>
    <x v="4"/>
    <x v="5"/>
    <x v="0"/>
    <x v="0"/>
    <n v="0"/>
    <x v="0"/>
  </r>
  <r>
    <x v="30"/>
    <x v="1"/>
    <x v="132"/>
    <x v="1"/>
    <x v="4"/>
    <x v="5"/>
    <x v="0"/>
    <x v="1"/>
    <n v="0"/>
    <x v="0"/>
  </r>
  <r>
    <x v="30"/>
    <x v="1"/>
    <x v="132"/>
    <x v="1"/>
    <x v="4"/>
    <x v="5"/>
    <x v="0"/>
    <x v="2"/>
    <n v="0"/>
    <x v="0"/>
  </r>
  <r>
    <x v="30"/>
    <x v="1"/>
    <x v="132"/>
    <x v="1"/>
    <x v="4"/>
    <x v="5"/>
    <x v="0"/>
    <x v="3"/>
    <n v="0"/>
    <x v="0"/>
  </r>
  <r>
    <x v="30"/>
    <x v="1"/>
    <x v="132"/>
    <x v="1"/>
    <x v="4"/>
    <x v="5"/>
    <x v="0"/>
    <x v="4"/>
    <n v="0"/>
    <x v="0"/>
  </r>
  <r>
    <x v="30"/>
    <x v="1"/>
    <x v="132"/>
    <x v="1"/>
    <x v="4"/>
    <x v="5"/>
    <x v="0"/>
    <x v="5"/>
    <n v="0"/>
    <x v="0"/>
  </r>
  <r>
    <x v="30"/>
    <x v="1"/>
    <x v="132"/>
    <x v="1"/>
    <x v="4"/>
    <x v="5"/>
    <x v="0"/>
    <x v="6"/>
    <n v="7784.4351294850467"/>
    <x v="0"/>
  </r>
  <r>
    <x v="30"/>
    <x v="1"/>
    <x v="132"/>
    <x v="1"/>
    <x v="4"/>
    <x v="5"/>
    <x v="0"/>
    <x v="7"/>
    <n v="0"/>
    <x v="0"/>
  </r>
  <r>
    <x v="30"/>
    <x v="1"/>
    <x v="132"/>
    <x v="1"/>
    <x v="4"/>
    <x v="5"/>
    <x v="0"/>
    <x v="8"/>
    <n v="0"/>
    <x v="0"/>
  </r>
  <r>
    <x v="30"/>
    <x v="1"/>
    <x v="132"/>
    <x v="1"/>
    <x v="4"/>
    <x v="5"/>
    <x v="0"/>
    <x v="9"/>
    <n v="3080.564568809501"/>
    <x v="0"/>
  </r>
  <r>
    <x v="30"/>
    <x v="1"/>
    <x v="132"/>
    <x v="1"/>
    <x v="4"/>
    <x v="5"/>
    <x v="0"/>
    <x v="10"/>
    <n v="0"/>
    <x v="0"/>
  </r>
  <r>
    <x v="30"/>
    <x v="1"/>
    <x v="132"/>
    <x v="1"/>
    <x v="4"/>
    <x v="5"/>
    <x v="0"/>
    <x v="11"/>
    <n v="0"/>
    <x v="0"/>
  </r>
  <r>
    <x v="30"/>
    <x v="1"/>
    <x v="133"/>
    <x v="1"/>
    <x v="6"/>
    <x v="14"/>
    <x v="0"/>
    <x v="0"/>
    <n v="228.87697001068292"/>
    <x v="0"/>
  </r>
  <r>
    <x v="30"/>
    <x v="1"/>
    <x v="133"/>
    <x v="1"/>
    <x v="6"/>
    <x v="14"/>
    <x v="0"/>
    <x v="1"/>
    <n v="0"/>
    <x v="0"/>
  </r>
  <r>
    <x v="30"/>
    <x v="1"/>
    <x v="133"/>
    <x v="1"/>
    <x v="6"/>
    <x v="14"/>
    <x v="0"/>
    <x v="2"/>
    <n v="0"/>
    <x v="0"/>
  </r>
  <r>
    <x v="30"/>
    <x v="1"/>
    <x v="133"/>
    <x v="1"/>
    <x v="6"/>
    <x v="14"/>
    <x v="0"/>
    <x v="3"/>
    <n v="0"/>
    <x v="0"/>
  </r>
  <r>
    <x v="30"/>
    <x v="1"/>
    <x v="133"/>
    <x v="1"/>
    <x v="6"/>
    <x v="14"/>
    <x v="0"/>
    <x v="4"/>
    <n v="0"/>
    <x v="0"/>
  </r>
  <r>
    <x v="30"/>
    <x v="1"/>
    <x v="133"/>
    <x v="1"/>
    <x v="6"/>
    <x v="14"/>
    <x v="0"/>
    <x v="5"/>
    <n v="0"/>
    <x v="0"/>
  </r>
  <r>
    <x v="30"/>
    <x v="1"/>
    <x v="133"/>
    <x v="1"/>
    <x v="6"/>
    <x v="14"/>
    <x v="0"/>
    <x v="6"/>
    <n v="0"/>
    <x v="0"/>
  </r>
  <r>
    <x v="30"/>
    <x v="1"/>
    <x v="133"/>
    <x v="1"/>
    <x v="6"/>
    <x v="14"/>
    <x v="0"/>
    <x v="7"/>
    <n v="0"/>
    <x v="0"/>
  </r>
  <r>
    <x v="30"/>
    <x v="1"/>
    <x v="133"/>
    <x v="1"/>
    <x v="6"/>
    <x v="14"/>
    <x v="0"/>
    <x v="8"/>
    <n v="0"/>
    <x v="0"/>
  </r>
  <r>
    <x v="30"/>
    <x v="1"/>
    <x v="133"/>
    <x v="1"/>
    <x v="6"/>
    <x v="14"/>
    <x v="0"/>
    <x v="9"/>
    <n v="0"/>
    <x v="0"/>
  </r>
  <r>
    <x v="30"/>
    <x v="1"/>
    <x v="133"/>
    <x v="1"/>
    <x v="6"/>
    <x v="14"/>
    <x v="0"/>
    <x v="10"/>
    <n v="0"/>
    <x v="0"/>
  </r>
  <r>
    <x v="30"/>
    <x v="1"/>
    <x v="133"/>
    <x v="1"/>
    <x v="6"/>
    <x v="14"/>
    <x v="0"/>
    <x v="11"/>
    <n v="0"/>
    <x v="0"/>
  </r>
  <r>
    <x v="30"/>
    <x v="1"/>
    <x v="134"/>
    <x v="1"/>
    <x v="4"/>
    <x v="14"/>
    <x v="0"/>
    <x v="0"/>
    <n v="251.01708168592165"/>
    <x v="0"/>
  </r>
  <r>
    <x v="30"/>
    <x v="1"/>
    <x v="134"/>
    <x v="1"/>
    <x v="4"/>
    <x v="14"/>
    <x v="0"/>
    <x v="1"/>
    <n v="0"/>
    <x v="0"/>
  </r>
  <r>
    <x v="30"/>
    <x v="1"/>
    <x v="134"/>
    <x v="1"/>
    <x v="4"/>
    <x v="14"/>
    <x v="0"/>
    <x v="2"/>
    <n v="0"/>
    <x v="0"/>
  </r>
  <r>
    <x v="30"/>
    <x v="1"/>
    <x v="134"/>
    <x v="1"/>
    <x v="4"/>
    <x v="14"/>
    <x v="0"/>
    <x v="3"/>
    <n v="2195.1569562772097"/>
    <x v="0"/>
  </r>
  <r>
    <x v="30"/>
    <x v="1"/>
    <x v="134"/>
    <x v="1"/>
    <x v="4"/>
    <x v="14"/>
    <x v="0"/>
    <x v="4"/>
    <n v="0"/>
    <x v="0"/>
  </r>
  <r>
    <x v="30"/>
    <x v="1"/>
    <x v="134"/>
    <x v="1"/>
    <x v="4"/>
    <x v="14"/>
    <x v="0"/>
    <x v="5"/>
    <n v="0"/>
    <x v="0"/>
  </r>
  <r>
    <x v="30"/>
    <x v="1"/>
    <x v="134"/>
    <x v="1"/>
    <x v="4"/>
    <x v="14"/>
    <x v="0"/>
    <x v="6"/>
    <n v="0"/>
    <x v="0"/>
  </r>
  <r>
    <x v="30"/>
    <x v="1"/>
    <x v="134"/>
    <x v="1"/>
    <x v="4"/>
    <x v="14"/>
    <x v="0"/>
    <x v="7"/>
    <n v="0"/>
    <x v="0"/>
  </r>
  <r>
    <x v="30"/>
    <x v="1"/>
    <x v="134"/>
    <x v="1"/>
    <x v="4"/>
    <x v="14"/>
    <x v="0"/>
    <x v="8"/>
    <n v="0"/>
    <x v="0"/>
  </r>
  <r>
    <x v="30"/>
    <x v="1"/>
    <x v="134"/>
    <x v="1"/>
    <x v="4"/>
    <x v="14"/>
    <x v="0"/>
    <x v="9"/>
    <n v="0"/>
    <x v="0"/>
  </r>
  <r>
    <x v="30"/>
    <x v="1"/>
    <x v="134"/>
    <x v="1"/>
    <x v="4"/>
    <x v="14"/>
    <x v="0"/>
    <x v="10"/>
    <n v="0"/>
    <x v="0"/>
  </r>
  <r>
    <x v="30"/>
    <x v="1"/>
    <x v="134"/>
    <x v="1"/>
    <x v="4"/>
    <x v="14"/>
    <x v="0"/>
    <x v="11"/>
    <n v="0"/>
    <x v="0"/>
  </r>
  <r>
    <x v="30"/>
    <x v="1"/>
    <x v="135"/>
    <x v="0"/>
    <x v="4"/>
    <x v="14"/>
    <x v="10"/>
    <x v="0"/>
    <n v="71.040429960682388"/>
    <x v="0"/>
  </r>
  <r>
    <x v="30"/>
    <x v="1"/>
    <x v="135"/>
    <x v="0"/>
    <x v="4"/>
    <x v="14"/>
    <x v="10"/>
    <x v="1"/>
    <n v="0"/>
    <x v="0"/>
  </r>
  <r>
    <x v="30"/>
    <x v="1"/>
    <x v="135"/>
    <x v="0"/>
    <x v="4"/>
    <x v="14"/>
    <x v="10"/>
    <x v="2"/>
    <n v="0"/>
    <x v="0"/>
  </r>
  <r>
    <x v="30"/>
    <x v="1"/>
    <x v="135"/>
    <x v="0"/>
    <x v="4"/>
    <x v="14"/>
    <x v="10"/>
    <x v="3"/>
    <n v="0"/>
    <x v="0"/>
  </r>
  <r>
    <x v="30"/>
    <x v="1"/>
    <x v="135"/>
    <x v="0"/>
    <x v="4"/>
    <x v="14"/>
    <x v="10"/>
    <x v="4"/>
    <n v="0"/>
    <x v="0"/>
  </r>
  <r>
    <x v="30"/>
    <x v="1"/>
    <x v="135"/>
    <x v="0"/>
    <x v="4"/>
    <x v="14"/>
    <x v="10"/>
    <x v="5"/>
    <n v="0"/>
    <x v="0"/>
  </r>
  <r>
    <x v="30"/>
    <x v="1"/>
    <x v="135"/>
    <x v="0"/>
    <x v="4"/>
    <x v="14"/>
    <x v="10"/>
    <x v="6"/>
    <n v="0"/>
    <x v="0"/>
  </r>
  <r>
    <x v="30"/>
    <x v="1"/>
    <x v="135"/>
    <x v="0"/>
    <x v="4"/>
    <x v="14"/>
    <x v="10"/>
    <x v="7"/>
    <n v="0"/>
    <x v="0"/>
  </r>
  <r>
    <x v="30"/>
    <x v="1"/>
    <x v="135"/>
    <x v="0"/>
    <x v="4"/>
    <x v="14"/>
    <x v="10"/>
    <x v="8"/>
    <n v="0"/>
    <x v="0"/>
  </r>
  <r>
    <x v="30"/>
    <x v="1"/>
    <x v="135"/>
    <x v="0"/>
    <x v="4"/>
    <x v="14"/>
    <x v="10"/>
    <x v="9"/>
    <n v="0"/>
    <x v="0"/>
  </r>
  <r>
    <x v="30"/>
    <x v="1"/>
    <x v="135"/>
    <x v="0"/>
    <x v="4"/>
    <x v="14"/>
    <x v="10"/>
    <x v="10"/>
    <n v="0"/>
    <x v="0"/>
  </r>
  <r>
    <x v="30"/>
    <x v="1"/>
    <x v="135"/>
    <x v="0"/>
    <x v="4"/>
    <x v="14"/>
    <x v="10"/>
    <x v="11"/>
    <n v="0"/>
    <x v="0"/>
  </r>
  <r>
    <x v="30"/>
    <x v="1"/>
    <x v="136"/>
    <x v="1"/>
    <x v="1"/>
    <x v="14"/>
    <x v="0"/>
    <x v="0"/>
    <n v="91.344618332801019"/>
    <x v="0"/>
  </r>
  <r>
    <x v="30"/>
    <x v="1"/>
    <x v="136"/>
    <x v="1"/>
    <x v="1"/>
    <x v="14"/>
    <x v="0"/>
    <x v="1"/>
    <n v="0"/>
    <x v="0"/>
  </r>
  <r>
    <x v="30"/>
    <x v="1"/>
    <x v="136"/>
    <x v="1"/>
    <x v="1"/>
    <x v="14"/>
    <x v="0"/>
    <x v="2"/>
    <n v="0"/>
    <x v="0"/>
  </r>
  <r>
    <x v="30"/>
    <x v="1"/>
    <x v="136"/>
    <x v="1"/>
    <x v="1"/>
    <x v="14"/>
    <x v="0"/>
    <x v="3"/>
    <n v="0"/>
    <x v="0"/>
  </r>
  <r>
    <x v="30"/>
    <x v="1"/>
    <x v="136"/>
    <x v="1"/>
    <x v="1"/>
    <x v="14"/>
    <x v="0"/>
    <x v="4"/>
    <n v="0"/>
    <x v="0"/>
  </r>
  <r>
    <x v="30"/>
    <x v="1"/>
    <x v="136"/>
    <x v="1"/>
    <x v="1"/>
    <x v="14"/>
    <x v="0"/>
    <x v="5"/>
    <n v="0"/>
    <x v="0"/>
  </r>
  <r>
    <x v="30"/>
    <x v="1"/>
    <x v="136"/>
    <x v="1"/>
    <x v="1"/>
    <x v="14"/>
    <x v="0"/>
    <x v="6"/>
    <n v="0"/>
    <x v="0"/>
  </r>
  <r>
    <x v="30"/>
    <x v="1"/>
    <x v="136"/>
    <x v="1"/>
    <x v="1"/>
    <x v="14"/>
    <x v="0"/>
    <x v="7"/>
    <n v="0"/>
    <x v="0"/>
  </r>
  <r>
    <x v="30"/>
    <x v="1"/>
    <x v="136"/>
    <x v="1"/>
    <x v="1"/>
    <x v="14"/>
    <x v="0"/>
    <x v="8"/>
    <n v="0"/>
    <x v="0"/>
  </r>
  <r>
    <x v="30"/>
    <x v="1"/>
    <x v="136"/>
    <x v="1"/>
    <x v="1"/>
    <x v="14"/>
    <x v="0"/>
    <x v="9"/>
    <n v="0"/>
    <x v="0"/>
  </r>
  <r>
    <x v="30"/>
    <x v="1"/>
    <x v="136"/>
    <x v="1"/>
    <x v="1"/>
    <x v="14"/>
    <x v="0"/>
    <x v="10"/>
    <n v="0"/>
    <x v="0"/>
  </r>
  <r>
    <x v="30"/>
    <x v="1"/>
    <x v="136"/>
    <x v="1"/>
    <x v="1"/>
    <x v="14"/>
    <x v="0"/>
    <x v="11"/>
    <n v="0"/>
    <x v="0"/>
  </r>
  <r>
    <x v="30"/>
    <x v="1"/>
    <x v="137"/>
    <x v="0"/>
    <x v="4"/>
    <x v="14"/>
    <x v="10"/>
    <x v="0"/>
    <n v="0"/>
    <x v="0"/>
  </r>
  <r>
    <x v="30"/>
    <x v="1"/>
    <x v="137"/>
    <x v="0"/>
    <x v="4"/>
    <x v="14"/>
    <x v="10"/>
    <x v="1"/>
    <n v="86.540936643693428"/>
    <x v="0"/>
  </r>
  <r>
    <x v="30"/>
    <x v="1"/>
    <x v="137"/>
    <x v="0"/>
    <x v="4"/>
    <x v="14"/>
    <x v="10"/>
    <x v="2"/>
    <n v="171.902926864546"/>
    <x v="0"/>
  </r>
  <r>
    <x v="30"/>
    <x v="1"/>
    <x v="137"/>
    <x v="0"/>
    <x v="4"/>
    <x v="14"/>
    <x v="10"/>
    <x v="3"/>
    <n v="0"/>
    <x v="0"/>
  </r>
  <r>
    <x v="30"/>
    <x v="1"/>
    <x v="137"/>
    <x v="0"/>
    <x v="4"/>
    <x v="14"/>
    <x v="10"/>
    <x v="4"/>
    <n v="0"/>
    <x v="0"/>
  </r>
  <r>
    <x v="30"/>
    <x v="1"/>
    <x v="137"/>
    <x v="0"/>
    <x v="4"/>
    <x v="14"/>
    <x v="10"/>
    <x v="5"/>
    <n v="0"/>
    <x v="0"/>
  </r>
  <r>
    <x v="30"/>
    <x v="1"/>
    <x v="137"/>
    <x v="0"/>
    <x v="4"/>
    <x v="14"/>
    <x v="10"/>
    <x v="6"/>
    <n v="0"/>
    <x v="0"/>
  </r>
  <r>
    <x v="30"/>
    <x v="1"/>
    <x v="137"/>
    <x v="0"/>
    <x v="4"/>
    <x v="14"/>
    <x v="10"/>
    <x v="7"/>
    <n v="0"/>
    <x v="0"/>
  </r>
  <r>
    <x v="30"/>
    <x v="1"/>
    <x v="137"/>
    <x v="0"/>
    <x v="4"/>
    <x v="14"/>
    <x v="10"/>
    <x v="8"/>
    <n v="0"/>
    <x v="0"/>
  </r>
  <r>
    <x v="30"/>
    <x v="1"/>
    <x v="137"/>
    <x v="0"/>
    <x v="4"/>
    <x v="14"/>
    <x v="10"/>
    <x v="9"/>
    <n v="0"/>
    <x v="0"/>
  </r>
  <r>
    <x v="30"/>
    <x v="1"/>
    <x v="137"/>
    <x v="0"/>
    <x v="4"/>
    <x v="14"/>
    <x v="10"/>
    <x v="10"/>
    <n v="0"/>
    <x v="0"/>
  </r>
  <r>
    <x v="30"/>
    <x v="1"/>
    <x v="137"/>
    <x v="0"/>
    <x v="4"/>
    <x v="14"/>
    <x v="10"/>
    <x v="11"/>
    <n v="0"/>
    <x v="0"/>
  </r>
  <r>
    <x v="30"/>
    <x v="1"/>
    <x v="138"/>
    <x v="0"/>
    <x v="4"/>
    <x v="14"/>
    <x v="14"/>
    <x v="0"/>
    <n v="0"/>
    <x v="0"/>
  </r>
  <r>
    <x v="30"/>
    <x v="1"/>
    <x v="138"/>
    <x v="0"/>
    <x v="4"/>
    <x v="14"/>
    <x v="14"/>
    <x v="1"/>
    <n v="0"/>
    <x v="0"/>
  </r>
  <r>
    <x v="30"/>
    <x v="1"/>
    <x v="138"/>
    <x v="0"/>
    <x v="4"/>
    <x v="14"/>
    <x v="14"/>
    <x v="2"/>
    <n v="0"/>
    <x v="0"/>
  </r>
  <r>
    <x v="30"/>
    <x v="1"/>
    <x v="138"/>
    <x v="0"/>
    <x v="4"/>
    <x v="14"/>
    <x v="14"/>
    <x v="3"/>
    <n v="0"/>
    <x v="0"/>
  </r>
  <r>
    <x v="30"/>
    <x v="1"/>
    <x v="138"/>
    <x v="0"/>
    <x v="4"/>
    <x v="14"/>
    <x v="14"/>
    <x v="4"/>
    <n v="1392.4913932104414"/>
    <x v="0"/>
  </r>
  <r>
    <x v="30"/>
    <x v="1"/>
    <x v="138"/>
    <x v="0"/>
    <x v="4"/>
    <x v="14"/>
    <x v="14"/>
    <x v="5"/>
    <n v="0"/>
    <x v="0"/>
  </r>
  <r>
    <x v="30"/>
    <x v="1"/>
    <x v="138"/>
    <x v="0"/>
    <x v="4"/>
    <x v="14"/>
    <x v="14"/>
    <x v="6"/>
    <n v="0"/>
    <x v="0"/>
  </r>
  <r>
    <x v="30"/>
    <x v="1"/>
    <x v="138"/>
    <x v="0"/>
    <x v="4"/>
    <x v="14"/>
    <x v="14"/>
    <x v="7"/>
    <n v="598.11270029035381"/>
    <x v="0"/>
  </r>
  <r>
    <x v="30"/>
    <x v="1"/>
    <x v="138"/>
    <x v="0"/>
    <x v="4"/>
    <x v="14"/>
    <x v="14"/>
    <x v="8"/>
    <n v="0"/>
    <x v="0"/>
  </r>
  <r>
    <x v="30"/>
    <x v="1"/>
    <x v="138"/>
    <x v="0"/>
    <x v="4"/>
    <x v="14"/>
    <x v="14"/>
    <x v="9"/>
    <n v="564.89435752454995"/>
    <x v="0"/>
  </r>
  <r>
    <x v="30"/>
    <x v="1"/>
    <x v="138"/>
    <x v="0"/>
    <x v="4"/>
    <x v="14"/>
    <x v="14"/>
    <x v="10"/>
    <n v="0"/>
    <x v="0"/>
  </r>
  <r>
    <x v="30"/>
    <x v="1"/>
    <x v="138"/>
    <x v="0"/>
    <x v="4"/>
    <x v="14"/>
    <x v="14"/>
    <x v="11"/>
    <n v="0"/>
    <x v="0"/>
  </r>
  <r>
    <x v="23"/>
    <x v="1"/>
    <x v="139"/>
    <x v="0"/>
    <x v="4"/>
    <x v="15"/>
    <x v="0"/>
    <x v="0"/>
    <n v="0"/>
    <x v="0"/>
  </r>
  <r>
    <x v="23"/>
    <x v="1"/>
    <x v="139"/>
    <x v="0"/>
    <x v="4"/>
    <x v="15"/>
    <x v="0"/>
    <x v="1"/>
    <n v="0"/>
    <x v="0"/>
  </r>
  <r>
    <x v="23"/>
    <x v="1"/>
    <x v="139"/>
    <x v="0"/>
    <x v="4"/>
    <x v="15"/>
    <x v="0"/>
    <x v="2"/>
    <n v="0"/>
    <x v="0"/>
  </r>
  <r>
    <x v="23"/>
    <x v="1"/>
    <x v="139"/>
    <x v="0"/>
    <x v="4"/>
    <x v="15"/>
    <x v="0"/>
    <x v="3"/>
    <n v="0"/>
    <x v="0"/>
  </r>
  <r>
    <x v="23"/>
    <x v="1"/>
    <x v="139"/>
    <x v="0"/>
    <x v="4"/>
    <x v="15"/>
    <x v="0"/>
    <x v="4"/>
    <n v="0"/>
    <x v="0"/>
  </r>
  <r>
    <x v="23"/>
    <x v="1"/>
    <x v="139"/>
    <x v="0"/>
    <x v="4"/>
    <x v="15"/>
    <x v="0"/>
    <x v="5"/>
    <n v="0"/>
    <x v="0"/>
  </r>
  <r>
    <x v="23"/>
    <x v="1"/>
    <x v="139"/>
    <x v="0"/>
    <x v="4"/>
    <x v="15"/>
    <x v="0"/>
    <x v="6"/>
    <n v="245.85093220700543"/>
    <x v="0"/>
  </r>
  <r>
    <x v="23"/>
    <x v="1"/>
    <x v="139"/>
    <x v="0"/>
    <x v="4"/>
    <x v="15"/>
    <x v="0"/>
    <x v="7"/>
    <n v="0"/>
    <x v="0"/>
  </r>
  <r>
    <x v="23"/>
    <x v="1"/>
    <x v="139"/>
    <x v="0"/>
    <x v="4"/>
    <x v="15"/>
    <x v="0"/>
    <x v="8"/>
    <n v="0"/>
    <x v="0"/>
  </r>
  <r>
    <x v="23"/>
    <x v="1"/>
    <x v="139"/>
    <x v="0"/>
    <x v="4"/>
    <x v="15"/>
    <x v="0"/>
    <x v="9"/>
    <n v="12.850579882417195"/>
    <x v="0"/>
  </r>
  <r>
    <x v="23"/>
    <x v="1"/>
    <x v="139"/>
    <x v="0"/>
    <x v="4"/>
    <x v="15"/>
    <x v="0"/>
    <x v="10"/>
    <n v="0"/>
    <x v="0"/>
  </r>
  <r>
    <x v="23"/>
    <x v="1"/>
    <x v="139"/>
    <x v="0"/>
    <x v="4"/>
    <x v="15"/>
    <x v="0"/>
    <x v="11"/>
    <n v="0"/>
    <x v="0"/>
  </r>
  <r>
    <x v="30"/>
    <x v="1"/>
    <x v="137"/>
    <x v="0"/>
    <x v="4"/>
    <x v="14"/>
    <x v="10"/>
    <x v="0"/>
    <n v="0"/>
    <x v="0"/>
  </r>
  <r>
    <x v="30"/>
    <x v="1"/>
    <x v="137"/>
    <x v="0"/>
    <x v="4"/>
    <x v="14"/>
    <x v="10"/>
    <x v="1"/>
    <n v="0"/>
    <x v="0"/>
  </r>
  <r>
    <x v="30"/>
    <x v="1"/>
    <x v="137"/>
    <x v="0"/>
    <x v="4"/>
    <x v="14"/>
    <x v="10"/>
    <x v="2"/>
    <n v="0"/>
    <x v="0"/>
  </r>
  <r>
    <x v="30"/>
    <x v="1"/>
    <x v="137"/>
    <x v="0"/>
    <x v="4"/>
    <x v="14"/>
    <x v="10"/>
    <x v="3"/>
    <n v="0"/>
    <x v="0"/>
  </r>
  <r>
    <x v="30"/>
    <x v="1"/>
    <x v="137"/>
    <x v="0"/>
    <x v="4"/>
    <x v="14"/>
    <x v="10"/>
    <x v="4"/>
    <n v="0"/>
    <x v="0"/>
  </r>
  <r>
    <x v="30"/>
    <x v="1"/>
    <x v="137"/>
    <x v="0"/>
    <x v="4"/>
    <x v="14"/>
    <x v="10"/>
    <x v="5"/>
    <n v="0"/>
    <x v="0"/>
  </r>
  <r>
    <x v="30"/>
    <x v="1"/>
    <x v="137"/>
    <x v="0"/>
    <x v="4"/>
    <x v="14"/>
    <x v="10"/>
    <x v="6"/>
    <n v="0"/>
    <x v="0"/>
  </r>
  <r>
    <x v="30"/>
    <x v="1"/>
    <x v="137"/>
    <x v="0"/>
    <x v="4"/>
    <x v="14"/>
    <x v="10"/>
    <x v="7"/>
    <n v="0"/>
    <x v="0"/>
  </r>
  <r>
    <x v="30"/>
    <x v="1"/>
    <x v="137"/>
    <x v="0"/>
    <x v="4"/>
    <x v="14"/>
    <x v="10"/>
    <x v="8"/>
    <n v="0"/>
    <x v="0"/>
  </r>
  <r>
    <x v="30"/>
    <x v="1"/>
    <x v="137"/>
    <x v="0"/>
    <x v="4"/>
    <x v="14"/>
    <x v="10"/>
    <x v="9"/>
    <n v="0"/>
    <x v="0"/>
  </r>
  <r>
    <x v="30"/>
    <x v="1"/>
    <x v="137"/>
    <x v="0"/>
    <x v="4"/>
    <x v="14"/>
    <x v="10"/>
    <x v="10"/>
    <n v="0"/>
    <x v="0"/>
  </r>
  <r>
    <x v="30"/>
    <x v="1"/>
    <x v="137"/>
    <x v="0"/>
    <x v="4"/>
    <x v="14"/>
    <x v="10"/>
    <x v="11"/>
    <n v="0"/>
    <x v="0"/>
  </r>
  <r>
    <x v="30"/>
    <x v="1"/>
    <x v="140"/>
    <x v="0"/>
    <x v="4"/>
    <x v="14"/>
    <x v="15"/>
    <x v="0"/>
    <n v="0"/>
    <x v="0"/>
  </r>
  <r>
    <x v="30"/>
    <x v="1"/>
    <x v="140"/>
    <x v="0"/>
    <x v="4"/>
    <x v="14"/>
    <x v="15"/>
    <x v="1"/>
    <n v="0"/>
    <x v="0"/>
  </r>
  <r>
    <x v="30"/>
    <x v="1"/>
    <x v="140"/>
    <x v="0"/>
    <x v="4"/>
    <x v="14"/>
    <x v="15"/>
    <x v="2"/>
    <n v="0"/>
    <x v="0"/>
  </r>
  <r>
    <x v="30"/>
    <x v="1"/>
    <x v="140"/>
    <x v="0"/>
    <x v="4"/>
    <x v="14"/>
    <x v="15"/>
    <x v="3"/>
    <n v="2083.0295581894306"/>
    <x v="0"/>
  </r>
  <r>
    <x v="30"/>
    <x v="1"/>
    <x v="140"/>
    <x v="0"/>
    <x v="4"/>
    <x v="14"/>
    <x v="15"/>
    <x v="4"/>
    <n v="0"/>
    <x v="0"/>
  </r>
  <r>
    <x v="30"/>
    <x v="1"/>
    <x v="140"/>
    <x v="0"/>
    <x v="4"/>
    <x v="14"/>
    <x v="15"/>
    <x v="5"/>
    <n v="0"/>
    <x v="0"/>
  </r>
  <r>
    <x v="30"/>
    <x v="1"/>
    <x v="140"/>
    <x v="0"/>
    <x v="4"/>
    <x v="14"/>
    <x v="15"/>
    <x v="6"/>
    <n v="0"/>
    <x v="0"/>
  </r>
  <r>
    <x v="30"/>
    <x v="1"/>
    <x v="140"/>
    <x v="0"/>
    <x v="4"/>
    <x v="14"/>
    <x v="15"/>
    <x v="7"/>
    <n v="0"/>
    <x v="0"/>
  </r>
  <r>
    <x v="30"/>
    <x v="1"/>
    <x v="140"/>
    <x v="0"/>
    <x v="4"/>
    <x v="14"/>
    <x v="15"/>
    <x v="8"/>
    <n v="0"/>
    <x v="0"/>
  </r>
  <r>
    <x v="30"/>
    <x v="1"/>
    <x v="140"/>
    <x v="0"/>
    <x v="4"/>
    <x v="14"/>
    <x v="15"/>
    <x v="9"/>
    <n v="0"/>
    <x v="0"/>
  </r>
  <r>
    <x v="30"/>
    <x v="1"/>
    <x v="140"/>
    <x v="0"/>
    <x v="4"/>
    <x v="14"/>
    <x v="15"/>
    <x v="10"/>
    <n v="0"/>
    <x v="0"/>
  </r>
  <r>
    <x v="30"/>
    <x v="1"/>
    <x v="140"/>
    <x v="0"/>
    <x v="4"/>
    <x v="14"/>
    <x v="15"/>
    <x v="11"/>
    <n v="0"/>
    <x v="0"/>
  </r>
  <r>
    <x v="30"/>
    <x v="1"/>
    <x v="141"/>
    <x v="0"/>
    <x v="4"/>
    <x v="14"/>
    <x v="10"/>
    <x v="0"/>
    <n v="0"/>
    <x v="0"/>
  </r>
  <r>
    <x v="30"/>
    <x v="1"/>
    <x v="141"/>
    <x v="0"/>
    <x v="4"/>
    <x v="14"/>
    <x v="10"/>
    <x v="1"/>
    <n v="0"/>
    <x v="0"/>
  </r>
  <r>
    <x v="30"/>
    <x v="1"/>
    <x v="141"/>
    <x v="0"/>
    <x v="4"/>
    <x v="14"/>
    <x v="10"/>
    <x v="2"/>
    <n v="0"/>
    <x v="0"/>
  </r>
  <r>
    <x v="30"/>
    <x v="1"/>
    <x v="141"/>
    <x v="0"/>
    <x v="4"/>
    <x v="14"/>
    <x v="10"/>
    <x v="3"/>
    <n v="802.06532380694478"/>
    <x v="0"/>
  </r>
  <r>
    <x v="30"/>
    <x v="1"/>
    <x v="141"/>
    <x v="0"/>
    <x v="4"/>
    <x v="14"/>
    <x v="10"/>
    <x v="4"/>
    <n v="436.76297555235976"/>
    <x v="0"/>
  </r>
  <r>
    <x v="30"/>
    <x v="1"/>
    <x v="141"/>
    <x v="0"/>
    <x v="4"/>
    <x v="14"/>
    <x v="10"/>
    <x v="5"/>
    <n v="0"/>
    <x v="0"/>
  </r>
  <r>
    <x v="30"/>
    <x v="1"/>
    <x v="141"/>
    <x v="0"/>
    <x v="4"/>
    <x v="14"/>
    <x v="10"/>
    <x v="6"/>
    <n v="0"/>
    <x v="0"/>
  </r>
  <r>
    <x v="30"/>
    <x v="1"/>
    <x v="141"/>
    <x v="0"/>
    <x v="4"/>
    <x v="14"/>
    <x v="10"/>
    <x v="7"/>
    <n v="0"/>
    <x v="0"/>
  </r>
  <r>
    <x v="30"/>
    <x v="1"/>
    <x v="141"/>
    <x v="0"/>
    <x v="4"/>
    <x v="14"/>
    <x v="10"/>
    <x v="8"/>
    <n v="0"/>
    <x v="0"/>
  </r>
  <r>
    <x v="30"/>
    <x v="1"/>
    <x v="141"/>
    <x v="0"/>
    <x v="4"/>
    <x v="14"/>
    <x v="10"/>
    <x v="9"/>
    <n v="0"/>
    <x v="0"/>
  </r>
  <r>
    <x v="30"/>
    <x v="1"/>
    <x v="141"/>
    <x v="0"/>
    <x v="4"/>
    <x v="14"/>
    <x v="10"/>
    <x v="10"/>
    <n v="0"/>
    <x v="0"/>
  </r>
  <r>
    <x v="30"/>
    <x v="1"/>
    <x v="141"/>
    <x v="0"/>
    <x v="4"/>
    <x v="14"/>
    <x v="10"/>
    <x v="11"/>
    <n v="0"/>
    <x v="0"/>
  </r>
  <r>
    <x v="30"/>
    <x v="1"/>
    <x v="142"/>
    <x v="0"/>
    <x v="4"/>
    <x v="14"/>
    <x v="13"/>
    <x v="0"/>
    <n v="0"/>
    <x v="0"/>
  </r>
  <r>
    <x v="30"/>
    <x v="1"/>
    <x v="142"/>
    <x v="0"/>
    <x v="4"/>
    <x v="14"/>
    <x v="13"/>
    <x v="1"/>
    <n v="0"/>
    <x v="0"/>
  </r>
  <r>
    <x v="30"/>
    <x v="1"/>
    <x v="142"/>
    <x v="0"/>
    <x v="4"/>
    <x v="14"/>
    <x v="13"/>
    <x v="2"/>
    <n v="0"/>
    <x v="0"/>
  </r>
  <r>
    <x v="30"/>
    <x v="1"/>
    <x v="142"/>
    <x v="0"/>
    <x v="4"/>
    <x v="14"/>
    <x v="13"/>
    <x v="3"/>
    <n v="1704.4274793259317"/>
    <x v="0"/>
  </r>
  <r>
    <x v="30"/>
    <x v="1"/>
    <x v="142"/>
    <x v="0"/>
    <x v="4"/>
    <x v="14"/>
    <x v="13"/>
    <x v="4"/>
    <n v="0"/>
    <x v="0"/>
  </r>
  <r>
    <x v="30"/>
    <x v="1"/>
    <x v="142"/>
    <x v="0"/>
    <x v="4"/>
    <x v="14"/>
    <x v="13"/>
    <x v="5"/>
    <n v="0"/>
    <x v="0"/>
  </r>
  <r>
    <x v="30"/>
    <x v="1"/>
    <x v="142"/>
    <x v="0"/>
    <x v="4"/>
    <x v="14"/>
    <x v="13"/>
    <x v="6"/>
    <n v="0"/>
    <x v="0"/>
  </r>
  <r>
    <x v="30"/>
    <x v="1"/>
    <x v="142"/>
    <x v="0"/>
    <x v="4"/>
    <x v="14"/>
    <x v="13"/>
    <x v="7"/>
    <n v="0"/>
    <x v="0"/>
  </r>
  <r>
    <x v="30"/>
    <x v="1"/>
    <x v="142"/>
    <x v="0"/>
    <x v="4"/>
    <x v="14"/>
    <x v="13"/>
    <x v="8"/>
    <n v="0"/>
    <x v="0"/>
  </r>
  <r>
    <x v="30"/>
    <x v="1"/>
    <x v="142"/>
    <x v="0"/>
    <x v="4"/>
    <x v="14"/>
    <x v="13"/>
    <x v="9"/>
    <n v="0"/>
    <x v="0"/>
  </r>
  <r>
    <x v="30"/>
    <x v="1"/>
    <x v="142"/>
    <x v="0"/>
    <x v="4"/>
    <x v="14"/>
    <x v="13"/>
    <x v="10"/>
    <n v="0"/>
    <x v="0"/>
  </r>
  <r>
    <x v="30"/>
    <x v="1"/>
    <x v="142"/>
    <x v="0"/>
    <x v="4"/>
    <x v="14"/>
    <x v="13"/>
    <x v="11"/>
    <n v="0"/>
    <x v="0"/>
  </r>
  <r>
    <x v="30"/>
    <x v="1"/>
    <x v="143"/>
    <x v="0"/>
    <x v="4"/>
    <x v="14"/>
    <x v="14"/>
    <x v="0"/>
    <n v="0"/>
    <x v="0"/>
  </r>
  <r>
    <x v="30"/>
    <x v="1"/>
    <x v="143"/>
    <x v="0"/>
    <x v="4"/>
    <x v="14"/>
    <x v="14"/>
    <x v="1"/>
    <n v="0"/>
    <x v="0"/>
  </r>
  <r>
    <x v="30"/>
    <x v="1"/>
    <x v="143"/>
    <x v="0"/>
    <x v="4"/>
    <x v="14"/>
    <x v="14"/>
    <x v="2"/>
    <n v="0"/>
    <x v="0"/>
  </r>
  <r>
    <x v="30"/>
    <x v="1"/>
    <x v="143"/>
    <x v="0"/>
    <x v="4"/>
    <x v="14"/>
    <x v="14"/>
    <x v="3"/>
    <n v="934.21063594892416"/>
    <x v="0"/>
  </r>
  <r>
    <x v="30"/>
    <x v="1"/>
    <x v="143"/>
    <x v="0"/>
    <x v="4"/>
    <x v="14"/>
    <x v="14"/>
    <x v="4"/>
    <n v="0"/>
    <x v="0"/>
  </r>
  <r>
    <x v="30"/>
    <x v="1"/>
    <x v="143"/>
    <x v="0"/>
    <x v="4"/>
    <x v="14"/>
    <x v="14"/>
    <x v="5"/>
    <n v="0"/>
    <x v="0"/>
  </r>
  <r>
    <x v="30"/>
    <x v="1"/>
    <x v="143"/>
    <x v="0"/>
    <x v="4"/>
    <x v="14"/>
    <x v="14"/>
    <x v="6"/>
    <n v="0"/>
    <x v="0"/>
  </r>
  <r>
    <x v="30"/>
    <x v="1"/>
    <x v="143"/>
    <x v="0"/>
    <x v="4"/>
    <x v="14"/>
    <x v="14"/>
    <x v="7"/>
    <n v="0"/>
    <x v="0"/>
  </r>
  <r>
    <x v="30"/>
    <x v="1"/>
    <x v="143"/>
    <x v="0"/>
    <x v="4"/>
    <x v="14"/>
    <x v="14"/>
    <x v="8"/>
    <n v="0"/>
    <x v="0"/>
  </r>
  <r>
    <x v="30"/>
    <x v="1"/>
    <x v="143"/>
    <x v="0"/>
    <x v="4"/>
    <x v="14"/>
    <x v="14"/>
    <x v="9"/>
    <n v="0"/>
    <x v="0"/>
  </r>
  <r>
    <x v="30"/>
    <x v="1"/>
    <x v="143"/>
    <x v="0"/>
    <x v="4"/>
    <x v="14"/>
    <x v="14"/>
    <x v="10"/>
    <n v="0"/>
    <x v="0"/>
  </r>
  <r>
    <x v="30"/>
    <x v="1"/>
    <x v="143"/>
    <x v="0"/>
    <x v="4"/>
    <x v="14"/>
    <x v="14"/>
    <x v="11"/>
    <n v="0"/>
    <x v="0"/>
  </r>
  <r>
    <x v="30"/>
    <x v="1"/>
    <x v="144"/>
    <x v="0"/>
    <x v="4"/>
    <x v="14"/>
    <x v="0"/>
    <x v="0"/>
    <n v="0"/>
    <x v="0"/>
  </r>
  <r>
    <x v="30"/>
    <x v="1"/>
    <x v="144"/>
    <x v="0"/>
    <x v="4"/>
    <x v="14"/>
    <x v="0"/>
    <x v="1"/>
    <n v="0"/>
    <x v="0"/>
  </r>
  <r>
    <x v="30"/>
    <x v="1"/>
    <x v="144"/>
    <x v="0"/>
    <x v="4"/>
    <x v="14"/>
    <x v="0"/>
    <x v="2"/>
    <n v="0"/>
    <x v="0"/>
  </r>
  <r>
    <x v="30"/>
    <x v="1"/>
    <x v="144"/>
    <x v="0"/>
    <x v="4"/>
    <x v="14"/>
    <x v="0"/>
    <x v="3"/>
    <n v="0"/>
    <x v="0"/>
  </r>
  <r>
    <x v="30"/>
    <x v="1"/>
    <x v="144"/>
    <x v="0"/>
    <x v="4"/>
    <x v="14"/>
    <x v="0"/>
    <x v="4"/>
    <n v="0"/>
    <x v="0"/>
  </r>
  <r>
    <x v="30"/>
    <x v="1"/>
    <x v="144"/>
    <x v="0"/>
    <x v="4"/>
    <x v="14"/>
    <x v="0"/>
    <x v="5"/>
    <n v="0"/>
    <x v="0"/>
  </r>
  <r>
    <x v="30"/>
    <x v="1"/>
    <x v="144"/>
    <x v="0"/>
    <x v="4"/>
    <x v="14"/>
    <x v="0"/>
    <x v="6"/>
    <n v="0"/>
    <x v="0"/>
  </r>
  <r>
    <x v="30"/>
    <x v="1"/>
    <x v="144"/>
    <x v="0"/>
    <x v="4"/>
    <x v="14"/>
    <x v="0"/>
    <x v="7"/>
    <n v="1277.2018496612538"/>
    <x v="0"/>
  </r>
  <r>
    <x v="30"/>
    <x v="1"/>
    <x v="144"/>
    <x v="0"/>
    <x v="4"/>
    <x v="14"/>
    <x v="0"/>
    <x v="8"/>
    <n v="39.500761166474128"/>
    <x v="0"/>
  </r>
  <r>
    <x v="30"/>
    <x v="1"/>
    <x v="144"/>
    <x v="0"/>
    <x v="4"/>
    <x v="14"/>
    <x v="0"/>
    <x v="9"/>
    <n v="92.194343603088427"/>
    <x v="0"/>
  </r>
  <r>
    <x v="30"/>
    <x v="1"/>
    <x v="144"/>
    <x v="0"/>
    <x v="4"/>
    <x v="14"/>
    <x v="0"/>
    <x v="10"/>
    <n v="0"/>
    <x v="0"/>
  </r>
  <r>
    <x v="30"/>
    <x v="1"/>
    <x v="144"/>
    <x v="0"/>
    <x v="4"/>
    <x v="14"/>
    <x v="0"/>
    <x v="11"/>
    <n v="0"/>
    <x v="0"/>
  </r>
  <r>
    <x v="30"/>
    <x v="1"/>
    <x v="145"/>
    <x v="0"/>
    <x v="4"/>
    <x v="14"/>
    <x v="16"/>
    <x v="0"/>
    <n v="0"/>
    <x v="0"/>
  </r>
  <r>
    <x v="30"/>
    <x v="1"/>
    <x v="145"/>
    <x v="0"/>
    <x v="4"/>
    <x v="14"/>
    <x v="16"/>
    <x v="1"/>
    <n v="0"/>
    <x v="0"/>
  </r>
  <r>
    <x v="30"/>
    <x v="1"/>
    <x v="145"/>
    <x v="0"/>
    <x v="4"/>
    <x v="14"/>
    <x v="16"/>
    <x v="2"/>
    <n v="0"/>
    <x v="0"/>
  </r>
  <r>
    <x v="30"/>
    <x v="1"/>
    <x v="145"/>
    <x v="0"/>
    <x v="4"/>
    <x v="14"/>
    <x v="16"/>
    <x v="3"/>
    <n v="0"/>
    <x v="0"/>
  </r>
  <r>
    <x v="30"/>
    <x v="1"/>
    <x v="145"/>
    <x v="0"/>
    <x v="4"/>
    <x v="14"/>
    <x v="16"/>
    <x v="4"/>
    <n v="0"/>
    <x v="0"/>
  </r>
  <r>
    <x v="30"/>
    <x v="1"/>
    <x v="145"/>
    <x v="0"/>
    <x v="4"/>
    <x v="14"/>
    <x v="16"/>
    <x v="5"/>
    <n v="0"/>
    <x v="0"/>
  </r>
  <r>
    <x v="30"/>
    <x v="1"/>
    <x v="145"/>
    <x v="0"/>
    <x v="4"/>
    <x v="14"/>
    <x v="16"/>
    <x v="6"/>
    <n v="0"/>
    <x v="0"/>
  </r>
  <r>
    <x v="30"/>
    <x v="1"/>
    <x v="145"/>
    <x v="0"/>
    <x v="4"/>
    <x v="14"/>
    <x v="16"/>
    <x v="7"/>
    <n v="0"/>
    <x v="0"/>
  </r>
  <r>
    <x v="30"/>
    <x v="1"/>
    <x v="145"/>
    <x v="0"/>
    <x v="4"/>
    <x v="14"/>
    <x v="16"/>
    <x v="8"/>
    <n v="0"/>
    <x v="0"/>
  </r>
  <r>
    <x v="30"/>
    <x v="1"/>
    <x v="145"/>
    <x v="0"/>
    <x v="4"/>
    <x v="14"/>
    <x v="16"/>
    <x v="9"/>
    <n v="0"/>
    <x v="0"/>
  </r>
  <r>
    <x v="30"/>
    <x v="1"/>
    <x v="145"/>
    <x v="0"/>
    <x v="4"/>
    <x v="14"/>
    <x v="16"/>
    <x v="10"/>
    <n v="0"/>
    <x v="0"/>
  </r>
  <r>
    <x v="30"/>
    <x v="1"/>
    <x v="145"/>
    <x v="0"/>
    <x v="4"/>
    <x v="14"/>
    <x v="16"/>
    <x v="11"/>
    <n v="0"/>
    <x v="0"/>
  </r>
  <r>
    <x v="30"/>
    <x v="1"/>
    <x v="146"/>
    <x v="0"/>
    <x v="4"/>
    <x v="16"/>
    <x v="3"/>
    <x v="0"/>
    <n v="0"/>
    <x v="0"/>
  </r>
  <r>
    <x v="30"/>
    <x v="1"/>
    <x v="146"/>
    <x v="0"/>
    <x v="4"/>
    <x v="16"/>
    <x v="3"/>
    <x v="1"/>
    <n v="0"/>
    <x v="0"/>
  </r>
  <r>
    <x v="30"/>
    <x v="1"/>
    <x v="146"/>
    <x v="0"/>
    <x v="4"/>
    <x v="16"/>
    <x v="3"/>
    <x v="2"/>
    <n v="0"/>
    <x v="0"/>
  </r>
  <r>
    <x v="30"/>
    <x v="1"/>
    <x v="146"/>
    <x v="0"/>
    <x v="4"/>
    <x v="16"/>
    <x v="3"/>
    <x v="3"/>
    <n v="225.23590309746496"/>
    <x v="0"/>
  </r>
  <r>
    <x v="30"/>
    <x v="1"/>
    <x v="146"/>
    <x v="0"/>
    <x v="4"/>
    <x v="16"/>
    <x v="3"/>
    <x v="4"/>
    <n v="0"/>
    <x v="0"/>
  </r>
  <r>
    <x v="30"/>
    <x v="1"/>
    <x v="146"/>
    <x v="0"/>
    <x v="4"/>
    <x v="16"/>
    <x v="3"/>
    <x v="5"/>
    <n v="0"/>
    <x v="0"/>
  </r>
  <r>
    <x v="30"/>
    <x v="1"/>
    <x v="146"/>
    <x v="0"/>
    <x v="4"/>
    <x v="16"/>
    <x v="3"/>
    <x v="6"/>
    <n v="0"/>
    <x v="0"/>
  </r>
  <r>
    <x v="30"/>
    <x v="1"/>
    <x v="146"/>
    <x v="0"/>
    <x v="4"/>
    <x v="16"/>
    <x v="3"/>
    <x v="7"/>
    <n v="0"/>
    <x v="0"/>
  </r>
  <r>
    <x v="30"/>
    <x v="1"/>
    <x v="146"/>
    <x v="0"/>
    <x v="4"/>
    <x v="16"/>
    <x v="3"/>
    <x v="8"/>
    <n v="0"/>
    <x v="0"/>
  </r>
  <r>
    <x v="30"/>
    <x v="1"/>
    <x v="146"/>
    <x v="0"/>
    <x v="4"/>
    <x v="16"/>
    <x v="3"/>
    <x v="9"/>
    <n v="0"/>
    <x v="0"/>
  </r>
  <r>
    <x v="30"/>
    <x v="1"/>
    <x v="146"/>
    <x v="0"/>
    <x v="4"/>
    <x v="16"/>
    <x v="3"/>
    <x v="10"/>
    <n v="0"/>
    <x v="0"/>
  </r>
  <r>
    <x v="30"/>
    <x v="1"/>
    <x v="146"/>
    <x v="0"/>
    <x v="4"/>
    <x v="16"/>
    <x v="3"/>
    <x v="11"/>
    <n v="0"/>
    <x v="0"/>
  </r>
  <r>
    <x v="30"/>
    <x v="1"/>
    <x v="147"/>
    <x v="0"/>
    <x v="4"/>
    <x v="14"/>
    <x v="16"/>
    <x v="0"/>
    <n v="0"/>
    <x v="0"/>
  </r>
  <r>
    <x v="30"/>
    <x v="1"/>
    <x v="147"/>
    <x v="0"/>
    <x v="4"/>
    <x v="14"/>
    <x v="16"/>
    <x v="1"/>
    <n v="0"/>
    <x v="0"/>
  </r>
  <r>
    <x v="30"/>
    <x v="1"/>
    <x v="147"/>
    <x v="0"/>
    <x v="4"/>
    <x v="14"/>
    <x v="16"/>
    <x v="2"/>
    <n v="0"/>
    <x v="0"/>
  </r>
  <r>
    <x v="30"/>
    <x v="1"/>
    <x v="147"/>
    <x v="0"/>
    <x v="4"/>
    <x v="14"/>
    <x v="16"/>
    <x v="3"/>
    <n v="0"/>
    <x v="0"/>
  </r>
  <r>
    <x v="30"/>
    <x v="1"/>
    <x v="147"/>
    <x v="0"/>
    <x v="4"/>
    <x v="14"/>
    <x v="16"/>
    <x v="4"/>
    <n v="0"/>
    <x v="0"/>
  </r>
  <r>
    <x v="30"/>
    <x v="1"/>
    <x v="147"/>
    <x v="0"/>
    <x v="4"/>
    <x v="14"/>
    <x v="16"/>
    <x v="5"/>
    <n v="0"/>
    <x v="0"/>
  </r>
  <r>
    <x v="30"/>
    <x v="1"/>
    <x v="147"/>
    <x v="0"/>
    <x v="4"/>
    <x v="14"/>
    <x v="16"/>
    <x v="6"/>
    <n v="244.17637271214645"/>
    <x v="0"/>
  </r>
  <r>
    <x v="30"/>
    <x v="1"/>
    <x v="147"/>
    <x v="0"/>
    <x v="4"/>
    <x v="14"/>
    <x v="16"/>
    <x v="7"/>
    <n v="0"/>
    <x v="0"/>
  </r>
  <r>
    <x v="30"/>
    <x v="1"/>
    <x v="147"/>
    <x v="0"/>
    <x v="4"/>
    <x v="14"/>
    <x v="16"/>
    <x v="8"/>
    <n v="0"/>
    <x v="0"/>
  </r>
  <r>
    <x v="30"/>
    <x v="1"/>
    <x v="147"/>
    <x v="0"/>
    <x v="4"/>
    <x v="14"/>
    <x v="16"/>
    <x v="9"/>
    <n v="0"/>
    <x v="0"/>
  </r>
  <r>
    <x v="30"/>
    <x v="1"/>
    <x v="147"/>
    <x v="0"/>
    <x v="4"/>
    <x v="14"/>
    <x v="16"/>
    <x v="10"/>
    <n v="0"/>
    <x v="0"/>
  </r>
  <r>
    <x v="30"/>
    <x v="1"/>
    <x v="147"/>
    <x v="0"/>
    <x v="4"/>
    <x v="14"/>
    <x v="16"/>
    <x v="11"/>
    <n v="0"/>
    <x v="0"/>
  </r>
  <r>
    <x v="30"/>
    <x v="1"/>
    <x v="148"/>
    <x v="0"/>
    <x v="4"/>
    <x v="14"/>
    <x v="17"/>
    <x v="0"/>
    <n v="0"/>
    <x v="0"/>
  </r>
  <r>
    <x v="30"/>
    <x v="1"/>
    <x v="148"/>
    <x v="0"/>
    <x v="4"/>
    <x v="14"/>
    <x v="17"/>
    <x v="1"/>
    <n v="0"/>
    <x v="0"/>
  </r>
  <r>
    <x v="30"/>
    <x v="1"/>
    <x v="148"/>
    <x v="0"/>
    <x v="4"/>
    <x v="14"/>
    <x v="17"/>
    <x v="2"/>
    <n v="0"/>
    <x v="0"/>
  </r>
  <r>
    <x v="30"/>
    <x v="1"/>
    <x v="148"/>
    <x v="0"/>
    <x v="4"/>
    <x v="14"/>
    <x v="17"/>
    <x v="3"/>
    <n v="318.82537963213696"/>
    <x v="0"/>
  </r>
  <r>
    <x v="30"/>
    <x v="1"/>
    <x v="148"/>
    <x v="0"/>
    <x v="4"/>
    <x v="14"/>
    <x v="17"/>
    <x v="4"/>
    <n v="0"/>
    <x v="0"/>
  </r>
  <r>
    <x v="30"/>
    <x v="1"/>
    <x v="148"/>
    <x v="0"/>
    <x v="4"/>
    <x v="14"/>
    <x v="17"/>
    <x v="5"/>
    <n v="0"/>
    <x v="0"/>
  </r>
  <r>
    <x v="30"/>
    <x v="1"/>
    <x v="148"/>
    <x v="0"/>
    <x v="4"/>
    <x v="14"/>
    <x v="17"/>
    <x v="6"/>
    <n v="0"/>
    <x v="0"/>
  </r>
  <r>
    <x v="30"/>
    <x v="1"/>
    <x v="148"/>
    <x v="0"/>
    <x v="4"/>
    <x v="14"/>
    <x v="17"/>
    <x v="7"/>
    <n v="0"/>
    <x v="0"/>
  </r>
  <r>
    <x v="30"/>
    <x v="1"/>
    <x v="148"/>
    <x v="0"/>
    <x v="4"/>
    <x v="14"/>
    <x v="17"/>
    <x v="8"/>
    <n v="0"/>
    <x v="0"/>
  </r>
  <r>
    <x v="30"/>
    <x v="1"/>
    <x v="148"/>
    <x v="0"/>
    <x v="4"/>
    <x v="14"/>
    <x v="17"/>
    <x v="9"/>
    <n v="0"/>
    <x v="0"/>
  </r>
  <r>
    <x v="30"/>
    <x v="1"/>
    <x v="148"/>
    <x v="0"/>
    <x v="4"/>
    <x v="14"/>
    <x v="17"/>
    <x v="10"/>
    <n v="0"/>
    <x v="0"/>
  </r>
  <r>
    <x v="30"/>
    <x v="1"/>
    <x v="148"/>
    <x v="0"/>
    <x v="4"/>
    <x v="14"/>
    <x v="17"/>
    <x v="11"/>
    <n v="0"/>
    <x v="0"/>
  </r>
  <r>
    <x v="30"/>
    <x v="0"/>
    <x v="149"/>
    <x v="1"/>
    <x v="6"/>
    <x v="17"/>
    <x v="0"/>
    <x v="0"/>
    <n v="917.41098470247471"/>
    <x v="0"/>
  </r>
  <r>
    <x v="30"/>
    <x v="0"/>
    <x v="149"/>
    <x v="1"/>
    <x v="6"/>
    <x v="17"/>
    <x v="0"/>
    <x v="1"/>
    <n v="864.61014697334542"/>
    <x v="0"/>
  </r>
  <r>
    <x v="30"/>
    <x v="0"/>
    <x v="149"/>
    <x v="1"/>
    <x v="6"/>
    <x v="17"/>
    <x v="0"/>
    <x v="2"/>
    <n v="860.59942351203085"/>
    <x v="0"/>
  </r>
  <r>
    <x v="30"/>
    <x v="0"/>
    <x v="149"/>
    <x v="1"/>
    <x v="6"/>
    <x v="17"/>
    <x v="0"/>
    <x v="3"/>
    <n v="0"/>
    <x v="0"/>
  </r>
  <r>
    <x v="30"/>
    <x v="0"/>
    <x v="149"/>
    <x v="1"/>
    <x v="6"/>
    <x v="17"/>
    <x v="0"/>
    <x v="4"/>
    <n v="907.52603826208224"/>
    <x v="0"/>
  </r>
  <r>
    <x v="30"/>
    <x v="0"/>
    <x v="149"/>
    <x v="1"/>
    <x v="6"/>
    <x v="17"/>
    <x v="0"/>
    <x v="5"/>
    <n v="899.49032480995163"/>
    <x v="0"/>
  </r>
  <r>
    <x v="30"/>
    <x v="0"/>
    <x v="149"/>
    <x v="1"/>
    <x v="6"/>
    <x v="17"/>
    <x v="0"/>
    <x v="6"/>
    <n v="888.47647083919969"/>
    <x v="0"/>
  </r>
  <r>
    <x v="30"/>
    <x v="0"/>
    <x v="149"/>
    <x v="1"/>
    <x v="6"/>
    <x v="17"/>
    <x v="0"/>
    <x v="7"/>
    <n v="0"/>
    <x v="0"/>
  </r>
  <r>
    <x v="30"/>
    <x v="0"/>
    <x v="149"/>
    <x v="1"/>
    <x v="6"/>
    <x v="17"/>
    <x v="0"/>
    <x v="8"/>
    <n v="0"/>
    <x v="0"/>
  </r>
  <r>
    <x v="30"/>
    <x v="0"/>
    <x v="149"/>
    <x v="1"/>
    <x v="6"/>
    <x v="17"/>
    <x v="0"/>
    <x v="9"/>
    <n v="0"/>
    <x v="0"/>
  </r>
  <r>
    <x v="30"/>
    <x v="0"/>
    <x v="149"/>
    <x v="1"/>
    <x v="6"/>
    <x v="17"/>
    <x v="0"/>
    <x v="10"/>
    <n v="895.72781917696273"/>
    <x v="0"/>
  </r>
  <r>
    <x v="30"/>
    <x v="0"/>
    <x v="149"/>
    <x v="1"/>
    <x v="6"/>
    <x v="17"/>
    <x v="0"/>
    <x v="11"/>
    <n v="895.72781917696273"/>
    <x v="0"/>
  </r>
  <r>
    <x v="30"/>
    <x v="0"/>
    <x v="150"/>
    <x v="1"/>
    <x v="6"/>
    <x v="17"/>
    <x v="0"/>
    <x v="0"/>
    <n v="0"/>
    <x v="0"/>
  </r>
  <r>
    <x v="30"/>
    <x v="0"/>
    <x v="150"/>
    <x v="1"/>
    <x v="6"/>
    <x v="17"/>
    <x v="0"/>
    <x v="1"/>
    <n v="0"/>
    <x v="0"/>
  </r>
  <r>
    <x v="30"/>
    <x v="0"/>
    <x v="150"/>
    <x v="1"/>
    <x v="6"/>
    <x v="17"/>
    <x v="0"/>
    <x v="2"/>
    <n v="0"/>
    <x v="0"/>
  </r>
  <r>
    <x v="30"/>
    <x v="0"/>
    <x v="150"/>
    <x v="1"/>
    <x v="6"/>
    <x v="17"/>
    <x v="0"/>
    <x v="3"/>
    <n v="0"/>
    <x v="0"/>
  </r>
  <r>
    <x v="30"/>
    <x v="0"/>
    <x v="150"/>
    <x v="1"/>
    <x v="6"/>
    <x v="17"/>
    <x v="0"/>
    <x v="4"/>
    <n v="907.52603826208224"/>
    <x v="0"/>
  </r>
  <r>
    <x v="30"/>
    <x v="0"/>
    <x v="150"/>
    <x v="1"/>
    <x v="6"/>
    <x v="17"/>
    <x v="0"/>
    <x v="5"/>
    <n v="0"/>
    <x v="0"/>
  </r>
  <r>
    <x v="30"/>
    <x v="0"/>
    <x v="150"/>
    <x v="1"/>
    <x v="6"/>
    <x v="17"/>
    <x v="0"/>
    <x v="6"/>
    <n v="0"/>
    <x v="0"/>
  </r>
  <r>
    <x v="30"/>
    <x v="0"/>
    <x v="150"/>
    <x v="1"/>
    <x v="6"/>
    <x v="17"/>
    <x v="0"/>
    <x v="7"/>
    <n v="895.79524680073132"/>
    <x v="0"/>
  </r>
  <r>
    <x v="30"/>
    <x v="0"/>
    <x v="150"/>
    <x v="1"/>
    <x v="6"/>
    <x v="17"/>
    <x v="0"/>
    <x v="8"/>
    <n v="1130.6291229850681"/>
    <x v="0"/>
  </r>
  <r>
    <x v="30"/>
    <x v="0"/>
    <x v="150"/>
    <x v="1"/>
    <x v="6"/>
    <x v="17"/>
    <x v="0"/>
    <x v="9"/>
    <n v="892.04442017112694"/>
    <x v="0"/>
  </r>
  <r>
    <x v="30"/>
    <x v="0"/>
    <x v="150"/>
    <x v="1"/>
    <x v="6"/>
    <x v="17"/>
    <x v="0"/>
    <x v="10"/>
    <n v="0"/>
    <x v="0"/>
  </r>
  <r>
    <x v="30"/>
    <x v="0"/>
    <x v="150"/>
    <x v="1"/>
    <x v="6"/>
    <x v="17"/>
    <x v="0"/>
    <x v="11"/>
    <n v="0"/>
    <x v="0"/>
  </r>
  <r>
    <x v="30"/>
    <x v="0"/>
    <x v="151"/>
    <x v="1"/>
    <x v="6"/>
    <x v="17"/>
    <x v="0"/>
    <x v="0"/>
    <n v="0"/>
    <x v="0"/>
  </r>
  <r>
    <x v="30"/>
    <x v="0"/>
    <x v="151"/>
    <x v="1"/>
    <x v="6"/>
    <x v="17"/>
    <x v="0"/>
    <x v="1"/>
    <n v="0"/>
    <x v="0"/>
  </r>
  <r>
    <x v="30"/>
    <x v="0"/>
    <x v="151"/>
    <x v="1"/>
    <x v="6"/>
    <x v="17"/>
    <x v="0"/>
    <x v="2"/>
    <n v="860.59942351203085"/>
    <x v="0"/>
  </r>
  <r>
    <x v="30"/>
    <x v="0"/>
    <x v="151"/>
    <x v="1"/>
    <x v="6"/>
    <x v="17"/>
    <x v="0"/>
    <x v="3"/>
    <n v="0"/>
    <x v="0"/>
  </r>
  <r>
    <x v="30"/>
    <x v="0"/>
    <x v="151"/>
    <x v="1"/>
    <x v="6"/>
    <x v="17"/>
    <x v="0"/>
    <x v="4"/>
    <n v="0"/>
    <x v="0"/>
  </r>
  <r>
    <x v="30"/>
    <x v="0"/>
    <x v="151"/>
    <x v="1"/>
    <x v="6"/>
    <x v="17"/>
    <x v="0"/>
    <x v="5"/>
    <n v="0"/>
    <x v="0"/>
  </r>
  <r>
    <x v="30"/>
    <x v="0"/>
    <x v="151"/>
    <x v="1"/>
    <x v="6"/>
    <x v="17"/>
    <x v="0"/>
    <x v="6"/>
    <n v="0"/>
    <x v="0"/>
  </r>
  <r>
    <x v="30"/>
    <x v="0"/>
    <x v="151"/>
    <x v="1"/>
    <x v="6"/>
    <x v="17"/>
    <x v="0"/>
    <x v="7"/>
    <n v="0"/>
    <x v="0"/>
  </r>
  <r>
    <x v="30"/>
    <x v="0"/>
    <x v="151"/>
    <x v="1"/>
    <x v="6"/>
    <x v="17"/>
    <x v="0"/>
    <x v="8"/>
    <n v="0"/>
    <x v="0"/>
  </r>
  <r>
    <x v="30"/>
    <x v="0"/>
    <x v="151"/>
    <x v="1"/>
    <x v="6"/>
    <x v="17"/>
    <x v="0"/>
    <x v="9"/>
    <n v="0"/>
    <x v="0"/>
  </r>
  <r>
    <x v="30"/>
    <x v="0"/>
    <x v="151"/>
    <x v="1"/>
    <x v="6"/>
    <x v="17"/>
    <x v="0"/>
    <x v="10"/>
    <n v="0"/>
    <x v="0"/>
  </r>
  <r>
    <x v="30"/>
    <x v="0"/>
    <x v="151"/>
    <x v="1"/>
    <x v="6"/>
    <x v="17"/>
    <x v="0"/>
    <x v="11"/>
    <n v="0"/>
    <x v="0"/>
  </r>
  <r>
    <x v="30"/>
    <x v="1"/>
    <x v="152"/>
    <x v="1"/>
    <x v="6"/>
    <x v="17"/>
    <x v="0"/>
    <x v="0"/>
    <n v="0"/>
    <x v="0"/>
  </r>
  <r>
    <x v="30"/>
    <x v="1"/>
    <x v="152"/>
    <x v="1"/>
    <x v="6"/>
    <x v="17"/>
    <x v="0"/>
    <x v="1"/>
    <n v="0"/>
    <x v="0"/>
  </r>
  <r>
    <x v="30"/>
    <x v="1"/>
    <x v="152"/>
    <x v="1"/>
    <x v="6"/>
    <x v="17"/>
    <x v="0"/>
    <x v="2"/>
    <n v="0"/>
    <x v="0"/>
  </r>
  <r>
    <x v="30"/>
    <x v="1"/>
    <x v="152"/>
    <x v="1"/>
    <x v="6"/>
    <x v="17"/>
    <x v="0"/>
    <x v="3"/>
    <n v="0"/>
    <x v="0"/>
  </r>
  <r>
    <x v="30"/>
    <x v="1"/>
    <x v="152"/>
    <x v="1"/>
    <x v="6"/>
    <x v="17"/>
    <x v="0"/>
    <x v="4"/>
    <n v="559.42497930012632"/>
    <x v="0"/>
  </r>
  <r>
    <x v="30"/>
    <x v="1"/>
    <x v="152"/>
    <x v="1"/>
    <x v="6"/>
    <x v="17"/>
    <x v="0"/>
    <x v="5"/>
    <n v="0"/>
    <x v="0"/>
  </r>
  <r>
    <x v="30"/>
    <x v="1"/>
    <x v="152"/>
    <x v="1"/>
    <x v="6"/>
    <x v="17"/>
    <x v="0"/>
    <x v="6"/>
    <n v="0"/>
    <x v="0"/>
  </r>
  <r>
    <x v="30"/>
    <x v="1"/>
    <x v="152"/>
    <x v="1"/>
    <x v="6"/>
    <x v="17"/>
    <x v="0"/>
    <x v="7"/>
    <n v="0"/>
    <x v="0"/>
  </r>
  <r>
    <x v="30"/>
    <x v="1"/>
    <x v="152"/>
    <x v="1"/>
    <x v="6"/>
    <x v="17"/>
    <x v="0"/>
    <x v="8"/>
    <n v="0"/>
    <x v="0"/>
  </r>
  <r>
    <x v="30"/>
    <x v="1"/>
    <x v="152"/>
    <x v="1"/>
    <x v="6"/>
    <x v="17"/>
    <x v="0"/>
    <x v="9"/>
    <n v="0"/>
    <x v="0"/>
  </r>
  <r>
    <x v="30"/>
    <x v="1"/>
    <x v="152"/>
    <x v="1"/>
    <x v="6"/>
    <x v="17"/>
    <x v="0"/>
    <x v="10"/>
    <n v="0"/>
    <x v="0"/>
  </r>
  <r>
    <x v="30"/>
    <x v="1"/>
    <x v="152"/>
    <x v="1"/>
    <x v="6"/>
    <x v="17"/>
    <x v="0"/>
    <x v="11"/>
    <n v="0"/>
    <x v="0"/>
  </r>
  <r>
    <x v="30"/>
    <x v="1"/>
    <x v="153"/>
    <x v="0"/>
    <x v="4"/>
    <x v="15"/>
    <x v="9"/>
    <x v="0"/>
    <n v="0"/>
    <x v="0"/>
  </r>
  <r>
    <x v="30"/>
    <x v="1"/>
    <x v="153"/>
    <x v="0"/>
    <x v="4"/>
    <x v="15"/>
    <x v="9"/>
    <x v="1"/>
    <n v="0"/>
    <x v="0"/>
  </r>
  <r>
    <x v="30"/>
    <x v="1"/>
    <x v="153"/>
    <x v="0"/>
    <x v="4"/>
    <x v="15"/>
    <x v="9"/>
    <x v="2"/>
    <n v="0"/>
    <x v="0"/>
  </r>
  <r>
    <x v="30"/>
    <x v="1"/>
    <x v="153"/>
    <x v="0"/>
    <x v="4"/>
    <x v="15"/>
    <x v="9"/>
    <x v="3"/>
    <n v="80.654904493094762"/>
    <x v="0"/>
  </r>
  <r>
    <x v="30"/>
    <x v="1"/>
    <x v="153"/>
    <x v="0"/>
    <x v="4"/>
    <x v="15"/>
    <x v="9"/>
    <x v="4"/>
    <n v="438.2631716564257"/>
    <x v="0"/>
  </r>
  <r>
    <x v="30"/>
    <x v="1"/>
    <x v="153"/>
    <x v="0"/>
    <x v="4"/>
    <x v="15"/>
    <x v="9"/>
    <x v="5"/>
    <n v="49.883379405666894"/>
    <x v="0"/>
  </r>
  <r>
    <x v="30"/>
    <x v="1"/>
    <x v="153"/>
    <x v="0"/>
    <x v="4"/>
    <x v="15"/>
    <x v="9"/>
    <x v="6"/>
    <n v="0"/>
    <x v="0"/>
  </r>
  <r>
    <x v="30"/>
    <x v="1"/>
    <x v="153"/>
    <x v="0"/>
    <x v="4"/>
    <x v="15"/>
    <x v="9"/>
    <x v="7"/>
    <n v="0"/>
    <x v="0"/>
  </r>
  <r>
    <x v="30"/>
    <x v="1"/>
    <x v="153"/>
    <x v="0"/>
    <x v="4"/>
    <x v="15"/>
    <x v="9"/>
    <x v="8"/>
    <n v="0"/>
    <x v="0"/>
  </r>
  <r>
    <x v="30"/>
    <x v="1"/>
    <x v="153"/>
    <x v="0"/>
    <x v="4"/>
    <x v="15"/>
    <x v="9"/>
    <x v="9"/>
    <n v="0"/>
    <x v="0"/>
  </r>
  <r>
    <x v="30"/>
    <x v="1"/>
    <x v="153"/>
    <x v="0"/>
    <x v="4"/>
    <x v="15"/>
    <x v="9"/>
    <x v="10"/>
    <n v="0"/>
    <x v="0"/>
  </r>
  <r>
    <x v="30"/>
    <x v="1"/>
    <x v="153"/>
    <x v="0"/>
    <x v="4"/>
    <x v="15"/>
    <x v="9"/>
    <x v="11"/>
    <n v="0"/>
    <x v="0"/>
  </r>
  <r>
    <x v="30"/>
    <x v="1"/>
    <x v="154"/>
    <x v="0"/>
    <x v="3"/>
    <x v="18"/>
    <x v="0"/>
    <x v="0"/>
    <n v="0"/>
    <x v="0"/>
  </r>
  <r>
    <x v="30"/>
    <x v="1"/>
    <x v="154"/>
    <x v="0"/>
    <x v="3"/>
    <x v="18"/>
    <x v="0"/>
    <x v="1"/>
    <n v="0"/>
    <x v="0"/>
  </r>
  <r>
    <x v="30"/>
    <x v="1"/>
    <x v="154"/>
    <x v="0"/>
    <x v="3"/>
    <x v="18"/>
    <x v="0"/>
    <x v="2"/>
    <n v="135.84143481450104"/>
    <x v="0"/>
  </r>
  <r>
    <x v="30"/>
    <x v="1"/>
    <x v="154"/>
    <x v="0"/>
    <x v="3"/>
    <x v="18"/>
    <x v="0"/>
    <x v="3"/>
    <n v="0"/>
    <x v="0"/>
  </r>
  <r>
    <x v="30"/>
    <x v="1"/>
    <x v="154"/>
    <x v="0"/>
    <x v="3"/>
    <x v="18"/>
    <x v="0"/>
    <x v="4"/>
    <n v="0"/>
    <x v="0"/>
  </r>
  <r>
    <x v="30"/>
    <x v="1"/>
    <x v="154"/>
    <x v="0"/>
    <x v="3"/>
    <x v="18"/>
    <x v="0"/>
    <x v="5"/>
    <n v="0"/>
    <x v="0"/>
  </r>
  <r>
    <x v="30"/>
    <x v="1"/>
    <x v="154"/>
    <x v="0"/>
    <x v="3"/>
    <x v="18"/>
    <x v="0"/>
    <x v="6"/>
    <n v="139.97930799095525"/>
    <x v="0"/>
  </r>
  <r>
    <x v="30"/>
    <x v="1"/>
    <x v="154"/>
    <x v="0"/>
    <x v="3"/>
    <x v="18"/>
    <x v="0"/>
    <x v="7"/>
    <n v="0"/>
    <x v="0"/>
  </r>
  <r>
    <x v="30"/>
    <x v="1"/>
    <x v="154"/>
    <x v="0"/>
    <x v="3"/>
    <x v="18"/>
    <x v="0"/>
    <x v="8"/>
    <n v="0"/>
    <x v="0"/>
  </r>
  <r>
    <x v="30"/>
    <x v="1"/>
    <x v="154"/>
    <x v="0"/>
    <x v="3"/>
    <x v="18"/>
    <x v="0"/>
    <x v="9"/>
    <n v="198.56930210642423"/>
    <x v="0"/>
  </r>
  <r>
    <x v="30"/>
    <x v="1"/>
    <x v="154"/>
    <x v="0"/>
    <x v="3"/>
    <x v="18"/>
    <x v="0"/>
    <x v="10"/>
    <n v="0"/>
    <x v="0"/>
  </r>
  <r>
    <x v="30"/>
    <x v="1"/>
    <x v="154"/>
    <x v="0"/>
    <x v="3"/>
    <x v="18"/>
    <x v="0"/>
    <x v="11"/>
    <n v="0"/>
    <x v="0"/>
  </r>
  <r>
    <x v="30"/>
    <x v="0"/>
    <x v="155"/>
    <x v="0"/>
    <x v="3"/>
    <x v="19"/>
    <x v="0"/>
    <x v="0"/>
    <n v="0"/>
    <x v="0"/>
  </r>
  <r>
    <x v="30"/>
    <x v="0"/>
    <x v="155"/>
    <x v="0"/>
    <x v="3"/>
    <x v="19"/>
    <x v="0"/>
    <x v="1"/>
    <n v="0"/>
    <x v="0"/>
  </r>
  <r>
    <x v="30"/>
    <x v="0"/>
    <x v="155"/>
    <x v="0"/>
    <x v="3"/>
    <x v="19"/>
    <x v="0"/>
    <x v="2"/>
    <n v="0"/>
    <x v="0"/>
  </r>
  <r>
    <x v="30"/>
    <x v="0"/>
    <x v="155"/>
    <x v="0"/>
    <x v="3"/>
    <x v="19"/>
    <x v="0"/>
    <x v="3"/>
    <n v="0"/>
    <x v="0"/>
  </r>
  <r>
    <x v="30"/>
    <x v="0"/>
    <x v="155"/>
    <x v="0"/>
    <x v="3"/>
    <x v="19"/>
    <x v="0"/>
    <x v="4"/>
    <n v="0"/>
    <x v="0"/>
  </r>
  <r>
    <x v="30"/>
    <x v="0"/>
    <x v="155"/>
    <x v="0"/>
    <x v="3"/>
    <x v="19"/>
    <x v="0"/>
    <x v="5"/>
    <n v="0"/>
    <x v="0"/>
  </r>
  <r>
    <x v="30"/>
    <x v="0"/>
    <x v="155"/>
    <x v="0"/>
    <x v="3"/>
    <x v="19"/>
    <x v="0"/>
    <x v="6"/>
    <n v="0"/>
    <x v="0"/>
  </r>
  <r>
    <x v="30"/>
    <x v="0"/>
    <x v="155"/>
    <x v="0"/>
    <x v="3"/>
    <x v="19"/>
    <x v="0"/>
    <x v="7"/>
    <n v="0"/>
    <x v="0"/>
  </r>
  <r>
    <x v="30"/>
    <x v="0"/>
    <x v="155"/>
    <x v="0"/>
    <x v="3"/>
    <x v="19"/>
    <x v="0"/>
    <x v="8"/>
    <n v="0"/>
    <x v="0"/>
  </r>
  <r>
    <x v="30"/>
    <x v="0"/>
    <x v="155"/>
    <x v="0"/>
    <x v="3"/>
    <x v="19"/>
    <x v="0"/>
    <x v="9"/>
    <n v="0"/>
    <x v="0"/>
  </r>
  <r>
    <x v="30"/>
    <x v="0"/>
    <x v="155"/>
    <x v="0"/>
    <x v="3"/>
    <x v="19"/>
    <x v="0"/>
    <x v="10"/>
    <n v="0"/>
    <x v="0"/>
  </r>
  <r>
    <x v="30"/>
    <x v="0"/>
    <x v="155"/>
    <x v="0"/>
    <x v="3"/>
    <x v="19"/>
    <x v="0"/>
    <x v="11"/>
    <n v="0"/>
    <x v="0"/>
  </r>
  <r>
    <x v="30"/>
    <x v="0"/>
    <x v="156"/>
    <x v="2"/>
    <x v="1"/>
    <x v="19"/>
    <x v="0"/>
    <x v="0"/>
    <n v="2009.014416458331"/>
    <x v="0"/>
  </r>
  <r>
    <x v="30"/>
    <x v="0"/>
    <x v="156"/>
    <x v="2"/>
    <x v="1"/>
    <x v="19"/>
    <x v="0"/>
    <x v="1"/>
    <n v="0"/>
    <x v="0"/>
  </r>
  <r>
    <x v="30"/>
    <x v="0"/>
    <x v="156"/>
    <x v="2"/>
    <x v="1"/>
    <x v="19"/>
    <x v="0"/>
    <x v="2"/>
    <n v="1272.8575413511307"/>
    <x v="0"/>
  </r>
  <r>
    <x v="30"/>
    <x v="0"/>
    <x v="156"/>
    <x v="2"/>
    <x v="1"/>
    <x v="19"/>
    <x v="0"/>
    <x v="3"/>
    <n v="134.27208532089071"/>
    <x v="0"/>
  </r>
  <r>
    <x v="30"/>
    <x v="0"/>
    <x v="156"/>
    <x v="2"/>
    <x v="1"/>
    <x v="19"/>
    <x v="0"/>
    <x v="4"/>
    <n v="1355.8090382185035"/>
    <x v="0"/>
  </r>
  <r>
    <x v="30"/>
    <x v="0"/>
    <x v="156"/>
    <x v="2"/>
    <x v="1"/>
    <x v="19"/>
    <x v="0"/>
    <x v="5"/>
    <n v="1348.3068417415341"/>
    <x v="0"/>
  </r>
  <r>
    <x v="30"/>
    <x v="0"/>
    <x v="156"/>
    <x v="2"/>
    <x v="1"/>
    <x v="19"/>
    <x v="0"/>
    <x v="6"/>
    <n v="1332.4000597295108"/>
    <x v="0"/>
  </r>
  <r>
    <x v="30"/>
    <x v="0"/>
    <x v="156"/>
    <x v="2"/>
    <x v="1"/>
    <x v="19"/>
    <x v="0"/>
    <x v="7"/>
    <n v="1348.6525432842241"/>
    <x v="0"/>
  </r>
  <r>
    <x v="30"/>
    <x v="0"/>
    <x v="156"/>
    <x v="2"/>
    <x v="1"/>
    <x v="19"/>
    <x v="0"/>
    <x v="8"/>
    <n v="1360.5359475712851"/>
    <x v="0"/>
  </r>
  <r>
    <x v="30"/>
    <x v="0"/>
    <x v="156"/>
    <x v="2"/>
    <x v="1"/>
    <x v="19"/>
    <x v="0"/>
    <x v="9"/>
    <n v="974.65437294524588"/>
    <x v="0"/>
  </r>
  <r>
    <x v="30"/>
    <x v="0"/>
    <x v="156"/>
    <x v="2"/>
    <x v="1"/>
    <x v="19"/>
    <x v="0"/>
    <x v="10"/>
    <n v="1419.4006258266395"/>
    <x v="0"/>
  </r>
  <r>
    <x v="30"/>
    <x v="0"/>
    <x v="156"/>
    <x v="2"/>
    <x v="1"/>
    <x v="19"/>
    <x v="0"/>
    <x v="11"/>
    <n v="1419.4006258266395"/>
    <x v="0"/>
  </r>
  <r>
    <x v="30"/>
    <x v="0"/>
    <x v="157"/>
    <x v="2"/>
    <x v="1"/>
    <x v="19"/>
    <x v="0"/>
    <x v="0"/>
    <n v="0"/>
    <x v="0"/>
  </r>
  <r>
    <x v="30"/>
    <x v="0"/>
    <x v="157"/>
    <x v="2"/>
    <x v="1"/>
    <x v="19"/>
    <x v="0"/>
    <x v="1"/>
    <n v="0"/>
    <x v="0"/>
  </r>
  <r>
    <x v="30"/>
    <x v="0"/>
    <x v="157"/>
    <x v="2"/>
    <x v="1"/>
    <x v="19"/>
    <x v="0"/>
    <x v="2"/>
    <n v="0"/>
    <x v="0"/>
  </r>
  <r>
    <x v="30"/>
    <x v="0"/>
    <x v="157"/>
    <x v="2"/>
    <x v="1"/>
    <x v="19"/>
    <x v="0"/>
    <x v="3"/>
    <n v="0"/>
    <x v="0"/>
  </r>
  <r>
    <x v="30"/>
    <x v="0"/>
    <x v="157"/>
    <x v="2"/>
    <x v="1"/>
    <x v="19"/>
    <x v="0"/>
    <x v="4"/>
    <n v="1349.4007931319998"/>
    <x v="0"/>
  </r>
  <r>
    <x v="30"/>
    <x v="0"/>
    <x v="157"/>
    <x v="2"/>
    <x v="1"/>
    <x v="19"/>
    <x v="0"/>
    <x v="5"/>
    <n v="671.23034727021422"/>
    <x v="0"/>
  </r>
  <r>
    <x v="30"/>
    <x v="0"/>
    <x v="157"/>
    <x v="2"/>
    <x v="1"/>
    <x v="19"/>
    <x v="0"/>
    <x v="6"/>
    <n v="435.50919407824568"/>
    <x v="0"/>
  </r>
  <r>
    <x v="30"/>
    <x v="0"/>
    <x v="157"/>
    <x v="2"/>
    <x v="1"/>
    <x v="19"/>
    <x v="0"/>
    <x v="7"/>
    <n v="366.03398214861812"/>
    <x v="0"/>
  </r>
  <r>
    <x v="30"/>
    <x v="0"/>
    <x v="157"/>
    <x v="2"/>
    <x v="1"/>
    <x v="19"/>
    <x v="0"/>
    <x v="8"/>
    <n v="433.21277032206518"/>
    <x v="0"/>
  </r>
  <r>
    <x v="30"/>
    <x v="0"/>
    <x v="157"/>
    <x v="2"/>
    <x v="1"/>
    <x v="19"/>
    <x v="0"/>
    <x v="9"/>
    <n v="429.68698129169746"/>
    <x v="0"/>
  </r>
  <r>
    <x v="30"/>
    <x v="0"/>
    <x v="157"/>
    <x v="2"/>
    <x v="1"/>
    <x v="19"/>
    <x v="0"/>
    <x v="10"/>
    <n v="0"/>
    <x v="0"/>
  </r>
  <r>
    <x v="30"/>
    <x v="0"/>
    <x v="157"/>
    <x v="2"/>
    <x v="1"/>
    <x v="19"/>
    <x v="0"/>
    <x v="11"/>
    <n v="0"/>
    <x v="0"/>
  </r>
  <r>
    <x v="30"/>
    <x v="0"/>
    <x v="158"/>
    <x v="2"/>
    <x v="1"/>
    <x v="19"/>
    <x v="0"/>
    <x v="0"/>
    <n v="0"/>
    <x v="0"/>
  </r>
  <r>
    <x v="30"/>
    <x v="0"/>
    <x v="158"/>
    <x v="2"/>
    <x v="1"/>
    <x v="19"/>
    <x v="0"/>
    <x v="1"/>
    <n v="1800.4369758365854"/>
    <x v="0"/>
  </r>
  <r>
    <x v="30"/>
    <x v="0"/>
    <x v="158"/>
    <x v="2"/>
    <x v="1"/>
    <x v="19"/>
    <x v="0"/>
    <x v="2"/>
    <n v="1363.6833242073292"/>
    <x v="0"/>
  </r>
  <r>
    <x v="30"/>
    <x v="0"/>
    <x v="158"/>
    <x v="2"/>
    <x v="1"/>
    <x v="19"/>
    <x v="0"/>
    <x v="3"/>
    <n v="0"/>
    <x v="0"/>
  </r>
  <r>
    <x v="30"/>
    <x v="0"/>
    <x v="158"/>
    <x v="2"/>
    <x v="1"/>
    <x v="19"/>
    <x v="0"/>
    <x v="4"/>
    <n v="864.28291279905875"/>
    <x v="0"/>
  </r>
  <r>
    <x v="30"/>
    <x v="0"/>
    <x v="158"/>
    <x v="2"/>
    <x v="1"/>
    <x v="19"/>
    <x v="0"/>
    <x v="5"/>
    <n v="0"/>
    <x v="0"/>
  </r>
  <r>
    <x v="30"/>
    <x v="0"/>
    <x v="158"/>
    <x v="2"/>
    <x v="1"/>
    <x v="19"/>
    <x v="0"/>
    <x v="6"/>
    <n v="0"/>
    <x v="0"/>
  </r>
  <r>
    <x v="30"/>
    <x v="0"/>
    <x v="158"/>
    <x v="2"/>
    <x v="1"/>
    <x v="19"/>
    <x v="0"/>
    <x v="7"/>
    <n v="0"/>
    <x v="0"/>
  </r>
  <r>
    <x v="30"/>
    <x v="0"/>
    <x v="158"/>
    <x v="2"/>
    <x v="1"/>
    <x v="19"/>
    <x v="0"/>
    <x v="8"/>
    <n v="0"/>
    <x v="0"/>
  </r>
  <r>
    <x v="30"/>
    <x v="0"/>
    <x v="158"/>
    <x v="2"/>
    <x v="1"/>
    <x v="19"/>
    <x v="0"/>
    <x v="9"/>
    <n v="0"/>
    <x v="0"/>
  </r>
  <r>
    <x v="30"/>
    <x v="0"/>
    <x v="158"/>
    <x v="2"/>
    <x v="1"/>
    <x v="19"/>
    <x v="0"/>
    <x v="10"/>
    <n v="0"/>
    <x v="0"/>
  </r>
  <r>
    <x v="30"/>
    <x v="0"/>
    <x v="158"/>
    <x v="2"/>
    <x v="1"/>
    <x v="19"/>
    <x v="0"/>
    <x v="11"/>
    <n v="0"/>
    <x v="0"/>
  </r>
  <r>
    <x v="30"/>
    <x v="1"/>
    <x v="159"/>
    <x v="2"/>
    <x v="3"/>
    <x v="20"/>
    <x v="0"/>
    <x v="0"/>
    <n v="0"/>
    <x v="0"/>
  </r>
  <r>
    <x v="30"/>
    <x v="1"/>
    <x v="159"/>
    <x v="2"/>
    <x v="3"/>
    <x v="20"/>
    <x v="0"/>
    <x v="1"/>
    <n v="0"/>
    <x v="0"/>
  </r>
  <r>
    <x v="30"/>
    <x v="1"/>
    <x v="159"/>
    <x v="2"/>
    <x v="3"/>
    <x v="20"/>
    <x v="0"/>
    <x v="2"/>
    <n v="0"/>
    <x v="0"/>
  </r>
  <r>
    <x v="30"/>
    <x v="1"/>
    <x v="159"/>
    <x v="2"/>
    <x v="3"/>
    <x v="20"/>
    <x v="0"/>
    <x v="3"/>
    <n v="0"/>
    <x v="0"/>
  </r>
  <r>
    <x v="30"/>
    <x v="1"/>
    <x v="159"/>
    <x v="2"/>
    <x v="3"/>
    <x v="20"/>
    <x v="0"/>
    <x v="4"/>
    <n v="0"/>
    <x v="0"/>
  </r>
  <r>
    <x v="30"/>
    <x v="1"/>
    <x v="159"/>
    <x v="2"/>
    <x v="3"/>
    <x v="20"/>
    <x v="0"/>
    <x v="5"/>
    <n v="0"/>
    <x v="0"/>
  </r>
  <r>
    <x v="30"/>
    <x v="1"/>
    <x v="159"/>
    <x v="2"/>
    <x v="3"/>
    <x v="20"/>
    <x v="0"/>
    <x v="6"/>
    <n v="0"/>
    <x v="0"/>
  </r>
  <r>
    <x v="30"/>
    <x v="1"/>
    <x v="159"/>
    <x v="2"/>
    <x v="3"/>
    <x v="20"/>
    <x v="0"/>
    <x v="7"/>
    <n v="0"/>
    <x v="0"/>
  </r>
  <r>
    <x v="30"/>
    <x v="1"/>
    <x v="159"/>
    <x v="2"/>
    <x v="3"/>
    <x v="20"/>
    <x v="0"/>
    <x v="8"/>
    <n v="0"/>
    <x v="0"/>
  </r>
  <r>
    <x v="30"/>
    <x v="1"/>
    <x v="159"/>
    <x v="2"/>
    <x v="3"/>
    <x v="20"/>
    <x v="0"/>
    <x v="9"/>
    <n v="0"/>
    <x v="0"/>
  </r>
  <r>
    <x v="30"/>
    <x v="1"/>
    <x v="159"/>
    <x v="2"/>
    <x v="3"/>
    <x v="20"/>
    <x v="0"/>
    <x v="10"/>
    <n v="3118.3801628009505"/>
    <x v="0"/>
  </r>
  <r>
    <x v="30"/>
    <x v="1"/>
    <x v="159"/>
    <x v="2"/>
    <x v="3"/>
    <x v="20"/>
    <x v="0"/>
    <x v="11"/>
    <n v="0"/>
    <x v="0"/>
  </r>
  <r>
    <x v="30"/>
    <x v="1"/>
    <x v="160"/>
    <x v="2"/>
    <x v="1"/>
    <x v="8"/>
    <x v="0"/>
    <x v="0"/>
    <n v="0"/>
    <x v="0"/>
  </r>
  <r>
    <x v="30"/>
    <x v="1"/>
    <x v="160"/>
    <x v="2"/>
    <x v="1"/>
    <x v="8"/>
    <x v="0"/>
    <x v="1"/>
    <n v="0"/>
    <x v="0"/>
  </r>
  <r>
    <x v="30"/>
    <x v="1"/>
    <x v="160"/>
    <x v="2"/>
    <x v="1"/>
    <x v="8"/>
    <x v="0"/>
    <x v="2"/>
    <n v="0"/>
    <x v="0"/>
  </r>
  <r>
    <x v="30"/>
    <x v="1"/>
    <x v="160"/>
    <x v="2"/>
    <x v="1"/>
    <x v="8"/>
    <x v="0"/>
    <x v="3"/>
    <n v="2045.1382090111858"/>
    <x v="0"/>
  </r>
  <r>
    <x v="30"/>
    <x v="1"/>
    <x v="160"/>
    <x v="2"/>
    <x v="1"/>
    <x v="8"/>
    <x v="0"/>
    <x v="4"/>
    <n v="122.23820107203557"/>
    <x v="0"/>
  </r>
  <r>
    <x v="30"/>
    <x v="1"/>
    <x v="160"/>
    <x v="2"/>
    <x v="1"/>
    <x v="8"/>
    <x v="0"/>
    <x v="5"/>
    <n v="0"/>
    <x v="0"/>
  </r>
  <r>
    <x v="30"/>
    <x v="1"/>
    <x v="160"/>
    <x v="2"/>
    <x v="1"/>
    <x v="8"/>
    <x v="0"/>
    <x v="6"/>
    <n v="0"/>
    <x v="0"/>
  </r>
  <r>
    <x v="30"/>
    <x v="1"/>
    <x v="160"/>
    <x v="2"/>
    <x v="1"/>
    <x v="8"/>
    <x v="0"/>
    <x v="7"/>
    <n v="101.83890740939886"/>
    <x v="0"/>
  </r>
  <r>
    <x v="30"/>
    <x v="1"/>
    <x v="160"/>
    <x v="2"/>
    <x v="1"/>
    <x v="8"/>
    <x v="0"/>
    <x v="8"/>
    <n v="0"/>
    <x v="0"/>
  </r>
  <r>
    <x v="30"/>
    <x v="1"/>
    <x v="160"/>
    <x v="2"/>
    <x v="1"/>
    <x v="8"/>
    <x v="0"/>
    <x v="9"/>
    <n v="0"/>
    <x v="0"/>
  </r>
  <r>
    <x v="30"/>
    <x v="1"/>
    <x v="160"/>
    <x v="2"/>
    <x v="1"/>
    <x v="8"/>
    <x v="0"/>
    <x v="10"/>
    <n v="0"/>
    <x v="0"/>
  </r>
  <r>
    <x v="30"/>
    <x v="1"/>
    <x v="160"/>
    <x v="2"/>
    <x v="1"/>
    <x v="8"/>
    <x v="0"/>
    <x v="11"/>
    <n v="0"/>
    <x v="0"/>
  </r>
  <r>
    <x v="30"/>
    <x v="1"/>
    <x v="161"/>
    <x v="2"/>
    <x v="1"/>
    <x v="8"/>
    <x v="0"/>
    <x v="0"/>
    <n v="0"/>
    <x v="0"/>
  </r>
  <r>
    <x v="30"/>
    <x v="1"/>
    <x v="161"/>
    <x v="2"/>
    <x v="1"/>
    <x v="8"/>
    <x v="0"/>
    <x v="1"/>
    <n v="0"/>
    <x v="0"/>
  </r>
  <r>
    <x v="30"/>
    <x v="1"/>
    <x v="161"/>
    <x v="2"/>
    <x v="1"/>
    <x v="8"/>
    <x v="0"/>
    <x v="2"/>
    <n v="0"/>
    <x v="0"/>
  </r>
  <r>
    <x v="30"/>
    <x v="1"/>
    <x v="161"/>
    <x v="2"/>
    <x v="1"/>
    <x v="8"/>
    <x v="0"/>
    <x v="3"/>
    <n v="1264.9342804174391"/>
    <x v="0"/>
  </r>
  <r>
    <x v="30"/>
    <x v="1"/>
    <x v="161"/>
    <x v="2"/>
    <x v="1"/>
    <x v="8"/>
    <x v="0"/>
    <x v="4"/>
    <n v="306.26879330631454"/>
    <x v="0"/>
  </r>
  <r>
    <x v="30"/>
    <x v="1"/>
    <x v="161"/>
    <x v="2"/>
    <x v="1"/>
    <x v="8"/>
    <x v="0"/>
    <x v="5"/>
    <n v="1725.6079388389771"/>
    <x v="0"/>
  </r>
  <r>
    <x v="30"/>
    <x v="1"/>
    <x v="161"/>
    <x v="2"/>
    <x v="1"/>
    <x v="8"/>
    <x v="0"/>
    <x v="6"/>
    <n v="0"/>
    <x v="0"/>
  </r>
  <r>
    <x v="30"/>
    <x v="1"/>
    <x v="161"/>
    <x v="2"/>
    <x v="1"/>
    <x v="8"/>
    <x v="0"/>
    <x v="7"/>
    <n v="0"/>
    <x v="0"/>
  </r>
  <r>
    <x v="30"/>
    <x v="1"/>
    <x v="161"/>
    <x v="2"/>
    <x v="1"/>
    <x v="8"/>
    <x v="0"/>
    <x v="8"/>
    <n v="0"/>
    <x v="0"/>
  </r>
  <r>
    <x v="30"/>
    <x v="1"/>
    <x v="161"/>
    <x v="2"/>
    <x v="1"/>
    <x v="8"/>
    <x v="0"/>
    <x v="9"/>
    <n v="0"/>
    <x v="0"/>
  </r>
  <r>
    <x v="30"/>
    <x v="1"/>
    <x v="161"/>
    <x v="2"/>
    <x v="1"/>
    <x v="8"/>
    <x v="0"/>
    <x v="10"/>
    <n v="0"/>
    <x v="0"/>
  </r>
  <r>
    <x v="30"/>
    <x v="1"/>
    <x v="161"/>
    <x v="2"/>
    <x v="1"/>
    <x v="8"/>
    <x v="0"/>
    <x v="11"/>
    <n v="0"/>
    <x v="0"/>
  </r>
  <r>
    <x v="30"/>
    <x v="1"/>
    <x v="162"/>
    <x v="2"/>
    <x v="3"/>
    <x v="9"/>
    <x v="0"/>
    <x v="0"/>
    <n v="0"/>
    <x v="0"/>
  </r>
  <r>
    <x v="30"/>
    <x v="1"/>
    <x v="162"/>
    <x v="2"/>
    <x v="3"/>
    <x v="9"/>
    <x v="0"/>
    <x v="1"/>
    <n v="0"/>
    <x v="0"/>
  </r>
  <r>
    <x v="30"/>
    <x v="1"/>
    <x v="162"/>
    <x v="2"/>
    <x v="3"/>
    <x v="9"/>
    <x v="0"/>
    <x v="2"/>
    <n v="0"/>
    <x v="0"/>
  </r>
  <r>
    <x v="30"/>
    <x v="1"/>
    <x v="162"/>
    <x v="2"/>
    <x v="3"/>
    <x v="9"/>
    <x v="0"/>
    <x v="3"/>
    <n v="0"/>
    <x v="0"/>
  </r>
  <r>
    <x v="30"/>
    <x v="1"/>
    <x v="162"/>
    <x v="2"/>
    <x v="3"/>
    <x v="9"/>
    <x v="0"/>
    <x v="4"/>
    <n v="102.70623610929533"/>
    <x v="0"/>
  </r>
  <r>
    <x v="30"/>
    <x v="1"/>
    <x v="162"/>
    <x v="2"/>
    <x v="3"/>
    <x v="9"/>
    <x v="0"/>
    <x v="5"/>
    <n v="0"/>
    <x v="0"/>
  </r>
  <r>
    <x v="30"/>
    <x v="1"/>
    <x v="162"/>
    <x v="2"/>
    <x v="3"/>
    <x v="9"/>
    <x v="0"/>
    <x v="6"/>
    <n v="0"/>
    <x v="0"/>
  </r>
  <r>
    <x v="30"/>
    <x v="1"/>
    <x v="162"/>
    <x v="2"/>
    <x v="3"/>
    <x v="9"/>
    <x v="0"/>
    <x v="7"/>
    <n v="0"/>
    <x v="0"/>
  </r>
  <r>
    <x v="30"/>
    <x v="1"/>
    <x v="162"/>
    <x v="2"/>
    <x v="3"/>
    <x v="9"/>
    <x v="0"/>
    <x v="8"/>
    <n v="0"/>
    <x v="0"/>
  </r>
  <r>
    <x v="30"/>
    <x v="1"/>
    <x v="162"/>
    <x v="2"/>
    <x v="3"/>
    <x v="9"/>
    <x v="0"/>
    <x v="9"/>
    <n v="0"/>
    <x v="0"/>
  </r>
  <r>
    <x v="30"/>
    <x v="1"/>
    <x v="162"/>
    <x v="2"/>
    <x v="3"/>
    <x v="9"/>
    <x v="0"/>
    <x v="10"/>
    <n v="0"/>
    <x v="0"/>
  </r>
  <r>
    <x v="30"/>
    <x v="1"/>
    <x v="162"/>
    <x v="2"/>
    <x v="3"/>
    <x v="9"/>
    <x v="0"/>
    <x v="11"/>
    <n v="0"/>
    <x v="0"/>
  </r>
  <r>
    <x v="30"/>
    <x v="1"/>
    <x v="163"/>
    <x v="2"/>
    <x v="2"/>
    <x v="3"/>
    <x v="0"/>
    <x v="0"/>
    <n v="0"/>
    <x v="0"/>
  </r>
  <r>
    <x v="30"/>
    <x v="1"/>
    <x v="163"/>
    <x v="2"/>
    <x v="2"/>
    <x v="3"/>
    <x v="0"/>
    <x v="1"/>
    <n v="0"/>
    <x v="0"/>
  </r>
  <r>
    <x v="30"/>
    <x v="1"/>
    <x v="163"/>
    <x v="2"/>
    <x v="2"/>
    <x v="3"/>
    <x v="0"/>
    <x v="2"/>
    <n v="0"/>
    <x v="0"/>
  </r>
  <r>
    <x v="30"/>
    <x v="1"/>
    <x v="163"/>
    <x v="2"/>
    <x v="2"/>
    <x v="3"/>
    <x v="0"/>
    <x v="3"/>
    <n v="0"/>
    <x v="0"/>
  </r>
  <r>
    <x v="30"/>
    <x v="1"/>
    <x v="163"/>
    <x v="2"/>
    <x v="2"/>
    <x v="3"/>
    <x v="0"/>
    <x v="4"/>
    <n v="129.64657689458318"/>
    <x v="0"/>
  </r>
  <r>
    <x v="30"/>
    <x v="1"/>
    <x v="163"/>
    <x v="2"/>
    <x v="2"/>
    <x v="3"/>
    <x v="0"/>
    <x v="5"/>
    <n v="0"/>
    <x v="0"/>
  </r>
  <r>
    <x v="30"/>
    <x v="1"/>
    <x v="163"/>
    <x v="2"/>
    <x v="2"/>
    <x v="3"/>
    <x v="0"/>
    <x v="6"/>
    <n v="0"/>
    <x v="0"/>
  </r>
  <r>
    <x v="30"/>
    <x v="1"/>
    <x v="163"/>
    <x v="2"/>
    <x v="2"/>
    <x v="3"/>
    <x v="0"/>
    <x v="7"/>
    <n v="0"/>
    <x v="0"/>
  </r>
  <r>
    <x v="30"/>
    <x v="1"/>
    <x v="163"/>
    <x v="2"/>
    <x v="2"/>
    <x v="3"/>
    <x v="0"/>
    <x v="8"/>
    <n v="0"/>
    <x v="0"/>
  </r>
  <r>
    <x v="30"/>
    <x v="1"/>
    <x v="163"/>
    <x v="2"/>
    <x v="2"/>
    <x v="3"/>
    <x v="0"/>
    <x v="9"/>
    <n v="0"/>
    <x v="0"/>
  </r>
  <r>
    <x v="30"/>
    <x v="1"/>
    <x v="163"/>
    <x v="2"/>
    <x v="2"/>
    <x v="3"/>
    <x v="0"/>
    <x v="10"/>
    <n v="0"/>
    <x v="0"/>
  </r>
  <r>
    <x v="30"/>
    <x v="1"/>
    <x v="163"/>
    <x v="2"/>
    <x v="2"/>
    <x v="3"/>
    <x v="0"/>
    <x v="11"/>
    <n v="0"/>
    <x v="0"/>
  </r>
  <r>
    <x v="30"/>
    <x v="1"/>
    <x v="164"/>
    <x v="0"/>
    <x v="4"/>
    <x v="14"/>
    <x v="0"/>
    <x v="0"/>
    <n v="0"/>
    <x v="0"/>
  </r>
  <r>
    <x v="30"/>
    <x v="1"/>
    <x v="164"/>
    <x v="0"/>
    <x v="4"/>
    <x v="14"/>
    <x v="0"/>
    <x v="1"/>
    <n v="0"/>
    <x v="0"/>
  </r>
  <r>
    <x v="30"/>
    <x v="1"/>
    <x v="164"/>
    <x v="0"/>
    <x v="4"/>
    <x v="14"/>
    <x v="0"/>
    <x v="2"/>
    <n v="0"/>
    <x v="0"/>
  </r>
  <r>
    <x v="30"/>
    <x v="1"/>
    <x v="164"/>
    <x v="0"/>
    <x v="4"/>
    <x v="14"/>
    <x v="0"/>
    <x v="3"/>
    <n v="0"/>
    <x v="0"/>
  </r>
  <r>
    <x v="30"/>
    <x v="1"/>
    <x v="164"/>
    <x v="0"/>
    <x v="4"/>
    <x v="14"/>
    <x v="0"/>
    <x v="4"/>
    <n v="0"/>
    <x v="0"/>
  </r>
  <r>
    <x v="30"/>
    <x v="1"/>
    <x v="164"/>
    <x v="0"/>
    <x v="4"/>
    <x v="14"/>
    <x v="0"/>
    <x v="5"/>
    <n v="0"/>
    <x v="0"/>
  </r>
  <r>
    <x v="30"/>
    <x v="1"/>
    <x v="164"/>
    <x v="0"/>
    <x v="4"/>
    <x v="14"/>
    <x v="0"/>
    <x v="6"/>
    <n v="0"/>
    <x v="0"/>
  </r>
  <r>
    <x v="30"/>
    <x v="1"/>
    <x v="164"/>
    <x v="0"/>
    <x v="4"/>
    <x v="14"/>
    <x v="0"/>
    <x v="7"/>
    <n v="1075.384449940854"/>
    <x v="0"/>
  </r>
  <r>
    <x v="30"/>
    <x v="1"/>
    <x v="164"/>
    <x v="0"/>
    <x v="4"/>
    <x v="14"/>
    <x v="0"/>
    <x v="8"/>
    <n v="0"/>
    <x v="0"/>
  </r>
  <r>
    <x v="30"/>
    <x v="1"/>
    <x v="164"/>
    <x v="0"/>
    <x v="4"/>
    <x v="14"/>
    <x v="0"/>
    <x v="9"/>
    <n v="278.29644146025424"/>
    <x v="0"/>
  </r>
  <r>
    <x v="30"/>
    <x v="1"/>
    <x v="164"/>
    <x v="0"/>
    <x v="4"/>
    <x v="14"/>
    <x v="0"/>
    <x v="10"/>
    <n v="0"/>
    <x v="0"/>
  </r>
  <r>
    <x v="30"/>
    <x v="1"/>
    <x v="164"/>
    <x v="0"/>
    <x v="4"/>
    <x v="14"/>
    <x v="0"/>
    <x v="11"/>
    <n v="0"/>
    <x v="0"/>
  </r>
  <r>
    <x v="30"/>
    <x v="1"/>
    <x v="165"/>
    <x v="0"/>
    <x v="1"/>
    <x v="21"/>
    <x v="0"/>
    <x v="0"/>
    <n v="0"/>
    <x v="0"/>
  </r>
  <r>
    <x v="30"/>
    <x v="1"/>
    <x v="165"/>
    <x v="0"/>
    <x v="1"/>
    <x v="21"/>
    <x v="0"/>
    <x v="1"/>
    <n v="0"/>
    <x v="0"/>
  </r>
  <r>
    <x v="30"/>
    <x v="1"/>
    <x v="165"/>
    <x v="0"/>
    <x v="1"/>
    <x v="21"/>
    <x v="0"/>
    <x v="2"/>
    <n v="0"/>
    <x v="0"/>
  </r>
  <r>
    <x v="30"/>
    <x v="1"/>
    <x v="165"/>
    <x v="0"/>
    <x v="1"/>
    <x v="21"/>
    <x v="0"/>
    <x v="3"/>
    <n v="0"/>
    <x v="0"/>
  </r>
  <r>
    <x v="30"/>
    <x v="1"/>
    <x v="165"/>
    <x v="0"/>
    <x v="1"/>
    <x v="21"/>
    <x v="0"/>
    <x v="4"/>
    <n v="0"/>
    <x v="0"/>
  </r>
  <r>
    <x v="30"/>
    <x v="1"/>
    <x v="165"/>
    <x v="0"/>
    <x v="1"/>
    <x v="21"/>
    <x v="0"/>
    <x v="5"/>
    <n v="0"/>
    <x v="0"/>
  </r>
  <r>
    <x v="30"/>
    <x v="1"/>
    <x v="165"/>
    <x v="0"/>
    <x v="1"/>
    <x v="21"/>
    <x v="0"/>
    <x v="6"/>
    <n v="0"/>
    <x v="0"/>
  </r>
  <r>
    <x v="30"/>
    <x v="1"/>
    <x v="165"/>
    <x v="0"/>
    <x v="1"/>
    <x v="21"/>
    <x v="0"/>
    <x v="7"/>
    <n v="0"/>
    <x v="0"/>
  </r>
  <r>
    <x v="30"/>
    <x v="1"/>
    <x v="165"/>
    <x v="0"/>
    <x v="1"/>
    <x v="21"/>
    <x v="0"/>
    <x v="8"/>
    <n v="0"/>
    <x v="0"/>
  </r>
  <r>
    <x v="30"/>
    <x v="1"/>
    <x v="165"/>
    <x v="0"/>
    <x v="1"/>
    <x v="21"/>
    <x v="0"/>
    <x v="9"/>
    <n v="0"/>
    <x v="0"/>
  </r>
  <r>
    <x v="30"/>
    <x v="1"/>
    <x v="165"/>
    <x v="0"/>
    <x v="1"/>
    <x v="21"/>
    <x v="0"/>
    <x v="10"/>
    <n v="0"/>
    <x v="0"/>
  </r>
  <r>
    <x v="30"/>
    <x v="1"/>
    <x v="165"/>
    <x v="0"/>
    <x v="1"/>
    <x v="21"/>
    <x v="0"/>
    <x v="11"/>
    <n v="0"/>
    <x v="0"/>
  </r>
  <r>
    <x v="53"/>
    <x v="0"/>
    <x v="166"/>
    <x v="2"/>
    <x v="0"/>
    <x v="0"/>
    <x v="0"/>
    <x v="0"/>
    <n v="799.46254914701706"/>
    <x v="0"/>
  </r>
  <r>
    <x v="53"/>
    <x v="0"/>
    <x v="166"/>
    <x v="2"/>
    <x v="0"/>
    <x v="0"/>
    <x v="0"/>
    <x v="1"/>
    <n v="753.45013700905088"/>
    <x v="0"/>
  </r>
  <r>
    <x v="53"/>
    <x v="0"/>
    <x v="166"/>
    <x v="2"/>
    <x v="0"/>
    <x v="0"/>
    <x v="0"/>
    <x v="2"/>
    <n v="727.3997086566178"/>
    <x v="0"/>
  </r>
  <r>
    <x v="53"/>
    <x v="0"/>
    <x v="166"/>
    <x v="2"/>
    <x v="0"/>
    <x v="0"/>
    <x v="0"/>
    <x v="3"/>
    <n v="733.30139354677442"/>
    <x v="0"/>
  </r>
  <r>
    <x v="53"/>
    <x v="0"/>
    <x v="166"/>
    <x v="2"/>
    <x v="0"/>
    <x v="0"/>
    <x v="0"/>
    <x v="4"/>
    <n v="3490.7308144855538"/>
    <x v="0"/>
  </r>
  <r>
    <x v="53"/>
    <x v="0"/>
    <x v="166"/>
    <x v="2"/>
    <x v="0"/>
    <x v="0"/>
    <x v="0"/>
    <x v="5"/>
    <n v="807.42052522460256"/>
    <x v="0"/>
  </r>
  <r>
    <x v="53"/>
    <x v="0"/>
    <x v="166"/>
    <x v="2"/>
    <x v="0"/>
    <x v="0"/>
    <x v="0"/>
    <x v="6"/>
    <n v="774.24804812492005"/>
    <x v="0"/>
  </r>
  <r>
    <x v="53"/>
    <x v="0"/>
    <x v="166"/>
    <x v="2"/>
    <x v="0"/>
    <x v="0"/>
    <x v="0"/>
    <x v="7"/>
    <n v="851.05925368319174"/>
    <x v="0"/>
  </r>
  <r>
    <x v="53"/>
    <x v="0"/>
    <x v="166"/>
    <x v="2"/>
    <x v="0"/>
    <x v="0"/>
    <x v="0"/>
    <x v="8"/>
    <n v="1238.6737348981333"/>
    <x v="0"/>
  </r>
  <r>
    <x v="53"/>
    <x v="0"/>
    <x v="166"/>
    <x v="2"/>
    <x v="0"/>
    <x v="0"/>
    <x v="0"/>
    <x v="9"/>
    <n v="699.62090789346871"/>
    <x v="0"/>
  </r>
  <r>
    <x v="53"/>
    <x v="0"/>
    <x v="166"/>
    <x v="2"/>
    <x v="0"/>
    <x v="0"/>
    <x v="0"/>
    <x v="10"/>
    <n v="758.08897061195523"/>
    <x v="0"/>
  </r>
  <r>
    <x v="53"/>
    <x v="0"/>
    <x v="166"/>
    <x v="2"/>
    <x v="0"/>
    <x v="0"/>
    <x v="0"/>
    <x v="11"/>
    <n v="1080.6800219361915"/>
    <x v="0"/>
  </r>
  <r>
    <x v="30"/>
    <x v="1"/>
    <x v="167"/>
    <x v="2"/>
    <x v="2"/>
    <x v="3"/>
    <x v="0"/>
    <x v="0"/>
    <n v="0"/>
    <x v="0"/>
  </r>
  <r>
    <x v="30"/>
    <x v="1"/>
    <x v="167"/>
    <x v="2"/>
    <x v="2"/>
    <x v="3"/>
    <x v="0"/>
    <x v="1"/>
    <n v="0"/>
    <x v="0"/>
  </r>
  <r>
    <x v="30"/>
    <x v="1"/>
    <x v="167"/>
    <x v="2"/>
    <x v="2"/>
    <x v="3"/>
    <x v="0"/>
    <x v="2"/>
    <n v="0"/>
    <x v="0"/>
  </r>
  <r>
    <x v="30"/>
    <x v="1"/>
    <x v="167"/>
    <x v="2"/>
    <x v="2"/>
    <x v="3"/>
    <x v="0"/>
    <x v="3"/>
    <n v="0"/>
    <x v="0"/>
  </r>
  <r>
    <x v="30"/>
    <x v="1"/>
    <x v="167"/>
    <x v="2"/>
    <x v="2"/>
    <x v="3"/>
    <x v="0"/>
    <x v="4"/>
    <n v="0"/>
    <x v="0"/>
  </r>
  <r>
    <x v="30"/>
    <x v="1"/>
    <x v="167"/>
    <x v="2"/>
    <x v="2"/>
    <x v="3"/>
    <x v="0"/>
    <x v="5"/>
    <n v="0"/>
    <x v="0"/>
  </r>
  <r>
    <x v="30"/>
    <x v="1"/>
    <x v="167"/>
    <x v="2"/>
    <x v="2"/>
    <x v="3"/>
    <x v="0"/>
    <x v="6"/>
    <n v="0"/>
    <x v="0"/>
  </r>
  <r>
    <x v="30"/>
    <x v="1"/>
    <x v="167"/>
    <x v="2"/>
    <x v="2"/>
    <x v="3"/>
    <x v="0"/>
    <x v="7"/>
    <n v="0"/>
    <x v="0"/>
  </r>
  <r>
    <x v="30"/>
    <x v="1"/>
    <x v="167"/>
    <x v="2"/>
    <x v="2"/>
    <x v="3"/>
    <x v="0"/>
    <x v="8"/>
    <n v="0"/>
    <x v="0"/>
  </r>
  <r>
    <x v="30"/>
    <x v="1"/>
    <x v="167"/>
    <x v="2"/>
    <x v="2"/>
    <x v="3"/>
    <x v="0"/>
    <x v="9"/>
    <n v="4137.2238463927351"/>
    <x v="0"/>
  </r>
  <r>
    <x v="30"/>
    <x v="1"/>
    <x v="167"/>
    <x v="2"/>
    <x v="2"/>
    <x v="3"/>
    <x v="0"/>
    <x v="10"/>
    <n v="0"/>
    <x v="0"/>
  </r>
  <r>
    <x v="30"/>
    <x v="1"/>
    <x v="167"/>
    <x v="2"/>
    <x v="2"/>
    <x v="3"/>
    <x v="0"/>
    <x v="11"/>
    <n v="0"/>
    <x v="0"/>
  </r>
  <r>
    <x v="54"/>
    <x v="0"/>
    <x v="168"/>
    <x v="2"/>
    <x v="0"/>
    <x v="0"/>
    <x v="0"/>
    <x v="0"/>
    <n v="0"/>
    <x v="0"/>
  </r>
  <r>
    <x v="54"/>
    <x v="0"/>
    <x v="168"/>
    <x v="2"/>
    <x v="0"/>
    <x v="0"/>
    <x v="0"/>
    <x v="1"/>
    <n v="0"/>
    <x v="0"/>
  </r>
  <r>
    <x v="54"/>
    <x v="0"/>
    <x v="168"/>
    <x v="2"/>
    <x v="0"/>
    <x v="0"/>
    <x v="0"/>
    <x v="2"/>
    <n v="0"/>
    <x v="0"/>
  </r>
  <r>
    <x v="54"/>
    <x v="0"/>
    <x v="168"/>
    <x v="2"/>
    <x v="0"/>
    <x v="0"/>
    <x v="0"/>
    <x v="3"/>
    <n v="0"/>
    <x v="0"/>
  </r>
  <r>
    <x v="54"/>
    <x v="0"/>
    <x v="168"/>
    <x v="2"/>
    <x v="0"/>
    <x v="0"/>
    <x v="0"/>
    <x v="4"/>
    <n v="0"/>
    <x v="0"/>
  </r>
  <r>
    <x v="54"/>
    <x v="0"/>
    <x v="168"/>
    <x v="2"/>
    <x v="0"/>
    <x v="0"/>
    <x v="0"/>
    <x v="5"/>
    <n v="0"/>
    <x v="0"/>
  </r>
  <r>
    <x v="54"/>
    <x v="0"/>
    <x v="168"/>
    <x v="2"/>
    <x v="0"/>
    <x v="0"/>
    <x v="0"/>
    <x v="6"/>
    <n v="0"/>
    <x v="0"/>
  </r>
  <r>
    <x v="54"/>
    <x v="0"/>
    <x v="168"/>
    <x v="2"/>
    <x v="0"/>
    <x v="0"/>
    <x v="0"/>
    <x v="7"/>
    <n v="0"/>
    <x v="0"/>
  </r>
  <r>
    <x v="54"/>
    <x v="0"/>
    <x v="168"/>
    <x v="2"/>
    <x v="0"/>
    <x v="0"/>
    <x v="0"/>
    <x v="8"/>
    <n v="0"/>
    <x v="0"/>
  </r>
  <r>
    <x v="54"/>
    <x v="0"/>
    <x v="168"/>
    <x v="2"/>
    <x v="0"/>
    <x v="0"/>
    <x v="0"/>
    <x v="9"/>
    <n v="5354.4082843404976"/>
    <x v="0"/>
  </r>
  <r>
    <x v="54"/>
    <x v="0"/>
    <x v="168"/>
    <x v="2"/>
    <x v="0"/>
    <x v="0"/>
    <x v="0"/>
    <x v="10"/>
    <n v="0"/>
    <x v="0"/>
  </r>
  <r>
    <x v="54"/>
    <x v="0"/>
    <x v="168"/>
    <x v="2"/>
    <x v="0"/>
    <x v="0"/>
    <x v="0"/>
    <x v="11"/>
    <n v="0"/>
    <x v="0"/>
  </r>
  <r>
    <x v="30"/>
    <x v="1"/>
    <x v="169"/>
    <x v="2"/>
    <x v="3"/>
    <x v="22"/>
    <x v="0"/>
    <x v="0"/>
    <n v="0"/>
    <x v="0"/>
  </r>
  <r>
    <x v="30"/>
    <x v="1"/>
    <x v="169"/>
    <x v="2"/>
    <x v="3"/>
    <x v="22"/>
    <x v="0"/>
    <x v="1"/>
    <n v="0"/>
    <x v="0"/>
  </r>
  <r>
    <x v="30"/>
    <x v="1"/>
    <x v="169"/>
    <x v="2"/>
    <x v="3"/>
    <x v="22"/>
    <x v="0"/>
    <x v="2"/>
    <n v="0"/>
    <x v="0"/>
  </r>
  <r>
    <x v="30"/>
    <x v="1"/>
    <x v="169"/>
    <x v="2"/>
    <x v="3"/>
    <x v="22"/>
    <x v="0"/>
    <x v="3"/>
    <n v="0"/>
    <x v="0"/>
  </r>
  <r>
    <x v="30"/>
    <x v="1"/>
    <x v="169"/>
    <x v="2"/>
    <x v="3"/>
    <x v="22"/>
    <x v="0"/>
    <x v="4"/>
    <n v="0"/>
    <x v="0"/>
  </r>
  <r>
    <x v="30"/>
    <x v="1"/>
    <x v="169"/>
    <x v="2"/>
    <x v="3"/>
    <x v="22"/>
    <x v="0"/>
    <x v="5"/>
    <n v="215.9640635798203"/>
    <x v="0"/>
  </r>
  <r>
    <x v="30"/>
    <x v="1"/>
    <x v="169"/>
    <x v="2"/>
    <x v="3"/>
    <x v="22"/>
    <x v="0"/>
    <x v="6"/>
    <n v="281.007082213405"/>
    <x v="0"/>
  </r>
  <r>
    <x v="30"/>
    <x v="1"/>
    <x v="169"/>
    <x v="2"/>
    <x v="3"/>
    <x v="22"/>
    <x v="0"/>
    <x v="7"/>
    <n v="120.70975373696096"/>
    <x v="0"/>
  </r>
  <r>
    <x v="30"/>
    <x v="1"/>
    <x v="169"/>
    <x v="2"/>
    <x v="3"/>
    <x v="22"/>
    <x v="0"/>
    <x v="8"/>
    <n v="124.32385744053724"/>
    <x v="0"/>
  </r>
  <r>
    <x v="30"/>
    <x v="1"/>
    <x v="169"/>
    <x v="2"/>
    <x v="3"/>
    <x v="22"/>
    <x v="0"/>
    <x v="9"/>
    <n v="145.84551461218021"/>
    <x v="0"/>
  </r>
  <r>
    <x v="30"/>
    <x v="1"/>
    <x v="169"/>
    <x v="2"/>
    <x v="3"/>
    <x v="22"/>
    <x v="0"/>
    <x v="10"/>
    <n v="0"/>
    <x v="0"/>
  </r>
  <r>
    <x v="30"/>
    <x v="1"/>
    <x v="169"/>
    <x v="2"/>
    <x v="3"/>
    <x v="22"/>
    <x v="0"/>
    <x v="11"/>
    <n v="0"/>
    <x v="0"/>
  </r>
  <r>
    <x v="30"/>
    <x v="1"/>
    <x v="170"/>
    <x v="2"/>
    <x v="0"/>
    <x v="0"/>
    <x v="0"/>
    <x v="0"/>
    <n v="0"/>
    <x v="0"/>
  </r>
  <r>
    <x v="30"/>
    <x v="1"/>
    <x v="170"/>
    <x v="2"/>
    <x v="0"/>
    <x v="0"/>
    <x v="0"/>
    <x v="1"/>
    <n v="72.656314871709696"/>
    <x v="0"/>
  </r>
  <r>
    <x v="30"/>
    <x v="1"/>
    <x v="170"/>
    <x v="2"/>
    <x v="0"/>
    <x v="0"/>
    <x v="0"/>
    <x v="2"/>
    <n v="118.81024454247725"/>
    <x v="0"/>
  </r>
  <r>
    <x v="30"/>
    <x v="1"/>
    <x v="170"/>
    <x v="2"/>
    <x v="0"/>
    <x v="0"/>
    <x v="0"/>
    <x v="3"/>
    <n v="0"/>
    <x v="0"/>
  </r>
  <r>
    <x v="30"/>
    <x v="1"/>
    <x v="170"/>
    <x v="2"/>
    <x v="0"/>
    <x v="0"/>
    <x v="0"/>
    <x v="4"/>
    <n v="0"/>
    <x v="0"/>
  </r>
  <r>
    <x v="30"/>
    <x v="1"/>
    <x v="170"/>
    <x v="2"/>
    <x v="0"/>
    <x v="0"/>
    <x v="0"/>
    <x v="5"/>
    <n v="0"/>
    <x v="0"/>
  </r>
  <r>
    <x v="30"/>
    <x v="1"/>
    <x v="170"/>
    <x v="2"/>
    <x v="0"/>
    <x v="0"/>
    <x v="0"/>
    <x v="6"/>
    <n v="0"/>
    <x v="0"/>
  </r>
  <r>
    <x v="30"/>
    <x v="1"/>
    <x v="170"/>
    <x v="2"/>
    <x v="0"/>
    <x v="0"/>
    <x v="0"/>
    <x v="7"/>
    <n v="0"/>
    <x v="0"/>
  </r>
  <r>
    <x v="30"/>
    <x v="1"/>
    <x v="170"/>
    <x v="2"/>
    <x v="0"/>
    <x v="0"/>
    <x v="0"/>
    <x v="8"/>
    <n v="0"/>
    <x v="0"/>
  </r>
  <r>
    <x v="30"/>
    <x v="1"/>
    <x v="170"/>
    <x v="2"/>
    <x v="0"/>
    <x v="0"/>
    <x v="0"/>
    <x v="9"/>
    <n v="0"/>
    <x v="0"/>
  </r>
  <r>
    <x v="30"/>
    <x v="1"/>
    <x v="170"/>
    <x v="2"/>
    <x v="0"/>
    <x v="0"/>
    <x v="0"/>
    <x v="10"/>
    <n v="0"/>
    <x v="0"/>
  </r>
  <r>
    <x v="30"/>
    <x v="1"/>
    <x v="170"/>
    <x v="2"/>
    <x v="0"/>
    <x v="0"/>
    <x v="0"/>
    <x v="11"/>
    <n v="0"/>
    <x v="0"/>
  </r>
  <r>
    <x v="30"/>
    <x v="1"/>
    <x v="171"/>
    <x v="2"/>
    <x v="0"/>
    <x v="0"/>
    <x v="0"/>
    <x v="0"/>
    <n v="275.33342878225528"/>
    <x v="0"/>
  </r>
  <r>
    <x v="30"/>
    <x v="1"/>
    <x v="171"/>
    <x v="2"/>
    <x v="0"/>
    <x v="0"/>
    <x v="0"/>
    <x v="1"/>
    <n v="0"/>
    <x v="0"/>
  </r>
  <r>
    <x v="30"/>
    <x v="1"/>
    <x v="171"/>
    <x v="2"/>
    <x v="0"/>
    <x v="0"/>
    <x v="0"/>
    <x v="2"/>
    <n v="0"/>
    <x v="0"/>
  </r>
  <r>
    <x v="30"/>
    <x v="1"/>
    <x v="171"/>
    <x v="2"/>
    <x v="0"/>
    <x v="0"/>
    <x v="0"/>
    <x v="3"/>
    <n v="0"/>
    <x v="0"/>
  </r>
  <r>
    <x v="30"/>
    <x v="1"/>
    <x v="171"/>
    <x v="2"/>
    <x v="0"/>
    <x v="0"/>
    <x v="0"/>
    <x v="4"/>
    <n v="0"/>
    <x v="0"/>
  </r>
  <r>
    <x v="30"/>
    <x v="1"/>
    <x v="171"/>
    <x v="2"/>
    <x v="0"/>
    <x v="0"/>
    <x v="0"/>
    <x v="5"/>
    <n v="314.94795266067723"/>
    <x v="0"/>
  </r>
  <r>
    <x v="30"/>
    <x v="1"/>
    <x v="171"/>
    <x v="2"/>
    <x v="0"/>
    <x v="0"/>
    <x v="0"/>
    <x v="6"/>
    <n v="266.6496010921968"/>
    <x v="0"/>
  </r>
  <r>
    <x v="30"/>
    <x v="1"/>
    <x v="171"/>
    <x v="2"/>
    <x v="0"/>
    <x v="0"/>
    <x v="0"/>
    <x v="7"/>
    <n v="376.38455747929885"/>
    <x v="0"/>
  </r>
  <r>
    <x v="30"/>
    <x v="1"/>
    <x v="171"/>
    <x v="2"/>
    <x v="0"/>
    <x v="0"/>
    <x v="0"/>
    <x v="8"/>
    <n v="465.60715172585049"/>
    <x v="0"/>
  </r>
  <r>
    <x v="30"/>
    <x v="1"/>
    <x v="171"/>
    <x v="2"/>
    <x v="0"/>
    <x v="0"/>
    <x v="0"/>
    <x v="9"/>
    <n v="461.81771452436794"/>
    <x v="0"/>
  </r>
  <r>
    <x v="30"/>
    <x v="1"/>
    <x v="171"/>
    <x v="2"/>
    <x v="0"/>
    <x v="0"/>
    <x v="0"/>
    <x v="10"/>
    <n v="463.72463627858963"/>
    <x v="0"/>
  </r>
  <r>
    <x v="30"/>
    <x v="1"/>
    <x v="171"/>
    <x v="2"/>
    <x v="0"/>
    <x v="0"/>
    <x v="0"/>
    <x v="11"/>
    <n v="463.72463627858963"/>
    <x v="0"/>
  </r>
  <r>
    <x v="30"/>
    <x v="1"/>
    <x v="172"/>
    <x v="2"/>
    <x v="1"/>
    <x v="1"/>
    <x v="0"/>
    <x v="0"/>
    <n v="1872.267315719336"/>
    <x v="0"/>
  </r>
  <r>
    <x v="30"/>
    <x v="1"/>
    <x v="172"/>
    <x v="2"/>
    <x v="1"/>
    <x v="1"/>
    <x v="0"/>
    <x v="1"/>
    <n v="0"/>
    <x v="0"/>
  </r>
  <r>
    <x v="30"/>
    <x v="1"/>
    <x v="172"/>
    <x v="2"/>
    <x v="1"/>
    <x v="1"/>
    <x v="0"/>
    <x v="2"/>
    <n v="0"/>
    <x v="0"/>
  </r>
  <r>
    <x v="30"/>
    <x v="1"/>
    <x v="172"/>
    <x v="2"/>
    <x v="1"/>
    <x v="1"/>
    <x v="0"/>
    <x v="3"/>
    <n v="0"/>
    <x v="0"/>
  </r>
  <r>
    <x v="30"/>
    <x v="1"/>
    <x v="172"/>
    <x v="2"/>
    <x v="1"/>
    <x v="1"/>
    <x v="0"/>
    <x v="4"/>
    <n v="0"/>
    <x v="0"/>
  </r>
  <r>
    <x v="30"/>
    <x v="1"/>
    <x v="172"/>
    <x v="2"/>
    <x v="1"/>
    <x v="1"/>
    <x v="0"/>
    <x v="5"/>
    <n v="0"/>
    <x v="0"/>
  </r>
  <r>
    <x v="30"/>
    <x v="1"/>
    <x v="172"/>
    <x v="2"/>
    <x v="1"/>
    <x v="1"/>
    <x v="0"/>
    <x v="6"/>
    <n v="0"/>
    <x v="0"/>
  </r>
  <r>
    <x v="30"/>
    <x v="1"/>
    <x v="172"/>
    <x v="2"/>
    <x v="1"/>
    <x v="1"/>
    <x v="0"/>
    <x v="7"/>
    <n v="0"/>
    <x v="0"/>
  </r>
  <r>
    <x v="30"/>
    <x v="1"/>
    <x v="172"/>
    <x v="2"/>
    <x v="1"/>
    <x v="1"/>
    <x v="0"/>
    <x v="8"/>
    <n v="0"/>
    <x v="0"/>
  </r>
  <r>
    <x v="30"/>
    <x v="1"/>
    <x v="172"/>
    <x v="2"/>
    <x v="1"/>
    <x v="1"/>
    <x v="0"/>
    <x v="9"/>
    <n v="0"/>
    <x v="0"/>
  </r>
  <r>
    <x v="30"/>
    <x v="1"/>
    <x v="172"/>
    <x v="2"/>
    <x v="1"/>
    <x v="1"/>
    <x v="0"/>
    <x v="10"/>
    <n v="0"/>
    <x v="0"/>
  </r>
  <r>
    <x v="30"/>
    <x v="1"/>
    <x v="172"/>
    <x v="2"/>
    <x v="1"/>
    <x v="1"/>
    <x v="0"/>
    <x v="11"/>
    <n v="0"/>
    <x v="0"/>
  </r>
  <r>
    <x v="30"/>
    <x v="0"/>
    <x v="173"/>
    <x v="2"/>
    <x v="5"/>
    <x v="23"/>
    <x v="0"/>
    <x v="0"/>
    <n v="1186.4580006387735"/>
    <x v="0"/>
  </r>
  <r>
    <x v="30"/>
    <x v="0"/>
    <x v="173"/>
    <x v="2"/>
    <x v="5"/>
    <x v="23"/>
    <x v="0"/>
    <x v="1"/>
    <n v="2675.093415261978"/>
    <x v="0"/>
  </r>
  <r>
    <x v="30"/>
    <x v="0"/>
    <x v="173"/>
    <x v="2"/>
    <x v="5"/>
    <x v="23"/>
    <x v="0"/>
    <x v="2"/>
    <n v="2662.6842850206112"/>
    <x v="0"/>
  </r>
  <r>
    <x v="30"/>
    <x v="0"/>
    <x v="173"/>
    <x v="2"/>
    <x v="5"/>
    <x v="23"/>
    <x v="0"/>
    <x v="3"/>
    <n v="2684.2877080425774"/>
    <x v="0"/>
  </r>
  <r>
    <x v="30"/>
    <x v="0"/>
    <x v="173"/>
    <x v="2"/>
    <x v="5"/>
    <x v="23"/>
    <x v="0"/>
    <x v="4"/>
    <n v="2807.874667712555"/>
    <x v="0"/>
  </r>
  <r>
    <x v="30"/>
    <x v="0"/>
    <x v="173"/>
    <x v="2"/>
    <x v="5"/>
    <x v="23"/>
    <x v="0"/>
    <x v="5"/>
    <n v="0"/>
    <x v="0"/>
  </r>
  <r>
    <x v="30"/>
    <x v="0"/>
    <x v="173"/>
    <x v="2"/>
    <x v="5"/>
    <x v="23"/>
    <x v="0"/>
    <x v="6"/>
    <n v="2748.9355347924402"/>
    <x v="0"/>
  </r>
  <r>
    <x v="30"/>
    <x v="0"/>
    <x v="173"/>
    <x v="2"/>
    <x v="5"/>
    <x v="23"/>
    <x v="0"/>
    <x v="7"/>
    <n v="5543.1594795139263"/>
    <x v="0"/>
  </r>
  <r>
    <x v="30"/>
    <x v="0"/>
    <x v="173"/>
    <x v="2"/>
    <x v="5"/>
    <x v="23"/>
    <x v="0"/>
    <x v="8"/>
    <n v="2782.6216516772652"/>
    <x v="0"/>
  </r>
  <r>
    <x v="30"/>
    <x v="0"/>
    <x v="173"/>
    <x v="2"/>
    <x v="5"/>
    <x v="23"/>
    <x v="0"/>
    <x v="9"/>
    <n v="2759.9747271928982"/>
    <x v="0"/>
  </r>
  <r>
    <x v="30"/>
    <x v="0"/>
    <x v="173"/>
    <x v="2"/>
    <x v="5"/>
    <x v="23"/>
    <x v="0"/>
    <x v="10"/>
    <n v="2771.3711194984785"/>
    <x v="0"/>
  </r>
  <r>
    <x v="30"/>
    <x v="0"/>
    <x v="173"/>
    <x v="2"/>
    <x v="5"/>
    <x v="23"/>
    <x v="0"/>
    <x v="11"/>
    <n v="2771.3711194984785"/>
    <x v="0"/>
  </r>
  <r>
    <x v="30"/>
    <x v="0"/>
    <x v="174"/>
    <x v="2"/>
    <x v="0"/>
    <x v="24"/>
    <x v="0"/>
    <x v="0"/>
    <n v="874.87196995561624"/>
    <x v="0"/>
  </r>
  <r>
    <x v="30"/>
    <x v="0"/>
    <x v="174"/>
    <x v="2"/>
    <x v="0"/>
    <x v="24"/>
    <x v="0"/>
    <x v="1"/>
    <n v="824.51943037449132"/>
    <x v="0"/>
  </r>
  <r>
    <x v="30"/>
    <x v="0"/>
    <x v="174"/>
    <x v="2"/>
    <x v="0"/>
    <x v="24"/>
    <x v="0"/>
    <x v="2"/>
    <n v="820.69467833417707"/>
    <x v="0"/>
  </r>
  <r>
    <x v="30"/>
    <x v="0"/>
    <x v="174"/>
    <x v="2"/>
    <x v="0"/>
    <x v="24"/>
    <x v="0"/>
    <x v="3"/>
    <n v="827.35330264336449"/>
    <x v="0"/>
  </r>
  <r>
    <x v="30"/>
    <x v="0"/>
    <x v="174"/>
    <x v="2"/>
    <x v="0"/>
    <x v="24"/>
    <x v="0"/>
    <x v="4"/>
    <n v="865.44537412297905"/>
    <x v="0"/>
  </r>
  <r>
    <x v="30"/>
    <x v="0"/>
    <x v="174"/>
    <x v="2"/>
    <x v="0"/>
    <x v="24"/>
    <x v="0"/>
    <x v="5"/>
    <n v="0"/>
    <x v="0"/>
  </r>
  <r>
    <x v="30"/>
    <x v="0"/>
    <x v="174"/>
    <x v="2"/>
    <x v="0"/>
    <x v="24"/>
    <x v="0"/>
    <x v="6"/>
    <n v="847.2791074704553"/>
    <x v="0"/>
  </r>
  <r>
    <x v="30"/>
    <x v="0"/>
    <x v="174"/>
    <x v="2"/>
    <x v="0"/>
    <x v="24"/>
    <x v="0"/>
    <x v="7"/>
    <n v="1708.5170448435315"/>
    <x v="0"/>
  </r>
  <r>
    <x v="30"/>
    <x v="0"/>
    <x v="174"/>
    <x v="2"/>
    <x v="0"/>
    <x v="24"/>
    <x v="0"/>
    <x v="8"/>
    <n v="857.66186933848689"/>
    <x v="0"/>
  </r>
  <r>
    <x v="30"/>
    <x v="0"/>
    <x v="174"/>
    <x v="2"/>
    <x v="0"/>
    <x v="24"/>
    <x v="0"/>
    <x v="9"/>
    <n v="850.68161617459657"/>
    <x v="0"/>
  </r>
  <r>
    <x v="30"/>
    <x v="0"/>
    <x v="174"/>
    <x v="2"/>
    <x v="0"/>
    <x v="24"/>
    <x v="0"/>
    <x v="10"/>
    <n v="854.19422131896727"/>
    <x v="0"/>
  </r>
  <r>
    <x v="30"/>
    <x v="0"/>
    <x v="174"/>
    <x v="2"/>
    <x v="0"/>
    <x v="24"/>
    <x v="0"/>
    <x v="11"/>
    <n v="854.19422131896727"/>
    <x v="0"/>
  </r>
  <r>
    <x v="55"/>
    <x v="0"/>
    <x v="175"/>
    <x v="2"/>
    <x v="0"/>
    <x v="24"/>
    <x v="0"/>
    <x v="0"/>
    <n v="15418.672011806297"/>
    <x v="0"/>
  </r>
  <r>
    <x v="55"/>
    <x v="0"/>
    <x v="175"/>
    <x v="2"/>
    <x v="0"/>
    <x v="24"/>
    <x v="0"/>
    <x v="1"/>
    <n v="14531.26297434194"/>
    <x v="0"/>
  </r>
  <r>
    <x v="55"/>
    <x v="0"/>
    <x v="175"/>
    <x v="2"/>
    <x v="0"/>
    <x v="24"/>
    <x v="0"/>
    <x v="2"/>
    <n v="14463.855857345057"/>
    <x v="0"/>
  </r>
  <r>
    <x v="55"/>
    <x v="0"/>
    <x v="175"/>
    <x v="2"/>
    <x v="0"/>
    <x v="24"/>
    <x v="0"/>
    <x v="3"/>
    <n v="14581.206907326015"/>
    <x v="0"/>
  </r>
  <r>
    <x v="55"/>
    <x v="0"/>
    <x v="175"/>
    <x v="2"/>
    <x v="0"/>
    <x v="24"/>
    <x v="0"/>
    <x v="4"/>
    <n v="15252.538458186255"/>
    <x v="0"/>
  </r>
  <r>
    <x v="55"/>
    <x v="0"/>
    <x v="175"/>
    <x v="2"/>
    <x v="0"/>
    <x v="24"/>
    <x v="0"/>
    <x v="5"/>
    <n v="0"/>
    <x v="0"/>
  </r>
  <r>
    <x v="55"/>
    <x v="0"/>
    <x v="175"/>
    <x v="2"/>
    <x v="0"/>
    <x v="24"/>
    <x v="0"/>
    <x v="6"/>
    <n v="14932.37766116302"/>
    <x v="0"/>
  </r>
  <r>
    <x v="55"/>
    <x v="0"/>
    <x v="175"/>
    <x v="2"/>
    <x v="0"/>
    <x v="24"/>
    <x v="0"/>
    <x v="7"/>
    <n v="30110.764598343907"/>
    <x v="0"/>
  </r>
  <r>
    <x v="55"/>
    <x v="0"/>
    <x v="175"/>
    <x v="2"/>
    <x v="0"/>
    <x v="24"/>
    <x v="0"/>
    <x v="8"/>
    <n v="15115.362606752247"/>
    <x v="0"/>
  </r>
  <r>
    <x v="55"/>
    <x v="0"/>
    <x v="175"/>
    <x v="2"/>
    <x v="0"/>
    <x v="24"/>
    <x v="0"/>
    <x v="9"/>
    <n v="14992.343196153393"/>
    <x v="0"/>
  </r>
  <r>
    <x v="55"/>
    <x v="0"/>
    <x v="175"/>
    <x v="2"/>
    <x v="0"/>
    <x v="24"/>
    <x v="0"/>
    <x v="10"/>
    <n v="15054.249061797693"/>
    <x v="0"/>
  </r>
  <r>
    <x v="55"/>
    <x v="0"/>
    <x v="175"/>
    <x v="2"/>
    <x v="0"/>
    <x v="24"/>
    <x v="0"/>
    <x v="11"/>
    <n v="15054.249061797693"/>
    <x v="0"/>
  </r>
  <r>
    <x v="30"/>
    <x v="0"/>
    <x v="176"/>
    <x v="2"/>
    <x v="0"/>
    <x v="24"/>
    <x v="0"/>
    <x v="0"/>
    <n v="7645.5500611240213"/>
    <x v="0"/>
  </r>
  <r>
    <x v="30"/>
    <x v="0"/>
    <x v="176"/>
    <x v="2"/>
    <x v="0"/>
    <x v="24"/>
    <x v="0"/>
    <x v="1"/>
    <n v="7205.5166901934726"/>
    <x v="0"/>
  </r>
  <r>
    <x v="30"/>
    <x v="0"/>
    <x v="176"/>
    <x v="2"/>
    <x v="0"/>
    <x v="24"/>
    <x v="0"/>
    <x v="2"/>
    <n v="7172.0919901232528"/>
    <x v="0"/>
  </r>
  <r>
    <x v="30"/>
    <x v="0"/>
    <x v="176"/>
    <x v="2"/>
    <x v="0"/>
    <x v="24"/>
    <x v="0"/>
    <x v="3"/>
    <n v="7230.2820422021787"/>
    <x v="0"/>
  </r>
  <r>
    <x v="30"/>
    <x v="0"/>
    <x v="176"/>
    <x v="2"/>
    <x v="0"/>
    <x v="24"/>
    <x v="0"/>
    <x v="4"/>
    <n v="7563.1705669586436"/>
    <x v="0"/>
  </r>
  <r>
    <x v="30"/>
    <x v="0"/>
    <x v="176"/>
    <x v="2"/>
    <x v="0"/>
    <x v="24"/>
    <x v="0"/>
    <x v="5"/>
    <n v="0"/>
    <x v="0"/>
  </r>
  <r>
    <x v="30"/>
    <x v="0"/>
    <x v="176"/>
    <x v="2"/>
    <x v="0"/>
    <x v="24"/>
    <x v="0"/>
    <x v="6"/>
    <n v="7404.414650795683"/>
    <x v="0"/>
  </r>
  <r>
    <x v="30"/>
    <x v="0"/>
    <x v="176"/>
    <x v="2"/>
    <x v="0"/>
    <x v="24"/>
    <x v="0"/>
    <x v="7"/>
    <n v="14930.816216797506"/>
    <x v="0"/>
  </r>
  <r>
    <x v="30"/>
    <x v="0"/>
    <x v="176"/>
    <x v="2"/>
    <x v="0"/>
    <x v="24"/>
    <x v="0"/>
    <x v="8"/>
    <n v="7495.1501279407476"/>
    <x v="0"/>
  </r>
  <r>
    <x v="30"/>
    <x v="0"/>
    <x v="176"/>
    <x v="2"/>
    <x v="0"/>
    <x v="24"/>
    <x v="0"/>
    <x v="9"/>
    <n v="7434.1493451558672"/>
    <x v="0"/>
  </r>
  <r>
    <x v="30"/>
    <x v="0"/>
    <x v="176"/>
    <x v="2"/>
    <x v="0"/>
    <x v="24"/>
    <x v="0"/>
    <x v="10"/>
    <n v="7464.8461778336932"/>
    <x v="0"/>
  </r>
  <r>
    <x v="30"/>
    <x v="0"/>
    <x v="176"/>
    <x v="2"/>
    <x v="0"/>
    <x v="24"/>
    <x v="0"/>
    <x v="11"/>
    <n v="7464.8461778336932"/>
    <x v="0"/>
  </r>
  <r>
    <x v="56"/>
    <x v="0"/>
    <x v="177"/>
    <x v="2"/>
    <x v="0"/>
    <x v="24"/>
    <x v="0"/>
    <x v="0"/>
    <n v="2505.2060044714149"/>
    <x v="0"/>
  </r>
  <r>
    <x v="56"/>
    <x v="0"/>
    <x v="177"/>
    <x v="2"/>
    <x v="0"/>
    <x v="24"/>
    <x v="0"/>
    <x v="1"/>
    <n v="2361.0209250186831"/>
    <x v="0"/>
  </r>
  <r>
    <x v="56"/>
    <x v="0"/>
    <x v="177"/>
    <x v="2"/>
    <x v="0"/>
    <x v="24"/>
    <x v="0"/>
    <x v="2"/>
    <n v="2350.0687033153226"/>
    <x v="0"/>
  </r>
  <r>
    <x v="56"/>
    <x v="0"/>
    <x v="177"/>
    <x v="2"/>
    <x v="0"/>
    <x v="24"/>
    <x v="0"/>
    <x v="3"/>
    <n v="2369.1357510363073"/>
    <x v="0"/>
  </r>
  <r>
    <x v="56"/>
    <x v="0"/>
    <x v="177"/>
    <x v="2"/>
    <x v="0"/>
    <x v="24"/>
    <x v="0"/>
    <x v="4"/>
    <n v="2478.2128382795136"/>
    <x v="0"/>
  </r>
  <r>
    <x v="56"/>
    <x v="0"/>
    <x v="177"/>
    <x v="2"/>
    <x v="0"/>
    <x v="24"/>
    <x v="0"/>
    <x v="5"/>
    <n v="0"/>
    <x v="0"/>
  </r>
  <r>
    <x v="56"/>
    <x v="0"/>
    <x v="177"/>
    <x v="2"/>
    <x v="0"/>
    <x v="24"/>
    <x v="0"/>
    <x v="6"/>
    <n v="2426.1935236144886"/>
    <x v="0"/>
  </r>
  <r>
    <x v="56"/>
    <x v="0"/>
    <x v="177"/>
    <x v="2"/>
    <x v="0"/>
    <x v="24"/>
    <x v="0"/>
    <x v="7"/>
    <n v="4892.3583180987207"/>
    <x v="0"/>
  </r>
  <r>
    <x v="56"/>
    <x v="0"/>
    <x v="177"/>
    <x v="2"/>
    <x v="0"/>
    <x v="24"/>
    <x v="0"/>
    <x v="8"/>
    <n v="2455.9246823074682"/>
    <x v="0"/>
  </r>
  <r>
    <x v="56"/>
    <x v="0"/>
    <x v="177"/>
    <x v="2"/>
    <x v="0"/>
    <x v="24"/>
    <x v="0"/>
    <x v="9"/>
    <n v="2435.9366466411798"/>
    <x v="0"/>
  </r>
  <r>
    <x v="56"/>
    <x v="0"/>
    <x v="177"/>
    <x v="2"/>
    <x v="0"/>
    <x v="24"/>
    <x v="0"/>
    <x v="10"/>
    <n v="2445.9950320978096"/>
    <x v="0"/>
  </r>
  <r>
    <x v="56"/>
    <x v="0"/>
    <x v="177"/>
    <x v="2"/>
    <x v="0"/>
    <x v="24"/>
    <x v="0"/>
    <x v="11"/>
    <n v="2445.9950320978096"/>
    <x v="0"/>
  </r>
  <r>
    <x v="30"/>
    <x v="0"/>
    <x v="178"/>
    <x v="2"/>
    <x v="1"/>
    <x v="1"/>
    <x v="0"/>
    <x v="0"/>
    <n v="453.25168779391845"/>
    <x v="0"/>
  </r>
  <r>
    <x v="30"/>
    <x v="0"/>
    <x v="178"/>
    <x v="2"/>
    <x v="1"/>
    <x v="1"/>
    <x v="0"/>
    <x v="1"/>
    <n v="427.16515818317691"/>
    <x v="0"/>
  </r>
  <r>
    <x v="30"/>
    <x v="0"/>
    <x v="178"/>
    <x v="2"/>
    <x v="1"/>
    <x v="1"/>
    <x v="0"/>
    <x v="2"/>
    <n v="425.18363931276025"/>
    <x v="0"/>
  </r>
  <r>
    <x v="30"/>
    <x v="0"/>
    <x v="178"/>
    <x v="2"/>
    <x v="1"/>
    <x v="1"/>
    <x v="0"/>
    <x v="3"/>
    <n v="428.63332430687194"/>
    <x v="0"/>
  </r>
  <r>
    <x v="30"/>
    <x v="0"/>
    <x v="178"/>
    <x v="2"/>
    <x v="1"/>
    <x v="1"/>
    <x v="0"/>
    <x v="4"/>
    <n v="448.36797838497409"/>
    <x v="0"/>
  </r>
  <r>
    <x v="30"/>
    <x v="0"/>
    <x v="178"/>
    <x v="2"/>
    <x v="1"/>
    <x v="1"/>
    <x v="0"/>
    <x v="5"/>
    <n v="0"/>
    <x v="0"/>
  </r>
  <r>
    <x v="30"/>
    <x v="0"/>
    <x v="178"/>
    <x v="2"/>
    <x v="1"/>
    <x v="1"/>
    <x v="0"/>
    <x v="6"/>
    <n v="438.9564401211656"/>
    <x v="0"/>
  </r>
  <r>
    <x v="30"/>
    <x v="0"/>
    <x v="178"/>
    <x v="2"/>
    <x v="1"/>
    <x v="1"/>
    <x v="0"/>
    <x v="7"/>
    <n v="885.14463920851711"/>
    <x v="0"/>
  </r>
  <r>
    <x v="30"/>
    <x v="0"/>
    <x v="178"/>
    <x v="2"/>
    <x v="1"/>
    <x v="1"/>
    <x v="0"/>
    <x v="8"/>
    <n v="444.33551786311961"/>
    <x v="0"/>
  </r>
  <r>
    <x v="30"/>
    <x v="0"/>
    <x v="178"/>
    <x v="2"/>
    <x v="1"/>
    <x v="1"/>
    <x v="0"/>
    <x v="9"/>
    <n v="440.71920412075264"/>
    <x v="0"/>
  </r>
  <r>
    <x v="30"/>
    <x v="0"/>
    <x v="178"/>
    <x v="2"/>
    <x v="1"/>
    <x v="1"/>
    <x v="0"/>
    <x v="10"/>
    <n v="442.53900663462264"/>
    <x v="0"/>
  </r>
  <r>
    <x v="30"/>
    <x v="0"/>
    <x v="178"/>
    <x v="2"/>
    <x v="1"/>
    <x v="1"/>
    <x v="0"/>
    <x v="11"/>
    <n v="442.53900663462264"/>
    <x v="0"/>
  </r>
  <r>
    <x v="30"/>
    <x v="0"/>
    <x v="179"/>
    <x v="2"/>
    <x v="7"/>
    <x v="25"/>
    <x v="0"/>
    <x v="0"/>
    <n v="702.15641141422259"/>
    <x v="0"/>
  </r>
  <r>
    <x v="30"/>
    <x v="0"/>
    <x v="179"/>
    <x v="2"/>
    <x v="7"/>
    <x v="25"/>
    <x v="0"/>
    <x v="1"/>
    <n v="185.02345761023"/>
    <x v="0"/>
  </r>
  <r>
    <x v="30"/>
    <x v="0"/>
    <x v="179"/>
    <x v="2"/>
    <x v="7"/>
    <x v="25"/>
    <x v="0"/>
    <x v="2"/>
    <n v="224.98217846331863"/>
    <x v="0"/>
  </r>
  <r>
    <x v="30"/>
    <x v="0"/>
    <x v="179"/>
    <x v="2"/>
    <x v="7"/>
    <x v="25"/>
    <x v="0"/>
    <x v="3"/>
    <n v="139.82023454912826"/>
    <x v="0"/>
  </r>
  <r>
    <x v="30"/>
    <x v="0"/>
    <x v="179"/>
    <x v="2"/>
    <x v="7"/>
    <x v="25"/>
    <x v="0"/>
    <x v="4"/>
    <n v="553.76955593323748"/>
    <x v="0"/>
  </r>
  <r>
    <x v="30"/>
    <x v="0"/>
    <x v="179"/>
    <x v="2"/>
    <x v="7"/>
    <x v="25"/>
    <x v="0"/>
    <x v="5"/>
    <n v="343.97460262612299"/>
    <x v="0"/>
  </r>
  <r>
    <x v="30"/>
    <x v="0"/>
    <x v="179"/>
    <x v="2"/>
    <x v="7"/>
    <x v="25"/>
    <x v="0"/>
    <x v="6"/>
    <n v="456.20013652459579"/>
    <x v="0"/>
  </r>
  <r>
    <x v="30"/>
    <x v="0"/>
    <x v="179"/>
    <x v="2"/>
    <x v="7"/>
    <x v="25"/>
    <x v="0"/>
    <x v="7"/>
    <n v="203.91439939778471"/>
    <x v="0"/>
  </r>
  <r>
    <x v="30"/>
    <x v="0"/>
    <x v="179"/>
    <x v="2"/>
    <x v="7"/>
    <x v="25"/>
    <x v="0"/>
    <x v="8"/>
    <n v="420.0278554539467"/>
    <x v="0"/>
  </r>
  <r>
    <x v="30"/>
    <x v="0"/>
    <x v="179"/>
    <x v="2"/>
    <x v="7"/>
    <x v="25"/>
    <x v="0"/>
    <x v="9"/>
    <n v="280.12443644852812"/>
    <x v="0"/>
  </r>
  <r>
    <x v="30"/>
    <x v="0"/>
    <x v="179"/>
    <x v="2"/>
    <x v="7"/>
    <x v="25"/>
    <x v="0"/>
    <x v="10"/>
    <n v="215.06070088282416"/>
    <x v="0"/>
  </r>
  <r>
    <x v="30"/>
    <x v="0"/>
    <x v="179"/>
    <x v="2"/>
    <x v="7"/>
    <x v="25"/>
    <x v="0"/>
    <x v="11"/>
    <n v="215.06070088282416"/>
    <x v="0"/>
  </r>
  <r>
    <x v="30"/>
    <x v="0"/>
    <x v="180"/>
    <x v="2"/>
    <x v="3"/>
    <x v="22"/>
    <x v="0"/>
    <x v="0"/>
    <n v="727.30977213405436"/>
    <x v="0"/>
  </r>
  <r>
    <x v="30"/>
    <x v="0"/>
    <x v="180"/>
    <x v="2"/>
    <x v="3"/>
    <x v="22"/>
    <x v="0"/>
    <x v="1"/>
    <n v="344.58295275263634"/>
    <x v="0"/>
  </r>
  <r>
    <x v="30"/>
    <x v="0"/>
    <x v="180"/>
    <x v="2"/>
    <x v="3"/>
    <x v="22"/>
    <x v="0"/>
    <x v="2"/>
    <n v="0"/>
    <x v="0"/>
  </r>
  <r>
    <x v="30"/>
    <x v="0"/>
    <x v="180"/>
    <x v="2"/>
    <x v="3"/>
    <x v="22"/>
    <x v="0"/>
    <x v="3"/>
    <n v="533.34617868227554"/>
    <x v="0"/>
  </r>
  <r>
    <x v="30"/>
    <x v="0"/>
    <x v="180"/>
    <x v="2"/>
    <x v="3"/>
    <x v="22"/>
    <x v="0"/>
    <x v="4"/>
    <n v="431.11082058656905"/>
    <x v="0"/>
  </r>
  <r>
    <x v="30"/>
    <x v="0"/>
    <x v="180"/>
    <x v="2"/>
    <x v="3"/>
    <x v="22"/>
    <x v="0"/>
    <x v="5"/>
    <n v="399.46980822391151"/>
    <x v="0"/>
  </r>
  <r>
    <x v="30"/>
    <x v="0"/>
    <x v="180"/>
    <x v="2"/>
    <x v="3"/>
    <x v="22"/>
    <x v="0"/>
    <x v="6"/>
    <n v="0"/>
    <x v="0"/>
  </r>
  <r>
    <x v="30"/>
    <x v="0"/>
    <x v="180"/>
    <x v="2"/>
    <x v="3"/>
    <x v="22"/>
    <x v="0"/>
    <x v="7"/>
    <n v="0"/>
    <x v="0"/>
  </r>
  <r>
    <x v="30"/>
    <x v="0"/>
    <x v="180"/>
    <x v="2"/>
    <x v="3"/>
    <x v="22"/>
    <x v="0"/>
    <x v="8"/>
    <n v="0"/>
    <x v="0"/>
  </r>
  <r>
    <x v="30"/>
    <x v="0"/>
    <x v="180"/>
    <x v="2"/>
    <x v="3"/>
    <x v="22"/>
    <x v="0"/>
    <x v="9"/>
    <n v="0"/>
    <x v="0"/>
  </r>
  <r>
    <x v="30"/>
    <x v="0"/>
    <x v="180"/>
    <x v="2"/>
    <x v="3"/>
    <x v="22"/>
    <x v="0"/>
    <x v="10"/>
    <n v="483.88657698635438"/>
    <x v="0"/>
  </r>
  <r>
    <x v="30"/>
    <x v="0"/>
    <x v="180"/>
    <x v="2"/>
    <x v="3"/>
    <x v="22"/>
    <x v="0"/>
    <x v="11"/>
    <n v="483.88657698635438"/>
    <x v="0"/>
  </r>
  <r>
    <x v="30"/>
    <x v="0"/>
    <x v="181"/>
    <x v="2"/>
    <x v="3"/>
    <x v="22"/>
    <x v="0"/>
    <x v="0"/>
    <n v="0"/>
    <x v="0"/>
  </r>
  <r>
    <x v="30"/>
    <x v="0"/>
    <x v="181"/>
    <x v="2"/>
    <x v="3"/>
    <x v="22"/>
    <x v="0"/>
    <x v="1"/>
    <n v="0"/>
    <x v="0"/>
  </r>
  <r>
    <x v="30"/>
    <x v="0"/>
    <x v="181"/>
    <x v="2"/>
    <x v="3"/>
    <x v="22"/>
    <x v="0"/>
    <x v="2"/>
    <n v="0"/>
    <x v="0"/>
  </r>
  <r>
    <x v="30"/>
    <x v="0"/>
    <x v="181"/>
    <x v="2"/>
    <x v="3"/>
    <x v="22"/>
    <x v="0"/>
    <x v="3"/>
    <n v="0"/>
    <x v="0"/>
  </r>
  <r>
    <x v="30"/>
    <x v="0"/>
    <x v="181"/>
    <x v="2"/>
    <x v="3"/>
    <x v="22"/>
    <x v="0"/>
    <x v="4"/>
    <n v="0"/>
    <x v="0"/>
  </r>
  <r>
    <x v="30"/>
    <x v="0"/>
    <x v="181"/>
    <x v="2"/>
    <x v="3"/>
    <x v="22"/>
    <x v="0"/>
    <x v="5"/>
    <n v="0"/>
    <x v="0"/>
  </r>
  <r>
    <x v="30"/>
    <x v="0"/>
    <x v="181"/>
    <x v="2"/>
    <x v="3"/>
    <x v="22"/>
    <x v="0"/>
    <x v="6"/>
    <n v="0"/>
    <x v="0"/>
  </r>
  <r>
    <x v="30"/>
    <x v="0"/>
    <x v="181"/>
    <x v="2"/>
    <x v="3"/>
    <x v="22"/>
    <x v="0"/>
    <x v="7"/>
    <n v="0"/>
    <x v="0"/>
  </r>
  <r>
    <x v="30"/>
    <x v="0"/>
    <x v="181"/>
    <x v="2"/>
    <x v="3"/>
    <x v="22"/>
    <x v="0"/>
    <x v="8"/>
    <n v="0"/>
    <x v="0"/>
  </r>
  <r>
    <x v="30"/>
    <x v="0"/>
    <x v="181"/>
    <x v="2"/>
    <x v="3"/>
    <x v="22"/>
    <x v="0"/>
    <x v="9"/>
    <n v="0"/>
    <x v="0"/>
  </r>
  <r>
    <x v="30"/>
    <x v="0"/>
    <x v="181"/>
    <x v="2"/>
    <x v="3"/>
    <x v="22"/>
    <x v="0"/>
    <x v="10"/>
    <n v="0"/>
    <x v="0"/>
  </r>
  <r>
    <x v="30"/>
    <x v="0"/>
    <x v="181"/>
    <x v="2"/>
    <x v="3"/>
    <x v="22"/>
    <x v="0"/>
    <x v="11"/>
    <n v="0"/>
    <x v="0"/>
  </r>
  <r>
    <x v="30"/>
    <x v="0"/>
    <x v="182"/>
    <x v="2"/>
    <x v="3"/>
    <x v="22"/>
    <x v="0"/>
    <x v="0"/>
    <n v="0"/>
    <x v="0"/>
  </r>
  <r>
    <x v="30"/>
    <x v="0"/>
    <x v="182"/>
    <x v="2"/>
    <x v="3"/>
    <x v="22"/>
    <x v="0"/>
    <x v="1"/>
    <n v="496.14298762766748"/>
    <x v="0"/>
  </r>
  <r>
    <x v="30"/>
    <x v="0"/>
    <x v="182"/>
    <x v="2"/>
    <x v="3"/>
    <x v="22"/>
    <x v="0"/>
    <x v="2"/>
    <n v="0"/>
    <x v="0"/>
  </r>
  <r>
    <x v="30"/>
    <x v="0"/>
    <x v="182"/>
    <x v="2"/>
    <x v="3"/>
    <x v="22"/>
    <x v="0"/>
    <x v="3"/>
    <n v="0"/>
    <x v="0"/>
  </r>
  <r>
    <x v="30"/>
    <x v="0"/>
    <x v="182"/>
    <x v="2"/>
    <x v="3"/>
    <x v="22"/>
    <x v="0"/>
    <x v="4"/>
    <n v="0"/>
    <x v="0"/>
  </r>
  <r>
    <x v="30"/>
    <x v="0"/>
    <x v="182"/>
    <x v="2"/>
    <x v="3"/>
    <x v="22"/>
    <x v="0"/>
    <x v="5"/>
    <n v="0"/>
    <x v="0"/>
  </r>
  <r>
    <x v="30"/>
    <x v="0"/>
    <x v="182"/>
    <x v="2"/>
    <x v="3"/>
    <x v="22"/>
    <x v="0"/>
    <x v="6"/>
    <n v="0"/>
    <x v="0"/>
  </r>
  <r>
    <x v="30"/>
    <x v="0"/>
    <x v="182"/>
    <x v="2"/>
    <x v="3"/>
    <x v="22"/>
    <x v="0"/>
    <x v="7"/>
    <n v="0"/>
    <x v="0"/>
  </r>
  <r>
    <x v="30"/>
    <x v="0"/>
    <x v="182"/>
    <x v="2"/>
    <x v="3"/>
    <x v="22"/>
    <x v="0"/>
    <x v="8"/>
    <n v="0"/>
    <x v="0"/>
  </r>
  <r>
    <x v="30"/>
    <x v="0"/>
    <x v="182"/>
    <x v="2"/>
    <x v="3"/>
    <x v="22"/>
    <x v="0"/>
    <x v="9"/>
    <n v="0"/>
    <x v="0"/>
  </r>
  <r>
    <x v="30"/>
    <x v="0"/>
    <x v="182"/>
    <x v="2"/>
    <x v="3"/>
    <x v="22"/>
    <x v="0"/>
    <x v="10"/>
    <n v="0"/>
    <x v="0"/>
  </r>
  <r>
    <x v="30"/>
    <x v="0"/>
    <x v="182"/>
    <x v="2"/>
    <x v="3"/>
    <x v="22"/>
    <x v="0"/>
    <x v="11"/>
    <n v="0"/>
    <x v="0"/>
  </r>
  <r>
    <x v="30"/>
    <x v="0"/>
    <x v="183"/>
    <x v="2"/>
    <x v="3"/>
    <x v="26"/>
    <x v="0"/>
    <x v="0"/>
    <n v="1631.7195123294309"/>
    <x v="0"/>
  </r>
  <r>
    <x v="30"/>
    <x v="0"/>
    <x v="183"/>
    <x v="2"/>
    <x v="3"/>
    <x v="26"/>
    <x v="0"/>
    <x v="1"/>
    <n v="1630.766835506103"/>
    <x v="0"/>
  </r>
  <r>
    <x v="30"/>
    <x v="0"/>
    <x v="183"/>
    <x v="2"/>
    <x v="3"/>
    <x v="26"/>
    <x v="0"/>
    <x v="2"/>
    <n v="1703.7420061368075"/>
    <x v="0"/>
  </r>
  <r>
    <x v="30"/>
    <x v="0"/>
    <x v="183"/>
    <x v="2"/>
    <x v="3"/>
    <x v="26"/>
    <x v="0"/>
    <x v="3"/>
    <n v="0"/>
    <x v="0"/>
  </r>
  <r>
    <x v="30"/>
    <x v="0"/>
    <x v="183"/>
    <x v="2"/>
    <x v="3"/>
    <x v="26"/>
    <x v="0"/>
    <x v="4"/>
    <n v="1728.803329411252"/>
    <x v="0"/>
  </r>
  <r>
    <x v="30"/>
    <x v="0"/>
    <x v="183"/>
    <x v="2"/>
    <x v="3"/>
    <x v="26"/>
    <x v="0"/>
    <x v="5"/>
    <n v="1594.0512698686937"/>
    <x v="0"/>
  </r>
  <r>
    <x v="30"/>
    <x v="0"/>
    <x v="183"/>
    <x v="2"/>
    <x v="3"/>
    <x v="26"/>
    <x v="0"/>
    <x v="6"/>
    <n v="1829.9532829898887"/>
    <x v="0"/>
  </r>
  <r>
    <x v="30"/>
    <x v="0"/>
    <x v="183"/>
    <x v="2"/>
    <x v="3"/>
    <x v="26"/>
    <x v="0"/>
    <x v="7"/>
    <n v="1829.6451231315195"/>
    <x v="0"/>
  </r>
  <r>
    <x v="30"/>
    <x v="0"/>
    <x v="183"/>
    <x v="2"/>
    <x v="3"/>
    <x v="26"/>
    <x v="0"/>
    <x v="8"/>
    <n v="1943.7060709774241"/>
    <x v="0"/>
  </r>
  <r>
    <x v="30"/>
    <x v="0"/>
    <x v="183"/>
    <x v="2"/>
    <x v="3"/>
    <x v="26"/>
    <x v="0"/>
    <x v="9"/>
    <n v="1931.1230335935577"/>
    <x v="0"/>
  </r>
  <r>
    <x v="30"/>
    <x v="0"/>
    <x v="183"/>
    <x v="2"/>
    <x v="3"/>
    <x v="26"/>
    <x v="0"/>
    <x v="10"/>
    <n v="1774.2507822832995"/>
    <x v="0"/>
  </r>
  <r>
    <x v="30"/>
    <x v="0"/>
    <x v="183"/>
    <x v="2"/>
    <x v="3"/>
    <x v="26"/>
    <x v="0"/>
    <x v="11"/>
    <n v="1774.2507822832995"/>
    <x v="0"/>
  </r>
  <r>
    <x v="30"/>
    <x v="0"/>
    <x v="184"/>
    <x v="2"/>
    <x v="3"/>
    <x v="26"/>
    <x v="0"/>
    <x v="0"/>
    <n v="0"/>
    <x v="0"/>
  </r>
  <r>
    <x v="30"/>
    <x v="0"/>
    <x v="184"/>
    <x v="2"/>
    <x v="3"/>
    <x v="26"/>
    <x v="0"/>
    <x v="1"/>
    <n v="0"/>
    <x v="0"/>
  </r>
  <r>
    <x v="30"/>
    <x v="0"/>
    <x v="184"/>
    <x v="2"/>
    <x v="3"/>
    <x v="26"/>
    <x v="0"/>
    <x v="2"/>
    <n v="0"/>
    <x v="0"/>
  </r>
  <r>
    <x v="30"/>
    <x v="0"/>
    <x v="184"/>
    <x v="2"/>
    <x v="3"/>
    <x v="26"/>
    <x v="0"/>
    <x v="3"/>
    <n v="0"/>
    <x v="0"/>
  </r>
  <r>
    <x v="30"/>
    <x v="0"/>
    <x v="184"/>
    <x v="2"/>
    <x v="3"/>
    <x v="26"/>
    <x v="0"/>
    <x v="4"/>
    <n v="1735.9927223602215"/>
    <x v="0"/>
  </r>
  <r>
    <x v="30"/>
    <x v="0"/>
    <x v="184"/>
    <x v="2"/>
    <x v="3"/>
    <x v="26"/>
    <x v="0"/>
    <x v="5"/>
    <n v="0"/>
    <x v="0"/>
  </r>
  <r>
    <x v="30"/>
    <x v="0"/>
    <x v="184"/>
    <x v="2"/>
    <x v="3"/>
    <x v="26"/>
    <x v="0"/>
    <x v="6"/>
    <n v="0"/>
    <x v="0"/>
  </r>
  <r>
    <x v="30"/>
    <x v="0"/>
    <x v="184"/>
    <x v="2"/>
    <x v="3"/>
    <x v="26"/>
    <x v="0"/>
    <x v="7"/>
    <n v="0"/>
    <x v="0"/>
  </r>
  <r>
    <x v="30"/>
    <x v="0"/>
    <x v="184"/>
    <x v="2"/>
    <x v="3"/>
    <x v="26"/>
    <x v="0"/>
    <x v="8"/>
    <n v="0"/>
    <x v="0"/>
  </r>
  <r>
    <x v="30"/>
    <x v="0"/>
    <x v="184"/>
    <x v="2"/>
    <x v="3"/>
    <x v="26"/>
    <x v="0"/>
    <x v="9"/>
    <n v="0"/>
    <x v="0"/>
  </r>
  <r>
    <x v="30"/>
    <x v="0"/>
    <x v="184"/>
    <x v="2"/>
    <x v="3"/>
    <x v="26"/>
    <x v="0"/>
    <x v="10"/>
    <n v="0"/>
    <x v="0"/>
  </r>
  <r>
    <x v="30"/>
    <x v="0"/>
    <x v="184"/>
    <x v="2"/>
    <x v="3"/>
    <x v="26"/>
    <x v="0"/>
    <x v="11"/>
    <n v="0"/>
    <x v="0"/>
  </r>
  <r>
    <x v="30"/>
    <x v="0"/>
    <x v="185"/>
    <x v="2"/>
    <x v="3"/>
    <x v="26"/>
    <x v="0"/>
    <x v="0"/>
    <n v="0"/>
    <x v="0"/>
  </r>
  <r>
    <x v="30"/>
    <x v="0"/>
    <x v="185"/>
    <x v="2"/>
    <x v="3"/>
    <x v="26"/>
    <x v="0"/>
    <x v="1"/>
    <n v="1522.4860915054387"/>
    <x v="0"/>
  </r>
  <r>
    <x v="30"/>
    <x v="0"/>
    <x v="185"/>
    <x v="2"/>
    <x v="3"/>
    <x v="26"/>
    <x v="0"/>
    <x v="2"/>
    <n v="0"/>
    <x v="0"/>
  </r>
  <r>
    <x v="30"/>
    <x v="0"/>
    <x v="185"/>
    <x v="2"/>
    <x v="3"/>
    <x v="26"/>
    <x v="0"/>
    <x v="3"/>
    <n v="0"/>
    <x v="0"/>
  </r>
  <r>
    <x v="30"/>
    <x v="0"/>
    <x v="185"/>
    <x v="2"/>
    <x v="3"/>
    <x v="26"/>
    <x v="0"/>
    <x v="4"/>
    <n v="0"/>
    <x v="0"/>
  </r>
  <r>
    <x v="30"/>
    <x v="0"/>
    <x v="185"/>
    <x v="2"/>
    <x v="3"/>
    <x v="26"/>
    <x v="0"/>
    <x v="5"/>
    <n v="0"/>
    <x v="0"/>
  </r>
  <r>
    <x v="30"/>
    <x v="0"/>
    <x v="185"/>
    <x v="2"/>
    <x v="3"/>
    <x v="26"/>
    <x v="0"/>
    <x v="6"/>
    <n v="0"/>
    <x v="0"/>
  </r>
  <r>
    <x v="30"/>
    <x v="0"/>
    <x v="185"/>
    <x v="2"/>
    <x v="3"/>
    <x v="26"/>
    <x v="0"/>
    <x v="7"/>
    <n v="0"/>
    <x v="0"/>
  </r>
  <r>
    <x v="30"/>
    <x v="0"/>
    <x v="185"/>
    <x v="2"/>
    <x v="3"/>
    <x v="26"/>
    <x v="0"/>
    <x v="8"/>
    <n v="0"/>
    <x v="0"/>
  </r>
  <r>
    <x v="30"/>
    <x v="0"/>
    <x v="185"/>
    <x v="2"/>
    <x v="3"/>
    <x v="26"/>
    <x v="0"/>
    <x v="9"/>
    <n v="0"/>
    <x v="0"/>
  </r>
  <r>
    <x v="30"/>
    <x v="0"/>
    <x v="185"/>
    <x v="2"/>
    <x v="3"/>
    <x v="26"/>
    <x v="0"/>
    <x v="10"/>
    <n v="0"/>
    <x v="0"/>
  </r>
  <r>
    <x v="30"/>
    <x v="0"/>
    <x v="185"/>
    <x v="2"/>
    <x v="3"/>
    <x v="26"/>
    <x v="0"/>
    <x v="11"/>
    <n v="0"/>
    <x v="0"/>
  </r>
  <r>
    <x v="30"/>
    <x v="0"/>
    <x v="186"/>
    <x v="2"/>
    <x v="3"/>
    <x v="27"/>
    <x v="0"/>
    <x v="0"/>
    <n v="348.22960605293008"/>
    <x v="0"/>
  </r>
  <r>
    <x v="30"/>
    <x v="0"/>
    <x v="186"/>
    <x v="2"/>
    <x v="3"/>
    <x v="27"/>
    <x v="0"/>
    <x v="1"/>
    <n v="315.22149796562314"/>
    <x v="0"/>
  </r>
  <r>
    <x v="30"/>
    <x v="0"/>
    <x v="186"/>
    <x v="2"/>
    <x v="3"/>
    <x v="27"/>
    <x v="0"/>
    <x v="2"/>
    <n v="339.74874216110669"/>
    <x v="0"/>
  </r>
  <r>
    <x v="30"/>
    <x v="0"/>
    <x v="186"/>
    <x v="2"/>
    <x v="3"/>
    <x v="27"/>
    <x v="0"/>
    <x v="3"/>
    <n v="0"/>
    <x v="0"/>
  </r>
  <r>
    <x v="30"/>
    <x v="0"/>
    <x v="186"/>
    <x v="2"/>
    <x v="3"/>
    <x v="27"/>
    <x v="0"/>
    <x v="4"/>
    <n v="678.87741316947745"/>
    <x v="0"/>
  </r>
  <r>
    <x v="30"/>
    <x v="0"/>
    <x v="186"/>
    <x v="2"/>
    <x v="3"/>
    <x v="27"/>
    <x v="0"/>
    <x v="5"/>
    <n v="0"/>
    <x v="0"/>
  </r>
  <r>
    <x v="30"/>
    <x v="0"/>
    <x v="186"/>
    <x v="2"/>
    <x v="3"/>
    <x v="27"/>
    <x v="0"/>
    <x v="6"/>
    <n v="991.98771278638173"/>
    <x v="0"/>
  </r>
  <r>
    <x v="30"/>
    <x v="0"/>
    <x v="186"/>
    <x v="2"/>
    <x v="3"/>
    <x v="27"/>
    <x v="0"/>
    <x v="7"/>
    <n v="586.59855898483704"/>
    <x v="0"/>
  </r>
  <r>
    <x v="30"/>
    <x v="0"/>
    <x v="186"/>
    <x v="2"/>
    <x v="3"/>
    <x v="27"/>
    <x v="0"/>
    <x v="8"/>
    <n v="0"/>
    <x v="0"/>
  </r>
  <r>
    <x v="30"/>
    <x v="0"/>
    <x v="186"/>
    <x v="2"/>
    <x v="3"/>
    <x v="27"/>
    <x v="0"/>
    <x v="9"/>
    <n v="550.63449738169436"/>
    <x v="0"/>
  </r>
  <r>
    <x v="30"/>
    <x v="0"/>
    <x v="186"/>
    <x v="2"/>
    <x v="3"/>
    <x v="27"/>
    <x v="0"/>
    <x v="10"/>
    <n v="354.85015645665987"/>
    <x v="0"/>
  </r>
  <r>
    <x v="30"/>
    <x v="0"/>
    <x v="186"/>
    <x v="2"/>
    <x v="3"/>
    <x v="27"/>
    <x v="0"/>
    <x v="11"/>
    <n v="354.85015645665987"/>
    <x v="0"/>
  </r>
  <r>
    <x v="30"/>
    <x v="0"/>
    <x v="187"/>
    <x v="2"/>
    <x v="3"/>
    <x v="27"/>
    <x v="0"/>
    <x v="0"/>
    <n v="0"/>
    <x v="0"/>
  </r>
  <r>
    <x v="30"/>
    <x v="0"/>
    <x v="187"/>
    <x v="2"/>
    <x v="3"/>
    <x v="27"/>
    <x v="0"/>
    <x v="1"/>
    <n v="0"/>
    <x v="0"/>
  </r>
  <r>
    <x v="30"/>
    <x v="0"/>
    <x v="187"/>
    <x v="2"/>
    <x v="3"/>
    <x v="27"/>
    <x v="0"/>
    <x v="2"/>
    <n v="0"/>
    <x v="0"/>
  </r>
  <r>
    <x v="30"/>
    <x v="0"/>
    <x v="187"/>
    <x v="2"/>
    <x v="3"/>
    <x v="27"/>
    <x v="0"/>
    <x v="3"/>
    <n v="0"/>
    <x v="0"/>
  </r>
  <r>
    <x v="30"/>
    <x v="0"/>
    <x v="187"/>
    <x v="2"/>
    <x v="3"/>
    <x v="27"/>
    <x v="0"/>
    <x v="4"/>
    <n v="485.67241905259948"/>
    <x v="0"/>
  </r>
  <r>
    <x v="30"/>
    <x v="0"/>
    <x v="187"/>
    <x v="2"/>
    <x v="3"/>
    <x v="27"/>
    <x v="0"/>
    <x v="5"/>
    <n v="0"/>
    <x v="0"/>
  </r>
  <r>
    <x v="30"/>
    <x v="0"/>
    <x v="187"/>
    <x v="2"/>
    <x v="3"/>
    <x v="27"/>
    <x v="0"/>
    <x v="6"/>
    <n v="0"/>
    <x v="0"/>
  </r>
  <r>
    <x v="30"/>
    <x v="0"/>
    <x v="187"/>
    <x v="2"/>
    <x v="3"/>
    <x v="27"/>
    <x v="0"/>
    <x v="7"/>
    <n v="0"/>
    <x v="0"/>
  </r>
  <r>
    <x v="30"/>
    <x v="0"/>
    <x v="187"/>
    <x v="2"/>
    <x v="3"/>
    <x v="27"/>
    <x v="0"/>
    <x v="8"/>
    <n v="0"/>
    <x v="0"/>
  </r>
  <r>
    <x v="30"/>
    <x v="0"/>
    <x v="187"/>
    <x v="2"/>
    <x v="3"/>
    <x v="27"/>
    <x v="0"/>
    <x v="9"/>
    <n v="0"/>
    <x v="0"/>
  </r>
  <r>
    <x v="30"/>
    <x v="0"/>
    <x v="187"/>
    <x v="2"/>
    <x v="3"/>
    <x v="27"/>
    <x v="0"/>
    <x v="10"/>
    <n v="0"/>
    <x v="0"/>
  </r>
  <r>
    <x v="30"/>
    <x v="0"/>
    <x v="187"/>
    <x v="2"/>
    <x v="3"/>
    <x v="27"/>
    <x v="0"/>
    <x v="11"/>
    <n v="0"/>
    <x v="0"/>
  </r>
  <r>
    <x v="30"/>
    <x v="0"/>
    <x v="188"/>
    <x v="2"/>
    <x v="3"/>
    <x v="27"/>
    <x v="0"/>
    <x v="0"/>
    <n v="201.57490721263449"/>
    <x v="0"/>
  </r>
  <r>
    <x v="30"/>
    <x v="0"/>
    <x v="188"/>
    <x v="2"/>
    <x v="3"/>
    <x v="27"/>
    <x v="0"/>
    <x v="1"/>
    <n v="166.87183426056629"/>
    <x v="0"/>
  </r>
  <r>
    <x v="30"/>
    <x v="0"/>
    <x v="188"/>
    <x v="2"/>
    <x v="3"/>
    <x v="27"/>
    <x v="0"/>
    <x v="2"/>
    <n v="166.88396888204727"/>
    <x v="0"/>
  </r>
  <r>
    <x v="30"/>
    <x v="0"/>
    <x v="188"/>
    <x v="2"/>
    <x v="3"/>
    <x v="27"/>
    <x v="0"/>
    <x v="3"/>
    <n v="0"/>
    <x v="0"/>
  </r>
  <r>
    <x v="30"/>
    <x v="0"/>
    <x v="188"/>
    <x v="2"/>
    <x v="3"/>
    <x v="27"/>
    <x v="0"/>
    <x v="4"/>
    <n v="175.15579378568003"/>
    <x v="0"/>
  </r>
  <r>
    <x v="30"/>
    <x v="0"/>
    <x v="188"/>
    <x v="2"/>
    <x v="3"/>
    <x v="27"/>
    <x v="0"/>
    <x v="5"/>
    <n v="0"/>
    <x v="0"/>
  </r>
  <r>
    <x v="30"/>
    <x v="0"/>
    <x v="188"/>
    <x v="2"/>
    <x v="3"/>
    <x v="27"/>
    <x v="0"/>
    <x v="6"/>
    <n v="342.95831733435728"/>
    <x v="0"/>
  </r>
  <r>
    <x v="30"/>
    <x v="0"/>
    <x v="188"/>
    <x v="2"/>
    <x v="3"/>
    <x v="27"/>
    <x v="0"/>
    <x v="7"/>
    <n v="172.89170878589096"/>
    <x v="0"/>
  </r>
  <r>
    <x v="30"/>
    <x v="0"/>
    <x v="188"/>
    <x v="2"/>
    <x v="3"/>
    <x v="27"/>
    <x v="0"/>
    <x v="8"/>
    <n v="173.74245581455608"/>
    <x v="0"/>
  </r>
  <r>
    <x v="30"/>
    <x v="0"/>
    <x v="188"/>
    <x v="2"/>
    <x v="3"/>
    <x v="27"/>
    <x v="0"/>
    <x v="9"/>
    <n v="0"/>
    <x v="0"/>
  </r>
  <r>
    <x v="30"/>
    <x v="0"/>
    <x v="188"/>
    <x v="2"/>
    <x v="3"/>
    <x v="27"/>
    <x v="0"/>
    <x v="10"/>
    <n v="173.12386421067345"/>
    <x v="0"/>
  </r>
  <r>
    <x v="30"/>
    <x v="0"/>
    <x v="188"/>
    <x v="2"/>
    <x v="3"/>
    <x v="27"/>
    <x v="0"/>
    <x v="11"/>
    <n v="173.12386421067345"/>
    <x v="0"/>
  </r>
  <r>
    <x v="30"/>
    <x v="0"/>
    <x v="189"/>
    <x v="2"/>
    <x v="3"/>
    <x v="27"/>
    <x v="0"/>
    <x v="0"/>
    <n v="0"/>
    <x v="0"/>
  </r>
  <r>
    <x v="30"/>
    <x v="0"/>
    <x v="189"/>
    <x v="2"/>
    <x v="3"/>
    <x v="27"/>
    <x v="0"/>
    <x v="1"/>
    <n v="316.52412189653739"/>
    <x v="0"/>
  </r>
  <r>
    <x v="30"/>
    <x v="0"/>
    <x v="189"/>
    <x v="2"/>
    <x v="3"/>
    <x v="27"/>
    <x v="0"/>
    <x v="2"/>
    <n v="0"/>
    <x v="0"/>
  </r>
  <r>
    <x v="30"/>
    <x v="0"/>
    <x v="189"/>
    <x v="2"/>
    <x v="3"/>
    <x v="27"/>
    <x v="0"/>
    <x v="3"/>
    <n v="0"/>
    <x v="0"/>
  </r>
  <r>
    <x v="30"/>
    <x v="0"/>
    <x v="189"/>
    <x v="2"/>
    <x v="3"/>
    <x v="27"/>
    <x v="0"/>
    <x v="4"/>
    <n v="175.15579378568003"/>
    <x v="0"/>
  </r>
  <r>
    <x v="30"/>
    <x v="0"/>
    <x v="189"/>
    <x v="2"/>
    <x v="3"/>
    <x v="27"/>
    <x v="0"/>
    <x v="5"/>
    <n v="0"/>
    <x v="0"/>
  </r>
  <r>
    <x v="30"/>
    <x v="0"/>
    <x v="189"/>
    <x v="2"/>
    <x v="3"/>
    <x v="27"/>
    <x v="0"/>
    <x v="6"/>
    <n v="0"/>
    <x v="0"/>
  </r>
  <r>
    <x v="30"/>
    <x v="0"/>
    <x v="189"/>
    <x v="2"/>
    <x v="3"/>
    <x v="27"/>
    <x v="0"/>
    <x v="7"/>
    <n v="0"/>
    <x v="0"/>
  </r>
  <r>
    <x v="30"/>
    <x v="0"/>
    <x v="189"/>
    <x v="2"/>
    <x v="3"/>
    <x v="27"/>
    <x v="0"/>
    <x v="8"/>
    <n v="0"/>
    <x v="0"/>
  </r>
  <r>
    <x v="30"/>
    <x v="0"/>
    <x v="189"/>
    <x v="2"/>
    <x v="3"/>
    <x v="27"/>
    <x v="0"/>
    <x v="9"/>
    <n v="0"/>
    <x v="0"/>
  </r>
  <r>
    <x v="30"/>
    <x v="0"/>
    <x v="189"/>
    <x v="2"/>
    <x v="3"/>
    <x v="27"/>
    <x v="0"/>
    <x v="10"/>
    <n v="0"/>
    <x v="0"/>
  </r>
  <r>
    <x v="30"/>
    <x v="0"/>
    <x v="189"/>
    <x v="2"/>
    <x v="3"/>
    <x v="27"/>
    <x v="0"/>
    <x v="11"/>
    <n v="0"/>
    <x v="0"/>
  </r>
  <r>
    <x v="30"/>
    <x v="0"/>
    <x v="190"/>
    <x v="2"/>
    <x v="3"/>
    <x v="27"/>
    <x v="0"/>
    <x v="0"/>
    <n v="167.13510060683487"/>
    <x v="0"/>
  </r>
  <r>
    <x v="30"/>
    <x v="0"/>
    <x v="190"/>
    <x v="2"/>
    <x v="3"/>
    <x v="27"/>
    <x v="0"/>
    <x v="1"/>
    <n v="149.27655069334884"/>
    <x v="0"/>
  </r>
  <r>
    <x v="30"/>
    <x v="0"/>
    <x v="190"/>
    <x v="2"/>
    <x v="3"/>
    <x v="27"/>
    <x v="0"/>
    <x v="2"/>
    <n v="52.12257084706539"/>
    <x v="0"/>
  </r>
  <r>
    <x v="30"/>
    <x v="0"/>
    <x v="190"/>
    <x v="2"/>
    <x v="3"/>
    <x v="27"/>
    <x v="0"/>
    <x v="3"/>
    <n v="0"/>
    <x v="0"/>
  </r>
  <r>
    <x v="30"/>
    <x v="0"/>
    <x v="190"/>
    <x v="2"/>
    <x v="3"/>
    <x v="27"/>
    <x v="0"/>
    <x v="4"/>
    <n v="299.66226521985448"/>
    <x v="0"/>
  </r>
  <r>
    <x v="30"/>
    <x v="0"/>
    <x v="190"/>
    <x v="2"/>
    <x v="3"/>
    <x v="27"/>
    <x v="0"/>
    <x v="5"/>
    <n v="0"/>
    <x v="0"/>
  </r>
  <r>
    <x v="30"/>
    <x v="0"/>
    <x v="190"/>
    <x v="2"/>
    <x v="3"/>
    <x v="27"/>
    <x v="0"/>
    <x v="6"/>
    <n v="211.22701480438587"/>
    <x v="0"/>
  </r>
  <r>
    <x v="30"/>
    <x v="0"/>
    <x v="190"/>
    <x v="2"/>
    <x v="3"/>
    <x v="27"/>
    <x v="0"/>
    <x v="7"/>
    <n v="261.13130444133776"/>
    <x v="0"/>
  </r>
  <r>
    <x v="30"/>
    <x v="0"/>
    <x v="190"/>
    <x v="2"/>
    <x v="3"/>
    <x v="27"/>
    <x v="0"/>
    <x v="8"/>
    <n v="159.6257868086071"/>
    <x v="0"/>
  </r>
  <r>
    <x v="30"/>
    <x v="0"/>
    <x v="190"/>
    <x v="2"/>
    <x v="3"/>
    <x v="27"/>
    <x v="0"/>
    <x v="9"/>
    <n v="118.16001113716923"/>
    <x v="0"/>
  </r>
  <r>
    <x v="30"/>
    <x v="0"/>
    <x v="190"/>
    <x v="2"/>
    <x v="3"/>
    <x v="27"/>
    <x v="0"/>
    <x v="10"/>
    <n v="154.8437046356334"/>
    <x v="0"/>
  </r>
  <r>
    <x v="30"/>
    <x v="0"/>
    <x v="190"/>
    <x v="2"/>
    <x v="3"/>
    <x v="27"/>
    <x v="0"/>
    <x v="11"/>
    <n v="154.8437046356334"/>
    <x v="0"/>
  </r>
  <r>
    <x v="30"/>
    <x v="0"/>
    <x v="191"/>
    <x v="2"/>
    <x v="3"/>
    <x v="27"/>
    <x v="0"/>
    <x v="0"/>
    <n v="0"/>
    <x v="0"/>
  </r>
  <r>
    <x v="30"/>
    <x v="0"/>
    <x v="191"/>
    <x v="2"/>
    <x v="3"/>
    <x v="27"/>
    <x v="0"/>
    <x v="1"/>
    <n v="0"/>
    <x v="0"/>
  </r>
  <r>
    <x v="30"/>
    <x v="0"/>
    <x v="191"/>
    <x v="2"/>
    <x v="3"/>
    <x v="27"/>
    <x v="0"/>
    <x v="2"/>
    <n v="0"/>
    <x v="0"/>
  </r>
  <r>
    <x v="30"/>
    <x v="0"/>
    <x v="191"/>
    <x v="2"/>
    <x v="3"/>
    <x v="27"/>
    <x v="0"/>
    <x v="3"/>
    <n v="0"/>
    <x v="0"/>
  </r>
  <r>
    <x v="30"/>
    <x v="0"/>
    <x v="191"/>
    <x v="2"/>
    <x v="3"/>
    <x v="27"/>
    <x v="0"/>
    <x v="4"/>
    <n v="260.52534100318127"/>
    <x v="0"/>
  </r>
  <r>
    <x v="30"/>
    <x v="0"/>
    <x v="191"/>
    <x v="2"/>
    <x v="3"/>
    <x v="27"/>
    <x v="0"/>
    <x v="5"/>
    <n v="0"/>
    <x v="0"/>
  </r>
  <r>
    <x v="30"/>
    <x v="0"/>
    <x v="191"/>
    <x v="2"/>
    <x v="3"/>
    <x v="27"/>
    <x v="0"/>
    <x v="6"/>
    <n v="0"/>
    <x v="0"/>
  </r>
  <r>
    <x v="30"/>
    <x v="0"/>
    <x v="191"/>
    <x v="2"/>
    <x v="3"/>
    <x v="27"/>
    <x v="0"/>
    <x v="7"/>
    <n v="0"/>
    <x v="0"/>
  </r>
  <r>
    <x v="30"/>
    <x v="0"/>
    <x v="191"/>
    <x v="2"/>
    <x v="3"/>
    <x v="27"/>
    <x v="0"/>
    <x v="8"/>
    <n v="0"/>
    <x v="0"/>
  </r>
  <r>
    <x v="30"/>
    <x v="0"/>
    <x v="191"/>
    <x v="2"/>
    <x v="3"/>
    <x v="27"/>
    <x v="0"/>
    <x v="9"/>
    <n v="0"/>
    <x v="0"/>
  </r>
  <r>
    <x v="30"/>
    <x v="0"/>
    <x v="191"/>
    <x v="2"/>
    <x v="3"/>
    <x v="27"/>
    <x v="0"/>
    <x v="10"/>
    <n v="0"/>
    <x v="0"/>
  </r>
  <r>
    <x v="30"/>
    <x v="0"/>
    <x v="191"/>
    <x v="2"/>
    <x v="3"/>
    <x v="27"/>
    <x v="0"/>
    <x v="11"/>
    <n v="0"/>
    <x v="0"/>
  </r>
  <r>
    <x v="30"/>
    <x v="0"/>
    <x v="192"/>
    <x v="2"/>
    <x v="3"/>
    <x v="28"/>
    <x v="0"/>
    <x v="0"/>
    <n v="563.77933677683677"/>
    <x v="0"/>
  </r>
  <r>
    <x v="30"/>
    <x v="0"/>
    <x v="192"/>
    <x v="2"/>
    <x v="3"/>
    <x v="28"/>
    <x v="0"/>
    <x v="1"/>
    <n v="417.27248193971599"/>
    <x v="0"/>
  </r>
  <r>
    <x v="30"/>
    <x v="0"/>
    <x v="192"/>
    <x v="2"/>
    <x v="3"/>
    <x v="28"/>
    <x v="0"/>
    <x v="2"/>
    <n v="186.48559296643353"/>
    <x v="0"/>
  </r>
  <r>
    <x v="30"/>
    <x v="0"/>
    <x v="192"/>
    <x v="2"/>
    <x v="3"/>
    <x v="28"/>
    <x v="0"/>
    <x v="3"/>
    <n v="231.62247172287374"/>
    <x v="0"/>
  </r>
  <r>
    <x v="30"/>
    <x v="0"/>
    <x v="192"/>
    <x v="2"/>
    <x v="3"/>
    <x v="28"/>
    <x v="0"/>
    <x v="4"/>
    <n v="441.34527389201202"/>
    <x v="0"/>
  </r>
  <r>
    <x v="30"/>
    <x v="0"/>
    <x v="192"/>
    <x v="2"/>
    <x v="3"/>
    <x v="28"/>
    <x v="0"/>
    <x v="5"/>
    <n v="438.28934865238421"/>
    <x v="0"/>
  </r>
  <r>
    <x v="30"/>
    <x v="0"/>
    <x v="192"/>
    <x v="2"/>
    <x v="3"/>
    <x v="28"/>
    <x v="0"/>
    <x v="6"/>
    <n v="336.76884679380521"/>
    <x v="0"/>
  </r>
  <r>
    <x v="30"/>
    <x v="0"/>
    <x v="192"/>
    <x v="2"/>
    <x v="3"/>
    <x v="28"/>
    <x v="0"/>
    <x v="7"/>
    <n v="437.55242499193463"/>
    <x v="0"/>
  </r>
  <r>
    <x v="30"/>
    <x v="0"/>
    <x v="192"/>
    <x v="2"/>
    <x v="3"/>
    <x v="28"/>
    <x v="0"/>
    <x v="8"/>
    <n v="440.47138337957915"/>
    <x v="0"/>
  </r>
  <r>
    <x v="30"/>
    <x v="0"/>
    <x v="192"/>
    <x v="2"/>
    <x v="3"/>
    <x v="28"/>
    <x v="0"/>
    <x v="9"/>
    <n v="437.26239813238243"/>
    <x v="0"/>
  </r>
  <r>
    <x v="30"/>
    <x v="0"/>
    <x v="192"/>
    <x v="2"/>
    <x v="3"/>
    <x v="28"/>
    <x v="0"/>
    <x v="10"/>
    <n v="433.34731227889068"/>
    <x v="0"/>
  </r>
  <r>
    <x v="30"/>
    <x v="0"/>
    <x v="192"/>
    <x v="2"/>
    <x v="3"/>
    <x v="28"/>
    <x v="0"/>
    <x v="11"/>
    <n v="433.34731227889068"/>
    <x v="0"/>
  </r>
  <r>
    <x v="30"/>
    <x v="0"/>
    <x v="193"/>
    <x v="2"/>
    <x v="3"/>
    <x v="28"/>
    <x v="0"/>
    <x v="0"/>
    <n v="0"/>
    <x v="0"/>
  </r>
  <r>
    <x v="30"/>
    <x v="0"/>
    <x v="193"/>
    <x v="2"/>
    <x v="3"/>
    <x v="28"/>
    <x v="0"/>
    <x v="1"/>
    <n v="416.11413269118987"/>
    <x v="0"/>
  </r>
  <r>
    <x v="30"/>
    <x v="0"/>
    <x v="193"/>
    <x v="2"/>
    <x v="3"/>
    <x v="28"/>
    <x v="0"/>
    <x v="2"/>
    <n v="0"/>
    <x v="0"/>
  </r>
  <r>
    <x v="30"/>
    <x v="0"/>
    <x v="193"/>
    <x v="2"/>
    <x v="3"/>
    <x v="28"/>
    <x v="0"/>
    <x v="3"/>
    <n v="0"/>
    <x v="0"/>
  </r>
  <r>
    <x v="30"/>
    <x v="0"/>
    <x v="193"/>
    <x v="2"/>
    <x v="3"/>
    <x v="28"/>
    <x v="0"/>
    <x v="4"/>
    <n v="440.22857018346627"/>
    <x v="0"/>
  </r>
  <r>
    <x v="30"/>
    <x v="0"/>
    <x v="193"/>
    <x v="2"/>
    <x v="3"/>
    <x v="28"/>
    <x v="0"/>
    <x v="5"/>
    <n v="0"/>
    <x v="0"/>
  </r>
  <r>
    <x v="30"/>
    <x v="0"/>
    <x v="193"/>
    <x v="2"/>
    <x v="3"/>
    <x v="28"/>
    <x v="0"/>
    <x v="6"/>
    <n v="0"/>
    <x v="0"/>
  </r>
  <r>
    <x v="30"/>
    <x v="0"/>
    <x v="193"/>
    <x v="2"/>
    <x v="3"/>
    <x v="28"/>
    <x v="0"/>
    <x v="7"/>
    <n v="0"/>
    <x v="0"/>
  </r>
  <r>
    <x v="30"/>
    <x v="0"/>
    <x v="193"/>
    <x v="2"/>
    <x v="3"/>
    <x v="28"/>
    <x v="0"/>
    <x v="8"/>
    <n v="0"/>
    <x v="0"/>
  </r>
  <r>
    <x v="30"/>
    <x v="0"/>
    <x v="193"/>
    <x v="2"/>
    <x v="3"/>
    <x v="28"/>
    <x v="0"/>
    <x v="9"/>
    <n v="0"/>
    <x v="0"/>
  </r>
  <r>
    <x v="30"/>
    <x v="0"/>
    <x v="193"/>
    <x v="2"/>
    <x v="3"/>
    <x v="28"/>
    <x v="0"/>
    <x v="10"/>
    <n v="0"/>
    <x v="0"/>
  </r>
  <r>
    <x v="30"/>
    <x v="0"/>
    <x v="193"/>
    <x v="2"/>
    <x v="3"/>
    <x v="28"/>
    <x v="0"/>
    <x v="11"/>
    <n v="0"/>
    <x v="0"/>
  </r>
  <r>
    <x v="30"/>
    <x v="0"/>
    <x v="194"/>
    <x v="2"/>
    <x v="2"/>
    <x v="3"/>
    <x v="0"/>
    <x v="0"/>
    <n v="562.26720558596458"/>
    <x v="0"/>
  </r>
  <r>
    <x v="30"/>
    <x v="0"/>
    <x v="194"/>
    <x v="2"/>
    <x v="2"/>
    <x v="3"/>
    <x v="0"/>
    <x v="1"/>
    <n v="326.20298098480441"/>
    <x v="0"/>
  </r>
  <r>
    <x v="30"/>
    <x v="0"/>
    <x v="194"/>
    <x v="2"/>
    <x v="2"/>
    <x v="3"/>
    <x v="0"/>
    <x v="2"/>
    <n v="606.07688572520749"/>
    <x v="0"/>
  </r>
  <r>
    <x v="30"/>
    <x v="0"/>
    <x v="194"/>
    <x v="2"/>
    <x v="2"/>
    <x v="3"/>
    <x v="0"/>
    <x v="3"/>
    <n v="0"/>
    <x v="0"/>
  </r>
  <r>
    <x v="30"/>
    <x v="0"/>
    <x v="194"/>
    <x v="2"/>
    <x v="2"/>
    <x v="3"/>
    <x v="0"/>
    <x v="4"/>
    <n v="962.63999651370546"/>
    <x v="0"/>
  </r>
  <r>
    <x v="30"/>
    <x v="0"/>
    <x v="194"/>
    <x v="2"/>
    <x v="2"/>
    <x v="3"/>
    <x v="0"/>
    <x v="5"/>
    <n v="396.47870594333102"/>
    <x v="0"/>
  </r>
  <r>
    <x v="30"/>
    <x v="0"/>
    <x v="194"/>
    <x v="2"/>
    <x v="2"/>
    <x v="3"/>
    <x v="0"/>
    <x v="6"/>
    <n v="581.36119288365546"/>
    <x v="0"/>
  </r>
  <r>
    <x v="30"/>
    <x v="0"/>
    <x v="194"/>
    <x v="2"/>
    <x v="2"/>
    <x v="3"/>
    <x v="0"/>
    <x v="7"/>
    <n v="429.14829551564685"/>
    <x v="0"/>
  </r>
  <r>
    <x v="30"/>
    <x v="0"/>
    <x v="194"/>
    <x v="2"/>
    <x v="2"/>
    <x v="3"/>
    <x v="0"/>
    <x v="8"/>
    <n v="449.21346131007004"/>
    <x v="0"/>
  </r>
  <r>
    <x v="30"/>
    <x v="0"/>
    <x v="194"/>
    <x v="2"/>
    <x v="2"/>
    <x v="3"/>
    <x v="0"/>
    <x v="9"/>
    <n v="872.42693909896025"/>
    <x v="0"/>
  </r>
  <r>
    <x v="30"/>
    <x v="0"/>
    <x v="194"/>
    <x v="2"/>
    <x v="2"/>
    <x v="3"/>
    <x v="0"/>
    <x v="10"/>
    <n v="430.12140176564833"/>
    <x v="0"/>
  </r>
  <r>
    <x v="30"/>
    <x v="0"/>
    <x v="194"/>
    <x v="2"/>
    <x v="2"/>
    <x v="3"/>
    <x v="0"/>
    <x v="11"/>
    <n v="430.12140176564833"/>
    <x v="0"/>
  </r>
  <r>
    <x v="30"/>
    <x v="0"/>
    <x v="195"/>
    <x v="2"/>
    <x v="2"/>
    <x v="3"/>
    <x v="0"/>
    <x v="0"/>
    <n v="0"/>
    <x v="0"/>
  </r>
  <r>
    <x v="30"/>
    <x v="0"/>
    <x v="195"/>
    <x v="2"/>
    <x v="2"/>
    <x v="3"/>
    <x v="0"/>
    <x v="1"/>
    <n v="607.48982811591793"/>
    <x v="0"/>
  </r>
  <r>
    <x v="30"/>
    <x v="0"/>
    <x v="195"/>
    <x v="2"/>
    <x v="2"/>
    <x v="3"/>
    <x v="0"/>
    <x v="2"/>
    <n v="0"/>
    <x v="0"/>
  </r>
  <r>
    <x v="30"/>
    <x v="0"/>
    <x v="195"/>
    <x v="2"/>
    <x v="2"/>
    <x v="3"/>
    <x v="0"/>
    <x v="3"/>
    <n v="0"/>
    <x v="0"/>
  </r>
  <r>
    <x v="30"/>
    <x v="0"/>
    <x v="195"/>
    <x v="2"/>
    <x v="2"/>
    <x v="3"/>
    <x v="0"/>
    <x v="4"/>
    <n v="549.58164465943264"/>
    <x v="0"/>
  </r>
  <r>
    <x v="30"/>
    <x v="0"/>
    <x v="195"/>
    <x v="2"/>
    <x v="2"/>
    <x v="3"/>
    <x v="0"/>
    <x v="5"/>
    <n v="0"/>
    <x v="0"/>
  </r>
  <r>
    <x v="30"/>
    <x v="0"/>
    <x v="195"/>
    <x v="2"/>
    <x v="2"/>
    <x v="3"/>
    <x v="0"/>
    <x v="6"/>
    <n v="0"/>
    <x v="0"/>
  </r>
  <r>
    <x v="30"/>
    <x v="0"/>
    <x v="195"/>
    <x v="2"/>
    <x v="2"/>
    <x v="3"/>
    <x v="0"/>
    <x v="7"/>
    <n v="0"/>
    <x v="0"/>
  </r>
  <r>
    <x v="30"/>
    <x v="0"/>
    <x v="195"/>
    <x v="2"/>
    <x v="2"/>
    <x v="3"/>
    <x v="0"/>
    <x v="8"/>
    <n v="0"/>
    <x v="0"/>
  </r>
  <r>
    <x v="30"/>
    <x v="0"/>
    <x v="195"/>
    <x v="2"/>
    <x v="2"/>
    <x v="3"/>
    <x v="0"/>
    <x v="9"/>
    <n v="0"/>
    <x v="0"/>
  </r>
  <r>
    <x v="30"/>
    <x v="0"/>
    <x v="195"/>
    <x v="2"/>
    <x v="2"/>
    <x v="3"/>
    <x v="0"/>
    <x v="10"/>
    <n v="0"/>
    <x v="0"/>
  </r>
  <r>
    <x v="30"/>
    <x v="0"/>
    <x v="195"/>
    <x v="2"/>
    <x v="2"/>
    <x v="3"/>
    <x v="0"/>
    <x v="11"/>
    <n v="0"/>
    <x v="0"/>
  </r>
  <r>
    <x v="30"/>
    <x v="0"/>
    <x v="196"/>
    <x v="2"/>
    <x v="2"/>
    <x v="3"/>
    <x v="0"/>
    <x v="0"/>
    <n v="805.48794590248792"/>
    <x v="0"/>
  </r>
  <r>
    <x v="30"/>
    <x v="0"/>
    <x v="196"/>
    <x v="2"/>
    <x v="2"/>
    <x v="3"/>
    <x v="0"/>
    <x v="1"/>
    <n v="762.41592626421982"/>
    <x v="0"/>
  </r>
  <r>
    <x v="30"/>
    <x v="0"/>
    <x v="196"/>
    <x v="2"/>
    <x v="2"/>
    <x v="3"/>
    <x v="0"/>
    <x v="2"/>
    <n v="761.73586932939372"/>
    <x v="0"/>
  </r>
  <r>
    <x v="30"/>
    <x v="0"/>
    <x v="196"/>
    <x v="2"/>
    <x v="2"/>
    <x v="3"/>
    <x v="0"/>
    <x v="3"/>
    <n v="0"/>
    <x v="0"/>
  </r>
  <r>
    <x v="30"/>
    <x v="0"/>
    <x v="196"/>
    <x v="2"/>
    <x v="2"/>
    <x v="3"/>
    <x v="0"/>
    <x v="4"/>
    <n v="812.02226870614891"/>
    <x v="0"/>
  </r>
  <r>
    <x v="30"/>
    <x v="0"/>
    <x v="196"/>
    <x v="2"/>
    <x v="2"/>
    <x v="3"/>
    <x v="0"/>
    <x v="5"/>
    <n v="808.67635625431922"/>
    <x v="0"/>
  </r>
  <r>
    <x v="30"/>
    <x v="0"/>
    <x v="196"/>
    <x v="2"/>
    <x v="2"/>
    <x v="3"/>
    <x v="0"/>
    <x v="6"/>
    <n v="801.56150006399594"/>
    <x v="0"/>
  </r>
  <r>
    <x v="30"/>
    <x v="0"/>
    <x v="196"/>
    <x v="2"/>
    <x v="2"/>
    <x v="3"/>
    <x v="0"/>
    <x v="7"/>
    <n v="808.21056027529846"/>
    <x v="0"/>
  </r>
  <r>
    <x v="30"/>
    <x v="0"/>
    <x v="196"/>
    <x v="2"/>
    <x v="2"/>
    <x v="3"/>
    <x v="0"/>
    <x v="8"/>
    <n v="815.42954621522119"/>
    <x v="0"/>
  </r>
  <r>
    <x v="30"/>
    <x v="0"/>
    <x v="196"/>
    <x v="2"/>
    <x v="2"/>
    <x v="3"/>
    <x v="0"/>
    <x v="9"/>
    <n v="812.03242629657007"/>
    <x v="0"/>
  </r>
  <r>
    <x v="30"/>
    <x v="0"/>
    <x v="196"/>
    <x v="2"/>
    <x v="2"/>
    <x v="3"/>
    <x v="0"/>
    <x v="10"/>
    <n v="793.57398625762119"/>
    <x v="0"/>
  </r>
  <r>
    <x v="30"/>
    <x v="0"/>
    <x v="196"/>
    <x v="2"/>
    <x v="2"/>
    <x v="3"/>
    <x v="0"/>
    <x v="11"/>
    <n v="793.57398625762119"/>
    <x v="0"/>
  </r>
  <r>
    <x v="30"/>
    <x v="0"/>
    <x v="197"/>
    <x v="2"/>
    <x v="2"/>
    <x v="3"/>
    <x v="0"/>
    <x v="0"/>
    <n v="0"/>
    <x v="0"/>
  </r>
  <r>
    <x v="30"/>
    <x v="0"/>
    <x v="197"/>
    <x v="2"/>
    <x v="2"/>
    <x v="3"/>
    <x v="0"/>
    <x v="1"/>
    <n v="763.88046998256243"/>
    <x v="0"/>
  </r>
  <r>
    <x v="30"/>
    <x v="0"/>
    <x v="197"/>
    <x v="2"/>
    <x v="2"/>
    <x v="3"/>
    <x v="0"/>
    <x v="2"/>
    <n v="0"/>
    <x v="0"/>
  </r>
  <r>
    <x v="30"/>
    <x v="0"/>
    <x v="197"/>
    <x v="2"/>
    <x v="2"/>
    <x v="3"/>
    <x v="0"/>
    <x v="3"/>
    <n v="0"/>
    <x v="0"/>
  </r>
  <r>
    <x v="30"/>
    <x v="0"/>
    <x v="197"/>
    <x v="2"/>
    <x v="2"/>
    <x v="3"/>
    <x v="0"/>
    <x v="4"/>
    <n v="1593.8336165947619"/>
    <x v="0"/>
  </r>
  <r>
    <x v="30"/>
    <x v="0"/>
    <x v="197"/>
    <x v="2"/>
    <x v="2"/>
    <x v="3"/>
    <x v="0"/>
    <x v="5"/>
    <n v="0"/>
    <x v="0"/>
  </r>
  <r>
    <x v="30"/>
    <x v="0"/>
    <x v="197"/>
    <x v="2"/>
    <x v="2"/>
    <x v="3"/>
    <x v="0"/>
    <x v="6"/>
    <n v="0"/>
    <x v="0"/>
  </r>
  <r>
    <x v="30"/>
    <x v="0"/>
    <x v="197"/>
    <x v="2"/>
    <x v="2"/>
    <x v="3"/>
    <x v="0"/>
    <x v="7"/>
    <n v="0"/>
    <x v="0"/>
  </r>
  <r>
    <x v="30"/>
    <x v="0"/>
    <x v="197"/>
    <x v="2"/>
    <x v="2"/>
    <x v="3"/>
    <x v="0"/>
    <x v="8"/>
    <n v="0"/>
    <x v="0"/>
  </r>
  <r>
    <x v="30"/>
    <x v="0"/>
    <x v="197"/>
    <x v="2"/>
    <x v="2"/>
    <x v="3"/>
    <x v="0"/>
    <x v="9"/>
    <n v="0"/>
    <x v="0"/>
  </r>
  <r>
    <x v="30"/>
    <x v="0"/>
    <x v="197"/>
    <x v="2"/>
    <x v="2"/>
    <x v="3"/>
    <x v="0"/>
    <x v="10"/>
    <n v="0"/>
    <x v="0"/>
  </r>
  <r>
    <x v="30"/>
    <x v="0"/>
    <x v="197"/>
    <x v="2"/>
    <x v="2"/>
    <x v="3"/>
    <x v="0"/>
    <x v="11"/>
    <n v="0"/>
    <x v="0"/>
  </r>
  <r>
    <x v="30"/>
    <x v="1"/>
    <x v="198"/>
    <x v="3"/>
    <x v="8"/>
    <x v="29"/>
    <x v="0"/>
    <x v="0"/>
    <n v="0"/>
    <x v="0"/>
  </r>
  <r>
    <x v="30"/>
    <x v="1"/>
    <x v="198"/>
    <x v="3"/>
    <x v="8"/>
    <x v="29"/>
    <x v="0"/>
    <x v="1"/>
    <n v="0"/>
    <x v="0"/>
  </r>
  <r>
    <x v="30"/>
    <x v="1"/>
    <x v="198"/>
    <x v="3"/>
    <x v="8"/>
    <x v="29"/>
    <x v="0"/>
    <x v="2"/>
    <n v="0"/>
    <x v="0"/>
  </r>
  <r>
    <x v="30"/>
    <x v="1"/>
    <x v="198"/>
    <x v="3"/>
    <x v="8"/>
    <x v="29"/>
    <x v="0"/>
    <x v="3"/>
    <n v="0"/>
    <x v="0"/>
  </r>
  <r>
    <x v="30"/>
    <x v="1"/>
    <x v="198"/>
    <x v="3"/>
    <x v="8"/>
    <x v="29"/>
    <x v="0"/>
    <x v="4"/>
    <n v="59.489257855057303"/>
    <x v="0"/>
  </r>
  <r>
    <x v="30"/>
    <x v="1"/>
    <x v="198"/>
    <x v="3"/>
    <x v="8"/>
    <x v="29"/>
    <x v="0"/>
    <x v="5"/>
    <n v="11.287361782999309"/>
    <x v="0"/>
  </r>
  <r>
    <x v="30"/>
    <x v="1"/>
    <x v="198"/>
    <x v="3"/>
    <x v="8"/>
    <x v="29"/>
    <x v="0"/>
    <x v="6"/>
    <n v="55.21673279576774"/>
    <x v="0"/>
  </r>
  <r>
    <x v="30"/>
    <x v="1"/>
    <x v="198"/>
    <x v="3"/>
    <x v="8"/>
    <x v="29"/>
    <x v="0"/>
    <x v="7"/>
    <n v="106.44908054629531"/>
    <x v="0"/>
  </r>
  <r>
    <x v="30"/>
    <x v="1"/>
    <x v="198"/>
    <x v="3"/>
    <x v="8"/>
    <x v="29"/>
    <x v="0"/>
    <x v="8"/>
    <n v="84.94941751870526"/>
    <x v="0"/>
  </r>
  <r>
    <x v="30"/>
    <x v="1"/>
    <x v="198"/>
    <x v="3"/>
    <x v="8"/>
    <x v="29"/>
    <x v="0"/>
    <x v="9"/>
    <n v="71.211488418414888"/>
    <x v="0"/>
  </r>
  <r>
    <x v="30"/>
    <x v="1"/>
    <x v="198"/>
    <x v="3"/>
    <x v="8"/>
    <x v="29"/>
    <x v="0"/>
    <x v="10"/>
    <n v="0"/>
    <x v="0"/>
  </r>
  <r>
    <x v="30"/>
    <x v="1"/>
    <x v="198"/>
    <x v="3"/>
    <x v="8"/>
    <x v="29"/>
    <x v="0"/>
    <x v="11"/>
    <n v="0"/>
    <x v="0"/>
  </r>
  <r>
    <x v="30"/>
    <x v="1"/>
    <x v="199"/>
    <x v="2"/>
    <x v="2"/>
    <x v="3"/>
    <x v="0"/>
    <x v="0"/>
    <n v="1989.0648575424839"/>
    <x v="0"/>
  </r>
  <r>
    <x v="30"/>
    <x v="1"/>
    <x v="199"/>
    <x v="2"/>
    <x v="2"/>
    <x v="3"/>
    <x v="0"/>
    <x v="1"/>
    <n v="0"/>
    <x v="0"/>
  </r>
  <r>
    <x v="30"/>
    <x v="1"/>
    <x v="199"/>
    <x v="2"/>
    <x v="2"/>
    <x v="3"/>
    <x v="0"/>
    <x v="2"/>
    <n v="0"/>
    <x v="0"/>
  </r>
  <r>
    <x v="30"/>
    <x v="1"/>
    <x v="199"/>
    <x v="2"/>
    <x v="2"/>
    <x v="3"/>
    <x v="0"/>
    <x v="3"/>
    <n v="0"/>
    <x v="0"/>
  </r>
  <r>
    <x v="30"/>
    <x v="1"/>
    <x v="199"/>
    <x v="2"/>
    <x v="2"/>
    <x v="3"/>
    <x v="0"/>
    <x v="4"/>
    <n v="81.353771734867308"/>
    <x v="0"/>
  </r>
  <r>
    <x v="30"/>
    <x v="1"/>
    <x v="199"/>
    <x v="2"/>
    <x v="2"/>
    <x v="3"/>
    <x v="0"/>
    <x v="5"/>
    <n v="0"/>
    <x v="0"/>
  </r>
  <r>
    <x v="30"/>
    <x v="1"/>
    <x v="199"/>
    <x v="2"/>
    <x v="2"/>
    <x v="3"/>
    <x v="0"/>
    <x v="6"/>
    <n v="0"/>
    <x v="0"/>
  </r>
  <r>
    <x v="30"/>
    <x v="1"/>
    <x v="199"/>
    <x v="2"/>
    <x v="2"/>
    <x v="3"/>
    <x v="0"/>
    <x v="7"/>
    <n v="0"/>
    <x v="0"/>
  </r>
  <r>
    <x v="30"/>
    <x v="1"/>
    <x v="199"/>
    <x v="2"/>
    <x v="2"/>
    <x v="3"/>
    <x v="0"/>
    <x v="8"/>
    <n v="0"/>
    <x v="0"/>
  </r>
  <r>
    <x v="30"/>
    <x v="1"/>
    <x v="199"/>
    <x v="2"/>
    <x v="2"/>
    <x v="3"/>
    <x v="0"/>
    <x v="9"/>
    <n v="0"/>
    <x v="0"/>
  </r>
  <r>
    <x v="30"/>
    <x v="1"/>
    <x v="199"/>
    <x v="2"/>
    <x v="2"/>
    <x v="3"/>
    <x v="0"/>
    <x v="10"/>
    <n v="0"/>
    <x v="0"/>
  </r>
  <r>
    <x v="30"/>
    <x v="1"/>
    <x v="199"/>
    <x v="2"/>
    <x v="2"/>
    <x v="3"/>
    <x v="0"/>
    <x v="11"/>
    <n v="0"/>
    <x v="0"/>
  </r>
  <r>
    <x v="30"/>
    <x v="1"/>
    <x v="200"/>
    <x v="2"/>
    <x v="2"/>
    <x v="2"/>
    <x v="0"/>
    <x v="0"/>
    <n v="0"/>
    <x v="0"/>
  </r>
  <r>
    <x v="30"/>
    <x v="1"/>
    <x v="200"/>
    <x v="2"/>
    <x v="2"/>
    <x v="2"/>
    <x v="0"/>
    <x v="1"/>
    <n v="81.834883334717262"/>
    <x v="0"/>
  </r>
  <r>
    <x v="30"/>
    <x v="1"/>
    <x v="200"/>
    <x v="2"/>
    <x v="2"/>
    <x v="2"/>
    <x v="0"/>
    <x v="2"/>
    <n v="0"/>
    <x v="0"/>
  </r>
  <r>
    <x v="30"/>
    <x v="1"/>
    <x v="200"/>
    <x v="2"/>
    <x v="2"/>
    <x v="2"/>
    <x v="0"/>
    <x v="3"/>
    <n v="0"/>
    <x v="0"/>
  </r>
  <r>
    <x v="30"/>
    <x v="1"/>
    <x v="200"/>
    <x v="2"/>
    <x v="2"/>
    <x v="2"/>
    <x v="0"/>
    <x v="4"/>
    <n v="0"/>
    <x v="0"/>
  </r>
  <r>
    <x v="30"/>
    <x v="1"/>
    <x v="200"/>
    <x v="2"/>
    <x v="2"/>
    <x v="2"/>
    <x v="0"/>
    <x v="5"/>
    <n v="323.94609536973047"/>
    <x v="0"/>
  </r>
  <r>
    <x v="30"/>
    <x v="1"/>
    <x v="200"/>
    <x v="2"/>
    <x v="2"/>
    <x v="2"/>
    <x v="0"/>
    <x v="6"/>
    <n v="0"/>
    <x v="0"/>
  </r>
  <r>
    <x v="30"/>
    <x v="1"/>
    <x v="200"/>
    <x v="2"/>
    <x v="2"/>
    <x v="2"/>
    <x v="0"/>
    <x v="7"/>
    <n v="1075.384449940854"/>
    <x v="0"/>
  </r>
  <r>
    <x v="30"/>
    <x v="1"/>
    <x v="200"/>
    <x v="2"/>
    <x v="2"/>
    <x v="2"/>
    <x v="0"/>
    <x v="8"/>
    <n v="0"/>
    <x v="0"/>
  </r>
  <r>
    <x v="30"/>
    <x v="1"/>
    <x v="200"/>
    <x v="2"/>
    <x v="2"/>
    <x v="2"/>
    <x v="0"/>
    <x v="9"/>
    <n v="0"/>
    <x v="0"/>
  </r>
  <r>
    <x v="30"/>
    <x v="1"/>
    <x v="200"/>
    <x v="2"/>
    <x v="2"/>
    <x v="2"/>
    <x v="0"/>
    <x v="10"/>
    <n v="0"/>
    <x v="0"/>
  </r>
  <r>
    <x v="30"/>
    <x v="1"/>
    <x v="200"/>
    <x v="2"/>
    <x v="2"/>
    <x v="2"/>
    <x v="0"/>
    <x v="11"/>
    <n v="0"/>
    <x v="0"/>
  </r>
  <r>
    <x v="30"/>
    <x v="0"/>
    <x v="201"/>
    <x v="2"/>
    <x v="1"/>
    <x v="16"/>
    <x v="0"/>
    <x v="0"/>
    <n v="1897.0142842982852"/>
    <x v="0"/>
  </r>
  <r>
    <x v="30"/>
    <x v="0"/>
    <x v="201"/>
    <x v="2"/>
    <x v="1"/>
    <x v="16"/>
    <x v="0"/>
    <x v="1"/>
    <n v="1795.1102300091338"/>
    <x v="0"/>
  </r>
  <r>
    <x v="30"/>
    <x v="0"/>
    <x v="201"/>
    <x v="2"/>
    <x v="1"/>
    <x v="16"/>
    <x v="0"/>
    <x v="2"/>
    <n v="1804.5561145950637"/>
    <x v="0"/>
  </r>
  <r>
    <x v="30"/>
    <x v="0"/>
    <x v="201"/>
    <x v="2"/>
    <x v="1"/>
    <x v="16"/>
    <x v="0"/>
    <x v="3"/>
    <n v="1841.7532859791281"/>
    <x v="0"/>
  </r>
  <r>
    <x v="30"/>
    <x v="0"/>
    <x v="201"/>
    <x v="2"/>
    <x v="1"/>
    <x v="16"/>
    <x v="0"/>
    <x v="4"/>
    <n v="1374.4977556979127"/>
    <x v="0"/>
  </r>
  <r>
    <x v="30"/>
    <x v="0"/>
    <x v="201"/>
    <x v="2"/>
    <x v="1"/>
    <x v="16"/>
    <x v="0"/>
    <x v="5"/>
    <n v="1599.5486351071181"/>
    <x v="0"/>
  </r>
  <r>
    <x v="30"/>
    <x v="0"/>
    <x v="201"/>
    <x v="2"/>
    <x v="1"/>
    <x v="16"/>
    <x v="0"/>
    <x v="6"/>
    <n v="1563.6300610094288"/>
    <x v="0"/>
  </r>
  <r>
    <x v="30"/>
    <x v="0"/>
    <x v="201"/>
    <x v="2"/>
    <x v="1"/>
    <x v="16"/>
    <x v="0"/>
    <x v="7"/>
    <n v="1543.9326809334336"/>
    <x v="0"/>
  </r>
  <r>
    <x v="30"/>
    <x v="0"/>
    <x v="201"/>
    <x v="2"/>
    <x v="1"/>
    <x v="16"/>
    <x v="0"/>
    <x v="8"/>
    <n v="1792.5384092160525"/>
    <x v="0"/>
  </r>
  <r>
    <x v="30"/>
    <x v="0"/>
    <x v="201"/>
    <x v="2"/>
    <x v="1"/>
    <x v="16"/>
    <x v="0"/>
    <x v="9"/>
    <n v="1667.8649832407023"/>
    <x v="0"/>
  </r>
  <r>
    <x v="30"/>
    <x v="0"/>
    <x v="201"/>
    <x v="2"/>
    <x v="1"/>
    <x v="16"/>
    <x v="0"/>
    <x v="10"/>
    <n v="1451.6597309590632"/>
    <x v="0"/>
  </r>
  <r>
    <x v="30"/>
    <x v="0"/>
    <x v="201"/>
    <x v="2"/>
    <x v="1"/>
    <x v="16"/>
    <x v="0"/>
    <x v="11"/>
    <n v="1451.6597309590632"/>
    <x v="0"/>
  </r>
  <r>
    <x v="30"/>
    <x v="0"/>
    <x v="202"/>
    <x v="2"/>
    <x v="1"/>
    <x v="16"/>
    <x v="0"/>
    <x v="0"/>
    <n v="214.76007445015915"/>
    <x v="0"/>
  </r>
  <r>
    <x v="30"/>
    <x v="0"/>
    <x v="202"/>
    <x v="2"/>
    <x v="1"/>
    <x v="16"/>
    <x v="0"/>
    <x v="1"/>
    <n v="202.39973428547702"/>
    <x v="0"/>
  </r>
  <r>
    <x v="30"/>
    <x v="0"/>
    <x v="202"/>
    <x v="2"/>
    <x v="1"/>
    <x v="16"/>
    <x v="0"/>
    <x v="2"/>
    <n v="201.46084944159185"/>
    <x v="0"/>
  </r>
  <r>
    <x v="30"/>
    <x v="0"/>
    <x v="202"/>
    <x v="2"/>
    <x v="1"/>
    <x v="16"/>
    <x v="0"/>
    <x v="3"/>
    <n v="0"/>
    <x v="0"/>
  </r>
  <r>
    <x v="30"/>
    <x v="0"/>
    <x v="202"/>
    <x v="2"/>
    <x v="1"/>
    <x v="16"/>
    <x v="0"/>
    <x v="4"/>
    <n v="239.68274720006974"/>
    <x v="0"/>
  </r>
  <r>
    <x v="30"/>
    <x v="0"/>
    <x v="202"/>
    <x v="2"/>
    <x v="1"/>
    <x v="16"/>
    <x v="0"/>
    <x v="5"/>
    <n v="237.56046993780234"/>
    <x v="0"/>
  </r>
  <r>
    <x v="30"/>
    <x v="0"/>
    <x v="202"/>
    <x v="2"/>
    <x v="1"/>
    <x v="16"/>
    <x v="0"/>
    <x v="6"/>
    <n v="234.65164896113316"/>
    <x v="0"/>
  </r>
  <r>
    <x v="30"/>
    <x v="0"/>
    <x v="202"/>
    <x v="2"/>
    <x v="1"/>
    <x v="16"/>
    <x v="0"/>
    <x v="7"/>
    <n v="236.58457898698785"/>
    <x v="0"/>
  </r>
  <r>
    <x v="30"/>
    <x v="0"/>
    <x v="202"/>
    <x v="2"/>
    <x v="1"/>
    <x v="16"/>
    <x v="0"/>
    <x v="8"/>
    <n v="237.52712667753534"/>
    <x v="0"/>
  </r>
  <r>
    <x v="30"/>
    <x v="0"/>
    <x v="202"/>
    <x v="2"/>
    <x v="1"/>
    <x v="16"/>
    <x v="0"/>
    <x v="9"/>
    <n v="235.59396451098189"/>
    <x v="0"/>
  </r>
  <r>
    <x v="30"/>
    <x v="0"/>
    <x v="202"/>
    <x v="2"/>
    <x v="1"/>
    <x v="16"/>
    <x v="0"/>
    <x v="10"/>
    <n v="236.56677097110659"/>
    <x v="0"/>
  </r>
  <r>
    <x v="30"/>
    <x v="0"/>
    <x v="202"/>
    <x v="2"/>
    <x v="1"/>
    <x v="16"/>
    <x v="0"/>
    <x v="11"/>
    <n v="236.56677097110659"/>
    <x v="0"/>
  </r>
  <r>
    <x v="30"/>
    <x v="0"/>
    <x v="203"/>
    <x v="2"/>
    <x v="1"/>
    <x v="16"/>
    <x v="0"/>
    <x v="0"/>
    <n v="0"/>
    <x v="0"/>
  </r>
  <r>
    <x v="30"/>
    <x v="0"/>
    <x v="203"/>
    <x v="2"/>
    <x v="1"/>
    <x v="16"/>
    <x v="0"/>
    <x v="1"/>
    <n v="202.39973428547702"/>
    <x v="0"/>
  </r>
  <r>
    <x v="30"/>
    <x v="0"/>
    <x v="203"/>
    <x v="2"/>
    <x v="1"/>
    <x v="16"/>
    <x v="0"/>
    <x v="2"/>
    <n v="0"/>
    <x v="0"/>
  </r>
  <r>
    <x v="30"/>
    <x v="0"/>
    <x v="203"/>
    <x v="2"/>
    <x v="1"/>
    <x v="16"/>
    <x v="0"/>
    <x v="3"/>
    <n v="0"/>
    <x v="0"/>
  </r>
  <r>
    <x v="30"/>
    <x v="0"/>
    <x v="203"/>
    <x v="2"/>
    <x v="1"/>
    <x v="16"/>
    <x v="0"/>
    <x v="4"/>
    <n v="212.44607138187999"/>
    <x v="0"/>
  </r>
  <r>
    <x v="30"/>
    <x v="0"/>
    <x v="203"/>
    <x v="2"/>
    <x v="1"/>
    <x v="16"/>
    <x v="0"/>
    <x v="5"/>
    <n v="0"/>
    <x v="0"/>
  </r>
  <r>
    <x v="30"/>
    <x v="0"/>
    <x v="203"/>
    <x v="2"/>
    <x v="1"/>
    <x v="16"/>
    <x v="0"/>
    <x v="6"/>
    <n v="0"/>
    <x v="0"/>
  </r>
  <r>
    <x v="30"/>
    <x v="0"/>
    <x v="203"/>
    <x v="2"/>
    <x v="1"/>
    <x v="16"/>
    <x v="0"/>
    <x v="7"/>
    <n v="0"/>
    <x v="0"/>
  </r>
  <r>
    <x v="30"/>
    <x v="0"/>
    <x v="203"/>
    <x v="2"/>
    <x v="1"/>
    <x v="16"/>
    <x v="0"/>
    <x v="8"/>
    <n v="0"/>
    <x v="0"/>
  </r>
  <r>
    <x v="30"/>
    <x v="0"/>
    <x v="203"/>
    <x v="2"/>
    <x v="1"/>
    <x v="16"/>
    <x v="0"/>
    <x v="9"/>
    <n v="0"/>
    <x v="0"/>
  </r>
  <r>
    <x v="30"/>
    <x v="0"/>
    <x v="203"/>
    <x v="2"/>
    <x v="1"/>
    <x v="16"/>
    <x v="0"/>
    <x v="10"/>
    <n v="0"/>
    <x v="0"/>
  </r>
  <r>
    <x v="30"/>
    <x v="0"/>
    <x v="203"/>
    <x v="2"/>
    <x v="1"/>
    <x v="16"/>
    <x v="0"/>
    <x v="11"/>
    <n v="0"/>
    <x v="0"/>
  </r>
  <r>
    <x v="30"/>
    <x v="0"/>
    <x v="204"/>
    <x v="2"/>
    <x v="2"/>
    <x v="3"/>
    <x v="0"/>
    <x v="0"/>
    <n v="135.91228978292713"/>
    <x v="0"/>
  </r>
  <r>
    <x v="30"/>
    <x v="0"/>
    <x v="204"/>
    <x v="2"/>
    <x v="2"/>
    <x v="3"/>
    <x v="0"/>
    <x v="1"/>
    <n v="129.00751473885245"/>
    <x v="0"/>
  </r>
  <r>
    <x v="30"/>
    <x v="0"/>
    <x v="204"/>
    <x v="2"/>
    <x v="2"/>
    <x v="3"/>
    <x v="0"/>
    <x v="2"/>
    <n v="128.10637132850516"/>
    <x v="0"/>
  </r>
  <r>
    <x v="30"/>
    <x v="0"/>
    <x v="204"/>
    <x v="2"/>
    <x v="2"/>
    <x v="3"/>
    <x v="0"/>
    <x v="3"/>
    <n v="0"/>
    <x v="0"/>
  </r>
  <r>
    <x v="30"/>
    <x v="0"/>
    <x v="204"/>
    <x v="2"/>
    <x v="2"/>
    <x v="3"/>
    <x v="0"/>
    <x v="4"/>
    <n v="138.55188042009848"/>
    <x v="0"/>
  </r>
  <r>
    <x v="30"/>
    <x v="0"/>
    <x v="204"/>
    <x v="2"/>
    <x v="2"/>
    <x v="3"/>
    <x v="0"/>
    <x v="5"/>
    <n v="136.38562543192813"/>
    <x v="0"/>
  </r>
  <r>
    <x v="30"/>
    <x v="0"/>
    <x v="204"/>
    <x v="2"/>
    <x v="2"/>
    <x v="3"/>
    <x v="0"/>
    <x v="6"/>
    <n v="0"/>
    <x v="0"/>
  </r>
  <r>
    <x v="30"/>
    <x v="0"/>
    <x v="204"/>
    <x v="2"/>
    <x v="2"/>
    <x v="3"/>
    <x v="0"/>
    <x v="7"/>
    <n v="0"/>
    <x v="0"/>
  </r>
  <r>
    <x v="30"/>
    <x v="0"/>
    <x v="204"/>
    <x v="2"/>
    <x v="2"/>
    <x v="3"/>
    <x v="0"/>
    <x v="8"/>
    <n v="0"/>
    <x v="0"/>
  </r>
  <r>
    <x v="30"/>
    <x v="0"/>
    <x v="204"/>
    <x v="2"/>
    <x v="2"/>
    <x v="3"/>
    <x v="0"/>
    <x v="9"/>
    <n v="0"/>
    <x v="0"/>
  </r>
  <r>
    <x v="30"/>
    <x v="0"/>
    <x v="204"/>
    <x v="2"/>
    <x v="2"/>
    <x v="3"/>
    <x v="0"/>
    <x v="10"/>
    <n v="0"/>
    <x v="0"/>
  </r>
  <r>
    <x v="30"/>
    <x v="0"/>
    <x v="204"/>
    <x v="2"/>
    <x v="2"/>
    <x v="3"/>
    <x v="0"/>
    <x v="11"/>
    <n v="0"/>
    <x v="0"/>
  </r>
  <r>
    <x v="30"/>
    <x v="0"/>
    <x v="205"/>
    <x v="2"/>
    <x v="2"/>
    <x v="3"/>
    <x v="0"/>
    <x v="0"/>
    <n v="0"/>
    <x v="0"/>
  </r>
  <r>
    <x v="30"/>
    <x v="0"/>
    <x v="205"/>
    <x v="2"/>
    <x v="2"/>
    <x v="3"/>
    <x v="0"/>
    <x v="1"/>
    <n v="129.0843228431454"/>
    <x v="0"/>
  </r>
  <r>
    <x v="30"/>
    <x v="0"/>
    <x v="205"/>
    <x v="2"/>
    <x v="2"/>
    <x v="3"/>
    <x v="0"/>
    <x v="2"/>
    <n v="0"/>
    <x v="0"/>
  </r>
  <r>
    <x v="30"/>
    <x v="0"/>
    <x v="205"/>
    <x v="2"/>
    <x v="2"/>
    <x v="3"/>
    <x v="0"/>
    <x v="3"/>
    <n v="0"/>
    <x v="0"/>
  </r>
  <r>
    <x v="30"/>
    <x v="0"/>
    <x v="205"/>
    <x v="2"/>
    <x v="2"/>
    <x v="3"/>
    <x v="0"/>
    <x v="4"/>
    <n v="134.70824072863556"/>
    <x v="0"/>
  </r>
  <r>
    <x v="30"/>
    <x v="0"/>
    <x v="205"/>
    <x v="2"/>
    <x v="2"/>
    <x v="3"/>
    <x v="0"/>
    <x v="5"/>
    <n v="0"/>
    <x v="0"/>
  </r>
  <r>
    <x v="30"/>
    <x v="0"/>
    <x v="205"/>
    <x v="2"/>
    <x v="2"/>
    <x v="3"/>
    <x v="0"/>
    <x v="6"/>
    <n v="0"/>
    <x v="0"/>
  </r>
  <r>
    <x v="30"/>
    <x v="0"/>
    <x v="205"/>
    <x v="2"/>
    <x v="2"/>
    <x v="3"/>
    <x v="0"/>
    <x v="7"/>
    <n v="0"/>
    <x v="0"/>
  </r>
  <r>
    <x v="30"/>
    <x v="0"/>
    <x v="205"/>
    <x v="2"/>
    <x v="2"/>
    <x v="3"/>
    <x v="0"/>
    <x v="8"/>
    <n v="0"/>
    <x v="0"/>
  </r>
  <r>
    <x v="30"/>
    <x v="0"/>
    <x v="205"/>
    <x v="2"/>
    <x v="2"/>
    <x v="3"/>
    <x v="0"/>
    <x v="9"/>
    <n v="0"/>
    <x v="0"/>
  </r>
  <r>
    <x v="30"/>
    <x v="0"/>
    <x v="205"/>
    <x v="2"/>
    <x v="2"/>
    <x v="3"/>
    <x v="0"/>
    <x v="10"/>
    <n v="0"/>
    <x v="0"/>
  </r>
  <r>
    <x v="30"/>
    <x v="0"/>
    <x v="205"/>
    <x v="2"/>
    <x v="2"/>
    <x v="3"/>
    <x v="0"/>
    <x v="11"/>
    <n v="0"/>
    <x v="0"/>
  </r>
  <r>
    <x v="30"/>
    <x v="1"/>
    <x v="206"/>
    <x v="2"/>
    <x v="2"/>
    <x v="3"/>
    <x v="0"/>
    <x v="0"/>
    <n v="176.2133944206434"/>
    <x v="0"/>
  </r>
  <r>
    <x v="30"/>
    <x v="1"/>
    <x v="206"/>
    <x v="2"/>
    <x v="2"/>
    <x v="3"/>
    <x v="0"/>
    <x v="1"/>
    <n v="0"/>
    <x v="0"/>
  </r>
  <r>
    <x v="30"/>
    <x v="1"/>
    <x v="206"/>
    <x v="2"/>
    <x v="2"/>
    <x v="3"/>
    <x v="0"/>
    <x v="2"/>
    <n v="0"/>
    <x v="0"/>
  </r>
  <r>
    <x v="30"/>
    <x v="1"/>
    <x v="206"/>
    <x v="2"/>
    <x v="2"/>
    <x v="3"/>
    <x v="0"/>
    <x v="3"/>
    <n v="0"/>
    <x v="0"/>
  </r>
  <r>
    <x v="30"/>
    <x v="1"/>
    <x v="206"/>
    <x v="2"/>
    <x v="2"/>
    <x v="3"/>
    <x v="0"/>
    <x v="4"/>
    <n v="0"/>
    <x v="0"/>
  </r>
  <r>
    <x v="30"/>
    <x v="1"/>
    <x v="206"/>
    <x v="2"/>
    <x v="2"/>
    <x v="3"/>
    <x v="0"/>
    <x v="5"/>
    <n v="0"/>
    <x v="0"/>
  </r>
  <r>
    <x v="30"/>
    <x v="1"/>
    <x v="206"/>
    <x v="2"/>
    <x v="2"/>
    <x v="3"/>
    <x v="0"/>
    <x v="6"/>
    <n v="0"/>
    <x v="0"/>
  </r>
  <r>
    <x v="30"/>
    <x v="1"/>
    <x v="206"/>
    <x v="2"/>
    <x v="2"/>
    <x v="3"/>
    <x v="0"/>
    <x v="7"/>
    <n v="0"/>
    <x v="0"/>
  </r>
  <r>
    <x v="30"/>
    <x v="1"/>
    <x v="206"/>
    <x v="2"/>
    <x v="2"/>
    <x v="3"/>
    <x v="0"/>
    <x v="8"/>
    <n v="0"/>
    <x v="0"/>
  </r>
  <r>
    <x v="30"/>
    <x v="1"/>
    <x v="206"/>
    <x v="2"/>
    <x v="2"/>
    <x v="3"/>
    <x v="0"/>
    <x v="9"/>
    <n v="0"/>
    <x v="0"/>
  </r>
  <r>
    <x v="30"/>
    <x v="1"/>
    <x v="206"/>
    <x v="2"/>
    <x v="2"/>
    <x v="3"/>
    <x v="0"/>
    <x v="10"/>
    <n v="0"/>
    <x v="0"/>
  </r>
  <r>
    <x v="30"/>
    <x v="1"/>
    <x v="206"/>
    <x v="2"/>
    <x v="2"/>
    <x v="3"/>
    <x v="0"/>
    <x v="11"/>
    <n v="0"/>
    <x v="0"/>
  </r>
  <r>
    <x v="30"/>
    <x v="1"/>
    <x v="207"/>
    <x v="2"/>
    <x v="3"/>
    <x v="30"/>
    <x v="0"/>
    <x v="0"/>
    <n v="0"/>
    <x v="0"/>
  </r>
  <r>
    <x v="30"/>
    <x v="1"/>
    <x v="207"/>
    <x v="2"/>
    <x v="3"/>
    <x v="30"/>
    <x v="0"/>
    <x v="1"/>
    <n v="0"/>
    <x v="0"/>
  </r>
  <r>
    <x v="30"/>
    <x v="1"/>
    <x v="207"/>
    <x v="2"/>
    <x v="3"/>
    <x v="30"/>
    <x v="0"/>
    <x v="2"/>
    <n v="0"/>
    <x v="0"/>
  </r>
  <r>
    <x v="30"/>
    <x v="1"/>
    <x v="207"/>
    <x v="2"/>
    <x v="3"/>
    <x v="30"/>
    <x v="0"/>
    <x v="3"/>
    <n v="0"/>
    <x v="0"/>
  </r>
  <r>
    <x v="30"/>
    <x v="1"/>
    <x v="207"/>
    <x v="2"/>
    <x v="3"/>
    <x v="30"/>
    <x v="0"/>
    <x v="4"/>
    <n v="0"/>
    <x v="0"/>
  </r>
  <r>
    <x v="30"/>
    <x v="1"/>
    <x v="207"/>
    <x v="2"/>
    <x v="3"/>
    <x v="30"/>
    <x v="0"/>
    <x v="5"/>
    <n v="0"/>
    <x v="0"/>
  </r>
  <r>
    <x v="30"/>
    <x v="1"/>
    <x v="207"/>
    <x v="2"/>
    <x v="3"/>
    <x v="30"/>
    <x v="0"/>
    <x v="6"/>
    <n v="0"/>
    <x v="0"/>
  </r>
  <r>
    <x v="30"/>
    <x v="1"/>
    <x v="207"/>
    <x v="2"/>
    <x v="3"/>
    <x v="30"/>
    <x v="0"/>
    <x v="7"/>
    <n v="0"/>
    <x v="0"/>
  </r>
  <r>
    <x v="30"/>
    <x v="1"/>
    <x v="207"/>
    <x v="2"/>
    <x v="3"/>
    <x v="30"/>
    <x v="0"/>
    <x v="8"/>
    <n v="0"/>
    <x v="0"/>
  </r>
  <r>
    <x v="30"/>
    <x v="1"/>
    <x v="207"/>
    <x v="2"/>
    <x v="3"/>
    <x v="30"/>
    <x v="0"/>
    <x v="9"/>
    <n v="0"/>
    <x v="0"/>
  </r>
  <r>
    <x v="30"/>
    <x v="1"/>
    <x v="207"/>
    <x v="2"/>
    <x v="3"/>
    <x v="30"/>
    <x v="0"/>
    <x v="10"/>
    <n v="0"/>
    <x v="0"/>
  </r>
  <r>
    <x v="30"/>
    <x v="1"/>
    <x v="207"/>
    <x v="2"/>
    <x v="3"/>
    <x v="30"/>
    <x v="0"/>
    <x v="11"/>
    <n v="0"/>
    <x v="0"/>
  </r>
  <r>
    <x v="30"/>
    <x v="1"/>
    <x v="208"/>
    <x v="2"/>
    <x v="2"/>
    <x v="3"/>
    <x v="0"/>
    <x v="0"/>
    <n v="8634.1479531712903"/>
    <x v="0"/>
  </r>
  <r>
    <x v="30"/>
    <x v="1"/>
    <x v="208"/>
    <x v="2"/>
    <x v="2"/>
    <x v="3"/>
    <x v="0"/>
    <x v="1"/>
    <n v="0"/>
    <x v="0"/>
  </r>
  <r>
    <x v="30"/>
    <x v="1"/>
    <x v="208"/>
    <x v="2"/>
    <x v="2"/>
    <x v="3"/>
    <x v="0"/>
    <x v="2"/>
    <n v="172.01657144628228"/>
    <x v="0"/>
  </r>
  <r>
    <x v="30"/>
    <x v="1"/>
    <x v="208"/>
    <x v="2"/>
    <x v="2"/>
    <x v="3"/>
    <x v="0"/>
    <x v="3"/>
    <n v="0"/>
    <x v="0"/>
  </r>
  <r>
    <x v="30"/>
    <x v="1"/>
    <x v="208"/>
    <x v="2"/>
    <x v="2"/>
    <x v="3"/>
    <x v="0"/>
    <x v="4"/>
    <n v="0"/>
    <x v="0"/>
  </r>
  <r>
    <x v="30"/>
    <x v="1"/>
    <x v="208"/>
    <x v="2"/>
    <x v="2"/>
    <x v="3"/>
    <x v="0"/>
    <x v="5"/>
    <n v="0"/>
    <x v="0"/>
  </r>
  <r>
    <x v="30"/>
    <x v="1"/>
    <x v="208"/>
    <x v="2"/>
    <x v="2"/>
    <x v="3"/>
    <x v="0"/>
    <x v="6"/>
    <n v="0"/>
    <x v="0"/>
  </r>
  <r>
    <x v="30"/>
    <x v="1"/>
    <x v="208"/>
    <x v="2"/>
    <x v="2"/>
    <x v="3"/>
    <x v="0"/>
    <x v="7"/>
    <n v="0"/>
    <x v="0"/>
  </r>
  <r>
    <x v="30"/>
    <x v="1"/>
    <x v="208"/>
    <x v="2"/>
    <x v="2"/>
    <x v="3"/>
    <x v="0"/>
    <x v="8"/>
    <n v="0"/>
    <x v="0"/>
  </r>
  <r>
    <x v="30"/>
    <x v="1"/>
    <x v="208"/>
    <x v="2"/>
    <x v="2"/>
    <x v="3"/>
    <x v="0"/>
    <x v="9"/>
    <n v="0"/>
    <x v="0"/>
  </r>
  <r>
    <x v="30"/>
    <x v="1"/>
    <x v="208"/>
    <x v="2"/>
    <x v="2"/>
    <x v="3"/>
    <x v="0"/>
    <x v="10"/>
    <n v="0"/>
    <x v="0"/>
  </r>
  <r>
    <x v="30"/>
    <x v="1"/>
    <x v="208"/>
    <x v="2"/>
    <x v="2"/>
    <x v="3"/>
    <x v="0"/>
    <x v="11"/>
    <n v="0"/>
    <x v="0"/>
  </r>
  <r>
    <x v="30"/>
    <x v="1"/>
    <x v="209"/>
    <x v="2"/>
    <x v="2"/>
    <x v="3"/>
    <x v="0"/>
    <x v="0"/>
    <n v="72.737585215696214"/>
    <x v="0"/>
  </r>
  <r>
    <x v="30"/>
    <x v="1"/>
    <x v="209"/>
    <x v="2"/>
    <x v="2"/>
    <x v="3"/>
    <x v="0"/>
    <x v="1"/>
    <n v="168.21597608569292"/>
    <x v="0"/>
  </r>
  <r>
    <x v="30"/>
    <x v="1"/>
    <x v="209"/>
    <x v="2"/>
    <x v="2"/>
    <x v="3"/>
    <x v="0"/>
    <x v="2"/>
    <n v="0"/>
    <x v="0"/>
  </r>
  <r>
    <x v="30"/>
    <x v="1"/>
    <x v="209"/>
    <x v="2"/>
    <x v="2"/>
    <x v="3"/>
    <x v="0"/>
    <x v="3"/>
    <n v="0"/>
    <x v="0"/>
  </r>
  <r>
    <x v="30"/>
    <x v="1"/>
    <x v="209"/>
    <x v="2"/>
    <x v="2"/>
    <x v="3"/>
    <x v="0"/>
    <x v="4"/>
    <n v="58.340959602562428"/>
    <x v="0"/>
  </r>
  <r>
    <x v="30"/>
    <x v="1"/>
    <x v="209"/>
    <x v="2"/>
    <x v="2"/>
    <x v="3"/>
    <x v="0"/>
    <x v="5"/>
    <n v="0"/>
    <x v="0"/>
  </r>
  <r>
    <x v="30"/>
    <x v="1"/>
    <x v="209"/>
    <x v="2"/>
    <x v="2"/>
    <x v="3"/>
    <x v="0"/>
    <x v="6"/>
    <n v="0"/>
    <x v="0"/>
  </r>
  <r>
    <x v="30"/>
    <x v="1"/>
    <x v="209"/>
    <x v="2"/>
    <x v="2"/>
    <x v="3"/>
    <x v="0"/>
    <x v="7"/>
    <n v="0"/>
    <x v="0"/>
  </r>
  <r>
    <x v="30"/>
    <x v="1"/>
    <x v="209"/>
    <x v="2"/>
    <x v="2"/>
    <x v="3"/>
    <x v="0"/>
    <x v="8"/>
    <n v="0"/>
    <x v="0"/>
  </r>
  <r>
    <x v="30"/>
    <x v="1"/>
    <x v="209"/>
    <x v="2"/>
    <x v="2"/>
    <x v="3"/>
    <x v="0"/>
    <x v="9"/>
    <n v="0"/>
    <x v="0"/>
  </r>
  <r>
    <x v="30"/>
    <x v="1"/>
    <x v="209"/>
    <x v="2"/>
    <x v="2"/>
    <x v="3"/>
    <x v="0"/>
    <x v="10"/>
    <n v="0"/>
    <x v="0"/>
  </r>
  <r>
    <x v="30"/>
    <x v="1"/>
    <x v="209"/>
    <x v="2"/>
    <x v="2"/>
    <x v="3"/>
    <x v="0"/>
    <x v="11"/>
    <n v="0"/>
    <x v="0"/>
  </r>
  <r>
    <x v="30"/>
    <x v="0"/>
    <x v="210"/>
    <x v="2"/>
    <x v="3"/>
    <x v="3"/>
    <x v="0"/>
    <x v="0"/>
    <n v="0"/>
    <x v="0"/>
  </r>
  <r>
    <x v="30"/>
    <x v="0"/>
    <x v="210"/>
    <x v="2"/>
    <x v="3"/>
    <x v="3"/>
    <x v="0"/>
    <x v="1"/>
    <n v="0"/>
    <x v="0"/>
  </r>
  <r>
    <x v="30"/>
    <x v="0"/>
    <x v="210"/>
    <x v="2"/>
    <x v="3"/>
    <x v="3"/>
    <x v="0"/>
    <x v="2"/>
    <n v="0"/>
    <x v="0"/>
  </r>
  <r>
    <x v="30"/>
    <x v="0"/>
    <x v="210"/>
    <x v="2"/>
    <x v="3"/>
    <x v="3"/>
    <x v="0"/>
    <x v="3"/>
    <n v="0"/>
    <x v="0"/>
  </r>
  <r>
    <x v="30"/>
    <x v="0"/>
    <x v="210"/>
    <x v="2"/>
    <x v="3"/>
    <x v="3"/>
    <x v="0"/>
    <x v="4"/>
    <n v="0"/>
    <x v="0"/>
  </r>
  <r>
    <x v="30"/>
    <x v="0"/>
    <x v="210"/>
    <x v="2"/>
    <x v="3"/>
    <x v="3"/>
    <x v="0"/>
    <x v="5"/>
    <n v="0"/>
    <x v="0"/>
  </r>
  <r>
    <x v="30"/>
    <x v="0"/>
    <x v="210"/>
    <x v="2"/>
    <x v="3"/>
    <x v="3"/>
    <x v="0"/>
    <x v="6"/>
    <n v="270.24937070694142"/>
    <x v="0"/>
  </r>
  <r>
    <x v="30"/>
    <x v="0"/>
    <x v="210"/>
    <x v="2"/>
    <x v="3"/>
    <x v="3"/>
    <x v="0"/>
    <x v="7"/>
    <n v="354.15958705237125"/>
    <x v="0"/>
  </r>
  <r>
    <x v="30"/>
    <x v="0"/>
    <x v="210"/>
    <x v="2"/>
    <x v="3"/>
    <x v="3"/>
    <x v="0"/>
    <x v="8"/>
    <n v="248.09168547089752"/>
    <x v="0"/>
  </r>
  <r>
    <x v="30"/>
    <x v="0"/>
    <x v="210"/>
    <x v="2"/>
    <x v="3"/>
    <x v="3"/>
    <x v="0"/>
    <x v="9"/>
    <n v="319.03385056917364"/>
    <x v="0"/>
  </r>
  <r>
    <x v="30"/>
    <x v="0"/>
    <x v="210"/>
    <x v="2"/>
    <x v="3"/>
    <x v="3"/>
    <x v="0"/>
    <x v="10"/>
    <n v="0"/>
    <x v="0"/>
  </r>
  <r>
    <x v="30"/>
    <x v="0"/>
    <x v="210"/>
    <x v="2"/>
    <x v="3"/>
    <x v="3"/>
    <x v="0"/>
    <x v="11"/>
    <n v="0"/>
    <x v="0"/>
  </r>
  <r>
    <x v="30"/>
    <x v="1"/>
    <x v="211"/>
    <x v="2"/>
    <x v="2"/>
    <x v="3"/>
    <x v="0"/>
    <x v="0"/>
    <n v="0"/>
    <x v="0"/>
  </r>
  <r>
    <x v="30"/>
    <x v="1"/>
    <x v="211"/>
    <x v="2"/>
    <x v="2"/>
    <x v="3"/>
    <x v="0"/>
    <x v="1"/>
    <n v="0"/>
    <x v="0"/>
  </r>
  <r>
    <x v="30"/>
    <x v="1"/>
    <x v="211"/>
    <x v="2"/>
    <x v="2"/>
    <x v="3"/>
    <x v="0"/>
    <x v="2"/>
    <n v="0"/>
    <x v="0"/>
  </r>
  <r>
    <x v="30"/>
    <x v="1"/>
    <x v="211"/>
    <x v="2"/>
    <x v="2"/>
    <x v="3"/>
    <x v="0"/>
    <x v="3"/>
    <n v="0"/>
    <x v="0"/>
  </r>
  <r>
    <x v="30"/>
    <x v="1"/>
    <x v="211"/>
    <x v="2"/>
    <x v="2"/>
    <x v="3"/>
    <x v="0"/>
    <x v="4"/>
    <n v="174.91937943957817"/>
    <x v="0"/>
  </r>
  <r>
    <x v="30"/>
    <x v="1"/>
    <x v="211"/>
    <x v="2"/>
    <x v="2"/>
    <x v="3"/>
    <x v="0"/>
    <x v="5"/>
    <n v="0"/>
    <x v="0"/>
  </r>
  <r>
    <x v="30"/>
    <x v="1"/>
    <x v="211"/>
    <x v="2"/>
    <x v="2"/>
    <x v="3"/>
    <x v="0"/>
    <x v="6"/>
    <n v="114.13136225948206"/>
    <x v="0"/>
  </r>
  <r>
    <x v="30"/>
    <x v="1"/>
    <x v="211"/>
    <x v="2"/>
    <x v="2"/>
    <x v="3"/>
    <x v="0"/>
    <x v="7"/>
    <n v="0"/>
    <x v="0"/>
  </r>
  <r>
    <x v="30"/>
    <x v="1"/>
    <x v="211"/>
    <x v="2"/>
    <x v="2"/>
    <x v="3"/>
    <x v="0"/>
    <x v="8"/>
    <n v="115.52995540968031"/>
    <x v="0"/>
  </r>
  <r>
    <x v="30"/>
    <x v="1"/>
    <x v="211"/>
    <x v="2"/>
    <x v="2"/>
    <x v="3"/>
    <x v="0"/>
    <x v="9"/>
    <n v="57.294310405757066"/>
    <x v="0"/>
  </r>
  <r>
    <x v="30"/>
    <x v="1"/>
    <x v="211"/>
    <x v="2"/>
    <x v="2"/>
    <x v="3"/>
    <x v="0"/>
    <x v="10"/>
    <n v="0"/>
    <x v="0"/>
  </r>
  <r>
    <x v="30"/>
    <x v="1"/>
    <x v="211"/>
    <x v="2"/>
    <x v="2"/>
    <x v="3"/>
    <x v="0"/>
    <x v="11"/>
    <n v="0"/>
    <x v="0"/>
  </r>
  <r>
    <x v="30"/>
    <x v="1"/>
    <x v="212"/>
    <x v="2"/>
    <x v="3"/>
    <x v="31"/>
    <x v="0"/>
    <x v="0"/>
    <n v="0"/>
    <x v="0"/>
  </r>
  <r>
    <x v="30"/>
    <x v="1"/>
    <x v="212"/>
    <x v="2"/>
    <x v="3"/>
    <x v="31"/>
    <x v="0"/>
    <x v="1"/>
    <n v="0"/>
    <x v="0"/>
  </r>
  <r>
    <x v="30"/>
    <x v="1"/>
    <x v="212"/>
    <x v="2"/>
    <x v="3"/>
    <x v="31"/>
    <x v="0"/>
    <x v="2"/>
    <n v="127.58153998739579"/>
    <x v="0"/>
  </r>
  <r>
    <x v="30"/>
    <x v="1"/>
    <x v="212"/>
    <x v="2"/>
    <x v="3"/>
    <x v="31"/>
    <x v="0"/>
    <x v="3"/>
    <n v="0"/>
    <x v="0"/>
  </r>
  <r>
    <x v="30"/>
    <x v="1"/>
    <x v="212"/>
    <x v="2"/>
    <x v="3"/>
    <x v="31"/>
    <x v="0"/>
    <x v="4"/>
    <n v="0"/>
    <x v="0"/>
  </r>
  <r>
    <x v="30"/>
    <x v="1"/>
    <x v="212"/>
    <x v="2"/>
    <x v="3"/>
    <x v="31"/>
    <x v="0"/>
    <x v="5"/>
    <n v="0"/>
    <x v="0"/>
  </r>
  <r>
    <x v="30"/>
    <x v="1"/>
    <x v="212"/>
    <x v="2"/>
    <x v="3"/>
    <x v="31"/>
    <x v="0"/>
    <x v="6"/>
    <n v="0"/>
    <x v="0"/>
  </r>
  <r>
    <x v="30"/>
    <x v="1"/>
    <x v="212"/>
    <x v="2"/>
    <x v="3"/>
    <x v="31"/>
    <x v="0"/>
    <x v="7"/>
    <n v="0"/>
    <x v="0"/>
  </r>
  <r>
    <x v="30"/>
    <x v="1"/>
    <x v="212"/>
    <x v="2"/>
    <x v="3"/>
    <x v="31"/>
    <x v="0"/>
    <x v="8"/>
    <n v="0"/>
    <x v="0"/>
  </r>
  <r>
    <x v="30"/>
    <x v="1"/>
    <x v="212"/>
    <x v="2"/>
    <x v="3"/>
    <x v="31"/>
    <x v="0"/>
    <x v="9"/>
    <n v="0"/>
    <x v="0"/>
  </r>
  <r>
    <x v="30"/>
    <x v="1"/>
    <x v="212"/>
    <x v="2"/>
    <x v="3"/>
    <x v="31"/>
    <x v="0"/>
    <x v="10"/>
    <n v="0"/>
    <x v="0"/>
  </r>
  <r>
    <x v="30"/>
    <x v="1"/>
    <x v="212"/>
    <x v="2"/>
    <x v="3"/>
    <x v="31"/>
    <x v="0"/>
    <x v="11"/>
    <n v="0"/>
    <x v="0"/>
  </r>
  <r>
    <x v="30"/>
    <x v="1"/>
    <x v="213"/>
    <x v="3"/>
    <x v="8"/>
    <x v="32"/>
    <x v="0"/>
    <x v="0"/>
    <n v="0"/>
    <x v="0"/>
  </r>
  <r>
    <x v="30"/>
    <x v="1"/>
    <x v="213"/>
    <x v="3"/>
    <x v="8"/>
    <x v="32"/>
    <x v="0"/>
    <x v="1"/>
    <n v="0"/>
    <x v="0"/>
  </r>
  <r>
    <x v="30"/>
    <x v="1"/>
    <x v="213"/>
    <x v="3"/>
    <x v="8"/>
    <x v="32"/>
    <x v="0"/>
    <x v="2"/>
    <n v="0"/>
    <x v="0"/>
  </r>
  <r>
    <x v="30"/>
    <x v="1"/>
    <x v="213"/>
    <x v="3"/>
    <x v="8"/>
    <x v="32"/>
    <x v="0"/>
    <x v="3"/>
    <n v="0"/>
    <x v="0"/>
  </r>
  <r>
    <x v="30"/>
    <x v="1"/>
    <x v="213"/>
    <x v="3"/>
    <x v="8"/>
    <x v="32"/>
    <x v="0"/>
    <x v="4"/>
    <n v="435.78681309103587"/>
    <x v="0"/>
  </r>
  <r>
    <x v="30"/>
    <x v="1"/>
    <x v="213"/>
    <x v="3"/>
    <x v="8"/>
    <x v="32"/>
    <x v="0"/>
    <x v="5"/>
    <n v="0"/>
    <x v="0"/>
  </r>
  <r>
    <x v="30"/>
    <x v="1"/>
    <x v="213"/>
    <x v="3"/>
    <x v="8"/>
    <x v="32"/>
    <x v="0"/>
    <x v="6"/>
    <n v="0"/>
    <x v="0"/>
  </r>
  <r>
    <x v="30"/>
    <x v="1"/>
    <x v="213"/>
    <x v="3"/>
    <x v="8"/>
    <x v="32"/>
    <x v="0"/>
    <x v="7"/>
    <n v="0"/>
    <x v="0"/>
  </r>
  <r>
    <x v="30"/>
    <x v="1"/>
    <x v="213"/>
    <x v="3"/>
    <x v="8"/>
    <x v="32"/>
    <x v="0"/>
    <x v="8"/>
    <n v="0"/>
    <x v="0"/>
  </r>
  <r>
    <x v="30"/>
    <x v="1"/>
    <x v="213"/>
    <x v="3"/>
    <x v="8"/>
    <x v="32"/>
    <x v="0"/>
    <x v="9"/>
    <n v="0"/>
    <x v="0"/>
  </r>
  <r>
    <x v="30"/>
    <x v="1"/>
    <x v="213"/>
    <x v="3"/>
    <x v="8"/>
    <x v="32"/>
    <x v="0"/>
    <x v="10"/>
    <n v="0"/>
    <x v="0"/>
  </r>
  <r>
    <x v="30"/>
    <x v="1"/>
    <x v="213"/>
    <x v="3"/>
    <x v="8"/>
    <x v="32"/>
    <x v="0"/>
    <x v="11"/>
    <n v="0"/>
    <x v="0"/>
  </r>
  <r>
    <x v="30"/>
    <x v="1"/>
    <x v="214"/>
    <x v="2"/>
    <x v="2"/>
    <x v="3"/>
    <x v="0"/>
    <x v="0"/>
    <n v="0"/>
    <x v="0"/>
  </r>
  <r>
    <x v="30"/>
    <x v="1"/>
    <x v="214"/>
    <x v="2"/>
    <x v="2"/>
    <x v="3"/>
    <x v="0"/>
    <x v="1"/>
    <n v="0"/>
    <x v="0"/>
  </r>
  <r>
    <x v="30"/>
    <x v="1"/>
    <x v="214"/>
    <x v="2"/>
    <x v="2"/>
    <x v="3"/>
    <x v="0"/>
    <x v="2"/>
    <n v="363.24940853160871"/>
    <x v="0"/>
  </r>
  <r>
    <x v="30"/>
    <x v="1"/>
    <x v="214"/>
    <x v="2"/>
    <x v="2"/>
    <x v="3"/>
    <x v="0"/>
    <x v="3"/>
    <n v="0"/>
    <x v="0"/>
  </r>
  <r>
    <x v="30"/>
    <x v="1"/>
    <x v="214"/>
    <x v="2"/>
    <x v="2"/>
    <x v="3"/>
    <x v="0"/>
    <x v="4"/>
    <n v="0"/>
    <x v="0"/>
  </r>
  <r>
    <x v="30"/>
    <x v="1"/>
    <x v="214"/>
    <x v="2"/>
    <x v="2"/>
    <x v="3"/>
    <x v="0"/>
    <x v="5"/>
    <n v="0"/>
    <x v="0"/>
  </r>
  <r>
    <x v="30"/>
    <x v="1"/>
    <x v="214"/>
    <x v="2"/>
    <x v="2"/>
    <x v="3"/>
    <x v="0"/>
    <x v="6"/>
    <n v="0"/>
    <x v="0"/>
  </r>
  <r>
    <x v="30"/>
    <x v="1"/>
    <x v="214"/>
    <x v="2"/>
    <x v="2"/>
    <x v="3"/>
    <x v="0"/>
    <x v="7"/>
    <n v="0"/>
    <x v="0"/>
  </r>
  <r>
    <x v="30"/>
    <x v="1"/>
    <x v="214"/>
    <x v="2"/>
    <x v="2"/>
    <x v="3"/>
    <x v="0"/>
    <x v="8"/>
    <n v="0"/>
    <x v="0"/>
  </r>
  <r>
    <x v="30"/>
    <x v="1"/>
    <x v="214"/>
    <x v="2"/>
    <x v="2"/>
    <x v="3"/>
    <x v="0"/>
    <x v="9"/>
    <n v="0"/>
    <x v="0"/>
  </r>
  <r>
    <x v="30"/>
    <x v="1"/>
    <x v="214"/>
    <x v="2"/>
    <x v="2"/>
    <x v="3"/>
    <x v="0"/>
    <x v="10"/>
    <n v="0"/>
    <x v="0"/>
  </r>
  <r>
    <x v="30"/>
    <x v="1"/>
    <x v="214"/>
    <x v="2"/>
    <x v="2"/>
    <x v="3"/>
    <x v="0"/>
    <x v="11"/>
    <n v="0"/>
    <x v="0"/>
  </r>
  <r>
    <x v="30"/>
    <x v="1"/>
    <x v="215"/>
    <x v="2"/>
    <x v="3"/>
    <x v="14"/>
    <x v="0"/>
    <x v="0"/>
    <n v="0"/>
    <x v="0"/>
  </r>
  <r>
    <x v="30"/>
    <x v="1"/>
    <x v="215"/>
    <x v="2"/>
    <x v="3"/>
    <x v="14"/>
    <x v="0"/>
    <x v="1"/>
    <n v="0"/>
    <x v="0"/>
  </r>
  <r>
    <x v="30"/>
    <x v="1"/>
    <x v="215"/>
    <x v="2"/>
    <x v="3"/>
    <x v="14"/>
    <x v="0"/>
    <x v="2"/>
    <n v="35.095513105286543"/>
    <x v="0"/>
  </r>
  <r>
    <x v="30"/>
    <x v="1"/>
    <x v="215"/>
    <x v="2"/>
    <x v="3"/>
    <x v="14"/>
    <x v="0"/>
    <x v="3"/>
    <n v="0"/>
    <x v="0"/>
  </r>
  <r>
    <x v="30"/>
    <x v="1"/>
    <x v="215"/>
    <x v="2"/>
    <x v="3"/>
    <x v="14"/>
    <x v="0"/>
    <x v="4"/>
    <n v="0"/>
    <x v="0"/>
  </r>
  <r>
    <x v="30"/>
    <x v="1"/>
    <x v="215"/>
    <x v="2"/>
    <x v="3"/>
    <x v="14"/>
    <x v="0"/>
    <x v="5"/>
    <n v="0"/>
    <x v="0"/>
  </r>
  <r>
    <x v="30"/>
    <x v="1"/>
    <x v="215"/>
    <x v="2"/>
    <x v="3"/>
    <x v="14"/>
    <x v="0"/>
    <x v="6"/>
    <n v="0"/>
    <x v="0"/>
  </r>
  <r>
    <x v="30"/>
    <x v="1"/>
    <x v="215"/>
    <x v="2"/>
    <x v="3"/>
    <x v="14"/>
    <x v="0"/>
    <x v="7"/>
    <n v="0"/>
    <x v="0"/>
  </r>
  <r>
    <x v="30"/>
    <x v="1"/>
    <x v="215"/>
    <x v="2"/>
    <x v="3"/>
    <x v="14"/>
    <x v="0"/>
    <x v="8"/>
    <n v="0"/>
    <x v="0"/>
  </r>
  <r>
    <x v="30"/>
    <x v="1"/>
    <x v="215"/>
    <x v="2"/>
    <x v="3"/>
    <x v="14"/>
    <x v="0"/>
    <x v="9"/>
    <n v="0"/>
    <x v="0"/>
  </r>
  <r>
    <x v="30"/>
    <x v="1"/>
    <x v="215"/>
    <x v="2"/>
    <x v="3"/>
    <x v="14"/>
    <x v="0"/>
    <x v="10"/>
    <n v="0"/>
    <x v="0"/>
  </r>
  <r>
    <x v="30"/>
    <x v="1"/>
    <x v="215"/>
    <x v="2"/>
    <x v="3"/>
    <x v="14"/>
    <x v="0"/>
    <x v="11"/>
    <n v="0"/>
    <x v="0"/>
  </r>
  <r>
    <x v="30"/>
    <x v="1"/>
    <x v="216"/>
    <x v="2"/>
    <x v="3"/>
    <x v="14"/>
    <x v="0"/>
    <x v="0"/>
    <n v="0"/>
    <x v="0"/>
  </r>
  <r>
    <x v="30"/>
    <x v="1"/>
    <x v="216"/>
    <x v="2"/>
    <x v="3"/>
    <x v="14"/>
    <x v="0"/>
    <x v="1"/>
    <n v="0"/>
    <x v="0"/>
  </r>
  <r>
    <x v="30"/>
    <x v="1"/>
    <x v="216"/>
    <x v="2"/>
    <x v="3"/>
    <x v="14"/>
    <x v="0"/>
    <x v="2"/>
    <n v="0"/>
    <x v="0"/>
  </r>
  <r>
    <x v="30"/>
    <x v="1"/>
    <x v="216"/>
    <x v="2"/>
    <x v="3"/>
    <x v="14"/>
    <x v="0"/>
    <x v="3"/>
    <n v="44.045660007915515"/>
    <x v="0"/>
  </r>
  <r>
    <x v="30"/>
    <x v="1"/>
    <x v="216"/>
    <x v="2"/>
    <x v="3"/>
    <x v="14"/>
    <x v="0"/>
    <x v="4"/>
    <n v="0"/>
    <x v="0"/>
  </r>
  <r>
    <x v="30"/>
    <x v="1"/>
    <x v="216"/>
    <x v="2"/>
    <x v="3"/>
    <x v="14"/>
    <x v="0"/>
    <x v="5"/>
    <n v="0"/>
    <x v="0"/>
  </r>
  <r>
    <x v="30"/>
    <x v="1"/>
    <x v="216"/>
    <x v="2"/>
    <x v="3"/>
    <x v="14"/>
    <x v="0"/>
    <x v="6"/>
    <n v="0"/>
    <x v="0"/>
  </r>
  <r>
    <x v="30"/>
    <x v="1"/>
    <x v="216"/>
    <x v="2"/>
    <x v="3"/>
    <x v="14"/>
    <x v="0"/>
    <x v="7"/>
    <n v="0"/>
    <x v="0"/>
  </r>
  <r>
    <x v="30"/>
    <x v="1"/>
    <x v="216"/>
    <x v="2"/>
    <x v="3"/>
    <x v="14"/>
    <x v="0"/>
    <x v="8"/>
    <n v="0"/>
    <x v="0"/>
  </r>
  <r>
    <x v="30"/>
    <x v="1"/>
    <x v="216"/>
    <x v="2"/>
    <x v="3"/>
    <x v="14"/>
    <x v="0"/>
    <x v="9"/>
    <n v="0"/>
    <x v="0"/>
  </r>
  <r>
    <x v="30"/>
    <x v="1"/>
    <x v="216"/>
    <x v="2"/>
    <x v="3"/>
    <x v="14"/>
    <x v="0"/>
    <x v="10"/>
    <n v="0"/>
    <x v="0"/>
  </r>
  <r>
    <x v="30"/>
    <x v="1"/>
    <x v="216"/>
    <x v="2"/>
    <x v="3"/>
    <x v="14"/>
    <x v="0"/>
    <x v="11"/>
    <n v="0"/>
    <x v="0"/>
  </r>
  <r>
    <x v="30"/>
    <x v="1"/>
    <x v="217"/>
    <x v="2"/>
    <x v="4"/>
    <x v="33"/>
    <x v="0"/>
    <x v="0"/>
    <n v="0"/>
    <x v="0"/>
  </r>
  <r>
    <x v="30"/>
    <x v="1"/>
    <x v="217"/>
    <x v="2"/>
    <x v="4"/>
    <x v="33"/>
    <x v="0"/>
    <x v="1"/>
    <n v="0"/>
    <x v="0"/>
  </r>
  <r>
    <x v="30"/>
    <x v="1"/>
    <x v="217"/>
    <x v="2"/>
    <x v="4"/>
    <x v="33"/>
    <x v="0"/>
    <x v="2"/>
    <n v="0"/>
    <x v="0"/>
  </r>
  <r>
    <x v="30"/>
    <x v="1"/>
    <x v="217"/>
    <x v="2"/>
    <x v="4"/>
    <x v="33"/>
    <x v="0"/>
    <x v="3"/>
    <n v="0"/>
    <x v="0"/>
  </r>
  <r>
    <x v="30"/>
    <x v="1"/>
    <x v="217"/>
    <x v="2"/>
    <x v="4"/>
    <x v="33"/>
    <x v="0"/>
    <x v="4"/>
    <n v="1601.3531180546477"/>
    <x v="0"/>
  </r>
  <r>
    <x v="30"/>
    <x v="1"/>
    <x v="217"/>
    <x v="2"/>
    <x v="4"/>
    <x v="33"/>
    <x v="0"/>
    <x v="5"/>
    <n v="0"/>
    <x v="0"/>
  </r>
  <r>
    <x v="30"/>
    <x v="1"/>
    <x v="217"/>
    <x v="2"/>
    <x v="4"/>
    <x v="33"/>
    <x v="0"/>
    <x v="6"/>
    <n v="0"/>
    <x v="0"/>
  </r>
  <r>
    <x v="30"/>
    <x v="1"/>
    <x v="217"/>
    <x v="2"/>
    <x v="4"/>
    <x v="33"/>
    <x v="0"/>
    <x v="7"/>
    <n v="90.332293795031731"/>
    <x v="0"/>
  </r>
  <r>
    <x v="30"/>
    <x v="1"/>
    <x v="217"/>
    <x v="2"/>
    <x v="4"/>
    <x v="33"/>
    <x v="0"/>
    <x v="8"/>
    <n v="0"/>
    <x v="0"/>
  </r>
  <r>
    <x v="30"/>
    <x v="1"/>
    <x v="217"/>
    <x v="2"/>
    <x v="4"/>
    <x v="33"/>
    <x v="0"/>
    <x v="9"/>
    <n v="0"/>
    <x v="0"/>
  </r>
  <r>
    <x v="30"/>
    <x v="1"/>
    <x v="217"/>
    <x v="2"/>
    <x v="4"/>
    <x v="33"/>
    <x v="0"/>
    <x v="10"/>
    <n v="0"/>
    <x v="0"/>
  </r>
  <r>
    <x v="30"/>
    <x v="1"/>
    <x v="217"/>
    <x v="2"/>
    <x v="4"/>
    <x v="33"/>
    <x v="0"/>
    <x v="11"/>
    <n v="0"/>
    <x v="0"/>
  </r>
  <r>
    <x v="30"/>
    <x v="1"/>
    <x v="218"/>
    <x v="2"/>
    <x v="3"/>
    <x v="3"/>
    <x v="0"/>
    <x v="0"/>
    <n v="0"/>
    <x v="0"/>
  </r>
  <r>
    <x v="30"/>
    <x v="1"/>
    <x v="218"/>
    <x v="2"/>
    <x v="3"/>
    <x v="3"/>
    <x v="0"/>
    <x v="1"/>
    <n v="0"/>
    <x v="0"/>
  </r>
  <r>
    <x v="30"/>
    <x v="1"/>
    <x v="218"/>
    <x v="2"/>
    <x v="3"/>
    <x v="3"/>
    <x v="0"/>
    <x v="2"/>
    <n v="0"/>
    <x v="0"/>
  </r>
  <r>
    <x v="30"/>
    <x v="1"/>
    <x v="218"/>
    <x v="2"/>
    <x v="3"/>
    <x v="3"/>
    <x v="0"/>
    <x v="3"/>
    <n v="0"/>
    <x v="0"/>
  </r>
  <r>
    <x v="30"/>
    <x v="1"/>
    <x v="218"/>
    <x v="2"/>
    <x v="3"/>
    <x v="3"/>
    <x v="0"/>
    <x v="4"/>
    <n v="0"/>
    <x v="0"/>
  </r>
  <r>
    <x v="30"/>
    <x v="1"/>
    <x v="218"/>
    <x v="2"/>
    <x v="3"/>
    <x v="3"/>
    <x v="0"/>
    <x v="5"/>
    <n v="584.56504837595025"/>
    <x v="0"/>
  </r>
  <r>
    <x v="30"/>
    <x v="1"/>
    <x v="218"/>
    <x v="2"/>
    <x v="3"/>
    <x v="3"/>
    <x v="0"/>
    <x v="6"/>
    <n v="0"/>
    <x v="0"/>
  </r>
  <r>
    <x v="30"/>
    <x v="1"/>
    <x v="218"/>
    <x v="2"/>
    <x v="3"/>
    <x v="3"/>
    <x v="0"/>
    <x v="7"/>
    <n v="0"/>
    <x v="0"/>
  </r>
  <r>
    <x v="30"/>
    <x v="1"/>
    <x v="218"/>
    <x v="2"/>
    <x v="3"/>
    <x v="3"/>
    <x v="0"/>
    <x v="8"/>
    <n v="0"/>
    <x v="0"/>
  </r>
  <r>
    <x v="30"/>
    <x v="1"/>
    <x v="218"/>
    <x v="2"/>
    <x v="3"/>
    <x v="3"/>
    <x v="0"/>
    <x v="9"/>
    <n v="0"/>
    <x v="0"/>
  </r>
  <r>
    <x v="30"/>
    <x v="1"/>
    <x v="218"/>
    <x v="2"/>
    <x v="3"/>
    <x v="3"/>
    <x v="0"/>
    <x v="10"/>
    <n v="0"/>
    <x v="0"/>
  </r>
  <r>
    <x v="30"/>
    <x v="1"/>
    <x v="218"/>
    <x v="2"/>
    <x v="3"/>
    <x v="3"/>
    <x v="0"/>
    <x v="11"/>
    <n v="0"/>
    <x v="0"/>
  </r>
  <r>
    <x v="30"/>
    <x v="1"/>
    <x v="219"/>
    <x v="2"/>
    <x v="3"/>
    <x v="3"/>
    <x v="0"/>
    <x v="0"/>
    <n v="0"/>
    <x v="0"/>
  </r>
  <r>
    <x v="30"/>
    <x v="1"/>
    <x v="219"/>
    <x v="2"/>
    <x v="3"/>
    <x v="3"/>
    <x v="0"/>
    <x v="1"/>
    <n v="0"/>
    <x v="0"/>
  </r>
  <r>
    <x v="30"/>
    <x v="1"/>
    <x v="219"/>
    <x v="2"/>
    <x v="3"/>
    <x v="3"/>
    <x v="0"/>
    <x v="2"/>
    <n v="0"/>
    <x v="0"/>
  </r>
  <r>
    <x v="30"/>
    <x v="1"/>
    <x v="219"/>
    <x v="2"/>
    <x v="3"/>
    <x v="3"/>
    <x v="0"/>
    <x v="3"/>
    <n v="0"/>
    <x v="0"/>
  </r>
  <r>
    <x v="30"/>
    <x v="1"/>
    <x v="219"/>
    <x v="2"/>
    <x v="3"/>
    <x v="3"/>
    <x v="0"/>
    <x v="4"/>
    <n v="0"/>
    <x v="0"/>
  </r>
  <r>
    <x v="30"/>
    <x v="1"/>
    <x v="219"/>
    <x v="2"/>
    <x v="3"/>
    <x v="3"/>
    <x v="0"/>
    <x v="5"/>
    <n v="0"/>
    <x v="0"/>
  </r>
  <r>
    <x v="30"/>
    <x v="1"/>
    <x v="219"/>
    <x v="2"/>
    <x v="3"/>
    <x v="3"/>
    <x v="0"/>
    <x v="6"/>
    <n v="495.37096292503952"/>
    <x v="0"/>
  </r>
  <r>
    <x v="30"/>
    <x v="1"/>
    <x v="219"/>
    <x v="2"/>
    <x v="3"/>
    <x v="3"/>
    <x v="0"/>
    <x v="7"/>
    <n v="0"/>
    <x v="0"/>
  </r>
  <r>
    <x v="30"/>
    <x v="1"/>
    <x v="219"/>
    <x v="2"/>
    <x v="3"/>
    <x v="3"/>
    <x v="0"/>
    <x v="8"/>
    <n v="0"/>
    <x v="0"/>
  </r>
  <r>
    <x v="30"/>
    <x v="1"/>
    <x v="219"/>
    <x v="2"/>
    <x v="3"/>
    <x v="3"/>
    <x v="0"/>
    <x v="9"/>
    <n v="0"/>
    <x v="0"/>
  </r>
  <r>
    <x v="30"/>
    <x v="1"/>
    <x v="219"/>
    <x v="2"/>
    <x v="3"/>
    <x v="3"/>
    <x v="0"/>
    <x v="10"/>
    <n v="0"/>
    <x v="0"/>
  </r>
  <r>
    <x v="30"/>
    <x v="1"/>
    <x v="219"/>
    <x v="2"/>
    <x v="3"/>
    <x v="3"/>
    <x v="0"/>
    <x v="11"/>
    <n v="0"/>
    <x v="0"/>
  </r>
  <r>
    <x v="30"/>
    <x v="1"/>
    <x v="220"/>
    <x v="2"/>
    <x v="1"/>
    <x v="3"/>
    <x v="0"/>
    <x v="0"/>
    <n v="503.42845185519661"/>
    <x v="0"/>
  </r>
  <r>
    <x v="30"/>
    <x v="1"/>
    <x v="220"/>
    <x v="2"/>
    <x v="1"/>
    <x v="3"/>
    <x v="0"/>
    <x v="1"/>
    <n v="0"/>
    <x v="0"/>
  </r>
  <r>
    <x v="30"/>
    <x v="1"/>
    <x v="220"/>
    <x v="2"/>
    <x v="1"/>
    <x v="3"/>
    <x v="0"/>
    <x v="2"/>
    <n v="0"/>
    <x v="0"/>
  </r>
  <r>
    <x v="30"/>
    <x v="1"/>
    <x v="220"/>
    <x v="2"/>
    <x v="1"/>
    <x v="3"/>
    <x v="0"/>
    <x v="3"/>
    <n v="0"/>
    <x v="0"/>
  </r>
  <r>
    <x v="30"/>
    <x v="1"/>
    <x v="220"/>
    <x v="2"/>
    <x v="1"/>
    <x v="3"/>
    <x v="0"/>
    <x v="4"/>
    <n v="0"/>
    <x v="0"/>
  </r>
  <r>
    <x v="30"/>
    <x v="1"/>
    <x v="220"/>
    <x v="2"/>
    <x v="1"/>
    <x v="3"/>
    <x v="0"/>
    <x v="5"/>
    <n v="0"/>
    <x v="0"/>
  </r>
  <r>
    <x v="30"/>
    <x v="1"/>
    <x v="220"/>
    <x v="2"/>
    <x v="1"/>
    <x v="3"/>
    <x v="0"/>
    <x v="6"/>
    <n v="0"/>
    <x v="0"/>
  </r>
  <r>
    <x v="30"/>
    <x v="1"/>
    <x v="220"/>
    <x v="2"/>
    <x v="1"/>
    <x v="3"/>
    <x v="0"/>
    <x v="7"/>
    <n v="0"/>
    <x v="0"/>
  </r>
  <r>
    <x v="30"/>
    <x v="1"/>
    <x v="220"/>
    <x v="2"/>
    <x v="1"/>
    <x v="3"/>
    <x v="0"/>
    <x v="8"/>
    <n v="0"/>
    <x v="0"/>
  </r>
  <r>
    <x v="30"/>
    <x v="1"/>
    <x v="220"/>
    <x v="2"/>
    <x v="1"/>
    <x v="3"/>
    <x v="0"/>
    <x v="9"/>
    <n v="0"/>
    <x v="0"/>
  </r>
  <r>
    <x v="30"/>
    <x v="1"/>
    <x v="220"/>
    <x v="2"/>
    <x v="1"/>
    <x v="3"/>
    <x v="0"/>
    <x v="10"/>
    <n v="0"/>
    <x v="0"/>
  </r>
  <r>
    <x v="30"/>
    <x v="1"/>
    <x v="220"/>
    <x v="2"/>
    <x v="1"/>
    <x v="3"/>
    <x v="0"/>
    <x v="11"/>
    <n v="0"/>
    <x v="0"/>
  </r>
  <r>
    <x v="30"/>
    <x v="1"/>
    <x v="221"/>
    <x v="2"/>
    <x v="1"/>
    <x v="3"/>
    <x v="0"/>
    <x v="0"/>
    <n v="345.99499994493328"/>
    <x v="0"/>
  </r>
  <r>
    <x v="30"/>
    <x v="1"/>
    <x v="221"/>
    <x v="2"/>
    <x v="1"/>
    <x v="3"/>
    <x v="0"/>
    <x v="1"/>
    <n v="81.520385286058286"/>
    <x v="0"/>
  </r>
  <r>
    <x v="30"/>
    <x v="1"/>
    <x v="221"/>
    <x v="2"/>
    <x v="1"/>
    <x v="3"/>
    <x v="0"/>
    <x v="2"/>
    <n v="0"/>
    <x v="0"/>
  </r>
  <r>
    <x v="30"/>
    <x v="1"/>
    <x v="221"/>
    <x v="2"/>
    <x v="1"/>
    <x v="3"/>
    <x v="0"/>
    <x v="3"/>
    <n v="0"/>
    <x v="0"/>
  </r>
  <r>
    <x v="30"/>
    <x v="1"/>
    <x v="221"/>
    <x v="2"/>
    <x v="1"/>
    <x v="3"/>
    <x v="0"/>
    <x v="4"/>
    <n v="0"/>
    <x v="0"/>
  </r>
  <r>
    <x v="30"/>
    <x v="1"/>
    <x v="221"/>
    <x v="2"/>
    <x v="1"/>
    <x v="3"/>
    <x v="0"/>
    <x v="5"/>
    <n v="0"/>
    <x v="0"/>
  </r>
  <r>
    <x v="30"/>
    <x v="1"/>
    <x v="221"/>
    <x v="2"/>
    <x v="1"/>
    <x v="3"/>
    <x v="0"/>
    <x v="6"/>
    <n v="0"/>
    <x v="0"/>
  </r>
  <r>
    <x v="30"/>
    <x v="1"/>
    <x v="221"/>
    <x v="2"/>
    <x v="1"/>
    <x v="3"/>
    <x v="0"/>
    <x v="7"/>
    <n v="0"/>
    <x v="0"/>
  </r>
  <r>
    <x v="30"/>
    <x v="1"/>
    <x v="221"/>
    <x v="2"/>
    <x v="1"/>
    <x v="3"/>
    <x v="0"/>
    <x v="8"/>
    <n v="0"/>
    <x v="0"/>
  </r>
  <r>
    <x v="30"/>
    <x v="1"/>
    <x v="221"/>
    <x v="2"/>
    <x v="1"/>
    <x v="3"/>
    <x v="0"/>
    <x v="9"/>
    <n v="0"/>
    <x v="0"/>
  </r>
  <r>
    <x v="30"/>
    <x v="1"/>
    <x v="221"/>
    <x v="2"/>
    <x v="1"/>
    <x v="3"/>
    <x v="0"/>
    <x v="10"/>
    <n v="0"/>
    <x v="0"/>
  </r>
  <r>
    <x v="30"/>
    <x v="1"/>
    <x v="221"/>
    <x v="2"/>
    <x v="1"/>
    <x v="3"/>
    <x v="0"/>
    <x v="11"/>
    <n v="0"/>
    <x v="0"/>
  </r>
  <r>
    <x v="30"/>
    <x v="2"/>
    <x v="222"/>
    <x v="2"/>
    <x v="2"/>
    <x v="3"/>
    <x v="0"/>
    <x v="0"/>
    <n v="0"/>
    <x v="0"/>
  </r>
  <r>
    <x v="30"/>
    <x v="2"/>
    <x v="222"/>
    <x v="2"/>
    <x v="2"/>
    <x v="3"/>
    <x v="0"/>
    <x v="1"/>
    <n v="0"/>
    <x v="0"/>
  </r>
  <r>
    <x v="30"/>
    <x v="2"/>
    <x v="222"/>
    <x v="2"/>
    <x v="2"/>
    <x v="3"/>
    <x v="0"/>
    <x v="2"/>
    <n v="0"/>
    <x v="0"/>
  </r>
  <r>
    <x v="30"/>
    <x v="2"/>
    <x v="222"/>
    <x v="2"/>
    <x v="2"/>
    <x v="3"/>
    <x v="0"/>
    <x v="3"/>
    <n v="0"/>
    <x v="0"/>
  </r>
  <r>
    <x v="30"/>
    <x v="2"/>
    <x v="222"/>
    <x v="2"/>
    <x v="2"/>
    <x v="3"/>
    <x v="0"/>
    <x v="4"/>
    <n v="0"/>
    <x v="0"/>
  </r>
  <r>
    <x v="30"/>
    <x v="2"/>
    <x v="222"/>
    <x v="2"/>
    <x v="2"/>
    <x v="3"/>
    <x v="0"/>
    <x v="5"/>
    <n v="0"/>
    <x v="0"/>
  </r>
  <r>
    <x v="30"/>
    <x v="2"/>
    <x v="222"/>
    <x v="2"/>
    <x v="2"/>
    <x v="3"/>
    <x v="0"/>
    <x v="6"/>
    <n v="0"/>
    <x v="0"/>
  </r>
  <r>
    <x v="30"/>
    <x v="2"/>
    <x v="222"/>
    <x v="2"/>
    <x v="2"/>
    <x v="3"/>
    <x v="0"/>
    <x v="7"/>
    <n v="0"/>
    <x v="0"/>
  </r>
  <r>
    <x v="30"/>
    <x v="2"/>
    <x v="222"/>
    <x v="2"/>
    <x v="2"/>
    <x v="3"/>
    <x v="0"/>
    <x v="8"/>
    <n v="0"/>
    <x v="0"/>
  </r>
  <r>
    <x v="30"/>
    <x v="2"/>
    <x v="222"/>
    <x v="2"/>
    <x v="2"/>
    <x v="3"/>
    <x v="0"/>
    <x v="9"/>
    <n v="1070.8816568680995"/>
    <x v="0"/>
  </r>
  <r>
    <x v="30"/>
    <x v="2"/>
    <x v="222"/>
    <x v="2"/>
    <x v="2"/>
    <x v="3"/>
    <x v="0"/>
    <x v="10"/>
    <n v="0"/>
    <x v="0"/>
  </r>
  <r>
    <x v="30"/>
    <x v="2"/>
    <x v="222"/>
    <x v="2"/>
    <x v="2"/>
    <x v="3"/>
    <x v="0"/>
    <x v="11"/>
    <n v="0"/>
    <x v="0"/>
  </r>
  <r>
    <x v="30"/>
    <x v="0"/>
    <x v="223"/>
    <x v="2"/>
    <x v="3"/>
    <x v="11"/>
    <x v="0"/>
    <x v="0"/>
    <n v="0"/>
    <x v="0"/>
  </r>
  <r>
    <x v="30"/>
    <x v="0"/>
    <x v="223"/>
    <x v="2"/>
    <x v="3"/>
    <x v="11"/>
    <x v="0"/>
    <x v="1"/>
    <n v="0"/>
    <x v="0"/>
  </r>
  <r>
    <x v="30"/>
    <x v="0"/>
    <x v="223"/>
    <x v="2"/>
    <x v="3"/>
    <x v="11"/>
    <x v="0"/>
    <x v="2"/>
    <n v="0"/>
    <x v="0"/>
  </r>
  <r>
    <x v="30"/>
    <x v="0"/>
    <x v="223"/>
    <x v="2"/>
    <x v="3"/>
    <x v="11"/>
    <x v="0"/>
    <x v="3"/>
    <n v="2485.0698856416775"/>
    <x v="0"/>
  </r>
  <r>
    <x v="30"/>
    <x v="0"/>
    <x v="223"/>
    <x v="2"/>
    <x v="3"/>
    <x v="11"/>
    <x v="0"/>
    <x v="4"/>
    <n v="0"/>
    <x v="0"/>
  </r>
  <r>
    <x v="30"/>
    <x v="0"/>
    <x v="223"/>
    <x v="2"/>
    <x v="3"/>
    <x v="11"/>
    <x v="0"/>
    <x v="5"/>
    <n v="0"/>
    <x v="0"/>
  </r>
  <r>
    <x v="30"/>
    <x v="0"/>
    <x v="223"/>
    <x v="2"/>
    <x v="3"/>
    <x v="11"/>
    <x v="0"/>
    <x v="6"/>
    <n v="0"/>
    <x v="0"/>
  </r>
  <r>
    <x v="30"/>
    <x v="0"/>
    <x v="223"/>
    <x v="2"/>
    <x v="3"/>
    <x v="11"/>
    <x v="0"/>
    <x v="7"/>
    <n v="492.34648886977095"/>
    <x v="0"/>
  </r>
  <r>
    <x v="30"/>
    <x v="0"/>
    <x v="223"/>
    <x v="2"/>
    <x v="3"/>
    <x v="11"/>
    <x v="0"/>
    <x v="8"/>
    <n v="496.14990121030866"/>
    <x v="0"/>
  </r>
  <r>
    <x v="30"/>
    <x v="0"/>
    <x v="223"/>
    <x v="2"/>
    <x v="3"/>
    <x v="11"/>
    <x v="0"/>
    <x v="9"/>
    <n v="493.64967177477217"/>
    <x v="0"/>
  </r>
  <r>
    <x v="30"/>
    <x v="0"/>
    <x v="223"/>
    <x v="2"/>
    <x v="3"/>
    <x v="11"/>
    <x v="0"/>
    <x v="10"/>
    <n v="0"/>
    <x v="0"/>
  </r>
  <r>
    <x v="30"/>
    <x v="0"/>
    <x v="223"/>
    <x v="2"/>
    <x v="3"/>
    <x v="11"/>
    <x v="0"/>
    <x v="11"/>
    <n v="0"/>
    <x v="0"/>
  </r>
  <r>
    <x v="30"/>
    <x v="1"/>
    <x v="224"/>
    <x v="2"/>
    <x v="3"/>
    <x v="3"/>
    <x v="0"/>
    <x v="0"/>
    <n v="0"/>
    <x v="0"/>
  </r>
  <r>
    <x v="30"/>
    <x v="1"/>
    <x v="224"/>
    <x v="2"/>
    <x v="3"/>
    <x v="3"/>
    <x v="0"/>
    <x v="1"/>
    <n v="0"/>
    <x v="0"/>
  </r>
  <r>
    <x v="30"/>
    <x v="1"/>
    <x v="224"/>
    <x v="2"/>
    <x v="3"/>
    <x v="3"/>
    <x v="0"/>
    <x v="2"/>
    <n v="0"/>
    <x v="0"/>
  </r>
  <r>
    <x v="30"/>
    <x v="1"/>
    <x v="224"/>
    <x v="2"/>
    <x v="3"/>
    <x v="3"/>
    <x v="0"/>
    <x v="3"/>
    <n v="0"/>
    <x v="0"/>
  </r>
  <r>
    <x v="30"/>
    <x v="1"/>
    <x v="224"/>
    <x v="2"/>
    <x v="3"/>
    <x v="3"/>
    <x v="0"/>
    <x v="4"/>
    <n v="0"/>
    <x v="0"/>
  </r>
  <r>
    <x v="30"/>
    <x v="1"/>
    <x v="224"/>
    <x v="2"/>
    <x v="3"/>
    <x v="3"/>
    <x v="0"/>
    <x v="5"/>
    <n v="276.8119384934347"/>
    <x v="0"/>
  </r>
  <r>
    <x v="30"/>
    <x v="1"/>
    <x v="224"/>
    <x v="2"/>
    <x v="3"/>
    <x v="3"/>
    <x v="0"/>
    <x v="6"/>
    <n v="266.65066769060115"/>
    <x v="0"/>
  </r>
  <r>
    <x v="30"/>
    <x v="1"/>
    <x v="224"/>
    <x v="2"/>
    <x v="3"/>
    <x v="3"/>
    <x v="0"/>
    <x v="7"/>
    <n v="0"/>
    <x v="0"/>
  </r>
  <r>
    <x v="30"/>
    <x v="1"/>
    <x v="224"/>
    <x v="2"/>
    <x v="3"/>
    <x v="3"/>
    <x v="0"/>
    <x v="8"/>
    <n v="0"/>
    <x v="0"/>
  </r>
  <r>
    <x v="30"/>
    <x v="1"/>
    <x v="224"/>
    <x v="2"/>
    <x v="3"/>
    <x v="3"/>
    <x v="0"/>
    <x v="9"/>
    <n v="0"/>
    <x v="0"/>
  </r>
  <r>
    <x v="30"/>
    <x v="1"/>
    <x v="224"/>
    <x v="2"/>
    <x v="3"/>
    <x v="3"/>
    <x v="0"/>
    <x v="10"/>
    <n v="0"/>
    <x v="0"/>
  </r>
  <r>
    <x v="30"/>
    <x v="1"/>
    <x v="224"/>
    <x v="2"/>
    <x v="3"/>
    <x v="3"/>
    <x v="0"/>
    <x v="11"/>
    <n v="0"/>
    <x v="0"/>
  </r>
  <r>
    <x v="30"/>
    <x v="0"/>
    <x v="225"/>
    <x v="2"/>
    <x v="2"/>
    <x v="3"/>
    <x v="0"/>
    <x v="0"/>
    <n v="566.17363627352722"/>
    <x v="0"/>
  </r>
  <r>
    <x v="30"/>
    <x v="0"/>
    <x v="225"/>
    <x v="2"/>
    <x v="2"/>
    <x v="3"/>
    <x v="0"/>
    <x v="1"/>
    <n v="533.5879764178361"/>
    <x v="0"/>
  </r>
  <r>
    <x v="30"/>
    <x v="0"/>
    <x v="225"/>
    <x v="2"/>
    <x v="2"/>
    <x v="3"/>
    <x v="0"/>
    <x v="2"/>
    <n v="1120.0086783135146"/>
    <x v="0"/>
  </r>
  <r>
    <x v="30"/>
    <x v="0"/>
    <x v="225"/>
    <x v="2"/>
    <x v="2"/>
    <x v="3"/>
    <x v="0"/>
    <x v="3"/>
    <n v="0"/>
    <x v="0"/>
  </r>
  <r>
    <x v="30"/>
    <x v="0"/>
    <x v="225"/>
    <x v="2"/>
    <x v="2"/>
    <x v="3"/>
    <x v="0"/>
    <x v="4"/>
    <n v="292.02945918856494"/>
    <x v="0"/>
  </r>
  <r>
    <x v="30"/>
    <x v="0"/>
    <x v="225"/>
    <x v="2"/>
    <x v="2"/>
    <x v="3"/>
    <x v="0"/>
    <x v="5"/>
    <n v="292.65614201796819"/>
    <x v="0"/>
  </r>
  <r>
    <x v="30"/>
    <x v="0"/>
    <x v="225"/>
    <x v="2"/>
    <x v="2"/>
    <x v="3"/>
    <x v="0"/>
    <x v="6"/>
    <n v="283.99569094244634"/>
    <x v="0"/>
  </r>
  <r>
    <x v="30"/>
    <x v="0"/>
    <x v="225"/>
    <x v="2"/>
    <x v="2"/>
    <x v="3"/>
    <x v="0"/>
    <x v="7"/>
    <n v="574.58974083234762"/>
    <x v="0"/>
  </r>
  <r>
    <x v="30"/>
    <x v="0"/>
    <x v="225"/>
    <x v="2"/>
    <x v="2"/>
    <x v="3"/>
    <x v="0"/>
    <x v="8"/>
    <n v="291.65200116604223"/>
    <x v="0"/>
  </r>
  <r>
    <x v="30"/>
    <x v="0"/>
    <x v="225"/>
    <x v="2"/>
    <x v="2"/>
    <x v="3"/>
    <x v="0"/>
    <x v="9"/>
    <n v="289.27833285143663"/>
    <x v="0"/>
  </r>
  <r>
    <x v="30"/>
    <x v="0"/>
    <x v="225"/>
    <x v="2"/>
    <x v="2"/>
    <x v="3"/>
    <x v="0"/>
    <x v="10"/>
    <n v="289.25664268739848"/>
    <x v="0"/>
  </r>
  <r>
    <x v="30"/>
    <x v="0"/>
    <x v="225"/>
    <x v="2"/>
    <x v="2"/>
    <x v="3"/>
    <x v="0"/>
    <x v="11"/>
    <n v="289.25664268739848"/>
    <x v="0"/>
  </r>
  <r>
    <x v="30"/>
    <x v="0"/>
    <x v="226"/>
    <x v="2"/>
    <x v="2"/>
    <x v="3"/>
    <x v="0"/>
    <x v="0"/>
    <n v="0"/>
    <x v="0"/>
  </r>
  <r>
    <x v="30"/>
    <x v="0"/>
    <x v="226"/>
    <x v="2"/>
    <x v="2"/>
    <x v="3"/>
    <x v="0"/>
    <x v="1"/>
    <n v="0"/>
    <x v="0"/>
  </r>
  <r>
    <x v="30"/>
    <x v="0"/>
    <x v="226"/>
    <x v="2"/>
    <x v="2"/>
    <x v="3"/>
    <x v="0"/>
    <x v="2"/>
    <n v="0"/>
    <x v="0"/>
  </r>
  <r>
    <x v="30"/>
    <x v="0"/>
    <x v="226"/>
    <x v="2"/>
    <x v="2"/>
    <x v="3"/>
    <x v="0"/>
    <x v="3"/>
    <n v="0"/>
    <x v="0"/>
  </r>
  <r>
    <x v="30"/>
    <x v="0"/>
    <x v="226"/>
    <x v="2"/>
    <x v="2"/>
    <x v="3"/>
    <x v="0"/>
    <x v="4"/>
    <n v="590.54124722185907"/>
    <x v="0"/>
  </r>
  <r>
    <x v="30"/>
    <x v="0"/>
    <x v="226"/>
    <x v="2"/>
    <x v="2"/>
    <x v="3"/>
    <x v="0"/>
    <x v="5"/>
    <n v="0"/>
    <x v="0"/>
  </r>
  <r>
    <x v="30"/>
    <x v="0"/>
    <x v="226"/>
    <x v="2"/>
    <x v="2"/>
    <x v="3"/>
    <x v="0"/>
    <x v="6"/>
    <n v="0"/>
    <x v="0"/>
  </r>
  <r>
    <x v="30"/>
    <x v="0"/>
    <x v="226"/>
    <x v="2"/>
    <x v="2"/>
    <x v="3"/>
    <x v="0"/>
    <x v="7"/>
    <n v="0"/>
    <x v="0"/>
  </r>
  <r>
    <x v="30"/>
    <x v="0"/>
    <x v="226"/>
    <x v="2"/>
    <x v="2"/>
    <x v="3"/>
    <x v="0"/>
    <x v="8"/>
    <n v="0"/>
    <x v="0"/>
  </r>
  <r>
    <x v="30"/>
    <x v="0"/>
    <x v="226"/>
    <x v="2"/>
    <x v="2"/>
    <x v="3"/>
    <x v="0"/>
    <x v="9"/>
    <n v="0"/>
    <x v="0"/>
  </r>
  <r>
    <x v="30"/>
    <x v="0"/>
    <x v="226"/>
    <x v="2"/>
    <x v="2"/>
    <x v="3"/>
    <x v="0"/>
    <x v="10"/>
    <n v="0"/>
    <x v="0"/>
  </r>
  <r>
    <x v="30"/>
    <x v="0"/>
    <x v="226"/>
    <x v="2"/>
    <x v="2"/>
    <x v="3"/>
    <x v="0"/>
    <x v="11"/>
    <n v="0"/>
    <x v="0"/>
  </r>
  <r>
    <x v="30"/>
    <x v="0"/>
    <x v="227"/>
    <x v="2"/>
    <x v="3"/>
    <x v="34"/>
    <x v="0"/>
    <x v="0"/>
    <n v="234.19751318847125"/>
    <x v="0"/>
  </r>
  <r>
    <x v="30"/>
    <x v="0"/>
    <x v="227"/>
    <x v="2"/>
    <x v="3"/>
    <x v="34"/>
    <x v="0"/>
    <x v="1"/>
    <n v="0"/>
    <x v="0"/>
  </r>
  <r>
    <x v="30"/>
    <x v="0"/>
    <x v="227"/>
    <x v="2"/>
    <x v="3"/>
    <x v="34"/>
    <x v="0"/>
    <x v="2"/>
    <n v="0"/>
    <x v="0"/>
  </r>
  <r>
    <x v="30"/>
    <x v="0"/>
    <x v="227"/>
    <x v="2"/>
    <x v="3"/>
    <x v="34"/>
    <x v="0"/>
    <x v="3"/>
    <n v="0"/>
    <x v="0"/>
  </r>
  <r>
    <x v="30"/>
    <x v="0"/>
    <x v="227"/>
    <x v="2"/>
    <x v="3"/>
    <x v="34"/>
    <x v="0"/>
    <x v="4"/>
    <n v="0"/>
    <x v="0"/>
  </r>
  <r>
    <x v="30"/>
    <x v="0"/>
    <x v="227"/>
    <x v="2"/>
    <x v="3"/>
    <x v="34"/>
    <x v="0"/>
    <x v="5"/>
    <n v="0"/>
    <x v="0"/>
  </r>
  <r>
    <x v="30"/>
    <x v="0"/>
    <x v="227"/>
    <x v="2"/>
    <x v="3"/>
    <x v="34"/>
    <x v="0"/>
    <x v="6"/>
    <n v="444.74273646486625"/>
    <x v="0"/>
  </r>
  <r>
    <x v="30"/>
    <x v="0"/>
    <x v="227"/>
    <x v="2"/>
    <x v="3"/>
    <x v="34"/>
    <x v="0"/>
    <x v="7"/>
    <n v="0"/>
    <x v="0"/>
  </r>
  <r>
    <x v="30"/>
    <x v="0"/>
    <x v="227"/>
    <x v="2"/>
    <x v="3"/>
    <x v="34"/>
    <x v="0"/>
    <x v="8"/>
    <n v="0"/>
    <x v="0"/>
  </r>
  <r>
    <x v="30"/>
    <x v="0"/>
    <x v="227"/>
    <x v="2"/>
    <x v="3"/>
    <x v="34"/>
    <x v="0"/>
    <x v="9"/>
    <n v="0"/>
    <x v="0"/>
  </r>
  <r>
    <x v="30"/>
    <x v="0"/>
    <x v="227"/>
    <x v="2"/>
    <x v="3"/>
    <x v="34"/>
    <x v="0"/>
    <x v="10"/>
    <n v="0"/>
    <x v="0"/>
  </r>
  <r>
    <x v="30"/>
    <x v="0"/>
    <x v="227"/>
    <x v="2"/>
    <x v="3"/>
    <x v="34"/>
    <x v="0"/>
    <x v="11"/>
    <n v="0"/>
    <x v="0"/>
  </r>
  <r>
    <x v="30"/>
    <x v="1"/>
    <x v="228"/>
    <x v="2"/>
    <x v="3"/>
    <x v="20"/>
    <x v="0"/>
    <x v="0"/>
    <n v="0"/>
    <x v="0"/>
  </r>
  <r>
    <x v="30"/>
    <x v="1"/>
    <x v="228"/>
    <x v="2"/>
    <x v="3"/>
    <x v="20"/>
    <x v="0"/>
    <x v="1"/>
    <n v="0"/>
    <x v="0"/>
  </r>
  <r>
    <x v="30"/>
    <x v="1"/>
    <x v="228"/>
    <x v="2"/>
    <x v="3"/>
    <x v="20"/>
    <x v="0"/>
    <x v="2"/>
    <n v="0"/>
    <x v="0"/>
  </r>
  <r>
    <x v="30"/>
    <x v="1"/>
    <x v="228"/>
    <x v="2"/>
    <x v="3"/>
    <x v="20"/>
    <x v="0"/>
    <x v="3"/>
    <n v="51.355010727602227"/>
    <x v="0"/>
  </r>
  <r>
    <x v="30"/>
    <x v="1"/>
    <x v="228"/>
    <x v="2"/>
    <x v="3"/>
    <x v="20"/>
    <x v="0"/>
    <x v="4"/>
    <n v="2309.8542293110208"/>
    <x v="0"/>
  </r>
  <r>
    <x v="30"/>
    <x v="1"/>
    <x v="228"/>
    <x v="2"/>
    <x v="3"/>
    <x v="20"/>
    <x v="0"/>
    <x v="5"/>
    <n v="0"/>
    <x v="0"/>
  </r>
  <r>
    <x v="30"/>
    <x v="1"/>
    <x v="228"/>
    <x v="2"/>
    <x v="3"/>
    <x v="20"/>
    <x v="0"/>
    <x v="6"/>
    <n v="2278.3597849737616"/>
    <x v="0"/>
  </r>
  <r>
    <x v="30"/>
    <x v="1"/>
    <x v="228"/>
    <x v="2"/>
    <x v="3"/>
    <x v="20"/>
    <x v="0"/>
    <x v="7"/>
    <n v="0"/>
    <x v="0"/>
  </r>
  <r>
    <x v="30"/>
    <x v="1"/>
    <x v="228"/>
    <x v="2"/>
    <x v="3"/>
    <x v="20"/>
    <x v="0"/>
    <x v="8"/>
    <n v="2344.01701557962"/>
    <x v="0"/>
  </r>
  <r>
    <x v="30"/>
    <x v="1"/>
    <x v="228"/>
    <x v="2"/>
    <x v="3"/>
    <x v="20"/>
    <x v="0"/>
    <x v="9"/>
    <n v="0"/>
    <x v="0"/>
  </r>
  <r>
    <x v="30"/>
    <x v="1"/>
    <x v="228"/>
    <x v="2"/>
    <x v="3"/>
    <x v="20"/>
    <x v="0"/>
    <x v="10"/>
    <n v="0"/>
    <x v="0"/>
  </r>
  <r>
    <x v="30"/>
    <x v="1"/>
    <x v="228"/>
    <x v="2"/>
    <x v="3"/>
    <x v="20"/>
    <x v="0"/>
    <x v="11"/>
    <n v="0"/>
    <x v="0"/>
  </r>
  <r>
    <x v="30"/>
    <x v="1"/>
    <x v="229"/>
    <x v="2"/>
    <x v="2"/>
    <x v="3"/>
    <x v="0"/>
    <x v="0"/>
    <n v="0"/>
    <x v="0"/>
  </r>
  <r>
    <x v="30"/>
    <x v="1"/>
    <x v="229"/>
    <x v="2"/>
    <x v="2"/>
    <x v="3"/>
    <x v="0"/>
    <x v="1"/>
    <n v="0"/>
    <x v="0"/>
  </r>
  <r>
    <x v="30"/>
    <x v="1"/>
    <x v="229"/>
    <x v="2"/>
    <x v="2"/>
    <x v="3"/>
    <x v="0"/>
    <x v="2"/>
    <n v="0"/>
    <x v="0"/>
  </r>
  <r>
    <x v="30"/>
    <x v="1"/>
    <x v="229"/>
    <x v="2"/>
    <x v="2"/>
    <x v="3"/>
    <x v="0"/>
    <x v="3"/>
    <n v="0"/>
    <x v="0"/>
  </r>
  <r>
    <x v="30"/>
    <x v="1"/>
    <x v="229"/>
    <x v="2"/>
    <x v="2"/>
    <x v="3"/>
    <x v="0"/>
    <x v="4"/>
    <n v="0"/>
    <x v="0"/>
  </r>
  <r>
    <x v="30"/>
    <x v="1"/>
    <x v="229"/>
    <x v="2"/>
    <x v="2"/>
    <x v="3"/>
    <x v="0"/>
    <x v="5"/>
    <n v="0"/>
    <x v="0"/>
  </r>
  <r>
    <x v="30"/>
    <x v="1"/>
    <x v="229"/>
    <x v="2"/>
    <x v="2"/>
    <x v="3"/>
    <x v="0"/>
    <x v="6"/>
    <n v="0"/>
    <x v="0"/>
  </r>
  <r>
    <x v="30"/>
    <x v="1"/>
    <x v="229"/>
    <x v="2"/>
    <x v="2"/>
    <x v="3"/>
    <x v="0"/>
    <x v="7"/>
    <n v="865.67587912678789"/>
    <x v="0"/>
  </r>
  <r>
    <x v="30"/>
    <x v="1"/>
    <x v="229"/>
    <x v="2"/>
    <x v="2"/>
    <x v="3"/>
    <x v="0"/>
    <x v="8"/>
    <n v="75.57681303376124"/>
    <x v="0"/>
  </r>
  <r>
    <x v="30"/>
    <x v="1"/>
    <x v="229"/>
    <x v="2"/>
    <x v="2"/>
    <x v="3"/>
    <x v="0"/>
    <x v="9"/>
    <n v="0"/>
    <x v="0"/>
  </r>
  <r>
    <x v="30"/>
    <x v="1"/>
    <x v="229"/>
    <x v="2"/>
    <x v="2"/>
    <x v="3"/>
    <x v="0"/>
    <x v="10"/>
    <n v="0"/>
    <x v="0"/>
  </r>
  <r>
    <x v="30"/>
    <x v="1"/>
    <x v="229"/>
    <x v="2"/>
    <x v="2"/>
    <x v="3"/>
    <x v="0"/>
    <x v="11"/>
    <n v="0"/>
    <x v="0"/>
  </r>
  <r>
    <x v="30"/>
    <x v="1"/>
    <x v="230"/>
    <x v="0"/>
    <x v="9"/>
    <x v="35"/>
    <x v="0"/>
    <x v="0"/>
    <n v="0"/>
    <x v="0"/>
  </r>
  <r>
    <x v="30"/>
    <x v="1"/>
    <x v="230"/>
    <x v="0"/>
    <x v="9"/>
    <x v="35"/>
    <x v="0"/>
    <x v="1"/>
    <n v="0"/>
    <x v="0"/>
  </r>
  <r>
    <x v="30"/>
    <x v="1"/>
    <x v="230"/>
    <x v="0"/>
    <x v="9"/>
    <x v="35"/>
    <x v="0"/>
    <x v="2"/>
    <n v="0"/>
    <x v="0"/>
  </r>
  <r>
    <x v="30"/>
    <x v="1"/>
    <x v="230"/>
    <x v="0"/>
    <x v="9"/>
    <x v="35"/>
    <x v="0"/>
    <x v="3"/>
    <n v="0"/>
    <x v="0"/>
  </r>
  <r>
    <x v="30"/>
    <x v="1"/>
    <x v="230"/>
    <x v="0"/>
    <x v="9"/>
    <x v="35"/>
    <x v="0"/>
    <x v="4"/>
    <n v="0"/>
    <x v="0"/>
  </r>
  <r>
    <x v="30"/>
    <x v="1"/>
    <x v="230"/>
    <x v="0"/>
    <x v="9"/>
    <x v="35"/>
    <x v="0"/>
    <x v="5"/>
    <n v="0"/>
    <x v="0"/>
  </r>
  <r>
    <x v="30"/>
    <x v="1"/>
    <x v="230"/>
    <x v="0"/>
    <x v="9"/>
    <x v="35"/>
    <x v="0"/>
    <x v="6"/>
    <n v="0"/>
    <x v="0"/>
  </r>
  <r>
    <x v="30"/>
    <x v="1"/>
    <x v="230"/>
    <x v="0"/>
    <x v="9"/>
    <x v="35"/>
    <x v="0"/>
    <x v="7"/>
    <n v="0"/>
    <x v="0"/>
  </r>
  <r>
    <x v="30"/>
    <x v="1"/>
    <x v="230"/>
    <x v="0"/>
    <x v="9"/>
    <x v="35"/>
    <x v="0"/>
    <x v="8"/>
    <n v="0"/>
    <x v="0"/>
  </r>
  <r>
    <x v="30"/>
    <x v="1"/>
    <x v="230"/>
    <x v="0"/>
    <x v="9"/>
    <x v="35"/>
    <x v="0"/>
    <x v="9"/>
    <n v="0"/>
    <x v="0"/>
  </r>
  <r>
    <x v="30"/>
    <x v="1"/>
    <x v="230"/>
    <x v="0"/>
    <x v="9"/>
    <x v="35"/>
    <x v="0"/>
    <x v="10"/>
    <n v="0"/>
    <x v="0"/>
  </r>
  <r>
    <x v="30"/>
    <x v="1"/>
    <x v="230"/>
    <x v="0"/>
    <x v="9"/>
    <x v="35"/>
    <x v="0"/>
    <x v="11"/>
    <n v="0"/>
    <x v="0"/>
  </r>
  <r>
    <x v="30"/>
    <x v="1"/>
    <x v="231"/>
    <x v="0"/>
    <x v="9"/>
    <x v="35"/>
    <x v="0"/>
    <x v="0"/>
    <n v="87861.647154704347"/>
    <x v="0"/>
  </r>
  <r>
    <x v="30"/>
    <x v="1"/>
    <x v="231"/>
    <x v="0"/>
    <x v="9"/>
    <x v="35"/>
    <x v="0"/>
    <x v="1"/>
    <n v="75662.111807689114"/>
    <x v="0"/>
  </r>
  <r>
    <x v="30"/>
    <x v="1"/>
    <x v="231"/>
    <x v="0"/>
    <x v="9"/>
    <x v="35"/>
    <x v="0"/>
    <x v="2"/>
    <n v="16948.437387001126"/>
    <x v="0"/>
  </r>
  <r>
    <x v="30"/>
    <x v="1"/>
    <x v="231"/>
    <x v="0"/>
    <x v="9"/>
    <x v="35"/>
    <x v="0"/>
    <x v="3"/>
    <n v="41207.305184660574"/>
    <x v="0"/>
  </r>
  <r>
    <x v="30"/>
    <x v="1"/>
    <x v="231"/>
    <x v="0"/>
    <x v="9"/>
    <x v="35"/>
    <x v="0"/>
    <x v="4"/>
    <n v="18324.099010763934"/>
    <x v="0"/>
  </r>
  <r>
    <x v="30"/>
    <x v="1"/>
    <x v="231"/>
    <x v="0"/>
    <x v="9"/>
    <x v="35"/>
    <x v="0"/>
    <x v="5"/>
    <n v="25946.446311333792"/>
    <x v="0"/>
  </r>
  <r>
    <x v="30"/>
    <x v="1"/>
    <x v="231"/>
    <x v="0"/>
    <x v="9"/>
    <x v="35"/>
    <x v="0"/>
    <x v="6"/>
    <n v="25109.217543410556"/>
    <x v="0"/>
  </r>
  <r>
    <x v="30"/>
    <x v="1"/>
    <x v="231"/>
    <x v="0"/>
    <x v="9"/>
    <x v="35"/>
    <x v="0"/>
    <x v="7"/>
    <n v="0"/>
    <x v="0"/>
  </r>
  <r>
    <x v="30"/>
    <x v="1"/>
    <x v="231"/>
    <x v="0"/>
    <x v="9"/>
    <x v="35"/>
    <x v="0"/>
    <x v="8"/>
    <n v="100217.1041124583"/>
    <x v="0"/>
  </r>
  <r>
    <x v="30"/>
    <x v="1"/>
    <x v="231"/>
    <x v="0"/>
    <x v="9"/>
    <x v="35"/>
    <x v="0"/>
    <x v="9"/>
    <n v="82725.581221019267"/>
    <x v="0"/>
  </r>
  <r>
    <x v="30"/>
    <x v="1"/>
    <x v="231"/>
    <x v="0"/>
    <x v="9"/>
    <x v="35"/>
    <x v="0"/>
    <x v="10"/>
    <n v="43012.140176564833"/>
    <x v="0"/>
  </r>
  <r>
    <x v="30"/>
    <x v="1"/>
    <x v="231"/>
    <x v="0"/>
    <x v="9"/>
    <x v="35"/>
    <x v="0"/>
    <x v="11"/>
    <n v="43012.140176564833"/>
    <x v="0"/>
  </r>
  <r>
    <x v="30"/>
    <x v="1"/>
    <x v="232"/>
    <x v="0"/>
    <x v="9"/>
    <x v="35"/>
    <x v="0"/>
    <x v="0"/>
    <n v="2122.5409971475456"/>
    <x v="0"/>
  </r>
  <r>
    <x v="30"/>
    <x v="1"/>
    <x v="232"/>
    <x v="0"/>
    <x v="9"/>
    <x v="35"/>
    <x v="0"/>
    <x v="1"/>
    <n v="380.23644440753964"/>
    <x v="0"/>
  </r>
  <r>
    <x v="30"/>
    <x v="1"/>
    <x v="232"/>
    <x v="0"/>
    <x v="9"/>
    <x v="35"/>
    <x v="0"/>
    <x v="2"/>
    <n v="718.38769332493052"/>
    <x v="0"/>
  </r>
  <r>
    <x v="30"/>
    <x v="1"/>
    <x v="232"/>
    <x v="0"/>
    <x v="9"/>
    <x v="35"/>
    <x v="0"/>
    <x v="3"/>
    <n v="416.78088612077408"/>
    <x v="0"/>
  </r>
  <r>
    <x v="30"/>
    <x v="1"/>
    <x v="232"/>
    <x v="0"/>
    <x v="9"/>
    <x v="35"/>
    <x v="0"/>
    <x v="4"/>
    <n v="398.32439970366499"/>
    <x v="0"/>
  </r>
  <r>
    <x v="30"/>
    <x v="1"/>
    <x v="232"/>
    <x v="0"/>
    <x v="9"/>
    <x v="35"/>
    <x v="0"/>
    <x v="5"/>
    <n v="438.25587422252937"/>
    <x v="0"/>
  </r>
  <r>
    <x v="30"/>
    <x v="1"/>
    <x v="232"/>
    <x v="0"/>
    <x v="9"/>
    <x v="35"/>
    <x v="0"/>
    <x v="6"/>
    <n v="472.24604291991983"/>
    <x v="0"/>
  </r>
  <r>
    <x v="30"/>
    <x v="1"/>
    <x v="232"/>
    <x v="0"/>
    <x v="9"/>
    <x v="35"/>
    <x v="0"/>
    <x v="7"/>
    <n v="0"/>
    <x v="0"/>
  </r>
  <r>
    <x v="30"/>
    <x v="1"/>
    <x v="232"/>
    <x v="0"/>
    <x v="9"/>
    <x v="35"/>
    <x v="0"/>
    <x v="8"/>
    <n v="447.51082367929519"/>
    <x v="0"/>
  </r>
  <r>
    <x v="30"/>
    <x v="1"/>
    <x v="232"/>
    <x v="0"/>
    <x v="9"/>
    <x v="35"/>
    <x v="0"/>
    <x v="9"/>
    <n v="0"/>
    <x v="0"/>
  </r>
  <r>
    <x v="30"/>
    <x v="1"/>
    <x v="232"/>
    <x v="0"/>
    <x v="9"/>
    <x v="35"/>
    <x v="0"/>
    <x v="10"/>
    <n v="430.12140176564833"/>
    <x v="0"/>
  </r>
  <r>
    <x v="30"/>
    <x v="1"/>
    <x v="232"/>
    <x v="0"/>
    <x v="9"/>
    <x v="35"/>
    <x v="0"/>
    <x v="11"/>
    <n v="430.12140176564833"/>
    <x v="0"/>
  </r>
  <r>
    <x v="30"/>
    <x v="1"/>
    <x v="233"/>
    <x v="0"/>
    <x v="9"/>
    <x v="35"/>
    <x v="0"/>
    <x v="0"/>
    <n v="0"/>
    <x v="0"/>
  </r>
  <r>
    <x v="30"/>
    <x v="1"/>
    <x v="233"/>
    <x v="0"/>
    <x v="9"/>
    <x v="35"/>
    <x v="0"/>
    <x v="1"/>
    <n v="0"/>
    <x v="0"/>
  </r>
  <r>
    <x v="30"/>
    <x v="1"/>
    <x v="233"/>
    <x v="0"/>
    <x v="9"/>
    <x v="35"/>
    <x v="0"/>
    <x v="2"/>
    <n v="0"/>
    <x v="0"/>
  </r>
  <r>
    <x v="30"/>
    <x v="1"/>
    <x v="233"/>
    <x v="0"/>
    <x v="9"/>
    <x v="35"/>
    <x v="0"/>
    <x v="3"/>
    <n v="0"/>
    <x v="0"/>
  </r>
  <r>
    <x v="30"/>
    <x v="1"/>
    <x v="233"/>
    <x v="0"/>
    <x v="9"/>
    <x v="35"/>
    <x v="0"/>
    <x v="4"/>
    <n v="0"/>
    <x v="0"/>
  </r>
  <r>
    <x v="30"/>
    <x v="1"/>
    <x v="233"/>
    <x v="0"/>
    <x v="9"/>
    <x v="35"/>
    <x v="0"/>
    <x v="5"/>
    <n v="126.3249395300622"/>
    <x v="0"/>
  </r>
  <r>
    <x v="30"/>
    <x v="1"/>
    <x v="233"/>
    <x v="0"/>
    <x v="9"/>
    <x v="35"/>
    <x v="0"/>
    <x v="6"/>
    <n v="0"/>
    <x v="0"/>
  </r>
  <r>
    <x v="30"/>
    <x v="1"/>
    <x v="233"/>
    <x v="0"/>
    <x v="9"/>
    <x v="35"/>
    <x v="0"/>
    <x v="7"/>
    <n v="0"/>
    <x v="0"/>
  </r>
  <r>
    <x v="30"/>
    <x v="1"/>
    <x v="233"/>
    <x v="0"/>
    <x v="9"/>
    <x v="35"/>
    <x v="0"/>
    <x v="8"/>
    <n v="0"/>
    <x v="0"/>
  </r>
  <r>
    <x v="30"/>
    <x v="1"/>
    <x v="233"/>
    <x v="0"/>
    <x v="9"/>
    <x v="35"/>
    <x v="0"/>
    <x v="9"/>
    <n v="0"/>
    <x v="0"/>
  </r>
  <r>
    <x v="30"/>
    <x v="1"/>
    <x v="233"/>
    <x v="0"/>
    <x v="9"/>
    <x v="35"/>
    <x v="0"/>
    <x v="10"/>
    <n v="0"/>
    <x v="0"/>
  </r>
  <r>
    <x v="30"/>
    <x v="1"/>
    <x v="233"/>
    <x v="0"/>
    <x v="9"/>
    <x v="35"/>
    <x v="0"/>
    <x v="11"/>
    <n v="0"/>
    <x v="0"/>
  </r>
  <r>
    <x v="30"/>
    <x v="0"/>
    <x v="234"/>
    <x v="2"/>
    <x v="3"/>
    <x v="36"/>
    <x v="0"/>
    <x v="0"/>
    <n v="7385.6936750404739"/>
    <x v="0"/>
  </r>
  <r>
    <x v="30"/>
    <x v="0"/>
    <x v="234"/>
    <x v="2"/>
    <x v="3"/>
    <x v="36"/>
    <x v="0"/>
    <x v="1"/>
    <n v="6926.5942871377556"/>
    <x v="0"/>
  </r>
  <r>
    <x v="30"/>
    <x v="0"/>
    <x v="234"/>
    <x v="2"/>
    <x v="3"/>
    <x v="36"/>
    <x v="0"/>
    <x v="2"/>
    <n v="6940.7147211058655"/>
    <x v="0"/>
  </r>
  <r>
    <x v="30"/>
    <x v="0"/>
    <x v="234"/>
    <x v="2"/>
    <x v="3"/>
    <x v="36"/>
    <x v="0"/>
    <x v="3"/>
    <n v="7041.2960609911052"/>
    <x v="0"/>
  </r>
  <r>
    <x v="30"/>
    <x v="0"/>
    <x v="234"/>
    <x v="2"/>
    <x v="3"/>
    <x v="36"/>
    <x v="0"/>
    <x v="4"/>
    <n v="7394.7890791824639"/>
    <x v="0"/>
  </r>
  <r>
    <x v="30"/>
    <x v="0"/>
    <x v="234"/>
    <x v="2"/>
    <x v="3"/>
    <x v="36"/>
    <x v="0"/>
    <x v="5"/>
    <n v="7365.1434001382167"/>
    <x v="0"/>
  </r>
  <r>
    <x v="30"/>
    <x v="0"/>
    <x v="234"/>
    <x v="2"/>
    <x v="3"/>
    <x v="36"/>
    <x v="0"/>
    <x v="6"/>
    <n v="7257.571782072614"/>
    <x v="0"/>
  </r>
  <r>
    <x v="30"/>
    <x v="0"/>
    <x v="234"/>
    <x v="2"/>
    <x v="3"/>
    <x v="36"/>
    <x v="0"/>
    <x v="7"/>
    <n v="7309.868803097107"/>
    <x v="0"/>
  </r>
  <r>
    <x v="30"/>
    <x v="0"/>
    <x v="234"/>
    <x v="2"/>
    <x v="3"/>
    <x v="36"/>
    <x v="0"/>
    <x v="8"/>
    <n v="7390.6943349780286"/>
    <x v="0"/>
  </r>
  <r>
    <x v="30"/>
    <x v="0"/>
    <x v="234"/>
    <x v="2"/>
    <x v="3"/>
    <x v="36"/>
    <x v="0"/>
    <x v="9"/>
    <n v="7351.626133795955"/>
    <x v="0"/>
  </r>
  <r>
    <x v="30"/>
    <x v="0"/>
    <x v="234"/>
    <x v="2"/>
    <x v="3"/>
    <x v="36"/>
    <x v="0"/>
    <x v="10"/>
    <n v="7322.8168650601629"/>
    <x v="0"/>
  </r>
  <r>
    <x v="30"/>
    <x v="0"/>
    <x v="234"/>
    <x v="2"/>
    <x v="3"/>
    <x v="36"/>
    <x v="0"/>
    <x v="11"/>
    <n v="7322.8168650601629"/>
    <x v="0"/>
  </r>
  <r>
    <x v="30"/>
    <x v="0"/>
    <x v="235"/>
    <x v="2"/>
    <x v="3"/>
    <x v="37"/>
    <x v="0"/>
    <x v="0"/>
    <n v="0"/>
    <x v="0"/>
  </r>
  <r>
    <x v="30"/>
    <x v="0"/>
    <x v="235"/>
    <x v="2"/>
    <x v="3"/>
    <x v="37"/>
    <x v="0"/>
    <x v="1"/>
    <n v="0"/>
    <x v="0"/>
  </r>
  <r>
    <x v="30"/>
    <x v="0"/>
    <x v="235"/>
    <x v="2"/>
    <x v="3"/>
    <x v="37"/>
    <x v="0"/>
    <x v="2"/>
    <n v="0"/>
    <x v="0"/>
  </r>
  <r>
    <x v="30"/>
    <x v="0"/>
    <x v="235"/>
    <x v="2"/>
    <x v="3"/>
    <x v="37"/>
    <x v="0"/>
    <x v="3"/>
    <n v="0"/>
    <x v="0"/>
  </r>
  <r>
    <x v="30"/>
    <x v="0"/>
    <x v="235"/>
    <x v="2"/>
    <x v="3"/>
    <x v="37"/>
    <x v="0"/>
    <x v="4"/>
    <n v="0"/>
    <x v="0"/>
  </r>
  <r>
    <x v="30"/>
    <x v="0"/>
    <x v="235"/>
    <x v="2"/>
    <x v="3"/>
    <x v="37"/>
    <x v="0"/>
    <x v="5"/>
    <n v="5658.2314702833446"/>
    <x v="0"/>
  </r>
  <r>
    <x v="30"/>
    <x v="0"/>
    <x v="235"/>
    <x v="2"/>
    <x v="3"/>
    <x v="37"/>
    <x v="0"/>
    <x v="6"/>
    <n v="5585.8718375357312"/>
    <x v="0"/>
  </r>
  <r>
    <x v="30"/>
    <x v="0"/>
    <x v="235"/>
    <x v="2"/>
    <x v="3"/>
    <x v="37"/>
    <x v="0"/>
    <x v="7"/>
    <n v="5630.5688783740188"/>
    <x v="0"/>
  </r>
  <r>
    <x v="30"/>
    <x v="0"/>
    <x v="235"/>
    <x v="2"/>
    <x v="3"/>
    <x v="37"/>
    <x v="0"/>
    <x v="8"/>
    <n v="5649.6021420628149"/>
    <x v="0"/>
  </r>
  <r>
    <x v="30"/>
    <x v="0"/>
    <x v="235"/>
    <x v="2"/>
    <x v="3"/>
    <x v="37"/>
    <x v="0"/>
    <x v="9"/>
    <n v="5601.5838339705078"/>
    <x v="0"/>
  </r>
  <r>
    <x v="30"/>
    <x v="0"/>
    <x v="235"/>
    <x v="2"/>
    <x v="3"/>
    <x v="37"/>
    <x v="0"/>
    <x v="10"/>
    <n v="5634.5903631299934"/>
    <x v="0"/>
  </r>
  <r>
    <x v="30"/>
    <x v="0"/>
    <x v="235"/>
    <x v="2"/>
    <x v="3"/>
    <x v="37"/>
    <x v="0"/>
    <x v="11"/>
    <n v="5634.5903631299934"/>
    <x v="0"/>
  </r>
  <r>
    <x v="30"/>
    <x v="0"/>
    <x v="236"/>
    <x v="2"/>
    <x v="3"/>
    <x v="38"/>
    <x v="0"/>
    <x v="0"/>
    <n v="0"/>
    <x v="0"/>
  </r>
  <r>
    <x v="30"/>
    <x v="0"/>
    <x v="236"/>
    <x v="2"/>
    <x v="3"/>
    <x v="38"/>
    <x v="0"/>
    <x v="1"/>
    <n v="0"/>
    <x v="0"/>
  </r>
  <r>
    <x v="30"/>
    <x v="0"/>
    <x v="236"/>
    <x v="2"/>
    <x v="3"/>
    <x v="38"/>
    <x v="0"/>
    <x v="2"/>
    <n v="0"/>
    <x v="0"/>
  </r>
  <r>
    <x v="30"/>
    <x v="0"/>
    <x v="236"/>
    <x v="2"/>
    <x v="3"/>
    <x v="38"/>
    <x v="0"/>
    <x v="3"/>
    <n v="0"/>
    <x v="0"/>
  </r>
  <r>
    <x v="30"/>
    <x v="0"/>
    <x v="236"/>
    <x v="2"/>
    <x v="3"/>
    <x v="38"/>
    <x v="0"/>
    <x v="4"/>
    <n v="0"/>
    <x v="0"/>
  </r>
  <r>
    <x v="30"/>
    <x v="0"/>
    <x v="236"/>
    <x v="2"/>
    <x v="3"/>
    <x v="38"/>
    <x v="0"/>
    <x v="5"/>
    <n v="0"/>
    <x v="0"/>
  </r>
  <r>
    <x v="30"/>
    <x v="0"/>
    <x v="236"/>
    <x v="2"/>
    <x v="3"/>
    <x v="38"/>
    <x v="0"/>
    <x v="6"/>
    <n v="20056.596911131022"/>
    <x v="0"/>
  </r>
  <r>
    <x v="30"/>
    <x v="0"/>
    <x v="236"/>
    <x v="2"/>
    <x v="3"/>
    <x v="38"/>
    <x v="0"/>
    <x v="7"/>
    <n v="20219.139692440047"/>
    <x v="0"/>
  </r>
  <r>
    <x v="30"/>
    <x v="0"/>
    <x v="236"/>
    <x v="2"/>
    <x v="3"/>
    <x v="38"/>
    <x v="0"/>
    <x v="8"/>
    <n v="20292.391574265013"/>
    <x v="0"/>
  </r>
  <r>
    <x v="30"/>
    <x v="0"/>
    <x v="236"/>
    <x v="2"/>
    <x v="3"/>
    <x v="38"/>
    <x v="0"/>
    <x v="9"/>
    <n v="20123.772501900818"/>
    <x v="0"/>
  </r>
  <r>
    <x v="30"/>
    <x v="0"/>
    <x v="236"/>
    <x v="2"/>
    <x v="3"/>
    <x v="38"/>
    <x v="0"/>
    <x v="10"/>
    <n v="20220.289901824788"/>
    <x v="0"/>
  </r>
  <r>
    <x v="30"/>
    <x v="0"/>
    <x v="236"/>
    <x v="2"/>
    <x v="3"/>
    <x v="38"/>
    <x v="0"/>
    <x v="11"/>
    <n v="20220.289901824788"/>
    <x v="0"/>
  </r>
  <r>
    <x v="30"/>
    <x v="0"/>
    <x v="237"/>
    <x v="2"/>
    <x v="3"/>
    <x v="38"/>
    <x v="0"/>
    <x v="0"/>
    <n v="5434.0036784546082"/>
    <x v="0"/>
  </r>
  <r>
    <x v="30"/>
    <x v="0"/>
    <x v="237"/>
    <x v="2"/>
    <x v="3"/>
    <x v="38"/>
    <x v="0"/>
    <x v="1"/>
    <n v="5121.2540479946856"/>
    <x v="0"/>
  </r>
  <r>
    <x v="30"/>
    <x v="0"/>
    <x v="237"/>
    <x v="2"/>
    <x v="3"/>
    <x v="38"/>
    <x v="0"/>
    <x v="2"/>
    <n v="5097.4925872738731"/>
    <x v="0"/>
  </r>
  <r>
    <x v="30"/>
    <x v="0"/>
    <x v="237"/>
    <x v="2"/>
    <x v="3"/>
    <x v="38"/>
    <x v="0"/>
    <x v="3"/>
    <n v="0"/>
    <x v="0"/>
  </r>
  <r>
    <x v="30"/>
    <x v="0"/>
    <x v="237"/>
    <x v="2"/>
    <x v="3"/>
    <x v="38"/>
    <x v="0"/>
    <x v="4"/>
    <n v="0"/>
    <x v="0"/>
  </r>
  <r>
    <x v="30"/>
    <x v="0"/>
    <x v="237"/>
    <x v="2"/>
    <x v="3"/>
    <x v="38"/>
    <x v="0"/>
    <x v="5"/>
    <n v="0"/>
    <x v="0"/>
  </r>
  <r>
    <x v="30"/>
    <x v="0"/>
    <x v="237"/>
    <x v="2"/>
    <x v="3"/>
    <x v="38"/>
    <x v="0"/>
    <x v="6"/>
    <n v="0"/>
    <x v="0"/>
  </r>
  <r>
    <x v="30"/>
    <x v="0"/>
    <x v="237"/>
    <x v="2"/>
    <x v="3"/>
    <x v="38"/>
    <x v="0"/>
    <x v="7"/>
    <n v="0"/>
    <x v="0"/>
  </r>
  <r>
    <x v="30"/>
    <x v="0"/>
    <x v="237"/>
    <x v="2"/>
    <x v="3"/>
    <x v="38"/>
    <x v="0"/>
    <x v="8"/>
    <n v="0"/>
    <x v="0"/>
  </r>
  <r>
    <x v="30"/>
    <x v="0"/>
    <x v="237"/>
    <x v="2"/>
    <x v="3"/>
    <x v="38"/>
    <x v="0"/>
    <x v="9"/>
    <n v="0"/>
    <x v="0"/>
  </r>
  <r>
    <x v="30"/>
    <x v="0"/>
    <x v="237"/>
    <x v="2"/>
    <x v="3"/>
    <x v="38"/>
    <x v="0"/>
    <x v="10"/>
    <n v="0"/>
    <x v="0"/>
  </r>
  <r>
    <x v="30"/>
    <x v="0"/>
    <x v="237"/>
    <x v="2"/>
    <x v="3"/>
    <x v="38"/>
    <x v="0"/>
    <x v="11"/>
    <n v="0"/>
    <x v="0"/>
  </r>
  <r>
    <x v="30"/>
    <x v="1"/>
    <x v="238"/>
    <x v="3"/>
    <x v="8"/>
    <x v="32"/>
    <x v="0"/>
    <x v="0"/>
    <n v="0"/>
    <x v="0"/>
  </r>
  <r>
    <x v="30"/>
    <x v="1"/>
    <x v="238"/>
    <x v="3"/>
    <x v="8"/>
    <x v="32"/>
    <x v="0"/>
    <x v="1"/>
    <n v="1037.9473553101386"/>
    <x v="0"/>
  </r>
  <r>
    <x v="30"/>
    <x v="1"/>
    <x v="238"/>
    <x v="3"/>
    <x v="8"/>
    <x v="32"/>
    <x v="0"/>
    <x v="2"/>
    <n v="0"/>
    <x v="0"/>
  </r>
  <r>
    <x v="30"/>
    <x v="1"/>
    <x v="238"/>
    <x v="3"/>
    <x v="8"/>
    <x v="32"/>
    <x v="0"/>
    <x v="3"/>
    <n v="0"/>
    <x v="0"/>
  </r>
  <r>
    <x v="30"/>
    <x v="1"/>
    <x v="238"/>
    <x v="3"/>
    <x v="8"/>
    <x v="32"/>
    <x v="0"/>
    <x v="4"/>
    <n v="0"/>
    <x v="0"/>
  </r>
  <r>
    <x v="30"/>
    <x v="1"/>
    <x v="238"/>
    <x v="3"/>
    <x v="8"/>
    <x v="32"/>
    <x v="0"/>
    <x v="5"/>
    <n v="0"/>
    <x v="0"/>
  </r>
  <r>
    <x v="30"/>
    <x v="1"/>
    <x v="238"/>
    <x v="3"/>
    <x v="8"/>
    <x v="32"/>
    <x v="0"/>
    <x v="6"/>
    <n v="0"/>
    <x v="0"/>
  </r>
  <r>
    <x v="30"/>
    <x v="1"/>
    <x v="238"/>
    <x v="3"/>
    <x v="8"/>
    <x v="32"/>
    <x v="0"/>
    <x v="7"/>
    <n v="0"/>
    <x v="0"/>
  </r>
  <r>
    <x v="30"/>
    <x v="1"/>
    <x v="238"/>
    <x v="3"/>
    <x v="8"/>
    <x v="32"/>
    <x v="0"/>
    <x v="8"/>
    <n v="0"/>
    <x v="0"/>
  </r>
  <r>
    <x v="30"/>
    <x v="1"/>
    <x v="238"/>
    <x v="3"/>
    <x v="8"/>
    <x v="32"/>
    <x v="0"/>
    <x v="9"/>
    <n v="0"/>
    <x v="0"/>
  </r>
  <r>
    <x v="30"/>
    <x v="1"/>
    <x v="238"/>
    <x v="3"/>
    <x v="8"/>
    <x v="32"/>
    <x v="0"/>
    <x v="10"/>
    <n v="0"/>
    <x v="0"/>
  </r>
  <r>
    <x v="30"/>
    <x v="1"/>
    <x v="238"/>
    <x v="3"/>
    <x v="8"/>
    <x v="32"/>
    <x v="0"/>
    <x v="11"/>
    <n v="0"/>
    <x v="0"/>
  </r>
  <r>
    <x v="30"/>
    <x v="1"/>
    <x v="239"/>
    <x v="3"/>
    <x v="8"/>
    <x v="32"/>
    <x v="0"/>
    <x v="0"/>
    <n v="0"/>
    <x v="0"/>
  </r>
  <r>
    <x v="30"/>
    <x v="1"/>
    <x v="239"/>
    <x v="3"/>
    <x v="8"/>
    <x v="32"/>
    <x v="0"/>
    <x v="1"/>
    <n v="0"/>
    <x v="0"/>
  </r>
  <r>
    <x v="30"/>
    <x v="1"/>
    <x v="239"/>
    <x v="3"/>
    <x v="8"/>
    <x v="32"/>
    <x v="0"/>
    <x v="2"/>
    <n v="0"/>
    <x v="0"/>
  </r>
  <r>
    <x v="30"/>
    <x v="1"/>
    <x v="239"/>
    <x v="3"/>
    <x v="8"/>
    <x v="32"/>
    <x v="0"/>
    <x v="3"/>
    <n v="0"/>
    <x v="0"/>
  </r>
  <r>
    <x v="30"/>
    <x v="1"/>
    <x v="239"/>
    <x v="3"/>
    <x v="8"/>
    <x v="32"/>
    <x v="0"/>
    <x v="4"/>
    <n v="0"/>
    <x v="0"/>
  </r>
  <r>
    <x v="30"/>
    <x v="1"/>
    <x v="239"/>
    <x v="3"/>
    <x v="8"/>
    <x v="32"/>
    <x v="0"/>
    <x v="5"/>
    <n v="0"/>
    <x v="0"/>
  </r>
  <r>
    <x v="30"/>
    <x v="1"/>
    <x v="239"/>
    <x v="3"/>
    <x v="8"/>
    <x v="32"/>
    <x v="0"/>
    <x v="6"/>
    <n v="0"/>
    <x v="0"/>
  </r>
  <r>
    <x v="30"/>
    <x v="1"/>
    <x v="239"/>
    <x v="3"/>
    <x v="8"/>
    <x v="32"/>
    <x v="0"/>
    <x v="7"/>
    <n v="19356.92009893537"/>
    <x v="0"/>
  </r>
  <r>
    <x v="30"/>
    <x v="1"/>
    <x v="239"/>
    <x v="3"/>
    <x v="8"/>
    <x v="32"/>
    <x v="0"/>
    <x v="8"/>
    <n v="0"/>
    <x v="0"/>
  </r>
  <r>
    <x v="30"/>
    <x v="1"/>
    <x v="239"/>
    <x v="3"/>
    <x v="8"/>
    <x v="32"/>
    <x v="0"/>
    <x v="9"/>
    <n v="0"/>
    <x v="0"/>
  </r>
  <r>
    <x v="30"/>
    <x v="1"/>
    <x v="239"/>
    <x v="3"/>
    <x v="8"/>
    <x v="32"/>
    <x v="0"/>
    <x v="10"/>
    <n v="0"/>
    <x v="0"/>
  </r>
  <r>
    <x v="30"/>
    <x v="1"/>
    <x v="239"/>
    <x v="3"/>
    <x v="8"/>
    <x v="32"/>
    <x v="0"/>
    <x v="11"/>
    <n v="0"/>
    <x v="0"/>
  </r>
  <r>
    <x v="30"/>
    <x v="0"/>
    <x v="240"/>
    <x v="3"/>
    <x v="8"/>
    <x v="16"/>
    <x v="0"/>
    <x v="0"/>
    <n v="257.16472648377186"/>
    <x v="0"/>
  </r>
  <r>
    <x v="30"/>
    <x v="0"/>
    <x v="240"/>
    <x v="3"/>
    <x v="8"/>
    <x v="16"/>
    <x v="0"/>
    <x v="1"/>
    <n v="190.80690027401809"/>
    <x v="0"/>
  </r>
  <r>
    <x v="30"/>
    <x v="0"/>
    <x v="240"/>
    <x v="3"/>
    <x v="8"/>
    <x v="16"/>
    <x v="0"/>
    <x v="2"/>
    <n v="132.13662144989826"/>
    <x v="0"/>
  </r>
  <r>
    <x v="30"/>
    <x v="0"/>
    <x v="240"/>
    <x v="3"/>
    <x v="8"/>
    <x v="16"/>
    <x v="0"/>
    <x v="3"/>
    <n v="134.06482387985085"/>
    <x v="0"/>
  </r>
  <r>
    <x v="30"/>
    <x v="0"/>
    <x v="240"/>
    <x v="3"/>
    <x v="8"/>
    <x v="16"/>
    <x v="0"/>
    <x v="4"/>
    <n v="0"/>
    <x v="0"/>
  </r>
  <r>
    <x v="30"/>
    <x v="0"/>
    <x v="240"/>
    <x v="3"/>
    <x v="8"/>
    <x v="16"/>
    <x v="0"/>
    <x v="5"/>
    <n v="0"/>
    <x v="0"/>
  </r>
  <r>
    <x v="30"/>
    <x v="0"/>
    <x v="240"/>
    <x v="3"/>
    <x v="8"/>
    <x v="16"/>
    <x v="0"/>
    <x v="6"/>
    <n v="277.38278083535988"/>
    <x v="0"/>
  </r>
  <r>
    <x v="30"/>
    <x v="0"/>
    <x v="240"/>
    <x v="3"/>
    <x v="8"/>
    <x v="16"/>
    <x v="0"/>
    <x v="7"/>
    <n v="0"/>
    <x v="0"/>
  </r>
  <r>
    <x v="30"/>
    <x v="0"/>
    <x v="240"/>
    <x v="3"/>
    <x v="8"/>
    <x v="16"/>
    <x v="0"/>
    <x v="8"/>
    <n v="283.12801632459161"/>
    <x v="0"/>
  </r>
  <r>
    <x v="30"/>
    <x v="0"/>
    <x v="240"/>
    <x v="3"/>
    <x v="8"/>
    <x v="16"/>
    <x v="0"/>
    <x v="9"/>
    <n v="0"/>
    <x v="0"/>
  </r>
  <r>
    <x v="30"/>
    <x v="0"/>
    <x v="240"/>
    <x v="3"/>
    <x v="8"/>
    <x v="16"/>
    <x v="0"/>
    <x v="10"/>
    <n v="137.63884856500746"/>
    <x v="0"/>
  </r>
  <r>
    <x v="30"/>
    <x v="0"/>
    <x v="240"/>
    <x v="3"/>
    <x v="8"/>
    <x v="16"/>
    <x v="0"/>
    <x v="11"/>
    <n v="137.63884856500746"/>
    <x v="0"/>
  </r>
  <r>
    <x v="30"/>
    <x v="1"/>
    <x v="241"/>
    <x v="3"/>
    <x v="8"/>
    <x v="35"/>
    <x v="0"/>
    <x v="0"/>
    <n v="0"/>
    <x v="0"/>
  </r>
  <r>
    <x v="30"/>
    <x v="1"/>
    <x v="241"/>
    <x v="3"/>
    <x v="8"/>
    <x v="35"/>
    <x v="0"/>
    <x v="1"/>
    <n v="0"/>
    <x v="0"/>
  </r>
  <r>
    <x v="30"/>
    <x v="1"/>
    <x v="241"/>
    <x v="3"/>
    <x v="8"/>
    <x v="35"/>
    <x v="0"/>
    <x v="2"/>
    <n v="0"/>
    <x v="0"/>
  </r>
  <r>
    <x v="30"/>
    <x v="1"/>
    <x v="241"/>
    <x v="3"/>
    <x v="8"/>
    <x v="35"/>
    <x v="0"/>
    <x v="3"/>
    <n v="17895.681879725875"/>
    <x v="0"/>
  </r>
  <r>
    <x v="30"/>
    <x v="1"/>
    <x v="241"/>
    <x v="3"/>
    <x v="8"/>
    <x v="35"/>
    <x v="0"/>
    <x v="4"/>
    <n v="0"/>
    <x v="0"/>
  </r>
  <r>
    <x v="30"/>
    <x v="1"/>
    <x v="241"/>
    <x v="3"/>
    <x v="8"/>
    <x v="35"/>
    <x v="0"/>
    <x v="5"/>
    <n v="1535.0520473393226"/>
    <x v="0"/>
  </r>
  <r>
    <x v="30"/>
    <x v="1"/>
    <x v="241"/>
    <x v="3"/>
    <x v="8"/>
    <x v="35"/>
    <x v="0"/>
    <x v="6"/>
    <n v="0"/>
    <x v="0"/>
  </r>
  <r>
    <x v="30"/>
    <x v="1"/>
    <x v="241"/>
    <x v="3"/>
    <x v="8"/>
    <x v="35"/>
    <x v="0"/>
    <x v="7"/>
    <n v="3382.0840950639854"/>
    <x v="0"/>
  </r>
  <r>
    <x v="30"/>
    <x v="1"/>
    <x v="241"/>
    <x v="3"/>
    <x v="8"/>
    <x v="35"/>
    <x v="0"/>
    <x v="8"/>
    <n v="0"/>
    <x v="0"/>
  </r>
  <r>
    <x v="30"/>
    <x v="1"/>
    <x v="241"/>
    <x v="3"/>
    <x v="8"/>
    <x v="35"/>
    <x v="0"/>
    <x v="9"/>
    <n v="0"/>
    <x v="0"/>
  </r>
  <r>
    <x v="30"/>
    <x v="1"/>
    <x v="241"/>
    <x v="3"/>
    <x v="8"/>
    <x v="35"/>
    <x v="0"/>
    <x v="10"/>
    <n v="0"/>
    <x v="0"/>
  </r>
  <r>
    <x v="30"/>
    <x v="1"/>
    <x v="241"/>
    <x v="3"/>
    <x v="8"/>
    <x v="35"/>
    <x v="0"/>
    <x v="11"/>
    <n v="0"/>
    <x v="0"/>
  </r>
  <r>
    <x v="30"/>
    <x v="0"/>
    <x v="242"/>
    <x v="3"/>
    <x v="8"/>
    <x v="16"/>
    <x v="0"/>
    <x v="0"/>
    <n v="41.672265113051907"/>
    <x v="0"/>
  </r>
  <r>
    <x v="30"/>
    <x v="0"/>
    <x v="242"/>
    <x v="3"/>
    <x v="8"/>
    <x v="16"/>
    <x v="0"/>
    <x v="1"/>
    <n v="39.519845553433527"/>
    <x v="0"/>
  </r>
  <r>
    <x v="30"/>
    <x v="0"/>
    <x v="242"/>
    <x v="3"/>
    <x v="8"/>
    <x v="16"/>
    <x v="0"/>
    <x v="2"/>
    <n v="39.26007045964068"/>
    <x v="0"/>
  </r>
  <r>
    <x v="30"/>
    <x v="0"/>
    <x v="242"/>
    <x v="3"/>
    <x v="8"/>
    <x v="16"/>
    <x v="0"/>
    <x v="3"/>
    <n v="39.72858124856792"/>
    <x v="0"/>
  </r>
  <r>
    <x v="30"/>
    <x v="0"/>
    <x v="242"/>
    <x v="3"/>
    <x v="8"/>
    <x v="16"/>
    <x v="0"/>
    <x v="4"/>
    <n v="41.822460452346711"/>
    <x v="0"/>
  </r>
  <r>
    <x v="30"/>
    <x v="0"/>
    <x v="242"/>
    <x v="3"/>
    <x v="8"/>
    <x v="16"/>
    <x v="0"/>
    <x v="5"/>
    <n v="41.637871458189359"/>
    <x v="0"/>
  </r>
  <r>
    <x v="30"/>
    <x v="0"/>
    <x v="242"/>
    <x v="3"/>
    <x v="8"/>
    <x v="16"/>
    <x v="0"/>
    <x v="6"/>
    <n v="41.324288578864291"/>
    <x v="0"/>
  </r>
  <r>
    <x v="30"/>
    <x v="0"/>
    <x v="242"/>
    <x v="3"/>
    <x v="8"/>
    <x v="16"/>
    <x v="0"/>
    <x v="7"/>
    <n v="41.809872029250457"/>
    <x v="0"/>
  </r>
  <r>
    <x v="30"/>
    <x v="0"/>
    <x v="242"/>
    <x v="3"/>
    <x v="8"/>
    <x v="16"/>
    <x v="0"/>
    <x v="8"/>
    <n v="41.978600965223869"/>
    <x v="0"/>
  </r>
  <r>
    <x v="30"/>
    <x v="0"/>
    <x v="242"/>
    <x v="3"/>
    <x v="8"/>
    <x v="16"/>
    <x v="0"/>
    <x v="9"/>
    <n v="41.843629860464119"/>
    <x v="0"/>
  </r>
  <r>
    <x v="30"/>
    <x v="0"/>
    <x v="242"/>
    <x v="3"/>
    <x v="8"/>
    <x v="16"/>
    <x v="0"/>
    <x v="10"/>
    <n v="41.463703130208501"/>
    <x v="0"/>
  </r>
  <r>
    <x v="30"/>
    <x v="0"/>
    <x v="242"/>
    <x v="3"/>
    <x v="8"/>
    <x v="16"/>
    <x v="0"/>
    <x v="11"/>
    <n v="41.463703130208501"/>
    <x v="0"/>
  </r>
  <r>
    <x v="30"/>
    <x v="0"/>
    <x v="243"/>
    <x v="3"/>
    <x v="8"/>
    <x v="38"/>
    <x v="0"/>
    <x v="0"/>
    <n v="0"/>
    <x v="0"/>
  </r>
  <r>
    <x v="30"/>
    <x v="0"/>
    <x v="243"/>
    <x v="3"/>
    <x v="8"/>
    <x v="38"/>
    <x v="0"/>
    <x v="1"/>
    <n v="2174.0077223283233"/>
    <x v="0"/>
  </r>
  <r>
    <x v="30"/>
    <x v="0"/>
    <x v="243"/>
    <x v="3"/>
    <x v="8"/>
    <x v="38"/>
    <x v="0"/>
    <x v="2"/>
    <n v="1084.7912555660018"/>
    <x v="0"/>
  </r>
  <r>
    <x v="30"/>
    <x v="0"/>
    <x v="243"/>
    <x v="3"/>
    <x v="8"/>
    <x v="38"/>
    <x v="0"/>
    <x v="3"/>
    <n v="1093.5926010790092"/>
    <x v="0"/>
  </r>
  <r>
    <x v="30"/>
    <x v="0"/>
    <x v="243"/>
    <x v="3"/>
    <x v="8"/>
    <x v="38"/>
    <x v="0"/>
    <x v="4"/>
    <n v="1140.9585130953938"/>
    <x v="0"/>
  </r>
  <r>
    <x v="30"/>
    <x v="0"/>
    <x v="243"/>
    <x v="3"/>
    <x v="8"/>
    <x v="38"/>
    <x v="0"/>
    <x v="5"/>
    <n v="1130.8558655839668"/>
    <x v="0"/>
  </r>
  <r>
    <x v="30"/>
    <x v="0"/>
    <x v="243"/>
    <x v="3"/>
    <x v="8"/>
    <x v="38"/>
    <x v="0"/>
    <x v="6"/>
    <n v="2234.0180895089384"/>
    <x v="0"/>
  </r>
  <r>
    <x v="30"/>
    <x v="0"/>
    <x v="243"/>
    <x v="3"/>
    <x v="8"/>
    <x v="38"/>
    <x v="0"/>
    <x v="7"/>
    <n v="1126.2103451984085"/>
    <x v="0"/>
  </r>
  <r>
    <x v="30"/>
    <x v="0"/>
    <x v="243"/>
    <x v="3"/>
    <x v="8"/>
    <x v="38"/>
    <x v="0"/>
    <x v="8"/>
    <n v="1130.6971421167984"/>
    <x v="0"/>
  </r>
  <r>
    <x v="30"/>
    <x v="0"/>
    <x v="243"/>
    <x v="3"/>
    <x v="8"/>
    <x v="38"/>
    <x v="0"/>
    <x v="9"/>
    <n v="0"/>
    <x v="0"/>
  </r>
  <r>
    <x v="30"/>
    <x v="0"/>
    <x v="243"/>
    <x v="3"/>
    <x v="8"/>
    <x v="38"/>
    <x v="0"/>
    <x v="10"/>
    <n v="1126.1255739432454"/>
    <x v="0"/>
  </r>
  <r>
    <x v="30"/>
    <x v="0"/>
    <x v="243"/>
    <x v="3"/>
    <x v="8"/>
    <x v="38"/>
    <x v="0"/>
    <x v="11"/>
    <n v="1126.1255739432454"/>
    <x v="0"/>
  </r>
  <r>
    <x v="30"/>
    <x v="1"/>
    <x v="244"/>
    <x v="3"/>
    <x v="8"/>
    <x v="23"/>
    <x v="0"/>
    <x v="0"/>
    <n v="0"/>
    <x v="0"/>
  </r>
  <r>
    <x v="30"/>
    <x v="1"/>
    <x v="244"/>
    <x v="3"/>
    <x v="8"/>
    <x v="23"/>
    <x v="0"/>
    <x v="1"/>
    <n v="0"/>
    <x v="0"/>
  </r>
  <r>
    <x v="30"/>
    <x v="1"/>
    <x v="244"/>
    <x v="3"/>
    <x v="8"/>
    <x v="23"/>
    <x v="0"/>
    <x v="2"/>
    <n v="0"/>
    <x v="0"/>
  </r>
  <r>
    <x v="30"/>
    <x v="1"/>
    <x v="244"/>
    <x v="3"/>
    <x v="8"/>
    <x v="23"/>
    <x v="0"/>
    <x v="3"/>
    <n v="0"/>
    <x v="0"/>
  </r>
  <r>
    <x v="30"/>
    <x v="1"/>
    <x v="244"/>
    <x v="3"/>
    <x v="8"/>
    <x v="23"/>
    <x v="0"/>
    <x v="4"/>
    <n v="0"/>
    <x v="0"/>
  </r>
  <r>
    <x v="30"/>
    <x v="1"/>
    <x v="244"/>
    <x v="3"/>
    <x v="8"/>
    <x v="23"/>
    <x v="0"/>
    <x v="5"/>
    <n v="0"/>
    <x v="0"/>
  </r>
  <r>
    <x v="30"/>
    <x v="1"/>
    <x v="244"/>
    <x v="3"/>
    <x v="8"/>
    <x v="23"/>
    <x v="0"/>
    <x v="6"/>
    <n v="0"/>
    <x v="0"/>
  </r>
  <r>
    <x v="30"/>
    <x v="1"/>
    <x v="244"/>
    <x v="3"/>
    <x v="8"/>
    <x v="23"/>
    <x v="0"/>
    <x v="7"/>
    <n v="865.67587912678789"/>
    <x v="0"/>
  </r>
  <r>
    <x v="30"/>
    <x v="1"/>
    <x v="244"/>
    <x v="3"/>
    <x v="8"/>
    <x v="23"/>
    <x v="0"/>
    <x v="8"/>
    <n v="0"/>
    <x v="0"/>
  </r>
  <r>
    <x v="30"/>
    <x v="1"/>
    <x v="244"/>
    <x v="3"/>
    <x v="8"/>
    <x v="23"/>
    <x v="0"/>
    <x v="9"/>
    <n v="0"/>
    <x v="0"/>
  </r>
  <r>
    <x v="30"/>
    <x v="1"/>
    <x v="244"/>
    <x v="3"/>
    <x v="8"/>
    <x v="23"/>
    <x v="0"/>
    <x v="10"/>
    <n v="0"/>
    <x v="0"/>
  </r>
  <r>
    <x v="30"/>
    <x v="1"/>
    <x v="244"/>
    <x v="3"/>
    <x v="8"/>
    <x v="23"/>
    <x v="0"/>
    <x v="11"/>
    <n v="0"/>
    <x v="0"/>
  </r>
  <r>
    <x v="30"/>
    <x v="1"/>
    <x v="245"/>
    <x v="3"/>
    <x v="8"/>
    <x v="23"/>
    <x v="0"/>
    <x v="0"/>
    <n v="0"/>
    <x v="0"/>
  </r>
  <r>
    <x v="30"/>
    <x v="1"/>
    <x v="245"/>
    <x v="3"/>
    <x v="8"/>
    <x v="23"/>
    <x v="0"/>
    <x v="1"/>
    <n v="0"/>
    <x v="0"/>
  </r>
  <r>
    <x v="30"/>
    <x v="1"/>
    <x v="245"/>
    <x v="3"/>
    <x v="8"/>
    <x v="23"/>
    <x v="0"/>
    <x v="2"/>
    <n v="0"/>
    <x v="0"/>
  </r>
  <r>
    <x v="30"/>
    <x v="1"/>
    <x v="245"/>
    <x v="3"/>
    <x v="8"/>
    <x v="23"/>
    <x v="0"/>
    <x v="3"/>
    <n v="0"/>
    <x v="0"/>
  </r>
  <r>
    <x v="30"/>
    <x v="1"/>
    <x v="245"/>
    <x v="3"/>
    <x v="8"/>
    <x v="23"/>
    <x v="0"/>
    <x v="4"/>
    <n v="32677.977513400445"/>
    <x v="0"/>
  </r>
  <r>
    <x v="30"/>
    <x v="1"/>
    <x v="245"/>
    <x v="3"/>
    <x v="8"/>
    <x v="23"/>
    <x v="0"/>
    <x v="5"/>
    <n v="0"/>
    <x v="0"/>
  </r>
  <r>
    <x v="30"/>
    <x v="1"/>
    <x v="245"/>
    <x v="3"/>
    <x v="8"/>
    <x v="23"/>
    <x v="0"/>
    <x v="6"/>
    <n v="0"/>
    <x v="0"/>
  </r>
  <r>
    <x v="30"/>
    <x v="1"/>
    <x v="245"/>
    <x v="3"/>
    <x v="8"/>
    <x v="23"/>
    <x v="0"/>
    <x v="7"/>
    <n v="0"/>
    <x v="0"/>
  </r>
  <r>
    <x v="30"/>
    <x v="1"/>
    <x v="245"/>
    <x v="3"/>
    <x v="8"/>
    <x v="23"/>
    <x v="0"/>
    <x v="8"/>
    <n v="0"/>
    <x v="0"/>
  </r>
  <r>
    <x v="30"/>
    <x v="1"/>
    <x v="245"/>
    <x v="3"/>
    <x v="8"/>
    <x v="23"/>
    <x v="0"/>
    <x v="9"/>
    <n v="0"/>
    <x v="0"/>
  </r>
  <r>
    <x v="30"/>
    <x v="1"/>
    <x v="245"/>
    <x v="3"/>
    <x v="8"/>
    <x v="23"/>
    <x v="0"/>
    <x v="10"/>
    <n v="0"/>
    <x v="0"/>
  </r>
  <r>
    <x v="30"/>
    <x v="1"/>
    <x v="245"/>
    <x v="3"/>
    <x v="8"/>
    <x v="23"/>
    <x v="0"/>
    <x v="11"/>
    <n v="0"/>
    <x v="0"/>
  </r>
  <r>
    <x v="30"/>
    <x v="1"/>
    <x v="246"/>
    <x v="0"/>
    <x v="5"/>
    <x v="23"/>
    <x v="0"/>
    <x v="0"/>
    <n v="0"/>
    <x v="0"/>
  </r>
  <r>
    <x v="30"/>
    <x v="1"/>
    <x v="246"/>
    <x v="0"/>
    <x v="5"/>
    <x v="23"/>
    <x v="0"/>
    <x v="1"/>
    <n v="2085.6410362866395"/>
    <x v="0"/>
  </r>
  <r>
    <x v="30"/>
    <x v="1"/>
    <x v="246"/>
    <x v="0"/>
    <x v="5"/>
    <x v="23"/>
    <x v="0"/>
    <x v="2"/>
    <n v="0"/>
    <x v="0"/>
  </r>
  <r>
    <x v="30"/>
    <x v="1"/>
    <x v="246"/>
    <x v="0"/>
    <x v="5"/>
    <x v="23"/>
    <x v="0"/>
    <x v="3"/>
    <n v="0"/>
    <x v="0"/>
  </r>
  <r>
    <x v="30"/>
    <x v="1"/>
    <x v="246"/>
    <x v="0"/>
    <x v="5"/>
    <x v="23"/>
    <x v="0"/>
    <x v="4"/>
    <n v="0"/>
    <x v="0"/>
  </r>
  <r>
    <x v="30"/>
    <x v="1"/>
    <x v="246"/>
    <x v="0"/>
    <x v="5"/>
    <x v="23"/>
    <x v="0"/>
    <x v="5"/>
    <n v="0"/>
    <x v="0"/>
  </r>
  <r>
    <x v="30"/>
    <x v="1"/>
    <x v="246"/>
    <x v="0"/>
    <x v="5"/>
    <x v="23"/>
    <x v="0"/>
    <x v="6"/>
    <n v="0"/>
    <x v="0"/>
  </r>
  <r>
    <x v="30"/>
    <x v="1"/>
    <x v="246"/>
    <x v="0"/>
    <x v="5"/>
    <x v="23"/>
    <x v="0"/>
    <x v="7"/>
    <n v="0"/>
    <x v="0"/>
  </r>
  <r>
    <x v="30"/>
    <x v="1"/>
    <x v="246"/>
    <x v="0"/>
    <x v="5"/>
    <x v="23"/>
    <x v="0"/>
    <x v="8"/>
    <n v="0"/>
    <x v="0"/>
  </r>
  <r>
    <x v="30"/>
    <x v="1"/>
    <x v="246"/>
    <x v="0"/>
    <x v="5"/>
    <x v="23"/>
    <x v="0"/>
    <x v="9"/>
    <n v="0"/>
    <x v="0"/>
  </r>
  <r>
    <x v="30"/>
    <x v="1"/>
    <x v="246"/>
    <x v="0"/>
    <x v="5"/>
    <x v="23"/>
    <x v="0"/>
    <x v="10"/>
    <n v="0"/>
    <x v="0"/>
  </r>
  <r>
    <x v="30"/>
    <x v="1"/>
    <x v="246"/>
    <x v="0"/>
    <x v="5"/>
    <x v="23"/>
    <x v="0"/>
    <x v="11"/>
    <n v="0"/>
    <x v="0"/>
  </r>
  <r>
    <x v="30"/>
    <x v="1"/>
    <x v="247"/>
    <x v="0"/>
    <x v="5"/>
    <x v="2"/>
    <x v="0"/>
    <x v="0"/>
    <n v="35.49708697232348"/>
    <x v="0"/>
  </r>
  <r>
    <x v="30"/>
    <x v="1"/>
    <x v="247"/>
    <x v="0"/>
    <x v="5"/>
    <x v="2"/>
    <x v="0"/>
    <x v="1"/>
    <n v="0"/>
    <x v="0"/>
  </r>
  <r>
    <x v="30"/>
    <x v="1"/>
    <x v="247"/>
    <x v="0"/>
    <x v="5"/>
    <x v="2"/>
    <x v="0"/>
    <x v="2"/>
    <n v="0"/>
    <x v="0"/>
  </r>
  <r>
    <x v="30"/>
    <x v="1"/>
    <x v="247"/>
    <x v="0"/>
    <x v="5"/>
    <x v="2"/>
    <x v="0"/>
    <x v="3"/>
    <n v="0"/>
    <x v="0"/>
  </r>
  <r>
    <x v="30"/>
    <x v="1"/>
    <x v="247"/>
    <x v="0"/>
    <x v="5"/>
    <x v="2"/>
    <x v="0"/>
    <x v="4"/>
    <n v="0"/>
    <x v="0"/>
  </r>
  <r>
    <x v="30"/>
    <x v="1"/>
    <x v="247"/>
    <x v="0"/>
    <x v="5"/>
    <x v="2"/>
    <x v="0"/>
    <x v="5"/>
    <n v="0"/>
    <x v="0"/>
  </r>
  <r>
    <x v="30"/>
    <x v="1"/>
    <x v="247"/>
    <x v="0"/>
    <x v="5"/>
    <x v="2"/>
    <x v="0"/>
    <x v="6"/>
    <n v="34.377533171210381"/>
    <x v="0"/>
  </r>
  <r>
    <x v="30"/>
    <x v="1"/>
    <x v="247"/>
    <x v="0"/>
    <x v="5"/>
    <x v="2"/>
    <x v="0"/>
    <x v="7"/>
    <n v="0"/>
    <x v="0"/>
  </r>
  <r>
    <x v="30"/>
    <x v="1"/>
    <x v="247"/>
    <x v="0"/>
    <x v="5"/>
    <x v="2"/>
    <x v="0"/>
    <x v="8"/>
    <n v="0"/>
    <x v="0"/>
  </r>
  <r>
    <x v="30"/>
    <x v="1"/>
    <x v="247"/>
    <x v="0"/>
    <x v="5"/>
    <x v="2"/>
    <x v="0"/>
    <x v="9"/>
    <n v="0"/>
    <x v="0"/>
  </r>
  <r>
    <x v="30"/>
    <x v="1"/>
    <x v="247"/>
    <x v="0"/>
    <x v="5"/>
    <x v="2"/>
    <x v="0"/>
    <x v="10"/>
    <n v="0"/>
    <x v="0"/>
  </r>
  <r>
    <x v="30"/>
    <x v="1"/>
    <x v="247"/>
    <x v="0"/>
    <x v="5"/>
    <x v="2"/>
    <x v="0"/>
    <x v="11"/>
    <n v="0"/>
    <x v="0"/>
  </r>
  <r>
    <x v="42"/>
    <x v="0"/>
    <x v="43"/>
    <x v="1"/>
    <x v="0"/>
    <x v="2"/>
    <x v="0"/>
    <x v="0"/>
    <n v="0"/>
    <x v="0"/>
  </r>
  <r>
    <x v="42"/>
    <x v="0"/>
    <x v="43"/>
    <x v="1"/>
    <x v="0"/>
    <x v="2"/>
    <x v="0"/>
    <x v="1"/>
    <n v="0"/>
    <x v="0"/>
  </r>
  <r>
    <x v="42"/>
    <x v="0"/>
    <x v="43"/>
    <x v="1"/>
    <x v="0"/>
    <x v="2"/>
    <x v="0"/>
    <x v="2"/>
    <n v="0"/>
    <x v="0"/>
  </r>
  <r>
    <x v="42"/>
    <x v="0"/>
    <x v="43"/>
    <x v="1"/>
    <x v="0"/>
    <x v="2"/>
    <x v="0"/>
    <x v="3"/>
    <n v="0"/>
    <x v="0"/>
  </r>
  <r>
    <x v="42"/>
    <x v="0"/>
    <x v="43"/>
    <x v="1"/>
    <x v="0"/>
    <x v="2"/>
    <x v="0"/>
    <x v="4"/>
    <n v="0"/>
    <x v="0"/>
  </r>
  <r>
    <x v="42"/>
    <x v="0"/>
    <x v="43"/>
    <x v="1"/>
    <x v="0"/>
    <x v="2"/>
    <x v="0"/>
    <x v="5"/>
    <n v="0"/>
    <x v="0"/>
  </r>
  <r>
    <x v="42"/>
    <x v="0"/>
    <x v="43"/>
    <x v="1"/>
    <x v="0"/>
    <x v="2"/>
    <x v="0"/>
    <x v="6"/>
    <n v="2133.7663722855073"/>
    <x v="0"/>
  </r>
  <r>
    <x v="42"/>
    <x v="0"/>
    <x v="43"/>
    <x v="1"/>
    <x v="0"/>
    <x v="2"/>
    <x v="0"/>
    <x v="7"/>
    <n v="2201.3184213356276"/>
    <x v="0"/>
  </r>
  <r>
    <x v="42"/>
    <x v="0"/>
    <x v="43"/>
    <x v="1"/>
    <x v="0"/>
    <x v="2"/>
    <x v="0"/>
    <x v="8"/>
    <n v="2843.4696235195042"/>
    <x v="0"/>
  </r>
  <r>
    <x v="42"/>
    <x v="0"/>
    <x v="43"/>
    <x v="1"/>
    <x v="0"/>
    <x v="2"/>
    <x v="0"/>
    <x v="9"/>
    <n v="2824.8540923742521"/>
    <x v="0"/>
  </r>
  <r>
    <x v="42"/>
    <x v="0"/>
    <x v="43"/>
    <x v="1"/>
    <x v="0"/>
    <x v="2"/>
    <x v="0"/>
    <x v="10"/>
    <n v="2151.1812208995989"/>
    <x v="0"/>
  </r>
  <r>
    <x v="42"/>
    <x v="0"/>
    <x v="43"/>
    <x v="1"/>
    <x v="0"/>
    <x v="2"/>
    <x v="0"/>
    <x v="11"/>
    <n v="2151.1812208995989"/>
    <x v="0"/>
  </r>
  <r>
    <x v="30"/>
    <x v="1"/>
    <x v="248"/>
    <x v="0"/>
    <x v="9"/>
    <x v="2"/>
    <x v="0"/>
    <x v="0"/>
    <n v="0"/>
    <x v="0"/>
  </r>
  <r>
    <x v="30"/>
    <x v="1"/>
    <x v="248"/>
    <x v="0"/>
    <x v="9"/>
    <x v="2"/>
    <x v="0"/>
    <x v="1"/>
    <n v="0"/>
    <x v="0"/>
  </r>
  <r>
    <x v="30"/>
    <x v="1"/>
    <x v="248"/>
    <x v="0"/>
    <x v="9"/>
    <x v="2"/>
    <x v="0"/>
    <x v="2"/>
    <n v="0"/>
    <x v="0"/>
  </r>
  <r>
    <x v="30"/>
    <x v="1"/>
    <x v="248"/>
    <x v="0"/>
    <x v="9"/>
    <x v="2"/>
    <x v="0"/>
    <x v="3"/>
    <n v="0"/>
    <x v="0"/>
  </r>
  <r>
    <x v="30"/>
    <x v="1"/>
    <x v="248"/>
    <x v="0"/>
    <x v="9"/>
    <x v="2"/>
    <x v="0"/>
    <x v="4"/>
    <n v="0"/>
    <x v="0"/>
  </r>
  <r>
    <x v="30"/>
    <x v="1"/>
    <x v="248"/>
    <x v="0"/>
    <x v="9"/>
    <x v="2"/>
    <x v="0"/>
    <x v="5"/>
    <n v="0"/>
    <x v="0"/>
  </r>
  <r>
    <x v="30"/>
    <x v="1"/>
    <x v="248"/>
    <x v="0"/>
    <x v="9"/>
    <x v="2"/>
    <x v="0"/>
    <x v="6"/>
    <n v="0"/>
    <x v="0"/>
  </r>
  <r>
    <x v="30"/>
    <x v="1"/>
    <x v="248"/>
    <x v="0"/>
    <x v="9"/>
    <x v="2"/>
    <x v="0"/>
    <x v="7"/>
    <n v="0"/>
    <x v="0"/>
  </r>
  <r>
    <x v="30"/>
    <x v="1"/>
    <x v="248"/>
    <x v="0"/>
    <x v="9"/>
    <x v="2"/>
    <x v="0"/>
    <x v="8"/>
    <n v="0"/>
    <x v="0"/>
  </r>
  <r>
    <x v="30"/>
    <x v="1"/>
    <x v="248"/>
    <x v="0"/>
    <x v="9"/>
    <x v="2"/>
    <x v="0"/>
    <x v="9"/>
    <n v="8002.0732268876973"/>
    <x v="0"/>
  </r>
  <r>
    <x v="30"/>
    <x v="1"/>
    <x v="248"/>
    <x v="0"/>
    <x v="9"/>
    <x v="2"/>
    <x v="0"/>
    <x v="10"/>
    <n v="0"/>
    <x v="0"/>
  </r>
  <r>
    <x v="30"/>
    <x v="1"/>
    <x v="248"/>
    <x v="0"/>
    <x v="9"/>
    <x v="2"/>
    <x v="0"/>
    <x v="11"/>
    <n v="0"/>
    <x v="0"/>
  </r>
  <r>
    <x v="30"/>
    <x v="0"/>
    <x v="249"/>
    <x v="1"/>
    <x v="0"/>
    <x v="2"/>
    <x v="0"/>
    <x v="0"/>
    <n v="0"/>
    <x v="0"/>
  </r>
  <r>
    <x v="30"/>
    <x v="0"/>
    <x v="249"/>
    <x v="1"/>
    <x v="0"/>
    <x v="2"/>
    <x v="0"/>
    <x v="1"/>
    <n v="0"/>
    <x v="0"/>
  </r>
  <r>
    <x v="30"/>
    <x v="0"/>
    <x v="249"/>
    <x v="1"/>
    <x v="0"/>
    <x v="2"/>
    <x v="0"/>
    <x v="2"/>
    <n v="0"/>
    <x v="0"/>
  </r>
  <r>
    <x v="30"/>
    <x v="0"/>
    <x v="249"/>
    <x v="1"/>
    <x v="0"/>
    <x v="2"/>
    <x v="0"/>
    <x v="3"/>
    <n v="0"/>
    <x v="0"/>
  </r>
  <r>
    <x v="30"/>
    <x v="0"/>
    <x v="249"/>
    <x v="1"/>
    <x v="0"/>
    <x v="2"/>
    <x v="0"/>
    <x v="4"/>
    <n v="0"/>
    <x v="0"/>
  </r>
  <r>
    <x v="30"/>
    <x v="0"/>
    <x v="249"/>
    <x v="1"/>
    <x v="0"/>
    <x v="2"/>
    <x v="0"/>
    <x v="5"/>
    <n v="0"/>
    <x v="0"/>
  </r>
  <r>
    <x v="30"/>
    <x v="0"/>
    <x v="249"/>
    <x v="1"/>
    <x v="0"/>
    <x v="2"/>
    <x v="0"/>
    <x v="6"/>
    <n v="0"/>
    <x v="0"/>
  </r>
  <r>
    <x v="30"/>
    <x v="0"/>
    <x v="249"/>
    <x v="1"/>
    <x v="0"/>
    <x v="2"/>
    <x v="0"/>
    <x v="7"/>
    <n v="0"/>
    <x v="0"/>
  </r>
  <r>
    <x v="30"/>
    <x v="0"/>
    <x v="249"/>
    <x v="1"/>
    <x v="0"/>
    <x v="2"/>
    <x v="0"/>
    <x v="8"/>
    <n v="0"/>
    <x v="0"/>
  </r>
  <r>
    <x v="30"/>
    <x v="0"/>
    <x v="249"/>
    <x v="1"/>
    <x v="0"/>
    <x v="2"/>
    <x v="0"/>
    <x v="9"/>
    <n v="1847.2708580974718"/>
    <x v="0"/>
  </r>
  <r>
    <x v="30"/>
    <x v="0"/>
    <x v="249"/>
    <x v="1"/>
    <x v="0"/>
    <x v="2"/>
    <x v="0"/>
    <x v="10"/>
    <n v="0"/>
    <x v="0"/>
  </r>
  <r>
    <x v="30"/>
    <x v="0"/>
    <x v="249"/>
    <x v="1"/>
    <x v="0"/>
    <x v="2"/>
    <x v="0"/>
    <x v="11"/>
    <n v="0"/>
    <x v="0"/>
  </r>
  <r>
    <x v="30"/>
    <x v="1"/>
    <x v="250"/>
    <x v="0"/>
    <x v="3"/>
    <x v="2"/>
    <x v="0"/>
    <x v="0"/>
    <n v="0"/>
    <x v="0"/>
  </r>
  <r>
    <x v="30"/>
    <x v="1"/>
    <x v="250"/>
    <x v="0"/>
    <x v="3"/>
    <x v="2"/>
    <x v="0"/>
    <x v="1"/>
    <n v="0"/>
    <x v="0"/>
  </r>
  <r>
    <x v="30"/>
    <x v="1"/>
    <x v="250"/>
    <x v="0"/>
    <x v="3"/>
    <x v="2"/>
    <x v="0"/>
    <x v="2"/>
    <n v="0"/>
    <x v="0"/>
  </r>
  <r>
    <x v="30"/>
    <x v="1"/>
    <x v="250"/>
    <x v="0"/>
    <x v="3"/>
    <x v="2"/>
    <x v="0"/>
    <x v="3"/>
    <n v="0"/>
    <x v="0"/>
  </r>
  <r>
    <x v="30"/>
    <x v="1"/>
    <x v="250"/>
    <x v="0"/>
    <x v="3"/>
    <x v="2"/>
    <x v="0"/>
    <x v="4"/>
    <n v="0"/>
    <x v="0"/>
  </r>
  <r>
    <x v="30"/>
    <x v="1"/>
    <x v="250"/>
    <x v="0"/>
    <x v="3"/>
    <x v="2"/>
    <x v="0"/>
    <x v="5"/>
    <n v="0"/>
    <x v="0"/>
  </r>
  <r>
    <x v="30"/>
    <x v="1"/>
    <x v="250"/>
    <x v="0"/>
    <x v="3"/>
    <x v="2"/>
    <x v="0"/>
    <x v="6"/>
    <n v="0"/>
    <x v="0"/>
  </r>
  <r>
    <x v="30"/>
    <x v="1"/>
    <x v="250"/>
    <x v="0"/>
    <x v="3"/>
    <x v="2"/>
    <x v="0"/>
    <x v="7"/>
    <n v="0"/>
    <x v="0"/>
  </r>
  <r>
    <x v="30"/>
    <x v="1"/>
    <x v="250"/>
    <x v="0"/>
    <x v="3"/>
    <x v="2"/>
    <x v="0"/>
    <x v="8"/>
    <n v="0"/>
    <x v="0"/>
  </r>
  <r>
    <x v="30"/>
    <x v="1"/>
    <x v="250"/>
    <x v="0"/>
    <x v="3"/>
    <x v="2"/>
    <x v="0"/>
    <x v="9"/>
    <n v="1381.4202032533385"/>
    <x v="0"/>
  </r>
  <r>
    <x v="30"/>
    <x v="1"/>
    <x v="250"/>
    <x v="0"/>
    <x v="3"/>
    <x v="2"/>
    <x v="0"/>
    <x v="10"/>
    <n v="0"/>
    <x v="0"/>
  </r>
  <r>
    <x v="30"/>
    <x v="1"/>
    <x v="250"/>
    <x v="0"/>
    <x v="3"/>
    <x v="2"/>
    <x v="0"/>
    <x v="11"/>
    <n v="0"/>
    <x v="0"/>
  </r>
  <r>
    <x v="57"/>
    <x v="0"/>
    <x v="251"/>
    <x v="0"/>
    <x v="0"/>
    <x v="0"/>
    <x v="0"/>
    <x v="0"/>
    <n v="6027.8688000577549"/>
    <x v="1"/>
  </r>
  <r>
    <x v="57"/>
    <x v="0"/>
    <x v="251"/>
    <x v="0"/>
    <x v="0"/>
    <x v="0"/>
    <x v="0"/>
    <x v="1"/>
    <n v="4765.1720407872153"/>
    <x v="1"/>
  </r>
  <r>
    <x v="57"/>
    <x v="0"/>
    <x v="251"/>
    <x v="0"/>
    <x v="0"/>
    <x v="0"/>
    <x v="0"/>
    <x v="2"/>
    <n v="4843.1166624766502"/>
    <x v="1"/>
  </r>
  <r>
    <x v="57"/>
    <x v="0"/>
    <x v="251"/>
    <x v="0"/>
    <x v="0"/>
    <x v="0"/>
    <x v="0"/>
    <x v="3"/>
    <n v="4943.5176742754747"/>
    <x v="1"/>
  </r>
  <r>
    <x v="57"/>
    <x v="0"/>
    <x v="251"/>
    <x v="0"/>
    <x v="0"/>
    <x v="0"/>
    <x v="0"/>
    <x v="4"/>
    <n v="6814.6612360734989"/>
    <x v="1"/>
  </r>
  <r>
    <x v="57"/>
    <x v="0"/>
    <x v="251"/>
    <x v="0"/>
    <x v="0"/>
    <x v="0"/>
    <x v="0"/>
    <x v="5"/>
    <n v="4669.0712344488766"/>
    <x v="1"/>
  </r>
  <r>
    <x v="57"/>
    <x v="0"/>
    <x v="251"/>
    <x v="0"/>
    <x v="0"/>
    <x v="0"/>
    <x v="0"/>
    <x v="6"/>
    <n v="9309.3617127707475"/>
    <x v="1"/>
  </r>
  <r>
    <x v="57"/>
    <x v="0"/>
    <x v="251"/>
    <x v="0"/>
    <x v="0"/>
    <x v="0"/>
    <x v="0"/>
    <x v="7"/>
    <n v="8030.1640457359272"/>
    <x v="1"/>
  </r>
  <r>
    <x v="57"/>
    <x v="0"/>
    <x v="251"/>
    <x v="0"/>
    <x v="0"/>
    <x v="0"/>
    <x v="0"/>
    <x v="8"/>
    <n v="4772.2884091682736"/>
    <x v="1"/>
  </r>
  <r>
    <x v="57"/>
    <x v="0"/>
    <x v="251"/>
    <x v="0"/>
    <x v="0"/>
    <x v="0"/>
    <x v="0"/>
    <x v="9"/>
    <n v="7342.6562490114829"/>
    <x v="1"/>
  </r>
  <r>
    <x v="57"/>
    <x v="0"/>
    <x v="251"/>
    <x v="0"/>
    <x v="0"/>
    <x v="0"/>
    <x v="0"/>
    <x v="10"/>
    <n v="7189.907395397433"/>
    <x v="1"/>
  </r>
  <r>
    <x v="57"/>
    <x v="0"/>
    <x v="251"/>
    <x v="0"/>
    <x v="0"/>
    <x v="0"/>
    <x v="0"/>
    <x v="12"/>
    <n v="9519.7570256342369"/>
    <x v="1"/>
  </r>
  <r>
    <x v="57"/>
    <x v="1"/>
    <x v="251"/>
    <x v="0"/>
    <x v="1"/>
    <x v="1"/>
    <x v="0"/>
    <x v="0"/>
    <n v="0"/>
    <x v="1"/>
  </r>
  <r>
    <x v="57"/>
    <x v="1"/>
    <x v="251"/>
    <x v="0"/>
    <x v="1"/>
    <x v="1"/>
    <x v="0"/>
    <x v="1"/>
    <n v="3756.3899174846024"/>
    <x v="1"/>
  </r>
  <r>
    <x v="57"/>
    <x v="1"/>
    <x v="251"/>
    <x v="0"/>
    <x v="1"/>
    <x v="1"/>
    <x v="0"/>
    <x v="2"/>
    <n v="0"/>
    <x v="1"/>
  </r>
  <r>
    <x v="57"/>
    <x v="1"/>
    <x v="251"/>
    <x v="0"/>
    <x v="1"/>
    <x v="1"/>
    <x v="0"/>
    <x v="3"/>
    <n v="2318.4023484596974"/>
    <x v="1"/>
  </r>
  <r>
    <x v="57"/>
    <x v="1"/>
    <x v="251"/>
    <x v="0"/>
    <x v="1"/>
    <x v="1"/>
    <x v="0"/>
    <x v="4"/>
    <n v="0"/>
    <x v="1"/>
  </r>
  <r>
    <x v="57"/>
    <x v="1"/>
    <x v="251"/>
    <x v="0"/>
    <x v="1"/>
    <x v="1"/>
    <x v="0"/>
    <x v="5"/>
    <n v="0"/>
    <x v="1"/>
  </r>
  <r>
    <x v="57"/>
    <x v="1"/>
    <x v="251"/>
    <x v="0"/>
    <x v="1"/>
    <x v="1"/>
    <x v="0"/>
    <x v="6"/>
    <n v="0"/>
    <x v="1"/>
  </r>
  <r>
    <x v="57"/>
    <x v="1"/>
    <x v="251"/>
    <x v="0"/>
    <x v="1"/>
    <x v="1"/>
    <x v="0"/>
    <x v="7"/>
    <n v="0"/>
    <x v="1"/>
  </r>
  <r>
    <x v="57"/>
    <x v="1"/>
    <x v="251"/>
    <x v="0"/>
    <x v="1"/>
    <x v="1"/>
    <x v="0"/>
    <x v="8"/>
    <n v="0"/>
    <x v="1"/>
  </r>
  <r>
    <x v="57"/>
    <x v="1"/>
    <x v="251"/>
    <x v="0"/>
    <x v="1"/>
    <x v="1"/>
    <x v="0"/>
    <x v="9"/>
    <n v="0"/>
    <x v="1"/>
  </r>
  <r>
    <x v="57"/>
    <x v="1"/>
    <x v="251"/>
    <x v="0"/>
    <x v="1"/>
    <x v="1"/>
    <x v="0"/>
    <x v="10"/>
    <n v="0"/>
    <x v="1"/>
  </r>
  <r>
    <x v="57"/>
    <x v="1"/>
    <x v="251"/>
    <x v="0"/>
    <x v="1"/>
    <x v="1"/>
    <x v="0"/>
    <x v="12"/>
    <n v="0"/>
    <x v="1"/>
  </r>
  <r>
    <x v="58"/>
    <x v="0"/>
    <x v="252"/>
    <x v="0"/>
    <x v="0"/>
    <x v="0"/>
    <x v="0"/>
    <x v="0"/>
    <n v="3582.3951204651084"/>
    <x v="1"/>
  </r>
  <r>
    <x v="58"/>
    <x v="0"/>
    <x v="252"/>
    <x v="0"/>
    <x v="0"/>
    <x v="0"/>
    <x v="0"/>
    <x v="1"/>
    <n v="2930.0909805447809"/>
    <x v="1"/>
  </r>
  <r>
    <x v="58"/>
    <x v="0"/>
    <x v="252"/>
    <x v="0"/>
    <x v="0"/>
    <x v="0"/>
    <x v="0"/>
    <x v="2"/>
    <n v="2960.0890684355845"/>
    <x v="1"/>
  </r>
  <r>
    <x v="58"/>
    <x v="0"/>
    <x v="252"/>
    <x v="0"/>
    <x v="0"/>
    <x v="0"/>
    <x v="0"/>
    <x v="3"/>
    <n v="3022.2490614315589"/>
    <x v="1"/>
  </r>
  <r>
    <x v="58"/>
    <x v="0"/>
    <x v="252"/>
    <x v="0"/>
    <x v="0"/>
    <x v="0"/>
    <x v="0"/>
    <x v="4"/>
    <n v="4166.199426885315"/>
    <x v="1"/>
  </r>
  <r>
    <x v="58"/>
    <x v="0"/>
    <x v="252"/>
    <x v="0"/>
    <x v="0"/>
    <x v="0"/>
    <x v="0"/>
    <x v="5"/>
    <n v="2854.4677994772505"/>
    <x v="1"/>
  </r>
  <r>
    <x v="58"/>
    <x v="0"/>
    <x v="252"/>
    <x v="0"/>
    <x v="0"/>
    <x v="0"/>
    <x v="0"/>
    <x v="6"/>
    <n v="6129.0730828872993"/>
    <x v="1"/>
  </r>
  <r>
    <x v="58"/>
    <x v="0"/>
    <x v="252"/>
    <x v="0"/>
    <x v="0"/>
    <x v="0"/>
    <x v="0"/>
    <x v="7"/>
    <n v="5367.0214991792436"/>
    <x v="1"/>
  </r>
  <r>
    <x v="58"/>
    <x v="0"/>
    <x v="252"/>
    <x v="0"/>
    <x v="0"/>
    <x v="0"/>
    <x v="0"/>
    <x v="8"/>
    <n v="2946.226313400658"/>
    <x v="1"/>
  </r>
  <r>
    <x v="58"/>
    <x v="0"/>
    <x v="252"/>
    <x v="0"/>
    <x v="0"/>
    <x v="0"/>
    <x v="0"/>
    <x v="9"/>
    <n v="5676.5791288394012"/>
    <x v="1"/>
  </r>
  <r>
    <x v="58"/>
    <x v="0"/>
    <x v="252"/>
    <x v="0"/>
    <x v="0"/>
    <x v="0"/>
    <x v="0"/>
    <x v="10"/>
    <n v="5558.4895812732348"/>
    <x v="1"/>
  </r>
  <r>
    <x v="58"/>
    <x v="0"/>
    <x v="252"/>
    <x v="0"/>
    <x v="0"/>
    <x v="0"/>
    <x v="0"/>
    <x v="12"/>
    <n v="7359.6873135131091"/>
    <x v="1"/>
  </r>
  <r>
    <x v="58"/>
    <x v="1"/>
    <x v="252"/>
    <x v="0"/>
    <x v="1"/>
    <x v="1"/>
    <x v="0"/>
    <x v="0"/>
    <n v="3676.9762456078397"/>
    <x v="1"/>
  </r>
  <r>
    <x v="58"/>
    <x v="1"/>
    <x v="252"/>
    <x v="0"/>
    <x v="1"/>
    <x v="1"/>
    <x v="0"/>
    <x v="1"/>
    <n v="0"/>
    <x v="1"/>
  </r>
  <r>
    <x v="58"/>
    <x v="1"/>
    <x v="252"/>
    <x v="0"/>
    <x v="1"/>
    <x v="1"/>
    <x v="0"/>
    <x v="2"/>
    <n v="0"/>
    <x v="1"/>
  </r>
  <r>
    <x v="58"/>
    <x v="1"/>
    <x v="252"/>
    <x v="0"/>
    <x v="1"/>
    <x v="1"/>
    <x v="0"/>
    <x v="3"/>
    <n v="0"/>
    <x v="1"/>
  </r>
  <r>
    <x v="58"/>
    <x v="1"/>
    <x v="252"/>
    <x v="0"/>
    <x v="1"/>
    <x v="1"/>
    <x v="0"/>
    <x v="4"/>
    <n v="0"/>
    <x v="1"/>
  </r>
  <r>
    <x v="58"/>
    <x v="1"/>
    <x v="252"/>
    <x v="0"/>
    <x v="1"/>
    <x v="1"/>
    <x v="0"/>
    <x v="5"/>
    <n v="0"/>
    <x v="1"/>
  </r>
  <r>
    <x v="58"/>
    <x v="1"/>
    <x v="252"/>
    <x v="0"/>
    <x v="1"/>
    <x v="1"/>
    <x v="0"/>
    <x v="6"/>
    <n v="0"/>
    <x v="1"/>
  </r>
  <r>
    <x v="58"/>
    <x v="1"/>
    <x v="252"/>
    <x v="0"/>
    <x v="1"/>
    <x v="1"/>
    <x v="0"/>
    <x v="7"/>
    <n v="0"/>
    <x v="1"/>
  </r>
  <r>
    <x v="58"/>
    <x v="1"/>
    <x v="252"/>
    <x v="0"/>
    <x v="1"/>
    <x v="1"/>
    <x v="0"/>
    <x v="8"/>
    <n v="0"/>
    <x v="1"/>
  </r>
  <r>
    <x v="58"/>
    <x v="1"/>
    <x v="252"/>
    <x v="0"/>
    <x v="1"/>
    <x v="1"/>
    <x v="0"/>
    <x v="9"/>
    <n v="0"/>
    <x v="1"/>
  </r>
  <r>
    <x v="58"/>
    <x v="1"/>
    <x v="252"/>
    <x v="0"/>
    <x v="1"/>
    <x v="1"/>
    <x v="0"/>
    <x v="10"/>
    <n v="0"/>
    <x v="1"/>
  </r>
  <r>
    <x v="58"/>
    <x v="1"/>
    <x v="252"/>
    <x v="0"/>
    <x v="1"/>
    <x v="1"/>
    <x v="0"/>
    <x v="12"/>
    <n v="0"/>
    <x v="1"/>
  </r>
  <r>
    <x v="59"/>
    <x v="0"/>
    <x v="253"/>
    <x v="0"/>
    <x v="0"/>
    <x v="0"/>
    <x v="0"/>
    <x v="0"/>
    <n v="3867.8791048949511"/>
    <x v="1"/>
  </r>
  <r>
    <x v="59"/>
    <x v="0"/>
    <x v="253"/>
    <x v="0"/>
    <x v="0"/>
    <x v="0"/>
    <x v="0"/>
    <x v="1"/>
    <n v="3174.4531968150914"/>
    <x v="1"/>
  </r>
  <r>
    <x v="59"/>
    <x v="0"/>
    <x v="253"/>
    <x v="0"/>
    <x v="0"/>
    <x v="0"/>
    <x v="0"/>
    <x v="2"/>
    <n v="3226.3781958242944"/>
    <x v="1"/>
  </r>
  <r>
    <x v="59"/>
    <x v="0"/>
    <x v="253"/>
    <x v="0"/>
    <x v="0"/>
    <x v="0"/>
    <x v="0"/>
    <x v="3"/>
    <n v="3294.1400035141469"/>
    <x v="1"/>
  </r>
  <r>
    <x v="59"/>
    <x v="0"/>
    <x v="253"/>
    <x v="0"/>
    <x v="0"/>
    <x v="0"/>
    <x v="0"/>
    <x v="4"/>
    <n v="4540.9759461640915"/>
    <x v="1"/>
  </r>
  <r>
    <x v="59"/>
    <x v="0"/>
    <x v="253"/>
    <x v="0"/>
    <x v="0"/>
    <x v="0"/>
    <x v="0"/>
    <x v="5"/>
    <n v="3111.2584271176165"/>
    <x v="1"/>
  </r>
  <r>
    <x v="59"/>
    <x v="0"/>
    <x v="253"/>
    <x v="0"/>
    <x v="0"/>
    <x v="0"/>
    <x v="0"/>
    <x v="6"/>
    <n v="0"/>
    <x v="1"/>
  </r>
  <r>
    <x v="59"/>
    <x v="0"/>
    <x v="253"/>
    <x v="0"/>
    <x v="0"/>
    <x v="0"/>
    <x v="0"/>
    <x v="7"/>
    <n v="0"/>
    <x v="1"/>
  </r>
  <r>
    <x v="59"/>
    <x v="0"/>
    <x v="253"/>
    <x v="0"/>
    <x v="0"/>
    <x v="0"/>
    <x v="0"/>
    <x v="8"/>
    <n v="0"/>
    <x v="1"/>
  </r>
  <r>
    <x v="59"/>
    <x v="0"/>
    <x v="253"/>
    <x v="0"/>
    <x v="0"/>
    <x v="0"/>
    <x v="0"/>
    <x v="9"/>
    <n v="0"/>
    <x v="1"/>
  </r>
  <r>
    <x v="59"/>
    <x v="0"/>
    <x v="253"/>
    <x v="0"/>
    <x v="0"/>
    <x v="0"/>
    <x v="0"/>
    <x v="10"/>
    <n v="0"/>
    <x v="1"/>
  </r>
  <r>
    <x v="59"/>
    <x v="0"/>
    <x v="253"/>
    <x v="0"/>
    <x v="0"/>
    <x v="0"/>
    <x v="0"/>
    <x v="12"/>
    <n v="0"/>
    <x v="1"/>
  </r>
  <r>
    <x v="59"/>
    <x v="1"/>
    <x v="253"/>
    <x v="0"/>
    <x v="1"/>
    <x v="1"/>
    <x v="0"/>
    <x v="0"/>
    <n v="0"/>
    <x v="1"/>
  </r>
  <r>
    <x v="59"/>
    <x v="1"/>
    <x v="253"/>
    <x v="0"/>
    <x v="1"/>
    <x v="1"/>
    <x v="0"/>
    <x v="1"/>
    <n v="3786.4410368244789"/>
    <x v="1"/>
  </r>
  <r>
    <x v="59"/>
    <x v="1"/>
    <x v="253"/>
    <x v="0"/>
    <x v="1"/>
    <x v="1"/>
    <x v="0"/>
    <x v="2"/>
    <n v="0"/>
    <x v="1"/>
  </r>
  <r>
    <x v="59"/>
    <x v="1"/>
    <x v="253"/>
    <x v="0"/>
    <x v="1"/>
    <x v="1"/>
    <x v="0"/>
    <x v="3"/>
    <n v="3853.2705698936629"/>
    <x v="1"/>
  </r>
  <r>
    <x v="59"/>
    <x v="1"/>
    <x v="253"/>
    <x v="0"/>
    <x v="1"/>
    <x v="1"/>
    <x v="0"/>
    <x v="4"/>
    <n v="0"/>
    <x v="1"/>
  </r>
  <r>
    <x v="59"/>
    <x v="1"/>
    <x v="253"/>
    <x v="0"/>
    <x v="1"/>
    <x v="1"/>
    <x v="0"/>
    <x v="5"/>
    <n v="0"/>
    <x v="1"/>
  </r>
  <r>
    <x v="59"/>
    <x v="1"/>
    <x v="253"/>
    <x v="0"/>
    <x v="1"/>
    <x v="1"/>
    <x v="0"/>
    <x v="6"/>
    <n v="0"/>
    <x v="1"/>
  </r>
  <r>
    <x v="59"/>
    <x v="1"/>
    <x v="253"/>
    <x v="0"/>
    <x v="1"/>
    <x v="1"/>
    <x v="0"/>
    <x v="7"/>
    <n v="0"/>
    <x v="1"/>
  </r>
  <r>
    <x v="59"/>
    <x v="1"/>
    <x v="253"/>
    <x v="0"/>
    <x v="1"/>
    <x v="1"/>
    <x v="0"/>
    <x v="8"/>
    <n v="0"/>
    <x v="1"/>
  </r>
  <r>
    <x v="59"/>
    <x v="1"/>
    <x v="253"/>
    <x v="0"/>
    <x v="1"/>
    <x v="1"/>
    <x v="0"/>
    <x v="9"/>
    <n v="0"/>
    <x v="1"/>
  </r>
  <r>
    <x v="59"/>
    <x v="1"/>
    <x v="253"/>
    <x v="0"/>
    <x v="1"/>
    <x v="1"/>
    <x v="0"/>
    <x v="10"/>
    <n v="0"/>
    <x v="1"/>
  </r>
  <r>
    <x v="59"/>
    <x v="1"/>
    <x v="253"/>
    <x v="0"/>
    <x v="1"/>
    <x v="1"/>
    <x v="0"/>
    <x v="12"/>
    <n v="0"/>
    <x v="1"/>
  </r>
  <r>
    <x v="60"/>
    <x v="0"/>
    <x v="254"/>
    <x v="0"/>
    <x v="0"/>
    <x v="0"/>
    <x v="0"/>
    <x v="0"/>
    <n v="9029.0692710744734"/>
    <x v="1"/>
  </r>
  <r>
    <x v="60"/>
    <x v="0"/>
    <x v="254"/>
    <x v="0"/>
    <x v="0"/>
    <x v="0"/>
    <x v="0"/>
    <x v="1"/>
    <n v="6945.5797969994155"/>
    <x v="1"/>
  </r>
  <r>
    <x v="60"/>
    <x v="0"/>
    <x v="254"/>
    <x v="0"/>
    <x v="0"/>
    <x v="0"/>
    <x v="0"/>
    <x v="2"/>
    <n v="7059.189669855431"/>
    <x v="1"/>
  </r>
  <r>
    <x v="60"/>
    <x v="0"/>
    <x v="254"/>
    <x v="0"/>
    <x v="0"/>
    <x v="0"/>
    <x v="0"/>
    <x v="3"/>
    <n v="7206.1372995625761"/>
    <x v="1"/>
  </r>
  <r>
    <x v="60"/>
    <x v="0"/>
    <x v="254"/>
    <x v="0"/>
    <x v="0"/>
    <x v="0"/>
    <x v="0"/>
    <x v="4"/>
    <n v="9933.6703569506808"/>
    <x v="1"/>
  </r>
  <r>
    <x v="60"/>
    <x v="0"/>
    <x v="254"/>
    <x v="0"/>
    <x v="0"/>
    <x v="0"/>
    <x v="0"/>
    <x v="5"/>
    <n v="6806.0767384134624"/>
    <x v="1"/>
  </r>
  <r>
    <x v="60"/>
    <x v="0"/>
    <x v="254"/>
    <x v="0"/>
    <x v="0"/>
    <x v="0"/>
    <x v="0"/>
    <x v="6"/>
    <n v="13571.932369566304"/>
    <x v="1"/>
  </r>
  <r>
    <x v="60"/>
    <x v="0"/>
    <x v="254"/>
    <x v="0"/>
    <x v="0"/>
    <x v="0"/>
    <x v="0"/>
    <x v="7"/>
    <n v="11704.078667802174"/>
    <x v="1"/>
  </r>
  <r>
    <x v="60"/>
    <x v="0"/>
    <x v="254"/>
    <x v="0"/>
    <x v="0"/>
    <x v="0"/>
    <x v="0"/>
    <x v="8"/>
    <n v="6955.7860830591171"/>
    <x v="1"/>
  </r>
  <r>
    <x v="60"/>
    <x v="0"/>
    <x v="254"/>
    <x v="0"/>
    <x v="0"/>
    <x v="0"/>
    <x v="0"/>
    <x v="9"/>
    <n v="13704.458292474616"/>
    <x v="1"/>
  </r>
  <r>
    <x v="60"/>
    <x v="0"/>
    <x v="254"/>
    <x v="0"/>
    <x v="0"/>
    <x v="0"/>
    <x v="0"/>
    <x v="10"/>
    <n v="13419.365238600703"/>
    <x v="1"/>
  </r>
  <r>
    <x v="60"/>
    <x v="0"/>
    <x v="254"/>
    <x v="0"/>
    <x v="0"/>
    <x v="0"/>
    <x v="0"/>
    <x v="12"/>
    <n v="17767.836146470891"/>
    <x v="1"/>
  </r>
  <r>
    <x v="60"/>
    <x v="1"/>
    <x v="254"/>
    <x v="0"/>
    <x v="1"/>
    <x v="1"/>
    <x v="0"/>
    <x v="0"/>
    <n v="24819.589657852917"/>
    <x v="1"/>
  </r>
  <r>
    <x v="60"/>
    <x v="1"/>
    <x v="254"/>
    <x v="0"/>
    <x v="1"/>
    <x v="1"/>
    <x v="0"/>
    <x v="1"/>
    <n v="0"/>
    <x v="1"/>
  </r>
  <r>
    <x v="60"/>
    <x v="1"/>
    <x v="254"/>
    <x v="0"/>
    <x v="1"/>
    <x v="1"/>
    <x v="0"/>
    <x v="2"/>
    <n v="0"/>
    <x v="1"/>
  </r>
  <r>
    <x v="60"/>
    <x v="1"/>
    <x v="254"/>
    <x v="0"/>
    <x v="1"/>
    <x v="1"/>
    <x v="0"/>
    <x v="3"/>
    <n v="0"/>
    <x v="1"/>
  </r>
  <r>
    <x v="60"/>
    <x v="1"/>
    <x v="254"/>
    <x v="0"/>
    <x v="1"/>
    <x v="1"/>
    <x v="0"/>
    <x v="4"/>
    <n v="0"/>
    <x v="1"/>
  </r>
  <r>
    <x v="60"/>
    <x v="1"/>
    <x v="254"/>
    <x v="0"/>
    <x v="1"/>
    <x v="1"/>
    <x v="0"/>
    <x v="5"/>
    <n v="0"/>
    <x v="1"/>
  </r>
  <r>
    <x v="60"/>
    <x v="1"/>
    <x v="254"/>
    <x v="0"/>
    <x v="1"/>
    <x v="1"/>
    <x v="0"/>
    <x v="6"/>
    <n v="0"/>
    <x v="1"/>
  </r>
  <r>
    <x v="60"/>
    <x v="1"/>
    <x v="254"/>
    <x v="0"/>
    <x v="1"/>
    <x v="1"/>
    <x v="0"/>
    <x v="7"/>
    <n v="0"/>
    <x v="1"/>
  </r>
  <r>
    <x v="60"/>
    <x v="1"/>
    <x v="254"/>
    <x v="0"/>
    <x v="1"/>
    <x v="1"/>
    <x v="0"/>
    <x v="8"/>
    <n v="0"/>
    <x v="1"/>
  </r>
  <r>
    <x v="60"/>
    <x v="1"/>
    <x v="254"/>
    <x v="0"/>
    <x v="1"/>
    <x v="1"/>
    <x v="0"/>
    <x v="9"/>
    <n v="0"/>
    <x v="1"/>
  </r>
  <r>
    <x v="60"/>
    <x v="1"/>
    <x v="254"/>
    <x v="0"/>
    <x v="1"/>
    <x v="1"/>
    <x v="0"/>
    <x v="10"/>
    <n v="0"/>
    <x v="1"/>
  </r>
  <r>
    <x v="60"/>
    <x v="1"/>
    <x v="254"/>
    <x v="0"/>
    <x v="1"/>
    <x v="1"/>
    <x v="0"/>
    <x v="12"/>
    <n v="0"/>
    <x v="1"/>
  </r>
  <r>
    <x v="61"/>
    <x v="0"/>
    <x v="255"/>
    <x v="0"/>
    <x v="0"/>
    <x v="0"/>
    <x v="0"/>
    <x v="0"/>
    <n v="2466.5056365600449"/>
    <x v="1"/>
  </r>
  <r>
    <x v="61"/>
    <x v="0"/>
    <x v="255"/>
    <x v="0"/>
    <x v="0"/>
    <x v="0"/>
    <x v="0"/>
    <x v="1"/>
    <n v="2024.3152618269664"/>
    <x v="1"/>
  </r>
  <r>
    <x v="61"/>
    <x v="0"/>
    <x v="255"/>
    <x v="0"/>
    <x v="0"/>
    <x v="0"/>
    <x v="0"/>
    <x v="2"/>
    <n v="2057.4272850472616"/>
    <x v="1"/>
  </r>
  <r>
    <x v="61"/>
    <x v="0"/>
    <x v="255"/>
    <x v="0"/>
    <x v="0"/>
    <x v="0"/>
    <x v="0"/>
    <x v="3"/>
    <n v="2100.6381278722329"/>
    <x v="1"/>
  </r>
  <r>
    <x v="61"/>
    <x v="0"/>
    <x v="255"/>
    <x v="0"/>
    <x v="0"/>
    <x v="0"/>
    <x v="0"/>
    <x v="4"/>
    <n v="2895.7280587140422"/>
    <x v="1"/>
  </r>
  <r>
    <x v="61"/>
    <x v="0"/>
    <x v="255"/>
    <x v="0"/>
    <x v="0"/>
    <x v="0"/>
    <x v="0"/>
    <x v="5"/>
    <n v="1984.0207036627564"/>
    <x v="1"/>
  </r>
  <r>
    <x v="61"/>
    <x v="0"/>
    <x v="255"/>
    <x v="0"/>
    <x v="0"/>
    <x v="0"/>
    <x v="0"/>
    <x v="6"/>
    <n v="3955.8276224300935"/>
    <x v="1"/>
  </r>
  <r>
    <x v="61"/>
    <x v="0"/>
    <x v="255"/>
    <x v="0"/>
    <x v="0"/>
    <x v="0"/>
    <x v="0"/>
    <x v="7"/>
    <n v="3411.6740080171658"/>
    <x v="1"/>
  </r>
  <r>
    <x v="61"/>
    <x v="0"/>
    <x v="255"/>
    <x v="0"/>
    <x v="0"/>
    <x v="0"/>
    <x v="0"/>
    <x v="8"/>
    <n v="2027.9608532849199"/>
    <x v="1"/>
  </r>
  <r>
    <x v="61"/>
    <x v="0"/>
    <x v="255"/>
    <x v="0"/>
    <x v="0"/>
    <x v="0"/>
    <x v="0"/>
    <x v="9"/>
    <n v="3121.316420459937"/>
    <x v="1"/>
  </r>
  <r>
    <x v="61"/>
    <x v="0"/>
    <x v="255"/>
    <x v="0"/>
    <x v="0"/>
    <x v="0"/>
    <x v="0"/>
    <x v="10"/>
    <n v="3056.383855346849"/>
    <x v="1"/>
  </r>
  <r>
    <x v="61"/>
    <x v="0"/>
    <x v="255"/>
    <x v="0"/>
    <x v="0"/>
    <x v="0"/>
    <x v="0"/>
    <x v="12"/>
    <n v="4046.7880989119317"/>
    <x v="1"/>
  </r>
  <r>
    <x v="62"/>
    <x v="0"/>
    <x v="256"/>
    <x v="0"/>
    <x v="0"/>
    <x v="0"/>
    <x v="0"/>
    <x v="0"/>
    <n v="3790.2845878210369"/>
    <x v="1"/>
  </r>
  <r>
    <x v="62"/>
    <x v="0"/>
    <x v="256"/>
    <x v="0"/>
    <x v="0"/>
    <x v="0"/>
    <x v="0"/>
    <x v="1"/>
    <n v="4848.6060413352752"/>
    <x v="1"/>
  </r>
  <r>
    <x v="62"/>
    <x v="0"/>
    <x v="256"/>
    <x v="0"/>
    <x v="0"/>
    <x v="0"/>
    <x v="0"/>
    <x v="2"/>
    <n v="3161.6529934036794"/>
    <x v="1"/>
  </r>
  <r>
    <x v="62"/>
    <x v="0"/>
    <x v="256"/>
    <x v="0"/>
    <x v="0"/>
    <x v="0"/>
    <x v="0"/>
    <x v="3"/>
    <n v="3228.0532699039536"/>
    <x v="1"/>
  </r>
  <r>
    <x v="62"/>
    <x v="0"/>
    <x v="256"/>
    <x v="0"/>
    <x v="0"/>
    <x v="0"/>
    <x v="0"/>
    <x v="4"/>
    <n v="5143.8773032647332"/>
    <x v="1"/>
  </r>
  <r>
    <x v="62"/>
    <x v="0"/>
    <x v="256"/>
    <x v="0"/>
    <x v="0"/>
    <x v="0"/>
    <x v="0"/>
    <x v="5"/>
    <n v="3524.3499567888243"/>
    <x v="1"/>
  </r>
  <r>
    <x v="62"/>
    <x v="0"/>
    <x v="256"/>
    <x v="0"/>
    <x v="0"/>
    <x v="0"/>
    <x v="0"/>
    <x v="6"/>
    <n v="7026.1517682957328"/>
    <x v="1"/>
  </r>
  <r>
    <x v="62"/>
    <x v="0"/>
    <x v="256"/>
    <x v="0"/>
    <x v="0"/>
    <x v="0"/>
    <x v="0"/>
    <x v="7"/>
    <n v="6061.2462393031547"/>
    <x v="1"/>
  </r>
  <r>
    <x v="62"/>
    <x v="0"/>
    <x v="256"/>
    <x v="0"/>
    <x v="0"/>
    <x v="0"/>
    <x v="0"/>
    <x v="8"/>
    <n v="3601.2756155679108"/>
    <x v="1"/>
  </r>
  <r>
    <x v="62"/>
    <x v="0"/>
    <x v="256"/>
    <x v="0"/>
    <x v="0"/>
    <x v="0"/>
    <x v="0"/>
    <x v="9"/>
    <n v="5543.6596336949988"/>
    <x v="1"/>
  </r>
  <r>
    <x v="62"/>
    <x v="0"/>
    <x v="256"/>
    <x v="0"/>
    <x v="0"/>
    <x v="0"/>
    <x v="0"/>
    <x v="10"/>
    <n v="5428.3352027048668"/>
    <x v="1"/>
  </r>
  <r>
    <x v="62"/>
    <x v="0"/>
    <x v="256"/>
    <x v="0"/>
    <x v="0"/>
    <x v="0"/>
    <x v="0"/>
    <x v="12"/>
    <n v="7187.357130152689"/>
    <x v="1"/>
  </r>
  <r>
    <x v="62"/>
    <x v="1"/>
    <x v="256"/>
    <x v="0"/>
    <x v="1"/>
    <x v="1"/>
    <x v="0"/>
    <x v="0"/>
    <n v="0"/>
    <x v="1"/>
  </r>
  <r>
    <x v="62"/>
    <x v="1"/>
    <x v="256"/>
    <x v="0"/>
    <x v="1"/>
    <x v="1"/>
    <x v="0"/>
    <x v="1"/>
    <n v="3363.6217877124122"/>
    <x v="1"/>
  </r>
  <r>
    <x v="62"/>
    <x v="1"/>
    <x v="256"/>
    <x v="0"/>
    <x v="1"/>
    <x v="1"/>
    <x v="0"/>
    <x v="2"/>
    <n v="0"/>
    <x v="1"/>
  </r>
  <r>
    <x v="62"/>
    <x v="1"/>
    <x v="256"/>
    <x v="0"/>
    <x v="1"/>
    <x v="1"/>
    <x v="0"/>
    <x v="3"/>
    <n v="0"/>
    <x v="1"/>
  </r>
  <r>
    <x v="62"/>
    <x v="1"/>
    <x v="256"/>
    <x v="0"/>
    <x v="1"/>
    <x v="1"/>
    <x v="0"/>
    <x v="4"/>
    <n v="0"/>
    <x v="1"/>
  </r>
  <r>
    <x v="62"/>
    <x v="1"/>
    <x v="256"/>
    <x v="0"/>
    <x v="1"/>
    <x v="1"/>
    <x v="0"/>
    <x v="5"/>
    <n v="0"/>
    <x v="1"/>
  </r>
  <r>
    <x v="62"/>
    <x v="1"/>
    <x v="256"/>
    <x v="0"/>
    <x v="1"/>
    <x v="1"/>
    <x v="0"/>
    <x v="6"/>
    <n v="0"/>
    <x v="1"/>
  </r>
  <r>
    <x v="62"/>
    <x v="1"/>
    <x v="256"/>
    <x v="0"/>
    <x v="1"/>
    <x v="1"/>
    <x v="0"/>
    <x v="7"/>
    <n v="0"/>
    <x v="1"/>
  </r>
  <r>
    <x v="62"/>
    <x v="1"/>
    <x v="256"/>
    <x v="0"/>
    <x v="1"/>
    <x v="1"/>
    <x v="0"/>
    <x v="8"/>
    <n v="0"/>
    <x v="1"/>
  </r>
  <r>
    <x v="62"/>
    <x v="1"/>
    <x v="256"/>
    <x v="0"/>
    <x v="1"/>
    <x v="1"/>
    <x v="0"/>
    <x v="9"/>
    <n v="0"/>
    <x v="1"/>
  </r>
  <r>
    <x v="62"/>
    <x v="1"/>
    <x v="256"/>
    <x v="0"/>
    <x v="1"/>
    <x v="1"/>
    <x v="0"/>
    <x v="10"/>
    <n v="0"/>
    <x v="1"/>
  </r>
  <r>
    <x v="62"/>
    <x v="1"/>
    <x v="256"/>
    <x v="0"/>
    <x v="1"/>
    <x v="1"/>
    <x v="0"/>
    <x v="12"/>
    <n v="0"/>
    <x v="1"/>
  </r>
  <r>
    <x v="63"/>
    <x v="0"/>
    <x v="257"/>
    <x v="0"/>
    <x v="0"/>
    <x v="0"/>
    <x v="0"/>
    <x v="0"/>
    <n v="1683.1014017611665"/>
    <x v="1"/>
  </r>
  <r>
    <x v="63"/>
    <x v="0"/>
    <x v="257"/>
    <x v="0"/>
    <x v="0"/>
    <x v="0"/>
    <x v="0"/>
    <x v="1"/>
    <n v="1381.3582277230471"/>
    <x v="1"/>
  </r>
  <r>
    <x v="63"/>
    <x v="0"/>
    <x v="257"/>
    <x v="0"/>
    <x v="0"/>
    <x v="0"/>
    <x v="0"/>
    <x v="2"/>
    <n v="1403.9533079333448"/>
    <x v="1"/>
  </r>
  <r>
    <x v="63"/>
    <x v="0"/>
    <x v="257"/>
    <x v="0"/>
    <x v="0"/>
    <x v="0"/>
    <x v="0"/>
    <x v="3"/>
    <n v="1433.4381186888545"/>
    <x v="1"/>
  </r>
  <r>
    <x v="63"/>
    <x v="0"/>
    <x v="257"/>
    <x v="0"/>
    <x v="0"/>
    <x v="0"/>
    <x v="0"/>
    <x v="4"/>
    <n v="1976.0055331986628"/>
    <x v="1"/>
  </r>
  <r>
    <x v="63"/>
    <x v="0"/>
    <x v="257"/>
    <x v="0"/>
    <x v="0"/>
    <x v="0"/>
    <x v="0"/>
    <x v="5"/>
    <n v="1353.8577469714473"/>
    <x v="1"/>
  </r>
  <r>
    <x v="63"/>
    <x v="0"/>
    <x v="257"/>
    <x v="0"/>
    <x v="0"/>
    <x v="0"/>
    <x v="0"/>
    <x v="6"/>
    <n v="2699.9174628582859"/>
    <x v="1"/>
  </r>
  <r>
    <x v="63"/>
    <x v="0"/>
    <x v="257"/>
    <x v="0"/>
    <x v="0"/>
    <x v="0"/>
    <x v="0"/>
    <x v="7"/>
    <n v="2328.3911297103423"/>
    <x v="1"/>
  </r>
  <r>
    <x v="63"/>
    <x v="0"/>
    <x v="257"/>
    <x v="0"/>
    <x v="0"/>
    <x v="0"/>
    <x v="0"/>
    <x v="8"/>
    <n v="1383.3803755815272"/>
    <x v="1"/>
  </r>
  <r>
    <x v="63"/>
    <x v="0"/>
    <x v="257"/>
    <x v="0"/>
    <x v="0"/>
    <x v="0"/>
    <x v="0"/>
    <x v="9"/>
    <n v="2129.0036377439665"/>
    <x v="1"/>
  </r>
  <r>
    <x v="63"/>
    <x v="0"/>
    <x v="257"/>
    <x v="0"/>
    <x v="0"/>
    <x v="0"/>
    <x v="0"/>
    <x v="10"/>
    <n v="2084.7140981036878"/>
    <x v="1"/>
  </r>
  <r>
    <x v="63"/>
    <x v="0"/>
    <x v="257"/>
    <x v="0"/>
    <x v="0"/>
    <x v="0"/>
    <x v="0"/>
    <x v="12"/>
    <n v="2760.2541438246581"/>
    <x v="1"/>
  </r>
  <r>
    <x v="64"/>
    <x v="0"/>
    <x v="258"/>
    <x v="0"/>
    <x v="0"/>
    <x v="0"/>
    <x v="0"/>
    <x v="0"/>
    <n v="2066.9563137583937"/>
    <x v="1"/>
  </r>
  <r>
    <x v="64"/>
    <x v="0"/>
    <x v="258"/>
    <x v="0"/>
    <x v="0"/>
    <x v="0"/>
    <x v="0"/>
    <x v="1"/>
    <n v="1696.3963712267253"/>
    <x v="1"/>
  </r>
  <r>
    <x v="64"/>
    <x v="0"/>
    <x v="258"/>
    <x v="0"/>
    <x v="0"/>
    <x v="0"/>
    <x v="0"/>
    <x v="2"/>
    <n v="1724.1445768022677"/>
    <x v="1"/>
  </r>
  <r>
    <x v="64"/>
    <x v="0"/>
    <x v="258"/>
    <x v="0"/>
    <x v="0"/>
    <x v="0"/>
    <x v="0"/>
    <x v="3"/>
    <n v="1859.9352173820189"/>
    <x v="1"/>
  </r>
  <r>
    <x v="64"/>
    <x v="0"/>
    <x v="258"/>
    <x v="0"/>
    <x v="0"/>
    <x v="0"/>
    <x v="0"/>
    <x v="4"/>
    <n v="2563.9294260914053"/>
    <x v="1"/>
  </r>
  <r>
    <x v="64"/>
    <x v="0"/>
    <x v="258"/>
    <x v="0"/>
    <x v="0"/>
    <x v="0"/>
    <x v="0"/>
    <x v="5"/>
    <n v="1756.6900869185242"/>
    <x v="1"/>
  </r>
  <r>
    <x v="64"/>
    <x v="0"/>
    <x v="258"/>
    <x v="0"/>
    <x v="0"/>
    <x v="0"/>
    <x v="0"/>
    <x v="6"/>
    <n v="3501.500675303887"/>
    <x v="1"/>
  </r>
  <r>
    <x v="64"/>
    <x v="0"/>
    <x v="258"/>
    <x v="0"/>
    <x v="0"/>
    <x v="0"/>
    <x v="0"/>
    <x v="7"/>
    <n v="3021.1900956219479"/>
    <x v="1"/>
  </r>
  <r>
    <x v="64"/>
    <x v="0"/>
    <x v="258"/>
    <x v="0"/>
    <x v="0"/>
    <x v="0"/>
    <x v="0"/>
    <x v="8"/>
    <n v="1794.6556223760354"/>
    <x v="1"/>
  </r>
  <r>
    <x v="64"/>
    <x v="0"/>
    <x v="258"/>
    <x v="0"/>
    <x v="0"/>
    <x v="0"/>
    <x v="0"/>
    <x v="9"/>
    <n v="2763.8088128301642"/>
    <x v="1"/>
  </r>
  <r>
    <x v="64"/>
    <x v="0"/>
    <x v="258"/>
    <x v="0"/>
    <x v="0"/>
    <x v="0"/>
    <x v="0"/>
    <x v="10"/>
    <n v="2706.3134578181352"/>
    <x v="1"/>
  </r>
  <r>
    <x v="64"/>
    <x v="0"/>
    <x v="258"/>
    <x v="0"/>
    <x v="0"/>
    <x v="0"/>
    <x v="0"/>
    <x v="12"/>
    <n v="3583.2793298735605"/>
    <x v="1"/>
  </r>
  <r>
    <x v="65"/>
    <x v="0"/>
    <x v="259"/>
    <x v="0"/>
    <x v="0"/>
    <x v="0"/>
    <x v="0"/>
    <x v="0"/>
    <n v="3413.9610643572996"/>
    <x v="1"/>
  </r>
  <r>
    <x v="65"/>
    <x v="0"/>
    <x v="259"/>
    <x v="0"/>
    <x v="0"/>
    <x v="0"/>
    <x v="0"/>
    <x v="1"/>
    <n v="2801.9127073635923"/>
    <x v="1"/>
  </r>
  <r>
    <x v="65"/>
    <x v="0"/>
    <x v="259"/>
    <x v="0"/>
    <x v="0"/>
    <x v="0"/>
    <x v="0"/>
    <x v="2"/>
    <n v="2847.7440066562372"/>
    <x v="1"/>
  </r>
  <r>
    <x v="65"/>
    <x v="0"/>
    <x v="259"/>
    <x v="0"/>
    <x v="0"/>
    <x v="0"/>
    <x v="0"/>
    <x v="3"/>
    <n v="2907.5556119178118"/>
    <x v="1"/>
  </r>
  <r>
    <x v="65"/>
    <x v="0"/>
    <x v="259"/>
    <x v="0"/>
    <x v="0"/>
    <x v="0"/>
    <x v="0"/>
    <x v="4"/>
    <n v="4008.0756451840552"/>
    <x v="1"/>
  </r>
  <r>
    <x v="65"/>
    <x v="0"/>
    <x v="259"/>
    <x v="0"/>
    <x v="0"/>
    <x v="0"/>
    <x v="0"/>
    <x v="5"/>
    <n v="2746.1319403124753"/>
    <x v="1"/>
  </r>
  <r>
    <x v="65"/>
    <x v="0"/>
    <x v="259"/>
    <x v="0"/>
    <x v="0"/>
    <x v="0"/>
    <x v="0"/>
    <x v="6"/>
    <n v="5475.0737832024406"/>
    <x v="1"/>
  </r>
  <r>
    <x v="65"/>
    <x v="0"/>
    <x v="259"/>
    <x v="0"/>
    <x v="0"/>
    <x v="0"/>
    <x v="0"/>
    <x v="7"/>
    <n v="4722.851618008779"/>
    <x v="1"/>
  </r>
  <r>
    <x v="65"/>
    <x v="0"/>
    <x v="259"/>
    <x v="0"/>
    <x v="0"/>
    <x v="0"/>
    <x v="0"/>
    <x v="8"/>
    <n v="2807.1405026665157"/>
    <x v="1"/>
  </r>
  <r>
    <x v="65"/>
    <x v="0"/>
    <x v="259"/>
    <x v="0"/>
    <x v="0"/>
    <x v="0"/>
    <x v="0"/>
    <x v="9"/>
    <n v="5348.8638218454435"/>
    <x v="1"/>
  </r>
  <r>
    <x v="65"/>
    <x v="0"/>
    <x v="259"/>
    <x v="0"/>
    <x v="0"/>
    <x v="0"/>
    <x v="0"/>
    <x v="10"/>
    <n v="5237.5917168719134"/>
    <x v="1"/>
  </r>
  <r>
    <x v="65"/>
    <x v="0"/>
    <x v="259"/>
    <x v="0"/>
    <x v="0"/>
    <x v="0"/>
    <x v="0"/>
    <x v="12"/>
    <n v="6934.8042752279362"/>
    <x v="1"/>
  </r>
  <r>
    <x v="66"/>
    <x v="0"/>
    <x v="260"/>
    <x v="2"/>
    <x v="0"/>
    <x v="0"/>
    <x v="0"/>
    <x v="0"/>
    <n v="3478.5661059451559"/>
    <x v="1"/>
  </r>
  <r>
    <x v="66"/>
    <x v="0"/>
    <x v="260"/>
    <x v="2"/>
    <x v="0"/>
    <x v="0"/>
    <x v="0"/>
    <x v="1"/>
    <n v="2854.9354816636987"/>
    <x v="1"/>
  </r>
  <r>
    <x v="66"/>
    <x v="0"/>
    <x v="260"/>
    <x v="2"/>
    <x v="0"/>
    <x v="0"/>
    <x v="0"/>
    <x v="2"/>
    <n v="2901.6340822937086"/>
    <x v="1"/>
  </r>
  <r>
    <x v="66"/>
    <x v="0"/>
    <x v="260"/>
    <x v="2"/>
    <x v="0"/>
    <x v="0"/>
    <x v="0"/>
    <x v="3"/>
    <n v="2962.5716676471325"/>
    <x v="1"/>
  </r>
  <r>
    <x v="66"/>
    <x v="0"/>
    <x v="260"/>
    <x v="2"/>
    <x v="0"/>
    <x v="0"/>
    <x v="0"/>
    <x v="4"/>
    <n v="4083.9189745772428"/>
    <x v="1"/>
  </r>
  <r>
    <x v="66"/>
    <x v="0"/>
    <x v="260"/>
    <x v="2"/>
    <x v="0"/>
    <x v="0"/>
    <x v="0"/>
    <x v="5"/>
    <n v="2798.1088741096232"/>
    <x v="1"/>
  </r>
  <r>
    <x v="66"/>
    <x v="0"/>
    <x v="260"/>
    <x v="2"/>
    <x v="0"/>
    <x v="0"/>
    <x v="0"/>
    <x v="6"/>
    <n v="5587.9320694312446"/>
    <x v="1"/>
  </r>
  <r>
    <x v="66"/>
    <x v="0"/>
    <x v="260"/>
    <x v="2"/>
    <x v="0"/>
    <x v="0"/>
    <x v="0"/>
    <x v="7"/>
    <n v="4820.2370887600155"/>
    <x v="1"/>
  </r>
  <r>
    <x v="66"/>
    <x v="0"/>
    <x v="260"/>
    <x v="2"/>
    <x v="0"/>
    <x v="0"/>
    <x v="0"/>
    <x v="8"/>
    <n v="2863.9712640417565"/>
    <x v="1"/>
  </r>
  <r>
    <x v="66"/>
    <x v="0"/>
    <x v="260"/>
    <x v="2"/>
    <x v="0"/>
    <x v="0"/>
    <x v="0"/>
    <x v="9"/>
    <n v="4406.9687786670038"/>
    <x v="1"/>
  </r>
  <r>
    <x v="66"/>
    <x v="0"/>
    <x v="260"/>
    <x v="2"/>
    <x v="0"/>
    <x v="0"/>
    <x v="0"/>
    <x v="10"/>
    <n v="4315.2908618443398"/>
    <x v="1"/>
  </r>
  <r>
    <x v="66"/>
    <x v="0"/>
    <x v="260"/>
    <x v="2"/>
    <x v="0"/>
    <x v="0"/>
    <x v="0"/>
    <x v="12"/>
    <n v="5713.636941415305"/>
    <x v="1"/>
  </r>
  <r>
    <x v="67"/>
    <x v="0"/>
    <x v="261"/>
    <x v="2"/>
    <x v="0"/>
    <x v="0"/>
    <x v="0"/>
    <x v="0"/>
    <n v="3345.9326643451286"/>
    <x v="1"/>
  </r>
  <r>
    <x v="67"/>
    <x v="0"/>
    <x v="261"/>
    <x v="2"/>
    <x v="0"/>
    <x v="0"/>
    <x v="0"/>
    <x v="1"/>
    <n v="2746.0803077367391"/>
    <x v="1"/>
  </r>
  <r>
    <x v="67"/>
    <x v="0"/>
    <x v="261"/>
    <x v="2"/>
    <x v="0"/>
    <x v="0"/>
    <x v="0"/>
    <x v="2"/>
    <n v="2790.998348236275"/>
    <x v="1"/>
  </r>
  <r>
    <x v="67"/>
    <x v="0"/>
    <x v="261"/>
    <x v="2"/>
    <x v="0"/>
    <x v="0"/>
    <x v="0"/>
    <x v="3"/>
    <n v="2849.6108865551851"/>
    <x v="1"/>
  </r>
  <r>
    <x v="67"/>
    <x v="0"/>
    <x v="261"/>
    <x v="2"/>
    <x v="0"/>
    <x v="0"/>
    <x v="0"/>
    <x v="4"/>
    <n v="3928.1958360752624"/>
    <x v="1"/>
  </r>
  <r>
    <x v="67"/>
    <x v="0"/>
    <x v="261"/>
    <x v="2"/>
    <x v="0"/>
    <x v="0"/>
    <x v="0"/>
    <x v="5"/>
    <n v="2691.4162617837774"/>
    <x v="1"/>
  </r>
  <r>
    <x v="67"/>
    <x v="0"/>
    <x v="261"/>
    <x v="2"/>
    <x v="0"/>
    <x v="0"/>
    <x v="0"/>
    <x v="6"/>
    <n v="0"/>
    <x v="1"/>
  </r>
  <r>
    <x v="67"/>
    <x v="0"/>
    <x v="261"/>
    <x v="2"/>
    <x v="0"/>
    <x v="0"/>
    <x v="0"/>
    <x v="7"/>
    <n v="0"/>
    <x v="1"/>
  </r>
  <r>
    <x v="67"/>
    <x v="0"/>
    <x v="261"/>
    <x v="2"/>
    <x v="0"/>
    <x v="0"/>
    <x v="0"/>
    <x v="8"/>
    <n v="0"/>
    <x v="1"/>
  </r>
  <r>
    <x v="67"/>
    <x v="0"/>
    <x v="261"/>
    <x v="2"/>
    <x v="0"/>
    <x v="0"/>
    <x v="0"/>
    <x v="9"/>
    <n v="0"/>
    <x v="1"/>
  </r>
  <r>
    <x v="67"/>
    <x v="0"/>
    <x v="261"/>
    <x v="2"/>
    <x v="0"/>
    <x v="0"/>
    <x v="0"/>
    <x v="10"/>
    <n v="0"/>
    <x v="1"/>
  </r>
  <r>
    <x v="67"/>
    <x v="0"/>
    <x v="261"/>
    <x v="2"/>
    <x v="0"/>
    <x v="0"/>
    <x v="0"/>
    <x v="12"/>
    <n v="0"/>
    <x v="1"/>
  </r>
  <r>
    <x v="68"/>
    <x v="0"/>
    <x v="262"/>
    <x v="0"/>
    <x v="0"/>
    <x v="0"/>
    <x v="0"/>
    <x v="0"/>
    <n v="1294.2705659697251"/>
    <x v="1"/>
  </r>
  <r>
    <x v="68"/>
    <x v="0"/>
    <x v="262"/>
    <x v="0"/>
    <x v="0"/>
    <x v="0"/>
    <x v="0"/>
    <x v="1"/>
    <n v="1062.2362344486614"/>
    <x v="1"/>
  </r>
  <r>
    <x v="68"/>
    <x v="0"/>
    <x v="262"/>
    <x v="0"/>
    <x v="0"/>
    <x v="0"/>
    <x v="0"/>
    <x v="2"/>
    <n v="1079.611389160857"/>
    <x v="1"/>
  </r>
  <r>
    <x v="68"/>
    <x v="0"/>
    <x v="262"/>
    <x v="0"/>
    <x v="0"/>
    <x v="0"/>
    <x v="0"/>
    <x v="3"/>
    <n v="0"/>
    <x v="1"/>
  </r>
  <r>
    <x v="68"/>
    <x v="0"/>
    <x v="262"/>
    <x v="0"/>
    <x v="0"/>
    <x v="0"/>
    <x v="0"/>
    <x v="4"/>
    <n v="0"/>
    <x v="1"/>
  </r>
  <r>
    <x v="68"/>
    <x v="0"/>
    <x v="262"/>
    <x v="0"/>
    <x v="0"/>
    <x v="0"/>
    <x v="0"/>
    <x v="5"/>
    <n v="0"/>
    <x v="1"/>
  </r>
  <r>
    <x v="68"/>
    <x v="0"/>
    <x v="262"/>
    <x v="0"/>
    <x v="0"/>
    <x v="0"/>
    <x v="0"/>
    <x v="6"/>
    <n v="0"/>
    <x v="1"/>
  </r>
  <r>
    <x v="68"/>
    <x v="0"/>
    <x v="262"/>
    <x v="0"/>
    <x v="0"/>
    <x v="0"/>
    <x v="0"/>
    <x v="7"/>
    <n v="0"/>
    <x v="1"/>
  </r>
  <r>
    <x v="68"/>
    <x v="0"/>
    <x v="262"/>
    <x v="0"/>
    <x v="0"/>
    <x v="0"/>
    <x v="0"/>
    <x v="8"/>
    <n v="0"/>
    <x v="1"/>
  </r>
  <r>
    <x v="68"/>
    <x v="0"/>
    <x v="262"/>
    <x v="0"/>
    <x v="0"/>
    <x v="0"/>
    <x v="0"/>
    <x v="9"/>
    <n v="0"/>
    <x v="1"/>
  </r>
  <r>
    <x v="68"/>
    <x v="0"/>
    <x v="262"/>
    <x v="0"/>
    <x v="0"/>
    <x v="0"/>
    <x v="0"/>
    <x v="10"/>
    <n v="0"/>
    <x v="1"/>
  </r>
  <r>
    <x v="68"/>
    <x v="0"/>
    <x v="262"/>
    <x v="0"/>
    <x v="0"/>
    <x v="0"/>
    <x v="0"/>
    <x v="12"/>
    <n v="0"/>
    <x v="1"/>
  </r>
  <r>
    <x v="69"/>
    <x v="0"/>
    <x v="263"/>
    <x v="0"/>
    <x v="0"/>
    <x v="0"/>
    <x v="0"/>
    <x v="0"/>
    <n v="7859.4716329603789"/>
    <x v="1"/>
  </r>
  <r>
    <x v="69"/>
    <x v="0"/>
    <x v="263"/>
    <x v="0"/>
    <x v="0"/>
    <x v="0"/>
    <x v="0"/>
    <x v="1"/>
    <n v="6450.4407128325201"/>
    <x v="1"/>
  </r>
  <r>
    <x v="69"/>
    <x v="0"/>
    <x v="263"/>
    <x v="0"/>
    <x v="0"/>
    <x v="0"/>
    <x v="0"/>
    <x v="2"/>
    <n v="6555.95152268122"/>
    <x v="1"/>
  </r>
  <r>
    <x v="69"/>
    <x v="0"/>
    <x v="263"/>
    <x v="0"/>
    <x v="0"/>
    <x v="0"/>
    <x v="0"/>
    <x v="3"/>
    <n v="6693.4514468965817"/>
    <x v="1"/>
  </r>
  <r>
    <x v="69"/>
    <x v="0"/>
    <x v="263"/>
    <x v="0"/>
    <x v="0"/>
    <x v="0"/>
    <x v="0"/>
    <x v="4"/>
    <n v="9226.9464926386918"/>
    <x v="1"/>
  </r>
  <r>
    <x v="69"/>
    <x v="0"/>
    <x v="263"/>
    <x v="0"/>
    <x v="0"/>
    <x v="0"/>
    <x v="0"/>
    <x v="5"/>
    <n v="6321.8666698754096"/>
    <x v="1"/>
  </r>
  <r>
    <x v="69"/>
    <x v="0"/>
    <x v="263"/>
    <x v="0"/>
    <x v="0"/>
    <x v="0"/>
    <x v="0"/>
    <x v="6"/>
    <n v="12605.402431093993"/>
    <x v="1"/>
  </r>
  <r>
    <x v="69"/>
    <x v="0"/>
    <x v="263"/>
    <x v="0"/>
    <x v="0"/>
    <x v="0"/>
    <x v="0"/>
    <x v="7"/>
    <n v="0"/>
    <x v="1"/>
  </r>
  <r>
    <x v="69"/>
    <x v="0"/>
    <x v="263"/>
    <x v="0"/>
    <x v="0"/>
    <x v="0"/>
    <x v="0"/>
    <x v="8"/>
    <n v="0"/>
    <x v="1"/>
  </r>
  <r>
    <x v="69"/>
    <x v="0"/>
    <x v="263"/>
    <x v="0"/>
    <x v="0"/>
    <x v="0"/>
    <x v="0"/>
    <x v="9"/>
    <n v="0"/>
    <x v="1"/>
  </r>
  <r>
    <x v="69"/>
    <x v="0"/>
    <x v="263"/>
    <x v="0"/>
    <x v="0"/>
    <x v="0"/>
    <x v="0"/>
    <x v="10"/>
    <n v="0"/>
    <x v="1"/>
  </r>
  <r>
    <x v="69"/>
    <x v="0"/>
    <x v="263"/>
    <x v="0"/>
    <x v="0"/>
    <x v="0"/>
    <x v="0"/>
    <x v="12"/>
    <n v="0"/>
    <x v="1"/>
  </r>
  <r>
    <x v="70"/>
    <x v="0"/>
    <x v="264"/>
    <x v="0"/>
    <x v="0"/>
    <x v="0"/>
    <x v="0"/>
    <x v="0"/>
    <n v="1994.7089861106258"/>
    <x v="1"/>
  </r>
  <r>
    <x v="70"/>
    <x v="0"/>
    <x v="264"/>
    <x v="0"/>
    <x v="0"/>
    <x v="0"/>
    <x v="0"/>
    <x v="1"/>
    <n v="1637.1014051760651"/>
    <x v="1"/>
  </r>
  <r>
    <x v="70"/>
    <x v="0"/>
    <x v="264"/>
    <x v="0"/>
    <x v="0"/>
    <x v="0"/>
    <x v="0"/>
    <x v="2"/>
    <n v="1663.8797142489532"/>
    <x v="1"/>
  </r>
  <r>
    <x v="70"/>
    <x v="0"/>
    <x v="264"/>
    <x v="0"/>
    <x v="0"/>
    <x v="0"/>
    <x v="0"/>
    <x v="3"/>
    <n v="1698.8277208524814"/>
    <x v="1"/>
  </r>
  <r>
    <x v="70"/>
    <x v="0"/>
    <x v="264"/>
    <x v="0"/>
    <x v="0"/>
    <x v="0"/>
    <x v="0"/>
    <x v="4"/>
    <n v="6991.7564724380973"/>
    <x v="1"/>
  </r>
  <r>
    <x v="70"/>
    <x v="0"/>
    <x v="264"/>
    <x v="0"/>
    <x v="0"/>
    <x v="0"/>
    <x v="0"/>
    <x v="5"/>
    <n v="0"/>
    <x v="1"/>
  </r>
  <r>
    <x v="70"/>
    <x v="0"/>
    <x v="264"/>
    <x v="0"/>
    <x v="0"/>
    <x v="0"/>
    <x v="0"/>
    <x v="6"/>
    <n v="0"/>
    <x v="1"/>
  </r>
  <r>
    <x v="70"/>
    <x v="0"/>
    <x v="264"/>
    <x v="0"/>
    <x v="0"/>
    <x v="0"/>
    <x v="0"/>
    <x v="7"/>
    <n v="0"/>
    <x v="1"/>
  </r>
  <r>
    <x v="70"/>
    <x v="0"/>
    <x v="264"/>
    <x v="0"/>
    <x v="0"/>
    <x v="0"/>
    <x v="0"/>
    <x v="8"/>
    <n v="0"/>
    <x v="1"/>
  </r>
  <r>
    <x v="70"/>
    <x v="0"/>
    <x v="264"/>
    <x v="0"/>
    <x v="0"/>
    <x v="0"/>
    <x v="0"/>
    <x v="9"/>
    <n v="0"/>
    <x v="1"/>
  </r>
  <r>
    <x v="70"/>
    <x v="0"/>
    <x v="264"/>
    <x v="0"/>
    <x v="0"/>
    <x v="0"/>
    <x v="0"/>
    <x v="10"/>
    <n v="0"/>
    <x v="1"/>
  </r>
  <r>
    <x v="70"/>
    <x v="0"/>
    <x v="264"/>
    <x v="0"/>
    <x v="0"/>
    <x v="0"/>
    <x v="0"/>
    <x v="12"/>
    <n v="0"/>
    <x v="1"/>
  </r>
  <r>
    <x v="71"/>
    <x v="0"/>
    <x v="265"/>
    <x v="0"/>
    <x v="0"/>
    <x v="0"/>
    <x v="0"/>
    <x v="0"/>
    <n v="675.02842169564315"/>
    <x v="1"/>
  </r>
  <r>
    <x v="71"/>
    <x v="0"/>
    <x v="265"/>
    <x v="0"/>
    <x v="0"/>
    <x v="0"/>
    <x v="0"/>
    <x v="1"/>
    <n v="554.01062780915913"/>
    <x v="1"/>
  </r>
  <r>
    <x v="71"/>
    <x v="0"/>
    <x v="265"/>
    <x v="0"/>
    <x v="0"/>
    <x v="0"/>
    <x v="0"/>
    <x v="2"/>
    <n v="563.06825328181446"/>
    <x v="1"/>
  </r>
  <r>
    <x v="71"/>
    <x v="0"/>
    <x v="265"/>
    <x v="0"/>
    <x v="0"/>
    <x v="0"/>
    <x v="0"/>
    <x v="3"/>
    <n v="574.89324901322368"/>
    <x v="1"/>
  </r>
  <r>
    <x v="71"/>
    <x v="0"/>
    <x v="265"/>
    <x v="0"/>
    <x v="0"/>
    <x v="0"/>
    <x v="0"/>
    <x v="4"/>
    <n v="2217.0895953706236"/>
    <x v="1"/>
  </r>
  <r>
    <x v="71"/>
    <x v="0"/>
    <x v="265"/>
    <x v="0"/>
    <x v="0"/>
    <x v="0"/>
    <x v="0"/>
    <x v="5"/>
    <n v="0"/>
    <x v="1"/>
  </r>
  <r>
    <x v="71"/>
    <x v="0"/>
    <x v="265"/>
    <x v="0"/>
    <x v="0"/>
    <x v="0"/>
    <x v="0"/>
    <x v="6"/>
    <n v="0"/>
    <x v="1"/>
  </r>
  <r>
    <x v="71"/>
    <x v="0"/>
    <x v="265"/>
    <x v="0"/>
    <x v="0"/>
    <x v="0"/>
    <x v="0"/>
    <x v="7"/>
    <n v="0"/>
    <x v="1"/>
  </r>
  <r>
    <x v="71"/>
    <x v="0"/>
    <x v="265"/>
    <x v="0"/>
    <x v="0"/>
    <x v="0"/>
    <x v="0"/>
    <x v="8"/>
    <n v="0"/>
    <x v="1"/>
  </r>
  <r>
    <x v="71"/>
    <x v="0"/>
    <x v="265"/>
    <x v="0"/>
    <x v="0"/>
    <x v="0"/>
    <x v="0"/>
    <x v="9"/>
    <n v="0"/>
    <x v="1"/>
  </r>
  <r>
    <x v="71"/>
    <x v="0"/>
    <x v="265"/>
    <x v="0"/>
    <x v="0"/>
    <x v="0"/>
    <x v="0"/>
    <x v="10"/>
    <n v="0"/>
    <x v="1"/>
  </r>
  <r>
    <x v="71"/>
    <x v="0"/>
    <x v="265"/>
    <x v="0"/>
    <x v="0"/>
    <x v="0"/>
    <x v="0"/>
    <x v="12"/>
    <n v="0"/>
    <x v="1"/>
  </r>
  <r>
    <x v="30"/>
    <x v="0"/>
    <x v="266"/>
    <x v="0"/>
    <x v="0"/>
    <x v="0"/>
    <x v="0"/>
    <x v="0"/>
    <n v="1192.3894906095184"/>
    <x v="1"/>
  </r>
  <r>
    <x v="30"/>
    <x v="0"/>
    <x v="266"/>
    <x v="0"/>
    <x v="0"/>
    <x v="0"/>
    <x v="0"/>
    <x v="1"/>
    <n v="978.62020183717868"/>
    <x v="1"/>
  </r>
  <r>
    <x v="30"/>
    <x v="0"/>
    <x v="266"/>
    <x v="0"/>
    <x v="0"/>
    <x v="0"/>
    <x v="0"/>
    <x v="2"/>
    <n v="0"/>
    <x v="1"/>
  </r>
  <r>
    <x v="30"/>
    <x v="0"/>
    <x v="266"/>
    <x v="0"/>
    <x v="0"/>
    <x v="0"/>
    <x v="0"/>
    <x v="3"/>
    <n v="0"/>
    <x v="1"/>
  </r>
  <r>
    <x v="30"/>
    <x v="0"/>
    <x v="266"/>
    <x v="0"/>
    <x v="0"/>
    <x v="0"/>
    <x v="0"/>
    <x v="4"/>
    <n v="0"/>
    <x v="1"/>
  </r>
  <r>
    <x v="30"/>
    <x v="0"/>
    <x v="266"/>
    <x v="0"/>
    <x v="0"/>
    <x v="0"/>
    <x v="0"/>
    <x v="5"/>
    <n v="0"/>
    <x v="1"/>
  </r>
  <r>
    <x v="30"/>
    <x v="0"/>
    <x v="266"/>
    <x v="0"/>
    <x v="0"/>
    <x v="0"/>
    <x v="0"/>
    <x v="6"/>
    <n v="0"/>
    <x v="1"/>
  </r>
  <r>
    <x v="30"/>
    <x v="0"/>
    <x v="266"/>
    <x v="0"/>
    <x v="0"/>
    <x v="0"/>
    <x v="0"/>
    <x v="7"/>
    <n v="0"/>
    <x v="1"/>
  </r>
  <r>
    <x v="30"/>
    <x v="0"/>
    <x v="266"/>
    <x v="0"/>
    <x v="0"/>
    <x v="0"/>
    <x v="0"/>
    <x v="8"/>
    <n v="0"/>
    <x v="1"/>
  </r>
  <r>
    <x v="30"/>
    <x v="0"/>
    <x v="266"/>
    <x v="0"/>
    <x v="0"/>
    <x v="0"/>
    <x v="0"/>
    <x v="9"/>
    <n v="0"/>
    <x v="1"/>
  </r>
  <r>
    <x v="30"/>
    <x v="0"/>
    <x v="266"/>
    <x v="0"/>
    <x v="0"/>
    <x v="0"/>
    <x v="0"/>
    <x v="10"/>
    <n v="0"/>
    <x v="1"/>
  </r>
  <r>
    <x v="30"/>
    <x v="0"/>
    <x v="266"/>
    <x v="0"/>
    <x v="0"/>
    <x v="0"/>
    <x v="0"/>
    <x v="12"/>
    <n v="0"/>
    <x v="1"/>
  </r>
  <r>
    <x v="52"/>
    <x v="0"/>
    <x v="88"/>
    <x v="2"/>
    <x v="0"/>
    <x v="0"/>
    <x v="0"/>
    <x v="0"/>
    <n v="15627.149043833319"/>
    <x v="1"/>
  </r>
  <r>
    <x v="52"/>
    <x v="0"/>
    <x v="88"/>
    <x v="2"/>
    <x v="0"/>
    <x v="0"/>
    <x v="0"/>
    <x v="1"/>
    <n v="12771.725719447648"/>
    <x v="1"/>
  </r>
  <r>
    <x v="52"/>
    <x v="0"/>
    <x v="88"/>
    <x v="2"/>
    <x v="0"/>
    <x v="0"/>
    <x v="0"/>
    <x v="2"/>
    <n v="12720.816906483687"/>
    <x v="1"/>
  </r>
  <r>
    <x v="52"/>
    <x v="0"/>
    <x v="88"/>
    <x v="2"/>
    <x v="0"/>
    <x v="0"/>
    <x v="0"/>
    <x v="3"/>
    <n v="13033.346535653058"/>
    <x v="1"/>
  </r>
  <r>
    <x v="52"/>
    <x v="0"/>
    <x v="88"/>
    <x v="2"/>
    <x v="0"/>
    <x v="0"/>
    <x v="0"/>
    <x v="4"/>
    <n v="18057.935569806727"/>
    <x v="1"/>
  </r>
  <r>
    <x v="52"/>
    <x v="0"/>
    <x v="88"/>
    <x v="2"/>
    <x v="0"/>
    <x v="0"/>
    <x v="0"/>
    <x v="5"/>
    <n v="12583.421739554415"/>
    <x v="1"/>
  </r>
  <r>
    <x v="52"/>
    <x v="0"/>
    <x v="88"/>
    <x v="2"/>
    <x v="0"/>
    <x v="0"/>
    <x v="0"/>
    <x v="6"/>
    <n v="24597.318793457056"/>
    <x v="1"/>
  </r>
  <r>
    <x v="52"/>
    <x v="0"/>
    <x v="88"/>
    <x v="2"/>
    <x v="0"/>
    <x v="0"/>
    <x v="0"/>
    <x v="7"/>
    <n v="21641.215722496949"/>
    <x v="1"/>
  </r>
  <r>
    <x v="52"/>
    <x v="0"/>
    <x v="88"/>
    <x v="2"/>
    <x v="0"/>
    <x v="0"/>
    <x v="0"/>
    <x v="8"/>
    <n v="12712.143991830251"/>
    <x v="1"/>
  </r>
  <r>
    <x v="52"/>
    <x v="0"/>
    <x v="88"/>
    <x v="2"/>
    <x v="0"/>
    <x v="0"/>
    <x v="0"/>
    <x v="9"/>
    <n v="0"/>
    <x v="1"/>
  </r>
  <r>
    <x v="52"/>
    <x v="0"/>
    <x v="88"/>
    <x v="2"/>
    <x v="0"/>
    <x v="0"/>
    <x v="0"/>
    <x v="10"/>
    <n v="0"/>
    <x v="1"/>
  </r>
  <r>
    <x v="52"/>
    <x v="0"/>
    <x v="88"/>
    <x v="2"/>
    <x v="0"/>
    <x v="0"/>
    <x v="0"/>
    <x v="12"/>
    <n v="0"/>
    <x v="1"/>
  </r>
  <r>
    <x v="52"/>
    <x v="1"/>
    <x v="88"/>
    <x v="2"/>
    <x v="1"/>
    <x v="1"/>
    <x v="0"/>
    <x v="0"/>
    <n v="11766.323985945086"/>
    <x v="1"/>
  </r>
  <r>
    <x v="52"/>
    <x v="1"/>
    <x v="88"/>
    <x v="2"/>
    <x v="1"/>
    <x v="1"/>
    <x v="0"/>
    <x v="1"/>
    <n v="0"/>
    <x v="1"/>
  </r>
  <r>
    <x v="52"/>
    <x v="1"/>
    <x v="88"/>
    <x v="2"/>
    <x v="1"/>
    <x v="1"/>
    <x v="0"/>
    <x v="2"/>
    <n v="0"/>
    <x v="1"/>
  </r>
  <r>
    <x v="52"/>
    <x v="1"/>
    <x v="88"/>
    <x v="2"/>
    <x v="1"/>
    <x v="1"/>
    <x v="0"/>
    <x v="3"/>
    <n v="0"/>
    <x v="1"/>
  </r>
  <r>
    <x v="52"/>
    <x v="1"/>
    <x v="88"/>
    <x v="2"/>
    <x v="1"/>
    <x v="1"/>
    <x v="0"/>
    <x v="4"/>
    <n v="0"/>
    <x v="1"/>
  </r>
  <r>
    <x v="52"/>
    <x v="1"/>
    <x v="88"/>
    <x v="2"/>
    <x v="1"/>
    <x v="1"/>
    <x v="0"/>
    <x v="5"/>
    <n v="0"/>
    <x v="1"/>
  </r>
  <r>
    <x v="52"/>
    <x v="1"/>
    <x v="88"/>
    <x v="2"/>
    <x v="1"/>
    <x v="1"/>
    <x v="0"/>
    <x v="6"/>
    <n v="0"/>
    <x v="1"/>
  </r>
  <r>
    <x v="52"/>
    <x v="1"/>
    <x v="88"/>
    <x v="2"/>
    <x v="1"/>
    <x v="1"/>
    <x v="0"/>
    <x v="7"/>
    <n v="0"/>
    <x v="1"/>
  </r>
  <r>
    <x v="52"/>
    <x v="1"/>
    <x v="88"/>
    <x v="2"/>
    <x v="1"/>
    <x v="1"/>
    <x v="0"/>
    <x v="8"/>
    <n v="0"/>
    <x v="1"/>
  </r>
  <r>
    <x v="52"/>
    <x v="1"/>
    <x v="88"/>
    <x v="2"/>
    <x v="1"/>
    <x v="1"/>
    <x v="0"/>
    <x v="9"/>
    <n v="0"/>
    <x v="1"/>
  </r>
  <r>
    <x v="52"/>
    <x v="1"/>
    <x v="88"/>
    <x v="2"/>
    <x v="1"/>
    <x v="1"/>
    <x v="0"/>
    <x v="10"/>
    <n v="0"/>
    <x v="1"/>
  </r>
  <r>
    <x v="52"/>
    <x v="1"/>
    <x v="88"/>
    <x v="2"/>
    <x v="1"/>
    <x v="1"/>
    <x v="0"/>
    <x v="12"/>
    <n v="0"/>
    <x v="1"/>
  </r>
  <r>
    <x v="72"/>
    <x v="0"/>
    <x v="267"/>
    <x v="0"/>
    <x v="0"/>
    <x v="0"/>
    <x v="0"/>
    <x v="0"/>
    <n v="3378.517250586694"/>
    <x v="1"/>
  </r>
  <r>
    <x v="72"/>
    <x v="0"/>
    <x v="267"/>
    <x v="0"/>
    <x v="0"/>
    <x v="0"/>
    <x v="0"/>
    <x v="1"/>
    <n v="2772.823192184841"/>
    <x v="1"/>
  </r>
  <r>
    <x v="72"/>
    <x v="0"/>
    <x v="267"/>
    <x v="0"/>
    <x v="0"/>
    <x v="0"/>
    <x v="0"/>
    <x v="2"/>
    <n v="2818.1786699884974"/>
    <x v="1"/>
  </r>
  <r>
    <x v="72"/>
    <x v="0"/>
    <x v="267"/>
    <x v="0"/>
    <x v="0"/>
    <x v="0"/>
    <x v="0"/>
    <x v="3"/>
    <n v="2877.3642480016933"/>
    <x v="1"/>
  </r>
  <r>
    <x v="72"/>
    <x v="0"/>
    <x v="267"/>
    <x v="0"/>
    <x v="0"/>
    <x v="0"/>
    <x v="0"/>
    <x v="4"/>
    <n v="3966.4574148531701"/>
    <x v="1"/>
  </r>
  <r>
    <x v="72"/>
    <x v="0"/>
    <x v="267"/>
    <x v="0"/>
    <x v="0"/>
    <x v="0"/>
    <x v="0"/>
    <x v="5"/>
    <n v="3082.1981249120336"/>
    <x v="1"/>
  </r>
  <r>
    <x v="72"/>
    <x v="0"/>
    <x v="267"/>
    <x v="0"/>
    <x v="0"/>
    <x v="0"/>
    <x v="0"/>
    <x v="6"/>
    <n v="13291.233555099796"/>
    <x v="1"/>
  </r>
  <r>
    <x v="72"/>
    <x v="0"/>
    <x v="267"/>
    <x v="0"/>
    <x v="0"/>
    <x v="0"/>
    <x v="0"/>
    <x v="7"/>
    <n v="0"/>
    <x v="1"/>
  </r>
  <r>
    <x v="72"/>
    <x v="0"/>
    <x v="267"/>
    <x v="0"/>
    <x v="0"/>
    <x v="0"/>
    <x v="0"/>
    <x v="8"/>
    <n v="0"/>
    <x v="1"/>
  </r>
  <r>
    <x v="72"/>
    <x v="0"/>
    <x v="267"/>
    <x v="0"/>
    <x v="0"/>
    <x v="0"/>
    <x v="0"/>
    <x v="9"/>
    <n v="0"/>
    <x v="1"/>
  </r>
  <r>
    <x v="72"/>
    <x v="0"/>
    <x v="267"/>
    <x v="0"/>
    <x v="0"/>
    <x v="0"/>
    <x v="0"/>
    <x v="10"/>
    <n v="0"/>
    <x v="1"/>
  </r>
  <r>
    <x v="72"/>
    <x v="0"/>
    <x v="267"/>
    <x v="0"/>
    <x v="0"/>
    <x v="0"/>
    <x v="0"/>
    <x v="12"/>
    <n v="0"/>
    <x v="1"/>
  </r>
  <r>
    <x v="73"/>
    <x v="0"/>
    <x v="268"/>
    <x v="0"/>
    <x v="0"/>
    <x v="0"/>
    <x v="0"/>
    <x v="0"/>
    <n v="1821.8534938407056"/>
    <x v="1"/>
  </r>
  <r>
    <x v="73"/>
    <x v="0"/>
    <x v="268"/>
    <x v="0"/>
    <x v="0"/>
    <x v="0"/>
    <x v="0"/>
    <x v="1"/>
    <n v="1495.2351122692198"/>
    <x v="1"/>
  </r>
  <r>
    <x v="73"/>
    <x v="0"/>
    <x v="268"/>
    <x v="0"/>
    <x v="0"/>
    <x v="0"/>
    <x v="0"/>
    <x v="2"/>
    <n v="1519.6928934710345"/>
    <x v="1"/>
  </r>
  <r>
    <x v="73"/>
    <x v="0"/>
    <x v="268"/>
    <x v="0"/>
    <x v="0"/>
    <x v="0"/>
    <x v="0"/>
    <x v="3"/>
    <n v="1551.6122383950637"/>
    <x v="1"/>
  </r>
  <r>
    <x v="73"/>
    <x v="0"/>
    <x v="268"/>
    <x v="0"/>
    <x v="0"/>
    <x v="0"/>
    <x v="0"/>
    <x v="4"/>
    <n v="2138.8881120383189"/>
    <x v="1"/>
  </r>
  <r>
    <x v="73"/>
    <x v="0"/>
    <x v="268"/>
    <x v="0"/>
    <x v="0"/>
    <x v="0"/>
    <x v="0"/>
    <x v="5"/>
    <n v="1465.4652957885069"/>
    <x v="1"/>
  </r>
  <r>
    <x v="73"/>
    <x v="0"/>
    <x v="268"/>
    <x v="0"/>
    <x v="0"/>
    <x v="0"/>
    <x v="0"/>
    <x v="6"/>
    <n v="2922.740233104897"/>
    <x v="1"/>
  </r>
  <r>
    <x v="73"/>
    <x v="0"/>
    <x v="268"/>
    <x v="0"/>
    <x v="0"/>
    <x v="0"/>
    <x v="0"/>
    <x v="7"/>
    <n v="2520.3359830419945"/>
    <x v="1"/>
  </r>
  <r>
    <x v="73"/>
    <x v="0"/>
    <x v="268"/>
    <x v="0"/>
    <x v="0"/>
    <x v="0"/>
    <x v="0"/>
    <x v="8"/>
    <n v="1497.0418983320094"/>
    <x v="1"/>
  </r>
  <r>
    <x v="73"/>
    <x v="0"/>
    <x v="268"/>
    <x v="0"/>
    <x v="0"/>
    <x v="0"/>
    <x v="0"/>
    <x v="9"/>
    <n v="2305.4657261253283"/>
    <x v="1"/>
  </r>
  <r>
    <x v="73"/>
    <x v="0"/>
    <x v="268"/>
    <x v="0"/>
    <x v="0"/>
    <x v="0"/>
    <x v="0"/>
    <x v="10"/>
    <n v="2257.5052558582456"/>
    <x v="1"/>
  </r>
  <r>
    <x v="73"/>
    <x v="0"/>
    <x v="268"/>
    <x v="0"/>
    <x v="0"/>
    <x v="0"/>
    <x v="0"/>
    <x v="12"/>
    <n v="2989.0373182859053"/>
    <x v="1"/>
  </r>
  <r>
    <x v="74"/>
    <x v="0"/>
    <x v="269"/>
    <x v="0"/>
    <x v="0"/>
    <x v="0"/>
    <x v="0"/>
    <x v="0"/>
    <n v="0"/>
    <x v="1"/>
  </r>
  <r>
    <x v="74"/>
    <x v="0"/>
    <x v="269"/>
    <x v="0"/>
    <x v="0"/>
    <x v="0"/>
    <x v="0"/>
    <x v="1"/>
    <n v="1514.2693345532346"/>
    <x v="1"/>
  </r>
  <r>
    <x v="74"/>
    <x v="0"/>
    <x v="269"/>
    <x v="0"/>
    <x v="0"/>
    <x v="0"/>
    <x v="0"/>
    <x v="2"/>
    <n v="2605.5226157868351"/>
    <x v="1"/>
  </r>
  <r>
    <x v="74"/>
    <x v="0"/>
    <x v="269"/>
    <x v="0"/>
    <x v="0"/>
    <x v="0"/>
    <x v="0"/>
    <x v="3"/>
    <n v="2669.4747040835937"/>
    <x v="1"/>
  </r>
  <r>
    <x v="74"/>
    <x v="0"/>
    <x v="269"/>
    <x v="0"/>
    <x v="0"/>
    <x v="0"/>
    <x v="0"/>
    <x v="4"/>
    <n v="3679.8885996753793"/>
    <x v="1"/>
  </r>
  <r>
    <x v="74"/>
    <x v="0"/>
    <x v="269"/>
    <x v="0"/>
    <x v="0"/>
    <x v="0"/>
    <x v="0"/>
    <x v="5"/>
    <n v="2521.2883998650018"/>
    <x v="1"/>
  </r>
  <r>
    <x v="74"/>
    <x v="0"/>
    <x v="269"/>
    <x v="0"/>
    <x v="0"/>
    <x v="0"/>
    <x v="0"/>
    <x v="6"/>
    <n v="5026.5344404982252"/>
    <x v="1"/>
  </r>
  <r>
    <x v="74"/>
    <x v="0"/>
    <x v="269"/>
    <x v="0"/>
    <x v="0"/>
    <x v="0"/>
    <x v="0"/>
    <x v="7"/>
    <n v="4336.1612834284451"/>
    <x v="1"/>
  </r>
  <r>
    <x v="74"/>
    <x v="0"/>
    <x v="269"/>
    <x v="0"/>
    <x v="0"/>
    <x v="0"/>
    <x v="0"/>
    <x v="8"/>
    <n v="2576.8263644615909"/>
    <x v="1"/>
  </r>
  <r>
    <x v="74"/>
    <x v="0"/>
    <x v="269"/>
    <x v="0"/>
    <x v="0"/>
    <x v="0"/>
    <x v="0"/>
    <x v="9"/>
    <n v="3964.6676999968367"/>
    <x v="1"/>
  </r>
  <r>
    <x v="74"/>
    <x v="0"/>
    <x v="269"/>
    <x v="0"/>
    <x v="0"/>
    <x v="0"/>
    <x v="0"/>
    <x v="10"/>
    <n v="3882.190946953046"/>
    <x v="1"/>
  </r>
  <r>
    <x v="74"/>
    <x v="0"/>
    <x v="269"/>
    <x v="0"/>
    <x v="0"/>
    <x v="0"/>
    <x v="0"/>
    <x v="12"/>
    <n v="5140.1934002332182"/>
    <x v="1"/>
  </r>
  <r>
    <x v="74"/>
    <x v="1"/>
    <x v="269"/>
    <x v="0"/>
    <x v="1"/>
    <x v="1"/>
    <x v="0"/>
    <x v="0"/>
    <n v="0"/>
    <x v="1"/>
  </r>
  <r>
    <x v="74"/>
    <x v="1"/>
    <x v="269"/>
    <x v="0"/>
    <x v="1"/>
    <x v="1"/>
    <x v="0"/>
    <x v="1"/>
    <n v="0"/>
    <x v="1"/>
  </r>
  <r>
    <x v="74"/>
    <x v="1"/>
    <x v="269"/>
    <x v="0"/>
    <x v="1"/>
    <x v="1"/>
    <x v="0"/>
    <x v="2"/>
    <n v="1085.0108537883145"/>
    <x v="1"/>
  </r>
  <r>
    <x v="74"/>
    <x v="1"/>
    <x v="269"/>
    <x v="0"/>
    <x v="1"/>
    <x v="1"/>
    <x v="0"/>
    <x v="3"/>
    <n v="0"/>
    <x v="1"/>
  </r>
  <r>
    <x v="74"/>
    <x v="1"/>
    <x v="269"/>
    <x v="0"/>
    <x v="1"/>
    <x v="1"/>
    <x v="0"/>
    <x v="4"/>
    <n v="0"/>
    <x v="1"/>
  </r>
  <r>
    <x v="74"/>
    <x v="1"/>
    <x v="269"/>
    <x v="0"/>
    <x v="1"/>
    <x v="1"/>
    <x v="0"/>
    <x v="5"/>
    <n v="0"/>
    <x v="1"/>
  </r>
  <r>
    <x v="74"/>
    <x v="1"/>
    <x v="269"/>
    <x v="0"/>
    <x v="1"/>
    <x v="1"/>
    <x v="0"/>
    <x v="6"/>
    <n v="0"/>
    <x v="1"/>
  </r>
  <r>
    <x v="74"/>
    <x v="1"/>
    <x v="269"/>
    <x v="0"/>
    <x v="1"/>
    <x v="1"/>
    <x v="0"/>
    <x v="7"/>
    <n v="0"/>
    <x v="1"/>
  </r>
  <r>
    <x v="74"/>
    <x v="1"/>
    <x v="269"/>
    <x v="0"/>
    <x v="1"/>
    <x v="1"/>
    <x v="0"/>
    <x v="8"/>
    <n v="0"/>
    <x v="1"/>
  </r>
  <r>
    <x v="74"/>
    <x v="1"/>
    <x v="269"/>
    <x v="0"/>
    <x v="1"/>
    <x v="1"/>
    <x v="0"/>
    <x v="9"/>
    <n v="0"/>
    <x v="1"/>
  </r>
  <r>
    <x v="74"/>
    <x v="1"/>
    <x v="269"/>
    <x v="0"/>
    <x v="1"/>
    <x v="1"/>
    <x v="0"/>
    <x v="10"/>
    <n v="0"/>
    <x v="1"/>
  </r>
  <r>
    <x v="74"/>
    <x v="1"/>
    <x v="269"/>
    <x v="0"/>
    <x v="1"/>
    <x v="1"/>
    <x v="0"/>
    <x v="12"/>
    <n v="0"/>
    <x v="1"/>
  </r>
  <r>
    <x v="75"/>
    <x v="0"/>
    <x v="270"/>
    <x v="0"/>
    <x v="0"/>
    <x v="0"/>
    <x v="0"/>
    <x v="0"/>
    <n v="0"/>
    <x v="1"/>
  </r>
  <r>
    <x v="75"/>
    <x v="0"/>
    <x v="270"/>
    <x v="0"/>
    <x v="0"/>
    <x v="0"/>
    <x v="0"/>
    <x v="1"/>
    <n v="0"/>
    <x v="1"/>
  </r>
  <r>
    <x v="75"/>
    <x v="0"/>
    <x v="270"/>
    <x v="0"/>
    <x v="0"/>
    <x v="0"/>
    <x v="0"/>
    <x v="2"/>
    <n v="0"/>
    <x v="1"/>
  </r>
  <r>
    <x v="75"/>
    <x v="0"/>
    <x v="270"/>
    <x v="0"/>
    <x v="0"/>
    <x v="0"/>
    <x v="0"/>
    <x v="3"/>
    <n v="0"/>
    <x v="1"/>
  </r>
  <r>
    <x v="75"/>
    <x v="0"/>
    <x v="270"/>
    <x v="0"/>
    <x v="0"/>
    <x v="0"/>
    <x v="0"/>
    <x v="4"/>
    <n v="0"/>
    <x v="1"/>
  </r>
  <r>
    <x v="75"/>
    <x v="0"/>
    <x v="270"/>
    <x v="0"/>
    <x v="0"/>
    <x v="0"/>
    <x v="0"/>
    <x v="5"/>
    <n v="0"/>
    <x v="1"/>
  </r>
  <r>
    <x v="75"/>
    <x v="0"/>
    <x v="270"/>
    <x v="0"/>
    <x v="0"/>
    <x v="0"/>
    <x v="0"/>
    <x v="6"/>
    <n v="0"/>
    <x v="1"/>
  </r>
  <r>
    <x v="75"/>
    <x v="0"/>
    <x v="270"/>
    <x v="0"/>
    <x v="0"/>
    <x v="0"/>
    <x v="0"/>
    <x v="7"/>
    <n v="1199.7126188938573"/>
    <x v="1"/>
  </r>
  <r>
    <x v="75"/>
    <x v="0"/>
    <x v="270"/>
    <x v="0"/>
    <x v="0"/>
    <x v="0"/>
    <x v="0"/>
    <x v="8"/>
    <n v="5141.6883581073416"/>
    <x v="1"/>
  </r>
  <r>
    <x v="75"/>
    <x v="0"/>
    <x v="270"/>
    <x v="0"/>
    <x v="0"/>
    <x v="0"/>
    <x v="0"/>
    <x v="9"/>
    <n v="7819.3330591845124"/>
    <x v="1"/>
  </r>
  <r>
    <x v="75"/>
    <x v="0"/>
    <x v="270"/>
    <x v="0"/>
    <x v="0"/>
    <x v="0"/>
    <x v="0"/>
    <x v="10"/>
    <n v="7656.6679254357196"/>
    <x v="1"/>
  </r>
  <r>
    <x v="75"/>
    <x v="0"/>
    <x v="270"/>
    <x v="0"/>
    <x v="0"/>
    <x v="0"/>
    <x v="0"/>
    <x v="12"/>
    <n v="10137.768717685398"/>
    <x v="1"/>
  </r>
  <r>
    <x v="76"/>
    <x v="0"/>
    <x v="271"/>
    <x v="0"/>
    <x v="0"/>
    <x v="0"/>
    <x v="0"/>
    <x v="0"/>
    <n v="0"/>
    <x v="1"/>
  </r>
  <r>
    <x v="76"/>
    <x v="0"/>
    <x v="271"/>
    <x v="0"/>
    <x v="0"/>
    <x v="0"/>
    <x v="0"/>
    <x v="1"/>
    <n v="0"/>
    <x v="1"/>
  </r>
  <r>
    <x v="76"/>
    <x v="0"/>
    <x v="271"/>
    <x v="0"/>
    <x v="0"/>
    <x v="0"/>
    <x v="0"/>
    <x v="2"/>
    <n v="0"/>
    <x v="1"/>
  </r>
  <r>
    <x v="76"/>
    <x v="0"/>
    <x v="271"/>
    <x v="0"/>
    <x v="0"/>
    <x v="0"/>
    <x v="0"/>
    <x v="3"/>
    <n v="0"/>
    <x v="1"/>
  </r>
  <r>
    <x v="76"/>
    <x v="0"/>
    <x v="271"/>
    <x v="0"/>
    <x v="0"/>
    <x v="0"/>
    <x v="0"/>
    <x v="4"/>
    <n v="0"/>
    <x v="1"/>
  </r>
  <r>
    <x v="76"/>
    <x v="0"/>
    <x v="271"/>
    <x v="0"/>
    <x v="0"/>
    <x v="0"/>
    <x v="0"/>
    <x v="5"/>
    <n v="0"/>
    <x v="1"/>
  </r>
  <r>
    <x v="76"/>
    <x v="0"/>
    <x v="271"/>
    <x v="0"/>
    <x v="0"/>
    <x v="0"/>
    <x v="0"/>
    <x v="6"/>
    <n v="0"/>
    <x v="1"/>
  </r>
  <r>
    <x v="76"/>
    <x v="0"/>
    <x v="271"/>
    <x v="0"/>
    <x v="0"/>
    <x v="0"/>
    <x v="0"/>
    <x v="7"/>
    <n v="0"/>
    <x v="1"/>
  </r>
  <r>
    <x v="76"/>
    <x v="0"/>
    <x v="271"/>
    <x v="0"/>
    <x v="0"/>
    <x v="0"/>
    <x v="0"/>
    <x v="8"/>
    <n v="1640.6143481220925"/>
    <x v="1"/>
  </r>
  <r>
    <x v="76"/>
    <x v="0"/>
    <x v="271"/>
    <x v="0"/>
    <x v="0"/>
    <x v="0"/>
    <x v="0"/>
    <x v="9"/>
    <n v="2523.1786923101258"/>
    <x v="1"/>
  </r>
  <r>
    <x v="76"/>
    <x v="0"/>
    <x v="271"/>
    <x v="0"/>
    <x v="0"/>
    <x v="0"/>
    <x v="0"/>
    <x v="10"/>
    <n v="2470.6891517891931"/>
    <x v="1"/>
  </r>
  <r>
    <x v="76"/>
    <x v="0"/>
    <x v="271"/>
    <x v="0"/>
    <x v="0"/>
    <x v="0"/>
    <x v="0"/>
    <x v="12"/>
    <n v="3271.3022737900419"/>
    <x v="1"/>
  </r>
  <r>
    <x v="77"/>
    <x v="0"/>
    <x v="272"/>
    <x v="2"/>
    <x v="0"/>
    <x v="0"/>
    <x v="0"/>
    <x v="0"/>
    <n v="0"/>
    <x v="1"/>
  </r>
  <r>
    <x v="77"/>
    <x v="0"/>
    <x v="272"/>
    <x v="2"/>
    <x v="0"/>
    <x v="0"/>
    <x v="0"/>
    <x v="1"/>
    <n v="0"/>
    <x v="1"/>
  </r>
  <r>
    <x v="77"/>
    <x v="0"/>
    <x v="272"/>
    <x v="2"/>
    <x v="0"/>
    <x v="0"/>
    <x v="0"/>
    <x v="2"/>
    <n v="0"/>
    <x v="1"/>
  </r>
  <r>
    <x v="77"/>
    <x v="0"/>
    <x v="272"/>
    <x v="2"/>
    <x v="0"/>
    <x v="0"/>
    <x v="0"/>
    <x v="3"/>
    <n v="0"/>
    <x v="1"/>
  </r>
  <r>
    <x v="77"/>
    <x v="0"/>
    <x v="272"/>
    <x v="2"/>
    <x v="0"/>
    <x v="0"/>
    <x v="0"/>
    <x v="4"/>
    <n v="0"/>
    <x v="1"/>
  </r>
  <r>
    <x v="77"/>
    <x v="0"/>
    <x v="272"/>
    <x v="2"/>
    <x v="0"/>
    <x v="0"/>
    <x v="0"/>
    <x v="5"/>
    <n v="0"/>
    <x v="1"/>
  </r>
  <r>
    <x v="77"/>
    <x v="0"/>
    <x v="272"/>
    <x v="2"/>
    <x v="0"/>
    <x v="0"/>
    <x v="0"/>
    <x v="6"/>
    <n v="0"/>
    <x v="1"/>
  </r>
  <r>
    <x v="77"/>
    <x v="0"/>
    <x v="272"/>
    <x v="2"/>
    <x v="0"/>
    <x v="0"/>
    <x v="0"/>
    <x v="7"/>
    <n v="0"/>
    <x v="1"/>
  </r>
  <r>
    <x v="77"/>
    <x v="0"/>
    <x v="272"/>
    <x v="2"/>
    <x v="0"/>
    <x v="0"/>
    <x v="0"/>
    <x v="8"/>
    <n v="0"/>
    <x v="1"/>
  </r>
  <r>
    <x v="77"/>
    <x v="0"/>
    <x v="272"/>
    <x v="2"/>
    <x v="0"/>
    <x v="0"/>
    <x v="0"/>
    <x v="9"/>
    <n v="5798.0400468161824"/>
    <x v="1"/>
  </r>
  <r>
    <x v="77"/>
    <x v="0"/>
    <x v="272"/>
    <x v="2"/>
    <x v="0"/>
    <x v="0"/>
    <x v="0"/>
    <x v="10"/>
    <n v="5677.4237547926059"/>
    <x v="1"/>
  </r>
  <r>
    <x v="77"/>
    <x v="0"/>
    <x v="272"/>
    <x v="2"/>
    <x v="0"/>
    <x v="0"/>
    <x v="0"/>
    <x v="12"/>
    <n v="7517.1614465838375"/>
    <x v="1"/>
  </r>
  <r>
    <x v="78"/>
    <x v="0"/>
    <x v="273"/>
    <x v="0"/>
    <x v="0"/>
    <x v="0"/>
    <x v="0"/>
    <x v="0"/>
    <n v="813.01"/>
    <x v="1"/>
  </r>
  <r>
    <x v="78"/>
    <x v="0"/>
    <x v="273"/>
    <x v="0"/>
    <x v="0"/>
    <x v="0"/>
    <x v="0"/>
    <x v="1"/>
    <n v="816.4"/>
    <x v="1"/>
  </r>
  <r>
    <x v="78"/>
    <x v="0"/>
    <x v="273"/>
    <x v="0"/>
    <x v="0"/>
    <x v="0"/>
    <x v="0"/>
    <x v="2"/>
    <n v="833.10937919913999"/>
    <x v="1"/>
  </r>
  <r>
    <x v="78"/>
    <x v="0"/>
    <x v="273"/>
    <x v="0"/>
    <x v="0"/>
    <x v="0"/>
    <x v="0"/>
    <x v="3"/>
    <n v="207.55"/>
    <x v="1"/>
  </r>
  <r>
    <x v="78"/>
    <x v="0"/>
    <x v="273"/>
    <x v="0"/>
    <x v="0"/>
    <x v="0"/>
    <x v="0"/>
    <x v="4"/>
    <n v="0"/>
    <x v="1"/>
  </r>
  <r>
    <x v="78"/>
    <x v="0"/>
    <x v="273"/>
    <x v="0"/>
    <x v="0"/>
    <x v="0"/>
    <x v="0"/>
    <x v="5"/>
    <n v="0"/>
    <x v="1"/>
  </r>
  <r>
    <x v="78"/>
    <x v="0"/>
    <x v="273"/>
    <x v="0"/>
    <x v="0"/>
    <x v="0"/>
    <x v="0"/>
    <x v="6"/>
    <n v="0"/>
    <x v="1"/>
  </r>
  <r>
    <x v="78"/>
    <x v="0"/>
    <x v="273"/>
    <x v="0"/>
    <x v="0"/>
    <x v="0"/>
    <x v="0"/>
    <x v="7"/>
    <n v="0"/>
    <x v="1"/>
  </r>
  <r>
    <x v="78"/>
    <x v="0"/>
    <x v="273"/>
    <x v="0"/>
    <x v="0"/>
    <x v="0"/>
    <x v="0"/>
    <x v="8"/>
    <n v="0"/>
    <x v="1"/>
  </r>
  <r>
    <x v="78"/>
    <x v="0"/>
    <x v="273"/>
    <x v="0"/>
    <x v="0"/>
    <x v="0"/>
    <x v="0"/>
    <x v="9"/>
    <n v="0"/>
    <x v="1"/>
  </r>
  <r>
    <x v="78"/>
    <x v="0"/>
    <x v="273"/>
    <x v="0"/>
    <x v="0"/>
    <x v="0"/>
    <x v="0"/>
    <x v="10"/>
    <n v="0"/>
    <x v="1"/>
  </r>
  <r>
    <x v="78"/>
    <x v="0"/>
    <x v="273"/>
    <x v="0"/>
    <x v="0"/>
    <x v="0"/>
    <x v="0"/>
    <x v="12"/>
    <n v="0"/>
    <x v="1"/>
  </r>
  <r>
    <x v="79"/>
    <x v="0"/>
    <x v="274"/>
    <x v="0"/>
    <x v="0"/>
    <x v="0"/>
    <x v="0"/>
    <x v="0"/>
    <n v="1835.82"/>
    <x v="1"/>
  </r>
  <r>
    <x v="79"/>
    <x v="0"/>
    <x v="274"/>
    <x v="0"/>
    <x v="0"/>
    <x v="0"/>
    <x v="0"/>
    <x v="1"/>
    <n v="1843.6"/>
    <x v="1"/>
  </r>
  <r>
    <x v="79"/>
    <x v="0"/>
    <x v="274"/>
    <x v="0"/>
    <x v="0"/>
    <x v="0"/>
    <x v="0"/>
    <x v="2"/>
    <n v="1881.2147272238644"/>
    <x v="1"/>
  </r>
  <r>
    <x v="79"/>
    <x v="0"/>
    <x v="274"/>
    <x v="0"/>
    <x v="0"/>
    <x v="0"/>
    <x v="0"/>
    <x v="3"/>
    <n v="0"/>
    <x v="1"/>
  </r>
  <r>
    <x v="79"/>
    <x v="0"/>
    <x v="274"/>
    <x v="0"/>
    <x v="0"/>
    <x v="0"/>
    <x v="0"/>
    <x v="4"/>
    <n v="0"/>
    <x v="1"/>
  </r>
  <r>
    <x v="79"/>
    <x v="0"/>
    <x v="274"/>
    <x v="0"/>
    <x v="0"/>
    <x v="0"/>
    <x v="0"/>
    <x v="5"/>
    <n v="0"/>
    <x v="1"/>
  </r>
  <r>
    <x v="79"/>
    <x v="0"/>
    <x v="274"/>
    <x v="0"/>
    <x v="0"/>
    <x v="0"/>
    <x v="0"/>
    <x v="6"/>
    <n v="0"/>
    <x v="1"/>
  </r>
  <r>
    <x v="79"/>
    <x v="0"/>
    <x v="274"/>
    <x v="0"/>
    <x v="0"/>
    <x v="0"/>
    <x v="0"/>
    <x v="7"/>
    <n v="0"/>
    <x v="1"/>
  </r>
  <r>
    <x v="79"/>
    <x v="0"/>
    <x v="274"/>
    <x v="0"/>
    <x v="0"/>
    <x v="0"/>
    <x v="0"/>
    <x v="8"/>
    <n v="0"/>
    <x v="1"/>
  </r>
  <r>
    <x v="79"/>
    <x v="0"/>
    <x v="274"/>
    <x v="0"/>
    <x v="0"/>
    <x v="0"/>
    <x v="0"/>
    <x v="9"/>
    <n v="0"/>
    <x v="1"/>
  </r>
  <r>
    <x v="79"/>
    <x v="0"/>
    <x v="274"/>
    <x v="0"/>
    <x v="0"/>
    <x v="0"/>
    <x v="0"/>
    <x v="10"/>
    <n v="0"/>
    <x v="1"/>
  </r>
  <r>
    <x v="79"/>
    <x v="0"/>
    <x v="274"/>
    <x v="0"/>
    <x v="0"/>
    <x v="0"/>
    <x v="0"/>
    <x v="12"/>
    <n v="0"/>
    <x v="1"/>
  </r>
  <r>
    <x v="80"/>
    <x v="0"/>
    <x v="275"/>
    <x v="0"/>
    <x v="0"/>
    <x v="0"/>
    <x v="0"/>
    <x v="0"/>
    <n v="655.65171780750063"/>
    <x v="1"/>
  </r>
  <r>
    <x v="80"/>
    <x v="0"/>
    <x v="275"/>
    <x v="0"/>
    <x v="0"/>
    <x v="0"/>
    <x v="0"/>
    <x v="1"/>
    <n v="658.4"/>
    <x v="1"/>
  </r>
  <r>
    <x v="80"/>
    <x v="0"/>
    <x v="275"/>
    <x v="0"/>
    <x v="0"/>
    <x v="0"/>
    <x v="0"/>
    <x v="2"/>
    <n v="671.86240257995166"/>
    <x v="1"/>
  </r>
  <r>
    <x v="80"/>
    <x v="0"/>
    <x v="275"/>
    <x v="0"/>
    <x v="0"/>
    <x v="0"/>
    <x v="0"/>
    <x v="3"/>
    <n v="334.76"/>
    <x v="1"/>
  </r>
  <r>
    <x v="80"/>
    <x v="0"/>
    <x v="275"/>
    <x v="0"/>
    <x v="0"/>
    <x v="0"/>
    <x v="0"/>
    <x v="4"/>
    <n v="0"/>
    <x v="1"/>
  </r>
  <r>
    <x v="80"/>
    <x v="0"/>
    <x v="275"/>
    <x v="0"/>
    <x v="0"/>
    <x v="0"/>
    <x v="0"/>
    <x v="5"/>
    <n v="0"/>
    <x v="1"/>
  </r>
  <r>
    <x v="80"/>
    <x v="0"/>
    <x v="275"/>
    <x v="0"/>
    <x v="0"/>
    <x v="0"/>
    <x v="0"/>
    <x v="6"/>
    <n v="0"/>
    <x v="1"/>
  </r>
  <r>
    <x v="80"/>
    <x v="0"/>
    <x v="275"/>
    <x v="0"/>
    <x v="0"/>
    <x v="0"/>
    <x v="0"/>
    <x v="7"/>
    <n v="0"/>
    <x v="1"/>
  </r>
  <r>
    <x v="80"/>
    <x v="0"/>
    <x v="275"/>
    <x v="0"/>
    <x v="0"/>
    <x v="0"/>
    <x v="0"/>
    <x v="8"/>
    <n v="0"/>
    <x v="1"/>
  </r>
  <r>
    <x v="80"/>
    <x v="0"/>
    <x v="275"/>
    <x v="0"/>
    <x v="0"/>
    <x v="0"/>
    <x v="0"/>
    <x v="9"/>
    <n v="0"/>
    <x v="1"/>
  </r>
  <r>
    <x v="80"/>
    <x v="0"/>
    <x v="275"/>
    <x v="0"/>
    <x v="0"/>
    <x v="0"/>
    <x v="0"/>
    <x v="10"/>
    <n v="0"/>
    <x v="1"/>
  </r>
  <r>
    <x v="80"/>
    <x v="0"/>
    <x v="275"/>
    <x v="0"/>
    <x v="0"/>
    <x v="0"/>
    <x v="0"/>
    <x v="12"/>
    <n v="0"/>
    <x v="1"/>
  </r>
  <r>
    <x v="76"/>
    <x v="0"/>
    <x v="271"/>
    <x v="0"/>
    <x v="0"/>
    <x v="0"/>
    <x v="0"/>
    <x v="0"/>
    <n v="1442.4337791765013"/>
    <x v="1"/>
  </r>
  <r>
    <x v="76"/>
    <x v="0"/>
    <x v="271"/>
    <x v="0"/>
    <x v="0"/>
    <x v="0"/>
    <x v="0"/>
    <x v="1"/>
    <n v="1448.5"/>
    <x v="1"/>
  </r>
  <r>
    <x v="76"/>
    <x v="0"/>
    <x v="271"/>
    <x v="0"/>
    <x v="0"/>
    <x v="0"/>
    <x v="0"/>
    <x v="2"/>
    <n v="1478.0972856758935"/>
    <x v="1"/>
  </r>
  <r>
    <x v="76"/>
    <x v="0"/>
    <x v="271"/>
    <x v="0"/>
    <x v="0"/>
    <x v="0"/>
    <x v="0"/>
    <x v="3"/>
    <n v="1472.95"/>
    <x v="1"/>
  </r>
  <r>
    <x v="76"/>
    <x v="0"/>
    <x v="271"/>
    <x v="0"/>
    <x v="0"/>
    <x v="0"/>
    <x v="0"/>
    <x v="4"/>
    <n v="1465.49"/>
    <x v="1"/>
  </r>
  <r>
    <x v="76"/>
    <x v="0"/>
    <x v="271"/>
    <x v="0"/>
    <x v="0"/>
    <x v="0"/>
    <x v="0"/>
    <x v="5"/>
    <n v="1440.92"/>
    <x v="1"/>
  </r>
  <r>
    <x v="76"/>
    <x v="0"/>
    <x v="271"/>
    <x v="0"/>
    <x v="0"/>
    <x v="0"/>
    <x v="0"/>
    <x v="6"/>
    <n v="1470"/>
    <x v="1"/>
  </r>
  <r>
    <x v="76"/>
    <x v="0"/>
    <x v="271"/>
    <x v="0"/>
    <x v="0"/>
    <x v="0"/>
    <x v="0"/>
    <x v="7"/>
    <n v="1440.92"/>
    <x v="1"/>
  </r>
  <r>
    <x v="76"/>
    <x v="0"/>
    <x v="271"/>
    <x v="0"/>
    <x v="0"/>
    <x v="0"/>
    <x v="0"/>
    <x v="8"/>
    <n v="0"/>
    <x v="1"/>
  </r>
  <r>
    <x v="76"/>
    <x v="0"/>
    <x v="271"/>
    <x v="0"/>
    <x v="0"/>
    <x v="0"/>
    <x v="0"/>
    <x v="9"/>
    <n v="0"/>
    <x v="1"/>
  </r>
  <r>
    <x v="76"/>
    <x v="0"/>
    <x v="271"/>
    <x v="0"/>
    <x v="0"/>
    <x v="0"/>
    <x v="0"/>
    <x v="10"/>
    <n v="0"/>
    <x v="1"/>
  </r>
  <r>
    <x v="76"/>
    <x v="0"/>
    <x v="271"/>
    <x v="0"/>
    <x v="0"/>
    <x v="0"/>
    <x v="0"/>
    <x v="12"/>
    <n v="0"/>
    <x v="1"/>
  </r>
  <r>
    <x v="81"/>
    <x v="0"/>
    <x v="276"/>
    <x v="0"/>
    <x v="0"/>
    <x v="0"/>
    <x v="0"/>
    <x v="0"/>
    <n v="367.16496197220033"/>
    <x v="1"/>
  </r>
  <r>
    <x v="81"/>
    <x v="0"/>
    <x v="276"/>
    <x v="0"/>
    <x v="0"/>
    <x v="0"/>
    <x v="0"/>
    <x v="1"/>
    <n v="368.7"/>
    <x v="1"/>
  </r>
  <r>
    <x v="81"/>
    <x v="0"/>
    <x v="276"/>
    <x v="0"/>
    <x v="0"/>
    <x v="0"/>
    <x v="0"/>
    <x v="2"/>
    <n v="376.24294544477289"/>
    <x v="1"/>
  </r>
  <r>
    <x v="81"/>
    <x v="0"/>
    <x v="276"/>
    <x v="0"/>
    <x v="0"/>
    <x v="0"/>
    <x v="0"/>
    <x v="3"/>
    <n v="374.93"/>
    <x v="1"/>
  </r>
  <r>
    <x v="81"/>
    <x v="0"/>
    <x v="276"/>
    <x v="0"/>
    <x v="0"/>
    <x v="0"/>
    <x v="0"/>
    <x v="4"/>
    <n v="373.03"/>
    <x v="1"/>
  </r>
  <r>
    <x v="81"/>
    <x v="0"/>
    <x v="276"/>
    <x v="0"/>
    <x v="0"/>
    <x v="0"/>
    <x v="0"/>
    <x v="5"/>
    <n v="366.78"/>
    <x v="1"/>
  </r>
  <r>
    <x v="81"/>
    <x v="0"/>
    <x v="276"/>
    <x v="0"/>
    <x v="0"/>
    <x v="0"/>
    <x v="0"/>
    <x v="6"/>
    <n v="855"/>
    <x v="1"/>
  </r>
  <r>
    <x v="81"/>
    <x v="0"/>
    <x v="276"/>
    <x v="0"/>
    <x v="0"/>
    <x v="0"/>
    <x v="0"/>
    <x v="7"/>
    <n v="838.35"/>
    <x v="1"/>
  </r>
  <r>
    <x v="81"/>
    <x v="0"/>
    <x v="276"/>
    <x v="0"/>
    <x v="0"/>
    <x v="0"/>
    <x v="0"/>
    <x v="8"/>
    <n v="848"/>
    <x v="1"/>
  </r>
  <r>
    <x v="81"/>
    <x v="0"/>
    <x v="276"/>
    <x v="0"/>
    <x v="0"/>
    <x v="0"/>
    <x v="0"/>
    <x v="9"/>
    <n v="852"/>
    <x v="1"/>
  </r>
  <r>
    <x v="81"/>
    <x v="0"/>
    <x v="276"/>
    <x v="0"/>
    <x v="0"/>
    <x v="0"/>
    <x v="0"/>
    <x v="10"/>
    <n v="852"/>
    <x v="1"/>
  </r>
  <r>
    <x v="81"/>
    <x v="0"/>
    <x v="276"/>
    <x v="0"/>
    <x v="0"/>
    <x v="0"/>
    <x v="0"/>
    <x v="12"/>
    <n v="852"/>
    <x v="1"/>
  </r>
  <r>
    <x v="77"/>
    <x v="0"/>
    <x v="272"/>
    <x v="1"/>
    <x v="0"/>
    <x v="0"/>
    <x v="0"/>
    <x v="0"/>
    <n v="2045.6333595594019"/>
    <x v="1"/>
  </r>
  <r>
    <x v="77"/>
    <x v="0"/>
    <x v="272"/>
    <x v="1"/>
    <x v="0"/>
    <x v="0"/>
    <x v="0"/>
    <x v="1"/>
    <n v="2054.3000000000002"/>
    <x v="1"/>
  </r>
  <r>
    <x v="77"/>
    <x v="0"/>
    <x v="272"/>
    <x v="1"/>
    <x v="0"/>
    <x v="0"/>
    <x v="0"/>
    <x v="2"/>
    <n v="2096.2106960494489"/>
    <x v="1"/>
  </r>
  <r>
    <x v="77"/>
    <x v="0"/>
    <x v="272"/>
    <x v="1"/>
    <x v="0"/>
    <x v="0"/>
    <x v="0"/>
    <x v="3"/>
    <n v="2088.91"/>
    <x v="1"/>
  </r>
  <r>
    <x v="77"/>
    <x v="0"/>
    <x v="272"/>
    <x v="1"/>
    <x v="0"/>
    <x v="0"/>
    <x v="0"/>
    <x v="4"/>
    <n v="2078.34"/>
    <x v="1"/>
  </r>
  <r>
    <x v="77"/>
    <x v="0"/>
    <x v="272"/>
    <x v="1"/>
    <x v="0"/>
    <x v="0"/>
    <x v="0"/>
    <x v="5"/>
    <n v="2043.49"/>
    <x v="1"/>
  </r>
  <r>
    <x v="77"/>
    <x v="0"/>
    <x v="272"/>
    <x v="1"/>
    <x v="0"/>
    <x v="0"/>
    <x v="0"/>
    <x v="6"/>
    <n v="2084"/>
    <x v="1"/>
  </r>
  <r>
    <x v="77"/>
    <x v="0"/>
    <x v="272"/>
    <x v="1"/>
    <x v="0"/>
    <x v="0"/>
    <x v="0"/>
    <x v="7"/>
    <n v="2043.49"/>
    <x v="1"/>
  </r>
  <r>
    <x v="77"/>
    <x v="0"/>
    <x v="272"/>
    <x v="1"/>
    <x v="0"/>
    <x v="0"/>
    <x v="0"/>
    <x v="8"/>
    <n v="2518"/>
    <x v="1"/>
  </r>
  <r>
    <x v="77"/>
    <x v="0"/>
    <x v="272"/>
    <x v="1"/>
    <x v="0"/>
    <x v="0"/>
    <x v="0"/>
    <x v="9"/>
    <n v="0"/>
    <x v="1"/>
  </r>
  <r>
    <x v="77"/>
    <x v="0"/>
    <x v="272"/>
    <x v="1"/>
    <x v="0"/>
    <x v="0"/>
    <x v="0"/>
    <x v="10"/>
    <n v="0"/>
    <x v="1"/>
  </r>
  <r>
    <x v="77"/>
    <x v="0"/>
    <x v="272"/>
    <x v="1"/>
    <x v="0"/>
    <x v="0"/>
    <x v="0"/>
    <x v="12"/>
    <n v="0"/>
    <x v="1"/>
  </r>
  <r>
    <x v="50"/>
    <x v="0"/>
    <x v="277"/>
    <x v="0"/>
    <x v="0"/>
    <x v="0"/>
    <x v="0"/>
    <x v="0"/>
    <n v="655.65171780750063"/>
    <x v="1"/>
  </r>
  <r>
    <x v="50"/>
    <x v="0"/>
    <x v="277"/>
    <x v="0"/>
    <x v="0"/>
    <x v="0"/>
    <x v="0"/>
    <x v="1"/>
    <n v="658.4"/>
    <x v="1"/>
  </r>
  <r>
    <x v="50"/>
    <x v="0"/>
    <x v="277"/>
    <x v="0"/>
    <x v="0"/>
    <x v="0"/>
    <x v="0"/>
    <x v="2"/>
    <n v="1084.1171728030099"/>
    <x v="1"/>
  </r>
  <r>
    <x v="50"/>
    <x v="0"/>
    <x v="277"/>
    <x v="0"/>
    <x v="0"/>
    <x v="0"/>
    <x v="0"/>
    <x v="3"/>
    <n v="1080.3399999999999"/>
    <x v="1"/>
  </r>
  <r>
    <x v="50"/>
    <x v="0"/>
    <x v="277"/>
    <x v="0"/>
    <x v="0"/>
    <x v="0"/>
    <x v="0"/>
    <x v="4"/>
    <n v="1074.8699999999999"/>
    <x v="1"/>
  </r>
  <r>
    <x v="50"/>
    <x v="0"/>
    <x v="277"/>
    <x v="0"/>
    <x v="0"/>
    <x v="0"/>
    <x v="0"/>
    <x v="5"/>
    <n v="1056.8499999999999"/>
    <x v="1"/>
  </r>
  <r>
    <x v="50"/>
    <x v="0"/>
    <x v="277"/>
    <x v="0"/>
    <x v="0"/>
    <x v="0"/>
    <x v="0"/>
    <x v="6"/>
    <n v="1078"/>
    <x v="1"/>
  </r>
  <r>
    <x v="50"/>
    <x v="0"/>
    <x v="277"/>
    <x v="0"/>
    <x v="0"/>
    <x v="0"/>
    <x v="0"/>
    <x v="7"/>
    <n v="2062.35"/>
    <x v="1"/>
  </r>
  <r>
    <x v="50"/>
    <x v="0"/>
    <x v="277"/>
    <x v="0"/>
    <x v="0"/>
    <x v="0"/>
    <x v="0"/>
    <x v="8"/>
    <n v="0"/>
    <x v="1"/>
  </r>
  <r>
    <x v="50"/>
    <x v="0"/>
    <x v="277"/>
    <x v="0"/>
    <x v="0"/>
    <x v="0"/>
    <x v="0"/>
    <x v="9"/>
    <n v="0"/>
    <x v="1"/>
  </r>
  <r>
    <x v="50"/>
    <x v="0"/>
    <x v="277"/>
    <x v="0"/>
    <x v="0"/>
    <x v="0"/>
    <x v="0"/>
    <x v="10"/>
    <n v="0"/>
    <x v="1"/>
  </r>
  <r>
    <x v="50"/>
    <x v="0"/>
    <x v="277"/>
    <x v="0"/>
    <x v="0"/>
    <x v="0"/>
    <x v="0"/>
    <x v="12"/>
    <n v="0"/>
    <x v="1"/>
  </r>
  <r>
    <x v="82"/>
    <x v="0"/>
    <x v="278"/>
    <x v="0"/>
    <x v="0"/>
    <x v="0"/>
    <x v="0"/>
    <x v="0"/>
    <n v="655.65171780750063"/>
    <x v="1"/>
  </r>
  <r>
    <x v="82"/>
    <x v="0"/>
    <x v="278"/>
    <x v="0"/>
    <x v="0"/>
    <x v="0"/>
    <x v="0"/>
    <x v="1"/>
    <n v="658.4"/>
    <x v="1"/>
  </r>
  <r>
    <x v="82"/>
    <x v="0"/>
    <x v="278"/>
    <x v="0"/>
    <x v="0"/>
    <x v="0"/>
    <x v="0"/>
    <x v="2"/>
    <n v="671.86240257995166"/>
    <x v="1"/>
  </r>
  <r>
    <x v="82"/>
    <x v="0"/>
    <x v="278"/>
    <x v="0"/>
    <x v="0"/>
    <x v="0"/>
    <x v="0"/>
    <x v="3"/>
    <n v="669.52"/>
    <x v="1"/>
  </r>
  <r>
    <x v="82"/>
    <x v="0"/>
    <x v="278"/>
    <x v="0"/>
    <x v="0"/>
    <x v="0"/>
    <x v="0"/>
    <x v="4"/>
    <n v="666.13"/>
    <x v="1"/>
  </r>
  <r>
    <x v="82"/>
    <x v="0"/>
    <x v="278"/>
    <x v="0"/>
    <x v="0"/>
    <x v="0"/>
    <x v="0"/>
    <x v="5"/>
    <n v="654.96"/>
    <x v="1"/>
  </r>
  <r>
    <x v="82"/>
    <x v="0"/>
    <x v="278"/>
    <x v="0"/>
    <x v="0"/>
    <x v="0"/>
    <x v="0"/>
    <x v="6"/>
    <n v="0"/>
    <x v="1"/>
  </r>
  <r>
    <x v="82"/>
    <x v="0"/>
    <x v="278"/>
    <x v="0"/>
    <x v="0"/>
    <x v="0"/>
    <x v="0"/>
    <x v="7"/>
    <n v="0"/>
    <x v="1"/>
  </r>
  <r>
    <x v="82"/>
    <x v="0"/>
    <x v="278"/>
    <x v="0"/>
    <x v="0"/>
    <x v="0"/>
    <x v="0"/>
    <x v="8"/>
    <n v="0"/>
    <x v="1"/>
  </r>
  <r>
    <x v="82"/>
    <x v="0"/>
    <x v="278"/>
    <x v="0"/>
    <x v="0"/>
    <x v="0"/>
    <x v="0"/>
    <x v="9"/>
    <n v="0"/>
    <x v="1"/>
  </r>
  <r>
    <x v="82"/>
    <x v="0"/>
    <x v="278"/>
    <x v="0"/>
    <x v="0"/>
    <x v="0"/>
    <x v="0"/>
    <x v="10"/>
    <n v="0"/>
    <x v="1"/>
  </r>
  <r>
    <x v="82"/>
    <x v="0"/>
    <x v="278"/>
    <x v="0"/>
    <x v="0"/>
    <x v="0"/>
    <x v="0"/>
    <x v="12"/>
    <n v="0"/>
    <x v="1"/>
  </r>
  <r>
    <x v="83"/>
    <x v="0"/>
    <x v="279"/>
    <x v="0"/>
    <x v="0"/>
    <x v="0"/>
    <x v="0"/>
    <x v="0"/>
    <n v="655.65171780750063"/>
    <x v="1"/>
  </r>
  <r>
    <x v="83"/>
    <x v="0"/>
    <x v="279"/>
    <x v="0"/>
    <x v="0"/>
    <x v="0"/>
    <x v="0"/>
    <x v="1"/>
    <n v="658.4"/>
    <x v="1"/>
  </r>
  <r>
    <x v="83"/>
    <x v="0"/>
    <x v="279"/>
    <x v="0"/>
    <x v="0"/>
    <x v="0"/>
    <x v="0"/>
    <x v="2"/>
    <n v="671.86240257995166"/>
    <x v="1"/>
  </r>
  <r>
    <x v="83"/>
    <x v="0"/>
    <x v="279"/>
    <x v="0"/>
    <x v="0"/>
    <x v="0"/>
    <x v="0"/>
    <x v="3"/>
    <n v="167.38"/>
    <x v="1"/>
  </r>
  <r>
    <x v="83"/>
    <x v="0"/>
    <x v="279"/>
    <x v="0"/>
    <x v="0"/>
    <x v="0"/>
    <x v="0"/>
    <x v="4"/>
    <n v="0"/>
    <x v="1"/>
  </r>
  <r>
    <x v="83"/>
    <x v="0"/>
    <x v="279"/>
    <x v="0"/>
    <x v="0"/>
    <x v="0"/>
    <x v="0"/>
    <x v="5"/>
    <n v="0"/>
    <x v="1"/>
  </r>
  <r>
    <x v="83"/>
    <x v="0"/>
    <x v="279"/>
    <x v="0"/>
    <x v="0"/>
    <x v="0"/>
    <x v="0"/>
    <x v="6"/>
    <n v="0"/>
    <x v="1"/>
  </r>
  <r>
    <x v="83"/>
    <x v="0"/>
    <x v="279"/>
    <x v="0"/>
    <x v="0"/>
    <x v="0"/>
    <x v="0"/>
    <x v="7"/>
    <n v="0"/>
    <x v="1"/>
  </r>
  <r>
    <x v="83"/>
    <x v="0"/>
    <x v="279"/>
    <x v="0"/>
    <x v="0"/>
    <x v="0"/>
    <x v="0"/>
    <x v="8"/>
    <n v="0"/>
    <x v="1"/>
  </r>
  <r>
    <x v="83"/>
    <x v="0"/>
    <x v="279"/>
    <x v="0"/>
    <x v="0"/>
    <x v="0"/>
    <x v="0"/>
    <x v="9"/>
    <n v="0"/>
    <x v="1"/>
  </r>
  <r>
    <x v="83"/>
    <x v="0"/>
    <x v="279"/>
    <x v="0"/>
    <x v="0"/>
    <x v="0"/>
    <x v="0"/>
    <x v="10"/>
    <n v="0"/>
    <x v="1"/>
  </r>
  <r>
    <x v="83"/>
    <x v="0"/>
    <x v="279"/>
    <x v="0"/>
    <x v="0"/>
    <x v="0"/>
    <x v="0"/>
    <x v="12"/>
    <n v="0"/>
    <x v="1"/>
  </r>
  <r>
    <x v="84"/>
    <x v="0"/>
    <x v="280"/>
    <x v="0"/>
    <x v="0"/>
    <x v="0"/>
    <x v="0"/>
    <x v="0"/>
    <n v="1180.173092053501"/>
    <x v="1"/>
  </r>
  <r>
    <x v="84"/>
    <x v="0"/>
    <x v="280"/>
    <x v="0"/>
    <x v="0"/>
    <x v="0"/>
    <x v="0"/>
    <x v="1"/>
    <n v="1185.0999999999999"/>
    <x v="1"/>
  </r>
  <r>
    <x v="84"/>
    <x v="0"/>
    <x v="280"/>
    <x v="0"/>
    <x v="0"/>
    <x v="0"/>
    <x v="0"/>
    <x v="2"/>
    <n v="1209.3523246439129"/>
    <x v="1"/>
  </r>
  <r>
    <x v="84"/>
    <x v="0"/>
    <x v="280"/>
    <x v="0"/>
    <x v="0"/>
    <x v="0"/>
    <x v="0"/>
    <x v="3"/>
    <n v="0"/>
    <x v="1"/>
  </r>
  <r>
    <x v="84"/>
    <x v="0"/>
    <x v="280"/>
    <x v="0"/>
    <x v="0"/>
    <x v="0"/>
    <x v="0"/>
    <x v="4"/>
    <n v="0"/>
    <x v="1"/>
  </r>
  <r>
    <x v="84"/>
    <x v="0"/>
    <x v="280"/>
    <x v="0"/>
    <x v="0"/>
    <x v="0"/>
    <x v="0"/>
    <x v="5"/>
    <n v="0"/>
    <x v="1"/>
  </r>
  <r>
    <x v="84"/>
    <x v="0"/>
    <x v="280"/>
    <x v="0"/>
    <x v="0"/>
    <x v="0"/>
    <x v="0"/>
    <x v="6"/>
    <n v="0"/>
    <x v="1"/>
  </r>
  <r>
    <x v="84"/>
    <x v="0"/>
    <x v="280"/>
    <x v="0"/>
    <x v="0"/>
    <x v="0"/>
    <x v="0"/>
    <x v="7"/>
    <n v="0"/>
    <x v="1"/>
  </r>
  <r>
    <x v="84"/>
    <x v="0"/>
    <x v="280"/>
    <x v="0"/>
    <x v="0"/>
    <x v="0"/>
    <x v="0"/>
    <x v="8"/>
    <n v="0"/>
    <x v="1"/>
  </r>
  <r>
    <x v="84"/>
    <x v="0"/>
    <x v="280"/>
    <x v="0"/>
    <x v="0"/>
    <x v="0"/>
    <x v="0"/>
    <x v="9"/>
    <n v="0"/>
    <x v="1"/>
  </r>
  <r>
    <x v="84"/>
    <x v="0"/>
    <x v="280"/>
    <x v="0"/>
    <x v="0"/>
    <x v="0"/>
    <x v="0"/>
    <x v="10"/>
    <n v="0"/>
    <x v="1"/>
  </r>
  <r>
    <x v="84"/>
    <x v="0"/>
    <x v="280"/>
    <x v="0"/>
    <x v="0"/>
    <x v="0"/>
    <x v="0"/>
    <x v="12"/>
    <n v="0"/>
    <x v="1"/>
  </r>
  <r>
    <x v="51"/>
    <x v="0"/>
    <x v="281"/>
    <x v="0"/>
    <x v="0"/>
    <x v="0"/>
    <x v="0"/>
    <x v="0"/>
    <n v="655.65171780750063"/>
    <x v="1"/>
  </r>
  <r>
    <x v="51"/>
    <x v="0"/>
    <x v="281"/>
    <x v="0"/>
    <x v="0"/>
    <x v="0"/>
    <x v="0"/>
    <x v="1"/>
    <n v="658.4"/>
    <x v="1"/>
  </r>
  <r>
    <x v="51"/>
    <x v="0"/>
    <x v="281"/>
    <x v="0"/>
    <x v="0"/>
    <x v="0"/>
    <x v="0"/>
    <x v="2"/>
    <n v="671.86240257995166"/>
    <x v="1"/>
  </r>
  <r>
    <x v="51"/>
    <x v="0"/>
    <x v="281"/>
    <x v="0"/>
    <x v="0"/>
    <x v="0"/>
    <x v="0"/>
    <x v="3"/>
    <n v="669.52"/>
    <x v="1"/>
  </r>
  <r>
    <x v="51"/>
    <x v="0"/>
    <x v="281"/>
    <x v="0"/>
    <x v="0"/>
    <x v="0"/>
    <x v="0"/>
    <x v="4"/>
    <n v="666.13"/>
    <x v="1"/>
  </r>
  <r>
    <x v="51"/>
    <x v="0"/>
    <x v="281"/>
    <x v="0"/>
    <x v="0"/>
    <x v="0"/>
    <x v="0"/>
    <x v="5"/>
    <n v="654.96"/>
    <x v="1"/>
  </r>
  <r>
    <x v="51"/>
    <x v="0"/>
    <x v="281"/>
    <x v="0"/>
    <x v="0"/>
    <x v="0"/>
    <x v="0"/>
    <x v="6"/>
    <n v="668"/>
    <x v="1"/>
  </r>
  <r>
    <x v="51"/>
    <x v="0"/>
    <x v="281"/>
    <x v="0"/>
    <x v="0"/>
    <x v="0"/>
    <x v="0"/>
    <x v="7"/>
    <n v="654.96"/>
    <x v="1"/>
  </r>
  <r>
    <x v="51"/>
    <x v="0"/>
    <x v="281"/>
    <x v="0"/>
    <x v="0"/>
    <x v="0"/>
    <x v="0"/>
    <x v="8"/>
    <n v="0"/>
    <x v="1"/>
  </r>
  <r>
    <x v="51"/>
    <x v="0"/>
    <x v="281"/>
    <x v="0"/>
    <x v="0"/>
    <x v="0"/>
    <x v="0"/>
    <x v="9"/>
    <n v="0"/>
    <x v="1"/>
  </r>
  <r>
    <x v="51"/>
    <x v="0"/>
    <x v="281"/>
    <x v="0"/>
    <x v="0"/>
    <x v="0"/>
    <x v="0"/>
    <x v="10"/>
    <n v="0"/>
    <x v="1"/>
  </r>
  <r>
    <x v="51"/>
    <x v="0"/>
    <x v="281"/>
    <x v="0"/>
    <x v="0"/>
    <x v="0"/>
    <x v="0"/>
    <x v="12"/>
    <n v="0"/>
    <x v="1"/>
  </r>
  <r>
    <x v="85"/>
    <x v="0"/>
    <x v="282"/>
    <x v="0"/>
    <x v="0"/>
    <x v="0"/>
    <x v="0"/>
    <x v="0"/>
    <n v="1966.9551534225018"/>
    <x v="1"/>
  </r>
  <r>
    <x v="85"/>
    <x v="0"/>
    <x v="282"/>
    <x v="0"/>
    <x v="0"/>
    <x v="0"/>
    <x v="0"/>
    <x v="1"/>
    <n v="1975.2"/>
    <x v="1"/>
  </r>
  <r>
    <x v="85"/>
    <x v="0"/>
    <x v="282"/>
    <x v="0"/>
    <x v="0"/>
    <x v="0"/>
    <x v="0"/>
    <x v="2"/>
    <n v="2015.5872077398549"/>
    <x v="1"/>
  </r>
  <r>
    <x v="85"/>
    <x v="0"/>
    <x v="282"/>
    <x v="0"/>
    <x v="0"/>
    <x v="0"/>
    <x v="0"/>
    <x v="3"/>
    <n v="0"/>
    <x v="1"/>
  </r>
  <r>
    <x v="85"/>
    <x v="0"/>
    <x v="282"/>
    <x v="0"/>
    <x v="0"/>
    <x v="0"/>
    <x v="0"/>
    <x v="4"/>
    <n v="0"/>
    <x v="1"/>
  </r>
  <r>
    <x v="85"/>
    <x v="0"/>
    <x v="282"/>
    <x v="0"/>
    <x v="0"/>
    <x v="0"/>
    <x v="0"/>
    <x v="5"/>
    <n v="0"/>
    <x v="1"/>
  </r>
  <r>
    <x v="85"/>
    <x v="0"/>
    <x v="282"/>
    <x v="0"/>
    <x v="0"/>
    <x v="0"/>
    <x v="0"/>
    <x v="6"/>
    <n v="0"/>
    <x v="1"/>
  </r>
  <r>
    <x v="85"/>
    <x v="0"/>
    <x v="282"/>
    <x v="0"/>
    <x v="0"/>
    <x v="0"/>
    <x v="0"/>
    <x v="7"/>
    <n v="0"/>
    <x v="1"/>
  </r>
  <r>
    <x v="85"/>
    <x v="0"/>
    <x v="282"/>
    <x v="0"/>
    <x v="0"/>
    <x v="0"/>
    <x v="0"/>
    <x v="8"/>
    <n v="0"/>
    <x v="1"/>
  </r>
  <r>
    <x v="85"/>
    <x v="0"/>
    <x v="282"/>
    <x v="0"/>
    <x v="0"/>
    <x v="0"/>
    <x v="0"/>
    <x v="9"/>
    <n v="0"/>
    <x v="1"/>
  </r>
  <r>
    <x v="85"/>
    <x v="0"/>
    <x v="282"/>
    <x v="0"/>
    <x v="0"/>
    <x v="0"/>
    <x v="0"/>
    <x v="10"/>
    <n v="0"/>
    <x v="1"/>
  </r>
  <r>
    <x v="85"/>
    <x v="0"/>
    <x v="282"/>
    <x v="0"/>
    <x v="0"/>
    <x v="0"/>
    <x v="0"/>
    <x v="12"/>
    <n v="0"/>
    <x v="1"/>
  </r>
  <r>
    <x v="30"/>
    <x v="0"/>
    <x v="283"/>
    <x v="0"/>
    <x v="0"/>
    <x v="0"/>
    <x v="0"/>
    <x v="0"/>
    <n v="4101.7571466037243"/>
    <x v="1"/>
  </r>
  <r>
    <x v="30"/>
    <x v="0"/>
    <x v="283"/>
    <x v="0"/>
    <x v="0"/>
    <x v="0"/>
    <x v="0"/>
    <x v="1"/>
    <n v="0"/>
    <x v="1"/>
  </r>
  <r>
    <x v="30"/>
    <x v="0"/>
    <x v="283"/>
    <x v="0"/>
    <x v="0"/>
    <x v="0"/>
    <x v="0"/>
    <x v="2"/>
    <n v="0"/>
    <x v="1"/>
  </r>
  <r>
    <x v="30"/>
    <x v="0"/>
    <x v="283"/>
    <x v="0"/>
    <x v="0"/>
    <x v="0"/>
    <x v="0"/>
    <x v="3"/>
    <n v="0"/>
    <x v="1"/>
  </r>
  <r>
    <x v="30"/>
    <x v="0"/>
    <x v="283"/>
    <x v="0"/>
    <x v="0"/>
    <x v="0"/>
    <x v="0"/>
    <x v="4"/>
    <n v="0"/>
    <x v="1"/>
  </r>
  <r>
    <x v="30"/>
    <x v="0"/>
    <x v="283"/>
    <x v="0"/>
    <x v="0"/>
    <x v="0"/>
    <x v="0"/>
    <x v="5"/>
    <n v="0"/>
    <x v="1"/>
  </r>
  <r>
    <x v="30"/>
    <x v="0"/>
    <x v="283"/>
    <x v="0"/>
    <x v="0"/>
    <x v="0"/>
    <x v="0"/>
    <x v="6"/>
    <n v="0"/>
    <x v="1"/>
  </r>
  <r>
    <x v="30"/>
    <x v="0"/>
    <x v="283"/>
    <x v="0"/>
    <x v="0"/>
    <x v="0"/>
    <x v="0"/>
    <x v="7"/>
    <n v="0"/>
    <x v="1"/>
  </r>
  <r>
    <x v="30"/>
    <x v="0"/>
    <x v="283"/>
    <x v="0"/>
    <x v="0"/>
    <x v="0"/>
    <x v="0"/>
    <x v="8"/>
    <n v="0"/>
    <x v="1"/>
  </r>
  <r>
    <x v="30"/>
    <x v="0"/>
    <x v="283"/>
    <x v="0"/>
    <x v="0"/>
    <x v="0"/>
    <x v="0"/>
    <x v="9"/>
    <n v="0"/>
    <x v="1"/>
  </r>
  <r>
    <x v="30"/>
    <x v="0"/>
    <x v="283"/>
    <x v="0"/>
    <x v="0"/>
    <x v="0"/>
    <x v="0"/>
    <x v="10"/>
    <n v="0"/>
    <x v="1"/>
  </r>
  <r>
    <x v="30"/>
    <x v="0"/>
    <x v="283"/>
    <x v="0"/>
    <x v="0"/>
    <x v="0"/>
    <x v="0"/>
    <x v="12"/>
    <n v="0"/>
    <x v="1"/>
  </r>
  <r>
    <x v="74"/>
    <x v="0"/>
    <x v="269"/>
    <x v="0"/>
    <x v="0"/>
    <x v="0"/>
    <x v="0"/>
    <x v="0"/>
    <n v="1704.6944662995015"/>
    <x v="1"/>
  </r>
  <r>
    <x v="74"/>
    <x v="0"/>
    <x v="269"/>
    <x v="0"/>
    <x v="0"/>
    <x v="0"/>
    <x v="0"/>
    <x v="1"/>
    <n v="0"/>
    <x v="1"/>
  </r>
  <r>
    <x v="74"/>
    <x v="0"/>
    <x v="269"/>
    <x v="0"/>
    <x v="0"/>
    <x v="0"/>
    <x v="0"/>
    <x v="2"/>
    <n v="0"/>
    <x v="1"/>
  </r>
  <r>
    <x v="74"/>
    <x v="0"/>
    <x v="269"/>
    <x v="0"/>
    <x v="0"/>
    <x v="0"/>
    <x v="0"/>
    <x v="3"/>
    <n v="0"/>
    <x v="1"/>
  </r>
  <r>
    <x v="74"/>
    <x v="0"/>
    <x v="269"/>
    <x v="0"/>
    <x v="0"/>
    <x v="0"/>
    <x v="0"/>
    <x v="4"/>
    <n v="0"/>
    <x v="1"/>
  </r>
  <r>
    <x v="74"/>
    <x v="0"/>
    <x v="269"/>
    <x v="0"/>
    <x v="0"/>
    <x v="0"/>
    <x v="0"/>
    <x v="5"/>
    <n v="0"/>
    <x v="1"/>
  </r>
  <r>
    <x v="74"/>
    <x v="0"/>
    <x v="269"/>
    <x v="0"/>
    <x v="0"/>
    <x v="0"/>
    <x v="0"/>
    <x v="6"/>
    <n v="0"/>
    <x v="1"/>
  </r>
  <r>
    <x v="74"/>
    <x v="0"/>
    <x v="269"/>
    <x v="0"/>
    <x v="0"/>
    <x v="0"/>
    <x v="0"/>
    <x v="7"/>
    <n v="0"/>
    <x v="1"/>
  </r>
  <r>
    <x v="74"/>
    <x v="0"/>
    <x v="269"/>
    <x v="0"/>
    <x v="0"/>
    <x v="0"/>
    <x v="0"/>
    <x v="8"/>
    <n v="0"/>
    <x v="1"/>
  </r>
  <r>
    <x v="74"/>
    <x v="0"/>
    <x v="269"/>
    <x v="0"/>
    <x v="0"/>
    <x v="0"/>
    <x v="0"/>
    <x v="9"/>
    <n v="0"/>
    <x v="1"/>
  </r>
  <r>
    <x v="74"/>
    <x v="0"/>
    <x v="269"/>
    <x v="0"/>
    <x v="0"/>
    <x v="0"/>
    <x v="0"/>
    <x v="10"/>
    <n v="0"/>
    <x v="1"/>
  </r>
  <r>
    <x v="74"/>
    <x v="0"/>
    <x v="269"/>
    <x v="0"/>
    <x v="0"/>
    <x v="0"/>
    <x v="0"/>
    <x v="12"/>
    <n v="0"/>
    <x v="1"/>
  </r>
  <r>
    <x v="86"/>
    <x v="0"/>
    <x v="284"/>
    <x v="0"/>
    <x v="0"/>
    <x v="0"/>
    <x v="0"/>
    <x v="0"/>
    <n v="472.06923682140047"/>
    <x v="1"/>
  </r>
  <r>
    <x v="86"/>
    <x v="0"/>
    <x v="284"/>
    <x v="0"/>
    <x v="0"/>
    <x v="0"/>
    <x v="0"/>
    <x v="1"/>
    <n v="474.1"/>
    <x v="1"/>
  </r>
  <r>
    <x v="86"/>
    <x v="0"/>
    <x v="284"/>
    <x v="0"/>
    <x v="0"/>
    <x v="0"/>
    <x v="0"/>
    <x v="2"/>
    <n v="483.74092985756516"/>
    <x v="1"/>
  </r>
  <r>
    <x v="86"/>
    <x v="0"/>
    <x v="284"/>
    <x v="0"/>
    <x v="0"/>
    <x v="0"/>
    <x v="0"/>
    <x v="3"/>
    <n v="482.06"/>
    <x v="1"/>
  </r>
  <r>
    <x v="86"/>
    <x v="0"/>
    <x v="284"/>
    <x v="0"/>
    <x v="0"/>
    <x v="0"/>
    <x v="0"/>
    <x v="4"/>
    <n v="479.62"/>
    <x v="1"/>
  </r>
  <r>
    <x v="86"/>
    <x v="0"/>
    <x v="284"/>
    <x v="0"/>
    <x v="0"/>
    <x v="0"/>
    <x v="0"/>
    <x v="5"/>
    <n v="0"/>
    <x v="1"/>
  </r>
  <r>
    <x v="86"/>
    <x v="0"/>
    <x v="284"/>
    <x v="0"/>
    <x v="0"/>
    <x v="0"/>
    <x v="0"/>
    <x v="6"/>
    <n v="0"/>
    <x v="1"/>
  </r>
  <r>
    <x v="86"/>
    <x v="0"/>
    <x v="284"/>
    <x v="0"/>
    <x v="0"/>
    <x v="0"/>
    <x v="0"/>
    <x v="7"/>
    <n v="0"/>
    <x v="1"/>
  </r>
  <r>
    <x v="86"/>
    <x v="0"/>
    <x v="284"/>
    <x v="0"/>
    <x v="0"/>
    <x v="0"/>
    <x v="0"/>
    <x v="8"/>
    <n v="0"/>
    <x v="1"/>
  </r>
  <r>
    <x v="86"/>
    <x v="0"/>
    <x v="284"/>
    <x v="0"/>
    <x v="0"/>
    <x v="0"/>
    <x v="0"/>
    <x v="9"/>
    <n v="0"/>
    <x v="1"/>
  </r>
  <r>
    <x v="86"/>
    <x v="0"/>
    <x v="284"/>
    <x v="0"/>
    <x v="0"/>
    <x v="0"/>
    <x v="0"/>
    <x v="10"/>
    <n v="0"/>
    <x v="1"/>
  </r>
  <r>
    <x v="86"/>
    <x v="0"/>
    <x v="284"/>
    <x v="0"/>
    <x v="0"/>
    <x v="0"/>
    <x v="0"/>
    <x v="12"/>
    <n v="0"/>
    <x v="1"/>
  </r>
  <r>
    <x v="73"/>
    <x v="0"/>
    <x v="268"/>
    <x v="0"/>
    <x v="0"/>
    <x v="0"/>
    <x v="0"/>
    <x v="0"/>
    <n v="1180.17"/>
    <x v="1"/>
  </r>
  <r>
    <x v="73"/>
    <x v="0"/>
    <x v="268"/>
    <x v="0"/>
    <x v="0"/>
    <x v="0"/>
    <x v="0"/>
    <x v="1"/>
    <n v="0"/>
    <x v="1"/>
  </r>
  <r>
    <x v="73"/>
    <x v="0"/>
    <x v="268"/>
    <x v="0"/>
    <x v="0"/>
    <x v="0"/>
    <x v="0"/>
    <x v="2"/>
    <n v="0"/>
    <x v="1"/>
  </r>
  <r>
    <x v="73"/>
    <x v="0"/>
    <x v="268"/>
    <x v="0"/>
    <x v="0"/>
    <x v="0"/>
    <x v="0"/>
    <x v="3"/>
    <n v="0"/>
    <x v="1"/>
  </r>
  <r>
    <x v="73"/>
    <x v="0"/>
    <x v="268"/>
    <x v="0"/>
    <x v="0"/>
    <x v="0"/>
    <x v="0"/>
    <x v="4"/>
    <n v="0"/>
    <x v="1"/>
  </r>
  <r>
    <x v="73"/>
    <x v="0"/>
    <x v="268"/>
    <x v="0"/>
    <x v="0"/>
    <x v="0"/>
    <x v="0"/>
    <x v="5"/>
    <n v="0"/>
    <x v="1"/>
  </r>
  <r>
    <x v="73"/>
    <x v="0"/>
    <x v="268"/>
    <x v="0"/>
    <x v="0"/>
    <x v="0"/>
    <x v="0"/>
    <x v="6"/>
    <n v="0"/>
    <x v="1"/>
  </r>
  <r>
    <x v="73"/>
    <x v="0"/>
    <x v="268"/>
    <x v="0"/>
    <x v="0"/>
    <x v="0"/>
    <x v="0"/>
    <x v="7"/>
    <n v="0"/>
    <x v="1"/>
  </r>
  <r>
    <x v="73"/>
    <x v="0"/>
    <x v="268"/>
    <x v="0"/>
    <x v="0"/>
    <x v="0"/>
    <x v="0"/>
    <x v="8"/>
    <n v="0"/>
    <x v="1"/>
  </r>
  <r>
    <x v="73"/>
    <x v="0"/>
    <x v="268"/>
    <x v="0"/>
    <x v="0"/>
    <x v="0"/>
    <x v="0"/>
    <x v="9"/>
    <n v="0"/>
    <x v="1"/>
  </r>
  <r>
    <x v="73"/>
    <x v="0"/>
    <x v="268"/>
    <x v="0"/>
    <x v="0"/>
    <x v="0"/>
    <x v="0"/>
    <x v="10"/>
    <n v="0"/>
    <x v="1"/>
  </r>
  <r>
    <x v="73"/>
    <x v="0"/>
    <x v="268"/>
    <x v="0"/>
    <x v="0"/>
    <x v="0"/>
    <x v="0"/>
    <x v="12"/>
    <n v="0"/>
    <x v="1"/>
  </r>
  <r>
    <x v="30"/>
    <x v="2"/>
    <x v="285"/>
    <x v="0"/>
    <x v="2"/>
    <x v="3"/>
    <x v="9"/>
    <x v="0"/>
    <n v="0"/>
    <x v="1"/>
  </r>
  <r>
    <x v="30"/>
    <x v="2"/>
    <x v="285"/>
    <x v="0"/>
    <x v="2"/>
    <x v="3"/>
    <x v="9"/>
    <x v="1"/>
    <n v="0"/>
    <x v="1"/>
  </r>
  <r>
    <x v="30"/>
    <x v="2"/>
    <x v="285"/>
    <x v="0"/>
    <x v="2"/>
    <x v="3"/>
    <x v="9"/>
    <x v="2"/>
    <n v="0"/>
    <x v="1"/>
  </r>
  <r>
    <x v="30"/>
    <x v="2"/>
    <x v="285"/>
    <x v="0"/>
    <x v="2"/>
    <x v="3"/>
    <x v="9"/>
    <x v="3"/>
    <n v="1836"/>
    <x v="1"/>
  </r>
  <r>
    <x v="30"/>
    <x v="2"/>
    <x v="285"/>
    <x v="0"/>
    <x v="2"/>
    <x v="3"/>
    <x v="9"/>
    <x v="4"/>
    <n v="0"/>
    <x v="1"/>
  </r>
  <r>
    <x v="30"/>
    <x v="2"/>
    <x v="285"/>
    <x v="0"/>
    <x v="2"/>
    <x v="3"/>
    <x v="9"/>
    <x v="5"/>
    <n v="0"/>
    <x v="1"/>
  </r>
  <r>
    <x v="30"/>
    <x v="2"/>
    <x v="285"/>
    <x v="0"/>
    <x v="2"/>
    <x v="3"/>
    <x v="9"/>
    <x v="6"/>
    <n v="0"/>
    <x v="1"/>
  </r>
  <r>
    <x v="30"/>
    <x v="2"/>
    <x v="285"/>
    <x v="0"/>
    <x v="2"/>
    <x v="3"/>
    <x v="9"/>
    <x v="7"/>
    <n v="9909"/>
    <x v="1"/>
  </r>
  <r>
    <x v="30"/>
    <x v="2"/>
    <x v="285"/>
    <x v="0"/>
    <x v="2"/>
    <x v="3"/>
    <x v="9"/>
    <x v="8"/>
    <n v="0"/>
    <x v="1"/>
  </r>
  <r>
    <x v="30"/>
    <x v="2"/>
    <x v="285"/>
    <x v="0"/>
    <x v="2"/>
    <x v="3"/>
    <x v="9"/>
    <x v="9"/>
    <n v="0"/>
    <x v="1"/>
  </r>
  <r>
    <x v="30"/>
    <x v="2"/>
    <x v="285"/>
    <x v="0"/>
    <x v="2"/>
    <x v="3"/>
    <x v="9"/>
    <x v="10"/>
    <n v="0"/>
    <x v="1"/>
  </r>
  <r>
    <x v="30"/>
    <x v="2"/>
    <x v="285"/>
    <x v="0"/>
    <x v="2"/>
    <x v="3"/>
    <x v="9"/>
    <x v="12"/>
    <n v="0"/>
    <x v="1"/>
  </r>
  <r>
    <x v="87"/>
    <x v="0"/>
    <x v="286"/>
    <x v="0"/>
    <x v="0"/>
    <x v="0"/>
    <x v="0"/>
    <x v="0"/>
    <n v="0"/>
    <x v="1"/>
  </r>
  <r>
    <x v="87"/>
    <x v="0"/>
    <x v="286"/>
    <x v="0"/>
    <x v="0"/>
    <x v="0"/>
    <x v="0"/>
    <x v="1"/>
    <n v="0"/>
    <x v="1"/>
  </r>
  <r>
    <x v="87"/>
    <x v="0"/>
    <x v="286"/>
    <x v="0"/>
    <x v="0"/>
    <x v="0"/>
    <x v="0"/>
    <x v="2"/>
    <n v="0"/>
    <x v="1"/>
  </r>
  <r>
    <x v="87"/>
    <x v="0"/>
    <x v="286"/>
    <x v="0"/>
    <x v="0"/>
    <x v="0"/>
    <x v="0"/>
    <x v="3"/>
    <n v="0"/>
    <x v="1"/>
  </r>
  <r>
    <x v="87"/>
    <x v="0"/>
    <x v="286"/>
    <x v="0"/>
    <x v="0"/>
    <x v="0"/>
    <x v="0"/>
    <x v="4"/>
    <n v="0"/>
    <x v="1"/>
  </r>
  <r>
    <x v="87"/>
    <x v="0"/>
    <x v="286"/>
    <x v="0"/>
    <x v="0"/>
    <x v="0"/>
    <x v="0"/>
    <x v="5"/>
    <n v="0"/>
    <x v="1"/>
  </r>
  <r>
    <x v="87"/>
    <x v="0"/>
    <x v="286"/>
    <x v="0"/>
    <x v="0"/>
    <x v="0"/>
    <x v="0"/>
    <x v="6"/>
    <n v="0"/>
    <x v="1"/>
  </r>
  <r>
    <x v="87"/>
    <x v="0"/>
    <x v="286"/>
    <x v="0"/>
    <x v="0"/>
    <x v="0"/>
    <x v="0"/>
    <x v="7"/>
    <n v="838.3"/>
    <x v="1"/>
  </r>
  <r>
    <x v="87"/>
    <x v="0"/>
    <x v="286"/>
    <x v="0"/>
    <x v="0"/>
    <x v="0"/>
    <x v="0"/>
    <x v="8"/>
    <n v="848"/>
    <x v="1"/>
  </r>
  <r>
    <x v="87"/>
    <x v="0"/>
    <x v="286"/>
    <x v="0"/>
    <x v="0"/>
    <x v="0"/>
    <x v="0"/>
    <x v="9"/>
    <n v="852"/>
    <x v="1"/>
  </r>
  <r>
    <x v="87"/>
    <x v="0"/>
    <x v="286"/>
    <x v="0"/>
    <x v="0"/>
    <x v="0"/>
    <x v="0"/>
    <x v="10"/>
    <n v="852"/>
    <x v="1"/>
  </r>
  <r>
    <x v="87"/>
    <x v="0"/>
    <x v="286"/>
    <x v="0"/>
    <x v="0"/>
    <x v="0"/>
    <x v="0"/>
    <x v="12"/>
    <n v="852"/>
    <x v="1"/>
  </r>
  <r>
    <x v="71"/>
    <x v="1"/>
    <x v="265"/>
    <x v="0"/>
    <x v="2"/>
    <x v="3"/>
    <x v="18"/>
    <x v="0"/>
    <n v="0"/>
    <x v="1"/>
  </r>
  <r>
    <x v="71"/>
    <x v="1"/>
    <x v="265"/>
    <x v="0"/>
    <x v="2"/>
    <x v="3"/>
    <x v="18"/>
    <x v="1"/>
    <n v="0"/>
    <x v="1"/>
  </r>
  <r>
    <x v="71"/>
    <x v="1"/>
    <x v="265"/>
    <x v="0"/>
    <x v="2"/>
    <x v="3"/>
    <x v="18"/>
    <x v="2"/>
    <n v="0"/>
    <x v="1"/>
  </r>
  <r>
    <x v="71"/>
    <x v="1"/>
    <x v="265"/>
    <x v="0"/>
    <x v="2"/>
    <x v="3"/>
    <x v="18"/>
    <x v="3"/>
    <n v="0"/>
    <x v="1"/>
  </r>
  <r>
    <x v="71"/>
    <x v="1"/>
    <x v="265"/>
    <x v="0"/>
    <x v="2"/>
    <x v="3"/>
    <x v="18"/>
    <x v="4"/>
    <n v="0"/>
    <x v="1"/>
  </r>
  <r>
    <x v="71"/>
    <x v="1"/>
    <x v="265"/>
    <x v="0"/>
    <x v="2"/>
    <x v="3"/>
    <x v="18"/>
    <x v="5"/>
    <n v="654.96"/>
    <x v="1"/>
  </r>
  <r>
    <x v="71"/>
    <x v="1"/>
    <x v="265"/>
    <x v="0"/>
    <x v="2"/>
    <x v="3"/>
    <x v="18"/>
    <x v="6"/>
    <n v="0"/>
    <x v="1"/>
  </r>
  <r>
    <x v="71"/>
    <x v="1"/>
    <x v="265"/>
    <x v="0"/>
    <x v="2"/>
    <x v="3"/>
    <x v="18"/>
    <x v="7"/>
    <n v="0"/>
    <x v="1"/>
  </r>
  <r>
    <x v="71"/>
    <x v="1"/>
    <x v="265"/>
    <x v="0"/>
    <x v="2"/>
    <x v="3"/>
    <x v="18"/>
    <x v="8"/>
    <n v="0"/>
    <x v="1"/>
  </r>
  <r>
    <x v="71"/>
    <x v="1"/>
    <x v="265"/>
    <x v="0"/>
    <x v="2"/>
    <x v="3"/>
    <x v="18"/>
    <x v="9"/>
    <n v="0"/>
    <x v="1"/>
  </r>
  <r>
    <x v="71"/>
    <x v="1"/>
    <x v="265"/>
    <x v="0"/>
    <x v="2"/>
    <x v="3"/>
    <x v="18"/>
    <x v="10"/>
    <n v="0"/>
    <x v="1"/>
  </r>
  <r>
    <x v="71"/>
    <x v="1"/>
    <x v="265"/>
    <x v="0"/>
    <x v="2"/>
    <x v="3"/>
    <x v="18"/>
    <x v="12"/>
    <n v="0"/>
    <x v="1"/>
  </r>
  <r>
    <x v="88"/>
    <x v="0"/>
    <x v="287"/>
    <x v="0"/>
    <x v="0"/>
    <x v="0"/>
    <x v="0"/>
    <x v="0"/>
    <n v="0"/>
    <x v="1"/>
  </r>
  <r>
    <x v="88"/>
    <x v="0"/>
    <x v="287"/>
    <x v="0"/>
    <x v="0"/>
    <x v="0"/>
    <x v="0"/>
    <x v="1"/>
    <n v="0"/>
    <x v="1"/>
  </r>
  <r>
    <x v="88"/>
    <x v="0"/>
    <x v="287"/>
    <x v="0"/>
    <x v="0"/>
    <x v="0"/>
    <x v="0"/>
    <x v="2"/>
    <n v="0"/>
    <x v="1"/>
  </r>
  <r>
    <x v="88"/>
    <x v="0"/>
    <x v="287"/>
    <x v="0"/>
    <x v="0"/>
    <x v="0"/>
    <x v="0"/>
    <x v="3"/>
    <n v="0"/>
    <x v="1"/>
  </r>
  <r>
    <x v="88"/>
    <x v="0"/>
    <x v="287"/>
    <x v="0"/>
    <x v="0"/>
    <x v="0"/>
    <x v="0"/>
    <x v="4"/>
    <n v="0"/>
    <x v="1"/>
  </r>
  <r>
    <x v="88"/>
    <x v="0"/>
    <x v="287"/>
    <x v="0"/>
    <x v="0"/>
    <x v="0"/>
    <x v="0"/>
    <x v="5"/>
    <n v="196.49"/>
    <x v="1"/>
  </r>
  <r>
    <x v="88"/>
    <x v="0"/>
    <x v="287"/>
    <x v="0"/>
    <x v="0"/>
    <x v="0"/>
    <x v="0"/>
    <x v="6"/>
    <n v="481"/>
    <x v="1"/>
  </r>
  <r>
    <x v="88"/>
    <x v="0"/>
    <x v="287"/>
    <x v="0"/>
    <x v="0"/>
    <x v="0"/>
    <x v="0"/>
    <x v="7"/>
    <n v="471.57"/>
    <x v="1"/>
  </r>
  <r>
    <x v="88"/>
    <x v="0"/>
    <x v="287"/>
    <x v="0"/>
    <x v="0"/>
    <x v="0"/>
    <x v="0"/>
    <x v="8"/>
    <n v="477"/>
    <x v="1"/>
  </r>
  <r>
    <x v="88"/>
    <x v="0"/>
    <x v="287"/>
    <x v="0"/>
    <x v="0"/>
    <x v="0"/>
    <x v="0"/>
    <x v="9"/>
    <n v="479"/>
    <x v="1"/>
  </r>
  <r>
    <x v="88"/>
    <x v="0"/>
    <x v="287"/>
    <x v="0"/>
    <x v="0"/>
    <x v="0"/>
    <x v="0"/>
    <x v="10"/>
    <n v="479"/>
    <x v="1"/>
  </r>
  <r>
    <x v="88"/>
    <x v="0"/>
    <x v="287"/>
    <x v="0"/>
    <x v="0"/>
    <x v="0"/>
    <x v="0"/>
    <x v="12"/>
    <n v="479"/>
    <x v="1"/>
  </r>
  <r>
    <x v="30"/>
    <x v="1"/>
    <x v="288"/>
    <x v="0"/>
    <x v="2"/>
    <x v="3"/>
    <x v="0"/>
    <x v="0"/>
    <n v="0"/>
    <x v="1"/>
  </r>
  <r>
    <x v="30"/>
    <x v="1"/>
    <x v="288"/>
    <x v="0"/>
    <x v="2"/>
    <x v="3"/>
    <x v="0"/>
    <x v="1"/>
    <n v="0"/>
    <x v="1"/>
  </r>
  <r>
    <x v="30"/>
    <x v="1"/>
    <x v="288"/>
    <x v="0"/>
    <x v="2"/>
    <x v="3"/>
    <x v="0"/>
    <x v="2"/>
    <n v="604.67616232195644"/>
    <x v="1"/>
  </r>
  <r>
    <x v="30"/>
    <x v="1"/>
    <x v="288"/>
    <x v="0"/>
    <x v="2"/>
    <x v="3"/>
    <x v="0"/>
    <x v="3"/>
    <n v="0"/>
    <x v="1"/>
  </r>
  <r>
    <x v="30"/>
    <x v="1"/>
    <x v="288"/>
    <x v="0"/>
    <x v="2"/>
    <x v="3"/>
    <x v="0"/>
    <x v="4"/>
    <n v="0"/>
    <x v="1"/>
  </r>
  <r>
    <x v="30"/>
    <x v="1"/>
    <x v="288"/>
    <x v="0"/>
    <x v="2"/>
    <x v="3"/>
    <x v="0"/>
    <x v="5"/>
    <n v="0"/>
    <x v="1"/>
  </r>
  <r>
    <x v="30"/>
    <x v="1"/>
    <x v="288"/>
    <x v="0"/>
    <x v="2"/>
    <x v="3"/>
    <x v="0"/>
    <x v="6"/>
    <n v="0"/>
    <x v="1"/>
  </r>
  <r>
    <x v="30"/>
    <x v="1"/>
    <x v="288"/>
    <x v="0"/>
    <x v="2"/>
    <x v="3"/>
    <x v="0"/>
    <x v="7"/>
    <n v="0"/>
    <x v="1"/>
  </r>
  <r>
    <x v="30"/>
    <x v="1"/>
    <x v="288"/>
    <x v="0"/>
    <x v="2"/>
    <x v="3"/>
    <x v="0"/>
    <x v="8"/>
    <n v="0"/>
    <x v="1"/>
  </r>
  <r>
    <x v="30"/>
    <x v="1"/>
    <x v="288"/>
    <x v="0"/>
    <x v="2"/>
    <x v="3"/>
    <x v="0"/>
    <x v="9"/>
    <n v="0"/>
    <x v="1"/>
  </r>
  <r>
    <x v="30"/>
    <x v="1"/>
    <x v="288"/>
    <x v="0"/>
    <x v="2"/>
    <x v="3"/>
    <x v="0"/>
    <x v="10"/>
    <n v="0"/>
    <x v="1"/>
  </r>
  <r>
    <x v="30"/>
    <x v="1"/>
    <x v="288"/>
    <x v="0"/>
    <x v="2"/>
    <x v="3"/>
    <x v="0"/>
    <x v="12"/>
    <n v="0"/>
    <x v="1"/>
  </r>
  <r>
    <x v="30"/>
    <x v="2"/>
    <x v="289"/>
    <x v="0"/>
    <x v="2"/>
    <x v="3"/>
    <x v="19"/>
    <x v="0"/>
    <n v="0"/>
    <x v="1"/>
  </r>
  <r>
    <x v="30"/>
    <x v="2"/>
    <x v="289"/>
    <x v="0"/>
    <x v="2"/>
    <x v="3"/>
    <x v="19"/>
    <x v="1"/>
    <n v="0"/>
    <x v="1"/>
  </r>
  <r>
    <x v="30"/>
    <x v="2"/>
    <x v="289"/>
    <x v="0"/>
    <x v="2"/>
    <x v="3"/>
    <x v="19"/>
    <x v="2"/>
    <n v="0"/>
    <x v="1"/>
  </r>
  <r>
    <x v="30"/>
    <x v="2"/>
    <x v="289"/>
    <x v="0"/>
    <x v="2"/>
    <x v="3"/>
    <x v="19"/>
    <x v="3"/>
    <n v="0"/>
    <x v="1"/>
  </r>
  <r>
    <x v="30"/>
    <x v="2"/>
    <x v="289"/>
    <x v="0"/>
    <x v="2"/>
    <x v="3"/>
    <x v="19"/>
    <x v="4"/>
    <n v="0"/>
    <x v="1"/>
  </r>
  <r>
    <x v="30"/>
    <x v="2"/>
    <x v="289"/>
    <x v="0"/>
    <x v="2"/>
    <x v="3"/>
    <x v="19"/>
    <x v="5"/>
    <n v="0"/>
    <x v="1"/>
  </r>
  <r>
    <x v="30"/>
    <x v="2"/>
    <x v="289"/>
    <x v="0"/>
    <x v="2"/>
    <x v="3"/>
    <x v="19"/>
    <x v="6"/>
    <n v="3550"/>
    <x v="1"/>
  </r>
  <r>
    <x v="30"/>
    <x v="2"/>
    <x v="289"/>
    <x v="0"/>
    <x v="2"/>
    <x v="3"/>
    <x v="19"/>
    <x v="7"/>
    <n v="0"/>
    <x v="1"/>
  </r>
  <r>
    <x v="30"/>
    <x v="2"/>
    <x v="289"/>
    <x v="0"/>
    <x v="2"/>
    <x v="3"/>
    <x v="19"/>
    <x v="8"/>
    <n v="0"/>
    <x v="1"/>
  </r>
  <r>
    <x v="30"/>
    <x v="2"/>
    <x v="289"/>
    <x v="0"/>
    <x v="2"/>
    <x v="3"/>
    <x v="19"/>
    <x v="9"/>
    <n v="0"/>
    <x v="1"/>
  </r>
  <r>
    <x v="30"/>
    <x v="2"/>
    <x v="289"/>
    <x v="0"/>
    <x v="2"/>
    <x v="3"/>
    <x v="19"/>
    <x v="10"/>
    <n v="0"/>
    <x v="1"/>
  </r>
  <r>
    <x v="30"/>
    <x v="2"/>
    <x v="289"/>
    <x v="0"/>
    <x v="2"/>
    <x v="3"/>
    <x v="19"/>
    <x v="12"/>
    <n v="0"/>
    <x v="1"/>
  </r>
  <r>
    <x v="30"/>
    <x v="1"/>
    <x v="290"/>
    <x v="0"/>
    <x v="2"/>
    <x v="3"/>
    <x v="0"/>
    <x v="0"/>
    <n v="0"/>
    <x v="1"/>
  </r>
  <r>
    <x v="30"/>
    <x v="1"/>
    <x v="290"/>
    <x v="0"/>
    <x v="2"/>
    <x v="3"/>
    <x v="0"/>
    <x v="1"/>
    <n v="0"/>
    <x v="1"/>
  </r>
  <r>
    <x v="30"/>
    <x v="1"/>
    <x v="290"/>
    <x v="0"/>
    <x v="2"/>
    <x v="3"/>
    <x v="0"/>
    <x v="2"/>
    <n v="0"/>
    <x v="1"/>
  </r>
  <r>
    <x v="30"/>
    <x v="1"/>
    <x v="290"/>
    <x v="0"/>
    <x v="2"/>
    <x v="3"/>
    <x v="0"/>
    <x v="3"/>
    <n v="0"/>
    <x v="1"/>
  </r>
  <r>
    <x v="30"/>
    <x v="1"/>
    <x v="290"/>
    <x v="0"/>
    <x v="2"/>
    <x v="3"/>
    <x v="0"/>
    <x v="4"/>
    <n v="0"/>
    <x v="1"/>
  </r>
  <r>
    <x v="30"/>
    <x v="1"/>
    <x v="290"/>
    <x v="0"/>
    <x v="2"/>
    <x v="3"/>
    <x v="0"/>
    <x v="5"/>
    <n v="0"/>
    <x v="1"/>
  </r>
  <r>
    <x v="30"/>
    <x v="1"/>
    <x v="290"/>
    <x v="0"/>
    <x v="2"/>
    <x v="3"/>
    <x v="0"/>
    <x v="6"/>
    <n v="94"/>
    <x v="1"/>
  </r>
  <r>
    <x v="30"/>
    <x v="1"/>
    <x v="290"/>
    <x v="0"/>
    <x v="2"/>
    <x v="3"/>
    <x v="0"/>
    <x v="7"/>
    <n v="0"/>
    <x v="1"/>
  </r>
  <r>
    <x v="30"/>
    <x v="1"/>
    <x v="290"/>
    <x v="0"/>
    <x v="2"/>
    <x v="3"/>
    <x v="0"/>
    <x v="8"/>
    <n v="93"/>
    <x v="1"/>
  </r>
  <r>
    <x v="30"/>
    <x v="1"/>
    <x v="290"/>
    <x v="0"/>
    <x v="2"/>
    <x v="3"/>
    <x v="0"/>
    <x v="9"/>
    <n v="93"/>
    <x v="1"/>
  </r>
  <r>
    <x v="30"/>
    <x v="1"/>
    <x v="290"/>
    <x v="0"/>
    <x v="2"/>
    <x v="3"/>
    <x v="0"/>
    <x v="10"/>
    <n v="93"/>
    <x v="1"/>
  </r>
  <r>
    <x v="30"/>
    <x v="1"/>
    <x v="290"/>
    <x v="0"/>
    <x v="2"/>
    <x v="3"/>
    <x v="0"/>
    <x v="12"/>
    <n v="93"/>
    <x v="1"/>
  </r>
  <r>
    <x v="30"/>
    <x v="0"/>
    <x v="291"/>
    <x v="0"/>
    <x v="0"/>
    <x v="2"/>
    <x v="0"/>
    <x v="0"/>
    <n v="0"/>
    <x v="1"/>
  </r>
  <r>
    <x v="30"/>
    <x v="0"/>
    <x v="291"/>
    <x v="0"/>
    <x v="0"/>
    <x v="2"/>
    <x v="0"/>
    <x v="1"/>
    <n v="0"/>
    <x v="1"/>
  </r>
  <r>
    <x v="30"/>
    <x v="0"/>
    <x v="291"/>
    <x v="0"/>
    <x v="0"/>
    <x v="2"/>
    <x v="0"/>
    <x v="2"/>
    <n v="2418.7046492878258"/>
    <x v="1"/>
  </r>
  <r>
    <x v="30"/>
    <x v="0"/>
    <x v="291"/>
    <x v="0"/>
    <x v="0"/>
    <x v="2"/>
    <x v="0"/>
    <x v="3"/>
    <n v="0"/>
    <x v="1"/>
  </r>
  <r>
    <x v="30"/>
    <x v="0"/>
    <x v="291"/>
    <x v="0"/>
    <x v="0"/>
    <x v="2"/>
    <x v="0"/>
    <x v="4"/>
    <n v="0"/>
    <x v="1"/>
  </r>
  <r>
    <x v="30"/>
    <x v="0"/>
    <x v="291"/>
    <x v="0"/>
    <x v="0"/>
    <x v="2"/>
    <x v="0"/>
    <x v="5"/>
    <n v="0"/>
    <x v="1"/>
  </r>
  <r>
    <x v="30"/>
    <x v="0"/>
    <x v="291"/>
    <x v="0"/>
    <x v="0"/>
    <x v="2"/>
    <x v="0"/>
    <x v="6"/>
    <n v="0"/>
    <x v="1"/>
  </r>
  <r>
    <x v="30"/>
    <x v="0"/>
    <x v="291"/>
    <x v="0"/>
    <x v="0"/>
    <x v="2"/>
    <x v="0"/>
    <x v="7"/>
    <n v="0"/>
    <x v="1"/>
  </r>
  <r>
    <x v="30"/>
    <x v="0"/>
    <x v="291"/>
    <x v="0"/>
    <x v="0"/>
    <x v="2"/>
    <x v="0"/>
    <x v="8"/>
    <n v="0"/>
    <x v="1"/>
  </r>
  <r>
    <x v="30"/>
    <x v="0"/>
    <x v="291"/>
    <x v="0"/>
    <x v="0"/>
    <x v="2"/>
    <x v="0"/>
    <x v="9"/>
    <n v="0"/>
    <x v="1"/>
  </r>
  <r>
    <x v="30"/>
    <x v="0"/>
    <x v="291"/>
    <x v="0"/>
    <x v="0"/>
    <x v="2"/>
    <x v="0"/>
    <x v="10"/>
    <n v="0"/>
    <x v="1"/>
  </r>
  <r>
    <x v="30"/>
    <x v="0"/>
    <x v="291"/>
    <x v="0"/>
    <x v="0"/>
    <x v="2"/>
    <x v="0"/>
    <x v="12"/>
    <n v="0"/>
    <x v="1"/>
  </r>
  <r>
    <x v="30"/>
    <x v="1"/>
    <x v="292"/>
    <x v="0"/>
    <x v="2"/>
    <x v="3"/>
    <x v="0"/>
    <x v="0"/>
    <n v="0"/>
    <x v="1"/>
  </r>
  <r>
    <x v="30"/>
    <x v="1"/>
    <x v="292"/>
    <x v="0"/>
    <x v="2"/>
    <x v="3"/>
    <x v="0"/>
    <x v="1"/>
    <n v="0"/>
    <x v="1"/>
  </r>
  <r>
    <x v="30"/>
    <x v="1"/>
    <x v="292"/>
    <x v="0"/>
    <x v="2"/>
    <x v="3"/>
    <x v="0"/>
    <x v="2"/>
    <n v="0"/>
    <x v="1"/>
  </r>
  <r>
    <x v="30"/>
    <x v="1"/>
    <x v="292"/>
    <x v="0"/>
    <x v="2"/>
    <x v="3"/>
    <x v="0"/>
    <x v="3"/>
    <n v="0"/>
    <x v="1"/>
  </r>
  <r>
    <x v="30"/>
    <x v="1"/>
    <x v="292"/>
    <x v="0"/>
    <x v="2"/>
    <x v="3"/>
    <x v="0"/>
    <x v="4"/>
    <n v="0"/>
    <x v="1"/>
  </r>
  <r>
    <x v="30"/>
    <x v="1"/>
    <x v="292"/>
    <x v="0"/>
    <x v="2"/>
    <x v="3"/>
    <x v="0"/>
    <x v="5"/>
    <n v="0"/>
    <x v="1"/>
  </r>
  <r>
    <x v="30"/>
    <x v="1"/>
    <x v="292"/>
    <x v="0"/>
    <x v="2"/>
    <x v="3"/>
    <x v="0"/>
    <x v="6"/>
    <n v="0"/>
    <x v="1"/>
  </r>
  <r>
    <x v="30"/>
    <x v="1"/>
    <x v="292"/>
    <x v="0"/>
    <x v="2"/>
    <x v="3"/>
    <x v="0"/>
    <x v="7"/>
    <n v="0"/>
    <x v="1"/>
  </r>
  <r>
    <x v="30"/>
    <x v="1"/>
    <x v="292"/>
    <x v="0"/>
    <x v="2"/>
    <x v="3"/>
    <x v="0"/>
    <x v="8"/>
    <n v="0"/>
    <x v="1"/>
  </r>
  <r>
    <x v="30"/>
    <x v="1"/>
    <x v="292"/>
    <x v="0"/>
    <x v="2"/>
    <x v="3"/>
    <x v="0"/>
    <x v="9"/>
    <n v="147"/>
    <x v="1"/>
  </r>
  <r>
    <x v="30"/>
    <x v="1"/>
    <x v="292"/>
    <x v="0"/>
    <x v="2"/>
    <x v="3"/>
    <x v="0"/>
    <x v="10"/>
    <n v="147"/>
    <x v="1"/>
  </r>
  <r>
    <x v="30"/>
    <x v="1"/>
    <x v="292"/>
    <x v="0"/>
    <x v="2"/>
    <x v="3"/>
    <x v="0"/>
    <x v="12"/>
    <n v="147"/>
    <x v="1"/>
  </r>
  <r>
    <x v="30"/>
    <x v="0"/>
    <x v="293"/>
    <x v="2"/>
    <x v="2"/>
    <x v="3"/>
    <x v="0"/>
    <x v="0"/>
    <n v="1117.0858221872541"/>
    <x v="1"/>
  </r>
  <r>
    <x v="30"/>
    <x v="0"/>
    <x v="293"/>
    <x v="2"/>
    <x v="2"/>
    <x v="3"/>
    <x v="0"/>
    <x v="1"/>
    <n v="0"/>
    <x v="1"/>
  </r>
  <r>
    <x v="30"/>
    <x v="0"/>
    <x v="293"/>
    <x v="2"/>
    <x v="2"/>
    <x v="3"/>
    <x v="0"/>
    <x v="2"/>
    <n v="2110.5574200483743"/>
    <x v="1"/>
  </r>
  <r>
    <x v="30"/>
    <x v="0"/>
    <x v="293"/>
    <x v="2"/>
    <x v="2"/>
    <x v="3"/>
    <x v="0"/>
    <x v="3"/>
    <n v="1120"/>
    <x v="1"/>
  </r>
  <r>
    <x v="30"/>
    <x v="0"/>
    <x v="293"/>
    <x v="2"/>
    <x v="2"/>
    <x v="3"/>
    <x v="0"/>
    <x v="4"/>
    <n v="1119"/>
    <x v="1"/>
  </r>
  <r>
    <x v="30"/>
    <x v="0"/>
    <x v="293"/>
    <x v="2"/>
    <x v="2"/>
    <x v="3"/>
    <x v="0"/>
    <x v="5"/>
    <n v="1118"/>
    <x v="1"/>
  </r>
  <r>
    <x v="30"/>
    <x v="0"/>
    <x v="293"/>
    <x v="2"/>
    <x v="2"/>
    <x v="3"/>
    <x v="0"/>
    <x v="6"/>
    <n v="1124"/>
    <x v="1"/>
  </r>
  <r>
    <x v="30"/>
    <x v="0"/>
    <x v="293"/>
    <x v="2"/>
    <x v="2"/>
    <x v="3"/>
    <x v="0"/>
    <x v="7"/>
    <n v="1119"/>
    <x v="1"/>
  </r>
  <r>
    <x v="30"/>
    <x v="0"/>
    <x v="293"/>
    <x v="2"/>
    <x v="2"/>
    <x v="3"/>
    <x v="0"/>
    <x v="8"/>
    <n v="1120"/>
    <x v="1"/>
  </r>
  <r>
    <x v="30"/>
    <x v="0"/>
    <x v="293"/>
    <x v="2"/>
    <x v="2"/>
    <x v="3"/>
    <x v="0"/>
    <x v="9"/>
    <n v="1120"/>
    <x v="1"/>
  </r>
  <r>
    <x v="30"/>
    <x v="0"/>
    <x v="293"/>
    <x v="2"/>
    <x v="2"/>
    <x v="3"/>
    <x v="0"/>
    <x v="10"/>
    <n v="1120"/>
    <x v="1"/>
  </r>
  <r>
    <x v="30"/>
    <x v="0"/>
    <x v="293"/>
    <x v="2"/>
    <x v="2"/>
    <x v="3"/>
    <x v="0"/>
    <x v="12"/>
    <n v="1120"/>
    <x v="1"/>
  </r>
  <r>
    <x v="30"/>
    <x v="0"/>
    <x v="294"/>
    <x v="2"/>
    <x v="2"/>
    <x v="3"/>
    <x v="0"/>
    <x v="0"/>
    <n v="650"/>
    <x v="1"/>
  </r>
  <r>
    <x v="30"/>
    <x v="0"/>
    <x v="294"/>
    <x v="2"/>
    <x v="2"/>
    <x v="3"/>
    <x v="0"/>
    <x v="1"/>
    <n v="0"/>
    <x v="1"/>
  </r>
  <r>
    <x v="30"/>
    <x v="0"/>
    <x v="294"/>
    <x v="2"/>
    <x v="2"/>
    <x v="3"/>
    <x v="0"/>
    <x v="2"/>
    <n v="1300"/>
    <x v="1"/>
  </r>
  <r>
    <x v="30"/>
    <x v="0"/>
    <x v="294"/>
    <x v="2"/>
    <x v="2"/>
    <x v="3"/>
    <x v="0"/>
    <x v="3"/>
    <n v="1300"/>
    <x v="1"/>
  </r>
  <r>
    <x v="30"/>
    <x v="0"/>
    <x v="294"/>
    <x v="2"/>
    <x v="2"/>
    <x v="3"/>
    <x v="0"/>
    <x v="4"/>
    <n v="650"/>
    <x v="1"/>
  </r>
  <r>
    <x v="30"/>
    <x v="0"/>
    <x v="294"/>
    <x v="2"/>
    <x v="2"/>
    <x v="3"/>
    <x v="0"/>
    <x v="5"/>
    <n v="650"/>
    <x v="1"/>
  </r>
  <r>
    <x v="30"/>
    <x v="0"/>
    <x v="294"/>
    <x v="2"/>
    <x v="2"/>
    <x v="3"/>
    <x v="0"/>
    <x v="6"/>
    <n v="650"/>
    <x v="1"/>
  </r>
  <r>
    <x v="30"/>
    <x v="0"/>
    <x v="294"/>
    <x v="2"/>
    <x v="2"/>
    <x v="3"/>
    <x v="0"/>
    <x v="7"/>
    <n v="650"/>
    <x v="1"/>
  </r>
  <r>
    <x v="30"/>
    <x v="0"/>
    <x v="294"/>
    <x v="2"/>
    <x v="2"/>
    <x v="3"/>
    <x v="0"/>
    <x v="8"/>
    <n v="650"/>
    <x v="1"/>
  </r>
  <r>
    <x v="30"/>
    <x v="0"/>
    <x v="294"/>
    <x v="2"/>
    <x v="2"/>
    <x v="3"/>
    <x v="0"/>
    <x v="9"/>
    <n v="650"/>
    <x v="1"/>
  </r>
  <r>
    <x v="30"/>
    <x v="0"/>
    <x v="294"/>
    <x v="2"/>
    <x v="2"/>
    <x v="3"/>
    <x v="0"/>
    <x v="10"/>
    <n v="650"/>
    <x v="1"/>
  </r>
  <r>
    <x v="30"/>
    <x v="0"/>
    <x v="294"/>
    <x v="2"/>
    <x v="2"/>
    <x v="3"/>
    <x v="0"/>
    <x v="12"/>
    <n v="650"/>
    <x v="1"/>
  </r>
  <r>
    <x v="30"/>
    <x v="2"/>
    <x v="295"/>
    <x v="0"/>
    <x v="2"/>
    <x v="3"/>
    <x v="20"/>
    <x v="0"/>
    <n v="954.89116181484394"/>
    <x v="1"/>
  </r>
  <r>
    <x v="30"/>
    <x v="2"/>
    <x v="295"/>
    <x v="0"/>
    <x v="2"/>
    <x v="3"/>
    <x v="20"/>
    <x v="1"/>
    <n v="0"/>
    <x v="1"/>
  </r>
  <r>
    <x v="30"/>
    <x v="2"/>
    <x v="295"/>
    <x v="0"/>
    <x v="2"/>
    <x v="3"/>
    <x v="20"/>
    <x v="2"/>
    <n v="20942.010000000002"/>
    <x v="1"/>
  </r>
  <r>
    <x v="30"/>
    <x v="2"/>
    <x v="295"/>
    <x v="0"/>
    <x v="2"/>
    <x v="3"/>
    <x v="20"/>
    <x v="3"/>
    <n v="2912"/>
    <x v="1"/>
  </r>
  <r>
    <x v="30"/>
    <x v="2"/>
    <x v="295"/>
    <x v="0"/>
    <x v="2"/>
    <x v="3"/>
    <x v="20"/>
    <x v="4"/>
    <n v="0"/>
    <x v="1"/>
  </r>
  <r>
    <x v="30"/>
    <x v="2"/>
    <x v="295"/>
    <x v="0"/>
    <x v="2"/>
    <x v="3"/>
    <x v="20"/>
    <x v="5"/>
    <n v="0"/>
    <x v="1"/>
  </r>
  <r>
    <x v="30"/>
    <x v="2"/>
    <x v="295"/>
    <x v="0"/>
    <x v="2"/>
    <x v="3"/>
    <x v="20"/>
    <x v="6"/>
    <n v="0"/>
    <x v="1"/>
  </r>
  <r>
    <x v="30"/>
    <x v="2"/>
    <x v="295"/>
    <x v="0"/>
    <x v="2"/>
    <x v="3"/>
    <x v="20"/>
    <x v="7"/>
    <n v="36628"/>
    <x v="1"/>
  </r>
  <r>
    <x v="30"/>
    <x v="2"/>
    <x v="295"/>
    <x v="0"/>
    <x v="2"/>
    <x v="3"/>
    <x v="20"/>
    <x v="8"/>
    <n v="4768"/>
    <x v="1"/>
  </r>
  <r>
    <x v="30"/>
    <x v="2"/>
    <x v="295"/>
    <x v="0"/>
    <x v="2"/>
    <x v="3"/>
    <x v="20"/>
    <x v="9"/>
    <n v="0"/>
    <x v="1"/>
  </r>
  <r>
    <x v="30"/>
    <x v="2"/>
    <x v="295"/>
    <x v="0"/>
    <x v="2"/>
    <x v="3"/>
    <x v="20"/>
    <x v="10"/>
    <n v="0"/>
    <x v="1"/>
  </r>
  <r>
    <x v="30"/>
    <x v="2"/>
    <x v="295"/>
    <x v="0"/>
    <x v="2"/>
    <x v="3"/>
    <x v="20"/>
    <x v="12"/>
    <n v="0"/>
    <x v="1"/>
  </r>
  <r>
    <x v="30"/>
    <x v="2"/>
    <x v="296"/>
    <x v="0"/>
    <x v="2"/>
    <x v="3"/>
    <x v="20"/>
    <x v="0"/>
    <n v="7139"/>
    <x v="1"/>
  </r>
  <r>
    <x v="30"/>
    <x v="2"/>
    <x v="296"/>
    <x v="0"/>
    <x v="2"/>
    <x v="3"/>
    <x v="20"/>
    <x v="1"/>
    <n v="0"/>
    <x v="1"/>
  </r>
  <r>
    <x v="30"/>
    <x v="2"/>
    <x v="296"/>
    <x v="0"/>
    <x v="2"/>
    <x v="3"/>
    <x v="20"/>
    <x v="2"/>
    <n v="0"/>
    <x v="1"/>
  </r>
  <r>
    <x v="30"/>
    <x v="2"/>
    <x v="296"/>
    <x v="0"/>
    <x v="2"/>
    <x v="3"/>
    <x v="20"/>
    <x v="3"/>
    <n v="0"/>
    <x v="1"/>
  </r>
  <r>
    <x v="30"/>
    <x v="2"/>
    <x v="296"/>
    <x v="0"/>
    <x v="2"/>
    <x v="3"/>
    <x v="20"/>
    <x v="4"/>
    <n v="0"/>
    <x v="1"/>
  </r>
  <r>
    <x v="30"/>
    <x v="2"/>
    <x v="296"/>
    <x v="0"/>
    <x v="2"/>
    <x v="3"/>
    <x v="20"/>
    <x v="5"/>
    <n v="0"/>
    <x v="1"/>
  </r>
  <r>
    <x v="30"/>
    <x v="2"/>
    <x v="296"/>
    <x v="0"/>
    <x v="2"/>
    <x v="3"/>
    <x v="20"/>
    <x v="6"/>
    <n v="0"/>
    <x v="1"/>
  </r>
  <r>
    <x v="30"/>
    <x v="2"/>
    <x v="296"/>
    <x v="0"/>
    <x v="2"/>
    <x v="3"/>
    <x v="20"/>
    <x v="7"/>
    <n v="0"/>
    <x v="1"/>
  </r>
  <r>
    <x v="30"/>
    <x v="2"/>
    <x v="296"/>
    <x v="0"/>
    <x v="2"/>
    <x v="3"/>
    <x v="20"/>
    <x v="8"/>
    <n v="0"/>
    <x v="1"/>
  </r>
  <r>
    <x v="30"/>
    <x v="2"/>
    <x v="296"/>
    <x v="0"/>
    <x v="2"/>
    <x v="3"/>
    <x v="20"/>
    <x v="9"/>
    <n v="0"/>
    <x v="1"/>
  </r>
  <r>
    <x v="30"/>
    <x v="2"/>
    <x v="296"/>
    <x v="0"/>
    <x v="2"/>
    <x v="3"/>
    <x v="20"/>
    <x v="10"/>
    <n v="0"/>
    <x v="1"/>
  </r>
  <r>
    <x v="30"/>
    <x v="2"/>
    <x v="296"/>
    <x v="0"/>
    <x v="2"/>
    <x v="3"/>
    <x v="20"/>
    <x v="12"/>
    <n v="0"/>
    <x v="1"/>
  </r>
  <r>
    <x v="30"/>
    <x v="1"/>
    <x v="297"/>
    <x v="1"/>
    <x v="4"/>
    <x v="39"/>
    <x v="0"/>
    <x v="0"/>
    <n v="242"/>
    <x v="1"/>
  </r>
  <r>
    <x v="30"/>
    <x v="1"/>
    <x v="297"/>
    <x v="1"/>
    <x v="4"/>
    <x v="39"/>
    <x v="0"/>
    <x v="1"/>
    <n v="0"/>
    <x v="1"/>
  </r>
  <r>
    <x v="30"/>
    <x v="1"/>
    <x v="297"/>
    <x v="1"/>
    <x v="4"/>
    <x v="39"/>
    <x v="0"/>
    <x v="2"/>
    <n v="0"/>
    <x v="1"/>
  </r>
  <r>
    <x v="30"/>
    <x v="1"/>
    <x v="297"/>
    <x v="1"/>
    <x v="4"/>
    <x v="39"/>
    <x v="0"/>
    <x v="3"/>
    <n v="0"/>
    <x v="1"/>
  </r>
  <r>
    <x v="30"/>
    <x v="1"/>
    <x v="297"/>
    <x v="1"/>
    <x v="4"/>
    <x v="39"/>
    <x v="0"/>
    <x v="4"/>
    <n v="0"/>
    <x v="1"/>
  </r>
  <r>
    <x v="30"/>
    <x v="1"/>
    <x v="297"/>
    <x v="1"/>
    <x v="4"/>
    <x v="39"/>
    <x v="0"/>
    <x v="5"/>
    <n v="0"/>
    <x v="1"/>
  </r>
  <r>
    <x v="30"/>
    <x v="1"/>
    <x v="297"/>
    <x v="1"/>
    <x v="4"/>
    <x v="39"/>
    <x v="0"/>
    <x v="6"/>
    <n v="0"/>
    <x v="1"/>
  </r>
  <r>
    <x v="30"/>
    <x v="1"/>
    <x v="297"/>
    <x v="1"/>
    <x v="4"/>
    <x v="39"/>
    <x v="0"/>
    <x v="7"/>
    <n v="0"/>
    <x v="1"/>
  </r>
  <r>
    <x v="30"/>
    <x v="1"/>
    <x v="297"/>
    <x v="1"/>
    <x v="4"/>
    <x v="39"/>
    <x v="0"/>
    <x v="8"/>
    <n v="0"/>
    <x v="1"/>
  </r>
  <r>
    <x v="30"/>
    <x v="1"/>
    <x v="297"/>
    <x v="1"/>
    <x v="4"/>
    <x v="39"/>
    <x v="0"/>
    <x v="9"/>
    <n v="0"/>
    <x v="1"/>
  </r>
  <r>
    <x v="30"/>
    <x v="1"/>
    <x v="297"/>
    <x v="1"/>
    <x v="4"/>
    <x v="39"/>
    <x v="0"/>
    <x v="10"/>
    <n v="0"/>
    <x v="1"/>
  </r>
  <r>
    <x v="30"/>
    <x v="1"/>
    <x v="297"/>
    <x v="1"/>
    <x v="4"/>
    <x v="39"/>
    <x v="0"/>
    <x v="12"/>
    <n v="0"/>
    <x v="1"/>
  </r>
  <r>
    <x v="30"/>
    <x v="1"/>
    <x v="298"/>
    <x v="0"/>
    <x v="4"/>
    <x v="33"/>
    <x v="1"/>
    <x v="0"/>
    <n v="884.05"/>
    <x v="1"/>
  </r>
  <r>
    <x v="30"/>
    <x v="1"/>
    <x v="298"/>
    <x v="0"/>
    <x v="4"/>
    <x v="33"/>
    <x v="1"/>
    <x v="1"/>
    <n v="0"/>
    <x v="1"/>
  </r>
  <r>
    <x v="30"/>
    <x v="1"/>
    <x v="298"/>
    <x v="0"/>
    <x v="4"/>
    <x v="33"/>
    <x v="1"/>
    <x v="2"/>
    <n v="0"/>
    <x v="1"/>
  </r>
  <r>
    <x v="30"/>
    <x v="1"/>
    <x v="298"/>
    <x v="0"/>
    <x v="4"/>
    <x v="33"/>
    <x v="1"/>
    <x v="3"/>
    <n v="0"/>
    <x v="1"/>
  </r>
  <r>
    <x v="30"/>
    <x v="1"/>
    <x v="298"/>
    <x v="0"/>
    <x v="4"/>
    <x v="33"/>
    <x v="1"/>
    <x v="4"/>
    <n v="0"/>
    <x v="1"/>
  </r>
  <r>
    <x v="30"/>
    <x v="1"/>
    <x v="298"/>
    <x v="0"/>
    <x v="4"/>
    <x v="33"/>
    <x v="1"/>
    <x v="5"/>
    <n v="0"/>
    <x v="1"/>
  </r>
  <r>
    <x v="30"/>
    <x v="1"/>
    <x v="298"/>
    <x v="0"/>
    <x v="4"/>
    <x v="33"/>
    <x v="1"/>
    <x v="6"/>
    <n v="0"/>
    <x v="1"/>
  </r>
  <r>
    <x v="30"/>
    <x v="1"/>
    <x v="298"/>
    <x v="0"/>
    <x v="4"/>
    <x v="33"/>
    <x v="1"/>
    <x v="7"/>
    <n v="0"/>
    <x v="1"/>
  </r>
  <r>
    <x v="30"/>
    <x v="1"/>
    <x v="298"/>
    <x v="0"/>
    <x v="4"/>
    <x v="33"/>
    <x v="1"/>
    <x v="8"/>
    <n v="0"/>
    <x v="1"/>
  </r>
  <r>
    <x v="30"/>
    <x v="1"/>
    <x v="298"/>
    <x v="0"/>
    <x v="4"/>
    <x v="33"/>
    <x v="1"/>
    <x v="9"/>
    <n v="0"/>
    <x v="1"/>
  </r>
  <r>
    <x v="30"/>
    <x v="1"/>
    <x v="298"/>
    <x v="0"/>
    <x v="4"/>
    <x v="33"/>
    <x v="1"/>
    <x v="10"/>
    <n v="0"/>
    <x v="1"/>
  </r>
  <r>
    <x v="30"/>
    <x v="1"/>
    <x v="298"/>
    <x v="0"/>
    <x v="4"/>
    <x v="33"/>
    <x v="1"/>
    <x v="12"/>
    <n v="0"/>
    <x v="1"/>
  </r>
  <r>
    <x v="61"/>
    <x v="1"/>
    <x v="299"/>
    <x v="0"/>
    <x v="4"/>
    <x v="39"/>
    <x v="0"/>
    <x v="0"/>
    <n v="0"/>
    <x v="1"/>
  </r>
  <r>
    <x v="61"/>
    <x v="1"/>
    <x v="299"/>
    <x v="0"/>
    <x v="4"/>
    <x v="39"/>
    <x v="0"/>
    <x v="1"/>
    <n v="0"/>
    <x v="1"/>
  </r>
  <r>
    <x v="61"/>
    <x v="1"/>
    <x v="299"/>
    <x v="0"/>
    <x v="4"/>
    <x v="39"/>
    <x v="0"/>
    <x v="2"/>
    <n v="388"/>
    <x v="1"/>
  </r>
  <r>
    <x v="61"/>
    <x v="1"/>
    <x v="299"/>
    <x v="0"/>
    <x v="4"/>
    <x v="39"/>
    <x v="0"/>
    <x v="3"/>
    <n v="0"/>
    <x v="1"/>
  </r>
  <r>
    <x v="61"/>
    <x v="1"/>
    <x v="299"/>
    <x v="0"/>
    <x v="4"/>
    <x v="39"/>
    <x v="0"/>
    <x v="4"/>
    <n v="0"/>
    <x v="1"/>
  </r>
  <r>
    <x v="61"/>
    <x v="1"/>
    <x v="299"/>
    <x v="0"/>
    <x v="4"/>
    <x v="39"/>
    <x v="0"/>
    <x v="5"/>
    <n v="0"/>
    <x v="1"/>
  </r>
  <r>
    <x v="61"/>
    <x v="1"/>
    <x v="299"/>
    <x v="0"/>
    <x v="4"/>
    <x v="39"/>
    <x v="0"/>
    <x v="6"/>
    <n v="0"/>
    <x v="1"/>
  </r>
  <r>
    <x v="61"/>
    <x v="1"/>
    <x v="299"/>
    <x v="0"/>
    <x v="4"/>
    <x v="39"/>
    <x v="0"/>
    <x v="7"/>
    <n v="0"/>
    <x v="1"/>
  </r>
  <r>
    <x v="61"/>
    <x v="1"/>
    <x v="299"/>
    <x v="0"/>
    <x v="4"/>
    <x v="39"/>
    <x v="0"/>
    <x v="8"/>
    <n v="0"/>
    <x v="1"/>
  </r>
  <r>
    <x v="61"/>
    <x v="1"/>
    <x v="299"/>
    <x v="0"/>
    <x v="4"/>
    <x v="39"/>
    <x v="0"/>
    <x v="9"/>
    <n v="0"/>
    <x v="1"/>
  </r>
  <r>
    <x v="61"/>
    <x v="1"/>
    <x v="299"/>
    <x v="0"/>
    <x v="4"/>
    <x v="39"/>
    <x v="0"/>
    <x v="10"/>
    <n v="0"/>
    <x v="1"/>
  </r>
  <r>
    <x v="61"/>
    <x v="1"/>
    <x v="299"/>
    <x v="0"/>
    <x v="4"/>
    <x v="39"/>
    <x v="0"/>
    <x v="12"/>
    <n v="0"/>
    <x v="1"/>
  </r>
  <r>
    <x v="30"/>
    <x v="1"/>
    <x v="300"/>
    <x v="0"/>
    <x v="4"/>
    <x v="39"/>
    <x v="9"/>
    <x v="0"/>
    <n v="0"/>
    <x v="1"/>
  </r>
  <r>
    <x v="30"/>
    <x v="1"/>
    <x v="300"/>
    <x v="0"/>
    <x v="4"/>
    <x v="39"/>
    <x v="9"/>
    <x v="1"/>
    <n v="0"/>
    <x v="1"/>
  </r>
  <r>
    <x v="30"/>
    <x v="1"/>
    <x v="300"/>
    <x v="0"/>
    <x v="4"/>
    <x v="39"/>
    <x v="9"/>
    <x v="2"/>
    <n v="0"/>
    <x v="1"/>
  </r>
  <r>
    <x v="30"/>
    <x v="1"/>
    <x v="300"/>
    <x v="0"/>
    <x v="4"/>
    <x v="39"/>
    <x v="9"/>
    <x v="3"/>
    <n v="0"/>
    <x v="1"/>
  </r>
  <r>
    <x v="30"/>
    <x v="1"/>
    <x v="300"/>
    <x v="0"/>
    <x v="4"/>
    <x v="39"/>
    <x v="9"/>
    <x v="4"/>
    <n v="974"/>
    <x v="1"/>
  </r>
  <r>
    <x v="30"/>
    <x v="1"/>
    <x v="300"/>
    <x v="0"/>
    <x v="4"/>
    <x v="39"/>
    <x v="9"/>
    <x v="5"/>
    <n v="0"/>
    <x v="1"/>
  </r>
  <r>
    <x v="30"/>
    <x v="1"/>
    <x v="300"/>
    <x v="0"/>
    <x v="4"/>
    <x v="39"/>
    <x v="9"/>
    <x v="6"/>
    <n v="0"/>
    <x v="1"/>
  </r>
  <r>
    <x v="30"/>
    <x v="1"/>
    <x v="300"/>
    <x v="0"/>
    <x v="4"/>
    <x v="39"/>
    <x v="9"/>
    <x v="7"/>
    <n v="0"/>
    <x v="1"/>
  </r>
  <r>
    <x v="30"/>
    <x v="1"/>
    <x v="300"/>
    <x v="0"/>
    <x v="4"/>
    <x v="39"/>
    <x v="9"/>
    <x v="8"/>
    <n v="0"/>
    <x v="1"/>
  </r>
  <r>
    <x v="30"/>
    <x v="1"/>
    <x v="300"/>
    <x v="0"/>
    <x v="4"/>
    <x v="39"/>
    <x v="9"/>
    <x v="9"/>
    <n v="0"/>
    <x v="1"/>
  </r>
  <r>
    <x v="30"/>
    <x v="1"/>
    <x v="300"/>
    <x v="0"/>
    <x v="4"/>
    <x v="39"/>
    <x v="9"/>
    <x v="10"/>
    <n v="0"/>
    <x v="1"/>
  </r>
  <r>
    <x v="30"/>
    <x v="1"/>
    <x v="300"/>
    <x v="0"/>
    <x v="4"/>
    <x v="39"/>
    <x v="9"/>
    <x v="12"/>
    <n v="0"/>
    <x v="1"/>
  </r>
  <r>
    <x v="30"/>
    <x v="1"/>
    <x v="301"/>
    <x v="0"/>
    <x v="4"/>
    <x v="39"/>
    <x v="21"/>
    <x v="0"/>
    <n v="0"/>
    <x v="1"/>
  </r>
  <r>
    <x v="30"/>
    <x v="1"/>
    <x v="301"/>
    <x v="0"/>
    <x v="4"/>
    <x v="39"/>
    <x v="21"/>
    <x v="1"/>
    <n v="0"/>
    <x v="1"/>
  </r>
  <r>
    <x v="30"/>
    <x v="1"/>
    <x v="301"/>
    <x v="0"/>
    <x v="4"/>
    <x v="39"/>
    <x v="21"/>
    <x v="2"/>
    <n v="0"/>
    <x v="1"/>
  </r>
  <r>
    <x v="30"/>
    <x v="1"/>
    <x v="301"/>
    <x v="0"/>
    <x v="4"/>
    <x v="39"/>
    <x v="21"/>
    <x v="3"/>
    <n v="0"/>
    <x v="1"/>
  </r>
  <r>
    <x v="30"/>
    <x v="1"/>
    <x v="301"/>
    <x v="0"/>
    <x v="4"/>
    <x v="39"/>
    <x v="21"/>
    <x v="4"/>
    <n v="598"/>
    <x v="1"/>
  </r>
  <r>
    <x v="30"/>
    <x v="1"/>
    <x v="301"/>
    <x v="0"/>
    <x v="4"/>
    <x v="39"/>
    <x v="21"/>
    <x v="5"/>
    <n v="0"/>
    <x v="1"/>
  </r>
  <r>
    <x v="30"/>
    <x v="1"/>
    <x v="301"/>
    <x v="0"/>
    <x v="4"/>
    <x v="39"/>
    <x v="21"/>
    <x v="6"/>
    <n v="0"/>
    <x v="1"/>
  </r>
  <r>
    <x v="30"/>
    <x v="1"/>
    <x v="301"/>
    <x v="0"/>
    <x v="4"/>
    <x v="39"/>
    <x v="21"/>
    <x v="7"/>
    <n v="0"/>
    <x v="1"/>
  </r>
  <r>
    <x v="30"/>
    <x v="1"/>
    <x v="301"/>
    <x v="0"/>
    <x v="4"/>
    <x v="39"/>
    <x v="21"/>
    <x v="8"/>
    <n v="0"/>
    <x v="1"/>
  </r>
  <r>
    <x v="30"/>
    <x v="1"/>
    <x v="301"/>
    <x v="0"/>
    <x v="4"/>
    <x v="39"/>
    <x v="21"/>
    <x v="9"/>
    <n v="0"/>
    <x v="1"/>
  </r>
  <r>
    <x v="30"/>
    <x v="1"/>
    <x v="301"/>
    <x v="0"/>
    <x v="4"/>
    <x v="39"/>
    <x v="21"/>
    <x v="10"/>
    <n v="0"/>
    <x v="1"/>
  </r>
  <r>
    <x v="30"/>
    <x v="1"/>
    <x v="301"/>
    <x v="0"/>
    <x v="4"/>
    <x v="39"/>
    <x v="21"/>
    <x v="12"/>
    <n v="0"/>
    <x v="1"/>
  </r>
  <r>
    <x v="30"/>
    <x v="1"/>
    <x v="302"/>
    <x v="0"/>
    <x v="4"/>
    <x v="39"/>
    <x v="21"/>
    <x v="0"/>
    <n v="0"/>
    <x v="1"/>
  </r>
  <r>
    <x v="30"/>
    <x v="1"/>
    <x v="302"/>
    <x v="0"/>
    <x v="4"/>
    <x v="39"/>
    <x v="21"/>
    <x v="1"/>
    <n v="0"/>
    <x v="1"/>
  </r>
  <r>
    <x v="30"/>
    <x v="1"/>
    <x v="302"/>
    <x v="0"/>
    <x v="4"/>
    <x v="39"/>
    <x v="21"/>
    <x v="2"/>
    <n v="0"/>
    <x v="1"/>
  </r>
  <r>
    <x v="30"/>
    <x v="1"/>
    <x v="302"/>
    <x v="0"/>
    <x v="4"/>
    <x v="39"/>
    <x v="21"/>
    <x v="3"/>
    <n v="0"/>
    <x v="1"/>
  </r>
  <r>
    <x v="30"/>
    <x v="1"/>
    <x v="302"/>
    <x v="0"/>
    <x v="4"/>
    <x v="39"/>
    <x v="21"/>
    <x v="4"/>
    <n v="699"/>
    <x v="1"/>
  </r>
  <r>
    <x v="30"/>
    <x v="1"/>
    <x v="302"/>
    <x v="0"/>
    <x v="4"/>
    <x v="39"/>
    <x v="21"/>
    <x v="5"/>
    <n v="0"/>
    <x v="1"/>
  </r>
  <r>
    <x v="30"/>
    <x v="1"/>
    <x v="302"/>
    <x v="0"/>
    <x v="4"/>
    <x v="39"/>
    <x v="21"/>
    <x v="6"/>
    <n v="0"/>
    <x v="1"/>
  </r>
  <r>
    <x v="30"/>
    <x v="1"/>
    <x v="302"/>
    <x v="0"/>
    <x v="4"/>
    <x v="39"/>
    <x v="21"/>
    <x v="7"/>
    <n v="0"/>
    <x v="1"/>
  </r>
  <r>
    <x v="30"/>
    <x v="1"/>
    <x v="302"/>
    <x v="0"/>
    <x v="4"/>
    <x v="39"/>
    <x v="21"/>
    <x v="8"/>
    <n v="0"/>
    <x v="1"/>
  </r>
  <r>
    <x v="30"/>
    <x v="1"/>
    <x v="302"/>
    <x v="0"/>
    <x v="4"/>
    <x v="39"/>
    <x v="21"/>
    <x v="9"/>
    <n v="0"/>
    <x v="1"/>
  </r>
  <r>
    <x v="30"/>
    <x v="1"/>
    <x v="302"/>
    <x v="0"/>
    <x v="4"/>
    <x v="39"/>
    <x v="21"/>
    <x v="10"/>
    <n v="0"/>
    <x v="1"/>
  </r>
  <r>
    <x v="30"/>
    <x v="1"/>
    <x v="302"/>
    <x v="0"/>
    <x v="4"/>
    <x v="39"/>
    <x v="21"/>
    <x v="12"/>
    <n v="0"/>
    <x v="1"/>
  </r>
  <r>
    <x v="30"/>
    <x v="1"/>
    <x v="303"/>
    <x v="0"/>
    <x v="4"/>
    <x v="39"/>
    <x v="9"/>
    <x v="0"/>
    <n v="0"/>
    <x v="1"/>
  </r>
  <r>
    <x v="30"/>
    <x v="1"/>
    <x v="303"/>
    <x v="0"/>
    <x v="4"/>
    <x v="39"/>
    <x v="9"/>
    <x v="1"/>
    <n v="0"/>
    <x v="1"/>
  </r>
  <r>
    <x v="30"/>
    <x v="1"/>
    <x v="303"/>
    <x v="0"/>
    <x v="4"/>
    <x v="39"/>
    <x v="9"/>
    <x v="2"/>
    <n v="0"/>
    <x v="1"/>
  </r>
  <r>
    <x v="30"/>
    <x v="1"/>
    <x v="303"/>
    <x v="0"/>
    <x v="4"/>
    <x v="39"/>
    <x v="9"/>
    <x v="3"/>
    <n v="0"/>
    <x v="1"/>
  </r>
  <r>
    <x v="30"/>
    <x v="1"/>
    <x v="303"/>
    <x v="0"/>
    <x v="4"/>
    <x v="39"/>
    <x v="9"/>
    <x v="4"/>
    <n v="1905"/>
    <x v="1"/>
  </r>
  <r>
    <x v="30"/>
    <x v="1"/>
    <x v="303"/>
    <x v="0"/>
    <x v="4"/>
    <x v="39"/>
    <x v="9"/>
    <x v="5"/>
    <n v="0"/>
    <x v="1"/>
  </r>
  <r>
    <x v="30"/>
    <x v="1"/>
    <x v="303"/>
    <x v="0"/>
    <x v="4"/>
    <x v="39"/>
    <x v="9"/>
    <x v="6"/>
    <n v="0"/>
    <x v="1"/>
  </r>
  <r>
    <x v="30"/>
    <x v="1"/>
    <x v="303"/>
    <x v="0"/>
    <x v="4"/>
    <x v="39"/>
    <x v="9"/>
    <x v="7"/>
    <n v="0"/>
    <x v="1"/>
  </r>
  <r>
    <x v="30"/>
    <x v="1"/>
    <x v="303"/>
    <x v="0"/>
    <x v="4"/>
    <x v="39"/>
    <x v="9"/>
    <x v="8"/>
    <n v="0"/>
    <x v="1"/>
  </r>
  <r>
    <x v="30"/>
    <x v="1"/>
    <x v="303"/>
    <x v="0"/>
    <x v="4"/>
    <x v="39"/>
    <x v="9"/>
    <x v="9"/>
    <n v="0"/>
    <x v="1"/>
  </r>
  <r>
    <x v="30"/>
    <x v="1"/>
    <x v="303"/>
    <x v="0"/>
    <x v="4"/>
    <x v="39"/>
    <x v="9"/>
    <x v="10"/>
    <n v="0"/>
    <x v="1"/>
  </r>
  <r>
    <x v="30"/>
    <x v="1"/>
    <x v="303"/>
    <x v="0"/>
    <x v="4"/>
    <x v="39"/>
    <x v="9"/>
    <x v="12"/>
    <n v="0"/>
    <x v="1"/>
  </r>
  <r>
    <x v="30"/>
    <x v="1"/>
    <x v="304"/>
    <x v="0"/>
    <x v="4"/>
    <x v="39"/>
    <x v="0"/>
    <x v="0"/>
    <n v="0"/>
    <x v="1"/>
  </r>
  <r>
    <x v="30"/>
    <x v="1"/>
    <x v="304"/>
    <x v="0"/>
    <x v="4"/>
    <x v="39"/>
    <x v="0"/>
    <x v="1"/>
    <n v="0"/>
    <x v="1"/>
  </r>
  <r>
    <x v="30"/>
    <x v="1"/>
    <x v="304"/>
    <x v="0"/>
    <x v="4"/>
    <x v="39"/>
    <x v="0"/>
    <x v="2"/>
    <n v="0"/>
    <x v="1"/>
  </r>
  <r>
    <x v="30"/>
    <x v="1"/>
    <x v="304"/>
    <x v="0"/>
    <x v="4"/>
    <x v="39"/>
    <x v="0"/>
    <x v="3"/>
    <n v="0"/>
    <x v="1"/>
  </r>
  <r>
    <x v="30"/>
    <x v="1"/>
    <x v="304"/>
    <x v="0"/>
    <x v="4"/>
    <x v="39"/>
    <x v="0"/>
    <x v="4"/>
    <n v="0"/>
    <x v="1"/>
  </r>
  <r>
    <x v="30"/>
    <x v="1"/>
    <x v="304"/>
    <x v="0"/>
    <x v="4"/>
    <x v="39"/>
    <x v="0"/>
    <x v="5"/>
    <n v="634"/>
    <x v="1"/>
  </r>
  <r>
    <x v="30"/>
    <x v="1"/>
    <x v="304"/>
    <x v="0"/>
    <x v="4"/>
    <x v="39"/>
    <x v="0"/>
    <x v="6"/>
    <n v="0"/>
    <x v="1"/>
  </r>
  <r>
    <x v="30"/>
    <x v="1"/>
    <x v="304"/>
    <x v="0"/>
    <x v="4"/>
    <x v="39"/>
    <x v="0"/>
    <x v="7"/>
    <n v="0"/>
    <x v="1"/>
  </r>
  <r>
    <x v="30"/>
    <x v="1"/>
    <x v="304"/>
    <x v="0"/>
    <x v="4"/>
    <x v="39"/>
    <x v="0"/>
    <x v="8"/>
    <n v="0"/>
    <x v="1"/>
  </r>
  <r>
    <x v="30"/>
    <x v="1"/>
    <x v="304"/>
    <x v="0"/>
    <x v="4"/>
    <x v="39"/>
    <x v="0"/>
    <x v="9"/>
    <n v="0"/>
    <x v="1"/>
  </r>
  <r>
    <x v="30"/>
    <x v="1"/>
    <x v="304"/>
    <x v="0"/>
    <x v="4"/>
    <x v="39"/>
    <x v="0"/>
    <x v="10"/>
    <n v="0"/>
    <x v="1"/>
  </r>
  <r>
    <x v="30"/>
    <x v="1"/>
    <x v="304"/>
    <x v="0"/>
    <x v="4"/>
    <x v="39"/>
    <x v="0"/>
    <x v="12"/>
    <n v="0"/>
    <x v="1"/>
  </r>
  <r>
    <x v="30"/>
    <x v="1"/>
    <x v="305"/>
    <x v="0"/>
    <x v="4"/>
    <x v="39"/>
    <x v="9"/>
    <x v="0"/>
    <n v="0"/>
    <x v="1"/>
  </r>
  <r>
    <x v="30"/>
    <x v="1"/>
    <x v="305"/>
    <x v="0"/>
    <x v="4"/>
    <x v="39"/>
    <x v="9"/>
    <x v="1"/>
    <n v="0"/>
    <x v="1"/>
  </r>
  <r>
    <x v="30"/>
    <x v="1"/>
    <x v="305"/>
    <x v="0"/>
    <x v="4"/>
    <x v="39"/>
    <x v="9"/>
    <x v="2"/>
    <n v="0"/>
    <x v="1"/>
  </r>
  <r>
    <x v="30"/>
    <x v="1"/>
    <x v="305"/>
    <x v="0"/>
    <x v="4"/>
    <x v="39"/>
    <x v="9"/>
    <x v="3"/>
    <n v="0"/>
    <x v="1"/>
  </r>
  <r>
    <x v="30"/>
    <x v="1"/>
    <x v="305"/>
    <x v="0"/>
    <x v="4"/>
    <x v="39"/>
    <x v="9"/>
    <x v="4"/>
    <n v="0"/>
    <x v="1"/>
  </r>
  <r>
    <x v="30"/>
    <x v="1"/>
    <x v="305"/>
    <x v="0"/>
    <x v="4"/>
    <x v="39"/>
    <x v="9"/>
    <x v="5"/>
    <n v="335.28"/>
    <x v="1"/>
  </r>
  <r>
    <x v="30"/>
    <x v="1"/>
    <x v="305"/>
    <x v="0"/>
    <x v="4"/>
    <x v="39"/>
    <x v="9"/>
    <x v="6"/>
    <n v="0"/>
    <x v="1"/>
  </r>
  <r>
    <x v="30"/>
    <x v="1"/>
    <x v="305"/>
    <x v="0"/>
    <x v="4"/>
    <x v="39"/>
    <x v="9"/>
    <x v="7"/>
    <n v="0"/>
    <x v="1"/>
  </r>
  <r>
    <x v="30"/>
    <x v="1"/>
    <x v="305"/>
    <x v="0"/>
    <x v="4"/>
    <x v="39"/>
    <x v="9"/>
    <x v="8"/>
    <n v="0"/>
    <x v="1"/>
  </r>
  <r>
    <x v="30"/>
    <x v="1"/>
    <x v="305"/>
    <x v="0"/>
    <x v="4"/>
    <x v="39"/>
    <x v="9"/>
    <x v="9"/>
    <n v="0"/>
    <x v="1"/>
  </r>
  <r>
    <x v="30"/>
    <x v="1"/>
    <x v="305"/>
    <x v="0"/>
    <x v="4"/>
    <x v="39"/>
    <x v="9"/>
    <x v="10"/>
    <n v="0"/>
    <x v="1"/>
  </r>
  <r>
    <x v="30"/>
    <x v="1"/>
    <x v="305"/>
    <x v="0"/>
    <x v="4"/>
    <x v="39"/>
    <x v="9"/>
    <x v="12"/>
    <n v="0"/>
    <x v="1"/>
  </r>
  <r>
    <x v="30"/>
    <x v="1"/>
    <x v="304"/>
    <x v="0"/>
    <x v="4"/>
    <x v="39"/>
    <x v="0"/>
    <x v="0"/>
    <n v="0"/>
    <x v="1"/>
  </r>
  <r>
    <x v="30"/>
    <x v="1"/>
    <x v="304"/>
    <x v="0"/>
    <x v="4"/>
    <x v="39"/>
    <x v="0"/>
    <x v="1"/>
    <n v="0"/>
    <x v="1"/>
  </r>
  <r>
    <x v="30"/>
    <x v="1"/>
    <x v="304"/>
    <x v="0"/>
    <x v="4"/>
    <x v="39"/>
    <x v="0"/>
    <x v="2"/>
    <n v="0"/>
    <x v="1"/>
  </r>
  <r>
    <x v="30"/>
    <x v="1"/>
    <x v="304"/>
    <x v="0"/>
    <x v="4"/>
    <x v="39"/>
    <x v="0"/>
    <x v="3"/>
    <n v="0"/>
    <x v="1"/>
  </r>
  <r>
    <x v="30"/>
    <x v="1"/>
    <x v="304"/>
    <x v="0"/>
    <x v="4"/>
    <x v="39"/>
    <x v="0"/>
    <x v="4"/>
    <n v="0"/>
    <x v="1"/>
  </r>
  <r>
    <x v="30"/>
    <x v="1"/>
    <x v="304"/>
    <x v="0"/>
    <x v="4"/>
    <x v="39"/>
    <x v="0"/>
    <x v="5"/>
    <n v="235"/>
    <x v="1"/>
  </r>
  <r>
    <x v="30"/>
    <x v="1"/>
    <x v="304"/>
    <x v="0"/>
    <x v="4"/>
    <x v="39"/>
    <x v="0"/>
    <x v="6"/>
    <n v="0"/>
    <x v="1"/>
  </r>
  <r>
    <x v="30"/>
    <x v="1"/>
    <x v="304"/>
    <x v="0"/>
    <x v="4"/>
    <x v="39"/>
    <x v="0"/>
    <x v="7"/>
    <n v="0"/>
    <x v="1"/>
  </r>
  <r>
    <x v="30"/>
    <x v="1"/>
    <x v="304"/>
    <x v="0"/>
    <x v="4"/>
    <x v="39"/>
    <x v="0"/>
    <x v="8"/>
    <n v="0"/>
    <x v="1"/>
  </r>
  <r>
    <x v="30"/>
    <x v="1"/>
    <x v="304"/>
    <x v="0"/>
    <x v="4"/>
    <x v="39"/>
    <x v="0"/>
    <x v="9"/>
    <n v="0"/>
    <x v="1"/>
  </r>
  <r>
    <x v="30"/>
    <x v="1"/>
    <x v="304"/>
    <x v="0"/>
    <x v="4"/>
    <x v="39"/>
    <x v="0"/>
    <x v="10"/>
    <n v="0"/>
    <x v="1"/>
  </r>
  <r>
    <x v="30"/>
    <x v="1"/>
    <x v="304"/>
    <x v="0"/>
    <x v="4"/>
    <x v="39"/>
    <x v="0"/>
    <x v="12"/>
    <n v="0"/>
    <x v="1"/>
  </r>
  <r>
    <x v="30"/>
    <x v="1"/>
    <x v="306"/>
    <x v="0"/>
    <x v="4"/>
    <x v="39"/>
    <x v="0"/>
    <x v="0"/>
    <n v="0"/>
    <x v="1"/>
  </r>
  <r>
    <x v="30"/>
    <x v="1"/>
    <x v="306"/>
    <x v="0"/>
    <x v="4"/>
    <x v="39"/>
    <x v="0"/>
    <x v="1"/>
    <n v="0"/>
    <x v="1"/>
  </r>
  <r>
    <x v="30"/>
    <x v="1"/>
    <x v="306"/>
    <x v="0"/>
    <x v="4"/>
    <x v="39"/>
    <x v="0"/>
    <x v="2"/>
    <n v="0"/>
    <x v="1"/>
  </r>
  <r>
    <x v="30"/>
    <x v="1"/>
    <x v="306"/>
    <x v="0"/>
    <x v="4"/>
    <x v="39"/>
    <x v="0"/>
    <x v="3"/>
    <n v="0"/>
    <x v="1"/>
  </r>
  <r>
    <x v="30"/>
    <x v="1"/>
    <x v="306"/>
    <x v="0"/>
    <x v="4"/>
    <x v="39"/>
    <x v="0"/>
    <x v="4"/>
    <n v="0"/>
    <x v="1"/>
  </r>
  <r>
    <x v="30"/>
    <x v="1"/>
    <x v="306"/>
    <x v="0"/>
    <x v="4"/>
    <x v="39"/>
    <x v="0"/>
    <x v="5"/>
    <n v="328"/>
    <x v="1"/>
  </r>
  <r>
    <x v="30"/>
    <x v="1"/>
    <x v="306"/>
    <x v="0"/>
    <x v="4"/>
    <x v="39"/>
    <x v="0"/>
    <x v="6"/>
    <n v="0"/>
    <x v="1"/>
  </r>
  <r>
    <x v="30"/>
    <x v="1"/>
    <x v="306"/>
    <x v="0"/>
    <x v="4"/>
    <x v="39"/>
    <x v="0"/>
    <x v="7"/>
    <n v="0"/>
    <x v="1"/>
  </r>
  <r>
    <x v="30"/>
    <x v="1"/>
    <x v="306"/>
    <x v="0"/>
    <x v="4"/>
    <x v="39"/>
    <x v="0"/>
    <x v="8"/>
    <n v="0"/>
    <x v="1"/>
  </r>
  <r>
    <x v="30"/>
    <x v="1"/>
    <x v="306"/>
    <x v="0"/>
    <x v="4"/>
    <x v="39"/>
    <x v="0"/>
    <x v="9"/>
    <n v="0"/>
    <x v="1"/>
  </r>
  <r>
    <x v="30"/>
    <x v="1"/>
    <x v="306"/>
    <x v="0"/>
    <x v="4"/>
    <x v="39"/>
    <x v="0"/>
    <x v="10"/>
    <n v="0"/>
    <x v="1"/>
  </r>
  <r>
    <x v="30"/>
    <x v="1"/>
    <x v="306"/>
    <x v="0"/>
    <x v="4"/>
    <x v="39"/>
    <x v="0"/>
    <x v="12"/>
    <n v="0"/>
    <x v="1"/>
  </r>
  <r>
    <x v="30"/>
    <x v="1"/>
    <x v="307"/>
    <x v="0"/>
    <x v="4"/>
    <x v="39"/>
    <x v="9"/>
    <x v="0"/>
    <n v="0"/>
    <x v="1"/>
  </r>
  <r>
    <x v="30"/>
    <x v="1"/>
    <x v="307"/>
    <x v="0"/>
    <x v="4"/>
    <x v="39"/>
    <x v="9"/>
    <x v="1"/>
    <n v="0"/>
    <x v="1"/>
  </r>
  <r>
    <x v="30"/>
    <x v="1"/>
    <x v="307"/>
    <x v="0"/>
    <x v="4"/>
    <x v="39"/>
    <x v="9"/>
    <x v="2"/>
    <n v="0"/>
    <x v="1"/>
  </r>
  <r>
    <x v="30"/>
    <x v="1"/>
    <x v="307"/>
    <x v="0"/>
    <x v="4"/>
    <x v="39"/>
    <x v="9"/>
    <x v="3"/>
    <n v="0"/>
    <x v="1"/>
  </r>
  <r>
    <x v="30"/>
    <x v="1"/>
    <x v="307"/>
    <x v="0"/>
    <x v="4"/>
    <x v="39"/>
    <x v="9"/>
    <x v="4"/>
    <n v="0"/>
    <x v="1"/>
  </r>
  <r>
    <x v="30"/>
    <x v="1"/>
    <x v="307"/>
    <x v="0"/>
    <x v="4"/>
    <x v="39"/>
    <x v="9"/>
    <x v="5"/>
    <n v="555"/>
    <x v="1"/>
  </r>
  <r>
    <x v="30"/>
    <x v="1"/>
    <x v="307"/>
    <x v="0"/>
    <x v="4"/>
    <x v="39"/>
    <x v="9"/>
    <x v="6"/>
    <n v="0"/>
    <x v="1"/>
  </r>
  <r>
    <x v="30"/>
    <x v="1"/>
    <x v="307"/>
    <x v="0"/>
    <x v="4"/>
    <x v="39"/>
    <x v="9"/>
    <x v="7"/>
    <n v="0"/>
    <x v="1"/>
  </r>
  <r>
    <x v="30"/>
    <x v="1"/>
    <x v="307"/>
    <x v="0"/>
    <x v="4"/>
    <x v="39"/>
    <x v="9"/>
    <x v="8"/>
    <n v="0"/>
    <x v="1"/>
  </r>
  <r>
    <x v="30"/>
    <x v="1"/>
    <x v="307"/>
    <x v="0"/>
    <x v="4"/>
    <x v="39"/>
    <x v="9"/>
    <x v="9"/>
    <n v="0"/>
    <x v="1"/>
  </r>
  <r>
    <x v="30"/>
    <x v="1"/>
    <x v="307"/>
    <x v="0"/>
    <x v="4"/>
    <x v="39"/>
    <x v="9"/>
    <x v="10"/>
    <n v="0"/>
    <x v="1"/>
  </r>
  <r>
    <x v="30"/>
    <x v="1"/>
    <x v="307"/>
    <x v="0"/>
    <x v="4"/>
    <x v="39"/>
    <x v="9"/>
    <x v="12"/>
    <n v="0"/>
    <x v="1"/>
  </r>
  <r>
    <x v="30"/>
    <x v="1"/>
    <x v="308"/>
    <x v="0"/>
    <x v="4"/>
    <x v="39"/>
    <x v="0"/>
    <x v="0"/>
    <n v="0"/>
    <x v="1"/>
  </r>
  <r>
    <x v="30"/>
    <x v="1"/>
    <x v="308"/>
    <x v="0"/>
    <x v="4"/>
    <x v="39"/>
    <x v="0"/>
    <x v="1"/>
    <n v="0"/>
    <x v="1"/>
  </r>
  <r>
    <x v="30"/>
    <x v="1"/>
    <x v="308"/>
    <x v="0"/>
    <x v="4"/>
    <x v="39"/>
    <x v="0"/>
    <x v="2"/>
    <n v="0"/>
    <x v="1"/>
  </r>
  <r>
    <x v="30"/>
    <x v="1"/>
    <x v="308"/>
    <x v="0"/>
    <x v="4"/>
    <x v="39"/>
    <x v="0"/>
    <x v="3"/>
    <n v="0"/>
    <x v="1"/>
  </r>
  <r>
    <x v="30"/>
    <x v="1"/>
    <x v="308"/>
    <x v="0"/>
    <x v="4"/>
    <x v="39"/>
    <x v="0"/>
    <x v="4"/>
    <n v="0"/>
    <x v="1"/>
  </r>
  <r>
    <x v="30"/>
    <x v="1"/>
    <x v="308"/>
    <x v="0"/>
    <x v="4"/>
    <x v="39"/>
    <x v="0"/>
    <x v="5"/>
    <n v="179"/>
    <x v="1"/>
  </r>
  <r>
    <x v="30"/>
    <x v="1"/>
    <x v="308"/>
    <x v="0"/>
    <x v="4"/>
    <x v="39"/>
    <x v="0"/>
    <x v="6"/>
    <n v="0"/>
    <x v="1"/>
  </r>
  <r>
    <x v="30"/>
    <x v="1"/>
    <x v="308"/>
    <x v="0"/>
    <x v="4"/>
    <x v="39"/>
    <x v="0"/>
    <x v="7"/>
    <n v="0"/>
    <x v="1"/>
  </r>
  <r>
    <x v="30"/>
    <x v="1"/>
    <x v="308"/>
    <x v="0"/>
    <x v="4"/>
    <x v="39"/>
    <x v="0"/>
    <x v="8"/>
    <n v="0"/>
    <x v="1"/>
  </r>
  <r>
    <x v="30"/>
    <x v="1"/>
    <x v="308"/>
    <x v="0"/>
    <x v="4"/>
    <x v="39"/>
    <x v="0"/>
    <x v="9"/>
    <n v="0"/>
    <x v="1"/>
  </r>
  <r>
    <x v="30"/>
    <x v="1"/>
    <x v="308"/>
    <x v="0"/>
    <x v="4"/>
    <x v="39"/>
    <x v="0"/>
    <x v="10"/>
    <n v="0"/>
    <x v="1"/>
  </r>
  <r>
    <x v="30"/>
    <x v="1"/>
    <x v="308"/>
    <x v="0"/>
    <x v="4"/>
    <x v="39"/>
    <x v="0"/>
    <x v="12"/>
    <n v="0"/>
    <x v="1"/>
  </r>
  <r>
    <x v="30"/>
    <x v="1"/>
    <x v="309"/>
    <x v="0"/>
    <x v="4"/>
    <x v="39"/>
    <x v="0"/>
    <x v="0"/>
    <n v="0"/>
    <x v="1"/>
  </r>
  <r>
    <x v="30"/>
    <x v="1"/>
    <x v="309"/>
    <x v="0"/>
    <x v="4"/>
    <x v="39"/>
    <x v="0"/>
    <x v="1"/>
    <n v="0"/>
    <x v="1"/>
  </r>
  <r>
    <x v="30"/>
    <x v="1"/>
    <x v="309"/>
    <x v="0"/>
    <x v="4"/>
    <x v="39"/>
    <x v="0"/>
    <x v="2"/>
    <n v="0"/>
    <x v="1"/>
  </r>
  <r>
    <x v="30"/>
    <x v="1"/>
    <x v="309"/>
    <x v="0"/>
    <x v="4"/>
    <x v="39"/>
    <x v="0"/>
    <x v="3"/>
    <n v="0"/>
    <x v="1"/>
  </r>
  <r>
    <x v="30"/>
    <x v="1"/>
    <x v="309"/>
    <x v="0"/>
    <x v="4"/>
    <x v="39"/>
    <x v="0"/>
    <x v="4"/>
    <n v="0"/>
    <x v="1"/>
  </r>
  <r>
    <x v="30"/>
    <x v="1"/>
    <x v="309"/>
    <x v="0"/>
    <x v="4"/>
    <x v="39"/>
    <x v="0"/>
    <x v="5"/>
    <n v="0"/>
    <x v="1"/>
  </r>
  <r>
    <x v="30"/>
    <x v="1"/>
    <x v="309"/>
    <x v="0"/>
    <x v="4"/>
    <x v="39"/>
    <x v="0"/>
    <x v="6"/>
    <n v="0"/>
    <x v="1"/>
  </r>
  <r>
    <x v="30"/>
    <x v="1"/>
    <x v="309"/>
    <x v="0"/>
    <x v="4"/>
    <x v="39"/>
    <x v="0"/>
    <x v="7"/>
    <n v="386"/>
    <x v="1"/>
  </r>
  <r>
    <x v="30"/>
    <x v="1"/>
    <x v="309"/>
    <x v="0"/>
    <x v="4"/>
    <x v="39"/>
    <x v="0"/>
    <x v="8"/>
    <n v="0"/>
    <x v="1"/>
  </r>
  <r>
    <x v="30"/>
    <x v="1"/>
    <x v="309"/>
    <x v="0"/>
    <x v="4"/>
    <x v="39"/>
    <x v="0"/>
    <x v="9"/>
    <n v="0"/>
    <x v="1"/>
  </r>
  <r>
    <x v="30"/>
    <x v="1"/>
    <x v="309"/>
    <x v="0"/>
    <x v="4"/>
    <x v="39"/>
    <x v="0"/>
    <x v="10"/>
    <n v="0"/>
    <x v="1"/>
  </r>
  <r>
    <x v="30"/>
    <x v="1"/>
    <x v="309"/>
    <x v="0"/>
    <x v="4"/>
    <x v="39"/>
    <x v="0"/>
    <x v="12"/>
    <n v="0"/>
    <x v="1"/>
  </r>
  <r>
    <x v="30"/>
    <x v="1"/>
    <x v="310"/>
    <x v="0"/>
    <x v="4"/>
    <x v="39"/>
    <x v="0"/>
    <x v="0"/>
    <n v="0"/>
    <x v="1"/>
  </r>
  <r>
    <x v="30"/>
    <x v="1"/>
    <x v="310"/>
    <x v="0"/>
    <x v="4"/>
    <x v="39"/>
    <x v="0"/>
    <x v="1"/>
    <n v="0"/>
    <x v="1"/>
  </r>
  <r>
    <x v="30"/>
    <x v="1"/>
    <x v="310"/>
    <x v="0"/>
    <x v="4"/>
    <x v="39"/>
    <x v="0"/>
    <x v="2"/>
    <n v="0"/>
    <x v="1"/>
  </r>
  <r>
    <x v="30"/>
    <x v="1"/>
    <x v="310"/>
    <x v="0"/>
    <x v="4"/>
    <x v="39"/>
    <x v="0"/>
    <x v="3"/>
    <n v="0"/>
    <x v="1"/>
  </r>
  <r>
    <x v="30"/>
    <x v="1"/>
    <x v="310"/>
    <x v="0"/>
    <x v="4"/>
    <x v="39"/>
    <x v="0"/>
    <x v="4"/>
    <n v="0"/>
    <x v="1"/>
  </r>
  <r>
    <x v="30"/>
    <x v="1"/>
    <x v="310"/>
    <x v="0"/>
    <x v="4"/>
    <x v="39"/>
    <x v="0"/>
    <x v="5"/>
    <n v="0"/>
    <x v="1"/>
  </r>
  <r>
    <x v="30"/>
    <x v="1"/>
    <x v="310"/>
    <x v="0"/>
    <x v="4"/>
    <x v="39"/>
    <x v="0"/>
    <x v="6"/>
    <n v="0"/>
    <x v="1"/>
  </r>
  <r>
    <x v="30"/>
    <x v="1"/>
    <x v="310"/>
    <x v="0"/>
    <x v="4"/>
    <x v="39"/>
    <x v="0"/>
    <x v="7"/>
    <n v="723"/>
    <x v="1"/>
  </r>
  <r>
    <x v="30"/>
    <x v="1"/>
    <x v="310"/>
    <x v="0"/>
    <x v="4"/>
    <x v="39"/>
    <x v="0"/>
    <x v="8"/>
    <n v="0"/>
    <x v="1"/>
  </r>
  <r>
    <x v="30"/>
    <x v="1"/>
    <x v="310"/>
    <x v="0"/>
    <x v="4"/>
    <x v="39"/>
    <x v="0"/>
    <x v="9"/>
    <n v="0"/>
    <x v="1"/>
  </r>
  <r>
    <x v="30"/>
    <x v="1"/>
    <x v="310"/>
    <x v="0"/>
    <x v="4"/>
    <x v="39"/>
    <x v="0"/>
    <x v="10"/>
    <n v="0"/>
    <x v="1"/>
  </r>
  <r>
    <x v="30"/>
    <x v="1"/>
    <x v="310"/>
    <x v="0"/>
    <x v="4"/>
    <x v="39"/>
    <x v="0"/>
    <x v="12"/>
    <n v="0"/>
    <x v="1"/>
  </r>
  <r>
    <x v="30"/>
    <x v="1"/>
    <x v="311"/>
    <x v="0"/>
    <x v="4"/>
    <x v="39"/>
    <x v="0"/>
    <x v="0"/>
    <n v="0"/>
    <x v="1"/>
  </r>
  <r>
    <x v="30"/>
    <x v="1"/>
    <x v="311"/>
    <x v="0"/>
    <x v="4"/>
    <x v="39"/>
    <x v="0"/>
    <x v="1"/>
    <n v="0"/>
    <x v="1"/>
  </r>
  <r>
    <x v="30"/>
    <x v="1"/>
    <x v="311"/>
    <x v="0"/>
    <x v="4"/>
    <x v="39"/>
    <x v="0"/>
    <x v="2"/>
    <n v="0"/>
    <x v="1"/>
  </r>
  <r>
    <x v="30"/>
    <x v="1"/>
    <x v="311"/>
    <x v="0"/>
    <x v="4"/>
    <x v="39"/>
    <x v="0"/>
    <x v="3"/>
    <n v="0"/>
    <x v="1"/>
  </r>
  <r>
    <x v="30"/>
    <x v="1"/>
    <x v="311"/>
    <x v="0"/>
    <x v="4"/>
    <x v="39"/>
    <x v="0"/>
    <x v="4"/>
    <n v="0"/>
    <x v="1"/>
  </r>
  <r>
    <x v="30"/>
    <x v="1"/>
    <x v="311"/>
    <x v="0"/>
    <x v="4"/>
    <x v="39"/>
    <x v="0"/>
    <x v="5"/>
    <n v="0"/>
    <x v="1"/>
  </r>
  <r>
    <x v="30"/>
    <x v="1"/>
    <x v="311"/>
    <x v="0"/>
    <x v="4"/>
    <x v="39"/>
    <x v="0"/>
    <x v="6"/>
    <n v="0"/>
    <x v="1"/>
  </r>
  <r>
    <x v="30"/>
    <x v="1"/>
    <x v="311"/>
    <x v="0"/>
    <x v="4"/>
    <x v="39"/>
    <x v="0"/>
    <x v="7"/>
    <n v="899"/>
    <x v="1"/>
  </r>
  <r>
    <x v="30"/>
    <x v="1"/>
    <x v="311"/>
    <x v="0"/>
    <x v="4"/>
    <x v="39"/>
    <x v="0"/>
    <x v="8"/>
    <n v="0"/>
    <x v="1"/>
  </r>
  <r>
    <x v="30"/>
    <x v="1"/>
    <x v="311"/>
    <x v="0"/>
    <x v="4"/>
    <x v="39"/>
    <x v="0"/>
    <x v="9"/>
    <n v="0"/>
    <x v="1"/>
  </r>
  <r>
    <x v="30"/>
    <x v="1"/>
    <x v="311"/>
    <x v="0"/>
    <x v="4"/>
    <x v="39"/>
    <x v="0"/>
    <x v="10"/>
    <n v="0"/>
    <x v="1"/>
  </r>
  <r>
    <x v="30"/>
    <x v="1"/>
    <x v="311"/>
    <x v="0"/>
    <x v="4"/>
    <x v="39"/>
    <x v="0"/>
    <x v="12"/>
    <n v="0"/>
    <x v="1"/>
  </r>
  <r>
    <x v="30"/>
    <x v="1"/>
    <x v="305"/>
    <x v="0"/>
    <x v="4"/>
    <x v="39"/>
    <x v="0"/>
    <x v="0"/>
    <n v="0"/>
    <x v="1"/>
  </r>
  <r>
    <x v="30"/>
    <x v="1"/>
    <x v="305"/>
    <x v="0"/>
    <x v="4"/>
    <x v="39"/>
    <x v="0"/>
    <x v="1"/>
    <n v="0"/>
    <x v="1"/>
  </r>
  <r>
    <x v="30"/>
    <x v="1"/>
    <x v="305"/>
    <x v="0"/>
    <x v="4"/>
    <x v="39"/>
    <x v="0"/>
    <x v="2"/>
    <n v="0"/>
    <x v="1"/>
  </r>
  <r>
    <x v="30"/>
    <x v="1"/>
    <x v="305"/>
    <x v="0"/>
    <x v="4"/>
    <x v="39"/>
    <x v="0"/>
    <x v="3"/>
    <n v="0"/>
    <x v="1"/>
  </r>
  <r>
    <x v="30"/>
    <x v="1"/>
    <x v="305"/>
    <x v="0"/>
    <x v="4"/>
    <x v="39"/>
    <x v="0"/>
    <x v="4"/>
    <n v="0"/>
    <x v="1"/>
  </r>
  <r>
    <x v="30"/>
    <x v="1"/>
    <x v="305"/>
    <x v="0"/>
    <x v="4"/>
    <x v="39"/>
    <x v="0"/>
    <x v="5"/>
    <n v="0"/>
    <x v="1"/>
  </r>
  <r>
    <x v="30"/>
    <x v="1"/>
    <x v="305"/>
    <x v="0"/>
    <x v="4"/>
    <x v="39"/>
    <x v="0"/>
    <x v="6"/>
    <n v="0"/>
    <x v="1"/>
  </r>
  <r>
    <x v="30"/>
    <x v="1"/>
    <x v="305"/>
    <x v="0"/>
    <x v="4"/>
    <x v="39"/>
    <x v="0"/>
    <x v="7"/>
    <n v="1796"/>
    <x v="1"/>
  </r>
  <r>
    <x v="30"/>
    <x v="1"/>
    <x v="305"/>
    <x v="0"/>
    <x v="4"/>
    <x v="39"/>
    <x v="0"/>
    <x v="8"/>
    <n v="0"/>
    <x v="1"/>
  </r>
  <r>
    <x v="30"/>
    <x v="1"/>
    <x v="305"/>
    <x v="0"/>
    <x v="4"/>
    <x v="39"/>
    <x v="0"/>
    <x v="9"/>
    <n v="0"/>
    <x v="1"/>
  </r>
  <r>
    <x v="30"/>
    <x v="1"/>
    <x v="305"/>
    <x v="0"/>
    <x v="4"/>
    <x v="39"/>
    <x v="0"/>
    <x v="10"/>
    <n v="0"/>
    <x v="1"/>
  </r>
  <r>
    <x v="30"/>
    <x v="1"/>
    <x v="305"/>
    <x v="0"/>
    <x v="4"/>
    <x v="39"/>
    <x v="0"/>
    <x v="12"/>
    <n v="0"/>
    <x v="1"/>
  </r>
  <r>
    <x v="30"/>
    <x v="1"/>
    <x v="312"/>
    <x v="0"/>
    <x v="4"/>
    <x v="39"/>
    <x v="0"/>
    <x v="0"/>
    <n v="0"/>
    <x v="1"/>
  </r>
  <r>
    <x v="30"/>
    <x v="1"/>
    <x v="312"/>
    <x v="0"/>
    <x v="4"/>
    <x v="39"/>
    <x v="0"/>
    <x v="1"/>
    <n v="0"/>
    <x v="1"/>
  </r>
  <r>
    <x v="30"/>
    <x v="1"/>
    <x v="312"/>
    <x v="0"/>
    <x v="4"/>
    <x v="39"/>
    <x v="0"/>
    <x v="2"/>
    <n v="0"/>
    <x v="1"/>
  </r>
  <r>
    <x v="30"/>
    <x v="1"/>
    <x v="312"/>
    <x v="0"/>
    <x v="4"/>
    <x v="39"/>
    <x v="0"/>
    <x v="3"/>
    <n v="0"/>
    <x v="1"/>
  </r>
  <r>
    <x v="30"/>
    <x v="1"/>
    <x v="312"/>
    <x v="0"/>
    <x v="4"/>
    <x v="39"/>
    <x v="0"/>
    <x v="4"/>
    <n v="0"/>
    <x v="1"/>
  </r>
  <r>
    <x v="30"/>
    <x v="1"/>
    <x v="312"/>
    <x v="0"/>
    <x v="4"/>
    <x v="39"/>
    <x v="0"/>
    <x v="5"/>
    <n v="0"/>
    <x v="1"/>
  </r>
  <r>
    <x v="30"/>
    <x v="1"/>
    <x v="312"/>
    <x v="0"/>
    <x v="4"/>
    <x v="39"/>
    <x v="0"/>
    <x v="6"/>
    <n v="0"/>
    <x v="1"/>
  </r>
  <r>
    <x v="30"/>
    <x v="1"/>
    <x v="312"/>
    <x v="0"/>
    <x v="4"/>
    <x v="39"/>
    <x v="0"/>
    <x v="7"/>
    <n v="0"/>
    <x v="1"/>
  </r>
  <r>
    <x v="30"/>
    <x v="1"/>
    <x v="312"/>
    <x v="0"/>
    <x v="4"/>
    <x v="39"/>
    <x v="0"/>
    <x v="8"/>
    <n v="375"/>
    <x v="1"/>
  </r>
  <r>
    <x v="30"/>
    <x v="1"/>
    <x v="312"/>
    <x v="0"/>
    <x v="4"/>
    <x v="39"/>
    <x v="0"/>
    <x v="9"/>
    <n v="0"/>
    <x v="1"/>
  </r>
  <r>
    <x v="30"/>
    <x v="1"/>
    <x v="312"/>
    <x v="0"/>
    <x v="4"/>
    <x v="39"/>
    <x v="0"/>
    <x v="10"/>
    <n v="0"/>
    <x v="1"/>
  </r>
  <r>
    <x v="30"/>
    <x v="1"/>
    <x v="312"/>
    <x v="0"/>
    <x v="4"/>
    <x v="39"/>
    <x v="0"/>
    <x v="12"/>
    <n v="0"/>
    <x v="1"/>
  </r>
  <r>
    <x v="30"/>
    <x v="1"/>
    <x v="313"/>
    <x v="0"/>
    <x v="4"/>
    <x v="39"/>
    <x v="0"/>
    <x v="0"/>
    <n v="0"/>
    <x v="1"/>
  </r>
  <r>
    <x v="30"/>
    <x v="1"/>
    <x v="313"/>
    <x v="0"/>
    <x v="4"/>
    <x v="39"/>
    <x v="0"/>
    <x v="1"/>
    <n v="0"/>
    <x v="1"/>
  </r>
  <r>
    <x v="30"/>
    <x v="1"/>
    <x v="313"/>
    <x v="0"/>
    <x v="4"/>
    <x v="39"/>
    <x v="0"/>
    <x v="2"/>
    <n v="0"/>
    <x v="1"/>
  </r>
  <r>
    <x v="30"/>
    <x v="1"/>
    <x v="313"/>
    <x v="0"/>
    <x v="4"/>
    <x v="39"/>
    <x v="0"/>
    <x v="3"/>
    <n v="0"/>
    <x v="1"/>
  </r>
  <r>
    <x v="30"/>
    <x v="1"/>
    <x v="313"/>
    <x v="0"/>
    <x v="4"/>
    <x v="39"/>
    <x v="0"/>
    <x v="4"/>
    <n v="0"/>
    <x v="1"/>
  </r>
  <r>
    <x v="30"/>
    <x v="1"/>
    <x v="313"/>
    <x v="0"/>
    <x v="4"/>
    <x v="39"/>
    <x v="0"/>
    <x v="5"/>
    <n v="0"/>
    <x v="1"/>
  </r>
  <r>
    <x v="30"/>
    <x v="1"/>
    <x v="313"/>
    <x v="0"/>
    <x v="4"/>
    <x v="39"/>
    <x v="0"/>
    <x v="6"/>
    <n v="0"/>
    <x v="1"/>
  </r>
  <r>
    <x v="30"/>
    <x v="1"/>
    <x v="313"/>
    <x v="0"/>
    <x v="4"/>
    <x v="39"/>
    <x v="0"/>
    <x v="7"/>
    <n v="0"/>
    <x v="1"/>
  </r>
  <r>
    <x v="30"/>
    <x v="1"/>
    <x v="313"/>
    <x v="0"/>
    <x v="4"/>
    <x v="39"/>
    <x v="0"/>
    <x v="8"/>
    <n v="0"/>
    <x v="1"/>
  </r>
  <r>
    <x v="30"/>
    <x v="1"/>
    <x v="313"/>
    <x v="0"/>
    <x v="4"/>
    <x v="39"/>
    <x v="0"/>
    <x v="9"/>
    <n v="0"/>
    <x v="1"/>
  </r>
  <r>
    <x v="30"/>
    <x v="1"/>
    <x v="313"/>
    <x v="0"/>
    <x v="4"/>
    <x v="39"/>
    <x v="0"/>
    <x v="10"/>
    <n v="1215"/>
    <x v="1"/>
  </r>
  <r>
    <x v="30"/>
    <x v="1"/>
    <x v="313"/>
    <x v="0"/>
    <x v="4"/>
    <x v="39"/>
    <x v="0"/>
    <x v="12"/>
    <n v="1215"/>
    <x v="1"/>
  </r>
  <r>
    <x v="30"/>
    <x v="1"/>
    <x v="314"/>
    <x v="1"/>
    <x v="4"/>
    <x v="6"/>
    <x v="0"/>
    <x v="0"/>
    <n v="240"/>
    <x v="1"/>
  </r>
  <r>
    <x v="30"/>
    <x v="1"/>
    <x v="314"/>
    <x v="1"/>
    <x v="4"/>
    <x v="6"/>
    <x v="0"/>
    <x v="1"/>
    <n v="0"/>
    <x v="1"/>
  </r>
  <r>
    <x v="30"/>
    <x v="1"/>
    <x v="314"/>
    <x v="1"/>
    <x v="4"/>
    <x v="6"/>
    <x v="0"/>
    <x v="2"/>
    <n v="0"/>
    <x v="1"/>
  </r>
  <r>
    <x v="30"/>
    <x v="1"/>
    <x v="314"/>
    <x v="1"/>
    <x v="4"/>
    <x v="6"/>
    <x v="0"/>
    <x v="3"/>
    <n v="0"/>
    <x v="1"/>
  </r>
  <r>
    <x v="30"/>
    <x v="1"/>
    <x v="314"/>
    <x v="1"/>
    <x v="4"/>
    <x v="6"/>
    <x v="0"/>
    <x v="4"/>
    <n v="0"/>
    <x v="1"/>
  </r>
  <r>
    <x v="30"/>
    <x v="1"/>
    <x v="314"/>
    <x v="1"/>
    <x v="4"/>
    <x v="6"/>
    <x v="0"/>
    <x v="5"/>
    <n v="0"/>
    <x v="1"/>
  </r>
  <r>
    <x v="30"/>
    <x v="1"/>
    <x v="314"/>
    <x v="1"/>
    <x v="4"/>
    <x v="6"/>
    <x v="0"/>
    <x v="6"/>
    <n v="0"/>
    <x v="1"/>
  </r>
  <r>
    <x v="30"/>
    <x v="1"/>
    <x v="314"/>
    <x v="1"/>
    <x v="4"/>
    <x v="6"/>
    <x v="0"/>
    <x v="7"/>
    <n v="0"/>
    <x v="1"/>
  </r>
  <r>
    <x v="30"/>
    <x v="1"/>
    <x v="314"/>
    <x v="1"/>
    <x v="4"/>
    <x v="6"/>
    <x v="0"/>
    <x v="8"/>
    <n v="0"/>
    <x v="1"/>
  </r>
  <r>
    <x v="30"/>
    <x v="1"/>
    <x v="314"/>
    <x v="1"/>
    <x v="4"/>
    <x v="6"/>
    <x v="0"/>
    <x v="9"/>
    <n v="0"/>
    <x v="1"/>
  </r>
  <r>
    <x v="30"/>
    <x v="1"/>
    <x v="314"/>
    <x v="1"/>
    <x v="4"/>
    <x v="6"/>
    <x v="0"/>
    <x v="10"/>
    <n v="0"/>
    <x v="1"/>
  </r>
  <r>
    <x v="30"/>
    <x v="1"/>
    <x v="314"/>
    <x v="1"/>
    <x v="4"/>
    <x v="6"/>
    <x v="0"/>
    <x v="12"/>
    <n v="0"/>
    <x v="1"/>
  </r>
  <r>
    <x v="30"/>
    <x v="1"/>
    <x v="315"/>
    <x v="0"/>
    <x v="4"/>
    <x v="40"/>
    <x v="1"/>
    <x v="0"/>
    <n v="200"/>
    <x v="1"/>
  </r>
  <r>
    <x v="30"/>
    <x v="1"/>
    <x v="315"/>
    <x v="0"/>
    <x v="4"/>
    <x v="40"/>
    <x v="1"/>
    <x v="1"/>
    <n v="0"/>
    <x v="1"/>
  </r>
  <r>
    <x v="30"/>
    <x v="1"/>
    <x v="315"/>
    <x v="0"/>
    <x v="4"/>
    <x v="40"/>
    <x v="1"/>
    <x v="2"/>
    <n v="0"/>
    <x v="1"/>
  </r>
  <r>
    <x v="30"/>
    <x v="1"/>
    <x v="315"/>
    <x v="0"/>
    <x v="4"/>
    <x v="40"/>
    <x v="1"/>
    <x v="3"/>
    <n v="0"/>
    <x v="1"/>
  </r>
  <r>
    <x v="30"/>
    <x v="1"/>
    <x v="315"/>
    <x v="0"/>
    <x v="4"/>
    <x v="40"/>
    <x v="1"/>
    <x v="4"/>
    <n v="0"/>
    <x v="1"/>
  </r>
  <r>
    <x v="30"/>
    <x v="1"/>
    <x v="315"/>
    <x v="0"/>
    <x v="4"/>
    <x v="40"/>
    <x v="1"/>
    <x v="5"/>
    <n v="0"/>
    <x v="1"/>
  </r>
  <r>
    <x v="30"/>
    <x v="1"/>
    <x v="315"/>
    <x v="0"/>
    <x v="4"/>
    <x v="40"/>
    <x v="1"/>
    <x v="6"/>
    <n v="0"/>
    <x v="1"/>
  </r>
  <r>
    <x v="30"/>
    <x v="1"/>
    <x v="315"/>
    <x v="0"/>
    <x v="4"/>
    <x v="40"/>
    <x v="1"/>
    <x v="7"/>
    <n v="0"/>
    <x v="1"/>
  </r>
  <r>
    <x v="30"/>
    <x v="1"/>
    <x v="315"/>
    <x v="0"/>
    <x v="4"/>
    <x v="40"/>
    <x v="1"/>
    <x v="8"/>
    <n v="0"/>
    <x v="1"/>
  </r>
  <r>
    <x v="30"/>
    <x v="1"/>
    <x v="315"/>
    <x v="0"/>
    <x v="4"/>
    <x v="40"/>
    <x v="1"/>
    <x v="9"/>
    <n v="0"/>
    <x v="1"/>
  </r>
  <r>
    <x v="30"/>
    <x v="1"/>
    <x v="315"/>
    <x v="0"/>
    <x v="4"/>
    <x v="40"/>
    <x v="1"/>
    <x v="10"/>
    <n v="0"/>
    <x v="1"/>
  </r>
  <r>
    <x v="30"/>
    <x v="1"/>
    <x v="315"/>
    <x v="0"/>
    <x v="4"/>
    <x v="40"/>
    <x v="1"/>
    <x v="12"/>
    <n v="0"/>
    <x v="1"/>
  </r>
  <r>
    <x v="32"/>
    <x v="1"/>
    <x v="316"/>
    <x v="0"/>
    <x v="4"/>
    <x v="6"/>
    <x v="12"/>
    <x v="0"/>
    <n v="142.54000000000002"/>
    <x v="1"/>
  </r>
  <r>
    <x v="32"/>
    <x v="1"/>
    <x v="316"/>
    <x v="0"/>
    <x v="4"/>
    <x v="6"/>
    <x v="12"/>
    <x v="1"/>
    <n v="0"/>
    <x v="1"/>
  </r>
  <r>
    <x v="32"/>
    <x v="1"/>
    <x v="316"/>
    <x v="0"/>
    <x v="4"/>
    <x v="6"/>
    <x v="12"/>
    <x v="2"/>
    <n v="0"/>
    <x v="1"/>
  </r>
  <r>
    <x v="32"/>
    <x v="1"/>
    <x v="316"/>
    <x v="0"/>
    <x v="4"/>
    <x v="6"/>
    <x v="12"/>
    <x v="3"/>
    <n v="0"/>
    <x v="1"/>
  </r>
  <r>
    <x v="32"/>
    <x v="1"/>
    <x v="316"/>
    <x v="0"/>
    <x v="4"/>
    <x v="6"/>
    <x v="12"/>
    <x v="4"/>
    <n v="0"/>
    <x v="1"/>
  </r>
  <r>
    <x v="32"/>
    <x v="1"/>
    <x v="316"/>
    <x v="0"/>
    <x v="4"/>
    <x v="6"/>
    <x v="12"/>
    <x v="5"/>
    <n v="0"/>
    <x v="1"/>
  </r>
  <r>
    <x v="32"/>
    <x v="1"/>
    <x v="316"/>
    <x v="0"/>
    <x v="4"/>
    <x v="6"/>
    <x v="12"/>
    <x v="6"/>
    <n v="0"/>
    <x v="1"/>
  </r>
  <r>
    <x v="32"/>
    <x v="1"/>
    <x v="316"/>
    <x v="0"/>
    <x v="4"/>
    <x v="6"/>
    <x v="12"/>
    <x v="7"/>
    <n v="0"/>
    <x v="1"/>
  </r>
  <r>
    <x v="32"/>
    <x v="1"/>
    <x v="316"/>
    <x v="0"/>
    <x v="4"/>
    <x v="6"/>
    <x v="12"/>
    <x v="8"/>
    <n v="0"/>
    <x v="1"/>
  </r>
  <r>
    <x v="32"/>
    <x v="1"/>
    <x v="316"/>
    <x v="0"/>
    <x v="4"/>
    <x v="6"/>
    <x v="12"/>
    <x v="9"/>
    <n v="0"/>
    <x v="1"/>
  </r>
  <r>
    <x v="32"/>
    <x v="1"/>
    <x v="316"/>
    <x v="0"/>
    <x v="4"/>
    <x v="6"/>
    <x v="12"/>
    <x v="10"/>
    <n v="0"/>
    <x v="1"/>
  </r>
  <r>
    <x v="32"/>
    <x v="1"/>
    <x v="316"/>
    <x v="0"/>
    <x v="4"/>
    <x v="6"/>
    <x v="12"/>
    <x v="12"/>
    <n v="0"/>
    <x v="1"/>
  </r>
  <r>
    <x v="30"/>
    <x v="1"/>
    <x v="317"/>
    <x v="0"/>
    <x v="4"/>
    <x v="40"/>
    <x v="0"/>
    <x v="0"/>
    <n v="200"/>
    <x v="1"/>
  </r>
  <r>
    <x v="30"/>
    <x v="1"/>
    <x v="317"/>
    <x v="0"/>
    <x v="4"/>
    <x v="40"/>
    <x v="0"/>
    <x v="1"/>
    <n v="0"/>
    <x v="1"/>
  </r>
  <r>
    <x v="30"/>
    <x v="1"/>
    <x v="317"/>
    <x v="0"/>
    <x v="4"/>
    <x v="40"/>
    <x v="0"/>
    <x v="2"/>
    <n v="0"/>
    <x v="1"/>
  </r>
  <r>
    <x v="30"/>
    <x v="1"/>
    <x v="317"/>
    <x v="0"/>
    <x v="4"/>
    <x v="40"/>
    <x v="0"/>
    <x v="3"/>
    <n v="0"/>
    <x v="1"/>
  </r>
  <r>
    <x v="30"/>
    <x v="1"/>
    <x v="317"/>
    <x v="0"/>
    <x v="4"/>
    <x v="40"/>
    <x v="0"/>
    <x v="4"/>
    <n v="0"/>
    <x v="1"/>
  </r>
  <r>
    <x v="30"/>
    <x v="1"/>
    <x v="317"/>
    <x v="0"/>
    <x v="4"/>
    <x v="40"/>
    <x v="0"/>
    <x v="5"/>
    <n v="0"/>
    <x v="1"/>
  </r>
  <r>
    <x v="30"/>
    <x v="1"/>
    <x v="317"/>
    <x v="0"/>
    <x v="4"/>
    <x v="40"/>
    <x v="0"/>
    <x v="6"/>
    <n v="0"/>
    <x v="1"/>
  </r>
  <r>
    <x v="30"/>
    <x v="1"/>
    <x v="317"/>
    <x v="0"/>
    <x v="4"/>
    <x v="40"/>
    <x v="0"/>
    <x v="7"/>
    <n v="0"/>
    <x v="1"/>
  </r>
  <r>
    <x v="30"/>
    <x v="1"/>
    <x v="317"/>
    <x v="0"/>
    <x v="4"/>
    <x v="40"/>
    <x v="0"/>
    <x v="8"/>
    <n v="0"/>
    <x v="1"/>
  </r>
  <r>
    <x v="30"/>
    <x v="1"/>
    <x v="317"/>
    <x v="0"/>
    <x v="4"/>
    <x v="40"/>
    <x v="0"/>
    <x v="9"/>
    <n v="0"/>
    <x v="1"/>
  </r>
  <r>
    <x v="30"/>
    <x v="1"/>
    <x v="317"/>
    <x v="0"/>
    <x v="4"/>
    <x v="40"/>
    <x v="0"/>
    <x v="10"/>
    <n v="0"/>
    <x v="1"/>
  </r>
  <r>
    <x v="30"/>
    <x v="1"/>
    <x v="317"/>
    <x v="0"/>
    <x v="4"/>
    <x v="40"/>
    <x v="0"/>
    <x v="12"/>
    <n v="0"/>
    <x v="1"/>
  </r>
  <r>
    <x v="30"/>
    <x v="1"/>
    <x v="318"/>
    <x v="0"/>
    <x v="4"/>
    <x v="33"/>
    <x v="9"/>
    <x v="0"/>
    <n v="0"/>
    <x v="1"/>
  </r>
  <r>
    <x v="30"/>
    <x v="1"/>
    <x v="318"/>
    <x v="0"/>
    <x v="4"/>
    <x v="33"/>
    <x v="9"/>
    <x v="1"/>
    <n v="565.03"/>
    <x v="1"/>
  </r>
  <r>
    <x v="30"/>
    <x v="1"/>
    <x v="318"/>
    <x v="0"/>
    <x v="4"/>
    <x v="33"/>
    <x v="9"/>
    <x v="2"/>
    <n v="0"/>
    <x v="1"/>
  </r>
  <r>
    <x v="30"/>
    <x v="1"/>
    <x v="318"/>
    <x v="0"/>
    <x v="4"/>
    <x v="33"/>
    <x v="9"/>
    <x v="3"/>
    <n v="0"/>
    <x v="1"/>
  </r>
  <r>
    <x v="30"/>
    <x v="1"/>
    <x v="318"/>
    <x v="0"/>
    <x v="4"/>
    <x v="33"/>
    <x v="9"/>
    <x v="4"/>
    <n v="0"/>
    <x v="1"/>
  </r>
  <r>
    <x v="30"/>
    <x v="1"/>
    <x v="318"/>
    <x v="0"/>
    <x v="4"/>
    <x v="33"/>
    <x v="9"/>
    <x v="5"/>
    <n v="0"/>
    <x v="1"/>
  </r>
  <r>
    <x v="30"/>
    <x v="1"/>
    <x v="318"/>
    <x v="0"/>
    <x v="4"/>
    <x v="33"/>
    <x v="9"/>
    <x v="6"/>
    <n v="0"/>
    <x v="1"/>
  </r>
  <r>
    <x v="30"/>
    <x v="1"/>
    <x v="318"/>
    <x v="0"/>
    <x v="4"/>
    <x v="33"/>
    <x v="9"/>
    <x v="7"/>
    <n v="0"/>
    <x v="1"/>
  </r>
  <r>
    <x v="30"/>
    <x v="1"/>
    <x v="318"/>
    <x v="0"/>
    <x v="4"/>
    <x v="33"/>
    <x v="9"/>
    <x v="8"/>
    <n v="0"/>
    <x v="1"/>
  </r>
  <r>
    <x v="30"/>
    <x v="1"/>
    <x v="318"/>
    <x v="0"/>
    <x v="4"/>
    <x v="33"/>
    <x v="9"/>
    <x v="9"/>
    <n v="0"/>
    <x v="1"/>
  </r>
  <r>
    <x v="30"/>
    <x v="1"/>
    <x v="318"/>
    <x v="0"/>
    <x v="4"/>
    <x v="33"/>
    <x v="9"/>
    <x v="10"/>
    <n v="0"/>
    <x v="1"/>
  </r>
  <r>
    <x v="30"/>
    <x v="1"/>
    <x v="318"/>
    <x v="0"/>
    <x v="4"/>
    <x v="33"/>
    <x v="9"/>
    <x v="12"/>
    <n v="0"/>
    <x v="1"/>
  </r>
  <r>
    <x v="30"/>
    <x v="1"/>
    <x v="319"/>
    <x v="1"/>
    <x v="4"/>
    <x v="6"/>
    <x v="0"/>
    <x v="0"/>
    <n v="0"/>
    <x v="1"/>
  </r>
  <r>
    <x v="30"/>
    <x v="1"/>
    <x v="319"/>
    <x v="1"/>
    <x v="4"/>
    <x v="6"/>
    <x v="0"/>
    <x v="1"/>
    <n v="0"/>
    <x v="1"/>
  </r>
  <r>
    <x v="30"/>
    <x v="1"/>
    <x v="319"/>
    <x v="1"/>
    <x v="4"/>
    <x v="6"/>
    <x v="0"/>
    <x v="2"/>
    <n v="266.04000000000002"/>
    <x v="1"/>
  </r>
  <r>
    <x v="30"/>
    <x v="1"/>
    <x v="319"/>
    <x v="1"/>
    <x v="4"/>
    <x v="6"/>
    <x v="0"/>
    <x v="3"/>
    <n v="0"/>
    <x v="1"/>
  </r>
  <r>
    <x v="30"/>
    <x v="1"/>
    <x v="319"/>
    <x v="1"/>
    <x v="4"/>
    <x v="6"/>
    <x v="0"/>
    <x v="4"/>
    <n v="0"/>
    <x v="1"/>
  </r>
  <r>
    <x v="30"/>
    <x v="1"/>
    <x v="319"/>
    <x v="1"/>
    <x v="4"/>
    <x v="6"/>
    <x v="0"/>
    <x v="5"/>
    <n v="0"/>
    <x v="1"/>
  </r>
  <r>
    <x v="30"/>
    <x v="1"/>
    <x v="319"/>
    <x v="1"/>
    <x v="4"/>
    <x v="6"/>
    <x v="0"/>
    <x v="6"/>
    <n v="0"/>
    <x v="1"/>
  </r>
  <r>
    <x v="30"/>
    <x v="1"/>
    <x v="319"/>
    <x v="1"/>
    <x v="4"/>
    <x v="6"/>
    <x v="0"/>
    <x v="7"/>
    <n v="0"/>
    <x v="1"/>
  </r>
  <r>
    <x v="30"/>
    <x v="1"/>
    <x v="319"/>
    <x v="1"/>
    <x v="4"/>
    <x v="6"/>
    <x v="0"/>
    <x v="8"/>
    <n v="0"/>
    <x v="1"/>
  </r>
  <r>
    <x v="30"/>
    <x v="1"/>
    <x v="319"/>
    <x v="1"/>
    <x v="4"/>
    <x v="6"/>
    <x v="0"/>
    <x v="9"/>
    <n v="0"/>
    <x v="1"/>
  </r>
  <r>
    <x v="30"/>
    <x v="1"/>
    <x v="319"/>
    <x v="1"/>
    <x v="4"/>
    <x v="6"/>
    <x v="0"/>
    <x v="10"/>
    <n v="0"/>
    <x v="1"/>
  </r>
  <r>
    <x v="30"/>
    <x v="1"/>
    <x v="319"/>
    <x v="1"/>
    <x v="4"/>
    <x v="6"/>
    <x v="0"/>
    <x v="12"/>
    <n v="0"/>
    <x v="1"/>
  </r>
  <r>
    <x v="30"/>
    <x v="1"/>
    <x v="320"/>
    <x v="0"/>
    <x v="4"/>
    <x v="33"/>
    <x v="13"/>
    <x v="0"/>
    <n v="0"/>
    <x v="1"/>
  </r>
  <r>
    <x v="30"/>
    <x v="1"/>
    <x v="320"/>
    <x v="0"/>
    <x v="4"/>
    <x v="33"/>
    <x v="13"/>
    <x v="1"/>
    <n v="0"/>
    <x v="1"/>
  </r>
  <r>
    <x v="30"/>
    <x v="1"/>
    <x v="320"/>
    <x v="0"/>
    <x v="4"/>
    <x v="33"/>
    <x v="13"/>
    <x v="2"/>
    <n v="85.93"/>
    <x v="1"/>
  </r>
  <r>
    <x v="30"/>
    <x v="1"/>
    <x v="320"/>
    <x v="0"/>
    <x v="4"/>
    <x v="33"/>
    <x v="13"/>
    <x v="3"/>
    <n v="0"/>
    <x v="1"/>
  </r>
  <r>
    <x v="30"/>
    <x v="1"/>
    <x v="320"/>
    <x v="0"/>
    <x v="4"/>
    <x v="33"/>
    <x v="13"/>
    <x v="4"/>
    <n v="0"/>
    <x v="1"/>
  </r>
  <r>
    <x v="30"/>
    <x v="1"/>
    <x v="320"/>
    <x v="0"/>
    <x v="4"/>
    <x v="33"/>
    <x v="13"/>
    <x v="5"/>
    <n v="0"/>
    <x v="1"/>
  </r>
  <r>
    <x v="30"/>
    <x v="1"/>
    <x v="320"/>
    <x v="0"/>
    <x v="4"/>
    <x v="33"/>
    <x v="13"/>
    <x v="6"/>
    <n v="0"/>
    <x v="1"/>
  </r>
  <r>
    <x v="30"/>
    <x v="1"/>
    <x v="320"/>
    <x v="0"/>
    <x v="4"/>
    <x v="33"/>
    <x v="13"/>
    <x v="7"/>
    <n v="0"/>
    <x v="1"/>
  </r>
  <r>
    <x v="30"/>
    <x v="1"/>
    <x v="320"/>
    <x v="0"/>
    <x v="4"/>
    <x v="33"/>
    <x v="13"/>
    <x v="8"/>
    <n v="0"/>
    <x v="1"/>
  </r>
  <r>
    <x v="30"/>
    <x v="1"/>
    <x v="320"/>
    <x v="0"/>
    <x v="4"/>
    <x v="33"/>
    <x v="13"/>
    <x v="9"/>
    <n v="0"/>
    <x v="1"/>
  </r>
  <r>
    <x v="30"/>
    <x v="1"/>
    <x v="320"/>
    <x v="0"/>
    <x v="4"/>
    <x v="33"/>
    <x v="13"/>
    <x v="10"/>
    <n v="0"/>
    <x v="1"/>
  </r>
  <r>
    <x v="30"/>
    <x v="1"/>
    <x v="320"/>
    <x v="0"/>
    <x v="4"/>
    <x v="33"/>
    <x v="13"/>
    <x v="12"/>
    <n v="0"/>
    <x v="1"/>
  </r>
  <r>
    <x v="30"/>
    <x v="1"/>
    <x v="321"/>
    <x v="0"/>
    <x v="4"/>
    <x v="33"/>
    <x v="1"/>
    <x v="0"/>
    <n v="0"/>
    <x v="1"/>
  </r>
  <r>
    <x v="30"/>
    <x v="1"/>
    <x v="321"/>
    <x v="0"/>
    <x v="4"/>
    <x v="33"/>
    <x v="1"/>
    <x v="1"/>
    <n v="0"/>
    <x v="1"/>
  </r>
  <r>
    <x v="30"/>
    <x v="1"/>
    <x v="321"/>
    <x v="0"/>
    <x v="4"/>
    <x v="33"/>
    <x v="1"/>
    <x v="2"/>
    <n v="79.930000000000007"/>
    <x v="1"/>
  </r>
  <r>
    <x v="30"/>
    <x v="1"/>
    <x v="321"/>
    <x v="0"/>
    <x v="4"/>
    <x v="33"/>
    <x v="1"/>
    <x v="3"/>
    <n v="0"/>
    <x v="1"/>
  </r>
  <r>
    <x v="30"/>
    <x v="1"/>
    <x v="321"/>
    <x v="0"/>
    <x v="4"/>
    <x v="33"/>
    <x v="1"/>
    <x v="4"/>
    <n v="0"/>
    <x v="1"/>
  </r>
  <r>
    <x v="30"/>
    <x v="1"/>
    <x v="321"/>
    <x v="0"/>
    <x v="4"/>
    <x v="33"/>
    <x v="1"/>
    <x v="5"/>
    <n v="0"/>
    <x v="1"/>
  </r>
  <r>
    <x v="30"/>
    <x v="1"/>
    <x v="321"/>
    <x v="0"/>
    <x v="4"/>
    <x v="33"/>
    <x v="1"/>
    <x v="6"/>
    <n v="0"/>
    <x v="1"/>
  </r>
  <r>
    <x v="30"/>
    <x v="1"/>
    <x v="321"/>
    <x v="0"/>
    <x v="4"/>
    <x v="33"/>
    <x v="1"/>
    <x v="7"/>
    <n v="0"/>
    <x v="1"/>
  </r>
  <r>
    <x v="30"/>
    <x v="1"/>
    <x v="321"/>
    <x v="0"/>
    <x v="4"/>
    <x v="33"/>
    <x v="1"/>
    <x v="8"/>
    <n v="0"/>
    <x v="1"/>
  </r>
  <r>
    <x v="30"/>
    <x v="1"/>
    <x v="321"/>
    <x v="0"/>
    <x v="4"/>
    <x v="33"/>
    <x v="1"/>
    <x v="9"/>
    <n v="0"/>
    <x v="1"/>
  </r>
  <r>
    <x v="30"/>
    <x v="1"/>
    <x v="321"/>
    <x v="0"/>
    <x v="4"/>
    <x v="33"/>
    <x v="1"/>
    <x v="10"/>
    <n v="0"/>
    <x v="1"/>
  </r>
  <r>
    <x v="30"/>
    <x v="1"/>
    <x v="321"/>
    <x v="0"/>
    <x v="4"/>
    <x v="33"/>
    <x v="1"/>
    <x v="12"/>
    <n v="0"/>
    <x v="1"/>
  </r>
  <r>
    <x v="30"/>
    <x v="1"/>
    <x v="322"/>
    <x v="2"/>
    <x v="4"/>
    <x v="39"/>
    <x v="0"/>
    <x v="0"/>
    <n v="0"/>
    <x v="1"/>
  </r>
  <r>
    <x v="30"/>
    <x v="1"/>
    <x v="322"/>
    <x v="2"/>
    <x v="4"/>
    <x v="39"/>
    <x v="0"/>
    <x v="1"/>
    <n v="0"/>
    <x v="1"/>
  </r>
  <r>
    <x v="30"/>
    <x v="1"/>
    <x v="322"/>
    <x v="2"/>
    <x v="4"/>
    <x v="39"/>
    <x v="0"/>
    <x v="2"/>
    <n v="0"/>
    <x v="1"/>
  </r>
  <r>
    <x v="30"/>
    <x v="1"/>
    <x v="322"/>
    <x v="2"/>
    <x v="4"/>
    <x v="39"/>
    <x v="0"/>
    <x v="3"/>
    <n v="0"/>
    <x v="1"/>
  </r>
  <r>
    <x v="30"/>
    <x v="1"/>
    <x v="322"/>
    <x v="2"/>
    <x v="4"/>
    <x v="39"/>
    <x v="0"/>
    <x v="4"/>
    <n v="807.26"/>
    <x v="1"/>
  </r>
  <r>
    <x v="30"/>
    <x v="1"/>
    <x v="322"/>
    <x v="2"/>
    <x v="4"/>
    <x v="39"/>
    <x v="0"/>
    <x v="5"/>
    <n v="0"/>
    <x v="1"/>
  </r>
  <r>
    <x v="30"/>
    <x v="1"/>
    <x v="322"/>
    <x v="2"/>
    <x v="4"/>
    <x v="39"/>
    <x v="0"/>
    <x v="6"/>
    <n v="0"/>
    <x v="1"/>
  </r>
  <r>
    <x v="30"/>
    <x v="1"/>
    <x v="322"/>
    <x v="2"/>
    <x v="4"/>
    <x v="39"/>
    <x v="0"/>
    <x v="7"/>
    <n v="0"/>
    <x v="1"/>
  </r>
  <r>
    <x v="30"/>
    <x v="1"/>
    <x v="322"/>
    <x v="2"/>
    <x v="4"/>
    <x v="39"/>
    <x v="0"/>
    <x v="8"/>
    <n v="0"/>
    <x v="1"/>
  </r>
  <r>
    <x v="30"/>
    <x v="1"/>
    <x v="322"/>
    <x v="2"/>
    <x v="4"/>
    <x v="39"/>
    <x v="0"/>
    <x v="9"/>
    <n v="0"/>
    <x v="1"/>
  </r>
  <r>
    <x v="30"/>
    <x v="1"/>
    <x v="322"/>
    <x v="2"/>
    <x v="4"/>
    <x v="39"/>
    <x v="0"/>
    <x v="10"/>
    <n v="0"/>
    <x v="1"/>
  </r>
  <r>
    <x v="30"/>
    <x v="1"/>
    <x v="322"/>
    <x v="2"/>
    <x v="4"/>
    <x v="39"/>
    <x v="0"/>
    <x v="12"/>
    <n v="0"/>
    <x v="1"/>
  </r>
  <r>
    <x v="30"/>
    <x v="1"/>
    <x v="323"/>
    <x v="0"/>
    <x v="4"/>
    <x v="6"/>
    <x v="9"/>
    <x v="0"/>
    <n v="0"/>
    <x v="1"/>
  </r>
  <r>
    <x v="30"/>
    <x v="1"/>
    <x v="323"/>
    <x v="0"/>
    <x v="4"/>
    <x v="6"/>
    <x v="9"/>
    <x v="1"/>
    <n v="0"/>
    <x v="1"/>
  </r>
  <r>
    <x v="30"/>
    <x v="1"/>
    <x v="323"/>
    <x v="0"/>
    <x v="4"/>
    <x v="6"/>
    <x v="9"/>
    <x v="2"/>
    <n v="0"/>
    <x v="1"/>
  </r>
  <r>
    <x v="30"/>
    <x v="1"/>
    <x v="323"/>
    <x v="0"/>
    <x v="4"/>
    <x v="6"/>
    <x v="9"/>
    <x v="3"/>
    <n v="0"/>
    <x v="1"/>
  </r>
  <r>
    <x v="30"/>
    <x v="1"/>
    <x v="323"/>
    <x v="0"/>
    <x v="4"/>
    <x v="6"/>
    <x v="9"/>
    <x v="4"/>
    <n v="424"/>
    <x v="1"/>
  </r>
  <r>
    <x v="30"/>
    <x v="1"/>
    <x v="323"/>
    <x v="0"/>
    <x v="4"/>
    <x v="6"/>
    <x v="9"/>
    <x v="5"/>
    <n v="0"/>
    <x v="1"/>
  </r>
  <r>
    <x v="30"/>
    <x v="1"/>
    <x v="323"/>
    <x v="0"/>
    <x v="4"/>
    <x v="6"/>
    <x v="9"/>
    <x v="6"/>
    <n v="0"/>
    <x v="1"/>
  </r>
  <r>
    <x v="30"/>
    <x v="1"/>
    <x v="323"/>
    <x v="0"/>
    <x v="4"/>
    <x v="6"/>
    <x v="9"/>
    <x v="7"/>
    <n v="0"/>
    <x v="1"/>
  </r>
  <r>
    <x v="30"/>
    <x v="1"/>
    <x v="323"/>
    <x v="0"/>
    <x v="4"/>
    <x v="6"/>
    <x v="9"/>
    <x v="8"/>
    <n v="0"/>
    <x v="1"/>
  </r>
  <r>
    <x v="30"/>
    <x v="1"/>
    <x v="323"/>
    <x v="0"/>
    <x v="4"/>
    <x v="6"/>
    <x v="9"/>
    <x v="9"/>
    <n v="0"/>
    <x v="1"/>
  </r>
  <r>
    <x v="30"/>
    <x v="1"/>
    <x v="323"/>
    <x v="0"/>
    <x v="4"/>
    <x v="6"/>
    <x v="9"/>
    <x v="10"/>
    <n v="0"/>
    <x v="1"/>
  </r>
  <r>
    <x v="30"/>
    <x v="1"/>
    <x v="323"/>
    <x v="0"/>
    <x v="4"/>
    <x v="6"/>
    <x v="9"/>
    <x v="12"/>
    <n v="0"/>
    <x v="1"/>
  </r>
  <r>
    <x v="34"/>
    <x v="1"/>
    <x v="324"/>
    <x v="0"/>
    <x v="4"/>
    <x v="6"/>
    <x v="21"/>
    <x v="0"/>
    <n v="0"/>
    <x v="1"/>
  </r>
  <r>
    <x v="34"/>
    <x v="1"/>
    <x v="324"/>
    <x v="0"/>
    <x v="4"/>
    <x v="6"/>
    <x v="21"/>
    <x v="1"/>
    <n v="0"/>
    <x v="1"/>
  </r>
  <r>
    <x v="34"/>
    <x v="1"/>
    <x v="324"/>
    <x v="0"/>
    <x v="4"/>
    <x v="6"/>
    <x v="21"/>
    <x v="2"/>
    <n v="0"/>
    <x v="1"/>
  </r>
  <r>
    <x v="34"/>
    <x v="1"/>
    <x v="324"/>
    <x v="0"/>
    <x v="4"/>
    <x v="6"/>
    <x v="21"/>
    <x v="3"/>
    <n v="0"/>
    <x v="1"/>
  </r>
  <r>
    <x v="34"/>
    <x v="1"/>
    <x v="324"/>
    <x v="0"/>
    <x v="4"/>
    <x v="6"/>
    <x v="21"/>
    <x v="4"/>
    <n v="306.04000000000002"/>
    <x v="1"/>
  </r>
  <r>
    <x v="34"/>
    <x v="1"/>
    <x v="324"/>
    <x v="0"/>
    <x v="4"/>
    <x v="6"/>
    <x v="21"/>
    <x v="5"/>
    <n v="0"/>
    <x v="1"/>
  </r>
  <r>
    <x v="34"/>
    <x v="1"/>
    <x v="324"/>
    <x v="0"/>
    <x v="4"/>
    <x v="6"/>
    <x v="21"/>
    <x v="6"/>
    <n v="0"/>
    <x v="1"/>
  </r>
  <r>
    <x v="34"/>
    <x v="1"/>
    <x v="324"/>
    <x v="0"/>
    <x v="4"/>
    <x v="6"/>
    <x v="21"/>
    <x v="7"/>
    <n v="0"/>
    <x v="1"/>
  </r>
  <r>
    <x v="34"/>
    <x v="1"/>
    <x v="324"/>
    <x v="0"/>
    <x v="4"/>
    <x v="6"/>
    <x v="21"/>
    <x v="8"/>
    <n v="0"/>
    <x v="1"/>
  </r>
  <r>
    <x v="34"/>
    <x v="1"/>
    <x v="324"/>
    <x v="0"/>
    <x v="4"/>
    <x v="6"/>
    <x v="21"/>
    <x v="9"/>
    <n v="0"/>
    <x v="1"/>
  </r>
  <r>
    <x v="34"/>
    <x v="1"/>
    <x v="324"/>
    <x v="0"/>
    <x v="4"/>
    <x v="6"/>
    <x v="21"/>
    <x v="10"/>
    <n v="0"/>
    <x v="1"/>
  </r>
  <r>
    <x v="34"/>
    <x v="1"/>
    <x v="324"/>
    <x v="0"/>
    <x v="4"/>
    <x v="6"/>
    <x v="21"/>
    <x v="12"/>
    <n v="0"/>
    <x v="1"/>
  </r>
  <r>
    <x v="30"/>
    <x v="1"/>
    <x v="325"/>
    <x v="0"/>
    <x v="4"/>
    <x v="41"/>
    <x v="0"/>
    <x v="0"/>
    <n v="0"/>
    <x v="1"/>
  </r>
  <r>
    <x v="30"/>
    <x v="1"/>
    <x v="325"/>
    <x v="0"/>
    <x v="4"/>
    <x v="41"/>
    <x v="0"/>
    <x v="1"/>
    <n v="0"/>
    <x v="1"/>
  </r>
  <r>
    <x v="30"/>
    <x v="1"/>
    <x v="325"/>
    <x v="0"/>
    <x v="4"/>
    <x v="41"/>
    <x v="0"/>
    <x v="2"/>
    <n v="0"/>
    <x v="1"/>
  </r>
  <r>
    <x v="30"/>
    <x v="1"/>
    <x v="325"/>
    <x v="0"/>
    <x v="4"/>
    <x v="41"/>
    <x v="0"/>
    <x v="3"/>
    <n v="0"/>
    <x v="1"/>
  </r>
  <r>
    <x v="30"/>
    <x v="1"/>
    <x v="325"/>
    <x v="0"/>
    <x v="4"/>
    <x v="41"/>
    <x v="0"/>
    <x v="4"/>
    <n v="350.46"/>
    <x v="1"/>
  </r>
  <r>
    <x v="30"/>
    <x v="1"/>
    <x v="325"/>
    <x v="0"/>
    <x v="4"/>
    <x v="41"/>
    <x v="0"/>
    <x v="5"/>
    <n v="0"/>
    <x v="1"/>
  </r>
  <r>
    <x v="30"/>
    <x v="1"/>
    <x v="325"/>
    <x v="0"/>
    <x v="4"/>
    <x v="41"/>
    <x v="0"/>
    <x v="6"/>
    <n v="0"/>
    <x v="1"/>
  </r>
  <r>
    <x v="30"/>
    <x v="1"/>
    <x v="325"/>
    <x v="0"/>
    <x v="4"/>
    <x v="41"/>
    <x v="0"/>
    <x v="7"/>
    <n v="0"/>
    <x v="1"/>
  </r>
  <r>
    <x v="30"/>
    <x v="1"/>
    <x v="325"/>
    <x v="0"/>
    <x v="4"/>
    <x v="41"/>
    <x v="0"/>
    <x v="8"/>
    <n v="0"/>
    <x v="1"/>
  </r>
  <r>
    <x v="30"/>
    <x v="1"/>
    <x v="325"/>
    <x v="0"/>
    <x v="4"/>
    <x v="41"/>
    <x v="0"/>
    <x v="9"/>
    <n v="0"/>
    <x v="1"/>
  </r>
  <r>
    <x v="30"/>
    <x v="1"/>
    <x v="325"/>
    <x v="0"/>
    <x v="4"/>
    <x v="41"/>
    <x v="0"/>
    <x v="10"/>
    <n v="0"/>
    <x v="1"/>
  </r>
  <r>
    <x v="30"/>
    <x v="1"/>
    <x v="325"/>
    <x v="0"/>
    <x v="4"/>
    <x v="41"/>
    <x v="0"/>
    <x v="12"/>
    <n v="0"/>
    <x v="1"/>
  </r>
  <r>
    <x v="30"/>
    <x v="1"/>
    <x v="326"/>
    <x v="0"/>
    <x v="4"/>
    <x v="33"/>
    <x v="9"/>
    <x v="0"/>
    <n v="0"/>
    <x v="1"/>
  </r>
  <r>
    <x v="30"/>
    <x v="1"/>
    <x v="326"/>
    <x v="0"/>
    <x v="4"/>
    <x v="33"/>
    <x v="9"/>
    <x v="1"/>
    <n v="0"/>
    <x v="1"/>
  </r>
  <r>
    <x v="30"/>
    <x v="1"/>
    <x v="326"/>
    <x v="0"/>
    <x v="4"/>
    <x v="33"/>
    <x v="9"/>
    <x v="2"/>
    <n v="0"/>
    <x v="1"/>
  </r>
  <r>
    <x v="30"/>
    <x v="1"/>
    <x v="326"/>
    <x v="0"/>
    <x v="4"/>
    <x v="33"/>
    <x v="9"/>
    <x v="3"/>
    <n v="0"/>
    <x v="1"/>
  </r>
  <r>
    <x v="30"/>
    <x v="1"/>
    <x v="326"/>
    <x v="0"/>
    <x v="4"/>
    <x v="33"/>
    <x v="9"/>
    <x v="4"/>
    <n v="388.06"/>
    <x v="1"/>
  </r>
  <r>
    <x v="30"/>
    <x v="1"/>
    <x v="326"/>
    <x v="0"/>
    <x v="4"/>
    <x v="33"/>
    <x v="9"/>
    <x v="5"/>
    <n v="0"/>
    <x v="1"/>
  </r>
  <r>
    <x v="30"/>
    <x v="1"/>
    <x v="326"/>
    <x v="0"/>
    <x v="4"/>
    <x v="33"/>
    <x v="9"/>
    <x v="6"/>
    <n v="0"/>
    <x v="1"/>
  </r>
  <r>
    <x v="30"/>
    <x v="1"/>
    <x v="326"/>
    <x v="0"/>
    <x v="4"/>
    <x v="33"/>
    <x v="9"/>
    <x v="7"/>
    <n v="0"/>
    <x v="1"/>
  </r>
  <r>
    <x v="30"/>
    <x v="1"/>
    <x v="326"/>
    <x v="0"/>
    <x v="4"/>
    <x v="33"/>
    <x v="9"/>
    <x v="8"/>
    <n v="0"/>
    <x v="1"/>
  </r>
  <r>
    <x v="30"/>
    <x v="1"/>
    <x v="326"/>
    <x v="0"/>
    <x v="4"/>
    <x v="33"/>
    <x v="9"/>
    <x v="9"/>
    <n v="0"/>
    <x v="1"/>
  </r>
  <r>
    <x v="30"/>
    <x v="1"/>
    <x v="326"/>
    <x v="0"/>
    <x v="4"/>
    <x v="33"/>
    <x v="9"/>
    <x v="10"/>
    <n v="0"/>
    <x v="1"/>
  </r>
  <r>
    <x v="30"/>
    <x v="1"/>
    <x v="326"/>
    <x v="0"/>
    <x v="4"/>
    <x v="33"/>
    <x v="9"/>
    <x v="12"/>
    <n v="0"/>
    <x v="1"/>
  </r>
  <r>
    <x v="30"/>
    <x v="1"/>
    <x v="327"/>
    <x v="0"/>
    <x v="4"/>
    <x v="33"/>
    <x v="21"/>
    <x v="0"/>
    <n v="0"/>
    <x v="1"/>
  </r>
  <r>
    <x v="30"/>
    <x v="1"/>
    <x v="327"/>
    <x v="0"/>
    <x v="4"/>
    <x v="33"/>
    <x v="21"/>
    <x v="1"/>
    <n v="0"/>
    <x v="1"/>
  </r>
  <r>
    <x v="30"/>
    <x v="1"/>
    <x v="327"/>
    <x v="0"/>
    <x v="4"/>
    <x v="33"/>
    <x v="21"/>
    <x v="2"/>
    <n v="0"/>
    <x v="1"/>
  </r>
  <r>
    <x v="30"/>
    <x v="1"/>
    <x v="327"/>
    <x v="0"/>
    <x v="4"/>
    <x v="33"/>
    <x v="21"/>
    <x v="3"/>
    <n v="0"/>
    <x v="1"/>
  </r>
  <r>
    <x v="30"/>
    <x v="1"/>
    <x v="327"/>
    <x v="0"/>
    <x v="4"/>
    <x v="33"/>
    <x v="21"/>
    <x v="4"/>
    <n v="43"/>
    <x v="1"/>
  </r>
  <r>
    <x v="30"/>
    <x v="1"/>
    <x v="327"/>
    <x v="0"/>
    <x v="4"/>
    <x v="33"/>
    <x v="21"/>
    <x v="5"/>
    <n v="0"/>
    <x v="1"/>
  </r>
  <r>
    <x v="30"/>
    <x v="1"/>
    <x v="327"/>
    <x v="0"/>
    <x v="4"/>
    <x v="33"/>
    <x v="21"/>
    <x v="6"/>
    <n v="0"/>
    <x v="1"/>
  </r>
  <r>
    <x v="30"/>
    <x v="1"/>
    <x v="327"/>
    <x v="0"/>
    <x v="4"/>
    <x v="33"/>
    <x v="21"/>
    <x v="7"/>
    <n v="0"/>
    <x v="1"/>
  </r>
  <r>
    <x v="30"/>
    <x v="1"/>
    <x v="327"/>
    <x v="0"/>
    <x v="4"/>
    <x v="33"/>
    <x v="21"/>
    <x v="8"/>
    <n v="0"/>
    <x v="1"/>
  </r>
  <r>
    <x v="30"/>
    <x v="1"/>
    <x v="327"/>
    <x v="0"/>
    <x v="4"/>
    <x v="33"/>
    <x v="21"/>
    <x v="9"/>
    <n v="0"/>
    <x v="1"/>
  </r>
  <r>
    <x v="30"/>
    <x v="1"/>
    <x v="327"/>
    <x v="0"/>
    <x v="4"/>
    <x v="33"/>
    <x v="21"/>
    <x v="10"/>
    <n v="0"/>
    <x v="1"/>
  </r>
  <r>
    <x v="30"/>
    <x v="1"/>
    <x v="327"/>
    <x v="0"/>
    <x v="4"/>
    <x v="33"/>
    <x v="21"/>
    <x v="12"/>
    <n v="0"/>
    <x v="1"/>
  </r>
  <r>
    <x v="30"/>
    <x v="1"/>
    <x v="328"/>
    <x v="0"/>
    <x v="4"/>
    <x v="6"/>
    <x v="11"/>
    <x v="0"/>
    <n v="0"/>
    <x v="1"/>
  </r>
  <r>
    <x v="30"/>
    <x v="1"/>
    <x v="328"/>
    <x v="0"/>
    <x v="4"/>
    <x v="6"/>
    <x v="11"/>
    <x v="1"/>
    <n v="0"/>
    <x v="1"/>
  </r>
  <r>
    <x v="30"/>
    <x v="1"/>
    <x v="328"/>
    <x v="0"/>
    <x v="4"/>
    <x v="6"/>
    <x v="11"/>
    <x v="2"/>
    <n v="0"/>
    <x v="1"/>
  </r>
  <r>
    <x v="30"/>
    <x v="1"/>
    <x v="328"/>
    <x v="0"/>
    <x v="4"/>
    <x v="6"/>
    <x v="11"/>
    <x v="3"/>
    <n v="0"/>
    <x v="1"/>
  </r>
  <r>
    <x v="30"/>
    <x v="1"/>
    <x v="328"/>
    <x v="0"/>
    <x v="4"/>
    <x v="6"/>
    <x v="11"/>
    <x v="4"/>
    <n v="0"/>
    <x v="1"/>
  </r>
  <r>
    <x v="30"/>
    <x v="1"/>
    <x v="328"/>
    <x v="0"/>
    <x v="4"/>
    <x v="6"/>
    <x v="11"/>
    <x v="5"/>
    <n v="199.75"/>
    <x v="1"/>
  </r>
  <r>
    <x v="30"/>
    <x v="1"/>
    <x v="328"/>
    <x v="0"/>
    <x v="4"/>
    <x v="6"/>
    <x v="11"/>
    <x v="6"/>
    <n v="0"/>
    <x v="1"/>
  </r>
  <r>
    <x v="30"/>
    <x v="1"/>
    <x v="328"/>
    <x v="0"/>
    <x v="4"/>
    <x v="6"/>
    <x v="11"/>
    <x v="7"/>
    <n v="0"/>
    <x v="1"/>
  </r>
  <r>
    <x v="30"/>
    <x v="1"/>
    <x v="328"/>
    <x v="0"/>
    <x v="4"/>
    <x v="6"/>
    <x v="11"/>
    <x v="8"/>
    <n v="0"/>
    <x v="1"/>
  </r>
  <r>
    <x v="30"/>
    <x v="1"/>
    <x v="328"/>
    <x v="0"/>
    <x v="4"/>
    <x v="6"/>
    <x v="11"/>
    <x v="9"/>
    <n v="0"/>
    <x v="1"/>
  </r>
  <r>
    <x v="30"/>
    <x v="1"/>
    <x v="328"/>
    <x v="0"/>
    <x v="4"/>
    <x v="6"/>
    <x v="11"/>
    <x v="10"/>
    <n v="0"/>
    <x v="1"/>
  </r>
  <r>
    <x v="30"/>
    <x v="1"/>
    <x v="328"/>
    <x v="0"/>
    <x v="4"/>
    <x v="6"/>
    <x v="11"/>
    <x v="12"/>
    <n v="0"/>
    <x v="1"/>
  </r>
  <r>
    <x v="30"/>
    <x v="1"/>
    <x v="329"/>
    <x v="0"/>
    <x v="4"/>
    <x v="33"/>
    <x v="9"/>
    <x v="0"/>
    <n v="0"/>
    <x v="1"/>
  </r>
  <r>
    <x v="30"/>
    <x v="1"/>
    <x v="329"/>
    <x v="0"/>
    <x v="4"/>
    <x v="33"/>
    <x v="9"/>
    <x v="1"/>
    <n v="0"/>
    <x v="1"/>
  </r>
  <r>
    <x v="30"/>
    <x v="1"/>
    <x v="329"/>
    <x v="0"/>
    <x v="4"/>
    <x v="33"/>
    <x v="9"/>
    <x v="2"/>
    <n v="0"/>
    <x v="1"/>
  </r>
  <r>
    <x v="30"/>
    <x v="1"/>
    <x v="329"/>
    <x v="0"/>
    <x v="4"/>
    <x v="33"/>
    <x v="9"/>
    <x v="3"/>
    <n v="0"/>
    <x v="1"/>
  </r>
  <r>
    <x v="30"/>
    <x v="1"/>
    <x v="329"/>
    <x v="0"/>
    <x v="4"/>
    <x v="33"/>
    <x v="9"/>
    <x v="4"/>
    <n v="0"/>
    <x v="1"/>
  </r>
  <r>
    <x v="30"/>
    <x v="1"/>
    <x v="329"/>
    <x v="0"/>
    <x v="4"/>
    <x v="33"/>
    <x v="9"/>
    <x v="5"/>
    <n v="360.4"/>
    <x v="1"/>
  </r>
  <r>
    <x v="30"/>
    <x v="1"/>
    <x v="329"/>
    <x v="0"/>
    <x v="4"/>
    <x v="33"/>
    <x v="9"/>
    <x v="6"/>
    <n v="0"/>
    <x v="1"/>
  </r>
  <r>
    <x v="30"/>
    <x v="1"/>
    <x v="329"/>
    <x v="0"/>
    <x v="4"/>
    <x v="33"/>
    <x v="9"/>
    <x v="7"/>
    <n v="0"/>
    <x v="1"/>
  </r>
  <r>
    <x v="30"/>
    <x v="1"/>
    <x v="329"/>
    <x v="0"/>
    <x v="4"/>
    <x v="33"/>
    <x v="9"/>
    <x v="8"/>
    <n v="0"/>
    <x v="1"/>
  </r>
  <r>
    <x v="30"/>
    <x v="1"/>
    <x v="329"/>
    <x v="0"/>
    <x v="4"/>
    <x v="33"/>
    <x v="9"/>
    <x v="9"/>
    <n v="0"/>
    <x v="1"/>
  </r>
  <r>
    <x v="30"/>
    <x v="1"/>
    <x v="329"/>
    <x v="0"/>
    <x v="4"/>
    <x v="33"/>
    <x v="9"/>
    <x v="10"/>
    <n v="0"/>
    <x v="1"/>
  </r>
  <r>
    <x v="30"/>
    <x v="1"/>
    <x v="329"/>
    <x v="0"/>
    <x v="4"/>
    <x v="33"/>
    <x v="9"/>
    <x v="12"/>
    <n v="0"/>
    <x v="1"/>
  </r>
  <r>
    <x v="32"/>
    <x v="1"/>
    <x v="316"/>
    <x v="0"/>
    <x v="4"/>
    <x v="6"/>
    <x v="0"/>
    <x v="0"/>
    <n v="0"/>
    <x v="1"/>
  </r>
  <r>
    <x v="32"/>
    <x v="1"/>
    <x v="316"/>
    <x v="0"/>
    <x v="4"/>
    <x v="6"/>
    <x v="0"/>
    <x v="1"/>
    <n v="0"/>
    <x v="1"/>
  </r>
  <r>
    <x v="32"/>
    <x v="1"/>
    <x v="316"/>
    <x v="0"/>
    <x v="4"/>
    <x v="6"/>
    <x v="0"/>
    <x v="2"/>
    <n v="0"/>
    <x v="1"/>
  </r>
  <r>
    <x v="32"/>
    <x v="1"/>
    <x v="316"/>
    <x v="0"/>
    <x v="4"/>
    <x v="6"/>
    <x v="0"/>
    <x v="3"/>
    <n v="0"/>
    <x v="1"/>
  </r>
  <r>
    <x v="32"/>
    <x v="1"/>
    <x v="316"/>
    <x v="0"/>
    <x v="4"/>
    <x v="6"/>
    <x v="0"/>
    <x v="4"/>
    <n v="0"/>
    <x v="1"/>
  </r>
  <r>
    <x v="32"/>
    <x v="1"/>
    <x v="316"/>
    <x v="0"/>
    <x v="4"/>
    <x v="6"/>
    <x v="0"/>
    <x v="5"/>
    <n v="94.24"/>
    <x v="1"/>
  </r>
  <r>
    <x v="32"/>
    <x v="1"/>
    <x v="316"/>
    <x v="0"/>
    <x v="4"/>
    <x v="6"/>
    <x v="0"/>
    <x v="6"/>
    <n v="0"/>
    <x v="1"/>
  </r>
  <r>
    <x v="32"/>
    <x v="1"/>
    <x v="316"/>
    <x v="0"/>
    <x v="4"/>
    <x v="6"/>
    <x v="0"/>
    <x v="7"/>
    <n v="0"/>
    <x v="1"/>
  </r>
  <r>
    <x v="32"/>
    <x v="1"/>
    <x v="316"/>
    <x v="0"/>
    <x v="4"/>
    <x v="6"/>
    <x v="0"/>
    <x v="8"/>
    <n v="0"/>
    <x v="1"/>
  </r>
  <r>
    <x v="32"/>
    <x v="1"/>
    <x v="316"/>
    <x v="0"/>
    <x v="4"/>
    <x v="6"/>
    <x v="0"/>
    <x v="9"/>
    <n v="0"/>
    <x v="1"/>
  </r>
  <r>
    <x v="32"/>
    <x v="1"/>
    <x v="316"/>
    <x v="0"/>
    <x v="4"/>
    <x v="6"/>
    <x v="0"/>
    <x v="10"/>
    <n v="0"/>
    <x v="1"/>
  </r>
  <r>
    <x v="32"/>
    <x v="1"/>
    <x v="316"/>
    <x v="0"/>
    <x v="4"/>
    <x v="6"/>
    <x v="0"/>
    <x v="12"/>
    <n v="0"/>
    <x v="1"/>
  </r>
  <r>
    <x v="3"/>
    <x v="1"/>
    <x v="330"/>
    <x v="0"/>
    <x v="4"/>
    <x v="6"/>
    <x v="11"/>
    <x v="0"/>
    <n v="0"/>
    <x v="1"/>
  </r>
  <r>
    <x v="3"/>
    <x v="1"/>
    <x v="330"/>
    <x v="0"/>
    <x v="4"/>
    <x v="6"/>
    <x v="11"/>
    <x v="1"/>
    <n v="0"/>
    <x v="1"/>
  </r>
  <r>
    <x v="3"/>
    <x v="1"/>
    <x v="330"/>
    <x v="0"/>
    <x v="4"/>
    <x v="6"/>
    <x v="11"/>
    <x v="2"/>
    <n v="0"/>
    <x v="1"/>
  </r>
  <r>
    <x v="3"/>
    <x v="1"/>
    <x v="330"/>
    <x v="0"/>
    <x v="4"/>
    <x v="6"/>
    <x v="11"/>
    <x v="3"/>
    <n v="0"/>
    <x v="1"/>
  </r>
  <r>
    <x v="3"/>
    <x v="1"/>
    <x v="330"/>
    <x v="0"/>
    <x v="4"/>
    <x v="6"/>
    <x v="11"/>
    <x v="4"/>
    <n v="0"/>
    <x v="1"/>
  </r>
  <r>
    <x v="3"/>
    <x v="1"/>
    <x v="330"/>
    <x v="0"/>
    <x v="4"/>
    <x v="6"/>
    <x v="11"/>
    <x v="5"/>
    <n v="305.76"/>
    <x v="1"/>
  </r>
  <r>
    <x v="3"/>
    <x v="1"/>
    <x v="330"/>
    <x v="0"/>
    <x v="4"/>
    <x v="6"/>
    <x v="11"/>
    <x v="6"/>
    <n v="0"/>
    <x v="1"/>
  </r>
  <r>
    <x v="3"/>
    <x v="1"/>
    <x v="330"/>
    <x v="0"/>
    <x v="4"/>
    <x v="6"/>
    <x v="11"/>
    <x v="7"/>
    <n v="0"/>
    <x v="1"/>
  </r>
  <r>
    <x v="3"/>
    <x v="1"/>
    <x v="330"/>
    <x v="0"/>
    <x v="4"/>
    <x v="6"/>
    <x v="11"/>
    <x v="8"/>
    <n v="0"/>
    <x v="1"/>
  </r>
  <r>
    <x v="3"/>
    <x v="1"/>
    <x v="330"/>
    <x v="0"/>
    <x v="4"/>
    <x v="6"/>
    <x v="11"/>
    <x v="9"/>
    <n v="0"/>
    <x v="1"/>
  </r>
  <r>
    <x v="3"/>
    <x v="1"/>
    <x v="330"/>
    <x v="0"/>
    <x v="4"/>
    <x v="6"/>
    <x v="11"/>
    <x v="10"/>
    <n v="0"/>
    <x v="1"/>
  </r>
  <r>
    <x v="3"/>
    <x v="1"/>
    <x v="330"/>
    <x v="0"/>
    <x v="4"/>
    <x v="6"/>
    <x v="11"/>
    <x v="12"/>
    <n v="0"/>
    <x v="1"/>
  </r>
  <r>
    <x v="30"/>
    <x v="1"/>
    <x v="331"/>
    <x v="0"/>
    <x v="4"/>
    <x v="6"/>
    <x v="11"/>
    <x v="0"/>
    <n v="0"/>
    <x v="1"/>
  </r>
  <r>
    <x v="30"/>
    <x v="1"/>
    <x v="331"/>
    <x v="0"/>
    <x v="4"/>
    <x v="6"/>
    <x v="11"/>
    <x v="1"/>
    <n v="0"/>
    <x v="1"/>
  </r>
  <r>
    <x v="30"/>
    <x v="1"/>
    <x v="331"/>
    <x v="0"/>
    <x v="4"/>
    <x v="6"/>
    <x v="11"/>
    <x v="2"/>
    <n v="0"/>
    <x v="1"/>
  </r>
  <r>
    <x v="30"/>
    <x v="1"/>
    <x v="331"/>
    <x v="0"/>
    <x v="4"/>
    <x v="6"/>
    <x v="11"/>
    <x v="3"/>
    <n v="0"/>
    <x v="1"/>
  </r>
  <r>
    <x v="30"/>
    <x v="1"/>
    <x v="331"/>
    <x v="0"/>
    <x v="4"/>
    <x v="6"/>
    <x v="11"/>
    <x v="4"/>
    <n v="0"/>
    <x v="1"/>
  </r>
  <r>
    <x v="30"/>
    <x v="1"/>
    <x v="331"/>
    <x v="0"/>
    <x v="4"/>
    <x v="6"/>
    <x v="11"/>
    <x v="5"/>
    <n v="141.15797746921666"/>
    <x v="1"/>
  </r>
  <r>
    <x v="30"/>
    <x v="1"/>
    <x v="331"/>
    <x v="0"/>
    <x v="4"/>
    <x v="6"/>
    <x v="11"/>
    <x v="6"/>
    <n v="0"/>
    <x v="1"/>
  </r>
  <r>
    <x v="30"/>
    <x v="1"/>
    <x v="331"/>
    <x v="0"/>
    <x v="4"/>
    <x v="6"/>
    <x v="11"/>
    <x v="7"/>
    <n v="0"/>
    <x v="1"/>
  </r>
  <r>
    <x v="30"/>
    <x v="1"/>
    <x v="331"/>
    <x v="0"/>
    <x v="4"/>
    <x v="6"/>
    <x v="11"/>
    <x v="8"/>
    <n v="0"/>
    <x v="1"/>
  </r>
  <r>
    <x v="30"/>
    <x v="1"/>
    <x v="331"/>
    <x v="0"/>
    <x v="4"/>
    <x v="6"/>
    <x v="11"/>
    <x v="9"/>
    <n v="0"/>
    <x v="1"/>
  </r>
  <r>
    <x v="30"/>
    <x v="1"/>
    <x v="331"/>
    <x v="0"/>
    <x v="4"/>
    <x v="6"/>
    <x v="11"/>
    <x v="10"/>
    <n v="0"/>
    <x v="1"/>
  </r>
  <r>
    <x v="30"/>
    <x v="1"/>
    <x v="331"/>
    <x v="0"/>
    <x v="4"/>
    <x v="6"/>
    <x v="11"/>
    <x v="12"/>
    <n v="0"/>
    <x v="1"/>
  </r>
  <r>
    <x v="30"/>
    <x v="1"/>
    <x v="332"/>
    <x v="0"/>
    <x v="4"/>
    <x v="33"/>
    <x v="9"/>
    <x v="0"/>
    <n v="0"/>
    <x v="1"/>
  </r>
  <r>
    <x v="30"/>
    <x v="1"/>
    <x v="332"/>
    <x v="0"/>
    <x v="4"/>
    <x v="33"/>
    <x v="9"/>
    <x v="1"/>
    <n v="0"/>
    <x v="1"/>
  </r>
  <r>
    <x v="30"/>
    <x v="1"/>
    <x v="332"/>
    <x v="0"/>
    <x v="4"/>
    <x v="33"/>
    <x v="9"/>
    <x v="2"/>
    <n v="0"/>
    <x v="1"/>
  </r>
  <r>
    <x v="30"/>
    <x v="1"/>
    <x v="332"/>
    <x v="0"/>
    <x v="4"/>
    <x v="33"/>
    <x v="9"/>
    <x v="3"/>
    <n v="0"/>
    <x v="1"/>
  </r>
  <r>
    <x v="30"/>
    <x v="1"/>
    <x v="332"/>
    <x v="0"/>
    <x v="4"/>
    <x v="33"/>
    <x v="9"/>
    <x v="4"/>
    <n v="0"/>
    <x v="1"/>
  </r>
  <r>
    <x v="30"/>
    <x v="1"/>
    <x v="332"/>
    <x v="0"/>
    <x v="4"/>
    <x v="33"/>
    <x v="9"/>
    <x v="5"/>
    <n v="88.998166099030655"/>
    <x v="1"/>
  </r>
  <r>
    <x v="30"/>
    <x v="1"/>
    <x v="332"/>
    <x v="0"/>
    <x v="4"/>
    <x v="33"/>
    <x v="9"/>
    <x v="6"/>
    <n v="0"/>
    <x v="1"/>
  </r>
  <r>
    <x v="30"/>
    <x v="1"/>
    <x v="332"/>
    <x v="0"/>
    <x v="4"/>
    <x v="33"/>
    <x v="9"/>
    <x v="7"/>
    <n v="0"/>
    <x v="1"/>
  </r>
  <r>
    <x v="30"/>
    <x v="1"/>
    <x v="332"/>
    <x v="0"/>
    <x v="4"/>
    <x v="33"/>
    <x v="9"/>
    <x v="8"/>
    <n v="0"/>
    <x v="1"/>
  </r>
  <r>
    <x v="30"/>
    <x v="1"/>
    <x v="332"/>
    <x v="0"/>
    <x v="4"/>
    <x v="33"/>
    <x v="9"/>
    <x v="9"/>
    <n v="0"/>
    <x v="1"/>
  </r>
  <r>
    <x v="30"/>
    <x v="1"/>
    <x v="332"/>
    <x v="0"/>
    <x v="4"/>
    <x v="33"/>
    <x v="9"/>
    <x v="10"/>
    <n v="0"/>
    <x v="1"/>
  </r>
  <r>
    <x v="30"/>
    <x v="1"/>
    <x v="332"/>
    <x v="0"/>
    <x v="4"/>
    <x v="33"/>
    <x v="9"/>
    <x v="12"/>
    <n v="0"/>
    <x v="1"/>
  </r>
  <r>
    <x v="30"/>
    <x v="1"/>
    <x v="333"/>
    <x v="0"/>
    <x v="4"/>
    <x v="33"/>
    <x v="11"/>
    <x v="0"/>
    <n v="0"/>
    <x v="1"/>
  </r>
  <r>
    <x v="30"/>
    <x v="1"/>
    <x v="333"/>
    <x v="0"/>
    <x v="4"/>
    <x v="33"/>
    <x v="11"/>
    <x v="1"/>
    <n v="0"/>
    <x v="1"/>
  </r>
  <r>
    <x v="30"/>
    <x v="1"/>
    <x v="333"/>
    <x v="0"/>
    <x v="4"/>
    <x v="33"/>
    <x v="11"/>
    <x v="2"/>
    <n v="0"/>
    <x v="1"/>
  </r>
  <r>
    <x v="30"/>
    <x v="1"/>
    <x v="333"/>
    <x v="0"/>
    <x v="4"/>
    <x v="33"/>
    <x v="11"/>
    <x v="3"/>
    <n v="0"/>
    <x v="1"/>
  </r>
  <r>
    <x v="30"/>
    <x v="1"/>
    <x v="333"/>
    <x v="0"/>
    <x v="4"/>
    <x v="33"/>
    <x v="11"/>
    <x v="4"/>
    <n v="0"/>
    <x v="1"/>
  </r>
  <r>
    <x v="30"/>
    <x v="1"/>
    <x v="333"/>
    <x v="0"/>
    <x v="4"/>
    <x v="33"/>
    <x v="11"/>
    <x v="5"/>
    <n v="66.12"/>
    <x v="1"/>
  </r>
  <r>
    <x v="30"/>
    <x v="1"/>
    <x v="333"/>
    <x v="0"/>
    <x v="4"/>
    <x v="33"/>
    <x v="11"/>
    <x v="6"/>
    <n v="0"/>
    <x v="1"/>
  </r>
  <r>
    <x v="30"/>
    <x v="1"/>
    <x v="333"/>
    <x v="0"/>
    <x v="4"/>
    <x v="33"/>
    <x v="11"/>
    <x v="7"/>
    <n v="0"/>
    <x v="1"/>
  </r>
  <r>
    <x v="30"/>
    <x v="1"/>
    <x v="333"/>
    <x v="0"/>
    <x v="4"/>
    <x v="33"/>
    <x v="11"/>
    <x v="8"/>
    <n v="0"/>
    <x v="1"/>
  </r>
  <r>
    <x v="30"/>
    <x v="1"/>
    <x v="333"/>
    <x v="0"/>
    <x v="4"/>
    <x v="33"/>
    <x v="11"/>
    <x v="9"/>
    <n v="0"/>
    <x v="1"/>
  </r>
  <r>
    <x v="30"/>
    <x v="1"/>
    <x v="333"/>
    <x v="0"/>
    <x v="4"/>
    <x v="33"/>
    <x v="11"/>
    <x v="10"/>
    <n v="0"/>
    <x v="1"/>
  </r>
  <r>
    <x v="30"/>
    <x v="1"/>
    <x v="333"/>
    <x v="0"/>
    <x v="4"/>
    <x v="33"/>
    <x v="11"/>
    <x v="12"/>
    <n v="0"/>
    <x v="1"/>
  </r>
  <r>
    <x v="30"/>
    <x v="1"/>
    <x v="326"/>
    <x v="0"/>
    <x v="4"/>
    <x v="33"/>
    <x v="0"/>
    <x v="0"/>
    <n v="0"/>
    <x v="1"/>
  </r>
  <r>
    <x v="30"/>
    <x v="1"/>
    <x v="326"/>
    <x v="0"/>
    <x v="4"/>
    <x v="33"/>
    <x v="0"/>
    <x v="1"/>
    <n v="0"/>
    <x v="1"/>
  </r>
  <r>
    <x v="30"/>
    <x v="1"/>
    <x v="326"/>
    <x v="0"/>
    <x v="4"/>
    <x v="33"/>
    <x v="0"/>
    <x v="2"/>
    <n v="0"/>
    <x v="1"/>
  </r>
  <r>
    <x v="30"/>
    <x v="1"/>
    <x v="326"/>
    <x v="0"/>
    <x v="4"/>
    <x v="33"/>
    <x v="0"/>
    <x v="3"/>
    <n v="0"/>
    <x v="1"/>
  </r>
  <r>
    <x v="30"/>
    <x v="1"/>
    <x v="326"/>
    <x v="0"/>
    <x v="4"/>
    <x v="33"/>
    <x v="0"/>
    <x v="4"/>
    <n v="0"/>
    <x v="1"/>
  </r>
  <r>
    <x v="30"/>
    <x v="1"/>
    <x v="326"/>
    <x v="0"/>
    <x v="4"/>
    <x v="33"/>
    <x v="0"/>
    <x v="5"/>
    <n v="0"/>
    <x v="1"/>
  </r>
  <r>
    <x v="30"/>
    <x v="1"/>
    <x v="326"/>
    <x v="0"/>
    <x v="4"/>
    <x v="33"/>
    <x v="0"/>
    <x v="6"/>
    <n v="2195"/>
    <x v="1"/>
  </r>
  <r>
    <x v="30"/>
    <x v="1"/>
    <x v="326"/>
    <x v="0"/>
    <x v="4"/>
    <x v="33"/>
    <x v="0"/>
    <x v="7"/>
    <n v="0"/>
    <x v="1"/>
  </r>
  <r>
    <x v="30"/>
    <x v="1"/>
    <x v="326"/>
    <x v="0"/>
    <x v="4"/>
    <x v="33"/>
    <x v="0"/>
    <x v="8"/>
    <n v="0"/>
    <x v="1"/>
  </r>
  <r>
    <x v="30"/>
    <x v="1"/>
    <x v="326"/>
    <x v="0"/>
    <x v="4"/>
    <x v="33"/>
    <x v="0"/>
    <x v="9"/>
    <n v="0"/>
    <x v="1"/>
  </r>
  <r>
    <x v="30"/>
    <x v="1"/>
    <x v="326"/>
    <x v="0"/>
    <x v="4"/>
    <x v="33"/>
    <x v="0"/>
    <x v="10"/>
    <n v="0"/>
    <x v="1"/>
  </r>
  <r>
    <x v="30"/>
    <x v="1"/>
    <x v="326"/>
    <x v="0"/>
    <x v="4"/>
    <x v="33"/>
    <x v="0"/>
    <x v="12"/>
    <n v="0"/>
    <x v="1"/>
  </r>
  <r>
    <x v="30"/>
    <x v="1"/>
    <x v="334"/>
    <x v="0"/>
    <x v="4"/>
    <x v="33"/>
    <x v="0"/>
    <x v="0"/>
    <n v="0"/>
    <x v="1"/>
  </r>
  <r>
    <x v="30"/>
    <x v="1"/>
    <x v="334"/>
    <x v="0"/>
    <x v="4"/>
    <x v="33"/>
    <x v="0"/>
    <x v="1"/>
    <n v="0"/>
    <x v="1"/>
  </r>
  <r>
    <x v="30"/>
    <x v="1"/>
    <x v="334"/>
    <x v="0"/>
    <x v="4"/>
    <x v="33"/>
    <x v="0"/>
    <x v="2"/>
    <n v="0"/>
    <x v="1"/>
  </r>
  <r>
    <x v="30"/>
    <x v="1"/>
    <x v="334"/>
    <x v="0"/>
    <x v="4"/>
    <x v="33"/>
    <x v="0"/>
    <x v="3"/>
    <n v="0"/>
    <x v="1"/>
  </r>
  <r>
    <x v="30"/>
    <x v="1"/>
    <x v="334"/>
    <x v="0"/>
    <x v="4"/>
    <x v="33"/>
    <x v="0"/>
    <x v="4"/>
    <n v="0"/>
    <x v="1"/>
  </r>
  <r>
    <x v="30"/>
    <x v="1"/>
    <x v="334"/>
    <x v="0"/>
    <x v="4"/>
    <x v="33"/>
    <x v="0"/>
    <x v="5"/>
    <n v="0"/>
    <x v="1"/>
  </r>
  <r>
    <x v="30"/>
    <x v="1"/>
    <x v="334"/>
    <x v="0"/>
    <x v="4"/>
    <x v="33"/>
    <x v="0"/>
    <x v="6"/>
    <n v="0"/>
    <x v="1"/>
  </r>
  <r>
    <x v="30"/>
    <x v="1"/>
    <x v="334"/>
    <x v="0"/>
    <x v="4"/>
    <x v="33"/>
    <x v="0"/>
    <x v="7"/>
    <n v="87"/>
    <x v="1"/>
  </r>
  <r>
    <x v="30"/>
    <x v="1"/>
    <x v="334"/>
    <x v="0"/>
    <x v="4"/>
    <x v="33"/>
    <x v="0"/>
    <x v="8"/>
    <n v="0"/>
    <x v="1"/>
  </r>
  <r>
    <x v="30"/>
    <x v="1"/>
    <x v="334"/>
    <x v="0"/>
    <x v="4"/>
    <x v="33"/>
    <x v="0"/>
    <x v="9"/>
    <n v="0"/>
    <x v="1"/>
  </r>
  <r>
    <x v="30"/>
    <x v="1"/>
    <x v="334"/>
    <x v="0"/>
    <x v="4"/>
    <x v="33"/>
    <x v="0"/>
    <x v="10"/>
    <n v="0"/>
    <x v="1"/>
  </r>
  <r>
    <x v="30"/>
    <x v="1"/>
    <x v="334"/>
    <x v="0"/>
    <x v="4"/>
    <x v="33"/>
    <x v="0"/>
    <x v="12"/>
    <n v="0"/>
    <x v="1"/>
  </r>
  <r>
    <x v="30"/>
    <x v="1"/>
    <x v="335"/>
    <x v="0"/>
    <x v="4"/>
    <x v="33"/>
    <x v="0"/>
    <x v="0"/>
    <n v="0"/>
    <x v="1"/>
  </r>
  <r>
    <x v="30"/>
    <x v="1"/>
    <x v="335"/>
    <x v="0"/>
    <x v="4"/>
    <x v="33"/>
    <x v="0"/>
    <x v="1"/>
    <n v="0"/>
    <x v="1"/>
  </r>
  <r>
    <x v="30"/>
    <x v="1"/>
    <x v="335"/>
    <x v="0"/>
    <x v="4"/>
    <x v="33"/>
    <x v="0"/>
    <x v="2"/>
    <n v="0"/>
    <x v="1"/>
  </r>
  <r>
    <x v="30"/>
    <x v="1"/>
    <x v="335"/>
    <x v="0"/>
    <x v="4"/>
    <x v="33"/>
    <x v="0"/>
    <x v="3"/>
    <n v="0"/>
    <x v="1"/>
  </r>
  <r>
    <x v="30"/>
    <x v="1"/>
    <x v="335"/>
    <x v="0"/>
    <x v="4"/>
    <x v="33"/>
    <x v="0"/>
    <x v="4"/>
    <n v="0"/>
    <x v="1"/>
  </r>
  <r>
    <x v="30"/>
    <x v="1"/>
    <x v="335"/>
    <x v="0"/>
    <x v="4"/>
    <x v="33"/>
    <x v="0"/>
    <x v="5"/>
    <n v="0"/>
    <x v="1"/>
  </r>
  <r>
    <x v="30"/>
    <x v="1"/>
    <x v="335"/>
    <x v="0"/>
    <x v="4"/>
    <x v="33"/>
    <x v="0"/>
    <x v="6"/>
    <n v="0"/>
    <x v="1"/>
  </r>
  <r>
    <x v="30"/>
    <x v="1"/>
    <x v="335"/>
    <x v="0"/>
    <x v="4"/>
    <x v="33"/>
    <x v="0"/>
    <x v="7"/>
    <n v="112"/>
    <x v="1"/>
  </r>
  <r>
    <x v="30"/>
    <x v="1"/>
    <x v="335"/>
    <x v="0"/>
    <x v="4"/>
    <x v="33"/>
    <x v="0"/>
    <x v="8"/>
    <n v="0"/>
    <x v="1"/>
  </r>
  <r>
    <x v="30"/>
    <x v="1"/>
    <x v="335"/>
    <x v="0"/>
    <x v="4"/>
    <x v="33"/>
    <x v="0"/>
    <x v="9"/>
    <n v="0"/>
    <x v="1"/>
  </r>
  <r>
    <x v="30"/>
    <x v="1"/>
    <x v="335"/>
    <x v="0"/>
    <x v="4"/>
    <x v="33"/>
    <x v="0"/>
    <x v="10"/>
    <n v="0"/>
    <x v="1"/>
  </r>
  <r>
    <x v="30"/>
    <x v="1"/>
    <x v="335"/>
    <x v="0"/>
    <x v="4"/>
    <x v="33"/>
    <x v="0"/>
    <x v="12"/>
    <n v="0"/>
    <x v="1"/>
  </r>
  <r>
    <x v="74"/>
    <x v="1"/>
    <x v="336"/>
    <x v="0"/>
    <x v="4"/>
    <x v="40"/>
    <x v="0"/>
    <x v="0"/>
    <n v="0"/>
    <x v="1"/>
  </r>
  <r>
    <x v="74"/>
    <x v="1"/>
    <x v="336"/>
    <x v="0"/>
    <x v="4"/>
    <x v="40"/>
    <x v="0"/>
    <x v="1"/>
    <n v="0"/>
    <x v="1"/>
  </r>
  <r>
    <x v="74"/>
    <x v="1"/>
    <x v="336"/>
    <x v="0"/>
    <x v="4"/>
    <x v="40"/>
    <x v="0"/>
    <x v="2"/>
    <n v="0"/>
    <x v="1"/>
  </r>
  <r>
    <x v="74"/>
    <x v="1"/>
    <x v="336"/>
    <x v="0"/>
    <x v="4"/>
    <x v="40"/>
    <x v="0"/>
    <x v="3"/>
    <n v="0"/>
    <x v="1"/>
  </r>
  <r>
    <x v="74"/>
    <x v="1"/>
    <x v="336"/>
    <x v="0"/>
    <x v="4"/>
    <x v="40"/>
    <x v="0"/>
    <x v="4"/>
    <n v="0"/>
    <x v="1"/>
  </r>
  <r>
    <x v="74"/>
    <x v="1"/>
    <x v="336"/>
    <x v="0"/>
    <x v="4"/>
    <x v="40"/>
    <x v="0"/>
    <x v="5"/>
    <n v="0"/>
    <x v="1"/>
  </r>
  <r>
    <x v="74"/>
    <x v="1"/>
    <x v="336"/>
    <x v="0"/>
    <x v="4"/>
    <x v="40"/>
    <x v="0"/>
    <x v="6"/>
    <n v="0"/>
    <x v="1"/>
  </r>
  <r>
    <x v="74"/>
    <x v="1"/>
    <x v="336"/>
    <x v="0"/>
    <x v="4"/>
    <x v="40"/>
    <x v="0"/>
    <x v="7"/>
    <n v="0"/>
    <x v="1"/>
  </r>
  <r>
    <x v="74"/>
    <x v="1"/>
    <x v="336"/>
    <x v="0"/>
    <x v="4"/>
    <x v="40"/>
    <x v="0"/>
    <x v="8"/>
    <n v="200"/>
    <x v="1"/>
  </r>
  <r>
    <x v="74"/>
    <x v="1"/>
    <x v="336"/>
    <x v="0"/>
    <x v="4"/>
    <x v="40"/>
    <x v="0"/>
    <x v="9"/>
    <n v="0"/>
    <x v="1"/>
  </r>
  <r>
    <x v="74"/>
    <x v="1"/>
    <x v="336"/>
    <x v="0"/>
    <x v="4"/>
    <x v="40"/>
    <x v="0"/>
    <x v="10"/>
    <n v="0"/>
    <x v="1"/>
  </r>
  <r>
    <x v="74"/>
    <x v="1"/>
    <x v="336"/>
    <x v="0"/>
    <x v="4"/>
    <x v="40"/>
    <x v="0"/>
    <x v="12"/>
    <n v="0"/>
    <x v="1"/>
  </r>
  <r>
    <x v="30"/>
    <x v="1"/>
    <x v="337"/>
    <x v="0"/>
    <x v="4"/>
    <x v="40"/>
    <x v="0"/>
    <x v="0"/>
    <n v="0"/>
    <x v="1"/>
  </r>
  <r>
    <x v="30"/>
    <x v="1"/>
    <x v="337"/>
    <x v="0"/>
    <x v="4"/>
    <x v="40"/>
    <x v="0"/>
    <x v="1"/>
    <n v="0"/>
    <x v="1"/>
  </r>
  <r>
    <x v="30"/>
    <x v="1"/>
    <x v="337"/>
    <x v="0"/>
    <x v="4"/>
    <x v="40"/>
    <x v="0"/>
    <x v="2"/>
    <n v="0"/>
    <x v="1"/>
  </r>
  <r>
    <x v="30"/>
    <x v="1"/>
    <x v="337"/>
    <x v="0"/>
    <x v="4"/>
    <x v="40"/>
    <x v="0"/>
    <x v="3"/>
    <n v="0"/>
    <x v="1"/>
  </r>
  <r>
    <x v="30"/>
    <x v="1"/>
    <x v="337"/>
    <x v="0"/>
    <x v="4"/>
    <x v="40"/>
    <x v="0"/>
    <x v="4"/>
    <n v="0"/>
    <x v="1"/>
  </r>
  <r>
    <x v="30"/>
    <x v="1"/>
    <x v="337"/>
    <x v="0"/>
    <x v="4"/>
    <x v="40"/>
    <x v="0"/>
    <x v="5"/>
    <n v="0"/>
    <x v="1"/>
  </r>
  <r>
    <x v="30"/>
    <x v="1"/>
    <x v="337"/>
    <x v="0"/>
    <x v="4"/>
    <x v="40"/>
    <x v="0"/>
    <x v="6"/>
    <n v="0"/>
    <x v="1"/>
  </r>
  <r>
    <x v="30"/>
    <x v="1"/>
    <x v="337"/>
    <x v="0"/>
    <x v="4"/>
    <x v="40"/>
    <x v="0"/>
    <x v="7"/>
    <n v="0"/>
    <x v="1"/>
  </r>
  <r>
    <x v="30"/>
    <x v="1"/>
    <x v="337"/>
    <x v="0"/>
    <x v="4"/>
    <x v="40"/>
    <x v="0"/>
    <x v="8"/>
    <n v="0"/>
    <x v="1"/>
  </r>
  <r>
    <x v="30"/>
    <x v="1"/>
    <x v="337"/>
    <x v="0"/>
    <x v="4"/>
    <x v="40"/>
    <x v="0"/>
    <x v="9"/>
    <n v="139.85"/>
    <x v="1"/>
  </r>
  <r>
    <x v="30"/>
    <x v="1"/>
    <x v="337"/>
    <x v="0"/>
    <x v="4"/>
    <x v="40"/>
    <x v="0"/>
    <x v="10"/>
    <n v="0"/>
    <x v="1"/>
  </r>
  <r>
    <x v="30"/>
    <x v="1"/>
    <x v="337"/>
    <x v="0"/>
    <x v="4"/>
    <x v="40"/>
    <x v="0"/>
    <x v="12"/>
    <n v="0"/>
    <x v="1"/>
  </r>
  <r>
    <x v="44"/>
    <x v="1"/>
    <x v="338"/>
    <x v="0"/>
    <x v="4"/>
    <x v="6"/>
    <x v="0"/>
    <x v="0"/>
    <n v="0"/>
    <x v="1"/>
  </r>
  <r>
    <x v="44"/>
    <x v="1"/>
    <x v="338"/>
    <x v="0"/>
    <x v="4"/>
    <x v="6"/>
    <x v="0"/>
    <x v="1"/>
    <n v="0"/>
    <x v="1"/>
  </r>
  <r>
    <x v="44"/>
    <x v="1"/>
    <x v="338"/>
    <x v="0"/>
    <x v="4"/>
    <x v="6"/>
    <x v="0"/>
    <x v="2"/>
    <n v="0"/>
    <x v="1"/>
  </r>
  <r>
    <x v="44"/>
    <x v="1"/>
    <x v="338"/>
    <x v="0"/>
    <x v="4"/>
    <x v="6"/>
    <x v="0"/>
    <x v="3"/>
    <n v="0"/>
    <x v="1"/>
  </r>
  <r>
    <x v="44"/>
    <x v="1"/>
    <x v="338"/>
    <x v="0"/>
    <x v="4"/>
    <x v="6"/>
    <x v="0"/>
    <x v="4"/>
    <n v="0"/>
    <x v="1"/>
  </r>
  <r>
    <x v="44"/>
    <x v="1"/>
    <x v="338"/>
    <x v="0"/>
    <x v="4"/>
    <x v="6"/>
    <x v="0"/>
    <x v="5"/>
    <n v="0"/>
    <x v="1"/>
  </r>
  <r>
    <x v="44"/>
    <x v="1"/>
    <x v="338"/>
    <x v="0"/>
    <x v="4"/>
    <x v="6"/>
    <x v="0"/>
    <x v="6"/>
    <n v="0"/>
    <x v="1"/>
  </r>
  <r>
    <x v="44"/>
    <x v="1"/>
    <x v="338"/>
    <x v="0"/>
    <x v="4"/>
    <x v="6"/>
    <x v="0"/>
    <x v="7"/>
    <n v="0"/>
    <x v="1"/>
  </r>
  <r>
    <x v="44"/>
    <x v="1"/>
    <x v="338"/>
    <x v="0"/>
    <x v="4"/>
    <x v="6"/>
    <x v="0"/>
    <x v="8"/>
    <n v="0"/>
    <x v="1"/>
  </r>
  <r>
    <x v="44"/>
    <x v="1"/>
    <x v="338"/>
    <x v="0"/>
    <x v="4"/>
    <x v="6"/>
    <x v="0"/>
    <x v="9"/>
    <n v="585.6"/>
    <x v="1"/>
  </r>
  <r>
    <x v="44"/>
    <x v="1"/>
    <x v="338"/>
    <x v="0"/>
    <x v="4"/>
    <x v="6"/>
    <x v="0"/>
    <x v="10"/>
    <n v="0"/>
    <x v="1"/>
  </r>
  <r>
    <x v="44"/>
    <x v="1"/>
    <x v="338"/>
    <x v="0"/>
    <x v="4"/>
    <x v="6"/>
    <x v="0"/>
    <x v="12"/>
    <n v="0"/>
    <x v="1"/>
  </r>
  <r>
    <x v="30"/>
    <x v="1"/>
    <x v="339"/>
    <x v="0"/>
    <x v="4"/>
    <x v="6"/>
    <x v="0"/>
    <x v="0"/>
    <n v="0"/>
    <x v="1"/>
  </r>
  <r>
    <x v="30"/>
    <x v="1"/>
    <x v="339"/>
    <x v="0"/>
    <x v="4"/>
    <x v="6"/>
    <x v="0"/>
    <x v="1"/>
    <n v="0"/>
    <x v="1"/>
  </r>
  <r>
    <x v="30"/>
    <x v="1"/>
    <x v="339"/>
    <x v="0"/>
    <x v="4"/>
    <x v="6"/>
    <x v="0"/>
    <x v="2"/>
    <n v="0"/>
    <x v="1"/>
  </r>
  <r>
    <x v="30"/>
    <x v="1"/>
    <x v="339"/>
    <x v="0"/>
    <x v="4"/>
    <x v="6"/>
    <x v="0"/>
    <x v="3"/>
    <n v="0"/>
    <x v="1"/>
  </r>
  <r>
    <x v="30"/>
    <x v="1"/>
    <x v="339"/>
    <x v="0"/>
    <x v="4"/>
    <x v="6"/>
    <x v="0"/>
    <x v="4"/>
    <n v="0"/>
    <x v="1"/>
  </r>
  <r>
    <x v="30"/>
    <x v="1"/>
    <x v="339"/>
    <x v="0"/>
    <x v="4"/>
    <x v="6"/>
    <x v="0"/>
    <x v="5"/>
    <n v="0"/>
    <x v="1"/>
  </r>
  <r>
    <x v="30"/>
    <x v="1"/>
    <x v="339"/>
    <x v="0"/>
    <x v="4"/>
    <x v="6"/>
    <x v="0"/>
    <x v="6"/>
    <n v="0"/>
    <x v="1"/>
  </r>
  <r>
    <x v="30"/>
    <x v="1"/>
    <x v="339"/>
    <x v="0"/>
    <x v="4"/>
    <x v="6"/>
    <x v="0"/>
    <x v="7"/>
    <n v="0"/>
    <x v="1"/>
  </r>
  <r>
    <x v="30"/>
    <x v="1"/>
    <x v="339"/>
    <x v="0"/>
    <x v="4"/>
    <x v="6"/>
    <x v="0"/>
    <x v="8"/>
    <n v="0"/>
    <x v="1"/>
  </r>
  <r>
    <x v="30"/>
    <x v="1"/>
    <x v="339"/>
    <x v="0"/>
    <x v="4"/>
    <x v="6"/>
    <x v="0"/>
    <x v="9"/>
    <n v="0"/>
    <x v="1"/>
  </r>
  <r>
    <x v="30"/>
    <x v="1"/>
    <x v="339"/>
    <x v="0"/>
    <x v="4"/>
    <x v="6"/>
    <x v="0"/>
    <x v="10"/>
    <n v="867"/>
    <x v="1"/>
  </r>
  <r>
    <x v="30"/>
    <x v="1"/>
    <x v="339"/>
    <x v="0"/>
    <x v="4"/>
    <x v="6"/>
    <x v="0"/>
    <x v="12"/>
    <n v="867"/>
    <x v="1"/>
  </r>
  <r>
    <x v="30"/>
    <x v="1"/>
    <x v="340"/>
    <x v="2"/>
    <x v="3"/>
    <x v="42"/>
    <x v="0"/>
    <x v="0"/>
    <n v="0"/>
    <x v="1"/>
  </r>
  <r>
    <x v="30"/>
    <x v="1"/>
    <x v="340"/>
    <x v="2"/>
    <x v="3"/>
    <x v="42"/>
    <x v="0"/>
    <x v="1"/>
    <n v="0"/>
    <x v="1"/>
  </r>
  <r>
    <x v="30"/>
    <x v="1"/>
    <x v="340"/>
    <x v="2"/>
    <x v="3"/>
    <x v="42"/>
    <x v="0"/>
    <x v="2"/>
    <n v="0"/>
    <x v="1"/>
  </r>
  <r>
    <x v="30"/>
    <x v="1"/>
    <x v="340"/>
    <x v="2"/>
    <x v="3"/>
    <x v="42"/>
    <x v="0"/>
    <x v="3"/>
    <n v="0"/>
    <x v="1"/>
  </r>
  <r>
    <x v="30"/>
    <x v="1"/>
    <x v="340"/>
    <x v="2"/>
    <x v="3"/>
    <x v="42"/>
    <x v="0"/>
    <x v="4"/>
    <n v="0"/>
    <x v="1"/>
  </r>
  <r>
    <x v="30"/>
    <x v="1"/>
    <x v="340"/>
    <x v="2"/>
    <x v="3"/>
    <x v="42"/>
    <x v="0"/>
    <x v="5"/>
    <n v="0"/>
    <x v="1"/>
  </r>
  <r>
    <x v="30"/>
    <x v="1"/>
    <x v="340"/>
    <x v="2"/>
    <x v="3"/>
    <x v="42"/>
    <x v="0"/>
    <x v="6"/>
    <n v="0"/>
    <x v="1"/>
  </r>
  <r>
    <x v="30"/>
    <x v="1"/>
    <x v="340"/>
    <x v="2"/>
    <x v="3"/>
    <x v="42"/>
    <x v="0"/>
    <x v="7"/>
    <n v="0"/>
    <x v="1"/>
  </r>
  <r>
    <x v="30"/>
    <x v="1"/>
    <x v="340"/>
    <x v="2"/>
    <x v="3"/>
    <x v="42"/>
    <x v="0"/>
    <x v="8"/>
    <n v="0"/>
    <x v="1"/>
  </r>
  <r>
    <x v="30"/>
    <x v="1"/>
    <x v="340"/>
    <x v="2"/>
    <x v="3"/>
    <x v="42"/>
    <x v="0"/>
    <x v="9"/>
    <n v="0"/>
    <x v="1"/>
  </r>
  <r>
    <x v="30"/>
    <x v="1"/>
    <x v="340"/>
    <x v="2"/>
    <x v="3"/>
    <x v="42"/>
    <x v="0"/>
    <x v="10"/>
    <n v="0"/>
    <x v="1"/>
  </r>
  <r>
    <x v="30"/>
    <x v="1"/>
    <x v="340"/>
    <x v="2"/>
    <x v="3"/>
    <x v="42"/>
    <x v="0"/>
    <x v="12"/>
    <n v="0"/>
    <x v="1"/>
  </r>
  <r>
    <x v="30"/>
    <x v="1"/>
    <x v="341"/>
    <x v="2"/>
    <x v="3"/>
    <x v="43"/>
    <x v="0"/>
    <x v="0"/>
    <n v="0"/>
    <x v="1"/>
  </r>
  <r>
    <x v="30"/>
    <x v="1"/>
    <x v="341"/>
    <x v="2"/>
    <x v="3"/>
    <x v="43"/>
    <x v="0"/>
    <x v="1"/>
    <n v="0"/>
    <x v="1"/>
  </r>
  <r>
    <x v="30"/>
    <x v="1"/>
    <x v="341"/>
    <x v="2"/>
    <x v="3"/>
    <x v="43"/>
    <x v="0"/>
    <x v="2"/>
    <n v="0"/>
    <x v="1"/>
  </r>
  <r>
    <x v="30"/>
    <x v="1"/>
    <x v="341"/>
    <x v="2"/>
    <x v="3"/>
    <x v="43"/>
    <x v="0"/>
    <x v="3"/>
    <n v="0"/>
    <x v="1"/>
  </r>
  <r>
    <x v="30"/>
    <x v="1"/>
    <x v="341"/>
    <x v="2"/>
    <x v="3"/>
    <x v="43"/>
    <x v="0"/>
    <x v="4"/>
    <n v="30773"/>
    <x v="1"/>
  </r>
  <r>
    <x v="30"/>
    <x v="1"/>
    <x v="341"/>
    <x v="2"/>
    <x v="3"/>
    <x v="43"/>
    <x v="0"/>
    <x v="5"/>
    <n v="0"/>
    <x v="1"/>
  </r>
  <r>
    <x v="30"/>
    <x v="1"/>
    <x v="341"/>
    <x v="2"/>
    <x v="3"/>
    <x v="43"/>
    <x v="0"/>
    <x v="6"/>
    <n v="0"/>
    <x v="1"/>
  </r>
  <r>
    <x v="30"/>
    <x v="1"/>
    <x v="341"/>
    <x v="2"/>
    <x v="3"/>
    <x v="43"/>
    <x v="0"/>
    <x v="7"/>
    <n v="0"/>
    <x v="1"/>
  </r>
  <r>
    <x v="30"/>
    <x v="1"/>
    <x v="341"/>
    <x v="2"/>
    <x v="3"/>
    <x v="43"/>
    <x v="0"/>
    <x v="8"/>
    <n v="0"/>
    <x v="1"/>
  </r>
  <r>
    <x v="30"/>
    <x v="1"/>
    <x v="341"/>
    <x v="2"/>
    <x v="3"/>
    <x v="43"/>
    <x v="0"/>
    <x v="9"/>
    <n v="0"/>
    <x v="1"/>
  </r>
  <r>
    <x v="30"/>
    <x v="1"/>
    <x v="341"/>
    <x v="2"/>
    <x v="3"/>
    <x v="43"/>
    <x v="0"/>
    <x v="10"/>
    <n v="0"/>
    <x v="1"/>
  </r>
  <r>
    <x v="30"/>
    <x v="1"/>
    <x v="341"/>
    <x v="2"/>
    <x v="3"/>
    <x v="43"/>
    <x v="0"/>
    <x v="12"/>
    <n v="0"/>
    <x v="1"/>
  </r>
  <r>
    <x v="30"/>
    <x v="1"/>
    <x v="342"/>
    <x v="2"/>
    <x v="3"/>
    <x v="42"/>
    <x v="0"/>
    <x v="0"/>
    <n v="0"/>
    <x v="1"/>
  </r>
  <r>
    <x v="30"/>
    <x v="1"/>
    <x v="342"/>
    <x v="2"/>
    <x v="3"/>
    <x v="42"/>
    <x v="0"/>
    <x v="1"/>
    <n v="0"/>
    <x v="1"/>
  </r>
  <r>
    <x v="30"/>
    <x v="1"/>
    <x v="342"/>
    <x v="2"/>
    <x v="3"/>
    <x v="42"/>
    <x v="0"/>
    <x v="2"/>
    <n v="-556.87"/>
    <x v="1"/>
  </r>
  <r>
    <x v="30"/>
    <x v="1"/>
    <x v="342"/>
    <x v="2"/>
    <x v="3"/>
    <x v="42"/>
    <x v="0"/>
    <x v="3"/>
    <n v="0"/>
    <x v="1"/>
  </r>
  <r>
    <x v="30"/>
    <x v="1"/>
    <x v="342"/>
    <x v="2"/>
    <x v="3"/>
    <x v="42"/>
    <x v="0"/>
    <x v="4"/>
    <n v="0"/>
    <x v="1"/>
  </r>
  <r>
    <x v="30"/>
    <x v="1"/>
    <x v="342"/>
    <x v="2"/>
    <x v="3"/>
    <x v="42"/>
    <x v="0"/>
    <x v="5"/>
    <n v="0"/>
    <x v="1"/>
  </r>
  <r>
    <x v="30"/>
    <x v="1"/>
    <x v="342"/>
    <x v="2"/>
    <x v="3"/>
    <x v="42"/>
    <x v="0"/>
    <x v="6"/>
    <n v="0"/>
    <x v="1"/>
  </r>
  <r>
    <x v="30"/>
    <x v="1"/>
    <x v="342"/>
    <x v="2"/>
    <x v="3"/>
    <x v="42"/>
    <x v="0"/>
    <x v="7"/>
    <n v="0"/>
    <x v="1"/>
  </r>
  <r>
    <x v="30"/>
    <x v="1"/>
    <x v="342"/>
    <x v="2"/>
    <x v="3"/>
    <x v="42"/>
    <x v="0"/>
    <x v="8"/>
    <n v="0"/>
    <x v="1"/>
  </r>
  <r>
    <x v="30"/>
    <x v="1"/>
    <x v="342"/>
    <x v="2"/>
    <x v="3"/>
    <x v="42"/>
    <x v="0"/>
    <x v="9"/>
    <n v="0"/>
    <x v="1"/>
  </r>
  <r>
    <x v="30"/>
    <x v="1"/>
    <x v="342"/>
    <x v="2"/>
    <x v="3"/>
    <x v="42"/>
    <x v="0"/>
    <x v="10"/>
    <n v="0"/>
    <x v="1"/>
  </r>
  <r>
    <x v="30"/>
    <x v="1"/>
    <x v="342"/>
    <x v="2"/>
    <x v="3"/>
    <x v="42"/>
    <x v="0"/>
    <x v="12"/>
    <n v="0"/>
    <x v="1"/>
  </r>
  <r>
    <x v="30"/>
    <x v="1"/>
    <x v="343"/>
    <x v="0"/>
    <x v="1"/>
    <x v="44"/>
    <x v="0"/>
    <x v="0"/>
    <n v="0"/>
    <x v="1"/>
  </r>
  <r>
    <x v="30"/>
    <x v="1"/>
    <x v="343"/>
    <x v="0"/>
    <x v="1"/>
    <x v="44"/>
    <x v="0"/>
    <x v="1"/>
    <n v="447.72188569923622"/>
    <x v="1"/>
  </r>
  <r>
    <x v="30"/>
    <x v="1"/>
    <x v="343"/>
    <x v="0"/>
    <x v="1"/>
    <x v="44"/>
    <x v="0"/>
    <x v="2"/>
    <n v="1056.4364418167158"/>
    <x v="1"/>
  </r>
  <r>
    <x v="30"/>
    <x v="1"/>
    <x v="343"/>
    <x v="0"/>
    <x v="1"/>
    <x v="44"/>
    <x v="0"/>
    <x v="3"/>
    <n v="455"/>
    <x v="1"/>
  </r>
  <r>
    <x v="30"/>
    <x v="1"/>
    <x v="343"/>
    <x v="0"/>
    <x v="1"/>
    <x v="44"/>
    <x v="0"/>
    <x v="4"/>
    <n v="453"/>
    <x v="1"/>
  </r>
  <r>
    <x v="30"/>
    <x v="1"/>
    <x v="343"/>
    <x v="0"/>
    <x v="1"/>
    <x v="44"/>
    <x v="0"/>
    <x v="5"/>
    <n v="445"/>
    <x v="1"/>
  </r>
  <r>
    <x v="30"/>
    <x v="1"/>
    <x v="343"/>
    <x v="0"/>
    <x v="1"/>
    <x v="44"/>
    <x v="0"/>
    <x v="6"/>
    <n v="454"/>
    <x v="1"/>
  </r>
  <r>
    <x v="30"/>
    <x v="1"/>
    <x v="343"/>
    <x v="0"/>
    <x v="1"/>
    <x v="44"/>
    <x v="0"/>
    <x v="7"/>
    <n v="445"/>
    <x v="1"/>
  </r>
  <r>
    <x v="30"/>
    <x v="1"/>
    <x v="343"/>
    <x v="0"/>
    <x v="1"/>
    <x v="44"/>
    <x v="0"/>
    <x v="8"/>
    <n v="451"/>
    <x v="1"/>
  </r>
  <r>
    <x v="30"/>
    <x v="1"/>
    <x v="343"/>
    <x v="0"/>
    <x v="1"/>
    <x v="44"/>
    <x v="0"/>
    <x v="9"/>
    <n v="452"/>
    <x v="1"/>
  </r>
  <r>
    <x v="30"/>
    <x v="1"/>
    <x v="343"/>
    <x v="0"/>
    <x v="1"/>
    <x v="44"/>
    <x v="0"/>
    <x v="10"/>
    <n v="452"/>
    <x v="1"/>
  </r>
  <r>
    <x v="30"/>
    <x v="1"/>
    <x v="343"/>
    <x v="0"/>
    <x v="1"/>
    <x v="44"/>
    <x v="0"/>
    <x v="12"/>
    <n v="452"/>
    <x v="1"/>
  </r>
  <r>
    <x v="30"/>
    <x v="1"/>
    <x v="344"/>
    <x v="2"/>
    <x v="3"/>
    <x v="43"/>
    <x v="0"/>
    <x v="0"/>
    <n v="0"/>
    <x v="1"/>
  </r>
  <r>
    <x v="30"/>
    <x v="1"/>
    <x v="344"/>
    <x v="2"/>
    <x v="3"/>
    <x v="43"/>
    <x v="0"/>
    <x v="1"/>
    <n v="0"/>
    <x v="1"/>
  </r>
  <r>
    <x v="30"/>
    <x v="1"/>
    <x v="344"/>
    <x v="2"/>
    <x v="3"/>
    <x v="43"/>
    <x v="0"/>
    <x v="2"/>
    <n v="0"/>
    <x v="1"/>
  </r>
  <r>
    <x v="30"/>
    <x v="1"/>
    <x v="344"/>
    <x v="2"/>
    <x v="3"/>
    <x v="43"/>
    <x v="0"/>
    <x v="3"/>
    <n v="0"/>
    <x v="1"/>
  </r>
  <r>
    <x v="30"/>
    <x v="1"/>
    <x v="344"/>
    <x v="2"/>
    <x v="3"/>
    <x v="43"/>
    <x v="0"/>
    <x v="4"/>
    <n v="0"/>
    <x v="1"/>
  </r>
  <r>
    <x v="30"/>
    <x v="1"/>
    <x v="344"/>
    <x v="2"/>
    <x v="3"/>
    <x v="43"/>
    <x v="0"/>
    <x v="5"/>
    <n v="0"/>
    <x v="1"/>
  </r>
  <r>
    <x v="30"/>
    <x v="1"/>
    <x v="344"/>
    <x v="2"/>
    <x v="3"/>
    <x v="43"/>
    <x v="0"/>
    <x v="6"/>
    <n v="0"/>
    <x v="1"/>
  </r>
  <r>
    <x v="30"/>
    <x v="1"/>
    <x v="344"/>
    <x v="2"/>
    <x v="3"/>
    <x v="43"/>
    <x v="0"/>
    <x v="7"/>
    <n v="0"/>
    <x v="1"/>
  </r>
  <r>
    <x v="30"/>
    <x v="1"/>
    <x v="344"/>
    <x v="2"/>
    <x v="3"/>
    <x v="43"/>
    <x v="0"/>
    <x v="8"/>
    <n v="0"/>
    <x v="1"/>
  </r>
  <r>
    <x v="30"/>
    <x v="1"/>
    <x v="344"/>
    <x v="2"/>
    <x v="3"/>
    <x v="43"/>
    <x v="0"/>
    <x v="9"/>
    <n v="0"/>
    <x v="1"/>
  </r>
  <r>
    <x v="30"/>
    <x v="1"/>
    <x v="344"/>
    <x v="2"/>
    <x v="3"/>
    <x v="43"/>
    <x v="0"/>
    <x v="10"/>
    <n v="0"/>
    <x v="1"/>
  </r>
  <r>
    <x v="30"/>
    <x v="1"/>
    <x v="344"/>
    <x v="2"/>
    <x v="3"/>
    <x v="43"/>
    <x v="0"/>
    <x v="12"/>
    <n v="0"/>
    <x v="1"/>
  </r>
  <r>
    <x v="30"/>
    <x v="0"/>
    <x v="345"/>
    <x v="2"/>
    <x v="3"/>
    <x v="4"/>
    <x v="0"/>
    <x v="0"/>
    <n v="1417"/>
    <x v="1"/>
  </r>
  <r>
    <x v="30"/>
    <x v="0"/>
    <x v="345"/>
    <x v="2"/>
    <x v="3"/>
    <x v="4"/>
    <x v="0"/>
    <x v="1"/>
    <n v="58"/>
    <x v="1"/>
  </r>
  <r>
    <x v="30"/>
    <x v="0"/>
    <x v="345"/>
    <x v="2"/>
    <x v="3"/>
    <x v="4"/>
    <x v="0"/>
    <x v="2"/>
    <n v="1495.43"/>
    <x v="1"/>
  </r>
  <r>
    <x v="30"/>
    <x v="0"/>
    <x v="345"/>
    <x v="2"/>
    <x v="3"/>
    <x v="4"/>
    <x v="0"/>
    <x v="3"/>
    <n v="2058"/>
    <x v="1"/>
  </r>
  <r>
    <x v="30"/>
    <x v="0"/>
    <x v="345"/>
    <x v="2"/>
    <x v="3"/>
    <x v="4"/>
    <x v="0"/>
    <x v="4"/>
    <n v="2339"/>
    <x v="1"/>
  </r>
  <r>
    <x v="30"/>
    <x v="0"/>
    <x v="345"/>
    <x v="2"/>
    <x v="3"/>
    <x v="4"/>
    <x v="0"/>
    <x v="5"/>
    <n v="2255"/>
    <x v="1"/>
  </r>
  <r>
    <x v="30"/>
    <x v="0"/>
    <x v="345"/>
    <x v="2"/>
    <x v="3"/>
    <x v="4"/>
    <x v="0"/>
    <x v="6"/>
    <n v="2250"/>
    <x v="1"/>
  </r>
  <r>
    <x v="30"/>
    <x v="0"/>
    <x v="345"/>
    <x v="2"/>
    <x v="3"/>
    <x v="4"/>
    <x v="0"/>
    <x v="7"/>
    <n v="2244"/>
    <x v="1"/>
  </r>
  <r>
    <x v="30"/>
    <x v="0"/>
    <x v="345"/>
    <x v="2"/>
    <x v="3"/>
    <x v="4"/>
    <x v="0"/>
    <x v="8"/>
    <n v="2208"/>
    <x v="1"/>
  </r>
  <r>
    <x v="30"/>
    <x v="0"/>
    <x v="345"/>
    <x v="2"/>
    <x v="3"/>
    <x v="4"/>
    <x v="0"/>
    <x v="9"/>
    <n v="1628"/>
    <x v="1"/>
  </r>
  <r>
    <x v="30"/>
    <x v="0"/>
    <x v="345"/>
    <x v="2"/>
    <x v="3"/>
    <x v="4"/>
    <x v="0"/>
    <x v="10"/>
    <n v="1628"/>
    <x v="1"/>
  </r>
  <r>
    <x v="30"/>
    <x v="0"/>
    <x v="345"/>
    <x v="2"/>
    <x v="3"/>
    <x v="4"/>
    <x v="0"/>
    <x v="12"/>
    <n v="1628"/>
    <x v="1"/>
  </r>
  <r>
    <x v="30"/>
    <x v="0"/>
    <x v="179"/>
    <x v="2"/>
    <x v="7"/>
    <x v="25"/>
    <x v="0"/>
    <x v="0"/>
    <n v="241.48557828481506"/>
    <x v="1"/>
  </r>
  <r>
    <x v="30"/>
    <x v="0"/>
    <x v="179"/>
    <x v="2"/>
    <x v="7"/>
    <x v="25"/>
    <x v="0"/>
    <x v="1"/>
    <n v="285.41634974980246"/>
    <x v="1"/>
  </r>
  <r>
    <x v="30"/>
    <x v="0"/>
    <x v="179"/>
    <x v="2"/>
    <x v="7"/>
    <x v="25"/>
    <x v="0"/>
    <x v="2"/>
    <n v="234.09939263638807"/>
    <x v="1"/>
  </r>
  <r>
    <x v="30"/>
    <x v="0"/>
    <x v="179"/>
    <x v="2"/>
    <x v="7"/>
    <x v="25"/>
    <x v="0"/>
    <x v="3"/>
    <n v="208"/>
    <x v="1"/>
  </r>
  <r>
    <x v="30"/>
    <x v="0"/>
    <x v="179"/>
    <x v="2"/>
    <x v="7"/>
    <x v="25"/>
    <x v="0"/>
    <x v="4"/>
    <n v="243"/>
    <x v="1"/>
  </r>
  <r>
    <x v="30"/>
    <x v="0"/>
    <x v="179"/>
    <x v="2"/>
    <x v="7"/>
    <x v="25"/>
    <x v="0"/>
    <x v="5"/>
    <n v="524"/>
    <x v="1"/>
  </r>
  <r>
    <x v="30"/>
    <x v="0"/>
    <x v="179"/>
    <x v="2"/>
    <x v="7"/>
    <x v="25"/>
    <x v="0"/>
    <x v="6"/>
    <n v="805"/>
    <x v="1"/>
  </r>
  <r>
    <x v="30"/>
    <x v="0"/>
    <x v="179"/>
    <x v="2"/>
    <x v="7"/>
    <x v="25"/>
    <x v="0"/>
    <x v="7"/>
    <n v="953"/>
    <x v="1"/>
  </r>
  <r>
    <x v="30"/>
    <x v="0"/>
    <x v="179"/>
    <x v="2"/>
    <x v="7"/>
    <x v="25"/>
    <x v="0"/>
    <x v="8"/>
    <n v="271"/>
    <x v="1"/>
  </r>
  <r>
    <x v="30"/>
    <x v="0"/>
    <x v="179"/>
    <x v="2"/>
    <x v="7"/>
    <x v="25"/>
    <x v="0"/>
    <x v="9"/>
    <n v="521"/>
    <x v="1"/>
  </r>
  <r>
    <x v="30"/>
    <x v="0"/>
    <x v="179"/>
    <x v="2"/>
    <x v="7"/>
    <x v="25"/>
    <x v="0"/>
    <x v="10"/>
    <n v="521"/>
    <x v="1"/>
  </r>
  <r>
    <x v="30"/>
    <x v="0"/>
    <x v="179"/>
    <x v="2"/>
    <x v="7"/>
    <x v="25"/>
    <x v="0"/>
    <x v="12"/>
    <n v="521"/>
    <x v="1"/>
  </r>
  <r>
    <x v="30"/>
    <x v="0"/>
    <x v="346"/>
    <x v="2"/>
    <x v="3"/>
    <x v="19"/>
    <x v="0"/>
    <x v="0"/>
    <n v="7533.601223708366"/>
    <x v="1"/>
  </r>
  <r>
    <x v="30"/>
    <x v="0"/>
    <x v="346"/>
    <x v="2"/>
    <x v="3"/>
    <x v="19"/>
    <x v="0"/>
    <x v="1"/>
    <n v="6447.8746378720034"/>
    <x v="1"/>
  </r>
  <r>
    <x v="30"/>
    <x v="0"/>
    <x v="346"/>
    <x v="2"/>
    <x v="3"/>
    <x v="19"/>
    <x v="0"/>
    <x v="2"/>
    <n v="9290.6826122010207"/>
    <x v="1"/>
  </r>
  <r>
    <x v="30"/>
    <x v="0"/>
    <x v="346"/>
    <x v="2"/>
    <x v="3"/>
    <x v="19"/>
    <x v="0"/>
    <x v="3"/>
    <n v="7372"/>
    <x v="1"/>
  </r>
  <r>
    <x v="30"/>
    <x v="0"/>
    <x v="346"/>
    <x v="2"/>
    <x v="3"/>
    <x v="19"/>
    <x v="0"/>
    <x v="4"/>
    <n v="4341"/>
    <x v="1"/>
  </r>
  <r>
    <x v="30"/>
    <x v="0"/>
    <x v="346"/>
    <x v="2"/>
    <x v="3"/>
    <x v="19"/>
    <x v="0"/>
    <x v="5"/>
    <n v="4658"/>
    <x v="1"/>
  </r>
  <r>
    <x v="30"/>
    <x v="0"/>
    <x v="346"/>
    <x v="2"/>
    <x v="3"/>
    <x v="19"/>
    <x v="0"/>
    <x v="6"/>
    <n v="4025"/>
    <x v="1"/>
  </r>
  <r>
    <x v="30"/>
    <x v="0"/>
    <x v="346"/>
    <x v="2"/>
    <x v="3"/>
    <x v="19"/>
    <x v="0"/>
    <x v="7"/>
    <n v="4770"/>
    <x v="1"/>
  </r>
  <r>
    <x v="30"/>
    <x v="0"/>
    <x v="346"/>
    <x v="2"/>
    <x v="3"/>
    <x v="19"/>
    <x v="0"/>
    <x v="8"/>
    <n v="4122"/>
    <x v="1"/>
  </r>
  <r>
    <x v="30"/>
    <x v="0"/>
    <x v="346"/>
    <x v="2"/>
    <x v="3"/>
    <x v="19"/>
    <x v="0"/>
    <x v="9"/>
    <n v="5081"/>
    <x v="1"/>
  </r>
  <r>
    <x v="30"/>
    <x v="0"/>
    <x v="346"/>
    <x v="2"/>
    <x v="3"/>
    <x v="19"/>
    <x v="0"/>
    <x v="10"/>
    <n v="5081"/>
    <x v="1"/>
  </r>
  <r>
    <x v="30"/>
    <x v="0"/>
    <x v="346"/>
    <x v="2"/>
    <x v="3"/>
    <x v="19"/>
    <x v="0"/>
    <x v="12"/>
    <n v="5081"/>
    <x v="1"/>
  </r>
  <r>
    <x v="30"/>
    <x v="0"/>
    <x v="347"/>
    <x v="2"/>
    <x v="3"/>
    <x v="16"/>
    <x v="0"/>
    <x v="0"/>
    <n v="1065.827432467873"/>
    <x v="1"/>
  </r>
  <r>
    <x v="30"/>
    <x v="0"/>
    <x v="347"/>
    <x v="2"/>
    <x v="3"/>
    <x v="16"/>
    <x v="0"/>
    <x v="1"/>
    <n v="2175.3489597050302"/>
    <x v="1"/>
  </r>
  <r>
    <x v="30"/>
    <x v="0"/>
    <x v="347"/>
    <x v="2"/>
    <x v="3"/>
    <x v="16"/>
    <x v="0"/>
    <x v="2"/>
    <n v="1734.7621607094868"/>
    <x v="1"/>
  </r>
  <r>
    <x v="30"/>
    <x v="0"/>
    <x v="347"/>
    <x v="2"/>
    <x v="3"/>
    <x v="16"/>
    <x v="0"/>
    <x v="3"/>
    <n v="64"/>
    <x v="1"/>
  </r>
  <r>
    <x v="30"/>
    <x v="0"/>
    <x v="347"/>
    <x v="2"/>
    <x v="3"/>
    <x v="16"/>
    <x v="0"/>
    <x v="4"/>
    <n v="3154"/>
    <x v="1"/>
  </r>
  <r>
    <x v="30"/>
    <x v="0"/>
    <x v="347"/>
    <x v="2"/>
    <x v="3"/>
    <x v="16"/>
    <x v="0"/>
    <x v="5"/>
    <n v="1397"/>
    <x v="1"/>
  </r>
  <r>
    <x v="30"/>
    <x v="0"/>
    <x v="347"/>
    <x v="2"/>
    <x v="3"/>
    <x v="16"/>
    <x v="0"/>
    <x v="6"/>
    <n v="1334"/>
    <x v="1"/>
  </r>
  <r>
    <x v="30"/>
    <x v="0"/>
    <x v="347"/>
    <x v="2"/>
    <x v="3"/>
    <x v="16"/>
    <x v="0"/>
    <x v="7"/>
    <n v="1611"/>
    <x v="1"/>
  </r>
  <r>
    <x v="30"/>
    <x v="0"/>
    <x v="347"/>
    <x v="2"/>
    <x v="3"/>
    <x v="16"/>
    <x v="0"/>
    <x v="8"/>
    <n v="1466"/>
    <x v="1"/>
  </r>
  <r>
    <x v="30"/>
    <x v="0"/>
    <x v="347"/>
    <x v="2"/>
    <x v="3"/>
    <x v="16"/>
    <x v="0"/>
    <x v="9"/>
    <n v="1231"/>
    <x v="1"/>
  </r>
  <r>
    <x v="30"/>
    <x v="0"/>
    <x v="347"/>
    <x v="2"/>
    <x v="3"/>
    <x v="16"/>
    <x v="0"/>
    <x v="10"/>
    <n v="1231"/>
    <x v="1"/>
  </r>
  <r>
    <x v="30"/>
    <x v="0"/>
    <x v="347"/>
    <x v="2"/>
    <x v="3"/>
    <x v="16"/>
    <x v="0"/>
    <x v="12"/>
    <n v="1231"/>
    <x v="1"/>
  </r>
  <r>
    <x v="30"/>
    <x v="1"/>
    <x v="348"/>
    <x v="2"/>
    <x v="3"/>
    <x v="45"/>
    <x v="0"/>
    <x v="0"/>
    <n v="7865.7445580907415"/>
    <x v="1"/>
  </r>
  <r>
    <x v="30"/>
    <x v="1"/>
    <x v="348"/>
    <x v="2"/>
    <x v="3"/>
    <x v="45"/>
    <x v="0"/>
    <x v="1"/>
    <n v="9920.6742217540159"/>
    <x v="1"/>
  </r>
  <r>
    <x v="30"/>
    <x v="1"/>
    <x v="348"/>
    <x v="2"/>
    <x v="3"/>
    <x v="45"/>
    <x v="0"/>
    <x v="2"/>
    <n v="1138.9062080085998"/>
    <x v="1"/>
  </r>
  <r>
    <x v="30"/>
    <x v="1"/>
    <x v="348"/>
    <x v="2"/>
    <x v="3"/>
    <x v="45"/>
    <x v="0"/>
    <x v="3"/>
    <n v="2056"/>
    <x v="1"/>
  </r>
  <r>
    <x v="30"/>
    <x v="1"/>
    <x v="348"/>
    <x v="2"/>
    <x v="3"/>
    <x v="45"/>
    <x v="0"/>
    <x v="4"/>
    <n v="2039"/>
    <x v="1"/>
  </r>
  <r>
    <x v="30"/>
    <x v="1"/>
    <x v="348"/>
    <x v="2"/>
    <x v="3"/>
    <x v="45"/>
    <x v="0"/>
    <x v="5"/>
    <n v="916"/>
    <x v="1"/>
  </r>
  <r>
    <x v="30"/>
    <x v="1"/>
    <x v="348"/>
    <x v="2"/>
    <x v="3"/>
    <x v="45"/>
    <x v="0"/>
    <x v="6"/>
    <n v="857"/>
    <x v="1"/>
  </r>
  <r>
    <x v="30"/>
    <x v="1"/>
    <x v="348"/>
    <x v="2"/>
    <x v="3"/>
    <x v="45"/>
    <x v="0"/>
    <x v="7"/>
    <n v="2248"/>
    <x v="1"/>
  </r>
  <r>
    <x v="30"/>
    <x v="1"/>
    <x v="348"/>
    <x v="2"/>
    <x v="3"/>
    <x v="45"/>
    <x v="0"/>
    <x v="8"/>
    <n v="458"/>
    <x v="1"/>
  </r>
  <r>
    <x v="30"/>
    <x v="1"/>
    <x v="348"/>
    <x v="2"/>
    <x v="3"/>
    <x v="45"/>
    <x v="0"/>
    <x v="9"/>
    <n v="1869"/>
    <x v="1"/>
  </r>
  <r>
    <x v="30"/>
    <x v="1"/>
    <x v="348"/>
    <x v="2"/>
    <x v="3"/>
    <x v="45"/>
    <x v="0"/>
    <x v="10"/>
    <n v="1869"/>
    <x v="1"/>
  </r>
  <r>
    <x v="30"/>
    <x v="1"/>
    <x v="348"/>
    <x v="2"/>
    <x v="3"/>
    <x v="45"/>
    <x v="0"/>
    <x v="12"/>
    <n v="1869"/>
    <x v="1"/>
  </r>
  <r>
    <x v="30"/>
    <x v="1"/>
    <x v="349"/>
    <x v="0"/>
    <x v="3"/>
    <x v="21"/>
    <x v="0"/>
    <x v="0"/>
    <n v="0"/>
    <x v="1"/>
  </r>
  <r>
    <x v="30"/>
    <x v="1"/>
    <x v="349"/>
    <x v="0"/>
    <x v="3"/>
    <x v="21"/>
    <x v="0"/>
    <x v="1"/>
    <n v="0"/>
    <x v="1"/>
  </r>
  <r>
    <x v="30"/>
    <x v="1"/>
    <x v="349"/>
    <x v="0"/>
    <x v="3"/>
    <x v="21"/>
    <x v="0"/>
    <x v="2"/>
    <n v="0"/>
    <x v="1"/>
  </r>
  <r>
    <x v="30"/>
    <x v="1"/>
    <x v="349"/>
    <x v="0"/>
    <x v="3"/>
    <x v="21"/>
    <x v="0"/>
    <x v="3"/>
    <n v="125"/>
    <x v="1"/>
  </r>
  <r>
    <x v="30"/>
    <x v="1"/>
    <x v="349"/>
    <x v="0"/>
    <x v="3"/>
    <x v="21"/>
    <x v="0"/>
    <x v="4"/>
    <n v="697"/>
    <x v="1"/>
  </r>
  <r>
    <x v="30"/>
    <x v="1"/>
    <x v="349"/>
    <x v="0"/>
    <x v="3"/>
    <x v="21"/>
    <x v="0"/>
    <x v="5"/>
    <n v="0"/>
    <x v="1"/>
  </r>
  <r>
    <x v="30"/>
    <x v="1"/>
    <x v="349"/>
    <x v="0"/>
    <x v="3"/>
    <x v="21"/>
    <x v="0"/>
    <x v="6"/>
    <n v="0"/>
    <x v="1"/>
  </r>
  <r>
    <x v="30"/>
    <x v="1"/>
    <x v="349"/>
    <x v="0"/>
    <x v="3"/>
    <x v="21"/>
    <x v="0"/>
    <x v="7"/>
    <n v="0"/>
    <x v="1"/>
  </r>
  <r>
    <x v="30"/>
    <x v="1"/>
    <x v="349"/>
    <x v="0"/>
    <x v="3"/>
    <x v="21"/>
    <x v="0"/>
    <x v="8"/>
    <n v="0"/>
    <x v="1"/>
  </r>
  <r>
    <x v="30"/>
    <x v="1"/>
    <x v="349"/>
    <x v="0"/>
    <x v="3"/>
    <x v="21"/>
    <x v="0"/>
    <x v="9"/>
    <n v="0"/>
    <x v="1"/>
  </r>
  <r>
    <x v="30"/>
    <x v="1"/>
    <x v="349"/>
    <x v="0"/>
    <x v="3"/>
    <x v="21"/>
    <x v="0"/>
    <x v="10"/>
    <n v="0"/>
    <x v="1"/>
  </r>
  <r>
    <x v="30"/>
    <x v="1"/>
    <x v="349"/>
    <x v="0"/>
    <x v="3"/>
    <x v="21"/>
    <x v="0"/>
    <x v="12"/>
    <n v="0"/>
    <x v="1"/>
  </r>
  <r>
    <x v="30"/>
    <x v="1"/>
    <x v="350"/>
    <x v="0"/>
    <x v="3"/>
    <x v="2"/>
    <x v="0"/>
    <x v="0"/>
    <n v="1024.8275268817204"/>
    <x v="1"/>
  </r>
  <r>
    <x v="30"/>
    <x v="1"/>
    <x v="350"/>
    <x v="0"/>
    <x v="3"/>
    <x v="2"/>
    <x v="0"/>
    <x v="1"/>
    <n v="70547.163423755599"/>
    <x v="1"/>
  </r>
  <r>
    <x v="30"/>
    <x v="1"/>
    <x v="350"/>
    <x v="0"/>
    <x v="3"/>
    <x v="2"/>
    <x v="0"/>
    <x v="2"/>
    <n v="6141.8243294813201"/>
    <x v="1"/>
  </r>
  <r>
    <x v="30"/>
    <x v="1"/>
    <x v="350"/>
    <x v="0"/>
    <x v="3"/>
    <x v="2"/>
    <x v="0"/>
    <x v="3"/>
    <n v="6450"/>
    <x v="1"/>
  </r>
  <r>
    <x v="30"/>
    <x v="1"/>
    <x v="350"/>
    <x v="0"/>
    <x v="3"/>
    <x v="2"/>
    <x v="0"/>
    <x v="4"/>
    <n v="12531"/>
    <x v="1"/>
  </r>
  <r>
    <x v="30"/>
    <x v="1"/>
    <x v="350"/>
    <x v="0"/>
    <x v="3"/>
    <x v="2"/>
    <x v="0"/>
    <x v="5"/>
    <n v="8367"/>
    <x v="1"/>
  </r>
  <r>
    <x v="30"/>
    <x v="1"/>
    <x v="350"/>
    <x v="0"/>
    <x v="3"/>
    <x v="2"/>
    <x v="0"/>
    <x v="6"/>
    <n v="8543"/>
    <x v="1"/>
  </r>
  <r>
    <x v="30"/>
    <x v="1"/>
    <x v="350"/>
    <x v="0"/>
    <x v="3"/>
    <x v="2"/>
    <x v="0"/>
    <x v="7"/>
    <n v="6887"/>
    <x v="1"/>
  </r>
  <r>
    <x v="30"/>
    <x v="1"/>
    <x v="350"/>
    <x v="0"/>
    <x v="3"/>
    <x v="2"/>
    <x v="0"/>
    <x v="8"/>
    <n v="7012"/>
    <x v="1"/>
  </r>
  <r>
    <x v="30"/>
    <x v="1"/>
    <x v="350"/>
    <x v="0"/>
    <x v="3"/>
    <x v="2"/>
    <x v="0"/>
    <x v="9"/>
    <n v="12199"/>
    <x v="1"/>
  </r>
  <r>
    <x v="30"/>
    <x v="1"/>
    <x v="350"/>
    <x v="0"/>
    <x v="3"/>
    <x v="2"/>
    <x v="0"/>
    <x v="10"/>
    <n v="8700"/>
    <x v="1"/>
  </r>
  <r>
    <x v="30"/>
    <x v="1"/>
    <x v="350"/>
    <x v="0"/>
    <x v="3"/>
    <x v="2"/>
    <x v="0"/>
    <x v="12"/>
    <n v="8700"/>
    <x v="1"/>
  </r>
  <r>
    <x v="30"/>
    <x v="1"/>
    <x v="351"/>
    <x v="0"/>
    <x v="9"/>
    <x v="35"/>
    <x v="0"/>
    <x v="0"/>
    <n v="68490.427484920001"/>
    <x v="1"/>
  </r>
  <r>
    <x v="30"/>
    <x v="1"/>
    <x v="351"/>
    <x v="0"/>
    <x v="9"/>
    <x v="35"/>
    <x v="0"/>
    <x v="1"/>
    <n v="25772.715301553857"/>
    <x v="1"/>
  </r>
  <r>
    <x v="30"/>
    <x v="1"/>
    <x v="351"/>
    <x v="0"/>
    <x v="9"/>
    <x v="35"/>
    <x v="0"/>
    <x v="2"/>
    <n v="671.86240257995166"/>
    <x v="1"/>
  </r>
  <r>
    <x v="30"/>
    <x v="1"/>
    <x v="351"/>
    <x v="0"/>
    <x v="9"/>
    <x v="35"/>
    <x v="0"/>
    <x v="3"/>
    <n v="12133"/>
    <x v="1"/>
  </r>
  <r>
    <x v="30"/>
    <x v="1"/>
    <x v="351"/>
    <x v="0"/>
    <x v="9"/>
    <x v="35"/>
    <x v="0"/>
    <x v="4"/>
    <n v="4707"/>
    <x v="1"/>
  </r>
  <r>
    <x v="30"/>
    <x v="1"/>
    <x v="351"/>
    <x v="0"/>
    <x v="9"/>
    <x v="35"/>
    <x v="0"/>
    <x v="5"/>
    <n v="0"/>
    <x v="1"/>
  </r>
  <r>
    <x v="30"/>
    <x v="1"/>
    <x v="351"/>
    <x v="0"/>
    <x v="9"/>
    <x v="35"/>
    <x v="0"/>
    <x v="6"/>
    <n v="38504"/>
    <x v="1"/>
  </r>
  <r>
    <x v="30"/>
    <x v="1"/>
    <x v="351"/>
    <x v="0"/>
    <x v="9"/>
    <x v="35"/>
    <x v="0"/>
    <x v="7"/>
    <n v="49397"/>
    <x v="1"/>
  </r>
  <r>
    <x v="30"/>
    <x v="1"/>
    <x v="351"/>
    <x v="0"/>
    <x v="9"/>
    <x v="35"/>
    <x v="0"/>
    <x v="8"/>
    <n v="62034"/>
    <x v="1"/>
  </r>
  <r>
    <x v="30"/>
    <x v="1"/>
    <x v="351"/>
    <x v="0"/>
    <x v="9"/>
    <x v="35"/>
    <x v="0"/>
    <x v="9"/>
    <n v="43549"/>
    <x v="1"/>
  </r>
  <r>
    <x v="30"/>
    <x v="1"/>
    <x v="351"/>
    <x v="0"/>
    <x v="9"/>
    <x v="35"/>
    <x v="0"/>
    <x v="10"/>
    <n v="43549"/>
    <x v="1"/>
  </r>
  <r>
    <x v="30"/>
    <x v="1"/>
    <x v="351"/>
    <x v="0"/>
    <x v="9"/>
    <x v="35"/>
    <x v="0"/>
    <x v="12"/>
    <n v="43549"/>
    <x v="1"/>
  </r>
  <r>
    <x v="30"/>
    <x v="1"/>
    <x v="352"/>
    <x v="0"/>
    <x v="9"/>
    <x v="35"/>
    <x v="0"/>
    <x v="0"/>
    <n v="0"/>
    <x v="1"/>
  </r>
  <r>
    <x v="30"/>
    <x v="1"/>
    <x v="352"/>
    <x v="0"/>
    <x v="9"/>
    <x v="35"/>
    <x v="0"/>
    <x v="1"/>
    <n v="0"/>
    <x v="1"/>
  </r>
  <r>
    <x v="30"/>
    <x v="1"/>
    <x v="352"/>
    <x v="0"/>
    <x v="9"/>
    <x v="35"/>
    <x v="0"/>
    <x v="2"/>
    <n v="0"/>
    <x v="1"/>
  </r>
  <r>
    <x v="30"/>
    <x v="1"/>
    <x v="352"/>
    <x v="0"/>
    <x v="9"/>
    <x v="35"/>
    <x v="0"/>
    <x v="3"/>
    <m/>
    <x v="1"/>
  </r>
  <r>
    <x v="30"/>
    <x v="1"/>
    <x v="352"/>
    <x v="0"/>
    <x v="9"/>
    <x v="35"/>
    <x v="0"/>
    <x v="4"/>
    <n v="0"/>
    <x v="1"/>
  </r>
  <r>
    <x v="30"/>
    <x v="1"/>
    <x v="352"/>
    <x v="0"/>
    <x v="9"/>
    <x v="35"/>
    <x v="0"/>
    <x v="5"/>
    <n v="0"/>
    <x v="1"/>
  </r>
  <r>
    <x v="30"/>
    <x v="1"/>
    <x v="352"/>
    <x v="0"/>
    <x v="9"/>
    <x v="35"/>
    <x v="0"/>
    <x v="6"/>
    <m/>
    <x v="1"/>
  </r>
  <r>
    <x v="30"/>
    <x v="1"/>
    <x v="352"/>
    <x v="0"/>
    <x v="9"/>
    <x v="35"/>
    <x v="0"/>
    <x v="7"/>
    <n v="20149"/>
    <x v="1"/>
  </r>
  <r>
    <x v="30"/>
    <x v="1"/>
    <x v="352"/>
    <x v="0"/>
    <x v="9"/>
    <x v="35"/>
    <x v="0"/>
    <x v="8"/>
    <n v="0"/>
    <x v="1"/>
  </r>
  <r>
    <x v="30"/>
    <x v="1"/>
    <x v="352"/>
    <x v="0"/>
    <x v="9"/>
    <x v="35"/>
    <x v="0"/>
    <x v="9"/>
    <n v="34018"/>
    <x v="1"/>
  </r>
  <r>
    <x v="30"/>
    <x v="1"/>
    <x v="352"/>
    <x v="0"/>
    <x v="9"/>
    <x v="35"/>
    <x v="0"/>
    <x v="10"/>
    <n v="0"/>
    <x v="1"/>
  </r>
  <r>
    <x v="30"/>
    <x v="1"/>
    <x v="352"/>
    <x v="0"/>
    <x v="9"/>
    <x v="35"/>
    <x v="0"/>
    <x v="12"/>
    <n v="0"/>
    <x v="1"/>
  </r>
  <r>
    <x v="30"/>
    <x v="1"/>
    <x v="353"/>
    <x v="3"/>
    <x v="8"/>
    <x v="23"/>
    <x v="0"/>
    <x v="0"/>
    <n v="0"/>
    <x v="1"/>
  </r>
  <r>
    <x v="30"/>
    <x v="1"/>
    <x v="353"/>
    <x v="3"/>
    <x v="8"/>
    <x v="23"/>
    <x v="0"/>
    <x v="1"/>
    <n v="0"/>
    <x v="1"/>
  </r>
  <r>
    <x v="30"/>
    <x v="1"/>
    <x v="353"/>
    <x v="3"/>
    <x v="8"/>
    <x v="23"/>
    <x v="0"/>
    <x v="2"/>
    <n v="0"/>
    <x v="1"/>
  </r>
  <r>
    <x v="30"/>
    <x v="1"/>
    <x v="353"/>
    <x v="3"/>
    <x v="8"/>
    <x v="23"/>
    <x v="0"/>
    <x v="3"/>
    <n v="0"/>
    <x v="1"/>
  </r>
  <r>
    <x v="30"/>
    <x v="1"/>
    <x v="353"/>
    <x v="3"/>
    <x v="8"/>
    <x v="23"/>
    <x v="0"/>
    <x v="4"/>
    <n v="0"/>
    <x v="1"/>
  </r>
  <r>
    <x v="30"/>
    <x v="1"/>
    <x v="353"/>
    <x v="3"/>
    <x v="8"/>
    <x v="23"/>
    <x v="0"/>
    <x v="5"/>
    <n v="5600.4"/>
    <x v="1"/>
  </r>
  <r>
    <x v="30"/>
    <x v="1"/>
    <x v="353"/>
    <x v="3"/>
    <x v="8"/>
    <x v="23"/>
    <x v="0"/>
    <x v="6"/>
    <n v="0"/>
    <x v="1"/>
  </r>
  <r>
    <x v="30"/>
    <x v="1"/>
    <x v="353"/>
    <x v="3"/>
    <x v="8"/>
    <x v="23"/>
    <x v="0"/>
    <x v="7"/>
    <n v="100000"/>
    <x v="1"/>
  </r>
  <r>
    <x v="30"/>
    <x v="1"/>
    <x v="353"/>
    <x v="3"/>
    <x v="8"/>
    <x v="23"/>
    <x v="0"/>
    <x v="8"/>
    <n v="0"/>
    <x v="1"/>
  </r>
  <r>
    <x v="30"/>
    <x v="1"/>
    <x v="353"/>
    <x v="3"/>
    <x v="8"/>
    <x v="23"/>
    <x v="0"/>
    <x v="9"/>
    <n v="100000"/>
    <x v="1"/>
  </r>
  <r>
    <x v="30"/>
    <x v="1"/>
    <x v="353"/>
    <x v="3"/>
    <x v="8"/>
    <x v="23"/>
    <x v="0"/>
    <x v="10"/>
    <n v="0"/>
    <x v="1"/>
  </r>
  <r>
    <x v="30"/>
    <x v="1"/>
    <x v="353"/>
    <x v="3"/>
    <x v="8"/>
    <x v="23"/>
    <x v="0"/>
    <x v="12"/>
    <n v="0"/>
    <x v="1"/>
  </r>
  <r>
    <x v="30"/>
    <x v="1"/>
    <x v="354"/>
    <x v="3"/>
    <x v="8"/>
    <x v="23"/>
    <x v="0"/>
    <x v="0"/>
    <n v="0"/>
    <x v="1"/>
  </r>
  <r>
    <x v="30"/>
    <x v="1"/>
    <x v="354"/>
    <x v="3"/>
    <x v="8"/>
    <x v="23"/>
    <x v="0"/>
    <x v="1"/>
    <n v="50000"/>
    <x v="1"/>
  </r>
  <r>
    <x v="30"/>
    <x v="1"/>
    <x v="354"/>
    <x v="3"/>
    <x v="8"/>
    <x v="23"/>
    <x v="0"/>
    <x v="2"/>
    <n v="0"/>
    <x v="1"/>
  </r>
  <r>
    <x v="30"/>
    <x v="1"/>
    <x v="354"/>
    <x v="3"/>
    <x v="8"/>
    <x v="23"/>
    <x v="0"/>
    <x v="3"/>
    <n v="0"/>
    <x v="1"/>
  </r>
  <r>
    <x v="30"/>
    <x v="1"/>
    <x v="354"/>
    <x v="3"/>
    <x v="8"/>
    <x v="23"/>
    <x v="0"/>
    <x v="4"/>
    <n v="0"/>
    <x v="1"/>
  </r>
  <r>
    <x v="30"/>
    <x v="1"/>
    <x v="354"/>
    <x v="3"/>
    <x v="8"/>
    <x v="23"/>
    <x v="0"/>
    <x v="5"/>
    <n v="0"/>
    <x v="1"/>
  </r>
  <r>
    <x v="30"/>
    <x v="1"/>
    <x v="354"/>
    <x v="3"/>
    <x v="8"/>
    <x v="23"/>
    <x v="0"/>
    <x v="6"/>
    <n v="0"/>
    <x v="1"/>
  </r>
  <r>
    <x v="30"/>
    <x v="1"/>
    <x v="354"/>
    <x v="3"/>
    <x v="8"/>
    <x v="23"/>
    <x v="0"/>
    <x v="7"/>
    <n v="0"/>
    <x v="1"/>
  </r>
  <r>
    <x v="30"/>
    <x v="1"/>
    <x v="354"/>
    <x v="3"/>
    <x v="8"/>
    <x v="23"/>
    <x v="0"/>
    <x v="8"/>
    <n v="0"/>
    <x v="1"/>
  </r>
  <r>
    <x v="30"/>
    <x v="1"/>
    <x v="354"/>
    <x v="3"/>
    <x v="8"/>
    <x v="23"/>
    <x v="0"/>
    <x v="9"/>
    <n v="0"/>
    <x v="1"/>
  </r>
  <r>
    <x v="30"/>
    <x v="1"/>
    <x v="354"/>
    <x v="3"/>
    <x v="8"/>
    <x v="23"/>
    <x v="0"/>
    <x v="10"/>
    <n v="0"/>
    <x v="1"/>
  </r>
  <r>
    <x v="30"/>
    <x v="1"/>
    <x v="354"/>
    <x v="3"/>
    <x v="8"/>
    <x v="23"/>
    <x v="0"/>
    <x v="12"/>
    <n v="0"/>
    <x v="1"/>
  </r>
  <r>
    <x v="30"/>
    <x v="1"/>
    <x v="355"/>
    <x v="3"/>
    <x v="8"/>
    <x v="23"/>
    <x v="0"/>
    <x v="0"/>
    <n v="0"/>
    <x v="1"/>
  </r>
  <r>
    <x v="30"/>
    <x v="1"/>
    <x v="355"/>
    <x v="3"/>
    <x v="8"/>
    <x v="23"/>
    <x v="0"/>
    <x v="1"/>
    <n v="0"/>
    <x v="1"/>
  </r>
  <r>
    <x v="30"/>
    <x v="1"/>
    <x v="355"/>
    <x v="3"/>
    <x v="8"/>
    <x v="23"/>
    <x v="0"/>
    <x v="2"/>
    <n v="0"/>
    <x v="1"/>
  </r>
  <r>
    <x v="30"/>
    <x v="1"/>
    <x v="355"/>
    <x v="3"/>
    <x v="8"/>
    <x v="23"/>
    <x v="0"/>
    <x v="3"/>
    <n v="0"/>
    <x v="1"/>
  </r>
  <r>
    <x v="30"/>
    <x v="1"/>
    <x v="355"/>
    <x v="3"/>
    <x v="8"/>
    <x v="23"/>
    <x v="0"/>
    <x v="4"/>
    <n v="0"/>
    <x v="1"/>
  </r>
  <r>
    <x v="30"/>
    <x v="1"/>
    <x v="355"/>
    <x v="3"/>
    <x v="8"/>
    <x v="23"/>
    <x v="0"/>
    <x v="5"/>
    <n v="44000"/>
    <x v="1"/>
  </r>
  <r>
    <x v="30"/>
    <x v="1"/>
    <x v="355"/>
    <x v="3"/>
    <x v="8"/>
    <x v="23"/>
    <x v="0"/>
    <x v="6"/>
    <n v="0"/>
    <x v="1"/>
  </r>
  <r>
    <x v="30"/>
    <x v="1"/>
    <x v="355"/>
    <x v="3"/>
    <x v="8"/>
    <x v="23"/>
    <x v="0"/>
    <x v="7"/>
    <n v="14000"/>
    <x v="1"/>
  </r>
  <r>
    <x v="30"/>
    <x v="1"/>
    <x v="355"/>
    <x v="3"/>
    <x v="8"/>
    <x v="23"/>
    <x v="0"/>
    <x v="8"/>
    <n v="0"/>
    <x v="1"/>
  </r>
  <r>
    <x v="30"/>
    <x v="1"/>
    <x v="355"/>
    <x v="3"/>
    <x v="8"/>
    <x v="23"/>
    <x v="0"/>
    <x v="9"/>
    <n v="90000"/>
    <x v="1"/>
  </r>
  <r>
    <x v="30"/>
    <x v="1"/>
    <x v="355"/>
    <x v="3"/>
    <x v="8"/>
    <x v="23"/>
    <x v="0"/>
    <x v="10"/>
    <n v="0"/>
    <x v="1"/>
  </r>
  <r>
    <x v="30"/>
    <x v="1"/>
    <x v="355"/>
    <x v="3"/>
    <x v="8"/>
    <x v="23"/>
    <x v="0"/>
    <x v="12"/>
    <n v="0"/>
    <x v="1"/>
  </r>
  <r>
    <x v="89"/>
    <x v="0"/>
    <x v="356"/>
    <x v="2"/>
    <x v="0"/>
    <x v="0"/>
    <x v="0"/>
    <x v="0"/>
    <n v="2829.3040493293315"/>
    <x v="2"/>
  </r>
  <r>
    <x v="89"/>
    <x v="0"/>
    <x v="356"/>
    <x v="2"/>
    <x v="0"/>
    <x v="0"/>
    <x v="0"/>
    <x v="1"/>
    <n v="2609.6521313614617"/>
    <x v="2"/>
  </r>
  <r>
    <x v="89"/>
    <x v="0"/>
    <x v="356"/>
    <x v="2"/>
    <x v="0"/>
    <x v="0"/>
    <x v="0"/>
    <x v="2"/>
    <n v="3831.9995754187171"/>
    <x v="2"/>
  </r>
  <r>
    <x v="89"/>
    <x v="0"/>
    <x v="356"/>
    <x v="2"/>
    <x v="0"/>
    <x v="0"/>
    <x v="0"/>
    <x v="3"/>
    <n v="2879.8682273358572"/>
    <x v="2"/>
  </r>
  <r>
    <x v="89"/>
    <x v="0"/>
    <x v="356"/>
    <x v="2"/>
    <x v="0"/>
    <x v="0"/>
    <x v="0"/>
    <x v="4"/>
    <n v="1881.46"/>
    <x v="2"/>
  </r>
  <r>
    <x v="89"/>
    <x v="0"/>
    <x v="356"/>
    <x v="2"/>
    <x v="0"/>
    <x v="0"/>
    <x v="0"/>
    <x v="5"/>
    <n v="3098.099976352838"/>
    <x v="2"/>
  </r>
  <r>
    <x v="89"/>
    <x v="0"/>
    <x v="356"/>
    <x v="2"/>
    <x v="0"/>
    <x v="0"/>
    <x v="0"/>
    <x v="6"/>
    <n v="4489.221970787904"/>
    <x v="2"/>
  </r>
  <r>
    <x v="89"/>
    <x v="0"/>
    <x v="356"/>
    <x v="2"/>
    <x v="0"/>
    <x v="0"/>
    <x v="0"/>
    <x v="7"/>
    <n v="2622.9914249360531"/>
    <x v="2"/>
  </r>
  <r>
    <x v="89"/>
    <x v="0"/>
    <x v="356"/>
    <x v="2"/>
    <x v="0"/>
    <x v="0"/>
    <x v="0"/>
    <x v="8"/>
    <n v="2724.3547400611619"/>
    <x v="2"/>
  </r>
  <r>
    <x v="89"/>
    <x v="0"/>
    <x v="356"/>
    <x v="2"/>
    <x v="0"/>
    <x v="0"/>
    <x v="0"/>
    <x v="9"/>
    <n v="2292.389118676424"/>
    <x v="2"/>
  </r>
  <r>
    <x v="89"/>
    <x v="0"/>
    <x v="356"/>
    <x v="2"/>
    <x v="0"/>
    <x v="0"/>
    <x v="0"/>
    <x v="10"/>
    <n v="2292.389118676424"/>
    <x v="2"/>
  </r>
  <r>
    <x v="89"/>
    <x v="0"/>
    <x v="356"/>
    <x v="2"/>
    <x v="0"/>
    <x v="0"/>
    <x v="0"/>
    <x v="12"/>
    <n v="2292.389118676424"/>
    <x v="2"/>
  </r>
  <r>
    <x v="90"/>
    <x v="0"/>
    <x v="357"/>
    <x v="2"/>
    <x v="0"/>
    <x v="0"/>
    <x v="0"/>
    <x v="0"/>
    <n v="1531.8459506706686"/>
    <x v="2"/>
  </r>
  <r>
    <x v="90"/>
    <x v="0"/>
    <x v="357"/>
    <x v="2"/>
    <x v="0"/>
    <x v="0"/>
    <x v="0"/>
    <x v="1"/>
    <n v="1546.9078686385385"/>
    <x v="2"/>
  </r>
  <r>
    <x v="90"/>
    <x v="0"/>
    <x v="357"/>
    <x v="2"/>
    <x v="0"/>
    <x v="0"/>
    <x v="0"/>
    <x v="2"/>
    <n v="2115.5404245812829"/>
    <x v="2"/>
  </r>
  <r>
    <x v="90"/>
    <x v="0"/>
    <x v="357"/>
    <x v="2"/>
    <x v="0"/>
    <x v="0"/>
    <x v="0"/>
    <x v="3"/>
    <n v="1599.2617726641422"/>
    <x v="2"/>
  </r>
  <r>
    <x v="90"/>
    <x v="0"/>
    <x v="357"/>
    <x v="2"/>
    <x v="0"/>
    <x v="0"/>
    <x v="0"/>
    <x v="4"/>
    <n v="1060.3599999999999"/>
    <x v="2"/>
  </r>
  <r>
    <x v="90"/>
    <x v="0"/>
    <x v="357"/>
    <x v="2"/>
    <x v="0"/>
    <x v="0"/>
    <x v="0"/>
    <x v="5"/>
    <n v="1558.9100236471625"/>
    <x v="2"/>
  </r>
  <r>
    <x v="90"/>
    <x v="0"/>
    <x v="357"/>
    <x v="2"/>
    <x v="0"/>
    <x v="0"/>
    <x v="0"/>
    <x v="6"/>
    <n v="1362.7780292120963"/>
    <x v="2"/>
  </r>
  <r>
    <x v="90"/>
    <x v="0"/>
    <x v="357"/>
    <x v="2"/>
    <x v="0"/>
    <x v="0"/>
    <x v="0"/>
    <x v="7"/>
    <n v="1463.2385750639471"/>
    <x v="2"/>
  </r>
  <r>
    <x v="90"/>
    <x v="0"/>
    <x v="357"/>
    <x v="2"/>
    <x v="0"/>
    <x v="0"/>
    <x v="0"/>
    <x v="8"/>
    <n v="1558.6452599388379"/>
    <x v="2"/>
  </r>
  <r>
    <x v="90"/>
    <x v="0"/>
    <x v="357"/>
    <x v="2"/>
    <x v="0"/>
    <x v="0"/>
    <x v="0"/>
    <x v="9"/>
    <n v="1258.6108813235762"/>
    <x v="2"/>
  </r>
  <r>
    <x v="90"/>
    <x v="0"/>
    <x v="357"/>
    <x v="2"/>
    <x v="0"/>
    <x v="0"/>
    <x v="0"/>
    <x v="10"/>
    <n v="1258.6108813235762"/>
    <x v="2"/>
  </r>
  <r>
    <x v="90"/>
    <x v="0"/>
    <x v="357"/>
    <x v="2"/>
    <x v="0"/>
    <x v="0"/>
    <x v="0"/>
    <x v="12"/>
    <n v="1258.6108813235762"/>
    <x v="2"/>
  </r>
  <r>
    <x v="30"/>
    <x v="0"/>
    <x v="358"/>
    <x v="2"/>
    <x v="0"/>
    <x v="0"/>
    <x v="0"/>
    <x v="0"/>
    <n v="2802.86"/>
    <x v="2"/>
  </r>
  <r>
    <x v="30"/>
    <x v="0"/>
    <x v="358"/>
    <x v="2"/>
    <x v="0"/>
    <x v="0"/>
    <x v="0"/>
    <x v="1"/>
    <n v="2844.04"/>
    <x v="2"/>
  </r>
  <r>
    <x v="30"/>
    <x v="0"/>
    <x v="358"/>
    <x v="2"/>
    <x v="0"/>
    <x v="0"/>
    <x v="0"/>
    <x v="2"/>
    <n v="2846.91"/>
    <x v="2"/>
  </r>
  <r>
    <x v="30"/>
    <x v="0"/>
    <x v="358"/>
    <x v="2"/>
    <x v="0"/>
    <x v="0"/>
    <x v="0"/>
    <x v="3"/>
    <n v="2881.39"/>
    <x v="2"/>
  </r>
  <r>
    <x v="30"/>
    <x v="0"/>
    <x v="358"/>
    <x v="2"/>
    <x v="0"/>
    <x v="0"/>
    <x v="0"/>
    <x v="4"/>
    <n v="2950.14"/>
    <x v="2"/>
  </r>
  <r>
    <x v="30"/>
    <x v="0"/>
    <x v="358"/>
    <x v="2"/>
    <x v="0"/>
    <x v="0"/>
    <x v="0"/>
    <x v="5"/>
    <n v="2720.9"/>
    <x v="2"/>
  </r>
  <r>
    <x v="30"/>
    <x v="0"/>
    <x v="358"/>
    <x v="2"/>
    <x v="0"/>
    <x v="0"/>
    <x v="0"/>
    <x v="6"/>
    <n v="2788"/>
    <x v="2"/>
  </r>
  <r>
    <x v="30"/>
    <x v="0"/>
    <x v="358"/>
    <x v="2"/>
    <x v="0"/>
    <x v="0"/>
    <x v="0"/>
    <x v="7"/>
    <n v="2956.01"/>
    <x v="2"/>
  </r>
  <r>
    <x v="30"/>
    <x v="0"/>
    <x v="358"/>
    <x v="2"/>
    <x v="0"/>
    <x v="0"/>
    <x v="0"/>
    <x v="8"/>
    <n v="2946"/>
    <x v="2"/>
  </r>
  <r>
    <x v="30"/>
    <x v="0"/>
    <x v="358"/>
    <x v="2"/>
    <x v="0"/>
    <x v="0"/>
    <x v="0"/>
    <x v="9"/>
    <n v="2695"/>
    <x v="2"/>
  </r>
  <r>
    <x v="30"/>
    <x v="0"/>
    <x v="358"/>
    <x v="2"/>
    <x v="0"/>
    <x v="0"/>
    <x v="0"/>
    <x v="10"/>
    <n v="2695"/>
    <x v="2"/>
  </r>
  <r>
    <x v="30"/>
    <x v="0"/>
    <x v="358"/>
    <x v="2"/>
    <x v="0"/>
    <x v="0"/>
    <x v="0"/>
    <x v="12"/>
    <n v="2695"/>
    <x v="2"/>
  </r>
  <r>
    <x v="30"/>
    <x v="0"/>
    <x v="293"/>
    <x v="2"/>
    <x v="2"/>
    <x v="3"/>
    <x v="0"/>
    <x v="0"/>
    <n v="0"/>
    <x v="2"/>
  </r>
  <r>
    <x v="30"/>
    <x v="0"/>
    <x v="293"/>
    <x v="2"/>
    <x v="2"/>
    <x v="3"/>
    <x v="0"/>
    <x v="1"/>
    <n v="0"/>
    <x v="2"/>
  </r>
  <r>
    <x v="30"/>
    <x v="0"/>
    <x v="293"/>
    <x v="2"/>
    <x v="2"/>
    <x v="3"/>
    <x v="0"/>
    <x v="2"/>
    <n v="305.01"/>
    <x v="2"/>
  </r>
  <r>
    <x v="30"/>
    <x v="0"/>
    <x v="293"/>
    <x v="2"/>
    <x v="2"/>
    <x v="3"/>
    <x v="0"/>
    <x v="3"/>
    <n v="0"/>
    <x v="2"/>
  </r>
  <r>
    <x v="30"/>
    <x v="0"/>
    <x v="293"/>
    <x v="2"/>
    <x v="2"/>
    <x v="3"/>
    <x v="0"/>
    <x v="4"/>
    <n v="126.48"/>
    <x v="2"/>
  </r>
  <r>
    <x v="30"/>
    <x v="0"/>
    <x v="293"/>
    <x v="2"/>
    <x v="2"/>
    <x v="3"/>
    <x v="0"/>
    <x v="5"/>
    <n v="477.99"/>
    <x v="2"/>
  </r>
  <r>
    <x v="30"/>
    <x v="0"/>
    <x v="293"/>
    <x v="2"/>
    <x v="2"/>
    <x v="3"/>
    <x v="0"/>
    <x v="6"/>
    <n v="0"/>
    <x v="2"/>
  </r>
  <r>
    <x v="30"/>
    <x v="0"/>
    <x v="293"/>
    <x v="2"/>
    <x v="2"/>
    <x v="3"/>
    <x v="0"/>
    <x v="7"/>
    <n v="0"/>
    <x v="2"/>
  </r>
  <r>
    <x v="30"/>
    <x v="0"/>
    <x v="293"/>
    <x v="2"/>
    <x v="2"/>
    <x v="3"/>
    <x v="0"/>
    <x v="8"/>
    <n v="0"/>
    <x v="2"/>
  </r>
  <r>
    <x v="30"/>
    <x v="0"/>
    <x v="293"/>
    <x v="2"/>
    <x v="2"/>
    <x v="3"/>
    <x v="0"/>
    <x v="9"/>
    <n v="0"/>
    <x v="2"/>
  </r>
  <r>
    <x v="30"/>
    <x v="0"/>
    <x v="293"/>
    <x v="2"/>
    <x v="2"/>
    <x v="3"/>
    <x v="0"/>
    <x v="10"/>
    <n v="0"/>
    <x v="2"/>
  </r>
  <r>
    <x v="30"/>
    <x v="0"/>
    <x v="293"/>
    <x v="2"/>
    <x v="2"/>
    <x v="3"/>
    <x v="0"/>
    <x v="12"/>
    <n v="0"/>
    <x v="2"/>
  </r>
  <r>
    <x v="30"/>
    <x v="0"/>
    <x v="359"/>
    <x v="2"/>
    <x v="2"/>
    <x v="3"/>
    <x v="0"/>
    <x v="0"/>
    <n v="538.78"/>
    <x v="2"/>
  </r>
  <r>
    <x v="30"/>
    <x v="0"/>
    <x v="359"/>
    <x v="2"/>
    <x v="2"/>
    <x v="3"/>
    <x v="0"/>
    <x v="1"/>
    <n v="648.37"/>
    <x v="2"/>
  </r>
  <r>
    <x v="30"/>
    <x v="0"/>
    <x v="359"/>
    <x v="2"/>
    <x v="2"/>
    <x v="3"/>
    <x v="0"/>
    <x v="2"/>
    <n v="706"/>
    <x v="2"/>
  </r>
  <r>
    <x v="30"/>
    <x v="0"/>
    <x v="359"/>
    <x v="2"/>
    <x v="2"/>
    <x v="3"/>
    <x v="0"/>
    <x v="3"/>
    <n v="576.32653061224482"/>
    <x v="2"/>
  </r>
  <r>
    <x v="30"/>
    <x v="0"/>
    <x v="359"/>
    <x v="2"/>
    <x v="2"/>
    <x v="3"/>
    <x v="0"/>
    <x v="4"/>
    <n v="576.33000000000004"/>
    <x v="2"/>
  </r>
  <r>
    <x v="30"/>
    <x v="0"/>
    <x v="359"/>
    <x v="2"/>
    <x v="2"/>
    <x v="3"/>
    <x v="0"/>
    <x v="5"/>
    <n v="1096.99"/>
    <x v="2"/>
  </r>
  <r>
    <x v="30"/>
    <x v="0"/>
    <x v="359"/>
    <x v="2"/>
    <x v="2"/>
    <x v="3"/>
    <x v="0"/>
    <x v="6"/>
    <n v="11694"/>
    <x v="2"/>
  </r>
  <r>
    <x v="30"/>
    <x v="0"/>
    <x v="359"/>
    <x v="2"/>
    <x v="2"/>
    <x v="3"/>
    <x v="0"/>
    <x v="7"/>
    <n v="522.96"/>
    <x v="2"/>
  </r>
  <r>
    <x v="30"/>
    <x v="0"/>
    <x v="359"/>
    <x v="2"/>
    <x v="2"/>
    <x v="3"/>
    <x v="0"/>
    <x v="8"/>
    <n v="523"/>
    <x v="2"/>
  </r>
  <r>
    <x v="30"/>
    <x v="0"/>
    <x v="359"/>
    <x v="2"/>
    <x v="2"/>
    <x v="3"/>
    <x v="0"/>
    <x v="9"/>
    <n v="618"/>
    <x v="2"/>
  </r>
  <r>
    <x v="30"/>
    <x v="0"/>
    <x v="359"/>
    <x v="2"/>
    <x v="2"/>
    <x v="3"/>
    <x v="0"/>
    <x v="10"/>
    <n v="618"/>
    <x v="2"/>
  </r>
  <r>
    <x v="30"/>
    <x v="0"/>
    <x v="359"/>
    <x v="2"/>
    <x v="2"/>
    <x v="3"/>
    <x v="0"/>
    <x v="12"/>
    <n v="618"/>
    <x v="2"/>
  </r>
  <r>
    <x v="30"/>
    <x v="1"/>
    <x v="360"/>
    <x v="2"/>
    <x v="2"/>
    <x v="3"/>
    <x v="0"/>
    <x v="0"/>
    <n v="0"/>
    <x v="2"/>
  </r>
  <r>
    <x v="30"/>
    <x v="1"/>
    <x v="360"/>
    <x v="2"/>
    <x v="2"/>
    <x v="3"/>
    <x v="0"/>
    <x v="1"/>
    <n v="35366.730000000003"/>
    <x v="2"/>
  </r>
  <r>
    <x v="30"/>
    <x v="1"/>
    <x v="360"/>
    <x v="2"/>
    <x v="2"/>
    <x v="3"/>
    <x v="0"/>
    <x v="2"/>
    <n v="0"/>
    <x v="2"/>
  </r>
  <r>
    <x v="30"/>
    <x v="1"/>
    <x v="360"/>
    <x v="2"/>
    <x v="2"/>
    <x v="3"/>
    <x v="0"/>
    <x v="3"/>
    <n v="0"/>
    <x v="2"/>
  </r>
  <r>
    <x v="30"/>
    <x v="1"/>
    <x v="360"/>
    <x v="2"/>
    <x v="2"/>
    <x v="3"/>
    <x v="0"/>
    <x v="4"/>
    <n v="35577.58"/>
    <x v="2"/>
  </r>
  <r>
    <x v="30"/>
    <x v="1"/>
    <x v="360"/>
    <x v="2"/>
    <x v="2"/>
    <x v="3"/>
    <x v="0"/>
    <x v="5"/>
    <n v="2106.23"/>
    <x v="2"/>
  </r>
  <r>
    <x v="30"/>
    <x v="1"/>
    <x v="360"/>
    <x v="2"/>
    <x v="2"/>
    <x v="3"/>
    <x v="0"/>
    <x v="6"/>
    <n v="0"/>
    <x v="2"/>
  </r>
  <r>
    <x v="30"/>
    <x v="1"/>
    <x v="360"/>
    <x v="2"/>
    <x v="2"/>
    <x v="3"/>
    <x v="0"/>
    <x v="7"/>
    <n v="0"/>
    <x v="2"/>
  </r>
  <r>
    <x v="30"/>
    <x v="1"/>
    <x v="360"/>
    <x v="2"/>
    <x v="2"/>
    <x v="3"/>
    <x v="0"/>
    <x v="8"/>
    <n v="0"/>
    <x v="2"/>
  </r>
  <r>
    <x v="30"/>
    <x v="1"/>
    <x v="360"/>
    <x v="2"/>
    <x v="2"/>
    <x v="3"/>
    <x v="0"/>
    <x v="9"/>
    <n v="28516"/>
    <x v="2"/>
  </r>
  <r>
    <x v="30"/>
    <x v="1"/>
    <x v="360"/>
    <x v="2"/>
    <x v="2"/>
    <x v="3"/>
    <x v="0"/>
    <x v="10"/>
    <n v="0"/>
    <x v="2"/>
  </r>
  <r>
    <x v="30"/>
    <x v="1"/>
    <x v="360"/>
    <x v="2"/>
    <x v="2"/>
    <x v="3"/>
    <x v="0"/>
    <x v="12"/>
    <n v="0"/>
    <x v="2"/>
  </r>
  <r>
    <x v="30"/>
    <x v="2"/>
    <x v="361"/>
    <x v="0"/>
    <x v="2"/>
    <x v="3"/>
    <x v="8"/>
    <x v="0"/>
    <n v="0"/>
    <x v="2"/>
  </r>
  <r>
    <x v="30"/>
    <x v="2"/>
    <x v="361"/>
    <x v="0"/>
    <x v="2"/>
    <x v="3"/>
    <x v="8"/>
    <x v="1"/>
    <n v="0"/>
    <x v="2"/>
  </r>
  <r>
    <x v="30"/>
    <x v="2"/>
    <x v="361"/>
    <x v="0"/>
    <x v="2"/>
    <x v="3"/>
    <x v="8"/>
    <x v="2"/>
    <n v="0"/>
    <x v="2"/>
  </r>
  <r>
    <x v="30"/>
    <x v="2"/>
    <x v="361"/>
    <x v="0"/>
    <x v="2"/>
    <x v="3"/>
    <x v="8"/>
    <x v="3"/>
    <n v="0"/>
    <x v="2"/>
  </r>
  <r>
    <x v="30"/>
    <x v="2"/>
    <x v="361"/>
    <x v="0"/>
    <x v="2"/>
    <x v="3"/>
    <x v="8"/>
    <x v="4"/>
    <n v="0"/>
    <x v="2"/>
  </r>
  <r>
    <x v="30"/>
    <x v="2"/>
    <x v="361"/>
    <x v="0"/>
    <x v="2"/>
    <x v="3"/>
    <x v="8"/>
    <x v="5"/>
    <n v="0"/>
    <x v="2"/>
  </r>
  <r>
    <x v="30"/>
    <x v="2"/>
    <x v="361"/>
    <x v="0"/>
    <x v="2"/>
    <x v="3"/>
    <x v="8"/>
    <x v="6"/>
    <n v="0"/>
    <x v="2"/>
  </r>
  <r>
    <x v="30"/>
    <x v="2"/>
    <x v="361"/>
    <x v="0"/>
    <x v="2"/>
    <x v="3"/>
    <x v="8"/>
    <x v="7"/>
    <n v="7419.75"/>
    <x v="2"/>
  </r>
  <r>
    <x v="30"/>
    <x v="2"/>
    <x v="361"/>
    <x v="0"/>
    <x v="2"/>
    <x v="3"/>
    <x v="8"/>
    <x v="8"/>
    <n v="0"/>
    <x v="2"/>
  </r>
  <r>
    <x v="30"/>
    <x v="2"/>
    <x v="361"/>
    <x v="0"/>
    <x v="2"/>
    <x v="3"/>
    <x v="8"/>
    <x v="9"/>
    <n v="0"/>
    <x v="2"/>
  </r>
  <r>
    <x v="30"/>
    <x v="2"/>
    <x v="361"/>
    <x v="0"/>
    <x v="2"/>
    <x v="3"/>
    <x v="8"/>
    <x v="10"/>
    <n v="0"/>
    <x v="2"/>
  </r>
  <r>
    <x v="30"/>
    <x v="2"/>
    <x v="361"/>
    <x v="0"/>
    <x v="2"/>
    <x v="3"/>
    <x v="8"/>
    <x v="12"/>
    <n v="0"/>
    <x v="2"/>
  </r>
  <r>
    <x v="30"/>
    <x v="1"/>
    <x v="296"/>
    <x v="0"/>
    <x v="2"/>
    <x v="3"/>
    <x v="0"/>
    <x v="0"/>
    <n v="0"/>
    <x v="2"/>
  </r>
  <r>
    <x v="30"/>
    <x v="1"/>
    <x v="296"/>
    <x v="0"/>
    <x v="2"/>
    <x v="3"/>
    <x v="0"/>
    <x v="1"/>
    <n v="0"/>
    <x v="2"/>
  </r>
  <r>
    <x v="30"/>
    <x v="1"/>
    <x v="296"/>
    <x v="0"/>
    <x v="2"/>
    <x v="3"/>
    <x v="0"/>
    <x v="2"/>
    <n v="0"/>
    <x v="2"/>
  </r>
  <r>
    <x v="30"/>
    <x v="1"/>
    <x v="296"/>
    <x v="0"/>
    <x v="2"/>
    <x v="3"/>
    <x v="0"/>
    <x v="3"/>
    <n v="0"/>
    <x v="2"/>
  </r>
  <r>
    <x v="30"/>
    <x v="1"/>
    <x v="296"/>
    <x v="0"/>
    <x v="2"/>
    <x v="3"/>
    <x v="0"/>
    <x v="4"/>
    <n v="0"/>
    <x v="2"/>
  </r>
  <r>
    <x v="30"/>
    <x v="1"/>
    <x v="296"/>
    <x v="0"/>
    <x v="2"/>
    <x v="3"/>
    <x v="0"/>
    <x v="5"/>
    <n v="0"/>
    <x v="2"/>
  </r>
  <r>
    <x v="30"/>
    <x v="1"/>
    <x v="296"/>
    <x v="0"/>
    <x v="2"/>
    <x v="3"/>
    <x v="0"/>
    <x v="6"/>
    <n v="0"/>
    <x v="2"/>
  </r>
  <r>
    <x v="30"/>
    <x v="1"/>
    <x v="296"/>
    <x v="0"/>
    <x v="2"/>
    <x v="3"/>
    <x v="0"/>
    <x v="7"/>
    <n v="0"/>
    <x v="2"/>
  </r>
  <r>
    <x v="30"/>
    <x v="1"/>
    <x v="296"/>
    <x v="0"/>
    <x v="2"/>
    <x v="3"/>
    <x v="0"/>
    <x v="8"/>
    <n v="0"/>
    <x v="2"/>
  </r>
  <r>
    <x v="30"/>
    <x v="1"/>
    <x v="296"/>
    <x v="0"/>
    <x v="2"/>
    <x v="3"/>
    <x v="0"/>
    <x v="9"/>
    <n v="0"/>
    <x v="2"/>
  </r>
  <r>
    <x v="30"/>
    <x v="1"/>
    <x v="296"/>
    <x v="0"/>
    <x v="2"/>
    <x v="3"/>
    <x v="0"/>
    <x v="10"/>
    <n v="0"/>
    <x v="2"/>
  </r>
  <r>
    <x v="30"/>
    <x v="1"/>
    <x v="296"/>
    <x v="0"/>
    <x v="2"/>
    <x v="3"/>
    <x v="0"/>
    <x v="12"/>
    <n v="0"/>
    <x v="2"/>
  </r>
  <r>
    <x v="30"/>
    <x v="1"/>
    <x v="362"/>
    <x v="0"/>
    <x v="4"/>
    <x v="39"/>
    <x v="22"/>
    <x v="0"/>
    <n v="0"/>
    <x v="2"/>
  </r>
  <r>
    <x v="30"/>
    <x v="1"/>
    <x v="362"/>
    <x v="0"/>
    <x v="4"/>
    <x v="39"/>
    <x v="22"/>
    <x v="1"/>
    <n v="0"/>
    <x v="2"/>
  </r>
  <r>
    <x v="30"/>
    <x v="1"/>
    <x v="362"/>
    <x v="0"/>
    <x v="4"/>
    <x v="39"/>
    <x v="22"/>
    <x v="2"/>
    <n v="0"/>
    <x v="2"/>
  </r>
  <r>
    <x v="30"/>
    <x v="1"/>
    <x v="362"/>
    <x v="0"/>
    <x v="4"/>
    <x v="39"/>
    <x v="22"/>
    <x v="3"/>
    <n v="0"/>
    <x v="2"/>
  </r>
  <r>
    <x v="30"/>
    <x v="1"/>
    <x v="362"/>
    <x v="0"/>
    <x v="4"/>
    <x v="39"/>
    <x v="22"/>
    <x v="4"/>
    <n v="0"/>
    <x v="2"/>
  </r>
  <r>
    <x v="30"/>
    <x v="1"/>
    <x v="362"/>
    <x v="0"/>
    <x v="4"/>
    <x v="39"/>
    <x v="22"/>
    <x v="5"/>
    <n v="0"/>
    <x v="2"/>
  </r>
  <r>
    <x v="30"/>
    <x v="1"/>
    <x v="362"/>
    <x v="0"/>
    <x v="4"/>
    <x v="39"/>
    <x v="22"/>
    <x v="6"/>
    <n v="0"/>
    <x v="2"/>
  </r>
  <r>
    <x v="30"/>
    <x v="1"/>
    <x v="362"/>
    <x v="0"/>
    <x v="4"/>
    <x v="39"/>
    <x v="22"/>
    <x v="7"/>
    <n v="0"/>
    <x v="2"/>
  </r>
  <r>
    <x v="30"/>
    <x v="1"/>
    <x v="362"/>
    <x v="0"/>
    <x v="4"/>
    <x v="39"/>
    <x v="22"/>
    <x v="8"/>
    <n v="0"/>
    <x v="2"/>
  </r>
  <r>
    <x v="30"/>
    <x v="1"/>
    <x v="362"/>
    <x v="0"/>
    <x v="4"/>
    <x v="39"/>
    <x v="22"/>
    <x v="9"/>
    <n v="0"/>
    <x v="2"/>
  </r>
  <r>
    <x v="30"/>
    <x v="1"/>
    <x v="362"/>
    <x v="0"/>
    <x v="4"/>
    <x v="39"/>
    <x v="22"/>
    <x v="10"/>
    <n v="0"/>
    <x v="2"/>
  </r>
  <r>
    <x v="30"/>
    <x v="1"/>
    <x v="362"/>
    <x v="0"/>
    <x v="4"/>
    <x v="39"/>
    <x v="22"/>
    <x v="12"/>
    <n v="0"/>
    <x v="2"/>
  </r>
  <r>
    <x v="30"/>
    <x v="1"/>
    <x v="363"/>
    <x v="1"/>
    <x v="4"/>
    <x v="39"/>
    <x v="0"/>
    <x v="0"/>
    <n v="0"/>
    <x v="2"/>
  </r>
  <r>
    <x v="30"/>
    <x v="1"/>
    <x v="363"/>
    <x v="1"/>
    <x v="4"/>
    <x v="39"/>
    <x v="0"/>
    <x v="1"/>
    <n v="0"/>
    <x v="2"/>
  </r>
  <r>
    <x v="30"/>
    <x v="1"/>
    <x v="363"/>
    <x v="1"/>
    <x v="4"/>
    <x v="39"/>
    <x v="0"/>
    <x v="2"/>
    <n v="0"/>
    <x v="2"/>
  </r>
  <r>
    <x v="30"/>
    <x v="1"/>
    <x v="363"/>
    <x v="1"/>
    <x v="4"/>
    <x v="39"/>
    <x v="0"/>
    <x v="3"/>
    <n v="0"/>
    <x v="2"/>
  </r>
  <r>
    <x v="30"/>
    <x v="1"/>
    <x v="363"/>
    <x v="1"/>
    <x v="4"/>
    <x v="39"/>
    <x v="0"/>
    <x v="4"/>
    <n v="0"/>
    <x v="2"/>
  </r>
  <r>
    <x v="30"/>
    <x v="1"/>
    <x v="363"/>
    <x v="1"/>
    <x v="4"/>
    <x v="39"/>
    <x v="0"/>
    <x v="5"/>
    <n v="0"/>
    <x v="2"/>
  </r>
  <r>
    <x v="30"/>
    <x v="1"/>
    <x v="363"/>
    <x v="1"/>
    <x v="4"/>
    <x v="39"/>
    <x v="0"/>
    <x v="6"/>
    <n v="0"/>
    <x v="2"/>
  </r>
  <r>
    <x v="30"/>
    <x v="1"/>
    <x v="363"/>
    <x v="1"/>
    <x v="4"/>
    <x v="39"/>
    <x v="0"/>
    <x v="7"/>
    <n v="0"/>
    <x v="2"/>
  </r>
  <r>
    <x v="30"/>
    <x v="1"/>
    <x v="363"/>
    <x v="1"/>
    <x v="4"/>
    <x v="39"/>
    <x v="0"/>
    <x v="8"/>
    <n v="0"/>
    <x v="2"/>
  </r>
  <r>
    <x v="30"/>
    <x v="1"/>
    <x v="363"/>
    <x v="1"/>
    <x v="4"/>
    <x v="39"/>
    <x v="0"/>
    <x v="9"/>
    <n v="0"/>
    <x v="2"/>
  </r>
  <r>
    <x v="30"/>
    <x v="1"/>
    <x v="363"/>
    <x v="1"/>
    <x v="4"/>
    <x v="39"/>
    <x v="0"/>
    <x v="10"/>
    <n v="0"/>
    <x v="2"/>
  </r>
  <r>
    <x v="30"/>
    <x v="1"/>
    <x v="363"/>
    <x v="1"/>
    <x v="4"/>
    <x v="39"/>
    <x v="0"/>
    <x v="12"/>
    <n v="0"/>
    <x v="2"/>
  </r>
  <r>
    <x v="30"/>
    <x v="1"/>
    <x v="364"/>
    <x v="0"/>
    <x v="4"/>
    <x v="39"/>
    <x v="23"/>
    <x v="0"/>
    <n v="0"/>
    <x v="2"/>
  </r>
  <r>
    <x v="30"/>
    <x v="1"/>
    <x v="364"/>
    <x v="0"/>
    <x v="4"/>
    <x v="39"/>
    <x v="23"/>
    <x v="1"/>
    <n v="0"/>
    <x v="2"/>
  </r>
  <r>
    <x v="30"/>
    <x v="1"/>
    <x v="364"/>
    <x v="0"/>
    <x v="4"/>
    <x v="39"/>
    <x v="23"/>
    <x v="2"/>
    <n v="0"/>
    <x v="2"/>
  </r>
  <r>
    <x v="30"/>
    <x v="1"/>
    <x v="364"/>
    <x v="0"/>
    <x v="4"/>
    <x v="39"/>
    <x v="23"/>
    <x v="3"/>
    <n v="0"/>
    <x v="2"/>
  </r>
  <r>
    <x v="30"/>
    <x v="1"/>
    <x v="364"/>
    <x v="0"/>
    <x v="4"/>
    <x v="39"/>
    <x v="23"/>
    <x v="4"/>
    <n v="0"/>
    <x v="2"/>
  </r>
  <r>
    <x v="30"/>
    <x v="1"/>
    <x v="364"/>
    <x v="0"/>
    <x v="4"/>
    <x v="39"/>
    <x v="23"/>
    <x v="5"/>
    <n v="0"/>
    <x v="2"/>
  </r>
  <r>
    <x v="30"/>
    <x v="1"/>
    <x v="364"/>
    <x v="0"/>
    <x v="4"/>
    <x v="39"/>
    <x v="23"/>
    <x v="6"/>
    <n v="0"/>
    <x v="2"/>
  </r>
  <r>
    <x v="30"/>
    <x v="1"/>
    <x v="364"/>
    <x v="0"/>
    <x v="4"/>
    <x v="39"/>
    <x v="23"/>
    <x v="7"/>
    <n v="0"/>
    <x v="2"/>
  </r>
  <r>
    <x v="30"/>
    <x v="1"/>
    <x v="364"/>
    <x v="0"/>
    <x v="4"/>
    <x v="39"/>
    <x v="23"/>
    <x v="8"/>
    <n v="0"/>
    <x v="2"/>
  </r>
  <r>
    <x v="30"/>
    <x v="1"/>
    <x v="364"/>
    <x v="0"/>
    <x v="4"/>
    <x v="39"/>
    <x v="23"/>
    <x v="9"/>
    <n v="0"/>
    <x v="2"/>
  </r>
  <r>
    <x v="30"/>
    <x v="1"/>
    <x v="364"/>
    <x v="0"/>
    <x v="4"/>
    <x v="39"/>
    <x v="23"/>
    <x v="10"/>
    <n v="0"/>
    <x v="2"/>
  </r>
  <r>
    <x v="30"/>
    <x v="1"/>
    <x v="364"/>
    <x v="0"/>
    <x v="4"/>
    <x v="39"/>
    <x v="23"/>
    <x v="12"/>
    <n v="0"/>
    <x v="2"/>
  </r>
  <r>
    <x v="30"/>
    <x v="1"/>
    <x v="365"/>
    <x v="1"/>
    <x v="4"/>
    <x v="39"/>
    <x v="0"/>
    <x v="0"/>
    <n v="0"/>
    <x v="2"/>
  </r>
  <r>
    <x v="30"/>
    <x v="1"/>
    <x v="365"/>
    <x v="1"/>
    <x v="4"/>
    <x v="39"/>
    <x v="0"/>
    <x v="1"/>
    <n v="0"/>
    <x v="2"/>
  </r>
  <r>
    <x v="30"/>
    <x v="1"/>
    <x v="365"/>
    <x v="1"/>
    <x v="4"/>
    <x v="39"/>
    <x v="0"/>
    <x v="2"/>
    <n v="0"/>
    <x v="2"/>
  </r>
  <r>
    <x v="30"/>
    <x v="1"/>
    <x v="365"/>
    <x v="1"/>
    <x v="4"/>
    <x v="39"/>
    <x v="0"/>
    <x v="3"/>
    <n v="0"/>
    <x v="2"/>
  </r>
  <r>
    <x v="30"/>
    <x v="1"/>
    <x v="365"/>
    <x v="1"/>
    <x v="4"/>
    <x v="39"/>
    <x v="0"/>
    <x v="4"/>
    <n v="0"/>
    <x v="2"/>
  </r>
  <r>
    <x v="30"/>
    <x v="1"/>
    <x v="365"/>
    <x v="1"/>
    <x v="4"/>
    <x v="39"/>
    <x v="0"/>
    <x v="5"/>
    <n v="0"/>
    <x v="2"/>
  </r>
  <r>
    <x v="30"/>
    <x v="1"/>
    <x v="365"/>
    <x v="1"/>
    <x v="4"/>
    <x v="39"/>
    <x v="0"/>
    <x v="6"/>
    <n v="0"/>
    <x v="2"/>
  </r>
  <r>
    <x v="30"/>
    <x v="1"/>
    <x v="365"/>
    <x v="1"/>
    <x v="4"/>
    <x v="39"/>
    <x v="0"/>
    <x v="7"/>
    <n v="0"/>
    <x v="2"/>
  </r>
  <r>
    <x v="30"/>
    <x v="1"/>
    <x v="365"/>
    <x v="1"/>
    <x v="4"/>
    <x v="39"/>
    <x v="0"/>
    <x v="8"/>
    <n v="0"/>
    <x v="2"/>
  </r>
  <r>
    <x v="30"/>
    <x v="1"/>
    <x v="365"/>
    <x v="1"/>
    <x v="4"/>
    <x v="39"/>
    <x v="0"/>
    <x v="9"/>
    <n v="0"/>
    <x v="2"/>
  </r>
  <r>
    <x v="30"/>
    <x v="1"/>
    <x v="365"/>
    <x v="1"/>
    <x v="4"/>
    <x v="39"/>
    <x v="0"/>
    <x v="10"/>
    <n v="2500"/>
    <x v="2"/>
  </r>
  <r>
    <x v="30"/>
    <x v="1"/>
    <x v="365"/>
    <x v="1"/>
    <x v="4"/>
    <x v="39"/>
    <x v="0"/>
    <x v="12"/>
    <n v="2500"/>
    <x v="2"/>
  </r>
  <r>
    <x v="30"/>
    <x v="1"/>
    <x v="366"/>
    <x v="1"/>
    <x v="4"/>
    <x v="39"/>
    <x v="0"/>
    <x v="0"/>
    <n v="2054.67"/>
    <x v="2"/>
  </r>
  <r>
    <x v="30"/>
    <x v="1"/>
    <x v="366"/>
    <x v="1"/>
    <x v="4"/>
    <x v="39"/>
    <x v="0"/>
    <x v="1"/>
    <n v="0"/>
    <x v="2"/>
  </r>
  <r>
    <x v="30"/>
    <x v="1"/>
    <x v="366"/>
    <x v="1"/>
    <x v="4"/>
    <x v="39"/>
    <x v="0"/>
    <x v="2"/>
    <n v="0"/>
    <x v="2"/>
  </r>
  <r>
    <x v="30"/>
    <x v="1"/>
    <x v="366"/>
    <x v="1"/>
    <x v="4"/>
    <x v="39"/>
    <x v="0"/>
    <x v="3"/>
    <n v="0"/>
    <x v="2"/>
  </r>
  <r>
    <x v="30"/>
    <x v="1"/>
    <x v="366"/>
    <x v="1"/>
    <x v="4"/>
    <x v="39"/>
    <x v="0"/>
    <x v="4"/>
    <n v="0"/>
    <x v="2"/>
  </r>
  <r>
    <x v="30"/>
    <x v="1"/>
    <x v="366"/>
    <x v="1"/>
    <x v="4"/>
    <x v="39"/>
    <x v="0"/>
    <x v="5"/>
    <n v="0"/>
    <x v="2"/>
  </r>
  <r>
    <x v="30"/>
    <x v="1"/>
    <x v="366"/>
    <x v="1"/>
    <x v="4"/>
    <x v="39"/>
    <x v="0"/>
    <x v="6"/>
    <n v="0"/>
    <x v="2"/>
  </r>
  <r>
    <x v="30"/>
    <x v="1"/>
    <x v="366"/>
    <x v="1"/>
    <x v="4"/>
    <x v="39"/>
    <x v="0"/>
    <x v="7"/>
    <n v="0"/>
    <x v="2"/>
  </r>
  <r>
    <x v="30"/>
    <x v="1"/>
    <x v="366"/>
    <x v="1"/>
    <x v="4"/>
    <x v="39"/>
    <x v="0"/>
    <x v="8"/>
    <n v="0"/>
    <x v="2"/>
  </r>
  <r>
    <x v="30"/>
    <x v="1"/>
    <x v="366"/>
    <x v="1"/>
    <x v="4"/>
    <x v="39"/>
    <x v="0"/>
    <x v="9"/>
    <n v="0"/>
    <x v="2"/>
  </r>
  <r>
    <x v="30"/>
    <x v="1"/>
    <x v="366"/>
    <x v="1"/>
    <x v="4"/>
    <x v="39"/>
    <x v="0"/>
    <x v="10"/>
    <n v="0"/>
    <x v="2"/>
  </r>
  <r>
    <x v="30"/>
    <x v="1"/>
    <x v="366"/>
    <x v="1"/>
    <x v="4"/>
    <x v="39"/>
    <x v="0"/>
    <x v="12"/>
    <n v="0"/>
    <x v="2"/>
  </r>
  <r>
    <x v="30"/>
    <x v="1"/>
    <x v="367"/>
    <x v="1"/>
    <x v="4"/>
    <x v="39"/>
    <x v="0"/>
    <x v="0"/>
    <n v="0"/>
    <x v="2"/>
  </r>
  <r>
    <x v="30"/>
    <x v="1"/>
    <x v="367"/>
    <x v="1"/>
    <x v="4"/>
    <x v="39"/>
    <x v="0"/>
    <x v="1"/>
    <n v="0"/>
    <x v="2"/>
  </r>
  <r>
    <x v="30"/>
    <x v="1"/>
    <x v="367"/>
    <x v="1"/>
    <x v="4"/>
    <x v="39"/>
    <x v="0"/>
    <x v="2"/>
    <n v="0"/>
    <x v="2"/>
  </r>
  <r>
    <x v="30"/>
    <x v="1"/>
    <x v="367"/>
    <x v="1"/>
    <x v="4"/>
    <x v="39"/>
    <x v="0"/>
    <x v="3"/>
    <n v="0"/>
    <x v="2"/>
  </r>
  <r>
    <x v="30"/>
    <x v="1"/>
    <x v="367"/>
    <x v="1"/>
    <x v="4"/>
    <x v="39"/>
    <x v="0"/>
    <x v="4"/>
    <n v="0"/>
    <x v="2"/>
  </r>
  <r>
    <x v="30"/>
    <x v="1"/>
    <x v="367"/>
    <x v="1"/>
    <x v="4"/>
    <x v="39"/>
    <x v="0"/>
    <x v="5"/>
    <n v="0"/>
    <x v="2"/>
  </r>
  <r>
    <x v="30"/>
    <x v="1"/>
    <x v="367"/>
    <x v="1"/>
    <x v="4"/>
    <x v="39"/>
    <x v="0"/>
    <x v="6"/>
    <n v="0"/>
    <x v="2"/>
  </r>
  <r>
    <x v="30"/>
    <x v="1"/>
    <x v="367"/>
    <x v="1"/>
    <x v="4"/>
    <x v="39"/>
    <x v="0"/>
    <x v="7"/>
    <n v="0"/>
    <x v="2"/>
  </r>
  <r>
    <x v="30"/>
    <x v="1"/>
    <x v="367"/>
    <x v="1"/>
    <x v="4"/>
    <x v="39"/>
    <x v="0"/>
    <x v="8"/>
    <n v="0"/>
    <x v="2"/>
  </r>
  <r>
    <x v="30"/>
    <x v="1"/>
    <x v="367"/>
    <x v="1"/>
    <x v="4"/>
    <x v="39"/>
    <x v="0"/>
    <x v="9"/>
    <n v="0"/>
    <x v="2"/>
  </r>
  <r>
    <x v="30"/>
    <x v="1"/>
    <x v="367"/>
    <x v="1"/>
    <x v="4"/>
    <x v="39"/>
    <x v="0"/>
    <x v="10"/>
    <n v="0"/>
    <x v="2"/>
  </r>
  <r>
    <x v="30"/>
    <x v="1"/>
    <x v="367"/>
    <x v="1"/>
    <x v="4"/>
    <x v="39"/>
    <x v="0"/>
    <x v="12"/>
    <n v="0"/>
    <x v="2"/>
  </r>
  <r>
    <x v="30"/>
    <x v="1"/>
    <x v="368"/>
    <x v="0"/>
    <x v="4"/>
    <x v="39"/>
    <x v="22"/>
    <x v="0"/>
    <n v="5460.18"/>
    <x v="2"/>
  </r>
  <r>
    <x v="30"/>
    <x v="1"/>
    <x v="368"/>
    <x v="0"/>
    <x v="4"/>
    <x v="39"/>
    <x v="22"/>
    <x v="1"/>
    <n v="0"/>
    <x v="2"/>
  </r>
  <r>
    <x v="30"/>
    <x v="1"/>
    <x v="368"/>
    <x v="0"/>
    <x v="4"/>
    <x v="39"/>
    <x v="22"/>
    <x v="2"/>
    <n v="0"/>
    <x v="2"/>
  </r>
  <r>
    <x v="30"/>
    <x v="1"/>
    <x v="368"/>
    <x v="0"/>
    <x v="4"/>
    <x v="39"/>
    <x v="22"/>
    <x v="3"/>
    <n v="0"/>
    <x v="2"/>
  </r>
  <r>
    <x v="30"/>
    <x v="1"/>
    <x v="368"/>
    <x v="0"/>
    <x v="4"/>
    <x v="39"/>
    <x v="22"/>
    <x v="4"/>
    <n v="0"/>
    <x v="2"/>
  </r>
  <r>
    <x v="30"/>
    <x v="1"/>
    <x v="368"/>
    <x v="0"/>
    <x v="4"/>
    <x v="39"/>
    <x v="22"/>
    <x v="5"/>
    <n v="0"/>
    <x v="2"/>
  </r>
  <r>
    <x v="30"/>
    <x v="1"/>
    <x v="368"/>
    <x v="0"/>
    <x v="4"/>
    <x v="39"/>
    <x v="22"/>
    <x v="6"/>
    <n v="0"/>
    <x v="2"/>
  </r>
  <r>
    <x v="30"/>
    <x v="1"/>
    <x v="368"/>
    <x v="0"/>
    <x v="4"/>
    <x v="39"/>
    <x v="22"/>
    <x v="7"/>
    <n v="0"/>
    <x v="2"/>
  </r>
  <r>
    <x v="30"/>
    <x v="1"/>
    <x v="368"/>
    <x v="0"/>
    <x v="4"/>
    <x v="39"/>
    <x v="22"/>
    <x v="8"/>
    <n v="0"/>
    <x v="2"/>
  </r>
  <r>
    <x v="30"/>
    <x v="1"/>
    <x v="368"/>
    <x v="0"/>
    <x v="4"/>
    <x v="39"/>
    <x v="22"/>
    <x v="9"/>
    <n v="834"/>
    <x v="2"/>
  </r>
  <r>
    <x v="30"/>
    <x v="1"/>
    <x v="368"/>
    <x v="0"/>
    <x v="4"/>
    <x v="39"/>
    <x v="22"/>
    <x v="10"/>
    <n v="0"/>
    <x v="2"/>
  </r>
  <r>
    <x v="30"/>
    <x v="1"/>
    <x v="368"/>
    <x v="0"/>
    <x v="4"/>
    <x v="39"/>
    <x v="22"/>
    <x v="12"/>
    <n v="0"/>
    <x v="2"/>
  </r>
  <r>
    <x v="30"/>
    <x v="1"/>
    <x v="369"/>
    <x v="1"/>
    <x v="4"/>
    <x v="39"/>
    <x v="0"/>
    <x v="0"/>
    <n v="1867.32"/>
    <x v="2"/>
  </r>
  <r>
    <x v="30"/>
    <x v="1"/>
    <x v="369"/>
    <x v="1"/>
    <x v="4"/>
    <x v="39"/>
    <x v="0"/>
    <x v="1"/>
    <n v="0"/>
    <x v="2"/>
  </r>
  <r>
    <x v="30"/>
    <x v="1"/>
    <x v="369"/>
    <x v="1"/>
    <x v="4"/>
    <x v="39"/>
    <x v="0"/>
    <x v="2"/>
    <n v="0"/>
    <x v="2"/>
  </r>
  <r>
    <x v="30"/>
    <x v="1"/>
    <x v="369"/>
    <x v="1"/>
    <x v="4"/>
    <x v="39"/>
    <x v="0"/>
    <x v="3"/>
    <n v="0"/>
    <x v="2"/>
  </r>
  <r>
    <x v="30"/>
    <x v="1"/>
    <x v="369"/>
    <x v="1"/>
    <x v="4"/>
    <x v="39"/>
    <x v="0"/>
    <x v="4"/>
    <n v="0"/>
    <x v="2"/>
  </r>
  <r>
    <x v="30"/>
    <x v="1"/>
    <x v="369"/>
    <x v="1"/>
    <x v="4"/>
    <x v="39"/>
    <x v="0"/>
    <x v="5"/>
    <n v="0"/>
    <x v="2"/>
  </r>
  <r>
    <x v="30"/>
    <x v="1"/>
    <x v="369"/>
    <x v="1"/>
    <x v="4"/>
    <x v="39"/>
    <x v="0"/>
    <x v="6"/>
    <n v="0"/>
    <x v="2"/>
  </r>
  <r>
    <x v="30"/>
    <x v="1"/>
    <x v="369"/>
    <x v="1"/>
    <x v="4"/>
    <x v="39"/>
    <x v="0"/>
    <x v="7"/>
    <n v="0"/>
    <x v="2"/>
  </r>
  <r>
    <x v="30"/>
    <x v="1"/>
    <x v="369"/>
    <x v="1"/>
    <x v="4"/>
    <x v="39"/>
    <x v="0"/>
    <x v="8"/>
    <n v="0"/>
    <x v="2"/>
  </r>
  <r>
    <x v="30"/>
    <x v="1"/>
    <x v="369"/>
    <x v="1"/>
    <x v="4"/>
    <x v="39"/>
    <x v="0"/>
    <x v="9"/>
    <n v="0"/>
    <x v="2"/>
  </r>
  <r>
    <x v="30"/>
    <x v="1"/>
    <x v="369"/>
    <x v="1"/>
    <x v="4"/>
    <x v="39"/>
    <x v="0"/>
    <x v="10"/>
    <n v="0"/>
    <x v="2"/>
  </r>
  <r>
    <x v="30"/>
    <x v="1"/>
    <x v="369"/>
    <x v="1"/>
    <x v="4"/>
    <x v="39"/>
    <x v="0"/>
    <x v="12"/>
    <n v="0"/>
    <x v="2"/>
  </r>
  <r>
    <x v="30"/>
    <x v="1"/>
    <x v="370"/>
    <x v="0"/>
    <x v="4"/>
    <x v="39"/>
    <x v="23"/>
    <x v="0"/>
    <n v="2720.02"/>
    <x v="2"/>
  </r>
  <r>
    <x v="30"/>
    <x v="1"/>
    <x v="370"/>
    <x v="0"/>
    <x v="4"/>
    <x v="39"/>
    <x v="23"/>
    <x v="1"/>
    <n v="2102"/>
    <x v="2"/>
  </r>
  <r>
    <x v="30"/>
    <x v="1"/>
    <x v="370"/>
    <x v="0"/>
    <x v="4"/>
    <x v="39"/>
    <x v="23"/>
    <x v="2"/>
    <n v="0"/>
    <x v="2"/>
  </r>
  <r>
    <x v="30"/>
    <x v="1"/>
    <x v="370"/>
    <x v="0"/>
    <x v="4"/>
    <x v="39"/>
    <x v="23"/>
    <x v="3"/>
    <n v="0"/>
    <x v="2"/>
  </r>
  <r>
    <x v="30"/>
    <x v="1"/>
    <x v="370"/>
    <x v="0"/>
    <x v="4"/>
    <x v="39"/>
    <x v="23"/>
    <x v="4"/>
    <n v="0"/>
    <x v="2"/>
  </r>
  <r>
    <x v="30"/>
    <x v="1"/>
    <x v="370"/>
    <x v="0"/>
    <x v="4"/>
    <x v="39"/>
    <x v="23"/>
    <x v="5"/>
    <n v="0"/>
    <x v="2"/>
  </r>
  <r>
    <x v="30"/>
    <x v="1"/>
    <x v="370"/>
    <x v="0"/>
    <x v="4"/>
    <x v="39"/>
    <x v="23"/>
    <x v="6"/>
    <n v="0"/>
    <x v="2"/>
  </r>
  <r>
    <x v="30"/>
    <x v="1"/>
    <x v="370"/>
    <x v="0"/>
    <x v="4"/>
    <x v="39"/>
    <x v="23"/>
    <x v="7"/>
    <n v="0"/>
    <x v="2"/>
  </r>
  <r>
    <x v="30"/>
    <x v="1"/>
    <x v="370"/>
    <x v="0"/>
    <x v="4"/>
    <x v="39"/>
    <x v="23"/>
    <x v="8"/>
    <n v="0"/>
    <x v="2"/>
  </r>
  <r>
    <x v="30"/>
    <x v="1"/>
    <x v="370"/>
    <x v="0"/>
    <x v="4"/>
    <x v="39"/>
    <x v="23"/>
    <x v="9"/>
    <n v="0"/>
    <x v="2"/>
  </r>
  <r>
    <x v="30"/>
    <x v="1"/>
    <x v="370"/>
    <x v="0"/>
    <x v="4"/>
    <x v="39"/>
    <x v="23"/>
    <x v="10"/>
    <n v="0"/>
    <x v="2"/>
  </r>
  <r>
    <x v="30"/>
    <x v="1"/>
    <x v="370"/>
    <x v="0"/>
    <x v="4"/>
    <x v="39"/>
    <x v="23"/>
    <x v="12"/>
    <n v="0"/>
    <x v="2"/>
  </r>
  <r>
    <x v="30"/>
    <x v="1"/>
    <x v="371"/>
    <x v="1"/>
    <x v="4"/>
    <x v="39"/>
    <x v="0"/>
    <x v="0"/>
    <n v="8577.5499999999993"/>
    <x v="2"/>
  </r>
  <r>
    <x v="30"/>
    <x v="1"/>
    <x v="371"/>
    <x v="1"/>
    <x v="4"/>
    <x v="39"/>
    <x v="0"/>
    <x v="1"/>
    <n v="0"/>
    <x v="2"/>
  </r>
  <r>
    <x v="30"/>
    <x v="1"/>
    <x v="371"/>
    <x v="1"/>
    <x v="4"/>
    <x v="39"/>
    <x v="0"/>
    <x v="2"/>
    <n v="0"/>
    <x v="2"/>
  </r>
  <r>
    <x v="30"/>
    <x v="1"/>
    <x v="371"/>
    <x v="1"/>
    <x v="4"/>
    <x v="39"/>
    <x v="0"/>
    <x v="3"/>
    <n v="0"/>
    <x v="2"/>
  </r>
  <r>
    <x v="30"/>
    <x v="1"/>
    <x v="371"/>
    <x v="1"/>
    <x v="4"/>
    <x v="39"/>
    <x v="0"/>
    <x v="4"/>
    <n v="0"/>
    <x v="2"/>
  </r>
  <r>
    <x v="30"/>
    <x v="1"/>
    <x v="371"/>
    <x v="1"/>
    <x v="4"/>
    <x v="39"/>
    <x v="0"/>
    <x v="5"/>
    <n v="559.01"/>
    <x v="2"/>
  </r>
  <r>
    <x v="30"/>
    <x v="1"/>
    <x v="371"/>
    <x v="1"/>
    <x v="4"/>
    <x v="39"/>
    <x v="0"/>
    <x v="6"/>
    <n v="0"/>
    <x v="2"/>
  </r>
  <r>
    <x v="30"/>
    <x v="1"/>
    <x v="371"/>
    <x v="1"/>
    <x v="4"/>
    <x v="39"/>
    <x v="0"/>
    <x v="7"/>
    <n v="0"/>
    <x v="2"/>
  </r>
  <r>
    <x v="30"/>
    <x v="1"/>
    <x v="371"/>
    <x v="1"/>
    <x v="4"/>
    <x v="39"/>
    <x v="0"/>
    <x v="8"/>
    <n v="0"/>
    <x v="2"/>
  </r>
  <r>
    <x v="30"/>
    <x v="1"/>
    <x v="371"/>
    <x v="1"/>
    <x v="4"/>
    <x v="39"/>
    <x v="0"/>
    <x v="9"/>
    <n v="304"/>
    <x v="2"/>
  </r>
  <r>
    <x v="30"/>
    <x v="1"/>
    <x v="371"/>
    <x v="1"/>
    <x v="4"/>
    <x v="39"/>
    <x v="0"/>
    <x v="10"/>
    <n v="0"/>
    <x v="2"/>
  </r>
  <r>
    <x v="30"/>
    <x v="1"/>
    <x v="371"/>
    <x v="1"/>
    <x v="4"/>
    <x v="39"/>
    <x v="0"/>
    <x v="12"/>
    <n v="0"/>
    <x v="2"/>
  </r>
  <r>
    <x v="30"/>
    <x v="1"/>
    <x v="372"/>
    <x v="1"/>
    <x v="4"/>
    <x v="39"/>
    <x v="0"/>
    <x v="0"/>
    <n v="2019.77"/>
    <x v="2"/>
  </r>
  <r>
    <x v="30"/>
    <x v="1"/>
    <x v="372"/>
    <x v="1"/>
    <x v="4"/>
    <x v="39"/>
    <x v="0"/>
    <x v="1"/>
    <n v="0"/>
    <x v="2"/>
  </r>
  <r>
    <x v="30"/>
    <x v="1"/>
    <x v="372"/>
    <x v="1"/>
    <x v="4"/>
    <x v="39"/>
    <x v="0"/>
    <x v="2"/>
    <n v="0"/>
    <x v="2"/>
  </r>
  <r>
    <x v="30"/>
    <x v="1"/>
    <x v="372"/>
    <x v="1"/>
    <x v="4"/>
    <x v="39"/>
    <x v="0"/>
    <x v="3"/>
    <n v="0"/>
    <x v="2"/>
  </r>
  <r>
    <x v="30"/>
    <x v="1"/>
    <x v="372"/>
    <x v="1"/>
    <x v="4"/>
    <x v="39"/>
    <x v="0"/>
    <x v="4"/>
    <n v="0"/>
    <x v="2"/>
  </r>
  <r>
    <x v="30"/>
    <x v="1"/>
    <x v="372"/>
    <x v="1"/>
    <x v="4"/>
    <x v="39"/>
    <x v="0"/>
    <x v="5"/>
    <n v="0"/>
    <x v="2"/>
  </r>
  <r>
    <x v="30"/>
    <x v="1"/>
    <x v="372"/>
    <x v="1"/>
    <x v="4"/>
    <x v="39"/>
    <x v="0"/>
    <x v="6"/>
    <n v="0"/>
    <x v="2"/>
  </r>
  <r>
    <x v="30"/>
    <x v="1"/>
    <x v="372"/>
    <x v="1"/>
    <x v="4"/>
    <x v="39"/>
    <x v="0"/>
    <x v="7"/>
    <n v="0"/>
    <x v="2"/>
  </r>
  <r>
    <x v="30"/>
    <x v="1"/>
    <x v="372"/>
    <x v="1"/>
    <x v="4"/>
    <x v="39"/>
    <x v="0"/>
    <x v="8"/>
    <n v="0"/>
    <x v="2"/>
  </r>
  <r>
    <x v="30"/>
    <x v="1"/>
    <x v="372"/>
    <x v="1"/>
    <x v="4"/>
    <x v="39"/>
    <x v="0"/>
    <x v="9"/>
    <n v="0"/>
    <x v="2"/>
  </r>
  <r>
    <x v="30"/>
    <x v="1"/>
    <x v="372"/>
    <x v="1"/>
    <x v="4"/>
    <x v="39"/>
    <x v="0"/>
    <x v="10"/>
    <n v="0"/>
    <x v="2"/>
  </r>
  <r>
    <x v="30"/>
    <x v="1"/>
    <x v="372"/>
    <x v="1"/>
    <x v="4"/>
    <x v="39"/>
    <x v="0"/>
    <x v="12"/>
    <n v="0"/>
    <x v="2"/>
  </r>
  <r>
    <x v="30"/>
    <x v="1"/>
    <x v="373"/>
    <x v="1"/>
    <x v="4"/>
    <x v="39"/>
    <x v="0"/>
    <x v="0"/>
    <n v="3235.66"/>
    <x v="2"/>
  </r>
  <r>
    <x v="30"/>
    <x v="1"/>
    <x v="373"/>
    <x v="1"/>
    <x v="4"/>
    <x v="39"/>
    <x v="0"/>
    <x v="1"/>
    <n v="0"/>
    <x v="2"/>
  </r>
  <r>
    <x v="30"/>
    <x v="1"/>
    <x v="373"/>
    <x v="1"/>
    <x v="4"/>
    <x v="39"/>
    <x v="0"/>
    <x v="2"/>
    <n v="0"/>
    <x v="2"/>
  </r>
  <r>
    <x v="30"/>
    <x v="1"/>
    <x v="373"/>
    <x v="1"/>
    <x v="4"/>
    <x v="39"/>
    <x v="0"/>
    <x v="3"/>
    <n v="0"/>
    <x v="2"/>
  </r>
  <r>
    <x v="30"/>
    <x v="1"/>
    <x v="373"/>
    <x v="1"/>
    <x v="4"/>
    <x v="39"/>
    <x v="0"/>
    <x v="4"/>
    <n v="0"/>
    <x v="2"/>
  </r>
  <r>
    <x v="30"/>
    <x v="1"/>
    <x v="373"/>
    <x v="1"/>
    <x v="4"/>
    <x v="39"/>
    <x v="0"/>
    <x v="5"/>
    <n v="0"/>
    <x v="2"/>
  </r>
  <r>
    <x v="30"/>
    <x v="1"/>
    <x v="373"/>
    <x v="1"/>
    <x v="4"/>
    <x v="39"/>
    <x v="0"/>
    <x v="6"/>
    <n v="0"/>
    <x v="2"/>
  </r>
  <r>
    <x v="30"/>
    <x v="1"/>
    <x v="373"/>
    <x v="1"/>
    <x v="4"/>
    <x v="39"/>
    <x v="0"/>
    <x v="7"/>
    <n v="0"/>
    <x v="2"/>
  </r>
  <r>
    <x v="30"/>
    <x v="1"/>
    <x v="373"/>
    <x v="1"/>
    <x v="4"/>
    <x v="39"/>
    <x v="0"/>
    <x v="8"/>
    <n v="0"/>
    <x v="2"/>
  </r>
  <r>
    <x v="30"/>
    <x v="1"/>
    <x v="373"/>
    <x v="1"/>
    <x v="4"/>
    <x v="39"/>
    <x v="0"/>
    <x v="9"/>
    <n v="0"/>
    <x v="2"/>
  </r>
  <r>
    <x v="30"/>
    <x v="1"/>
    <x v="373"/>
    <x v="1"/>
    <x v="4"/>
    <x v="39"/>
    <x v="0"/>
    <x v="10"/>
    <n v="0"/>
    <x v="2"/>
  </r>
  <r>
    <x v="30"/>
    <x v="1"/>
    <x v="373"/>
    <x v="1"/>
    <x v="4"/>
    <x v="39"/>
    <x v="0"/>
    <x v="12"/>
    <n v="0"/>
    <x v="2"/>
  </r>
  <r>
    <x v="30"/>
    <x v="1"/>
    <x v="374"/>
    <x v="1"/>
    <x v="4"/>
    <x v="39"/>
    <x v="0"/>
    <x v="0"/>
    <n v="0"/>
    <x v="2"/>
  </r>
  <r>
    <x v="30"/>
    <x v="1"/>
    <x v="374"/>
    <x v="1"/>
    <x v="4"/>
    <x v="39"/>
    <x v="0"/>
    <x v="1"/>
    <n v="1699.59"/>
    <x v="2"/>
  </r>
  <r>
    <x v="30"/>
    <x v="1"/>
    <x v="374"/>
    <x v="1"/>
    <x v="4"/>
    <x v="39"/>
    <x v="0"/>
    <x v="2"/>
    <n v="0"/>
    <x v="2"/>
  </r>
  <r>
    <x v="30"/>
    <x v="1"/>
    <x v="374"/>
    <x v="1"/>
    <x v="4"/>
    <x v="39"/>
    <x v="0"/>
    <x v="3"/>
    <n v="0"/>
    <x v="2"/>
  </r>
  <r>
    <x v="30"/>
    <x v="1"/>
    <x v="374"/>
    <x v="1"/>
    <x v="4"/>
    <x v="39"/>
    <x v="0"/>
    <x v="4"/>
    <n v="0"/>
    <x v="2"/>
  </r>
  <r>
    <x v="30"/>
    <x v="1"/>
    <x v="374"/>
    <x v="1"/>
    <x v="4"/>
    <x v="39"/>
    <x v="0"/>
    <x v="5"/>
    <n v="0"/>
    <x v="2"/>
  </r>
  <r>
    <x v="30"/>
    <x v="1"/>
    <x v="374"/>
    <x v="1"/>
    <x v="4"/>
    <x v="39"/>
    <x v="0"/>
    <x v="6"/>
    <n v="0"/>
    <x v="2"/>
  </r>
  <r>
    <x v="30"/>
    <x v="1"/>
    <x v="374"/>
    <x v="1"/>
    <x v="4"/>
    <x v="39"/>
    <x v="0"/>
    <x v="7"/>
    <n v="0"/>
    <x v="2"/>
  </r>
  <r>
    <x v="30"/>
    <x v="1"/>
    <x v="374"/>
    <x v="1"/>
    <x v="4"/>
    <x v="39"/>
    <x v="0"/>
    <x v="8"/>
    <n v="0"/>
    <x v="2"/>
  </r>
  <r>
    <x v="30"/>
    <x v="1"/>
    <x v="374"/>
    <x v="1"/>
    <x v="4"/>
    <x v="39"/>
    <x v="0"/>
    <x v="9"/>
    <n v="0"/>
    <x v="2"/>
  </r>
  <r>
    <x v="30"/>
    <x v="1"/>
    <x v="374"/>
    <x v="1"/>
    <x v="4"/>
    <x v="39"/>
    <x v="0"/>
    <x v="10"/>
    <n v="0"/>
    <x v="2"/>
  </r>
  <r>
    <x v="30"/>
    <x v="1"/>
    <x v="374"/>
    <x v="1"/>
    <x v="4"/>
    <x v="39"/>
    <x v="0"/>
    <x v="12"/>
    <n v="0"/>
    <x v="2"/>
  </r>
  <r>
    <x v="30"/>
    <x v="1"/>
    <x v="375"/>
    <x v="0"/>
    <x v="4"/>
    <x v="39"/>
    <x v="17"/>
    <x v="0"/>
    <n v="0"/>
    <x v="2"/>
  </r>
  <r>
    <x v="30"/>
    <x v="1"/>
    <x v="375"/>
    <x v="0"/>
    <x v="4"/>
    <x v="39"/>
    <x v="17"/>
    <x v="1"/>
    <n v="0"/>
    <x v="2"/>
  </r>
  <r>
    <x v="30"/>
    <x v="1"/>
    <x v="375"/>
    <x v="0"/>
    <x v="4"/>
    <x v="39"/>
    <x v="17"/>
    <x v="2"/>
    <n v="0"/>
    <x v="2"/>
  </r>
  <r>
    <x v="30"/>
    <x v="1"/>
    <x v="375"/>
    <x v="0"/>
    <x v="4"/>
    <x v="39"/>
    <x v="17"/>
    <x v="3"/>
    <n v="8804.18"/>
    <x v="2"/>
  </r>
  <r>
    <x v="30"/>
    <x v="1"/>
    <x v="375"/>
    <x v="0"/>
    <x v="4"/>
    <x v="39"/>
    <x v="17"/>
    <x v="4"/>
    <n v="0"/>
    <x v="2"/>
  </r>
  <r>
    <x v="30"/>
    <x v="1"/>
    <x v="375"/>
    <x v="0"/>
    <x v="4"/>
    <x v="39"/>
    <x v="17"/>
    <x v="5"/>
    <n v="0"/>
    <x v="2"/>
  </r>
  <r>
    <x v="30"/>
    <x v="1"/>
    <x v="375"/>
    <x v="0"/>
    <x v="4"/>
    <x v="39"/>
    <x v="17"/>
    <x v="6"/>
    <n v="0"/>
    <x v="2"/>
  </r>
  <r>
    <x v="30"/>
    <x v="1"/>
    <x v="375"/>
    <x v="0"/>
    <x v="4"/>
    <x v="39"/>
    <x v="17"/>
    <x v="7"/>
    <n v="1290.19"/>
    <x v="2"/>
  </r>
  <r>
    <x v="30"/>
    <x v="1"/>
    <x v="375"/>
    <x v="0"/>
    <x v="4"/>
    <x v="39"/>
    <x v="17"/>
    <x v="8"/>
    <n v="0"/>
    <x v="2"/>
  </r>
  <r>
    <x v="30"/>
    <x v="1"/>
    <x v="375"/>
    <x v="0"/>
    <x v="4"/>
    <x v="39"/>
    <x v="17"/>
    <x v="9"/>
    <n v="0"/>
    <x v="2"/>
  </r>
  <r>
    <x v="30"/>
    <x v="1"/>
    <x v="375"/>
    <x v="0"/>
    <x v="4"/>
    <x v="39"/>
    <x v="17"/>
    <x v="10"/>
    <n v="0"/>
    <x v="2"/>
  </r>
  <r>
    <x v="30"/>
    <x v="1"/>
    <x v="375"/>
    <x v="0"/>
    <x v="4"/>
    <x v="39"/>
    <x v="17"/>
    <x v="12"/>
    <n v="0"/>
    <x v="2"/>
  </r>
  <r>
    <x v="30"/>
    <x v="1"/>
    <x v="376"/>
    <x v="0"/>
    <x v="4"/>
    <x v="39"/>
    <x v="17"/>
    <x v="0"/>
    <n v="0"/>
    <x v="2"/>
  </r>
  <r>
    <x v="30"/>
    <x v="1"/>
    <x v="376"/>
    <x v="0"/>
    <x v="4"/>
    <x v="39"/>
    <x v="17"/>
    <x v="1"/>
    <n v="0"/>
    <x v="2"/>
  </r>
  <r>
    <x v="30"/>
    <x v="1"/>
    <x v="376"/>
    <x v="0"/>
    <x v="4"/>
    <x v="39"/>
    <x v="17"/>
    <x v="2"/>
    <n v="0"/>
    <x v="2"/>
  </r>
  <r>
    <x v="30"/>
    <x v="1"/>
    <x v="376"/>
    <x v="0"/>
    <x v="4"/>
    <x v="39"/>
    <x v="17"/>
    <x v="3"/>
    <n v="0"/>
    <x v="2"/>
  </r>
  <r>
    <x v="30"/>
    <x v="1"/>
    <x v="376"/>
    <x v="0"/>
    <x v="4"/>
    <x v="39"/>
    <x v="17"/>
    <x v="4"/>
    <n v="0"/>
    <x v="2"/>
  </r>
  <r>
    <x v="30"/>
    <x v="1"/>
    <x v="376"/>
    <x v="0"/>
    <x v="4"/>
    <x v="39"/>
    <x v="17"/>
    <x v="5"/>
    <n v="0"/>
    <x v="2"/>
  </r>
  <r>
    <x v="30"/>
    <x v="1"/>
    <x v="376"/>
    <x v="0"/>
    <x v="4"/>
    <x v="39"/>
    <x v="17"/>
    <x v="6"/>
    <n v="0"/>
    <x v="2"/>
  </r>
  <r>
    <x v="30"/>
    <x v="1"/>
    <x v="376"/>
    <x v="0"/>
    <x v="4"/>
    <x v="39"/>
    <x v="17"/>
    <x v="7"/>
    <n v="1627.41"/>
    <x v="2"/>
  </r>
  <r>
    <x v="30"/>
    <x v="1"/>
    <x v="376"/>
    <x v="0"/>
    <x v="4"/>
    <x v="39"/>
    <x v="17"/>
    <x v="8"/>
    <n v="0"/>
    <x v="2"/>
  </r>
  <r>
    <x v="30"/>
    <x v="1"/>
    <x v="376"/>
    <x v="0"/>
    <x v="4"/>
    <x v="39"/>
    <x v="17"/>
    <x v="9"/>
    <n v="0"/>
    <x v="2"/>
  </r>
  <r>
    <x v="30"/>
    <x v="1"/>
    <x v="376"/>
    <x v="0"/>
    <x v="4"/>
    <x v="39"/>
    <x v="17"/>
    <x v="10"/>
    <n v="0"/>
    <x v="2"/>
  </r>
  <r>
    <x v="30"/>
    <x v="1"/>
    <x v="376"/>
    <x v="0"/>
    <x v="4"/>
    <x v="39"/>
    <x v="17"/>
    <x v="12"/>
    <n v="0"/>
    <x v="2"/>
  </r>
  <r>
    <x v="30"/>
    <x v="1"/>
    <x v="377"/>
    <x v="1"/>
    <x v="4"/>
    <x v="39"/>
    <x v="0"/>
    <x v="0"/>
    <n v="0"/>
    <x v="2"/>
  </r>
  <r>
    <x v="30"/>
    <x v="1"/>
    <x v="377"/>
    <x v="1"/>
    <x v="4"/>
    <x v="39"/>
    <x v="0"/>
    <x v="1"/>
    <n v="0"/>
    <x v="2"/>
  </r>
  <r>
    <x v="30"/>
    <x v="1"/>
    <x v="377"/>
    <x v="1"/>
    <x v="4"/>
    <x v="39"/>
    <x v="0"/>
    <x v="2"/>
    <n v="0"/>
    <x v="2"/>
  </r>
  <r>
    <x v="30"/>
    <x v="1"/>
    <x v="377"/>
    <x v="1"/>
    <x v="4"/>
    <x v="39"/>
    <x v="0"/>
    <x v="3"/>
    <n v="0"/>
    <x v="2"/>
  </r>
  <r>
    <x v="30"/>
    <x v="1"/>
    <x v="377"/>
    <x v="1"/>
    <x v="4"/>
    <x v="39"/>
    <x v="0"/>
    <x v="4"/>
    <n v="0"/>
    <x v="2"/>
  </r>
  <r>
    <x v="30"/>
    <x v="1"/>
    <x v="377"/>
    <x v="1"/>
    <x v="4"/>
    <x v="39"/>
    <x v="0"/>
    <x v="5"/>
    <n v="719.41"/>
    <x v="2"/>
  </r>
  <r>
    <x v="30"/>
    <x v="1"/>
    <x v="377"/>
    <x v="1"/>
    <x v="4"/>
    <x v="39"/>
    <x v="0"/>
    <x v="6"/>
    <n v="0"/>
    <x v="2"/>
  </r>
  <r>
    <x v="30"/>
    <x v="1"/>
    <x v="377"/>
    <x v="1"/>
    <x v="4"/>
    <x v="39"/>
    <x v="0"/>
    <x v="7"/>
    <n v="0"/>
    <x v="2"/>
  </r>
  <r>
    <x v="30"/>
    <x v="1"/>
    <x v="377"/>
    <x v="1"/>
    <x v="4"/>
    <x v="39"/>
    <x v="0"/>
    <x v="8"/>
    <n v="0"/>
    <x v="2"/>
  </r>
  <r>
    <x v="30"/>
    <x v="1"/>
    <x v="377"/>
    <x v="1"/>
    <x v="4"/>
    <x v="39"/>
    <x v="0"/>
    <x v="9"/>
    <n v="0"/>
    <x v="2"/>
  </r>
  <r>
    <x v="30"/>
    <x v="1"/>
    <x v="377"/>
    <x v="1"/>
    <x v="4"/>
    <x v="39"/>
    <x v="0"/>
    <x v="10"/>
    <n v="0"/>
    <x v="2"/>
  </r>
  <r>
    <x v="30"/>
    <x v="1"/>
    <x v="377"/>
    <x v="1"/>
    <x v="4"/>
    <x v="39"/>
    <x v="0"/>
    <x v="12"/>
    <n v="0"/>
    <x v="2"/>
  </r>
  <r>
    <x v="30"/>
    <x v="1"/>
    <x v="362"/>
    <x v="0"/>
    <x v="4"/>
    <x v="6"/>
    <x v="22"/>
    <x v="0"/>
    <n v="0"/>
    <x v="2"/>
  </r>
  <r>
    <x v="30"/>
    <x v="1"/>
    <x v="362"/>
    <x v="0"/>
    <x v="4"/>
    <x v="6"/>
    <x v="22"/>
    <x v="1"/>
    <n v="0"/>
    <x v="2"/>
  </r>
  <r>
    <x v="30"/>
    <x v="1"/>
    <x v="362"/>
    <x v="0"/>
    <x v="4"/>
    <x v="6"/>
    <x v="22"/>
    <x v="2"/>
    <n v="0"/>
    <x v="2"/>
  </r>
  <r>
    <x v="30"/>
    <x v="1"/>
    <x v="362"/>
    <x v="0"/>
    <x v="4"/>
    <x v="6"/>
    <x v="22"/>
    <x v="3"/>
    <n v="0"/>
    <x v="2"/>
  </r>
  <r>
    <x v="30"/>
    <x v="1"/>
    <x v="362"/>
    <x v="0"/>
    <x v="4"/>
    <x v="6"/>
    <x v="22"/>
    <x v="4"/>
    <n v="0"/>
    <x v="2"/>
  </r>
  <r>
    <x v="30"/>
    <x v="1"/>
    <x v="362"/>
    <x v="0"/>
    <x v="4"/>
    <x v="6"/>
    <x v="22"/>
    <x v="5"/>
    <n v="0"/>
    <x v="2"/>
  </r>
  <r>
    <x v="30"/>
    <x v="1"/>
    <x v="362"/>
    <x v="0"/>
    <x v="4"/>
    <x v="6"/>
    <x v="22"/>
    <x v="6"/>
    <n v="0"/>
    <x v="2"/>
  </r>
  <r>
    <x v="30"/>
    <x v="1"/>
    <x v="362"/>
    <x v="0"/>
    <x v="4"/>
    <x v="6"/>
    <x v="22"/>
    <x v="7"/>
    <n v="0"/>
    <x v="2"/>
  </r>
  <r>
    <x v="30"/>
    <x v="1"/>
    <x v="362"/>
    <x v="0"/>
    <x v="4"/>
    <x v="6"/>
    <x v="22"/>
    <x v="8"/>
    <n v="0"/>
    <x v="2"/>
  </r>
  <r>
    <x v="30"/>
    <x v="1"/>
    <x v="362"/>
    <x v="0"/>
    <x v="4"/>
    <x v="6"/>
    <x v="22"/>
    <x v="9"/>
    <n v="0"/>
    <x v="2"/>
  </r>
  <r>
    <x v="30"/>
    <x v="1"/>
    <x v="362"/>
    <x v="0"/>
    <x v="4"/>
    <x v="6"/>
    <x v="22"/>
    <x v="10"/>
    <n v="0"/>
    <x v="2"/>
  </r>
  <r>
    <x v="30"/>
    <x v="1"/>
    <x v="362"/>
    <x v="0"/>
    <x v="4"/>
    <x v="6"/>
    <x v="22"/>
    <x v="12"/>
    <n v="0"/>
    <x v="2"/>
  </r>
  <r>
    <x v="30"/>
    <x v="1"/>
    <x v="363"/>
    <x v="1"/>
    <x v="4"/>
    <x v="6"/>
    <x v="0"/>
    <x v="0"/>
    <n v="86.1"/>
    <x v="2"/>
  </r>
  <r>
    <x v="30"/>
    <x v="1"/>
    <x v="363"/>
    <x v="1"/>
    <x v="4"/>
    <x v="6"/>
    <x v="0"/>
    <x v="1"/>
    <n v="0"/>
    <x v="2"/>
  </r>
  <r>
    <x v="30"/>
    <x v="1"/>
    <x v="363"/>
    <x v="1"/>
    <x v="4"/>
    <x v="6"/>
    <x v="0"/>
    <x v="2"/>
    <n v="0"/>
    <x v="2"/>
  </r>
  <r>
    <x v="30"/>
    <x v="1"/>
    <x v="363"/>
    <x v="1"/>
    <x v="4"/>
    <x v="6"/>
    <x v="0"/>
    <x v="3"/>
    <n v="0"/>
    <x v="2"/>
  </r>
  <r>
    <x v="30"/>
    <x v="1"/>
    <x v="363"/>
    <x v="1"/>
    <x v="4"/>
    <x v="6"/>
    <x v="0"/>
    <x v="4"/>
    <n v="0"/>
    <x v="2"/>
  </r>
  <r>
    <x v="30"/>
    <x v="1"/>
    <x v="363"/>
    <x v="1"/>
    <x v="4"/>
    <x v="6"/>
    <x v="0"/>
    <x v="5"/>
    <n v="0"/>
    <x v="2"/>
  </r>
  <r>
    <x v="30"/>
    <x v="1"/>
    <x v="363"/>
    <x v="1"/>
    <x v="4"/>
    <x v="6"/>
    <x v="0"/>
    <x v="6"/>
    <n v="0"/>
    <x v="2"/>
  </r>
  <r>
    <x v="30"/>
    <x v="1"/>
    <x v="363"/>
    <x v="1"/>
    <x v="4"/>
    <x v="6"/>
    <x v="0"/>
    <x v="7"/>
    <n v="0"/>
    <x v="2"/>
  </r>
  <r>
    <x v="30"/>
    <x v="1"/>
    <x v="363"/>
    <x v="1"/>
    <x v="4"/>
    <x v="6"/>
    <x v="0"/>
    <x v="8"/>
    <n v="0"/>
    <x v="2"/>
  </r>
  <r>
    <x v="30"/>
    <x v="1"/>
    <x v="363"/>
    <x v="1"/>
    <x v="4"/>
    <x v="6"/>
    <x v="0"/>
    <x v="9"/>
    <n v="0"/>
    <x v="2"/>
  </r>
  <r>
    <x v="30"/>
    <x v="1"/>
    <x v="363"/>
    <x v="1"/>
    <x v="4"/>
    <x v="6"/>
    <x v="0"/>
    <x v="10"/>
    <n v="0"/>
    <x v="2"/>
  </r>
  <r>
    <x v="30"/>
    <x v="1"/>
    <x v="363"/>
    <x v="1"/>
    <x v="4"/>
    <x v="6"/>
    <x v="0"/>
    <x v="12"/>
    <n v="0"/>
    <x v="2"/>
  </r>
  <r>
    <x v="30"/>
    <x v="1"/>
    <x v="363"/>
    <x v="1"/>
    <x v="4"/>
    <x v="6"/>
    <x v="0"/>
    <x v="0"/>
    <n v="0"/>
    <x v="2"/>
  </r>
  <r>
    <x v="30"/>
    <x v="1"/>
    <x v="363"/>
    <x v="1"/>
    <x v="4"/>
    <x v="6"/>
    <x v="0"/>
    <x v="1"/>
    <n v="0"/>
    <x v="2"/>
  </r>
  <r>
    <x v="30"/>
    <x v="1"/>
    <x v="363"/>
    <x v="1"/>
    <x v="4"/>
    <x v="6"/>
    <x v="0"/>
    <x v="2"/>
    <n v="0"/>
    <x v="2"/>
  </r>
  <r>
    <x v="30"/>
    <x v="1"/>
    <x v="363"/>
    <x v="1"/>
    <x v="4"/>
    <x v="6"/>
    <x v="0"/>
    <x v="3"/>
    <n v="0"/>
    <x v="2"/>
  </r>
  <r>
    <x v="30"/>
    <x v="1"/>
    <x v="363"/>
    <x v="1"/>
    <x v="4"/>
    <x v="6"/>
    <x v="0"/>
    <x v="4"/>
    <n v="0"/>
    <x v="2"/>
  </r>
  <r>
    <x v="30"/>
    <x v="1"/>
    <x v="363"/>
    <x v="1"/>
    <x v="4"/>
    <x v="6"/>
    <x v="0"/>
    <x v="5"/>
    <n v="0"/>
    <x v="2"/>
  </r>
  <r>
    <x v="30"/>
    <x v="1"/>
    <x v="363"/>
    <x v="1"/>
    <x v="4"/>
    <x v="6"/>
    <x v="0"/>
    <x v="6"/>
    <n v="0"/>
    <x v="2"/>
  </r>
  <r>
    <x v="30"/>
    <x v="1"/>
    <x v="363"/>
    <x v="1"/>
    <x v="4"/>
    <x v="6"/>
    <x v="0"/>
    <x v="7"/>
    <n v="0"/>
    <x v="2"/>
  </r>
  <r>
    <x v="30"/>
    <x v="1"/>
    <x v="363"/>
    <x v="1"/>
    <x v="4"/>
    <x v="6"/>
    <x v="0"/>
    <x v="8"/>
    <n v="0"/>
    <x v="2"/>
  </r>
  <r>
    <x v="30"/>
    <x v="1"/>
    <x v="363"/>
    <x v="1"/>
    <x v="4"/>
    <x v="6"/>
    <x v="0"/>
    <x v="9"/>
    <n v="0"/>
    <x v="2"/>
  </r>
  <r>
    <x v="30"/>
    <x v="1"/>
    <x v="363"/>
    <x v="1"/>
    <x v="4"/>
    <x v="6"/>
    <x v="0"/>
    <x v="10"/>
    <n v="0"/>
    <x v="2"/>
  </r>
  <r>
    <x v="30"/>
    <x v="1"/>
    <x v="363"/>
    <x v="1"/>
    <x v="4"/>
    <x v="6"/>
    <x v="0"/>
    <x v="12"/>
    <n v="0"/>
    <x v="2"/>
  </r>
  <r>
    <x v="30"/>
    <x v="1"/>
    <x v="364"/>
    <x v="0"/>
    <x v="4"/>
    <x v="6"/>
    <x v="23"/>
    <x v="0"/>
    <n v="3040.43"/>
    <x v="2"/>
  </r>
  <r>
    <x v="30"/>
    <x v="1"/>
    <x v="364"/>
    <x v="0"/>
    <x v="4"/>
    <x v="6"/>
    <x v="23"/>
    <x v="1"/>
    <n v="0"/>
    <x v="2"/>
  </r>
  <r>
    <x v="30"/>
    <x v="1"/>
    <x v="364"/>
    <x v="0"/>
    <x v="4"/>
    <x v="6"/>
    <x v="23"/>
    <x v="2"/>
    <n v="0"/>
    <x v="2"/>
  </r>
  <r>
    <x v="30"/>
    <x v="1"/>
    <x v="364"/>
    <x v="0"/>
    <x v="4"/>
    <x v="6"/>
    <x v="23"/>
    <x v="3"/>
    <n v="0"/>
    <x v="2"/>
  </r>
  <r>
    <x v="30"/>
    <x v="1"/>
    <x v="364"/>
    <x v="0"/>
    <x v="4"/>
    <x v="6"/>
    <x v="23"/>
    <x v="4"/>
    <n v="0"/>
    <x v="2"/>
  </r>
  <r>
    <x v="30"/>
    <x v="1"/>
    <x v="364"/>
    <x v="0"/>
    <x v="4"/>
    <x v="6"/>
    <x v="23"/>
    <x v="5"/>
    <n v="0"/>
    <x v="2"/>
  </r>
  <r>
    <x v="30"/>
    <x v="1"/>
    <x v="364"/>
    <x v="0"/>
    <x v="4"/>
    <x v="6"/>
    <x v="23"/>
    <x v="6"/>
    <n v="0"/>
    <x v="2"/>
  </r>
  <r>
    <x v="30"/>
    <x v="1"/>
    <x v="364"/>
    <x v="0"/>
    <x v="4"/>
    <x v="6"/>
    <x v="23"/>
    <x v="7"/>
    <n v="0"/>
    <x v="2"/>
  </r>
  <r>
    <x v="30"/>
    <x v="1"/>
    <x v="364"/>
    <x v="0"/>
    <x v="4"/>
    <x v="6"/>
    <x v="23"/>
    <x v="8"/>
    <n v="0"/>
    <x v="2"/>
  </r>
  <r>
    <x v="30"/>
    <x v="1"/>
    <x v="364"/>
    <x v="0"/>
    <x v="4"/>
    <x v="6"/>
    <x v="23"/>
    <x v="9"/>
    <n v="0"/>
    <x v="2"/>
  </r>
  <r>
    <x v="30"/>
    <x v="1"/>
    <x v="364"/>
    <x v="0"/>
    <x v="4"/>
    <x v="6"/>
    <x v="23"/>
    <x v="10"/>
    <n v="0"/>
    <x v="2"/>
  </r>
  <r>
    <x v="30"/>
    <x v="1"/>
    <x v="364"/>
    <x v="0"/>
    <x v="4"/>
    <x v="6"/>
    <x v="23"/>
    <x v="12"/>
    <n v="0"/>
    <x v="2"/>
  </r>
  <r>
    <x v="30"/>
    <x v="1"/>
    <x v="365"/>
    <x v="1"/>
    <x v="4"/>
    <x v="6"/>
    <x v="0"/>
    <x v="0"/>
    <n v="368"/>
    <x v="2"/>
  </r>
  <r>
    <x v="30"/>
    <x v="1"/>
    <x v="365"/>
    <x v="1"/>
    <x v="4"/>
    <x v="6"/>
    <x v="0"/>
    <x v="1"/>
    <n v="0"/>
    <x v="2"/>
  </r>
  <r>
    <x v="30"/>
    <x v="1"/>
    <x v="365"/>
    <x v="1"/>
    <x v="4"/>
    <x v="6"/>
    <x v="0"/>
    <x v="2"/>
    <n v="0"/>
    <x v="2"/>
  </r>
  <r>
    <x v="30"/>
    <x v="1"/>
    <x v="365"/>
    <x v="1"/>
    <x v="4"/>
    <x v="6"/>
    <x v="0"/>
    <x v="3"/>
    <n v="0"/>
    <x v="2"/>
  </r>
  <r>
    <x v="30"/>
    <x v="1"/>
    <x v="365"/>
    <x v="1"/>
    <x v="4"/>
    <x v="6"/>
    <x v="0"/>
    <x v="4"/>
    <n v="0"/>
    <x v="2"/>
  </r>
  <r>
    <x v="30"/>
    <x v="1"/>
    <x v="365"/>
    <x v="1"/>
    <x v="4"/>
    <x v="6"/>
    <x v="0"/>
    <x v="5"/>
    <n v="0"/>
    <x v="2"/>
  </r>
  <r>
    <x v="30"/>
    <x v="1"/>
    <x v="365"/>
    <x v="1"/>
    <x v="4"/>
    <x v="6"/>
    <x v="0"/>
    <x v="6"/>
    <n v="0"/>
    <x v="2"/>
  </r>
  <r>
    <x v="30"/>
    <x v="1"/>
    <x v="365"/>
    <x v="1"/>
    <x v="4"/>
    <x v="6"/>
    <x v="0"/>
    <x v="7"/>
    <n v="0"/>
    <x v="2"/>
  </r>
  <r>
    <x v="30"/>
    <x v="1"/>
    <x v="365"/>
    <x v="1"/>
    <x v="4"/>
    <x v="6"/>
    <x v="0"/>
    <x v="8"/>
    <n v="0"/>
    <x v="2"/>
  </r>
  <r>
    <x v="30"/>
    <x v="1"/>
    <x v="365"/>
    <x v="1"/>
    <x v="4"/>
    <x v="6"/>
    <x v="0"/>
    <x v="9"/>
    <n v="0"/>
    <x v="2"/>
  </r>
  <r>
    <x v="30"/>
    <x v="1"/>
    <x v="365"/>
    <x v="1"/>
    <x v="4"/>
    <x v="6"/>
    <x v="0"/>
    <x v="10"/>
    <n v="2000"/>
    <x v="2"/>
  </r>
  <r>
    <x v="30"/>
    <x v="1"/>
    <x v="365"/>
    <x v="1"/>
    <x v="4"/>
    <x v="6"/>
    <x v="0"/>
    <x v="12"/>
    <n v="2000"/>
    <x v="2"/>
  </r>
  <r>
    <x v="30"/>
    <x v="1"/>
    <x v="366"/>
    <x v="1"/>
    <x v="4"/>
    <x v="6"/>
    <x v="0"/>
    <x v="0"/>
    <n v="0"/>
    <x v="2"/>
  </r>
  <r>
    <x v="30"/>
    <x v="1"/>
    <x v="366"/>
    <x v="1"/>
    <x v="4"/>
    <x v="6"/>
    <x v="0"/>
    <x v="1"/>
    <n v="0"/>
    <x v="2"/>
  </r>
  <r>
    <x v="30"/>
    <x v="1"/>
    <x v="366"/>
    <x v="1"/>
    <x v="4"/>
    <x v="6"/>
    <x v="0"/>
    <x v="2"/>
    <n v="0"/>
    <x v="2"/>
  </r>
  <r>
    <x v="30"/>
    <x v="1"/>
    <x v="366"/>
    <x v="1"/>
    <x v="4"/>
    <x v="6"/>
    <x v="0"/>
    <x v="3"/>
    <n v="0"/>
    <x v="2"/>
  </r>
  <r>
    <x v="30"/>
    <x v="1"/>
    <x v="366"/>
    <x v="1"/>
    <x v="4"/>
    <x v="6"/>
    <x v="0"/>
    <x v="4"/>
    <n v="0"/>
    <x v="2"/>
  </r>
  <r>
    <x v="30"/>
    <x v="1"/>
    <x v="366"/>
    <x v="1"/>
    <x v="4"/>
    <x v="6"/>
    <x v="0"/>
    <x v="5"/>
    <n v="0"/>
    <x v="2"/>
  </r>
  <r>
    <x v="30"/>
    <x v="1"/>
    <x v="366"/>
    <x v="1"/>
    <x v="4"/>
    <x v="6"/>
    <x v="0"/>
    <x v="6"/>
    <n v="0"/>
    <x v="2"/>
  </r>
  <r>
    <x v="30"/>
    <x v="1"/>
    <x v="366"/>
    <x v="1"/>
    <x v="4"/>
    <x v="6"/>
    <x v="0"/>
    <x v="7"/>
    <n v="0"/>
    <x v="2"/>
  </r>
  <r>
    <x v="30"/>
    <x v="1"/>
    <x v="366"/>
    <x v="1"/>
    <x v="4"/>
    <x v="6"/>
    <x v="0"/>
    <x v="8"/>
    <n v="0"/>
    <x v="2"/>
  </r>
  <r>
    <x v="30"/>
    <x v="1"/>
    <x v="366"/>
    <x v="1"/>
    <x v="4"/>
    <x v="6"/>
    <x v="0"/>
    <x v="9"/>
    <n v="0"/>
    <x v="2"/>
  </r>
  <r>
    <x v="30"/>
    <x v="1"/>
    <x v="366"/>
    <x v="1"/>
    <x v="4"/>
    <x v="6"/>
    <x v="0"/>
    <x v="10"/>
    <n v="0"/>
    <x v="2"/>
  </r>
  <r>
    <x v="30"/>
    <x v="1"/>
    <x v="366"/>
    <x v="1"/>
    <x v="4"/>
    <x v="6"/>
    <x v="0"/>
    <x v="12"/>
    <n v="0"/>
    <x v="2"/>
  </r>
  <r>
    <x v="30"/>
    <x v="1"/>
    <x v="367"/>
    <x v="1"/>
    <x v="4"/>
    <x v="6"/>
    <x v="0"/>
    <x v="0"/>
    <n v="317.83"/>
    <x v="2"/>
  </r>
  <r>
    <x v="30"/>
    <x v="1"/>
    <x v="367"/>
    <x v="1"/>
    <x v="4"/>
    <x v="6"/>
    <x v="0"/>
    <x v="1"/>
    <n v="0"/>
    <x v="2"/>
  </r>
  <r>
    <x v="30"/>
    <x v="1"/>
    <x v="367"/>
    <x v="1"/>
    <x v="4"/>
    <x v="6"/>
    <x v="0"/>
    <x v="2"/>
    <n v="0"/>
    <x v="2"/>
  </r>
  <r>
    <x v="30"/>
    <x v="1"/>
    <x v="367"/>
    <x v="1"/>
    <x v="4"/>
    <x v="6"/>
    <x v="0"/>
    <x v="3"/>
    <n v="0"/>
    <x v="2"/>
  </r>
  <r>
    <x v="30"/>
    <x v="1"/>
    <x v="367"/>
    <x v="1"/>
    <x v="4"/>
    <x v="6"/>
    <x v="0"/>
    <x v="4"/>
    <n v="0"/>
    <x v="2"/>
  </r>
  <r>
    <x v="30"/>
    <x v="1"/>
    <x v="367"/>
    <x v="1"/>
    <x v="4"/>
    <x v="6"/>
    <x v="0"/>
    <x v="5"/>
    <n v="0"/>
    <x v="2"/>
  </r>
  <r>
    <x v="30"/>
    <x v="1"/>
    <x v="367"/>
    <x v="1"/>
    <x v="4"/>
    <x v="6"/>
    <x v="0"/>
    <x v="6"/>
    <n v="0"/>
    <x v="2"/>
  </r>
  <r>
    <x v="30"/>
    <x v="1"/>
    <x v="367"/>
    <x v="1"/>
    <x v="4"/>
    <x v="6"/>
    <x v="0"/>
    <x v="7"/>
    <n v="0"/>
    <x v="2"/>
  </r>
  <r>
    <x v="30"/>
    <x v="1"/>
    <x v="367"/>
    <x v="1"/>
    <x v="4"/>
    <x v="6"/>
    <x v="0"/>
    <x v="8"/>
    <n v="0"/>
    <x v="2"/>
  </r>
  <r>
    <x v="30"/>
    <x v="1"/>
    <x v="367"/>
    <x v="1"/>
    <x v="4"/>
    <x v="6"/>
    <x v="0"/>
    <x v="9"/>
    <n v="0"/>
    <x v="2"/>
  </r>
  <r>
    <x v="30"/>
    <x v="1"/>
    <x v="367"/>
    <x v="1"/>
    <x v="4"/>
    <x v="6"/>
    <x v="0"/>
    <x v="10"/>
    <n v="0"/>
    <x v="2"/>
  </r>
  <r>
    <x v="30"/>
    <x v="1"/>
    <x v="367"/>
    <x v="1"/>
    <x v="4"/>
    <x v="6"/>
    <x v="0"/>
    <x v="12"/>
    <n v="0"/>
    <x v="2"/>
  </r>
  <r>
    <x v="30"/>
    <x v="1"/>
    <x v="369"/>
    <x v="1"/>
    <x v="4"/>
    <x v="6"/>
    <x v="0"/>
    <x v="0"/>
    <n v="0"/>
    <x v="2"/>
  </r>
  <r>
    <x v="30"/>
    <x v="1"/>
    <x v="369"/>
    <x v="1"/>
    <x v="4"/>
    <x v="6"/>
    <x v="0"/>
    <x v="1"/>
    <n v="0"/>
    <x v="2"/>
  </r>
  <r>
    <x v="30"/>
    <x v="1"/>
    <x v="369"/>
    <x v="1"/>
    <x v="4"/>
    <x v="6"/>
    <x v="0"/>
    <x v="2"/>
    <n v="0"/>
    <x v="2"/>
  </r>
  <r>
    <x v="30"/>
    <x v="1"/>
    <x v="369"/>
    <x v="1"/>
    <x v="4"/>
    <x v="6"/>
    <x v="0"/>
    <x v="3"/>
    <n v="176.94"/>
    <x v="2"/>
  </r>
  <r>
    <x v="30"/>
    <x v="1"/>
    <x v="369"/>
    <x v="1"/>
    <x v="4"/>
    <x v="6"/>
    <x v="0"/>
    <x v="4"/>
    <n v="0"/>
    <x v="2"/>
  </r>
  <r>
    <x v="30"/>
    <x v="1"/>
    <x v="369"/>
    <x v="1"/>
    <x v="4"/>
    <x v="6"/>
    <x v="0"/>
    <x v="5"/>
    <n v="0"/>
    <x v="2"/>
  </r>
  <r>
    <x v="30"/>
    <x v="1"/>
    <x v="369"/>
    <x v="1"/>
    <x v="4"/>
    <x v="6"/>
    <x v="0"/>
    <x v="6"/>
    <n v="0"/>
    <x v="2"/>
  </r>
  <r>
    <x v="30"/>
    <x v="1"/>
    <x v="369"/>
    <x v="1"/>
    <x v="4"/>
    <x v="6"/>
    <x v="0"/>
    <x v="7"/>
    <n v="103.15"/>
    <x v="2"/>
  </r>
  <r>
    <x v="30"/>
    <x v="1"/>
    <x v="369"/>
    <x v="1"/>
    <x v="4"/>
    <x v="6"/>
    <x v="0"/>
    <x v="8"/>
    <n v="0"/>
    <x v="2"/>
  </r>
  <r>
    <x v="30"/>
    <x v="1"/>
    <x v="369"/>
    <x v="1"/>
    <x v="4"/>
    <x v="6"/>
    <x v="0"/>
    <x v="9"/>
    <n v="0"/>
    <x v="2"/>
  </r>
  <r>
    <x v="30"/>
    <x v="1"/>
    <x v="369"/>
    <x v="1"/>
    <x v="4"/>
    <x v="6"/>
    <x v="0"/>
    <x v="10"/>
    <n v="0"/>
    <x v="2"/>
  </r>
  <r>
    <x v="30"/>
    <x v="1"/>
    <x v="369"/>
    <x v="1"/>
    <x v="4"/>
    <x v="6"/>
    <x v="0"/>
    <x v="12"/>
    <n v="0"/>
    <x v="2"/>
  </r>
  <r>
    <x v="30"/>
    <x v="1"/>
    <x v="370"/>
    <x v="0"/>
    <x v="4"/>
    <x v="6"/>
    <x v="23"/>
    <x v="0"/>
    <n v="0"/>
    <x v="2"/>
  </r>
  <r>
    <x v="30"/>
    <x v="1"/>
    <x v="370"/>
    <x v="0"/>
    <x v="4"/>
    <x v="6"/>
    <x v="23"/>
    <x v="1"/>
    <n v="289.89999999999998"/>
    <x v="2"/>
  </r>
  <r>
    <x v="30"/>
    <x v="1"/>
    <x v="370"/>
    <x v="0"/>
    <x v="4"/>
    <x v="6"/>
    <x v="23"/>
    <x v="2"/>
    <n v="0"/>
    <x v="2"/>
  </r>
  <r>
    <x v="30"/>
    <x v="1"/>
    <x v="370"/>
    <x v="0"/>
    <x v="4"/>
    <x v="6"/>
    <x v="23"/>
    <x v="3"/>
    <n v="0"/>
    <x v="2"/>
  </r>
  <r>
    <x v="30"/>
    <x v="1"/>
    <x v="370"/>
    <x v="0"/>
    <x v="4"/>
    <x v="6"/>
    <x v="23"/>
    <x v="4"/>
    <n v="0"/>
    <x v="2"/>
  </r>
  <r>
    <x v="30"/>
    <x v="1"/>
    <x v="370"/>
    <x v="0"/>
    <x v="4"/>
    <x v="6"/>
    <x v="23"/>
    <x v="5"/>
    <n v="0"/>
    <x v="2"/>
  </r>
  <r>
    <x v="30"/>
    <x v="1"/>
    <x v="370"/>
    <x v="0"/>
    <x v="4"/>
    <x v="6"/>
    <x v="23"/>
    <x v="6"/>
    <n v="0"/>
    <x v="2"/>
  </r>
  <r>
    <x v="30"/>
    <x v="1"/>
    <x v="370"/>
    <x v="0"/>
    <x v="4"/>
    <x v="6"/>
    <x v="23"/>
    <x v="7"/>
    <n v="0"/>
    <x v="2"/>
  </r>
  <r>
    <x v="30"/>
    <x v="1"/>
    <x v="370"/>
    <x v="0"/>
    <x v="4"/>
    <x v="6"/>
    <x v="23"/>
    <x v="8"/>
    <n v="0"/>
    <x v="2"/>
  </r>
  <r>
    <x v="30"/>
    <x v="1"/>
    <x v="370"/>
    <x v="0"/>
    <x v="4"/>
    <x v="6"/>
    <x v="23"/>
    <x v="9"/>
    <n v="0"/>
    <x v="2"/>
  </r>
  <r>
    <x v="30"/>
    <x v="1"/>
    <x v="370"/>
    <x v="0"/>
    <x v="4"/>
    <x v="6"/>
    <x v="23"/>
    <x v="10"/>
    <n v="0"/>
    <x v="2"/>
  </r>
  <r>
    <x v="30"/>
    <x v="1"/>
    <x v="370"/>
    <x v="0"/>
    <x v="4"/>
    <x v="6"/>
    <x v="23"/>
    <x v="12"/>
    <n v="0"/>
    <x v="2"/>
  </r>
  <r>
    <x v="30"/>
    <x v="1"/>
    <x v="371"/>
    <x v="1"/>
    <x v="4"/>
    <x v="6"/>
    <x v="0"/>
    <x v="0"/>
    <n v="0"/>
    <x v="2"/>
  </r>
  <r>
    <x v="30"/>
    <x v="1"/>
    <x v="371"/>
    <x v="1"/>
    <x v="4"/>
    <x v="6"/>
    <x v="0"/>
    <x v="1"/>
    <n v="0"/>
    <x v="2"/>
  </r>
  <r>
    <x v="30"/>
    <x v="1"/>
    <x v="371"/>
    <x v="1"/>
    <x v="4"/>
    <x v="6"/>
    <x v="0"/>
    <x v="2"/>
    <n v="0"/>
    <x v="2"/>
  </r>
  <r>
    <x v="30"/>
    <x v="1"/>
    <x v="371"/>
    <x v="1"/>
    <x v="4"/>
    <x v="6"/>
    <x v="0"/>
    <x v="3"/>
    <n v="0"/>
    <x v="2"/>
  </r>
  <r>
    <x v="30"/>
    <x v="1"/>
    <x v="371"/>
    <x v="1"/>
    <x v="4"/>
    <x v="6"/>
    <x v="0"/>
    <x v="4"/>
    <n v="0"/>
    <x v="2"/>
  </r>
  <r>
    <x v="30"/>
    <x v="1"/>
    <x v="371"/>
    <x v="1"/>
    <x v="4"/>
    <x v="6"/>
    <x v="0"/>
    <x v="5"/>
    <n v="0"/>
    <x v="2"/>
  </r>
  <r>
    <x v="30"/>
    <x v="1"/>
    <x v="371"/>
    <x v="1"/>
    <x v="4"/>
    <x v="6"/>
    <x v="0"/>
    <x v="6"/>
    <n v="0"/>
    <x v="2"/>
  </r>
  <r>
    <x v="30"/>
    <x v="1"/>
    <x v="371"/>
    <x v="1"/>
    <x v="4"/>
    <x v="6"/>
    <x v="0"/>
    <x v="7"/>
    <n v="0"/>
    <x v="2"/>
  </r>
  <r>
    <x v="30"/>
    <x v="1"/>
    <x v="371"/>
    <x v="1"/>
    <x v="4"/>
    <x v="6"/>
    <x v="0"/>
    <x v="8"/>
    <n v="0"/>
    <x v="2"/>
  </r>
  <r>
    <x v="30"/>
    <x v="1"/>
    <x v="371"/>
    <x v="1"/>
    <x v="4"/>
    <x v="6"/>
    <x v="0"/>
    <x v="9"/>
    <n v="400"/>
    <x v="2"/>
  </r>
  <r>
    <x v="30"/>
    <x v="1"/>
    <x v="371"/>
    <x v="1"/>
    <x v="4"/>
    <x v="6"/>
    <x v="0"/>
    <x v="10"/>
    <n v="0"/>
    <x v="2"/>
  </r>
  <r>
    <x v="30"/>
    <x v="1"/>
    <x v="371"/>
    <x v="1"/>
    <x v="4"/>
    <x v="6"/>
    <x v="0"/>
    <x v="12"/>
    <n v="0"/>
    <x v="2"/>
  </r>
  <r>
    <x v="30"/>
    <x v="1"/>
    <x v="372"/>
    <x v="1"/>
    <x v="4"/>
    <x v="6"/>
    <x v="0"/>
    <x v="0"/>
    <n v="868.35"/>
    <x v="2"/>
  </r>
  <r>
    <x v="30"/>
    <x v="1"/>
    <x v="372"/>
    <x v="1"/>
    <x v="4"/>
    <x v="6"/>
    <x v="0"/>
    <x v="1"/>
    <n v="0"/>
    <x v="2"/>
  </r>
  <r>
    <x v="30"/>
    <x v="1"/>
    <x v="372"/>
    <x v="1"/>
    <x v="4"/>
    <x v="6"/>
    <x v="0"/>
    <x v="2"/>
    <n v="0"/>
    <x v="2"/>
  </r>
  <r>
    <x v="30"/>
    <x v="1"/>
    <x v="372"/>
    <x v="1"/>
    <x v="4"/>
    <x v="6"/>
    <x v="0"/>
    <x v="3"/>
    <n v="0"/>
    <x v="2"/>
  </r>
  <r>
    <x v="30"/>
    <x v="1"/>
    <x v="372"/>
    <x v="1"/>
    <x v="4"/>
    <x v="6"/>
    <x v="0"/>
    <x v="4"/>
    <n v="0"/>
    <x v="2"/>
  </r>
  <r>
    <x v="30"/>
    <x v="1"/>
    <x v="372"/>
    <x v="1"/>
    <x v="4"/>
    <x v="6"/>
    <x v="0"/>
    <x v="5"/>
    <n v="0"/>
    <x v="2"/>
  </r>
  <r>
    <x v="30"/>
    <x v="1"/>
    <x v="372"/>
    <x v="1"/>
    <x v="4"/>
    <x v="6"/>
    <x v="0"/>
    <x v="6"/>
    <n v="0"/>
    <x v="2"/>
  </r>
  <r>
    <x v="30"/>
    <x v="1"/>
    <x v="372"/>
    <x v="1"/>
    <x v="4"/>
    <x v="6"/>
    <x v="0"/>
    <x v="7"/>
    <n v="0"/>
    <x v="2"/>
  </r>
  <r>
    <x v="30"/>
    <x v="1"/>
    <x v="372"/>
    <x v="1"/>
    <x v="4"/>
    <x v="6"/>
    <x v="0"/>
    <x v="8"/>
    <n v="0"/>
    <x v="2"/>
  </r>
  <r>
    <x v="30"/>
    <x v="1"/>
    <x v="372"/>
    <x v="1"/>
    <x v="4"/>
    <x v="6"/>
    <x v="0"/>
    <x v="9"/>
    <n v="0"/>
    <x v="2"/>
  </r>
  <r>
    <x v="30"/>
    <x v="1"/>
    <x v="372"/>
    <x v="1"/>
    <x v="4"/>
    <x v="6"/>
    <x v="0"/>
    <x v="10"/>
    <n v="0"/>
    <x v="2"/>
  </r>
  <r>
    <x v="30"/>
    <x v="1"/>
    <x v="372"/>
    <x v="1"/>
    <x v="4"/>
    <x v="6"/>
    <x v="0"/>
    <x v="12"/>
    <n v="0"/>
    <x v="2"/>
  </r>
  <r>
    <x v="30"/>
    <x v="1"/>
    <x v="373"/>
    <x v="1"/>
    <x v="4"/>
    <x v="6"/>
    <x v="0"/>
    <x v="0"/>
    <n v="0"/>
    <x v="2"/>
  </r>
  <r>
    <x v="30"/>
    <x v="1"/>
    <x v="373"/>
    <x v="1"/>
    <x v="4"/>
    <x v="6"/>
    <x v="0"/>
    <x v="1"/>
    <n v="0"/>
    <x v="2"/>
  </r>
  <r>
    <x v="30"/>
    <x v="1"/>
    <x v="373"/>
    <x v="1"/>
    <x v="4"/>
    <x v="6"/>
    <x v="0"/>
    <x v="2"/>
    <n v="0"/>
    <x v="2"/>
  </r>
  <r>
    <x v="30"/>
    <x v="1"/>
    <x v="373"/>
    <x v="1"/>
    <x v="4"/>
    <x v="6"/>
    <x v="0"/>
    <x v="3"/>
    <n v="0"/>
    <x v="2"/>
  </r>
  <r>
    <x v="30"/>
    <x v="1"/>
    <x v="373"/>
    <x v="1"/>
    <x v="4"/>
    <x v="6"/>
    <x v="0"/>
    <x v="4"/>
    <n v="0"/>
    <x v="2"/>
  </r>
  <r>
    <x v="30"/>
    <x v="1"/>
    <x v="373"/>
    <x v="1"/>
    <x v="4"/>
    <x v="6"/>
    <x v="0"/>
    <x v="5"/>
    <n v="0"/>
    <x v="2"/>
  </r>
  <r>
    <x v="30"/>
    <x v="1"/>
    <x v="373"/>
    <x v="1"/>
    <x v="4"/>
    <x v="6"/>
    <x v="0"/>
    <x v="6"/>
    <n v="0"/>
    <x v="2"/>
  </r>
  <r>
    <x v="30"/>
    <x v="1"/>
    <x v="373"/>
    <x v="1"/>
    <x v="4"/>
    <x v="6"/>
    <x v="0"/>
    <x v="7"/>
    <n v="0"/>
    <x v="2"/>
  </r>
  <r>
    <x v="30"/>
    <x v="1"/>
    <x v="373"/>
    <x v="1"/>
    <x v="4"/>
    <x v="6"/>
    <x v="0"/>
    <x v="8"/>
    <n v="0"/>
    <x v="2"/>
  </r>
  <r>
    <x v="30"/>
    <x v="1"/>
    <x v="373"/>
    <x v="1"/>
    <x v="4"/>
    <x v="6"/>
    <x v="0"/>
    <x v="9"/>
    <n v="0"/>
    <x v="2"/>
  </r>
  <r>
    <x v="30"/>
    <x v="1"/>
    <x v="373"/>
    <x v="1"/>
    <x v="4"/>
    <x v="6"/>
    <x v="0"/>
    <x v="10"/>
    <n v="0"/>
    <x v="2"/>
  </r>
  <r>
    <x v="30"/>
    <x v="1"/>
    <x v="373"/>
    <x v="1"/>
    <x v="4"/>
    <x v="6"/>
    <x v="0"/>
    <x v="12"/>
    <n v="0"/>
    <x v="2"/>
  </r>
  <r>
    <x v="30"/>
    <x v="1"/>
    <x v="378"/>
    <x v="0"/>
    <x v="4"/>
    <x v="6"/>
    <x v="17"/>
    <x v="0"/>
    <n v="0"/>
    <x v="2"/>
  </r>
  <r>
    <x v="30"/>
    <x v="1"/>
    <x v="378"/>
    <x v="0"/>
    <x v="4"/>
    <x v="6"/>
    <x v="17"/>
    <x v="1"/>
    <n v="0"/>
    <x v="2"/>
  </r>
  <r>
    <x v="30"/>
    <x v="1"/>
    <x v="378"/>
    <x v="0"/>
    <x v="4"/>
    <x v="6"/>
    <x v="17"/>
    <x v="2"/>
    <n v="0"/>
    <x v="2"/>
  </r>
  <r>
    <x v="30"/>
    <x v="1"/>
    <x v="378"/>
    <x v="0"/>
    <x v="4"/>
    <x v="6"/>
    <x v="17"/>
    <x v="3"/>
    <n v="348.47"/>
    <x v="2"/>
  </r>
  <r>
    <x v="30"/>
    <x v="1"/>
    <x v="378"/>
    <x v="0"/>
    <x v="4"/>
    <x v="6"/>
    <x v="17"/>
    <x v="4"/>
    <n v="664.29"/>
    <x v="2"/>
  </r>
  <r>
    <x v="30"/>
    <x v="1"/>
    <x v="378"/>
    <x v="0"/>
    <x v="4"/>
    <x v="6"/>
    <x v="17"/>
    <x v="5"/>
    <n v="0"/>
    <x v="2"/>
  </r>
  <r>
    <x v="30"/>
    <x v="1"/>
    <x v="378"/>
    <x v="0"/>
    <x v="4"/>
    <x v="6"/>
    <x v="17"/>
    <x v="6"/>
    <n v="0"/>
    <x v="2"/>
  </r>
  <r>
    <x v="30"/>
    <x v="1"/>
    <x v="378"/>
    <x v="0"/>
    <x v="4"/>
    <x v="6"/>
    <x v="17"/>
    <x v="7"/>
    <n v="1172.5"/>
    <x v="2"/>
  </r>
  <r>
    <x v="30"/>
    <x v="1"/>
    <x v="378"/>
    <x v="0"/>
    <x v="4"/>
    <x v="6"/>
    <x v="17"/>
    <x v="8"/>
    <n v="1110"/>
    <x v="2"/>
  </r>
  <r>
    <x v="30"/>
    <x v="1"/>
    <x v="378"/>
    <x v="0"/>
    <x v="4"/>
    <x v="6"/>
    <x v="17"/>
    <x v="9"/>
    <n v="937"/>
    <x v="2"/>
  </r>
  <r>
    <x v="30"/>
    <x v="1"/>
    <x v="378"/>
    <x v="0"/>
    <x v="4"/>
    <x v="6"/>
    <x v="17"/>
    <x v="10"/>
    <n v="0"/>
    <x v="2"/>
  </r>
  <r>
    <x v="30"/>
    <x v="1"/>
    <x v="378"/>
    <x v="0"/>
    <x v="4"/>
    <x v="6"/>
    <x v="17"/>
    <x v="12"/>
    <n v="0"/>
    <x v="2"/>
  </r>
  <r>
    <x v="30"/>
    <x v="1"/>
    <x v="379"/>
    <x v="1"/>
    <x v="4"/>
    <x v="6"/>
    <x v="0"/>
    <x v="0"/>
    <n v="0"/>
    <x v="2"/>
  </r>
  <r>
    <x v="30"/>
    <x v="1"/>
    <x v="379"/>
    <x v="1"/>
    <x v="4"/>
    <x v="6"/>
    <x v="0"/>
    <x v="1"/>
    <n v="0"/>
    <x v="2"/>
  </r>
  <r>
    <x v="30"/>
    <x v="1"/>
    <x v="379"/>
    <x v="1"/>
    <x v="4"/>
    <x v="6"/>
    <x v="0"/>
    <x v="2"/>
    <n v="0"/>
    <x v="2"/>
  </r>
  <r>
    <x v="30"/>
    <x v="1"/>
    <x v="379"/>
    <x v="1"/>
    <x v="4"/>
    <x v="6"/>
    <x v="0"/>
    <x v="3"/>
    <n v="0"/>
    <x v="2"/>
  </r>
  <r>
    <x v="30"/>
    <x v="1"/>
    <x v="379"/>
    <x v="1"/>
    <x v="4"/>
    <x v="6"/>
    <x v="0"/>
    <x v="4"/>
    <n v="0"/>
    <x v="2"/>
  </r>
  <r>
    <x v="30"/>
    <x v="1"/>
    <x v="379"/>
    <x v="1"/>
    <x v="4"/>
    <x v="6"/>
    <x v="0"/>
    <x v="5"/>
    <n v="411.7"/>
    <x v="2"/>
  </r>
  <r>
    <x v="30"/>
    <x v="1"/>
    <x v="379"/>
    <x v="1"/>
    <x v="4"/>
    <x v="6"/>
    <x v="0"/>
    <x v="6"/>
    <n v="0"/>
    <x v="2"/>
  </r>
  <r>
    <x v="30"/>
    <x v="1"/>
    <x v="379"/>
    <x v="1"/>
    <x v="4"/>
    <x v="6"/>
    <x v="0"/>
    <x v="7"/>
    <n v="0"/>
    <x v="2"/>
  </r>
  <r>
    <x v="30"/>
    <x v="1"/>
    <x v="379"/>
    <x v="1"/>
    <x v="4"/>
    <x v="6"/>
    <x v="0"/>
    <x v="8"/>
    <n v="0"/>
    <x v="2"/>
  </r>
  <r>
    <x v="30"/>
    <x v="1"/>
    <x v="379"/>
    <x v="1"/>
    <x v="4"/>
    <x v="6"/>
    <x v="0"/>
    <x v="9"/>
    <n v="0"/>
    <x v="2"/>
  </r>
  <r>
    <x v="30"/>
    <x v="1"/>
    <x v="379"/>
    <x v="1"/>
    <x v="4"/>
    <x v="6"/>
    <x v="0"/>
    <x v="10"/>
    <n v="0"/>
    <x v="2"/>
  </r>
  <r>
    <x v="30"/>
    <x v="1"/>
    <x v="379"/>
    <x v="1"/>
    <x v="4"/>
    <x v="6"/>
    <x v="0"/>
    <x v="12"/>
    <n v="0"/>
    <x v="2"/>
  </r>
  <r>
    <x v="30"/>
    <x v="1"/>
    <x v="380"/>
    <x v="1"/>
    <x v="4"/>
    <x v="6"/>
    <x v="0"/>
    <x v="0"/>
    <n v="0"/>
    <x v="2"/>
  </r>
  <r>
    <x v="30"/>
    <x v="1"/>
    <x v="380"/>
    <x v="1"/>
    <x v="4"/>
    <x v="6"/>
    <x v="0"/>
    <x v="1"/>
    <n v="0"/>
    <x v="2"/>
  </r>
  <r>
    <x v="30"/>
    <x v="1"/>
    <x v="380"/>
    <x v="1"/>
    <x v="4"/>
    <x v="6"/>
    <x v="0"/>
    <x v="2"/>
    <n v="0"/>
    <x v="2"/>
  </r>
  <r>
    <x v="30"/>
    <x v="1"/>
    <x v="380"/>
    <x v="1"/>
    <x v="4"/>
    <x v="6"/>
    <x v="0"/>
    <x v="3"/>
    <n v="0"/>
    <x v="2"/>
  </r>
  <r>
    <x v="30"/>
    <x v="1"/>
    <x v="380"/>
    <x v="1"/>
    <x v="4"/>
    <x v="6"/>
    <x v="0"/>
    <x v="4"/>
    <n v="0"/>
    <x v="2"/>
  </r>
  <r>
    <x v="30"/>
    <x v="1"/>
    <x v="380"/>
    <x v="1"/>
    <x v="4"/>
    <x v="6"/>
    <x v="0"/>
    <x v="5"/>
    <n v="0"/>
    <x v="2"/>
  </r>
  <r>
    <x v="30"/>
    <x v="1"/>
    <x v="380"/>
    <x v="1"/>
    <x v="4"/>
    <x v="6"/>
    <x v="0"/>
    <x v="6"/>
    <n v="237"/>
    <x v="2"/>
  </r>
  <r>
    <x v="30"/>
    <x v="1"/>
    <x v="380"/>
    <x v="1"/>
    <x v="4"/>
    <x v="6"/>
    <x v="0"/>
    <x v="7"/>
    <n v="0"/>
    <x v="2"/>
  </r>
  <r>
    <x v="30"/>
    <x v="1"/>
    <x v="380"/>
    <x v="1"/>
    <x v="4"/>
    <x v="6"/>
    <x v="0"/>
    <x v="8"/>
    <n v="0"/>
    <x v="2"/>
  </r>
  <r>
    <x v="30"/>
    <x v="1"/>
    <x v="380"/>
    <x v="1"/>
    <x v="4"/>
    <x v="6"/>
    <x v="0"/>
    <x v="9"/>
    <n v="0"/>
    <x v="2"/>
  </r>
  <r>
    <x v="30"/>
    <x v="1"/>
    <x v="380"/>
    <x v="1"/>
    <x v="4"/>
    <x v="6"/>
    <x v="0"/>
    <x v="10"/>
    <n v="0"/>
    <x v="2"/>
  </r>
  <r>
    <x v="30"/>
    <x v="1"/>
    <x v="380"/>
    <x v="1"/>
    <x v="4"/>
    <x v="6"/>
    <x v="0"/>
    <x v="12"/>
    <n v="0"/>
    <x v="2"/>
  </r>
  <r>
    <x v="30"/>
    <x v="1"/>
    <x v="381"/>
    <x v="1"/>
    <x v="4"/>
    <x v="6"/>
    <x v="0"/>
    <x v="0"/>
    <n v="0"/>
    <x v="2"/>
  </r>
  <r>
    <x v="30"/>
    <x v="1"/>
    <x v="381"/>
    <x v="1"/>
    <x v="4"/>
    <x v="6"/>
    <x v="0"/>
    <x v="1"/>
    <n v="0"/>
    <x v="2"/>
  </r>
  <r>
    <x v="30"/>
    <x v="1"/>
    <x v="381"/>
    <x v="1"/>
    <x v="4"/>
    <x v="6"/>
    <x v="0"/>
    <x v="2"/>
    <n v="0"/>
    <x v="2"/>
  </r>
  <r>
    <x v="30"/>
    <x v="1"/>
    <x v="381"/>
    <x v="1"/>
    <x v="4"/>
    <x v="6"/>
    <x v="0"/>
    <x v="3"/>
    <n v="0"/>
    <x v="2"/>
  </r>
  <r>
    <x v="30"/>
    <x v="1"/>
    <x v="381"/>
    <x v="1"/>
    <x v="4"/>
    <x v="6"/>
    <x v="0"/>
    <x v="4"/>
    <n v="0"/>
    <x v="2"/>
  </r>
  <r>
    <x v="30"/>
    <x v="1"/>
    <x v="381"/>
    <x v="1"/>
    <x v="4"/>
    <x v="6"/>
    <x v="0"/>
    <x v="5"/>
    <n v="0"/>
    <x v="2"/>
  </r>
  <r>
    <x v="30"/>
    <x v="1"/>
    <x v="381"/>
    <x v="1"/>
    <x v="4"/>
    <x v="6"/>
    <x v="0"/>
    <x v="6"/>
    <n v="0"/>
    <x v="2"/>
  </r>
  <r>
    <x v="30"/>
    <x v="1"/>
    <x v="381"/>
    <x v="1"/>
    <x v="4"/>
    <x v="6"/>
    <x v="0"/>
    <x v="7"/>
    <n v="0"/>
    <x v="2"/>
  </r>
  <r>
    <x v="30"/>
    <x v="1"/>
    <x v="381"/>
    <x v="1"/>
    <x v="4"/>
    <x v="6"/>
    <x v="0"/>
    <x v="8"/>
    <n v="987"/>
    <x v="2"/>
  </r>
  <r>
    <x v="30"/>
    <x v="1"/>
    <x v="381"/>
    <x v="1"/>
    <x v="4"/>
    <x v="6"/>
    <x v="0"/>
    <x v="9"/>
    <n v="0"/>
    <x v="2"/>
  </r>
  <r>
    <x v="30"/>
    <x v="1"/>
    <x v="381"/>
    <x v="1"/>
    <x v="4"/>
    <x v="6"/>
    <x v="0"/>
    <x v="10"/>
    <n v="0"/>
    <x v="2"/>
  </r>
  <r>
    <x v="30"/>
    <x v="1"/>
    <x v="381"/>
    <x v="1"/>
    <x v="4"/>
    <x v="6"/>
    <x v="0"/>
    <x v="12"/>
    <n v="0"/>
    <x v="2"/>
  </r>
  <r>
    <x v="30"/>
    <x v="1"/>
    <x v="362"/>
    <x v="0"/>
    <x v="4"/>
    <x v="46"/>
    <x v="22"/>
    <x v="0"/>
    <n v="66.680000000000007"/>
    <x v="2"/>
  </r>
  <r>
    <x v="30"/>
    <x v="1"/>
    <x v="362"/>
    <x v="0"/>
    <x v="4"/>
    <x v="46"/>
    <x v="22"/>
    <x v="1"/>
    <n v="0"/>
    <x v="2"/>
  </r>
  <r>
    <x v="30"/>
    <x v="1"/>
    <x v="362"/>
    <x v="0"/>
    <x v="4"/>
    <x v="46"/>
    <x v="22"/>
    <x v="2"/>
    <n v="0"/>
    <x v="2"/>
  </r>
  <r>
    <x v="30"/>
    <x v="1"/>
    <x v="362"/>
    <x v="0"/>
    <x v="4"/>
    <x v="46"/>
    <x v="22"/>
    <x v="3"/>
    <n v="0"/>
    <x v="2"/>
  </r>
  <r>
    <x v="30"/>
    <x v="1"/>
    <x v="362"/>
    <x v="0"/>
    <x v="4"/>
    <x v="46"/>
    <x v="22"/>
    <x v="4"/>
    <n v="0"/>
    <x v="2"/>
  </r>
  <r>
    <x v="30"/>
    <x v="1"/>
    <x v="362"/>
    <x v="0"/>
    <x v="4"/>
    <x v="46"/>
    <x v="22"/>
    <x v="5"/>
    <n v="0"/>
    <x v="2"/>
  </r>
  <r>
    <x v="30"/>
    <x v="1"/>
    <x v="362"/>
    <x v="0"/>
    <x v="4"/>
    <x v="46"/>
    <x v="22"/>
    <x v="6"/>
    <n v="0"/>
    <x v="2"/>
  </r>
  <r>
    <x v="30"/>
    <x v="1"/>
    <x v="362"/>
    <x v="0"/>
    <x v="4"/>
    <x v="46"/>
    <x v="22"/>
    <x v="7"/>
    <n v="0"/>
    <x v="2"/>
  </r>
  <r>
    <x v="30"/>
    <x v="1"/>
    <x v="362"/>
    <x v="0"/>
    <x v="4"/>
    <x v="46"/>
    <x v="22"/>
    <x v="8"/>
    <n v="0"/>
    <x v="2"/>
  </r>
  <r>
    <x v="30"/>
    <x v="1"/>
    <x v="362"/>
    <x v="0"/>
    <x v="4"/>
    <x v="46"/>
    <x v="22"/>
    <x v="9"/>
    <n v="0"/>
    <x v="2"/>
  </r>
  <r>
    <x v="30"/>
    <x v="1"/>
    <x v="362"/>
    <x v="0"/>
    <x v="4"/>
    <x v="46"/>
    <x v="22"/>
    <x v="10"/>
    <n v="0"/>
    <x v="2"/>
  </r>
  <r>
    <x v="30"/>
    <x v="1"/>
    <x v="362"/>
    <x v="0"/>
    <x v="4"/>
    <x v="46"/>
    <x v="22"/>
    <x v="12"/>
    <n v="0"/>
    <x v="2"/>
  </r>
  <r>
    <x v="30"/>
    <x v="1"/>
    <x v="363"/>
    <x v="1"/>
    <x v="4"/>
    <x v="46"/>
    <x v="0"/>
    <x v="0"/>
    <n v="0"/>
    <x v="2"/>
  </r>
  <r>
    <x v="30"/>
    <x v="1"/>
    <x v="363"/>
    <x v="1"/>
    <x v="4"/>
    <x v="46"/>
    <x v="0"/>
    <x v="1"/>
    <n v="0"/>
    <x v="2"/>
  </r>
  <r>
    <x v="30"/>
    <x v="1"/>
    <x v="363"/>
    <x v="1"/>
    <x v="4"/>
    <x v="46"/>
    <x v="0"/>
    <x v="2"/>
    <n v="0"/>
    <x v="2"/>
  </r>
  <r>
    <x v="30"/>
    <x v="1"/>
    <x v="363"/>
    <x v="1"/>
    <x v="4"/>
    <x v="46"/>
    <x v="0"/>
    <x v="3"/>
    <n v="0"/>
    <x v="2"/>
  </r>
  <r>
    <x v="30"/>
    <x v="1"/>
    <x v="363"/>
    <x v="1"/>
    <x v="4"/>
    <x v="46"/>
    <x v="0"/>
    <x v="4"/>
    <n v="0"/>
    <x v="2"/>
  </r>
  <r>
    <x v="30"/>
    <x v="1"/>
    <x v="363"/>
    <x v="1"/>
    <x v="4"/>
    <x v="46"/>
    <x v="0"/>
    <x v="5"/>
    <n v="0"/>
    <x v="2"/>
  </r>
  <r>
    <x v="30"/>
    <x v="1"/>
    <x v="363"/>
    <x v="1"/>
    <x v="4"/>
    <x v="46"/>
    <x v="0"/>
    <x v="6"/>
    <n v="0"/>
    <x v="2"/>
  </r>
  <r>
    <x v="30"/>
    <x v="1"/>
    <x v="363"/>
    <x v="1"/>
    <x v="4"/>
    <x v="46"/>
    <x v="0"/>
    <x v="7"/>
    <n v="0"/>
    <x v="2"/>
  </r>
  <r>
    <x v="30"/>
    <x v="1"/>
    <x v="363"/>
    <x v="1"/>
    <x v="4"/>
    <x v="46"/>
    <x v="0"/>
    <x v="8"/>
    <n v="0"/>
    <x v="2"/>
  </r>
  <r>
    <x v="30"/>
    <x v="1"/>
    <x v="363"/>
    <x v="1"/>
    <x v="4"/>
    <x v="46"/>
    <x v="0"/>
    <x v="9"/>
    <n v="0"/>
    <x v="2"/>
  </r>
  <r>
    <x v="30"/>
    <x v="1"/>
    <x v="363"/>
    <x v="1"/>
    <x v="4"/>
    <x v="46"/>
    <x v="0"/>
    <x v="10"/>
    <n v="0"/>
    <x v="2"/>
  </r>
  <r>
    <x v="30"/>
    <x v="1"/>
    <x v="363"/>
    <x v="1"/>
    <x v="4"/>
    <x v="46"/>
    <x v="0"/>
    <x v="12"/>
    <n v="0"/>
    <x v="2"/>
  </r>
  <r>
    <x v="30"/>
    <x v="1"/>
    <x v="364"/>
    <x v="0"/>
    <x v="4"/>
    <x v="46"/>
    <x v="23"/>
    <x v="0"/>
    <n v="0"/>
    <x v="2"/>
  </r>
  <r>
    <x v="30"/>
    <x v="1"/>
    <x v="364"/>
    <x v="0"/>
    <x v="4"/>
    <x v="46"/>
    <x v="23"/>
    <x v="1"/>
    <n v="0"/>
    <x v="2"/>
  </r>
  <r>
    <x v="30"/>
    <x v="1"/>
    <x v="364"/>
    <x v="0"/>
    <x v="4"/>
    <x v="46"/>
    <x v="23"/>
    <x v="2"/>
    <n v="0"/>
    <x v="2"/>
  </r>
  <r>
    <x v="30"/>
    <x v="1"/>
    <x v="364"/>
    <x v="0"/>
    <x v="4"/>
    <x v="46"/>
    <x v="23"/>
    <x v="3"/>
    <n v="0"/>
    <x v="2"/>
  </r>
  <r>
    <x v="30"/>
    <x v="1"/>
    <x v="364"/>
    <x v="0"/>
    <x v="4"/>
    <x v="46"/>
    <x v="23"/>
    <x v="4"/>
    <n v="0"/>
    <x v="2"/>
  </r>
  <r>
    <x v="30"/>
    <x v="1"/>
    <x v="364"/>
    <x v="0"/>
    <x v="4"/>
    <x v="46"/>
    <x v="23"/>
    <x v="5"/>
    <n v="0"/>
    <x v="2"/>
  </r>
  <r>
    <x v="30"/>
    <x v="1"/>
    <x v="364"/>
    <x v="0"/>
    <x v="4"/>
    <x v="46"/>
    <x v="23"/>
    <x v="6"/>
    <n v="0"/>
    <x v="2"/>
  </r>
  <r>
    <x v="30"/>
    <x v="1"/>
    <x v="364"/>
    <x v="0"/>
    <x v="4"/>
    <x v="46"/>
    <x v="23"/>
    <x v="7"/>
    <n v="0"/>
    <x v="2"/>
  </r>
  <r>
    <x v="30"/>
    <x v="1"/>
    <x v="364"/>
    <x v="0"/>
    <x v="4"/>
    <x v="46"/>
    <x v="23"/>
    <x v="8"/>
    <n v="0"/>
    <x v="2"/>
  </r>
  <r>
    <x v="30"/>
    <x v="1"/>
    <x v="364"/>
    <x v="0"/>
    <x v="4"/>
    <x v="46"/>
    <x v="23"/>
    <x v="9"/>
    <n v="0"/>
    <x v="2"/>
  </r>
  <r>
    <x v="30"/>
    <x v="1"/>
    <x v="364"/>
    <x v="0"/>
    <x v="4"/>
    <x v="46"/>
    <x v="23"/>
    <x v="10"/>
    <n v="0"/>
    <x v="2"/>
  </r>
  <r>
    <x v="30"/>
    <x v="1"/>
    <x v="364"/>
    <x v="0"/>
    <x v="4"/>
    <x v="46"/>
    <x v="23"/>
    <x v="12"/>
    <n v="0"/>
    <x v="2"/>
  </r>
  <r>
    <x v="30"/>
    <x v="1"/>
    <x v="382"/>
    <x v="0"/>
    <x v="4"/>
    <x v="46"/>
    <x v="23"/>
    <x v="0"/>
    <n v="408.16"/>
    <x v="2"/>
  </r>
  <r>
    <x v="30"/>
    <x v="1"/>
    <x v="382"/>
    <x v="0"/>
    <x v="4"/>
    <x v="46"/>
    <x v="23"/>
    <x v="1"/>
    <n v="0"/>
    <x v="2"/>
  </r>
  <r>
    <x v="30"/>
    <x v="1"/>
    <x v="382"/>
    <x v="0"/>
    <x v="4"/>
    <x v="46"/>
    <x v="23"/>
    <x v="2"/>
    <n v="0"/>
    <x v="2"/>
  </r>
  <r>
    <x v="30"/>
    <x v="1"/>
    <x v="382"/>
    <x v="0"/>
    <x v="4"/>
    <x v="46"/>
    <x v="23"/>
    <x v="3"/>
    <n v="0"/>
    <x v="2"/>
  </r>
  <r>
    <x v="30"/>
    <x v="1"/>
    <x v="382"/>
    <x v="0"/>
    <x v="4"/>
    <x v="46"/>
    <x v="23"/>
    <x v="4"/>
    <n v="0"/>
    <x v="2"/>
  </r>
  <r>
    <x v="30"/>
    <x v="1"/>
    <x v="382"/>
    <x v="0"/>
    <x v="4"/>
    <x v="46"/>
    <x v="23"/>
    <x v="5"/>
    <n v="0"/>
    <x v="2"/>
  </r>
  <r>
    <x v="30"/>
    <x v="1"/>
    <x v="382"/>
    <x v="0"/>
    <x v="4"/>
    <x v="46"/>
    <x v="23"/>
    <x v="6"/>
    <n v="0"/>
    <x v="2"/>
  </r>
  <r>
    <x v="30"/>
    <x v="1"/>
    <x v="382"/>
    <x v="0"/>
    <x v="4"/>
    <x v="46"/>
    <x v="23"/>
    <x v="7"/>
    <n v="0"/>
    <x v="2"/>
  </r>
  <r>
    <x v="30"/>
    <x v="1"/>
    <x v="382"/>
    <x v="0"/>
    <x v="4"/>
    <x v="46"/>
    <x v="23"/>
    <x v="8"/>
    <n v="0"/>
    <x v="2"/>
  </r>
  <r>
    <x v="30"/>
    <x v="1"/>
    <x v="382"/>
    <x v="0"/>
    <x v="4"/>
    <x v="46"/>
    <x v="23"/>
    <x v="9"/>
    <n v="0"/>
    <x v="2"/>
  </r>
  <r>
    <x v="30"/>
    <x v="1"/>
    <x v="382"/>
    <x v="0"/>
    <x v="4"/>
    <x v="46"/>
    <x v="23"/>
    <x v="10"/>
    <n v="0"/>
    <x v="2"/>
  </r>
  <r>
    <x v="30"/>
    <x v="1"/>
    <x v="382"/>
    <x v="0"/>
    <x v="4"/>
    <x v="46"/>
    <x v="23"/>
    <x v="12"/>
    <n v="0"/>
    <x v="2"/>
  </r>
  <r>
    <x v="30"/>
    <x v="1"/>
    <x v="365"/>
    <x v="1"/>
    <x v="4"/>
    <x v="46"/>
    <x v="0"/>
    <x v="0"/>
    <n v="29.93"/>
    <x v="2"/>
  </r>
  <r>
    <x v="30"/>
    <x v="1"/>
    <x v="365"/>
    <x v="1"/>
    <x v="4"/>
    <x v="46"/>
    <x v="0"/>
    <x v="1"/>
    <n v="0"/>
    <x v="2"/>
  </r>
  <r>
    <x v="30"/>
    <x v="1"/>
    <x v="365"/>
    <x v="1"/>
    <x v="4"/>
    <x v="46"/>
    <x v="0"/>
    <x v="2"/>
    <n v="0"/>
    <x v="2"/>
  </r>
  <r>
    <x v="30"/>
    <x v="1"/>
    <x v="365"/>
    <x v="1"/>
    <x v="4"/>
    <x v="46"/>
    <x v="0"/>
    <x v="3"/>
    <n v="0"/>
    <x v="2"/>
  </r>
  <r>
    <x v="30"/>
    <x v="1"/>
    <x v="365"/>
    <x v="1"/>
    <x v="4"/>
    <x v="46"/>
    <x v="0"/>
    <x v="4"/>
    <n v="0"/>
    <x v="2"/>
  </r>
  <r>
    <x v="30"/>
    <x v="1"/>
    <x v="365"/>
    <x v="1"/>
    <x v="4"/>
    <x v="46"/>
    <x v="0"/>
    <x v="5"/>
    <n v="0"/>
    <x v="2"/>
  </r>
  <r>
    <x v="30"/>
    <x v="1"/>
    <x v="365"/>
    <x v="1"/>
    <x v="4"/>
    <x v="46"/>
    <x v="0"/>
    <x v="6"/>
    <n v="0"/>
    <x v="2"/>
  </r>
  <r>
    <x v="30"/>
    <x v="1"/>
    <x v="365"/>
    <x v="1"/>
    <x v="4"/>
    <x v="46"/>
    <x v="0"/>
    <x v="7"/>
    <n v="0"/>
    <x v="2"/>
  </r>
  <r>
    <x v="30"/>
    <x v="1"/>
    <x v="365"/>
    <x v="1"/>
    <x v="4"/>
    <x v="46"/>
    <x v="0"/>
    <x v="8"/>
    <n v="0"/>
    <x v="2"/>
  </r>
  <r>
    <x v="30"/>
    <x v="1"/>
    <x v="365"/>
    <x v="1"/>
    <x v="4"/>
    <x v="46"/>
    <x v="0"/>
    <x v="9"/>
    <n v="0"/>
    <x v="2"/>
  </r>
  <r>
    <x v="30"/>
    <x v="1"/>
    <x v="365"/>
    <x v="1"/>
    <x v="4"/>
    <x v="46"/>
    <x v="0"/>
    <x v="10"/>
    <n v="1000"/>
    <x v="2"/>
  </r>
  <r>
    <x v="30"/>
    <x v="1"/>
    <x v="365"/>
    <x v="1"/>
    <x v="4"/>
    <x v="46"/>
    <x v="0"/>
    <x v="12"/>
    <n v="1000"/>
    <x v="2"/>
  </r>
  <r>
    <x v="30"/>
    <x v="1"/>
    <x v="383"/>
    <x v="1"/>
    <x v="4"/>
    <x v="46"/>
    <x v="0"/>
    <x v="0"/>
    <n v="123.12"/>
    <x v="2"/>
  </r>
  <r>
    <x v="30"/>
    <x v="1"/>
    <x v="383"/>
    <x v="1"/>
    <x v="4"/>
    <x v="46"/>
    <x v="0"/>
    <x v="1"/>
    <n v="0"/>
    <x v="2"/>
  </r>
  <r>
    <x v="30"/>
    <x v="1"/>
    <x v="383"/>
    <x v="1"/>
    <x v="4"/>
    <x v="46"/>
    <x v="0"/>
    <x v="2"/>
    <n v="0"/>
    <x v="2"/>
  </r>
  <r>
    <x v="30"/>
    <x v="1"/>
    <x v="383"/>
    <x v="1"/>
    <x v="4"/>
    <x v="46"/>
    <x v="0"/>
    <x v="3"/>
    <n v="0"/>
    <x v="2"/>
  </r>
  <r>
    <x v="30"/>
    <x v="1"/>
    <x v="383"/>
    <x v="1"/>
    <x v="4"/>
    <x v="46"/>
    <x v="0"/>
    <x v="4"/>
    <n v="0"/>
    <x v="2"/>
  </r>
  <r>
    <x v="30"/>
    <x v="1"/>
    <x v="383"/>
    <x v="1"/>
    <x v="4"/>
    <x v="46"/>
    <x v="0"/>
    <x v="5"/>
    <n v="0"/>
    <x v="2"/>
  </r>
  <r>
    <x v="30"/>
    <x v="1"/>
    <x v="383"/>
    <x v="1"/>
    <x v="4"/>
    <x v="46"/>
    <x v="0"/>
    <x v="6"/>
    <n v="0"/>
    <x v="2"/>
  </r>
  <r>
    <x v="30"/>
    <x v="1"/>
    <x v="383"/>
    <x v="1"/>
    <x v="4"/>
    <x v="46"/>
    <x v="0"/>
    <x v="7"/>
    <n v="0"/>
    <x v="2"/>
  </r>
  <r>
    <x v="30"/>
    <x v="1"/>
    <x v="383"/>
    <x v="1"/>
    <x v="4"/>
    <x v="46"/>
    <x v="0"/>
    <x v="8"/>
    <n v="0"/>
    <x v="2"/>
  </r>
  <r>
    <x v="30"/>
    <x v="1"/>
    <x v="383"/>
    <x v="1"/>
    <x v="4"/>
    <x v="46"/>
    <x v="0"/>
    <x v="9"/>
    <n v="0"/>
    <x v="2"/>
  </r>
  <r>
    <x v="30"/>
    <x v="1"/>
    <x v="383"/>
    <x v="1"/>
    <x v="4"/>
    <x v="46"/>
    <x v="0"/>
    <x v="10"/>
    <n v="0"/>
    <x v="2"/>
  </r>
  <r>
    <x v="30"/>
    <x v="1"/>
    <x v="383"/>
    <x v="1"/>
    <x v="4"/>
    <x v="46"/>
    <x v="0"/>
    <x v="12"/>
    <n v="0"/>
    <x v="2"/>
  </r>
  <r>
    <x v="30"/>
    <x v="1"/>
    <x v="367"/>
    <x v="1"/>
    <x v="4"/>
    <x v="46"/>
    <x v="0"/>
    <x v="0"/>
    <n v="0"/>
    <x v="2"/>
  </r>
  <r>
    <x v="30"/>
    <x v="1"/>
    <x v="367"/>
    <x v="1"/>
    <x v="4"/>
    <x v="46"/>
    <x v="0"/>
    <x v="1"/>
    <n v="0"/>
    <x v="2"/>
  </r>
  <r>
    <x v="30"/>
    <x v="1"/>
    <x v="367"/>
    <x v="1"/>
    <x v="4"/>
    <x v="46"/>
    <x v="0"/>
    <x v="2"/>
    <n v="0"/>
    <x v="2"/>
  </r>
  <r>
    <x v="30"/>
    <x v="1"/>
    <x v="367"/>
    <x v="1"/>
    <x v="4"/>
    <x v="46"/>
    <x v="0"/>
    <x v="3"/>
    <n v="0"/>
    <x v="2"/>
  </r>
  <r>
    <x v="30"/>
    <x v="1"/>
    <x v="367"/>
    <x v="1"/>
    <x v="4"/>
    <x v="46"/>
    <x v="0"/>
    <x v="4"/>
    <n v="0"/>
    <x v="2"/>
  </r>
  <r>
    <x v="30"/>
    <x v="1"/>
    <x v="367"/>
    <x v="1"/>
    <x v="4"/>
    <x v="46"/>
    <x v="0"/>
    <x v="5"/>
    <n v="0"/>
    <x v="2"/>
  </r>
  <r>
    <x v="30"/>
    <x v="1"/>
    <x v="367"/>
    <x v="1"/>
    <x v="4"/>
    <x v="46"/>
    <x v="0"/>
    <x v="6"/>
    <n v="0"/>
    <x v="2"/>
  </r>
  <r>
    <x v="30"/>
    <x v="1"/>
    <x v="367"/>
    <x v="1"/>
    <x v="4"/>
    <x v="46"/>
    <x v="0"/>
    <x v="7"/>
    <n v="0"/>
    <x v="2"/>
  </r>
  <r>
    <x v="30"/>
    <x v="1"/>
    <x v="367"/>
    <x v="1"/>
    <x v="4"/>
    <x v="46"/>
    <x v="0"/>
    <x v="8"/>
    <n v="0"/>
    <x v="2"/>
  </r>
  <r>
    <x v="30"/>
    <x v="1"/>
    <x v="367"/>
    <x v="1"/>
    <x v="4"/>
    <x v="46"/>
    <x v="0"/>
    <x v="9"/>
    <n v="0"/>
    <x v="2"/>
  </r>
  <r>
    <x v="30"/>
    <x v="1"/>
    <x v="367"/>
    <x v="1"/>
    <x v="4"/>
    <x v="46"/>
    <x v="0"/>
    <x v="10"/>
    <n v="0"/>
    <x v="2"/>
  </r>
  <r>
    <x v="30"/>
    <x v="1"/>
    <x v="367"/>
    <x v="1"/>
    <x v="4"/>
    <x v="46"/>
    <x v="0"/>
    <x v="12"/>
    <n v="0"/>
    <x v="2"/>
  </r>
  <r>
    <x v="30"/>
    <x v="1"/>
    <x v="368"/>
    <x v="0"/>
    <x v="4"/>
    <x v="46"/>
    <x v="22"/>
    <x v="0"/>
    <n v="280.27999999999997"/>
    <x v="2"/>
  </r>
  <r>
    <x v="30"/>
    <x v="1"/>
    <x v="368"/>
    <x v="0"/>
    <x v="4"/>
    <x v="46"/>
    <x v="22"/>
    <x v="1"/>
    <n v="0"/>
    <x v="2"/>
  </r>
  <r>
    <x v="30"/>
    <x v="1"/>
    <x v="368"/>
    <x v="0"/>
    <x v="4"/>
    <x v="46"/>
    <x v="22"/>
    <x v="2"/>
    <n v="0"/>
    <x v="2"/>
  </r>
  <r>
    <x v="30"/>
    <x v="1"/>
    <x v="368"/>
    <x v="0"/>
    <x v="4"/>
    <x v="46"/>
    <x v="22"/>
    <x v="3"/>
    <n v="0"/>
    <x v="2"/>
  </r>
  <r>
    <x v="30"/>
    <x v="1"/>
    <x v="368"/>
    <x v="0"/>
    <x v="4"/>
    <x v="46"/>
    <x v="22"/>
    <x v="4"/>
    <n v="0"/>
    <x v="2"/>
  </r>
  <r>
    <x v="30"/>
    <x v="1"/>
    <x v="368"/>
    <x v="0"/>
    <x v="4"/>
    <x v="46"/>
    <x v="22"/>
    <x v="5"/>
    <n v="0"/>
    <x v="2"/>
  </r>
  <r>
    <x v="30"/>
    <x v="1"/>
    <x v="368"/>
    <x v="0"/>
    <x v="4"/>
    <x v="46"/>
    <x v="22"/>
    <x v="6"/>
    <n v="0"/>
    <x v="2"/>
  </r>
  <r>
    <x v="30"/>
    <x v="1"/>
    <x v="368"/>
    <x v="0"/>
    <x v="4"/>
    <x v="46"/>
    <x v="22"/>
    <x v="7"/>
    <n v="0"/>
    <x v="2"/>
  </r>
  <r>
    <x v="30"/>
    <x v="1"/>
    <x v="368"/>
    <x v="0"/>
    <x v="4"/>
    <x v="46"/>
    <x v="22"/>
    <x v="8"/>
    <n v="0"/>
    <x v="2"/>
  </r>
  <r>
    <x v="30"/>
    <x v="1"/>
    <x v="368"/>
    <x v="0"/>
    <x v="4"/>
    <x v="46"/>
    <x v="22"/>
    <x v="9"/>
    <n v="0"/>
    <x v="2"/>
  </r>
  <r>
    <x v="30"/>
    <x v="1"/>
    <x v="368"/>
    <x v="0"/>
    <x v="4"/>
    <x v="46"/>
    <x v="22"/>
    <x v="10"/>
    <n v="0"/>
    <x v="2"/>
  </r>
  <r>
    <x v="30"/>
    <x v="1"/>
    <x v="368"/>
    <x v="0"/>
    <x v="4"/>
    <x v="46"/>
    <x v="22"/>
    <x v="12"/>
    <n v="0"/>
    <x v="2"/>
  </r>
  <r>
    <x v="30"/>
    <x v="1"/>
    <x v="369"/>
    <x v="1"/>
    <x v="4"/>
    <x v="46"/>
    <x v="0"/>
    <x v="0"/>
    <n v="0"/>
    <x v="2"/>
  </r>
  <r>
    <x v="30"/>
    <x v="1"/>
    <x v="369"/>
    <x v="1"/>
    <x v="4"/>
    <x v="46"/>
    <x v="0"/>
    <x v="1"/>
    <n v="0"/>
    <x v="2"/>
  </r>
  <r>
    <x v="30"/>
    <x v="1"/>
    <x v="369"/>
    <x v="1"/>
    <x v="4"/>
    <x v="46"/>
    <x v="0"/>
    <x v="2"/>
    <n v="0"/>
    <x v="2"/>
  </r>
  <r>
    <x v="30"/>
    <x v="1"/>
    <x v="369"/>
    <x v="1"/>
    <x v="4"/>
    <x v="46"/>
    <x v="0"/>
    <x v="3"/>
    <n v="49"/>
    <x v="2"/>
  </r>
  <r>
    <x v="30"/>
    <x v="1"/>
    <x v="369"/>
    <x v="1"/>
    <x v="4"/>
    <x v="46"/>
    <x v="0"/>
    <x v="4"/>
    <n v="0"/>
    <x v="2"/>
  </r>
  <r>
    <x v="30"/>
    <x v="1"/>
    <x v="369"/>
    <x v="1"/>
    <x v="4"/>
    <x v="46"/>
    <x v="0"/>
    <x v="5"/>
    <n v="0"/>
    <x v="2"/>
  </r>
  <r>
    <x v="30"/>
    <x v="1"/>
    <x v="369"/>
    <x v="1"/>
    <x v="4"/>
    <x v="46"/>
    <x v="0"/>
    <x v="6"/>
    <n v="0"/>
    <x v="2"/>
  </r>
  <r>
    <x v="30"/>
    <x v="1"/>
    <x v="369"/>
    <x v="1"/>
    <x v="4"/>
    <x v="46"/>
    <x v="0"/>
    <x v="7"/>
    <n v="52.1"/>
    <x v="2"/>
  </r>
  <r>
    <x v="30"/>
    <x v="1"/>
    <x v="369"/>
    <x v="1"/>
    <x v="4"/>
    <x v="46"/>
    <x v="0"/>
    <x v="8"/>
    <n v="0"/>
    <x v="2"/>
  </r>
  <r>
    <x v="30"/>
    <x v="1"/>
    <x v="369"/>
    <x v="1"/>
    <x v="4"/>
    <x v="46"/>
    <x v="0"/>
    <x v="9"/>
    <n v="0"/>
    <x v="2"/>
  </r>
  <r>
    <x v="30"/>
    <x v="1"/>
    <x v="369"/>
    <x v="1"/>
    <x v="4"/>
    <x v="46"/>
    <x v="0"/>
    <x v="10"/>
    <n v="0"/>
    <x v="2"/>
  </r>
  <r>
    <x v="30"/>
    <x v="1"/>
    <x v="369"/>
    <x v="1"/>
    <x v="4"/>
    <x v="46"/>
    <x v="0"/>
    <x v="12"/>
    <n v="0"/>
    <x v="2"/>
  </r>
  <r>
    <x v="30"/>
    <x v="1"/>
    <x v="370"/>
    <x v="0"/>
    <x v="4"/>
    <x v="46"/>
    <x v="23"/>
    <x v="0"/>
    <n v="0"/>
    <x v="2"/>
  </r>
  <r>
    <x v="30"/>
    <x v="1"/>
    <x v="370"/>
    <x v="0"/>
    <x v="4"/>
    <x v="46"/>
    <x v="23"/>
    <x v="1"/>
    <n v="0"/>
    <x v="2"/>
  </r>
  <r>
    <x v="30"/>
    <x v="1"/>
    <x v="370"/>
    <x v="0"/>
    <x v="4"/>
    <x v="46"/>
    <x v="23"/>
    <x v="2"/>
    <n v="91.74"/>
    <x v="2"/>
  </r>
  <r>
    <x v="30"/>
    <x v="1"/>
    <x v="370"/>
    <x v="0"/>
    <x v="4"/>
    <x v="46"/>
    <x v="23"/>
    <x v="3"/>
    <n v="0"/>
    <x v="2"/>
  </r>
  <r>
    <x v="30"/>
    <x v="1"/>
    <x v="370"/>
    <x v="0"/>
    <x v="4"/>
    <x v="46"/>
    <x v="23"/>
    <x v="4"/>
    <n v="0"/>
    <x v="2"/>
  </r>
  <r>
    <x v="30"/>
    <x v="1"/>
    <x v="370"/>
    <x v="0"/>
    <x v="4"/>
    <x v="46"/>
    <x v="23"/>
    <x v="5"/>
    <n v="0"/>
    <x v="2"/>
  </r>
  <r>
    <x v="30"/>
    <x v="1"/>
    <x v="370"/>
    <x v="0"/>
    <x v="4"/>
    <x v="46"/>
    <x v="23"/>
    <x v="6"/>
    <n v="0"/>
    <x v="2"/>
  </r>
  <r>
    <x v="30"/>
    <x v="1"/>
    <x v="370"/>
    <x v="0"/>
    <x v="4"/>
    <x v="46"/>
    <x v="23"/>
    <x v="7"/>
    <n v="0"/>
    <x v="2"/>
  </r>
  <r>
    <x v="30"/>
    <x v="1"/>
    <x v="370"/>
    <x v="0"/>
    <x v="4"/>
    <x v="46"/>
    <x v="23"/>
    <x v="8"/>
    <n v="0"/>
    <x v="2"/>
  </r>
  <r>
    <x v="30"/>
    <x v="1"/>
    <x v="370"/>
    <x v="0"/>
    <x v="4"/>
    <x v="46"/>
    <x v="23"/>
    <x v="9"/>
    <n v="0"/>
    <x v="2"/>
  </r>
  <r>
    <x v="30"/>
    <x v="1"/>
    <x v="370"/>
    <x v="0"/>
    <x v="4"/>
    <x v="46"/>
    <x v="23"/>
    <x v="10"/>
    <n v="0"/>
    <x v="2"/>
  </r>
  <r>
    <x v="30"/>
    <x v="1"/>
    <x v="370"/>
    <x v="0"/>
    <x v="4"/>
    <x v="46"/>
    <x v="23"/>
    <x v="12"/>
    <n v="0"/>
    <x v="2"/>
  </r>
  <r>
    <x v="30"/>
    <x v="1"/>
    <x v="371"/>
    <x v="1"/>
    <x v="4"/>
    <x v="46"/>
    <x v="0"/>
    <x v="0"/>
    <n v="0"/>
    <x v="2"/>
  </r>
  <r>
    <x v="30"/>
    <x v="1"/>
    <x v="371"/>
    <x v="1"/>
    <x v="4"/>
    <x v="46"/>
    <x v="0"/>
    <x v="1"/>
    <n v="0"/>
    <x v="2"/>
  </r>
  <r>
    <x v="30"/>
    <x v="1"/>
    <x v="371"/>
    <x v="1"/>
    <x v="4"/>
    <x v="46"/>
    <x v="0"/>
    <x v="2"/>
    <n v="0"/>
    <x v="2"/>
  </r>
  <r>
    <x v="30"/>
    <x v="1"/>
    <x v="371"/>
    <x v="1"/>
    <x v="4"/>
    <x v="46"/>
    <x v="0"/>
    <x v="3"/>
    <n v="0"/>
    <x v="2"/>
  </r>
  <r>
    <x v="30"/>
    <x v="1"/>
    <x v="371"/>
    <x v="1"/>
    <x v="4"/>
    <x v="46"/>
    <x v="0"/>
    <x v="4"/>
    <n v="0"/>
    <x v="2"/>
  </r>
  <r>
    <x v="30"/>
    <x v="1"/>
    <x v="371"/>
    <x v="1"/>
    <x v="4"/>
    <x v="46"/>
    <x v="0"/>
    <x v="5"/>
    <n v="0"/>
    <x v="2"/>
  </r>
  <r>
    <x v="30"/>
    <x v="1"/>
    <x v="371"/>
    <x v="1"/>
    <x v="4"/>
    <x v="46"/>
    <x v="0"/>
    <x v="6"/>
    <n v="0"/>
    <x v="2"/>
  </r>
  <r>
    <x v="30"/>
    <x v="1"/>
    <x v="371"/>
    <x v="1"/>
    <x v="4"/>
    <x v="46"/>
    <x v="0"/>
    <x v="7"/>
    <n v="0"/>
    <x v="2"/>
  </r>
  <r>
    <x v="30"/>
    <x v="1"/>
    <x v="371"/>
    <x v="1"/>
    <x v="4"/>
    <x v="46"/>
    <x v="0"/>
    <x v="8"/>
    <n v="0"/>
    <x v="2"/>
  </r>
  <r>
    <x v="30"/>
    <x v="1"/>
    <x v="371"/>
    <x v="1"/>
    <x v="4"/>
    <x v="46"/>
    <x v="0"/>
    <x v="9"/>
    <n v="0"/>
    <x v="2"/>
  </r>
  <r>
    <x v="30"/>
    <x v="1"/>
    <x v="371"/>
    <x v="1"/>
    <x v="4"/>
    <x v="46"/>
    <x v="0"/>
    <x v="10"/>
    <n v="0"/>
    <x v="2"/>
  </r>
  <r>
    <x v="30"/>
    <x v="1"/>
    <x v="371"/>
    <x v="1"/>
    <x v="4"/>
    <x v="46"/>
    <x v="0"/>
    <x v="12"/>
    <n v="0"/>
    <x v="2"/>
  </r>
  <r>
    <x v="30"/>
    <x v="1"/>
    <x v="372"/>
    <x v="1"/>
    <x v="4"/>
    <x v="46"/>
    <x v="0"/>
    <x v="0"/>
    <n v="425.57"/>
    <x v="2"/>
  </r>
  <r>
    <x v="30"/>
    <x v="1"/>
    <x v="372"/>
    <x v="1"/>
    <x v="4"/>
    <x v="46"/>
    <x v="0"/>
    <x v="1"/>
    <n v="0"/>
    <x v="2"/>
  </r>
  <r>
    <x v="30"/>
    <x v="1"/>
    <x v="372"/>
    <x v="1"/>
    <x v="4"/>
    <x v="46"/>
    <x v="0"/>
    <x v="2"/>
    <n v="0"/>
    <x v="2"/>
  </r>
  <r>
    <x v="30"/>
    <x v="1"/>
    <x v="372"/>
    <x v="1"/>
    <x v="4"/>
    <x v="46"/>
    <x v="0"/>
    <x v="3"/>
    <n v="0"/>
    <x v="2"/>
  </r>
  <r>
    <x v="30"/>
    <x v="1"/>
    <x v="372"/>
    <x v="1"/>
    <x v="4"/>
    <x v="46"/>
    <x v="0"/>
    <x v="4"/>
    <n v="0"/>
    <x v="2"/>
  </r>
  <r>
    <x v="30"/>
    <x v="1"/>
    <x v="372"/>
    <x v="1"/>
    <x v="4"/>
    <x v="46"/>
    <x v="0"/>
    <x v="5"/>
    <n v="0"/>
    <x v="2"/>
  </r>
  <r>
    <x v="30"/>
    <x v="1"/>
    <x v="372"/>
    <x v="1"/>
    <x v="4"/>
    <x v="46"/>
    <x v="0"/>
    <x v="6"/>
    <n v="0"/>
    <x v="2"/>
  </r>
  <r>
    <x v="30"/>
    <x v="1"/>
    <x v="372"/>
    <x v="1"/>
    <x v="4"/>
    <x v="46"/>
    <x v="0"/>
    <x v="7"/>
    <n v="0"/>
    <x v="2"/>
  </r>
  <r>
    <x v="30"/>
    <x v="1"/>
    <x v="372"/>
    <x v="1"/>
    <x v="4"/>
    <x v="46"/>
    <x v="0"/>
    <x v="8"/>
    <n v="0"/>
    <x v="2"/>
  </r>
  <r>
    <x v="30"/>
    <x v="1"/>
    <x v="372"/>
    <x v="1"/>
    <x v="4"/>
    <x v="46"/>
    <x v="0"/>
    <x v="9"/>
    <n v="0"/>
    <x v="2"/>
  </r>
  <r>
    <x v="30"/>
    <x v="1"/>
    <x v="372"/>
    <x v="1"/>
    <x v="4"/>
    <x v="46"/>
    <x v="0"/>
    <x v="10"/>
    <n v="0"/>
    <x v="2"/>
  </r>
  <r>
    <x v="30"/>
    <x v="1"/>
    <x v="372"/>
    <x v="1"/>
    <x v="4"/>
    <x v="46"/>
    <x v="0"/>
    <x v="12"/>
    <n v="0"/>
    <x v="2"/>
  </r>
  <r>
    <x v="30"/>
    <x v="1"/>
    <x v="373"/>
    <x v="1"/>
    <x v="4"/>
    <x v="46"/>
    <x v="0"/>
    <x v="0"/>
    <n v="0"/>
    <x v="2"/>
  </r>
  <r>
    <x v="30"/>
    <x v="1"/>
    <x v="373"/>
    <x v="1"/>
    <x v="4"/>
    <x v="46"/>
    <x v="0"/>
    <x v="1"/>
    <n v="0"/>
    <x v="2"/>
  </r>
  <r>
    <x v="30"/>
    <x v="1"/>
    <x v="373"/>
    <x v="1"/>
    <x v="4"/>
    <x v="46"/>
    <x v="0"/>
    <x v="2"/>
    <n v="0"/>
    <x v="2"/>
  </r>
  <r>
    <x v="30"/>
    <x v="1"/>
    <x v="373"/>
    <x v="1"/>
    <x v="4"/>
    <x v="46"/>
    <x v="0"/>
    <x v="3"/>
    <n v="0"/>
    <x v="2"/>
  </r>
  <r>
    <x v="30"/>
    <x v="1"/>
    <x v="373"/>
    <x v="1"/>
    <x v="4"/>
    <x v="46"/>
    <x v="0"/>
    <x v="4"/>
    <n v="0"/>
    <x v="2"/>
  </r>
  <r>
    <x v="30"/>
    <x v="1"/>
    <x v="373"/>
    <x v="1"/>
    <x v="4"/>
    <x v="46"/>
    <x v="0"/>
    <x v="5"/>
    <n v="0"/>
    <x v="2"/>
  </r>
  <r>
    <x v="30"/>
    <x v="1"/>
    <x v="373"/>
    <x v="1"/>
    <x v="4"/>
    <x v="46"/>
    <x v="0"/>
    <x v="6"/>
    <n v="0"/>
    <x v="2"/>
  </r>
  <r>
    <x v="30"/>
    <x v="1"/>
    <x v="373"/>
    <x v="1"/>
    <x v="4"/>
    <x v="46"/>
    <x v="0"/>
    <x v="7"/>
    <n v="0"/>
    <x v="2"/>
  </r>
  <r>
    <x v="30"/>
    <x v="1"/>
    <x v="373"/>
    <x v="1"/>
    <x v="4"/>
    <x v="46"/>
    <x v="0"/>
    <x v="8"/>
    <n v="0"/>
    <x v="2"/>
  </r>
  <r>
    <x v="30"/>
    <x v="1"/>
    <x v="373"/>
    <x v="1"/>
    <x v="4"/>
    <x v="46"/>
    <x v="0"/>
    <x v="9"/>
    <n v="0"/>
    <x v="2"/>
  </r>
  <r>
    <x v="30"/>
    <x v="1"/>
    <x v="373"/>
    <x v="1"/>
    <x v="4"/>
    <x v="46"/>
    <x v="0"/>
    <x v="10"/>
    <n v="0"/>
    <x v="2"/>
  </r>
  <r>
    <x v="30"/>
    <x v="1"/>
    <x v="373"/>
    <x v="1"/>
    <x v="4"/>
    <x v="46"/>
    <x v="0"/>
    <x v="12"/>
    <n v="0"/>
    <x v="2"/>
  </r>
  <r>
    <x v="30"/>
    <x v="1"/>
    <x v="384"/>
    <x v="0"/>
    <x v="4"/>
    <x v="46"/>
    <x v="17"/>
    <x v="0"/>
    <n v="0"/>
    <x v="2"/>
  </r>
  <r>
    <x v="30"/>
    <x v="1"/>
    <x v="384"/>
    <x v="0"/>
    <x v="4"/>
    <x v="46"/>
    <x v="17"/>
    <x v="1"/>
    <n v="0"/>
    <x v="2"/>
  </r>
  <r>
    <x v="30"/>
    <x v="1"/>
    <x v="384"/>
    <x v="0"/>
    <x v="4"/>
    <x v="46"/>
    <x v="17"/>
    <x v="2"/>
    <n v="0"/>
    <x v="2"/>
  </r>
  <r>
    <x v="30"/>
    <x v="1"/>
    <x v="384"/>
    <x v="0"/>
    <x v="4"/>
    <x v="46"/>
    <x v="17"/>
    <x v="3"/>
    <n v="0"/>
    <x v="2"/>
  </r>
  <r>
    <x v="30"/>
    <x v="1"/>
    <x v="384"/>
    <x v="0"/>
    <x v="4"/>
    <x v="46"/>
    <x v="17"/>
    <x v="4"/>
    <n v="189.33"/>
    <x v="2"/>
  </r>
  <r>
    <x v="30"/>
    <x v="1"/>
    <x v="384"/>
    <x v="0"/>
    <x v="4"/>
    <x v="46"/>
    <x v="17"/>
    <x v="5"/>
    <n v="0"/>
    <x v="2"/>
  </r>
  <r>
    <x v="30"/>
    <x v="1"/>
    <x v="384"/>
    <x v="0"/>
    <x v="4"/>
    <x v="46"/>
    <x v="17"/>
    <x v="6"/>
    <n v="0"/>
    <x v="2"/>
  </r>
  <r>
    <x v="30"/>
    <x v="1"/>
    <x v="384"/>
    <x v="0"/>
    <x v="4"/>
    <x v="46"/>
    <x v="17"/>
    <x v="7"/>
    <n v="1235.79"/>
    <x v="2"/>
  </r>
  <r>
    <x v="30"/>
    <x v="1"/>
    <x v="384"/>
    <x v="0"/>
    <x v="4"/>
    <x v="46"/>
    <x v="17"/>
    <x v="8"/>
    <n v="0"/>
    <x v="2"/>
  </r>
  <r>
    <x v="30"/>
    <x v="1"/>
    <x v="384"/>
    <x v="0"/>
    <x v="4"/>
    <x v="46"/>
    <x v="17"/>
    <x v="9"/>
    <n v="0"/>
    <x v="2"/>
  </r>
  <r>
    <x v="30"/>
    <x v="1"/>
    <x v="384"/>
    <x v="0"/>
    <x v="4"/>
    <x v="46"/>
    <x v="17"/>
    <x v="10"/>
    <n v="0"/>
    <x v="2"/>
  </r>
  <r>
    <x v="30"/>
    <x v="1"/>
    <x v="384"/>
    <x v="0"/>
    <x v="4"/>
    <x v="46"/>
    <x v="17"/>
    <x v="12"/>
    <n v="0"/>
    <x v="2"/>
  </r>
  <r>
    <x v="30"/>
    <x v="1"/>
    <x v="362"/>
    <x v="0"/>
    <x v="4"/>
    <x v="41"/>
    <x v="22"/>
    <x v="0"/>
    <n v="350.74"/>
    <x v="2"/>
  </r>
  <r>
    <x v="30"/>
    <x v="1"/>
    <x v="362"/>
    <x v="0"/>
    <x v="4"/>
    <x v="41"/>
    <x v="22"/>
    <x v="1"/>
    <n v="0"/>
    <x v="2"/>
  </r>
  <r>
    <x v="30"/>
    <x v="1"/>
    <x v="362"/>
    <x v="0"/>
    <x v="4"/>
    <x v="41"/>
    <x v="22"/>
    <x v="2"/>
    <n v="0"/>
    <x v="2"/>
  </r>
  <r>
    <x v="30"/>
    <x v="1"/>
    <x v="362"/>
    <x v="0"/>
    <x v="4"/>
    <x v="41"/>
    <x v="22"/>
    <x v="3"/>
    <n v="0"/>
    <x v="2"/>
  </r>
  <r>
    <x v="30"/>
    <x v="1"/>
    <x v="362"/>
    <x v="0"/>
    <x v="4"/>
    <x v="41"/>
    <x v="22"/>
    <x v="4"/>
    <n v="0"/>
    <x v="2"/>
  </r>
  <r>
    <x v="30"/>
    <x v="1"/>
    <x v="362"/>
    <x v="0"/>
    <x v="4"/>
    <x v="41"/>
    <x v="22"/>
    <x v="5"/>
    <n v="0"/>
    <x v="2"/>
  </r>
  <r>
    <x v="30"/>
    <x v="1"/>
    <x v="362"/>
    <x v="0"/>
    <x v="4"/>
    <x v="41"/>
    <x v="22"/>
    <x v="6"/>
    <n v="0"/>
    <x v="2"/>
  </r>
  <r>
    <x v="30"/>
    <x v="1"/>
    <x v="362"/>
    <x v="0"/>
    <x v="4"/>
    <x v="41"/>
    <x v="22"/>
    <x v="7"/>
    <n v="0"/>
    <x v="2"/>
  </r>
  <r>
    <x v="30"/>
    <x v="1"/>
    <x v="362"/>
    <x v="0"/>
    <x v="4"/>
    <x v="41"/>
    <x v="22"/>
    <x v="8"/>
    <n v="0"/>
    <x v="2"/>
  </r>
  <r>
    <x v="30"/>
    <x v="1"/>
    <x v="362"/>
    <x v="0"/>
    <x v="4"/>
    <x v="41"/>
    <x v="22"/>
    <x v="9"/>
    <n v="0"/>
    <x v="2"/>
  </r>
  <r>
    <x v="30"/>
    <x v="1"/>
    <x v="362"/>
    <x v="0"/>
    <x v="4"/>
    <x v="41"/>
    <x v="22"/>
    <x v="10"/>
    <n v="0"/>
    <x v="2"/>
  </r>
  <r>
    <x v="30"/>
    <x v="1"/>
    <x v="362"/>
    <x v="0"/>
    <x v="4"/>
    <x v="41"/>
    <x v="22"/>
    <x v="12"/>
    <n v="0"/>
    <x v="2"/>
  </r>
  <r>
    <x v="30"/>
    <x v="1"/>
    <x v="363"/>
    <x v="1"/>
    <x v="4"/>
    <x v="41"/>
    <x v="0"/>
    <x v="0"/>
    <n v="0"/>
    <x v="2"/>
  </r>
  <r>
    <x v="30"/>
    <x v="1"/>
    <x v="363"/>
    <x v="1"/>
    <x v="4"/>
    <x v="41"/>
    <x v="0"/>
    <x v="1"/>
    <n v="0"/>
    <x v="2"/>
  </r>
  <r>
    <x v="30"/>
    <x v="1"/>
    <x v="363"/>
    <x v="1"/>
    <x v="4"/>
    <x v="41"/>
    <x v="0"/>
    <x v="2"/>
    <n v="0"/>
    <x v="2"/>
  </r>
  <r>
    <x v="30"/>
    <x v="1"/>
    <x v="363"/>
    <x v="1"/>
    <x v="4"/>
    <x v="41"/>
    <x v="0"/>
    <x v="3"/>
    <n v="0"/>
    <x v="2"/>
  </r>
  <r>
    <x v="30"/>
    <x v="1"/>
    <x v="363"/>
    <x v="1"/>
    <x v="4"/>
    <x v="41"/>
    <x v="0"/>
    <x v="4"/>
    <n v="0"/>
    <x v="2"/>
  </r>
  <r>
    <x v="30"/>
    <x v="1"/>
    <x v="363"/>
    <x v="1"/>
    <x v="4"/>
    <x v="41"/>
    <x v="0"/>
    <x v="5"/>
    <n v="0"/>
    <x v="2"/>
  </r>
  <r>
    <x v="30"/>
    <x v="1"/>
    <x v="363"/>
    <x v="1"/>
    <x v="4"/>
    <x v="41"/>
    <x v="0"/>
    <x v="6"/>
    <n v="0"/>
    <x v="2"/>
  </r>
  <r>
    <x v="30"/>
    <x v="1"/>
    <x v="363"/>
    <x v="1"/>
    <x v="4"/>
    <x v="41"/>
    <x v="0"/>
    <x v="7"/>
    <n v="0"/>
    <x v="2"/>
  </r>
  <r>
    <x v="30"/>
    <x v="1"/>
    <x v="363"/>
    <x v="1"/>
    <x v="4"/>
    <x v="41"/>
    <x v="0"/>
    <x v="8"/>
    <n v="0"/>
    <x v="2"/>
  </r>
  <r>
    <x v="30"/>
    <x v="1"/>
    <x v="363"/>
    <x v="1"/>
    <x v="4"/>
    <x v="41"/>
    <x v="0"/>
    <x v="9"/>
    <n v="0"/>
    <x v="2"/>
  </r>
  <r>
    <x v="30"/>
    <x v="1"/>
    <x v="363"/>
    <x v="1"/>
    <x v="4"/>
    <x v="41"/>
    <x v="0"/>
    <x v="10"/>
    <n v="0"/>
    <x v="2"/>
  </r>
  <r>
    <x v="30"/>
    <x v="1"/>
    <x v="363"/>
    <x v="1"/>
    <x v="4"/>
    <x v="41"/>
    <x v="0"/>
    <x v="12"/>
    <n v="0"/>
    <x v="2"/>
  </r>
  <r>
    <x v="30"/>
    <x v="1"/>
    <x v="364"/>
    <x v="0"/>
    <x v="4"/>
    <x v="41"/>
    <x v="23"/>
    <x v="0"/>
    <n v="0"/>
    <x v="2"/>
  </r>
  <r>
    <x v="30"/>
    <x v="1"/>
    <x v="364"/>
    <x v="0"/>
    <x v="4"/>
    <x v="41"/>
    <x v="23"/>
    <x v="1"/>
    <n v="0"/>
    <x v="2"/>
  </r>
  <r>
    <x v="30"/>
    <x v="1"/>
    <x v="364"/>
    <x v="0"/>
    <x v="4"/>
    <x v="41"/>
    <x v="23"/>
    <x v="2"/>
    <n v="0"/>
    <x v="2"/>
  </r>
  <r>
    <x v="30"/>
    <x v="1"/>
    <x v="364"/>
    <x v="0"/>
    <x v="4"/>
    <x v="41"/>
    <x v="23"/>
    <x v="3"/>
    <n v="0"/>
    <x v="2"/>
  </r>
  <r>
    <x v="30"/>
    <x v="1"/>
    <x v="364"/>
    <x v="0"/>
    <x v="4"/>
    <x v="41"/>
    <x v="23"/>
    <x v="4"/>
    <n v="0"/>
    <x v="2"/>
  </r>
  <r>
    <x v="30"/>
    <x v="1"/>
    <x v="364"/>
    <x v="0"/>
    <x v="4"/>
    <x v="41"/>
    <x v="23"/>
    <x v="5"/>
    <n v="0"/>
    <x v="2"/>
  </r>
  <r>
    <x v="30"/>
    <x v="1"/>
    <x v="364"/>
    <x v="0"/>
    <x v="4"/>
    <x v="41"/>
    <x v="23"/>
    <x v="6"/>
    <n v="0"/>
    <x v="2"/>
  </r>
  <r>
    <x v="30"/>
    <x v="1"/>
    <x v="364"/>
    <x v="0"/>
    <x v="4"/>
    <x v="41"/>
    <x v="23"/>
    <x v="7"/>
    <n v="0"/>
    <x v="2"/>
  </r>
  <r>
    <x v="30"/>
    <x v="1"/>
    <x v="364"/>
    <x v="0"/>
    <x v="4"/>
    <x v="41"/>
    <x v="23"/>
    <x v="8"/>
    <n v="0"/>
    <x v="2"/>
  </r>
  <r>
    <x v="30"/>
    <x v="1"/>
    <x v="364"/>
    <x v="0"/>
    <x v="4"/>
    <x v="41"/>
    <x v="23"/>
    <x v="9"/>
    <n v="0"/>
    <x v="2"/>
  </r>
  <r>
    <x v="30"/>
    <x v="1"/>
    <x v="364"/>
    <x v="0"/>
    <x v="4"/>
    <x v="41"/>
    <x v="23"/>
    <x v="10"/>
    <n v="0"/>
    <x v="2"/>
  </r>
  <r>
    <x v="30"/>
    <x v="1"/>
    <x v="364"/>
    <x v="0"/>
    <x v="4"/>
    <x v="41"/>
    <x v="23"/>
    <x v="12"/>
    <n v="0"/>
    <x v="2"/>
  </r>
  <r>
    <x v="30"/>
    <x v="1"/>
    <x v="365"/>
    <x v="1"/>
    <x v="4"/>
    <x v="41"/>
    <x v="0"/>
    <x v="0"/>
    <n v="30.36"/>
    <x v="2"/>
  </r>
  <r>
    <x v="30"/>
    <x v="1"/>
    <x v="365"/>
    <x v="1"/>
    <x v="4"/>
    <x v="41"/>
    <x v="0"/>
    <x v="1"/>
    <n v="0"/>
    <x v="2"/>
  </r>
  <r>
    <x v="30"/>
    <x v="1"/>
    <x v="365"/>
    <x v="1"/>
    <x v="4"/>
    <x v="41"/>
    <x v="0"/>
    <x v="2"/>
    <n v="0"/>
    <x v="2"/>
  </r>
  <r>
    <x v="30"/>
    <x v="1"/>
    <x v="365"/>
    <x v="1"/>
    <x v="4"/>
    <x v="41"/>
    <x v="0"/>
    <x v="3"/>
    <n v="0"/>
    <x v="2"/>
  </r>
  <r>
    <x v="30"/>
    <x v="1"/>
    <x v="365"/>
    <x v="1"/>
    <x v="4"/>
    <x v="41"/>
    <x v="0"/>
    <x v="4"/>
    <n v="0"/>
    <x v="2"/>
  </r>
  <r>
    <x v="30"/>
    <x v="1"/>
    <x v="365"/>
    <x v="1"/>
    <x v="4"/>
    <x v="41"/>
    <x v="0"/>
    <x v="5"/>
    <n v="0"/>
    <x v="2"/>
  </r>
  <r>
    <x v="30"/>
    <x v="1"/>
    <x v="365"/>
    <x v="1"/>
    <x v="4"/>
    <x v="41"/>
    <x v="0"/>
    <x v="6"/>
    <n v="0"/>
    <x v="2"/>
  </r>
  <r>
    <x v="30"/>
    <x v="1"/>
    <x v="365"/>
    <x v="1"/>
    <x v="4"/>
    <x v="41"/>
    <x v="0"/>
    <x v="7"/>
    <n v="0"/>
    <x v="2"/>
  </r>
  <r>
    <x v="30"/>
    <x v="1"/>
    <x v="365"/>
    <x v="1"/>
    <x v="4"/>
    <x v="41"/>
    <x v="0"/>
    <x v="8"/>
    <n v="0"/>
    <x v="2"/>
  </r>
  <r>
    <x v="30"/>
    <x v="1"/>
    <x v="365"/>
    <x v="1"/>
    <x v="4"/>
    <x v="41"/>
    <x v="0"/>
    <x v="9"/>
    <n v="0"/>
    <x v="2"/>
  </r>
  <r>
    <x v="30"/>
    <x v="1"/>
    <x v="365"/>
    <x v="1"/>
    <x v="4"/>
    <x v="41"/>
    <x v="0"/>
    <x v="10"/>
    <n v="500"/>
    <x v="2"/>
  </r>
  <r>
    <x v="30"/>
    <x v="1"/>
    <x v="365"/>
    <x v="1"/>
    <x v="4"/>
    <x v="41"/>
    <x v="0"/>
    <x v="12"/>
    <n v="500"/>
    <x v="2"/>
  </r>
  <r>
    <x v="30"/>
    <x v="1"/>
    <x v="366"/>
    <x v="1"/>
    <x v="4"/>
    <x v="41"/>
    <x v="0"/>
    <x v="0"/>
    <n v="537.14"/>
    <x v="2"/>
  </r>
  <r>
    <x v="30"/>
    <x v="1"/>
    <x v="366"/>
    <x v="1"/>
    <x v="4"/>
    <x v="41"/>
    <x v="0"/>
    <x v="1"/>
    <n v="0"/>
    <x v="2"/>
  </r>
  <r>
    <x v="30"/>
    <x v="1"/>
    <x v="366"/>
    <x v="1"/>
    <x v="4"/>
    <x v="41"/>
    <x v="0"/>
    <x v="2"/>
    <n v="0"/>
    <x v="2"/>
  </r>
  <r>
    <x v="30"/>
    <x v="1"/>
    <x v="366"/>
    <x v="1"/>
    <x v="4"/>
    <x v="41"/>
    <x v="0"/>
    <x v="3"/>
    <n v="0"/>
    <x v="2"/>
  </r>
  <r>
    <x v="30"/>
    <x v="1"/>
    <x v="366"/>
    <x v="1"/>
    <x v="4"/>
    <x v="41"/>
    <x v="0"/>
    <x v="4"/>
    <n v="0"/>
    <x v="2"/>
  </r>
  <r>
    <x v="30"/>
    <x v="1"/>
    <x v="366"/>
    <x v="1"/>
    <x v="4"/>
    <x v="41"/>
    <x v="0"/>
    <x v="5"/>
    <n v="0"/>
    <x v="2"/>
  </r>
  <r>
    <x v="30"/>
    <x v="1"/>
    <x v="366"/>
    <x v="1"/>
    <x v="4"/>
    <x v="41"/>
    <x v="0"/>
    <x v="6"/>
    <n v="60"/>
    <x v="2"/>
  </r>
  <r>
    <x v="30"/>
    <x v="1"/>
    <x v="366"/>
    <x v="1"/>
    <x v="4"/>
    <x v="41"/>
    <x v="0"/>
    <x v="7"/>
    <n v="0"/>
    <x v="2"/>
  </r>
  <r>
    <x v="30"/>
    <x v="1"/>
    <x v="366"/>
    <x v="1"/>
    <x v="4"/>
    <x v="41"/>
    <x v="0"/>
    <x v="8"/>
    <n v="0"/>
    <x v="2"/>
  </r>
  <r>
    <x v="30"/>
    <x v="1"/>
    <x v="366"/>
    <x v="1"/>
    <x v="4"/>
    <x v="41"/>
    <x v="0"/>
    <x v="9"/>
    <n v="0"/>
    <x v="2"/>
  </r>
  <r>
    <x v="30"/>
    <x v="1"/>
    <x v="366"/>
    <x v="1"/>
    <x v="4"/>
    <x v="41"/>
    <x v="0"/>
    <x v="10"/>
    <n v="0"/>
    <x v="2"/>
  </r>
  <r>
    <x v="30"/>
    <x v="1"/>
    <x v="366"/>
    <x v="1"/>
    <x v="4"/>
    <x v="41"/>
    <x v="0"/>
    <x v="12"/>
    <n v="0"/>
    <x v="2"/>
  </r>
  <r>
    <x v="30"/>
    <x v="1"/>
    <x v="367"/>
    <x v="1"/>
    <x v="4"/>
    <x v="41"/>
    <x v="0"/>
    <x v="0"/>
    <n v="0"/>
    <x v="2"/>
  </r>
  <r>
    <x v="30"/>
    <x v="1"/>
    <x v="367"/>
    <x v="1"/>
    <x v="4"/>
    <x v="41"/>
    <x v="0"/>
    <x v="1"/>
    <n v="0"/>
    <x v="2"/>
  </r>
  <r>
    <x v="30"/>
    <x v="1"/>
    <x v="367"/>
    <x v="1"/>
    <x v="4"/>
    <x v="41"/>
    <x v="0"/>
    <x v="2"/>
    <n v="0"/>
    <x v="2"/>
  </r>
  <r>
    <x v="30"/>
    <x v="1"/>
    <x v="367"/>
    <x v="1"/>
    <x v="4"/>
    <x v="41"/>
    <x v="0"/>
    <x v="3"/>
    <n v="0"/>
    <x v="2"/>
  </r>
  <r>
    <x v="30"/>
    <x v="1"/>
    <x v="367"/>
    <x v="1"/>
    <x v="4"/>
    <x v="41"/>
    <x v="0"/>
    <x v="4"/>
    <n v="0"/>
    <x v="2"/>
  </r>
  <r>
    <x v="30"/>
    <x v="1"/>
    <x v="367"/>
    <x v="1"/>
    <x v="4"/>
    <x v="41"/>
    <x v="0"/>
    <x v="5"/>
    <n v="0"/>
    <x v="2"/>
  </r>
  <r>
    <x v="30"/>
    <x v="1"/>
    <x v="367"/>
    <x v="1"/>
    <x v="4"/>
    <x v="41"/>
    <x v="0"/>
    <x v="6"/>
    <n v="0"/>
    <x v="2"/>
  </r>
  <r>
    <x v="30"/>
    <x v="1"/>
    <x v="367"/>
    <x v="1"/>
    <x v="4"/>
    <x v="41"/>
    <x v="0"/>
    <x v="7"/>
    <n v="0"/>
    <x v="2"/>
  </r>
  <r>
    <x v="30"/>
    <x v="1"/>
    <x v="367"/>
    <x v="1"/>
    <x v="4"/>
    <x v="41"/>
    <x v="0"/>
    <x v="8"/>
    <n v="0"/>
    <x v="2"/>
  </r>
  <r>
    <x v="30"/>
    <x v="1"/>
    <x v="367"/>
    <x v="1"/>
    <x v="4"/>
    <x v="41"/>
    <x v="0"/>
    <x v="9"/>
    <n v="0"/>
    <x v="2"/>
  </r>
  <r>
    <x v="30"/>
    <x v="1"/>
    <x v="367"/>
    <x v="1"/>
    <x v="4"/>
    <x v="41"/>
    <x v="0"/>
    <x v="10"/>
    <n v="0"/>
    <x v="2"/>
  </r>
  <r>
    <x v="30"/>
    <x v="1"/>
    <x v="367"/>
    <x v="1"/>
    <x v="4"/>
    <x v="41"/>
    <x v="0"/>
    <x v="12"/>
    <n v="0"/>
    <x v="2"/>
  </r>
  <r>
    <x v="30"/>
    <x v="1"/>
    <x v="385"/>
    <x v="1"/>
    <x v="4"/>
    <x v="41"/>
    <x v="0"/>
    <x v="0"/>
    <n v="0"/>
    <x v="2"/>
  </r>
  <r>
    <x v="30"/>
    <x v="1"/>
    <x v="385"/>
    <x v="1"/>
    <x v="4"/>
    <x v="41"/>
    <x v="0"/>
    <x v="1"/>
    <n v="0"/>
    <x v="2"/>
  </r>
  <r>
    <x v="30"/>
    <x v="1"/>
    <x v="385"/>
    <x v="1"/>
    <x v="4"/>
    <x v="41"/>
    <x v="0"/>
    <x v="2"/>
    <n v="0"/>
    <x v="2"/>
  </r>
  <r>
    <x v="30"/>
    <x v="1"/>
    <x v="385"/>
    <x v="1"/>
    <x v="4"/>
    <x v="41"/>
    <x v="0"/>
    <x v="3"/>
    <n v="0"/>
    <x v="2"/>
  </r>
  <r>
    <x v="30"/>
    <x v="1"/>
    <x v="385"/>
    <x v="1"/>
    <x v="4"/>
    <x v="41"/>
    <x v="0"/>
    <x v="4"/>
    <n v="0"/>
    <x v="2"/>
  </r>
  <r>
    <x v="30"/>
    <x v="1"/>
    <x v="385"/>
    <x v="1"/>
    <x v="4"/>
    <x v="41"/>
    <x v="0"/>
    <x v="5"/>
    <n v="0"/>
    <x v="2"/>
  </r>
  <r>
    <x v="30"/>
    <x v="1"/>
    <x v="385"/>
    <x v="1"/>
    <x v="4"/>
    <x v="41"/>
    <x v="0"/>
    <x v="6"/>
    <n v="0"/>
    <x v="2"/>
  </r>
  <r>
    <x v="30"/>
    <x v="1"/>
    <x v="385"/>
    <x v="1"/>
    <x v="4"/>
    <x v="41"/>
    <x v="0"/>
    <x v="7"/>
    <n v="0"/>
    <x v="2"/>
  </r>
  <r>
    <x v="30"/>
    <x v="1"/>
    <x v="385"/>
    <x v="1"/>
    <x v="4"/>
    <x v="41"/>
    <x v="0"/>
    <x v="8"/>
    <n v="616"/>
    <x v="2"/>
  </r>
  <r>
    <x v="30"/>
    <x v="1"/>
    <x v="385"/>
    <x v="1"/>
    <x v="4"/>
    <x v="41"/>
    <x v="0"/>
    <x v="9"/>
    <n v="0"/>
    <x v="2"/>
  </r>
  <r>
    <x v="30"/>
    <x v="1"/>
    <x v="385"/>
    <x v="1"/>
    <x v="4"/>
    <x v="41"/>
    <x v="0"/>
    <x v="10"/>
    <n v="0"/>
    <x v="2"/>
  </r>
  <r>
    <x v="30"/>
    <x v="1"/>
    <x v="385"/>
    <x v="1"/>
    <x v="4"/>
    <x v="41"/>
    <x v="0"/>
    <x v="12"/>
    <n v="0"/>
    <x v="2"/>
  </r>
  <r>
    <x v="30"/>
    <x v="1"/>
    <x v="368"/>
    <x v="0"/>
    <x v="4"/>
    <x v="41"/>
    <x v="22"/>
    <x v="0"/>
    <n v="62.8"/>
    <x v="2"/>
  </r>
  <r>
    <x v="30"/>
    <x v="1"/>
    <x v="368"/>
    <x v="0"/>
    <x v="4"/>
    <x v="41"/>
    <x v="22"/>
    <x v="1"/>
    <n v="0"/>
    <x v="2"/>
  </r>
  <r>
    <x v="30"/>
    <x v="1"/>
    <x v="368"/>
    <x v="0"/>
    <x v="4"/>
    <x v="41"/>
    <x v="22"/>
    <x v="2"/>
    <n v="0"/>
    <x v="2"/>
  </r>
  <r>
    <x v="30"/>
    <x v="1"/>
    <x v="368"/>
    <x v="0"/>
    <x v="4"/>
    <x v="41"/>
    <x v="22"/>
    <x v="3"/>
    <n v="0"/>
    <x v="2"/>
  </r>
  <r>
    <x v="30"/>
    <x v="1"/>
    <x v="368"/>
    <x v="0"/>
    <x v="4"/>
    <x v="41"/>
    <x v="22"/>
    <x v="4"/>
    <n v="0"/>
    <x v="2"/>
  </r>
  <r>
    <x v="30"/>
    <x v="1"/>
    <x v="368"/>
    <x v="0"/>
    <x v="4"/>
    <x v="41"/>
    <x v="22"/>
    <x v="5"/>
    <n v="0"/>
    <x v="2"/>
  </r>
  <r>
    <x v="30"/>
    <x v="1"/>
    <x v="368"/>
    <x v="0"/>
    <x v="4"/>
    <x v="41"/>
    <x v="22"/>
    <x v="6"/>
    <n v="0"/>
    <x v="2"/>
  </r>
  <r>
    <x v="30"/>
    <x v="1"/>
    <x v="368"/>
    <x v="0"/>
    <x v="4"/>
    <x v="41"/>
    <x v="22"/>
    <x v="7"/>
    <n v="0"/>
    <x v="2"/>
  </r>
  <r>
    <x v="30"/>
    <x v="1"/>
    <x v="368"/>
    <x v="0"/>
    <x v="4"/>
    <x v="41"/>
    <x v="22"/>
    <x v="8"/>
    <n v="2141"/>
    <x v="2"/>
  </r>
  <r>
    <x v="30"/>
    <x v="1"/>
    <x v="368"/>
    <x v="0"/>
    <x v="4"/>
    <x v="41"/>
    <x v="22"/>
    <x v="9"/>
    <n v="116"/>
    <x v="2"/>
  </r>
  <r>
    <x v="30"/>
    <x v="1"/>
    <x v="368"/>
    <x v="0"/>
    <x v="4"/>
    <x v="41"/>
    <x v="22"/>
    <x v="10"/>
    <n v="0"/>
    <x v="2"/>
  </r>
  <r>
    <x v="30"/>
    <x v="1"/>
    <x v="368"/>
    <x v="0"/>
    <x v="4"/>
    <x v="41"/>
    <x v="22"/>
    <x v="12"/>
    <n v="0"/>
    <x v="2"/>
  </r>
  <r>
    <x v="30"/>
    <x v="1"/>
    <x v="369"/>
    <x v="1"/>
    <x v="4"/>
    <x v="41"/>
    <x v="0"/>
    <x v="0"/>
    <n v="0"/>
    <x v="2"/>
  </r>
  <r>
    <x v="30"/>
    <x v="1"/>
    <x v="369"/>
    <x v="1"/>
    <x v="4"/>
    <x v="41"/>
    <x v="0"/>
    <x v="1"/>
    <n v="0"/>
    <x v="2"/>
  </r>
  <r>
    <x v="30"/>
    <x v="1"/>
    <x v="369"/>
    <x v="1"/>
    <x v="4"/>
    <x v="41"/>
    <x v="0"/>
    <x v="2"/>
    <n v="0"/>
    <x v="2"/>
  </r>
  <r>
    <x v="30"/>
    <x v="1"/>
    <x v="369"/>
    <x v="1"/>
    <x v="4"/>
    <x v="41"/>
    <x v="0"/>
    <x v="3"/>
    <n v="56.97"/>
    <x v="2"/>
  </r>
  <r>
    <x v="30"/>
    <x v="1"/>
    <x v="369"/>
    <x v="1"/>
    <x v="4"/>
    <x v="41"/>
    <x v="0"/>
    <x v="4"/>
    <n v="0"/>
    <x v="2"/>
  </r>
  <r>
    <x v="30"/>
    <x v="1"/>
    <x v="369"/>
    <x v="1"/>
    <x v="4"/>
    <x v="41"/>
    <x v="0"/>
    <x v="5"/>
    <n v="0"/>
    <x v="2"/>
  </r>
  <r>
    <x v="30"/>
    <x v="1"/>
    <x v="369"/>
    <x v="1"/>
    <x v="4"/>
    <x v="41"/>
    <x v="0"/>
    <x v="6"/>
    <n v="0"/>
    <x v="2"/>
  </r>
  <r>
    <x v="30"/>
    <x v="1"/>
    <x v="369"/>
    <x v="1"/>
    <x v="4"/>
    <x v="41"/>
    <x v="0"/>
    <x v="7"/>
    <n v="100.14"/>
    <x v="2"/>
  </r>
  <r>
    <x v="30"/>
    <x v="1"/>
    <x v="369"/>
    <x v="1"/>
    <x v="4"/>
    <x v="41"/>
    <x v="0"/>
    <x v="8"/>
    <n v="0"/>
    <x v="2"/>
  </r>
  <r>
    <x v="30"/>
    <x v="1"/>
    <x v="369"/>
    <x v="1"/>
    <x v="4"/>
    <x v="41"/>
    <x v="0"/>
    <x v="9"/>
    <n v="0"/>
    <x v="2"/>
  </r>
  <r>
    <x v="30"/>
    <x v="1"/>
    <x v="369"/>
    <x v="1"/>
    <x v="4"/>
    <x v="41"/>
    <x v="0"/>
    <x v="10"/>
    <n v="0"/>
    <x v="2"/>
  </r>
  <r>
    <x v="30"/>
    <x v="1"/>
    <x v="369"/>
    <x v="1"/>
    <x v="4"/>
    <x v="41"/>
    <x v="0"/>
    <x v="12"/>
    <n v="0"/>
    <x v="2"/>
  </r>
  <r>
    <x v="30"/>
    <x v="1"/>
    <x v="370"/>
    <x v="0"/>
    <x v="4"/>
    <x v="41"/>
    <x v="23"/>
    <x v="0"/>
    <n v="1530.61"/>
    <x v="2"/>
  </r>
  <r>
    <x v="30"/>
    <x v="1"/>
    <x v="370"/>
    <x v="0"/>
    <x v="4"/>
    <x v="41"/>
    <x v="23"/>
    <x v="1"/>
    <n v="0"/>
    <x v="2"/>
  </r>
  <r>
    <x v="30"/>
    <x v="1"/>
    <x v="370"/>
    <x v="0"/>
    <x v="4"/>
    <x v="41"/>
    <x v="23"/>
    <x v="2"/>
    <n v="231.78"/>
    <x v="2"/>
  </r>
  <r>
    <x v="30"/>
    <x v="1"/>
    <x v="370"/>
    <x v="0"/>
    <x v="4"/>
    <x v="41"/>
    <x v="23"/>
    <x v="3"/>
    <n v="0"/>
    <x v="2"/>
  </r>
  <r>
    <x v="30"/>
    <x v="1"/>
    <x v="370"/>
    <x v="0"/>
    <x v="4"/>
    <x v="41"/>
    <x v="23"/>
    <x v="4"/>
    <n v="0"/>
    <x v="2"/>
  </r>
  <r>
    <x v="30"/>
    <x v="1"/>
    <x v="370"/>
    <x v="0"/>
    <x v="4"/>
    <x v="41"/>
    <x v="23"/>
    <x v="5"/>
    <n v="0"/>
    <x v="2"/>
  </r>
  <r>
    <x v="30"/>
    <x v="1"/>
    <x v="370"/>
    <x v="0"/>
    <x v="4"/>
    <x v="41"/>
    <x v="23"/>
    <x v="6"/>
    <n v="0"/>
    <x v="2"/>
  </r>
  <r>
    <x v="30"/>
    <x v="1"/>
    <x v="370"/>
    <x v="0"/>
    <x v="4"/>
    <x v="41"/>
    <x v="23"/>
    <x v="7"/>
    <n v="0"/>
    <x v="2"/>
  </r>
  <r>
    <x v="30"/>
    <x v="1"/>
    <x v="370"/>
    <x v="0"/>
    <x v="4"/>
    <x v="41"/>
    <x v="23"/>
    <x v="8"/>
    <n v="0"/>
    <x v="2"/>
  </r>
  <r>
    <x v="30"/>
    <x v="1"/>
    <x v="370"/>
    <x v="0"/>
    <x v="4"/>
    <x v="41"/>
    <x v="23"/>
    <x v="9"/>
    <n v="0"/>
    <x v="2"/>
  </r>
  <r>
    <x v="30"/>
    <x v="1"/>
    <x v="370"/>
    <x v="0"/>
    <x v="4"/>
    <x v="41"/>
    <x v="23"/>
    <x v="10"/>
    <n v="0"/>
    <x v="2"/>
  </r>
  <r>
    <x v="30"/>
    <x v="1"/>
    <x v="370"/>
    <x v="0"/>
    <x v="4"/>
    <x v="41"/>
    <x v="23"/>
    <x v="12"/>
    <n v="0"/>
    <x v="2"/>
  </r>
  <r>
    <x v="30"/>
    <x v="1"/>
    <x v="371"/>
    <x v="1"/>
    <x v="4"/>
    <x v="41"/>
    <x v="0"/>
    <x v="0"/>
    <n v="0"/>
    <x v="2"/>
  </r>
  <r>
    <x v="30"/>
    <x v="1"/>
    <x v="371"/>
    <x v="1"/>
    <x v="4"/>
    <x v="41"/>
    <x v="0"/>
    <x v="1"/>
    <n v="0"/>
    <x v="2"/>
  </r>
  <r>
    <x v="30"/>
    <x v="1"/>
    <x v="371"/>
    <x v="1"/>
    <x v="4"/>
    <x v="41"/>
    <x v="0"/>
    <x v="2"/>
    <n v="0"/>
    <x v="2"/>
  </r>
  <r>
    <x v="30"/>
    <x v="1"/>
    <x v="371"/>
    <x v="1"/>
    <x v="4"/>
    <x v="41"/>
    <x v="0"/>
    <x v="3"/>
    <n v="0"/>
    <x v="2"/>
  </r>
  <r>
    <x v="30"/>
    <x v="1"/>
    <x v="371"/>
    <x v="1"/>
    <x v="4"/>
    <x v="41"/>
    <x v="0"/>
    <x v="4"/>
    <n v="0"/>
    <x v="2"/>
  </r>
  <r>
    <x v="30"/>
    <x v="1"/>
    <x v="371"/>
    <x v="1"/>
    <x v="4"/>
    <x v="41"/>
    <x v="0"/>
    <x v="5"/>
    <n v="36.869999999999997"/>
    <x v="2"/>
  </r>
  <r>
    <x v="30"/>
    <x v="1"/>
    <x v="371"/>
    <x v="1"/>
    <x v="4"/>
    <x v="41"/>
    <x v="0"/>
    <x v="6"/>
    <n v="0"/>
    <x v="2"/>
  </r>
  <r>
    <x v="30"/>
    <x v="1"/>
    <x v="371"/>
    <x v="1"/>
    <x v="4"/>
    <x v="41"/>
    <x v="0"/>
    <x v="7"/>
    <n v="0"/>
    <x v="2"/>
  </r>
  <r>
    <x v="30"/>
    <x v="1"/>
    <x v="371"/>
    <x v="1"/>
    <x v="4"/>
    <x v="41"/>
    <x v="0"/>
    <x v="8"/>
    <n v="0"/>
    <x v="2"/>
  </r>
  <r>
    <x v="30"/>
    <x v="1"/>
    <x v="371"/>
    <x v="1"/>
    <x v="4"/>
    <x v="41"/>
    <x v="0"/>
    <x v="9"/>
    <n v="0"/>
    <x v="2"/>
  </r>
  <r>
    <x v="30"/>
    <x v="1"/>
    <x v="371"/>
    <x v="1"/>
    <x v="4"/>
    <x v="41"/>
    <x v="0"/>
    <x v="10"/>
    <n v="0"/>
    <x v="2"/>
  </r>
  <r>
    <x v="30"/>
    <x v="1"/>
    <x v="371"/>
    <x v="1"/>
    <x v="4"/>
    <x v="41"/>
    <x v="0"/>
    <x v="12"/>
    <n v="0"/>
    <x v="2"/>
  </r>
  <r>
    <x v="30"/>
    <x v="1"/>
    <x v="372"/>
    <x v="1"/>
    <x v="4"/>
    <x v="41"/>
    <x v="0"/>
    <x v="0"/>
    <n v="293.88"/>
    <x v="2"/>
  </r>
  <r>
    <x v="30"/>
    <x v="1"/>
    <x v="372"/>
    <x v="1"/>
    <x v="4"/>
    <x v="41"/>
    <x v="0"/>
    <x v="1"/>
    <n v="0"/>
    <x v="2"/>
  </r>
  <r>
    <x v="30"/>
    <x v="1"/>
    <x v="372"/>
    <x v="1"/>
    <x v="4"/>
    <x v="41"/>
    <x v="0"/>
    <x v="2"/>
    <n v="0"/>
    <x v="2"/>
  </r>
  <r>
    <x v="30"/>
    <x v="1"/>
    <x v="372"/>
    <x v="1"/>
    <x v="4"/>
    <x v="41"/>
    <x v="0"/>
    <x v="3"/>
    <n v="0"/>
    <x v="2"/>
  </r>
  <r>
    <x v="30"/>
    <x v="1"/>
    <x v="372"/>
    <x v="1"/>
    <x v="4"/>
    <x v="41"/>
    <x v="0"/>
    <x v="4"/>
    <n v="0"/>
    <x v="2"/>
  </r>
  <r>
    <x v="30"/>
    <x v="1"/>
    <x v="372"/>
    <x v="1"/>
    <x v="4"/>
    <x v="41"/>
    <x v="0"/>
    <x v="5"/>
    <n v="0"/>
    <x v="2"/>
  </r>
  <r>
    <x v="30"/>
    <x v="1"/>
    <x v="372"/>
    <x v="1"/>
    <x v="4"/>
    <x v="41"/>
    <x v="0"/>
    <x v="6"/>
    <n v="0"/>
    <x v="2"/>
  </r>
  <r>
    <x v="30"/>
    <x v="1"/>
    <x v="372"/>
    <x v="1"/>
    <x v="4"/>
    <x v="41"/>
    <x v="0"/>
    <x v="7"/>
    <n v="0"/>
    <x v="2"/>
  </r>
  <r>
    <x v="30"/>
    <x v="1"/>
    <x v="372"/>
    <x v="1"/>
    <x v="4"/>
    <x v="41"/>
    <x v="0"/>
    <x v="8"/>
    <n v="0"/>
    <x v="2"/>
  </r>
  <r>
    <x v="30"/>
    <x v="1"/>
    <x v="372"/>
    <x v="1"/>
    <x v="4"/>
    <x v="41"/>
    <x v="0"/>
    <x v="9"/>
    <n v="0"/>
    <x v="2"/>
  </r>
  <r>
    <x v="30"/>
    <x v="1"/>
    <x v="372"/>
    <x v="1"/>
    <x v="4"/>
    <x v="41"/>
    <x v="0"/>
    <x v="10"/>
    <n v="0"/>
    <x v="2"/>
  </r>
  <r>
    <x v="30"/>
    <x v="1"/>
    <x v="372"/>
    <x v="1"/>
    <x v="4"/>
    <x v="41"/>
    <x v="0"/>
    <x v="12"/>
    <n v="0"/>
    <x v="2"/>
  </r>
  <r>
    <x v="30"/>
    <x v="1"/>
    <x v="373"/>
    <x v="1"/>
    <x v="4"/>
    <x v="41"/>
    <x v="0"/>
    <x v="0"/>
    <n v="0"/>
    <x v="2"/>
  </r>
  <r>
    <x v="30"/>
    <x v="1"/>
    <x v="373"/>
    <x v="1"/>
    <x v="4"/>
    <x v="41"/>
    <x v="0"/>
    <x v="1"/>
    <n v="0"/>
    <x v="2"/>
  </r>
  <r>
    <x v="30"/>
    <x v="1"/>
    <x v="373"/>
    <x v="1"/>
    <x v="4"/>
    <x v="41"/>
    <x v="0"/>
    <x v="2"/>
    <n v="0"/>
    <x v="2"/>
  </r>
  <r>
    <x v="30"/>
    <x v="1"/>
    <x v="373"/>
    <x v="1"/>
    <x v="4"/>
    <x v="41"/>
    <x v="0"/>
    <x v="3"/>
    <n v="0"/>
    <x v="2"/>
  </r>
  <r>
    <x v="30"/>
    <x v="1"/>
    <x v="373"/>
    <x v="1"/>
    <x v="4"/>
    <x v="41"/>
    <x v="0"/>
    <x v="4"/>
    <n v="0"/>
    <x v="2"/>
  </r>
  <r>
    <x v="30"/>
    <x v="1"/>
    <x v="373"/>
    <x v="1"/>
    <x v="4"/>
    <x v="41"/>
    <x v="0"/>
    <x v="5"/>
    <n v="0"/>
    <x v="2"/>
  </r>
  <r>
    <x v="30"/>
    <x v="1"/>
    <x v="373"/>
    <x v="1"/>
    <x v="4"/>
    <x v="41"/>
    <x v="0"/>
    <x v="6"/>
    <n v="0"/>
    <x v="2"/>
  </r>
  <r>
    <x v="30"/>
    <x v="1"/>
    <x v="373"/>
    <x v="1"/>
    <x v="4"/>
    <x v="41"/>
    <x v="0"/>
    <x v="7"/>
    <n v="0"/>
    <x v="2"/>
  </r>
  <r>
    <x v="30"/>
    <x v="1"/>
    <x v="373"/>
    <x v="1"/>
    <x v="4"/>
    <x v="41"/>
    <x v="0"/>
    <x v="8"/>
    <n v="0"/>
    <x v="2"/>
  </r>
  <r>
    <x v="30"/>
    <x v="1"/>
    <x v="373"/>
    <x v="1"/>
    <x v="4"/>
    <x v="41"/>
    <x v="0"/>
    <x v="9"/>
    <n v="0"/>
    <x v="2"/>
  </r>
  <r>
    <x v="30"/>
    <x v="1"/>
    <x v="373"/>
    <x v="1"/>
    <x v="4"/>
    <x v="41"/>
    <x v="0"/>
    <x v="10"/>
    <n v="0"/>
    <x v="2"/>
  </r>
  <r>
    <x v="30"/>
    <x v="1"/>
    <x v="373"/>
    <x v="1"/>
    <x v="4"/>
    <x v="41"/>
    <x v="0"/>
    <x v="12"/>
    <n v="0"/>
    <x v="2"/>
  </r>
  <r>
    <x v="30"/>
    <x v="1"/>
    <x v="386"/>
    <x v="1"/>
    <x v="4"/>
    <x v="41"/>
    <x v="0"/>
    <x v="0"/>
    <n v="0"/>
    <x v="2"/>
  </r>
  <r>
    <x v="30"/>
    <x v="1"/>
    <x v="386"/>
    <x v="1"/>
    <x v="4"/>
    <x v="41"/>
    <x v="0"/>
    <x v="1"/>
    <n v="40.82"/>
    <x v="2"/>
  </r>
  <r>
    <x v="30"/>
    <x v="1"/>
    <x v="386"/>
    <x v="1"/>
    <x v="4"/>
    <x v="41"/>
    <x v="0"/>
    <x v="2"/>
    <n v="0"/>
    <x v="2"/>
  </r>
  <r>
    <x v="30"/>
    <x v="1"/>
    <x v="386"/>
    <x v="1"/>
    <x v="4"/>
    <x v="41"/>
    <x v="0"/>
    <x v="3"/>
    <n v="0"/>
    <x v="2"/>
  </r>
  <r>
    <x v="30"/>
    <x v="1"/>
    <x v="386"/>
    <x v="1"/>
    <x v="4"/>
    <x v="41"/>
    <x v="0"/>
    <x v="4"/>
    <n v="0"/>
    <x v="2"/>
  </r>
  <r>
    <x v="30"/>
    <x v="1"/>
    <x v="386"/>
    <x v="1"/>
    <x v="4"/>
    <x v="41"/>
    <x v="0"/>
    <x v="5"/>
    <n v="0"/>
    <x v="2"/>
  </r>
  <r>
    <x v="30"/>
    <x v="1"/>
    <x v="386"/>
    <x v="1"/>
    <x v="4"/>
    <x v="41"/>
    <x v="0"/>
    <x v="6"/>
    <n v="0"/>
    <x v="2"/>
  </r>
  <r>
    <x v="30"/>
    <x v="1"/>
    <x v="386"/>
    <x v="1"/>
    <x v="4"/>
    <x v="41"/>
    <x v="0"/>
    <x v="7"/>
    <n v="0"/>
    <x v="2"/>
  </r>
  <r>
    <x v="30"/>
    <x v="1"/>
    <x v="386"/>
    <x v="1"/>
    <x v="4"/>
    <x v="41"/>
    <x v="0"/>
    <x v="8"/>
    <n v="0"/>
    <x v="2"/>
  </r>
  <r>
    <x v="30"/>
    <x v="1"/>
    <x v="386"/>
    <x v="1"/>
    <x v="4"/>
    <x v="41"/>
    <x v="0"/>
    <x v="9"/>
    <n v="0"/>
    <x v="2"/>
  </r>
  <r>
    <x v="30"/>
    <x v="1"/>
    <x v="386"/>
    <x v="1"/>
    <x v="4"/>
    <x v="41"/>
    <x v="0"/>
    <x v="10"/>
    <n v="0"/>
    <x v="2"/>
  </r>
  <r>
    <x v="30"/>
    <x v="1"/>
    <x v="386"/>
    <x v="1"/>
    <x v="4"/>
    <x v="41"/>
    <x v="0"/>
    <x v="12"/>
    <n v="0"/>
    <x v="2"/>
  </r>
  <r>
    <x v="30"/>
    <x v="1"/>
    <x v="378"/>
    <x v="0"/>
    <x v="4"/>
    <x v="41"/>
    <x v="17"/>
    <x v="0"/>
    <n v="0"/>
    <x v="2"/>
  </r>
  <r>
    <x v="30"/>
    <x v="1"/>
    <x v="378"/>
    <x v="0"/>
    <x v="4"/>
    <x v="41"/>
    <x v="17"/>
    <x v="1"/>
    <n v="0"/>
    <x v="2"/>
  </r>
  <r>
    <x v="30"/>
    <x v="1"/>
    <x v="378"/>
    <x v="0"/>
    <x v="4"/>
    <x v="41"/>
    <x v="17"/>
    <x v="2"/>
    <n v="0"/>
    <x v="2"/>
  </r>
  <r>
    <x v="30"/>
    <x v="1"/>
    <x v="378"/>
    <x v="0"/>
    <x v="4"/>
    <x v="41"/>
    <x v="17"/>
    <x v="3"/>
    <n v="402.04"/>
    <x v="2"/>
  </r>
  <r>
    <x v="30"/>
    <x v="1"/>
    <x v="378"/>
    <x v="0"/>
    <x v="4"/>
    <x v="41"/>
    <x v="17"/>
    <x v="4"/>
    <n v="0"/>
    <x v="2"/>
  </r>
  <r>
    <x v="30"/>
    <x v="1"/>
    <x v="378"/>
    <x v="0"/>
    <x v="4"/>
    <x v="41"/>
    <x v="17"/>
    <x v="5"/>
    <n v="0"/>
    <x v="2"/>
  </r>
  <r>
    <x v="30"/>
    <x v="1"/>
    <x v="378"/>
    <x v="0"/>
    <x v="4"/>
    <x v="41"/>
    <x v="17"/>
    <x v="6"/>
    <n v="0"/>
    <x v="2"/>
  </r>
  <r>
    <x v="30"/>
    <x v="1"/>
    <x v="378"/>
    <x v="0"/>
    <x v="4"/>
    <x v="41"/>
    <x v="17"/>
    <x v="7"/>
    <n v="140.13999999999999"/>
    <x v="2"/>
  </r>
  <r>
    <x v="30"/>
    <x v="1"/>
    <x v="378"/>
    <x v="0"/>
    <x v="4"/>
    <x v="41"/>
    <x v="17"/>
    <x v="8"/>
    <n v="0"/>
    <x v="2"/>
  </r>
  <r>
    <x v="30"/>
    <x v="1"/>
    <x v="378"/>
    <x v="0"/>
    <x v="4"/>
    <x v="41"/>
    <x v="17"/>
    <x v="9"/>
    <n v="0"/>
    <x v="2"/>
  </r>
  <r>
    <x v="30"/>
    <x v="1"/>
    <x v="378"/>
    <x v="0"/>
    <x v="4"/>
    <x v="41"/>
    <x v="17"/>
    <x v="10"/>
    <n v="0"/>
    <x v="2"/>
  </r>
  <r>
    <x v="30"/>
    <x v="1"/>
    <x v="378"/>
    <x v="0"/>
    <x v="4"/>
    <x v="41"/>
    <x v="17"/>
    <x v="12"/>
    <n v="0"/>
    <x v="2"/>
  </r>
  <r>
    <x v="30"/>
    <x v="1"/>
    <x v="387"/>
    <x v="1"/>
    <x v="4"/>
    <x v="41"/>
    <x v="0"/>
    <x v="0"/>
    <n v="0"/>
    <x v="2"/>
  </r>
  <r>
    <x v="30"/>
    <x v="1"/>
    <x v="387"/>
    <x v="1"/>
    <x v="4"/>
    <x v="41"/>
    <x v="0"/>
    <x v="1"/>
    <n v="0"/>
    <x v="2"/>
  </r>
  <r>
    <x v="30"/>
    <x v="1"/>
    <x v="387"/>
    <x v="1"/>
    <x v="4"/>
    <x v="41"/>
    <x v="0"/>
    <x v="2"/>
    <n v="0"/>
    <x v="2"/>
  </r>
  <r>
    <x v="30"/>
    <x v="1"/>
    <x v="387"/>
    <x v="1"/>
    <x v="4"/>
    <x v="41"/>
    <x v="0"/>
    <x v="3"/>
    <n v="0"/>
    <x v="2"/>
  </r>
  <r>
    <x v="30"/>
    <x v="1"/>
    <x v="387"/>
    <x v="1"/>
    <x v="4"/>
    <x v="41"/>
    <x v="0"/>
    <x v="4"/>
    <n v="0"/>
    <x v="2"/>
  </r>
  <r>
    <x v="30"/>
    <x v="1"/>
    <x v="387"/>
    <x v="1"/>
    <x v="4"/>
    <x v="41"/>
    <x v="0"/>
    <x v="5"/>
    <n v="0"/>
    <x v="2"/>
  </r>
  <r>
    <x v="30"/>
    <x v="1"/>
    <x v="387"/>
    <x v="1"/>
    <x v="4"/>
    <x v="41"/>
    <x v="0"/>
    <x v="6"/>
    <n v="0"/>
    <x v="2"/>
  </r>
  <r>
    <x v="30"/>
    <x v="1"/>
    <x v="387"/>
    <x v="1"/>
    <x v="4"/>
    <x v="41"/>
    <x v="0"/>
    <x v="7"/>
    <n v="0"/>
    <x v="2"/>
  </r>
  <r>
    <x v="30"/>
    <x v="1"/>
    <x v="387"/>
    <x v="1"/>
    <x v="4"/>
    <x v="41"/>
    <x v="0"/>
    <x v="8"/>
    <n v="0"/>
    <x v="2"/>
  </r>
  <r>
    <x v="30"/>
    <x v="1"/>
    <x v="387"/>
    <x v="1"/>
    <x v="4"/>
    <x v="41"/>
    <x v="0"/>
    <x v="9"/>
    <n v="0"/>
    <x v="2"/>
  </r>
  <r>
    <x v="30"/>
    <x v="1"/>
    <x v="387"/>
    <x v="1"/>
    <x v="4"/>
    <x v="41"/>
    <x v="0"/>
    <x v="10"/>
    <n v="0"/>
    <x v="2"/>
  </r>
  <r>
    <x v="30"/>
    <x v="1"/>
    <x v="387"/>
    <x v="1"/>
    <x v="4"/>
    <x v="41"/>
    <x v="0"/>
    <x v="12"/>
    <n v="0"/>
    <x v="2"/>
  </r>
  <r>
    <x v="30"/>
    <x v="1"/>
    <x v="388"/>
    <x v="1"/>
    <x v="4"/>
    <x v="33"/>
    <x v="0"/>
    <x v="0"/>
    <n v="0"/>
    <x v="2"/>
  </r>
  <r>
    <x v="30"/>
    <x v="1"/>
    <x v="388"/>
    <x v="1"/>
    <x v="4"/>
    <x v="33"/>
    <x v="0"/>
    <x v="1"/>
    <n v="0"/>
    <x v="2"/>
  </r>
  <r>
    <x v="30"/>
    <x v="1"/>
    <x v="388"/>
    <x v="1"/>
    <x v="4"/>
    <x v="33"/>
    <x v="0"/>
    <x v="2"/>
    <n v="0"/>
    <x v="2"/>
  </r>
  <r>
    <x v="30"/>
    <x v="1"/>
    <x v="388"/>
    <x v="1"/>
    <x v="4"/>
    <x v="33"/>
    <x v="0"/>
    <x v="3"/>
    <n v="0"/>
    <x v="2"/>
  </r>
  <r>
    <x v="30"/>
    <x v="1"/>
    <x v="388"/>
    <x v="1"/>
    <x v="4"/>
    <x v="33"/>
    <x v="0"/>
    <x v="4"/>
    <n v="0"/>
    <x v="2"/>
  </r>
  <r>
    <x v="30"/>
    <x v="1"/>
    <x v="388"/>
    <x v="1"/>
    <x v="4"/>
    <x v="33"/>
    <x v="0"/>
    <x v="5"/>
    <n v="0"/>
    <x v="2"/>
  </r>
  <r>
    <x v="30"/>
    <x v="1"/>
    <x v="388"/>
    <x v="1"/>
    <x v="4"/>
    <x v="33"/>
    <x v="0"/>
    <x v="6"/>
    <n v="0"/>
    <x v="2"/>
  </r>
  <r>
    <x v="30"/>
    <x v="1"/>
    <x v="388"/>
    <x v="1"/>
    <x v="4"/>
    <x v="33"/>
    <x v="0"/>
    <x v="7"/>
    <n v="0"/>
    <x v="2"/>
  </r>
  <r>
    <x v="30"/>
    <x v="1"/>
    <x v="388"/>
    <x v="1"/>
    <x v="4"/>
    <x v="33"/>
    <x v="0"/>
    <x v="8"/>
    <n v="0"/>
    <x v="2"/>
  </r>
  <r>
    <x v="30"/>
    <x v="1"/>
    <x v="388"/>
    <x v="1"/>
    <x v="4"/>
    <x v="33"/>
    <x v="0"/>
    <x v="9"/>
    <n v="0"/>
    <x v="2"/>
  </r>
  <r>
    <x v="30"/>
    <x v="1"/>
    <x v="388"/>
    <x v="1"/>
    <x v="4"/>
    <x v="33"/>
    <x v="0"/>
    <x v="10"/>
    <n v="0"/>
    <x v="2"/>
  </r>
  <r>
    <x v="30"/>
    <x v="1"/>
    <x v="388"/>
    <x v="1"/>
    <x v="4"/>
    <x v="33"/>
    <x v="0"/>
    <x v="12"/>
    <n v="0"/>
    <x v="2"/>
  </r>
  <r>
    <x v="30"/>
    <x v="1"/>
    <x v="389"/>
    <x v="1"/>
    <x v="4"/>
    <x v="41"/>
    <x v="0"/>
    <x v="0"/>
    <n v="0"/>
    <x v="2"/>
  </r>
  <r>
    <x v="30"/>
    <x v="1"/>
    <x v="389"/>
    <x v="1"/>
    <x v="4"/>
    <x v="41"/>
    <x v="0"/>
    <x v="1"/>
    <n v="0"/>
    <x v="2"/>
  </r>
  <r>
    <x v="30"/>
    <x v="1"/>
    <x v="389"/>
    <x v="1"/>
    <x v="4"/>
    <x v="41"/>
    <x v="0"/>
    <x v="2"/>
    <n v="0"/>
    <x v="2"/>
  </r>
  <r>
    <x v="30"/>
    <x v="1"/>
    <x v="389"/>
    <x v="1"/>
    <x v="4"/>
    <x v="41"/>
    <x v="0"/>
    <x v="3"/>
    <n v="0"/>
    <x v="2"/>
  </r>
  <r>
    <x v="30"/>
    <x v="1"/>
    <x v="389"/>
    <x v="1"/>
    <x v="4"/>
    <x v="41"/>
    <x v="0"/>
    <x v="4"/>
    <n v="0"/>
    <x v="2"/>
  </r>
  <r>
    <x v="30"/>
    <x v="1"/>
    <x v="389"/>
    <x v="1"/>
    <x v="4"/>
    <x v="41"/>
    <x v="0"/>
    <x v="5"/>
    <n v="0"/>
    <x v="2"/>
  </r>
  <r>
    <x v="30"/>
    <x v="1"/>
    <x v="389"/>
    <x v="1"/>
    <x v="4"/>
    <x v="41"/>
    <x v="0"/>
    <x v="6"/>
    <n v="0"/>
    <x v="2"/>
  </r>
  <r>
    <x v="30"/>
    <x v="1"/>
    <x v="389"/>
    <x v="1"/>
    <x v="4"/>
    <x v="41"/>
    <x v="0"/>
    <x v="7"/>
    <n v="0"/>
    <x v="2"/>
  </r>
  <r>
    <x v="30"/>
    <x v="1"/>
    <x v="389"/>
    <x v="1"/>
    <x v="4"/>
    <x v="41"/>
    <x v="0"/>
    <x v="8"/>
    <n v="444"/>
    <x v="2"/>
  </r>
  <r>
    <x v="30"/>
    <x v="1"/>
    <x v="389"/>
    <x v="1"/>
    <x v="4"/>
    <x v="41"/>
    <x v="0"/>
    <x v="9"/>
    <n v="0"/>
    <x v="2"/>
  </r>
  <r>
    <x v="30"/>
    <x v="1"/>
    <x v="389"/>
    <x v="1"/>
    <x v="4"/>
    <x v="41"/>
    <x v="0"/>
    <x v="10"/>
    <n v="0"/>
    <x v="2"/>
  </r>
  <r>
    <x v="30"/>
    <x v="1"/>
    <x v="389"/>
    <x v="1"/>
    <x v="4"/>
    <x v="41"/>
    <x v="0"/>
    <x v="12"/>
    <n v="0"/>
    <x v="2"/>
  </r>
  <r>
    <x v="30"/>
    <x v="1"/>
    <x v="381"/>
    <x v="1"/>
    <x v="4"/>
    <x v="41"/>
    <x v="0"/>
    <x v="0"/>
    <n v="0"/>
    <x v="2"/>
  </r>
  <r>
    <x v="30"/>
    <x v="1"/>
    <x v="381"/>
    <x v="1"/>
    <x v="4"/>
    <x v="41"/>
    <x v="0"/>
    <x v="1"/>
    <n v="0"/>
    <x v="2"/>
  </r>
  <r>
    <x v="30"/>
    <x v="1"/>
    <x v="381"/>
    <x v="1"/>
    <x v="4"/>
    <x v="41"/>
    <x v="0"/>
    <x v="2"/>
    <n v="0"/>
    <x v="2"/>
  </r>
  <r>
    <x v="30"/>
    <x v="1"/>
    <x v="381"/>
    <x v="1"/>
    <x v="4"/>
    <x v="41"/>
    <x v="0"/>
    <x v="3"/>
    <n v="0"/>
    <x v="2"/>
  </r>
  <r>
    <x v="30"/>
    <x v="1"/>
    <x v="381"/>
    <x v="1"/>
    <x v="4"/>
    <x v="41"/>
    <x v="0"/>
    <x v="4"/>
    <n v="0"/>
    <x v="2"/>
  </r>
  <r>
    <x v="30"/>
    <x v="1"/>
    <x v="381"/>
    <x v="1"/>
    <x v="4"/>
    <x v="41"/>
    <x v="0"/>
    <x v="5"/>
    <n v="0"/>
    <x v="2"/>
  </r>
  <r>
    <x v="30"/>
    <x v="1"/>
    <x v="381"/>
    <x v="1"/>
    <x v="4"/>
    <x v="41"/>
    <x v="0"/>
    <x v="6"/>
    <n v="0"/>
    <x v="2"/>
  </r>
  <r>
    <x v="30"/>
    <x v="1"/>
    <x v="381"/>
    <x v="1"/>
    <x v="4"/>
    <x v="41"/>
    <x v="0"/>
    <x v="7"/>
    <n v="0"/>
    <x v="2"/>
  </r>
  <r>
    <x v="30"/>
    <x v="1"/>
    <x v="381"/>
    <x v="1"/>
    <x v="4"/>
    <x v="41"/>
    <x v="0"/>
    <x v="8"/>
    <n v="1217"/>
    <x v="2"/>
  </r>
  <r>
    <x v="30"/>
    <x v="1"/>
    <x v="381"/>
    <x v="1"/>
    <x v="4"/>
    <x v="41"/>
    <x v="0"/>
    <x v="9"/>
    <n v="0"/>
    <x v="2"/>
  </r>
  <r>
    <x v="30"/>
    <x v="1"/>
    <x v="381"/>
    <x v="1"/>
    <x v="4"/>
    <x v="41"/>
    <x v="0"/>
    <x v="10"/>
    <n v="0"/>
    <x v="2"/>
  </r>
  <r>
    <x v="30"/>
    <x v="1"/>
    <x v="381"/>
    <x v="1"/>
    <x v="4"/>
    <x v="41"/>
    <x v="0"/>
    <x v="12"/>
    <n v="0"/>
    <x v="2"/>
  </r>
  <r>
    <x v="30"/>
    <x v="1"/>
    <x v="390"/>
    <x v="2"/>
    <x v="3"/>
    <x v="41"/>
    <x v="0"/>
    <x v="0"/>
    <n v="0"/>
    <x v="2"/>
  </r>
  <r>
    <x v="30"/>
    <x v="1"/>
    <x v="390"/>
    <x v="2"/>
    <x v="3"/>
    <x v="41"/>
    <x v="0"/>
    <x v="1"/>
    <n v="11.29"/>
    <x v="2"/>
  </r>
  <r>
    <x v="30"/>
    <x v="1"/>
    <x v="390"/>
    <x v="2"/>
    <x v="3"/>
    <x v="41"/>
    <x v="0"/>
    <x v="2"/>
    <n v="0"/>
    <x v="2"/>
  </r>
  <r>
    <x v="30"/>
    <x v="1"/>
    <x v="390"/>
    <x v="2"/>
    <x v="3"/>
    <x v="41"/>
    <x v="0"/>
    <x v="3"/>
    <n v="0"/>
    <x v="2"/>
  </r>
  <r>
    <x v="30"/>
    <x v="1"/>
    <x v="390"/>
    <x v="2"/>
    <x v="3"/>
    <x v="41"/>
    <x v="0"/>
    <x v="4"/>
    <n v="0"/>
    <x v="2"/>
  </r>
  <r>
    <x v="30"/>
    <x v="1"/>
    <x v="390"/>
    <x v="2"/>
    <x v="3"/>
    <x v="41"/>
    <x v="0"/>
    <x v="5"/>
    <n v="0"/>
    <x v="2"/>
  </r>
  <r>
    <x v="30"/>
    <x v="1"/>
    <x v="390"/>
    <x v="2"/>
    <x v="3"/>
    <x v="41"/>
    <x v="0"/>
    <x v="6"/>
    <n v="36"/>
    <x v="2"/>
  </r>
  <r>
    <x v="30"/>
    <x v="1"/>
    <x v="390"/>
    <x v="2"/>
    <x v="3"/>
    <x v="41"/>
    <x v="0"/>
    <x v="7"/>
    <n v="0"/>
    <x v="2"/>
  </r>
  <r>
    <x v="30"/>
    <x v="1"/>
    <x v="390"/>
    <x v="2"/>
    <x v="3"/>
    <x v="41"/>
    <x v="0"/>
    <x v="8"/>
    <n v="0"/>
    <x v="2"/>
  </r>
  <r>
    <x v="30"/>
    <x v="1"/>
    <x v="390"/>
    <x v="2"/>
    <x v="3"/>
    <x v="41"/>
    <x v="0"/>
    <x v="9"/>
    <n v="0"/>
    <x v="2"/>
  </r>
  <r>
    <x v="30"/>
    <x v="1"/>
    <x v="390"/>
    <x v="2"/>
    <x v="3"/>
    <x v="41"/>
    <x v="0"/>
    <x v="10"/>
    <n v="0"/>
    <x v="2"/>
  </r>
  <r>
    <x v="30"/>
    <x v="1"/>
    <x v="390"/>
    <x v="2"/>
    <x v="3"/>
    <x v="41"/>
    <x v="0"/>
    <x v="12"/>
    <n v="0"/>
    <x v="2"/>
  </r>
  <r>
    <x v="30"/>
    <x v="1"/>
    <x v="340"/>
    <x v="2"/>
    <x v="3"/>
    <x v="42"/>
    <x v="0"/>
    <x v="0"/>
    <n v="0"/>
    <x v="2"/>
  </r>
  <r>
    <x v="30"/>
    <x v="1"/>
    <x v="340"/>
    <x v="2"/>
    <x v="3"/>
    <x v="42"/>
    <x v="0"/>
    <x v="1"/>
    <n v="0"/>
    <x v="2"/>
  </r>
  <r>
    <x v="30"/>
    <x v="1"/>
    <x v="340"/>
    <x v="2"/>
    <x v="3"/>
    <x v="42"/>
    <x v="0"/>
    <x v="2"/>
    <n v="0"/>
    <x v="2"/>
  </r>
  <r>
    <x v="30"/>
    <x v="1"/>
    <x v="340"/>
    <x v="2"/>
    <x v="3"/>
    <x v="42"/>
    <x v="0"/>
    <x v="3"/>
    <n v="0"/>
    <x v="2"/>
  </r>
  <r>
    <x v="30"/>
    <x v="1"/>
    <x v="340"/>
    <x v="2"/>
    <x v="3"/>
    <x v="42"/>
    <x v="0"/>
    <x v="4"/>
    <n v="0"/>
    <x v="2"/>
  </r>
  <r>
    <x v="30"/>
    <x v="1"/>
    <x v="340"/>
    <x v="2"/>
    <x v="3"/>
    <x v="42"/>
    <x v="0"/>
    <x v="5"/>
    <n v="0"/>
    <x v="2"/>
  </r>
  <r>
    <x v="30"/>
    <x v="1"/>
    <x v="340"/>
    <x v="2"/>
    <x v="3"/>
    <x v="42"/>
    <x v="0"/>
    <x v="6"/>
    <n v="0"/>
    <x v="2"/>
  </r>
  <r>
    <x v="30"/>
    <x v="1"/>
    <x v="340"/>
    <x v="2"/>
    <x v="3"/>
    <x v="42"/>
    <x v="0"/>
    <x v="7"/>
    <n v="0"/>
    <x v="2"/>
  </r>
  <r>
    <x v="30"/>
    <x v="1"/>
    <x v="340"/>
    <x v="2"/>
    <x v="3"/>
    <x v="42"/>
    <x v="0"/>
    <x v="8"/>
    <n v="0"/>
    <x v="2"/>
  </r>
  <r>
    <x v="30"/>
    <x v="1"/>
    <x v="340"/>
    <x v="2"/>
    <x v="3"/>
    <x v="42"/>
    <x v="0"/>
    <x v="9"/>
    <n v="0"/>
    <x v="2"/>
  </r>
  <r>
    <x v="30"/>
    <x v="1"/>
    <x v="340"/>
    <x v="2"/>
    <x v="3"/>
    <x v="42"/>
    <x v="0"/>
    <x v="10"/>
    <n v="0"/>
    <x v="2"/>
  </r>
  <r>
    <x v="30"/>
    <x v="1"/>
    <x v="340"/>
    <x v="2"/>
    <x v="3"/>
    <x v="42"/>
    <x v="0"/>
    <x v="12"/>
    <n v="0"/>
    <x v="2"/>
  </r>
  <r>
    <x v="30"/>
    <x v="1"/>
    <x v="341"/>
    <x v="2"/>
    <x v="3"/>
    <x v="43"/>
    <x v="0"/>
    <x v="0"/>
    <n v="0"/>
    <x v="2"/>
  </r>
  <r>
    <x v="30"/>
    <x v="1"/>
    <x v="341"/>
    <x v="2"/>
    <x v="3"/>
    <x v="43"/>
    <x v="0"/>
    <x v="1"/>
    <n v="0"/>
    <x v="2"/>
  </r>
  <r>
    <x v="30"/>
    <x v="1"/>
    <x v="341"/>
    <x v="2"/>
    <x v="3"/>
    <x v="43"/>
    <x v="0"/>
    <x v="2"/>
    <n v="0"/>
    <x v="2"/>
  </r>
  <r>
    <x v="30"/>
    <x v="1"/>
    <x v="341"/>
    <x v="2"/>
    <x v="3"/>
    <x v="43"/>
    <x v="0"/>
    <x v="3"/>
    <n v="0"/>
    <x v="2"/>
  </r>
  <r>
    <x v="30"/>
    <x v="1"/>
    <x v="341"/>
    <x v="2"/>
    <x v="3"/>
    <x v="43"/>
    <x v="0"/>
    <x v="4"/>
    <n v="0"/>
    <x v="2"/>
  </r>
  <r>
    <x v="30"/>
    <x v="1"/>
    <x v="341"/>
    <x v="2"/>
    <x v="3"/>
    <x v="43"/>
    <x v="0"/>
    <x v="5"/>
    <n v="0"/>
    <x v="2"/>
  </r>
  <r>
    <x v="30"/>
    <x v="1"/>
    <x v="341"/>
    <x v="2"/>
    <x v="3"/>
    <x v="43"/>
    <x v="0"/>
    <x v="6"/>
    <n v="0"/>
    <x v="2"/>
  </r>
  <r>
    <x v="30"/>
    <x v="1"/>
    <x v="341"/>
    <x v="2"/>
    <x v="3"/>
    <x v="43"/>
    <x v="0"/>
    <x v="7"/>
    <n v="0"/>
    <x v="2"/>
  </r>
  <r>
    <x v="30"/>
    <x v="1"/>
    <x v="341"/>
    <x v="2"/>
    <x v="3"/>
    <x v="43"/>
    <x v="0"/>
    <x v="8"/>
    <n v="0"/>
    <x v="2"/>
  </r>
  <r>
    <x v="30"/>
    <x v="1"/>
    <x v="341"/>
    <x v="2"/>
    <x v="3"/>
    <x v="43"/>
    <x v="0"/>
    <x v="9"/>
    <n v="0"/>
    <x v="2"/>
  </r>
  <r>
    <x v="30"/>
    <x v="1"/>
    <x v="341"/>
    <x v="2"/>
    <x v="3"/>
    <x v="43"/>
    <x v="0"/>
    <x v="10"/>
    <n v="0"/>
    <x v="2"/>
  </r>
  <r>
    <x v="30"/>
    <x v="1"/>
    <x v="341"/>
    <x v="2"/>
    <x v="3"/>
    <x v="43"/>
    <x v="0"/>
    <x v="12"/>
    <n v="0"/>
    <x v="2"/>
  </r>
  <r>
    <x v="30"/>
    <x v="1"/>
    <x v="342"/>
    <x v="2"/>
    <x v="3"/>
    <x v="42"/>
    <x v="0"/>
    <x v="0"/>
    <n v="0"/>
    <x v="2"/>
  </r>
  <r>
    <x v="30"/>
    <x v="1"/>
    <x v="342"/>
    <x v="2"/>
    <x v="3"/>
    <x v="42"/>
    <x v="0"/>
    <x v="1"/>
    <n v="0"/>
    <x v="2"/>
  </r>
  <r>
    <x v="30"/>
    <x v="1"/>
    <x v="342"/>
    <x v="2"/>
    <x v="3"/>
    <x v="42"/>
    <x v="0"/>
    <x v="2"/>
    <n v="0"/>
    <x v="2"/>
  </r>
  <r>
    <x v="30"/>
    <x v="1"/>
    <x v="342"/>
    <x v="2"/>
    <x v="3"/>
    <x v="42"/>
    <x v="0"/>
    <x v="3"/>
    <n v="0"/>
    <x v="2"/>
  </r>
  <r>
    <x v="30"/>
    <x v="1"/>
    <x v="342"/>
    <x v="2"/>
    <x v="3"/>
    <x v="42"/>
    <x v="0"/>
    <x v="4"/>
    <n v="0"/>
    <x v="2"/>
  </r>
  <r>
    <x v="30"/>
    <x v="1"/>
    <x v="342"/>
    <x v="2"/>
    <x v="3"/>
    <x v="42"/>
    <x v="0"/>
    <x v="5"/>
    <n v="0"/>
    <x v="2"/>
  </r>
  <r>
    <x v="30"/>
    <x v="1"/>
    <x v="342"/>
    <x v="2"/>
    <x v="3"/>
    <x v="42"/>
    <x v="0"/>
    <x v="6"/>
    <n v="0"/>
    <x v="2"/>
  </r>
  <r>
    <x v="30"/>
    <x v="1"/>
    <x v="342"/>
    <x v="2"/>
    <x v="3"/>
    <x v="42"/>
    <x v="0"/>
    <x v="7"/>
    <n v="0"/>
    <x v="2"/>
  </r>
  <r>
    <x v="30"/>
    <x v="1"/>
    <x v="342"/>
    <x v="2"/>
    <x v="3"/>
    <x v="42"/>
    <x v="0"/>
    <x v="8"/>
    <n v="0"/>
    <x v="2"/>
  </r>
  <r>
    <x v="30"/>
    <x v="1"/>
    <x v="342"/>
    <x v="2"/>
    <x v="3"/>
    <x v="42"/>
    <x v="0"/>
    <x v="9"/>
    <n v="0"/>
    <x v="2"/>
  </r>
  <r>
    <x v="30"/>
    <x v="1"/>
    <x v="342"/>
    <x v="2"/>
    <x v="3"/>
    <x v="42"/>
    <x v="0"/>
    <x v="10"/>
    <n v="0"/>
    <x v="2"/>
  </r>
  <r>
    <x v="30"/>
    <x v="1"/>
    <x v="342"/>
    <x v="2"/>
    <x v="3"/>
    <x v="42"/>
    <x v="0"/>
    <x v="12"/>
    <n v="0"/>
    <x v="2"/>
  </r>
  <r>
    <x v="30"/>
    <x v="1"/>
    <x v="343"/>
    <x v="0"/>
    <x v="1"/>
    <x v="44"/>
    <x v="0"/>
    <x v="0"/>
    <n v="0"/>
    <x v="2"/>
  </r>
  <r>
    <x v="30"/>
    <x v="1"/>
    <x v="343"/>
    <x v="0"/>
    <x v="1"/>
    <x v="44"/>
    <x v="0"/>
    <x v="1"/>
    <n v="0"/>
    <x v="2"/>
  </r>
  <r>
    <x v="30"/>
    <x v="1"/>
    <x v="343"/>
    <x v="0"/>
    <x v="1"/>
    <x v="44"/>
    <x v="0"/>
    <x v="2"/>
    <n v="0"/>
    <x v="2"/>
  </r>
  <r>
    <x v="30"/>
    <x v="1"/>
    <x v="343"/>
    <x v="0"/>
    <x v="1"/>
    <x v="44"/>
    <x v="0"/>
    <x v="3"/>
    <n v="0"/>
    <x v="2"/>
  </r>
  <r>
    <x v="30"/>
    <x v="1"/>
    <x v="343"/>
    <x v="0"/>
    <x v="1"/>
    <x v="44"/>
    <x v="0"/>
    <x v="4"/>
    <n v="0"/>
    <x v="2"/>
  </r>
  <r>
    <x v="30"/>
    <x v="1"/>
    <x v="343"/>
    <x v="0"/>
    <x v="1"/>
    <x v="44"/>
    <x v="0"/>
    <x v="5"/>
    <n v="0"/>
    <x v="2"/>
  </r>
  <r>
    <x v="30"/>
    <x v="1"/>
    <x v="343"/>
    <x v="0"/>
    <x v="1"/>
    <x v="44"/>
    <x v="0"/>
    <x v="6"/>
    <n v="0"/>
    <x v="2"/>
  </r>
  <r>
    <x v="30"/>
    <x v="1"/>
    <x v="343"/>
    <x v="0"/>
    <x v="1"/>
    <x v="44"/>
    <x v="0"/>
    <x v="7"/>
    <n v="0"/>
    <x v="2"/>
  </r>
  <r>
    <x v="30"/>
    <x v="1"/>
    <x v="343"/>
    <x v="0"/>
    <x v="1"/>
    <x v="44"/>
    <x v="0"/>
    <x v="8"/>
    <n v="0"/>
    <x v="2"/>
  </r>
  <r>
    <x v="30"/>
    <x v="1"/>
    <x v="343"/>
    <x v="0"/>
    <x v="1"/>
    <x v="44"/>
    <x v="0"/>
    <x v="9"/>
    <n v="0"/>
    <x v="2"/>
  </r>
  <r>
    <x v="30"/>
    <x v="1"/>
    <x v="343"/>
    <x v="0"/>
    <x v="1"/>
    <x v="44"/>
    <x v="0"/>
    <x v="10"/>
    <n v="0"/>
    <x v="2"/>
  </r>
  <r>
    <x v="30"/>
    <x v="1"/>
    <x v="343"/>
    <x v="0"/>
    <x v="1"/>
    <x v="44"/>
    <x v="0"/>
    <x v="12"/>
    <n v="0"/>
    <x v="2"/>
  </r>
  <r>
    <x v="30"/>
    <x v="1"/>
    <x v="344"/>
    <x v="2"/>
    <x v="3"/>
    <x v="43"/>
    <x v="0"/>
    <x v="0"/>
    <n v="0"/>
    <x v="2"/>
  </r>
  <r>
    <x v="30"/>
    <x v="1"/>
    <x v="344"/>
    <x v="2"/>
    <x v="3"/>
    <x v="43"/>
    <x v="0"/>
    <x v="1"/>
    <n v="0"/>
    <x v="2"/>
  </r>
  <r>
    <x v="30"/>
    <x v="1"/>
    <x v="344"/>
    <x v="2"/>
    <x v="3"/>
    <x v="43"/>
    <x v="0"/>
    <x v="2"/>
    <n v="0"/>
    <x v="2"/>
  </r>
  <r>
    <x v="30"/>
    <x v="1"/>
    <x v="344"/>
    <x v="2"/>
    <x v="3"/>
    <x v="43"/>
    <x v="0"/>
    <x v="3"/>
    <n v="0"/>
    <x v="2"/>
  </r>
  <r>
    <x v="30"/>
    <x v="1"/>
    <x v="344"/>
    <x v="2"/>
    <x v="3"/>
    <x v="43"/>
    <x v="0"/>
    <x v="4"/>
    <n v="0"/>
    <x v="2"/>
  </r>
  <r>
    <x v="30"/>
    <x v="1"/>
    <x v="344"/>
    <x v="2"/>
    <x v="3"/>
    <x v="43"/>
    <x v="0"/>
    <x v="5"/>
    <n v="0"/>
    <x v="2"/>
  </r>
  <r>
    <x v="30"/>
    <x v="1"/>
    <x v="344"/>
    <x v="2"/>
    <x v="3"/>
    <x v="43"/>
    <x v="0"/>
    <x v="6"/>
    <n v="0"/>
    <x v="2"/>
  </r>
  <r>
    <x v="30"/>
    <x v="1"/>
    <x v="344"/>
    <x v="2"/>
    <x v="3"/>
    <x v="43"/>
    <x v="0"/>
    <x v="7"/>
    <n v="0"/>
    <x v="2"/>
  </r>
  <r>
    <x v="30"/>
    <x v="1"/>
    <x v="344"/>
    <x v="2"/>
    <x v="3"/>
    <x v="43"/>
    <x v="0"/>
    <x v="8"/>
    <n v="0"/>
    <x v="2"/>
  </r>
  <r>
    <x v="30"/>
    <x v="1"/>
    <x v="344"/>
    <x v="2"/>
    <x v="3"/>
    <x v="43"/>
    <x v="0"/>
    <x v="9"/>
    <n v="0"/>
    <x v="2"/>
  </r>
  <r>
    <x v="30"/>
    <x v="1"/>
    <x v="344"/>
    <x v="2"/>
    <x v="3"/>
    <x v="43"/>
    <x v="0"/>
    <x v="10"/>
    <n v="0"/>
    <x v="2"/>
  </r>
  <r>
    <x v="30"/>
    <x v="1"/>
    <x v="344"/>
    <x v="2"/>
    <x v="3"/>
    <x v="43"/>
    <x v="0"/>
    <x v="12"/>
    <n v="0"/>
    <x v="2"/>
  </r>
  <r>
    <x v="30"/>
    <x v="0"/>
    <x v="345"/>
    <x v="2"/>
    <x v="3"/>
    <x v="4"/>
    <x v="0"/>
    <x v="0"/>
    <n v="0"/>
    <x v="2"/>
  </r>
  <r>
    <x v="30"/>
    <x v="0"/>
    <x v="345"/>
    <x v="2"/>
    <x v="3"/>
    <x v="4"/>
    <x v="0"/>
    <x v="1"/>
    <n v="0"/>
    <x v="2"/>
  </r>
  <r>
    <x v="30"/>
    <x v="0"/>
    <x v="345"/>
    <x v="2"/>
    <x v="3"/>
    <x v="4"/>
    <x v="0"/>
    <x v="2"/>
    <n v="0"/>
    <x v="2"/>
  </r>
  <r>
    <x v="30"/>
    <x v="0"/>
    <x v="345"/>
    <x v="2"/>
    <x v="3"/>
    <x v="4"/>
    <x v="0"/>
    <x v="3"/>
    <n v="0"/>
    <x v="2"/>
  </r>
  <r>
    <x v="30"/>
    <x v="0"/>
    <x v="345"/>
    <x v="2"/>
    <x v="3"/>
    <x v="4"/>
    <x v="0"/>
    <x v="4"/>
    <n v="0"/>
    <x v="2"/>
  </r>
  <r>
    <x v="30"/>
    <x v="0"/>
    <x v="345"/>
    <x v="2"/>
    <x v="3"/>
    <x v="4"/>
    <x v="0"/>
    <x v="5"/>
    <n v="0"/>
    <x v="2"/>
  </r>
  <r>
    <x v="30"/>
    <x v="0"/>
    <x v="345"/>
    <x v="2"/>
    <x v="3"/>
    <x v="4"/>
    <x v="0"/>
    <x v="6"/>
    <n v="0"/>
    <x v="2"/>
  </r>
  <r>
    <x v="30"/>
    <x v="0"/>
    <x v="345"/>
    <x v="2"/>
    <x v="3"/>
    <x v="4"/>
    <x v="0"/>
    <x v="7"/>
    <n v="0"/>
    <x v="2"/>
  </r>
  <r>
    <x v="30"/>
    <x v="0"/>
    <x v="345"/>
    <x v="2"/>
    <x v="3"/>
    <x v="4"/>
    <x v="0"/>
    <x v="8"/>
    <n v="535"/>
    <x v="2"/>
  </r>
  <r>
    <x v="30"/>
    <x v="0"/>
    <x v="345"/>
    <x v="2"/>
    <x v="3"/>
    <x v="4"/>
    <x v="0"/>
    <x v="9"/>
    <n v="1200"/>
    <x v="2"/>
  </r>
  <r>
    <x v="30"/>
    <x v="0"/>
    <x v="345"/>
    <x v="2"/>
    <x v="3"/>
    <x v="4"/>
    <x v="0"/>
    <x v="10"/>
    <n v="1200"/>
    <x v="2"/>
  </r>
  <r>
    <x v="30"/>
    <x v="0"/>
    <x v="345"/>
    <x v="2"/>
    <x v="3"/>
    <x v="4"/>
    <x v="0"/>
    <x v="12"/>
    <n v="1200"/>
    <x v="2"/>
  </r>
  <r>
    <x v="30"/>
    <x v="0"/>
    <x v="179"/>
    <x v="2"/>
    <x v="7"/>
    <x v="25"/>
    <x v="0"/>
    <x v="0"/>
    <n v="66.86"/>
    <x v="2"/>
  </r>
  <r>
    <x v="30"/>
    <x v="0"/>
    <x v="179"/>
    <x v="2"/>
    <x v="7"/>
    <x v="25"/>
    <x v="0"/>
    <x v="1"/>
    <n v="248.68"/>
    <x v="2"/>
  </r>
  <r>
    <x v="30"/>
    <x v="0"/>
    <x v="179"/>
    <x v="2"/>
    <x v="7"/>
    <x v="25"/>
    <x v="0"/>
    <x v="2"/>
    <n v="13.2"/>
    <x v="2"/>
  </r>
  <r>
    <x v="30"/>
    <x v="0"/>
    <x v="179"/>
    <x v="2"/>
    <x v="7"/>
    <x v="25"/>
    <x v="0"/>
    <x v="3"/>
    <n v="16.62"/>
    <x v="2"/>
  </r>
  <r>
    <x v="30"/>
    <x v="0"/>
    <x v="179"/>
    <x v="2"/>
    <x v="7"/>
    <x v="25"/>
    <x v="0"/>
    <x v="4"/>
    <n v="17.09"/>
    <x v="2"/>
  </r>
  <r>
    <x v="30"/>
    <x v="0"/>
    <x v="179"/>
    <x v="2"/>
    <x v="7"/>
    <x v="25"/>
    <x v="0"/>
    <x v="5"/>
    <n v="774.1"/>
    <x v="2"/>
  </r>
  <r>
    <x v="30"/>
    <x v="0"/>
    <x v="179"/>
    <x v="2"/>
    <x v="7"/>
    <x v="25"/>
    <x v="0"/>
    <x v="6"/>
    <n v="908"/>
    <x v="2"/>
  </r>
  <r>
    <x v="30"/>
    <x v="0"/>
    <x v="179"/>
    <x v="2"/>
    <x v="7"/>
    <x v="25"/>
    <x v="0"/>
    <x v="7"/>
    <n v="37.1"/>
    <x v="2"/>
  </r>
  <r>
    <x v="30"/>
    <x v="0"/>
    <x v="179"/>
    <x v="2"/>
    <x v="7"/>
    <x v="25"/>
    <x v="0"/>
    <x v="8"/>
    <n v="437"/>
    <x v="2"/>
  </r>
  <r>
    <x v="30"/>
    <x v="0"/>
    <x v="179"/>
    <x v="2"/>
    <x v="7"/>
    <x v="25"/>
    <x v="0"/>
    <x v="9"/>
    <n v="63"/>
    <x v="2"/>
  </r>
  <r>
    <x v="30"/>
    <x v="0"/>
    <x v="179"/>
    <x v="2"/>
    <x v="7"/>
    <x v="25"/>
    <x v="0"/>
    <x v="10"/>
    <n v="63"/>
    <x v="2"/>
  </r>
  <r>
    <x v="30"/>
    <x v="0"/>
    <x v="179"/>
    <x v="2"/>
    <x v="7"/>
    <x v="25"/>
    <x v="0"/>
    <x v="12"/>
    <n v="63"/>
    <x v="2"/>
  </r>
  <r>
    <x v="30"/>
    <x v="0"/>
    <x v="346"/>
    <x v="2"/>
    <x v="3"/>
    <x v="19"/>
    <x v="0"/>
    <x v="0"/>
    <n v="1114.71"/>
    <x v="2"/>
  </r>
  <r>
    <x v="30"/>
    <x v="0"/>
    <x v="346"/>
    <x v="2"/>
    <x v="3"/>
    <x v="19"/>
    <x v="0"/>
    <x v="1"/>
    <n v="1114.71"/>
    <x v="2"/>
  </r>
  <r>
    <x v="30"/>
    <x v="0"/>
    <x v="346"/>
    <x v="2"/>
    <x v="3"/>
    <x v="19"/>
    <x v="0"/>
    <x v="2"/>
    <n v="1365.52"/>
    <x v="2"/>
  </r>
  <r>
    <x v="30"/>
    <x v="0"/>
    <x v="346"/>
    <x v="2"/>
    <x v="3"/>
    <x v="19"/>
    <x v="0"/>
    <x v="3"/>
    <n v="1114.708163265306"/>
    <x v="2"/>
  </r>
  <r>
    <x v="30"/>
    <x v="0"/>
    <x v="346"/>
    <x v="2"/>
    <x v="3"/>
    <x v="19"/>
    <x v="0"/>
    <x v="4"/>
    <n v="1185.24"/>
    <x v="2"/>
  </r>
  <r>
    <x v="30"/>
    <x v="0"/>
    <x v="346"/>
    <x v="2"/>
    <x v="3"/>
    <x v="19"/>
    <x v="0"/>
    <x v="5"/>
    <n v="1085.83"/>
    <x v="2"/>
  </r>
  <r>
    <x v="30"/>
    <x v="0"/>
    <x v="346"/>
    <x v="2"/>
    <x v="3"/>
    <x v="19"/>
    <x v="0"/>
    <x v="6"/>
    <n v="1042"/>
    <x v="2"/>
  </r>
  <r>
    <x v="30"/>
    <x v="0"/>
    <x v="346"/>
    <x v="2"/>
    <x v="3"/>
    <x v="19"/>
    <x v="0"/>
    <x v="7"/>
    <n v="1090.74"/>
    <x v="2"/>
  </r>
  <r>
    <x v="30"/>
    <x v="0"/>
    <x v="346"/>
    <x v="2"/>
    <x v="3"/>
    <x v="19"/>
    <x v="0"/>
    <x v="8"/>
    <n v="1108"/>
    <x v="2"/>
  </r>
  <r>
    <x v="30"/>
    <x v="0"/>
    <x v="346"/>
    <x v="2"/>
    <x v="3"/>
    <x v="19"/>
    <x v="0"/>
    <x v="9"/>
    <n v="1032"/>
    <x v="2"/>
  </r>
  <r>
    <x v="30"/>
    <x v="0"/>
    <x v="346"/>
    <x v="2"/>
    <x v="3"/>
    <x v="19"/>
    <x v="0"/>
    <x v="10"/>
    <n v="1032"/>
    <x v="2"/>
  </r>
  <r>
    <x v="30"/>
    <x v="0"/>
    <x v="346"/>
    <x v="2"/>
    <x v="3"/>
    <x v="19"/>
    <x v="0"/>
    <x v="12"/>
    <n v="1032"/>
    <x v="2"/>
  </r>
  <r>
    <x v="30"/>
    <x v="0"/>
    <x v="347"/>
    <x v="2"/>
    <x v="3"/>
    <x v="47"/>
    <x v="0"/>
    <x v="0"/>
    <n v="0"/>
    <x v="2"/>
  </r>
  <r>
    <x v="30"/>
    <x v="0"/>
    <x v="347"/>
    <x v="2"/>
    <x v="3"/>
    <x v="47"/>
    <x v="0"/>
    <x v="1"/>
    <n v="0"/>
    <x v="2"/>
  </r>
  <r>
    <x v="30"/>
    <x v="0"/>
    <x v="347"/>
    <x v="2"/>
    <x v="3"/>
    <x v="47"/>
    <x v="0"/>
    <x v="2"/>
    <n v="0"/>
    <x v="2"/>
  </r>
  <r>
    <x v="30"/>
    <x v="0"/>
    <x v="347"/>
    <x v="2"/>
    <x v="3"/>
    <x v="47"/>
    <x v="0"/>
    <x v="3"/>
    <n v="0"/>
    <x v="2"/>
  </r>
  <r>
    <x v="30"/>
    <x v="0"/>
    <x v="347"/>
    <x v="2"/>
    <x v="3"/>
    <x v="47"/>
    <x v="0"/>
    <x v="4"/>
    <n v="0"/>
    <x v="2"/>
  </r>
  <r>
    <x v="30"/>
    <x v="0"/>
    <x v="347"/>
    <x v="2"/>
    <x v="3"/>
    <x v="47"/>
    <x v="0"/>
    <x v="5"/>
    <n v="0"/>
    <x v="2"/>
  </r>
  <r>
    <x v="30"/>
    <x v="0"/>
    <x v="347"/>
    <x v="2"/>
    <x v="3"/>
    <x v="47"/>
    <x v="0"/>
    <x v="6"/>
    <n v="0"/>
    <x v="2"/>
  </r>
  <r>
    <x v="30"/>
    <x v="0"/>
    <x v="347"/>
    <x v="2"/>
    <x v="3"/>
    <x v="47"/>
    <x v="0"/>
    <x v="7"/>
    <n v="0"/>
    <x v="2"/>
  </r>
  <r>
    <x v="30"/>
    <x v="0"/>
    <x v="347"/>
    <x v="2"/>
    <x v="3"/>
    <x v="47"/>
    <x v="0"/>
    <x v="8"/>
    <n v="0"/>
    <x v="2"/>
  </r>
  <r>
    <x v="30"/>
    <x v="0"/>
    <x v="347"/>
    <x v="2"/>
    <x v="3"/>
    <x v="47"/>
    <x v="0"/>
    <x v="9"/>
    <n v="0"/>
    <x v="2"/>
  </r>
  <r>
    <x v="30"/>
    <x v="0"/>
    <x v="347"/>
    <x v="2"/>
    <x v="3"/>
    <x v="47"/>
    <x v="0"/>
    <x v="10"/>
    <n v="0"/>
    <x v="2"/>
  </r>
  <r>
    <x v="30"/>
    <x v="0"/>
    <x v="347"/>
    <x v="2"/>
    <x v="3"/>
    <x v="47"/>
    <x v="0"/>
    <x v="12"/>
    <n v="0"/>
    <x v="2"/>
  </r>
  <r>
    <x v="30"/>
    <x v="1"/>
    <x v="348"/>
    <x v="2"/>
    <x v="3"/>
    <x v="45"/>
    <x v="0"/>
    <x v="0"/>
    <n v="959.98"/>
    <x v="2"/>
  </r>
  <r>
    <x v="30"/>
    <x v="1"/>
    <x v="348"/>
    <x v="2"/>
    <x v="3"/>
    <x v="45"/>
    <x v="0"/>
    <x v="1"/>
    <n v="747.65"/>
    <x v="2"/>
  </r>
  <r>
    <x v="30"/>
    <x v="1"/>
    <x v="348"/>
    <x v="2"/>
    <x v="3"/>
    <x v="45"/>
    <x v="0"/>
    <x v="2"/>
    <n v="871.88"/>
    <x v="2"/>
  </r>
  <r>
    <x v="30"/>
    <x v="1"/>
    <x v="348"/>
    <x v="2"/>
    <x v="3"/>
    <x v="45"/>
    <x v="0"/>
    <x v="3"/>
    <n v="835.68"/>
    <x v="2"/>
  </r>
  <r>
    <x v="30"/>
    <x v="1"/>
    <x v="348"/>
    <x v="2"/>
    <x v="3"/>
    <x v="45"/>
    <x v="0"/>
    <x v="4"/>
    <n v="2697.45"/>
    <x v="2"/>
  </r>
  <r>
    <x v="30"/>
    <x v="1"/>
    <x v="348"/>
    <x v="2"/>
    <x v="3"/>
    <x v="45"/>
    <x v="0"/>
    <x v="5"/>
    <n v="708.7"/>
    <x v="2"/>
  </r>
  <r>
    <x v="30"/>
    <x v="1"/>
    <x v="348"/>
    <x v="2"/>
    <x v="3"/>
    <x v="45"/>
    <x v="0"/>
    <x v="6"/>
    <n v="734"/>
    <x v="2"/>
  </r>
  <r>
    <x v="30"/>
    <x v="1"/>
    <x v="348"/>
    <x v="2"/>
    <x v="3"/>
    <x v="45"/>
    <x v="0"/>
    <x v="7"/>
    <n v="3200.86"/>
    <x v="2"/>
  </r>
  <r>
    <x v="30"/>
    <x v="1"/>
    <x v="348"/>
    <x v="2"/>
    <x v="3"/>
    <x v="45"/>
    <x v="0"/>
    <x v="8"/>
    <n v="11336"/>
    <x v="2"/>
  </r>
  <r>
    <x v="30"/>
    <x v="1"/>
    <x v="348"/>
    <x v="2"/>
    <x v="3"/>
    <x v="45"/>
    <x v="0"/>
    <x v="9"/>
    <n v="2066"/>
    <x v="2"/>
  </r>
  <r>
    <x v="30"/>
    <x v="1"/>
    <x v="348"/>
    <x v="2"/>
    <x v="3"/>
    <x v="45"/>
    <x v="0"/>
    <x v="10"/>
    <n v="860"/>
    <x v="2"/>
  </r>
  <r>
    <x v="30"/>
    <x v="1"/>
    <x v="348"/>
    <x v="2"/>
    <x v="3"/>
    <x v="45"/>
    <x v="0"/>
    <x v="12"/>
    <n v="860"/>
    <x v="2"/>
  </r>
  <r>
    <x v="30"/>
    <x v="1"/>
    <x v="349"/>
    <x v="2"/>
    <x v="3"/>
    <x v="48"/>
    <x v="0"/>
    <x v="0"/>
    <n v="0"/>
    <x v="2"/>
  </r>
  <r>
    <x v="30"/>
    <x v="1"/>
    <x v="349"/>
    <x v="2"/>
    <x v="3"/>
    <x v="48"/>
    <x v="0"/>
    <x v="1"/>
    <n v="0"/>
    <x v="2"/>
  </r>
  <r>
    <x v="30"/>
    <x v="1"/>
    <x v="349"/>
    <x v="2"/>
    <x v="3"/>
    <x v="48"/>
    <x v="0"/>
    <x v="2"/>
    <n v="0"/>
    <x v="2"/>
  </r>
  <r>
    <x v="30"/>
    <x v="1"/>
    <x v="349"/>
    <x v="2"/>
    <x v="3"/>
    <x v="48"/>
    <x v="0"/>
    <x v="3"/>
    <n v="0"/>
    <x v="2"/>
  </r>
  <r>
    <x v="30"/>
    <x v="1"/>
    <x v="349"/>
    <x v="2"/>
    <x v="3"/>
    <x v="48"/>
    <x v="0"/>
    <x v="4"/>
    <n v="0"/>
    <x v="2"/>
  </r>
  <r>
    <x v="30"/>
    <x v="1"/>
    <x v="349"/>
    <x v="2"/>
    <x v="3"/>
    <x v="48"/>
    <x v="0"/>
    <x v="5"/>
    <n v="0"/>
    <x v="2"/>
  </r>
  <r>
    <x v="30"/>
    <x v="1"/>
    <x v="349"/>
    <x v="2"/>
    <x v="3"/>
    <x v="48"/>
    <x v="0"/>
    <x v="6"/>
    <n v="0"/>
    <x v="2"/>
  </r>
  <r>
    <x v="30"/>
    <x v="1"/>
    <x v="349"/>
    <x v="2"/>
    <x v="3"/>
    <x v="48"/>
    <x v="0"/>
    <x v="7"/>
    <n v="0"/>
    <x v="2"/>
  </r>
  <r>
    <x v="30"/>
    <x v="1"/>
    <x v="349"/>
    <x v="2"/>
    <x v="3"/>
    <x v="48"/>
    <x v="0"/>
    <x v="8"/>
    <n v="0"/>
    <x v="2"/>
  </r>
  <r>
    <x v="30"/>
    <x v="1"/>
    <x v="349"/>
    <x v="2"/>
    <x v="3"/>
    <x v="48"/>
    <x v="0"/>
    <x v="9"/>
    <n v="0"/>
    <x v="2"/>
  </r>
  <r>
    <x v="30"/>
    <x v="1"/>
    <x v="349"/>
    <x v="2"/>
    <x v="3"/>
    <x v="48"/>
    <x v="0"/>
    <x v="10"/>
    <n v="0"/>
    <x v="2"/>
  </r>
  <r>
    <x v="30"/>
    <x v="1"/>
    <x v="349"/>
    <x v="2"/>
    <x v="3"/>
    <x v="48"/>
    <x v="0"/>
    <x v="12"/>
    <n v="0"/>
    <x v="2"/>
  </r>
  <r>
    <x v="30"/>
    <x v="1"/>
    <x v="391"/>
    <x v="0"/>
    <x v="3"/>
    <x v="11"/>
    <x v="0"/>
    <x v="0"/>
    <n v="0"/>
    <x v="2"/>
  </r>
  <r>
    <x v="30"/>
    <x v="1"/>
    <x v="391"/>
    <x v="0"/>
    <x v="3"/>
    <x v="11"/>
    <x v="0"/>
    <x v="1"/>
    <n v="0"/>
    <x v="2"/>
  </r>
  <r>
    <x v="30"/>
    <x v="1"/>
    <x v="391"/>
    <x v="0"/>
    <x v="3"/>
    <x v="11"/>
    <x v="0"/>
    <x v="2"/>
    <n v="0"/>
    <x v="2"/>
  </r>
  <r>
    <x v="30"/>
    <x v="1"/>
    <x v="391"/>
    <x v="0"/>
    <x v="3"/>
    <x v="11"/>
    <x v="0"/>
    <x v="3"/>
    <n v="1614.26"/>
    <x v="2"/>
  </r>
  <r>
    <x v="30"/>
    <x v="1"/>
    <x v="391"/>
    <x v="0"/>
    <x v="3"/>
    <x v="11"/>
    <x v="0"/>
    <x v="4"/>
    <n v="0"/>
    <x v="2"/>
  </r>
  <r>
    <x v="30"/>
    <x v="1"/>
    <x v="391"/>
    <x v="0"/>
    <x v="3"/>
    <x v="11"/>
    <x v="0"/>
    <x v="5"/>
    <n v="0"/>
    <x v="2"/>
  </r>
  <r>
    <x v="30"/>
    <x v="1"/>
    <x v="391"/>
    <x v="0"/>
    <x v="3"/>
    <x v="11"/>
    <x v="0"/>
    <x v="6"/>
    <n v="0"/>
    <x v="2"/>
  </r>
  <r>
    <x v="30"/>
    <x v="1"/>
    <x v="391"/>
    <x v="0"/>
    <x v="3"/>
    <x v="11"/>
    <x v="0"/>
    <x v="7"/>
    <n v="0"/>
    <x v="2"/>
  </r>
  <r>
    <x v="30"/>
    <x v="1"/>
    <x v="391"/>
    <x v="0"/>
    <x v="3"/>
    <x v="11"/>
    <x v="0"/>
    <x v="8"/>
    <n v="0"/>
    <x v="2"/>
  </r>
  <r>
    <x v="30"/>
    <x v="1"/>
    <x v="391"/>
    <x v="0"/>
    <x v="3"/>
    <x v="11"/>
    <x v="0"/>
    <x v="9"/>
    <n v="0"/>
    <x v="2"/>
  </r>
  <r>
    <x v="30"/>
    <x v="1"/>
    <x v="391"/>
    <x v="0"/>
    <x v="3"/>
    <x v="11"/>
    <x v="0"/>
    <x v="10"/>
    <n v="0"/>
    <x v="2"/>
  </r>
  <r>
    <x v="30"/>
    <x v="1"/>
    <x v="391"/>
    <x v="0"/>
    <x v="3"/>
    <x v="11"/>
    <x v="0"/>
    <x v="12"/>
    <n v="0"/>
    <x v="2"/>
  </r>
  <r>
    <x v="30"/>
    <x v="1"/>
    <x v="392"/>
    <x v="0"/>
    <x v="9"/>
    <x v="35"/>
    <x v="0"/>
    <x v="0"/>
    <n v="519.1"/>
    <x v="2"/>
  </r>
  <r>
    <x v="30"/>
    <x v="1"/>
    <x v="392"/>
    <x v="0"/>
    <x v="9"/>
    <x v="35"/>
    <x v="0"/>
    <x v="1"/>
    <n v="733.06"/>
    <x v="2"/>
  </r>
  <r>
    <x v="30"/>
    <x v="1"/>
    <x v="392"/>
    <x v="0"/>
    <x v="9"/>
    <x v="35"/>
    <x v="0"/>
    <x v="2"/>
    <n v="449"/>
    <x v="2"/>
  </r>
  <r>
    <x v="30"/>
    <x v="1"/>
    <x v="392"/>
    <x v="0"/>
    <x v="9"/>
    <x v="35"/>
    <x v="0"/>
    <x v="3"/>
    <n v="366.53"/>
    <x v="2"/>
  </r>
  <r>
    <x v="30"/>
    <x v="1"/>
    <x v="392"/>
    <x v="0"/>
    <x v="9"/>
    <x v="35"/>
    <x v="0"/>
    <x v="4"/>
    <n v="366.55"/>
    <x v="2"/>
  </r>
  <r>
    <x v="30"/>
    <x v="1"/>
    <x v="392"/>
    <x v="0"/>
    <x v="9"/>
    <x v="35"/>
    <x v="0"/>
    <x v="5"/>
    <n v="766.77"/>
    <x v="2"/>
  </r>
  <r>
    <x v="30"/>
    <x v="1"/>
    <x v="392"/>
    <x v="0"/>
    <x v="9"/>
    <x v="35"/>
    <x v="0"/>
    <x v="6"/>
    <n v="0"/>
    <x v="2"/>
  </r>
  <r>
    <x v="30"/>
    <x v="1"/>
    <x v="392"/>
    <x v="0"/>
    <x v="9"/>
    <x v="35"/>
    <x v="0"/>
    <x v="7"/>
    <n v="364.9"/>
    <x v="2"/>
  </r>
  <r>
    <x v="30"/>
    <x v="1"/>
    <x v="392"/>
    <x v="0"/>
    <x v="9"/>
    <x v="35"/>
    <x v="0"/>
    <x v="8"/>
    <n v="362"/>
    <x v="2"/>
  </r>
  <r>
    <x v="30"/>
    <x v="1"/>
    <x v="392"/>
    <x v="0"/>
    <x v="9"/>
    <x v="35"/>
    <x v="0"/>
    <x v="9"/>
    <n v="0"/>
    <x v="2"/>
  </r>
  <r>
    <x v="30"/>
    <x v="1"/>
    <x v="392"/>
    <x v="0"/>
    <x v="9"/>
    <x v="35"/>
    <x v="0"/>
    <x v="10"/>
    <n v="0"/>
    <x v="2"/>
  </r>
  <r>
    <x v="30"/>
    <x v="1"/>
    <x v="392"/>
    <x v="0"/>
    <x v="9"/>
    <x v="35"/>
    <x v="0"/>
    <x v="12"/>
    <n v="0"/>
    <x v="2"/>
  </r>
  <r>
    <x v="30"/>
    <x v="1"/>
    <x v="393"/>
    <x v="0"/>
    <x v="9"/>
    <x v="35"/>
    <x v="0"/>
    <x v="0"/>
    <n v="1263.2163265306122"/>
    <x v="2"/>
  </r>
  <r>
    <x v="30"/>
    <x v="1"/>
    <x v="393"/>
    <x v="0"/>
    <x v="9"/>
    <x v="35"/>
    <x v="0"/>
    <x v="1"/>
    <n v="329.77"/>
    <x v="2"/>
  </r>
  <r>
    <x v="30"/>
    <x v="1"/>
    <x v="393"/>
    <x v="0"/>
    <x v="9"/>
    <x v="35"/>
    <x v="0"/>
    <x v="2"/>
    <n v="77.510000000000005"/>
    <x v="2"/>
  </r>
  <r>
    <x v="30"/>
    <x v="1"/>
    <x v="393"/>
    <x v="0"/>
    <x v="9"/>
    <x v="35"/>
    <x v="0"/>
    <x v="3"/>
    <n v="67.3"/>
    <x v="2"/>
  </r>
  <r>
    <x v="30"/>
    <x v="1"/>
    <x v="393"/>
    <x v="0"/>
    <x v="9"/>
    <x v="35"/>
    <x v="0"/>
    <x v="4"/>
    <n v="128.16"/>
    <x v="2"/>
  </r>
  <r>
    <x v="30"/>
    <x v="1"/>
    <x v="393"/>
    <x v="0"/>
    <x v="9"/>
    <x v="35"/>
    <x v="0"/>
    <x v="5"/>
    <n v="49.39"/>
    <x v="2"/>
  </r>
  <r>
    <x v="30"/>
    <x v="1"/>
    <x v="393"/>
    <x v="0"/>
    <x v="9"/>
    <x v="35"/>
    <x v="0"/>
    <x v="6"/>
    <n v="152"/>
    <x v="2"/>
  </r>
  <r>
    <x v="30"/>
    <x v="1"/>
    <x v="393"/>
    <x v="0"/>
    <x v="9"/>
    <x v="35"/>
    <x v="0"/>
    <x v="7"/>
    <n v="750.73"/>
    <x v="2"/>
  </r>
  <r>
    <x v="30"/>
    <x v="1"/>
    <x v="393"/>
    <x v="0"/>
    <x v="9"/>
    <x v="35"/>
    <x v="0"/>
    <x v="8"/>
    <n v="864"/>
    <x v="2"/>
  </r>
  <r>
    <x v="30"/>
    <x v="1"/>
    <x v="393"/>
    <x v="0"/>
    <x v="9"/>
    <x v="35"/>
    <x v="0"/>
    <x v="9"/>
    <n v="149"/>
    <x v="2"/>
  </r>
  <r>
    <x v="30"/>
    <x v="1"/>
    <x v="393"/>
    <x v="0"/>
    <x v="9"/>
    <x v="35"/>
    <x v="0"/>
    <x v="10"/>
    <n v="149"/>
    <x v="2"/>
  </r>
  <r>
    <x v="30"/>
    <x v="1"/>
    <x v="393"/>
    <x v="0"/>
    <x v="9"/>
    <x v="35"/>
    <x v="0"/>
    <x v="12"/>
    <n v="149"/>
    <x v="2"/>
  </r>
  <r>
    <x v="30"/>
    <x v="1"/>
    <x v="394"/>
    <x v="0"/>
    <x v="9"/>
    <x v="35"/>
    <x v="0"/>
    <x v="0"/>
    <n v="407.50204081632648"/>
    <x v="2"/>
  </r>
  <r>
    <x v="30"/>
    <x v="1"/>
    <x v="394"/>
    <x v="0"/>
    <x v="9"/>
    <x v="35"/>
    <x v="0"/>
    <x v="1"/>
    <n v="54.67"/>
    <x v="2"/>
  </r>
  <r>
    <x v="30"/>
    <x v="1"/>
    <x v="394"/>
    <x v="0"/>
    <x v="9"/>
    <x v="35"/>
    <x v="0"/>
    <x v="2"/>
    <n v="3111.62"/>
    <x v="2"/>
  </r>
  <r>
    <x v="30"/>
    <x v="1"/>
    <x v="394"/>
    <x v="0"/>
    <x v="9"/>
    <x v="35"/>
    <x v="0"/>
    <x v="3"/>
    <n v="2540.1"/>
    <x v="2"/>
  </r>
  <r>
    <x v="30"/>
    <x v="1"/>
    <x v="394"/>
    <x v="0"/>
    <x v="9"/>
    <x v="35"/>
    <x v="0"/>
    <x v="4"/>
    <n v="2540.1"/>
    <x v="2"/>
  </r>
  <r>
    <x v="30"/>
    <x v="1"/>
    <x v="394"/>
    <x v="0"/>
    <x v="9"/>
    <x v="35"/>
    <x v="0"/>
    <x v="5"/>
    <n v="2447.69"/>
    <x v="2"/>
  </r>
  <r>
    <x v="30"/>
    <x v="1"/>
    <x v="394"/>
    <x v="0"/>
    <x v="9"/>
    <x v="35"/>
    <x v="0"/>
    <x v="6"/>
    <n v="2457"/>
    <x v="2"/>
  </r>
  <r>
    <x v="30"/>
    <x v="1"/>
    <x v="394"/>
    <x v="0"/>
    <x v="9"/>
    <x v="35"/>
    <x v="0"/>
    <x v="7"/>
    <n v="2478.54"/>
    <x v="2"/>
  </r>
  <r>
    <x v="30"/>
    <x v="1"/>
    <x v="394"/>
    <x v="0"/>
    <x v="9"/>
    <x v="35"/>
    <x v="0"/>
    <x v="8"/>
    <n v="2438"/>
    <x v="2"/>
  </r>
  <r>
    <x v="30"/>
    <x v="1"/>
    <x v="394"/>
    <x v="0"/>
    <x v="9"/>
    <x v="35"/>
    <x v="0"/>
    <x v="9"/>
    <n v="0"/>
    <x v="2"/>
  </r>
  <r>
    <x v="30"/>
    <x v="1"/>
    <x v="394"/>
    <x v="0"/>
    <x v="9"/>
    <x v="35"/>
    <x v="0"/>
    <x v="10"/>
    <n v="0"/>
    <x v="2"/>
  </r>
  <r>
    <x v="30"/>
    <x v="1"/>
    <x v="394"/>
    <x v="0"/>
    <x v="9"/>
    <x v="35"/>
    <x v="0"/>
    <x v="12"/>
    <n v="0"/>
    <x v="2"/>
  </r>
  <r>
    <x v="30"/>
    <x v="1"/>
    <x v="395"/>
    <x v="0"/>
    <x v="9"/>
    <x v="35"/>
    <x v="0"/>
    <x v="0"/>
    <n v="2973.5122448979587"/>
    <x v="2"/>
  </r>
  <r>
    <x v="30"/>
    <x v="1"/>
    <x v="395"/>
    <x v="0"/>
    <x v="9"/>
    <x v="35"/>
    <x v="0"/>
    <x v="1"/>
    <n v="2548.19"/>
    <x v="2"/>
  </r>
  <r>
    <x v="30"/>
    <x v="1"/>
    <x v="395"/>
    <x v="0"/>
    <x v="9"/>
    <x v="35"/>
    <x v="0"/>
    <x v="2"/>
    <n v="0"/>
    <x v="2"/>
  </r>
  <r>
    <x v="30"/>
    <x v="1"/>
    <x v="395"/>
    <x v="0"/>
    <x v="9"/>
    <x v="35"/>
    <x v="0"/>
    <x v="3"/>
    <n v="208.62"/>
    <x v="2"/>
  </r>
  <r>
    <x v="30"/>
    <x v="1"/>
    <x v="395"/>
    <x v="0"/>
    <x v="9"/>
    <x v="35"/>
    <x v="0"/>
    <x v="4"/>
    <n v="397.32"/>
    <x v="2"/>
  </r>
  <r>
    <x v="30"/>
    <x v="1"/>
    <x v="395"/>
    <x v="0"/>
    <x v="9"/>
    <x v="35"/>
    <x v="0"/>
    <x v="5"/>
    <n v="415.37"/>
    <x v="2"/>
  </r>
  <r>
    <x v="30"/>
    <x v="1"/>
    <x v="395"/>
    <x v="0"/>
    <x v="9"/>
    <x v="35"/>
    <x v="0"/>
    <x v="6"/>
    <n v="96"/>
    <x v="2"/>
  </r>
  <r>
    <x v="30"/>
    <x v="1"/>
    <x v="395"/>
    <x v="0"/>
    <x v="9"/>
    <x v="35"/>
    <x v="0"/>
    <x v="7"/>
    <n v="242.17"/>
    <x v="2"/>
  </r>
  <r>
    <x v="30"/>
    <x v="1"/>
    <x v="395"/>
    <x v="0"/>
    <x v="9"/>
    <x v="35"/>
    <x v="0"/>
    <x v="8"/>
    <n v="0"/>
    <x v="2"/>
  </r>
  <r>
    <x v="30"/>
    <x v="1"/>
    <x v="395"/>
    <x v="0"/>
    <x v="9"/>
    <x v="35"/>
    <x v="0"/>
    <x v="9"/>
    <n v="47"/>
    <x v="2"/>
  </r>
  <r>
    <x v="30"/>
    <x v="1"/>
    <x v="395"/>
    <x v="0"/>
    <x v="9"/>
    <x v="35"/>
    <x v="0"/>
    <x v="10"/>
    <n v="47"/>
    <x v="2"/>
  </r>
  <r>
    <x v="30"/>
    <x v="1"/>
    <x v="395"/>
    <x v="0"/>
    <x v="9"/>
    <x v="35"/>
    <x v="0"/>
    <x v="12"/>
    <n v="47"/>
    <x v="2"/>
  </r>
  <r>
    <x v="30"/>
    <x v="1"/>
    <x v="396"/>
    <x v="0"/>
    <x v="9"/>
    <x v="35"/>
    <x v="0"/>
    <x v="0"/>
    <n v="9885.3795918367341"/>
    <x v="2"/>
  </r>
  <r>
    <x v="30"/>
    <x v="1"/>
    <x v="396"/>
    <x v="0"/>
    <x v="9"/>
    <x v="35"/>
    <x v="0"/>
    <x v="1"/>
    <n v="2514"/>
    <x v="2"/>
  </r>
  <r>
    <x v="30"/>
    <x v="1"/>
    <x v="396"/>
    <x v="0"/>
    <x v="9"/>
    <x v="35"/>
    <x v="0"/>
    <x v="2"/>
    <n v="2969.32"/>
    <x v="2"/>
  </r>
  <r>
    <x v="30"/>
    <x v="1"/>
    <x v="396"/>
    <x v="0"/>
    <x v="9"/>
    <x v="35"/>
    <x v="0"/>
    <x v="3"/>
    <n v="2987.78"/>
    <x v="2"/>
  </r>
  <r>
    <x v="30"/>
    <x v="1"/>
    <x v="396"/>
    <x v="0"/>
    <x v="9"/>
    <x v="35"/>
    <x v="0"/>
    <x v="4"/>
    <n v="5731.87"/>
    <x v="2"/>
  </r>
  <r>
    <x v="30"/>
    <x v="1"/>
    <x v="396"/>
    <x v="0"/>
    <x v="9"/>
    <x v="35"/>
    <x v="0"/>
    <x v="5"/>
    <n v="614.37"/>
    <x v="2"/>
  </r>
  <r>
    <x v="30"/>
    <x v="1"/>
    <x v="396"/>
    <x v="0"/>
    <x v="9"/>
    <x v="35"/>
    <x v="0"/>
    <x v="6"/>
    <n v="735"/>
    <x v="2"/>
  </r>
  <r>
    <x v="30"/>
    <x v="1"/>
    <x v="396"/>
    <x v="0"/>
    <x v="9"/>
    <x v="35"/>
    <x v="0"/>
    <x v="7"/>
    <n v="5011.09"/>
    <x v="2"/>
  </r>
  <r>
    <x v="30"/>
    <x v="1"/>
    <x v="396"/>
    <x v="0"/>
    <x v="9"/>
    <x v="35"/>
    <x v="0"/>
    <x v="8"/>
    <n v="2989"/>
    <x v="2"/>
  </r>
  <r>
    <x v="30"/>
    <x v="1"/>
    <x v="396"/>
    <x v="0"/>
    <x v="9"/>
    <x v="35"/>
    <x v="0"/>
    <x v="9"/>
    <n v="1115"/>
    <x v="2"/>
  </r>
  <r>
    <x v="30"/>
    <x v="1"/>
    <x v="396"/>
    <x v="0"/>
    <x v="9"/>
    <x v="35"/>
    <x v="0"/>
    <x v="10"/>
    <n v="1115"/>
    <x v="2"/>
  </r>
  <r>
    <x v="30"/>
    <x v="1"/>
    <x v="396"/>
    <x v="0"/>
    <x v="9"/>
    <x v="35"/>
    <x v="0"/>
    <x v="12"/>
    <n v="1115"/>
    <x v="2"/>
  </r>
  <r>
    <x v="30"/>
    <x v="1"/>
    <x v="397"/>
    <x v="0"/>
    <x v="9"/>
    <x v="35"/>
    <x v="0"/>
    <x v="0"/>
    <n v="9141.2510204081627"/>
    <x v="2"/>
  </r>
  <r>
    <x v="30"/>
    <x v="1"/>
    <x v="397"/>
    <x v="0"/>
    <x v="9"/>
    <x v="35"/>
    <x v="0"/>
    <x v="1"/>
    <n v="0"/>
    <x v="2"/>
  </r>
  <r>
    <x v="30"/>
    <x v="1"/>
    <x v="397"/>
    <x v="0"/>
    <x v="9"/>
    <x v="35"/>
    <x v="0"/>
    <x v="2"/>
    <n v="0"/>
    <x v="2"/>
  </r>
  <r>
    <x v="30"/>
    <x v="1"/>
    <x v="397"/>
    <x v="0"/>
    <x v="9"/>
    <x v="35"/>
    <x v="0"/>
    <x v="3"/>
    <n v="5015.09"/>
    <x v="2"/>
  </r>
  <r>
    <x v="30"/>
    <x v="1"/>
    <x v="397"/>
    <x v="0"/>
    <x v="9"/>
    <x v="35"/>
    <x v="0"/>
    <x v="4"/>
    <n v="0"/>
    <x v="2"/>
  </r>
  <r>
    <x v="30"/>
    <x v="1"/>
    <x v="397"/>
    <x v="0"/>
    <x v="9"/>
    <x v="35"/>
    <x v="0"/>
    <x v="5"/>
    <n v="0"/>
    <x v="2"/>
  </r>
  <r>
    <x v="30"/>
    <x v="1"/>
    <x v="397"/>
    <x v="0"/>
    <x v="9"/>
    <x v="35"/>
    <x v="0"/>
    <x v="6"/>
    <n v="1413"/>
    <x v="2"/>
  </r>
  <r>
    <x v="30"/>
    <x v="1"/>
    <x v="397"/>
    <x v="0"/>
    <x v="9"/>
    <x v="35"/>
    <x v="0"/>
    <x v="7"/>
    <n v="4462.34"/>
    <x v="2"/>
  </r>
  <r>
    <x v="30"/>
    <x v="1"/>
    <x v="397"/>
    <x v="0"/>
    <x v="9"/>
    <x v="35"/>
    <x v="0"/>
    <x v="8"/>
    <n v="4501"/>
    <x v="2"/>
  </r>
  <r>
    <x v="30"/>
    <x v="1"/>
    <x v="397"/>
    <x v="0"/>
    <x v="9"/>
    <x v="35"/>
    <x v="0"/>
    <x v="9"/>
    <n v="5920"/>
    <x v="2"/>
  </r>
  <r>
    <x v="30"/>
    <x v="1"/>
    <x v="397"/>
    <x v="0"/>
    <x v="9"/>
    <x v="35"/>
    <x v="0"/>
    <x v="10"/>
    <n v="0"/>
    <x v="2"/>
  </r>
  <r>
    <x v="30"/>
    <x v="1"/>
    <x v="397"/>
    <x v="0"/>
    <x v="9"/>
    <x v="35"/>
    <x v="0"/>
    <x v="12"/>
    <n v="0"/>
    <x v="2"/>
  </r>
  <r>
    <x v="30"/>
    <x v="1"/>
    <x v="398"/>
    <x v="0"/>
    <x v="9"/>
    <x v="35"/>
    <x v="0"/>
    <x v="0"/>
    <n v="30195.593877551019"/>
    <x v="2"/>
  </r>
  <r>
    <x v="30"/>
    <x v="1"/>
    <x v="398"/>
    <x v="0"/>
    <x v="9"/>
    <x v="35"/>
    <x v="0"/>
    <x v="1"/>
    <n v="0"/>
    <x v="2"/>
  </r>
  <r>
    <x v="30"/>
    <x v="1"/>
    <x v="398"/>
    <x v="0"/>
    <x v="9"/>
    <x v="35"/>
    <x v="0"/>
    <x v="2"/>
    <n v="0"/>
    <x v="2"/>
  </r>
  <r>
    <x v="30"/>
    <x v="1"/>
    <x v="398"/>
    <x v="0"/>
    <x v="9"/>
    <x v="35"/>
    <x v="0"/>
    <x v="3"/>
    <n v="15885.86"/>
    <x v="2"/>
  </r>
  <r>
    <x v="30"/>
    <x v="1"/>
    <x v="398"/>
    <x v="0"/>
    <x v="9"/>
    <x v="35"/>
    <x v="0"/>
    <x v="4"/>
    <n v="0"/>
    <x v="2"/>
  </r>
  <r>
    <x v="30"/>
    <x v="1"/>
    <x v="398"/>
    <x v="0"/>
    <x v="9"/>
    <x v="35"/>
    <x v="0"/>
    <x v="5"/>
    <n v="0"/>
    <x v="2"/>
  </r>
  <r>
    <x v="30"/>
    <x v="1"/>
    <x v="398"/>
    <x v="0"/>
    <x v="9"/>
    <x v="35"/>
    <x v="0"/>
    <x v="6"/>
    <n v="4223"/>
    <x v="2"/>
  </r>
  <r>
    <x v="30"/>
    <x v="1"/>
    <x v="398"/>
    <x v="0"/>
    <x v="9"/>
    <x v="35"/>
    <x v="0"/>
    <x v="7"/>
    <n v="1493.44"/>
    <x v="2"/>
  </r>
  <r>
    <x v="30"/>
    <x v="1"/>
    <x v="398"/>
    <x v="0"/>
    <x v="9"/>
    <x v="35"/>
    <x v="0"/>
    <x v="8"/>
    <n v="1506"/>
    <x v="2"/>
  </r>
  <r>
    <x v="30"/>
    <x v="1"/>
    <x v="398"/>
    <x v="0"/>
    <x v="9"/>
    <x v="35"/>
    <x v="0"/>
    <x v="9"/>
    <n v="1815"/>
    <x v="2"/>
  </r>
  <r>
    <x v="30"/>
    <x v="1"/>
    <x v="398"/>
    <x v="0"/>
    <x v="9"/>
    <x v="35"/>
    <x v="0"/>
    <x v="10"/>
    <n v="0"/>
    <x v="2"/>
  </r>
  <r>
    <x v="30"/>
    <x v="1"/>
    <x v="398"/>
    <x v="0"/>
    <x v="9"/>
    <x v="35"/>
    <x v="0"/>
    <x v="12"/>
    <n v="0"/>
    <x v="2"/>
  </r>
  <r>
    <x v="30"/>
    <x v="1"/>
    <x v="399"/>
    <x v="0"/>
    <x v="9"/>
    <x v="35"/>
    <x v="0"/>
    <x v="0"/>
    <n v="0"/>
    <x v="2"/>
  </r>
  <r>
    <x v="30"/>
    <x v="1"/>
    <x v="399"/>
    <x v="0"/>
    <x v="9"/>
    <x v="35"/>
    <x v="0"/>
    <x v="1"/>
    <n v="0"/>
    <x v="2"/>
  </r>
  <r>
    <x v="30"/>
    <x v="1"/>
    <x v="399"/>
    <x v="0"/>
    <x v="9"/>
    <x v="35"/>
    <x v="0"/>
    <x v="2"/>
    <n v="0"/>
    <x v="2"/>
  </r>
  <r>
    <x v="30"/>
    <x v="1"/>
    <x v="399"/>
    <x v="0"/>
    <x v="9"/>
    <x v="35"/>
    <x v="0"/>
    <x v="3"/>
    <n v="5.24"/>
    <x v="2"/>
  </r>
  <r>
    <x v="30"/>
    <x v="1"/>
    <x v="399"/>
    <x v="0"/>
    <x v="9"/>
    <x v="35"/>
    <x v="0"/>
    <x v="4"/>
    <n v="0"/>
    <x v="2"/>
  </r>
  <r>
    <x v="30"/>
    <x v="1"/>
    <x v="399"/>
    <x v="0"/>
    <x v="9"/>
    <x v="35"/>
    <x v="0"/>
    <x v="5"/>
    <n v="0"/>
    <x v="2"/>
  </r>
  <r>
    <x v="30"/>
    <x v="1"/>
    <x v="399"/>
    <x v="0"/>
    <x v="9"/>
    <x v="35"/>
    <x v="0"/>
    <x v="6"/>
    <n v="0"/>
    <x v="2"/>
  </r>
  <r>
    <x v="30"/>
    <x v="1"/>
    <x v="399"/>
    <x v="0"/>
    <x v="9"/>
    <x v="35"/>
    <x v="0"/>
    <x v="7"/>
    <n v="0"/>
    <x v="2"/>
  </r>
  <r>
    <x v="30"/>
    <x v="1"/>
    <x v="399"/>
    <x v="0"/>
    <x v="9"/>
    <x v="35"/>
    <x v="0"/>
    <x v="8"/>
    <n v="0"/>
    <x v="2"/>
  </r>
  <r>
    <x v="30"/>
    <x v="1"/>
    <x v="399"/>
    <x v="0"/>
    <x v="9"/>
    <x v="35"/>
    <x v="0"/>
    <x v="9"/>
    <n v="48"/>
    <x v="2"/>
  </r>
  <r>
    <x v="30"/>
    <x v="1"/>
    <x v="399"/>
    <x v="0"/>
    <x v="9"/>
    <x v="35"/>
    <x v="0"/>
    <x v="10"/>
    <n v="0"/>
    <x v="2"/>
  </r>
  <r>
    <x v="30"/>
    <x v="1"/>
    <x v="399"/>
    <x v="0"/>
    <x v="9"/>
    <x v="35"/>
    <x v="0"/>
    <x v="12"/>
    <n v="0"/>
    <x v="2"/>
  </r>
  <r>
    <x v="30"/>
    <x v="1"/>
    <x v="353"/>
    <x v="3"/>
    <x v="8"/>
    <x v="23"/>
    <x v="0"/>
    <x v="0"/>
    <n v="0"/>
    <x v="2"/>
  </r>
  <r>
    <x v="30"/>
    <x v="1"/>
    <x v="353"/>
    <x v="3"/>
    <x v="8"/>
    <x v="23"/>
    <x v="0"/>
    <x v="1"/>
    <n v="0"/>
    <x v="2"/>
  </r>
  <r>
    <x v="30"/>
    <x v="1"/>
    <x v="353"/>
    <x v="3"/>
    <x v="8"/>
    <x v="23"/>
    <x v="0"/>
    <x v="2"/>
    <n v="0"/>
    <x v="2"/>
  </r>
  <r>
    <x v="30"/>
    <x v="1"/>
    <x v="353"/>
    <x v="3"/>
    <x v="8"/>
    <x v="23"/>
    <x v="0"/>
    <x v="3"/>
    <n v="0"/>
    <x v="2"/>
  </r>
  <r>
    <x v="30"/>
    <x v="1"/>
    <x v="353"/>
    <x v="3"/>
    <x v="8"/>
    <x v="23"/>
    <x v="0"/>
    <x v="4"/>
    <n v="0"/>
    <x v="2"/>
  </r>
  <r>
    <x v="30"/>
    <x v="1"/>
    <x v="353"/>
    <x v="3"/>
    <x v="8"/>
    <x v="23"/>
    <x v="0"/>
    <x v="5"/>
    <n v="0"/>
    <x v="2"/>
  </r>
  <r>
    <x v="30"/>
    <x v="1"/>
    <x v="353"/>
    <x v="3"/>
    <x v="8"/>
    <x v="23"/>
    <x v="0"/>
    <x v="6"/>
    <n v="0"/>
    <x v="2"/>
  </r>
  <r>
    <x v="30"/>
    <x v="1"/>
    <x v="353"/>
    <x v="3"/>
    <x v="8"/>
    <x v="23"/>
    <x v="0"/>
    <x v="7"/>
    <n v="0"/>
    <x v="2"/>
  </r>
  <r>
    <x v="30"/>
    <x v="1"/>
    <x v="353"/>
    <x v="3"/>
    <x v="8"/>
    <x v="23"/>
    <x v="0"/>
    <x v="8"/>
    <n v="0"/>
    <x v="2"/>
  </r>
  <r>
    <x v="30"/>
    <x v="1"/>
    <x v="353"/>
    <x v="3"/>
    <x v="8"/>
    <x v="23"/>
    <x v="0"/>
    <x v="9"/>
    <n v="0"/>
    <x v="2"/>
  </r>
  <r>
    <x v="30"/>
    <x v="1"/>
    <x v="353"/>
    <x v="3"/>
    <x v="8"/>
    <x v="23"/>
    <x v="0"/>
    <x v="10"/>
    <n v="0"/>
    <x v="2"/>
  </r>
  <r>
    <x v="30"/>
    <x v="1"/>
    <x v="353"/>
    <x v="3"/>
    <x v="8"/>
    <x v="23"/>
    <x v="0"/>
    <x v="12"/>
    <n v="0"/>
    <x v="2"/>
  </r>
  <r>
    <x v="30"/>
    <x v="1"/>
    <x v="354"/>
    <x v="3"/>
    <x v="8"/>
    <x v="23"/>
    <x v="0"/>
    <x v="0"/>
    <n v="0"/>
    <x v="2"/>
  </r>
  <r>
    <x v="30"/>
    <x v="1"/>
    <x v="354"/>
    <x v="3"/>
    <x v="8"/>
    <x v="23"/>
    <x v="0"/>
    <x v="1"/>
    <n v="0"/>
    <x v="2"/>
  </r>
  <r>
    <x v="30"/>
    <x v="1"/>
    <x v="354"/>
    <x v="3"/>
    <x v="8"/>
    <x v="23"/>
    <x v="0"/>
    <x v="2"/>
    <n v="0"/>
    <x v="2"/>
  </r>
  <r>
    <x v="30"/>
    <x v="1"/>
    <x v="354"/>
    <x v="3"/>
    <x v="8"/>
    <x v="23"/>
    <x v="0"/>
    <x v="3"/>
    <n v="0"/>
    <x v="2"/>
  </r>
  <r>
    <x v="30"/>
    <x v="1"/>
    <x v="354"/>
    <x v="3"/>
    <x v="8"/>
    <x v="23"/>
    <x v="0"/>
    <x v="4"/>
    <n v="0"/>
    <x v="2"/>
  </r>
  <r>
    <x v="30"/>
    <x v="1"/>
    <x v="354"/>
    <x v="3"/>
    <x v="8"/>
    <x v="23"/>
    <x v="0"/>
    <x v="5"/>
    <n v="0"/>
    <x v="2"/>
  </r>
  <r>
    <x v="30"/>
    <x v="1"/>
    <x v="354"/>
    <x v="3"/>
    <x v="8"/>
    <x v="23"/>
    <x v="0"/>
    <x v="6"/>
    <n v="0"/>
    <x v="2"/>
  </r>
  <r>
    <x v="30"/>
    <x v="1"/>
    <x v="354"/>
    <x v="3"/>
    <x v="8"/>
    <x v="23"/>
    <x v="0"/>
    <x v="7"/>
    <n v="0"/>
    <x v="2"/>
  </r>
  <r>
    <x v="30"/>
    <x v="1"/>
    <x v="354"/>
    <x v="3"/>
    <x v="8"/>
    <x v="23"/>
    <x v="0"/>
    <x v="8"/>
    <n v="0"/>
    <x v="2"/>
  </r>
  <r>
    <x v="30"/>
    <x v="1"/>
    <x v="354"/>
    <x v="3"/>
    <x v="8"/>
    <x v="23"/>
    <x v="0"/>
    <x v="9"/>
    <n v="0"/>
    <x v="2"/>
  </r>
  <r>
    <x v="30"/>
    <x v="1"/>
    <x v="354"/>
    <x v="3"/>
    <x v="8"/>
    <x v="23"/>
    <x v="0"/>
    <x v="10"/>
    <n v="0"/>
    <x v="2"/>
  </r>
  <r>
    <x v="30"/>
    <x v="1"/>
    <x v="354"/>
    <x v="3"/>
    <x v="8"/>
    <x v="23"/>
    <x v="0"/>
    <x v="12"/>
    <n v="0"/>
    <x v="2"/>
  </r>
  <r>
    <x v="30"/>
    <x v="1"/>
    <x v="355"/>
    <x v="3"/>
    <x v="8"/>
    <x v="23"/>
    <x v="0"/>
    <x v="0"/>
    <n v="0"/>
    <x v="2"/>
  </r>
  <r>
    <x v="30"/>
    <x v="1"/>
    <x v="355"/>
    <x v="3"/>
    <x v="8"/>
    <x v="23"/>
    <x v="0"/>
    <x v="1"/>
    <n v="188253.47"/>
    <x v="2"/>
  </r>
  <r>
    <x v="30"/>
    <x v="1"/>
    <x v="355"/>
    <x v="3"/>
    <x v="8"/>
    <x v="23"/>
    <x v="0"/>
    <x v="2"/>
    <n v="0"/>
    <x v="2"/>
  </r>
  <r>
    <x v="30"/>
    <x v="1"/>
    <x v="355"/>
    <x v="3"/>
    <x v="8"/>
    <x v="23"/>
    <x v="0"/>
    <x v="3"/>
    <n v="0"/>
    <x v="2"/>
  </r>
  <r>
    <x v="30"/>
    <x v="1"/>
    <x v="355"/>
    <x v="3"/>
    <x v="8"/>
    <x v="23"/>
    <x v="0"/>
    <x v="4"/>
    <n v="0"/>
    <x v="2"/>
  </r>
  <r>
    <x v="30"/>
    <x v="1"/>
    <x v="355"/>
    <x v="3"/>
    <x v="8"/>
    <x v="23"/>
    <x v="0"/>
    <x v="5"/>
    <n v="321484.53999999998"/>
    <x v="2"/>
  </r>
  <r>
    <x v="30"/>
    <x v="1"/>
    <x v="355"/>
    <x v="3"/>
    <x v="8"/>
    <x v="23"/>
    <x v="0"/>
    <x v="6"/>
    <n v="0"/>
    <x v="2"/>
  </r>
  <r>
    <x v="30"/>
    <x v="1"/>
    <x v="355"/>
    <x v="3"/>
    <x v="8"/>
    <x v="23"/>
    <x v="0"/>
    <x v="7"/>
    <n v="0"/>
    <x v="2"/>
  </r>
  <r>
    <x v="30"/>
    <x v="1"/>
    <x v="355"/>
    <x v="3"/>
    <x v="8"/>
    <x v="23"/>
    <x v="0"/>
    <x v="8"/>
    <n v="0"/>
    <x v="2"/>
  </r>
  <r>
    <x v="30"/>
    <x v="1"/>
    <x v="355"/>
    <x v="3"/>
    <x v="8"/>
    <x v="23"/>
    <x v="0"/>
    <x v="9"/>
    <n v="0"/>
    <x v="2"/>
  </r>
  <r>
    <x v="30"/>
    <x v="1"/>
    <x v="355"/>
    <x v="3"/>
    <x v="8"/>
    <x v="23"/>
    <x v="0"/>
    <x v="10"/>
    <n v="310392.04705290002"/>
    <x v="2"/>
  </r>
  <r>
    <x v="30"/>
    <x v="1"/>
    <x v="355"/>
    <x v="3"/>
    <x v="8"/>
    <x v="23"/>
    <x v="0"/>
    <x v="12"/>
    <n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8">
  <r>
    <x v="0"/>
    <x v="0"/>
    <x v="0"/>
    <x v="0"/>
    <x v="0"/>
    <x v="0"/>
    <x v="0"/>
    <x v="0"/>
    <n v="2947.9802430904697"/>
    <x v="0"/>
  </r>
  <r>
    <x v="0"/>
    <x v="0"/>
    <x v="0"/>
    <x v="0"/>
    <x v="0"/>
    <x v="0"/>
    <x v="0"/>
    <x v="1"/>
    <n v="2825.3146426480248"/>
    <x v="0"/>
  </r>
  <r>
    <x v="0"/>
    <x v="0"/>
    <x v="0"/>
    <x v="0"/>
    <x v="0"/>
    <x v="0"/>
    <x v="0"/>
    <x v="2"/>
    <n v="2831.8560489492356"/>
    <x v="0"/>
  </r>
  <r>
    <x v="0"/>
    <x v="0"/>
    <x v="0"/>
    <x v="0"/>
    <x v="0"/>
    <x v="0"/>
    <x v="0"/>
    <x v="3"/>
    <n v="2796.9640518392966"/>
    <x v="0"/>
  </r>
  <r>
    <x v="0"/>
    <x v="0"/>
    <x v="0"/>
    <x v="0"/>
    <x v="0"/>
    <x v="0"/>
    <x v="0"/>
    <x v="4"/>
    <n v="2854.5880967501216"/>
    <x v="0"/>
  </r>
  <r>
    <x v="0"/>
    <x v="0"/>
    <x v="0"/>
    <x v="0"/>
    <x v="0"/>
    <x v="0"/>
    <x v="0"/>
    <x v="5"/>
    <n v="2927.2905029357667"/>
    <x v="0"/>
  </r>
  <r>
    <x v="0"/>
    <x v="0"/>
    <x v="0"/>
    <x v="0"/>
    <x v="0"/>
    <x v="0"/>
    <x v="0"/>
    <x v="6"/>
    <n v="2944.3130375187034"/>
    <x v="0"/>
  </r>
  <r>
    <x v="0"/>
    <x v="0"/>
    <x v="0"/>
    <x v="0"/>
    <x v="0"/>
    <x v="0"/>
    <x v="0"/>
    <x v="7"/>
    <n v="3029.155526177648"/>
    <x v="0"/>
  </r>
  <r>
    <x v="0"/>
    <x v="0"/>
    <x v="0"/>
    <x v="0"/>
    <x v="0"/>
    <x v="0"/>
    <x v="0"/>
    <x v="8"/>
    <n v="3023.000544445686"/>
    <x v="0"/>
  </r>
  <r>
    <x v="0"/>
    <x v="0"/>
    <x v="0"/>
    <x v="0"/>
    <x v="0"/>
    <x v="0"/>
    <x v="0"/>
    <x v="9"/>
    <n v="2797.3887566644094"/>
    <x v="0"/>
  </r>
  <r>
    <x v="0"/>
    <x v="0"/>
    <x v="0"/>
    <x v="0"/>
    <x v="0"/>
    <x v="0"/>
    <x v="0"/>
    <x v="10"/>
    <n v="2733.6621571356404"/>
    <x v="0"/>
  </r>
  <r>
    <x v="0"/>
    <x v="0"/>
    <x v="0"/>
    <x v="0"/>
    <x v="0"/>
    <x v="0"/>
    <x v="0"/>
    <x v="11"/>
    <n v="3162.994447124343"/>
    <x v="0"/>
  </r>
  <r>
    <x v="1"/>
    <x v="0"/>
    <x v="1"/>
    <x v="0"/>
    <x v="0"/>
    <x v="0"/>
    <x v="0"/>
    <x v="0"/>
    <n v="10427.759626854762"/>
    <x v="0"/>
  </r>
  <r>
    <x v="1"/>
    <x v="0"/>
    <x v="1"/>
    <x v="0"/>
    <x v="0"/>
    <x v="0"/>
    <x v="0"/>
    <x v="1"/>
    <n v="9983.5296087945899"/>
    <x v="0"/>
  </r>
  <r>
    <x v="1"/>
    <x v="0"/>
    <x v="1"/>
    <x v="0"/>
    <x v="0"/>
    <x v="0"/>
    <x v="0"/>
    <x v="2"/>
    <n v="10086.707940044811"/>
    <x v="0"/>
  </r>
  <r>
    <x v="1"/>
    <x v="0"/>
    <x v="1"/>
    <x v="0"/>
    <x v="0"/>
    <x v="0"/>
    <x v="0"/>
    <x v="3"/>
    <n v="9968.5088756787609"/>
    <x v="0"/>
  </r>
  <r>
    <x v="1"/>
    <x v="0"/>
    <x v="1"/>
    <x v="0"/>
    <x v="0"/>
    <x v="0"/>
    <x v="0"/>
    <x v="4"/>
    <n v="10176.830513789117"/>
    <x v="0"/>
  </r>
  <r>
    <x v="1"/>
    <x v="0"/>
    <x v="1"/>
    <x v="0"/>
    <x v="0"/>
    <x v="0"/>
    <x v="0"/>
    <x v="5"/>
    <n v="10441.537632528352"/>
    <x v="0"/>
  </r>
  <r>
    <x v="1"/>
    <x v="0"/>
    <x v="1"/>
    <x v="0"/>
    <x v="0"/>
    <x v="0"/>
    <x v="0"/>
    <x v="6"/>
    <n v="10945.563409868324"/>
    <x v="0"/>
  </r>
  <r>
    <x v="1"/>
    <x v="0"/>
    <x v="1"/>
    <x v="0"/>
    <x v="0"/>
    <x v="0"/>
    <x v="0"/>
    <x v="7"/>
    <n v="12068.867384308482"/>
    <x v="0"/>
  </r>
  <r>
    <x v="1"/>
    <x v="0"/>
    <x v="1"/>
    <x v="0"/>
    <x v="0"/>
    <x v="0"/>
    <x v="0"/>
    <x v="8"/>
    <n v="11352.380854411766"/>
    <x v="0"/>
  </r>
  <r>
    <x v="1"/>
    <x v="0"/>
    <x v="1"/>
    <x v="0"/>
    <x v="0"/>
    <x v="0"/>
    <x v="0"/>
    <x v="9"/>
    <n v="10483.642252768304"/>
    <x v="0"/>
  </r>
  <r>
    <x v="1"/>
    <x v="0"/>
    <x v="1"/>
    <x v="0"/>
    <x v="0"/>
    <x v="0"/>
    <x v="0"/>
    <x v="10"/>
    <n v="10174.684106484396"/>
    <x v="0"/>
  </r>
  <r>
    <x v="1"/>
    <x v="0"/>
    <x v="1"/>
    <x v="0"/>
    <x v="0"/>
    <x v="0"/>
    <x v="0"/>
    <x v="11"/>
    <n v="11772.657878022346"/>
    <x v="0"/>
  </r>
  <r>
    <x v="2"/>
    <x v="0"/>
    <x v="2"/>
    <x v="1"/>
    <x v="0"/>
    <x v="0"/>
    <x v="0"/>
    <x v="0"/>
    <n v="3341.2793267193947"/>
    <x v="0"/>
  </r>
  <r>
    <x v="2"/>
    <x v="0"/>
    <x v="2"/>
    <x v="1"/>
    <x v="0"/>
    <x v="0"/>
    <x v="0"/>
    <x v="1"/>
    <n v="3225.9169104938628"/>
    <x v="0"/>
  </r>
  <r>
    <x v="2"/>
    <x v="0"/>
    <x v="2"/>
    <x v="1"/>
    <x v="0"/>
    <x v="0"/>
    <x v="0"/>
    <x v="2"/>
    <n v="3130.9924839771461"/>
    <x v="0"/>
  </r>
  <r>
    <x v="2"/>
    <x v="0"/>
    <x v="2"/>
    <x v="1"/>
    <x v="0"/>
    <x v="0"/>
    <x v="0"/>
    <x v="3"/>
    <n v="3092.3157399429861"/>
    <x v="0"/>
  </r>
  <r>
    <x v="2"/>
    <x v="0"/>
    <x v="2"/>
    <x v="1"/>
    <x v="0"/>
    <x v="0"/>
    <x v="0"/>
    <x v="4"/>
    <n v="3155.9569962542446"/>
    <x v="0"/>
  </r>
  <r>
    <x v="2"/>
    <x v="0"/>
    <x v="2"/>
    <x v="1"/>
    <x v="0"/>
    <x v="0"/>
    <x v="0"/>
    <x v="5"/>
    <n v="3447.4362653727239"/>
    <x v="0"/>
  </r>
  <r>
    <x v="2"/>
    <x v="0"/>
    <x v="2"/>
    <x v="1"/>
    <x v="0"/>
    <x v="0"/>
    <x v="0"/>
    <x v="6"/>
    <n v="3341.4649114216609"/>
    <x v="0"/>
  </r>
  <r>
    <x v="2"/>
    <x v="0"/>
    <x v="2"/>
    <x v="1"/>
    <x v="0"/>
    <x v="0"/>
    <x v="0"/>
    <x v="7"/>
    <n v="3754.8482423263426"/>
    <x v="0"/>
  </r>
  <r>
    <x v="2"/>
    <x v="0"/>
    <x v="2"/>
    <x v="1"/>
    <x v="0"/>
    <x v="0"/>
    <x v="0"/>
    <x v="8"/>
    <n v="3457.0856559939575"/>
    <x v="0"/>
  </r>
  <r>
    <x v="2"/>
    <x v="0"/>
    <x v="2"/>
    <x v="1"/>
    <x v="0"/>
    <x v="0"/>
    <x v="0"/>
    <x v="9"/>
    <n v="3177.1163678248236"/>
    <x v="0"/>
  </r>
  <r>
    <x v="2"/>
    <x v="0"/>
    <x v="2"/>
    <x v="1"/>
    <x v="0"/>
    <x v="0"/>
    <x v="0"/>
    <x v="10"/>
    <n v="3104.7693201601187"/>
    <x v="0"/>
  </r>
  <r>
    <x v="2"/>
    <x v="0"/>
    <x v="2"/>
    <x v="1"/>
    <x v="0"/>
    <x v="0"/>
    <x v="0"/>
    <x v="11"/>
    <n v="3592.3854356451857"/>
    <x v="0"/>
  </r>
  <r>
    <x v="2"/>
    <x v="1"/>
    <x v="2"/>
    <x v="1"/>
    <x v="1"/>
    <x v="1"/>
    <x v="0"/>
    <x v="0"/>
    <n v="0"/>
    <x v="0"/>
  </r>
  <r>
    <x v="2"/>
    <x v="1"/>
    <x v="2"/>
    <x v="1"/>
    <x v="1"/>
    <x v="1"/>
    <x v="0"/>
    <x v="1"/>
    <n v="22308.205076739425"/>
    <x v="0"/>
  </r>
  <r>
    <x v="2"/>
    <x v="1"/>
    <x v="2"/>
    <x v="1"/>
    <x v="1"/>
    <x v="1"/>
    <x v="0"/>
    <x v="2"/>
    <n v="0"/>
    <x v="0"/>
  </r>
  <r>
    <x v="2"/>
    <x v="1"/>
    <x v="2"/>
    <x v="1"/>
    <x v="1"/>
    <x v="1"/>
    <x v="0"/>
    <x v="3"/>
    <n v="0"/>
    <x v="0"/>
  </r>
  <r>
    <x v="2"/>
    <x v="1"/>
    <x v="2"/>
    <x v="1"/>
    <x v="1"/>
    <x v="1"/>
    <x v="0"/>
    <x v="4"/>
    <n v="0"/>
    <x v="0"/>
  </r>
  <r>
    <x v="2"/>
    <x v="1"/>
    <x v="2"/>
    <x v="1"/>
    <x v="1"/>
    <x v="1"/>
    <x v="0"/>
    <x v="5"/>
    <n v="0"/>
    <x v="0"/>
  </r>
  <r>
    <x v="2"/>
    <x v="1"/>
    <x v="2"/>
    <x v="1"/>
    <x v="1"/>
    <x v="1"/>
    <x v="0"/>
    <x v="6"/>
    <n v="0"/>
    <x v="0"/>
  </r>
  <r>
    <x v="2"/>
    <x v="1"/>
    <x v="2"/>
    <x v="1"/>
    <x v="1"/>
    <x v="1"/>
    <x v="0"/>
    <x v="7"/>
    <n v="0"/>
    <x v="0"/>
  </r>
  <r>
    <x v="2"/>
    <x v="1"/>
    <x v="2"/>
    <x v="1"/>
    <x v="1"/>
    <x v="1"/>
    <x v="0"/>
    <x v="8"/>
    <n v="0"/>
    <x v="0"/>
  </r>
  <r>
    <x v="2"/>
    <x v="1"/>
    <x v="2"/>
    <x v="1"/>
    <x v="1"/>
    <x v="1"/>
    <x v="0"/>
    <x v="9"/>
    <n v="0"/>
    <x v="0"/>
  </r>
  <r>
    <x v="2"/>
    <x v="1"/>
    <x v="2"/>
    <x v="1"/>
    <x v="1"/>
    <x v="1"/>
    <x v="0"/>
    <x v="10"/>
    <n v="0"/>
    <x v="0"/>
  </r>
  <r>
    <x v="2"/>
    <x v="1"/>
    <x v="2"/>
    <x v="1"/>
    <x v="1"/>
    <x v="1"/>
    <x v="0"/>
    <x v="11"/>
    <n v="0"/>
    <x v="0"/>
  </r>
  <r>
    <x v="3"/>
    <x v="0"/>
    <x v="3"/>
    <x v="0"/>
    <x v="0"/>
    <x v="0"/>
    <x v="0"/>
    <x v="0"/>
    <n v="4537.6827208226186"/>
    <x v="0"/>
  </r>
  <r>
    <x v="3"/>
    <x v="0"/>
    <x v="3"/>
    <x v="0"/>
    <x v="0"/>
    <x v="0"/>
    <x v="0"/>
    <x v="1"/>
    <n v="4348.7198506375153"/>
    <x v="0"/>
  </r>
  <r>
    <x v="3"/>
    <x v="0"/>
    <x v="3"/>
    <x v="0"/>
    <x v="0"/>
    <x v="0"/>
    <x v="0"/>
    <x v="2"/>
    <n v="4423.2777010511873"/>
    <x v="0"/>
  </r>
  <r>
    <x v="3"/>
    <x v="0"/>
    <x v="3"/>
    <x v="0"/>
    <x v="0"/>
    <x v="0"/>
    <x v="0"/>
    <x v="3"/>
    <n v="4366.3829042550224"/>
    <x v="0"/>
  </r>
  <r>
    <x v="3"/>
    <x v="0"/>
    <x v="3"/>
    <x v="0"/>
    <x v="0"/>
    <x v="0"/>
    <x v="0"/>
    <x v="4"/>
    <n v="4453.4067527662246"/>
    <x v="0"/>
  </r>
  <r>
    <x v="3"/>
    <x v="0"/>
    <x v="3"/>
    <x v="0"/>
    <x v="0"/>
    <x v="0"/>
    <x v="0"/>
    <x v="5"/>
    <n v="4564.9059350458119"/>
    <x v="0"/>
  </r>
  <r>
    <x v="3"/>
    <x v="0"/>
    <x v="3"/>
    <x v="0"/>
    <x v="0"/>
    <x v="0"/>
    <x v="0"/>
    <x v="6"/>
    <n v="5700.3997190035279"/>
    <x v="0"/>
  </r>
  <r>
    <x v="3"/>
    <x v="0"/>
    <x v="3"/>
    <x v="0"/>
    <x v="0"/>
    <x v="0"/>
    <x v="0"/>
    <x v="7"/>
    <n v="0"/>
    <x v="0"/>
  </r>
  <r>
    <x v="3"/>
    <x v="0"/>
    <x v="3"/>
    <x v="0"/>
    <x v="0"/>
    <x v="0"/>
    <x v="0"/>
    <x v="8"/>
    <n v="0"/>
    <x v="0"/>
  </r>
  <r>
    <x v="3"/>
    <x v="0"/>
    <x v="3"/>
    <x v="0"/>
    <x v="0"/>
    <x v="0"/>
    <x v="0"/>
    <x v="9"/>
    <n v="0"/>
    <x v="0"/>
  </r>
  <r>
    <x v="3"/>
    <x v="0"/>
    <x v="3"/>
    <x v="0"/>
    <x v="0"/>
    <x v="0"/>
    <x v="0"/>
    <x v="10"/>
    <n v="0"/>
    <x v="0"/>
  </r>
  <r>
    <x v="3"/>
    <x v="0"/>
    <x v="3"/>
    <x v="0"/>
    <x v="0"/>
    <x v="0"/>
    <x v="0"/>
    <x v="11"/>
    <n v="0"/>
    <x v="0"/>
  </r>
  <r>
    <x v="3"/>
    <x v="1"/>
    <x v="3"/>
    <x v="0"/>
    <x v="1"/>
    <x v="1"/>
    <x v="0"/>
    <x v="0"/>
    <n v="6673.0368892376864"/>
    <x v="0"/>
  </r>
  <r>
    <x v="3"/>
    <x v="1"/>
    <x v="3"/>
    <x v="0"/>
    <x v="1"/>
    <x v="1"/>
    <x v="0"/>
    <x v="1"/>
    <n v="0"/>
    <x v="0"/>
  </r>
  <r>
    <x v="3"/>
    <x v="1"/>
    <x v="3"/>
    <x v="0"/>
    <x v="1"/>
    <x v="1"/>
    <x v="0"/>
    <x v="2"/>
    <n v="0"/>
    <x v="0"/>
  </r>
  <r>
    <x v="3"/>
    <x v="1"/>
    <x v="3"/>
    <x v="0"/>
    <x v="1"/>
    <x v="1"/>
    <x v="0"/>
    <x v="3"/>
    <n v="0"/>
    <x v="0"/>
  </r>
  <r>
    <x v="3"/>
    <x v="1"/>
    <x v="3"/>
    <x v="0"/>
    <x v="1"/>
    <x v="1"/>
    <x v="0"/>
    <x v="4"/>
    <n v="0"/>
    <x v="0"/>
  </r>
  <r>
    <x v="3"/>
    <x v="1"/>
    <x v="3"/>
    <x v="0"/>
    <x v="1"/>
    <x v="1"/>
    <x v="0"/>
    <x v="5"/>
    <n v="0"/>
    <x v="0"/>
  </r>
  <r>
    <x v="3"/>
    <x v="1"/>
    <x v="3"/>
    <x v="0"/>
    <x v="1"/>
    <x v="1"/>
    <x v="0"/>
    <x v="6"/>
    <n v="0"/>
    <x v="0"/>
  </r>
  <r>
    <x v="3"/>
    <x v="1"/>
    <x v="3"/>
    <x v="0"/>
    <x v="1"/>
    <x v="1"/>
    <x v="0"/>
    <x v="7"/>
    <n v="0"/>
    <x v="0"/>
  </r>
  <r>
    <x v="3"/>
    <x v="1"/>
    <x v="3"/>
    <x v="0"/>
    <x v="1"/>
    <x v="1"/>
    <x v="0"/>
    <x v="8"/>
    <n v="0"/>
    <x v="0"/>
  </r>
  <r>
    <x v="3"/>
    <x v="1"/>
    <x v="3"/>
    <x v="0"/>
    <x v="1"/>
    <x v="1"/>
    <x v="0"/>
    <x v="9"/>
    <n v="0"/>
    <x v="0"/>
  </r>
  <r>
    <x v="3"/>
    <x v="1"/>
    <x v="3"/>
    <x v="0"/>
    <x v="1"/>
    <x v="1"/>
    <x v="0"/>
    <x v="10"/>
    <n v="0"/>
    <x v="0"/>
  </r>
  <r>
    <x v="3"/>
    <x v="1"/>
    <x v="3"/>
    <x v="0"/>
    <x v="1"/>
    <x v="1"/>
    <x v="0"/>
    <x v="11"/>
    <n v="0"/>
    <x v="0"/>
  </r>
  <r>
    <x v="4"/>
    <x v="0"/>
    <x v="4"/>
    <x v="0"/>
    <x v="0"/>
    <x v="0"/>
    <x v="0"/>
    <x v="0"/>
    <n v="8782.9383687410646"/>
    <x v="0"/>
  </r>
  <r>
    <x v="4"/>
    <x v="0"/>
    <x v="4"/>
    <x v="0"/>
    <x v="0"/>
    <x v="0"/>
    <x v="0"/>
    <x v="1"/>
    <n v="8366.8111641944906"/>
    <x v="0"/>
  </r>
  <r>
    <x v="4"/>
    <x v="0"/>
    <x v="4"/>
    <x v="0"/>
    <x v="0"/>
    <x v="0"/>
    <x v="0"/>
    <x v="2"/>
    <n v="8373.8724095435391"/>
    <x v="0"/>
  </r>
  <r>
    <x v="4"/>
    <x v="0"/>
    <x v="4"/>
    <x v="0"/>
    <x v="0"/>
    <x v="0"/>
    <x v="0"/>
    <x v="3"/>
    <n v="8271.4671799689677"/>
    <x v="0"/>
  </r>
  <r>
    <x v="4"/>
    <x v="0"/>
    <x v="4"/>
    <x v="0"/>
    <x v="0"/>
    <x v="0"/>
    <x v="0"/>
    <x v="4"/>
    <n v="8440.0668666362744"/>
    <x v="0"/>
  </r>
  <r>
    <x v="4"/>
    <x v="0"/>
    <x v="4"/>
    <x v="0"/>
    <x v="0"/>
    <x v="0"/>
    <x v="0"/>
    <x v="5"/>
    <n v="8656.028320407373"/>
    <x v="0"/>
  </r>
  <r>
    <x v="4"/>
    <x v="0"/>
    <x v="4"/>
    <x v="0"/>
    <x v="0"/>
    <x v="0"/>
    <x v="0"/>
    <x v="6"/>
    <n v="8389.7374808331897"/>
    <x v="0"/>
  </r>
  <r>
    <x v="4"/>
    <x v="0"/>
    <x v="4"/>
    <x v="0"/>
    <x v="0"/>
    <x v="0"/>
    <x v="0"/>
    <x v="7"/>
    <n v="8842.8203665990422"/>
    <x v="0"/>
  </r>
  <r>
    <x v="4"/>
    <x v="0"/>
    <x v="4"/>
    <x v="0"/>
    <x v="0"/>
    <x v="0"/>
    <x v="0"/>
    <x v="8"/>
    <n v="8926.0300938752134"/>
    <x v="0"/>
  </r>
  <r>
    <x v="4"/>
    <x v="0"/>
    <x v="4"/>
    <x v="0"/>
    <x v="0"/>
    <x v="0"/>
    <x v="0"/>
    <x v="9"/>
    <n v="8213.1019887944185"/>
    <x v="0"/>
  </r>
  <r>
    <x v="4"/>
    <x v="0"/>
    <x v="4"/>
    <x v="0"/>
    <x v="0"/>
    <x v="0"/>
    <x v="0"/>
    <x v="10"/>
    <n v="8022.4435507264807"/>
    <x v="0"/>
  </r>
  <r>
    <x v="4"/>
    <x v="0"/>
    <x v="4"/>
    <x v="0"/>
    <x v="0"/>
    <x v="0"/>
    <x v="0"/>
    <x v="11"/>
    <n v="9282.3995595360939"/>
    <x v="0"/>
  </r>
  <r>
    <x v="4"/>
    <x v="1"/>
    <x v="4"/>
    <x v="0"/>
    <x v="1"/>
    <x v="1"/>
    <x v="0"/>
    <x v="0"/>
    <n v="0"/>
    <x v="0"/>
  </r>
  <r>
    <x v="4"/>
    <x v="1"/>
    <x v="4"/>
    <x v="0"/>
    <x v="1"/>
    <x v="1"/>
    <x v="0"/>
    <x v="1"/>
    <n v="0"/>
    <x v="0"/>
  </r>
  <r>
    <x v="4"/>
    <x v="1"/>
    <x v="4"/>
    <x v="0"/>
    <x v="1"/>
    <x v="1"/>
    <x v="0"/>
    <x v="2"/>
    <n v="0"/>
    <x v="0"/>
  </r>
  <r>
    <x v="4"/>
    <x v="1"/>
    <x v="4"/>
    <x v="0"/>
    <x v="1"/>
    <x v="1"/>
    <x v="0"/>
    <x v="3"/>
    <n v="0"/>
    <x v="0"/>
  </r>
  <r>
    <x v="4"/>
    <x v="1"/>
    <x v="4"/>
    <x v="0"/>
    <x v="1"/>
    <x v="1"/>
    <x v="0"/>
    <x v="4"/>
    <n v="0"/>
    <x v="0"/>
  </r>
  <r>
    <x v="4"/>
    <x v="1"/>
    <x v="4"/>
    <x v="0"/>
    <x v="1"/>
    <x v="1"/>
    <x v="0"/>
    <x v="5"/>
    <n v="0"/>
    <x v="0"/>
  </r>
  <r>
    <x v="4"/>
    <x v="1"/>
    <x v="4"/>
    <x v="0"/>
    <x v="1"/>
    <x v="1"/>
    <x v="0"/>
    <x v="6"/>
    <n v="0"/>
    <x v="0"/>
  </r>
  <r>
    <x v="4"/>
    <x v="1"/>
    <x v="4"/>
    <x v="0"/>
    <x v="1"/>
    <x v="1"/>
    <x v="0"/>
    <x v="7"/>
    <n v="0"/>
    <x v="0"/>
  </r>
  <r>
    <x v="4"/>
    <x v="1"/>
    <x v="4"/>
    <x v="0"/>
    <x v="1"/>
    <x v="1"/>
    <x v="0"/>
    <x v="8"/>
    <n v="0"/>
    <x v="0"/>
  </r>
  <r>
    <x v="4"/>
    <x v="1"/>
    <x v="4"/>
    <x v="0"/>
    <x v="1"/>
    <x v="1"/>
    <x v="0"/>
    <x v="9"/>
    <n v="13772.268547340378"/>
    <x v="0"/>
  </r>
  <r>
    <x v="4"/>
    <x v="1"/>
    <x v="4"/>
    <x v="0"/>
    <x v="1"/>
    <x v="1"/>
    <x v="0"/>
    <x v="10"/>
    <n v="0"/>
    <x v="0"/>
  </r>
  <r>
    <x v="4"/>
    <x v="1"/>
    <x v="4"/>
    <x v="0"/>
    <x v="1"/>
    <x v="1"/>
    <x v="0"/>
    <x v="11"/>
    <n v="0"/>
    <x v="0"/>
  </r>
  <r>
    <x v="5"/>
    <x v="0"/>
    <x v="5"/>
    <x v="1"/>
    <x v="0"/>
    <x v="0"/>
    <x v="0"/>
    <x v="0"/>
    <n v="2955.3281485219559"/>
    <x v="0"/>
  </r>
  <r>
    <x v="5"/>
    <x v="0"/>
    <x v="5"/>
    <x v="1"/>
    <x v="0"/>
    <x v="0"/>
    <x v="0"/>
    <x v="1"/>
    <n v="2832.3587619164009"/>
    <x v="0"/>
  </r>
  <r>
    <x v="5"/>
    <x v="0"/>
    <x v="5"/>
    <x v="1"/>
    <x v="0"/>
    <x v="0"/>
    <x v="0"/>
    <x v="2"/>
    <n v="4206.8493260566584"/>
    <x v="0"/>
  </r>
  <r>
    <x v="5"/>
    <x v="0"/>
    <x v="5"/>
    <x v="1"/>
    <x v="0"/>
    <x v="0"/>
    <x v="0"/>
    <x v="3"/>
    <n v="4151.3955187014362"/>
    <x v="0"/>
  </r>
  <r>
    <x v="5"/>
    <x v="0"/>
    <x v="5"/>
    <x v="1"/>
    <x v="0"/>
    <x v="0"/>
    <x v="0"/>
    <x v="4"/>
    <n v="4233.2228522959704"/>
    <x v="0"/>
  </r>
  <r>
    <x v="5"/>
    <x v="0"/>
    <x v="5"/>
    <x v="1"/>
    <x v="0"/>
    <x v="0"/>
    <x v="0"/>
    <x v="5"/>
    <n v="4338.0264052681796"/>
    <x v="0"/>
  </r>
  <r>
    <x v="5"/>
    <x v="0"/>
    <x v="5"/>
    <x v="1"/>
    <x v="0"/>
    <x v="0"/>
    <x v="0"/>
    <x v="6"/>
    <n v="4333.525977353097"/>
    <x v="0"/>
  </r>
  <r>
    <x v="5"/>
    <x v="0"/>
    <x v="5"/>
    <x v="1"/>
    <x v="0"/>
    <x v="0"/>
    <x v="0"/>
    <x v="7"/>
    <n v="4449.8699251918342"/>
    <x v="0"/>
  </r>
  <r>
    <x v="5"/>
    <x v="0"/>
    <x v="5"/>
    <x v="1"/>
    <x v="0"/>
    <x v="0"/>
    <x v="0"/>
    <x v="8"/>
    <n v="4531.8153609341625"/>
    <x v="0"/>
  </r>
  <r>
    <x v="5"/>
    <x v="0"/>
    <x v="5"/>
    <x v="1"/>
    <x v="0"/>
    <x v="0"/>
    <x v="0"/>
    <x v="9"/>
    <n v="4135.1181224315296"/>
    <x v="0"/>
  </r>
  <r>
    <x v="5"/>
    <x v="0"/>
    <x v="5"/>
    <x v="1"/>
    <x v="0"/>
    <x v="0"/>
    <x v="0"/>
    <x v="10"/>
    <n v="4038.3857294486475"/>
    <x v="0"/>
  </r>
  <r>
    <x v="5"/>
    <x v="0"/>
    <x v="5"/>
    <x v="1"/>
    <x v="0"/>
    <x v="0"/>
    <x v="0"/>
    <x v="11"/>
    <n v="4672.629938652095"/>
    <x v="0"/>
  </r>
  <r>
    <x v="6"/>
    <x v="0"/>
    <x v="6"/>
    <x v="0"/>
    <x v="0"/>
    <x v="0"/>
    <x v="0"/>
    <x v="0"/>
    <n v="8425.1203392948155"/>
    <x v="0"/>
  </r>
  <r>
    <x v="6"/>
    <x v="0"/>
    <x v="6"/>
    <x v="0"/>
    <x v="0"/>
    <x v="0"/>
    <x v="0"/>
    <x v="1"/>
    <n v="8065.6523221894395"/>
    <x v="0"/>
  </r>
  <r>
    <x v="6"/>
    <x v="0"/>
    <x v="6"/>
    <x v="0"/>
    <x v="0"/>
    <x v="0"/>
    <x v="0"/>
    <x v="2"/>
    <n v="8084.2266265952112"/>
    <x v="0"/>
  </r>
  <r>
    <x v="6"/>
    <x v="0"/>
    <x v="6"/>
    <x v="0"/>
    <x v="0"/>
    <x v="0"/>
    <x v="0"/>
    <x v="3"/>
    <n v="9000.5222083130284"/>
    <x v="0"/>
  </r>
  <r>
    <x v="6"/>
    <x v="0"/>
    <x v="6"/>
    <x v="0"/>
    <x v="0"/>
    <x v="0"/>
    <x v="0"/>
    <x v="4"/>
    <n v="9188.1821260660054"/>
    <x v="0"/>
  </r>
  <r>
    <x v="6"/>
    <x v="0"/>
    <x v="6"/>
    <x v="0"/>
    <x v="0"/>
    <x v="0"/>
    <x v="0"/>
    <x v="5"/>
    <n v="9427.2680962373615"/>
    <x v="0"/>
  </r>
  <r>
    <x v="6"/>
    <x v="0"/>
    <x v="6"/>
    <x v="0"/>
    <x v="0"/>
    <x v="0"/>
    <x v="0"/>
    <x v="6"/>
    <n v="9215.5727465969649"/>
    <x v="0"/>
  </r>
  <r>
    <x v="6"/>
    <x v="0"/>
    <x v="6"/>
    <x v="0"/>
    <x v="0"/>
    <x v="0"/>
    <x v="0"/>
    <x v="7"/>
    <n v="9646.0850959629643"/>
    <x v="0"/>
  </r>
  <r>
    <x v="6"/>
    <x v="0"/>
    <x v="6"/>
    <x v="0"/>
    <x v="0"/>
    <x v="0"/>
    <x v="0"/>
    <x v="8"/>
    <n v="9698.6680896695398"/>
    <x v="0"/>
  </r>
  <r>
    <x v="6"/>
    <x v="0"/>
    <x v="6"/>
    <x v="0"/>
    <x v="0"/>
    <x v="0"/>
    <x v="0"/>
    <x v="9"/>
    <n v="8989.0109403487531"/>
    <x v="0"/>
  </r>
  <r>
    <x v="6"/>
    <x v="0"/>
    <x v="6"/>
    <x v="0"/>
    <x v="0"/>
    <x v="0"/>
    <x v="0"/>
    <x v="10"/>
    <n v="8785.0905999411843"/>
    <x v="0"/>
  </r>
  <r>
    <x v="6"/>
    <x v="0"/>
    <x v="6"/>
    <x v="0"/>
    <x v="0"/>
    <x v="0"/>
    <x v="0"/>
    <x v="11"/>
    <n v="10164.823298506622"/>
    <x v="0"/>
  </r>
  <r>
    <x v="7"/>
    <x v="0"/>
    <x v="7"/>
    <x v="0"/>
    <x v="0"/>
    <x v="0"/>
    <x v="0"/>
    <x v="0"/>
    <n v="4374.5965948470503"/>
    <x v="0"/>
  </r>
  <r>
    <x v="7"/>
    <x v="0"/>
    <x v="7"/>
    <x v="0"/>
    <x v="0"/>
    <x v="0"/>
    <x v="0"/>
    <x v="1"/>
    <n v="4190.4797924771401"/>
    <x v="0"/>
  </r>
  <r>
    <x v="7"/>
    <x v="0"/>
    <x v="7"/>
    <x v="0"/>
    <x v="0"/>
    <x v="0"/>
    <x v="0"/>
    <x v="2"/>
    <n v="4627.5342586623246"/>
    <x v="0"/>
  </r>
  <r>
    <x v="7"/>
    <x v="0"/>
    <x v="7"/>
    <x v="0"/>
    <x v="0"/>
    <x v="0"/>
    <x v="0"/>
    <x v="3"/>
    <n v="4568.2669930107631"/>
    <x v="0"/>
  </r>
  <r>
    <x v="7"/>
    <x v="0"/>
    <x v="7"/>
    <x v="0"/>
    <x v="0"/>
    <x v="0"/>
    <x v="0"/>
    <x v="4"/>
    <n v="4659.6312863855801"/>
    <x v="0"/>
  </r>
  <r>
    <x v="7"/>
    <x v="0"/>
    <x v="7"/>
    <x v="0"/>
    <x v="0"/>
    <x v="0"/>
    <x v="0"/>
    <x v="5"/>
    <n v="4776.4984336277648"/>
    <x v="0"/>
  </r>
  <r>
    <x v="7"/>
    <x v="0"/>
    <x v="7"/>
    <x v="0"/>
    <x v="0"/>
    <x v="0"/>
    <x v="0"/>
    <x v="6"/>
    <n v="4749.4501103163066"/>
    <x v="0"/>
  </r>
  <r>
    <x v="7"/>
    <x v="0"/>
    <x v="7"/>
    <x v="0"/>
    <x v="0"/>
    <x v="0"/>
    <x v="0"/>
    <x v="7"/>
    <n v="4897.0997249979437"/>
    <x v="0"/>
  </r>
  <r>
    <x v="7"/>
    <x v="0"/>
    <x v="7"/>
    <x v="0"/>
    <x v="0"/>
    <x v="0"/>
    <x v="0"/>
    <x v="8"/>
    <n v="3767.3152457584297"/>
    <x v="0"/>
  </r>
  <r>
    <x v="7"/>
    <x v="0"/>
    <x v="7"/>
    <x v="0"/>
    <x v="0"/>
    <x v="0"/>
    <x v="0"/>
    <x v="9"/>
    <n v="3300.8312789587271"/>
    <x v="0"/>
  </r>
  <r>
    <x v="7"/>
    <x v="0"/>
    <x v="7"/>
    <x v="0"/>
    <x v="0"/>
    <x v="0"/>
    <x v="0"/>
    <x v="10"/>
    <n v="4584.0874348287798"/>
    <x v="0"/>
  </r>
  <r>
    <x v="7"/>
    <x v="0"/>
    <x v="7"/>
    <x v="0"/>
    <x v="0"/>
    <x v="0"/>
    <x v="0"/>
    <x v="11"/>
    <n v="5304.0362224893861"/>
    <x v="0"/>
  </r>
  <r>
    <x v="7"/>
    <x v="1"/>
    <x v="7"/>
    <x v="0"/>
    <x v="1"/>
    <x v="1"/>
    <x v="0"/>
    <x v="0"/>
    <n v="1459.9454463513348"/>
    <x v="0"/>
  </r>
  <r>
    <x v="7"/>
    <x v="1"/>
    <x v="7"/>
    <x v="0"/>
    <x v="1"/>
    <x v="1"/>
    <x v="0"/>
    <x v="1"/>
    <n v="0"/>
    <x v="0"/>
  </r>
  <r>
    <x v="7"/>
    <x v="1"/>
    <x v="7"/>
    <x v="0"/>
    <x v="1"/>
    <x v="1"/>
    <x v="0"/>
    <x v="2"/>
    <n v="0"/>
    <x v="0"/>
  </r>
  <r>
    <x v="7"/>
    <x v="1"/>
    <x v="7"/>
    <x v="0"/>
    <x v="1"/>
    <x v="1"/>
    <x v="0"/>
    <x v="3"/>
    <n v="0"/>
    <x v="0"/>
  </r>
  <r>
    <x v="7"/>
    <x v="1"/>
    <x v="7"/>
    <x v="0"/>
    <x v="1"/>
    <x v="1"/>
    <x v="0"/>
    <x v="4"/>
    <n v="0"/>
    <x v="0"/>
  </r>
  <r>
    <x v="7"/>
    <x v="1"/>
    <x v="7"/>
    <x v="0"/>
    <x v="1"/>
    <x v="1"/>
    <x v="0"/>
    <x v="5"/>
    <n v="0"/>
    <x v="0"/>
  </r>
  <r>
    <x v="7"/>
    <x v="1"/>
    <x v="7"/>
    <x v="0"/>
    <x v="1"/>
    <x v="1"/>
    <x v="0"/>
    <x v="6"/>
    <n v="0"/>
    <x v="0"/>
  </r>
  <r>
    <x v="7"/>
    <x v="1"/>
    <x v="7"/>
    <x v="0"/>
    <x v="1"/>
    <x v="1"/>
    <x v="0"/>
    <x v="7"/>
    <n v="0"/>
    <x v="0"/>
  </r>
  <r>
    <x v="7"/>
    <x v="1"/>
    <x v="7"/>
    <x v="0"/>
    <x v="1"/>
    <x v="1"/>
    <x v="0"/>
    <x v="8"/>
    <n v="0"/>
    <x v="0"/>
  </r>
  <r>
    <x v="7"/>
    <x v="1"/>
    <x v="7"/>
    <x v="0"/>
    <x v="1"/>
    <x v="1"/>
    <x v="0"/>
    <x v="9"/>
    <n v="0"/>
    <x v="0"/>
  </r>
  <r>
    <x v="7"/>
    <x v="1"/>
    <x v="7"/>
    <x v="0"/>
    <x v="1"/>
    <x v="1"/>
    <x v="0"/>
    <x v="10"/>
    <n v="0"/>
    <x v="0"/>
  </r>
  <r>
    <x v="7"/>
    <x v="1"/>
    <x v="7"/>
    <x v="0"/>
    <x v="1"/>
    <x v="1"/>
    <x v="0"/>
    <x v="11"/>
    <n v="0"/>
    <x v="0"/>
  </r>
  <r>
    <x v="8"/>
    <x v="0"/>
    <x v="8"/>
    <x v="0"/>
    <x v="0"/>
    <x v="0"/>
    <x v="0"/>
    <x v="0"/>
    <n v="2947.7889902369975"/>
    <x v="0"/>
  </r>
  <r>
    <x v="8"/>
    <x v="0"/>
    <x v="8"/>
    <x v="0"/>
    <x v="0"/>
    <x v="0"/>
    <x v="0"/>
    <x v="1"/>
    <n v="2825.1312968057518"/>
    <x v="0"/>
  </r>
  <r>
    <x v="8"/>
    <x v="0"/>
    <x v="8"/>
    <x v="0"/>
    <x v="0"/>
    <x v="0"/>
    <x v="0"/>
    <x v="2"/>
    <n v="4206.8493260566584"/>
    <x v="0"/>
  </r>
  <r>
    <x v="8"/>
    <x v="0"/>
    <x v="8"/>
    <x v="0"/>
    <x v="0"/>
    <x v="0"/>
    <x v="0"/>
    <x v="3"/>
    <n v="4151.3789042084545"/>
    <x v="0"/>
  </r>
  <r>
    <x v="8"/>
    <x v="0"/>
    <x v="8"/>
    <x v="0"/>
    <x v="0"/>
    <x v="0"/>
    <x v="0"/>
    <x v="4"/>
    <n v="4233.1903590829788"/>
    <x v="0"/>
  </r>
  <r>
    <x v="8"/>
    <x v="0"/>
    <x v="8"/>
    <x v="0"/>
    <x v="0"/>
    <x v="0"/>
    <x v="0"/>
    <x v="5"/>
    <n v="4337.9800589869601"/>
    <x v="0"/>
  </r>
  <r>
    <x v="8"/>
    <x v="0"/>
    <x v="8"/>
    <x v="0"/>
    <x v="0"/>
    <x v="0"/>
    <x v="0"/>
    <x v="6"/>
    <n v="4333.4783995068019"/>
    <x v="0"/>
  </r>
  <r>
    <x v="8"/>
    <x v="0"/>
    <x v="8"/>
    <x v="0"/>
    <x v="0"/>
    <x v="0"/>
    <x v="0"/>
    <x v="7"/>
    <n v="4449.8018626933526"/>
    <x v="0"/>
  </r>
  <r>
    <x v="8"/>
    <x v="0"/>
    <x v="8"/>
    <x v="0"/>
    <x v="0"/>
    <x v="0"/>
    <x v="0"/>
    <x v="8"/>
    <n v="4531.7375866661669"/>
    <x v="0"/>
  </r>
  <r>
    <x v="8"/>
    <x v="0"/>
    <x v="8"/>
    <x v="0"/>
    <x v="0"/>
    <x v="0"/>
    <x v="0"/>
    <x v="9"/>
    <n v="4126.666081224027"/>
    <x v="0"/>
  </r>
  <r>
    <x v="8"/>
    <x v="0"/>
    <x v="8"/>
    <x v="0"/>
    <x v="0"/>
    <x v="0"/>
    <x v="0"/>
    <x v="10"/>
    <n v="4030.0378449891164"/>
    <x v="0"/>
  </r>
  <r>
    <x v="8"/>
    <x v="0"/>
    <x v="8"/>
    <x v="0"/>
    <x v="0"/>
    <x v="0"/>
    <x v="0"/>
    <x v="11"/>
    <n v="4662.9709864213637"/>
    <x v="0"/>
  </r>
  <r>
    <x v="8"/>
    <x v="1"/>
    <x v="8"/>
    <x v="0"/>
    <x v="1"/>
    <x v="1"/>
    <x v="0"/>
    <x v="0"/>
    <n v="0"/>
    <x v="0"/>
  </r>
  <r>
    <x v="8"/>
    <x v="1"/>
    <x v="8"/>
    <x v="0"/>
    <x v="1"/>
    <x v="1"/>
    <x v="0"/>
    <x v="1"/>
    <n v="2099.3798733488138"/>
    <x v="0"/>
  </r>
  <r>
    <x v="8"/>
    <x v="1"/>
    <x v="8"/>
    <x v="0"/>
    <x v="1"/>
    <x v="1"/>
    <x v="0"/>
    <x v="2"/>
    <n v="0"/>
    <x v="0"/>
  </r>
  <r>
    <x v="8"/>
    <x v="1"/>
    <x v="8"/>
    <x v="0"/>
    <x v="1"/>
    <x v="1"/>
    <x v="0"/>
    <x v="3"/>
    <n v="0"/>
    <x v="0"/>
  </r>
  <r>
    <x v="8"/>
    <x v="1"/>
    <x v="8"/>
    <x v="0"/>
    <x v="1"/>
    <x v="1"/>
    <x v="0"/>
    <x v="4"/>
    <n v="0"/>
    <x v="0"/>
  </r>
  <r>
    <x v="8"/>
    <x v="1"/>
    <x v="8"/>
    <x v="0"/>
    <x v="1"/>
    <x v="1"/>
    <x v="0"/>
    <x v="5"/>
    <n v="0"/>
    <x v="0"/>
  </r>
  <r>
    <x v="8"/>
    <x v="1"/>
    <x v="8"/>
    <x v="0"/>
    <x v="1"/>
    <x v="1"/>
    <x v="0"/>
    <x v="6"/>
    <n v="0"/>
    <x v="0"/>
  </r>
  <r>
    <x v="8"/>
    <x v="1"/>
    <x v="8"/>
    <x v="0"/>
    <x v="1"/>
    <x v="1"/>
    <x v="0"/>
    <x v="7"/>
    <n v="0"/>
    <x v="0"/>
  </r>
  <r>
    <x v="8"/>
    <x v="1"/>
    <x v="8"/>
    <x v="0"/>
    <x v="1"/>
    <x v="1"/>
    <x v="0"/>
    <x v="8"/>
    <n v="0"/>
    <x v="0"/>
  </r>
  <r>
    <x v="8"/>
    <x v="1"/>
    <x v="8"/>
    <x v="0"/>
    <x v="1"/>
    <x v="1"/>
    <x v="0"/>
    <x v="9"/>
    <n v="0"/>
    <x v="0"/>
  </r>
  <r>
    <x v="8"/>
    <x v="1"/>
    <x v="8"/>
    <x v="0"/>
    <x v="1"/>
    <x v="1"/>
    <x v="0"/>
    <x v="10"/>
    <n v="0"/>
    <x v="0"/>
  </r>
  <r>
    <x v="8"/>
    <x v="1"/>
    <x v="8"/>
    <x v="0"/>
    <x v="1"/>
    <x v="1"/>
    <x v="0"/>
    <x v="11"/>
    <n v="0"/>
    <x v="0"/>
  </r>
  <r>
    <x v="9"/>
    <x v="0"/>
    <x v="9"/>
    <x v="0"/>
    <x v="0"/>
    <x v="0"/>
    <x v="0"/>
    <x v="0"/>
    <n v="2360.8091638587653"/>
    <x v="0"/>
  </r>
  <r>
    <x v="9"/>
    <x v="0"/>
    <x v="9"/>
    <x v="0"/>
    <x v="0"/>
    <x v="0"/>
    <x v="0"/>
    <x v="1"/>
    <n v="2262.9607539069893"/>
    <x v="0"/>
  </r>
  <r>
    <x v="9"/>
    <x v="0"/>
    <x v="9"/>
    <x v="0"/>
    <x v="0"/>
    <x v="0"/>
    <x v="0"/>
    <x v="2"/>
    <n v="3085.0228391082164"/>
    <x v="0"/>
  </r>
  <r>
    <x v="9"/>
    <x v="0"/>
    <x v="9"/>
    <x v="0"/>
    <x v="0"/>
    <x v="0"/>
    <x v="0"/>
    <x v="3"/>
    <n v="3046.9277142004894"/>
    <x v="0"/>
  </r>
  <r>
    <x v="9"/>
    <x v="0"/>
    <x v="9"/>
    <x v="0"/>
    <x v="0"/>
    <x v="0"/>
    <x v="0"/>
    <x v="4"/>
    <n v="1593.0391023487584"/>
    <x v="0"/>
  </r>
  <r>
    <x v="9"/>
    <x v="0"/>
    <x v="9"/>
    <x v="0"/>
    <x v="0"/>
    <x v="0"/>
    <x v="0"/>
    <x v="5"/>
    <n v="3188.7689799643263"/>
    <x v="0"/>
  </r>
  <r>
    <x v="9"/>
    <x v="0"/>
    <x v="9"/>
    <x v="0"/>
    <x v="0"/>
    <x v="0"/>
    <x v="0"/>
    <x v="6"/>
    <n v="3198.1772305619111"/>
    <x v="0"/>
  </r>
  <r>
    <x v="9"/>
    <x v="0"/>
    <x v="9"/>
    <x v="0"/>
    <x v="0"/>
    <x v="0"/>
    <x v="0"/>
    <x v="7"/>
    <n v="3275.6527421463466"/>
    <x v="0"/>
  </r>
  <r>
    <x v="9"/>
    <x v="0"/>
    <x v="9"/>
    <x v="0"/>
    <x v="0"/>
    <x v="0"/>
    <x v="0"/>
    <x v="8"/>
    <n v="6341.1469576415984"/>
    <x v="0"/>
  </r>
  <r>
    <x v="9"/>
    <x v="0"/>
    <x v="9"/>
    <x v="0"/>
    <x v="0"/>
    <x v="0"/>
    <x v="0"/>
    <x v="9"/>
    <n v="0"/>
    <x v="0"/>
  </r>
  <r>
    <x v="9"/>
    <x v="0"/>
    <x v="9"/>
    <x v="0"/>
    <x v="0"/>
    <x v="0"/>
    <x v="0"/>
    <x v="10"/>
    <n v="0"/>
    <x v="0"/>
  </r>
  <r>
    <x v="9"/>
    <x v="0"/>
    <x v="9"/>
    <x v="0"/>
    <x v="0"/>
    <x v="0"/>
    <x v="0"/>
    <x v="11"/>
    <n v="0"/>
    <x v="0"/>
  </r>
  <r>
    <x v="10"/>
    <x v="0"/>
    <x v="10"/>
    <x v="0"/>
    <x v="0"/>
    <x v="0"/>
    <x v="0"/>
    <x v="0"/>
    <n v="2214.8277587326488"/>
    <x v="0"/>
  </r>
  <r>
    <x v="10"/>
    <x v="0"/>
    <x v="10"/>
    <x v="0"/>
    <x v="0"/>
    <x v="0"/>
    <x v="0"/>
    <x v="1"/>
    <n v="2123.0160915495571"/>
    <x v="0"/>
  </r>
  <r>
    <x v="10"/>
    <x v="0"/>
    <x v="10"/>
    <x v="0"/>
    <x v="0"/>
    <x v="0"/>
    <x v="0"/>
    <x v="2"/>
    <n v="2524.109595633995"/>
    <x v="0"/>
  </r>
  <r>
    <x v="10"/>
    <x v="0"/>
    <x v="10"/>
    <x v="0"/>
    <x v="0"/>
    <x v="0"/>
    <x v="0"/>
    <x v="3"/>
    <n v="2492.4647008083712"/>
    <x v="0"/>
  </r>
  <r>
    <x v="10"/>
    <x v="0"/>
    <x v="10"/>
    <x v="0"/>
    <x v="0"/>
    <x v="0"/>
    <x v="0"/>
    <x v="4"/>
    <n v="2543.4429783806818"/>
    <x v="0"/>
  </r>
  <r>
    <x v="10"/>
    <x v="0"/>
    <x v="10"/>
    <x v="0"/>
    <x v="0"/>
    <x v="0"/>
    <x v="0"/>
    <x v="5"/>
    <n v="2451.1331546603565"/>
    <x v="0"/>
  </r>
  <r>
    <x v="10"/>
    <x v="0"/>
    <x v="10"/>
    <x v="0"/>
    <x v="0"/>
    <x v="0"/>
    <x v="0"/>
    <x v="6"/>
    <n v="2490.2272737815738"/>
    <x v="0"/>
  </r>
  <r>
    <x v="10"/>
    <x v="0"/>
    <x v="10"/>
    <x v="0"/>
    <x v="0"/>
    <x v="0"/>
    <x v="0"/>
    <x v="7"/>
    <n v="2842.5991770783512"/>
    <x v="0"/>
  </r>
  <r>
    <x v="10"/>
    <x v="0"/>
    <x v="10"/>
    <x v="0"/>
    <x v="0"/>
    <x v="0"/>
    <x v="0"/>
    <x v="8"/>
    <n v="2682.7515828937162"/>
    <x v="0"/>
  </r>
  <r>
    <x v="10"/>
    <x v="0"/>
    <x v="10"/>
    <x v="0"/>
    <x v="0"/>
    <x v="0"/>
    <x v="0"/>
    <x v="9"/>
    <n v="2497.453537786721"/>
    <x v="0"/>
  </r>
  <r>
    <x v="10"/>
    <x v="0"/>
    <x v="10"/>
    <x v="0"/>
    <x v="0"/>
    <x v="0"/>
    <x v="0"/>
    <x v="10"/>
    <n v="2442.0531407773951"/>
    <x v="0"/>
  </r>
  <r>
    <x v="10"/>
    <x v="0"/>
    <x v="10"/>
    <x v="0"/>
    <x v="0"/>
    <x v="0"/>
    <x v="0"/>
    <x v="11"/>
    <n v="2825.5870988662919"/>
    <x v="0"/>
  </r>
  <r>
    <x v="11"/>
    <x v="0"/>
    <x v="11"/>
    <x v="0"/>
    <x v="0"/>
    <x v="0"/>
    <x v="0"/>
    <x v="0"/>
    <n v="6440.2135491262534"/>
    <x v="0"/>
  </r>
  <r>
    <x v="11"/>
    <x v="0"/>
    <x v="11"/>
    <x v="0"/>
    <x v="0"/>
    <x v="0"/>
    <x v="0"/>
    <x v="1"/>
    <n v="6173.9543026049478"/>
    <x v="0"/>
  </r>
  <r>
    <x v="11"/>
    <x v="0"/>
    <x v="11"/>
    <x v="0"/>
    <x v="0"/>
    <x v="0"/>
    <x v="0"/>
    <x v="2"/>
    <n v="6184.0530841890932"/>
    <x v="0"/>
  </r>
  <r>
    <x v="11"/>
    <x v="0"/>
    <x v="11"/>
    <x v="0"/>
    <x v="0"/>
    <x v="0"/>
    <x v="0"/>
    <x v="3"/>
    <n v="5690.3406219074623"/>
    <x v="0"/>
  </r>
  <r>
    <x v="11"/>
    <x v="0"/>
    <x v="11"/>
    <x v="0"/>
    <x v="0"/>
    <x v="0"/>
    <x v="0"/>
    <x v="4"/>
    <n v="6233.7734662571002"/>
    <x v="0"/>
  </r>
  <r>
    <x v="11"/>
    <x v="0"/>
    <x v="11"/>
    <x v="0"/>
    <x v="0"/>
    <x v="0"/>
    <x v="0"/>
    <x v="5"/>
    <n v="5411.6843559768658"/>
    <x v="0"/>
  </r>
  <r>
    <x v="11"/>
    <x v="0"/>
    <x v="11"/>
    <x v="0"/>
    <x v="0"/>
    <x v="0"/>
    <x v="0"/>
    <x v="6"/>
    <n v="8398.6009537282807"/>
    <x v="0"/>
  </r>
  <r>
    <x v="11"/>
    <x v="0"/>
    <x v="11"/>
    <x v="0"/>
    <x v="0"/>
    <x v="0"/>
    <x v="0"/>
    <x v="7"/>
    <n v="6548.0606786585531"/>
    <x v="0"/>
  </r>
  <r>
    <x v="11"/>
    <x v="0"/>
    <x v="11"/>
    <x v="0"/>
    <x v="0"/>
    <x v="0"/>
    <x v="0"/>
    <x v="8"/>
    <n v="6594.0449466209384"/>
    <x v="0"/>
  </r>
  <r>
    <x v="11"/>
    <x v="0"/>
    <x v="11"/>
    <x v="0"/>
    <x v="0"/>
    <x v="0"/>
    <x v="0"/>
    <x v="9"/>
    <n v="6079.7913630799412"/>
    <x v="0"/>
  </r>
  <r>
    <x v="11"/>
    <x v="0"/>
    <x v="11"/>
    <x v="0"/>
    <x v="0"/>
    <x v="0"/>
    <x v="0"/>
    <x v="10"/>
    <n v="12675.226304485672"/>
    <x v="0"/>
  </r>
  <r>
    <x v="11"/>
    <x v="0"/>
    <x v="11"/>
    <x v="0"/>
    <x v="0"/>
    <x v="0"/>
    <x v="0"/>
    <x v="11"/>
    <n v="14665.919968377168"/>
    <x v="0"/>
  </r>
  <r>
    <x v="11"/>
    <x v="1"/>
    <x v="11"/>
    <x v="0"/>
    <x v="1"/>
    <x v="1"/>
    <x v="0"/>
    <x v="0"/>
    <n v="7866.8123815374774"/>
    <x v="0"/>
  </r>
  <r>
    <x v="11"/>
    <x v="1"/>
    <x v="11"/>
    <x v="0"/>
    <x v="1"/>
    <x v="1"/>
    <x v="0"/>
    <x v="1"/>
    <n v="0"/>
    <x v="0"/>
  </r>
  <r>
    <x v="11"/>
    <x v="1"/>
    <x v="11"/>
    <x v="0"/>
    <x v="1"/>
    <x v="1"/>
    <x v="0"/>
    <x v="2"/>
    <n v="0"/>
    <x v="0"/>
  </r>
  <r>
    <x v="11"/>
    <x v="1"/>
    <x v="11"/>
    <x v="0"/>
    <x v="1"/>
    <x v="1"/>
    <x v="0"/>
    <x v="3"/>
    <n v="0"/>
    <x v="0"/>
  </r>
  <r>
    <x v="11"/>
    <x v="1"/>
    <x v="11"/>
    <x v="0"/>
    <x v="1"/>
    <x v="1"/>
    <x v="0"/>
    <x v="4"/>
    <n v="0"/>
    <x v="0"/>
  </r>
  <r>
    <x v="11"/>
    <x v="1"/>
    <x v="11"/>
    <x v="0"/>
    <x v="1"/>
    <x v="1"/>
    <x v="0"/>
    <x v="5"/>
    <n v="0"/>
    <x v="0"/>
  </r>
  <r>
    <x v="11"/>
    <x v="1"/>
    <x v="11"/>
    <x v="0"/>
    <x v="1"/>
    <x v="1"/>
    <x v="0"/>
    <x v="6"/>
    <n v="0"/>
    <x v="0"/>
  </r>
  <r>
    <x v="11"/>
    <x v="1"/>
    <x v="11"/>
    <x v="0"/>
    <x v="1"/>
    <x v="1"/>
    <x v="0"/>
    <x v="7"/>
    <n v="0"/>
    <x v="0"/>
  </r>
  <r>
    <x v="11"/>
    <x v="1"/>
    <x v="11"/>
    <x v="0"/>
    <x v="1"/>
    <x v="1"/>
    <x v="0"/>
    <x v="8"/>
    <n v="0"/>
    <x v="0"/>
  </r>
  <r>
    <x v="11"/>
    <x v="1"/>
    <x v="11"/>
    <x v="0"/>
    <x v="1"/>
    <x v="1"/>
    <x v="0"/>
    <x v="9"/>
    <n v="0"/>
    <x v="0"/>
  </r>
  <r>
    <x v="11"/>
    <x v="1"/>
    <x v="11"/>
    <x v="0"/>
    <x v="1"/>
    <x v="1"/>
    <x v="0"/>
    <x v="10"/>
    <n v="0"/>
    <x v="0"/>
  </r>
  <r>
    <x v="11"/>
    <x v="1"/>
    <x v="11"/>
    <x v="0"/>
    <x v="1"/>
    <x v="1"/>
    <x v="0"/>
    <x v="11"/>
    <n v="0"/>
    <x v="0"/>
  </r>
  <r>
    <x v="12"/>
    <x v="0"/>
    <x v="12"/>
    <x v="0"/>
    <x v="0"/>
    <x v="0"/>
    <x v="0"/>
    <x v="0"/>
    <n v="3630.5470776776629"/>
    <x v="0"/>
  </r>
  <r>
    <x v="12"/>
    <x v="0"/>
    <x v="12"/>
    <x v="0"/>
    <x v="0"/>
    <x v="0"/>
    <x v="0"/>
    <x v="1"/>
    <n v="3477.3078532213081"/>
    <x v="0"/>
  </r>
  <r>
    <x v="12"/>
    <x v="0"/>
    <x v="12"/>
    <x v="0"/>
    <x v="0"/>
    <x v="0"/>
    <x v="0"/>
    <x v="2"/>
    <n v="1991.6570901336561"/>
    <x v="0"/>
  </r>
  <r>
    <x v="12"/>
    <x v="0"/>
    <x v="12"/>
    <x v="0"/>
    <x v="0"/>
    <x v="0"/>
    <x v="0"/>
    <x v="3"/>
    <n v="3438.5714654589328"/>
    <x v="0"/>
  </r>
  <r>
    <x v="12"/>
    <x v="0"/>
    <x v="12"/>
    <x v="0"/>
    <x v="0"/>
    <x v="0"/>
    <x v="0"/>
    <x v="4"/>
    <n v="3509.2670030997369"/>
    <x v="0"/>
  </r>
  <r>
    <x v="12"/>
    <x v="0"/>
    <x v="12"/>
    <x v="0"/>
    <x v="0"/>
    <x v="0"/>
    <x v="0"/>
    <x v="5"/>
    <n v="3598.4541744020466"/>
    <x v="0"/>
  </r>
  <r>
    <x v="12"/>
    <x v="0"/>
    <x v="12"/>
    <x v="0"/>
    <x v="0"/>
    <x v="0"/>
    <x v="0"/>
    <x v="6"/>
    <n v="3608.7222681969361"/>
    <x v="0"/>
  </r>
  <r>
    <x v="12"/>
    <x v="0"/>
    <x v="12"/>
    <x v="0"/>
    <x v="0"/>
    <x v="0"/>
    <x v="0"/>
    <x v="7"/>
    <n v="3694.1882803642866"/>
    <x v="0"/>
  </r>
  <r>
    <x v="12"/>
    <x v="0"/>
    <x v="12"/>
    <x v="0"/>
    <x v="0"/>
    <x v="0"/>
    <x v="0"/>
    <x v="8"/>
    <n v="3770.5847563322664"/>
    <x v="0"/>
  </r>
  <r>
    <x v="12"/>
    <x v="0"/>
    <x v="12"/>
    <x v="0"/>
    <x v="0"/>
    <x v="0"/>
    <x v="0"/>
    <x v="9"/>
    <n v="6794.0432455746886"/>
    <x v="0"/>
  </r>
  <r>
    <x v="12"/>
    <x v="0"/>
    <x v="12"/>
    <x v="0"/>
    <x v="0"/>
    <x v="0"/>
    <x v="0"/>
    <x v="10"/>
    <n v="0"/>
    <x v="0"/>
  </r>
  <r>
    <x v="12"/>
    <x v="0"/>
    <x v="12"/>
    <x v="0"/>
    <x v="0"/>
    <x v="0"/>
    <x v="0"/>
    <x v="11"/>
    <n v="0"/>
    <x v="0"/>
  </r>
  <r>
    <x v="13"/>
    <x v="0"/>
    <x v="13"/>
    <x v="0"/>
    <x v="0"/>
    <x v="0"/>
    <x v="0"/>
    <x v="0"/>
    <n v="1900.1613368442065"/>
    <x v="0"/>
  </r>
  <r>
    <x v="13"/>
    <x v="0"/>
    <x v="13"/>
    <x v="0"/>
    <x v="0"/>
    <x v="0"/>
    <x v="0"/>
    <x v="1"/>
    <n v="1821.3575971346481"/>
    <x v="0"/>
  </r>
  <r>
    <x v="13"/>
    <x v="0"/>
    <x v="13"/>
    <x v="0"/>
    <x v="0"/>
    <x v="0"/>
    <x v="0"/>
    <x v="2"/>
    <n v="2524.109595633995"/>
    <x v="0"/>
  </r>
  <r>
    <x v="13"/>
    <x v="0"/>
    <x v="13"/>
    <x v="0"/>
    <x v="0"/>
    <x v="0"/>
    <x v="0"/>
    <x v="3"/>
    <n v="2492.4647008083712"/>
    <x v="0"/>
  </r>
  <r>
    <x v="13"/>
    <x v="0"/>
    <x v="13"/>
    <x v="0"/>
    <x v="0"/>
    <x v="0"/>
    <x v="0"/>
    <x v="4"/>
    <n v="2543.4429783806818"/>
    <x v="0"/>
  </r>
  <r>
    <x v="13"/>
    <x v="0"/>
    <x v="13"/>
    <x v="0"/>
    <x v="0"/>
    <x v="0"/>
    <x v="0"/>
    <x v="5"/>
    <n v="2607.7430321829534"/>
    <x v="0"/>
  </r>
  <r>
    <x v="13"/>
    <x v="0"/>
    <x v="13"/>
    <x v="0"/>
    <x v="0"/>
    <x v="0"/>
    <x v="0"/>
    <x v="6"/>
    <n v="2641.5430165294088"/>
    <x v="0"/>
  </r>
  <r>
    <x v="13"/>
    <x v="0"/>
    <x v="13"/>
    <x v="0"/>
    <x v="0"/>
    <x v="0"/>
    <x v="0"/>
    <x v="7"/>
    <n v="2682.603478201775"/>
    <x v="0"/>
  </r>
  <r>
    <x v="13"/>
    <x v="0"/>
    <x v="13"/>
    <x v="0"/>
    <x v="0"/>
    <x v="0"/>
    <x v="0"/>
    <x v="8"/>
    <n v="2682.7515828937162"/>
    <x v="0"/>
  </r>
  <r>
    <x v="13"/>
    <x v="0"/>
    <x v="13"/>
    <x v="0"/>
    <x v="0"/>
    <x v="0"/>
    <x v="0"/>
    <x v="9"/>
    <n v="2497.453537786721"/>
    <x v="0"/>
  </r>
  <r>
    <x v="13"/>
    <x v="0"/>
    <x v="13"/>
    <x v="0"/>
    <x v="0"/>
    <x v="0"/>
    <x v="0"/>
    <x v="10"/>
    <n v="2442.0531407773951"/>
    <x v="0"/>
  </r>
  <r>
    <x v="13"/>
    <x v="0"/>
    <x v="13"/>
    <x v="0"/>
    <x v="0"/>
    <x v="0"/>
    <x v="0"/>
    <x v="11"/>
    <n v="2825.5870988662919"/>
    <x v="0"/>
  </r>
  <r>
    <x v="14"/>
    <x v="0"/>
    <x v="14"/>
    <x v="0"/>
    <x v="0"/>
    <x v="0"/>
    <x v="0"/>
    <x v="0"/>
    <n v="1938.2542334304057"/>
    <x v="0"/>
  </r>
  <r>
    <x v="14"/>
    <x v="0"/>
    <x v="14"/>
    <x v="0"/>
    <x v="0"/>
    <x v="0"/>
    <x v="0"/>
    <x v="1"/>
    <n v="1857.8770098248419"/>
    <x v="0"/>
  </r>
  <r>
    <x v="14"/>
    <x v="0"/>
    <x v="14"/>
    <x v="0"/>
    <x v="0"/>
    <x v="0"/>
    <x v="0"/>
    <x v="2"/>
    <n v="2243.6529738968848"/>
    <x v="0"/>
  </r>
  <r>
    <x v="14"/>
    <x v="0"/>
    <x v="14"/>
    <x v="0"/>
    <x v="0"/>
    <x v="0"/>
    <x v="0"/>
    <x v="3"/>
    <n v="2215.556484454904"/>
    <x v="0"/>
  </r>
  <r>
    <x v="14"/>
    <x v="0"/>
    <x v="14"/>
    <x v="0"/>
    <x v="0"/>
    <x v="0"/>
    <x v="0"/>
    <x v="4"/>
    <n v="2260.8933001922974"/>
    <x v="0"/>
  </r>
  <r>
    <x v="14"/>
    <x v="0"/>
    <x v="14"/>
    <x v="0"/>
    <x v="0"/>
    <x v="0"/>
    <x v="0"/>
    <x v="5"/>
    <n v="2318.0773262457933"/>
    <x v="0"/>
  </r>
  <r>
    <x v="14"/>
    <x v="0"/>
    <x v="14"/>
    <x v="0"/>
    <x v="0"/>
    <x v="0"/>
    <x v="0"/>
    <x v="6"/>
    <n v="2360.6434120032291"/>
    <x v="0"/>
  </r>
  <r>
    <x v="14"/>
    <x v="0"/>
    <x v="14"/>
    <x v="0"/>
    <x v="0"/>
    <x v="0"/>
    <x v="0"/>
    <x v="7"/>
    <n v="2386.5227320891527"/>
    <x v="0"/>
  </r>
  <r>
    <x v="14"/>
    <x v="0"/>
    <x v="14"/>
    <x v="0"/>
    <x v="0"/>
    <x v="0"/>
    <x v="0"/>
    <x v="8"/>
    <n v="2388.0888120004661"/>
    <x v="0"/>
  </r>
  <r>
    <x v="14"/>
    <x v="0"/>
    <x v="14"/>
    <x v="0"/>
    <x v="0"/>
    <x v="0"/>
    <x v="0"/>
    <x v="9"/>
    <n v="2221.8621807933118"/>
    <x v="0"/>
  </r>
  <r>
    <x v="14"/>
    <x v="0"/>
    <x v="14"/>
    <x v="0"/>
    <x v="0"/>
    <x v="0"/>
    <x v="0"/>
    <x v="10"/>
    <n v="2172.5817067114931"/>
    <x v="0"/>
  </r>
  <r>
    <x v="14"/>
    <x v="0"/>
    <x v="14"/>
    <x v="0"/>
    <x v="0"/>
    <x v="0"/>
    <x v="0"/>
    <x v="11"/>
    <n v="2513.794126430309"/>
    <x v="0"/>
  </r>
  <r>
    <x v="15"/>
    <x v="0"/>
    <x v="15"/>
    <x v="0"/>
    <x v="0"/>
    <x v="0"/>
    <x v="0"/>
    <x v="0"/>
    <n v="2947.5685384745989"/>
    <x v="0"/>
  </r>
  <r>
    <x v="15"/>
    <x v="0"/>
    <x v="15"/>
    <x v="0"/>
    <x v="0"/>
    <x v="0"/>
    <x v="0"/>
    <x v="1"/>
    <n v="2824.9199592318346"/>
    <x v="0"/>
  </r>
  <r>
    <x v="15"/>
    <x v="0"/>
    <x v="15"/>
    <x v="0"/>
    <x v="0"/>
    <x v="0"/>
    <x v="0"/>
    <x v="2"/>
    <n v="4206.8493260566584"/>
    <x v="0"/>
  </r>
  <r>
    <x v="15"/>
    <x v="0"/>
    <x v="15"/>
    <x v="0"/>
    <x v="0"/>
    <x v="0"/>
    <x v="0"/>
    <x v="3"/>
    <n v="4151.3789042084545"/>
    <x v="0"/>
  </r>
  <r>
    <x v="15"/>
    <x v="0"/>
    <x v="15"/>
    <x v="0"/>
    <x v="0"/>
    <x v="0"/>
    <x v="0"/>
    <x v="4"/>
    <n v="4233.1903590829788"/>
    <x v="0"/>
  </r>
  <r>
    <x v="15"/>
    <x v="0"/>
    <x v="15"/>
    <x v="0"/>
    <x v="0"/>
    <x v="0"/>
    <x v="0"/>
    <x v="5"/>
    <n v="4337.9800589869601"/>
    <x v="0"/>
  </r>
  <r>
    <x v="15"/>
    <x v="0"/>
    <x v="15"/>
    <x v="0"/>
    <x v="0"/>
    <x v="0"/>
    <x v="0"/>
    <x v="6"/>
    <n v="4333.4783995068019"/>
    <x v="0"/>
  </r>
  <r>
    <x v="15"/>
    <x v="0"/>
    <x v="15"/>
    <x v="0"/>
    <x v="0"/>
    <x v="0"/>
    <x v="0"/>
    <x v="7"/>
    <n v="4449.8018626933526"/>
    <x v="0"/>
  </r>
  <r>
    <x v="15"/>
    <x v="0"/>
    <x v="15"/>
    <x v="0"/>
    <x v="0"/>
    <x v="0"/>
    <x v="0"/>
    <x v="8"/>
    <n v="4531.7375866661669"/>
    <x v="0"/>
  </r>
  <r>
    <x v="15"/>
    <x v="0"/>
    <x v="15"/>
    <x v="0"/>
    <x v="0"/>
    <x v="0"/>
    <x v="0"/>
    <x v="9"/>
    <n v="4139.3751306395125"/>
    <x v="0"/>
  </r>
  <r>
    <x v="15"/>
    <x v="0"/>
    <x v="15"/>
    <x v="0"/>
    <x v="0"/>
    <x v="0"/>
    <x v="0"/>
    <x v="10"/>
    <n v="4042.5536117526076"/>
    <x v="0"/>
  </r>
  <r>
    <x v="15"/>
    <x v="0"/>
    <x v="15"/>
    <x v="0"/>
    <x v="0"/>
    <x v="0"/>
    <x v="0"/>
    <x v="11"/>
    <n v="4677.4524031067031"/>
    <x v="0"/>
  </r>
  <r>
    <x v="16"/>
    <x v="0"/>
    <x v="16"/>
    <x v="0"/>
    <x v="0"/>
    <x v="0"/>
    <x v="0"/>
    <x v="0"/>
    <n v="1954.0566829417126"/>
    <x v="0"/>
  </r>
  <r>
    <x v="16"/>
    <x v="0"/>
    <x v="16"/>
    <x v="0"/>
    <x v="0"/>
    <x v="0"/>
    <x v="0"/>
    <x v="1"/>
    <n v="1308.9423572342519"/>
    <x v="0"/>
  </r>
  <r>
    <x v="16"/>
    <x v="0"/>
    <x v="16"/>
    <x v="0"/>
    <x v="0"/>
    <x v="0"/>
    <x v="0"/>
    <x v="2"/>
    <n v="0"/>
    <x v="0"/>
  </r>
  <r>
    <x v="16"/>
    <x v="0"/>
    <x v="16"/>
    <x v="0"/>
    <x v="0"/>
    <x v="0"/>
    <x v="0"/>
    <x v="3"/>
    <n v="0"/>
    <x v="0"/>
  </r>
  <r>
    <x v="16"/>
    <x v="0"/>
    <x v="16"/>
    <x v="0"/>
    <x v="0"/>
    <x v="0"/>
    <x v="0"/>
    <x v="4"/>
    <n v="0"/>
    <x v="0"/>
  </r>
  <r>
    <x v="16"/>
    <x v="0"/>
    <x v="16"/>
    <x v="0"/>
    <x v="0"/>
    <x v="0"/>
    <x v="0"/>
    <x v="5"/>
    <n v="0"/>
    <x v="0"/>
  </r>
  <r>
    <x v="16"/>
    <x v="0"/>
    <x v="16"/>
    <x v="0"/>
    <x v="0"/>
    <x v="0"/>
    <x v="0"/>
    <x v="6"/>
    <n v="0"/>
    <x v="0"/>
  </r>
  <r>
    <x v="16"/>
    <x v="0"/>
    <x v="16"/>
    <x v="0"/>
    <x v="0"/>
    <x v="0"/>
    <x v="0"/>
    <x v="7"/>
    <n v="0"/>
    <x v="0"/>
  </r>
  <r>
    <x v="16"/>
    <x v="0"/>
    <x v="16"/>
    <x v="0"/>
    <x v="0"/>
    <x v="0"/>
    <x v="0"/>
    <x v="8"/>
    <n v="0"/>
    <x v="0"/>
  </r>
  <r>
    <x v="16"/>
    <x v="0"/>
    <x v="16"/>
    <x v="0"/>
    <x v="0"/>
    <x v="0"/>
    <x v="0"/>
    <x v="9"/>
    <n v="0"/>
    <x v="0"/>
  </r>
  <r>
    <x v="16"/>
    <x v="0"/>
    <x v="16"/>
    <x v="0"/>
    <x v="0"/>
    <x v="0"/>
    <x v="0"/>
    <x v="10"/>
    <n v="0"/>
    <x v="0"/>
  </r>
  <r>
    <x v="16"/>
    <x v="0"/>
    <x v="16"/>
    <x v="0"/>
    <x v="0"/>
    <x v="0"/>
    <x v="0"/>
    <x v="11"/>
    <n v="0"/>
    <x v="0"/>
  </r>
  <r>
    <x v="17"/>
    <x v="0"/>
    <x v="17"/>
    <x v="2"/>
    <x v="0"/>
    <x v="0"/>
    <x v="0"/>
    <x v="0"/>
    <n v="2585.675801287583"/>
    <x v="0"/>
  </r>
  <r>
    <x v="17"/>
    <x v="0"/>
    <x v="17"/>
    <x v="2"/>
    <x v="0"/>
    <x v="0"/>
    <x v="0"/>
    <x v="1"/>
    <n v="2478.5320772353562"/>
    <x v="0"/>
  </r>
  <r>
    <x v="17"/>
    <x v="0"/>
    <x v="17"/>
    <x v="2"/>
    <x v="0"/>
    <x v="0"/>
    <x v="0"/>
    <x v="2"/>
    <n v="3505.7077717138818"/>
    <x v="0"/>
  </r>
  <r>
    <x v="17"/>
    <x v="0"/>
    <x v="17"/>
    <x v="2"/>
    <x v="0"/>
    <x v="0"/>
    <x v="0"/>
    <x v="3"/>
    <n v="3458.9532947236298"/>
    <x v="0"/>
  </r>
  <r>
    <x v="17"/>
    <x v="0"/>
    <x v="17"/>
    <x v="2"/>
    <x v="0"/>
    <x v="0"/>
    <x v="0"/>
    <x v="4"/>
    <n v="3526.4912314821008"/>
    <x v="0"/>
  </r>
  <r>
    <x v="17"/>
    <x v="0"/>
    <x v="17"/>
    <x v="2"/>
    <x v="0"/>
    <x v="0"/>
    <x v="0"/>
    <x v="5"/>
    <n v="3613.3574004563834"/>
    <x v="0"/>
  </r>
  <r>
    <x v="17"/>
    <x v="0"/>
    <x v="17"/>
    <x v="2"/>
    <x v="0"/>
    <x v="0"/>
    <x v="0"/>
    <x v="6"/>
    <n v="3633.3521997451649"/>
    <x v="0"/>
  </r>
  <r>
    <x v="17"/>
    <x v="0"/>
    <x v="17"/>
    <x v="2"/>
    <x v="0"/>
    <x v="0"/>
    <x v="0"/>
    <x v="7"/>
    <n v="3709.3410639936596"/>
    <x v="0"/>
  </r>
  <r>
    <x v="17"/>
    <x v="0"/>
    <x v="17"/>
    <x v="2"/>
    <x v="0"/>
    <x v="0"/>
    <x v="0"/>
    <x v="8"/>
    <n v="3796.5793097509645"/>
    <x v="0"/>
  </r>
  <r>
    <x v="17"/>
    <x v="0"/>
    <x v="17"/>
    <x v="2"/>
    <x v="0"/>
    <x v="0"/>
    <x v="0"/>
    <x v="9"/>
    <n v="3453.7916023529083"/>
    <x v="0"/>
  </r>
  <r>
    <x v="17"/>
    <x v="0"/>
    <x v="17"/>
    <x v="2"/>
    <x v="0"/>
    <x v="0"/>
    <x v="0"/>
    <x v="10"/>
    <n v="3377.2680238283797"/>
    <x v="0"/>
  </r>
  <r>
    <x v="17"/>
    <x v="0"/>
    <x v="17"/>
    <x v="2"/>
    <x v="0"/>
    <x v="0"/>
    <x v="0"/>
    <x v="11"/>
    <n v="3907.6811221664548"/>
    <x v="0"/>
  </r>
  <r>
    <x v="18"/>
    <x v="0"/>
    <x v="18"/>
    <x v="0"/>
    <x v="0"/>
    <x v="0"/>
    <x v="0"/>
    <x v="0"/>
    <n v="6756.0610668807931"/>
    <x v="0"/>
  </r>
  <r>
    <x v="18"/>
    <x v="0"/>
    <x v="18"/>
    <x v="0"/>
    <x v="0"/>
    <x v="0"/>
    <x v="0"/>
    <x v="1"/>
    <n v="6512.7914149902817"/>
    <x v="0"/>
  </r>
  <r>
    <x v="18"/>
    <x v="0"/>
    <x v="18"/>
    <x v="0"/>
    <x v="0"/>
    <x v="0"/>
    <x v="0"/>
    <x v="2"/>
    <n v="8230.7511886217653"/>
    <x v="0"/>
  </r>
  <r>
    <x v="18"/>
    <x v="0"/>
    <x v="18"/>
    <x v="0"/>
    <x v="0"/>
    <x v="0"/>
    <x v="0"/>
    <x v="3"/>
    <n v="8132.7126263774908"/>
    <x v="0"/>
  </r>
  <r>
    <x v="18"/>
    <x v="0"/>
    <x v="18"/>
    <x v="0"/>
    <x v="0"/>
    <x v="0"/>
    <x v="0"/>
    <x v="4"/>
    <n v="8260.3497310761613"/>
    <x v="0"/>
  </r>
  <r>
    <x v="18"/>
    <x v="0"/>
    <x v="18"/>
    <x v="0"/>
    <x v="0"/>
    <x v="0"/>
    <x v="0"/>
    <x v="5"/>
    <n v="8477.7066584551776"/>
    <x v="0"/>
  </r>
  <r>
    <x v="18"/>
    <x v="0"/>
    <x v="18"/>
    <x v="0"/>
    <x v="0"/>
    <x v="0"/>
    <x v="0"/>
    <x v="6"/>
    <n v="8303.7475203969279"/>
    <x v="0"/>
  </r>
  <r>
    <x v="18"/>
    <x v="0"/>
    <x v="18"/>
    <x v="0"/>
    <x v="0"/>
    <x v="0"/>
    <x v="0"/>
    <x v="7"/>
    <n v="8676.4371502019112"/>
    <x v="0"/>
  </r>
  <r>
    <x v="18"/>
    <x v="0"/>
    <x v="18"/>
    <x v="0"/>
    <x v="0"/>
    <x v="0"/>
    <x v="0"/>
    <x v="8"/>
    <n v="8709.3315396710605"/>
    <x v="0"/>
  </r>
  <r>
    <x v="18"/>
    <x v="0"/>
    <x v="18"/>
    <x v="0"/>
    <x v="0"/>
    <x v="0"/>
    <x v="0"/>
    <x v="9"/>
    <n v="8066.0706270098663"/>
    <x v="0"/>
  </r>
  <r>
    <x v="18"/>
    <x v="0"/>
    <x v="18"/>
    <x v="0"/>
    <x v="0"/>
    <x v="0"/>
    <x v="0"/>
    <x v="10"/>
    <n v="7883.1298964100679"/>
    <x v="0"/>
  </r>
  <r>
    <x v="18"/>
    <x v="0"/>
    <x v="18"/>
    <x v="0"/>
    <x v="0"/>
    <x v="0"/>
    <x v="0"/>
    <x v="11"/>
    <n v="9121.2061531522104"/>
    <x v="0"/>
  </r>
  <r>
    <x v="18"/>
    <x v="1"/>
    <x v="18"/>
    <x v="0"/>
    <x v="1"/>
    <x v="1"/>
    <x v="0"/>
    <x v="0"/>
    <n v="0"/>
    <x v="0"/>
  </r>
  <r>
    <x v="18"/>
    <x v="1"/>
    <x v="18"/>
    <x v="0"/>
    <x v="1"/>
    <x v="1"/>
    <x v="0"/>
    <x v="1"/>
    <n v="0"/>
    <x v="0"/>
  </r>
  <r>
    <x v="18"/>
    <x v="1"/>
    <x v="18"/>
    <x v="0"/>
    <x v="1"/>
    <x v="1"/>
    <x v="0"/>
    <x v="2"/>
    <n v="0"/>
    <x v="0"/>
  </r>
  <r>
    <x v="18"/>
    <x v="1"/>
    <x v="18"/>
    <x v="0"/>
    <x v="1"/>
    <x v="1"/>
    <x v="0"/>
    <x v="3"/>
    <n v="0"/>
    <x v="0"/>
  </r>
  <r>
    <x v="18"/>
    <x v="1"/>
    <x v="18"/>
    <x v="0"/>
    <x v="1"/>
    <x v="1"/>
    <x v="0"/>
    <x v="4"/>
    <n v="11725.811644817961"/>
    <x v="0"/>
  </r>
  <r>
    <x v="18"/>
    <x v="1"/>
    <x v="18"/>
    <x v="0"/>
    <x v="1"/>
    <x v="1"/>
    <x v="0"/>
    <x v="5"/>
    <n v="0"/>
    <x v="0"/>
  </r>
  <r>
    <x v="18"/>
    <x v="1"/>
    <x v="18"/>
    <x v="0"/>
    <x v="1"/>
    <x v="1"/>
    <x v="0"/>
    <x v="6"/>
    <n v="0"/>
    <x v="0"/>
  </r>
  <r>
    <x v="18"/>
    <x v="1"/>
    <x v="18"/>
    <x v="0"/>
    <x v="1"/>
    <x v="1"/>
    <x v="0"/>
    <x v="7"/>
    <n v="0"/>
    <x v="0"/>
  </r>
  <r>
    <x v="18"/>
    <x v="1"/>
    <x v="18"/>
    <x v="0"/>
    <x v="1"/>
    <x v="1"/>
    <x v="0"/>
    <x v="8"/>
    <n v="0"/>
    <x v="0"/>
  </r>
  <r>
    <x v="18"/>
    <x v="1"/>
    <x v="18"/>
    <x v="0"/>
    <x v="1"/>
    <x v="1"/>
    <x v="0"/>
    <x v="9"/>
    <n v="0"/>
    <x v="0"/>
  </r>
  <r>
    <x v="18"/>
    <x v="1"/>
    <x v="18"/>
    <x v="0"/>
    <x v="1"/>
    <x v="1"/>
    <x v="0"/>
    <x v="10"/>
    <n v="0"/>
    <x v="0"/>
  </r>
  <r>
    <x v="18"/>
    <x v="1"/>
    <x v="18"/>
    <x v="0"/>
    <x v="1"/>
    <x v="1"/>
    <x v="0"/>
    <x v="11"/>
    <n v="0"/>
    <x v="0"/>
  </r>
  <r>
    <x v="19"/>
    <x v="0"/>
    <x v="19"/>
    <x v="0"/>
    <x v="0"/>
    <x v="0"/>
    <x v="0"/>
    <x v="0"/>
    <n v="1801.6704971424529"/>
    <x v="0"/>
  </r>
  <r>
    <x v="19"/>
    <x v="0"/>
    <x v="19"/>
    <x v="0"/>
    <x v="0"/>
    <x v="0"/>
    <x v="0"/>
    <x v="1"/>
    <n v="1726.4404343008016"/>
    <x v="0"/>
  </r>
  <r>
    <x v="19"/>
    <x v="0"/>
    <x v="19"/>
    <x v="0"/>
    <x v="0"/>
    <x v="0"/>
    <x v="0"/>
    <x v="2"/>
    <n v="2243.6529738968848"/>
    <x v="0"/>
  </r>
  <r>
    <x v="19"/>
    <x v="0"/>
    <x v="19"/>
    <x v="0"/>
    <x v="0"/>
    <x v="0"/>
    <x v="0"/>
    <x v="3"/>
    <n v="1983.7760001205618"/>
    <x v="0"/>
  </r>
  <r>
    <x v="19"/>
    <x v="0"/>
    <x v="19"/>
    <x v="0"/>
    <x v="0"/>
    <x v="0"/>
    <x v="0"/>
    <x v="4"/>
    <n v="2102.2769745992928"/>
    <x v="0"/>
  </r>
  <r>
    <x v="19"/>
    <x v="0"/>
    <x v="19"/>
    <x v="0"/>
    <x v="0"/>
    <x v="0"/>
    <x v="0"/>
    <x v="5"/>
    <n v="2154.9123465733492"/>
    <x v="0"/>
  </r>
  <r>
    <x v="19"/>
    <x v="0"/>
    <x v="19"/>
    <x v="0"/>
    <x v="0"/>
    <x v="0"/>
    <x v="0"/>
    <x v="6"/>
    <n v="2848.995020511762"/>
    <x v="0"/>
  </r>
  <r>
    <x v="19"/>
    <x v="0"/>
    <x v="19"/>
    <x v="0"/>
    <x v="0"/>
    <x v="0"/>
    <x v="0"/>
    <x v="7"/>
    <n v="2297.7869895033923"/>
    <x v="0"/>
  </r>
  <r>
    <x v="19"/>
    <x v="0"/>
    <x v="19"/>
    <x v="0"/>
    <x v="0"/>
    <x v="0"/>
    <x v="0"/>
    <x v="8"/>
    <n v="2385.685287987586"/>
    <x v="0"/>
  </r>
  <r>
    <x v="19"/>
    <x v="0"/>
    <x v="19"/>
    <x v="0"/>
    <x v="0"/>
    <x v="0"/>
    <x v="0"/>
    <x v="9"/>
    <n v="2215.8946568317492"/>
    <x v="0"/>
  </r>
  <r>
    <x v="19"/>
    <x v="0"/>
    <x v="19"/>
    <x v="0"/>
    <x v="0"/>
    <x v="0"/>
    <x v="0"/>
    <x v="10"/>
    <n v="2166.7466714859488"/>
    <x v="0"/>
  </r>
  <r>
    <x v="19"/>
    <x v="0"/>
    <x v="19"/>
    <x v="0"/>
    <x v="0"/>
    <x v="0"/>
    <x v="0"/>
    <x v="11"/>
    <n v="2507.0426761938575"/>
    <x v="0"/>
  </r>
  <r>
    <x v="19"/>
    <x v="1"/>
    <x v="19"/>
    <x v="0"/>
    <x v="1"/>
    <x v="1"/>
    <x v="0"/>
    <x v="0"/>
    <n v="1459.9454463513348"/>
    <x v="0"/>
  </r>
  <r>
    <x v="19"/>
    <x v="1"/>
    <x v="19"/>
    <x v="0"/>
    <x v="1"/>
    <x v="1"/>
    <x v="0"/>
    <x v="1"/>
    <n v="0"/>
    <x v="0"/>
  </r>
  <r>
    <x v="19"/>
    <x v="1"/>
    <x v="19"/>
    <x v="0"/>
    <x v="1"/>
    <x v="1"/>
    <x v="0"/>
    <x v="2"/>
    <n v="0"/>
    <x v="0"/>
  </r>
  <r>
    <x v="19"/>
    <x v="1"/>
    <x v="19"/>
    <x v="0"/>
    <x v="1"/>
    <x v="1"/>
    <x v="0"/>
    <x v="3"/>
    <n v="0"/>
    <x v="0"/>
  </r>
  <r>
    <x v="19"/>
    <x v="1"/>
    <x v="19"/>
    <x v="0"/>
    <x v="1"/>
    <x v="1"/>
    <x v="0"/>
    <x v="4"/>
    <n v="0"/>
    <x v="0"/>
  </r>
  <r>
    <x v="19"/>
    <x v="1"/>
    <x v="19"/>
    <x v="0"/>
    <x v="1"/>
    <x v="1"/>
    <x v="0"/>
    <x v="5"/>
    <n v="0"/>
    <x v="0"/>
  </r>
  <r>
    <x v="19"/>
    <x v="1"/>
    <x v="19"/>
    <x v="0"/>
    <x v="1"/>
    <x v="1"/>
    <x v="0"/>
    <x v="6"/>
    <n v="0"/>
    <x v="0"/>
  </r>
  <r>
    <x v="19"/>
    <x v="1"/>
    <x v="19"/>
    <x v="0"/>
    <x v="1"/>
    <x v="1"/>
    <x v="0"/>
    <x v="7"/>
    <n v="0"/>
    <x v="0"/>
  </r>
  <r>
    <x v="19"/>
    <x v="1"/>
    <x v="19"/>
    <x v="0"/>
    <x v="1"/>
    <x v="1"/>
    <x v="0"/>
    <x v="8"/>
    <n v="0"/>
    <x v="0"/>
  </r>
  <r>
    <x v="19"/>
    <x v="1"/>
    <x v="19"/>
    <x v="0"/>
    <x v="1"/>
    <x v="1"/>
    <x v="0"/>
    <x v="9"/>
    <n v="0"/>
    <x v="0"/>
  </r>
  <r>
    <x v="19"/>
    <x v="1"/>
    <x v="19"/>
    <x v="0"/>
    <x v="1"/>
    <x v="1"/>
    <x v="0"/>
    <x v="10"/>
    <n v="0"/>
    <x v="0"/>
  </r>
  <r>
    <x v="19"/>
    <x v="1"/>
    <x v="19"/>
    <x v="0"/>
    <x v="1"/>
    <x v="1"/>
    <x v="0"/>
    <x v="11"/>
    <n v="0"/>
    <x v="0"/>
  </r>
  <r>
    <x v="20"/>
    <x v="0"/>
    <x v="20"/>
    <x v="0"/>
    <x v="0"/>
    <x v="0"/>
    <x v="0"/>
    <x v="0"/>
    <n v="1940.7740992708082"/>
    <x v="0"/>
  </r>
  <r>
    <x v="20"/>
    <x v="0"/>
    <x v="20"/>
    <x v="0"/>
    <x v="0"/>
    <x v="0"/>
    <x v="0"/>
    <x v="1"/>
    <n v="1860.2926962657752"/>
    <x v="0"/>
  </r>
  <r>
    <x v="20"/>
    <x v="0"/>
    <x v="20"/>
    <x v="0"/>
    <x v="0"/>
    <x v="0"/>
    <x v="0"/>
    <x v="2"/>
    <n v="1511.9865208442411"/>
    <x v="0"/>
  </r>
  <r>
    <x v="20"/>
    <x v="0"/>
    <x v="20"/>
    <x v="0"/>
    <x v="0"/>
    <x v="0"/>
    <x v="0"/>
    <x v="3"/>
    <n v="2215.556484454904"/>
    <x v="0"/>
  </r>
  <r>
    <x v="20"/>
    <x v="0"/>
    <x v="20"/>
    <x v="0"/>
    <x v="0"/>
    <x v="0"/>
    <x v="0"/>
    <x v="4"/>
    <n v="2260.8933001922974"/>
    <x v="0"/>
  </r>
  <r>
    <x v="20"/>
    <x v="0"/>
    <x v="20"/>
    <x v="0"/>
    <x v="0"/>
    <x v="0"/>
    <x v="0"/>
    <x v="5"/>
    <n v="2318.0773262457933"/>
    <x v="0"/>
  </r>
  <r>
    <x v="20"/>
    <x v="0"/>
    <x v="20"/>
    <x v="0"/>
    <x v="0"/>
    <x v="0"/>
    <x v="0"/>
    <x v="6"/>
    <n v="3719.6206305170967"/>
    <x v="0"/>
  </r>
  <r>
    <x v="20"/>
    <x v="0"/>
    <x v="20"/>
    <x v="0"/>
    <x v="0"/>
    <x v="0"/>
    <x v="0"/>
    <x v="7"/>
    <n v="2386.5478856211998"/>
    <x v="0"/>
  </r>
  <r>
    <x v="20"/>
    <x v="0"/>
    <x v="20"/>
    <x v="0"/>
    <x v="0"/>
    <x v="0"/>
    <x v="0"/>
    <x v="8"/>
    <n v="2388.6900669184361"/>
    <x v="0"/>
  </r>
  <r>
    <x v="20"/>
    <x v="0"/>
    <x v="20"/>
    <x v="0"/>
    <x v="0"/>
    <x v="0"/>
    <x v="0"/>
    <x v="9"/>
    <n v="2221.8855936498421"/>
    <x v="0"/>
  </r>
  <r>
    <x v="20"/>
    <x v="0"/>
    <x v="20"/>
    <x v="0"/>
    <x v="0"/>
    <x v="0"/>
    <x v="0"/>
    <x v="10"/>
    <n v="2172.604599764536"/>
    <x v="0"/>
  </r>
  <r>
    <x v="20"/>
    <x v="0"/>
    <x v="20"/>
    <x v="0"/>
    <x v="0"/>
    <x v="0"/>
    <x v="0"/>
    <x v="11"/>
    <n v="2513.8206149265056"/>
    <x v="0"/>
  </r>
  <r>
    <x v="21"/>
    <x v="0"/>
    <x v="21"/>
    <x v="0"/>
    <x v="0"/>
    <x v="0"/>
    <x v="0"/>
    <x v="0"/>
    <n v="5083.8147335573876"/>
    <x v="0"/>
  </r>
  <r>
    <x v="21"/>
    <x v="0"/>
    <x v="21"/>
    <x v="0"/>
    <x v="0"/>
    <x v="0"/>
    <x v="0"/>
    <x v="1"/>
    <n v="4873.6333987172484"/>
    <x v="0"/>
  </r>
  <r>
    <x v="21"/>
    <x v="0"/>
    <x v="21"/>
    <x v="0"/>
    <x v="0"/>
    <x v="0"/>
    <x v="0"/>
    <x v="2"/>
    <n v="4887.8344629951889"/>
    <x v="0"/>
  </r>
  <r>
    <x v="21"/>
    <x v="0"/>
    <x v="21"/>
    <x v="0"/>
    <x v="0"/>
    <x v="0"/>
    <x v="0"/>
    <x v="3"/>
    <n v="4825.3028912176223"/>
    <x v="0"/>
  </r>
  <r>
    <x v="21"/>
    <x v="0"/>
    <x v="21"/>
    <x v="0"/>
    <x v="0"/>
    <x v="0"/>
    <x v="0"/>
    <x v="4"/>
    <n v="4915.4107953140065"/>
    <x v="0"/>
  </r>
  <r>
    <x v="21"/>
    <x v="0"/>
    <x v="21"/>
    <x v="0"/>
    <x v="0"/>
    <x v="0"/>
    <x v="0"/>
    <x v="5"/>
    <n v="6517.6963559399564"/>
    <x v="0"/>
  </r>
  <r>
    <x v="21"/>
    <x v="0"/>
    <x v="21"/>
    <x v="0"/>
    <x v="0"/>
    <x v="0"/>
    <x v="0"/>
    <x v="6"/>
    <n v="6426.1493876919094"/>
    <x v="0"/>
  </r>
  <r>
    <x v="21"/>
    <x v="0"/>
    <x v="21"/>
    <x v="0"/>
    <x v="0"/>
    <x v="0"/>
    <x v="0"/>
    <x v="7"/>
    <n v="6689.0506646438798"/>
    <x v="0"/>
  </r>
  <r>
    <x v="21"/>
    <x v="0"/>
    <x v="21"/>
    <x v="0"/>
    <x v="0"/>
    <x v="0"/>
    <x v="0"/>
    <x v="8"/>
    <n v="6729.9375320361369"/>
    <x v="0"/>
  </r>
  <r>
    <x v="21"/>
    <x v="0"/>
    <x v="21"/>
    <x v="0"/>
    <x v="0"/>
    <x v="0"/>
    <x v="0"/>
    <x v="9"/>
    <n v="6206.2221655713802"/>
    <x v="0"/>
  </r>
  <r>
    <x v="21"/>
    <x v="0"/>
    <x v="21"/>
    <x v="0"/>
    <x v="0"/>
    <x v="0"/>
    <x v="0"/>
    <x v="10"/>
    <n v="6064.6646674147942"/>
    <x v="0"/>
  </r>
  <r>
    <x v="21"/>
    <x v="0"/>
    <x v="21"/>
    <x v="0"/>
    <x v="0"/>
    <x v="0"/>
    <x v="0"/>
    <x v="11"/>
    <n v="7017.1438766243946"/>
    <x v="0"/>
  </r>
  <r>
    <x v="21"/>
    <x v="1"/>
    <x v="21"/>
    <x v="0"/>
    <x v="1"/>
    <x v="1"/>
    <x v="0"/>
    <x v="0"/>
    <n v="4102.7795718090192"/>
    <x v="0"/>
  </r>
  <r>
    <x v="21"/>
    <x v="1"/>
    <x v="21"/>
    <x v="0"/>
    <x v="1"/>
    <x v="1"/>
    <x v="0"/>
    <x v="1"/>
    <n v="0"/>
    <x v="0"/>
  </r>
  <r>
    <x v="21"/>
    <x v="1"/>
    <x v="21"/>
    <x v="0"/>
    <x v="1"/>
    <x v="1"/>
    <x v="0"/>
    <x v="2"/>
    <n v="0"/>
    <x v="0"/>
  </r>
  <r>
    <x v="21"/>
    <x v="1"/>
    <x v="21"/>
    <x v="0"/>
    <x v="1"/>
    <x v="1"/>
    <x v="0"/>
    <x v="3"/>
    <n v="0"/>
    <x v="0"/>
  </r>
  <r>
    <x v="21"/>
    <x v="1"/>
    <x v="21"/>
    <x v="0"/>
    <x v="1"/>
    <x v="1"/>
    <x v="0"/>
    <x v="4"/>
    <n v="0"/>
    <x v="0"/>
  </r>
  <r>
    <x v="21"/>
    <x v="1"/>
    <x v="21"/>
    <x v="0"/>
    <x v="1"/>
    <x v="1"/>
    <x v="0"/>
    <x v="5"/>
    <n v="0"/>
    <x v="0"/>
  </r>
  <r>
    <x v="21"/>
    <x v="1"/>
    <x v="21"/>
    <x v="0"/>
    <x v="1"/>
    <x v="1"/>
    <x v="0"/>
    <x v="6"/>
    <n v="0"/>
    <x v="0"/>
  </r>
  <r>
    <x v="21"/>
    <x v="1"/>
    <x v="21"/>
    <x v="0"/>
    <x v="1"/>
    <x v="1"/>
    <x v="0"/>
    <x v="7"/>
    <n v="0"/>
    <x v="0"/>
  </r>
  <r>
    <x v="21"/>
    <x v="1"/>
    <x v="21"/>
    <x v="0"/>
    <x v="1"/>
    <x v="1"/>
    <x v="0"/>
    <x v="8"/>
    <n v="0"/>
    <x v="0"/>
  </r>
  <r>
    <x v="21"/>
    <x v="1"/>
    <x v="21"/>
    <x v="0"/>
    <x v="1"/>
    <x v="1"/>
    <x v="0"/>
    <x v="9"/>
    <n v="11017.814837872302"/>
    <x v="0"/>
  </r>
  <r>
    <x v="21"/>
    <x v="1"/>
    <x v="21"/>
    <x v="0"/>
    <x v="1"/>
    <x v="1"/>
    <x v="0"/>
    <x v="10"/>
    <n v="0"/>
    <x v="0"/>
  </r>
  <r>
    <x v="21"/>
    <x v="1"/>
    <x v="21"/>
    <x v="0"/>
    <x v="1"/>
    <x v="1"/>
    <x v="0"/>
    <x v="11"/>
    <n v="0"/>
    <x v="0"/>
  </r>
  <r>
    <x v="22"/>
    <x v="0"/>
    <x v="22"/>
    <x v="0"/>
    <x v="0"/>
    <x v="0"/>
    <x v="0"/>
    <x v="0"/>
    <n v="1899.7832109736016"/>
    <x v="0"/>
  </r>
  <r>
    <x v="22"/>
    <x v="0"/>
    <x v="22"/>
    <x v="0"/>
    <x v="0"/>
    <x v="0"/>
    <x v="0"/>
    <x v="1"/>
    <n v="1820.9965037964323"/>
    <x v="0"/>
  </r>
  <r>
    <x v="22"/>
    <x v="0"/>
    <x v="22"/>
    <x v="0"/>
    <x v="0"/>
    <x v="0"/>
    <x v="0"/>
    <x v="2"/>
    <n v="1824.8456983737485"/>
    <x v="0"/>
  </r>
  <r>
    <x v="22"/>
    <x v="0"/>
    <x v="22"/>
    <x v="0"/>
    <x v="0"/>
    <x v="0"/>
    <x v="0"/>
    <x v="3"/>
    <n v="1802.0480604331906"/>
    <x v="0"/>
  </r>
  <r>
    <x v="22"/>
    <x v="0"/>
    <x v="22"/>
    <x v="0"/>
    <x v="0"/>
    <x v="0"/>
    <x v="0"/>
    <x v="4"/>
    <n v="1838.960453005192"/>
    <x v="0"/>
  </r>
  <r>
    <x v="22"/>
    <x v="0"/>
    <x v="22"/>
    <x v="0"/>
    <x v="0"/>
    <x v="0"/>
    <x v="0"/>
    <x v="5"/>
    <n v="1885.521690348012"/>
    <x v="0"/>
  </r>
  <r>
    <x v="22"/>
    <x v="0"/>
    <x v="22"/>
    <x v="0"/>
    <x v="0"/>
    <x v="0"/>
    <x v="0"/>
    <x v="6"/>
    <n v="1942.8791358671353"/>
    <x v="0"/>
  </r>
  <r>
    <x v="22"/>
    <x v="0"/>
    <x v="22"/>
    <x v="0"/>
    <x v="0"/>
    <x v="0"/>
    <x v="0"/>
    <x v="7"/>
    <n v="1944.6447161310509"/>
    <x v="0"/>
  </r>
  <r>
    <x v="22"/>
    <x v="0"/>
    <x v="22"/>
    <x v="0"/>
    <x v="0"/>
    <x v="0"/>
    <x v="0"/>
    <x v="8"/>
    <n v="1941.9935586827946"/>
    <x v="0"/>
  </r>
  <r>
    <x v="22"/>
    <x v="0"/>
    <x v="22"/>
    <x v="0"/>
    <x v="0"/>
    <x v="0"/>
    <x v="0"/>
    <x v="9"/>
    <n v="1810.5616439881198"/>
    <x v="0"/>
  </r>
  <r>
    <x v="22"/>
    <x v="0"/>
    <x v="22"/>
    <x v="0"/>
    <x v="0"/>
    <x v="0"/>
    <x v="0"/>
    <x v="10"/>
    <n v="1770.4127106585345"/>
    <x v="0"/>
  </r>
  <r>
    <x v="22"/>
    <x v="0"/>
    <x v="22"/>
    <x v="0"/>
    <x v="0"/>
    <x v="0"/>
    <x v="0"/>
    <x v="11"/>
    <n v="2048.4629230112459"/>
    <x v="0"/>
  </r>
  <r>
    <x v="23"/>
    <x v="0"/>
    <x v="23"/>
    <x v="0"/>
    <x v="0"/>
    <x v="0"/>
    <x v="0"/>
    <x v="0"/>
    <n v="1900.1613368442065"/>
    <x v="0"/>
  </r>
  <r>
    <x v="23"/>
    <x v="0"/>
    <x v="23"/>
    <x v="0"/>
    <x v="0"/>
    <x v="0"/>
    <x v="0"/>
    <x v="1"/>
    <n v="1821.3575971346481"/>
    <x v="0"/>
  </r>
  <r>
    <x v="23"/>
    <x v="0"/>
    <x v="23"/>
    <x v="0"/>
    <x v="0"/>
    <x v="0"/>
    <x v="0"/>
    <x v="2"/>
    <n v="1825.2074874157895"/>
    <x v="0"/>
  </r>
  <r>
    <x v="23"/>
    <x v="0"/>
    <x v="23"/>
    <x v="0"/>
    <x v="0"/>
    <x v="0"/>
    <x v="0"/>
    <x v="3"/>
    <n v="1802.4052720322866"/>
    <x v="0"/>
  </r>
  <r>
    <x v="23"/>
    <x v="0"/>
    <x v="23"/>
    <x v="0"/>
    <x v="0"/>
    <x v="0"/>
    <x v="0"/>
    <x v="4"/>
    <n v="1839.3249420900549"/>
    <x v="0"/>
  </r>
  <r>
    <x v="23"/>
    <x v="0"/>
    <x v="23"/>
    <x v="0"/>
    <x v="0"/>
    <x v="0"/>
    <x v="0"/>
    <x v="5"/>
    <n v="1885.8953572403364"/>
    <x v="0"/>
  </r>
  <r>
    <x v="23"/>
    <x v="0"/>
    <x v="23"/>
    <x v="0"/>
    <x v="0"/>
    <x v="0"/>
    <x v="0"/>
    <x v="6"/>
    <n v="1944.1035657350235"/>
    <x v="0"/>
  </r>
  <r>
    <x v="23"/>
    <x v="0"/>
    <x v="23"/>
    <x v="0"/>
    <x v="0"/>
    <x v="0"/>
    <x v="0"/>
    <x v="7"/>
    <n v="1789.7951339875046"/>
    <x v="0"/>
  </r>
  <r>
    <x v="23"/>
    <x v="0"/>
    <x v="23"/>
    <x v="0"/>
    <x v="0"/>
    <x v="0"/>
    <x v="0"/>
    <x v="8"/>
    <n v="1945.5427574896171"/>
    <x v="0"/>
  </r>
  <r>
    <x v="23"/>
    <x v="0"/>
    <x v="23"/>
    <x v="0"/>
    <x v="0"/>
    <x v="0"/>
    <x v="0"/>
    <x v="9"/>
    <n v="1781.9180798633611"/>
    <x v="0"/>
  </r>
  <r>
    <x v="23"/>
    <x v="0"/>
    <x v="23"/>
    <x v="0"/>
    <x v="0"/>
    <x v="0"/>
    <x v="0"/>
    <x v="10"/>
    <n v="3501.4897695889013"/>
    <x v="0"/>
  </r>
  <r>
    <x v="23"/>
    <x v="0"/>
    <x v="23"/>
    <x v="0"/>
    <x v="0"/>
    <x v="0"/>
    <x v="0"/>
    <x v="11"/>
    <n v="4051.4123769694693"/>
    <x v="0"/>
  </r>
  <r>
    <x v="24"/>
    <x v="0"/>
    <x v="24"/>
    <x v="0"/>
    <x v="0"/>
    <x v="0"/>
    <x v="0"/>
    <x v="0"/>
    <n v="3560.6580292153785"/>
    <x v="0"/>
  </r>
  <r>
    <x v="24"/>
    <x v="0"/>
    <x v="24"/>
    <x v="0"/>
    <x v="0"/>
    <x v="0"/>
    <x v="0"/>
    <x v="1"/>
    <n v="1415.3235337631652"/>
    <x v="0"/>
  </r>
  <r>
    <x v="24"/>
    <x v="0"/>
    <x v="24"/>
    <x v="0"/>
    <x v="0"/>
    <x v="0"/>
    <x v="0"/>
    <x v="2"/>
    <n v="0"/>
    <x v="0"/>
  </r>
  <r>
    <x v="24"/>
    <x v="0"/>
    <x v="24"/>
    <x v="0"/>
    <x v="0"/>
    <x v="0"/>
    <x v="0"/>
    <x v="3"/>
    <n v="0"/>
    <x v="0"/>
  </r>
  <r>
    <x v="24"/>
    <x v="0"/>
    <x v="24"/>
    <x v="0"/>
    <x v="0"/>
    <x v="0"/>
    <x v="0"/>
    <x v="4"/>
    <n v="0"/>
    <x v="0"/>
  </r>
  <r>
    <x v="24"/>
    <x v="0"/>
    <x v="24"/>
    <x v="0"/>
    <x v="0"/>
    <x v="0"/>
    <x v="0"/>
    <x v="5"/>
    <n v="0"/>
    <x v="0"/>
  </r>
  <r>
    <x v="24"/>
    <x v="0"/>
    <x v="24"/>
    <x v="0"/>
    <x v="0"/>
    <x v="0"/>
    <x v="0"/>
    <x v="6"/>
    <n v="0"/>
    <x v="0"/>
  </r>
  <r>
    <x v="24"/>
    <x v="0"/>
    <x v="24"/>
    <x v="0"/>
    <x v="0"/>
    <x v="0"/>
    <x v="0"/>
    <x v="7"/>
    <n v="0"/>
    <x v="0"/>
  </r>
  <r>
    <x v="24"/>
    <x v="0"/>
    <x v="24"/>
    <x v="0"/>
    <x v="0"/>
    <x v="0"/>
    <x v="0"/>
    <x v="8"/>
    <n v="0"/>
    <x v="0"/>
  </r>
  <r>
    <x v="24"/>
    <x v="0"/>
    <x v="24"/>
    <x v="0"/>
    <x v="0"/>
    <x v="0"/>
    <x v="0"/>
    <x v="9"/>
    <n v="0"/>
    <x v="0"/>
  </r>
  <r>
    <x v="24"/>
    <x v="0"/>
    <x v="24"/>
    <x v="0"/>
    <x v="0"/>
    <x v="0"/>
    <x v="0"/>
    <x v="10"/>
    <n v="0"/>
    <x v="0"/>
  </r>
  <r>
    <x v="24"/>
    <x v="0"/>
    <x v="24"/>
    <x v="0"/>
    <x v="0"/>
    <x v="0"/>
    <x v="0"/>
    <x v="11"/>
    <n v="0"/>
    <x v="0"/>
  </r>
  <r>
    <x v="25"/>
    <x v="0"/>
    <x v="25"/>
    <x v="1"/>
    <x v="0"/>
    <x v="0"/>
    <x v="0"/>
    <x v="0"/>
    <n v="7950.2818425417217"/>
    <x v="0"/>
  </r>
  <r>
    <x v="25"/>
    <x v="0"/>
    <x v="25"/>
    <x v="1"/>
    <x v="0"/>
    <x v="0"/>
    <x v="0"/>
    <x v="1"/>
    <n v="8123.8317368262633"/>
    <x v="0"/>
  </r>
  <r>
    <x v="25"/>
    <x v="0"/>
    <x v="25"/>
    <x v="1"/>
    <x v="0"/>
    <x v="0"/>
    <x v="0"/>
    <x v="2"/>
    <n v="0"/>
    <x v="0"/>
  </r>
  <r>
    <x v="25"/>
    <x v="0"/>
    <x v="25"/>
    <x v="1"/>
    <x v="0"/>
    <x v="0"/>
    <x v="0"/>
    <x v="3"/>
    <n v="0"/>
    <x v="0"/>
  </r>
  <r>
    <x v="25"/>
    <x v="0"/>
    <x v="25"/>
    <x v="1"/>
    <x v="0"/>
    <x v="0"/>
    <x v="0"/>
    <x v="4"/>
    <n v="0"/>
    <x v="0"/>
  </r>
  <r>
    <x v="25"/>
    <x v="0"/>
    <x v="25"/>
    <x v="1"/>
    <x v="0"/>
    <x v="0"/>
    <x v="0"/>
    <x v="5"/>
    <n v="0"/>
    <x v="0"/>
  </r>
  <r>
    <x v="25"/>
    <x v="0"/>
    <x v="25"/>
    <x v="1"/>
    <x v="0"/>
    <x v="0"/>
    <x v="0"/>
    <x v="6"/>
    <n v="0"/>
    <x v="0"/>
  </r>
  <r>
    <x v="25"/>
    <x v="0"/>
    <x v="25"/>
    <x v="1"/>
    <x v="0"/>
    <x v="0"/>
    <x v="0"/>
    <x v="7"/>
    <n v="0"/>
    <x v="0"/>
  </r>
  <r>
    <x v="25"/>
    <x v="0"/>
    <x v="25"/>
    <x v="1"/>
    <x v="0"/>
    <x v="0"/>
    <x v="0"/>
    <x v="8"/>
    <n v="0"/>
    <x v="0"/>
  </r>
  <r>
    <x v="25"/>
    <x v="0"/>
    <x v="25"/>
    <x v="1"/>
    <x v="0"/>
    <x v="0"/>
    <x v="0"/>
    <x v="9"/>
    <n v="0"/>
    <x v="0"/>
  </r>
  <r>
    <x v="25"/>
    <x v="0"/>
    <x v="25"/>
    <x v="1"/>
    <x v="0"/>
    <x v="0"/>
    <x v="0"/>
    <x v="10"/>
    <n v="0"/>
    <x v="0"/>
  </r>
  <r>
    <x v="25"/>
    <x v="0"/>
    <x v="25"/>
    <x v="1"/>
    <x v="0"/>
    <x v="0"/>
    <x v="0"/>
    <x v="11"/>
    <n v="0"/>
    <x v="0"/>
  </r>
  <r>
    <x v="26"/>
    <x v="0"/>
    <x v="26"/>
    <x v="0"/>
    <x v="0"/>
    <x v="0"/>
    <x v="0"/>
    <x v="0"/>
    <n v="3224.2442599580868"/>
    <x v="0"/>
  </r>
  <r>
    <x v="26"/>
    <x v="0"/>
    <x v="26"/>
    <x v="0"/>
    <x v="0"/>
    <x v="0"/>
    <x v="0"/>
    <x v="1"/>
    <n v="3090.157012017306"/>
    <x v="0"/>
  </r>
  <r>
    <x v="26"/>
    <x v="0"/>
    <x v="26"/>
    <x v="0"/>
    <x v="0"/>
    <x v="0"/>
    <x v="0"/>
    <x v="2"/>
    <n v="3097.208679322694"/>
    <x v="0"/>
  </r>
  <r>
    <x v="26"/>
    <x v="0"/>
    <x v="26"/>
    <x v="0"/>
    <x v="0"/>
    <x v="0"/>
    <x v="0"/>
    <x v="3"/>
    <n v="3058.9593762010477"/>
    <x v="0"/>
  </r>
  <r>
    <x v="26"/>
    <x v="0"/>
    <x v="26"/>
    <x v="0"/>
    <x v="0"/>
    <x v="0"/>
    <x v="0"/>
    <x v="4"/>
    <n v="3121.9210620196714"/>
    <x v="0"/>
  </r>
  <r>
    <x v="26"/>
    <x v="0"/>
    <x v="26"/>
    <x v="0"/>
    <x v="0"/>
    <x v="0"/>
    <x v="0"/>
    <x v="5"/>
    <n v="3148.903936509942"/>
    <x v="0"/>
  </r>
  <r>
    <x v="26"/>
    <x v="0"/>
    <x v="26"/>
    <x v="0"/>
    <x v="0"/>
    <x v="0"/>
    <x v="0"/>
    <x v="6"/>
    <n v="0"/>
    <x v="0"/>
  </r>
  <r>
    <x v="26"/>
    <x v="0"/>
    <x v="26"/>
    <x v="0"/>
    <x v="0"/>
    <x v="0"/>
    <x v="0"/>
    <x v="7"/>
    <n v="0"/>
    <x v="0"/>
  </r>
  <r>
    <x v="26"/>
    <x v="0"/>
    <x v="26"/>
    <x v="0"/>
    <x v="0"/>
    <x v="0"/>
    <x v="0"/>
    <x v="8"/>
    <n v="0"/>
    <x v="0"/>
  </r>
  <r>
    <x v="26"/>
    <x v="0"/>
    <x v="26"/>
    <x v="0"/>
    <x v="0"/>
    <x v="0"/>
    <x v="0"/>
    <x v="9"/>
    <n v="0"/>
    <x v="0"/>
  </r>
  <r>
    <x v="26"/>
    <x v="0"/>
    <x v="26"/>
    <x v="0"/>
    <x v="0"/>
    <x v="0"/>
    <x v="0"/>
    <x v="10"/>
    <n v="0"/>
    <x v="0"/>
  </r>
  <r>
    <x v="26"/>
    <x v="0"/>
    <x v="26"/>
    <x v="0"/>
    <x v="0"/>
    <x v="0"/>
    <x v="0"/>
    <x v="11"/>
    <n v="0"/>
    <x v="0"/>
  </r>
  <r>
    <x v="27"/>
    <x v="0"/>
    <x v="27"/>
    <x v="0"/>
    <x v="0"/>
    <x v="0"/>
    <x v="0"/>
    <x v="0"/>
    <n v="1616.1771284562842"/>
    <x v="0"/>
  </r>
  <r>
    <x v="27"/>
    <x v="0"/>
    <x v="27"/>
    <x v="0"/>
    <x v="0"/>
    <x v="0"/>
    <x v="0"/>
    <x v="1"/>
    <n v="1549.1156135051031"/>
    <x v="0"/>
  </r>
  <r>
    <x v="27"/>
    <x v="0"/>
    <x v="27"/>
    <x v="0"/>
    <x v="0"/>
    <x v="0"/>
    <x v="0"/>
    <x v="2"/>
    <n v="1552.4409862467105"/>
    <x v="0"/>
  </r>
  <r>
    <x v="27"/>
    <x v="0"/>
    <x v="27"/>
    <x v="0"/>
    <x v="0"/>
    <x v="0"/>
    <x v="0"/>
    <x v="3"/>
    <n v="1533.0898789712321"/>
    <x v="0"/>
  </r>
  <r>
    <x v="27"/>
    <x v="0"/>
    <x v="27"/>
    <x v="0"/>
    <x v="0"/>
    <x v="0"/>
    <x v="0"/>
    <x v="4"/>
    <n v="1564.5227760775958"/>
    <x v="0"/>
  </r>
  <r>
    <x v="27"/>
    <x v="0"/>
    <x v="27"/>
    <x v="0"/>
    <x v="0"/>
    <x v="0"/>
    <x v="0"/>
    <x v="5"/>
    <n v="1078.9066670566858"/>
    <x v="0"/>
  </r>
  <r>
    <x v="27"/>
    <x v="0"/>
    <x v="27"/>
    <x v="0"/>
    <x v="0"/>
    <x v="0"/>
    <x v="0"/>
    <x v="6"/>
    <n v="0"/>
    <x v="0"/>
  </r>
  <r>
    <x v="27"/>
    <x v="0"/>
    <x v="27"/>
    <x v="0"/>
    <x v="0"/>
    <x v="0"/>
    <x v="0"/>
    <x v="7"/>
    <n v="0"/>
    <x v="0"/>
  </r>
  <r>
    <x v="27"/>
    <x v="0"/>
    <x v="27"/>
    <x v="0"/>
    <x v="0"/>
    <x v="0"/>
    <x v="0"/>
    <x v="8"/>
    <n v="0"/>
    <x v="0"/>
  </r>
  <r>
    <x v="27"/>
    <x v="0"/>
    <x v="27"/>
    <x v="0"/>
    <x v="0"/>
    <x v="0"/>
    <x v="0"/>
    <x v="9"/>
    <n v="0"/>
    <x v="0"/>
  </r>
  <r>
    <x v="27"/>
    <x v="0"/>
    <x v="27"/>
    <x v="0"/>
    <x v="0"/>
    <x v="0"/>
    <x v="0"/>
    <x v="10"/>
    <n v="0"/>
    <x v="0"/>
  </r>
  <r>
    <x v="27"/>
    <x v="0"/>
    <x v="27"/>
    <x v="0"/>
    <x v="0"/>
    <x v="0"/>
    <x v="0"/>
    <x v="11"/>
    <n v="0"/>
    <x v="0"/>
  </r>
  <r>
    <x v="28"/>
    <x v="0"/>
    <x v="28"/>
    <x v="0"/>
    <x v="0"/>
    <x v="0"/>
    <x v="0"/>
    <x v="0"/>
    <n v="2200.2998415960069"/>
    <x v="0"/>
  </r>
  <r>
    <x v="28"/>
    <x v="0"/>
    <x v="28"/>
    <x v="0"/>
    <x v="0"/>
    <x v="0"/>
    <x v="0"/>
    <x v="1"/>
    <n v="1799.0397894943681"/>
    <x v="0"/>
  </r>
  <r>
    <x v="28"/>
    <x v="0"/>
    <x v="28"/>
    <x v="0"/>
    <x v="0"/>
    <x v="0"/>
    <x v="0"/>
    <x v="2"/>
    <n v="2524.109595633995"/>
    <x v="0"/>
  </r>
  <r>
    <x v="28"/>
    <x v="0"/>
    <x v="28"/>
    <x v="0"/>
    <x v="0"/>
    <x v="0"/>
    <x v="0"/>
    <x v="3"/>
    <n v="2467.2148251001795"/>
    <x v="0"/>
  </r>
  <r>
    <x v="28"/>
    <x v="0"/>
    <x v="28"/>
    <x v="0"/>
    <x v="0"/>
    <x v="0"/>
    <x v="0"/>
    <x v="4"/>
    <n v="2517.6786859750741"/>
    <x v="0"/>
  </r>
  <r>
    <x v="28"/>
    <x v="0"/>
    <x v="28"/>
    <x v="0"/>
    <x v="0"/>
    <x v="0"/>
    <x v="0"/>
    <x v="5"/>
    <n v="2581.3299968522501"/>
    <x v="0"/>
  </r>
  <r>
    <x v="28"/>
    <x v="0"/>
    <x v="28"/>
    <x v="0"/>
    <x v="0"/>
    <x v="0"/>
    <x v="0"/>
    <x v="6"/>
    <n v="2614.7412962326516"/>
    <x v="0"/>
  </r>
  <r>
    <x v="28"/>
    <x v="0"/>
    <x v="28"/>
    <x v="0"/>
    <x v="0"/>
    <x v="0"/>
    <x v="0"/>
    <x v="7"/>
    <n v="2655.4243470145902"/>
    <x v="0"/>
  </r>
  <r>
    <x v="28"/>
    <x v="0"/>
    <x v="28"/>
    <x v="0"/>
    <x v="0"/>
    <x v="0"/>
    <x v="0"/>
    <x v="8"/>
    <n v="2625.4618605605847"/>
    <x v="0"/>
  </r>
  <r>
    <x v="28"/>
    <x v="0"/>
    <x v="28"/>
    <x v="0"/>
    <x v="0"/>
    <x v="0"/>
    <x v="0"/>
    <x v="9"/>
    <n v="2467.1972410150693"/>
    <x v="0"/>
  </r>
  <r>
    <x v="28"/>
    <x v="0"/>
    <x v="28"/>
    <x v="0"/>
    <x v="0"/>
    <x v="0"/>
    <x v="0"/>
    <x v="10"/>
    <n v="2410.9697613460507"/>
    <x v="0"/>
  </r>
  <r>
    <x v="28"/>
    <x v="0"/>
    <x v="28"/>
    <x v="0"/>
    <x v="0"/>
    <x v="0"/>
    <x v="0"/>
    <x v="11"/>
    <n v="2789.6219536187095"/>
    <x v="0"/>
  </r>
  <r>
    <x v="29"/>
    <x v="0"/>
    <x v="29"/>
    <x v="2"/>
    <x v="0"/>
    <x v="0"/>
    <x v="0"/>
    <x v="0"/>
    <n v="1882.5879735064757"/>
    <x v="0"/>
  </r>
  <r>
    <x v="29"/>
    <x v="0"/>
    <x v="29"/>
    <x v="2"/>
    <x v="0"/>
    <x v="0"/>
    <x v="0"/>
    <x v="1"/>
    <n v="1803.9649346772444"/>
    <x v="0"/>
  </r>
  <r>
    <x v="29"/>
    <x v="0"/>
    <x v="29"/>
    <x v="2"/>
    <x v="0"/>
    <x v="0"/>
    <x v="0"/>
    <x v="2"/>
    <n v="1806.7267983264226"/>
    <x v="0"/>
  </r>
  <r>
    <x v="29"/>
    <x v="0"/>
    <x v="29"/>
    <x v="2"/>
    <x v="0"/>
    <x v="0"/>
    <x v="0"/>
    <x v="3"/>
    <n v="1783.4190601780113"/>
    <x v="0"/>
  </r>
  <r>
    <x v="29"/>
    <x v="0"/>
    <x v="29"/>
    <x v="2"/>
    <x v="0"/>
    <x v="0"/>
    <x v="0"/>
    <x v="4"/>
    <n v="1819.1621970545318"/>
    <x v="0"/>
  </r>
  <r>
    <x v="29"/>
    <x v="0"/>
    <x v="29"/>
    <x v="2"/>
    <x v="0"/>
    <x v="0"/>
    <x v="0"/>
    <x v="5"/>
    <n v="1864.6137242332984"/>
    <x v="0"/>
  </r>
  <r>
    <x v="29"/>
    <x v="0"/>
    <x v="29"/>
    <x v="2"/>
    <x v="0"/>
    <x v="0"/>
    <x v="0"/>
    <x v="6"/>
    <n v="1921.3389656312459"/>
    <x v="0"/>
  </r>
  <r>
    <x v="29"/>
    <x v="0"/>
    <x v="29"/>
    <x v="2"/>
    <x v="0"/>
    <x v="0"/>
    <x v="0"/>
    <x v="7"/>
    <n v="1910.8176543856423"/>
    <x v="0"/>
  </r>
  <r>
    <x v="29"/>
    <x v="0"/>
    <x v="29"/>
    <x v="2"/>
    <x v="0"/>
    <x v="0"/>
    <x v="0"/>
    <x v="8"/>
    <n v="1931.1290917073386"/>
    <x v="0"/>
  </r>
  <r>
    <x v="29"/>
    <x v="0"/>
    <x v="29"/>
    <x v="2"/>
    <x v="0"/>
    <x v="0"/>
    <x v="0"/>
    <x v="9"/>
    <n v="2260.7647077589845"/>
    <x v="0"/>
  </r>
  <r>
    <x v="29"/>
    <x v="0"/>
    <x v="29"/>
    <x v="2"/>
    <x v="0"/>
    <x v="0"/>
    <x v="0"/>
    <x v="10"/>
    <n v="2210.6205343172974"/>
    <x v="0"/>
  </r>
  <r>
    <x v="29"/>
    <x v="0"/>
    <x v="29"/>
    <x v="2"/>
    <x v="0"/>
    <x v="0"/>
    <x v="0"/>
    <x v="11"/>
    <n v="2557.8071000811383"/>
    <x v="0"/>
  </r>
  <r>
    <x v="30"/>
    <x v="0"/>
    <x v="30"/>
    <x v="0"/>
    <x v="0"/>
    <x v="0"/>
    <x v="0"/>
    <x v="0"/>
    <n v="1607.8028813760129"/>
    <x v="0"/>
  </r>
  <r>
    <x v="30"/>
    <x v="0"/>
    <x v="30"/>
    <x v="0"/>
    <x v="0"/>
    <x v="0"/>
    <x v="0"/>
    <x v="1"/>
    <n v="1541.087584869417"/>
    <x v="0"/>
  </r>
  <r>
    <x v="30"/>
    <x v="0"/>
    <x v="30"/>
    <x v="0"/>
    <x v="0"/>
    <x v="0"/>
    <x v="0"/>
    <x v="2"/>
    <n v="1544.3974903352901"/>
    <x v="0"/>
  </r>
  <r>
    <x v="30"/>
    <x v="0"/>
    <x v="30"/>
    <x v="0"/>
    <x v="0"/>
    <x v="0"/>
    <x v="0"/>
    <x v="3"/>
    <n v="513.72150752003313"/>
    <x v="0"/>
  </r>
  <r>
    <x v="30"/>
    <x v="0"/>
    <x v="30"/>
    <x v="0"/>
    <x v="0"/>
    <x v="0"/>
    <x v="0"/>
    <x v="4"/>
    <n v="0"/>
    <x v="0"/>
  </r>
  <r>
    <x v="30"/>
    <x v="0"/>
    <x v="30"/>
    <x v="0"/>
    <x v="0"/>
    <x v="0"/>
    <x v="0"/>
    <x v="5"/>
    <n v="0"/>
    <x v="0"/>
  </r>
  <r>
    <x v="30"/>
    <x v="0"/>
    <x v="30"/>
    <x v="0"/>
    <x v="0"/>
    <x v="0"/>
    <x v="0"/>
    <x v="6"/>
    <n v="0"/>
    <x v="0"/>
  </r>
  <r>
    <x v="30"/>
    <x v="0"/>
    <x v="30"/>
    <x v="0"/>
    <x v="0"/>
    <x v="0"/>
    <x v="0"/>
    <x v="7"/>
    <n v="0"/>
    <x v="0"/>
  </r>
  <r>
    <x v="30"/>
    <x v="0"/>
    <x v="30"/>
    <x v="0"/>
    <x v="0"/>
    <x v="0"/>
    <x v="0"/>
    <x v="8"/>
    <n v="0"/>
    <x v="0"/>
  </r>
  <r>
    <x v="30"/>
    <x v="0"/>
    <x v="30"/>
    <x v="0"/>
    <x v="0"/>
    <x v="0"/>
    <x v="0"/>
    <x v="9"/>
    <n v="0"/>
    <x v="0"/>
  </r>
  <r>
    <x v="30"/>
    <x v="0"/>
    <x v="30"/>
    <x v="0"/>
    <x v="0"/>
    <x v="0"/>
    <x v="0"/>
    <x v="10"/>
    <n v="0"/>
    <x v="0"/>
  </r>
  <r>
    <x v="30"/>
    <x v="0"/>
    <x v="30"/>
    <x v="0"/>
    <x v="0"/>
    <x v="0"/>
    <x v="0"/>
    <x v="11"/>
    <n v="0"/>
    <x v="0"/>
  </r>
  <r>
    <x v="30"/>
    <x v="0"/>
    <x v="31"/>
    <x v="0"/>
    <x v="0"/>
    <x v="0"/>
    <x v="0"/>
    <x v="0"/>
    <n v="1608.1299091559956"/>
    <x v="0"/>
  </r>
  <r>
    <x v="30"/>
    <x v="0"/>
    <x v="31"/>
    <x v="0"/>
    <x v="0"/>
    <x v="0"/>
    <x v="0"/>
    <x v="1"/>
    <n v="1541.399692677255"/>
    <x v="0"/>
  </r>
  <r>
    <x v="30"/>
    <x v="0"/>
    <x v="31"/>
    <x v="0"/>
    <x v="0"/>
    <x v="0"/>
    <x v="0"/>
    <x v="2"/>
    <n v="1544.710199468527"/>
    <x v="0"/>
  </r>
  <r>
    <x v="30"/>
    <x v="0"/>
    <x v="31"/>
    <x v="0"/>
    <x v="0"/>
    <x v="0"/>
    <x v="0"/>
    <x v="3"/>
    <n v="1525.4569039874489"/>
    <x v="0"/>
  </r>
  <r>
    <x v="30"/>
    <x v="0"/>
    <x v="31"/>
    <x v="0"/>
    <x v="0"/>
    <x v="0"/>
    <x v="0"/>
    <x v="4"/>
    <n v="1556.7342941983329"/>
    <x v="0"/>
  </r>
  <r>
    <x v="30"/>
    <x v="0"/>
    <x v="31"/>
    <x v="0"/>
    <x v="0"/>
    <x v="0"/>
    <x v="0"/>
    <x v="5"/>
    <n v="1596.18909830711"/>
    <x v="0"/>
  </r>
  <r>
    <x v="30"/>
    <x v="0"/>
    <x v="31"/>
    <x v="0"/>
    <x v="0"/>
    <x v="0"/>
    <x v="0"/>
    <x v="6"/>
    <n v="1653.6324180130089"/>
    <x v="0"/>
  </r>
  <r>
    <x v="30"/>
    <x v="0"/>
    <x v="31"/>
    <x v="0"/>
    <x v="0"/>
    <x v="0"/>
    <x v="0"/>
    <x v="7"/>
    <n v="1638.0231604709572"/>
    <x v="0"/>
  </r>
  <r>
    <x v="30"/>
    <x v="0"/>
    <x v="31"/>
    <x v="0"/>
    <x v="0"/>
    <x v="0"/>
    <x v="0"/>
    <x v="8"/>
    <n v="1635.0798449211572"/>
    <x v="0"/>
  </r>
  <r>
    <x v="30"/>
    <x v="0"/>
    <x v="31"/>
    <x v="0"/>
    <x v="0"/>
    <x v="0"/>
    <x v="0"/>
    <x v="9"/>
    <n v="1525.1589228815851"/>
    <x v="0"/>
  </r>
  <r>
    <x v="30"/>
    <x v="0"/>
    <x v="31"/>
    <x v="0"/>
    <x v="0"/>
    <x v="0"/>
    <x v="0"/>
    <x v="10"/>
    <n v="1491.3477407175396"/>
    <x v="0"/>
  </r>
  <r>
    <x v="30"/>
    <x v="0"/>
    <x v="31"/>
    <x v="0"/>
    <x v="0"/>
    <x v="0"/>
    <x v="0"/>
    <x v="11"/>
    <n v="1725.5697125220713"/>
    <x v="0"/>
  </r>
  <r>
    <x v="31"/>
    <x v="0"/>
    <x v="32"/>
    <x v="0"/>
    <x v="0"/>
    <x v="0"/>
    <x v="0"/>
    <x v="0"/>
    <n v="1608.1299091559956"/>
    <x v="0"/>
  </r>
  <r>
    <x v="31"/>
    <x v="0"/>
    <x v="32"/>
    <x v="0"/>
    <x v="0"/>
    <x v="0"/>
    <x v="0"/>
    <x v="1"/>
    <n v="1541.399692677255"/>
    <x v="0"/>
  </r>
  <r>
    <x v="31"/>
    <x v="0"/>
    <x v="32"/>
    <x v="0"/>
    <x v="0"/>
    <x v="0"/>
    <x v="0"/>
    <x v="2"/>
    <n v="1822.9680412912187"/>
    <x v="0"/>
  </r>
  <r>
    <x v="31"/>
    <x v="0"/>
    <x v="32"/>
    <x v="0"/>
    <x v="0"/>
    <x v="0"/>
    <x v="0"/>
    <x v="3"/>
    <n v="1800.1941599247041"/>
    <x v="0"/>
  </r>
  <r>
    <x v="31"/>
    <x v="0"/>
    <x v="32"/>
    <x v="0"/>
    <x v="0"/>
    <x v="0"/>
    <x v="0"/>
    <x v="4"/>
    <n v="1837.0687829097205"/>
    <x v="0"/>
  </r>
  <r>
    <x v="31"/>
    <x v="0"/>
    <x v="32"/>
    <x v="0"/>
    <x v="0"/>
    <x v="0"/>
    <x v="0"/>
    <x v="5"/>
    <n v="2463.6785136576996"/>
    <x v="0"/>
  </r>
  <r>
    <x v="31"/>
    <x v="0"/>
    <x v="32"/>
    <x v="0"/>
    <x v="0"/>
    <x v="0"/>
    <x v="0"/>
    <x v="6"/>
    <n v="2485.6877875056548"/>
    <x v="0"/>
  </r>
  <r>
    <x v="31"/>
    <x v="0"/>
    <x v="32"/>
    <x v="0"/>
    <x v="0"/>
    <x v="0"/>
    <x v="0"/>
    <x v="7"/>
    <n v="2517.8078935627059"/>
    <x v="0"/>
  </r>
  <r>
    <x v="31"/>
    <x v="0"/>
    <x v="32"/>
    <x v="0"/>
    <x v="0"/>
    <x v="0"/>
    <x v="0"/>
    <x v="8"/>
    <n v="2523.7331180216765"/>
    <x v="0"/>
  </r>
  <r>
    <x v="31"/>
    <x v="0"/>
    <x v="32"/>
    <x v="0"/>
    <x v="0"/>
    <x v="0"/>
    <x v="0"/>
    <x v="9"/>
    <n v="2344.0607651601536"/>
    <x v="0"/>
  </r>
  <r>
    <x v="31"/>
    <x v="0"/>
    <x v="32"/>
    <x v="0"/>
    <x v="0"/>
    <x v="0"/>
    <x v="0"/>
    <x v="10"/>
    <n v="2292.0672837925222"/>
    <x v="0"/>
  </r>
  <r>
    <x v="31"/>
    <x v="0"/>
    <x v="32"/>
    <x v="0"/>
    <x v="0"/>
    <x v="0"/>
    <x v="0"/>
    <x v="11"/>
    <n v="2652.0453788143068"/>
    <x v="0"/>
  </r>
  <r>
    <x v="32"/>
    <x v="0"/>
    <x v="33"/>
    <x v="0"/>
    <x v="0"/>
    <x v="0"/>
    <x v="0"/>
    <x v="0"/>
    <n v="10340.278235763943"/>
    <x v="0"/>
  </r>
  <r>
    <x v="32"/>
    <x v="0"/>
    <x v="33"/>
    <x v="0"/>
    <x v="0"/>
    <x v="0"/>
    <x v="0"/>
    <x v="1"/>
    <n v="9912.7777078895706"/>
    <x v="0"/>
  </r>
  <r>
    <x v="32"/>
    <x v="0"/>
    <x v="33"/>
    <x v="0"/>
    <x v="0"/>
    <x v="0"/>
    <x v="0"/>
    <x v="2"/>
    <n v="9941.9923232284618"/>
    <x v="0"/>
  </r>
  <r>
    <x v="32"/>
    <x v="0"/>
    <x v="33"/>
    <x v="0"/>
    <x v="0"/>
    <x v="0"/>
    <x v="0"/>
    <x v="3"/>
    <n v="9825.5356254111393"/>
    <x v="0"/>
  </r>
  <r>
    <x v="32"/>
    <x v="0"/>
    <x v="33"/>
    <x v="0"/>
    <x v="0"/>
    <x v="0"/>
    <x v="0"/>
    <x v="4"/>
    <n v="10030.851222553089"/>
    <x v="0"/>
  </r>
  <r>
    <x v="32"/>
    <x v="0"/>
    <x v="33"/>
    <x v="0"/>
    <x v="0"/>
    <x v="0"/>
    <x v="0"/>
    <x v="5"/>
    <n v="10291.810177766709"/>
    <x v="0"/>
  </r>
  <r>
    <x v="32"/>
    <x v="0"/>
    <x v="33"/>
    <x v="0"/>
    <x v="0"/>
    <x v="0"/>
    <x v="0"/>
    <x v="6"/>
    <n v="10050.912386832391"/>
    <x v="0"/>
  </r>
  <r>
    <x v="32"/>
    <x v="0"/>
    <x v="33"/>
    <x v="0"/>
    <x v="0"/>
    <x v="0"/>
    <x v="0"/>
    <x v="7"/>
    <n v="10530.224349338012"/>
    <x v="0"/>
  </r>
  <r>
    <x v="32"/>
    <x v="0"/>
    <x v="33"/>
    <x v="0"/>
    <x v="0"/>
    <x v="0"/>
    <x v="0"/>
    <x v="8"/>
    <n v="10562.402188172307"/>
    <x v="0"/>
  </r>
  <r>
    <x v="32"/>
    <x v="0"/>
    <x v="33"/>
    <x v="0"/>
    <x v="0"/>
    <x v="0"/>
    <x v="0"/>
    <x v="9"/>
    <n v="9818.5738957098183"/>
    <x v="0"/>
  </r>
  <r>
    <x v="32"/>
    <x v="0"/>
    <x v="33"/>
    <x v="0"/>
    <x v="0"/>
    <x v="0"/>
    <x v="0"/>
    <x v="10"/>
    <n v="9597.538119424953"/>
    <x v="0"/>
  </r>
  <r>
    <x v="32"/>
    <x v="0"/>
    <x v="33"/>
    <x v="0"/>
    <x v="0"/>
    <x v="0"/>
    <x v="0"/>
    <x v="11"/>
    <n v="11104.868865585671"/>
    <x v="0"/>
  </r>
  <r>
    <x v="32"/>
    <x v="1"/>
    <x v="33"/>
    <x v="0"/>
    <x v="1"/>
    <x v="1"/>
    <x v="0"/>
    <x v="0"/>
    <n v="2860.3835163093895"/>
    <x v="0"/>
  </r>
  <r>
    <x v="32"/>
    <x v="1"/>
    <x v="33"/>
    <x v="0"/>
    <x v="1"/>
    <x v="1"/>
    <x v="0"/>
    <x v="1"/>
    <n v="0"/>
    <x v="0"/>
  </r>
  <r>
    <x v="32"/>
    <x v="1"/>
    <x v="33"/>
    <x v="0"/>
    <x v="1"/>
    <x v="1"/>
    <x v="0"/>
    <x v="2"/>
    <n v="0"/>
    <x v="0"/>
  </r>
  <r>
    <x v="32"/>
    <x v="1"/>
    <x v="33"/>
    <x v="0"/>
    <x v="1"/>
    <x v="1"/>
    <x v="0"/>
    <x v="3"/>
    <n v="0"/>
    <x v="0"/>
  </r>
  <r>
    <x v="32"/>
    <x v="1"/>
    <x v="33"/>
    <x v="0"/>
    <x v="1"/>
    <x v="1"/>
    <x v="0"/>
    <x v="4"/>
    <n v="0"/>
    <x v="0"/>
  </r>
  <r>
    <x v="32"/>
    <x v="1"/>
    <x v="33"/>
    <x v="0"/>
    <x v="1"/>
    <x v="1"/>
    <x v="0"/>
    <x v="5"/>
    <n v="0"/>
    <x v="0"/>
  </r>
  <r>
    <x v="32"/>
    <x v="1"/>
    <x v="33"/>
    <x v="0"/>
    <x v="1"/>
    <x v="1"/>
    <x v="0"/>
    <x v="6"/>
    <n v="0"/>
    <x v="0"/>
  </r>
  <r>
    <x v="32"/>
    <x v="1"/>
    <x v="33"/>
    <x v="0"/>
    <x v="1"/>
    <x v="1"/>
    <x v="0"/>
    <x v="7"/>
    <n v="0"/>
    <x v="0"/>
  </r>
  <r>
    <x v="32"/>
    <x v="1"/>
    <x v="33"/>
    <x v="0"/>
    <x v="1"/>
    <x v="1"/>
    <x v="0"/>
    <x v="8"/>
    <n v="0"/>
    <x v="0"/>
  </r>
  <r>
    <x v="32"/>
    <x v="1"/>
    <x v="33"/>
    <x v="0"/>
    <x v="1"/>
    <x v="1"/>
    <x v="0"/>
    <x v="9"/>
    <n v="0"/>
    <x v="0"/>
  </r>
  <r>
    <x v="32"/>
    <x v="1"/>
    <x v="33"/>
    <x v="0"/>
    <x v="1"/>
    <x v="1"/>
    <x v="0"/>
    <x v="10"/>
    <n v="0"/>
    <x v="0"/>
  </r>
  <r>
    <x v="32"/>
    <x v="1"/>
    <x v="33"/>
    <x v="0"/>
    <x v="1"/>
    <x v="1"/>
    <x v="0"/>
    <x v="11"/>
    <n v="0"/>
    <x v="0"/>
  </r>
  <r>
    <x v="33"/>
    <x v="0"/>
    <x v="34"/>
    <x v="0"/>
    <x v="0"/>
    <x v="0"/>
    <x v="0"/>
    <x v="0"/>
    <n v="8612.8751634773835"/>
    <x v="0"/>
  </r>
  <r>
    <x v="33"/>
    <x v="0"/>
    <x v="34"/>
    <x v="0"/>
    <x v="0"/>
    <x v="0"/>
    <x v="0"/>
    <x v="1"/>
    <n v="8256.7910625517725"/>
    <x v="0"/>
  </r>
  <r>
    <x v="33"/>
    <x v="0"/>
    <x v="34"/>
    <x v="0"/>
    <x v="0"/>
    <x v="0"/>
    <x v="0"/>
    <x v="2"/>
    <n v="8277.5327554106225"/>
    <x v="0"/>
  </r>
  <r>
    <x v="33"/>
    <x v="0"/>
    <x v="34"/>
    <x v="0"/>
    <x v="0"/>
    <x v="0"/>
    <x v="0"/>
    <x v="3"/>
    <n v="8177.8985091220493"/>
    <x v="0"/>
  </r>
  <r>
    <x v="33"/>
    <x v="0"/>
    <x v="34"/>
    <x v="0"/>
    <x v="0"/>
    <x v="0"/>
    <x v="0"/>
    <x v="4"/>
    <n v="8346.2575479809475"/>
    <x v="0"/>
  </r>
  <r>
    <x v="33"/>
    <x v="0"/>
    <x v="34"/>
    <x v="0"/>
    <x v="0"/>
    <x v="0"/>
    <x v="0"/>
    <x v="5"/>
    <n v="8561.138654576278"/>
    <x v="0"/>
  </r>
  <r>
    <x v="33"/>
    <x v="0"/>
    <x v="34"/>
    <x v="0"/>
    <x v="0"/>
    <x v="0"/>
    <x v="0"/>
    <x v="6"/>
    <n v="8384.3220024460734"/>
    <x v="0"/>
  </r>
  <r>
    <x v="33"/>
    <x v="0"/>
    <x v="34"/>
    <x v="0"/>
    <x v="0"/>
    <x v="0"/>
    <x v="0"/>
    <x v="7"/>
    <n v="0"/>
    <x v="0"/>
  </r>
  <r>
    <x v="33"/>
    <x v="0"/>
    <x v="34"/>
    <x v="0"/>
    <x v="0"/>
    <x v="0"/>
    <x v="0"/>
    <x v="8"/>
    <n v="12470.381469878803"/>
    <x v="0"/>
  </r>
  <r>
    <x v="33"/>
    <x v="0"/>
    <x v="34"/>
    <x v="0"/>
    <x v="0"/>
    <x v="0"/>
    <x v="0"/>
    <x v="9"/>
    <n v="0"/>
    <x v="0"/>
  </r>
  <r>
    <x v="33"/>
    <x v="0"/>
    <x v="34"/>
    <x v="0"/>
    <x v="0"/>
    <x v="0"/>
    <x v="0"/>
    <x v="10"/>
    <n v="0"/>
    <x v="0"/>
  </r>
  <r>
    <x v="33"/>
    <x v="0"/>
    <x v="34"/>
    <x v="0"/>
    <x v="0"/>
    <x v="0"/>
    <x v="0"/>
    <x v="11"/>
    <n v="0"/>
    <x v="0"/>
  </r>
  <r>
    <x v="33"/>
    <x v="1"/>
    <x v="34"/>
    <x v="0"/>
    <x v="1"/>
    <x v="1"/>
    <x v="0"/>
    <x v="0"/>
    <n v="2166.2466140598622"/>
    <x v="0"/>
  </r>
  <r>
    <x v="33"/>
    <x v="1"/>
    <x v="34"/>
    <x v="0"/>
    <x v="1"/>
    <x v="1"/>
    <x v="0"/>
    <x v="1"/>
    <n v="0"/>
    <x v="0"/>
  </r>
  <r>
    <x v="33"/>
    <x v="1"/>
    <x v="34"/>
    <x v="0"/>
    <x v="1"/>
    <x v="1"/>
    <x v="0"/>
    <x v="2"/>
    <n v="0"/>
    <x v="0"/>
  </r>
  <r>
    <x v="33"/>
    <x v="1"/>
    <x v="34"/>
    <x v="0"/>
    <x v="1"/>
    <x v="1"/>
    <x v="0"/>
    <x v="3"/>
    <n v="0"/>
    <x v="0"/>
  </r>
  <r>
    <x v="33"/>
    <x v="1"/>
    <x v="34"/>
    <x v="0"/>
    <x v="1"/>
    <x v="1"/>
    <x v="0"/>
    <x v="4"/>
    <n v="0"/>
    <x v="0"/>
  </r>
  <r>
    <x v="33"/>
    <x v="1"/>
    <x v="34"/>
    <x v="0"/>
    <x v="1"/>
    <x v="1"/>
    <x v="0"/>
    <x v="5"/>
    <n v="0"/>
    <x v="0"/>
  </r>
  <r>
    <x v="33"/>
    <x v="1"/>
    <x v="34"/>
    <x v="0"/>
    <x v="1"/>
    <x v="1"/>
    <x v="0"/>
    <x v="6"/>
    <n v="0"/>
    <x v="0"/>
  </r>
  <r>
    <x v="33"/>
    <x v="1"/>
    <x v="34"/>
    <x v="0"/>
    <x v="1"/>
    <x v="1"/>
    <x v="0"/>
    <x v="7"/>
    <n v="0"/>
    <x v="0"/>
  </r>
  <r>
    <x v="33"/>
    <x v="1"/>
    <x v="34"/>
    <x v="0"/>
    <x v="1"/>
    <x v="1"/>
    <x v="0"/>
    <x v="8"/>
    <n v="0"/>
    <x v="0"/>
  </r>
  <r>
    <x v="33"/>
    <x v="1"/>
    <x v="34"/>
    <x v="0"/>
    <x v="1"/>
    <x v="1"/>
    <x v="0"/>
    <x v="9"/>
    <n v="0"/>
    <x v="0"/>
  </r>
  <r>
    <x v="33"/>
    <x v="1"/>
    <x v="34"/>
    <x v="0"/>
    <x v="1"/>
    <x v="1"/>
    <x v="0"/>
    <x v="10"/>
    <n v="0"/>
    <x v="0"/>
  </r>
  <r>
    <x v="33"/>
    <x v="1"/>
    <x v="34"/>
    <x v="0"/>
    <x v="1"/>
    <x v="1"/>
    <x v="0"/>
    <x v="11"/>
    <n v="0"/>
    <x v="0"/>
  </r>
  <r>
    <x v="34"/>
    <x v="0"/>
    <x v="35"/>
    <x v="0"/>
    <x v="0"/>
    <x v="0"/>
    <x v="0"/>
    <x v="0"/>
    <n v="6116.6472997968531"/>
    <x v="0"/>
  </r>
  <r>
    <x v="34"/>
    <x v="0"/>
    <x v="35"/>
    <x v="0"/>
    <x v="0"/>
    <x v="0"/>
    <x v="0"/>
    <x v="1"/>
    <n v="5859.2992471874277"/>
    <x v="0"/>
  </r>
  <r>
    <x v="34"/>
    <x v="0"/>
    <x v="35"/>
    <x v="0"/>
    <x v="0"/>
    <x v="0"/>
    <x v="0"/>
    <x v="2"/>
    <n v="5868.732899803842"/>
    <x v="0"/>
  </r>
  <r>
    <x v="34"/>
    <x v="0"/>
    <x v="35"/>
    <x v="0"/>
    <x v="0"/>
    <x v="0"/>
    <x v="0"/>
    <x v="3"/>
    <n v="5770.9610645576913"/>
    <x v="0"/>
  </r>
  <r>
    <x v="34"/>
    <x v="0"/>
    <x v="35"/>
    <x v="0"/>
    <x v="0"/>
    <x v="0"/>
    <x v="0"/>
    <x v="4"/>
    <n v="5886.5524049765663"/>
    <x v="0"/>
  </r>
  <r>
    <x v="34"/>
    <x v="0"/>
    <x v="35"/>
    <x v="0"/>
    <x v="0"/>
    <x v="0"/>
    <x v="0"/>
    <x v="5"/>
    <n v="6034.1018778502585"/>
    <x v="0"/>
  </r>
  <r>
    <x v="34"/>
    <x v="0"/>
    <x v="35"/>
    <x v="0"/>
    <x v="0"/>
    <x v="0"/>
    <x v="0"/>
    <x v="6"/>
    <n v="5965.3229626135026"/>
    <x v="0"/>
  </r>
  <r>
    <x v="34"/>
    <x v="0"/>
    <x v="35"/>
    <x v="0"/>
    <x v="0"/>
    <x v="0"/>
    <x v="0"/>
    <x v="7"/>
    <n v="6181.7068824830994"/>
    <x v="0"/>
  </r>
  <r>
    <x v="34"/>
    <x v="0"/>
    <x v="35"/>
    <x v="0"/>
    <x v="0"/>
    <x v="0"/>
    <x v="0"/>
    <x v="8"/>
    <n v="6249.5378438961834"/>
    <x v="0"/>
  </r>
  <r>
    <x v="34"/>
    <x v="0"/>
    <x v="35"/>
    <x v="0"/>
    <x v="0"/>
    <x v="0"/>
    <x v="0"/>
    <x v="9"/>
    <n v="5733.3650972669957"/>
    <x v="0"/>
  </r>
  <r>
    <x v="34"/>
    <x v="0"/>
    <x v="35"/>
    <x v="0"/>
    <x v="0"/>
    <x v="0"/>
    <x v="0"/>
    <x v="10"/>
    <n v="5600.9214385778996"/>
    <x v="0"/>
  </r>
  <r>
    <x v="34"/>
    <x v="0"/>
    <x v="35"/>
    <x v="0"/>
    <x v="0"/>
    <x v="0"/>
    <x v="0"/>
    <x v="11"/>
    <n v="6480.5679673176082"/>
    <x v="0"/>
  </r>
  <r>
    <x v="35"/>
    <x v="0"/>
    <x v="36"/>
    <x v="0"/>
    <x v="0"/>
    <x v="0"/>
    <x v="0"/>
    <x v="0"/>
    <n v="1607.4685538687984"/>
    <x v="0"/>
  </r>
  <r>
    <x v="35"/>
    <x v="0"/>
    <x v="36"/>
    <x v="0"/>
    <x v="0"/>
    <x v="0"/>
    <x v="0"/>
    <x v="1"/>
    <n v="1411.7377929394856"/>
    <x v="0"/>
  </r>
  <r>
    <x v="35"/>
    <x v="0"/>
    <x v="36"/>
    <x v="0"/>
    <x v="0"/>
    <x v="0"/>
    <x v="0"/>
    <x v="2"/>
    <n v="1544.0749652202926"/>
    <x v="0"/>
  </r>
  <r>
    <x v="35"/>
    <x v="0"/>
    <x v="36"/>
    <x v="0"/>
    <x v="0"/>
    <x v="0"/>
    <x v="0"/>
    <x v="3"/>
    <n v="474.45315335894793"/>
    <x v="0"/>
  </r>
  <r>
    <x v="35"/>
    <x v="0"/>
    <x v="36"/>
    <x v="0"/>
    <x v="0"/>
    <x v="0"/>
    <x v="0"/>
    <x v="4"/>
    <n v="0"/>
    <x v="0"/>
  </r>
  <r>
    <x v="35"/>
    <x v="0"/>
    <x v="36"/>
    <x v="0"/>
    <x v="0"/>
    <x v="0"/>
    <x v="0"/>
    <x v="5"/>
    <n v="0"/>
    <x v="0"/>
  </r>
  <r>
    <x v="35"/>
    <x v="0"/>
    <x v="36"/>
    <x v="0"/>
    <x v="0"/>
    <x v="0"/>
    <x v="0"/>
    <x v="6"/>
    <n v="0"/>
    <x v="0"/>
  </r>
  <r>
    <x v="35"/>
    <x v="0"/>
    <x v="36"/>
    <x v="0"/>
    <x v="0"/>
    <x v="0"/>
    <x v="0"/>
    <x v="7"/>
    <n v="0"/>
    <x v="0"/>
  </r>
  <r>
    <x v="35"/>
    <x v="0"/>
    <x v="36"/>
    <x v="0"/>
    <x v="0"/>
    <x v="0"/>
    <x v="0"/>
    <x v="8"/>
    <n v="0"/>
    <x v="0"/>
  </r>
  <r>
    <x v="35"/>
    <x v="0"/>
    <x v="36"/>
    <x v="0"/>
    <x v="0"/>
    <x v="0"/>
    <x v="0"/>
    <x v="9"/>
    <n v="0"/>
    <x v="0"/>
  </r>
  <r>
    <x v="35"/>
    <x v="0"/>
    <x v="36"/>
    <x v="0"/>
    <x v="0"/>
    <x v="0"/>
    <x v="0"/>
    <x v="10"/>
    <n v="0"/>
    <x v="0"/>
  </r>
  <r>
    <x v="35"/>
    <x v="0"/>
    <x v="36"/>
    <x v="0"/>
    <x v="0"/>
    <x v="0"/>
    <x v="0"/>
    <x v="11"/>
    <n v="0"/>
    <x v="0"/>
  </r>
  <r>
    <x v="36"/>
    <x v="0"/>
    <x v="37"/>
    <x v="0"/>
    <x v="0"/>
    <x v="0"/>
    <x v="0"/>
    <x v="0"/>
    <n v="8571.5703869092104"/>
    <x v="0"/>
  </r>
  <r>
    <x v="36"/>
    <x v="0"/>
    <x v="37"/>
    <x v="0"/>
    <x v="0"/>
    <x v="0"/>
    <x v="0"/>
    <x v="1"/>
    <n v="8217.1939589672511"/>
    <x v="0"/>
  </r>
  <r>
    <x v="36"/>
    <x v="0"/>
    <x v="37"/>
    <x v="0"/>
    <x v="0"/>
    <x v="0"/>
    <x v="0"/>
    <x v="2"/>
    <n v="8208.0734661881015"/>
    <x v="0"/>
  </r>
  <r>
    <x v="36"/>
    <x v="0"/>
    <x v="37"/>
    <x v="0"/>
    <x v="0"/>
    <x v="0"/>
    <x v="0"/>
    <x v="3"/>
    <n v="5202.6789466284536"/>
    <x v="0"/>
  </r>
  <r>
    <x v="36"/>
    <x v="0"/>
    <x v="37"/>
    <x v="0"/>
    <x v="0"/>
    <x v="0"/>
    <x v="0"/>
    <x v="4"/>
    <n v="9345.936675140536"/>
    <x v="0"/>
  </r>
  <r>
    <x v="36"/>
    <x v="0"/>
    <x v="37"/>
    <x v="0"/>
    <x v="0"/>
    <x v="0"/>
    <x v="0"/>
    <x v="5"/>
    <n v="0"/>
    <x v="0"/>
  </r>
  <r>
    <x v="36"/>
    <x v="0"/>
    <x v="37"/>
    <x v="0"/>
    <x v="0"/>
    <x v="0"/>
    <x v="0"/>
    <x v="6"/>
    <n v="0"/>
    <x v="0"/>
  </r>
  <r>
    <x v="36"/>
    <x v="0"/>
    <x v="37"/>
    <x v="0"/>
    <x v="0"/>
    <x v="0"/>
    <x v="0"/>
    <x v="7"/>
    <n v="0"/>
    <x v="0"/>
  </r>
  <r>
    <x v="36"/>
    <x v="0"/>
    <x v="37"/>
    <x v="0"/>
    <x v="0"/>
    <x v="0"/>
    <x v="0"/>
    <x v="8"/>
    <n v="0"/>
    <x v="0"/>
  </r>
  <r>
    <x v="36"/>
    <x v="0"/>
    <x v="37"/>
    <x v="0"/>
    <x v="0"/>
    <x v="0"/>
    <x v="0"/>
    <x v="9"/>
    <n v="0"/>
    <x v="0"/>
  </r>
  <r>
    <x v="36"/>
    <x v="0"/>
    <x v="37"/>
    <x v="0"/>
    <x v="0"/>
    <x v="0"/>
    <x v="0"/>
    <x v="10"/>
    <n v="0"/>
    <x v="0"/>
  </r>
  <r>
    <x v="36"/>
    <x v="0"/>
    <x v="37"/>
    <x v="0"/>
    <x v="0"/>
    <x v="0"/>
    <x v="0"/>
    <x v="11"/>
    <n v="0"/>
    <x v="0"/>
  </r>
  <r>
    <x v="36"/>
    <x v="1"/>
    <x v="37"/>
    <x v="0"/>
    <x v="1"/>
    <x v="1"/>
    <x v="0"/>
    <x v="0"/>
    <n v="4820.5573706713139"/>
    <x v="0"/>
  </r>
  <r>
    <x v="36"/>
    <x v="1"/>
    <x v="37"/>
    <x v="0"/>
    <x v="1"/>
    <x v="1"/>
    <x v="0"/>
    <x v="1"/>
    <n v="0"/>
    <x v="0"/>
  </r>
  <r>
    <x v="36"/>
    <x v="1"/>
    <x v="37"/>
    <x v="0"/>
    <x v="1"/>
    <x v="1"/>
    <x v="0"/>
    <x v="2"/>
    <n v="0"/>
    <x v="0"/>
  </r>
  <r>
    <x v="36"/>
    <x v="1"/>
    <x v="37"/>
    <x v="0"/>
    <x v="1"/>
    <x v="1"/>
    <x v="0"/>
    <x v="3"/>
    <n v="0"/>
    <x v="0"/>
  </r>
  <r>
    <x v="36"/>
    <x v="1"/>
    <x v="37"/>
    <x v="0"/>
    <x v="1"/>
    <x v="1"/>
    <x v="0"/>
    <x v="4"/>
    <n v="0"/>
    <x v="0"/>
  </r>
  <r>
    <x v="36"/>
    <x v="1"/>
    <x v="37"/>
    <x v="0"/>
    <x v="1"/>
    <x v="1"/>
    <x v="0"/>
    <x v="5"/>
    <n v="0"/>
    <x v="0"/>
  </r>
  <r>
    <x v="36"/>
    <x v="1"/>
    <x v="37"/>
    <x v="0"/>
    <x v="1"/>
    <x v="1"/>
    <x v="0"/>
    <x v="6"/>
    <n v="0"/>
    <x v="0"/>
  </r>
  <r>
    <x v="36"/>
    <x v="1"/>
    <x v="37"/>
    <x v="0"/>
    <x v="1"/>
    <x v="1"/>
    <x v="0"/>
    <x v="7"/>
    <n v="0"/>
    <x v="0"/>
  </r>
  <r>
    <x v="36"/>
    <x v="1"/>
    <x v="37"/>
    <x v="0"/>
    <x v="1"/>
    <x v="1"/>
    <x v="0"/>
    <x v="8"/>
    <n v="0"/>
    <x v="0"/>
  </r>
  <r>
    <x v="36"/>
    <x v="1"/>
    <x v="37"/>
    <x v="0"/>
    <x v="1"/>
    <x v="1"/>
    <x v="0"/>
    <x v="9"/>
    <n v="0"/>
    <x v="0"/>
  </r>
  <r>
    <x v="36"/>
    <x v="1"/>
    <x v="37"/>
    <x v="0"/>
    <x v="1"/>
    <x v="1"/>
    <x v="0"/>
    <x v="10"/>
    <n v="0"/>
    <x v="0"/>
  </r>
  <r>
    <x v="36"/>
    <x v="1"/>
    <x v="37"/>
    <x v="0"/>
    <x v="1"/>
    <x v="1"/>
    <x v="0"/>
    <x v="11"/>
    <n v="0"/>
    <x v="0"/>
  </r>
  <r>
    <x v="37"/>
    <x v="0"/>
    <x v="38"/>
    <x v="0"/>
    <x v="0"/>
    <x v="0"/>
    <x v="0"/>
    <x v="0"/>
    <n v="1606.9736323624854"/>
    <x v="0"/>
  </r>
  <r>
    <x v="37"/>
    <x v="0"/>
    <x v="38"/>
    <x v="0"/>
    <x v="0"/>
    <x v="0"/>
    <x v="0"/>
    <x v="1"/>
    <n v="1541.8741525286318"/>
    <x v="0"/>
  </r>
  <r>
    <x v="37"/>
    <x v="0"/>
    <x v="38"/>
    <x v="0"/>
    <x v="0"/>
    <x v="0"/>
    <x v="0"/>
    <x v="2"/>
    <n v="1545.1855734423714"/>
    <x v="0"/>
  </r>
  <r>
    <x v="37"/>
    <x v="0"/>
    <x v="38"/>
    <x v="0"/>
    <x v="0"/>
    <x v="0"/>
    <x v="0"/>
    <x v="3"/>
    <n v="1525.9262634141678"/>
    <x v="0"/>
  </r>
  <r>
    <x v="37"/>
    <x v="0"/>
    <x v="38"/>
    <x v="0"/>
    <x v="0"/>
    <x v="0"/>
    <x v="0"/>
    <x v="4"/>
    <n v="1557.2132159028622"/>
    <x v="0"/>
  </r>
  <r>
    <x v="37"/>
    <x v="0"/>
    <x v="38"/>
    <x v="0"/>
    <x v="0"/>
    <x v="0"/>
    <x v="0"/>
    <x v="5"/>
    <n v="2542.2702200340377"/>
    <x v="0"/>
  </r>
  <r>
    <x v="37"/>
    <x v="0"/>
    <x v="38"/>
    <x v="0"/>
    <x v="0"/>
    <x v="0"/>
    <x v="0"/>
    <x v="6"/>
    <n v="0"/>
    <x v="0"/>
  </r>
  <r>
    <x v="37"/>
    <x v="0"/>
    <x v="38"/>
    <x v="0"/>
    <x v="0"/>
    <x v="0"/>
    <x v="0"/>
    <x v="7"/>
    <n v="0"/>
    <x v="0"/>
  </r>
  <r>
    <x v="37"/>
    <x v="0"/>
    <x v="38"/>
    <x v="0"/>
    <x v="0"/>
    <x v="0"/>
    <x v="0"/>
    <x v="8"/>
    <n v="0"/>
    <x v="0"/>
  </r>
  <r>
    <x v="37"/>
    <x v="0"/>
    <x v="38"/>
    <x v="0"/>
    <x v="0"/>
    <x v="0"/>
    <x v="0"/>
    <x v="9"/>
    <n v="0"/>
    <x v="0"/>
  </r>
  <r>
    <x v="37"/>
    <x v="0"/>
    <x v="38"/>
    <x v="0"/>
    <x v="0"/>
    <x v="0"/>
    <x v="0"/>
    <x v="10"/>
    <n v="0"/>
    <x v="0"/>
  </r>
  <r>
    <x v="37"/>
    <x v="0"/>
    <x v="38"/>
    <x v="0"/>
    <x v="0"/>
    <x v="0"/>
    <x v="0"/>
    <x v="11"/>
    <n v="0"/>
    <x v="0"/>
  </r>
  <r>
    <x v="38"/>
    <x v="0"/>
    <x v="39"/>
    <x v="0"/>
    <x v="0"/>
    <x v="0"/>
    <x v="0"/>
    <x v="0"/>
    <n v="928.23769462651785"/>
    <x v="0"/>
  </r>
  <r>
    <x v="38"/>
    <x v="0"/>
    <x v="39"/>
    <x v="0"/>
    <x v="0"/>
    <x v="0"/>
    <x v="0"/>
    <x v="1"/>
    <n v="1486.1762049021056"/>
    <x v="0"/>
  </r>
  <r>
    <x v="38"/>
    <x v="0"/>
    <x v="39"/>
    <x v="0"/>
    <x v="0"/>
    <x v="0"/>
    <x v="0"/>
    <x v="2"/>
    <n v="1485.2393728291727"/>
    <x v="0"/>
  </r>
  <r>
    <x v="38"/>
    <x v="0"/>
    <x v="39"/>
    <x v="0"/>
    <x v="0"/>
    <x v="0"/>
    <x v="0"/>
    <x v="3"/>
    <n v="1465.9216374714536"/>
    <x v="0"/>
  </r>
  <r>
    <x v="38"/>
    <x v="0"/>
    <x v="39"/>
    <x v="0"/>
    <x v="0"/>
    <x v="0"/>
    <x v="0"/>
    <x v="4"/>
    <n v="1495.1102093854463"/>
    <x v="0"/>
  </r>
  <r>
    <x v="38"/>
    <x v="0"/>
    <x v="39"/>
    <x v="0"/>
    <x v="0"/>
    <x v="0"/>
    <x v="0"/>
    <x v="5"/>
    <n v="1532.3384060008434"/>
    <x v="0"/>
  </r>
  <r>
    <x v="38"/>
    <x v="0"/>
    <x v="39"/>
    <x v="0"/>
    <x v="0"/>
    <x v="0"/>
    <x v="0"/>
    <x v="6"/>
    <n v="1603.4699751853648"/>
    <x v="0"/>
  </r>
  <r>
    <x v="38"/>
    <x v="0"/>
    <x v="39"/>
    <x v="0"/>
    <x v="0"/>
    <x v="0"/>
    <x v="0"/>
    <x v="7"/>
    <n v="1924.1712206638467"/>
    <x v="0"/>
  </r>
  <r>
    <x v="38"/>
    <x v="0"/>
    <x v="39"/>
    <x v="0"/>
    <x v="0"/>
    <x v="0"/>
    <x v="0"/>
    <x v="8"/>
    <n v="1956.9501486820463"/>
    <x v="0"/>
  </r>
  <r>
    <x v="38"/>
    <x v="0"/>
    <x v="39"/>
    <x v="0"/>
    <x v="0"/>
    <x v="0"/>
    <x v="0"/>
    <x v="9"/>
    <n v="1775.861036156241"/>
    <x v="0"/>
  </r>
  <r>
    <x v="38"/>
    <x v="0"/>
    <x v="39"/>
    <x v="0"/>
    <x v="0"/>
    <x v="0"/>
    <x v="0"/>
    <x v="10"/>
    <n v="1735.0927697641016"/>
    <x v="0"/>
  </r>
  <r>
    <x v="38"/>
    <x v="0"/>
    <x v="39"/>
    <x v="0"/>
    <x v="0"/>
    <x v="0"/>
    <x v="0"/>
    <x v="11"/>
    <n v="2007.5958478204661"/>
    <x v="0"/>
  </r>
  <r>
    <x v="39"/>
    <x v="0"/>
    <x v="40"/>
    <x v="0"/>
    <x v="0"/>
    <x v="0"/>
    <x v="0"/>
    <x v="0"/>
    <n v="0"/>
    <x v="0"/>
  </r>
  <r>
    <x v="39"/>
    <x v="0"/>
    <x v="40"/>
    <x v="0"/>
    <x v="0"/>
    <x v="0"/>
    <x v="0"/>
    <x v="1"/>
    <n v="0"/>
    <x v="0"/>
  </r>
  <r>
    <x v="39"/>
    <x v="0"/>
    <x v="40"/>
    <x v="0"/>
    <x v="0"/>
    <x v="0"/>
    <x v="0"/>
    <x v="2"/>
    <n v="941.10304446726559"/>
    <x v="0"/>
  </r>
  <r>
    <x v="39"/>
    <x v="0"/>
    <x v="40"/>
    <x v="0"/>
    <x v="0"/>
    <x v="0"/>
    <x v="0"/>
    <x v="3"/>
    <n v="1384.8318353945042"/>
    <x v="0"/>
  </r>
  <r>
    <x v="39"/>
    <x v="0"/>
    <x v="40"/>
    <x v="0"/>
    <x v="0"/>
    <x v="0"/>
    <x v="0"/>
    <x v="4"/>
    <n v="1413.2442656271437"/>
    <x v="0"/>
  </r>
  <r>
    <x v="39"/>
    <x v="0"/>
    <x v="40"/>
    <x v="0"/>
    <x v="0"/>
    <x v="0"/>
    <x v="0"/>
    <x v="5"/>
    <n v="1449.0860017194657"/>
    <x v="0"/>
  </r>
  <r>
    <x v="39"/>
    <x v="0"/>
    <x v="40"/>
    <x v="0"/>
    <x v="0"/>
    <x v="0"/>
    <x v="0"/>
    <x v="6"/>
    <n v="1481.5545427510513"/>
    <x v="0"/>
  </r>
  <r>
    <x v="39"/>
    <x v="0"/>
    <x v="40"/>
    <x v="0"/>
    <x v="0"/>
    <x v="0"/>
    <x v="0"/>
    <x v="7"/>
    <n v="1499.0632124838253"/>
    <x v="0"/>
  </r>
  <r>
    <x v="39"/>
    <x v="0"/>
    <x v="40"/>
    <x v="0"/>
    <x v="0"/>
    <x v="0"/>
    <x v="0"/>
    <x v="8"/>
    <n v="1500.7382578888817"/>
    <x v="0"/>
  </r>
  <r>
    <x v="39"/>
    <x v="0"/>
    <x v="40"/>
    <x v="0"/>
    <x v="0"/>
    <x v="0"/>
    <x v="0"/>
    <x v="9"/>
    <n v="1394.0303995886477"/>
    <x v="0"/>
  </r>
  <r>
    <x v="39"/>
    <x v="0"/>
    <x v="40"/>
    <x v="0"/>
    <x v="0"/>
    <x v="0"/>
    <x v="0"/>
    <x v="10"/>
    <n v="1354.2035398394728"/>
    <x v="0"/>
  </r>
  <r>
    <x v="39"/>
    <x v="0"/>
    <x v="40"/>
    <x v="0"/>
    <x v="0"/>
    <x v="0"/>
    <x v="0"/>
    <x v="11"/>
    <n v="1566.8864806895187"/>
    <x v="0"/>
  </r>
  <r>
    <x v="40"/>
    <x v="0"/>
    <x v="41"/>
    <x v="0"/>
    <x v="0"/>
    <x v="0"/>
    <x v="0"/>
    <x v="0"/>
    <n v="0"/>
    <x v="0"/>
  </r>
  <r>
    <x v="40"/>
    <x v="0"/>
    <x v="41"/>
    <x v="0"/>
    <x v="0"/>
    <x v="0"/>
    <x v="0"/>
    <x v="1"/>
    <n v="0"/>
    <x v="0"/>
  </r>
  <r>
    <x v="40"/>
    <x v="0"/>
    <x v="41"/>
    <x v="0"/>
    <x v="0"/>
    <x v="0"/>
    <x v="0"/>
    <x v="2"/>
    <n v="0"/>
    <x v="0"/>
  </r>
  <r>
    <x v="40"/>
    <x v="0"/>
    <x v="41"/>
    <x v="0"/>
    <x v="0"/>
    <x v="0"/>
    <x v="0"/>
    <x v="3"/>
    <n v="0"/>
    <x v="0"/>
  </r>
  <r>
    <x v="40"/>
    <x v="0"/>
    <x v="41"/>
    <x v="0"/>
    <x v="0"/>
    <x v="0"/>
    <x v="0"/>
    <x v="4"/>
    <n v="1554.081152720144"/>
    <x v="0"/>
  </r>
  <r>
    <x v="40"/>
    <x v="0"/>
    <x v="41"/>
    <x v="0"/>
    <x v="0"/>
    <x v="0"/>
    <x v="0"/>
    <x v="5"/>
    <n v="1580.6022646048"/>
    <x v="0"/>
  </r>
  <r>
    <x v="40"/>
    <x v="0"/>
    <x v="41"/>
    <x v="0"/>
    <x v="0"/>
    <x v="0"/>
    <x v="0"/>
    <x v="6"/>
    <n v="1584.398255563138"/>
    <x v="0"/>
  </r>
  <r>
    <x v="40"/>
    <x v="0"/>
    <x v="41"/>
    <x v="0"/>
    <x v="0"/>
    <x v="0"/>
    <x v="0"/>
    <x v="7"/>
    <n v="1634.3019173474463"/>
    <x v="0"/>
  </r>
  <r>
    <x v="40"/>
    <x v="0"/>
    <x v="41"/>
    <x v="0"/>
    <x v="0"/>
    <x v="0"/>
    <x v="0"/>
    <x v="8"/>
    <n v="1652.3532107112926"/>
    <x v="0"/>
  </r>
  <r>
    <x v="40"/>
    <x v="0"/>
    <x v="41"/>
    <x v="0"/>
    <x v="0"/>
    <x v="0"/>
    <x v="0"/>
    <x v="9"/>
    <n v="1500.5437473069237"/>
    <x v="0"/>
  </r>
  <r>
    <x v="40"/>
    <x v="0"/>
    <x v="41"/>
    <x v="0"/>
    <x v="0"/>
    <x v="0"/>
    <x v="0"/>
    <x v="10"/>
    <n v="2962.9778295143728"/>
    <x v="0"/>
  </r>
  <r>
    <x v="40"/>
    <x v="0"/>
    <x v="41"/>
    <x v="0"/>
    <x v="0"/>
    <x v="0"/>
    <x v="0"/>
    <x v="11"/>
    <n v="3428.3250390847325"/>
    <x v="0"/>
  </r>
  <r>
    <x v="41"/>
    <x v="0"/>
    <x v="42"/>
    <x v="0"/>
    <x v="0"/>
    <x v="0"/>
    <x v="0"/>
    <x v="0"/>
    <n v="0"/>
    <x v="0"/>
  </r>
  <r>
    <x v="41"/>
    <x v="0"/>
    <x v="42"/>
    <x v="0"/>
    <x v="0"/>
    <x v="0"/>
    <x v="0"/>
    <x v="1"/>
    <n v="0"/>
    <x v="0"/>
  </r>
  <r>
    <x v="41"/>
    <x v="0"/>
    <x v="42"/>
    <x v="0"/>
    <x v="0"/>
    <x v="0"/>
    <x v="0"/>
    <x v="2"/>
    <n v="0"/>
    <x v="0"/>
  </r>
  <r>
    <x v="41"/>
    <x v="0"/>
    <x v="42"/>
    <x v="0"/>
    <x v="0"/>
    <x v="0"/>
    <x v="0"/>
    <x v="3"/>
    <n v="0"/>
    <x v="0"/>
  </r>
  <r>
    <x v="41"/>
    <x v="0"/>
    <x v="42"/>
    <x v="0"/>
    <x v="0"/>
    <x v="0"/>
    <x v="0"/>
    <x v="4"/>
    <n v="0"/>
    <x v="0"/>
  </r>
  <r>
    <x v="41"/>
    <x v="0"/>
    <x v="42"/>
    <x v="0"/>
    <x v="0"/>
    <x v="0"/>
    <x v="0"/>
    <x v="5"/>
    <n v="9618.1162890101532"/>
    <x v="0"/>
  </r>
  <r>
    <x v="41"/>
    <x v="0"/>
    <x v="42"/>
    <x v="0"/>
    <x v="0"/>
    <x v="0"/>
    <x v="0"/>
    <x v="6"/>
    <n v="9327.9782071659411"/>
    <x v="0"/>
  </r>
  <r>
    <x v="41"/>
    <x v="0"/>
    <x v="42"/>
    <x v="0"/>
    <x v="0"/>
    <x v="0"/>
    <x v="0"/>
    <x v="7"/>
    <n v="9841.641970676701"/>
    <x v="0"/>
  </r>
  <r>
    <x v="41"/>
    <x v="0"/>
    <x v="42"/>
    <x v="0"/>
    <x v="0"/>
    <x v="0"/>
    <x v="0"/>
    <x v="8"/>
    <n v="9929.0623933360075"/>
    <x v="0"/>
  </r>
  <r>
    <x v="41"/>
    <x v="0"/>
    <x v="42"/>
    <x v="0"/>
    <x v="0"/>
    <x v="0"/>
    <x v="0"/>
    <x v="9"/>
    <n v="6512.2777805915066"/>
    <x v="0"/>
  </r>
  <r>
    <x v="41"/>
    <x v="0"/>
    <x v="42"/>
    <x v="0"/>
    <x v="0"/>
    <x v="0"/>
    <x v="0"/>
    <x v="10"/>
    <n v="0"/>
    <x v="0"/>
  </r>
  <r>
    <x v="41"/>
    <x v="0"/>
    <x v="42"/>
    <x v="0"/>
    <x v="0"/>
    <x v="0"/>
    <x v="0"/>
    <x v="11"/>
    <n v="0"/>
    <x v="0"/>
  </r>
  <r>
    <x v="42"/>
    <x v="0"/>
    <x v="43"/>
    <x v="1"/>
    <x v="0"/>
    <x v="2"/>
    <x v="0"/>
    <x v="0"/>
    <n v="0"/>
    <x v="0"/>
  </r>
  <r>
    <x v="42"/>
    <x v="0"/>
    <x v="43"/>
    <x v="1"/>
    <x v="0"/>
    <x v="2"/>
    <x v="0"/>
    <x v="1"/>
    <n v="0"/>
    <x v="0"/>
  </r>
  <r>
    <x v="42"/>
    <x v="0"/>
    <x v="43"/>
    <x v="1"/>
    <x v="0"/>
    <x v="2"/>
    <x v="0"/>
    <x v="2"/>
    <n v="0"/>
    <x v="0"/>
  </r>
  <r>
    <x v="42"/>
    <x v="0"/>
    <x v="43"/>
    <x v="1"/>
    <x v="0"/>
    <x v="2"/>
    <x v="0"/>
    <x v="3"/>
    <n v="0"/>
    <x v="0"/>
  </r>
  <r>
    <x v="42"/>
    <x v="0"/>
    <x v="43"/>
    <x v="1"/>
    <x v="0"/>
    <x v="2"/>
    <x v="0"/>
    <x v="4"/>
    <n v="0"/>
    <x v="0"/>
  </r>
  <r>
    <x v="42"/>
    <x v="0"/>
    <x v="43"/>
    <x v="1"/>
    <x v="0"/>
    <x v="2"/>
    <x v="0"/>
    <x v="5"/>
    <n v="0"/>
    <x v="0"/>
  </r>
  <r>
    <x v="42"/>
    <x v="0"/>
    <x v="43"/>
    <x v="1"/>
    <x v="0"/>
    <x v="2"/>
    <x v="0"/>
    <x v="6"/>
    <n v="0"/>
    <x v="0"/>
  </r>
  <r>
    <x v="42"/>
    <x v="0"/>
    <x v="43"/>
    <x v="1"/>
    <x v="0"/>
    <x v="2"/>
    <x v="0"/>
    <x v="7"/>
    <n v="0"/>
    <x v="0"/>
  </r>
  <r>
    <x v="42"/>
    <x v="0"/>
    <x v="43"/>
    <x v="1"/>
    <x v="0"/>
    <x v="2"/>
    <x v="0"/>
    <x v="8"/>
    <n v="0"/>
    <x v="0"/>
  </r>
  <r>
    <x v="42"/>
    <x v="0"/>
    <x v="43"/>
    <x v="1"/>
    <x v="0"/>
    <x v="2"/>
    <x v="0"/>
    <x v="9"/>
    <n v="0"/>
    <x v="0"/>
  </r>
  <r>
    <x v="42"/>
    <x v="0"/>
    <x v="43"/>
    <x v="1"/>
    <x v="0"/>
    <x v="2"/>
    <x v="0"/>
    <x v="10"/>
    <n v="0"/>
    <x v="0"/>
  </r>
  <r>
    <x v="42"/>
    <x v="0"/>
    <x v="43"/>
    <x v="1"/>
    <x v="0"/>
    <x v="2"/>
    <x v="0"/>
    <x v="11"/>
    <n v="0"/>
    <x v="0"/>
  </r>
  <r>
    <x v="30"/>
    <x v="0"/>
    <x v="44"/>
    <x v="0"/>
    <x v="0"/>
    <x v="0"/>
    <x v="0"/>
    <x v="0"/>
    <n v="0"/>
    <x v="0"/>
  </r>
  <r>
    <x v="30"/>
    <x v="0"/>
    <x v="44"/>
    <x v="0"/>
    <x v="0"/>
    <x v="0"/>
    <x v="0"/>
    <x v="1"/>
    <n v="0"/>
    <x v="0"/>
  </r>
  <r>
    <x v="30"/>
    <x v="0"/>
    <x v="44"/>
    <x v="0"/>
    <x v="0"/>
    <x v="0"/>
    <x v="0"/>
    <x v="2"/>
    <n v="0"/>
    <x v="0"/>
  </r>
  <r>
    <x v="30"/>
    <x v="0"/>
    <x v="44"/>
    <x v="0"/>
    <x v="0"/>
    <x v="0"/>
    <x v="0"/>
    <x v="3"/>
    <n v="0"/>
    <x v="0"/>
  </r>
  <r>
    <x v="30"/>
    <x v="0"/>
    <x v="44"/>
    <x v="0"/>
    <x v="0"/>
    <x v="0"/>
    <x v="0"/>
    <x v="4"/>
    <n v="0"/>
    <x v="0"/>
  </r>
  <r>
    <x v="30"/>
    <x v="0"/>
    <x v="44"/>
    <x v="0"/>
    <x v="0"/>
    <x v="0"/>
    <x v="0"/>
    <x v="5"/>
    <n v="0"/>
    <x v="0"/>
  </r>
  <r>
    <x v="30"/>
    <x v="0"/>
    <x v="44"/>
    <x v="0"/>
    <x v="0"/>
    <x v="0"/>
    <x v="0"/>
    <x v="6"/>
    <n v="0"/>
    <x v="0"/>
  </r>
  <r>
    <x v="30"/>
    <x v="0"/>
    <x v="44"/>
    <x v="0"/>
    <x v="0"/>
    <x v="0"/>
    <x v="0"/>
    <x v="7"/>
    <n v="0"/>
    <x v="0"/>
  </r>
  <r>
    <x v="30"/>
    <x v="0"/>
    <x v="44"/>
    <x v="0"/>
    <x v="0"/>
    <x v="0"/>
    <x v="0"/>
    <x v="8"/>
    <n v="0"/>
    <x v="0"/>
  </r>
  <r>
    <x v="30"/>
    <x v="0"/>
    <x v="44"/>
    <x v="0"/>
    <x v="0"/>
    <x v="0"/>
    <x v="0"/>
    <x v="9"/>
    <n v="0"/>
    <x v="0"/>
  </r>
  <r>
    <x v="30"/>
    <x v="0"/>
    <x v="44"/>
    <x v="0"/>
    <x v="0"/>
    <x v="0"/>
    <x v="0"/>
    <x v="10"/>
    <n v="0"/>
    <x v="0"/>
  </r>
  <r>
    <x v="30"/>
    <x v="0"/>
    <x v="44"/>
    <x v="0"/>
    <x v="0"/>
    <x v="0"/>
    <x v="0"/>
    <x v="11"/>
    <n v="0"/>
    <x v="0"/>
  </r>
  <r>
    <x v="43"/>
    <x v="0"/>
    <x v="45"/>
    <x v="0"/>
    <x v="0"/>
    <x v="0"/>
    <x v="0"/>
    <x v="0"/>
    <n v="0"/>
    <x v="0"/>
  </r>
  <r>
    <x v="43"/>
    <x v="0"/>
    <x v="45"/>
    <x v="0"/>
    <x v="0"/>
    <x v="0"/>
    <x v="0"/>
    <x v="1"/>
    <n v="0"/>
    <x v="0"/>
  </r>
  <r>
    <x v="43"/>
    <x v="0"/>
    <x v="45"/>
    <x v="0"/>
    <x v="0"/>
    <x v="0"/>
    <x v="0"/>
    <x v="2"/>
    <n v="0"/>
    <x v="0"/>
  </r>
  <r>
    <x v="43"/>
    <x v="0"/>
    <x v="45"/>
    <x v="0"/>
    <x v="0"/>
    <x v="0"/>
    <x v="0"/>
    <x v="3"/>
    <n v="0"/>
    <x v="0"/>
  </r>
  <r>
    <x v="43"/>
    <x v="0"/>
    <x v="45"/>
    <x v="0"/>
    <x v="0"/>
    <x v="0"/>
    <x v="0"/>
    <x v="4"/>
    <n v="0"/>
    <x v="0"/>
  </r>
  <r>
    <x v="43"/>
    <x v="0"/>
    <x v="45"/>
    <x v="0"/>
    <x v="0"/>
    <x v="0"/>
    <x v="0"/>
    <x v="5"/>
    <n v="0"/>
    <x v="0"/>
  </r>
  <r>
    <x v="43"/>
    <x v="0"/>
    <x v="45"/>
    <x v="0"/>
    <x v="0"/>
    <x v="0"/>
    <x v="0"/>
    <x v="6"/>
    <n v="547.95405578049042"/>
    <x v="0"/>
  </r>
  <r>
    <x v="43"/>
    <x v="0"/>
    <x v="45"/>
    <x v="0"/>
    <x v="0"/>
    <x v="0"/>
    <x v="0"/>
    <x v="7"/>
    <n v="1627.9380737394069"/>
    <x v="0"/>
  </r>
  <r>
    <x v="43"/>
    <x v="0"/>
    <x v="45"/>
    <x v="0"/>
    <x v="0"/>
    <x v="0"/>
    <x v="0"/>
    <x v="8"/>
    <n v="1636.0101448191106"/>
    <x v="0"/>
  </r>
  <r>
    <x v="43"/>
    <x v="0"/>
    <x v="45"/>
    <x v="0"/>
    <x v="0"/>
    <x v="0"/>
    <x v="0"/>
    <x v="9"/>
    <n v="1515.7717446397178"/>
    <x v="0"/>
  </r>
  <r>
    <x v="43"/>
    <x v="0"/>
    <x v="45"/>
    <x v="0"/>
    <x v="0"/>
    <x v="0"/>
    <x v="0"/>
    <x v="10"/>
    <n v="1482.1689730975738"/>
    <x v="0"/>
  </r>
  <r>
    <x v="43"/>
    <x v="0"/>
    <x v="45"/>
    <x v="0"/>
    <x v="0"/>
    <x v="0"/>
    <x v="0"/>
    <x v="11"/>
    <n v="1714.9493836940876"/>
    <x v="0"/>
  </r>
  <r>
    <x v="44"/>
    <x v="0"/>
    <x v="46"/>
    <x v="0"/>
    <x v="0"/>
    <x v="0"/>
    <x v="0"/>
    <x v="0"/>
    <n v="0"/>
    <x v="0"/>
  </r>
  <r>
    <x v="44"/>
    <x v="0"/>
    <x v="46"/>
    <x v="0"/>
    <x v="0"/>
    <x v="0"/>
    <x v="0"/>
    <x v="1"/>
    <n v="0"/>
    <x v="0"/>
  </r>
  <r>
    <x v="44"/>
    <x v="0"/>
    <x v="46"/>
    <x v="0"/>
    <x v="0"/>
    <x v="0"/>
    <x v="0"/>
    <x v="2"/>
    <n v="0"/>
    <x v="0"/>
  </r>
  <r>
    <x v="44"/>
    <x v="0"/>
    <x v="46"/>
    <x v="0"/>
    <x v="0"/>
    <x v="0"/>
    <x v="0"/>
    <x v="3"/>
    <n v="0"/>
    <x v="0"/>
  </r>
  <r>
    <x v="44"/>
    <x v="0"/>
    <x v="46"/>
    <x v="0"/>
    <x v="0"/>
    <x v="0"/>
    <x v="0"/>
    <x v="4"/>
    <n v="0"/>
    <x v="0"/>
  </r>
  <r>
    <x v="44"/>
    <x v="0"/>
    <x v="46"/>
    <x v="0"/>
    <x v="0"/>
    <x v="0"/>
    <x v="0"/>
    <x v="5"/>
    <n v="0"/>
    <x v="0"/>
  </r>
  <r>
    <x v="44"/>
    <x v="0"/>
    <x v="46"/>
    <x v="0"/>
    <x v="0"/>
    <x v="0"/>
    <x v="0"/>
    <x v="6"/>
    <n v="0"/>
    <x v="0"/>
  </r>
  <r>
    <x v="44"/>
    <x v="0"/>
    <x v="46"/>
    <x v="0"/>
    <x v="0"/>
    <x v="0"/>
    <x v="0"/>
    <x v="7"/>
    <n v="0"/>
    <x v="0"/>
  </r>
  <r>
    <x v="44"/>
    <x v="0"/>
    <x v="46"/>
    <x v="0"/>
    <x v="0"/>
    <x v="0"/>
    <x v="0"/>
    <x v="8"/>
    <n v="7567.3929019102188"/>
    <x v="0"/>
  </r>
  <r>
    <x v="44"/>
    <x v="0"/>
    <x v="46"/>
    <x v="0"/>
    <x v="0"/>
    <x v="0"/>
    <x v="0"/>
    <x v="9"/>
    <n v="6949.092822107501"/>
    <x v="0"/>
  </r>
  <r>
    <x v="44"/>
    <x v="0"/>
    <x v="46"/>
    <x v="0"/>
    <x v="0"/>
    <x v="0"/>
    <x v="0"/>
    <x v="10"/>
    <n v="6791.0935600656812"/>
    <x v="0"/>
  </r>
  <r>
    <x v="44"/>
    <x v="0"/>
    <x v="46"/>
    <x v="0"/>
    <x v="0"/>
    <x v="0"/>
    <x v="0"/>
    <x v="11"/>
    <n v="7857.6612564651368"/>
    <x v="0"/>
  </r>
  <r>
    <x v="45"/>
    <x v="0"/>
    <x v="47"/>
    <x v="0"/>
    <x v="0"/>
    <x v="0"/>
    <x v="0"/>
    <x v="0"/>
    <n v="0"/>
    <x v="0"/>
  </r>
  <r>
    <x v="45"/>
    <x v="0"/>
    <x v="47"/>
    <x v="0"/>
    <x v="0"/>
    <x v="0"/>
    <x v="0"/>
    <x v="1"/>
    <n v="3372.6943545457543"/>
    <x v="0"/>
  </r>
  <r>
    <x v="45"/>
    <x v="0"/>
    <x v="47"/>
    <x v="0"/>
    <x v="0"/>
    <x v="0"/>
    <x v="0"/>
    <x v="2"/>
    <n v="0"/>
    <x v="0"/>
  </r>
  <r>
    <x v="45"/>
    <x v="0"/>
    <x v="47"/>
    <x v="0"/>
    <x v="0"/>
    <x v="0"/>
    <x v="0"/>
    <x v="3"/>
    <n v="0"/>
    <x v="0"/>
  </r>
  <r>
    <x v="45"/>
    <x v="0"/>
    <x v="47"/>
    <x v="0"/>
    <x v="0"/>
    <x v="0"/>
    <x v="0"/>
    <x v="4"/>
    <n v="0"/>
    <x v="0"/>
  </r>
  <r>
    <x v="45"/>
    <x v="0"/>
    <x v="47"/>
    <x v="0"/>
    <x v="0"/>
    <x v="0"/>
    <x v="0"/>
    <x v="5"/>
    <n v="0"/>
    <x v="0"/>
  </r>
  <r>
    <x v="45"/>
    <x v="0"/>
    <x v="47"/>
    <x v="0"/>
    <x v="0"/>
    <x v="0"/>
    <x v="0"/>
    <x v="6"/>
    <n v="0"/>
    <x v="0"/>
  </r>
  <r>
    <x v="45"/>
    <x v="0"/>
    <x v="47"/>
    <x v="0"/>
    <x v="0"/>
    <x v="0"/>
    <x v="0"/>
    <x v="7"/>
    <n v="0"/>
    <x v="0"/>
  </r>
  <r>
    <x v="45"/>
    <x v="0"/>
    <x v="47"/>
    <x v="0"/>
    <x v="0"/>
    <x v="0"/>
    <x v="0"/>
    <x v="8"/>
    <n v="0"/>
    <x v="0"/>
  </r>
  <r>
    <x v="45"/>
    <x v="0"/>
    <x v="47"/>
    <x v="0"/>
    <x v="0"/>
    <x v="0"/>
    <x v="0"/>
    <x v="9"/>
    <n v="0"/>
    <x v="0"/>
  </r>
  <r>
    <x v="45"/>
    <x v="0"/>
    <x v="47"/>
    <x v="0"/>
    <x v="0"/>
    <x v="0"/>
    <x v="0"/>
    <x v="10"/>
    <n v="0"/>
    <x v="0"/>
  </r>
  <r>
    <x v="45"/>
    <x v="0"/>
    <x v="47"/>
    <x v="0"/>
    <x v="0"/>
    <x v="0"/>
    <x v="0"/>
    <x v="11"/>
    <n v="0"/>
    <x v="0"/>
  </r>
  <r>
    <x v="46"/>
    <x v="0"/>
    <x v="48"/>
    <x v="0"/>
    <x v="0"/>
    <x v="0"/>
    <x v="0"/>
    <x v="0"/>
    <n v="0"/>
    <x v="0"/>
  </r>
  <r>
    <x v="46"/>
    <x v="0"/>
    <x v="48"/>
    <x v="0"/>
    <x v="0"/>
    <x v="0"/>
    <x v="0"/>
    <x v="1"/>
    <n v="0"/>
    <x v="0"/>
  </r>
  <r>
    <x v="46"/>
    <x v="0"/>
    <x v="48"/>
    <x v="0"/>
    <x v="0"/>
    <x v="0"/>
    <x v="0"/>
    <x v="2"/>
    <n v="0"/>
    <x v="0"/>
  </r>
  <r>
    <x v="46"/>
    <x v="0"/>
    <x v="48"/>
    <x v="0"/>
    <x v="0"/>
    <x v="0"/>
    <x v="0"/>
    <x v="3"/>
    <n v="0"/>
    <x v="0"/>
  </r>
  <r>
    <x v="46"/>
    <x v="0"/>
    <x v="48"/>
    <x v="0"/>
    <x v="0"/>
    <x v="0"/>
    <x v="0"/>
    <x v="4"/>
    <n v="0"/>
    <x v="0"/>
  </r>
  <r>
    <x v="46"/>
    <x v="0"/>
    <x v="48"/>
    <x v="0"/>
    <x v="0"/>
    <x v="0"/>
    <x v="0"/>
    <x v="5"/>
    <n v="0"/>
    <x v="0"/>
  </r>
  <r>
    <x v="46"/>
    <x v="0"/>
    <x v="48"/>
    <x v="0"/>
    <x v="0"/>
    <x v="0"/>
    <x v="0"/>
    <x v="6"/>
    <n v="0"/>
    <x v="0"/>
  </r>
  <r>
    <x v="46"/>
    <x v="0"/>
    <x v="48"/>
    <x v="0"/>
    <x v="0"/>
    <x v="0"/>
    <x v="0"/>
    <x v="7"/>
    <n v="0"/>
    <x v="0"/>
  </r>
  <r>
    <x v="46"/>
    <x v="0"/>
    <x v="48"/>
    <x v="0"/>
    <x v="0"/>
    <x v="0"/>
    <x v="0"/>
    <x v="8"/>
    <n v="0"/>
    <x v="0"/>
  </r>
  <r>
    <x v="46"/>
    <x v="0"/>
    <x v="48"/>
    <x v="0"/>
    <x v="0"/>
    <x v="0"/>
    <x v="0"/>
    <x v="9"/>
    <n v="13482.882886169953"/>
    <x v="0"/>
  </r>
  <r>
    <x v="46"/>
    <x v="0"/>
    <x v="48"/>
    <x v="0"/>
    <x v="0"/>
    <x v="0"/>
    <x v="0"/>
    <x v="10"/>
    <n v="13212.967960657819"/>
    <x v="0"/>
  </r>
  <r>
    <x v="46"/>
    <x v="0"/>
    <x v="48"/>
    <x v="0"/>
    <x v="0"/>
    <x v="0"/>
    <x v="0"/>
    <x v="11"/>
    <n v="15288.116046272231"/>
    <x v="0"/>
  </r>
  <r>
    <x v="30"/>
    <x v="0"/>
    <x v="49"/>
    <x v="0"/>
    <x v="0"/>
    <x v="0"/>
    <x v="0"/>
    <x v="0"/>
    <n v="0"/>
    <x v="0"/>
  </r>
  <r>
    <x v="30"/>
    <x v="0"/>
    <x v="49"/>
    <x v="0"/>
    <x v="0"/>
    <x v="0"/>
    <x v="0"/>
    <x v="1"/>
    <n v="0"/>
    <x v="0"/>
  </r>
  <r>
    <x v="30"/>
    <x v="0"/>
    <x v="49"/>
    <x v="0"/>
    <x v="0"/>
    <x v="0"/>
    <x v="0"/>
    <x v="2"/>
    <n v="0"/>
    <x v="0"/>
  </r>
  <r>
    <x v="30"/>
    <x v="0"/>
    <x v="49"/>
    <x v="0"/>
    <x v="0"/>
    <x v="0"/>
    <x v="0"/>
    <x v="3"/>
    <n v="0"/>
    <x v="0"/>
  </r>
  <r>
    <x v="30"/>
    <x v="0"/>
    <x v="49"/>
    <x v="0"/>
    <x v="0"/>
    <x v="0"/>
    <x v="0"/>
    <x v="4"/>
    <n v="0"/>
    <x v="0"/>
  </r>
  <r>
    <x v="30"/>
    <x v="0"/>
    <x v="49"/>
    <x v="0"/>
    <x v="0"/>
    <x v="0"/>
    <x v="0"/>
    <x v="5"/>
    <n v="0"/>
    <x v="0"/>
  </r>
  <r>
    <x v="30"/>
    <x v="0"/>
    <x v="49"/>
    <x v="0"/>
    <x v="0"/>
    <x v="0"/>
    <x v="0"/>
    <x v="6"/>
    <n v="0"/>
    <x v="0"/>
  </r>
  <r>
    <x v="30"/>
    <x v="0"/>
    <x v="49"/>
    <x v="0"/>
    <x v="0"/>
    <x v="0"/>
    <x v="0"/>
    <x v="7"/>
    <n v="0"/>
    <x v="0"/>
  </r>
  <r>
    <x v="30"/>
    <x v="0"/>
    <x v="49"/>
    <x v="0"/>
    <x v="0"/>
    <x v="0"/>
    <x v="0"/>
    <x v="8"/>
    <n v="0"/>
    <x v="0"/>
  </r>
  <r>
    <x v="30"/>
    <x v="0"/>
    <x v="49"/>
    <x v="0"/>
    <x v="0"/>
    <x v="0"/>
    <x v="0"/>
    <x v="9"/>
    <n v="1118.9004135915743"/>
    <x v="0"/>
  </r>
  <r>
    <x v="30"/>
    <x v="0"/>
    <x v="49"/>
    <x v="0"/>
    <x v="0"/>
    <x v="0"/>
    <x v="0"/>
    <x v="10"/>
    <n v="1751.7117796229622"/>
    <x v="0"/>
  </r>
  <r>
    <x v="30"/>
    <x v="0"/>
    <x v="49"/>
    <x v="0"/>
    <x v="0"/>
    <x v="0"/>
    <x v="0"/>
    <x v="11"/>
    <n v="2026.8249379123304"/>
    <x v="0"/>
  </r>
  <r>
    <x v="30"/>
    <x v="0"/>
    <x v="50"/>
    <x v="0"/>
    <x v="0"/>
    <x v="0"/>
    <x v="0"/>
    <x v="0"/>
    <n v="0"/>
    <x v="0"/>
  </r>
  <r>
    <x v="30"/>
    <x v="0"/>
    <x v="50"/>
    <x v="0"/>
    <x v="0"/>
    <x v="0"/>
    <x v="0"/>
    <x v="1"/>
    <n v="0"/>
    <x v="0"/>
  </r>
  <r>
    <x v="30"/>
    <x v="0"/>
    <x v="50"/>
    <x v="0"/>
    <x v="0"/>
    <x v="0"/>
    <x v="0"/>
    <x v="2"/>
    <n v="0"/>
    <x v="0"/>
  </r>
  <r>
    <x v="30"/>
    <x v="0"/>
    <x v="50"/>
    <x v="0"/>
    <x v="0"/>
    <x v="0"/>
    <x v="0"/>
    <x v="3"/>
    <n v="0"/>
    <x v="0"/>
  </r>
  <r>
    <x v="30"/>
    <x v="0"/>
    <x v="50"/>
    <x v="0"/>
    <x v="0"/>
    <x v="0"/>
    <x v="0"/>
    <x v="4"/>
    <n v="0"/>
    <x v="0"/>
  </r>
  <r>
    <x v="30"/>
    <x v="0"/>
    <x v="50"/>
    <x v="0"/>
    <x v="0"/>
    <x v="0"/>
    <x v="0"/>
    <x v="5"/>
    <n v="0"/>
    <x v="0"/>
  </r>
  <r>
    <x v="30"/>
    <x v="0"/>
    <x v="50"/>
    <x v="0"/>
    <x v="0"/>
    <x v="0"/>
    <x v="0"/>
    <x v="6"/>
    <n v="0"/>
    <x v="0"/>
  </r>
  <r>
    <x v="30"/>
    <x v="0"/>
    <x v="50"/>
    <x v="0"/>
    <x v="0"/>
    <x v="0"/>
    <x v="0"/>
    <x v="7"/>
    <n v="0"/>
    <x v="0"/>
  </r>
  <r>
    <x v="30"/>
    <x v="0"/>
    <x v="50"/>
    <x v="0"/>
    <x v="0"/>
    <x v="0"/>
    <x v="0"/>
    <x v="8"/>
    <n v="0"/>
    <x v="0"/>
  </r>
  <r>
    <x v="30"/>
    <x v="0"/>
    <x v="50"/>
    <x v="0"/>
    <x v="0"/>
    <x v="0"/>
    <x v="0"/>
    <x v="9"/>
    <n v="0"/>
    <x v="0"/>
  </r>
  <r>
    <x v="30"/>
    <x v="0"/>
    <x v="50"/>
    <x v="0"/>
    <x v="0"/>
    <x v="0"/>
    <x v="0"/>
    <x v="10"/>
    <n v="2520.9708812164849"/>
    <x v="0"/>
  </r>
  <r>
    <x v="30"/>
    <x v="0"/>
    <x v="50"/>
    <x v="0"/>
    <x v="0"/>
    <x v="0"/>
    <x v="0"/>
    <x v="11"/>
    <n v="3895.3670877287263"/>
    <x v="0"/>
  </r>
  <r>
    <x v="30"/>
    <x v="0"/>
    <x v="51"/>
    <x v="0"/>
    <x v="0"/>
    <x v="0"/>
    <x v="0"/>
    <x v="0"/>
    <n v="157.80000506045681"/>
    <x v="0"/>
  </r>
  <r>
    <x v="30"/>
    <x v="0"/>
    <x v="51"/>
    <x v="0"/>
    <x v="0"/>
    <x v="0"/>
    <x v="0"/>
    <x v="1"/>
    <n v="296.78609910526558"/>
    <x v="0"/>
  </r>
  <r>
    <x v="30"/>
    <x v="0"/>
    <x v="51"/>
    <x v="0"/>
    <x v="0"/>
    <x v="0"/>
    <x v="0"/>
    <x v="2"/>
    <n v="204.3324990901786"/>
    <x v="0"/>
  </r>
  <r>
    <x v="30"/>
    <x v="0"/>
    <x v="51"/>
    <x v="0"/>
    <x v="0"/>
    <x v="0"/>
    <x v="0"/>
    <x v="3"/>
    <n v="0"/>
    <x v="0"/>
  </r>
  <r>
    <x v="30"/>
    <x v="0"/>
    <x v="51"/>
    <x v="0"/>
    <x v="0"/>
    <x v="0"/>
    <x v="0"/>
    <x v="4"/>
    <n v="0"/>
    <x v="0"/>
  </r>
  <r>
    <x v="30"/>
    <x v="0"/>
    <x v="51"/>
    <x v="0"/>
    <x v="0"/>
    <x v="0"/>
    <x v="0"/>
    <x v="5"/>
    <n v="0"/>
    <x v="0"/>
  </r>
  <r>
    <x v="30"/>
    <x v="0"/>
    <x v="51"/>
    <x v="0"/>
    <x v="0"/>
    <x v="0"/>
    <x v="0"/>
    <x v="6"/>
    <n v="0"/>
    <x v="0"/>
  </r>
  <r>
    <x v="30"/>
    <x v="0"/>
    <x v="51"/>
    <x v="0"/>
    <x v="0"/>
    <x v="0"/>
    <x v="0"/>
    <x v="7"/>
    <n v="0"/>
    <x v="0"/>
  </r>
  <r>
    <x v="30"/>
    <x v="0"/>
    <x v="51"/>
    <x v="0"/>
    <x v="0"/>
    <x v="0"/>
    <x v="0"/>
    <x v="8"/>
    <n v="0"/>
    <x v="0"/>
  </r>
  <r>
    <x v="30"/>
    <x v="0"/>
    <x v="51"/>
    <x v="0"/>
    <x v="0"/>
    <x v="0"/>
    <x v="0"/>
    <x v="9"/>
    <n v="0"/>
    <x v="0"/>
  </r>
  <r>
    <x v="30"/>
    <x v="0"/>
    <x v="51"/>
    <x v="0"/>
    <x v="0"/>
    <x v="0"/>
    <x v="0"/>
    <x v="10"/>
    <n v="0"/>
    <x v="0"/>
  </r>
  <r>
    <x v="30"/>
    <x v="0"/>
    <x v="51"/>
    <x v="0"/>
    <x v="0"/>
    <x v="0"/>
    <x v="0"/>
    <x v="11"/>
    <n v="0"/>
    <x v="0"/>
  </r>
  <r>
    <x v="30"/>
    <x v="0"/>
    <x v="52"/>
    <x v="0"/>
    <x v="0"/>
    <x v="0"/>
    <x v="0"/>
    <x v="0"/>
    <n v="157.80000506045681"/>
    <x v="0"/>
  </r>
  <r>
    <x v="30"/>
    <x v="0"/>
    <x v="52"/>
    <x v="0"/>
    <x v="0"/>
    <x v="0"/>
    <x v="0"/>
    <x v="1"/>
    <n v="296.78609910526558"/>
    <x v="0"/>
  </r>
  <r>
    <x v="30"/>
    <x v="0"/>
    <x v="52"/>
    <x v="0"/>
    <x v="0"/>
    <x v="0"/>
    <x v="0"/>
    <x v="2"/>
    <n v="204.3324990901786"/>
    <x v="0"/>
  </r>
  <r>
    <x v="30"/>
    <x v="0"/>
    <x v="52"/>
    <x v="0"/>
    <x v="0"/>
    <x v="0"/>
    <x v="0"/>
    <x v="3"/>
    <n v="0"/>
    <x v="0"/>
  </r>
  <r>
    <x v="30"/>
    <x v="0"/>
    <x v="52"/>
    <x v="0"/>
    <x v="0"/>
    <x v="0"/>
    <x v="0"/>
    <x v="4"/>
    <n v="0"/>
    <x v="0"/>
  </r>
  <r>
    <x v="30"/>
    <x v="0"/>
    <x v="52"/>
    <x v="0"/>
    <x v="0"/>
    <x v="0"/>
    <x v="0"/>
    <x v="5"/>
    <n v="0"/>
    <x v="0"/>
  </r>
  <r>
    <x v="30"/>
    <x v="0"/>
    <x v="52"/>
    <x v="0"/>
    <x v="0"/>
    <x v="0"/>
    <x v="0"/>
    <x v="6"/>
    <n v="0"/>
    <x v="0"/>
  </r>
  <r>
    <x v="30"/>
    <x v="0"/>
    <x v="52"/>
    <x v="0"/>
    <x v="0"/>
    <x v="0"/>
    <x v="0"/>
    <x v="7"/>
    <n v="0"/>
    <x v="0"/>
  </r>
  <r>
    <x v="30"/>
    <x v="0"/>
    <x v="52"/>
    <x v="0"/>
    <x v="0"/>
    <x v="0"/>
    <x v="0"/>
    <x v="8"/>
    <n v="0"/>
    <x v="0"/>
  </r>
  <r>
    <x v="30"/>
    <x v="0"/>
    <x v="52"/>
    <x v="0"/>
    <x v="0"/>
    <x v="0"/>
    <x v="0"/>
    <x v="9"/>
    <n v="0"/>
    <x v="0"/>
  </r>
  <r>
    <x v="30"/>
    <x v="0"/>
    <x v="52"/>
    <x v="0"/>
    <x v="0"/>
    <x v="0"/>
    <x v="0"/>
    <x v="10"/>
    <n v="0"/>
    <x v="0"/>
  </r>
  <r>
    <x v="30"/>
    <x v="0"/>
    <x v="52"/>
    <x v="0"/>
    <x v="0"/>
    <x v="0"/>
    <x v="0"/>
    <x v="11"/>
    <n v="0"/>
    <x v="0"/>
  </r>
  <r>
    <x v="39"/>
    <x v="0"/>
    <x v="40"/>
    <x v="0"/>
    <x v="0"/>
    <x v="0"/>
    <x v="0"/>
    <x v="0"/>
    <n v="157.80000506045681"/>
    <x v="0"/>
  </r>
  <r>
    <x v="39"/>
    <x v="0"/>
    <x v="40"/>
    <x v="0"/>
    <x v="0"/>
    <x v="0"/>
    <x v="0"/>
    <x v="1"/>
    <n v="296.78609910526558"/>
    <x v="0"/>
  </r>
  <r>
    <x v="39"/>
    <x v="0"/>
    <x v="40"/>
    <x v="0"/>
    <x v="0"/>
    <x v="0"/>
    <x v="0"/>
    <x v="2"/>
    <n v="102.16680681655458"/>
    <x v="0"/>
  </r>
  <r>
    <x v="39"/>
    <x v="0"/>
    <x v="40"/>
    <x v="0"/>
    <x v="0"/>
    <x v="0"/>
    <x v="0"/>
    <x v="3"/>
    <n v="0"/>
    <x v="0"/>
  </r>
  <r>
    <x v="39"/>
    <x v="0"/>
    <x v="40"/>
    <x v="0"/>
    <x v="0"/>
    <x v="0"/>
    <x v="0"/>
    <x v="4"/>
    <n v="0"/>
    <x v="0"/>
  </r>
  <r>
    <x v="39"/>
    <x v="0"/>
    <x v="40"/>
    <x v="0"/>
    <x v="0"/>
    <x v="0"/>
    <x v="0"/>
    <x v="5"/>
    <n v="0"/>
    <x v="0"/>
  </r>
  <r>
    <x v="39"/>
    <x v="0"/>
    <x v="40"/>
    <x v="0"/>
    <x v="0"/>
    <x v="0"/>
    <x v="0"/>
    <x v="6"/>
    <n v="0"/>
    <x v="0"/>
  </r>
  <r>
    <x v="39"/>
    <x v="0"/>
    <x v="40"/>
    <x v="0"/>
    <x v="0"/>
    <x v="0"/>
    <x v="0"/>
    <x v="7"/>
    <n v="0"/>
    <x v="0"/>
  </r>
  <r>
    <x v="39"/>
    <x v="0"/>
    <x v="40"/>
    <x v="0"/>
    <x v="0"/>
    <x v="0"/>
    <x v="0"/>
    <x v="8"/>
    <n v="0"/>
    <x v="0"/>
  </r>
  <r>
    <x v="39"/>
    <x v="0"/>
    <x v="40"/>
    <x v="0"/>
    <x v="0"/>
    <x v="0"/>
    <x v="0"/>
    <x v="9"/>
    <n v="0"/>
    <x v="0"/>
  </r>
  <r>
    <x v="39"/>
    <x v="0"/>
    <x v="40"/>
    <x v="0"/>
    <x v="0"/>
    <x v="0"/>
    <x v="0"/>
    <x v="10"/>
    <n v="0"/>
    <x v="0"/>
  </r>
  <r>
    <x v="39"/>
    <x v="0"/>
    <x v="40"/>
    <x v="0"/>
    <x v="0"/>
    <x v="0"/>
    <x v="0"/>
    <x v="11"/>
    <n v="0"/>
    <x v="0"/>
  </r>
  <r>
    <x v="30"/>
    <x v="0"/>
    <x v="53"/>
    <x v="0"/>
    <x v="0"/>
    <x v="0"/>
    <x v="0"/>
    <x v="0"/>
    <n v="0"/>
    <x v="0"/>
  </r>
  <r>
    <x v="30"/>
    <x v="0"/>
    <x v="53"/>
    <x v="0"/>
    <x v="0"/>
    <x v="0"/>
    <x v="0"/>
    <x v="1"/>
    <n v="0"/>
    <x v="0"/>
  </r>
  <r>
    <x v="30"/>
    <x v="0"/>
    <x v="53"/>
    <x v="0"/>
    <x v="0"/>
    <x v="0"/>
    <x v="0"/>
    <x v="2"/>
    <n v="0"/>
    <x v="0"/>
  </r>
  <r>
    <x v="30"/>
    <x v="0"/>
    <x v="53"/>
    <x v="0"/>
    <x v="0"/>
    <x v="0"/>
    <x v="0"/>
    <x v="3"/>
    <n v="308.17134914893109"/>
    <x v="0"/>
  </r>
  <r>
    <x v="30"/>
    <x v="0"/>
    <x v="53"/>
    <x v="0"/>
    <x v="0"/>
    <x v="0"/>
    <x v="0"/>
    <x v="4"/>
    <n v="0"/>
    <x v="0"/>
  </r>
  <r>
    <x v="30"/>
    <x v="0"/>
    <x v="53"/>
    <x v="0"/>
    <x v="0"/>
    <x v="0"/>
    <x v="0"/>
    <x v="5"/>
    <n v="0"/>
    <x v="0"/>
  </r>
  <r>
    <x v="30"/>
    <x v="0"/>
    <x v="53"/>
    <x v="0"/>
    <x v="0"/>
    <x v="0"/>
    <x v="0"/>
    <x v="6"/>
    <n v="0"/>
    <x v="0"/>
  </r>
  <r>
    <x v="30"/>
    <x v="0"/>
    <x v="53"/>
    <x v="0"/>
    <x v="0"/>
    <x v="0"/>
    <x v="0"/>
    <x v="7"/>
    <n v="0"/>
    <x v="0"/>
  </r>
  <r>
    <x v="30"/>
    <x v="0"/>
    <x v="53"/>
    <x v="0"/>
    <x v="0"/>
    <x v="0"/>
    <x v="0"/>
    <x v="8"/>
    <n v="0"/>
    <x v="0"/>
  </r>
  <r>
    <x v="30"/>
    <x v="0"/>
    <x v="53"/>
    <x v="0"/>
    <x v="0"/>
    <x v="0"/>
    <x v="0"/>
    <x v="9"/>
    <n v="0"/>
    <x v="0"/>
  </r>
  <r>
    <x v="30"/>
    <x v="0"/>
    <x v="53"/>
    <x v="0"/>
    <x v="0"/>
    <x v="0"/>
    <x v="0"/>
    <x v="10"/>
    <n v="0"/>
    <x v="0"/>
  </r>
  <r>
    <x v="30"/>
    <x v="0"/>
    <x v="53"/>
    <x v="0"/>
    <x v="0"/>
    <x v="0"/>
    <x v="0"/>
    <x v="11"/>
    <n v="0"/>
    <x v="0"/>
  </r>
  <r>
    <x v="47"/>
    <x v="1"/>
    <x v="54"/>
    <x v="2"/>
    <x v="2"/>
    <x v="3"/>
    <x v="1"/>
    <x v="0"/>
    <n v="42198.645552370421"/>
    <x v="0"/>
  </r>
  <r>
    <x v="47"/>
    <x v="1"/>
    <x v="54"/>
    <x v="2"/>
    <x v="2"/>
    <x v="3"/>
    <x v="1"/>
    <x v="1"/>
    <n v="0"/>
    <x v="0"/>
  </r>
  <r>
    <x v="47"/>
    <x v="1"/>
    <x v="54"/>
    <x v="2"/>
    <x v="2"/>
    <x v="3"/>
    <x v="1"/>
    <x v="2"/>
    <n v="13886.802564903501"/>
    <x v="0"/>
  </r>
  <r>
    <x v="47"/>
    <x v="1"/>
    <x v="54"/>
    <x v="2"/>
    <x v="2"/>
    <x v="3"/>
    <x v="1"/>
    <x v="3"/>
    <n v="0"/>
    <x v="0"/>
  </r>
  <r>
    <x v="47"/>
    <x v="1"/>
    <x v="54"/>
    <x v="2"/>
    <x v="2"/>
    <x v="3"/>
    <x v="1"/>
    <x v="4"/>
    <n v="0"/>
    <x v="0"/>
  </r>
  <r>
    <x v="47"/>
    <x v="1"/>
    <x v="54"/>
    <x v="2"/>
    <x v="2"/>
    <x v="3"/>
    <x v="1"/>
    <x v="5"/>
    <n v="22741.378119181591"/>
    <x v="0"/>
  </r>
  <r>
    <x v="47"/>
    <x v="1"/>
    <x v="54"/>
    <x v="2"/>
    <x v="2"/>
    <x v="3"/>
    <x v="1"/>
    <x v="6"/>
    <n v="0"/>
    <x v="0"/>
  </r>
  <r>
    <x v="47"/>
    <x v="1"/>
    <x v="54"/>
    <x v="2"/>
    <x v="2"/>
    <x v="3"/>
    <x v="1"/>
    <x v="7"/>
    <n v="7569.294565577462"/>
    <x v="0"/>
  </r>
  <r>
    <x v="47"/>
    <x v="1"/>
    <x v="54"/>
    <x v="2"/>
    <x v="2"/>
    <x v="3"/>
    <x v="1"/>
    <x v="8"/>
    <n v="0"/>
    <x v="0"/>
  </r>
  <r>
    <x v="47"/>
    <x v="1"/>
    <x v="54"/>
    <x v="2"/>
    <x v="2"/>
    <x v="3"/>
    <x v="1"/>
    <x v="9"/>
    <n v="1156.193060441612"/>
    <x v="0"/>
  </r>
  <r>
    <x v="47"/>
    <x v="1"/>
    <x v="54"/>
    <x v="2"/>
    <x v="2"/>
    <x v="3"/>
    <x v="1"/>
    <x v="10"/>
    <n v="34823.874510388647"/>
    <x v="0"/>
  </r>
  <r>
    <x v="47"/>
    <x v="1"/>
    <x v="54"/>
    <x v="2"/>
    <x v="2"/>
    <x v="3"/>
    <x v="1"/>
    <x v="11"/>
    <n v="0"/>
    <x v="0"/>
  </r>
  <r>
    <x v="30"/>
    <x v="2"/>
    <x v="55"/>
    <x v="2"/>
    <x v="2"/>
    <x v="3"/>
    <x v="0"/>
    <x v="0"/>
    <n v="0"/>
    <x v="0"/>
  </r>
  <r>
    <x v="30"/>
    <x v="2"/>
    <x v="55"/>
    <x v="2"/>
    <x v="2"/>
    <x v="3"/>
    <x v="0"/>
    <x v="1"/>
    <n v="0"/>
    <x v="0"/>
  </r>
  <r>
    <x v="30"/>
    <x v="2"/>
    <x v="55"/>
    <x v="2"/>
    <x v="2"/>
    <x v="3"/>
    <x v="0"/>
    <x v="2"/>
    <n v="0"/>
    <x v="0"/>
  </r>
  <r>
    <x v="30"/>
    <x v="2"/>
    <x v="55"/>
    <x v="2"/>
    <x v="2"/>
    <x v="3"/>
    <x v="0"/>
    <x v="3"/>
    <n v="0"/>
    <x v="0"/>
  </r>
  <r>
    <x v="30"/>
    <x v="2"/>
    <x v="55"/>
    <x v="2"/>
    <x v="2"/>
    <x v="3"/>
    <x v="0"/>
    <x v="4"/>
    <n v="0"/>
    <x v="0"/>
  </r>
  <r>
    <x v="30"/>
    <x v="2"/>
    <x v="55"/>
    <x v="2"/>
    <x v="2"/>
    <x v="3"/>
    <x v="0"/>
    <x v="5"/>
    <n v="0"/>
    <x v="0"/>
  </r>
  <r>
    <x v="30"/>
    <x v="2"/>
    <x v="55"/>
    <x v="2"/>
    <x v="2"/>
    <x v="3"/>
    <x v="0"/>
    <x v="6"/>
    <n v="0"/>
    <x v="0"/>
  </r>
  <r>
    <x v="30"/>
    <x v="2"/>
    <x v="55"/>
    <x v="2"/>
    <x v="2"/>
    <x v="3"/>
    <x v="0"/>
    <x v="7"/>
    <n v="17316.154969763866"/>
    <x v="0"/>
  </r>
  <r>
    <x v="30"/>
    <x v="2"/>
    <x v="55"/>
    <x v="2"/>
    <x v="2"/>
    <x v="3"/>
    <x v="0"/>
    <x v="8"/>
    <n v="0"/>
    <x v="0"/>
  </r>
  <r>
    <x v="30"/>
    <x v="2"/>
    <x v="55"/>
    <x v="2"/>
    <x v="2"/>
    <x v="3"/>
    <x v="0"/>
    <x v="9"/>
    <n v="0"/>
    <x v="0"/>
  </r>
  <r>
    <x v="30"/>
    <x v="2"/>
    <x v="55"/>
    <x v="2"/>
    <x v="2"/>
    <x v="3"/>
    <x v="0"/>
    <x v="10"/>
    <n v="0"/>
    <x v="0"/>
  </r>
  <r>
    <x v="30"/>
    <x v="2"/>
    <x v="55"/>
    <x v="2"/>
    <x v="2"/>
    <x v="3"/>
    <x v="0"/>
    <x v="11"/>
    <n v="0"/>
    <x v="0"/>
  </r>
  <r>
    <x v="30"/>
    <x v="2"/>
    <x v="56"/>
    <x v="0"/>
    <x v="2"/>
    <x v="3"/>
    <x v="2"/>
    <x v="0"/>
    <n v="0"/>
    <x v="0"/>
  </r>
  <r>
    <x v="30"/>
    <x v="2"/>
    <x v="56"/>
    <x v="0"/>
    <x v="2"/>
    <x v="3"/>
    <x v="2"/>
    <x v="1"/>
    <n v="0"/>
    <x v="0"/>
  </r>
  <r>
    <x v="30"/>
    <x v="2"/>
    <x v="56"/>
    <x v="0"/>
    <x v="2"/>
    <x v="3"/>
    <x v="2"/>
    <x v="2"/>
    <n v="0"/>
    <x v="0"/>
  </r>
  <r>
    <x v="30"/>
    <x v="2"/>
    <x v="56"/>
    <x v="0"/>
    <x v="2"/>
    <x v="3"/>
    <x v="2"/>
    <x v="3"/>
    <n v="0"/>
    <x v="0"/>
  </r>
  <r>
    <x v="30"/>
    <x v="2"/>
    <x v="56"/>
    <x v="0"/>
    <x v="2"/>
    <x v="3"/>
    <x v="2"/>
    <x v="4"/>
    <n v="0"/>
    <x v="0"/>
  </r>
  <r>
    <x v="30"/>
    <x v="2"/>
    <x v="56"/>
    <x v="0"/>
    <x v="2"/>
    <x v="3"/>
    <x v="2"/>
    <x v="5"/>
    <n v="0"/>
    <x v="0"/>
  </r>
  <r>
    <x v="30"/>
    <x v="2"/>
    <x v="56"/>
    <x v="0"/>
    <x v="2"/>
    <x v="3"/>
    <x v="2"/>
    <x v="6"/>
    <n v="0"/>
    <x v="0"/>
  </r>
  <r>
    <x v="30"/>
    <x v="2"/>
    <x v="56"/>
    <x v="0"/>
    <x v="2"/>
    <x v="3"/>
    <x v="2"/>
    <x v="7"/>
    <n v="0"/>
    <x v="0"/>
  </r>
  <r>
    <x v="30"/>
    <x v="2"/>
    <x v="56"/>
    <x v="0"/>
    <x v="2"/>
    <x v="3"/>
    <x v="2"/>
    <x v="8"/>
    <n v="0"/>
    <x v="0"/>
  </r>
  <r>
    <x v="30"/>
    <x v="2"/>
    <x v="56"/>
    <x v="0"/>
    <x v="2"/>
    <x v="3"/>
    <x v="2"/>
    <x v="9"/>
    <n v="0"/>
    <x v="0"/>
  </r>
  <r>
    <x v="30"/>
    <x v="2"/>
    <x v="56"/>
    <x v="0"/>
    <x v="2"/>
    <x v="3"/>
    <x v="2"/>
    <x v="10"/>
    <n v="0"/>
    <x v="0"/>
  </r>
  <r>
    <x v="30"/>
    <x v="2"/>
    <x v="56"/>
    <x v="0"/>
    <x v="2"/>
    <x v="3"/>
    <x v="2"/>
    <x v="11"/>
    <n v="0"/>
    <x v="0"/>
  </r>
  <r>
    <x v="30"/>
    <x v="2"/>
    <x v="57"/>
    <x v="0"/>
    <x v="2"/>
    <x v="3"/>
    <x v="0"/>
    <x v="0"/>
    <n v="0"/>
    <x v="0"/>
  </r>
  <r>
    <x v="30"/>
    <x v="2"/>
    <x v="57"/>
    <x v="0"/>
    <x v="2"/>
    <x v="3"/>
    <x v="0"/>
    <x v="1"/>
    <n v="0"/>
    <x v="0"/>
  </r>
  <r>
    <x v="30"/>
    <x v="2"/>
    <x v="57"/>
    <x v="0"/>
    <x v="2"/>
    <x v="3"/>
    <x v="0"/>
    <x v="2"/>
    <n v="0"/>
    <x v="0"/>
  </r>
  <r>
    <x v="30"/>
    <x v="2"/>
    <x v="57"/>
    <x v="0"/>
    <x v="2"/>
    <x v="3"/>
    <x v="0"/>
    <x v="3"/>
    <n v="0"/>
    <x v="0"/>
  </r>
  <r>
    <x v="30"/>
    <x v="2"/>
    <x v="57"/>
    <x v="0"/>
    <x v="2"/>
    <x v="3"/>
    <x v="0"/>
    <x v="4"/>
    <n v="0"/>
    <x v="0"/>
  </r>
  <r>
    <x v="30"/>
    <x v="2"/>
    <x v="57"/>
    <x v="0"/>
    <x v="2"/>
    <x v="3"/>
    <x v="0"/>
    <x v="5"/>
    <n v="0"/>
    <x v="0"/>
  </r>
  <r>
    <x v="30"/>
    <x v="2"/>
    <x v="57"/>
    <x v="0"/>
    <x v="2"/>
    <x v="3"/>
    <x v="0"/>
    <x v="6"/>
    <n v="0"/>
    <x v="0"/>
  </r>
  <r>
    <x v="30"/>
    <x v="2"/>
    <x v="57"/>
    <x v="0"/>
    <x v="2"/>
    <x v="3"/>
    <x v="0"/>
    <x v="7"/>
    <n v="0"/>
    <x v="0"/>
  </r>
  <r>
    <x v="30"/>
    <x v="2"/>
    <x v="57"/>
    <x v="0"/>
    <x v="2"/>
    <x v="3"/>
    <x v="0"/>
    <x v="8"/>
    <n v="0"/>
    <x v="0"/>
  </r>
  <r>
    <x v="30"/>
    <x v="2"/>
    <x v="57"/>
    <x v="0"/>
    <x v="2"/>
    <x v="3"/>
    <x v="0"/>
    <x v="9"/>
    <n v="0"/>
    <x v="0"/>
  </r>
  <r>
    <x v="30"/>
    <x v="2"/>
    <x v="57"/>
    <x v="0"/>
    <x v="2"/>
    <x v="3"/>
    <x v="0"/>
    <x v="10"/>
    <n v="0"/>
    <x v="0"/>
  </r>
  <r>
    <x v="30"/>
    <x v="2"/>
    <x v="57"/>
    <x v="0"/>
    <x v="2"/>
    <x v="3"/>
    <x v="0"/>
    <x v="11"/>
    <n v="0"/>
    <x v="0"/>
  </r>
  <r>
    <x v="30"/>
    <x v="1"/>
    <x v="58"/>
    <x v="2"/>
    <x v="2"/>
    <x v="3"/>
    <x v="0"/>
    <x v="0"/>
    <n v="0"/>
    <x v="0"/>
  </r>
  <r>
    <x v="30"/>
    <x v="1"/>
    <x v="58"/>
    <x v="2"/>
    <x v="2"/>
    <x v="3"/>
    <x v="0"/>
    <x v="1"/>
    <n v="0"/>
    <x v="0"/>
  </r>
  <r>
    <x v="30"/>
    <x v="1"/>
    <x v="58"/>
    <x v="2"/>
    <x v="2"/>
    <x v="3"/>
    <x v="0"/>
    <x v="2"/>
    <n v="0"/>
    <x v="0"/>
  </r>
  <r>
    <x v="30"/>
    <x v="1"/>
    <x v="58"/>
    <x v="2"/>
    <x v="2"/>
    <x v="3"/>
    <x v="0"/>
    <x v="3"/>
    <n v="0"/>
    <x v="0"/>
  </r>
  <r>
    <x v="30"/>
    <x v="1"/>
    <x v="58"/>
    <x v="2"/>
    <x v="2"/>
    <x v="3"/>
    <x v="0"/>
    <x v="4"/>
    <n v="0"/>
    <x v="0"/>
  </r>
  <r>
    <x v="30"/>
    <x v="1"/>
    <x v="58"/>
    <x v="2"/>
    <x v="2"/>
    <x v="3"/>
    <x v="0"/>
    <x v="5"/>
    <n v="0"/>
    <x v="0"/>
  </r>
  <r>
    <x v="30"/>
    <x v="1"/>
    <x v="58"/>
    <x v="2"/>
    <x v="2"/>
    <x v="3"/>
    <x v="0"/>
    <x v="6"/>
    <n v="0"/>
    <x v="0"/>
  </r>
  <r>
    <x v="30"/>
    <x v="1"/>
    <x v="58"/>
    <x v="2"/>
    <x v="2"/>
    <x v="3"/>
    <x v="0"/>
    <x v="7"/>
    <n v="0"/>
    <x v="0"/>
  </r>
  <r>
    <x v="30"/>
    <x v="1"/>
    <x v="58"/>
    <x v="2"/>
    <x v="2"/>
    <x v="3"/>
    <x v="0"/>
    <x v="8"/>
    <n v="0"/>
    <x v="0"/>
  </r>
  <r>
    <x v="30"/>
    <x v="1"/>
    <x v="58"/>
    <x v="2"/>
    <x v="2"/>
    <x v="3"/>
    <x v="0"/>
    <x v="9"/>
    <n v="0"/>
    <x v="0"/>
  </r>
  <r>
    <x v="30"/>
    <x v="1"/>
    <x v="58"/>
    <x v="2"/>
    <x v="2"/>
    <x v="3"/>
    <x v="0"/>
    <x v="10"/>
    <n v="0"/>
    <x v="0"/>
  </r>
  <r>
    <x v="30"/>
    <x v="1"/>
    <x v="58"/>
    <x v="2"/>
    <x v="2"/>
    <x v="3"/>
    <x v="0"/>
    <x v="11"/>
    <n v="0"/>
    <x v="0"/>
  </r>
  <r>
    <x v="30"/>
    <x v="2"/>
    <x v="59"/>
    <x v="0"/>
    <x v="2"/>
    <x v="3"/>
    <x v="3"/>
    <x v="0"/>
    <n v="0"/>
    <x v="0"/>
  </r>
  <r>
    <x v="30"/>
    <x v="2"/>
    <x v="59"/>
    <x v="0"/>
    <x v="2"/>
    <x v="3"/>
    <x v="3"/>
    <x v="1"/>
    <n v="0"/>
    <x v="0"/>
  </r>
  <r>
    <x v="30"/>
    <x v="2"/>
    <x v="59"/>
    <x v="0"/>
    <x v="2"/>
    <x v="3"/>
    <x v="3"/>
    <x v="2"/>
    <n v="0"/>
    <x v="0"/>
  </r>
  <r>
    <x v="30"/>
    <x v="2"/>
    <x v="59"/>
    <x v="0"/>
    <x v="2"/>
    <x v="3"/>
    <x v="3"/>
    <x v="3"/>
    <n v="0"/>
    <x v="0"/>
  </r>
  <r>
    <x v="30"/>
    <x v="2"/>
    <x v="59"/>
    <x v="0"/>
    <x v="2"/>
    <x v="3"/>
    <x v="3"/>
    <x v="4"/>
    <n v="0"/>
    <x v="0"/>
  </r>
  <r>
    <x v="30"/>
    <x v="2"/>
    <x v="59"/>
    <x v="0"/>
    <x v="2"/>
    <x v="3"/>
    <x v="3"/>
    <x v="5"/>
    <n v="0"/>
    <x v="0"/>
  </r>
  <r>
    <x v="30"/>
    <x v="2"/>
    <x v="59"/>
    <x v="0"/>
    <x v="2"/>
    <x v="3"/>
    <x v="3"/>
    <x v="6"/>
    <n v="0"/>
    <x v="0"/>
  </r>
  <r>
    <x v="30"/>
    <x v="2"/>
    <x v="59"/>
    <x v="0"/>
    <x v="2"/>
    <x v="3"/>
    <x v="3"/>
    <x v="7"/>
    <n v="0"/>
    <x v="0"/>
  </r>
  <r>
    <x v="30"/>
    <x v="2"/>
    <x v="59"/>
    <x v="0"/>
    <x v="2"/>
    <x v="3"/>
    <x v="3"/>
    <x v="8"/>
    <n v="16233.078418504136"/>
    <x v="0"/>
  </r>
  <r>
    <x v="30"/>
    <x v="2"/>
    <x v="59"/>
    <x v="0"/>
    <x v="2"/>
    <x v="3"/>
    <x v="3"/>
    <x v="9"/>
    <n v="0"/>
    <x v="0"/>
  </r>
  <r>
    <x v="30"/>
    <x v="2"/>
    <x v="59"/>
    <x v="0"/>
    <x v="2"/>
    <x v="3"/>
    <x v="3"/>
    <x v="10"/>
    <n v="0"/>
    <x v="0"/>
  </r>
  <r>
    <x v="30"/>
    <x v="2"/>
    <x v="59"/>
    <x v="0"/>
    <x v="2"/>
    <x v="3"/>
    <x v="3"/>
    <x v="11"/>
    <n v="0"/>
    <x v="0"/>
  </r>
  <r>
    <x v="30"/>
    <x v="2"/>
    <x v="60"/>
    <x v="0"/>
    <x v="2"/>
    <x v="3"/>
    <x v="4"/>
    <x v="0"/>
    <n v="0"/>
    <x v="0"/>
  </r>
  <r>
    <x v="30"/>
    <x v="2"/>
    <x v="60"/>
    <x v="0"/>
    <x v="2"/>
    <x v="3"/>
    <x v="4"/>
    <x v="1"/>
    <n v="0"/>
    <x v="0"/>
  </r>
  <r>
    <x v="30"/>
    <x v="2"/>
    <x v="60"/>
    <x v="0"/>
    <x v="2"/>
    <x v="3"/>
    <x v="4"/>
    <x v="2"/>
    <n v="0"/>
    <x v="0"/>
  </r>
  <r>
    <x v="30"/>
    <x v="2"/>
    <x v="60"/>
    <x v="0"/>
    <x v="2"/>
    <x v="3"/>
    <x v="4"/>
    <x v="3"/>
    <n v="0"/>
    <x v="0"/>
  </r>
  <r>
    <x v="30"/>
    <x v="2"/>
    <x v="60"/>
    <x v="0"/>
    <x v="2"/>
    <x v="3"/>
    <x v="4"/>
    <x v="4"/>
    <n v="0"/>
    <x v="0"/>
  </r>
  <r>
    <x v="30"/>
    <x v="2"/>
    <x v="60"/>
    <x v="0"/>
    <x v="2"/>
    <x v="3"/>
    <x v="4"/>
    <x v="5"/>
    <n v="0"/>
    <x v="0"/>
  </r>
  <r>
    <x v="30"/>
    <x v="2"/>
    <x v="60"/>
    <x v="0"/>
    <x v="2"/>
    <x v="3"/>
    <x v="4"/>
    <x v="6"/>
    <n v="0"/>
    <x v="0"/>
  </r>
  <r>
    <x v="30"/>
    <x v="2"/>
    <x v="60"/>
    <x v="0"/>
    <x v="2"/>
    <x v="3"/>
    <x v="4"/>
    <x v="7"/>
    <n v="0"/>
    <x v="0"/>
  </r>
  <r>
    <x v="30"/>
    <x v="2"/>
    <x v="60"/>
    <x v="0"/>
    <x v="2"/>
    <x v="3"/>
    <x v="4"/>
    <x v="8"/>
    <n v="5904.7091966467624"/>
    <x v="0"/>
  </r>
  <r>
    <x v="30"/>
    <x v="2"/>
    <x v="60"/>
    <x v="0"/>
    <x v="2"/>
    <x v="3"/>
    <x v="4"/>
    <x v="9"/>
    <n v="0"/>
    <x v="0"/>
  </r>
  <r>
    <x v="30"/>
    <x v="2"/>
    <x v="60"/>
    <x v="0"/>
    <x v="2"/>
    <x v="3"/>
    <x v="4"/>
    <x v="10"/>
    <n v="0"/>
    <x v="0"/>
  </r>
  <r>
    <x v="30"/>
    <x v="2"/>
    <x v="60"/>
    <x v="0"/>
    <x v="2"/>
    <x v="3"/>
    <x v="4"/>
    <x v="11"/>
    <n v="0"/>
    <x v="0"/>
  </r>
  <r>
    <x v="30"/>
    <x v="2"/>
    <x v="61"/>
    <x v="0"/>
    <x v="2"/>
    <x v="3"/>
    <x v="5"/>
    <x v="0"/>
    <n v="0"/>
    <x v="0"/>
  </r>
  <r>
    <x v="30"/>
    <x v="2"/>
    <x v="61"/>
    <x v="0"/>
    <x v="2"/>
    <x v="3"/>
    <x v="5"/>
    <x v="1"/>
    <n v="0"/>
    <x v="0"/>
  </r>
  <r>
    <x v="30"/>
    <x v="2"/>
    <x v="61"/>
    <x v="0"/>
    <x v="2"/>
    <x v="3"/>
    <x v="5"/>
    <x v="2"/>
    <n v="0"/>
    <x v="0"/>
  </r>
  <r>
    <x v="30"/>
    <x v="2"/>
    <x v="61"/>
    <x v="0"/>
    <x v="2"/>
    <x v="3"/>
    <x v="5"/>
    <x v="3"/>
    <n v="0"/>
    <x v="0"/>
  </r>
  <r>
    <x v="30"/>
    <x v="2"/>
    <x v="61"/>
    <x v="0"/>
    <x v="2"/>
    <x v="3"/>
    <x v="5"/>
    <x v="4"/>
    <n v="0"/>
    <x v="0"/>
  </r>
  <r>
    <x v="30"/>
    <x v="2"/>
    <x v="61"/>
    <x v="0"/>
    <x v="2"/>
    <x v="3"/>
    <x v="5"/>
    <x v="5"/>
    <n v="0"/>
    <x v="0"/>
  </r>
  <r>
    <x v="30"/>
    <x v="2"/>
    <x v="61"/>
    <x v="0"/>
    <x v="2"/>
    <x v="3"/>
    <x v="5"/>
    <x v="6"/>
    <n v="0"/>
    <x v="0"/>
  </r>
  <r>
    <x v="30"/>
    <x v="2"/>
    <x v="61"/>
    <x v="0"/>
    <x v="2"/>
    <x v="3"/>
    <x v="5"/>
    <x v="7"/>
    <n v="0"/>
    <x v="0"/>
  </r>
  <r>
    <x v="30"/>
    <x v="2"/>
    <x v="61"/>
    <x v="0"/>
    <x v="2"/>
    <x v="3"/>
    <x v="5"/>
    <x v="8"/>
    <n v="0"/>
    <x v="0"/>
  </r>
  <r>
    <x v="30"/>
    <x v="2"/>
    <x v="61"/>
    <x v="0"/>
    <x v="2"/>
    <x v="3"/>
    <x v="5"/>
    <x v="9"/>
    <n v="2402.5204977845988"/>
    <x v="0"/>
  </r>
  <r>
    <x v="30"/>
    <x v="2"/>
    <x v="61"/>
    <x v="0"/>
    <x v="2"/>
    <x v="3"/>
    <x v="5"/>
    <x v="10"/>
    <n v="0"/>
    <x v="0"/>
  </r>
  <r>
    <x v="30"/>
    <x v="2"/>
    <x v="61"/>
    <x v="0"/>
    <x v="2"/>
    <x v="3"/>
    <x v="5"/>
    <x v="11"/>
    <n v="0"/>
    <x v="0"/>
  </r>
  <r>
    <x v="48"/>
    <x v="0"/>
    <x v="62"/>
    <x v="0"/>
    <x v="0"/>
    <x v="0"/>
    <x v="0"/>
    <x v="0"/>
    <n v="1462.6463805211481"/>
    <x v="0"/>
  </r>
  <r>
    <x v="48"/>
    <x v="0"/>
    <x v="62"/>
    <x v="0"/>
    <x v="0"/>
    <x v="0"/>
    <x v="0"/>
    <x v="1"/>
    <n v="720.92548762539332"/>
    <x v="0"/>
  </r>
  <r>
    <x v="48"/>
    <x v="0"/>
    <x v="62"/>
    <x v="0"/>
    <x v="0"/>
    <x v="0"/>
    <x v="0"/>
    <x v="2"/>
    <n v="0"/>
    <x v="0"/>
  </r>
  <r>
    <x v="48"/>
    <x v="0"/>
    <x v="62"/>
    <x v="0"/>
    <x v="0"/>
    <x v="0"/>
    <x v="0"/>
    <x v="3"/>
    <n v="561.93443026292016"/>
    <x v="0"/>
  </r>
  <r>
    <x v="48"/>
    <x v="0"/>
    <x v="62"/>
    <x v="0"/>
    <x v="0"/>
    <x v="0"/>
    <x v="0"/>
    <x v="4"/>
    <n v="0"/>
    <x v="0"/>
  </r>
  <r>
    <x v="48"/>
    <x v="0"/>
    <x v="62"/>
    <x v="0"/>
    <x v="0"/>
    <x v="0"/>
    <x v="0"/>
    <x v="5"/>
    <n v="0"/>
    <x v="0"/>
  </r>
  <r>
    <x v="48"/>
    <x v="0"/>
    <x v="62"/>
    <x v="0"/>
    <x v="0"/>
    <x v="0"/>
    <x v="0"/>
    <x v="6"/>
    <n v="0"/>
    <x v="0"/>
  </r>
  <r>
    <x v="48"/>
    <x v="0"/>
    <x v="62"/>
    <x v="0"/>
    <x v="0"/>
    <x v="0"/>
    <x v="0"/>
    <x v="7"/>
    <n v="0"/>
    <x v="0"/>
  </r>
  <r>
    <x v="48"/>
    <x v="0"/>
    <x v="62"/>
    <x v="0"/>
    <x v="0"/>
    <x v="0"/>
    <x v="0"/>
    <x v="8"/>
    <n v="0"/>
    <x v="0"/>
  </r>
  <r>
    <x v="48"/>
    <x v="0"/>
    <x v="62"/>
    <x v="0"/>
    <x v="0"/>
    <x v="0"/>
    <x v="0"/>
    <x v="9"/>
    <n v="0"/>
    <x v="0"/>
  </r>
  <r>
    <x v="48"/>
    <x v="0"/>
    <x v="62"/>
    <x v="0"/>
    <x v="0"/>
    <x v="0"/>
    <x v="0"/>
    <x v="10"/>
    <n v="0"/>
    <x v="0"/>
  </r>
  <r>
    <x v="48"/>
    <x v="0"/>
    <x v="62"/>
    <x v="0"/>
    <x v="0"/>
    <x v="0"/>
    <x v="0"/>
    <x v="11"/>
    <n v="0"/>
    <x v="0"/>
  </r>
  <r>
    <x v="46"/>
    <x v="0"/>
    <x v="48"/>
    <x v="0"/>
    <x v="0"/>
    <x v="0"/>
    <x v="0"/>
    <x v="0"/>
    <n v="8284.5209769764242"/>
    <x v="0"/>
  </r>
  <r>
    <x v="46"/>
    <x v="0"/>
    <x v="48"/>
    <x v="0"/>
    <x v="0"/>
    <x v="0"/>
    <x v="0"/>
    <x v="1"/>
    <n v="8166.7343177433777"/>
    <x v="0"/>
  </r>
  <r>
    <x v="46"/>
    <x v="0"/>
    <x v="48"/>
    <x v="0"/>
    <x v="0"/>
    <x v="0"/>
    <x v="0"/>
    <x v="2"/>
    <n v="7734.5434208443294"/>
    <x v="0"/>
  </r>
  <r>
    <x v="46"/>
    <x v="0"/>
    <x v="48"/>
    <x v="0"/>
    <x v="0"/>
    <x v="0"/>
    <x v="0"/>
    <x v="3"/>
    <n v="8554.411375912503"/>
    <x v="0"/>
  </r>
  <r>
    <x v="46"/>
    <x v="0"/>
    <x v="48"/>
    <x v="0"/>
    <x v="0"/>
    <x v="0"/>
    <x v="0"/>
    <x v="4"/>
    <n v="9104.4462231917751"/>
    <x v="0"/>
  </r>
  <r>
    <x v="46"/>
    <x v="0"/>
    <x v="48"/>
    <x v="0"/>
    <x v="0"/>
    <x v="0"/>
    <x v="0"/>
    <x v="5"/>
    <n v="0"/>
    <x v="0"/>
  </r>
  <r>
    <x v="46"/>
    <x v="0"/>
    <x v="48"/>
    <x v="0"/>
    <x v="0"/>
    <x v="0"/>
    <x v="0"/>
    <x v="6"/>
    <n v="15566.365147193686"/>
    <x v="0"/>
  </r>
  <r>
    <x v="46"/>
    <x v="0"/>
    <x v="48"/>
    <x v="0"/>
    <x v="0"/>
    <x v="0"/>
    <x v="0"/>
    <x v="7"/>
    <n v="7721.5165427002548"/>
    <x v="0"/>
  </r>
  <r>
    <x v="46"/>
    <x v="0"/>
    <x v="48"/>
    <x v="0"/>
    <x v="0"/>
    <x v="0"/>
    <x v="0"/>
    <x v="8"/>
    <n v="9094.1615789939151"/>
    <x v="0"/>
  </r>
  <r>
    <x v="46"/>
    <x v="0"/>
    <x v="48"/>
    <x v="0"/>
    <x v="0"/>
    <x v="0"/>
    <x v="0"/>
    <x v="9"/>
    <n v="0"/>
    <x v="0"/>
  </r>
  <r>
    <x v="46"/>
    <x v="0"/>
    <x v="48"/>
    <x v="0"/>
    <x v="0"/>
    <x v="0"/>
    <x v="0"/>
    <x v="10"/>
    <n v="0"/>
    <x v="0"/>
  </r>
  <r>
    <x v="46"/>
    <x v="0"/>
    <x v="48"/>
    <x v="0"/>
    <x v="0"/>
    <x v="0"/>
    <x v="0"/>
    <x v="11"/>
    <n v="0"/>
    <x v="0"/>
  </r>
  <r>
    <x v="46"/>
    <x v="0"/>
    <x v="48"/>
    <x v="0"/>
    <x v="0"/>
    <x v="0"/>
    <x v="0"/>
    <x v="0"/>
    <n v="1421.030864647802"/>
    <x v="0"/>
  </r>
  <r>
    <x v="46"/>
    <x v="0"/>
    <x v="48"/>
    <x v="0"/>
    <x v="0"/>
    <x v="0"/>
    <x v="0"/>
    <x v="1"/>
    <n v="1522.5577998970762"/>
    <x v="0"/>
  </r>
  <r>
    <x v="46"/>
    <x v="0"/>
    <x v="48"/>
    <x v="0"/>
    <x v="0"/>
    <x v="0"/>
    <x v="0"/>
    <x v="2"/>
    <n v="1418.2480773497332"/>
    <x v="0"/>
  </r>
  <r>
    <x v="46"/>
    <x v="0"/>
    <x v="48"/>
    <x v="0"/>
    <x v="0"/>
    <x v="0"/>
    <x v="0"/>
    <x v="3"/>
    <n v="994.69329244578125"/>
    <x v="0"/>
  </r>
  <r>
    <x v="46"/>
    <x v="0"/>
    <x v="48"/>
    <x v="0"/>
    <x v="0"/>
    <x v="0"/>
    <x v="0"/>
    <x v="4"/>
    <n v="1493.7902501678964"/>
    <x v="0"/>
  </r>
  <r>
    <x v="46"/>
    <x v="0"/>
    <x v="48"/>
    <x v="0"/>
    <x v="0"/>
    <x v="0"/>
    <x v="0"/>
    <x v="5"/>
    <n v="0"/>
    <x v="0"/>
  </r>
  <r>
    <x v="46"/>
    <x v="0"/>
    <x v="48"/>
    <x v="0"/>
    <x v="0"/>
    <x v="0"/>
    <x v="0"/>
    <x v="6"/>
    <n v="1385.6391081871823"/>
    <x v="0"/>
  </r>
  <r>
    <x v="46"/>
    <x v="0"/>
    <x v="48"/>
    <x v="0"/>
    <x v="0"/>
    <x v="0"/>
    <x v="0"/>
    <x v="7"/>
    <n v="2884.4640596504009"/>
    <x v="0"/>
  </r>
  <r>
    <x v="46"/>
    <x v="0"/>
    <x v="48"/>
    <x v="0"/>
    <x v="0"/>
    <x v="0"/>
    <x v="0"/>
    <x v="8"/>
    <n v="0"/>
    <x v="0"/>
  </r>
  <r>
    <x v="46"/>
    <x v="0"/>
    <x v="48"/>
    <x v="0"/>
    <x v="0"/>
    <x v="0"/>
    <x v="0"/>
    <x v="9"/>
    <n v="2339.2851407866515"/>
    <x v="0"/>
  </r>
  <r>
    <x v="46"/>
    <x v="0"/>
    <x v="48"/>
    <x v="0"/>
    <x v="0"/>
    <x v="0"/>
    <x v="0"/>
    <x v="10"/>
    <n v="0"/>
    <x v="0"/>
  </r>
  <r>
    <x v="46"/>
    <x v="0"/>
    <x v="48"/>
    <x v="0"/>
    <x v="0"/>
    <x v="0"/>
    <x v="0"/>
    <x v="11"/>
    <n v="0"/>
    <x v="0"/>
  </r>
  <r>
    <x v="46"/>
    <x v="0"/>
    <x v="48"/>
    <x v="0"/>
    <x v="0"/>
    <x v="1"/>
    <x v="0"/>
    <x v="0"/>
    <n v="0"/>
    <x v="0"/>
  </r>
  <r>
    <x v="46"/>
    <x v="0"/>
    <x v="48"/>
    <x v="0"/>
    <x v="0"/>
    <x v="1"/>
    <x v="0"/>
    <x v="1"/>
    <n v="1467.753278836298"/>
    <x v="0"/>
  </r>
  <r>
    <x v="46"/>
    <x v="0"/>
    <x v="48"/>
    <x v="0"/>
    <x v="0"/>
    <x v="1"/>
    <x v="0"/>
    <x v="2"/>
    <n v="0"/>
    <x v="0"/>
  </r>
  <r>
    <x v="46"/>
    <x v="0"/>
    <x v="48"/>
    <x v="0"/>
    <x v="0"/>
    <x v="1"/>
    <x v="0"/>
    <x v="3"/>
    <n v="0"/>
    <x v="0"/>
  </r>
  <r>
    <x v="46"/>
    <x v="0"/>
    <x v="48"/>
    <x v="0"/>
    <x v="0"/>
    <x v="1"/>
    <x v="0"/>
    <x v="4"/>
    <n v="260.87985968628828"/>
    <x v="0"/>
  </r>
  <r>
    <x v="46"/>
    <x v="0"/>
    <x v="48"/>
    <x v="0"/>
    <x v="0"/>
    <x v="1"/>
    <x v="0"/>
    <x v="5"/>
    <n v="0"/>
    <x v="0"/>
  </r>
  <r>
    <x v="46"/>
    <x v="0"/>
    <x v="48"/>
    <x v="0"/>
    <x v="0"/>
    <x v="1"/>
    <x v="0"/>
    <x v="6"/>
    <n v="0"/>
    <x v="0"/>
  </r>
  <r>
    <x v="46"/>
    <x v="0"/>
    <x v="48"/>
    <x v="0"/>
    <x v="0"/>
    <x v="1"/>
    <x v="0"/>
    <x v="7"/>
    <n v="0"/>
    <x v="0"/>
  </r>
  <r>
    <x v="46"/>
    <x v="0"/>
    <x v="48"/>
    <x v="0"/>
    <x v="0"/>
    <x v="1"/>
    <x v="0"/>
    <x v="8"/>
    <n v="0"/>
    <x v="0"/>
  </r>
  <r>
    <x v="46"/>
    <x v="0"/>
    <x v="48"/>
    <x v="0"/>
    <x v="0"/>
    <x v="1"/>
    <x v="0"/>
    <x v="9"/>
    <n v="0"/>
    <x v="0"/>
  </r>
  <r>
    <x v="46"/>
    <x v="0"/>
    <x v="48"/>
    <x v="0"/>
    <x v="0"/>
    <x v="1"/>
    <x v="0"/>
    <x v="10"/>
    <n v="0"/>
    <x v="0"/>
  </r>
  <r>
    <x v="46"/>
    <x v="0"/>
    <x v="48"/>
    <x v="0"/>
    <x v="0"/>
    <x v="1"/>
    <x v="0"/>
    <x v="11"/>
    <n v="0"/>
    <x v="0"/>
  </r>
  <r>
    <x v="46"/>
    <x v="1"/>
    <x v="48"/>
    <x v="0"/>
    <x v="1"/>
    <x v="1"/>
    <x v="0"/>
    <x v="0"/>
    <n v="11835.029967109176"/>
    <x v="0"/>
  </r>
  <r>
    <x v="46"/>
    <x v="1"/>
    <x v="48"/>
    <x v="0"/>
    <x v="1"/>
    <x v="1"/>
    <x v="0"/>
    <x v="1"/>
    <n v="0"/>
    <x v="0"/>
  </r>
  <r>
    <x v="46"/>
    <x v="1"/>
    <x v="48"/>
    <x v="0"/>
    <x v="1"/>
    <x v="1"/>
    <x v="0"/>
    <x v="2"/>
    <n v="11145.429305699388"/>
    <x v="0"/>
  </r>
  <r>
    <x v="46"/>
    <x v="1"/>
    <x v="48"/>
    <x v="0"/>
    <x v="1"/>
    <x v="1"/>
    <x v="0"/>
    <x v="3"/>
    <n v="0"/>
    <x v="0"/>
  </r>
  <r>
    <x v="46"/>
    <x v="1"/>
    <x v="48"/>
    <x v="0"/>
    <x v="1"/>
    <x v="1"/>
    <x v="0"/>
    <x v="4"/>
    <n v="0"/>
    <x v="0"/>
  </r>
  <r>
    <x v="46"/>
    <x v="1"/>
    <x v="48"/>
    <x v="0"/>
    <x v="1"/>
    <x v="1"/>
    <x v="0"/>
    <x v="5"/>
    <n v="0"/>
    <x v="0"/>
  </r>
  <r>
    <x v="46"/>
    <x v="1"/>
    <x v="48"/>
    <x v="0"/>
    <x v="1"/>
    <x v="1"/>
    <x v="0"/>
    <x v="6"/>
    <n v="0"/>
    <x v="0"/>
  </r>
  <r>
    <x v="46"/>
    <x v="1"/>
    <x v="48"/>
    <x v="0"/>
    <x v="1"/>
    <x v="1"/>
    <x v="0"/>
    <x v="7"/>
    <n v="0"/>
    <x v="0"/>
  </r>
  <r>
    <x v="46"/>
    <x v="1"/>
    <x v="48"/>
    <x v="0"/>
    <x v="1"/>
    <x v="1"/>
    <x v="0"/>
    <x v="8"/>
    <n v="0"/>
    <x v="0"/>
  </r>
  <r>
    <x v="46"/>
    <x v="1"/>
    <x v="48"/>
    <x v="0"/>
    <x v="1"/>
    <x v="1"/>
    <x v="0"/>
    <x v="9"/>
    <n v="0"/>
    <x v="0"/>
  </r>
  <r>
    <x v="46"/>
    <x v="1"/>
    <x v="48"/>
    <x v="0"/>
    <x v="1"/>
    <x v="1"/>
    <x v="0"/>
    <x v="10"/>
    <n v="0"/>
    <x v="0"/>
  </r>
  <r>
    <x v="46"/>
    <x v="1"/>
    <x v="48"/>
    <x v="0"/>
    <x v="1"/>
    <x v="1"/>
    <x v="0"/>
    <x v="11"/>
    <n v="0"/>
    <x v="0"/>
  </r>
  <r>
    <x v="49"/>
    <x v="0"/>
    <x v="63"/>
    <x v="1"/>
    <x v="0"/>
    <x v="0"/>
    <x v="0"/>
    <x v="0"/>
    <n v="2059.2952142769968"/>
    <x v="0"/>
  </r>
  <r>
    <x v="49"/>
    <x v="0"/>
    <x v="63"/>
    <x v="1"/>
    <x v="0"/>
    <x v="0"/>
    <x v="0"/>
    <x v="1"/>
    <n v="2047.8240838263323"/>
    <x v="0"/>
  </r>
  <r>
    <x v="49"/>
    <x v="0"/>
    <x v="63"/>
    <x v="1"/>
    <x v="0"/>
    <x v="0"/>
    <x v="0"/>
    <x v="2"/>
    <n v="1922.5865552331445"/>
    <x v="0"/>
  </r>
  <r>
    <x v="49"/>
    <x v="0"/>
    <x v="63"/>
    <x v="1"/>
    <x v="0"/>
    <x v="0"/>
    <x v="0"/>
    <x v="3"/>
    <n v="2126.3823091276245"/>
    <x v="0"/>
  </r>
  <r>
    <x v="49"/>
    <x v="0"/>
    <x v="63"/>
    <x v="1"/>
    <x v="0"/>
    <x v="0"/>
    <x v="0"/>
    <x v="4"/>
    <n v="2250.0887897942366"/>
    <x v="0"/>
  </r>
  <r>
    <x v="49"/>
    <x v="0"/>
    <x v="63"/>
    <x v="1"/>
    <x v="0"/>
    <x v="0"/>
    <x v="0"/>
    <x v="5"/>
    <n v="0"/>
    <x v="0"/>
  </r>
  <r>
    <x v="49"/>
    <x v="0"/>
    <x v="63"/>
    <x v="1"/>
    <x v="0"/>
    <x v="0"/>
    <x v="0"/>
    <x v="6"/>
    <n v="3847.0987533896546"/>
    <x v="0"/>
  </r>
  <r>
    <x v="49"/>
    <x v="0"/>
    <x v="63"/>
    <x v="1"/>
    <x v="0"/>
    <x v="0"/>
    <x v="0"/>
    <x v="7"/>
    <n v="1902.8022908797057"/>
    <x v="0"/>
  </r>
  <r>
    <x v="49"/>
    <x v="0"/>
    <x v="63"/>
    <x v="1"/>
    <x v="0"/>
    <x v="0"/>
    <x v="0"/>
    <x v="8"/>
    <n v="2241.0612462520717"/>
    <x v="0"/>
  </r>
  <r>
    <x v="49"/>
    <x v="0"/>
    <x v="63"/>
    <x v="1"/>
    <x v="0"/>
    <x v="0"/>
    <x v="0"/>
    <x v="9"/>
    <n v="0"/>
    <x v="0"/>
  </r>
  <r>
    <x v="49"/>
    <x v="0"/>
    <x v="63"/>
    <x v="1"/>
    <x v="0"/>
    <x v="0"/>
    <x v="0"/>
    <x v="10"/>
    <n v="0"/>
    <x v="0"/>
  </r>
  <r>
    <x v="49"/>
    <x v="0"/>
    <x v="63"/>
    <x v="1"/>
    <x v="0"/>
    <x v="0"/>
    <x v="0"/>
    <x v="11"/>
    <n v="0"/>
    <x v="0"/>
  </r>
  <r>
    <x v="6"/>
    <x v="1"/>
    <x v="6"/>
    <x v="0"/>
    <x v="1"/>
    <x v="1"/>
    <x v="0"/>
    <x v="0"/>
    <n v="15924.032820745397"/>
    <x v="0"/>
  </r>
  <r>
    <x v="6"/>
    <x v="1"/>
    <x v="6"/>
    <x v="0"/>
    <x v="1"/>
    <x v="1"/>
    <x v="0"/>
    <x v="1"/>
    <n v="0"/>
    <x v="0"/>
  </r>
  <r>
    <x v="6"/>
    <x v="1"/>
    <x v="6"/>
    <x v="0"/>
    <x v="1"/>
    <x v="1"/>
    <x v="0"/>
    <x v="2"/>
    <n v="0"/>
    <x v="0"/>
  </r>
  <r>
    <x v="6"/>
    <x v="1"/>
    <x v="6"/>
    <x v="0"/>
    <x v="1"/>
    <x v="1"/>
    <x v="0"/>
    <x v="3"/>
    <n v="0"/>
    <x v="0"/>
  </r>
  <r>
    <x v="6"/>
    <x v="1"/>
    <x v="6"/>
    <x v="0"/>
    <x v="1"/>
    <x v="1"/>
    <x v="0"/>
    <x v="4"/>
    <n v="0"/>
    <x v="0"/>
  </r>
  <r>
    <x v="6"/>
    <x v="1"/>
    <x v="6"/>
    <x v="0"/>
    <x v="1"/>
    <x v="1"/>
    <x v="0"/>
    <x v="5"/>
    <n v="0"/>
    <x v="0"/>
  </r>
  <r>
    <x v="6"/>
    <x v="1"/>
    <x v="6"/>
    <x v="0"/>
    <x v="1"/>
    <x v="1"/>
    <x v="0"/>
    <x v="6"/>
    <n v="0"/>
    <x v="0"/>
  </r>
  <r>
    <x v="6"/>
    <x v="1"/>
    <x v="6"/>
    <x v="0"/>
    <x v="1"/>
    <x v="1"/>
    <x v="0"/>
    <x v="7"/>
    <n v="0"/>
    <x v="0"/>
  </r>
  <r>
    <x v="6"/>
    <x v="1"/>
    <x v="6"/>
    <x v="0"/>
    <x v="1"/>
    <x v="1"/>
    <x v="0"/>
    <x v="8"/>
    <n v="0"/>
    <x v="0"/>
  </r>
  <r>
    <x v="6"/>
    <x v="1"/>
    <x v="6"/>
    <x v="0"/>
    <x v="1"/>
    <x v="1"/>
    <x v="0"/>
    <x v="9"/>
    <n v="0"/>
    <x v="0"/>
  </r>
  <r>
    <x v="6"/>
    <x v="1"/>
    <x v="6"/>
    <x v="0"/>
    <x v="1"/>
    <x v="1"/>
    <x v="0"/>
    <x v="10"/>
    <n v="0"/>
    <x v="0"/>
  </r>
  <r>
    <x v="6"/>
    <x v="1"/>
    <x v="6"/>
    <x v="0"/>
    <x v="1"/>
    <x v="1"/>
    <x v="0"/>
    <x v="11"/>
    <n v="0"/>
    <x v="0"/>
  </r>
  <r>
    <x v="30"/>
    <x v="2"/>
    <x v="64"/>
    <x v="0"/>
    <x v="2"/>
    <x v="3"/>
    <x v="6"/>
    <x v="0"/>
    <n v="1650.98668041173"/>
    <x v="0"/>
  </r>
  <r>
    <x v="30"/>
    <x v="2"/>
    <x v="64"/>
    <x v="0"/>
    <x v="2"/>
    <x v="3"/>
    <x v="6"/>
    <x v="1"/>
    <n v="1712.9425210399149"/>
    <x v="0"/>
  </r>
  <r>
    <x v="30"/>
    <x v="2"/>
    <x v="64"/>
    <x v="0"/>
    <x v="2"/>
    <x v="3"/>
    <x v="6"/>
    <x v="2"/>
    <n v="1631.5403870587636"/>
    <x v="0"/>
  </r>
  <r>
    <x v="30"/>
    <x v="2"/>
    <x v="64"/>
    <x v="0"/>
    <x v="2"/>
    <x v="3"/>
    <x v="6"/>
    <x v="3"/>
    <n v="1790.6727682187452"/>
    <x v="0"/>
  </r>
  <r>
    <x v="30"/>
    <x v="2"/>
    <x v="64"/>
    <x v="0"/>
    <x v="2"/>
    <x v="3"/>
    <x v="6"/>
    <x v="4"/>
    <n v="1770.0763699679583"/>
    <x v="0"/>
  </r>
  <r>
    <x v="30"/>
    <x v="2"/>
    <x v="64"/>
    <x v="0"/>
    <x v="2"/>
    <x v="3"/>
    <x v="6"/>
    <x v="5"/>
    <n v="1891.6247606808504"/>
    <x v="0"/>
  </r>
  <r>
    <x v="30"/>
    <x v="2"/>
    <x v="64"/>
    <x v="0"/>
    <x v="2"/>
    <x v="3"/>
    <x v="6"/>
    <x v="6"/>
    <n v="0"/>
    <x v="0"/>
  </r>
  <r>
    <x v="30"/>
    <x v="2"/>
    <x v="64"/>
    <x v="0"/>
    <x v="2"/>
    <x v="3"/>
    <x v="6"/>
    <x v="7"/>
    <n v="1543.1230195828095"/>
    <x v="0"/>
  </r>
  <r>
    <x v="30"/>
    <x v="2"/>
    <x v="64"/>
    <x v="0"/>
    <x v="2"/>
    <x v="3"/>
    <x v="6"/>
    <x v="8"/>
    <n v="0"/>
    <x v="0"/>
  </r>
  <r>
    <x v="30"/>
    <x v="2"/>
    <x v="64"/>
    <x v="0"/>
    <x v="2"/>
    <x v="3"/>
    <x v="6"/>
    <x v="9"/>
    <n v="3303.4087441188917"/>
    <x v="0"/>
  </r>
  <r>
    <x v="30"/>
    <x v="2"/>
    <x v="64"/>
    <x v="0"/>
    <x v="2"/>
    <x v="3"/>
    <x v="6"/>
    <x v="10"/>
    <n v="0"/>
    <x v="0"/>
  </r>
  <r>
    <x v="30"/>
    <x v="2"/>
    <x v="64"/>
    <x v="0"/>
    <x v="2"/>
    <x v="3"/>
    <x v="6"/>
    <x v="11"/>
    <n v="0"/>
    <x v="0"/>
  </r>
  <r>
    <x v="30"/>
    <x v="2"/>
    <x v="65"/>
    <x v="0"/>
    <x v="2"/>
    <x v="3"/>
    <x v="0"/>
    <x v="0"/>
    <n v="0"/>
    <x v="0"/>
  </r>
  <r>
    <x v="30"/>
    <x v="2"/>
    <x v="65"/>
    <x v="0"/>
    <x v="2"/>
    <x v="3"/>
    <x v="0"/>
    <x v="1"/>
    <n v="0"/>
    <x v="0"/>
  </r>
  <r>
    <x v="30"/>
    <x v="2"/>
    <x v="65"/>
    <x v="0"/>
    <x v="2"/>
    <x v="3"/>
    <x v="0"/>
    <x v="2"/>
    <n v="0"/>
    <x v="0"/>
  </r>
  <r>
    <x v="30"/>
    <x v="2"/>
    <x v="65"/>
    <x v="0"/>
    <x v="2"/>
    <x v="3"/>
    <x v="0"/>
    <x v="3"/>
    <n v="0"/>
    <x v="0"/>
  </r>
  <r>
    <x v="30"/>
    <x v="2"/>
    <x v="65"/>
    <x v="0"/>
    <x v="2"/>
    <x v="3"/>
    <x v="0"/>
    <x v="4"/>
    <n v="0"/>
    <x v="0"/>
  </r>
  <r>
    <x v="30"/>
    <x v="2"/>
    <x v="65"/>
    <x v="0"/>
    <x v="2"/>
    <x v="3"/>
    <x v="0"/>
    <x v="5"/>
    <n v="0"/>
    <x v="0"/>
  </r>
  <r>
    <x v="30"/>
    <x v="2"/>
    <x v="65"/>
    <x v="0"/>
    <x v="2"/>
    <x v="3"/>
    <x v="0"/>
    <x v="6"/>
    <n v="0"/>
    <x v="0"/>
  </r>
  <r>
    <x v="30"/>
    <x v="2"/>
    <x v="65"/>
    <x v="0"/>
    <x v="2"/>
    <x v="3"/>
    <x v="0"/>
    <x v="7"/>
    <n v="0"/>
    <x v="0"/>
  </r>
  <r>
    <x v="30"/>
    <x v="2"/>
    <x v="65"/>
    <x v="0"/>
    <x v="2"/>
    <x v="3"/>
    <x v="0"/>
    <x v="8"/>
    <n v="0"/>
    <x v="0"/>
  </r>
  <r>
    <x v="30"/>
    <x v="2"/>
    <x v="65"/>
    <x v="0"/>
    <x v="2"/>
    <x v="3"/>
    <x v="0"/>
    <x v="9"/>
    <n v="4911.296007141872"/>
    <x v="0"/>
  </r>
  <r>
    <x v="30"/>
    <x v="2"/>
    <x v="65"/>
    <x v="0"/>
    <x v="2"/>
    <x v="3"/>
    <x v="0"/>
    <x v="10"/>
    <n v="0"/>
    <x v="0"/>
  </r>
  <r>
    <x v="30"/>
    <x v="2"/>
    <x v="65"/>
    <x v="0"/>
    <x v="2"/>
    <x v="3"/>
    <x v="0"/>
    <x v="11"/>
    <n v="0"/>
    <x v="0"/>
  </r>
  <r>
    <x v="30"/>
    <x v="2"/>
    <x v="66"/>
    <x v="0"/>
    <x v="2"/>
    <x v="3"/>
    <x v="7"/>
    <x v="0"/>
    <n v="0"/>
    <x v="0"/>
  </r>
  <r>
    <x v="30"/>
    <x v="2"/>
    <x v="66"/>
    <x v="0"/>
    <x v="2"/>
    <x v="3"/>
    <x v="7"/>
    <x v="1"/>
    <n v="0"/>
    <x v="0"/>
  </r>
  <r>
    <x v="30"/>
    <x v="2"/>
    <x v="66"/>
    <x v="0"/>
    <x v="2"/>
    <x v="3"/>
    <x v="7"/>
    <x v="2"/>
    <n v="0"/>
    <x v="0"/>
  </r>
  <r>
    <x v="30"/>
    <x v="2"/>
    <x v="66"/>
    <x v="0"/>
    <x v="2"/>
    <x v="3"/>
    <x v="7"/>
    <x v="3"/>
    <n v="0"/>
    <x v="0"/>
  </r>
  <r>
    <x v="30"/>
    <x v="2"/>
    <x v="66"/>
    <x v="0"/>
    <x v="2"/>
    <x v="3"/>
    <x v="7"/>
    <x v="4"/>
    <n v="1367.9965906257648"/>
    <x v="0"/>
  </r>
  <r>
    <x v="30"/>
    <x v="2"/>
    <x v="66"/>
    <x v="0"/>
    <x v="2"/>
    <x v="3"/>
    <x v="7"/>
    <x v="5"/>
    <n v="0"/>
    <x v="0"/>
  </r>
  <r>
    <x v="30"/>
    <x v="2"/>
    <x v="66"/>
    <x v="0"/>
    <x v="2"/>
    <x v="3"/>
    <x v="7"/>
    <x v="6"/>
    <n v="0"/>
    <x v="0"/>
  </r>
  <r>
    <x v="30"/>
    <x v="2"/>
    <x v="66"/>
    <x v="0"/>
    <x v="2"/>
    <x v="3"/>
    <x v="7"/>
    <x v="7"/>
    <n v="0"/>
    <x v="0"/>
  </r>
  <r>
    <x v="30"/>
    <x v="2"/>
    <x v="66"/>
    <x v="0"/>
    <x v="2"/>
    <x v="3"/>
    <x v="7"/>
    <x v="8"/>
    <n v="0"/>
    <x v="0"/>
  </r>
  <r>
    <x v="30"/>
    <x v="2"/>
    <x v="66"/>
    <x v="0"/>
    <x v="2"/>
    <x v="3"/>
    <x v="7"/>
    <x v="9"/>
    <n v="0"/>
    <x v="0"/>
  </r>
  <r>
    <x v="30"/>
    <x v="2"/>
    <x v="66"/>
    <x v="0"/>
    <x v="2"/>
    <x v="3"/>
    <x v="7"/>
    <x v="10"/>
    <n v="0"/>
    <x v="0"/>
  </r>
  <r>
    <x v="30"/>
    <x v="2"/>
    <x v="66"/>
    <x v="0"/>
    <x v="2"/>
    <x v="3"/>
    <x v="7"/>
    <x v="11"/>
    <n v="0"/>
    <x v="0"/>
  </r>
  <r>
    <x v="16"/>
    <x v="2"/>
    <x v="67"/>
    <x v="0"/>
    <x v="2"/>
    <x v="3"/>
    <x v="7"/>
    <x v="0"/>
    <n v="621.23492500952113"/>
    <x v="0"/>
  </r>
  <r>
    <x v="16"/>
    <x v="2"/>
    <x v="67"/>
    <x v="0"/>
    <x v="2"/>
    <x v="3"/>
    <x v="7"/>
    <x v="1"/>
    <n v="28847.599335876643"/>
    <x v="0"/>
  </r>
  <r>
    <x v="16"/>
    <x v="2"/>
    <x v="67"/>
    <x v="0"/>
    <x v="2"/>
    <x v="3"/>
    <x v="7"/>
    <x v="2"/>
    <n v="0"/>
    <x v="0"/>
  </r>
  <r>
    <x v="16"/>
    <x v="2"/>
    <x v="67"/>
    <x v="0"/>
    <x v="2"/>
    <x v="3"/>
    <x v="7"/>
    <x v="3"/>
    <n v="0"/>
    <x v="0"/>
  </r>
  <r>
    <x v="16"/>
    <x v="2"/>
    <x v="67"/>
    <x v="0"/>
    <x v="2"/>
    <x v="3"/>
    <x v="7"/>
    <x v="4"/>
    <n v="0"/>
    <x v="0"/>
  </r>
  <r>
    <x v="16"/>
    <x v="2"/>
    <x v="67"/>
    <x v="0"/>
    <x v="2"/>
    <x v="3"/>
    <x v="7"/>
    <x v="5"/>
    <n v="0"/>
    <x v="0"/>
  </r>
  <r>
    <x v="16"/>
    <x v="2"/>
    <x v="67"/>
    <x v="0"/>
    <x v="2"/>
    <x v="3"/>
    <x v="7"/>
    <x v="6"/>
    <n v="0"/>
    <x v="0"/>
  </r>
  <r>
    <x v="16"/>
    <x v="2"/>
    <x v="67"/>
    <x v="0"/>
    <x v="2"/>
    <x v="3"/>
    <x v="7"/>
    <x v="7"/>
    <n v="0"/>
    <x v="0"/>
  </r>
  <r>
    <x v="16"/>
    <x v="2"/>
    <x v="67"/>
    <x v="0"/>
    <x v="2"/>
    <x v="3"/>
    <x v="7"/>
    <x v="8"/>
    <n v="0"/>
    <x v="0"/>
  </r>
  <r>
    <x v="16"/>
    <x v="2"/>
    <x v="67"/>
    <x v="0"/>
    <x v="2"/>
    <x v="3"/>
    <x v="7"/>
    <x v="9"/>
    <n v="0"/>
    <x v="0"/>
  </r>
  <r>
    <x v="16"/>
    <x v="2"/>
    <x v="67"/>
    <x v="0"/>
    <x v="2"/>
    <x v="3"/>
    <x v="7"/>
    <x v="10"/>
    <n v="0"/>
    <x v="0"/>
  </r>
  <r>
    <x v="16"/>
    <x v="2"/>
    <x v="67"/>
    <x v="0"/>
    <x v="2"/>
    <x v="3"/>
    <x v="7"/>
    <x v="11"/>
    <n v="0"/>
    <x v="0"/>
  </r>
  <r>
    <x v="40"/>
    <x v="0"/>
    <x v="41"/>
    <x v="0"/>
    <x v="0"/>
    <x v="0"/>
    <x v="0"/>
    <x v="0"/>
    <n v="0"/>
    <x v="0"/>
  </r>
  <r>
    <x v="40"/>
    <x v="0"/>
    <x v="41"/>
    <x v="0"/>
    <x v="0"/>
    <x v="0"/>
    <x v="0"/>
    <x v="1"/>
    <n v="0"/>
    <x v="0"/>
  </r>
  <r>
    <x v="40"/>
    <x v="0"/>
    <x v="41"/>
    <x v="0"/>
    <x v="0"/>
    <x v="0"/>
    <x v="0"/>
    <x v="2"/>
    <n v="0"/>
    <x v="0"/>
  </r>
  <r>
    <x v="40"/>
    <x v="0"/>
    <x v="41"/>
    <x v="0"/>
    <x v="0"/>
    <x v="0"/>
    <x v="0"/>
    <x v="3"/>
    <n v="0"/>
    <x v="0"/>
  </r>
  <r>
    <x v="40"/>
    <x v="0"/>
    <x v="41"/>
    <x v="0"/>
    <x v="0"/>
    <x v="0"/>
    <x v="0"/>
    <x v="4"/>
    <n v="502.19372989610497"/>
    <x v="0"/>
  </r>
  <r>
    <x v="40"/>
    <x v="0"/>
    <x v="41"/>
    <x v="0"/>
    <x v="0"/>
    <x v="0"/>
    <x v="0"/>
    <x v="5"/>
    <n v="0"/>
    <x v="0"/>
  </r>
  <r>
    <x v="40"/>
    <x v="0"/>
    <x v="41"/>
    <x v="0"/>
    <x v="0"/>
    <x v="0"/>
    <x v="0"/>
    <x v="6"/>
    <n v="0"/>
    <x v="0"/>
  </r>
  <r>
    <x v="40"/>
    <x v="0"/>
    <x v="41"/>
    <x v="0"/>
    <x v="0"/>
    <x v="0"/>
    <x v="0"/>
    <x v="7"/>
    <n v="0"/>
    <x v="0"/>
  </r>
  <r>
    <x v="40"/>
    <x v="0"/>
    <x v="41"/>
    <x v="0"/>
    <x v="0"/>
    <x v="0"/>
    <x v="0"/>
    <x v="8"/>
    <n v="0"/>
    <x v="0"/>
  </r>
  <r>
    <x v="40"/>
    <x v="0"/>
    <x v="41"/>
    <x v="0"/>
    <x v="0"/>
    <x v="0"/>
    <x v="0"/>
    <x v="9"/>
    <n v="0"/>
    <x v="0"/>
  </r>
  <r>
    <x v="40"/>
    <x v="0"/>
    <x v="41"/>
    <x v="0"/>
    <x v="0"/>
    <x v="0"/>
    <x v="0"/>
    <x v="10"/>
    <n v="0"/>
    <x v="0"/>
  </r>
  <r>
    <x v="40"/>
    <x v="0"/>
    <x v="41"/>
    <x v="0"/>
    <x v="0"/>
    <x v="0"/>
    <x v="0"/>
    <x v="11"/>
    <n v="0"/>
    <x v="0"/>
  </r>
  <r>
    <x v="30"/>
    <x v="2"/>
    <x v="68"/>
    <x v="0"/>
    <x v="2"/>
    <x v="3"/>
    <x v="8"/>
    <x v="0"/>
    <n v="0"/>
    <x v="0"/>
  </r>
  <r>
    <x v="30"/>
    <x v="2"/>
    <x v="68"/>
    <x v="0"/>
    <x v="2"/>
    <x v="3"/>
    <x v="8"/>
    <x v="1"/>
    <n v="0"/>
    <x v="0"/>
  </r>
  <r>
    <x v="30"/>
    <x v="2"/>
    <x v="68"/>
    <x v="0"/>
    <x v="2"/>
    <x v="3"/>
    <x v="8"/>
    <x v="2"/>
    <n v="0"/>
    <x v="0"/>
  </r>
  <r>
    <x v="30"/>
    <x v="2"/>
    <x v="68"/>
    <x v="0"/>
    <x v="2"/>
    <x v="3"/>
    <x v="8"/>
    <x v="3"/>
    <n v="0"/>
    <x v="0"/>
  </r>
  <r>
    <x v="30"/>
    <x v="2"/>
    <x v="68"/>
    <x v="0"/>
    <x v="2"/>
    <x v="3"/>
    <x v="8"/>
    <x v="4"/>
    <n v="0"/>
    <x v="0"/>
  </r>
  <r>
    <x v="30"/>
    <x v="2"/>
    <x v="68"/>
    <x v="0"/>
    <x v="2"/>
    <x v="3"/>
    <x v="8"/>
    <x v="5"/>
    <n v="0"/>
    <x v="0"/>
  </r>
  <r>
    <x v="30"/>
    <x v="2"/>
    <x v="68"/>
    <x v="0"/>
    <x v="2"/>
    <x v="3"/>
    <x v="8"/>
    <x v="6"/>
    <n v="0"/>
    <x v="0"/>
  </r>
  <r>
    <x v="30"/>
    <x v="2"/>
    <x v="68"/>
    <x v="0"/>
    <x v="2"/>
    <x v="3"/>
    <x v="8"/>
    <x v="7"/>
    <n v="0"/>
    <x v="0"/>
  </r>
  <r>
    <x v="30"/>
    <x v="2"/>
    <x v="68"/>
    <x v="0"/>
    <x v="2"/>
    <x v="3"/>
    <x v="8"/>
    <x v="8"/>
    <n v="0"/>
    <x v="0"/>
  </r>
  <r>
    <x v="30"/>
    <x v="2"/>
    <x v="68"/>
    <x v="0"/>
    <x v="2"/>
    <x v="3"/>
    <x v="8"/>
    <x v="9"/>
    <n v="9869.4923048147211"/>
    <x v="0"/>
  </r>
  <r>
    <x v="30"/>
    <x v="2"/>
    <x v="68"/>
    <x v="0"/>
    <x v="2"/>
    <x v="3"/>
    <x v="8"/>
    <x v="10"/>
    <n v="0"/>
    <x v="0"/>
  </r>
  <r>
    <x v="30"/>
    <x v="2"/>
    <x v="68"/>
    <x v="0"/>
    <x v="2"/>
    <x v="3"/>
    <x v="8"/>
    <x v="11"/>
    <n v="0"/>
    <x v="0"/>
  </r>
  <r>
    <x v="30"/>
    <x v="2"/>
    <x v="69"/>
    <x v="2"/>
    <x v="2"/>
    <x v="3"/>
    <x v="0"/>
    <x v="0"/>
    <n v="0"/>
    <x v="0"/>
  </r>
  <r>
    <x v="30"/>
    <x v="2"/>
    <x v="69"/>
    <x v="2"/>
    <x v="2"/>
    <x v="3"/>
    <x v="0"/>
    <x v="1"/>
    <n v="0"/>
    <x v="0"/>
  </r>
  <r>
    <x v="30"/>
    <x v="2"/>
    <x v="69"/>
    <x v="2"/>
    <x v="2"/>
    <x v="3"/>
    <x v="0"/>
    <x v="2"/>
    <n v="0"/>
    <x v="0"/>
  </r>
  <r>
    <x v="30"/>
    <x v="2"/>
    <x v="69"/>
    <x v="2"/>
    <x v="2"/>
    <x v="3"/>
    <x v="0"/>
    <x v="3"/>
    <n v="0"/>
    <x v="0"/>
  </r>
  <r>
    <x v="30"/>
    <x v="2"/>
    <x v="69"/>
    <x v="2"/>
    <x v="2"/>
    <x v="3"/>
    <x v="0"/>
    <x v="4"/>
    <n v="0"/>
    <x v="0"/>
  </r>
  <r>
    <x v="30"/>
    <x v="2"/>
    <x v="69"/>
    <x v="2"/>
    <x v="2"/>
    <x v="3"/>
    <x v="0"/>
    <x v="5"/>
    <n v="0"/>
    <x v="0"/>
  </r>
  <r>
    <x v="30"/>
    <x v="2"/>
    <x v="69"/>
    <x v="2"/>
    <x v="2"/>
    <x v="3"/>
    <x v="0"/>
    <x v="6"/>
    <n v="0"/>
    <x v="0"/>
  </r>
  <r>
    <x v="30"/>
    <x v="2"/>
    <x v="69"/>
    <x v="2"/>
    <x v="2"/>
    <x v="3"/>
    <x v="0"/>
    <x v="7"/>
    <n v="0"/>
    <x v="0"/>
  </r>
  <r>
    <x v="30"/>
    <x v="2"/>
    <x v="69"/>
    <x v="2"/>
    <x v="2"/>
    <x v="3"/>
    <x v="0"/>
    <x v="8"/>
    <n v="0"/>
    <x v="0"/>
  </r>
  <r>
    <x v="30"/>
    <x v="2"/>
    <x v="69"/>
    <x v="2"/>
    <x v="2"/>
    <x v="3"/>
    <x v="0"/>
    <x v="9"/>
    <n v="15038.632693979127"/>
    <x v="0"/>
  </r>
  <r>
    <x v="30"/>
    <x v="2"/>
    <x v="69"/>
    <x v="2"/>
    <x v="2"/>
    <x v="3"/>
    <x v="0"/>
    <x v="10"/>
    <n v="0"/>
    <x v="0"/>
  </r>
  <r>
    <x v="30"/>
    <x v="2"/>
    <x v="69"/>
    <x v="2"/>
    <x v="2"/>
    <x v="3"/>
    <x v="0"/>
    <x v="11"/>
    <n v="0"/>
    <x v="0"/>
  </r>
  <r>
    <x v="30"/>
    <x v="2"/>
    <x v="70"/>
    <x v="0"/>
    <x v="2"/>
    <x v="3"/>
    <x v="5"/>
    <x v="0"/>
    <n v="0"/>
    <x v="0"/>
  </r>
  <r>
    <x v="30"/>
    <x v="2"/>
    <x v="70"/>
    <x v="0"/>
    <x v="2"/>
    <x v="3"/>
    <x v="5"/>
    <x v="1"/>
    <n v="0"/>
    <x v="0"/>
  </r>
  <r>
    <x v="30"/>
    <x v="2"/>
    <x v="70"/>
    <x v="0"/>
    <x v="2"/>
    <x v="3"/>
    <x v="5"/>
    <x v="2"/>
    <n v="0"/>
    <x v="0"/>
  </r>
  <r>
    <x v="30"/>
    <x v="2"/>
    <x v="70"/>
    <x v="0"/>
    <x v="2"/>
    <x v="3"/>
    <x v="5"/>
    <x v="3"/>
    <n v="0"/>
    <x v="0"/>
  </r>
  <r>
    <x v="30"/>
    <x v="2"/>
    <x v="70"/>
    <x v="0"/>
    <x v="2"/>
    <x v="3"/>
    <x v="5"/>
    <x v="4"/>
    <n v="0"/>
    <x v="0"/>
  </r>
  <r>
    <x v="30"/>
    <x v="2"/>
    <x v="70"/>
    <x v="0"/>
    <x v="2"/>
    <x v="3"/>
    <x v="5"/>
    <x v="5"/>
    <n v="0"/>
    <x v="0"/>
  </r>
  <r>
    <x v="30"/>
    <x v="2"/>
    <x v="70"/>
    <x v="0"/>
    <x v="2"/>
    <x v="3"/>
    <x v="5"/>
    <x v="6"/>
    <n v="0"/>
    <x v="0"/>
  </r>
  <r>
    <x v="30"/>
    <x v="2"/>
    <x v="70"/>
    <x v="0"/>
    <x v="2"/>
    <x v="3"/>
    <x v="5"/>
    <x v="7"/>
    <n v="0"/>
    <x v="0"/>
  </r>
  <r>
    <x v="30"/>
    <x v="2"/>
    <x v="70"/>
    <x v="0"/>
    <x v="2"/>
    <x v="3"/>
    <x v="5"/>
    <x v="8"/>
    <n v="0"/>
    <x v="0"/>
  </r>
  <r>
    <x v="30"/>
    <x v="2"/>
    <x v="70"/>
    <x v="0"/>
    <x v="2"/>
    <x v="3"/>
    <x v="5"/>
    <x v="9"/>
    <n v="927.27262992810995"/>
    <x v="0"/>
  </r>
  <r>
    <x v="30"/>
    <x v="2"/>
    <x v="70"/>
    <x v="0"/>
    <x v="2"/>
    <x v="3"/>
    <x v="5"/>
    <x v="10"/>
    <n v="0"/>
    <x v="0"/>
  </r>
  <r>
    <x v="30"/>
    <x v="2"/>
    <x v="70"/>
    <x v="0"/>
    <x v="2"/>
    <x v="3"/>
    <x v="5"/>
    <x v="11"/>
    <n v="0"/>
    <x v="0"/>
  </r>
  <r>
    <x v="30"/>
    <x v="2"/>
    <x v="71"/>
    <x v="0"/>
    <x v="2"/>
    <x v="3"/>
    <x v="9"/>
    <x v="0"/>
    <n v="0"/>
    <x v="0"/>
  </r>
  <r>
    <x v="30"/>
    <x v="2"/>
    <x v="71"/>
    <x v="0"/>
    <x v="2"/>
    <x v="3"/>
    <x v="9"/>
    <x v="1"/>
    <n v="0"/>
    <x v="0"/>
  </r>
  <r>
    <x v="30"/>
    <x v="2"/>
    <x v="71"/>
    <x v="0"/>
    <x v="2"/>
    <x v="3"/>
    <x v="9"/>
    <x v="2"/>
    <n v="0"/>
    <x v="0"/>
  </r>
  <r>
    <x v="30"/>
    <x v="2"/>
    <x v="71"/>
    <x v="0"/>
    <x v="2"/>
    <x v="3"/>
    <x v="9"/>
    <x v="3"/>
    <n v="0"/>
    <x v="0"/>
  </r>
  <r>
    <x v="30"/>
    <x v="2"/>
    <x v="71"/>
    <x v="0"/>
    <x v="2"/>
    <x v="3"/>
    <x v="9"/>
    <x v="4"/>
    <n v="0"/>
    <x v="0"/>
  </r>
  <r>
    <x v="30"/>
    <x v="2"/>
    <x v="71"/>
    <x v="0"/>
    <x v="2"/>
    <x v="3"/>
    <x v="9"/>
    <x v="5"/>
    <n v="0"/>
    <x v="0"/>
  </r>
  <r>
    <x v="30"/>
    <x v="2"/>
    <x v="71"/>
    <x v="0"/>
    <x v="2"/>
    <x v="3"/>
    <x v="9"/>
    <x v="6"/>
    <n v="0"/>
    <x v="0"/>
  </r>
  <r>
    <x v="30"/>
    <x v="2"/>
    <x v="71"/>
    <x v="0"/>
    <x v="2"/>
    <x v="3"/>
    <x v="9"/>
    <x v="7"/>
    <n v="0"/>
    <x v="0"/>
  </r>
  <r>
    <x v="30"/>
    <x v="2"/>
    <x v="71"/>
    <x v="0"/>
    <x v="2"/>
    <x v="3"/>
    <x v="9"/>
    <x v="8"/>
    <n v="0"/>
    <x v="0"/>
  </r>
  <r>
    <x v="30"/>
    <x v="2"/>
    <x v="71"/>
    <x v="0"/>
    <x v="2"/>
    <x v="3"/>
    <x v="9"/>
    <x v="9"/>
    <n v="21999.543145044408"/>
    <x v="0"/>
  </r>
  <r>
    <x v="30"/>
    <x v="2"/>
    <x v="71"/>
    <x v="0"/>
    <x v="2"/>
    <x v="3"/>
    <x v="9"/>
    <x v="10"/>
    <n v="0"/>
    <x v="0"/>
  </r>
  <r>
    <x v="30"/>
    <x v="2"/>
    <x v="71"/>
    <x v="0"/>
    <x v="2"/>
    <x v="3"/>
    <x v="9"/>
    <x v="11"/>
    <n v="0"/>
    <x v="0"/>
  </r>
  <r>
    <x v="30"/>
    <x v="2"/>
    <x v="72"/>
    <x v="0"/>
    <x v="2"/>
    <x v="2"/>
    <x v="0"/>
    <x v="0"/>
    <n v="0"/>
    <x v="0"/>
  </r>
  <r>
    <x v="30"/>
    <x v="2"/>
    <x v="72"/>
    <x v="0"/>
    <x v="2"/>
    <x v="2"/>
    <x v="0"/>
    <x v="1"/>
    <n v="0"/>
    <x v="0"/>
  </r>
  <r>
    <x v="30"/>
    <x v="2"/>
    <x v="72"/>
    <x v="0"/>
    <x v="2"/>
    <x v="2"/>
    <x v="0"/>
    <x v="2"/>
    <n v="0"/>
    <x v="0"/>
  </r>
  <r>
    <x v="30"/>
    <x v="2"/>
    <x v="72"/>
    <x v="0"/>
    <x v="2"/>
    <x v="2"/>
    <x v="0"/>
    <x v="3"/>
    <n v="0"/>
    <x v="0"/>
  </r>
  <r>
    <x v="30"/>
    <x v="2"/>
    <x v="72"/>
    <x v="0"/>
    <x v="2"/>
    <x v="2"/>
    <x v="0"/>
    <x v="4"/>
    <n v="0"/>
    <x v="0"/>
  </r>
  <r>
    <x v="30"/>
    <x v="2"/>
    <x v="72"/>
    <x v="0"/>
    <x v="2"/>
    <x v="2"/>
    <x v="0"/>
    <x v="5"/>
    <n v="0"/>
    <x v="0"/>
  </r>
  <r>
    <x v="30"/>
    <x v="2"/>
    <x v="72"/>
    <x v="0"/>
    <x v="2"/>
    <x v="2"/>
    <x v="0"/>
    <x v="6"/>
    <n v="0"/>
    <x v="0"/>
  </r>
  <r>
    <x v="30"/>
    <x v="2"/>
    <x v="72"/>
    <x v="0"/>
    <x v="2"/>
    <x v="2"/>
    <x v="0"/>
    <x v="7"/>
    <n v="0"/>
    <x v="0"/>
  </r>
  <r>
    <x v="30"/>
    <x v="2"/>
    <x v="72"/>
    <x v="0"/>
    <x v="2"/>
    <x v="2"/>
    <x v="0"/>
    <x v="8"/>
    <n v="0"/>
    <x v="0"/>
  </r>
  <r>
    <x v="30"/>
    <x v="2"/>
    <x v="72"/>
    <x v="0"/>
    <x v="2"/>
    <x v="2"/>
    <x v="0"/>
    <x v="9"/>
    <n v="0"/>
    <x v="0"/>
  </r>
  <r>
    <x v="30"/>
    <x v="2"/>
    <x v="72"/>
    <x v="0"/>
    <x v="2"/>
    <x v="2"/>
    <x v="0"/>
    <x v="10"/>
    <n v="111920.12307058509"/>
    <x v="0"/>
  </r>
  <r>
    <x v="30"/>
    <x v="2"/>
    <x v="72"/>
    <x v="0"/>
    <x v="2"/>
    <x v="2"/>
    <x v="0"/>
    <x v="11"/>
    <n v="0"/>
    <x v="0"/>
  </r>
  <r>
    <x v="30"/>
    <x v="2"/>
    <x v="73"/>
    <x v="0"/>
    <x v="2"/>
    <x v="3"/>
    <x v="9"/>
    <x v="0"/>
    <n v="11892.874859576419"/>
    <x v="0"/>
  </r>
  <r>
    <x v="30"/>
    <x v="2"/>
    <x v="73"/>
    <x v="0"/>
    <x v="2"/>
    <x v="3"/>
    <x v="9"/>
    <x v="1"/>
    <n v="16400.786845630206"/>
    <x v="0"/>
  </r>
  <r>
    <x v="30"/>
    <x v="2"/>
    <x v="73"/>
    <x v="0"/>
    <x v="2"/>
    <x v="3"/>
    <x v="9"/>
    <x v="2"/>
    <n v="0"/>
    <x v="0"/>
  </r>
  <r>
    <x v="30"/>
    <x v="2"/>
    <x v="73"/>
    <x v="0"/>
    <x v="2"/>
    <x v="3"/>
    <x v="9"/>
    <x v="3"/>
    <n v="0"/>
    <x v="0"/>
  </r>
  <r>
    <x v="30"/>
    <x v="2"/>
    <x v="73"/>
    <x v="0"/>
    <x v="2"/>
    <x v="3"/>
    <x v="9"/>
    <x v="4"/>
    <n v="16135.033219404597"/>
    <x v="0"/>
  </r>
  <r>
    <x v="30"/>
    <x v="2"/>
    <x v="73"/>
    <x v="0"/>
    <x v="2"/>
    <x v="3"/>
    <x v="9"/>
    <x v="5"/>
    <n v="0"/>
    <x v="0"/>
  </r>
  <r>
    <x v="30"/>
    <x v="2"/>
    <x v="73"/>
    <x v="0"/>
    <x v="2"/>
    <x v="3"/>
    <x v="9"/>
    <x v="6"/>
    <n v="16383.136550469861"/>
    <x v="0"/>
  </r>
  <r>
    <x v="30"/>
    <x v="2"/>
    <x v="73"/>
    <x v="0"/>
    <x v="2"/>
    <x v="3"/>
    <x v="9"/>
    <x v="7"/>
    <n v="0"/>
    <x v="0"/>
  </r>
  <r>
    <x v="30"/>
    <x v="2"/>
    <x v="73"/>
    <x v="0"/>
    <x v="2"/>
    <x v="3"/>
    <x v="9"/>
    <x v="8"/>
    <n v="0"/>
    <x v="0"/>
  </r>
  <r>
    <x v="30"/>
    <x v="2"/>
    <x v="73"/>
    <x v="0"/>
    <x v="2"/>
    <x v="3"/>
    <x v="9"/>
    <x v="9"/>
    <n v="0"/>
    <x v="0"/>
  </r>
  <r>
    <x v="30"/>
    <x v="2"/>
    <x v="73"/>
    <x v="0"/>
    <x v="2"/>
    <x v="3"/>
    <x v="9"/>
    <x v="10"/>
    <n v="0"/>
    <x v="0"/>
  </r>
  <r>
    <x v="30"/>
    <x v="2"/>
    <x v="73"/>
    <x v="0"/>
    <x v="2"/>
    <x v="3"/>
    <x v="9"/>
    <x v="11"/>
    <n v="0"/>
    <x v="0"/>
  </r>
  <r>
    <x v="30"/>
    <x v="2"/>
    <x v="74"/>
    <x v="0"/>
    <x v="2"/>
    <x v="3"/>
    <x v="9"/>
    <x v="0"/>
    <n v="0"/>
    <x v="0"/>
  </r>
  <r>
    <x v="30"/>
    <x v="2"/>
    <x v="74"/>
    <x v="0"/>
    <x v="2"/>
    <x v="3"/>
    <x v="9"/>
    <x v="1"/>
    <n v="0"/>
    <x v="0"/>
  </r>
  <r>
    <x v="30"/>
    <x v="2"/>
    <x v="74"/>
    <x v="0"/>
    <x v="2"/>
    <x v="3"/>
    <x v="9"/>
    <x v="2"/>
    <n v="0"/>
    <x v="0"/>
  </r>
  <r>
    <x v="30"/>
    <x v="2"/>
    <x v="74"/>
    <x v="0"/>
    <x v="2"/>
    <x v="3"/>
    <x v="9"/>
    <x v="3"/>
    <n v="0"/>
    <x v="0"/>
  </r>
  <r>
    <x v="30"/>
    <x v="2"/>
    <x v="74"/>
    <x v="0"/>
    <x v="2"/>
    <x v="3"/>
    <x v="9"/>
    <x v="4"/>
    <n v="0"/>
    <x v="0"/>
  </r>
  <r>
    <x v="30"/>
    <x v="2"/>
    <x v="74"/>
    <x v="0"/>
    <x v="2"/>
    <x v="3"/>
    <x v="9"/>
    <x v="5"/>
    <n v="0"/>
    <x v="0"/>
  </r>
  <r>
    <x v="30"/>
    <x v="2"/>
    <x v="74"/>
    <x v="0"/>
    <x v="2"/>
    <x v="3"/>
    <x v="9"/>
    <x v="6"/>
    <n v="0"/>
    <x v="0"/>
  </r>
  <r>
    <x v="30"/>
    <x v="2"/>
    <x v="74"/>
    <x v="0"/>
    <x v="2"/>
    <x v="3"/>
    <x v="9"/>
    <x v="7"/>
    <n v="8607.705068641837"/>
    <x v="0"/>
  </r>
  <r>
    <x v="30"/>
    <x v="2"/>
    <x v="74"/>
    <x v="0"/>
    <x v="2"/>
    <x v="3"/>
    <x v="9"/>
    <x v="8"/>
    <n v="0"/>
    <x v="0"/>
  </r>
  <r>
    <x v="30"/>
    <x v="2"/>
    <x v="74"/>
    <x v="0"/>
    <x v="2"/>
    <x v="3"/>
    <x v="9"/>
    <x v="9"/>
    <n v="0"/>
    <x v="0"/>
  </r>
  <r>
    <x v="30"/>
    <x v="2"/>
    <x v="74"/>
    <x v="0"/>
    <x v="2"/>
    <x v="3"/>
    <x v="9"/>
    <x v="10"/>
    <n v="0"/>
    <x v="0"/>
  </r>
  <r>
    <x v="30"/>
    <x v="2"/>
    <x v="74"/>
    <x v="0"/>
    <x v="2"/>
    <x v="3"/>
    <x v="9"/>
    <x v="11"/>
    <n v="0"/>
    <x v="0"/>
  </r>
  <r>
    <x v="30"/>
    <x v="2"/>
    <x v="75"/>
    <x v="0"/>
    <x v="2"/>
    <x v="3"/>
    <x v="0"/>
    <x v="0"/>
    <n v="0"/>
    <x v="0"/>
  </r>
  <r>
    <x v="30"/>
    <x v="2"/>
    <x v="75"/>
    <x v="0"/>
    <x v="2"/>
    <x v="3"/>
    <x v="0"/>
    <x v="1"/>
    <n v="0"/>
    <x v="0"/>
  </r>
  <r>
    <x v="30"/>
    <x v="2"/>
    <x v="75"/>
    <x v="0"/>
    <x v="2"/>
    <x v="3"/>
    <x v="0"/>
    <x v="2"/>
    <n v="0"/>
    <x v="0"/>
  </r>
  <r>
    <x v="30"/>
    <x v="2"/>
    <x v="75"/>
    <x v="0"/>
    <x v="2"/>
    <x v="3"/>
    <x v="0"/>
    <x v="3"/>
    <n v="0"/>
    <x v="0"/>
  </r>
  <r>
    <x v="30"/>
    <x v="2"/>
    <x v="75"/>
    <x v="0"/>
    <x v="2"/>
    <x v="3"/>
    <x v="0"/>
    <x v="4"/>
    <n v="0"/>
    <x v="0"/>
  </r>
  <r>
    <x v="30"/>
    <x v="2"/>
    <x v="75"/>
    <x v="0"/>
    <x v="2"/>
    <x v="3"/>
    <x v="0"/>
    <x v="5"/>
    <n v="0"/>
    <x v="0"/>
  </r>
  <r>
    <x v="30"/>
    <x v="2"/>
    <x v="75"/>
    <x v="0"/>
    <x v="2"/>
    <x v="3"/>
    <x v="0"/>
    <x v="6"/>
    <n v="0"/>
    <x v="0"/>
  </r>
  <r>
    <x v="30"/>
    <x v="2"/>
    <x v="75"/>
    <x v="0"/>
    <x v="2"/>
    <x v="3"/>
    <x v="0"/>
    <x v="7"/>
    <n v="0"/>
    <x v="0"/>
  </r>
  <r>
    <x v="30"/>
    <x v="2"/>
    <x v="75"/>
    <x v="0"/>
    <x v="2"/>
    <x v="3"/>
    <x v="0"/>
    <x v="8"/>
    <n v="0"/>
    <x v="0"/>
  </r>
  <r>
    <x v="30"/>
    <x v="2"/>
    <x v="75"/>
    <x v="0"/>
    <x v="2"/>
    <x v="3"/>
    <x v="0"/>
    <x v="9"/>
    <n v="0"/>
    <x v="0"/>
  </r>
  <r>
    <x v="30"/>
    <x v="2"/>
    <x v="75"/>
    <x v="0"/>
    <x v="2"/>
    <x v="3"/>
    <x v="0"/>
    <x v="10"/>
    <n v="0"/>
    <x v="0"/>
  </r>
  <r>
    <x v="30"/>
    <x v="2"/>
    <x v="75"/>
    <x v="0"/>
    <x v="2"/>
    <x v="3"/>
    <x v="0"/>
    <x v="11"/>
    <n v="0"/>
    <x v="0"/>
  </r>
  <r>
    <x v="30"/>
    <x v="2"/>
    <x v="76"/>
    <x v="0"/>
    <x v="2"/>
    <x v="3"/>
    <x v="6"/>
    <x v="0"/>
    <n v="0"/>
    <x v="0"/>
  </r>
  <r>
    <x v="30"/>
    <x v="2"/>
    <x v="76"/>
    <x v="0"/>
    <x v="2"/>
    <x v="3"/>
    <x v="6"/>
    <x v="1"/>
    <n v="0"/>
    <x v="0"/>
  </r>
  <r>
    <x v="30"/>
    <x v="2"/>
    <x v="76"/>
    <x v="0"/>
    <x v="2"/>
    <x v="3"/>
    <x v="6"/>
    <x v="2"/>
    <n v="1745.8200464447523"/>
    <x v="0"/>
  </r>
  <r>
    <x v="30"/>
    <x v="2"/>
    <x v="76"/>
    <x v="0"/>
    <x v="2"/>
    <x v="3"/>
    <x v="6"/>
    <x v="3"/>
    <n v="0"/>
    <x v="0"/>
  </r>
  <r>
    <x v="30"/>
    <x v="2"/>
    <x v="76"/>
    <x v="0"/>
    <x v="2"/>
    <x v="3"/>
    <x v="6"/>
    <x v="4"/>
    <n v="0"/>
    <x v="0"/>
  </r>
  <r>
    <x v="30"/>
    <x v="2"/>
    <x v="76"/>
    <x v="0"/>
    <x v="2"/>
    <x v="3"/>
    <x v="6"/>
    <x v="5"/>
    <n v="0"/>
    <x v="0"/>
  </r>
  <r>
    <x v="30"/>
    <x v="2"/>
    <x v="76"/>
    <x v="0"/>
    <x v="2"/>
    <x v="3"/>
    <x v="6"/>
    <x v="6"/>
    <n v="0"/>
    <x v="0"/>
  </r>
  <r>
    <x v="30"/>
    <x v="2"/>
    <x v="76"/>
    <x v="0"/>
    <x v="2"/>
    <x v="3"/>
    <x v="6"/>
    <x v="7"/>
    <n v="431.96369687448856"/>
    <x v="0"/>
  </r>
  <r>
    <x v="30"/>
    <x v="2"/>
    <x v="76"/>
    <x v="0"/>
    <x v="2"/>
    <x v="3"/>
    <x v="6"/>
    <x v="8"/>
    <n v="0"/>
    <x v="0"/>
  </r>
  <r>
    <x v="30"/>
    <x v="2"/>
    <x v="76"/>
    <x v="0"/>
    <x v="2"/>
    <x v="3"/>
    <x v="6"/>
    <x v="9"/>
    <n v="0"/>
    <x v="0"/>
  </r>
  <r>
    <x v="30"/>
    <x v="2"/>
    <x v="76"/>
    <x v="0"/>
    <x v="2"/>
    <x v="3"/>
    <x v="6"/>
    <x v="10"/>
    <n v="0"/>
    <x v="0"/>
  </r>
  <r>
    <x v="30"/>
    <x v="2"/>
    <x v="76"/>
    <x v="0"/>
    <x v="2"/>
    <x v="3"/>
    <x v="6"/>
    <x v="11"/>
    <n v="0"/>
    <x v="0"/>
  </r>
  <r>
    <x v="30"/>
    <x v="1"/>
    <x v="77"/>
    <x v="1"/>
    <x v="2"/>
    <x v="3"/>
    <x v="0"/>
    <x v="0"/>
    <n v="5504.2298195881522"/>
    <x v="0"/>
  </r>
  <r>
    <x v="30"/>
    <x v="1"/>
    <x v="77"/>
    <x v="1"/>
    <x v="2"/>
    <x v="3"/>
    <x v="0"/>
    <x v="1"/>
    <n v="3751.6137215698409"/>
    <x v="0"/>
  </r>
  <r>
    <x v="30"/>
    <x v="1"/>
    <x v="77"/>
    <x v="1"/>
    <x v="2"/>
    <x v="3"/>
    <x v="0"/>
    <x v="2"/>
    <n v="3289.5455960039103"/>
    <x v="0"/>
  </r>
  <r>
    <x v="30"/>
    <x v="1"/>
    <x v="77"/>
    <x v="1"/>
    <x v="2"/>
    <x v="3"/>
    <x v="0"/>
    <x v="3"/>
    <n v="0"/>
    <x v="0"/>
  </r>
  <r>
    <x v="30"/>
    <x v="1"/>
    <x v="77"/>
    <x v="1"/>
    <x v="2"/>
    <x v="3"/>
    <x v="0"/>
    <x v="4"/>
    <n v="0"/>
    <x v="0"/>
  </r>
  <r>
    <x v="30"/>
    <x v="1"/>
    <x v="77"/>
    <x v="1"/>
    <x v="2"/>
    <x v="3"/>
    <x v="0"/>
    <x v="5"/>
    <n v="0"/>
    <x v="0"/>
  </r>
  <r>
    <x v="30"/>
    <x v="1"/>
    <x v="77"/>
    <x v="1"/>
    <x v="2"/>
    <x v="3"/>
    <x v="0"/>
    <x v="6"/>
    <n v="0"/>
    <x v="0"/>
  </r>
  <r>
    <x v="30"/>
    <x v="1"/>
    <x v="77"/>
    <x v="1"/>
    <x v="2"/>
    <x v="3"/>
    <x v="0"/>
    <x v="7"/>
    <n v="0"/>
    <x v="0"/>
  </r>
  <r>
    <x v="30"/>
    <x v="1"/>
    <x v="77"/>
    <x v="1"/>
    <x v="2"/>
    <x v="3"/>
    <x v="0"/>
    <x v="8"/>
    <n v="0"/>
    <x v="0"/>
  </r>
  <r>
    <x v="30"/>
    <x v="1"/>
    <x v="77"/>
    <x v="1"/>
    <x v="2"/>
    <x v="3"/>
    <x v="0"/>
    <x v="9"/>
    <n v="0"/>
    <x v="0"/>
  </r>
  <r>
    <x v="30"/>
    <x v="1"/>
    <x v="77"/>
    <x v="1"/>
    <x v="2"/>
    <x v="3"/>
    <x v="0"/>
    <x v="10"/>
    <n v="0"/>
    <x v="0"/>
  </r>
  <r>
    <x v="30"/>
    <x v="1"/>
    <x v="77"/>
    <x v="1"/>
    <x v="2"/>
    <x v="3"/>
    <x v="0"/>
    <x v="11"/>
    <n v="0"/>
    <x v="0"/>
  </r>
  <r>
    <x v="30"/>
    <x v="2"/>
    <x v="78"/>
    <x v="0"/>
    <x v="2"/>
    <x v="3"/>
    <x v="4"/>
    <x v="0"/>
    <n v="0"/>
    <x v="0"/>
  </r>
  <r>
    <x v="30"/>
    <x v="2"/>
    <x v="78"/>
    <x v="0"/>
    <x v="2"/>
    <x v="3"/>
    <x v="4"/>
    <x v="1"/>
    <n v="5071.0392437953096"/>
    <x v="0"/>
  </r>
  <r>
    <x v="30"/>
    <x v="2"/>
    <x v="78"/>
    <x v="0"/>
    <x v="2"/>
    <x v="3"/>
    <x v="4"/>
    <x v="2"/>
    <n v="4760.9105603387461"/>
    <x v="0"/>
  </r>
  <r>
    <x v="30"/>
    <x v="2"/>
    <x v="78"/>
    <x v="0"/>
    <x v="2"/>
    <x v="3"/>
    <x v="4"/>
    <x v="3"/>
    <n v="0"/>
    <x v="0"/>
  </r>
  <r>
    <x v="30"/>
    <x v="2"/>
    <x v="78"/>
    <x v="0"/>
    <x v="2"/>
    <x v="3"/>
    <x v="4"/>
    <x v="4"/>
    <n v="0"/>
    <x v="0"/>
  </r>
  <r>
    <x v="30"/>
    <x v="2"/>
    <x v="78"/>
    <x v="0"/>
    <x v="2"/>
    <x v="3"/>
    <x v="4"/>
    <x v="5"/>
    <n v="0"/>
    <x v="0"/>
  </r>
  <r>
    <x v="30"/>
    <x v="2"/>
    <x v="78"/>
    <x v="0"/>
    <x v="2"/>
    <x v="3"/>
    <x v="4"/>
    <x v="6"/>
    <n v="0"/>
    <x v="0"/>
  </r>
  <r>
    <x v="30"/>
    <x v="2"/>
    <x v="78"/>
    <x v="0"/>
    <x v="2"/>
    <x v="3"/>
    <x v="4"/>
    <x v="7"/>
    <n v="0"/>
    <x v="0"/>
  </r>
  <r>
    <x v="30"/>
    <x v="2"/>
    <x v="78"/>
    <x v="0"/>
    <x v="2"/>
    <x v="3"/>
    <x v="4"/>
    <x v="8"/>
    <n v="0"/>
    <x v="0"/>
  </r>
  <r>
    <x v="30"/>
    <x v="2"/>
    <x v="78"/>
    <x v="0"/>
    <x v="2"/>
    <x v="3"/>
    <x v="4"/>
    <x v="9"/>
    <n v="0"/>
    <x v="0"/>
  </r>
  <r>
    <x v="30"/>
    <x v="2"/>
    <x v="78"/>
    <x v="0"/>
    <x v="2"/>
    <x v="3"/>
    <x v="4"/>
    <x v="10"/>
    <n v="0"/>
    <x v="0"/>
  </r>
  <r>
    <x v="30"/>
    <x v="2"/>
    <x v="78"/>
    <x v="0"/>
    <x v="2"/>
    <x v="3"/>
    <x v="4"/>
    <x v="11"/>
    <n v="0"/>
    <x v="0"/>
  </r>
  <r>
    <x v="30"/>
    <x v="2"/>
    <x v="79"/>
    <x v="0"/>
    <x v="2"/>
    <x v="3"/>
    <x v="10"/>
    <x v="0"/>
    <n v="0"/>
    <x v="0"/>
  </r>
  <r>
    <x v="30"/>
    <x v="2"/>
    <x v="79"/>
    <x v="0"/>
    <x v="2"/>
    <x v="3"/>
    <x v="10"/>
    <x v="1"/>
    <n v="0"/>
    <x v="0"/>
  </r>
  <r>
    <x v="30"/>
    <x v="2"/>
    <x v="79"/>
    <x v="0"/>
    <x v="2"/>
    <x v="3"/>
    <x v="10"/>
    <x v="2"/>
    <n v="8620.8892590947253"/>
    <x v="0"/>
  </r>
  <r>
    <x v="30"/>
    <x v="2"/>
    <x v="79"/>
    <x v="0"/>
    <x v="2"/>
    <x v="3"/>
    <x v="10"/>
    <x v="3"/>
    <n v="0"/>
    <x v="0"/>
  </r>
  <r>
    <x v="30"/>
    <x v="2"/>
    <x v="79"/>
    <x v="0"/>
    <x v="2"/>
    <x v="3"/>
    <x v="10"/>
    <x v="4"/>
    <n v="0"/>
    <x v="0"/>
  </r>
  <r>
    <x v="30"/>
    <x v="2"/>
    <x v="79"/>
    <x v="0"/>
    <x v="2"/>
    <x v="3"/>
    <x v="10"/>
    <x v="5"/>
    <n v="0"/>
    <x v="0"/>
  </r>
  <r>
    <x v="30"/>
    <x v="2"/>
    <x v="79"/>
    <x v="0"/>
    <x v="2"/>
    <x v="3"/>
    <x v="10"/>
    <x v="6"/>
    <n v="0"/>
    <x v="0"/>
  </r>
  <r>
    <x v="30"/>
    <x v="2"/>
    <x v="79"/>
    <x v="0"/>
    <x v="2"/>
    <x v="3"/>
    <x v="10"/>
    <x v="7"/>
    <n v="0"/>
    <x v="0"/>
  </r>
  <r>
    <x v="30"/>
    <x v="2"/>
    <x v="79"/>
    <x v="0"/>
    <x v="2"/>
    <x v="3"/>
    <x v="10"/>
    <x v="8"/>
    <n v="0"/>
    <x v="0"/>
  </r>
  <r>
    <x v="30"/>
    <x v="2"/>
    <x v="79"/>
    <x v="0"/>
    <x v="2"/>
    <x v="3"/>
    <x v="10"/>
    <x v="9"/>
    <n v="0"/>
    <x v="0"/>
  </r>
  <r>
    <x v="30"/>
    <x v="2"/>
    <x v="79"/>
    <x v="0"/>
    <x v="2"/>
    <x v="3"/>
    <x v="10"/>
    <x v="10"/>
    <n v="0"/>
    <x v="0"/>
  </r>
  <r>
    <x v="30"/>
    <x v="2"/>
    <x v="79"/>
    <x v="0"/>
    <x v="2"/>
    <x v="3"/>
    <x v="10"/>
    <x v="11"/>
    <n v="0"/>
    <x v="0"/>
  </r>
  <r>
    <x v="30"/>
    <x v="2"/>
    <x v="80"/>
    <x v="0"/>
    <x v="2"/>
    <x v="3"/>
    <x v="9"/>
    <x v="0"/>
    <n v="0"/>
    <x v="0"/>
  </r>
  <r>
    <x v="30"/>
    <x v="2"/>
    <x v="80"/>
    <x v="0"/>
    <x v="2"/>
    <x v="3"/>
    <x v="9"/>
    <x v="1"/>
    <n v="0"/>
    <x v="0"/>
  </r>
  <r>
    <x v="30"/>
    <x v="2"/>
    <x v="80"/>
    <x v="0"/>
    <x v="2"/>
    <x v="3"/>
    <x v="9"/>
    <x v="2"/>
    <n v="0"/>
    <x v="0"/>
  </r>
  <r>
    <x v="30"/>
    <x v="2"/>
    <x v="80"/>
    <x v="0"/>
    <x v="2"/>
    <x v="3"/>
    <x v="9"/>
    <x v="3"/>
    <n v="0"/>
    <x v="0"/>
  </r>
  <r>
    <x v="30"/>
    <x v="2"/>
    <x v="80"/>
    <x v="0"/>
    <x v="2"/>
    <x v="3"/>
    <x v="9"/>
    <x v="4"/>
    <n v="1826.159017804018"/>
    <x v="0"/>
  </r>
  <r>
    <x v="30"/>
    <x v="2"/>
    <x v="80"/>
    <x v="0"/>
    <x v="2"/>
    <x v="3"/>
    <x v="9"/>
    <x v="5"/>
    <n v="0"/>
    <x v="0"/>
  </r>
  <r>
    <x v="30"/>
    <x v="2"/>
    <x v="80"/>
    <x v="0"/>
    <x v="2"/>
    <x v="3"/>
    <x v="9"/>
    <x v="6"/>
    <n v="0"/>
    <x v="0"/>
  </r>
  <r>
    <x v="30"/>
    <x v="2"/>
    <x v="80"/>
    <x v="0"/>
    <x v="2"/>
    <x v="3"/>
    <x v="9"/>
    <x v="7"/>
    <n v="0"/>
    <x v="0"/>
  </r>
  <r>
    <x v="30"/>
    <x v="2"/>
    <x v="80"/>
    <x v="0"/>
    <x v="2"/>
    <x v="3"/>
    <x v="9"/>
    <x v="8"/>
    <n v="0"/>
    <x v="0"/>
  </r>
  <r>
    <x v="30"/>
    <x v="2"/>
    <x v="80"/>
    <x v="0"/>
    <x v="2"/>
    <x v="3"/>
    <x v="9"/>
    <x v="9"/>
    <n v="0"/>
    <x v="0"/>
  </r>
  <r>
    <x v="30"/>
    <x v="2"/>
    <x v="80"/>
    <x v="0"/>
    <x v="2"/>
    <x v="3"/>
    <x v="9"/>
    <x v="10"/>
    <n v="0"/>
    <x v="0"/>
  </r>
  <r>
    <x v="30"/>
    <x v="2"/>
    <x v="80"/>
    <x v="0"/>
    <x v="2"/>
    <x v="3"/>
    <x v="9"/>
    <x v="11"/>
    <n v="0"/>
    <x v="0"/>
  </r>
  <r>
    <x v="30"/>
    <x v="2"/>
    <x v="81"/>
    <x v="0"/>
    <x v="2"/>
    <x v="3"/>
    <x v="3"/>
    <x v="0"/>
    <n v="0"/>
    <x v="0"/>
  </r>
  <r>
    <x v="30"/>
    <x v="2"/>
    <x v="81"/>
    <x v="0"/>
    <x v="2"/>
    <x v="3"/>
    <x v="3"/>
    <x v="1"/>
    <n v="0"/>
    <x v="0"/>
  </r>
  <r>
    <x v="30"/>
    <x v="2"/>
    <x v="81"/>
    <x v="0"/>
    <x v="2"/>
    <x v="3"/>
    <x v="3"/>
    <x v="2"/>
    <n v="216.20126675781788"/>
    <x v="0"/>
  </r>
  <r>
    <x v="30"/>
    <x v="2"/>
    <x v="81"/>
    <x v="0"/>
    <x v="2"/>
    <x v="3"/>
    <x v="3"/>
    <x v="3"/>
    <n v="0"/>
    <x v="0"/>
  </r>
  <r>
    <x v="30"/>
    <x v="2"/>
    <x v="81"/>
    <x v="0"/>
    <x v="2"/>
    <x v="3"/>
    <x v="3"/>
    <x v="4"/>
    <n v="497.88921221128123"/>
    <x v="0"/>
  </r>
  <r>
    <x v="30"/>
    <x v="2"/>
    <x v="81"/>
    <x v="0"/>
    <x v="2"/>
    <x v="3"/>
    <x v="3"/>
    <x v="5"/>
    <n v="699.07750196202403"/>
    <x v="0"/>
  </r>
  <r>
    <x v="30"/>
    <x v="2"/>
    <x v="81"/>
    <x v="0"/>
    <x v="2"/>
    <x v="3"/>
    <x v="3"/>
    <x v="6"/>
    <n v="0"/>
    <x v="0"/>
  </r>
  <r>
    <x v="30"/>
    <x v="2"/>
    <x v="81"/>
    <x v="0"/>
    <x v="2"/>
    <x v="3"/>
    <x v="3"/>
    <x v="7"/>
    <n v="404.77513405384911"/>
    <x v="0"/>
  </r>
  <r>
    <x v="30"/>
    <x v="2"/>
    <x v="81"/>
    <x v="0"/>
    <x v="2"/>
    <x v="3"/>
    <x v="3"/>
    <x v="8"/>
    <n v="0"/>
    <x v="0"/>
  </r>
  <r>
    <x v="30"/>
    <x v="2"/>
    <x v="81"/>
    <x v="0"/>
    <x v="2"/>
    <x v="3"/>
    <x v="3"/>
    <x v="9"/>
    <n v="0"/>
    <x v="0"/>
  </r>
  <r>
    <x v="30"/>
    <x v="2"/>
    <x v="81"/>
    <x v="0"/>
    <x v="2"/>
    <x v="3"/>
    <x v="3"/>
    <x v="10"/>
    <n v="788.85397566660185"/>
    <x v="0"/>
  </r>
  <r>
    <x v="30"/>
    <x v="2"/>
    <x v="81"/>
    <x v="0"/>
    <x v="2"/>
    <x v="3"/>
    <x v="3"/>
    <x v="11"/>
    <n v="0"/>
    <x v="0"/>
  </r>
  <r>
    <x v="50"/>
    <x v="1"/>
    <x v="82"/>
    <x v="0"/>
    <x v="1"/>
    <x v="1"/>
    <x v="0"/>
    <x v="0"/>
    <n v="337.29835406261157"/>
    <x v="0"/>
  </r>
  <r>
    <x v="50"/>
    <x v="1"/>
    <x v="82"/>
    <x v="0"/>
    <x v="1"/>
    <x v="1"/>
    <x v="0"/>
    <x v="1"/>
    <n v="0"/>
    <x v="0"/>
  </r>
  <r>
    <x v="50"/>
    <x v="1"/>
    <x v="82"/>
    <x v="0"/>
    <x v="1"/>
    <x v="1"/>
    <x v="0"/>
    <x v="2"/>
    <n v="936.2160616787487"/>
    <x v="0"/>
  </r>
  <r>
    <x v="50"/>
    <x v="1"/>
    <x v="82"/>
    <x v="0"/>
    <x v="1"/>
    <x v="1"/>
    <x v="0"/>
    <x v="3"/>
    <n v="0"/>
    <x v="0"/>
  </r>
  <r>
    <x v="50"/>
    <x v="1"/>
    <x v="82"/>
    <x v="0"/>
    <x v="1"/>
    <x v="1"/>
    <x v="0"/>
    <x v="4"/>
    <n v="0"/>
    <x v="0"/>
  </r>
  <r>
    <x v="50"/>
    <x v="1"/>
    <x v="82"/>
    <x v="0"/>
    <x v="1"/>
    <x v="1"/>
    <x v="0"/>
    <x v="5"/>
    <n v="0"/>
    <x v="0"/>
  </r>
  <r>
    <x v="50"/>
    <x v="1"/>
    <x v="82"/>
    <x v="0"/>
    <x v="1"/>
    <x v="1"/>
    <x v="0"/>
    <x v="6"/>
    <n v="623.64593075492519"/>
    <x v="0"/>
  </r>
  <r>
    <x v="50"/>
    <x v="1"/>
    <x v="82"/>
    <x v="0"/>
    <x v="1"/>
    <x v="1"/>
    <x v="0"/>
    <x v="7"/>
    <n v="0"/>
    <x v="0"/>
  </r>
  <r>
    <x v="50"/>
    <x v="1"/>
    <x v="82"/>
    <x v="0"/>
    <x v="1"/>
    <x v="1"/>
    <x v="0"/>
    <x v="8"/>
    <n v="0"/>
    <x v="0"/>
  </r>
  <r>
    <x v="50"/>
    <x v="1"/>
    <x v="82"/>
    <x v="0"/>
    <x v="1"/>
    <x v="1"/>
    <x v="0"/>
    <x v="9"/>
    <n v="519.73630907470567"/>
    <x v="0"/>
  </r>
  <r>
    <x v="50"/>
    <x v="1"/>
    <x v="82"/>
    <x v="0"/>
    <x v="1"/>
    <x v="1"/>
    <x v="0"/>
    <x v="10"/>
    <n v="0"/>
    <x v="0"/>
  </r>
  <r>
    <x v="50"/>
    <x v="1"/>
    <x v="82"/>
    <x v="0"/>
    <x v="1"/>
    <x v="1"/>
    <x v="0"/>
    <x v="11"/>
    <n v="0"/>
    <x v="0"/>
  </r>
  <r>
    <x v="50"/>
    <x v="1"/>
    <x v="82"/>
    <x v="0"/>
    <x v="1"/>
    <x v="1"/>
    <x v="0"/>
    <x v="0"/>
    <n v="0"/>
    <x v="0"/>
  </r>
  <r>
    <x v="50"/>
    <x v="1"/>
    <x v="82"/>
    <x v="0"/>
    <x v="1"/>
    <x v="1"/>
    <x v="0"/>
    <x v="1"/>
    <n v="0"/>
    <x v="0"/>
  </r>
  <r>
    <x v="50"/>
    <x v="1"/>
    <x v="82"/>
    <x v="0"/>
    <x v="1"/>
    <x v="1"/>
    <x v="0"/>
    <x v="2"/>
    <n v="0"/>
    <x v="0"/>
  </r>
  <r>
    <x v="50"/>
    <x v="1"/>
    <x v="82"/>
    <x v="0"/>
    <x v="1"/>
    <x v="1"/>
    <x v="0"/>
    <x v="3"/>
    <n v="0"/>
    <x v="0"/>
  </r>
  <r>
    <x v="50"/>
    <x v="1"/>
    <x v="82"/>
    <x v="0"/>
    <x v="1"/>
    <x v="1"/>
    <x v="0"/>
    <x v="4"/>
    <n v="0"/>
    <x v="0"/>
  </r>
  <r>
    <x v="50"/>
    <x v="1"/>
    <x v="82"/>
    <x v="0"/>
    <x v="1"/>
    <x v="1"/>
    <x v="0"/>
    <x v="5"/>
    <n v="0"/>
    <x v="0"/>
  </r>
  <r>
    <x v="50"/>
    <x v="1"/>
    <x v="82"/>
    <x v="0"/>
    <x v="1"/>
    <x v="1"/>
    <x v="0"/>
    <x v="6"/>
    <n v="0"/>
    <x v="0"/>
  </r>
  <r>
    <x v="50"/>
    <x v="1"/>
    <x v="82"/>
    <x v="0"/>
    <x v="1"/>
    <x v="1"/>
    <x v="0"/>
    <x v="7"/>
    <n v="0"/>
    <x v="0"/>
  </r>
  <r>
    <x v="50"/>
    <x v="1"/>
    <x v="82"/>
    <x v="0"/>
    <x v="1"/>
    <x v="1"/>
    <x v="0"/>
    <x v="8"/>
    <n v="0"/>
    <x v="0"/>
  </r>
  <r>
    <x v="50"/>
    <x v="1"/>
    <x v="82"/>
    <x v="0"/>
    <x v="1"/>
    <x v="1"/>
    <x v="0"/>
    <x v="9"/>
    <n v="0"/>
    <x v="0"/>
  </r>
  <r>
    <x v="50"/>
    <x v="1"/>
    <x v="82"/>
    <x v="0"/>
    <x v="1"/>
    <x v="1"/>
    <x v="0"/>
    <x v="10"/>
    <n v="0"/>
    <x v="0"/>
  </r>
  <r>
    <x v="50"/>
    <x v="1"/>
    <x v="82"/>
    <x v="0"/>
    <x v="1"/>
    <x v="1"/>
    <x v="0"/>
    <x v="11"/>
    <n v="0"/>
    <x v="0"/>
  </r>
  <r>
    <x v="30"/>
    <x v="1"/>
    <x v="83"/>
    <x v="2"/>
    <x v="2"/>
    <x v="3"/>
    <x v="0"/>
    <x v="0"/>
    <n v="0"/>
    <x v="0"/>
  </r>
  <r>
    <x v="30"/>
    <x v="1"/>
    <x v="83"/>
    <x v="2"/>
    <x v="2"/>
    <x v="3"/>
    <x v="0"/>
    <x v="1"/>
    <n v="0"/>
    <x v="0"/>
  </r>
  <r>
    <x v="30"/>
    <x v="1"/>
    <x v="83"/>
    <x v="2"/>
    <x v="2"/>
    <x v="3"/>
    <x v="0"/>
    <x v="2"/>
    <n v="0"/>
    <x v="0"/>
  </r>
  <r>
    <x v="30"/>
    <x v="1"/>
    <x v="83"/>
    <x v="2"/>
    <x v="2"/>
    <x v="3"/>
    <x v="0"/>
    <x v="3"/>
    <n v="0"/>
    <x v="0"/>
  </r>
  <r>
    <x v="30"/>
    <x v="1"/>
    <x v="83"/>
    <x v="2"/>
    <x v="2"/>
    <x v="3"/>
    <x v="0"/>
    <x v="4"/>
    <n v="1539.4455300122952"/>
    <x v="0"/>
  </r>
  <r>
    <x v="30"/>
    <x v="1"/>
    <x v="83"/>
    <x v="2"/>
    <x v="2"/>
    <x v="3"/>
    <x v="0"/>
    <x v="5"/>
    <n v="0"/>
    <x v="0"/>
  </r>
  <r>
    <x v="30"/>
    <x v="1"/>
    <x v="83"/>
    <x v="2"/>
    <x v="2"/>
    <x v="3"/>
    <x v="0"/>
    <x v="6"/>
    <n v="0"/>
    <x v="0"/>
  </r>
  <r>
    <x v="30"/>
    <x v="1"/>
    <x v="83"/>
    <x v="2"/>
    <x v="2"/>
    <x v="3"/>
    <x v="0"/>
    <x v="7"/>
    <n v="0"/>
    <x v="0"/>
  </r>
  <r>
    <x v="30"/>
    <x v="1"/>
    <x v="83"/>
    <x v="2"/>
    <x v="2"/>
    <x v="3"/>
    <x v="0"/>
    <x v="8"/>
    <n v="0"/>
    <x v="0"/>
  </r>
  <r>
    <x v="30"/>
    <x v="1"/>
    <x v="83"/>
    <x v="2"/>
    <x v="2"/>
    <x v="3"/>
    <x v="0"/>
    <x v="9"/>
    <n v="342.45337314032508"/>
    <x v="0"/>
  </r>
  <r>
    <x v="30"/>
    <x v="1"/>
    <x v="83"/>
    <x v="2"/>
    <x v="2"/>
    <x v="3"/>
    <x v="0"/>
    <x v="10"/>
    <n v="0"/>
    <x v="0"/>
  </r>
  <r>
    <x v="30"/>
    <x v="1"/>
    <x v="83"/>
    <x v="2"/>
    <x v="2"/>
    <x v="3"/>
    <x v="0"/>
    <x v="11"/>
    <n v="0"/>
    <x v="0"/>
  </r>
  <r>
    <x v="51"/>
    <x v="1"/>
    <x v="84"/>
    <x v="0"/>
    <x v="1"/>
    <x v="1"/>
    <x v="0"/>
    <x v="0"/>
    <n v="0"/>
    <x v="0"/>
  </r>
  <r>
    <x v="51"/>
    <x v="1"/>
    <x v="84"/>
    <x v="0"/>
    <x v="1"/>
    <x v="1"/>
    <x v="0"/>
    <x v="1"/>
    <n v="0"/>
    <x v="0"/>
  </r>
  <r>
    <x v="51"/>
    <x v="1"/>
    <x v="84"/>
    <x v="0"/>
    <x v="1"/>
    <x v="1"/>
    <x v="0"/>
    <x v="2"/>
    <n v="352.52992893927166"/>
    <x v="0"/>
  </r>
  <r>
    <x v="51"/>
    <x v="1"/>
    <x v="84"/>
    <x v="0"/>
    <x v="1"/>
    <x v="1"/>
    <x v="0"/>
    <x v="3"/>
    <n v="0"/>
    <x v="0"/>
  </r>
  <r>
    <x v="51"/>
    <x v="1"/>
    <x v="84"/>
    <x v="0"/>
    <x v="1"/>
    <x v="1"/>
    <x v="0"/>
    <x v="4"/>
    <n v="0"/>
    <x v="0"/>
  </r>
  <r>
    <x v="51"/>
    <x v="1"/>
    <x v="84"/>
    <x v="0"/>
    <x v="1"/>
    <x v="1"/>
    <x v="0"/>
    <x v="5"/>
    <n v="0"/>
    <x v="0"/>
  </r>
  <r>
    <x v="51"/>
    <x v="1"/>
    <x v="84"/>
    <x v="0"/>
    <x v="1"/>
    <x v="1"/>
    <x v="0"/>
    <x v="6"/>
    <n v="0"/>
    <x v="0"/>
  </r>
  <r>
    <x v="51"/>
    <x v="1"/>
    <x v="84"/>
    <x v="0"/>
    <x v="1"/>
    <x v="1"/>
    <x v="0"/>
    <x v="7"/>
    <n v="0"/>
    <x v="0"/>
  </r>
  <r>
    <x v="51"/>
    <x v="1"/>
    <x v="84"/>
    <x v="0"/>
    <x v="1"/>
    <x v="1"/>
    <x v="0"/>
    <x v="8"/>
    <n v="0"/>
    <x v="0"/>
  </r>
  <r>
    <x v="51"/>
    <x v="1"/>
    <x v="84"/>
    <x v="0"/>
    <x v="1"/>
    <x v="1"/>
    <x v="0"/>
    <x v="9"/>
    <n v="0"/>
    <x v="0"/>
  </r>
  <r>
    <x v="51"/>
    <x v="1"/>
    <x v="84"/>
    <x v="0"/>
    <x v="1"/>
    <x v="1"/>
    <x v="0"/>
    <x v="10"/>
    <n v="0"/>
    <x v="0"/>
  </r>
  <r>
    <x v="51"/>
    <x v="1"/>
    <x v="84"/>
    <x v="0"/>
    <x v="1"/>
    <x v="1"/>
    <x v="0"/>
    <x v="11"/>
    <n v="0"/>
    <x v="0"/>
  </r>
  <r>
    <x v="41"/>
    <x v="0"/>
    <x v="42"/>
    <x v="0"/>
    <x v="0"/>
    <x v="0"/>
    <x v="0"/>
    <x v="0"/>
    <n v="0"/>
    <x v="0"/>
  </r>
  <r>
    <x v="41"/>
    <x v="0"/>
    <x v="42"/>
    <x v="0"/>
    <x v="0"/>
    <x v="0"/>
    <x v="0"/>
    <x v="1"/>
    <n v="0"/>
    <x v="0"/>
  </r>
  <r>
    <x v="41"/>
    <x v="0"/>
    <x v="42"/>
    <x v="0"/>
    <x v="0"/>
    <x v="0"/>
    <x v="0"/>
    <x v="2"/>
    <n v="8988.0921457149507"/>
    <x v="0"/>
  </r>
  <r>
    <x v="41"/>
    <x v="0"/>
    <x v="42"/>
    <x v="0"/>
    <x v="0"/>
    <x v="0"/>
    <x v="0"/>
    <x v="3"/>
    <n v="9037.1248137924049"/>
    <x v="0"/>
  </r>
  <r>
    <x v="41"/>
    <x v="0"/>
    <x v="42"/>
    <x v="0"/>
    <x v="0"/>
    <x v="0"/>
    <x v="0"/>
    <x v="4"/>
    <n v="9562.8773566255059"/>
    <x v="0"/>
  </r>
  <r>
    <x v="41"/>
    <x v="0"/>
    <x v="42"/>
    <x v="0"/>
    <x v="0"/>
    <x v="0"/>
    <x v="0"/>
    <x v="5"/>
    <n v="0"/>
    <x v="0"/>
  </r>
  <r>
    <x v="41"/>
    <x v="0"/>
    <x v="42"/>
    <x v="0"/>
    <x v="0"/>
    <x v="0"/>
    <x v="0"/>
    <x v="6"/>
    <n v="0"/>
    <x v="0"/>
  </r>
  <r>
    <x v="41"/>
    <x v="0"/>
    <x v="42"/>
    <x v="0"/>
    <x v="0"/>
    <x v="0"/>
    <x v="0"/>
    <x v="7"/>
    <n v="0"/>
    <x v="0"/>
  </r>
  <r>
    <x v="41"/>
    <x v="0"/>
    <x v="42"/>
    <x v="0"/>
    <x v="0"/>
    <x v="0"/>
    <x v="0"/>
    <x v="8"/>
    <n v="0"/>
    <x v="0"/>
  </r>
  <r>
    <x v="41"/>
    <x v="0"/>
    <x v="42"/>
    <x v="0"/>
    <x v="0"/>
    <x v="0"/>
    <x v="0"/>
    <x v="9"/>
    <n v="0"/>
    <x v="0"/>
  </r>
  <r>
    <x v="41"/>
    <x v="0"/>
    <x v="42"/>
    <x v="0"/>
    <x v="0"/>
    <x v="0"/>
    <x v="0"/>
    <x v="10"/>
    <n v="0"/>
    <x v="0"/>
  </r>
  <r>
    <x v="41"/>
    <x v="0"/>
    <x v="42"/>
    <x v="0"/>
    <x v="0"/>
    <x v="0"/>
    <x v="0"/>
    <x v="11"/>
    <n v="0"/>
    <x v="0"/>
  </r>
  <r>
    <x v="30"/>
    <x v="0"/>
    <x v="85"/>
    <x v="1"/>
    <x v="0"/>
    <x v="0"/>
    <x v="0"/>
    <x v="0"/>
    <n v="0"/>
    <x v="0"/>
  </r>
  <r>
    <x v="30"/>
    <x v="0"/>
    <x v="85"/>
    <x v="1"/>
    <x v="0"/>
    <x v="0"/>
    <x v="0"/>
    <x v="1"/>
    <n v="0"/>
    <x v="0"/>
  </r>
  <r>
    <x v="30"/>
    <x v="0"/>
    <x v="85"/>
    <x v="1"/>
    <x v="0"/>
    <x v="0"/>
    <x v="0"/>
    <x v="2"/>
    <n v="6729.0529433160063"/>
    <x v="0"/>
  </r>
  <r>
    <x v="30"/>
    <x v="0"/>
    <x v="85"/>
    <x v="1"/>
    <x v="0"/>
    <x v="0"/>
    <x v="0"/>
    <x v="3"/>
    <n v="0"/>
    <x v="0"/>
  </r>
  <r>
    <x v="30"/>
    <x v="0"/>
    <x v="85"/>
    <x v="1"/>
    <x v="0"/>
    <x v="0"/>
    <x v="0"/>
    <x v="4"/>
    <n v="0"/>
    <x v="0"/>
  </r>
  <r>
    <x v="30"/>
    <x v="0"/>
    <x v="85"/>
    <x v="1"/>
    <x v="0"/>
    <x v="0"/>
    <x v="0"/>
    <x v="5"/>
    <n v="0"/>
    <x v="0"/>
  </r>
  <r>
    <x v="30"/>
    <x v="0"/>
    <x v="85"/>
    <x v="1"/>
    <x v="0"/>
    <x v="0"/>
    <x v="0"/>
    <x v="6"/>
    <n v="0"/>
    <x v="0"/>
  </r>
  <r>
    <x v="30"/>
    <x v="0"/>
    <x v="85"/>
    <x v="1"/>
    <x v="0"/>
    <x v="0"/>
    <x v="0"/>
    <x v="7"/>
    <n v="0"/>
    <x v="0"/>
  </r>
  <r>
    <x v="30"/>
    <x v="0"/>
    <x v="85"/>
    <x v="1"/>
    <x v="0"/>
    <x v="0"/>
    <x v="0"/>
    <x v="8"/>
    <n v="0"/>
    <x v="0"/>
  </r>
  <r>
    <x v="30"/>
    <x v="0"/>
    <x v="85"/>
    <x v="1"/>
    <x v="0"/>
    <x v="0"/>
    <x v="0"/>
    <x v="9"/>
    <n v="0"/>
    <x v="0"/>
  </r>
  <r>
    <x v="30"/>
    <x v="0"/>
    <x v="85"/>
    <x v="1"/>
    <x v="0"/>
    <x v="0"/>
    <x v="0"/>
    <x v="10"/>
    <n v="0"/>
    <x v="0"/>
  </r>
  <r>
    <x v="30"/>
    <x v="0"/>
    <x v="85"/>
    <x v="1"/>
    <x v="0"/>
    <x v="0"/>
    <x v="0"/>
    <x v="11"/>
    <n v="0"/>
    <x v="0"/>
  </r>
  <r>
    <x v="1"/>
    <x v="1"/>
    <x v="1"/>
    <x v="2"/>
    <x v="1"/>
    <x v="1"/>
    <x v="0"/>
    <x v="0"/>
    <n v="18986.346824734897"/>
    <x v="0"/>
  </r>
  <r>
    <x v="1"/>
    <x v="1"/>
    <x v="1"/>
    <x v="2"/>
    <x v="1"/>
    <x v="1"/>
    <x v="0"/>
    <x v="1"/>
    <n v="0"/>
    <x v="0"/>
  </r>
  <r>
    <x v="1"/>
    <x v="1"/>
    <x v="1"/>
    <x v="2"/>
    <x v="1"/>
    <x v="1"/>
    <x v="0"/>
    <x v="2"/>
    <n v="0"/>
    <x v="0"/>
  </r>
  <r>
    <x v="1"/>
    <x v="1"/>
    <x v="1"/>
    <x v="2"/>
    <x v="1"/>
    <x v="1"/>
    <x v="0"/>
    <x v="3"/>
    <n v="0"/>
    <x v="0"/>
  </r>
  <r>
    <x v="1"/>
    <x v="1"/>
    <x v="1"/>
    <x v="2"/>
    <x v="1"/>
    <x v="1"/>
    <x v="0"/>
    <x v="4"/>
    <n v="0"/>
    <x v="0"/>
  </r>
  <r>
    <x v="1"/>
    <x v="1"/>
    <x v="1"/>
    <x v="2"/>
    <x v="1"/>
    <x v="1"/>
    <x v="0"/>
    <x v="5"/>
    <n v="0"/>
    <x v="0"/>
  </r>
  <r>
    <x v="1"/>
    <x v="1"/>
    <x v="1"/>
    <x v="2"/>
    <x v="1"/>
    <x v="1"/>
    <x v="0"/>
    <x v="6"/>
    <n v="0"/>
    <x v="0"/>
  </r>
  <r>
    <x v="1"/>
    <x v="1"/>
    <x v="1"/>
    <x v="2"/>
    <x v="1"/>
    <x v="1"/>
    <x v="0"/>
    <x v="7"/>
    <n v="0"/>
    <x v="0"/>
  </r>
  <r>
    <x v="1"/>
    <x v="1"/>
    <x v="1"/>
    <x v="2"/>
    <x v="1"/>
    <x v="1"/>
    <x v="0"/>
    <x v="8"/>
    <n v="0"/>
    <x v="0"/>
  </r>
  <r>
    <x v="1"/>
    <x v="1"/>
    <x v="1"/>
    <x v="2"/>
    <x v="1"/>
    <x v="1"/>
    <x v="0"/>
    <x v="9"/>
    <n v="0"/>
    <x v="0"/>
  </r>
  <r>
    <x v="1"/>
    <x v="1"/>
    <x v="1"/>
    <x v="2"/>
    <x v="1"/>
    <x v="1"/>
    <x v="0"/>
    <x v="10"/>
    <n v="0"/>
    <x v="0"/>
  </r>
  <r>
    <x v="1"/>
    <x v="1"/>
    <x v="1"/>
    <x v="2"/>
    <x v="1"/>
    <x v="1"/>
    <x v="0"/>
    <x v="11"/>
    <n v="0"/>
    <x v="0"/>
  </r>
  <r>
    <x v="30"/>
    <x v="2"/>
    <x v="86"/>
    <x v="0"/>
    <x v="2"/>
    <x v="3"/>
    <x v="11"/>
    <x v="0"/>
    <n v="0"/>
    <x v="0"/>
  </r>
  <r>
    <x v="30"/>
    <x v="2"/>
    <x v="86"/>
    <x v="0"/>
    <x v="2"/>
    <x v="3"/>
    <x v="11"/>
    <x v="1"/>
    <n v="0"/>
    <x v="0"/>
  </r>
  <r>
    <x v="30"/>
    <x v="2"/>
    <x v="86"/>
    <x v="0"/>
    <x v="2"/>
    <x v="3"/>
    <x v="11"/>
    <x v="2"/>
    <n v="0"/>
    <x v="0"/>
  </r>
  <r>
    <x v="30"/>
    <x v="2"/>
    <x v="86"/>
    <x v="0"/>
    <x v="2"/>
    <x v="3"/>
    <x v="11"/>
    <x v="3"/>
    <n v="0"/>
    <x v="0"/>
  </r>
  <r>
    <x v="30"/>
    <x v="2"/>
    <x v="86"/>
    <x v="0"/>
    <x v="2"/>
    <x v="3"/>
    <x v="11"/>
    <x v="4"/>
    <n v="0"/>
    <x v="0"/>
  </r>
  <r>
    <x v="30"/>
    <x v="2"/>
    <x v="86"/>
    <x v="0"/>
    <x v="2"/>
    <x v="3"/>
    <x v="11"/>
    <x v="5"/>
    <n v="0"/>
    <x v="0"/>
  </r>
  <r>
    <x v="30"/>
    <x v="2"/>
    <x v="86"/>
    <x v="0"/>
    <x v="2"/>
    <x v="3"/>
    <x v="11"/>
    <x v="6"/>
    <n v="0"/>
    <x v="0"/>
  </r>
  <r>
    <x v="30"/>
    <x v="2"/>
    <x v="86"/>
    <x v="0"/>
    <x v="2"/>
    <x v="3"/>
    <x v="11"/>
    <x v="7"/>
    <n v="6459.7192568341861"/>
    <x v="0"/>
  </r>
  <r>
    <x v="30"/>
    <x v="2"/>
    <x v="86"/>
    <x v="0"/>
    <x v="2"/>
    <x v="3"/>
    <x v="11"/>
    <x v="8"/>
    <n v="0"/>
    <x v="0"/>
  </r>
  <r>
    <x v="30"/>
    <x v="2"/>
    <x v="86"/>
    <x v="0"/>
    <x v="2"/>
    <x v="3"/>
    <x v="11"/>
    <x v="9"/>
    <n v="0"/>
    <x v="0"/>
  </r>
  <r>
    <x v="30"/>
    <x v="2"/>
    <x v="86"/>
    <x v="0"/>
    <x v="2"/>
    <x v="3"/>
    <x v="11"/>
    <x v="10"/>
    <n v="0"/>
    <x v="0"/>
  </r>
  <r>
    <x v="30"/>
    <x v="2"/>
    <x v="86"/>
    <x v="0"/>
    <x v="2"/>
    <x v="3"/>
    <x v="11"/>
    <x v="11"/>
    <n v="0"/>
    <x v="0"/>
  </r>
  <r>
    <x v="30"/>
    <x v="2"/>
    <x v="87"/>
    <x v="0"/>
    <x v="2"/>
    <x v="3"/>
    <x v="11"/>
    <x v="0"/>
    <n v="0"/>
    <x v="0"/>
  </r>
  <r>
    <x v="30"/>
    <x v="2"/>
    <x v="87"/>
    <x v="0"/>
    <x v="2"/>
    <x v="3"/>
    <x v="11"/>
    <x v="1"/>
    <n v="0"/>
    <x v="0"/>
  </r>
  <r>
    <x v="30"/>
    <x v="2"/>
    <x v="87"/>
    <x v="0"/>
    <x v="2"/>
    <x v="3"/>
    <x v="11"/>
    <x v="2"/>
    <n v="0"/>
    <x v="0"/>
  </r>
  <r>
    <x v="30"/>
    <x v="2"/>
    <x v="87"/>
    <x v="0"/>
    <x v="2"/>
    <x v="3"/>
    <x v="11"/>
    <x v="3"/>
    <n v="0"/>
    <x v="0"/>
  </r>
  <r>
    <x v="30"/>
    <x v="2"/>
    <x v="87"/>
    <x v="0"/>
    <x v="2"/>
    <x v="3"/>
    <x v="11"/>
    <x v="4"/>
    <n v="0"/>
    <x v="0"/>
  </r>
  <r>
    <x v="30"/>
    <x v="2"/>
    <x v="87"/>
    <x v="0"/>
    <x v="2"/>
    <x v="3"/>
    <x v="11"/>
    <x v="5"/>
    <n v="0"/>
    <x v="0"/>
  </r>
  <r>
    <x v="30"/>
    <x v="2"/>
    <x v="87"/>
    <x v="0"/>
    <x v="2"/>
    <x v="3"/>
    <x v="11"/>
    <x v="6"/>
    <n v="0"/>
    <x v="0"/>
  </r>
  <r>
    <x v="30"/>
    <x v="2"/>
    <x v="87"/>
    <x v="0"/>
    <x v="2"/>
    <x v="3"/>
    <x v="11"/>
    <x v="7"/>
    <n v="6042.5764594265147"/>
    <x v="0"/>
  </r>
  <r>
    <x v="30"/>
    <x v="2"/>
    <x v="87"/>
    <x v="0"/>
    <x v="2"/>
    <x v="3"/>
    <x v="11"/>
    <x v="8"/>
    <n v="0"/>
    <x v="0"/>
  </r>
  <r>
    <x v="30"/>
    <x v="2"/>
    <x v="87"/>
    <x v="0"/>
    <x v="2"/>
    <x v="3"/>
    <x v="11"/>
    <x v="9"/>
    <n v="0"/>
    <x v="0"/>
  </r>
  <r>
    <x v="30"/>
    <x v="2"/>
    <x v="87"/>
    <x v="0"/>
    <x v="2"/>
    <x v="3"/>
    <x v="11"/>
    <x v="10"/>
    <n v="0"/>
    <x v="0"/>
  </r>
  <r>
    <x v="30"/>
    <x v="2"/>
    <x v="87"/>
    <x v="0"/>
    <x v="2"/>
    <x v="3"/>
    <x v="11"/>
    <x v="11"/>
    <n v="0"/>
    <x v="0"/>
  </r>
  <r>
    <x v="30"/>
    <x v="1"/>
    <x v="88"/>
    <x v="1"/>
    <x v="0"/>
    <x v="0"/>
    <x v="0"/>
    <x v="0"/>
    <n v="0"/>
    <x v="0"/>
  </r>
  <r>
    <x v="30"/>
    <x v="1"/>
    <x v="88"/>
    <x v="1"/>
    <x v="0"/>
    <x v="0"/>
    <x v="0"/>
    <x v="1"/>
    <n v="0"/>
    <x v="0"/>
  </r>
  <r>
    <x v="30"/>
    <x v="1"/>
    <x v="88"/>
    <x v="1"/>
    <x v="0"/>
    <x v="0"/>
    <x v="0"/>
    <x v="2"/>
    <n v="0"/>
    <x v="0"/>
  </r>
  <r>
    <x v="30"/>
    <x v="1"/>
    <x v="88"/>
    <x v="1"/>
    <x v="0"/>
    <x v="0"/>
    <x v="0"/>
    <x v="3"/>
    <n v="0"/>
    <x v="0"/>
  </r>
  <r>
    <x v="30"/>
    <x v="1"/>
    <x v="88"/>
    <x v="1"/>
    <x v="0"/>
    <x v="0"/>
    <x v="0"/>
    <x v="4"/>
    <n v="0"/>
    <x v="0"/>
  </r>
  <r>
    <x v="30"/>
    <x v="1"/>
    <x v="88"/>
    <x v="1"/>
    <x v="0"/>
    <x v="0"/>
    <x v="0"/>
    <x v="5"/>
    <n v="0"/>
    <x v="0"/>
  </r>
  <r>
    <x v="30"/>
    <x v="1"/>
    <x v="88"/>
    <x v="1"/>
    <x v="0"/>
    <x v="0"/>
    <x v="0"/>
    <x v="6"/>
    <n v="0"/>
    <x v="0"/>
  </r>
  <r>
    <x v="30"/>
    <x v="1"/>
    <x v="88"/>
    <x v="1"/>
    <x v="0"/>
    <x v="0"/>
    <x v="0"/>
    <x v="7"/>
    <n v="0"/>
    <x v="0"/>
  </r>
  <r>
    <x v="30"/>
    <x v="1"/>
    <x v="88"/>
    <x v="1"/>
    <x v="0"/>
    <x v="0"/>
    <x v="0"/>
    <x v="8"/>
    <n v="0"/>
    <x v="0"/>
  </r>
  <r>
    <x v="30"/>
    <x v="1"/>
    <x v="88"/>
    <x v="1"/>
    <x v="0"/>
    <x v="0"/>
    <x v="0"/>
    <x v="9"/>
    <n v="0"/>
    <x v="0"/>
  </r>
  <r>
    <x v="30"/>
    <x v="1"/>
    <x v="88"/>
    <x v="1"/>
    <x v="0"/>
    <x v="0"/>
    <x v="0"/>
    <x v="10"/>
    <n v="580.71678424068114"/>
    <x v="0"/>
  </r>
  <r>
    <x v="30"/>
    <x v="1"/>
    <x v="88"/>
    <x v="1"/>
    <x v="0"/>
    <x v="0"/>
    <x v="0"/>
    <x v="11"/>
    <n v="0"/>
    <x v="0"/>
  </r>
  <r>
    <x v="30"/>
    <x v="0"/>
    <x v="89"/>
    <x v="2"/>
    <x v="3"/>
    <x v="4"/>
    <x v="0"/>
    <x v="0"/>
    <n v="11332.385819227084"/>
    <x v="0"/>
  </r>
  <r>
    <x v="30"/>
    <x v="0"/>
    <x v="89"/>
    <x v="2"/>
    <x v="3"/>
    <x v="4"/>
    <x v="0"/>
    <x v="1"/>
    <n v="0"/>
    <x v="0"/>
  </r>
  <r>
    <x v="30"/>
    <x v="0"/>
    <x v="89"/>
    <x v="2"/>
    <x v="3"/>
    <x v="4"/>
    <x v="0"/>
    <x v="2"/>
    <n v="0"/>
    <x v="0"/>
  </r>
  <r>
    <x v="30"/>
    <x v="0"/>
    <x v="89"/>
    <x v="2"/>
    <x v="3"/>
    <x v="4"/>
    <x v="0"/>
    <x v="3"/>
    <n v="5740.8586247838857"/>
    <x v="0"/>
  </r>
  <r>
    <x v="30"/>
    <x v="0"/>
    <x v="89"/>
    <x v="2"/>
    <x v="3"/>
    <x v="4"/>
    <x v="0"/>
    <x v="4"/>
    <n v="10765.362574628492"/>
    <x v="0"/>
  </r>
  <r>
    <x v="30"/>
    <x v="0"/>
    <x v="89"/>
    <x v="2"/>
    <x v="3"/>
    <x v="4"/>
    <x v="0"/>
    <x v="5"/>
    <n v="6994.2920697995851"/>
    <x v="0"/>
  </r>
  <r>
    <x v="30"/>
    <x v="0"/>
    <x v="89"/>
    <x v="2"/>
    <x v="3"/>
    <x v="4"/>
    <x v="0"/>
    <x v="6"/>
    <n v="4987.7725158923167"/>
    <x v="0"/>
  </r>
  <r>
    <x v="30"/>
    <x v="0"/>
    <x v="89"/>
    <x v="2"/>
    <x v="3"/>
    <x v="4"/>
    <x v="0"/>
    <x v="7"/>
    <n v="4749.312829336488"/>
    <x v="0"/>
  </r>
  <r>
    <x v="30"/>
    <x v="0"/>
    <x v="89"/>
    <x v="2"/>
    <x v="3"/>
    <x v="4"/>
    <x v="0"/>
    <x v="8"/>
    <n v="3756.4882693989484"/>
    <x v="0"/>
  </r>
  <r>
    <x v="30"/>
    <x v="0"/>
    <x v="89"/>
    <x v="2"/>
    <x v="3"/>
    <x v="4"/>
    <x v="0"/>
    <x v="9"/>
    <n v="10809.470877373342"/>
    <x v="0"/>
  </r>
  <r>
    <x v="30"/>
    <x v="0"/>
    <x v="89"/>
    <x v="2"/>
    <x v="3"/>
    <x v="4"/>
    <x v="0"/>
    <x v="10"/>
    <n v="3941.0292301358581"/>
    <x v="0"/>
  </r>
  <r>
    <x v="30"/>
    <x v="0"/>
    <x v="89"/>
    <x v="2"/>
    <x v="3"/>
    <x v="4"/>
    <x v="0"/>
    <x v="11"/>
    <n v="6356.8076112176468"/>
    <x v="0"/>
  </r>
  <r>
    <x v="52"/>
    <x v="1"/>
    <x v="90"/>
    <x v="2"/>
    <x v="4"/>
    <x v="5"/>
    <x v="0"/>
    <x v="0"/>
    <n v="738.71848808907589"/>
    <x v="0"/>
  </r>
  <r>
    <x v="52"/>
    <x v="1"/>
    <x v="90"/>
    <x v="2"/>
    <x v="4"/>
    <x v="5"/>
    <x v="0"/>
    <x v="1"/>
    <n v="0"/>
    <x v="0"/>
  </r>
  <r>
    <x v="52"/>
    <x v="1"/>
    <x v="90"/>
    <x v="2"/>
    <x v="4"/>
    <x v="5"/>
    <x v="0"/>
    <x v="2"/>
    <n v="0"/>
    <x v="0"/>
  </r>
  <r>
    <x v="52"/>
    <x v="1"/>
    <x v="90"/>
    <x v="2"/>
    <x v="4"/>
    <x v="5"/>
    <x v="0"/>
    <x v="3"/>
    <n v="0"/>
    <x v="0"/>
  </r>
  <r>
    <x v="52"/>
    <x v="1"/>
    <x v="90"/>
    <x v="2"/>
    <x v="4"/>
    <x v="5"/>
    <x v="0"/>
    <x v="4"/>
    <n v="0"/>
    <x v="0"/>
  </r>
  <r>
    <x v="52"/>
    <x v="1"/>
    <x v="90"/>
    <x v="2"/>
    <x v="4"/>
    <x v="5"/>
    <x v="0"/>
    <x v="5"/>
    <n v="0"/>
    <x v="0"/>
  </r>
  <r>
    <x v="52"/>
    <x v="1"/>
    <x v="90"/>
    <x v="2"/>
    <x v="4"/>
    <x v="5"/>
    <x v="0"/>
    <x v="6"/>
    <n v="0"/>
    <x v="0"/>
  </r>
  <r>
    <x v="52"/>
    <x v="1"/>
    <x v="90"/>
    <x v="2"/>
    <x v="4"/>
    <x v="5"/>
    <x v="0"/>
    <x v="7"/>
    <n v="0"/>
    <x v="0"/>
  </r>
  <r>
    <x v="52"/>
    <x v="1"/>
    <x v="90"/>
    <x v="2"/>
    <x v="4"/>
    <x v="5"/>
    <x v="0"/>
    <x v="8"/>
    <n v="0"/>
    <x v="0"/>
  </r>
  <r>
    <x v="52"/>
    <x v="1"/>
    <x v="90"/>
    <x v="2"/>
    <x v="4"/>
    <x v="5"/>
    <x v="0"/>
    <x v="9"/>
    <n v="0"/>
    <x v="0"/>
  </r>
  <r>
    <x v="52"/>
    <x v="1"/>
    <x v="90"/>
    <x v="2"/>
    <x v="4"/>
    <x v="5"/>
    <x v="0"/>
    <x v="10"/>
    <n v="0"/>
    <x v="0"/>
  </r>
  <r>
    <x v="52"/>
    <x v="1"/>
    <x v="90"/>
    <x v="2"/>
    <x v="4"/>
    <x v="5"/>
    <x v="0"/>
    <x v="11"/>
    <n v="0"/>
    <x v="0"/>
  </r>
  <r>
    <x v="50"/>
    <x v="1"/>
    <x v="82"/>
    <x v="0"/>
    <x v="4"/>
    <x v="5"/>
    <x v="0"/>
    <x v="0"/>
    <n v="667.18355929030054"/>
    <x v="0"/>
  </r>
  <r>
    <x v="50"/>
    <x v="1"/>
    <x v="82"/>
    <x v="0"/>
    <x v="4"/>
    <x v="5"/>
    <x v="0"/>
    <x v="1"/>
    <n v="0"/>
    <x v="0"/>
  </r>
  <r>
    <x v="50"/>
    <x v="1"/>
    <x v="82"/>
    <x v="0"/>
    <x v="4"/>
    <x v="5"/>
    <x v="0"/>
    <x v="2"/>
    <n v="0"/>
    <x v="0"/>
  </r>
  <r>
    <x v="50"/>
    <x v="1"/>
    <x v="82"/>
    <x v="0"/>
    <x v="4"/>
    <x v="5"/>
    <x v="0"/>
    <x v="3"/>
    <n v="280.7507238527715"/>
    <x v="0"/>
  </r>
  <r>
    <x v="50"/>
    <x v="1"/>
    <x v="82"/>
    <x v="0"/>
    <x v="4"/>
    <x v="5"/>
    <x v="0"/>
    <x v="4"/>
    <n v="0"/>
    <x v="0"/>
  </r>
  <r>
    <x v="50"/>
    <x v="1"/>
    <x v="82"/>
    <x v="0"/>
    <x v="4"/>
    <x v="5"/>
    <x v="0"/>
    <x v="5"/>
    <n v="0"/>
    <x v="0"/>
  </r>
  <r>
    <x v="50"/>
    <x v="1"/>
    <x v="82"/>
    <x v="0"/>
    <x v="4"/>
    <x v="5"/>
    <x v="0"/>
    <x v="6"/>
    <n v="0"/>
    <x v="0"/>
  </r>
  <r>
    <x v="50"/>
    <x v="1"/>
    <x v="82"/>
    <x v="0"/>
    <x v="4"/>
    <x v="5"/>
    <x v="0"/>
    <x v="7"/>
    <n v="0"/>
    <x v="0"/>
  </r>
  <r>
    <x v="50"/>
    <x v="1"/>
    <x v="82"/>
    <x v="0"/>
    <x v="4"/>
    <x v="5"/>
    <x v="0"/>
    <x v="8"/>
    <n v="0"/>
    <x v="0"/>
  </r>
  <r>
    <x v="50"/>
    <x v="1"/>
    <x v="82"/>
    <x v="0"/>
    <x v="4"/>
    <x v="5"/>
    <x v="0"/>
    <x v="9"/>
    <n v="0"/>
    <x v="0"/>
  </r>
  <r>
    <x v="50"/>
    <x v="1"/>
    <x v="82"/>
    <x v="0"/>
    <x v="4"/>
    <x v="5"/>
    <x v="0"/>
    <x v="10"/>
    <n v="0"/>
    <x v="0"/>
  </r>
  <r>
    <x v="50"/>
    <x v="1"/>
    <x v="82"/>
    <x v="0"/>
    <x v="4"/>
    <x v="5"/>
    <x v="0"/>
    <x v="11"/>
    <n v="0"/>
    <x v="0"/>
  </r>
  <r>
    <x v="30"/>
    <x v="1"/>
    <x v="91"/>
    <x v="0"/>
    <x v="4"/>
    <x v="5"/>
    <x v="0"/>
    <x v="0"/>
    <n v="1105.2875031663343"/>
    <x v="0"/>
  </r>
  <r>
    <x v="30"/>
    <x v="1"/>
    <x v="91"/>
    <x v="0"/>
    <x v="4"/>
    <x v="5"/>
    <x v="0"/>
    <x v="1"/>
    <n v="0"/>
    <x v="0"/>
  </r>
  <r>
    <x v="30"/>
    <x v="1"/>
    <x v="91"/>
    <x v="0"/>
    <x v="4"/>
    <x v="5"/>
    <x v="0"/>
    <x v="2"/>
    <n v="0"/>
    <x v="0"/>
  </r>
  <r>
    <x v="30"/>
    <x v="1"/>
    <x v="91"/>
    <x v="0"/>
    <x v="4"/>
    <x v="5"/>
    <x v="0"/>
    <x v="3"/>
    <n v="1192.1074010040202"/>
    <x v="0"/>
  </r>
  <r>
    <x v="30"/>
    <x v="1"/>
    <x v="91"/>
    <x v="0"/>
    <x v="4"/>
    <x v="5"/>
    <x v="0"/>
    <x v="4"/>
    <n v="0"/>
    <x v="0"/>
  </r>
  <r>
    <x v="30"/>
    <x v="1"/>
    <x v="91"/>
    <x v="0"/>
    <x v="4"/>
    <x v="5"/>
    <x v="0"/>
    <x v="5"/>
    <n v="0"/>
    <x v="0"/>
  </r>
  <r>
    <x v="30"/>
    <x v="1"/>
    <x v="91"/>
    <x v="0"/>
    <x v="4"/>
    <x v="5"/>
    <x v="0"/>
    <x v="6"/>
    <n v="0"/>
    <x v="0"/>
  </r>
  <r>
    <x v="30"/>
    <x v="1"/>
    <x v="91"/>
    <x v="0"/>
    <x v="4"/>
    <x v="5"/>
    <x v="0"/>
    <x v="7"/>
    <n v="0"/>
    <x v="0"/>
  </r>
  <r>
    <x v="30"/>
    <x v="1"/>
    <x v="91"/>
    <x v="0"/>
    <x v="4"/>
    <x v="5"/>
    <x v="0"/>
    <x v="8"/>
    <n v="0"/>
    <x v="0"/>
  </r>
  <r>
    <x v="30"/>
    <x v="1"/>
    <x v="91"/>
    <x v="0"/>
    <x v="4"/>
    <x v="5"/>
    <x v="0"/>
    <x v="9"/>
    <n v="0"/>
    <x v="0"/>
  </r>
  <r>
    <x v="30"/>
    <x v="1"/>
    <x v="91"/>
    <x v="0"/>
    <x v="4"/>
    <x v="5"/>
    <x v="0"/>
    <x v="10"/>
    <n v="0"/>
    <x v="0"/>
  </r>
  <r>
    <x v="30"/>
    <x v="1"/>
    <x v="91"/>
    <x v="0"/>
    <x v="4"/>
    <x v="5"/>
    <x v="0"/>
    <x v="11"/>
    <n v="0"/>
    <x v="0"/>
  </r>
  <r>
    <x v="30"/>
    <x v="1"/>
    <x v="92"/>
    <x v="0"/>
    <x v="4"/>
    <x v="5"/>
    <x v="0"/>
    <x v="0"/>
    <n v="521.30860472031634"/>
    <x v="0"/>
  </r>
  <r>
    <x v="30"/>
    <x v="1"/>
    <x v="92"/>
    <x v="0"/>
    <x v="4"/>
    <x v="5"/>
    <x v="0"/>
    <x v="1"/>
    <n v="0"/>
    <x v="0"/>
  </r>
  <r>
    <x v="30"/>
    <x v="1"/>
    <x v="92"/>
    <x v="0"/>
    <x v="4"/>
    <x v="5"/>
    <x v="0"/>
    <x v="2"/>
    <n v="356.58570351161757"/>
    <x v="0"/>
  </r>
  <r>
    <x v="30"/>
    <x v="1"/>
    <x v="92"/>
    <x v="0"/>
    <x v="4"/>
    <x v="5"/>
    <x v="0"/>
    <x v="3"/>
    <n v="0"/>
    <x v="0"/>
  </r>
  <r>
    <x v="30"/>
    <x v="1"/>
    <x v="92"/>
    <x v="0"/>
    <x v="4"/>
    <x v="5"/>
    <x v="0"/>
    <x v="4"/>
    <n v="0"/>
    <x v="0"/>
  </r>
  <r>
    <x v="30"/>
    <x v="1"/>
    <x v="92"/>
    <x v="0"/>
    <x v="4"/>
    <x v="5"/>
    <x v="0"/>
    <x v="5"/>
    <n v="0"/>
    <x v="0"/>
  </r>
  <r>
    <x v="30"/>
    <x v="1"/>
    <x v="92"/>
    <x v="0"/>
    <x v="4"/>
    <x v="5"/>
    <x v="0"/>
    <x v="6"/>
    <n v="0"/>
    <x v="0"/>
  </r>
  <r>
    <x v="30"/>
    <x v="1"/>
    <x v="92"/>
    <x v="0"/>
    <x v="4"/>
    <x v="5"/>
    <x v="0"/>
    <x v="7"/>
    <n v="0"/>
    <x v="0"/>
  </r>
  <r>
    <x v="30"/>
    <x v="1"/>
    <x v="92"/>
    <x v="0"/>
    <x v="4"/>
    <x v="5"/>
    <x v="0"/>
    <x v="8"/>
    <n v="0"/>
    <x v="0"/>
  </r>
  <r>
    <x v="30"/>
    <x v="1"/>
    <x v="92"/>
    <x v="0"/>
    <x v="4"/>
    <x v="5"/>
    <x v="0"/>
    <x v="9"/>
    <n v="0"/>
    <x v="0"/>
  </r>
  <r>
    <x v="30"/>
    <x v="1"/>
    <x v="92"/>
    <x v="0"/>
    <x v="4"/>
    <x v="5"/>
    <x v="0"/>
    <x v="10"/>
    <n v="0"/>
    <x v="0"/>
  </r>
  <r>
    <x v="30"/>
    <x v="1"/>
    <x v="92"/>
    <x v="0"/>
    <x v="4"/>
    <x v="5"/>
    <x v="0"/>
    <x v="11"/>
    <n v="0"/>
    <x v="0"/>
  </r>
  <r>
    <x v="30"/>
    <x v="1"/>
    <x v="93"/>
    <x v="0"/>
    <x v="4"/>
    <x v="5"/>
    <x v="12"/>
    <x v="0"/>
    <n v="1114.6675624180882"/>
    <x v="0"/>
  </r>
  <r>
    <x v="30"/>
    <x v="1"/>
    <x v="93"/>
    <x v="0"/>
    <x v="4"/>
    <x v="5"/>
    <x v="12"/>
    <x v="1"/>
    <n v="0"/>
    <x v="0"/>
  </r>
  <r>
    <x v="30"/>
    <x v="1"/>
    <x v="93"/>
    <x v="0"/>
    <x v="4"/>
    <x v="5"/>
    <x v="12"/>
    <x v="2"/>
    <n v="0"/>
    <x v="0"/>
  </r>
  <r>
    <x v="30"/>
    <x v="1"/>
    <x v="93"/>
    <x v="0"/>
    <x v="4"/>
    <x v="5"/>
    <x v="12"/>
    <x v="3"/>
    <n v="0"/>
    <x v="0"/>
  </r>
  <r>
    <x v="30"/>
    <x v="1"/>
    <x v="93"/>
    <x v="0"/>
    <x v="4"/>
    <x v="5"/>
    <x v="12"/>
    <x v="4"/>
    <n v="0"/>
    <x v="0"/>
  </r>
  <r>
    <x v="30"/>
    <x v="1"/>
    <x v="93"/>
    <x v="0"/>
    <x v="4"/>
    <x v="5"/>
    <x v="12"/>
    <x v="5"/>
    <n v="0"/>
    <x v="0"/>
  </r>
  <r>
    <x v="30"/>
    <x v="1"/>
    <x v="93"/>
    <x v="0"/>
    <x v="4"/>
    <x v="5"/>
    <x v="12"/>
    <x v="6"/>
    <n v="0"/>
    <x v="0"/>
  </r>
  <r>
    <x v="30"/>
    <x v="1"/>
    <x v="93"/>
    <x v="0"/>
    <x v="4"/>
    <x v="5"/>
    <x v="12"/>
    <x v="7"/>
    <n v="0"/>
    <x v="0"/>
  </r>
  <r>
    <x v="30"/>
    <x v="1"/>
    <x v="93"/>
    <x v="0"/>
    <x v="4"/>
    <x v="5"/>
    <x v="12"/>
    <x v="8"/>
    <n v="0"/>
    <x v="0"/>
  </r>
  <r>
    <x v="30"/>
    <x v="1"/>
    <x v="93"/>
    <x v="0"/>
    <x v="4"/>
    <x v="5"/>
    <x v="12"/>
    <x v="9"/>
    <n v="0"/>
    <x v="0"/>
  </r>
  <r>
    <x v="30"/>
    <x v="1"/>
    <x v="93"/>
    <x v="0"/>
    <x v="4"/>
    <x v="5"/>
    <x v="12"/>
    <x v="10"/>
    <n v="0"/>
    <x v="0"/>
  </r>
  <r>
    <x v="30"/>
    <x v="1"/>
    <x v="93"/>
    <x v="0"/>
    <x v="4"/>
    <x v="5"/>
    <x v="12"/>
    <x v="11"/>
    <n v="0"/>
    <x v="0"/>
  </r>
  <r>
    <x v="30"/>
    <x v="1"/>
    <x v="94"/>
    <x v="1"/>
    <x v="4"/>
    <x v="5"/>
    <x v="0"/>
    <x v="0"/>
    <n v="2598.5969008469256"/>
    <x v="0"/>
  </r>
  <r>
    <x v="30"/>
    <x v="1"/>
    <x v="94"/>
    <x v="1"/>
    <x v="4"/>
    <x v="5"/>
    <x v="0"/>
    <x v="1"/>
    <n v="0"/>
    <x v="0"/>
  </r>
  <r>
    <x v="30"/>
    <x v="1"/>
    <x v="94"/>
    <x v="1"/>
    <x v="4"/>
    <x v="5"/>
    <x v="0"/>
    <x v="2"/>
    <n v="796.53693965472712"/>
    <x v="0"/>
  </r>
  <r>
    <x v="30"/>
    <x v="1"/>
    <x v="94"/>
    <x v="1"/>
    <x v="4"/>
    <x v="5"/>
    <x v="0"/>
    <x v="3"/>
    <n v="0"/>
    <x v="0"/>
  </r>
  <r>
    <x v="30"/>
    <x v="1"/>
    <x v="94"/>
    <x v="1"/>
    <x v="4"/>
    <x v="5"/>
    <x v="0"/>
    <x v="4"/>
    <n v="0"/>
    <x v="0"/>
  </r>
  <r>
    <x v="30"/>
    <x v="1"/>
    <x v="94"/>
    <x v="1"/>
    <x v="4"/>
    <x v="5"/>
    <x v="0"/>
    <x v="5"/>
    <n v="0"/>
    <x v="0"/>
  </r>
  <r>
    <x v="30"/>
    <x v="1"/>
    <x v="94"/>
    <x v="1"/>
    <x v="4"/>
    <x v="5"/>
    <x v="0"/>
    <x v="6"/>
    <n v="0"/>
    <x v="0"/>
  </r>
  <r>
    <x v="30"/>
    <x v="1"/>
    <x v="94"/>
    <x v="1"/>
    <x v="4"/>
    <x v="5"/>
    <x v="0"/>
    <x v="7"/>
    <n v="0"/>
    <x v="0"/>
  </r>
  <r>
    <x v="30"/>
    <x v="1"/>
    <x v="94"/>
    <x v="1"/>
    <x v="4"/>
    <x v="5"/>
    <x v="0"/>
    <x v="8"/>
    <n v="0"/>
    <x v="0"/>
  </r>
  <r>
    <x v="30"/>
    <x v="1"/>
    <x v="94"/>
    <x v="1"/>
    <x v="4"/>
    <x v="5"/>
    <x v="0"/>
    <x v="9"/>
    <n v="0"/>
    <x v="0"/>
  </r>
  <r>
    <x v="30"/>
    <x v="1"/>
    <x v="94"/>
    <x v="1"/>
    <x v="4"/>
    <x v="5"/>
    <x v="0"/>
    <x v="10"/>
    <n v="0"/>
    <x v="0"/>
  </r>
  <r>
    <x v="30"/>
    <x v="1"/>
    <x v="94"/>
    <x v="1"/>
    <x v="4"/>
    <x v="5"/>
    <x v="0"/>
    <x v="11"/>
    <n v="0"/>
    <x v="0"/>
  </r>
  <r>
    <x v="30"/>
    <x v="1"/>
    <x v="95"/>
    <x v="0"/>
    <x v="4"/>
    <x v="5"/>
    <x v="0"/>
    <x v="0"/>
    <n v="0"/>
    <x v="0"/>
  </r>
  <r>
    <x v="30"/>
    <x v="1"/>
    <x v="95"/>
    <x v="0"/>
    <x v="4"/>
    <x v="5"/>
    <x v="0"/>
    <x v="1"/>
    <n v="376.88491239724317"/>
    <x v="0"/>
  </r>
  <r>
    <x v="30"/>
    <x v="1"/>
    <x v="95"/>
    <x v="0"/>
    <x v="4"/>
    <x v="5"/>
    <x v="0"/>
    <x v="2"/>
    <n v="0"/>
    <x v="0"/>
  </r>
  <r>
    <x v="30"/>
    <x v="1"/>
    <x v="95"/>
    <x v="0"/>
    <x v="4"/>
    <x v="5"/>
    <x v="0"/>
    <x v="3"/>
    <n v="0"/>
    <x v="0"/>
  </r>
  <r>
    <x v="30"/>
    <x v="1"/>
    <x v="95"/>
    <x v="0"/>
    <x v="4"/>
    <x v="5"/>
    <x v="0"/>
    <x v="4"/>
    <n v="0"/>
    <x v="0"/>
  </r>
  <r>
    <x v="30"/>
    <x v="1"/>
    <x v="95"/>
    <x v="0"/>
    <x v="4"/>
    <x v="5"/>
    <x v="0"/>
    <x v="5"/>
    <n v="0"/>
    <x v="0"/>
  </r>
  <r>
    <x v="30"/>
    <x v="1"/>
    <x v="95"/>
    <x v="0"/>
    <x v="4"/>
    <x v="5"/>
    <x v="0"/>
    <x v="6"/>
    <n v="0"/>
    <x v="0"/>
  </r>
  <r>
    <x v="30"/>
    <x v="1"/>
    <x v="95"/>
    <x v="0"/>
    <x v="4"/>
    <x v="5"/>
    <x v="0"/>
    <x v="7"/>
    <n v="0"/>
    <x v="0"/>
  </r>
  <r>
    <x v="30"/>
    <x v="1"/>
    <x v="95"/>
    <x v="0"/>
    <x v="4"/>
    <x v="5"/>
    <x v="0"/>
    <x v="8"/>
    <n v="0"/>
    <x v="0"/>
  </r>
  <r>
    <x v="30"/>
    <x v="1"/>
    <x v="95"/>
    <x v="0"/>
    <x v="4"/>
    <x v="5"/>
    <x v="0"/>
    <x v="9"/>
    <n v="0"/>
    <x v="0"/>
  </r>
  <r>
    <x v="30"/>
    <x v="1"/>
    <x v="95"/>
    <x v="0"/>
    <x v="4"/>
    <x v="5"/>
    <x v="0"/>
    <x v="10"/>
    <n v="0"/>
    <x v="0"/>
  </r>
  <r>
    <x v="30"/>
    <x v="1"/>
    <x v="95"/>
    <x v="0"/>
    <x v="4"/>
    <x v="5"/>
    <x v="0"/>
    <x v="11"/>
    <n v="0"/>
    <x v="0"/>
  </r>
  <r>
    <x v="30"/>
    <x v="1"/>
    <x v="96"/>
    <x v="0"/>
    <x v="4"/>
    <x v="5"/>
    <x v="0"/>
    <x v="0"/>
    <n v="0"/>
    <x v="0"/>
  </r>
  <r>
    <x v="30"/>
    <x v="1"/>
    <x v="96"/>
    <x v="0"/>
    <x v="4"/>
    <x v="5"/>
    <x v="0"/>
    <x v="1"/>
    <n v="898.94959727642606"/>
    <x v="0"/>
  </r>
  <r>
    <x v="30"/>
    <x v="1"/>
    <x v="96"/>
    <x v="0"/>
    <x v="4"/>
    <x v="5"/>
    <x v="0"/>
    <x v="2"/>
    <n v="0"/>
    <x v="0"/>
  </r>
  <r>
    <x v="30"/>
    <x v="1"/>
    <x v="96"/>
    <x v="0"/>
    <x v="4"/>
    <x v="5"/>
    <x v="0"/>
    <x v="3"/>
    <n v="0"/>
    <x v="0"/>
  </r>
  <r>
    <x v="30"/>
    <x v="1"/>
    <x v="96"/>
    <x v="0"/>
    <x v="4"/>
    <x v="5"/>
    <x v="0"/>
    <x v="4"/>
    <n v="0"/>
    <x v="0"/>
  </r>
  <r>
    <x v="30"/>
    <x v="1"/>
    <x v="96"/>
    <x v="0"/>
    <x v="4"/>
    <x v="5"/>
    <x v="0"/>
    <x v="5"/>
    <n v="0"/>
    <x v="0"/>
  </r>
  <r>
    <x v="30"/>
    <x v="1"/>
    <x v="96"/>
    <x v="0"/>
    <x v="4"/>
    <x v="5"/>
    <x v="0"/>
    <x v="6"/>
    <n v="0"/>
    <x v="0"/>
  </r>
  <r>
    <x v="30"/>
    <x v="1"/>
    <x v="96"/>
    <x v="0"/>
    <x v="4"/>
    <x v="5"/>
    <x v="0"/>
    <x v="7"/>
    <n v="0"/>
    <x v="0"/>
  </r>
  <r>
    <x v="30"/>
    <x v="1"/>
    <x v="96"/>
    <x v="0"/>
    <x v="4"/>
    <x v="5"/>
    <x v="0"/>
    <x v="8"/>
    <n v="0"/>
    <x v="0"/>
  </r>
  <r>
    <x v="30"/>
    <x v="1"/>
    <x v="96"/>
    <x v="0"/>
    <x v="4"/>
    <x v="5"/>
    <x v="0"/>
    <x v="9"/>
    <n v="0"/>
    <x v="0"/>
  </r>
  <r>
    <x v="30"/>
    <x v="1"/>
    <x v="96"/>
    <x v="0"/>
    <x v="4"/>
    <x v="5"/>
    <x v="0"/>
    <x v="10"/>
    <n v="0"/>
    <x v="0"/>
  </r>
  <r>
    <x v="30"/>
    <x v="1"/>
    <x v="96"/>
    <x v="0"/>
    <x v="4"/>
    <x v="5"/>
    <x v="0"/>
    <x v="11"/>
    <n v="0"/>
    <x v="0"/>
  </r>
  <r>
    <x v="30"/>
    <x v="1"/>
    <x v="97"/>
    <x v="0"/>
    <x v="4"/>
    <x v="5"/>
    <x v="0"/>
    <x v="0"/>
    <n v="0"/>
    <x v="0"/>
  </r>
  <r>
    <x v="30"/>
    <x v="1"/>
    <x v="97"/>
    <x v="0"/>
    <x v="4"/>
    <x v="5"/>
    <x v="0"/>
    <x v="1"/>
    <n v="1116.9517562069252"/>
    <x v="0"/>
  </r>
  <r>
    <x v="30"/>
    <x v="1"/>
    <x v="97"/>
    <x v="0"/>
    <x v="4"/>
    <x v="5"/>
    <x v="0"/>
    <x v="2"/>
    <n v="0"/>
    <x v="0"/>
  </r>
  <r>
    <x v="30"/>
    <x v="1"/>
    <x v="97"/>
    <x v="0"/>
    <x v="4"/>
    <x v="5"/>
    <x v="0"/>
    <x v="3"/>
    <n v="0"/>
    <x v="0"/>
  </r>
  <r>
    <x v="30"/>
    <x v="1"/>
    <x v="97"/>
    <x v="0"/>
    <x v="4"/>
    <x v="5"/>
    <x v="0"/>
    <x v="4"/>
    <n v="0"/>
    <x v="0"/>
  </r>
  <r>
    <x v="30"/>
    <x v="1"/>
    <x v="97"/>
    <x v="0"/>
    <x v="4"/>
    <x v="5"/>
    <x v="0"/>
    <x v="5"/>
    <n v="0"/>
    <x v="0"/>
  </r>
  <r>
    <x v="30"/>
    <x v="1"/>
    <x v="97"/>
    <x v="0"/>
    <x v="4"/>
    <x v="5"/>
    <x v="0"/>
    <x v="6"/>
    <n v="0"/>
    <x v="0"/>
  </r>
  <r>
    <x v="30"/>
    <x v="1"/>
    <x v="97"/>
    <x v="0"/>
    <x v="4"/>
    <x v="5"/>
    <x v="0"/>
    <x v="7"/>
    <n v="0"/>
    <x v="0"/>
  </r>
  <r>
    <x v="30"/>
    <x v="1"/>
    <x v="97"/>
    <x v="0"/>
    <x v="4"/>
    <x v="5"/>
    <x v="0"/>
    <x v="8"/>
    <n v="0"/>
    <x v="0"/>
  </r>
  <r>
    <x v="30"/>
    <x v="1"/>
    <x v="97"/>
    <x v="0"/>
    <x v="4"/>
    <x v="5"/>
    <x v="0"/>
    <x v="9"/>
    <n v="0"/>
    <x v="0"/>
  </r>
  <r>
    <x v="30"/>
    <x v="1"/>
    <x v="97"/>
    <x v="0"/>
    <x v="4"/>
    <x v="5"/>
    <x v="0"/>
    <x v="10"/>
    <n v="0"/>
    <x v="0"/>
  </r>
  <r>
    <x v="30"/>
    <x v="1"/>
    <x v="97"/>
    <x v="0"/>
    <x v="4"/>
    <x v="5"/>
    <x v="0"/>
    <x v="11"/>
    <n v="0"/>
    <x v="0"/>
  </r>
  <r>
    <x v="30"/>
    <x v="1"/>
    <x v="98"/>
    <x v="0"/>
    <x v="4"/>
    <x v="5"/>
    <x v="0"/>
    <x v="0"/>
    <n v="0"/>
    <x v="0"/>
  </r>
  <r>
    <x v="30"/>
    <x v="1"/>
    <x v="98"/>
    <x v="0"/>
    <x v="4"/>
    <x v="5"/>
    <x v="0"/>
    <x v="1"/>
    <n v="282.53342190484096"/>
    <x v="0"/>
  </r>
  <r>
    <x v="30"/>
    <x v="1"/>
    <x v="98"/>
    <x v="0"/>
    <x v="4"/>
    <x v="5"/>
    <x v="0"/>
    <x v="2"/>
    <n v="0"/>
    <x v="0"/>
  </r>
  <r>
    <x v="30"/>
    <x v="1"/>
    <x v="98"/>
    <x v="0"/>
    <x v="4"/>
    <x v="5"/>
    <x v="0"/>
    <x v="3"/>
    <n v="0"/>
    <x v="0"/>
  </r>
  <r>
    <x v="30"/>
    <x v="1"/>
    <x v="98"/>
    <x v="0"/>
    <x v="4"/>
    <x v="5"/>
    <x v="0"/>
    <x v="4"/>
    <n v="0"/>
    <x v="0"/>
  </r>
  <r>
    <x v="30"/>
    <x v="1"/>
    <x v="98"/>
    <x v="0"/>
    <x v="4"/>
    <x v="5"/>
    <x v="0"/>
    <x v="5"/>
    <n v="0"/>
    <x v="0"/>
  </r>
  <r>
    <x v="30"/>
    <x v="1"/>
    <x v="98"/>
    <x v="0"/>
    <x v="4"/>
    <x v="5"/>
    <x v="0"/>
    <x v="6"/>
    <n v="0"/>
    <x v="0"/>
  </r>
  <r>
    <x v="30"/>
    <x v="1"/>
    <x v="98"/>
    <x v="0"/>
    <x v="4"/>
    <x v="5"/>
    <x v="0"/>
    <x v="7"/>
    <n v="0"/>
    <x v="0"/>
  </r>
  <r>
    <x v="30"/>
    <x v="1"/>
    <x v="98"/>
    <x v="0"/>
    <x v="4"/>
    <x v="5"/>
    <x v="0"/>
    <x v="8"/>
    <n v="0"/>
    <x v="0"/>
  </r>
  <r>
    <x v="30"/>
    <x v="1"/>
    <x v="98"/>
    <x v="0"/>
    <x v="4"/>
    <x v="5"/>
    <x v="0"/>
    <x v="9"/>
    <n v="0"/>
    <x v="0"/>
  </r>
  <r>
    <x v="30"/>
    <x v="1"/>
    <x v="98"/>
    <x v="0"/>
    <x v="4"/>
    <x v="5"/>
    <x v="0"/>
    <x v="10"/>
    <n v="0"/>
    <x v="0"/>
  </r>
  <r>
    <x v="30"/>
    <x v="1"/>
    <x v="98"/>
    <x v="0"/>
    <x v="4"/>
    <x v="5"/>
    <x v="0"/>
    <x v="11"/>
    <n v="0"/>
    <x v="0"/>
  </r>
  <r>
    <x v="30"/>
    <x v="1"/>
    <x v="99"/>
    <x v="0"/>
    <x v="4"/>
    <x v="5"/>
    <x v="13"/>
    <x v="0"/>
    <n v="0"/>
    <x v="0"/>
  </r>
  <r>
    <x v="30"/>
    <x v="1"/>
    <x v="99"/>
    <x v="0"/>
    <x v="4"/>
    <x v="5"/>
    <x v="13"/>
    <x v="1"/>
    <n v="1049.6969193722493"/>
    <x v="0"/>
  </r>
  <r>
    <x v="30"/>
    <x v="1"/>
    <x v="99"/>
    <x v="0"/>
    <x v="4"/>
    <x v="5"/>
    <x v="13"/>
    <x v="2"/>
    <n v="0"/>
    <x v="0"/>
  </r>
  <r>
    <x v="30"/>
    <x v="1"/>
    <x v="99"/>
    <x v="0"/>
    <x v="4"/>
    <x v="5"/>
    <x v="13"/>
    <x v="3"/>
    <n v="0"/>
    <x v="0"/>
  </r>
  <r>
    <x v="30"/>
    <x v="1"/>
    <x v="99"/>
    <x v="0"/>
    <x v="4"/>
    <x v="5"/>
    <x v="13"/>
    <x v="4"/>
    <n v="0"/>
    <x v="0"/>
  </r>
  <r>
    <x v="30"/>
    <x v="1"/>
    <x v="99"/>
    <x v="0"/>
    <x v="4"/>
    <x v="5"/>
    <x v="13"/>
    <x v="5"/>
    <n v="0"/>
    <x v="0"/>
  </r>
  <r>
    <x v="30"/>
    <x v="1"/>
    <x v="99"/>
    <x v="0"/>
    <x v="4"/>
    <x v="5"/>
    <x v="13"/>
    <x v="6"/>
    <n v="0"/>
    <x v="0"/>
  </r>
  <r>
    <x v="30"/>
    <x v="1"/>
    <x v="99"/>
    <x v="0"/>
    <x v="4"/>
    <x v="5"/>
    <x v="13"/>
    <x v="7"/>
    <n v="0"/>
    <x v="0"/>
  </r>
  <r>
    <x v="30"/>
    <x v="1"/>
    <x v="99"/>
    <x v="0"/>
    <x v="4"/>
    <x v="5"/>
    <x v="13"/>
    <x v="8"/>
    <n v="0"/>
    <x v="0"/>
  </r>
  <r>
    <x v="30"/>
    <x v="1"/>
    <x v="99"/>
    <x v="0"/>
    <x v="4"/>
    <x v="5"/>
    <x v="13"/>
    <x v="9"/>
    <n v="0"/>
    <x v="0"/>
  </r>
  <r>
    <x v="30"/>
    <x v="1"/>
    <x v="99"/>
    <x v="0"/>
    <x v="4"/>
    <x v="5"/>
    <x v="13"/>
    <x v="10"/>
    <n v="0"/>
    <x v="0"/>
  </r>
  <r>
    <x v="30"/>
    <x v="1"/>
    <x v="99"/>
    <x v="0"/>
    <x v="4"/>
    <x v="5"/>
    <x v="13"/>
    <x v="11"/>
    <n v="0"/>
    <x v="0"/>
  </r>
  <r>
    <x v="30"/>
    <x v="1"/>
    <x v="100"/>
    <x v="0"/>
    <x v="4"/>
    <x v="5"/>
    <x v="13"/>
    <x v="0"/>
    <n v="0"/>
    <x v="0"/>
  </r>
  <r>
    <x v="30"/>
    <x v="1"/>
    <x v="100"/>
    <x v="0"/>
    <x v="4"/>
    <x v="5"/>
    <x v="13"/>
    <x v="1"/>
    <n v="907.97870132026901"/>
    <x v="0"/>
  </r>
  <r>
    <x v="30"/>
    <x v="1"/>
    <x v="100"/>
    <x v="0"/>
    <x v="4"/>
    <x v="5"/>
    <x v="13"/>
    <x v="2"/>
    <n v="0"/>
    <x v="0"/>
  </r>
  <r>
    <x v="30"/>
    <x v="1"/>
    <x v="100"/>
    <x v="0"/>
    <x v="4"/>
    <x v="5"/>
    <x v="13"/>
    <x v="3"/>
    <n v="0"/>
    <x v="0"/>
  </r>
  <r>
    <x v="30"/>
    <x v="1"/>
    <x v="100"/>
    <x v="0"/>
    <x v="4"/>
    <x v="5"/>
    <x v="13"/>
    <x v="4"/>
    <n v="0"/>
    <x v="0"/>
  </r>
  <r>
    <x v="30"/>
    <x v="1"/>
    <x v="100"/>
    <x v="0"/>
    <x v="4"/>
    <x v="5"/>
    <x v="13"/>
    <x v="5"/>
    <n v="0"/>
    <x v="0"/>
  </r>
  <r>
    <x v="30"/>
    <x v="1"/>
    <x v="100"/>
    <x v="0"/>
    <x v="4"/>
    <x v="5"/>
    <x v="13"/>
    <x v="6"/>
    <n v="0"/>
    <x v="0"/>
  </r>
  <r>
    <x v="30"/>
    <x v="1"/>
    <x v="100"/>
    <x v="0"/>
    <x v="4"/>
    <x v="5"/>
    <x v="13"/>
    <x v="7"/>
    <n v="0"/>
    <x v="0"/>
  </r>
  <r>
    <x v="30"/>
    <x v="1"/>
    <x v="100"/>
    <x v="0"/>
    <x v="4"/>
    <x v="5"/>
    <x v="13"/>
    <x v="8"/>
    <n v="0"/>
    <x v="0"/>
  </r>
  <r>
    <x v="30"/>
    <x v="1"/>
    <x v="100"/>
    <x v="0"/>
    <x v="4"/>
    <x v="5"/>
    <x v="13"/>
    <x v="9"/>
    <n v="0"/>
    <x v="0"/>
  </r>
  <r>
    <x v="30"/>
    <x v="1"/>
    <x v="100"/>
    <x v="0"/>
    <x v="4"/>
    <x v="5"/>
    <x v="13"/>
    <x v="10"/>
    <n v="0"/>
    <x v="0"/>
  </r>
  <r>
    <x v="30"/>
    <x v="1"/>
    <x v="100"/>
    <x v="0"/>
    <x v="4"/>
    <x v="5"/>
    <x v="13"/>
    <x v="11"/>
    <n v="0"/>
    <x v="0"/>
  </r>
  <r>
    <x v="30"/>
    <x v="1"/>
    <x v="101"/>
    <x v="0"/>
    <x v="4"/>
    <x v="5"/>
    <x v="0"/>
    <x v="0"/>
    <n v="0"/>
    <x v="0"/>
  </r>
  <r>
    <x v="30"/>
    <x v="1"/>
    <x v="101"/>
    <x v="0"/>
    <x v="4"/>
    <x v="5"/>
    <x v="0"/>
    <x v="1"/>
    <n v="521.75952835672172"/>
    <x v="0"/>
  </r>
  <r>
    <x v="30"/>
    <x v="1"/>
    <x v="101"/>
    <x v="0"/>
    <x v="4"/>
    <x v="5"/>
    <x v="0"/>
    <x v="2"/>
    <n v="0"/>
    <x v="0"/>
  </r>
  <r>
    <x v="30"/>
    <x v="1"/>
    <x v="101"/>
    <x v="0"/>
    <x v="4"/>
    <x v="5"/>
    <x v="0"/>
    <x v="3"/>
    <n v="0"/>
    <x v="0"/>
  </r>
  <r>
    <x v="30"/>
    <x v="1"/>
    <x v="101"/>
    <x v="0"/>
    <x v="4"/>
    <x v="5"/>
    <x v="0"/>
    <x v="4"/>
    <n v="0"/>
    <x v="0"/>
  </r>
  <r>
    <x v="30"/>
    <x v="1"/>
    <x v="101"/>
    <x v="0"/>
    <x v="4"/>
    <x v="5"/>
    <x v="0"/>
    <x v="5"/>
    <n v="0"/>
    <x v="0"/>
  </r>
  <r>
    <x v="30"/>
    <x v="1"/>
    <x v="101"/>
    <x v="0"/>
    <x v="4"/>
    <x v="5"/>
    <x v="0"/>
    <x v="6"/>
    <n v="0"/>
    <x v="0"/>
  </r>
  <r>
    <x v="30"/>
    <x v="1"/>
    <x v="101"/>
    <x v="0"/>
    <x v="4"/>
    <x v="5"/>
    <x v="0"/>
    <x v="7"/>
    <n v="0"/>
    <x v="0"/>
  </r>
  <r>
    <x v="30"/>
    <x v="1"/>
    <x v="101"/>
    <x v="0"/>
    <x v="4"/>
    <x v="5"/>
    <x v="0"/>
    <x v="8"/>
    <n v="0"/>
    <x v="0"/>
  </r>
  <r>
    <x v="30"/>
    <x v="1"/>
    <x v="101"/>
    <x v="0"/>
    <x v="4"/>
    <x v="5"/>
    <x v="0"/>
    <x v="9"/>
    <n v="0"/>
    <x v="0"/>
  </r>
  <r>
    <x v="30"/>
    <x v="1"/>
    <x v="101"/>
    <x v="0"/>
    <x v="4"/>
    <x v="5"/>
    <x v="0"/>
    <x v="10"/>
    <n v="0"/>
    <x v="0"/>
  </r>
  <r>
    <x v="30"/>
    <x v="1"/>
    <x v="101"/>
    <x v="0"/>
    <x v="4"/>
    <x v="5"/>
    <x v="0"/>
    <x v="11"/>
    <n v="0"/>
    <x v="0"/>
  </r>
  <r>
    <x v="30"/>
    <x v="1"/>
    <x v="102"/>
    <x v="0"/>
    <x v="4"/>
    <x v="5"/>
    <x v="0"/>
    <x v="0"/>
    <n v="372.01731296600184"/>
    <x v="0"/>
  </r>
  <r>
    <x v="30"/>
    <x v="1"/>
    <x v="102"/>
    <x v="0"/>
    <x v="4"/>
    <x v="5"/>
    <x v="0"/>
    <x v="1"/>
    <n v="0"/>
    <x v="0"/>
  </r>
  <r>
    <x v="30"/>
    <x v="1"/>
    <x v="102"/>
    <x v="0"/>
    <x v="4"/>
    <x v="5"/>
    <x v="0"/>
    <x v="2"/>
    <n v="0"/>
    <x v="0"/>
  </r>
  <r>
    <x v="30"/>
    <x v="1"/>
    <x v="102"/>
    <x v="0"/>
    <x v="4"/>
    <x v="5"/>
    <x v="0"/>
    <x v="3"/>
    <n v="0"/>
    <x v="0"/>
  </r>
  <r>
    <x v="30"/>
    <x v="1"/>
    <x v="102"/>
    <x v="0"/>
    <x v="4"/>
    <x v="5"/>
    <x v="0"/>
    <x v="4"/>
    <n v="0"/>
    <x v="0"/>
  </r>
  <r>
    <x v="30"/>
    <x v="1"/>
    <x v="102"/>
    <x v="0"/>
    <x v="4"/>
    <x v="5"/>
    <x v="0"/>
    <x v="5"/>
    <n v="0"/>
    <x v="0"/>
  </r>
  <r>
    <x v="30"/>
    <x v="1"/>
    <x v="102"/>
    <x v="0"/>
    <x v="4"/>
    <x v="5"/>
    <x v="0"/>
    <x v="6"/>
    <n v="0"/>
    <x v="0"/>
  </r>
  <r>
    <x v="30"/>
    <x v="1"/>
    <x v="102"/>
    <x v="0"/>
    <x v="4"/>
    <x v="5"/>
    <x v="0"/>
    <x v="7"/>
    <n v="0"/>
    <x v="0"/>
  </r>
  <r>
    <x v="30"/>
    <x v="1"/>
    <x v="102"/>
    <x v="0"/>
    <x v="4"/>
    <x v="5"/>
    <x v="0"/>
    <x v="8"/>
    <n v="0"/>
    <x v="0"/>
  </r>
  <r>
    <x v="30"/>
    <x v="1"/>
    <x v="102"/>
    <x v="0"/>
    <x v="4"/>
    <x v="5"/>
    <x v="0"/>
    <x v="9"/>
    <n v="1022.067658303081"/>
    <x v="0"/>
  </r>
  <r>
    <x v="30"/>
    <x v="1"/>
    <x v="102"/>
    <x v="0"/>
    <x v="4"/>
    <x v="5"/>
    <x v="0"/>
    <x v="10"/>
    <n v="0"/>
    <x v="0"/>
  </r>
  <r>
    <x v="30"/>
    <x v="1"/>
    <x v="102"/>
    <x v="0"/>
    <x v="4"/>
    <x v="5"/>
    <x v="0"/>
    <x v="11"/>
    <n v="0"/>
    <x v="0"/>
  </r>
  <r>
    <x v="30"/>
    <x v="1"/>
    <x v="103"/>
    <x v="0"/>
    <x v="4"/>
    <x v="5"/>
    <x v="1"/>
    <x v="0"/>
    <n v="0"/>
    <x v="0"/>
  </r>
  <r>
    <x v="30"/>
    <x v="1"/>
    <x v="103"/>
    <x v="0"/>
    <x v="4"/>
    <x v="5"/>
    <x v="1"/>
    <x v="1"/>
    <n v="0"/>
    <x v="0"/>
  </r>
  <r>
    <x v="30"/>
    <x v="1"/>
    <x v="103"/>
    <x v="0"/>
    <x v="4"/>
    <x v="5"/>
    <x v="1"/>
    <x v="2"/>
    <n v="3357.6343330612754"/>
    <x v="0"/>
  </r>
  <r>
    <x v="30"/>
    <x v="1"/>
    <x v="103"/>
    <x v="0"/>
    <x v="4"/>
    <x v="5"/>
    <x v="1"/>
    <x v="3"/>
    <n v="0"/>
    <x v="0"/>
  </r>
  <r>
    <x v="30"/>
    <x v="1"/>
    <x v="103"/>
    <x v="0"/>
    <x v="4"/>
    <x v="5"/>
    <x v="1"/>
    <x v="4"/>
    <n v="0"/>
    <x v="0"/>
  </r>
  <r>
    <x v="30"/>
    <x v="1"/>
    <x v="103"/>
    <x v="0"/>
    <x v="4"/>
    <x v="5"/>
    <x v="1"/>
    <x v="5"/>
    <n v="0"/>
    <x v="0"/>
  </r>
  <r>
    <x v="30"/>
    <x v="1"/>
    <x v="103"/>
    <x v="0"/>
    <x v="4"/>
    <x v="5"/>
    <x v="1"/>
    <x v="6"/>
    <n v="0"/>
    <x v="0"/>
  </r>
  <r>
    <x v="30"/>
    <x v="1"/>
    <x v="103"/>
    <x v="0"/>
    <x v="4"/>
    <x v="5"/>
    <x v="1"/>
    <x v="7"/>
    <n v="0"/>
    <x v="0"/>
  </r>
  <r>
    <x v="30"/>
    <x v="1"/>
    <x v="103"/>
    <x v="0"/>
    <x v="4"/>
    <x v="5"/>
    <x v="1"/>
    <x v="8"/>
    <n v="4966.4762850757388"/>
    <x v="0"/>
  </r>
  <r>
    <x v="30"/>
    <x v="1"/>
    <x v="103"/>
    <x v="0"/>
    <x v="4"/>
    <x v="5"/>
    <x v="1"/>
    <x v="9"/>
    <n v="0"/>
    <x v="0"/>
  </r>
  <r>
    <x v="30"/>
    <x v="1"/>
    <x v="103"/>
    <x v="0"/>
    <x v="4"/>
    <x v="5"/>
    <x v="1"/>
    <x v="10"/>
    <n v="0"/>
    <x v="0"/>
  </r>
  <r>
    <x v="30"/>
    <x v="1"/>
    <x v="103"/>
    <x v="0"/>
    <x v="4"/>
    <x v="5"/>
    <x v="1"/>
    <x v="11"/>
    <n v="0"/>
    <x v="0"/>
  </r>
  <r>
    <x v="30"/>
    <x v="1"/>
    <x v="104"/>
    <x v="0"/>
    <x v="4"/>
    <x v="5"/>
    <x v="1"/>
    <x v="0"/>
    <n v="0"/>
    <x v="0"/>
  </r>
  <r>
    <x v="30"/>
    <x v="1"/>
    <x v="104"/>
    <x v="0"/>
    <x v="4"/>
    <x v="5"/>
    <x v="1"/>
    <x v="1"/>
    <n v="0"/>
    <x v="0"/>
  </r>
  <r>
    <x v="30"/>
    <x v="1"/>
    <x v="104"/>
    <x v="0"/>
    <x v="4"/>
    <x v="5"/>
    <x v="1"/>
    <x v="2"/>
    <n v="569.12896593761945"/>
    <x v="0"/>
  </r>
  <r>
    <x v="30"/>
    <x v="1"/>
    <x v="104"/>
    <x v="0"/>
    <x v="4"/>
    <x v="5"/>
    <x v="1"/>
    <x v="3"/>
    <n v="0"/>
    <x v="0"/>
  </r>
  <r>
    <x v="30"/>
    <x v="1"/>
    <x v="104"/>
    <x v="0"/>
    <x v="4"/>
    <x v="5"/>
    <x v="1"/>
    <x v="4"/>
    <n v="0"/>
    <x v="0"/>
  </r>
  <r>
    <x v="30"/>
    <x v="1"/>
    <x v="104"/>
    <x v="0"/>
    <x v="4"/>
    <x v="5"/>
    <x v="1"/>
    <x v="5"/>
    <n v="0"/>
    <x v="0"/>
  </r>
  <r>
    <x v="30"/>
    <x v="1"/>
    <x v="104"/>
    <x v="0"/>
    <x v="4"/>
    <x v="5"/>
    <x v="1"/>
    <x v="6"/>
    <n v="0"/>
    <x v="0"/>
  </r>
  <r>
    <x v="30"/>
    <x v="1"/>
    <x v="104"/>
    <x v="0"/>
    <x v="4"/>
    <x v="5"/>
    <x v="1"/>
    <x v="7"/>
    <n v="0"/>
    <x v="0"/>
  </r>
  <r>
    <x v="30"/>
    <x v="1"/>
    <x v="104"/>
    <x v="0"/>
    <x v="4"/>
    <x v="5"/>
    <x v="1"/>
    <x v="8"/>
    <n v="0"/>
    <x v="0"/>
  </r>
  <r>
    <x v="30"/>
    <x v="1"/>
    <x v="104"/>
    <x v="0"/>
    <x v="4"/>
    <x v="5"/>
    <x v="1"/>
    <x v="9"/>
    <n v="0"/>
    <x v="0"/>
  </r>
  <r>
    <x v="30"/>
    <x v="1"/>
    <x v="104"/>
    <x v="0"/>
    <x v="4"/>
    <x v="5"/>
    <x v="1"/>
    <x v="10"/>
    <n v="0"/>
    <x v="0"/>
  </r>
  <r>
    <x v="30"/>
    <x v="1"/>
    <x v="104"/>
    <x v="0"/>
    <x v="4"/>
    <x v="5"/>
    <x v="1"/>
    <x v="11"/>
    <n v="0"/>
    <x v="0"/>
  </r>
  <r>
    <x v="30"/>
    <x v="1"/>
    <x v="105"/>
    <x v="2"/>
    <x v="4"/>
    <x v="6"/>
    <x v="0"/>
    <x v="0"/>
    <n v="615.97594687166156"/>
    <x v="0"/>
  </r>
  <r>
    <x v="30"/>
    <x v="1"/>
    <x v="105"/>
    <x v="2"/>
    <x v="4"/>
    <x v="6"/>
    <x v="0"/>
    <x v="1"/>
    <n v="0"/>
    <x v="0"/>
  </r>
  <r>
    <x v="30"/>
    <x v="1"/>
    <x v="105"/>
    <x v="2"/>
    <x v="4"/>
    <x v="6"/>
    <x v="0"/>
    <x v="2"/>
    <n v="0"/>
    <x v="0"/>
  </r>
  <r>
    <x v="30"/>
    <x v="1"/>
    <x v="105"/>
    <x v="2"/>
    <x v="4"/>
    <x v="6"/>
    <x v="0"/>
    <x v="3"/>
    <n v="0"/>
    <x v="0"/>
  </r>
  <r>
    <x v="30"/>
    <x v="1"/>
    <x v="105"/>
    <x v="2"/>
    <x v="4"/>
    <x v="6"/>
    <x v="0"/>
    <x v="4"/>
    <n v="0"/>
    <x v="0"/>
  </r>
  <r>
    <x v="30"/>
    <x v="1"/>
    <x v="105"/>
    <x v="2"/>
    <x v="4"/>
    <x v="6"/>
    <x v="0"/>
    <x v="5"/>
    <n v="0"/>
    <x v="0"/>
  </r>
  <r>
    <x v="30"/>
    <x v="1"/>
    <x v="105"/>
    <x v="2"/>
    <x v="4"/>
    <x v="6"/>
    <x v="0"/>
    <x v="6"/>
    <n v="0"/>
    <x v="0"/>
  </r>
  <r>
    <x v="30"/>
    <x v="1"/>
    <x v="105"/>
    <x v="2"/>
    <x v="4"/>
    <x v="6"/>
    <x v="0"/>
    <x v="7"/>
    <n v="0"/>
    <x v="0"/>
  </r>
  <r>
    <x v="30"/>
    <x v="1"/>
    <x v="105"/>
    <x v="2"/>
    <x v="4"/>
    <x v="6"/>
    <x v="0"/>
    <x v="8"/>
    <n v="0"/>
    <x v="0"/>
  </r>
  <r>
    <x v="30"/>
    <x v="1"/>
    <x v="105"/>
    <x v="2"/>
    <x v="4"/>
    <x v="6"/>
    <x v="0"/>
    <x v="9"/>
    <n v="0"/>
    <x v="0"/>
  </r>
  <r>
    <x v="30"/>
    <x v="1"/>
    <x v="105"/>
    <x v="2"/>
    <x v="4"/>
    <x v="6"/>
    <x v="0"/>
    <x v="10"/>
    <n v="0"/>
    <x v="0"/>
  </r>
  <r>
    <x v="30"/>
    <x v="1"/>
    <x v="105"/>
    <x v="2"/>
    <x v="4"/>
    <x v="6"/>
    <x v="0"/>
    <x v="11"/>
    <n v="0"/>
    <x v="0"/>
  </r>
  <r>
    <x v="30"/>
    <x v="1"/>
    <x v="106"/>
    <x v="2"/>
    <x v="4"/>
    <x v="7"/>
    <x v="0"/>
    <x v="0"/>
    <n v="0"/>
    <x v="0"/>
  </r>
  <r>
    <x v="30"/>
    <x v="1"/>
    <x v="106"/>
    <x v="2"/>
    <x v="4"/>
    <x v="7"/>
    <x v="0"/>
    <x v="1"/>
    <n v="0"/>
    <x v="0"/>
  </r>
  <r>
    <x v="30"/>
    <x v="1"/>
    <x v="106"/>
    <x v="2"/>
    <x v="4"/>
    <x v="7"/>
    <x v="0"/>
    <x v="2"/>
    <n v="29.960844275929045"/>
    <x v="0"/>
  </r>
  <r>
    <x v="30"/>
    <x v="1"/>
    <x v="106"/>
    <x v="2"/>
    <x v="4"/>
    <x v="7"/>
    <x v="0"/>
    <x v="3"/>
    <n v="0"/>
    <x v="0"/>
  </r>
  <r>
    <x v="30"/>
    <x v="1"/>
    <x v="106"/>
    <x v="2"/>
    <x v="4"/>
    <x v="7"/>
    <x v="0"/>
    <x v="4"/>
    <n v="0"/>
    <x v="0"/>
  </r>
  <r>
    <x v="30"/>
    <x v="1"/>
    <x v="106"/>
    <x v="2"/>
    <x v="4"/>
    <x v="7"/>
    <x v="0"/>
    <x v="5"/>
    <n v="0"/>
    <x v="0"/>
  </r>
  <r>
    <x v="30"/>
    <x v="1"/>
    <x v="106"/>
    <x v="2"/>
    <x v="4"/>
    <x v="7"/>
    <x v="0"/>
    <x v="6"/>
    <n v="0"/>
    <x v="0"/>
  </r>
  <r>
    <x v="30"/>
    <x v="1"/>
    <x v="106"/>
    <x v="2"/>
    <x v="4"/>
    <x v="7"/>
    <x v="0"/>
    <x v="7"/>
    <n v="0"/>
    <x v="0"/>
  </r>
  <r>
    <x v="30"/>
    <x v="1"/>
    <x v="106"/>
    <x v="2"/>
    <x v="4"/>
    <x v="7"/>
    <x v="0"/>
    <x v="8"/>
    <n v="0"/>
    <x v="0"/>
  </r>
  <r>
    <x v="30"/>
    <x v="1"/>
    <x v="106"/>
    <x v="2"/>
    <x v="4"/>
    <x v="7"/>
    <x v="0"/>
    <x v="9"/>
    <n v="0"/>
    <x v="0"/>
  </r>
  <r>
    <x v="30"/>
    <x v="1"/>
    <x v="106"/>
    <x v="2"/>
    <x v="4"/>
    <x v="7"/>
    <x v="0"/>
    <x v="10"/>
    <n v="0"/>
    <x v="0"/>
  </r>
  <r>
    <x v="30"/>
    <x v="1"/>
    <x v="106"/>
    <x v="2"/>
    <x v="4"/>
    <x v="7"/>
    <x v="0"/>
    <x v="11"/>
    <n v="0"/>
    <x v="0"/>
  </r>
  <r>
    <x v="30"/>
    <x v="1"/>
    <x v="107"/>
    <x v="0"/>
    <x v="1"/>
    <x v="8"/>
    <x v="0"/>
    <x v="0"/>
    <n v="2621.6368021674248"/>
    <x v="0"/>
  </r>
  <r>
    <x v="30"/>
    <x v="1"/>
    <x v="107"/>
    <x v="0"/>
    <x v="1"/>
    <x v="8"/>
    <x v="0"/>
    <x v="1"/>
    <n v="0"/>
    <x v="0"/>
  </r>
  <r>
    <x v="30"/>
    <x v="1"/>
    <x v="107"/>
    <x v="0"/>
    <x v="1"/>
    <x v="8"/>
    <x v="0"/>
    <x v="2"/>
    <n v="0"/>
    <x v="0"/>
  </r>
  <r>
    <x v="30"/>
    <x v="1"/>
    <x v="107"/>
    <x v="0"/>
    <x v="1"/>
    <x v="8"/>
    <x v="0"/>
    <x v="3"/>
    <n v="0"/>
    <x v="0"/>
  </r>
  <r>
    <x v="30"/>
    <x v="1"/>
    <x v="107"/>
    <x v="0"/>
    <x v="1"/>
    <x v="8"/>
    <x v="0"/>
    <x v="4"/>
    <n v="0"/>
    <x v="0"/>
  </r>
  <r>
    <x v="30"/>
    <x v="1"/>
    <x v="107"/>
    <x v="0"/>
    <x v="1"/>
    <x v="8"/>
    <x v="0"/>
    <x v="5"/>
    <n v="0"/>
    <x v="0"/>
  </r>
  <r>
    <x v="30"/>
    <x v="1"/>
    <x v="107"/>
    <x v="0"/>
    <x v="1"/>
    <x v="8"/>
    <x v="0"/>
    <x v="6"/>
    <n v="0"/>
    <x v="0"/>
  </r>
  <r>
    <x v="30"/>
    <x v="1"/>
    <x v="107"/>
    <x v="0"/>
    <x v="1"/>
    <x v="8"/>
    <x v="0"/>
    <x v="7"/>
    <n v="0"/>
    <x v="0"/>
  </r>
  <r>
    <x v="30"/>
    <x v="1"/>
    <x v="107"/>
    <x v="0"/>
    <x v="1"/>
    <x v="8"/>
    <x v="0"/>
    <x v="8"/>
    <n v="0"/>
    <x v="0"/>
  </r>
  <r>
    <x v="30"/>
    <x v="1"/>
    <x v="107"/>
    <x v="0"/>
    <x v="1"/>
    <x v="8"/>
    <x v="0"/>
    <x v="9"/>
    <n v="0"/>
    <x v="0"/>
  </r>
  <r>
    <x v="30"/>
    <x v="1"/>
    <x v="107"/>
    <x v="0"/>
    <x v="1"/>
    <x v="8"/>
    <x v="0"/>
    <x v="10"/>
    <n v="0"/>
    <x v="0"/>
  </r>
  <r>
    <x v="30"/>
    <x v="1"/>
    <x v="107"/>
    <x v="0"/>
    <x v="1"/>
    <x v="8"/>
    <x v="0"/>
    <x v="11"/>
    <n v="0"/>
    <x v="0"/>
  </r>
  <r>
    <x v="30"/>
    <x v="1"/>
    <x v="108"/>
    <x v="0"/>
    <x v="4"/>
    <x v="5"/>
    <x v="0"/>
    <x v="0"/>
    <n v="4528.1390764215466"/>
    <x v="0"/>
  </r>
  <r>
    <x v="30"/>
    <x v="1"/>
    <x v="108"/>
    <x v="0"/>
    <x v="4"/>
    <x v="5"/>
    <x v="0"/>
    <x v="1"/>
    <n v="0"/>
    <x v="0"/>
  </r>
  <r>
    <x v="30"/>
    <x v="1"/>
    <x v="108"/>
    <x v="0"/>
    <x v="4"/>
    <x v="5"/>
    <x v="0"/>
    <x v="2"/>
    <n v="0"/>
    <x v="0"/>
  </r>
  <r>
    <x v="30"/>
    <x v="1"/>
    <x v="108"/>
    <x v="0"/>
    <x v="4"/>
    <x v="5"/>
    <x v="0"/>
    <x v="3"/>
    <n v="0"/>
    <x v="0"/>
  </r>
  <r>
    <x v="30"/>
    <x v="1"/>
    <x v="108"/>
    <x v="0"/>
    <x v="4"/>
    <x v="5"/>
    <x v="0"/>
    <x v="4"/>
    <n v="0"/>
    <x v="0"/>
  </r>
  <r>
    <x v="30"/>
    <x v="1"/>
    <x v="108"/>
    <x v="0"/>
    <x v="4"/>
    <x v="5"/>
    <x v="0"/>
    <x v="5"/>
    <n v="0"/>
    <x v="0"/>
  </r>
  <r>
    <x v="30"/>
    <x v="1"/>
    <x v="108"/>
    <x v="0"/>
    <x v="4"/>
    <x v="5"/>
    <x v="0"/>
    <x v="6"/>
    <n v="0"/>
    <x v="0"/>
  </r>
  <r>
    <x v="30"/>
    <x v="1"/>
    <x v="108"/>
    <x v="0"/>
    <x v="4"/>
    <x v="5"/>
    <x v="0"/>
    <x v="7"/>
    <n v="0"/>
    <x v="0"/>
  </r>
  <r>
    <x v="30"/>
    <x v="1"/>
    <x v="108"/>
    <x v="0"/>
    <x v="4"/>
    <x v="5"/>
    <x v="0"/>
    <x v="8"/>
    <n v="0"/>
    <x v="0"/>
  </r>
  <r>
    <x v="30"/>
    <x v="1"/>
    <x v="108"/>
    <x v="0"/>
    <x v="4"/>
    <x v="5"/>
    <x v="0"/>
    <x v="9"/>
    <n v="0"/>
    <x v="0"/>
  </r>
  <r>
    <x v="30"/>
    <x v="1"/>
    <x v="108"/>
    <x v="0"/>
    <x v="4"/>
    <x v="5"/>
    <x v="0"/>
    <x v="10"/>
    <n v="0"/>
    <x v="0"/>
  </r>
  <r>
    <x v="30"/>
    <x v="1"/>
    <x v="108"/>
    <x v="0"/>
    <x v="4"/>
    <x v="5"/>
    <x v="0"/>
    <x v="11"/>
    <n v="0"/>
    <x v="0"/>
  </r>
  <r>
    <x v="30"/>
    <x v="1"/>
    <x v="109"/>
    <x v="0"/>
    <x v="1"/>
    <x v="9"/>
    <x v="0"/>
    <x v="0"/>
    <n v="634.1523585061509"/>
    <x v="0"/>
  </r>
  <r>
    <x v="30"/>
    <x v="1"/>
    <x v="109"/>
    <x v="0"/>
    <x v="1"/>
    <x v="9"/>
    <x v="0"/>
    <x v="1"/>
    <n v="160.97214149298347"/>
    <x v="0"/>
  </r>
  <r>
    <x v="30"/>
    <x v="1"/>
    <x v="109"/>
    <x v="0"/>
    <x v="1"/>
    <x v="9"/>
    <x v="0"/>
    <x v="2"/>
    <n v="0"/>
    <x v="0"/>
  </r>
  <r>
    <x v="30"/>
    <x v="1"/>
    <x v="109"/>
    <x v="0"/>
    <x v="1"/>
    <x v="9"/>
    <x v="0"/>
    <x v="3"/>
    <n v="0"/>
    <x v="0"/>
  </r>
  <r>
    <x v="30"/>
    <x v="1"/>
    <x v="109"/>
    <x v="0"/>
    <x v="1"/>
    <x v="9"/>
    <x v="0"/>
    <x v="4"/>
    <n v="0"/>
    <x v="0"/>
  </r>
  <r>
    <x v="30"/>
    <x v="1"/>
    <x v="109"/>
    <x v="0"/>
    <x v="1"/>
    <x v="9"/>
    <x v="0"/>
    <x v="5"/>
    <n v="0"/>
    <x v="0"/>
  </r>
  <r>
    <x v="30"/>
    <x v="1"/>
    <x v="109"/>
    <x v="0"/>
    <x v="1"/>
    <x v="9"/>
    <x v="0"/>
    <x v="6"/>
    <n v="0"/>
    <x v="0"/>
  </r>
  <r>
    <x v="30"/>
    <x v="1"/>
    <x v="109"/>
    <x v="0"/>
    <x v="1"/>
    <x v="9"/>
    <x v="0"/>
    <x v="7"/>
    <n v="0"/>
    <x v="0"/>
  </r>
  <r>
    <x v="30"/>
    <x v="1"/>
    <x v="109"/>
    <x v="0"/>
    <x v="1"/>
    <x v="9"/>
    <x v="0"/>
    <x v="8"/>
    <n v="0"/>
    <x v="0"/>
  </r>
  <r>
    <x v="30"/>
    <x v="1"/>
    <x v="109"/>
    <x v="0"/>
    <x v="1"/>
    <x v="9"/>
    <x v="0"/>
    <x v="9"/>
    <n v="0"/>
    <x v="0"/>
  </r>
  <r>
    <x v="30"/>
    <x v="1"/>
    <x v="109"/>
    <x v="0"/>
    <x v="1"/>
    <x v="9"/>
    <x v="0"/>
    <x v="10"/>
    <n v="0"/>
    <x v="0"/>
  </r>
  <r>
    <x v="30"/>
    <x v="1"/>
    <x v="109"/>
    <x v="0"/>
    <x v="1"/>
    <x v="9"/>
    <x v="0"/>
    <x v="11"/>
    <n v="0"/>
    <x v="0"/>
  </r>
  <r>
    <x v="30"/>
    <x v="1"/>
    <x v="110"/>
    <x v="0"/>
    <x v="4"/>
    <x v="4"/>
    <x v="1"/>
    <x v="0"/>
    <n v="6975.3929008028726"/>
    <x v="0"/>
  </r>
  <r>
    <x v="30"/>
    <x v="1"/>
    <x v="110"/>
    <x v="0"/>
    <x v="4"/>
    <x v="4"/>
    <x v="1"/>
    <x v="1"/>
    <n v="1501.7489412936975"/>
    <x v="0"/>
  </r>
  <r>
    <x v="30"/>
    <x v="1"/>
    <x v="110"/>
    <x v="0"/>
    <x v="4"/>
    <x v="4"/>
    <x v="1"/>
    <x v="2"/>
    <n v="0"/>
    <x v="0"/>
  </r>
  <r>
    <x v="30"/>
    <x v="1"/>
    <x v="110"/>
    <x v="0"/>
    <x v="4"/>
    <x v="4"/>
    <x v="1"/>
    <x v="3"/>
    <n v="0"/>
    <x v="0"/>
  </r>
  <r>
    <x v="30"/>
    <x v="1"/>
    <x v="110"/>
    <x v="0"/>
    <x v="4"/>
    <x v="4"/>
    <x v="1"/>
    <x v="4"/>
    <n v="0"/>
    <x v="0"/>
  </r>
  <r>
    <x v="30"/>
    <x v="1"/>
    <x v="110"/>
    <x v="0"/>
    <x v="4"/>
    <x v="4"/>
    <x v="1"/>
    <x v="5"/>
    <n v="0"/>
    <x v="0"/>
  </r>
  <r>
    <x v="30"/>
    <x v="1"/>
    <x v="110"/>
    <x v="0"/>
    <x v="4"/>
    <x v="4"/>
    <x v="1"/>
    <x v="6"/>
    <n v="0"/>
    <x v="0"/>
  </r>
  <r>
    <x v="30"/>
    <x v="1"/>
    <x v="110"/>
    <x v="0"/>
    <x v="4"/>
    <x v="4"/>
    <x v="1"/>
    <x v="7"/>
    <n v="0"/>
    <x v="0"/>
  </r>
  <r>
    <x v="30"/>
    <x v="1"/>
    <x v="110"/>
    <x v="0"/>
    <x v="4"/>
    <x v="4"/>
    <x v="1"/>
    <x v="8"/>
    <n v="0"/>
    <x v="0"/>
  </r>
  <r>
    <x v="30"/>
    <x v="1"/>
    <x v="110"/>
    <x v="0"/>
    <x v="4"/>
    <x v="4"/>
    <x v="1"/>
    <x v="9"/>
    <n v="0"/>
    <x v="0"/>
  </r>
  <r>
    <x v="30"/>
    <x v="1"/>
    <x v="110"/>
    <x v="0"/>
    <x v="4"/>
    <x v="4"/>
    <x v="1"/>
    <x v="10"/>
    <n v="0"/>
    <x v="0"/>
  </r>
  <r>
    <x v="30"/>
    <x v="1"/>
    <x v="110"/>
    <x v="0"/>
    <x v="4"/>
    <x v="4"/>
    <x v="1"/>
    <x v="11"/>
    <n v="0"/>
    <x v="0"/>
  </r>
  <r>
    <x v="30"/>
    <x v="1"/>
    <x v="111"/>
    <x v="0"/>
    <x v="4"/>
    <x v="4"/>
    <x v="1"/>
    <x v="0"/>
    <n v="4756.2880648465289"/>
    <x v="0"/>
  </r>
  <r>
    <x v="30"/>
    <x v="1"/>
    <x v="111"/>
    <x v="0"/>
    <x v="4"/>
    <x v="4"/>
    <x v="1"/>
    <x v="1"/>
    <n v="3749.3180685875609"/>
    <x v="0"/>
  </r>
  <r>
    <x v="30"/>
    <x v="1"/>
    <x v="111"/>
    <x v="0"/>
    <x v="4"/>
    <x v="4"/>
    <x v="1"/>
    <x v="2"/>
    <n v="0"/>
    <x v="0"/>
  </r>
  <r>
    <x v="30"/>
    <x v="1"/>
    <x v="111"/>
    <x v="0"/>
    <x v="4"/>
    <x v="4"/>
    <x v="1"/>
    <x v="3"/>
    <n v="0"/>
    <x v="0"/>
  </r>
  <r>
    <x v="30"/>
    <x v="1"/>
    <x v="111"/>
    <x v="0"/>
    <x v="4"/>
    <x v="4"/>
    <x v="1"/>
    <x v="4"/>
    <n v="0"/>
    <x v="0"/>
  </r>
  <r>
    <x v="30"/>
    <x v="1"/>
    <x v="111"/>
    <x v="0"/>
    <x v="4"/>
    <x v="4"/>
    <x v="1"/>
    <x v="5"/>
    <n v="0"/>
    <x v="0"/>
  </r>
  <r>
    <x v="30"/>
    <x v="1"/>
    <x v="111"/>
    <x v="0"/>
    <x v="4"/>
    <x v="4"/>
    <x v="1"/>
    <x v="6"/>
    <n v="0"/>
    <x v="0"/>
  </r>
  <r>
    <x v="30"/>
    <x v="1"/>
    <x v="111"/>
    <x v="0"/>
    <x v="4"/>
    <x v="4"/>
    <x v="1"/>
    <x v="7"/>
    <n v="0"/>
    <x v="0"/>
  </r>
  <r>
    <x v="30"/>
    <x v="1"/>
    <x v="111"/>
    <x v="0"/>
    <x v="4"/>
    <x v="4"/>
    <x v="1"/>
    <x v="8"/>
    <n v="0"/>
    <x v="0"/>
  </r>
  <r>
    <x v="30"/>
    <x v="1"/>
    <x v="111"/>
    <x v="0"/>
    <x v="4"/>
    <x v="4"/>
    <x v="1"/>
    <x v="9"/>
    <n v="0"/>
    <x v="0"/>
  </r>
  <r>
    <x v="30"/>
    <x v="1"/>
    <x v="111"/>
    <x v="0"/>
    <x v="4"/>
    <x v="4"/>
    <x v="1"/>
    <x v="10"/>
    <n v="0"/>
    <x v="0"/>
  </r>
  <r>
    <x v="30"/>
    <x v="1"/>
    <x v="111"/>
    <x v="0"/>
    <x v="4"/>
    <x v="4"/>
    <x v="1"/>
    <x v="11"/>
    <n v="0"/>
    <x v="0"/>
  </r>
  <r>
    <x v="30"/>
    <x v="1"/>
    <x v="112"/>
    <x v="2"/>
    <x v="4"/>
    <x v="4"/>
    <x v="0"/>
    <x v="0"/>
    <n v="371.48647011530966"/>
    <x v="0"/>
  </r>
  <r>
    <x v="30"/>
    <x v="1"/>
    <x v="112"/>
    <x v="2"/>
    <x v="4"/>
    <x v="4"/>
    <x v="0"/>
    <x v="1"/>
    <n v="0"/>
    <x v="0"/>
  </r>
  <r>
    <x v="30"/>
    <x v="1"/>
    <x v="112"/>
    <x v="2"/>
    <x v="4"/>
    <x v="4"/>
    <x v="0"/>
    <x v="2"/>
    <n v="0"/>
    <x v="0"/>
  </r>
  <r>
    <x v="30"/>
    <x v="1"/>
    <x v="112"/>
    <x v="2"/>
    <x v="4"/>
    <x v="4"/>
    <x v="0"/>
    <x v="3"/>
    <n v="0"/>
    <x v="0"/>
  </r>
  <r>
    <x v="30"/>
    <x v="1"/>
    <x v="112"/>
    <x v="2"/>
    <x v="4"/>
    <x v="4"/>
    <x v="0"/>
    <x v="4"/>
    <n v="0"/>
    <x v="0"/>
  </r>
  <r>
    <x v="30"/>
    <x v="1"/>
    <x v="112"/>
    <x v="2"/>
    <x v="4"/>
    <x v="4"/>
    <x v="0"/>
    <x v="5"/>
    <n v="0"/>
    <x v="0"/>
  </r>
  <r>
    <x v="30"/>
    <x v="1"/>
    <x v="112"/>
    <x v="2"/>
    <x v="4"/>
    <x v="4"/>
    <x v="0"/>
    <x v="6"/>
    <n v="0"/>
    <x v="0"/>
  </r>
  <r>
    <x v="30"/>
    <x v="1"/>
    <x v="112"/>
    <x v="2"/>
    <x v="4"/>
    <x v="4"/>
    <x v="0"/>
    <x v="7"/>
    <n v="0"/>
    <x v="0"/>
  </r>
  <r>
    <x v="30"/>
    <x v="1"/>
    <x v="112"/>
    <x v="2"/>
    <x v="4"/>
    <x v="4"/>
    <x v="0"/>
    <x v="8"/>
    <n v="0"/>
    <x v="0"/>
  </r>
  <r>
    <x v="30"/>
    <x v="1"/>
    <x v="112"/>
    <x v="2"/>
    <x v="4"/>
    <x v="4"/>
    <x v="0"/>
    <x v="9"/>
    <n v="0"/>
    <x v="0"/>
  </r>
  <r>
    <x v="30"/>
    <x v="1"/>
    <x v="112"/>
    <x v="2"/>
    <x v="4"/>
    <x v="4"/>
    <x v="0"/>
    <x v="10"/>
    <n v="0"/>
    <x v="0"/>
  </r>
  <r>
    <x v="30"/>
    <x v="1"/>
    <x v="112"/>
    <x v="2"/>
    <x v="4"/>
    <x v="4"/>
    <x v="0"/>
    <x v="11"/>
    <n v="0"/>
    <x v="0"/>
  </r>
  <r>
    <x v="30"/>
    <x v="1"/>
    <x v="113"/>
    <x v="0"/>
    <x v="4"/>
    <x v="5"/>
    <x v="1"/>
    <x v="0"/>
    <n v="8830.2393198162972"/>
    <x v="0"/>
  </r>
  <r>
    <x v="30"/>
    <x v="1"/>
    <x v="113"/>
    <x v="0"/>
    <x v="4"/>
    <x v="5"/>
    <x v="1"/>
    <x v="1"/>
    <n v="0"/>
    <x v="0"/>
  </r>
  <r>
    <x v="30"/>
    <x v="1"/>
    <x v="113"/>
    <x v="0"/>
    <x v="4"/>
    <x v="5"/>
    <x v="1"/>
    <x v="2"/>
    <n v="0"/>
    <x v="0"/>
  </r>
  <r>
    <x v="30"/>
    <x v="1"/>
    <x v="113"/>
    <x v="0"/>
    <x v="4"/>
    <x v="5"/>
    <x v="1"/>
    <x v="3"/>
    <n v="0"/>
    <x v="0"/>
  </r>
  <r>
    <x v="30"/>
    <x v="1"/>
    <x v="113"/>
    <x v="0"/>
    <x v="4"/>
    <x v="5"/>
    <x v="1"/>
    <x v="4"/>
    <n v="0"/>
    <x v="0"/>
  </r>
  <r>
    <x v="30"/>
    <x v="1"/>
    <x v="113"/>
    <x v="0"/>
    <x v="4"/>
    <x v="5"/>
    <x v="1"/>
    <x v="5"/>
    <n v="0"/>
    <x v="0"/>
  </r>
  <r>
    <x v="30"/>
    <x v="1"/>
    <x v="113"/>
    <x v="0"/>
    <x v="4"/>
    <x v="5"/>
    <x v="1"/>
    <x v="6"/>
    <n v="0"/>
    <x v="0"/>
  </r>
  <r>
    <x v="30"/>
    <x v="1"/>
    <x v="113"/>
    <x v="0"/>
    <x v="4"/>
    <x v="5"/>
    <x v="1"/>
    <x v="7"/>
    <n v="0"/>
    <x v="0"/>
  </r>
  <r>
    <x v="30"/>
    <x v="1"/>
    <x v="113"/>
    <x v="0"/>
    <x v="4"/>
    <x v="5"/>
    <x v="1"/>
    <x v="8"/>
    <n v="0"/>
    <x v="0"/>
  </r>
  <r>
    <x v="30"/>
    <x v="1"/>
    <x v="113"/>
    <x v="0"/>
    <x v="4"/>
    <x v="5"/>
    <x v="1"/>
    <x v="9"/>
    <n v="0"/>
    <x v="0"/>
  </r>
  <r>
    <x v="30"/>
    <x v="1"/>
    <x v="113"/>
    <x v="0"/>
    <x v="4"/>
    <x v="5"/>
    <x v="1"/>
    <x v="10"/>
    <n v="0"/>
    <x v="0"/>
  </r>
  <r>
    <x v="30"/>
    <x v="1"/>
    <x v="113"/>
    <x v="0"/>
    <x v="4"/>
    <x v="5"/>
    <x v="1"/>
    <x v="11"/>
    <n v="0"/>
    <x v="0"/>
  </r>
  <r>
    <x v="30"/>
    <x v="1"/>
    <x v="114"/>
    <x v="0"/>
    <x v="4"/>
    <x v="6"/>
    <x v="13"/>
    <x v="0"/>
    <n v="0"/>
    <x v="0"/>
  </r>
  <r>
    <x v="30"/>
    <x v="1"/>
    <x v="114"/>
    <x v="0"/>
    <x v="4"/>
    <x v="6"/>
    <x v="13"/>
    <x v="1"/>
    <n v="352.01984555343353"/>
    <x v="0"/>
  </r>
  <r>
    <x v="30"/>
    <x v="1"/>
    <x v="114"/>
    <x v="0"/>
    <x v="4"/>
    <x v="6"/>
    <x v="13"/>
    <x v="2"/>
    <n v="0"/>
    <x v="0"/>
  </r>
  <r>
    <x v="30"/>
    <x v="1"/>
    <x v="114"/>
    <x v="0"/>
    <x v="4"/>
    <x v="6"/>
    <x v="13"/>
    <x v="3"/>
    <n v="0"/>
    <x v="0"/>
  </r>
  <r>
    <x v="30"/>
    <x v="1"/>
    <x v="114"/>
    <x v="0"/>
    <x v="4"/>
    <x v="6"/>
    <x v="13"/>
    <x v="4"/>
    <n v="0"/>
    <x v="0"/>
  </r>
  <r>
    <x v="30"/>
    <x v="1"/>
    <x v="114"/>
    <x v="0"/>
    <x v="4"/>
    <x v="6"/>
    <x v="13"/>
    <x v="5"/>
    <n v="0"/>
    <x v="0"/>
  </r>
  <r>
    <x v="30"/>
    <x v="1"/>
    <x v="114"/>
    <x v="0"/>
    <x v="4"/>
    <x v="6"/>
    <x v="13"/>
    <x v="6"/>
    <n v="0"/>
    <x v="0"/>
  </r>
  <r>
    <x v="30"/>
    <x v="1"/>
    <x v="114"/>
    <x v="0"/>
    <x v="4"/>
    <x v="6"/>
    <x v="13"/>
    <x v="7"/>
    <n v="0"/>
    <x v="0"/>
  </r>
  <r>
    <x v="30"/>
    <x v="1"/>
    <x v="114"/>
    <x v="0"/>
    <x v="4"/>
    <x v="6"/>
    <x v="13"/>
    <x v="8"/>
    <n v="0"/>
    <x v="0"/>
  </r>
  <r>
    <x v="30"/>
    <x v="1"/>
    <x v="114"/>
    <x v="0"/>
    <x v="4"/>
    <x v="6"/>
    <x v="13"/>
    <x v="9"/>
    <n v="0"/>
    <x v="0"/>
  </r>
  <r>
    <x v="30"/>
    <x v="1"/>
    <x v="114"/>
    <x v="0"/>
    <x v="4"/>
    <x v="6"/>
    <x v="13"/>
    <x v="10"/>
    <n v="0"/>
    <x v="0"/>
  </r>
  <r>
    <x v="30"/>
    <x v="1"/>
    <x v="114"/>
    <x v="0"/>
    <x v="4"/>
    <x v="6"/>
    <x v="13"/>
    <x v="11"/>
    <n v="0"/>
    <x v="0"/>
  </r>
  <r>
    <x v="30"/>
    <x v="1"/>
    <x v="115"/>
    <x v="2"/>
    <x v="3"/>
    <x v="9"/>
    <x v="0"/>
    <x v="0"/>
    <n v="43.40356171323473"/>
    <x v="0"/>
  </r>
  <r>
    <x v="30"/>
    <x v="1"/>
    <x v="115"/>
    <x v="2"/>
    <x v="3"/>
    <x v="9"/>
    <x v="0"/>
    <x v="1"/>
    <n v="0"/>
    <x v="0"/>
  </r>
  <r>
    <x v="30"/>
    <x v="1"/>
    <x v="115"/>
    <x v="2"/>
    <x v="3"/>
    <x v="9"/>
    <x v="0"/>
    <x v="2"/>
    <n v="40.791172915396778"/>
    <x v="0"/>
  </r>
  <r>
    <x v="30"/>
    <x v="1"/>
    <x v="115"/>
    <x v="2"/>
    <x v="3"/>
    <x v="9"/>
    <x v="0"/>
    <x v="3"/>
    <n v="0"/>
    <x v="0"/>
  </r>
  <r>
    <x v="30"/>
    <x v="1"/>
    <x v="115"/>
    <x v="2"/>
    <x v="3"/>
    <x v="9"/>
    <x v="0"/>
    <x v="4"/>
    <n v="0"/>
    <x v="0"/>
  </r>
  <r>
    <x v="30"/>
    <x v="1"/>
    <x v="115"/>
    <x v="2"/>
    <x v="3"/>
    <x v="9"/>
    <x v="0"/>
    <x v="5"/>
    <n v="0"/>
    <x v="0"/>
  </r>
  <r>
    <x v="30"/>
    <x v="1"/>
    <x v="115"/>
    <x v="2"/>
    <x v="3"/>
    <x v="9"/>
    <x v="0"/>
    <x v="6"/>
    <n v="0"/>
    <x v="0"/>
  </r>
  <r>
    <x v="30"/>
    <x v="1"/>
    <x v="115"/>
    <x v="2"/>
    <x v="3"/>
    <x v="9"/>
    <x v="0"/>
    <x v="7"/>
    <n v="0"/>
    <x v="0"/>
  </r>
  <r>
    <x v="30"/>
    <x v="1"/>
    <x v="115"/>
    <x v="2"/>
    <x v="3"/>
    <x v="9"/>
    <x v="0"/>
    <x v="8"/>
    <n v="0"/>
    <x v="0"/>
  </r>
  <r>
    <x v="30"/>
    <x v="1"/>
    <x v="115"/>
    <x v="2"/>
    <x v="3"/>
    <x v="9"/>
    <x v="0"/>
    <x v="9"/>
    <n v="0"/>
    <x v="0"/>
  </r>
  <r>
    <x v="30"/>
    <x v="1"/>
    <x v="115"/>
    <x v="2"/>
    <x v="3"/>
    <x v="9"/>
    <x v="0"/>
    <x v="10"/>
    <n v="0"/>
    <x v="0"/>
  </r>
  <r>
    <x v="30"/>
    <x v="1"/>
    <x v="115"/>
    <x v="2"/>
    <x v="3"/>
    <x v="9"/>
    <x v="0"/>
    <x v="11"/>
    <n v="0"/>
    <x v="0"/>
  </r>
  <r>
    <x v="30"/>
    <x v="1"/>
    <x v="116"/>
    <x v="2"/>
    <x v="3"/>
    <x v="9"/>
    <x v="0"/>
    <x v="0"/>
    <n v="59.50506062842102"/>
    <x v="0"/>
  </r>
  <r>
    <x v="30"/>
    <x v="1"/>
    <x v="116"/>
    <x v="2"/>
    <x v="3"/>
    <x v="9"/>
    <x v="0"/>
    <x v="1"/>
    <n v="0"/>
    <x v="0"/>
  </r>
  <r>
    <x v="30"/>
    <x v="1"/>
    <x v="116"/>
    <x v="2"/>
    <x v="3"/>
    <x v="9"/>
    <x v="0"/>
    <x v="2"/>
    <n v="21.726777762854752"/>
    <x v="0"/>
  </r>
  <r>
    <x v="30"/>
    <x v="1"/>
    <x v="116"/>
    <x v="2"/>
    <x v="3"/>
    <x v="9"/>
    <x v="0"/>
    <x v="3"/>
    <n v="0"/>
    <x v="0"/>
  </r>
  <r>
    <x v="30"/>
    <x v="1"/>
    <x v="116"/>
    <x v="2"/>
    <x v="3"/>
    <x v="9"/>
    <x v="0"/>
    <x v="4"/>
    <n v="0"/>
    <x v="0"/>
  </r>
  <r>
    <x v="30"/>
    <x v="1"/>
    <x v="116"/>
    <x v="2"/>
    <x v="3"/>
    <x v="9"/>
    <x v="0"/>
    <x v="5"/>
    <n v="0"/>
    <x v="0"/>
  </r>
  <r>
    <x v="30"/>
    <x v="1"/>
    <x v="116"/>
    <x v="2"/>
    <x v="3"/>
    <x v="9"/>
    <x v="0"/>
    <x v="6"/>
    <n v="0"/>
    <x v="0"/>
  </r>
  <r>
    <x v="30"/>
    <x v="1"/>
    <x v="116"/>
    <x v="2"/>
    <x v="3"/>
    <x v="9"/>
    <x v="0"/>
    <x v="7"/>
    <n v="0"/>
    <x v="0"/>
  </r>
  <r>
    <x v="30"/>
    <x v="1"/>
    <x v="116"/>
    <x v="2"/>
    <x v="3"/>
    <x v="9"/>
    <x v="0"/>
    <x v="8"/>
    <n v="0"/>
    <x v="0"/>
  </r>
  <r>
    <x v="30"/>
    <x v="1"/>
    <x v="116"/>
    <x v="2"/>
    <x v="3"/>
    <x v="9"/>
    <x v="0"/>
    <x v="9"/>
    <n v="0"/>
    <x v="0"/>
  </r>
  <r>
    <x v="30"/>
    <x v="1"/>
    <x v="116"/>
    <x v="2"/>
    <x v="3"/>
    <x v="9"/>
    <x v="0"/>
    <x v="10"/>
    <n v="0"/>
    <x v="0"/>
  </r>
  <r>
    <x v="30"/>
    <x v="1"/>
    <x v="116"/>
    <x v="2"/>
    <x v="3"/>
    <x v="9"/>
    <x v="0"/>
    <x v="11"/>
    <n v="0"/>
    <x v="0"/>
  </r>
  <r>
    <x v="30"/>
    <x v="1"/>
    <x v="117"/>
    <x v="0"/>
    <x v="5"/>
    <x v="10"/>
    <x v="0"/>
    <x v="0"/>
    <n v="10674.305884426039"/>
    <x v="0"/>
  </r>
  <r>
    <x v="30"/>
    <x v="1"/>
    <x v="117"/>
    <x v="0"/>
    <x v="5"/>
    <x v="10"/>
    <x v="0"/>
    <x v="1"/>
    <n v="0"/>
    <x v="0"/>
  </r>
  <r>
    <x v="30"/>
    <x v="1"/>
    <x v="117"/>
    <x v="0"/>
    <x v="5"/>
    <x v="10"/>
    <x v="0"/>
    <x v="2"/>
    <n v="0"/>
    <x v="0"/>
  </r>
  <r>
    <x v="30"/>
    <x v="1"/>
    <x v="117"/>
    <x v="0"/>
    <x v="5"/>
    <x v="10"/>
    <x v="0"/>
    <x v="3"/>
    <n v="0"/>
    <x v="0"/>
  </r>
  <r>
    <x v="30"/>
    <x v="1"/>
    <x v="117"/>
    <x v="0"/>
    <x v="5"/>
    <x v="10"/>
    <x v="0"/>
    <x v="4"/>
    <n v="0"/>
    <x v="0"/>
  </r>
  <r>
    <x v="30"/>
    <x v="1"/>
    <x v="117"/>
    <x v="0"/>
    <x v="5"/>
    <x v="10"/>
    <x v="0"/>
    <x v="5"/>
    <n v="0"/>
    <x v="0"/>
  </r>
  <r>
    <x v="30"/>
    <x v="1"/>
    <x v="117"/>
    <x v="0"/>
    <x v="5"/>
    <x v="10"/>
    <x v="0"/>
    <x v="6"/>
    <n v="0"/>
    <x v="0"/>
  </r>
  <r>
    <x v="30"/>
    <x v="1"/>
    <x v="117"/>
    <x v="0"/>
    <x v="5"/>
    <x v="10"/>
    <x v="0"/>
    <x v="7"/>
    <n v="0"/>
    <x v="0"/>
  </r>
  <r>
    <x v="30"/>
    <x v="1"/>
    <x v="117"/>
    <x v="0"/>
    <x v="5"/>
    <x v="10"/>
    <x v="0"/>
    <x v="8"/>
    <n v="0"/>
    <x v="0"/>
  </r>
  <r>
    <x v="30"/>
    <x v="1"/>
    <x v="117"/>
    <x v="0"/>
    <x v="5"/>
    <x v="10"/>
    <x v="0"/>
    <x v="9"/>
    <n v="0"/>
    <x v="0"/>
  </r>
  <r>
    <x v="30"/>
    <x v="1"/>
    <x v="117"/>
    <x v="0"/>
    <x v="5"/>
    <x v="10"/>
    <x v="0"/>
    <x v="10"/>
    <n v="0"/>
    <x v="0"/>
  </r>
  <r>
    <x v="30"/>
    <x v="1"/>
    <x v="117"/>
    <x v="0"/>
    <x v="5"/>
    <x v="10"/>
    <x v="0"/>
    <x v="11"/>
    <n v="0"/>
    <x v="0"/>
  </r>
  <r>
    <x v="30"/>
    <x v="1"/>
    <x v="118"/>
    <x v="0"/>
    <x v="5"/>
    <x v="10"/>
    <x v="0"/>
    <x v="0"/>
    <n v="1040.5874514036498"/>
    <x v="0"/>
  </r>
  <r>
    <x v="30"/>
    <x v="1"/>
    <x v="118"/>
    <x v="0"/>
    <x v="5"/>
    <x v="10"/>
    <x v="0"/>
    <x v="1"/>
    <n v="519.32450386116409"/>
    <x v="0"/>
  </r>
  <r>
    <x v="30"/>
    <x v="1"/>
    <x v="118"/>
    <x v="0"/>
    <x v="5"/>
    <x v="10"/>
    <x v="0"/>
    <x v="2"/>
    <n v="0"/>
    <x v="0"/>
  </r>
  <r>
    <x v="30"/>
    <x v="1"/>
    <x v="118"/>
    <x v="0"/>
    <x v="5"/>
    <x v="10"/>
    <x v="0"/>
    <x v="3"/>
    <n v="0"/>
    <x v="0"/>
  </r>
  <r>
    <x v="30"/>
    <x v="1"/>
    <x v="118"/>
    <x v="0"/>
    <x v="5"/>
    <x v="10"/>
    <x v="0"/>
    <x v="4"/>
    <n v="4112.9766418268182"/>
    <x v="0"/>
  </r>
  <r>
    <x v="30"/>
    <x v="1"/>
    <x v="118"/>
    <x v="0"/>
    <x v="5"/>
    <x v="10"/>
    <x v="0"/>
    <x v="5"/>
    <n v="0"/>
    <x v="0"/>
  </r>
  <r>
    <x v="30"/>
    <x v="1"/>
    <x v="118"/>
    <x v="0"/>
    <x v="5"/>
    <x v="10"/>
    <x v="0"/>
    <x v="6"/>
    <n v="2910.1433508255473"/>
    <x v="0"/>
  </r>
  <r>
    <x v="30"/>
    <x v="1"/>
    <x v="118"/>
    <x v="0"/>
    <x v="5"/>
    <x v="10"/>
    <x v="0"/>
    <x v="7"/>
    <n v="202.59167652435747"/>
    <x v="0"/>
  </r>
  <r>
    <x v="30"/>
    <x v="1"/>
    <x v="118"/>
    <x v="0"/>
    <x v="5"/>
    <x v="10"/>
    <x v="0"/>
    <x v="8"/>
    <n v="0"/>
    <x v="0"/>
  </r>
  <r>
    <x v="30"/>
    <x v="1"/>
    <x v="118"/>
    <x v="0"/>
    <x v="5"/>
    <x v="10"/>
    <x v="0"/>
    <x v="9"/>
    <n v="0"/>
    <x v="0"/>
  </r>
  <r>
    <x v="30"/>
    <x v="1"/>
    <x v="118"/>
    <x v="0"/>
    <x v="5"/>
    <x v="10"/>
    <x v="0"/>
    <x v="10"/>
    <n v="10693.744339234252"/>
    <x v="0"/>
  </r>
  <r>
    <x v="30"/>
    <x v="1"/>
    <x v="118"/>
    <x v="0"/>
    <x v="5"/>
    <x v="10"/>
    <x v="0"/>
    <x v="11"/>
    <n v="530.09206776356916"/>
    <x v="0"/>
  </r>
  <r>
    <x v="30"/>
    <x v="1"/>
    <x v="119"/>
    <x v="0"/>
    <x v="3"/>
    <x v="11"/>
    <x v="0"/>
    <x v="0"/>
    <n v="1887.7773984294981"/>
    <x v="0"/>
  </r>
  <r>
    <x v="30"/>
    <x v="1"/>
    <x v="119"/>
    <x v="0"/>
    <x v="3"/>
    <x v="11"/>
    <x v="0"/>
    <x v="1"/>
    <n v="1871.807273935066"/>
    <x v="0"/>
  </r>
  <r>
    <x v="30"/>
    <x v="1"/>
    <x v="119"/>
    <x v="0"/>
    <x v="3"/>
    <x v="11"/>
    <x v="0"/>
    <x v="2"/>
    <n v="0"/>
    <x v="0"/>
  </r>
  <r>
    <x v="30"/>
    <x v="1"/>
    <x v="119"/>
    <x v="0"/>
    <x v="3"/>
    <x v="11"/>
    <x v="0"/>
    <x v="3"/>
    <n v="1928.3417001687253"/>
    <x v="0"/>
  </r>
  <r>
    <x v="30"/>
    <x v="1"/>
    <x v="119"/>
    <x v="0"/>
    <x v="3"/>
    <x v="11"/>
    <x v="0"/>
    <x v="4"/>
    <n v="2040.8757136009065"/>
    <x v="0"/>
  </r>
  <r>
    <x v="30"/>
    <x v="1"/>
    <x v="119"/>
    <x v="0"/>
    <x v="3"/>
    <x v="11"/>
    <x v="0"/>
    <x v="5"/>
    <n v="2023.0174498963372"/>
    <x v="0"/>
  </r>
  <r>
    <x v="30"/>
    <x v="1"/>
    <x v="119"/>
    <x v="0"/>
    <x v="3"/>
    <x v="11"/>
    <x v="0"/>
    <x v="6"/>
    <n v="4142.2628951747092"/>
    <x v="0"/>
  </r>
  <r>
    <x v="30"/>
    <x v="1"/>
    <x v="119"/>
    <x v="0"/>
    <x v="3"/>
    <x v="11"/>
    <x v="0"/>
    <x v="7"/>
    <n v="0"/>
    <x v="0"/>
  </r>
  <r>
    <x v="30"/>
    <x v="1"/>
    <x v="119"/>
    <x v="0"/>
    <x v="3"/>
    <x v="11"/>
    <x v="0"/>
    <x v="8"/>
    <n v="0"/>
    <x v="0"/>
  </r>
  <r>
    <x v="30"/>
    <x v="1"/>
    <x v="119"/>
    <x v="0"/>
    <x v="3"/>
    <x v="11"/>
    <x v="0"/>
    <x v="9"/>
    <n v="4146.6679517246548"/>
    <x v="0"/>
  </r>
  <r>
    <x v="30"/>
    <x v="1"/>
    <x v="119"/>
    <x v="0"/>
    <x v="3"/>
    <x v="11"/>
    <x v="0"/>
    <x v="10"/>
    <n v="4175.323178262659"/>
    <x v="0"/>
  </r>
  <r>
    <x v="30"/>
    <x v="1"/>
    <x v="119"/>
    <x v="0"/>
    <x v="3"/>
    <x v="11"/>
    <x v="0"/>
    <x v="11"/>
    <n v="1985.4429105703116"/>
    <x v="0"/>
  </r>
  <r>
    <x v="30"/>
    <x v="2"/>
    <x v="120"/>
    <x v="0"/>
    <x v="2"/>
    <x v="3"/>
    <x v="9"/>
    <x v="0"/>
    <n v="38183.680437009221"/>
    <x v="0"/>
  </r>
  <r>
    <x v="30"/>
    <x v="2"/>
    <x v="120"/>
    <x v="0"/>
    <x v="2"/>
    <x v="3"/>
    <x v="9"/>
    <x v="1"/>
    <n v="0"/>
    <x v="0"/>
  </r>
  <r>
    <x v="30"/>
    <x v="2"/>
    <x v="120"/>
    <x v="0"/>
    <x v="2"/>
    <x v="3"/>
    <x v="9"/>
    <x v="2"/>
    <n v="0"/>
    <x v="0"/>
  </r>
  <r>
    <x v="30"/>
    <x v="2"/>
    <x v="120"/>
    <x v="0"/>
    <x v="2"/>
    <x v="3"/>
    <x v="9"/>
    <x v="3"/>
    <n v="0"/>
    <x v="0"/>
  </r>
  <r>
    <x v="30"/>
    <x v="2"/>
    <x v="120"/>
    <x v="0"/>
    <x v="2"/>
    <x v="3"/>
    <x v="9"/>
    <x v="4"/>
    <n v="0"/>
    <x v="0"/>
  </r>
  <r>
    <x v="30"/>
    <x v="2"/>
    <x v="120"/>
    <x v="0"/>
    <x v="2"/>
    <x v="3"/>
    <x v="9"/>
    <x v="5"/>
    <n v="0"/>
    <x v="0"/>
  </r>
  <r>
    <x v="30"/>
    <x v="2"/>
    <x v="120"/>
    <x v="0"/>
    <x v="2"/>
    <x v="3"/>
    <x v="9"/>
    <x v="6"/>
    <n v="0"/>
    <x v="0"/>
  </r>
  <r>
    <x v="30"/>
    <x v="2"/>
    <x v="120"/>
    <x v="0"/>
    <x v="2"/>
    <x v="3"/>
    <x v="9"/>
    <x v="7"/>
    <n v="0"/>
    <x v="0"/>
  </r>
  <r>
    <x v="30"/>
    <x v="2"/>
    <x v="120"/>
    <x v="0"/>
    <x v="2"/>
    <x v="3"/>
    <x v="9"/>
    <x v="8"/>
    <n v="0"/>
    <x v="0"/>
  </r>
  <r>
    <x v="30"/>
    <x v="2"/>
    <x v="120"/>
    <x v="0"/>
    <x v="2"/>
    <x v="3"/>
    <x v="9"/>
    <x v="9"/>
    <n v="0"/>
    <x v="0"/>
  </r>
  <r>
    <x v="30"/>
    <x v="2"/>
    <x v="120"/>
    <x v="0"/>
    <x v="2"/>
    <x v="3"/>
    <x v="9"/>
    <x v="10"/>
    <n v="0"/>
    <x v="0"/>
  </r>
  <r>
    <x v="30"/>
    <x v="2"/>
    <x v="120"/>
    <x v="0"/>
    <x v="2"/>
    <x v="3"/>
    <x v="9"/>
    <x v="11"/>
    <n v="0"/>
    <x v="0"/>
  </r>
  <r>
    <x v="30"/>
    <x v="2"/>
    <x v="121"/>
    <x v="0"/>
    <x v="2"/>
    <x v="3"/>
    <x v="9"/>
    <x v="0"/>
    <n v="0"/>
    <x v="0"/>
  </r>
  <r>
    <x v="30"/>
    <x v="2"/>
    <x v="121"/>
    <x v="0"/>
    <x v="2"/>
    <x v="3"/>
    <x v="9"/>
    <x v="1"/>
    <n v="0"/>
    <x v="0"/>
  </r>
  <r>
    <x v="30"/>
    <x v="2"/>
    <x v="121"/>
    <x v="0"/>
    <x v="2"/>
    <x v="3"/>
    <x v="9"/>
    <x v="2"/>
    <n v="0"/>
    <x v="0"/>
  </r>
  <r>
    <x v="30"/>
    <x v="2"/>
    <x v="121"/>
    <x v="0"/>
    <x v="2"/>
    <x v="3"/>
    <x v="9"/>
    <x v="3"/>
    <n v="0"/>
    <x v="0"/>
  </r>
  <r>
    <x v="30"/>
    <x v="2"/>
    <x v="121"/>
    <x v="0"/>
    <x v="2"/>
    <x v="3"/>
    <x v="9"/>
    <x v="4"/>
    <n v="0"/>
    <x v="0"/>
  </r>
  <r>
    <x v="30"/>
    <x v="2"/>
    <x v="121"/>
    <x v="0"/>
    <x v="2"/>
    <x v="3"/>
    <x v="9"/>
    <x v="5"/>
    <n v="18250.565825846577"/>
    <x v="0"/>
  </r>
  <r>
    <x v="30"/>
    <x v="2"/>
    <x v="121"/>
    <x v="0"/>
    <x v="2"/>
    <x v="3"/>
    <x v="9"/>
    <x v="6"/>
    <n v="17011.652587567729"/>
    <x v="0"/>
  </r>
  <r>
    <x v="30"/>
    <x v="2"/>
    <x v="121"/>
    <x v="0"/>
    <x v="2"/>
    <x v="3"/>
    <x v="9"/>
    <x v="7"/>
    <n v="0"/>
    <x v="0"/>
  </r>
  <r>
    <x v="30"/>
    <x v="2"/>
    <x v="121"/>
    <x v="0"/>
    <x v="2"/>
    <x v="3"/>
    <x v="9"/>
    <x v="8"/>
    <n v="0"/>
    <x v="0"/>
  </r>
  <r>
    <x v="30"/>
    <x v="2"/>
    <x v="121"/>
    <x v="0"/>
    <x v="2"/>
    <x v="3"/>
    <x v="9"/>
    <x v="9"/>
    <n v="0"/>
    <x v="0"/>
  </r>
  <r>
    <x v="30"/>
    <x v="2"/>
    <x v="121"/>
    <x v="0"/>
    <x v="2"/>
    <x v="3"/>
    <x v="9"/>
    <x v="10"/>
    <n v="0"/>
    <x v="0"/>
  </r>
  <r>
    <x v="30"/>
    <x v="2"/>
    <x v="121"/>
    <x v="0"/>
    <x v="2"/>
    <x v="3"/>
    <x v="9"/>
    <x v="11"/>
    <n v="0"/>
    <x v="0"/>
  </r>
  <r>
    <x v="30"/>
    <x v="2"/>
    <x v="122"/>
    <x v="0"/>
    <x v="2"/>
    <x v="3"/>
    <x v="9"/>
    <x v="0"/>
    <n v="0"/>
    <x v="0"/>
  </r>
  <r>
    <x v="30"/>
    <x v="2"/>
    <x v="122"/>
    <x v="0"/>
    <x v="2"/>
    <x v="3"/>
    <x v="9"/>
    <x v="1"/>
    <n v="0"/>
    <x v="0"/>
  </r>
  <r>
    <x v="30"/>
    <x v="2"/>
    <x v="122"/>
    <x v="0"/>
    <x v="2"/>
    <x v="3"/>
    <x v="9"/>
    <x v="2"/>
    <n v="0"/>
    <x v="0"/>
  </r>
  <r>
    <x v="30"/>
    <x v="2"/>
    <x v="122"/>
    <x v="0"/>
    <x v="2"/>
    <x v="3"/>
    <x v="9"/>
    <x v="3"/>
    <n v="0"/>
    <x v="0"/>
  </r>
  <r>
    <x v="30"/>
    <x v="2"/>
    <x v="122"/>
    <x v="0"/>
    <x v="2"/>
    <x v="3"/>
    <x v="9"/>
    <x v="4"/>
    <n v="0"/>
    <x v="0"/>
  </r>
  <r>
    <x v="30"/>
    <x v="2"/>
    <x v="122"/>
    <x v="0"/>
    <x v="2"/>
    <x v="3"/>
    <x v="9"/>
    <x v="5"/>
    <n v="49866.925103662747"/>
    <x v="0"/>
  </r>
  <r>
    <x v="30"/>
    <x v="2"/>
    <x v="122"/>
    <x v="0"/>
    <x v="2"/>
    <x v="3"/>
    <x v="9"/>
    <x v="6"/>
    <n v="847.49562694654219"/>
    <x v="0"/>
  </r>
  <r>
    <x v="30"/>
    <x v="2"/>
    <x v="122"/>
    <x v="0"/>
    <x v="2"/>
    <x v="3"/>
    <x v="9"/>
    <x v="7"/>
    <n v="0"/>
    <x v="0"/>
  </r>
  <r>
    <x v="30"/>
    <x v="2"/>
    <x v="122"/>
    <x v="0"/>
    <x v="2"/>
    <x v="3"/>
    <x v="9"/>
    <x v="8"/>
    <n v="0"/>
    <x v="0"/>
  </r>
  <r>
    <x v="30"/>
    <x v="2"/>
    <x v="122"/>
    <x v="0"/>
    <x v="2"/>
    <x v="3"/>
    <x v="9"/>
    <x v="9"/>
    <n v="0"/>
    <x v="0"/>
  </r>
  <r>
    <x v="30"/>
    <x v="2"/>
    <x v="122"/>
    <x v="0"/>
    <x v="2"/>
    <x v="3"/>
    <x v="9"/>
    <x v="10"/>
    <n v="0"/>
    <x v="0"/>
  </r>
  <r>
    <x v="30"/>
    <x v="2"/>
    <x v="122"/>
    <x v="0"/>
    <x v="2"/>
    <x v="3"/>
    <x v="9"/>
    <x v="11"/>
    <n v="0"/>
    <x v="0"/>
  </r>
  <r>
    <x v="30"/>
    <x v="1"/>
    <x v="123"/>
    <x v="2"/>
    <x v="2"/>
    <x v="3"/>
    <x v="0"/>
    <x v="0"/>
    <n v="0"/>
    <x v="0"/>
  </r>
  <r>
    <x v="30"/>
    <x v="1"/>
    <x v="123"/>
    <x v="2"/>
    <x v="2"/>
    <x v="3"/>
    <x v="0"/>
    <x v="1"/>
    <n v="0"/>
    <x v="0"/>
  </r>
  <r>
    <x v="30"/>
    <x v="1"/>
    <x v="123"/>
    <x v="2"/>
    <x v="2"/>
    <x v="3"/>
    <x v="0"/>
    <x v="2"/>
    <n v="0"/>
    <x v="0"/>
  </r>
  <r>
    <x v="30"/>
    <x v="1"/>
    <x v="123"/>
    <x v="2"/>
    <x v="2"/>
    <x v="3"/>
    <x v="0"/>
    <x v="3"/>
    <n v="0"/>
    <x v="0"/>
  </r>
  <r>
    <x v="30"/>
    <x v="1"/>
    <x v="123"/>
    <x v="2"/>
    <x v="2"/>
    <x v="3"/>
    <x v="0"/>
    <x v="4"/>
    <n v="914.87231446376438"/>
    <x v="0"/>
  </r>
  <r>
    <x v="30"/>
    <x v="1"/>
    <x v="123"/>
    <x v="2"/>
    <x v="2"/>
    <x v="3"/>
    <x v="0"/>
    <x v="5"/>
    <n v="0"/>
    <x v="0"/>
  </r>
  <r>
    <x v="30"/>
    <x v="1"/>
    <x v="123"/>
    <x v="2"/>
    <x v="2"/>
    <x v="3"/>
    <x v="0"/>
    <x v="6"/>
    <n v="0"/>
    <x v="0"/>
  </r>
  <r>
    <x v="30"/>
    <x v="1"/>
    <x v="123"/>
    <x v="2"/>
    <x v="2"/>
    <x v="3"/>
    <x v="0"/>
    <x v="7"/>
    <n v="0"/>
    <x v="0"/>
  </r>
  <r>
    <x v="30"/>
    <x v="1"/>
    <x v="123"/>
    <x v="2"/>
    <x v="2"/>
    <x v="3"/>
    <x v="0"/>
    <x v="8"/>
    <n v="0"/>
    <x v="0"/>
  </r>
  <r>
    <x v="30"/>
    <x v="1"/>
    <x v="123"/>
    <x v="2"/>
    <x v="2"/>
    <x v="3"/>
    <x v="0"/>
    <x v="9"/>
    <n v="0"/>
    <x v="0"/>
  </r>
  <r>
    <x v="30"/>
    <x v="1"/>
    <x v="123"/>
    <x v="2"/>
    <x v="2"/>
    <x v="3"/>
    <x v="0"/>
    <x v="10"/>
    <n v="0"/>
    <x v="0"/>
  </r>
  <r>
    <x v="30"/>
    <x v="1"/>
    <x v="123"/>
    <x v="2"/>
    <x v="2"/>
    <x v="3"/>
    <x v="0"/>
    <x v="11"/>
    <n v="0"/>
    <x v="0"/>
  </r>
  <r>
    <x v="30"/>
    <x v="2"/>
    <x v="124"/>
    <x v="2"/>
    <x v="2"/>
    <x v="3"/>
    <x v="0"/>
    <x v="0"/>
    <n v="0"/>
    <x v="0"/>
  </r>
  <r>
    <x v="30"/>
    <x v="2"/>
    <x v="124"/>
    <x v="2"/>
    <x v="2"/>
    <x v="3"/>
    <x v="0"/>
    <x v="1"/>
    <n v="0"/>
    <x v="0"/>
  </r>
  <r>
    <x v="30"/>
    <x v="2"/>
    <x v="124"/>
    <x v="2"/>
    <x v="2"/>
    <x v="3"/>
    <x v="0"/>
    <x v="2"/>
    <n v="0"/>
    <x v="0"/>
  </r>
  <r>
    <x v="30"/>
    <x v="2"/>
    <x v="124"/>
    <x v="2"/>
    <x v="2"/>
    <x v="3"/>
    <x v="0"/>
    <x v="3"/>
    <n v="0"/>
    <x v="0"/>
  </r>
  <r>
    <x v="30"/>
    <x v="2"/>
    <x v="124"/>
    <x v="2"/>
    <x v="2"/>
    <x v="3"/>
    <x v="0"/>
    <x v="4"/>
    <n v="22490.980302436048"/>
    <x v="0"/>
  </r>
  <r>
    <x v="30"/>
    <x v="2"/>
    <x v="124"/>
    <x v="2"/>
    <x v="2"/>
    <x v="3"/>
    <x v="0"/>
    <x v="5"/>
    <n v="0"/>
    <x v="0"/>
  </r>
  <r>
    <x v="30"/>
    <x v="2"/>
    <x v="124"/>
    <x v="2"/>
    <x v="2"/>
    <x v="3"/>
    <x v="0"/>
    <x v="6"/>
    <n v="0"/>
    <x v="0"/>
  </r>
  <r>
    <x v="30"/>
    <x v="2"/>
    <x v="124"/>
    <x v="2"/>
    <x v="2"/>
    <x v="3"/>
    <x v="0"/>
    <x v="7"/>
    <n v="0"/>
    <x v="0"/>
  </r>
  <r>
    <x v="30"/>
    <x v="2"/>
    <x v="124"/>
    <x v="2"/>
    <x v="2"/>
    <x v="3"/>
    <x v="0"/>
    <x v="8"/>
    <n v="0"/>
    <x v="0"/>
  </r>
  <r>
    <x v="30"/>
    <x v="2"/>
    <x v="124"/>
    <x v="2"/>
    <x v="2"/>
    <x v="3"/>
    <x v="0"/>
    <x v="9"/>
    <n v="0"/>
    <x v="0"/>
  </r>
  <r>
    <x v="30"/>
    <x v="2"/>
    <x v="124"/>
    <x v="2"/>
    <x v="2"/>
    <x v="3"/>
    <x v="0"/>
    <x v="10"/>
    <n v="26815.758542610129"/>
    <x v="0"/>
  </r>
  <r>
    <x v="30"/>
    <x v="2"/>
    <x v="124"/>
    <x v="2"/>
    <x v="2"/>
    <x v="3"/>
    <x v="0"/>
    <x v="11"/>
    <n v="0"/>
    <x v="0"/>
  </r>
  <r>
    <x v="30"/>
    <x v="0"/>
    <x v="125"/>
    <x v="1"/>
    <x v="3"/>
    <x v="12"/>
    <x v="0"/>
    <x v="0"/>
    <n v="0"/>
    <x v="0"/>
  </r>
  <r>
    <x v="30"/>
    <x v="0"/>
    <x v="125"/>
    <x v="1"/>
    <x v="3"/>
    <x v="12"/>
    <x v="0"/>
    <x v="1"/>
    <n v="0"/>
    <x v="0"/>
  </r>
  <r>
    <x v="30"/>
    <x v="0"/>
    <x v="125"/>
    <x v="1"/>
    <x v="3"/>
    <x v="12"/>
    <x v="0"/>
    <x v="2"/>
    <n v="0"/>
    <x v="0"/>
  </r>
  <r>
    <x v="30"/>
    <x v="0"/>
    <x v="125"/>
    <x v="1"/>
    <x v="3"/>
    <x v="12"/>
    <x v="0"/>
    <x v="3"/>
    <n v="225.01718499385507"/>
    <x v="0"/>
  </r>
  <r>
    <x v="30"/>
    <x v="0"/>
    <x v="125"/>
    <x v="1"/>
    <x v="3"/>
    <x v="12"/>
    <x v="0"/>
    <x v="4"/>
    <n v="0"/>
    <x v="0"/>
  </r>
  <r>
    <x v="30"/>
    <x v="0"/>
    <x v="125"/>
    <x v="1"/>
    <x v="3"/>
    <x v="12"/>
    <x v="0"/>
    <x v="5"/>
    <n v="0"/>
    <x v="0"/>
  </r>
  <r>
    <x v="30"/>
    <x v="0"/>
    <x v="125"/>
    <x v="1"/>
    <x v="3"/>
    <x v="12"/>
    <x v="0"/>
    <x v="6"/>
    <n v="0"/>
    <x v="0"/>
  </r>
  <r>
    <x v="30"/>
    <x v="0"/>
    <x v="125"/>
    <x v="1"/>
    <x v="3"/>
    <x v="12"/>
    <x v="0"/>
    <x v="7"/>
    <n v="0"/>
    <x v="0"/>
  </r>
  <r>
    <x v="30"/>
    <x v="0"/>
    <x v="125"/>
    <x v="1"/>
    <x v="3"/>
    <x v="12"/>
    <x v="0"/>
    <x v="8"/>
    <n v="0"/>
    <x v="0"/>
  </r>
  <r>
    <x v="30"/>
    <x v="0"/>
    <x v="125"/>
    <x v="1"/>
    <x v="3"/>
    <x v="12"/>
    <x v="0"/>
    <x v="9"/>
    <n v="0"/>
    <x v="0"/>
  </r>
  <r>
    <x v="30"/>
    <x v="0"/>
    <x v="125"/>
    <x v="1"/>
    <x v="3"/>
    <x v="12"/>
    <x v="0"/>
    <x v="10"/>
    <n v="0"/>
    <x v="0"/>
  </r>
  <r>
    <x v="30"/>
    <x v="0"/>
    <x v="125"/>
    <x v="1"/>
    <x v="3"/>
    <x v="12"/>
    <x v="0"/>
    <x v="11"/>
    <n v="0"/>
    <x v="0"/>
  </r>
  <r>
    <x v="30"/>
    <x v="0"/>
    <x v="126"/>
    <x v="1"/>
    <x v="3"/>
    <x v="12"/>
    <x v="0"/>
    <x v="0"/>
    <n v="225.20512340444279"/>
    <x v="0"/>
  </r>
  <r>
    <x v="30"/>
    <x v="0"/>
    <x v="126"/>
    <x v="1"/>
    <x v="3"/>
    <x v="12"/>
    <x v="0"/>
    <x v="1"/>
    <n v="0"/>
    <x v="0"/>
  </r>
  <r>
    <x v="30"/>
    <x v="0"/>
    <x v="126"/>
    <x v="1"/>
    <x v="3"/>
    <x v="12"/>
    <x v="0"/>
    <x v="2"/>
    <n v="0"/>
    <x v="0"/>
  </r>
  <r>
    <x v="30"/>
    <x v="0"/>
    <x v="126"/>
    <x v="1"/>
    <x v="3"/>
    <x v="12"/>
    <x v="0"/>
    <x v="3"/>
    <n v="55.773116420522008"/>
    <x v="0"/>
  </r>
  <r>
    <x v="30"/>
    <x v="0"/>
    <x v="126"/>
    <x v="1"/>
    <x v="3"/>
    <x v="12"/>
    <x v="0"/>
    <x v="4"/>
    <n v="0"/>
    <x v="0"/>
  </r>
  <r>
    <x v="30"/>
    <x v="0"/>
    <x v="126"/>
    <x v="1"/>
    <x v="3"/>
    <x v="12"/>
    <x v="0"/>
    <x v="5"/>
    <n v="141.96505701451278"/>
    <x v="0"/>
  </r>
  <r>
    <x v="30"/>
    <x v="0"/>
    <x v="126"/>
    <x v="1"/>
    <x v="3"/>
    <x v="12"/>
    <x v="0"/>
    <x v="6"/>
    <n v="0"/>
    <x v="0"/>
  </r>
  <r>
    <x v="30"/>
    <x v="0"/>
    <x v="126"/>
    <x v="1"/>
    <x v="3"/>
    <x v="12"/>
    <x v="0"/>
    <x v="7"/>
    <n v="0"/>
    <x v="0"/>
  </r>
  <r>
    <x v="30"/>
    <x v="0"/>
    <x v="126"/>
    <x v="1"/>
    <x v="3"/>
    <x v="12"/>
    <x v="0"/>
    <x v="8"/>
    <n v="0"/>
    <x v="0"/>
  </r>
  <r>
    <x v="30"/>
    <x v="0"/>
    <x v="126"/>
    <x v="1"/>
    <x v="3"/>
    <x v="12"/>
    <x v="0"/>
    <x v="9"/>
    <n v="0"/>
    <x v="0"/>
  </r>
  <r>
    <x v="30"/>
    <x v="0"/>
    <x v="126"/>
    <x v="1"/>
    <x v="3"/>
    <x v="12"/>
    <x v="0"/>
    <x v="10"/>
    <n v="0"/>
    <x v="0"/>
  </r>
  <r>
    <x v="30"/>
    <x v="0"/>
    <x v="126"/>
    <x v="1"/>
    <x v="3"/>
    <x v="12"/>
    <x v="0"/>
    <x v="11"/>
    <n v="0"/>
    <x v="0"/>
  </r>
  <r>
    <x v="30"/>
    <x v="0"/>
    <x v="127"/>
    <x v="1"/>
    <x v="3"/>
    <x v="12"/>
    <x v="0"/>
    <x v="0"/>
    <n v="0"/>
    <x v="0"/>
  </r>
  <r>
    <x v="30"/>
    <x v="0"/>
    <x v="127"/>
    <x v="1"/>
    <x v="3"/>
    <x v="12"/>
    <x v="0"/>
    <x v="1"/>
    <n v="0"/>
    <x v="0"/>
  </r>
  <r>
    <x v="30"/>
    <x v="0"/>
    <x v="127"/>
    <x v="1"/>
    <x v="3"/>
    <x v="12"/>
    <x v="0"/>
    <x v="2"/>
    <n v="0"/>
    <x v="0"/>
  </r>
  <r>
    <x v="30"/>
    <x v="0"/>
    <x v="127"/>
    <x v="1"/>
    <x v="3"/>
    <x v="12"/>
    <x v="0"/>
    <x v="3"/>
    <n v="630.85591684546"/>
    <x v="0"/>
  </r>
  <r>
    <x v="30"/>
    <x v="0"/>
    <x v="127"/>
    <x v="1"/>
    <x v="3"/>
    <x v="12"/>
    <x v="0"/>
    <x v="4"/>
    <n v="0"/>
    <x v="0"/>
  </r>
  <r>
    <x v="30"/>
    <x v="0"/>
    <x v="127"/>
    <x v="1"/>
    <x v="3"/>
    <x v="12"/>
    <x v="0"/>
    <x v="5"/>
    <n v="0"/>
    <x v="0"/>
  </r>
  <r>
    <x v="30"/>
    <x v="0"/>
    <x v="127"/>
    <x v="1"/>
    <x v="3"/>
    <x v="12"/>
    <x v="0"/>
    <x v="6"/>
    <n v="0"/>
    <x v="0"/>
  </r>
  <r>
    <x v="30"/>
    <x v="0"/>
    <x v="127"/>
    <x v="1"/>
    <x v="3"/>
    <x v="12"/>
    <x v="0"/>
    <x v="7"/>
    <n v="0"/>
    <x v="0"/>
  </r>
  <r>
    <x v="30"/>
    <x v="0"/>
    <x v="127"/>
    <x v="1"/>
    <x v="3"/>
    <x v="12"/>
    <x v="0"/>
    <x v="8"/>
    <n v="0"/>
    <x v="0"/>
  </r>
  <r>
    <x v="30"/>
    <x v="0"/>
    <x v="127"/>
    <x v="1"/>
    <x v="3"/>
    <x v="12"/>
    <x v="0"/>
    <x v="9"/>
    <n v="0"/>
    <x v="0"/>
  </r>
  <r>
    <x v="30"/>
    <x v="0"/>
    <x v="127"/>
    <x v="1"/>
    <x v="3"/>
    <x v="12"/>
    <x v="0"/>
    <x v="10"/>
    <n v="0"/>
    <x v="0"/>
  </r>
  <r>
    <x v="30"/>
    <x v="0"/>
    <x v="127"/>
    <x v="1"/>
    <x v="3"/>
    <x v="12"/>
    <x v="0"/>
    <x v="11"/>
    <n v="0"/>
    <x v="0"/>
  </r>
  <r>
    <x v="30"/>
    <x v="0"/>
    <x v="128"/>
    <x v="1"/>
    <x v="3"/>
    <x v="12"/>
    <x v="0"/>
    <x v="0"/>
    <n v="0"/>
    <x v="0"/>
  </r>
  <r>
    <x v="30"/>
    <x v="0"/>
    <x v="128"/>
    <x v="1"/>
    <x v="3"/>
    <x v="12"/>
    <x v="0"/>
    <x v="1"/>
    <n v="0"/>
    <x v="0"/>
  </r>
  <r>
    <x v="30"/>
    <x v="0"/>
    <x v="128"/>
    <x v="1"/>
    <x v="3"/>
    <x v="12"/>
    <x v="0"/>
    <x v="2"/>
    <n v="0"/>
    <x v="0"/>
  </r>
  <r>
    <x v="30"/>
    <x v="0"/>
    <x v="128"/>
    <x v="1"/>
    <x v="3"/>
    <x v="12"/>
    <x v="0"/>
    <x v="3"/>
    <n v="457.79261357718667"/>
    <x v="0"/>
  </r>
  <r>
    <x v="30"/>
    <x v="0"/>
    <x v="128"/>
    <x v="1"/>
    <x v="3"/>
    <x v="12"/>
    <x v="0"/>
    <x v="4"/>
    <n v="0"/>
    <x v="0"/>
  </r>
  <r>
    <x v="30"/>
    <x v="0"/>
    <x v="128"/>
    <x v="1"/>
    <x v="3"/>
    <x v="12"/>
    <x v="0"/>
    <x v="5"/>
    <n v="0"/>
    <x v="0"/>
  </r>
  <r>
    <x v="30"/>
    <x v="0"/>
    <x v="128"/>
    <x v="1"/>
    <x v="3"/>
    <x v="12"/>
    <x v="0"/>
    <x v="6"/>
    <n v="0"/>
    <x v="0"/>
  </r>
  <r>
    <x v="30"/>
    <x v="0"/>
    <x v="128"/>
    <x v="1"/>
    <x v="3"/>
    <x v="12"/>
    <x v="0"/>
    <x v="7"/>
    <n v="0"/>
    <x v="0"/>
  </r>
  <r>
    <x v="30"/>
    <x v="0"/>
    <x v="128"/>
    <x v="1"/>
    <x v="3"/>
    <x v="12"/>
    <x v="0"/>
    <x v="8"/>
    <n v="0"/>
    <x v="0"/>
  </r>
  <r>
    <x v="30"/>
    <x v="0"/>
    <x v="128"/>
    <x v="1"/>
    <x v="3"/>
    <x v="12"/>
    <x v="0"/>
    <x v="9"/>
    <n v="0"/>
    <x v="0"/>
  </r>
  <r>
    <x v="30"/>
    <x v="0"/>
    <x v="128"/>
    <x v="1"/>
    <x v="3"/>
    <x v="12"/>
    <x v="0"/>
    <x v="10"/>
    <n v="0"/>
    <x v="0"/>
  </r>
  <r>
    <x v="30"/>
    <x v="0"/>
    <x v="128"/>
    <x v="1"/>
    <x v="3"/>
    <x v="12"/>
    <x v="0"/>
    <x v="11"/>
    <n v="0"/>
    <x v="0"/>
  </r>
  <r>
    <x v="30"/>
    <x v="0"/>
    <x v="129"/>
    <x v="1"/>
    <x v="3"/>
    <x v="12"/>
    <x v="0"/>
    <x v="0"/>
    <n v="0"/>
    <x v="0"/>
  </r>
  <r>
    <x v="30"/>
    <x v="0"/>
    <x v="129"/>
    <x v="1"/>
    <x v="3"/>
    <x v="12"/>
    <x v="0"/>
    <x v="1"/>
    <n v="0"/>
    <x v="0"/>
  </r>
  <r>
    <x v="30"/>
    <x v="0"/>
    <x v="129"/>
    <x v="1"/>
    <x v="3"/>
    <x v="12"/>
    <x v="0"/>
    <x v="2"/>
    <n v="0"/>
    <x v="0"/>
  </r>
  <r>
    <x v="30"/>
    <x v="0"/>
    <x v="129"/>
    <x v="1"/>
    <x v="3"/>
    <x v="12"/>
    <x v="0"/>
    <x v="3"/>
    <n v="0"/>
    <x v="0"/>
  </r>
  <r>
    <x v="30"/>
    <x v="0"/>
    <x v="129"/>
    <x v="1"/>
    <x v="3"/>
    <x v="12"/>
    <x v="0"/>
    <x v="4"/>
    <n v="0"/>
    <x v="0"/>
  </r>
  <r>
    <x v="30"/>
    <x v="0"/>
    <x v="129"/>
    <x v="1"/>
    <x v="3"/>
    <x v="12"/>
    <x v="0"/>
    <x v="5"/>
    <n v="0"/>
    <x v="0"/>
  </r>
  <r>
    <x v="30"/>
    <x v="0"/>
    <x v="129"/>
    <x v="1"/>
    <x v="3"/>
    <x v="12"/>
    <x v="0"/>
    <x v="6"/>
    <n v="0"/>
    <x v="0"/>
  </r>
  <r>
    <x v="30"/>
    <x v="0"/>
    <x v="129"/>
    <x v="1"/>
    <x v="3"/>
    <x v="12"/>
    <x v="0"/>
    <x v="7"/>
    <n v="0"/>
    <x v="0"/>
  </r>
  <r>
    <x v="30"/>
    <x v="0"/>
    <x v="129"/>
    <x v="1"/>
    <x v="3"/>
    <x v="12"/>
    <x v="0"/>
    <x v="8"/>
    <n v="0"/>
    <x v="0"/>
  </r>
  <r>
    <x v="30"/>
    <x v="0"/>
    <x v="129"/>
    <x v="1"/>
    <x v="3"/>
    <x v="12"/>
    <x v="0"/>
    <x v="9"/>
    <n v="0"/>
    <x v="0"/>
  </r>
  <r>
    <x v="30"/>
    <x v="0"/>
    <x v="129"/>
    <x v="1"/>
    <x v="3"/>
    <x v="12"/>
    <x v="0"/>
    <x v="10"/>
    <n v="0"/>
    <x v="0"/>
  </r>
  <r>
    <x v="30"/>
    <x v="0"/>
    <x v="129"/>
    <x v="1"/>
    <x v="3"/>
    <x v="12"/>
    <x v="0"/>
    <x v="11"/>
    <n v="0"/>
    <x v="0"/>
  </r>
  <r>
    <x v="30"/>
    <x v="0"/>
    <x v="130"/>
    <x v="1"/>
    <x v="3"/>
    <x v="12"/>
    <x v="0"/>
    <x v="0"/>
    <n v="561.68019471580078"/>
    <x v="0"/>
  </r>
  <r>
    <x v="30"/>
    <x v="0"/>
    <x v="130"/>
    <x v="1"/>
    <x v="3"/>
    <x v="12"/>
    <x v="0"/>
    <x v="1"/>
    <n v="0"/>
    <x v="0"/>
  </r>
  <r>
    <x v="30"/>
    <x v="0"/>
    <x v="130"/>
    <x v="1"/>
    <x v="3"/>
    <x v="12"/>
    <x v="0"/>
    <x v="2"/>
    <n v="0"/>
    <x v="0"/>
  </r>
  <r>
    <x v="30"/>
    <x v="0"/>
    <x v="130"/>
    <x v="1"/>
    <x v="3"/>
    <x v="12"/>
    <x v="0"/>
    <x v="3"/>
    <n v="0"/>
    <x v="0"/>
  </r>
  <r>
    <x v="30"/>
    <x v="0"/>
    <x v="130"/>
    <x v="1"/>
    <x v="3"/>
    <x v="12"/>
    <x v="0"/>
    <x v="4"/>
    <n v="0"/>
    <x v="0"/>
  </r>
  <r>
    <x v="30"/>
    <x v="0"/>
    <x v="130"/>
    <x v="1"/>
    <x v="3"/>
    <x v="12"/>
    <x v="0"/>
    <x v="5"/>
    <n v="0"/>
    <x v="0"/>
  </r>
  <r>
    <x v="30"/>
    <x v="0"/>
    <x v="130"/>
    <x v="1"/>
    <x v="3"/>
    <x v="12"/>
    <x v="0"/>
    <x v="6"/>
    <n v="0"/>
    <x v="0"/>
  </r>
  <r>
    <x v="30"/>
    <x v="0"/>
    <x v="130"/>
    <x v="1"/>
    <x v="3"/>
    <x v="12"/>
    <x v="0"/>
    <x v="7"/>
    <n v="0"/>
    <x v="0"/>
  </r>
  <r>
    <x v="30"/>
    <x v="0"/>
    <x v="130"/>
    <x v="1"/>
    <x v="3"/>
    <x v="12"/>
    <x v="0"/>
    <x v="8"/>
    <n v="0"/>
    <x v="0"/>
  </r>
  <r>
    <x v="30"/>
    <x v="0"/>
    <x v="130"/>
    <x v="1"/>
    <x v="3"/>
    <x v="12"/>
    <x v="0"/>
    <x v="9"/>
    <n v="0"/>
    <x v="0"/>
  </r>
  <r>
    <x v="30"/>
    <x v="0"/>
    <x v="130"/>
    <x v="1"/>
    <x v="3"/>
    <x v="12"/>
    <x v="0"/>
    <x v="10"/>
    <n v="0"/>
    <x v="0"/>
  </r>
  <r>
    <x v="30"/>
    <x v="0"/>
    <x v="130"/>
    <x v="1"/>
    <x v="3"/>
    <x v="12"/>
    <x v="0"/>
    <x v="11"/>
    <n v="0"/>
    <x v="0"/>
  </r>
  <r>
    <x v="30"/>
    <x v="0"/>
    <x v="131"/>
    <x v="0"/>
    <x v="3"/>
    <x v="11"/>
    <x v="0"/>
    <x v="0"/>
    <n v="1408.330488221236"/>
    <x v="0"/>
  </r>
  <r>
    <x v="30"/>
    <x v="0"/>
    <x v="131"/>
    <x v="0"/>
    <x v="3"/>
    <x v="11"/>
    <x v="0"/>
    <x v="1"/>
    <n v="0"/>
    <x v="0"/>
  </r>
  <r>
    <x v="30"/>
    <x v="0"/>
    <x v="131"/>
    <x v="0"/>
    <x v="3"/>
    <x v="11"/>
    <x v="0"/>
    <x v="2"/>
    <n v="0"/>
    <x v="0"/>
  </r>
  <r>
    <x v="30"/>
    <x v="0"/>
    <x v="131"/>
    <x v="0"/>
    <x v="3"/>
    <x v="11"/>
    <x v="0"/>
    <x v="3"/>
    <n v="0"/>
    <x v="0"/>
  </r>
  <r>
    <x v="30"/>
    <x v="0"/>
    <x v="131"/>
    <x v="0"/>
    <x v="3"/>
    <x v="11"/>
    <x v="0"/>
    <x v="4"/>
    <n v="0"/>
    <x v="0"/>
  </r>
  <r>
    <x v="30"/>
    <x v="0"/>
    <x v="131"/>
    <x v="0"/>
    <x v="3"/>
    <x v="11"/>
    <x v="0"/>
    <x v="5"/>
    <n v="0"/>
    <x v="0"/>
  </r>
  <r>
    <x v="30"/>
    <x v="0"/>
    <x v="131"/>
    <x v="0"/>
    <x v="3"/>
    <x v="11"/>
    <x v="0"/>
    <x v="6"/>
    <n v="1459.0863518068177"/>
    <x v="0"/>
  </r>
  <r>
    <x v="30"/>
    <x v="0"/>
    <x v="131"/>
    <x v="0"/>
    <x v="3"/>
    <x v="11"/>
    <x v="0"/>
    <x v="7"/>
    <n v="0"/>
    <x v="0"/>
  </r>
  <r>
    <x v="30"/>
    <x v="0"/>
    <x v="131"/>
    <x v="0"/>
    <x v="3"/>
    <x v="11"/>
    <x v="0"/>
    <x v="8"/>
    <n v="0"/>
    <x v="0"/>
  </r>
  <r>
    <x v="30"/>
    <x v="0"/>
    <x v="131"/>
    <x v="0"/>
    <x v="3"/>
    <x v="11"/>
    <x v="0"/>
    <x v="9"/>
    <n v="1398.8391642839551"/>
    <x v="0"/>
  </r>
  <r>
    <x v="30"/>
    <x v="0"/>
    <x v="131"/>
    <x v="0"/>
    <x v="3"/>
    <x v="11"/>
    <x v="0"/>
    <x v="10"/>
    <n v="0"/>
    <x v="0"/>
  </r>
  <r>
    <x v="30"/>
    <x v="0"/>
    <x v="131"/>
    <x v="0"/>
    <x v="3"/>
    <x v="11"/>
    <x v="0"/>
    <x v="11"/>
    <n v="0"/>
    <x v="0"/>
  </r>
  <r>
    <x v="30"/>
    <x v="1"/>
    <x v="132"/>
    <x v="1"/>
    <x v="3"/>
    <x v="13"/>
    <x v="0"/>
    <x v="0"/>
    <n v="0"/>
    <x v="0"/>
  </r>
  <r>
    <x v="30"/>
    <x v="1"/>
    <x v="132"/>
    <x v="1"/>
    <x v="3"/>
    <x v="13"/>
    <x v="0"/>
    <x v="1"/>
    <n v="648.98800132857252"/>
    <x v="0"/>
  </r>
  <r>
    <x v="30"/>
    <x v="1"/>
    <x v="132"/>
    <x v="1"/>
    <x v="3"/>
    <x v="13"/>
    <x v="0"/>
    <x v="2"/>
    <n v="0"/>
    <x v="0"/>
  </r>
  <r>
    <x v="30"/>
    <x v="1"/>
    <x v="132"/>
    <x v="1"/>
    <x v="3"/>
    <x v="13"/>
    <x v="0"/>
    <x v="3"/>
    <n v="0"/>
    <x v="0"/>
  </r>
  <r>
    <x v="30"/>
    <x v="1"/>
    <x v="132"/>
    <x v="1"/>
    <x v="3"/>
    <x v="13"/>
    <x v="0"/>
    <x v="4"/>
    <n v="0"/>
    <x v="0"/>
  </r>
  <r>
    <x v="30"/>
    <x v="1"/>
    <x v="132"/>
    <x v="1"/>
    <x v="3"/>
    <x v="13"/>
    <x v="0"/>
    <x v="5"/>
    <n v="0"/>
    <x v="0"/>
  </r>
  <r>
    <x v="30"/>
    <x v="1"/>
    <x v="132"/>
    <x v="1"/>
    <x v="3"/>
    <x v="13"/>
    <x v="0"/>
    <x v="6"/>
    <n v="0"/>
    <x v="0"/>
  </r>
  <r>
    <x v="30"/>
    <x v="1"/>
    <x v="132"/>
    <x v="1"/>
    <x v="3"/>
    <x v="13"/>
    <x v="0"/>
    <x v="7"/>
    <n v="0"/>
    <x v="0"/>
  </r>
  <r>
    <x v="30"/>
    <x v="1"/>
    <x v="132"/>
    <x v="1"/>
    <x v="3"/>
    <x v="13"/>
    <x v="0"/>
    <x v="8"/>
    <n v="0"/>
    <x v="0"/>
  </r>
  <r>
    <x v="30"/>
    <x v="1"/>
    <x v="132"/>
    <x v="1"/>
    <x v="3"/>
    <x v="13"/>
    <x v="0"/>
    <x v="9"/>
    <n v="0"/>
    <x v="0"/>
  </r>
  <r>
    <x v="30"/>
    <x v="1"/>
    <x v="132"/>
    <x v="1"/>
    <x v="3"/>
    <x v="13"/>
    <x v="0"/>
    <x v="10"/>
    <n v="0"/>
    <x v="0"/>
  </r>
  <r>
    <x v="30"/>
    <x v="1"/>
    <x v="132"/>
    <x v="1"/>
    <x v="3"/>
    <x v="13"/>
    <x v="0"/>
    <x v="11"/>
    <n v="0"/>
    <x v="0"/>
  </r>
  <r>
    <x v="30"/>
    <x v="1"/>
    <x v="133"/>
    <x v="0"/>
    <x v="4"/>
    <x v="14"/>
    <x v="1"/>
    <x v="0"/>
    <n v="759.28038855053467"/>
    <x v="0"/>
  </r>
  <r>
    <x v="30"/>
    <x v="1"/>
    <x v="133"/>
    <x v="0"/>
    <x v="4"/>
    <x v="14"/>
    <x v="1"/>
    <x v="1"/>
    <n v="0"/>
    <x v="0"/>
  </r>
  <r>
    <x v="30"/>
    <x v="1"/>
    <x v="133"/>
    <x v="0"/>
    <x v="4"/>
    <x v="14"/>
    <x v="1"/>
    <x v="2"/>
    <n v="0"/>
    <x v="0"/>
  </r>
  <r>
    <x v="30"/>
    <x v="1"/>
    <x v="133"/>
    <x v="0"/>
    <x v="4"/>
    <x v="14"/>
    <x v="1"/>
    <x v="3"/>
    <n v="0"/>
    <x v="0"/>
  </r>
  <r>
    <x v="30"/>
    <x v="1"/>
    <x v="133"/>
    <x v="0"/>
    <x v="4"/>
    <x v="14"/>
    <x v="1"/>
    <x v="4"/>
    <n v="0"/>
    <x v="0"/>
  </r>
  <r>
    <x v="30"/>
    <x v="1"/>
    <x v="133"/>
    <x v="0"/>
    <x v="4"/>
    <x v="14"/>
    <x v="1"/>
    <x v="5"/>
    <n v="1344.3385020732549"/>
    <x v="0"/>
  </r>
  <r>
    <x v="30"/>
    <x v="1"/>
    <x v="133"/>
    <x v="0"/>
    <x v="4"/>
    <x v="14"/>
    <x v="1"/>
    <x v="6"/>
    <n v="0"/>
    <x v="0"/>
  </r>
  <r>
    <x v="30"/>
    <x v="1"/>
    <x v="133"/>
    <x v="0"/>
    <x v="4"/>
    <x v="14"/>
    <x v="1"/>
    <x v="7"/>
    <n v="0"/>
    <x v="0"/>
  </r>
  <r>
    <x v="30"/>
    <x v="1"/>
    <x v="133"/>
    <x v="0"/>
    <x v="4"/>
    <x v="14"/>
    <x v="1"/>
    <x v="8"/>
    <n v="0"/>
    <x v="0"/>
  </r>
  <r>
    <x v="30"/>
    <x v="1"/>
    <x v="133"/>
    <x v="0"/>
    <x v="4"/>
    <x v="14"/>
    <x v="1"/>
    <x v="9"/>
    <n v="230.94419635686063"/>
    <x v="0"/>
  </r>
  <r>
    <x v="30"/>
    <x v="1"/>
    <x v="133"/>
    <x v="0"/>
    <x v="4"/>
    <x v="14"/>
    <x v="1"/>
    <x v="10"/>
    <n v="106.59633594071634"/>
    <x v="0"/>
  </r>
  <r>
    <x v="30"/>
    <x v="1"/>
    <x v="133"/>
    <x v="0"/>
    <x v="4"/>
    <x v="14"/>
    <x v="1"/>
    <x v="11"/>
    <n v="0"/>
    <x v="0"/>
  </r>
  <r>
    <x v="30"/>
    <x v="1"/>
    <x v="134"/>
    <x v="1"/>
    <x v="4"/>
    <x v="5"/>
    <x v="0"/>
    <x v="0"/>
    <n v="0"/>
    <x v="0"/>
  </r>
  <r>
    <x v="30"/>
    <x v="1"/>
    <x v="134"/>
    <x v="1"/>
    <x v="4"/>
    <x v="5"/>
    <x v="0"/>
    <x v="1"/>
    <n v="0"/>
    <x v="0"/>
  </r>
  <r>
    <x v="30"/>
    <x v="1"/>
    <x v="134"/>
    <x v="1"/>
    <x v="4"/>
    <x v="5"/>
    <x v="0"/>
    <x v="2"/>
    <n v="0"/>
    <x v="0"/>
  </r>
  <r>
    <x v="30"/>
    <x v="1"/>
    <x v="134"/>
    <x v="1"/>
    <x v="4"/>
    <x v="5"/>
    <x v="0"/>
    <x v="3"/>
    <n v="0"/>
    <x v="0"/>
  </r>
  <r>
    <x v="30"/>
    <x v="1"/>
    <x v="134"/>
    <x v="1"/>
    <x v="4"/>
    <x v="5"/>
    <x v="0"/>
    <x v="4"/>
    <n v="0"/>
    <x v="0"/>
  </r>
  <r>
    <x v="30"/>
    <x v="1"/>
    <x v="134"/>
    <x v="1"/>
    <x v="4"/>
    <x v="5"/>
    <x v="0"/>
    <x v="5"/>
    <n v="0"/>
    <x v="0"/>
  </r>
  <r>
    <x v="30"/>
    <x v="1"/>
    <x v="134"/>
    <x v="1"/>
    <x v="4"/>
    <x v="5"/>
    <x v="0"/>
    <x v="6"/>
    <n v="7784.4351294850467"/>
    <x v="0"/>
  </r>
  <r>
    <x v="30"/>
    <x v="1"/>
    <x v="134"/>
    <x v="1"/>
    <x v="4"/>
    <x v="5"/>
    <x v="0"/>
    <x v="7"/>
    <n v="0"/>
    <x v="0"/>
  </r>
  <r>
    <x v="30"/>
    <x v="1"/>
    <x v="134"/>
    <x v="1"/>
    <x v="4"/>
    <x v="5"/>
    <x v="0"/>
    <x v="8"/>
    <n v="0"/>
    <x v="0"/>
  </r>
  <r>
    <x v="30"/>
    <x v="1"/>
    <x v="134"/>
    <x v="1"/>
    <x v="4"/>
    <x v="5"/>
    <x v="0"/>
    <x v="9"/>
    <n v="3080.564568809501"/>
    <x v="0"/>
  </r>
  <r>
    <x v="30"/>
    <x v="1"/>
    <x v="134"/>
    <x v="1"/>
    <x v="4"/>
    <x v="5"/>
    <x v="0"/>
    <x v="10"/>
    <n v="0"/>
    <x v="0"/>
  </r>
  <r>
    <x v="30"/>
    <x v="1"/>
    <x v="134"/>
    <x v="1"/>
    <x v="4"/>
    <x v="5"/>
    <x v="0"/>
    <x v="11"/>
    <n v="0"/>
    <x v="0"/>
  </r>
  <r>
    <x v="30"/>
    <x v="1"/>
    <x v="135"/>
    <x v="1"/>
    <x v="6"/>
    <x v="14"/>
    <x v="0"/>
    <x v="0"/>
    <n v="228.87697001068292"/>
    <x v="0"/>
  </r>
  <r>
    <x v="30"/>
    <x v="1"/>
    <x v="135"/>
    <x v="1"/>
    <x v="6"/>
    <x v="14"/>
    <x v="0"/>
    <x v="1"/>
    <n v="0"/>
    <x v="0"/>
  </r>
  <r>
    <x v="30"/>
    <x v="1"/>
    <x v="135"/>
    <x v="1"/>
    <x v="6"/>
    <x v="14"/>
    <x v="0"/>
    <x v="2"/>
    <n v="0"/>
    <x v="0"/>
  </r>
  <r>
    <x v="30"/>
    <x v="1"/>
    <x v="135"/>
    <x v="1"/>
    <x v="6"/>
    <x v="14"/>
    <x v="0"/>
    <x v="3"/>
    <n v="0"/>
    <x v="0"/>
  </r>
  <r>
    <x v="30"/>
    <x v="1"/>
    <x v="135"/>
    <x v="1"/>
    <x v="6"/>
    <x v="14"/>
    <x v="0"/>
    <x v="4"/>
    <n v="0"/>
    <x v="0"/>
  </r>
  <r>
    <x v="30"/>
    <x v="1"/>
    <x v="135"/>
    <x v="1"/>
    <x v="6"/>
    <x v="14"/>
    <x v="0"/>
    <x v="5"/>
    <n v="0"/>
    <x v="0"/>
  </r>
  <r>
    <x v="30"/>
    <x v="1"/>
    <x v="135"/>
    <x v="1"/>
    <x v="6"/>
    <x v="14"/>
    <x v="0"/>
    <x v="6"/>
    <n v="0"/>
    <x v="0"/>
  </r>
  <r>
    <x v="30"/>
    <x v="1"/>
    <x v="135"/>
    <x v="1"/>
    <x v="6"/>
    <x v="14"/>
    <x v="0"/>
    <x v="7"/>
    <n v="0"/>
    <x v="0"/>
  </r>
  <r>
    <x v="30"/>
    <x v="1"/>
    <x v="135"/>
    <x v="1"/>
    <x v="6"/>
    <x v="14"/>
    <x v="0"/>
    <x v="8"/>
    <n v="0"/>
    <x v="0"/>
  </r>
  <r>
    <x v="30"/>
    <x v="1"/>
    <x v="135"/>
    <x v="1"/>
    <x v="6"/>
    <x v="14"/>
    <x v="0"/>
    <x v="9"/>
    <n v="0"/>
    <x v="0"/>
  </r>
  <r>
    <x v="30"/>
    <x v="1"/>
    <x v="135"/>
    <x v="1"/>
    <x v="6"/>
    <x v="14"/>
    <x v="0"/>
    <x v="10"/>
    <n v="0"/>
    <x v="0"/>
  </r>
  <r>
    <x v="30"/>
    <x v="1"/>
    <x v="135"/>
    <x v="1"/>
    <x v="6"/>
    <x v="14"/>
    <x v="0"/>
    <x v="11"/>
    <n v="0"/>
    <x v="0"/>
  </r>
  <r>
    <x v="30"/>
    <x v="1"/>
    <x v="136"/>
    <x v="1"/>
    <x v="4"/>
    <x v="14"/>
    <x v="0"/>
    <x v="0"/>
    <n v="251.01708168592165"/>
    <x v="0"/>
  </r>
  <r>
    <x v="30"/>
    <x v="1"/>
    <x v="136"/>
    <x v="1"/>
    <x v="4"/>
    <x v="14"/>
    <x v="0"/>
    <x v="1"/>
    <n v="0"/>
    <x v="0"/>
  </r>
  <r>
    <x v="30"/>
    <x v="1"/>
    <x v="136"/>
    <x v="1"/>
    <x v="4"/>
    <x v="14"/>
    <x v="0"/>
    <x v="2"/>
    <n v="0"/>
    <x v="0"/>
  </r>
  <r>
    <x v="30"/>
    <x v="1"/>
    <x v="136"/>
    <x v="1"/>
    <x v="4"/>
    <x v="14"/>
    <x v="0"/>
    <x v="3"/>
    <n v="2195.1569562772097"/>
    <x v="0"/>
  </r>
  <r>
    <x v="30"/>
    <x v="1"/>
    <x v="136"/>
    <x v="1"/>
    <x v="4"/>
    <x v="14"/>
    <x v="0"/>
    <x v="4"/>
    <n v="0"/>
    <x v="0"/>
  </r>
  <r>
    <x v="30"/>
    <x v="1"/>
    <x v="136"/>
    <x v="1"/>
    <x v="4"/>
    <x v="14"/>
    <x v="0"/>
    <x v="5"/>
    <n v="0"/>
    <x v="0"/>
  </r>
  <r>
    <x v="30"/>
    <x v="1"/>
    <x v="136"/>
    <x v="1"/>
    <x v="4"/>
    <x v="14"/>
    <x v="0"/>
    <x v="6"/>
    <n v="0"/>
    <x v="0"/>
  </r>
  <r>
    <x v="30"/>
    <x v="1"/>
    <x v="136"/>
    <x v="1"/>
    <x v="4"/>
    <x v="14"/>
    <x v="0"/>
    <x v="7"/>
    <n v="0"/>
    <x v="0"/>
  </r>
  <r>
    <x v="30"/>
    <x v="1"/>
    <x v="136"/>
    <x v="1"/>
    <x v="4"/>
    <x v="14"/>
    <x v="0"/>
    <x v="8"/>
    <n v="0"/>
    <x v="0"/>
  </r>
  <r>
    <x v="30"/>
    <x v="1"/>
    <x v="136"/>
    <x v="1"/>
    <x v="4"/>
    <x v="14"/>
    <x v="0"/>
    <x v="9"/>
    <n v="0"/>
    <x v="0"/>
  </r>
  <r>
    <x v="30"/>
    <x v="1"/>
    <x v="136"/>
    <x v="1"/>
    <x v="4"/>
    <x v="14"/>
    <x v="0"/>
    <x v="10"/>
    <n v="0"/>
    <x v="0"/>
  </r>
  <r>
    <x v="30"/>
    <x v="1"/>
    <x v="136"/>
    <x v="1"/>
    <x v="4"/>
    <x v="14"/>
    <x v="0"/>
    <x v="11"/>
    <n v="0"/>
    <x v="0"/>
  </r>
  <r>
    <x v="30"/>
    <x v="1"/>
    <x v="137"/>
    <x v="0"/>
    <x v="4"/>
    <x v="14"/>
    <x v="10"/>
    <x v="0"/>
    <n v="71.040429960682388"/>
    <x v="0"/>
  </r>
  <r>
    <x v="30"/>
    <x v="1"/>
    <x v="137"/>
    <x v="0"/>
    <x v="4"/>
    <x v="14"/>
    <x v="10"/>
    <x v="1"/>
    <n v="0"/>
    <x v="0"/>
  </r>
  <r>
    <x v="30"/>
    <x v="1"/>
    <x v="137"/>
    <x v="0"/>
    <x v="4"/>
    <x v="14"/>
    <x v="10"/>
    <x v="2"/>
    <n v="0"/>
    <x v="0"/>
  </r>
  <r>
    <x v="30"/>
    <x v="1"/>
    <x v="137"/>
    <x v="0"/>
    <x v="4"/>
    <x v="14"/>
    <x v="10"/>
    <x v="3"/>
    <n v="0"/>
    <x v="0"/>
  </r>
  <r>
    <x v="30"/>
    <x v="1"/>
    <x v="137"/>
    <x v="0"/>
    <x v="4"/>
    <x v="14"/>
    <x v="10"/>
    <x v="4"/>
    <n v="0"/>
    <x v="0"/>
  </r>
  <r>
    <x v="30"/>
    <x v="1"/>
    <x v="137"/>
    <x v="0"/>
    <x v="4"/>
    <x v="14"/>
    <x v="10"/>
    <x v="5"/>
    <n v="0"/>
    <x v="0"/>
  </r>
  <r>
    <x v="30"/>
    <x v="1"/>
    <x v="137"/>
    <x v="0"/>
    <x v="4"/>
    <x v="14"/>
    <x v="10"/>
    <x v="6"/>
    <n v="0"/>
    <x v="0"/>
  </r>
  <r>
    <x v="30"/>
    <x v="1"/>
    <x v="137"/>
    <x v="0"/>
    <x v="4"/>
    <x v="14"/>
    <x v="10"/>
    <x v="7"/>
    <n v="0"/>
    <x v="0"/>
  </r>
  <r>
    <x v="30"/>
    <x v="1"/>
    <x v="137"/>
    <x v="0"/>
    <x v="4"/>
    <x v="14"/>
    <x v="10"/>
    <x v="8"/>
    <n v="0"/>
    <x v="0"/>
  </r>
  <r>
    <x v="30"/>
    <x v="1"/>
    <x v="137"/>
    <x v="0"/>
    <x v="4"/>
    <x v="14"/>
    <x v="10"/>
    <x v="9"/>
    <n v="0"/>
    <x v="0"/>
  </r>
  <r>
    <x v="30"/>
    <x v="1"/>
    <x v="137"/>
    <x v="0"/>
    <x v="4"/>
    <x v="14"/>
    <x v="10"/>
    <x v="10"/>
    <n v="0"/>
    <x v="0"/>
  </r>
  <r>
    <x v="30"/>
    <x v="1"/>
    <x v="137"/>
    <x v="0"/>
    <x v="4"/>
    <x v="14"/>
    <x v="10"/>
    <x v="11"/>
    <n v="0"/>
    <x v="0"/>
  </r>
  <r>
    <x v="30"/>
    <x v="1"/>
    <x v="138"/>
    <x v="1"/>
    <x v="1"/>
    <x v="14"/>
    <x v="0"/>
    <x v="0"/>
    <n v="91.344618332801019"/>
    <x v="0"/>
  </r>
  <r>
    <x v="30"/>
    <x v="1"/>
    <x v="138"/>
    <x v="1"/>
    <x v="1"/>
    <x v="14"/>
    <x v="0"/>
    <x v="1"/>
    <n v="0"/>
    <x v="0"/>
  </r>
  <r>
    <x v="30"/>
    <x v="1"/>
    <x v="138"/>
    <x v="1"/>
    <x v="1"/>
    <x v="14"/>
    <x v="0"/>
    <x v="2"/>
    <n v="0"/>
    <x v="0"/>
  </r>
  <r>
    <x v="30"/>
    <x v="1"/>
    <x v="138"/>
    <x v="1"/>
    <x v="1"/>
    <x v="14"/>
    <x v="0"/>
    <x v="3"/>
    <n v="0"/>
    <x v="0"/>
  </r>
  <r>
    <x v="30"/>
    <x v="1"/>
    <x v="138"/>
    <x v="1"/>
    <x v="1"/>
    <x v="14"/>
    <x v="0"/>
    <x v="4"/>
    <n v="0"/>
    <x v="0"/>
  </r>
  <r>
    <x v="30"/>
    <x v="1"/>
    <x v="138"/>
    <x v="1"/>
    <x v="1"/>
    <x v="14"/>
    <x v="0"/>
    <x v="5"/>
    <n v="0"/>
    <x v="0"/>
  </r>
  <r>
    <x v="30"/>
    <x v="1"/>
    <x v="138"/>
    <x v="1"/>
    <x v="1"/>
    <x v="14"/>
    <x v="0"/>
    <x v="6"/>
    <n v="0"/>
    <x v="0"/>
  </r>
  <r>
    <x v="30"/>
    <x v="1"/>
    <x v="138"/>
    <x v="1"/>
    <x v="1"/>
    <x v="14"/>
    <x v="0"/>
    <x v="7"/>
    <n v="0"/>
    <x v="0"/>
  </r>
  <r>
    <x v="30"/>
    <x v="1"/>
    <x v="138"/>
    <x v="1"/>
    <x v="1"/>
    <x v="14"/>
    <x v="0"/>
    <x v="8"/>
    <n v="0"/>
    <x v="0"/>
  </r>
  <r>
    <x v="30"/>
    <x v="1"/>
    <x v="138"/>
    <x v="1"/>
    <x v="1"/>
    <x v="14"/>
    <x v="0"/>
    <x v="9"/>
    <n v="0"/>
    <x v="0"/>
  </r>
  <r>
    <x v="30"/>
    <x v="1"/>
    <x v="138"/>
    <x v="1"/>
    <x v="1"/>
    <x v="14"/>
    <x v="0"/>
    <x v="10"/>
    <n v="0"/>
    <x v="0"/>
  </r>
  <r>
    <x v="30"/>
    <x v="1"/>
    <x v="138"/>
    <x v="1"/>
    <x v="1"/>
    <x v="14"/>
    <x v="0"/>
    <x v="11"/>
    <n v="0"/>
    <x v="0"/>
  </r>
  <r>
    <x v="30"/>
    <x v="1"/>
    <x v="139"/>
    <x v="0"/>
    <x v="4"/>
    <x v="14"/>
    <x v="10"/>
    <x v="0"/>
    <n v="0"/>
    <x v="0"/>
  </r>
  <r>
    <x v="30"/>
    <x v="1"/>
    <x v="139"/>
    <x v="0"/>
    <x v="4"/>
    <x v="14"/>
    <x v="10"/>
    <x v="1"/>
    <n v="86.540936643693428"/>
    <x v="0"/>
  </r>
  <r>
    <x v="30"/>
    <x v="1"/>
    <x v="139"/>
    <x v="0"/>
    <x v="4"/>
    <x v="14"/>
    <x v="10"/>
    <x v="2"/>
    <n v="171.902926864546"/>
    <x v="0"/>
  </r>
  <r>
    <x v="30"/>
    <x v="1"/>
    <x v="139"/>
    <x v="0"/>
    <x v="4"/>
    <x v="14"/>
    <x v="10"/>
    <x v="3"/>
    <n v="0"/>
    <x v="0"/>
  </r>
  <r>
    <x v="30"/>
    <x v="1"/>
    <x v="139"/>
    <x v="0"/>
    <x v="4"/>
    <x v="14"/>
    <x v="10"/>
    <x v="4"/>
    <n v="0"/>
    <x v="0"/>
  </r>
  <r>
    <x v="30"/>
    <x v="1"/>
    <x v="139"/>
    <x v="0"/>
    <x v="4"/>
    <x v="14"/>
    <x v="10"/>
    <x v="5"/>
    <n v="0"/>
    <x v="0"/>
  </r>
  <r>
    <x v="30"/>
    <x v="1"/>
    <x v="139"/>
    <x v="0"/>
    <x v="4"/>
    <x v="14"/>
    <x v="10"/>
    <x v="6"/>
    <n v="0"/>
    <x v="0"/>
  </r>
  <r>
    <x v="30"/>
    <x v="1"/>
    <x v="139"/>
    <x v="0"/>
    <x v="4"/>
    <x v="14"/>
    <x v="10"/>
    <x v="7"/>
    <n v="0"/>
    <x v="0"/>
  </r>
  <r>
    <x v="30"/>
    <x v="1"/>
    <x v="139"/>
    <x v="0"/>
    <x v="4"/>
    <x v="14"/>
    <x v="10"/>
    <x v="8"/>
    <n v="0"/>
    <x v="0"/>
  </r>
  <r>
    <x v="30"/>
    <x v="1"/>
    <x v="139"/>
    <x v="0"/>
    <x v="4"/>
    <x v="14"/>
    <x v="10"/>
    <x v="9"/>
    <n v="0"/>
    <x v="0"/>
  </r>
  <r>
    <x v="30"/>
    <x v="1"/>
    <x v="139"/>
    <x v="0"/>
    <x v="4"/>
    <x v="14"/>
    <x v="10"/>
    <x v="10"/>
    <n v="0"/>
    <x v="0"/>
  </r>
  <r>
    <x v="30"/>
    <x v="1"/>
    <x v="139"/>
    <x v="0"/>
    <x v="4"/>
    <x v="14"/>
    <x v="10"/>
    <x v="11"/>
    <n v="0"/>
    <x v="0"/>
  </r>
  <r>
    <x v="30"/>
    <x v="1"/>
    <x v="140"/>
    <x v="0"/>
    <x v="4"/>
    <x v="14"/>
    <x v="14"/>
    <x v="0"/>
    <n v="0"/>
    <x v="0"/>
  </r>
  <r>
    <x v="30"/>
    <x v="1"/>
    <x v="140"/>
    <x v="0"/>
    <x v="4"/>
    <x v="14"/>
    <x v="14"/>
    <x v="1"/>
    <n v="0"/>
    <x v="0"/>
  </r>
  <r>
    <x v="30"/>
    <x v="1"/>
    <x v="140"/>
    <x v="0"/>
    <x v="4"/>
    <x v="14"/>
    <x v="14"/>
    <x v="2"/>
    <n v="0"/>
    <x v="0"/>
  </r>
  <r>
    <x v="30"/>
    <x v="1"/>
    <x v="140"/>
    <x v="0"/>
    <x v="4"/>
    <x v="14"/>
    <x v="14"/>
    <x v="3"/>
    <n v="0"/>
    <x v="0"/>
  </r>
  <r>
    <x v="30"/>
    <x v="1"/>
    <x v="140"/>
    <x v="0"/>
    <x v="4"/>
    <x v="14"/>
    <x v="14"/>
    <x v="4"/>
    <n v="1392.4913932104414"/>
    <x v="0"/>
  </r>
  <r>
    <x v="30"/>
    <x v="1"/>
    <x v="140"/>
    <x v="0"/>
    <x v="4"/>
    <x v="14"/>
    <x v="14"/>
    <x v="5"/>
    <n v="0"/>
    <x v="0"/>
  </r>
  <r>
    <x v="30"/>
    <x v="1"/>
    <x v="140"/>
    <x v="0"/>
    <x v="4"/>
    <x v="14"/>
    <x v="14"/>
    <x v="6"/>
    <n v="0"/>
    <x v="0"/>
  </r>
  <r>
    <x v="30"/>
    <x v="1"/>
    <x v="140"/>
    <x v="0"/>
    <x v="4"/>
    <x v="14"/>
    <x v="14"/>
    <x v="7"/>
    <n v="598.11270029035381"/>
    <x v="0"/>
  </r>
  <r>
    <x v="30"/>
    <x v="1"/>
    <x v="140"/>
    <x v="0"/>
    <x v="4"/>
    <x v="14"/>
    <x v="14"/>
    <x v="8"/>
    <n v="0"/>
    <x v="0"/>
  </r>
  <r>
    <x v="30"/>
    <x v="1"/>
    <x v="140"/>
    <x v="0"/>
    <x v="4"/>
    <x v="14"/>
    <x v="14"/>
    <x v="9"/>
    <n v="564.89435752454995"/>
    <x v="0"/>
  </r>
  <r>
    <x v="30"/>
    <x v="1"/>
    <x v="140"/>
    <x v="0"/>
    <x v="4"/>
    <x v="14"/>
    <x v="14"/>
    <x v="10"/>
    <n v="0"/>
    <x v="0"/>
  </r>
  <r>
    <x v="30"/>
    <x v="1"/>
    <x v="140"/>
    <x v="0"/>
    <x v="4"/>
    <x v="14"/>
    <x v="14"/>
    <x v="11"/>
    <n v="0"/>
    <x v="0"/>
  </r>
  <r>
    <x v="23"/>
    <x v="1"/>
    <x v="141"/>
    <x v="0"/>
    <x v="4"/>
    <x v="15"/>
    <x v="0"/>
    <x v="0"/>
    <n v="0"/>
    <x v="0"/>
  </r>
  <r>
    <x v="23"/>
    <x v="1"/>
    <x v="141"/>
    <x v="0"/>
    <x v="4"/>
    <x v="15"/>
    <x v="0"/>
    <x v="1"/>
    <n v="0"/>
    <x v="0"/>
  </r>
  <r>
    <x v="23"/>
    <x v="1"/>
    <x v="141"/>
    <x v="0"/>
    <x v="4"/>
    <x v="15"/>
    <x v="0"/>
    <x v="2"/>
    <n v="0"/>
    <x v="0"/>
  </r>
  <r>
    <x v="23"/>
    <x v="1"/>
    <x v="141"/>
    <x v="0"/>
    <x v="4"/>
    <x v="15"/>
    <x v="0"/>
    <x v="3"/>
    <n v="0"/>
    <x v="0"/>
  </r>
  <r>
    <x v="23"/>
    <x v="1"/>
    <x v="141"/>
    <x v="0"/>
    <x v="4"/>
    <x v="15"/>
    <x v="0"/>
    <x v="4"/>
    <n v="0"/>
    <x v="0"/>
  </r>
  <r>
    <x v="23"/>
    <x v="1"/>
    <x v="141"/>
    <x v="0"/>
    <x v="4"/>
    <x v="15"/>
    <x v="0"/>
    <x v="5"/>
    <n v="0"/>
    <x v="0"/>
  </r>
  <r>
    <x v="23"/>
    <x v="1"/>
    <x v="141"/>
    <x v="0"/>
    <x v="4"/>
    <x v="15"/>
    <x v="0"/>
    <x v="6"/>
    <n v="245.85093220700543"/>
    <x v="0"/>
  </r>
  <r>
    <x v="23"/>
    <x v="1"/>
    <x v="141"/>
    <x v="0"/>
    <x v="4"/>
    <x v="15"/>
    <x v="0"/>
    <x v="7"/>
    <n v="0"/>
    <x v="0"/>
  </r>
  <r>
    <x v="23"/>
    <x v="1"/>
    <x v="141"/>
    <x v="0"/>
    <x v="4"/>
    <x v="15"/>
    <x v="0"/>
    <x v="8"/>
    <n v="0"/>
    <x v="0"/>
  </r>
  <r>
    <x v="23"/>
    <x v="1"/>
    <x v="141"/>
    <x v="0"/>
    <x v="4"/>
    <x v="15"/>
    <x v="0"/>
    <x v="9"/>
    <n v="12.850579882417195"/>
    <x v="0"/>
  </r>
  <r>
    <x v="23"/>
    <x v="1"/>
    <x v="141"/>
    <x v="0"/>
    <x v="4"/>
    <x v="15"/>
    <x v="0"/>
    <x v="10"/>
    <n v="0"/>
    <x v="0"/>
  </r>
  <r>
    <x v="23"/>
    <x v="1"/>
    <x v="141"/>
    <x v="0"/>
    <x v="4"/>
    <x v="15"/>
    <x v="0"/>
    <x v="11"/>
    <n v="0"/>
    <x v="0"/>
  </r>
  <r>
    <x v="30"/>
    <x v="1"/>
    <x v="139"/>
    <x v="0"/>
    <x v="4"/>
    <x v="14"/>
    <x v="10"/>
    <x v="0"/>
    <n v="0"/>
    <x v="0"/>
  </r>
  <r>
    <x v="30"/>
    <x v="1"/>
    <x v="139"/>
    <x v="0"/>
    <x v="4"/>
    <x v="14"/>
    <x v="10"/>
    <x v="1"/>
    <n v="0"/>
    <x v="0"/>
  </r>
  <r>
    <x v="30"/>
    <x v="1"/>
    <x v="139"/>
    <x v="0"/>
    <x v="4"/>
    <x v="14"/>
    <x v="10"/>
    <x v="2"/>
    <n v="0"/>
    <x v="0"/>
  </r>
  <r>
    <x v="30"/>
    <x v="1"/>
    <x v="139"/>
    <x v="0"/>
    <x v="4"/>
    <x v="14"/>
    <x v="10"/>
    <x v="3"/>
    <n v="0"/>
    <x v="0"/>
  </r>
  <r>
    <x v="30"/>
    <x v="1"/>
    <x v="139"/>
    <x v="0"/>
    <x v="4"/>
    <x v="14"/>
    <x v="10"/>
    <x v="4"/>
    <n v="0"/>
    <x v="0"/>
  </r>
  <r>
    <x v="30"/>
    <x v="1"/>
    <x v="139"/>
    <x v="0"/>
    <x v="4"/>
    <x v="14"/>
    <x v="10"/>
    <x v="5"/>
    <n v="0"/>
    <x v="0"/>
  </r>
  <r>
    <x v="30"/>
    <x v="1"/>
    <x v="139"/>
    <x v="0"/>
    <x v="4"/>
    <x v="14"/>
    <x v="10"/>
    <x v="6"/>
    <n v="0"/>
    <x v="0"/>
  </r>
  <r>
    <x v="30"/>
    <x v="1"/>
    <x v="139"/>
    <x v="0"/>
    <x v="4"/>
    <x v="14"/>
    <x v="10"/>
    <x v="7"/>
    <n v="0"/>
    <x v="0"/>
  </r>
  <r>
    <x v="30"/>
    <x v="1"/>
    <x v="139"/>
    <x v="0"/>
    <x v="4"/>
    <x v="14"/>
    <x v="10"/>
    <x v="8"/>
    <n v="0"/>
    <x v="0"/>
  </r>
  <r>
    <x v="30"/>
    <x v="1"/>
    <x v="139"/>
    <x v="0"/>
    <x v="4"/>
    <x v="14"/>
    <x v="10"/>
    <x v="9"/>
    <n v="0"/>
    <x v="0"/>
  </r>
  <r>
    <x v="30"/>
    <x v="1"/>
    <x v="139"/>
    <x v="0"/>
    <x v="4"/>
    <x v="14"/>
    <x v="10"/>
    <x v="10"/>
    <n v="0"/>
    <x v="0"/>
  </r>
  <r>
    <x v="30"/>
    <x v="1"/>
    <x v="139"/>
    <x v="0"/>
    <x v="4"/>
    <x v="14"/>
    <x v="10"/>
    <x v="11"/>
    <n v="0"/>
    <x v="0"/>
  </r>
  <r>
    <x v="30"/>
    <x v="1"/>
    <x v="142"/>
    <x v="0"/>
    <x v="4"/>
    <x v="14"/>
    <x v="15"/>
    <x v="0"/>
    <n v="0"/>
    <x v="0"/>
  </r>
  <r>
    <x v="30"/>
    <x v="1"/>
    <x v="142"/>
    <x v="0"/>
    <x v="4"/>
    <x v="14"/>
    <x v="15"/>
    <x v="1"/>
    <n v="0"/>
    <x v="0"/>
  </r>
  <r>
    <x v="30"/>
    <x v="1"/>
    <x v="142"/>
    <x v="0"/>
    <x v="4"/>
    <x v="14"/>
    <x v="15"/>
    <x v="2"/>
    <n v="0"/>
    <x v="0"/>
  </r>
  <r>
    <x v="30"/>
    <x v="1"/>
    <x v="142"/>
    <x v="0"/>
    <x v="4"/>
    <x v="14"/>
    <x v="15"/>
    <x v="3"/>
    <n v="2083.0295581894306"/>
    <x v="0"/>
  </r>
  <r>
    <x v="30"/>
    <x v="1"/>
    <x v="142"/>
    <x v="0"/>
    <x v="4"/>
    <x v="14"/>
    <x v="15"/>
    <x v="4"/>
    <n v="0"/>
    <x v="0"/>
  </r>
  <r>
    <x v="30"/>
    <x v="1"/>
    <x v="142"/>
    <x v="0"/>
    <x v="4"/>
    <x v="14"/>
    <x v="15"/>
    <x v="5"/>
    <n v="0"/>
    <x v="0"/>
  </r>
  <r>
    <x v="30"/>
    <x v="1"/>
    <x v="142"/>
    <x v="0"/>
    <x v="4"/>
    <x v="14"/>
    <x v="15"/>
    <x v="6"/>
    <n v="0"/>
    <x v="0"/>
  </r>
  <r>
    <x v="30"/>
    <x v="1"/>
    <x v="142"/>
    <x v="0"/>
    <x v="4"/>
    <x v="14"/>
    <x v="15"/>
    <x v="7"/>
    <n v="0"/>
    <x v="0"/>
  </r>
  <r>
    <x v="30"/>
    <x v="1"/>
    <x v="142"/>
    <x v="0"/>
    <x v="4"/>
    <x v="14"/>
    <x v="15"/>
    <x v="8"/>
    <n v="0"/>
    <x v="0"/>
  </r>
  <r>
    <x v="30"/>
    <x v="1"/>
    <x v="142"/>
    <x v="0"/>
    <x v="4"/>
    <x v="14"/>
    <x v="15"/>
    <x v="9"/>
    <n v="0"/>
    <x v="0"/>
  </r>
  <r>
    <x v="30"/>
    <x v="1"/>
    <x v="142"/>
    <x v="0"/>
    <x v="4"/>
    <x v="14"/>
    <x v="15"/>
    <x v="10"/>
    <n v="34.076780568135035"/>
    <x v="0"/>
  </r>
  <r>
    <x v="30"/>
    <x v="1"/>
    <x v="142"/>
    <x v="0"/>
    <x v="4"/>
    <x v="14"/>
    <x v="15"/>
    <x v="11"/>
    <n v="0"/>
    <x v="0"/>
  </r>
  <r>
    <x v="30"/>
    <x v="1"/>
    <x v="143"/>
    <x v="0"/>
    <x v="4"/>
    <x v="14"/>
    <x v="10"/>
    <x v="0"/>
    <n v="0"/>
    <x v="0"/>
  </r>
  <r>
    <x v="30"/>
    <x v="1"/>
    <x v="143"/>
    <x v="0"/>
    <x v="4"/>
    <x v="14"/>
    <x v="10"/>
    <x v="1"/>
    <n v="0"/>
    <x v="0"/>
  </r>
  <r>
    <x v="30"/>
    <x v="1"/>
    <x v="143"/>
    <x v="0"/>
    <x v="4"/>
    <x v="14"/>
    <x v="10"/>
    <x v="2"/>
    <n v="0"/>
    <x v="0"/>
  </r>
  <r>
    <x v="30"/>
    <x v="1"/>
    <x v="143"/>
    <x v="0"/>
    <x v="4"/>
    <x v="14"/>
    <x v="10"/>
    <x v="3"/>
    <n v="802.06532380694478"/>
    <x v="0"/>
  </r>
  <r>
    <x v="30"/>
    <x v="1"/>
    <x v="143"/>
    <x v="0"/>
    <x v="4"/>
    <x v="14"/>
    <x v="10"/>
    <x v="4"/>
    <n v="436.76297555235976"/>
    <x v="0"/>
  </r>
  <r>
    <x v="30"/>
    <x v="1"/>
    <x v="143"/>
    <x v="0"/>
    <x v="4"/>
    <x v="14"/>
    <x v="10"/>
    <x v="5"/>
    <n v="0"/>
    <x v="0"/>
  </r>
  <r>
    <x v="30"/>
    <x v="1"/>
    <x v="143"/>
    <x v="0"/>
    <x v="4"/>
    <x v="14"/>
    <x v="10"/>
    <x v="6"/>
    <n v="0"/>
    <x v="0"/>
  </r>
  <r>
    <x v="30"/>
    <x v="1"/>
    <x v="143"/>
    <x v="0"/>
    <x v="4"/>
    <x v="14"/>
    <x v="10"/>
    <x v="7"/>
    <n v="0"/>
    <x v="0"/>
  </r>
  <r>
    <x v="30"/>
    <x v="1"/>
    <x v="143"/>
    <x v="0"/>
    <x v="4"/>
    <x v="14"/>
    <x v="10"/>
    <x v="8"/>
    <n v="0"/>
    <x v="0"/>
  </r>
  <r>
    <x v="30"/>
    <x v="1"/>
    <x v="143"/>
    <x v="0"/>
    <x v="4"/>
    <x v="14"/>
    <x v="10"/>
    <x v="9"/>
    <n v="0"/>
    <x v="0"/>
  </r>
  <r>
    <x v="30"/>
    <x v="1"/>
    <x v="143"/>
    <x v="0"/>
    <x v="4"/>
    <x v="14"/>
    <x v="10"/>
    <x v="10"/>
    <n v="0"/>
    <x v="0"/>
  </r>
  <r>
    <x v="30"/>
    <x v="1"/>
    <x v="143"/>
    <x v="0"/>
    <x v="4"/>
    <x v="14"/>
    <x v="10"/>
    <x v="11"/>
    <n v="0"/>
    <x v="0"/>
  </r>
  <r>
    <x v="30"/>
    <x v="1"/>
    <x v="144"/>
    <x v="0"/>
    <x v="4"/>
    <x v="14"/>
    <x v="13"/>
    <x v="0"/>
    <n v="0"/>
    <x v="0"/>
  </r>
  <r>
    <x v="30"/>
    <x v="1"/>
    <x v="144"/>
    <x v="0"/>
    <x v="4"/>
    <x v="14"/>
    <x v="13"/>
    <x v="1"/>
    <n v="0"/>
    <x v="0"/>
  </r>
  <r>
    <x v="30"/>
    <x v="1"/>
    <x v="144"/>
    <x v="0"/>
    <x v="4"/>
    <x v="14"/>
    <x v="13"/>
    <x v="2"/>
    <n v="0"/>
    <x v="0"/>
  </r>
  <r>
    <x v="30"/>
    <x v="1"/>
    <x v="144"/>
    <x v="0"/>
    <x v="4"/>
    <x v="14"/>
    <x v="13"/>
    <x v="3"/>
    <n v="1704.4274793259317"/>
    <x v="0"/>
  </r>
  <r>
    <x v="30"/>
    <x v="1"/>
    <x v="144"/>
    <x v="0"/>
    <x v="4"/>
    <x v="14"/>
    <x v="13"/>
    <x v="4"/>
    <n v="0"/>
    <x v="0"/>
  </r>
  <r>
    <x v="30"/>
    <x v="1"/>
    <x v="144"/>
    <x v="0"/>
    <x v="4"/>
    <x v="14"/>
    <x v="13"/>
    <x v="5"/>
    <n v="0"/>
    <x v="0"/>
  </r>
  <r>
    <x v="30"/>
    <x v="1"/>
    <x v="144"/>
    <x v="0"/>
    <x v="4"/>
    <x v="14"/>
    <x v="13"/>
    <x v="6"/>
    <n v="0"/>
    <x v="0"/>
  </r>
  <r>
    <x v="30"/>
    <x v="1"/>
    <x v="144"/>
    <x v="0"/>
    <x v="4"/>
    <x v="14"/>
    <x v="13"/>
    <x v="7"/>
    <n v="0"/>
    <x v="0"/>
  </r>
  <r>
    <x v="30"/>
    <x v="1"/>
    <x v="144"/>
    <x v="0"/>
    <x v="4"/>
    <x v="14"/>
    <x v="13"/>
    <x v="8"/>
    <n v="0"/>
    <x v="0"/>
  </r>
  <r>
    <x v="30"/>
    <x v="1"/>
    <x v="144"/>
    <x v="0"/>
    <x v="4"/>
    <x v="14"/>
    <x v="13"/>
    <x v="9"/>
    <n v="0"/>
    <x v="0"/>
  </r>
  <r>
    <x v="30"/>
    <x v="1"/>
    <x v="144"/>
    <x v="0"/>
    <x v="4"/>
    <x v="14"/>
    <x v="13"/>
    <x v="10"/>
    <n v="0"/>
    <x v="0"/>
  </r>
  <r>
    <x v="30"/>
    <x v="1"/>
    <x v="144"/>
    <x v="0"/>
    <x v="4"/>
    <x v="14"/>
    <x v="13"/>
    <x v="11"/>
    <n v="0"/>
    <x v="0"/>
  </r>
  <r>
    <x v="30"/>
    <x v="1"/>
    <x v="145"/>
    <x v="0"/>
    <x v="4"/>
    <x v="14"/>
    <x v="14"/>
    <x v="0"/>
    <n v="0"/>
    <x v="0"/>
  </r>
  <r>
    <x v="30"/>
    <x v="1"/>
    <x v="145"/>
    <x v="0"/>
    <x v="4"/>
    <x v="14"/>
    <x v="14"/>
    <x v="1"/>
    <n v="0"/>
    <x v="0"/>
  </r>
  <r>
    <x v="30"/>
    <x v="1"/>
    <x v="145"/>
    <x v="0"/>
    <x v="4"/>
    <x v="14"/>
    <x v="14"/>
    <x v="2"/>
    <n v="0"/>
    <x v="0"/>
  </r>
  <r>
    <x v="30"/>
    <x v="1"/>
    <x v="145"/>
    <x v="0"/>
    <x v="4"/>
    <x v="14"/>
    <x v="14"/>
    <x v="3"/>
    <n v="934.21063594892416"/>
    <x v="0"/>
  </r>
  <r>
    <x v="30"/>
    <x v="1"/>
    <x v="145"/>
    <x v="0"/>
    <x v="4"/>
    <x v="14"/>
    <x v="14"/>
    <x v="4"/>
    <n v="0"/>
    <x v="0"/>
  </r>
  <r>
    <x v="30"/>
    <x v="1"/>
    <x v="145"/>
    <x v="0"/>
    <x v="4"/>
    <x v="14"/>
    <x v="14"/>
    <x v="5"/>
    <n v="0"/>
    <x v="0"/>
  </r>
  <r>
    <x v="30"/>
    <x v="1"/>
    <x v="145"/>
    <x v="0"/>
    <x v="4"/>
    <x v="14"/>
    <x v="14"/>
    <x v="6"/>
    <n v="0"/>
    <x v="0"/>
  </r>
  <r>
    <x v="30"/>
    <x v="1"/>
    <x v="145"/>
    <x v="0"/>
    <x v="4"/>
    <x v="14"/>
    <x v="14"/>
    <x v="7"/>
    <n v="0"/>
    <x v="0"/>
  </r>
  <r>
    <x v="30"/>
    <x v="1"/>
    <x v="145"/>
    <x v="0"/>
    <x v="4"/>
    <x v="14"/>
    <x v="14"/>
    <x v="8"/>
    <n v="0"/>
    <x v="0"/>
  </r>
  <r>
    <x v="30"/>
    <x v="1"/>
    <x v="145"/>
    <x v="0"/>
    <x v="4"/>
    <x v="14"/>
    <x v="14"/>
    <x v="9"/>
    <n v="0"/>
    <x v="0"/>
  </r>
  <r>
    <x v="30"/>
    <x v="1"/>
    <x v="145"/>
    <x v="0"/>
    <x v="4"/>
    <x v="14"/>
    <x v="14"/>
    <x v="10"/>
    <n v="0"/>
    <x v="0"/>
  </r>
  <r>
    <x v="30"/>
    <x v="1"/>
    <x v="145"/>
    <x v="0"/>
    <x v="4"/>
    <x v="14"/>
    <x v="14"/>
    <x v="11"/>
    <n v="0"/>
    <x v="0"/>
  </r>
  <r>
    <x v="30"/>
    <x v="1"/>
    <x v="146"/>
    <x v="0"/>
    <x v="4"/>
    <x v="14"/>
    <x v="0"/>
    <x v="0"/>
    <n v="0"/>
    <x v="0"/>
  </r>
  <r>
    <x v="30"/>
    <x v="1"/>
    <x v="146"/>
    <x v="0"/>
    <x v="4"/>
    <x v="14"/>
    <x v="0"/>
    <x v="1"/>
    <n v="0"/>
    <x v="0"/>
  </r>
  <r>
    <x v="30"/>
    <x v="1"/>
    <x v="146"/>
    <x v="0"/>
    <x v="4"/>
    <x v="14"/>
    <x v="0"/>
    <x v="2"/>
    <n v="0"/>
    <x v="0"/>
  </r>
  <r>
    <x v="30"/>
    <x v="1"/>
    <x v="146"/>
    <x v="0"/>
    <x v="4"/>
    <x v="14"/>
    <x v="0"/>
    <x v="3"/>
    <n v="0"/>
    <x v="0"/>
  </r>
  <r>
    <x v="30"/>
    <x v="1"/>
    <x v="146"/>
    <x v="0"/>
    <x v="4"/>
    <x v="14"/>
    <x v="0"/>
    <x v="4"/>
    <n v="0"/>
    <x v="0"/>
  </r>
  <r>
    <x v="30"/>
    <x v="1"/>
    <x v="146"/>
    <x v="0"/>
    <x v="4"/>
    <x v="14"/>
    <x v="0"/>
    <x v="5"/>
    <n v="0"/>
    <x v="0"/>
  </r>
  <r>
    <x v="30"/>
    <x v="1"/>
    <x v="146"/>
    <x v="0"/>
    <x v="4"/>
    <x v="14"/>
    <x v="0"/>
    <x v="6"/>
    <n v="0"/>
    <x v="0"/>
  </r>
  <r>
    <x v="30"/>
    <x v="1"/>
    <x v="146"/>
    <x v="0"/>
    <x v="4"/>
    <x v="14"/>
    <x v="0"/>
    <x v="7"/>
    <n v="1277.2018496612538"/>
    <x v="0"/>
  </r>
  <r>
    <x v="30"/>
    <x v="1"/>
    <x v="146"/>
    <x v="0"/>
    <x v="4"/>
    <x v="14"/>
    <x v="0"/>
    <x v="8"/>
    <n v="39.500761166474128"/>
    <x v="0"/>
  </r>
  <r>
    <x v="30"/>
    <x v="1"/>
    <x v="146"/>
    <x v="0"/>
    <x v="4"/>
    <x v="14"/>
    <x v="0"/>
    <x v="9"/>
    <n v="92.194343603088427"/>
    <x v="0"/>
  </r>
  <r>
    <x v="30"/>
    <x v="1"/>
    <x v="146"/>
    <x v="0"/>
    <x v="4"/>
    <x v="14"/>
    <x v="0"/>
    <x v="10"/>
    <n v="0"/>
    <x v="0"/>
  </r>
  <r>
    <x v="30"/>
    <x v="1"/>
    <x v="146"/>
    <x v="0"/>
    <x v="4"/>
    <x v="14"/>
    <x v="0"/>
    <x v="11"/>
    <n v="0"/>
    <x v="0"/>
  </r>
  <r>
    <x v="30"/>
    <x v="1"/>
    <x v="147"/>
    <x v="0"/>
    <x v="4"/>
    <x v="14"/>
    <x v="16"/>
    <x v="0"/>
    <n v="0"/>
    <x v="0"/>
  </r>
  <r>
    <x v="30"/>
    <x v="1"/>
    <x v="147"/>
    <x v="0"/>
    <x v="4"/>
    <x v="14"/>
    <x v="16"/>
    <x v="1"/>
    <n v="0"/>
    <x v="0"/>
  </r>
  <r>
    <x v="30"/>
    <x v="1"/>
    <x v="147"/>
    <x v="0"/>
    <x v="4"/>
    <x v="14"/>
    <x v="16"/>
    <x v="2"/>
    <n v="0"/>
    <x v="0"/>
  </r>
  <r>
    <x v="30"/>
    <x v="1"/>
    <x v="147"/>
    <x v="0"/>
    <x v="4"/>
    <x v="14"/>
    <x v="16"/>
    <x v="3"/>
    <n v="0"/>
    <x v="0"/>
  </r>
  <r>
    <x v="30"/>
    <x v="1"/>
    <x v="147"/>
    <x v="0"/>
    <x v="4"/>
    <x v="14"/>
    <x v="16"/>
    <x v="4"/>
    <n v="0"/>
    <x v="0"/>
  </r>
  <r>
    <x v="30"/>
    <x v="1"/>
    <x v="147"/>
    <x v="0"/>
    <x v="4"/>
    <x v="14"/>
    <x v="16"/>
    <x v="5"/>
    <n v="0"/>
    <x v="0"/>
  </r>
  <r>
    <x v="30"/>
    <x v="1"/>
    <x v="147"/>
    <x v="0"/>
    <x v="4"/>
    <x v="14"/>
    <x v="16"/>
    <x v="6"/>
    <n v="0"/>
    <x v="0"/>
  </r>
  <r>
    <x v="30"/>
    <x v="1"/>
    <x v="147"/>
    <x v="0"/>
    <x v="4"/>
    <x v="14"/>
    <x v="16"/>
    <x v="7"/>
    <n v="0"/>
    <x v="0"/>
  </r>
  <r>
    <x v="30"/>
    <x v="1"/>
    <x v="147"/>
    <x v="0"/>
    <x v="4"/>
    <x v="14"/>
    <x v="16"/>
    <x v="8"/>
    <n v="0"/>
    <x v="0"/>
  </r>
  <r>
    <x v="30"/>
    <x v="1"/>
    <x v="147"/>
    <x v="0"/>
    <x v="4"/>
    <x v="14"/>
    <x v="16"/>
    <x v="9"/>
    <n v="0"/>
    <x v="0"/>
  </r>
  <r>
    <x v="30"/>
    <x v="1"/>
    <x v="147"/>
    <x v="0"/>
    <x v="4"/>
    <x v="14"/>
    <x v="16"/>
    <x v="10"/>
    <n v="0"/>
    <x v="0"/>
  </r>
  <r>
    <x v="30"/>
    <x v="1"/>
    <x v="147"/>
    <x v="0"/>
    <x v="4"/>
    <x v="14"/>
    <x v="16"/>
    <x v="11"/>
    <n v="0"/>
    <x v="0"/>
  </r>
  <r>
    <x v="30"/>
    <x v="1"/>
    <x v="148"/>
    <x v="0"/>
    <x v="4"/>
    <x v="16"/>
    <x v="3"/>
    <x v="0"/>
    <n v="0"/>
    <x v="0"/>
  </r>
  <r>
    <x v="30"/>
    <x v="1"/>
    <x v="148"/>
    <x v="0"/>
    <x v="4"/>
    <x v="16"/>
    <x v="3"/>
    <x v="1"/>
    <n v="0"/>
    <x v="0"/>
  </r>
  <r>
    <x v="30"/>
    <x v="1"/>
    <x v="148"/>
    <x v="0"/>
    <x v="4"/>
    <x v="16"/>
    <x v="3"/>
    <x v="2"/>
    <n v="0"/>
    <x v="0"/>
  </r>
  <r>
    <x v="30"/>
    <x v="1"/>
    <x v="148"/>
    <x v="0"/>
    <x v="4"/>
    <x v="16"/>
    <x v="3"/>
    <x v="3"/>
    <n v="225.23590309746496"/>
    <x v="0"/>
  </r>
  <r>
    <x v="30"/>
    <x v="1"/>
    <x v="148"/>
    <x v="0"/>
    <x v="4"/>
    <x v="16"/>
    <x v="3"/>
    <x v="4"/>
    <n v="0"/>
    <x v="0"/>
  </r>
  <r>
    <x v="30"/>
    <x v="1"/>
    <x v="148"/>
    <x v="0"/>
    <x v="4"/>
    <x v="16"/>
    <x v="3"/>
    <x v="5"/>
    <n v="0"/>
    <x v="0"/>
  </r>
  <r>
    <x v="30"/>
    <x v="1"/>
    <x v="148"/>
    <x v="0"/>
    <x v="4"/>
    <x v="16"/>
    <x v="3"/>
    <x v="6"/>
    <n v="0"/>
    <x v="0"/>
  </r>
  <r>
    <x v="30"/>
    <x v="1"/>
    <x v="148"/>
    <x v="0"/>
    <x v="4"/>
    <x v="16"/>
    <x v="3"/>
    <x v="7"/>
    <n v="0"/>
    <x v="0"/>
  </r>
  <r>
    <x v="30"/>
    <x v="1"/>
    <x v="148"/>
    <x v="0"/>
    <x v="4"/>
    <x v="16"/>
    <x v="3"/>
    <x v="8"/>
    <n v="0"/>
    <x v="0"/>
  </r>
  <r>
    <x v="30"/>
    <x v="1"/>
    <x v="148"/>
    <x v="0"/>
    <x v="4"/>
    <x v="16"/>
    <x v="3"/>
    <x v="9"/>
    <n v="0"/>
    <x v="0"/>
  </r>
  <r>
    <x v="30"/>
    <x v="1"/>
    <x v="148"/>
    <x v="0"/>
    <x v="4"/>
    <x v="16"/>
    <x v="3"/>
    <x v="10"/>
    <n v="0"/>
    <x v="0"/>
  </r>
  <r>
    <x v="30"/>
    <x v="1"/>
    <x v="148"/>
    <x v="0"/>
    <x v="4"/>
    <x v="16"/>
    <x v="3"/>
    <x v="11"/>
    <n v="0"/>
    <x v="0"/>
  </r>
  <r>
    <x v="30"/>
    <x v="1"/>
    <x v="149"/>
    <x v="0"/>
    <x v="4"/>
    <x v="14"/>
    <x v="16"/>
    <x v="0"/>
    <n v="0"/>
    <x v="0"/>
  </r>
  <r>
    <x v="30"/>
    <x v="1"/>
    <x v="149"/>
    <x v="0"/>
    <x v="4"/>
    <x v="14"/>
    <x v="16"/>
    <x v="1"/>
    <n v="0"/>
    <x v="0"/>
  </r>
  <r>
    <x v="30"/>
    <x v="1"/>
    <x v="149"/>
    <x v="0"/>
    <x v="4"/>
    <x v="14"/>
    <x v="16"/>
    <x v="2"/>
    <n v="0"/>
    <x v="0"/>
  </r>
  <r>
    <x v="30"/>
    <x v="1"/>
    <x v="149"/>
    <x v="0"/>
    <x v="4"/>
    <x v="14"/>
    <x v="16"/>
    <x v="3"/>
    <n v="0"/>
    <x v="0"/>
  </r>
  <r>
    <x v="30"/>
    <x v="1"/>
    <x v="149"/>
    <x v="0"/>
    <x v="4"/>
    <x v="14"/>
    <x v="16"/>
    <x v="4"/>
    <n v="0"/>
    <x v="0"/>
  </r>
  <r>
    <x v="30"/>
    <x v="1"/>
    <x v="149"/>
    <x v="0"/>
    <x v="4"/>
    <x v="14"/>
    <x v="16"/>
    <x v="5"/>
    <n v="0"/>
    <x v="0"/>
  </r>
  <r>
    <x v="30"/>
    <x v="1"/>
    <x v="149"/>
    <x v="0"/>
    <x v="4"/>
    <x v="14"/>
    <x v="16"/>
    <x v="6"/>
    <n v="244.17637271214645"/>
    <x v="0"/>
  </r>
  <r>
    <x v="30"/>
    <x v="1"/>
    <x v="149"/>
    <x v="0"/>
    <x v="4"/>
    <x v="14"/>
    <x v="16"/>
    <x v="7"/>
    <n v="0"/>
    <x v="0"/>
  </r>
  <r>
    <x v="30"/>
    <x v="1"/>
    <x v="149"/>
    <x v="0"/>
    <x v="4"/>
    <x v="14"/>
    <x v="16"/>
    <x v="8"/>
    <n v="0"/>
    <x v="0"/>
  </r>
  <r>
    <x v="30"/>
    <x v="1"/>
    <x v="149"/>
    <x v="0"/>
    <x v="4"/>
    <x v="14"/>
    <x v="16"/>
    <x v="9"/>
    <n v="0"/>
    <x v="0"/>
  </r>
  <r>
    <x v="30"/>
    <x v="1"/>
    <x v="149"/>
    <x v="0"/>
    <x v="4"/>
    <x v="14"/>
    <x v="16"/>
    <x v="10"/>
    <n v="0"/>
    <x v="0"/>
  </r>
  <r>
    <x v="30"/>
    <x v="1"/>
    <x v="149"/>
    <x v="0"/>
    <x v="4"/>
    <x v="14"/>
    <x v="16"/>
    <x v="11"/>
    <n v="0"/>
    <x v="0"/>
  </r>
  <r>
    <x v="30"/>
    <x v="1"/>
    <x v="150"/>
    <x v="0"/>
    <x v="4"/>
    <x v="14"/>
    <x v="17"/>
    <x v="0"/>
    <n v="0"/>
    <x v="0"/>
  </r>
  <r>
    <x v="30"/>
    <x v="1"/>
    <x v="150"/>
    <x v="0"/>
    <x v="4"/>
    <x v="14"/>
    <x v="17"/>
    <x v="1"/>
    <n v="0"/>
    <x v="0"/>
  </r>
  <r>
    <x v="30"/>
    <x v="1"/>
    <x v="150"/>
    <x v="0"/>
    <x v="4"/>
    <x v="14"/>
    <x v="17"/>
    <x v="2"/>
    <n v="0"/>
    <x v="0"/>
  </r>
  <r>
    <x v="30"/>
    <x v="1"/>
    <x v="150"/>
    <x v="0"/>
    <x v="4"/>
    <x v="14"/>
    <x v="17"/>
    <x v="3"/>
    <n v="318.82537963213696"/>
    <x v="0"/>
  </r>
  <r>
    <x v="30"/>
    <x v="1"/>
    <x v="150"/>
    <x v="0"/>
    <x v="4"/>
    <x v="14"/>
    <x v="17"/>
    <x v="4"/>
    <n v="0"/>
    <x v="0"/>
  </r>
  <r>
    <x v="30"/>
    <x v="1"/>
    <x v="150"/>
    <x v="0"/>
    <x v="4"/>
    <x v="14"/>
    <x v="17"/>
    <x v="5"/>
    <n v="0"/>
    <x v="0"/>
  </r>
  <r>
    <x v="30"/>
    <x v="1"/>
    <x v="150"/>
    <x v="0"/>
    <x v="4"/>
    <x v="14"/>
    <x v="17"/>
    <x v="6"/>
    <n v="0"/>
    <x v="0"/>
  </r>
  <r>
    <x v="30"/>
    <x v="1"/>
    <x v="150"/>
    <x v="0"/>
    <x v="4"/>
    <x v="14"/>
    <x v="17"/>
    <x v="7"/>
    <n v="0"/>
    <x v="0"/>
  </r>
  <r>
    <x v="30"/>
    <x v="1"/>
    <x v="150"/>
    <x v="0"/>
    <x v="4"/>
    <x v="14"/>
    <x v="17"/>
    <x v="8"/>
    <n v="0"/>
    <x v="0"/>
  </r>
  <r>
    <x v="30"/>
    <x v="1"/>
    <x v="150"/>
    <x v="0"/>
    <x v="4"/>
    <x v="14"/>
    <x v="17"/>
    <x v="9"/>
    <n v="0"/>
    <x v="0"/>
  </r>
  <r>
    <x v="30"/>
    <x v="1"/>
    <x v="150"/>
    <x v="0"/>
    <x v="4"/>
    <x v="14"/>
    <x v="17"/>
    <x v="10"/>
    <n v="0"/>
    <x v="0"/>
  </r>
  <r>
    <x v="30"/>
    <x v="1"/>
    <x v="150"/>
    <x v="0"/>
    <x v="4"/>
    <x v="14"/>
    <x v="17"/>
    <x v="11"/>
    <n v="0"/>
    <x v="0"/>
  </r>
  <r>
    <x v="30"/>
    <x v="0"/>
    <x v="151"/>
    <x v="1"/>
    <x v="6"/>
    <x v="17"/>
    <x v="0"/>
    <x v="0"/>
    <n v="917.41098470247471"/>
    <x v="0"/>
  </r>
  <r>
    <x v="30"/>
    <x v="0"/>
    <x v="151"/>
    <x v="1"/>
    <x v="6"/>
    <x v="17"/>
    <x v="0"/>
    <x v="1"/>
    <n v="864.61014697334542"/>
    <x v="0"/>
  </r>
  <r>
    <x v="30"/>
    <x v="0"/>
    <x v="151"/>
    <x v="1"/>
    <x v="6"/>
    <x v="17"/>
    <x v="0"/>
    <x v="2"/>
    <n v="860.59942351203085"/>
    <x v="0"/>
  </r>
  <r>
    <x v="30"/>
    <x v="0"/>
    <x v="151"/>
    <x v="1"/>
    <x v="6"/>
    <x v="17"/>
    <x v="0"/>
    <x v="3"/>
    <n v="0"/>
    <x v="0"/>
  </r>
  <r>
    <x v="30"/>
    <x v="0"/>
    <x v="151"/>
    <x v="1"/>
    <x v="6"/>
    <x v="17"/>
    <x v="0"/>
    <x v="4"/>
    <n v="907.52603826208224"/>
    <x v="0"/>
  </r>
  <r>
    <x v="30"/>
    <x v="0"/>
    <x v="151"/>
    <x v="1"/>
    <x v="6"/>
    <x v="17"/>
    <x v="0"/>
    <x v="5"/>
    <n v="899.49032480995163"/>
    <x v="0"/>
  </r>
  <r>
    <x v="30"/>
    <x v="0"/>
    <x v="151"/>
    <x v="1"/>
    <x v="6"/>
    <x v="17"/>
    <x v="0"/>
    <x v="6"/>
    <n v="888.47647083919969"/>
    <x v="0"/>
  </r>
  <r>
    <x v="30"/>
    <x v="0"/>
    <x v="151"/>
    <x v="1"/>
    <x v="6"/>
    <x v="17"/>
    <x v="0"/>
    <x v="7"/>
    <n v="0"/>
    <x v="0"/>
  </r>
  <r>
    <x v="30"/>
    <x v="0"/>
    <x v="151"/>
    <x v="1"/>
    <x v="6"/>
    <x v="17"/>
    <x v="0"/>
    <x v="8"/>
    <n v="0"/>
    <x v="0"/>
  </r>
  <r>
    <x v="30"/>
    <x v="0"/>
    <x v="151"/>
    <x v="1"/>
    <x v="6"/>
    <x v="17"/>
    <x v="0"/>
    <x v="9"/>
    <n v="0"/>
    <x v="0"/>
  </r>
  <r>
    <x v="30"/>
    <x v="0"/>
    <x v="151"/>
    <x v="1"/>
    <x v="6"/>
    <x v="17"/>
    <x v="0"/>
    <x v="10"/>
    <n v="0"/>
    <x v="0"/>
  </r>
  <r>
    <x v="30"/>
    <x v="0"/>
    <x v="151"/>
    <x v="1"/>
    <x v="6"/>
    <x v="17"/>
    <x v="0"/>
    <x v="11"/>
    <n v="882.53679002404988"/>
    <x v="0"/>
  </r>
  <r>
    <x v="30"/>
    <x v="0"/>
    <x v="152"/>
    <x v="1"/>
    <x v="6"/>
    <x v="17"/>
    <x v="0"/>
    <x v="0"/>
    <n v="0"/>
    <x v="0"/>
  </r>
  <r>
    <x v="30"/>
    <x v="0"/>
    <x v="152"/>
    <x v="1"/>
    <x v="6"/>
    <x v="17"/>
    <x v="0"/>
    <x v="1"/>
    <n v="0"/>
    <x v="0"/>
  </r>
  <r>
    <x v="30"/>
    <x v="0"/>
    <x v="152"/>
    <x v="1"/>
    <x v="6"/>
    <x v="17"/>
    <x v="0"/>
    <x v="2"/>
    <n v="0"/>
    <x v="0"/>
  </r>
  <r>
    <x v="30"/>
    <x v="0"/>
    <x v="152"/>
    <x v="1"/>
    <x v="6"/>
    <x v="17"/>
    <x v="0"/>
    <x v="3"/>
    <n v="0"/>
    <x v="0"/>
  </r>
  <r>
    <x v="30"/>
    <x v="0"/>
    <x v="152"/>
    <x v="1"/>
    <x v="6"/>
    <x v="17"/>
    <x v="0"/>
    <x v="4"/>
    <n v="907.52603826208224"/>
    <x v="0"/>
  </r>
  <r>
    <x v="30"/>
    <x v="0"/>
    <x v="152"/>
    <x v="1"/>
    <x v="6"/>
    <x v="17"/>
    <x v="0"/>
    <x v="5"/>
    <n v="0"/>
    <x v="0"/>
  </r>
  <r>
    <x v="30"/>
    <x v="0"/>
    <x v="152"/>
    <x v="1"/>
    <x v="6"/>
    <x v="17"/>
    <x v="0"/>
    <x v="6"/>
    <n v="0"/>
    <x v="0"/>
  </r>
  <r>
    <x v="30"/>
    <x v="0"/>
    <x v="152"/>
    <x v="1"/>
    <x v="6"/>
    <x v="17"/>
    <x v="0"/>
    <x v="7"/>
    <n v="895.79524680073132"/>
    <x v="0"/>
  </r>
  <r>
    <x v="30"/>
    <x v="0"/>
    <x v="152"/>
    <x v="1"/>
    <x v="6"/>
    <x v="17"/>
    <x v="0"/>
    <x v="8"/>
    <n v="1130.6291229850681"/>
    <x v="0"/>
  </r>
  <r>
    <x v="30"/>
    <x v="0"/>
    <x v="152"/>
    <x v="1"/>
    <x v="6"/>
    <x v="17"/>
    <x v="0"/>
    <x v="9"/>
    <n v="892.04442017112694"/>
    <x v="0"/>
  </r>
  <r>
    <x v="30"/>
    <x v="0"/>
    <x v="152"/>
    <x v="1"/>
    <x v="6"/>
    <x v="17"/>
    <x v="0"/>
    <x v="10"/>
    <n v="2363.8328530259364"/>
    <x v="0"/>
  </r>
  <r>
    <x v="30"/>
    <x v="0"/>
    <x v="152"/>
    <x v="1"/>
    <x v="6"/>
    <x v="17"/>
    <x v="0"/>
    <x v="11"/>
    <n v="0"/>
    <x v="0"/>
  </r>
  <r>
    <x v="30"/>
    <x v="0"/>
    <x v="153"/>
    <x v="1"/>
    <x v="6"/>
    <x v="17"/>
    <x v="0"/>
    <x v="0"/>
    <n v="0"/>
    <x v="0"/>
  </r>
  <r>
    <x v="30"/>
    <x v="0"/>
    <x v="153"/>
    <x v="1"/>
    <x v="6"/>
    <x v="17"/>
    <x v="0"/>
    <x v="1"/>
    <n v="0"/>
    <x v="0"/>
  </r>
  <r>
    <x v="30"/>
    <x v="0"/>
    <x v="153"/>
    <x v="1"/>
    <x v="6"/>
    <x v="17"/>
    <x v="0"/>
    <x v="2"/>
    <n v="860.59942351203085"/>
    <x v="0"/>
  </r>
  <r>
    <x v="30"/>
    <x v="0"/>
    <x v="153"/>
    <x v="1"/>
    <x v="6"/>
    <x v="17"/>
    <x v="0"/>
    <x v="3"/>
    <n v="0"/>
    <x v="0"/>
  </r>
  <r>
    <x v="30"/>
    <x v="0"/>
    <x v="153"/>
    <x v="1"/>
    <x v="6"/>
    <x v="17"/>
    <x v="0"/>
    <x v="4"/>
    <n v="0"/>
    <x v="0"/>
  </r>
  <r>
    <x v="30"/>
    <x v="0"/>
    <x v="153"/>
    <x v="1"/>
    <x v="6"/>
    <x v="17"/>
    <x v="0"/>
    <x v="5"/>
    <n v="0"/>
    <x v="0"/>
  </r>
  <r>
    <x v="30"/>
    <x v="0"/>
    <x v="153"/>
    <x v="1"/>
    <x v="6"/>
    <x v="17"/>
    <x v="0"/>
    <x v="6"/>
    <n v="0"/>
    <x v="0"/>
  </r>
  <r>
    <x v="30"/>
    <x v="0"/>
    <x v="153"/>
    <x v="1"/>
    <x v="6"/>
    <x v="17"/>
    <x v="0"/>
    <x v="7"/>
    <n v="0"/>
    <x v="0"/>
  </r>
  <r>
    <x v="30"/>
    <x v="0"/>
    <x v="153"/>
    <x v="1"/>
    <x v="6"/>
    <x v="17"/>
    <x v="0"/>
    <x v="8"/>
    <n v="0"/>
    <x v="0"/>
  </r>
  <r>
    <x v="30"/>
    <x v="0"/>
    <x v="153"/>
    <x v="1"/>
    <x v="6"/>
    <x v="17"/>
    <x v="0"/>
    <x v="9"/>
    <n v="0"/>
    <x v="0"/>
  </r>
  <r>
    <x v="30"/>
    <x v="0"/>
    <x v="153"/>
    <x v="1"/>
    <x v="6"/>
    <x v="17"/>
    <x v="0"/>
    <x v="10"/>
    <n v="0"/>
    <x v="0"/>
  </r>
  <r>
    <x v="30"/>
    <x v="0"/>
    <x v="153"/>
    <x v="1"/>
    <x v="6"/>
    <x v="17"/>
    <x v="0"/>
    <x v="11"/>
    <n v="0"/>
    <x v="0"/>
  </r>
  <r>
    <x v="30"/>
    <x v="1"/>
    <x v="154"/>
    <x v="1"/>
    <x v="6"/>
    <x v="17"/>
    <x v="0"/>
    <x v="0"/>
    <n v="0"/>
    <x v="0"/>
  </r>
  <r>
    <x v="30"/>
    <x v="1"/>
    <x v="154"/>
    <x v="1"/>
    <x v="6"/>
    <x v="17"/>
    <x v="0"/>
    <x v="1"/>
    <n v="0"/>
    <x v="0"/>
  </r>
  <r>
    <x v="30"/>
    <x v="1"/>
    <x v="154"/>
    <x v="1"/>
    <x v="6"/>
    <x v="17"/>
    <x v="0"/>
    <x v="2"/>
    <n v="0"/>
    <x v="0"/>
  </r>
  <r>
    <x v="30"/>
    <x v="1"/>
    <x v="154"/>
    <x v="1"/>
    <x v="6"/>
    <x v="17"/>
    <x v="0"/>
    <x v="3"/>
    <n v="0"/>
    <x v="0"/>
  </r>
  <r>
    <x v="30"/>
    <x v="1"/>
    <x v="154"/>
    <x v="1"/>
    <x v="6"/>
    <x v="17"/>
    <x v="0"/>
    <x v="4"/>
    <n v="559.42497930012632"/>
    <x v="0"/>
  </r>
  <r>
    <x v="30"/>
    <x v="1"/>
    <x v="154"/>
    <x v="1"/>
    <x v="6"/>
    <x v="17"/>
    <x v="0"/>
    <x v="5"/>
    <n v="0"/>
    <x v="0"/>
  </r>
  <r>
    <x v="30"/>
    <x v="1"/>
    <x v="154"/>
    <x v="1"/>
    <x v="6"/>
    <x v="17"/>
    <x v="0"/>
    <x v="6"/>
    <n v="0"/>
    <x v="0"/>
  </r>
  <r>
    <x v="30"/>
    <x v="1"/>
    <x v="154"/>
    <x v="1"/>
    <x v="6"/>
    <x v="17"/>
    <x v="0"/>
    <x v="7"/>
    <n v="0"/>
    <x v="0"/>
  </r>
  <r>
    <x v="30"/>
    <x v="1"/>
    <x v="154"/>
    <x v="1"/>
    <x v="6"/>
    <x v="17"/>
    <x v="0"/>
    <x v="8"/>
    <n v="0"/>
    <x v="0"/>
  </r>
  <r>
    <x v="30"/>
    <x v="1"/>
    <x v="154"/>
    <x v="1"/>
    <x v="6"/>
    <x v="17"/>
    <x v="0"/>
    <x v="9"/>
    <n v="0"/>
    <x v="0"/>
  </r>
  <r>
    <x v="30"/>
    <x v="1"/>
    <x v="154"/>
    <x v="1"/>
    <x v="6"/>
    <x v="17"/>
    <x v="0"/>
    <x v="10"/>
    <n v="0"/>
    <x v="0"/>
  </r>
  <r>
    <x v="30"/>
    <x v="1"/>
    <x v="154"/>
    <x v="1"/>
    <x v="6"/>
    <x v="17"/>
    <x v="0"/>
    <x v="11"/>
    <n v="0"/>
    <x v="0"/>
  </r>
  <r>
    <x v="30"/>
    <x v="1"/>
    <x v="155"/>
    <x v="0"/>
    <x v="4"/>
    <x v="15"/>
    <x v="9"/>
    <x v="0"/>
    <n v="0"/>
    <x v="0"/>
  </r>
  <r>
    <x v="30"/>
    <x v="1"/>
    <x v="155"/>
    <x v="0"/>
    <x v="4"/>
    <x v="15"/>
    <x v="9"/>
    <x v="1"/>
    <n v="0"/>
    <x v="0"/>
  </r>
  <r>
    <x v="30"/>
    <x v="1"/>
    <x v="155"/>
    <x v="0"/>
    <x v="4"/>
    <x v="15"/>
    <x v="9"/>
    <x v="2"/>
    <n v="0"/>
    <x v="0"/>
  </r>
  <r>
    <x v="30"/>
    <x v="1"/>
    <x v="155"/>
    <x v="0"/>
    <x v="4"/>
    <x v="15"/>
    <x v="9"/>
    <x v="3"/>
    <n v="80.654904493094762"/>
    <x v="0"/>
  </r>
  <r>
    <x v="30"/>
    <x v="1"/>
    <x v="155"/>
    <x v="0"/>
    <x v="4"/>
    <x v="15"/>
    <x v="9"/>
    <x v="4"/>
    <n v="438.2631716564257"/>
    <x v="0"/>
  </r>
  <r>
    <x v="30"/>
    <x v="1"/>
    <x v="155"/>
    <x v="0"/>
    <x v="4"/>
    <x v="15"/>
    <x v="9"/>
    <x v="5"/>
    <n v="49.883379405666894"/>
    <x v="0"/>
  </r>
  <r>
    <x v="30"/>
    <x v="1"/>
    <x v="155"/>
    <x v="0"/>
    <x v="4"/>
    <x v="15"/>
    <x v="9"/>
    <x v="6"/>
    <n v="0"/>
    <x v="0"/>
  </r>
  <r>
    <x v="30"/>
    <x v="1"/>
    <x v="155"/>
    <x v="0"/>
    <x v="4"/>
    <x v="15"/>
    <x v="9"/>
    <x v="7"/>
    <n v="0"/>
    <x v="0"/>
  </r>
  <r>
    <x v="30"/>
    <x v="1"/>
    <x v="155"/>
    <x v="0"/>
    <x v="4"/>
    <x v="15"/>
    <x v="9"/>
    <x v="8"/>
    <n v="0"/>
    <x v="0"/>
  </r>
  <r>
    <x v="30"/>
    <x v="1"/>
    <x v="155"/>
    <x v="0"/>
    <x v="4"/>
    <x v="15"/>
    <x v="9"/>
    <x v="9"/>
    <n v="0"/>
    <x v="0"/>
  </r>
  <r>
    <x v="30"/>
    <x v="1"/>
    <x v="155"/>
    <x v="0"/>
    <x v="4"/>
    <x v="15"/>
    <x v="9"/>
    <x v="10"/>
    <n v="0"/>
    <x v="0"/>
  </r>
  <r>
    <x v="30"/>
    <x v="1"/>
    <x v="155"/>
    <x v="0"/>
    <x v="4"/>
    <x v="15"/>
    <x v="9"/>
    <x v="11"/>
    <n v="0"/>
    <x v="0"/>
  </r>
  <r>
    <x v="30"/>
    <x v="1"/>
    <x v="156"/>
    <x v="0"/>
    <x v="3"/>
    <x v="18"/>
    <x v="0"/>
    <x v="0"/>
    <n v="0"/>
    <x v="0"/>
  </r>
  <r>
    <x v="30"/>
    <x v="1"/>
    <x v="156"/>
    <x v="0"/>
    <x v="3"/>
    <x v="18"/>
    <x v="0"/>
    <x v="1"/>
    <n v="0"/>
    <x v="0"/>
  </r>
  <r>
    <x v="30"/>
    <x v="1"/>
    <x v="156"/>
    <x v="0"/>
    <x v="3"/>
    <x v="18"/>
    <x v="0"/>
    <x v="2"/>
    <n v="135.84143481450104"/>
    <x v="0"/>
  </r>
  <r>
    <x v="30"/>
    <x v="1"/>
    <x v="156"/>
    <x v="0"/>
    <x v="3"/>
    <x v="18"/>
    <x v="0"/>
    <x v="3"/>
    <n v="0"/>
    <x v="0"/>
  </r>
  <r>
    <x v="30"/>
    <x v="1"/>
    <x v="156"/>
    <x v="0"/>
    <x v="3"/>
    <x v="18"/>
    <x v="0"/>
    <x v="4"/>
    <n v="0"/>
    <x v="0"/>
  </r>
  <r>
    <x v="30"/>
    <x v="1"/>
    <x v="156"/>
    <x v="0"/>
    <x v="3"/>
    <x v="18"/>
    <x v="0"/>
    <x v="5"/>
    <n v="0"/>
    <x v="0"/>
  </r>
  <r>
    <x v="30"/>
    <x v="1"/>
    <x v="156"/>
    <x v="0"/>
    <x v="3"/>
    <x v="18"/>
    <x v="0"/>
    <x v="6"/>
    <n v="139.97930799095525"/>
    <x v="0"/>
  </r>
  <r>
    <x v="30"/>
    <x v="1"/>
    <x v="156"/>
    <x v="0"/>
    <x v="3"/>
    <x v="18"/>
    <x v="0"/>
    <x v="7"/>
    <n v="0"/>
    <x v="0"/>
  </r>
  <r>
    <x v="30"/>
    <x v="1"/>
    <x v="156"/>
    <x v="0"/>
    <x v="3"/>
    <x v="18"/>
    <x v="0"/>
    <x v="8"/>
    <n v="0"/>
    <x v="0"/>
  </r>
  <r>
    <x v="30"/>
    <x v="1"/>
    <x v="156"/>
    <x v="0"/>
    <x v="3"/>
    <x v="18"/>
    <x v="0"/>
    <x v="9"/>
    <n v="198.56930210642423"/>
    <x v="0"/>
  </r>
  <r>
    <x v="30"/>
    <x v="1"/>
    <x v="156"/>
    <x v="0"/>
    <x v="3"/>
    <x v="18"/>
    <x v="0"/>
    <x v="10"/>
    <n v="0"/>
    <x v="0"/>
  </r>
  <r>
    <x v="30"/>
    <x v="1"/>
    <x v="156"/>
    <x v="0"/>
    <x v="3"/>
    <x v="18"/>
    <x v="0"/>
    <x v="11"/>
    <n v="0"/>
    <x v="0"/>
  </r>
  <r>
    <x v="30"/>
    <x v="0"/>
    <x v="157"/>
    <x v="0"/>
    <x v="3"/>
    <x v="19"/>
    <x v="0"/>
    <x v="0"/>
    <n v="0"/>
    <x v="0"/>
  </r>
  <r>
    <x v="30"/>
    <x v="0"/>
    <x v="157"/>
    <x v="0"/>
    <x v="3"/>
    <x v="19"/>
    <x v="0"/>
    <x v="1"/>
    <n v="0"/>
    <x v="0"/>
  </r>
  <r>
    <x v="30"/>
    <x v="0"/>
    <x v="157"/>
    <x v="0"/>
    <x v="3"/>
    <x v="19"/>
    <x v="0"/>
    <x v="2"/>
    <n v="0"/>
    <x v="0"/>
  </r>
  <r>
    <x v="30"/>
    <x v="0"/>
    <x v="157"/>
    <x v="0"/>
    <x v="3"/>
    <x v="19"/>
    <x v="0"/>
    <x v="3"/>
    <n v="0"/>
    <x v="0"/>
  </r>
  <r>
    <x v="30"/>
    <x v="0"/>
    <x v="157"/>
    <x v="0"/>
    <x v="3"/>
    <x v="19"/>
    <x v="0"/>
    <x v="4"/>
    <n v="0"/>
    <x v="0"/>
  </r>
  <r>
    <x v="30"/>
    <x v="0"/>
    <x v="157"/>
    <x v="0"/>
    <x v="3"/>
    <x v="19"/>
    <x v="0"/>
    <x v="5"/>
    <n v="0"/>
    <x v="0"/>
  </r>
  <r>
    <x v="30"/>
    <x v="0"/>
    <x v="157"/>
    <x v="0"/>
    <x v="3"/>
    <x v="19"/>
    <x v="0"/>
    <x v="6"/>
    <n v="0"/>
    <x v="0"/>
  </r>
  <r>
    <x v="30"/>
    <x v="0"/>
    <x v="157"/>
    <x v="0"/>
    <x v="3"/>
    <x v="19"/>
    <x v="0"/>
    <x v="7"/>
    <n v="0"/>
    <x v="0"/>
  </r>
  <r>
    <x v="30"/>
    <x v="0"/>
    <x v="157"/>
    <x v="0"/>
    <x v="3"/>
    <x v="19"/>
    <x v="0"/>
    <x v="8"/>
    <n v="0"/>
    <x v="0"/>
  </r>
  <r>
    <x v="30"/>
    <x v="0"/>
    <x v="157"/>
    <x v="0"/>
    <x v="3"/>
    <x v="19"/>
    <x v="0"/>
    <x v="9"/>
    <n v="0"/>
    <x v="0"/>
  </r>
  <r>
    <x v="30"/>
    <x v="0"/>
    <x v="157"/>
    <x v="0"/>
    <x v="3"/>
    <x v="19"/>
    <x v="0"/>
    <x v="10"/>
    <n v="0"/>
    <x v="0"/>
  </r>
  <r>
    <x v="30"/>
    <x v="0"/>
    <x v="157"/>
    <x v="0"/>
    <x v="3"/>
    <x v="19"/>
    <x v="0"/>
    <x v="11"/>
    <n v="0"/>
    <x v="0"/>
  </r>
  <r>
    <x v="30"/>
    <x v="0"/>
    <x v="158"/>
    <x v="2"/>
    <x v="1"/>
    <x v="19"/>
    <x v="0"/>
    <x v="0"/>
    <n v="2009.014416458331"/>
    <x v="0"/>
  </r>
  <r>
    <x v="30"/>
    <x v="0"/>
    <x v="158"/>
    <x v="2"/>
    <x v="1"/>
    <x v="19"/>
    <x v="0"/>
    <x v="1"/>
    <n v="0"/>
    <x v="0"/>
  </r>
  <r>
    <x v="30"/>
    <x v="0"/>
    <x v="158"/>
    <x v="2"/>
    <x v="1"/>
    <x v="19"/>
    <x v="0"/>
    <x v="2"/>
    <n v="1272.8575413511307"/>
    <x v="0"/>
  </r>
  <r>
    <x v="30"/>
    <x v="0"/>
    <x v="158"/>
    <x v="2"/>
    <x v="1"/>
    <x v="19"/>
    <x v="0"/>
    <x v="3"/>
    <n v="134.27208532089071"/>
    <x v="0"/>
  </r>
  <r>
    <x v="30"/>
    <x v="0"/>
    <x v="158"/>
    <x v="2"/>
    <x v="1"/>
    <x v="19"/>
    <x v="0"/>
    <x v="4"/>
    <n v="1355.8090382185035"/>
    <x v="0"/>
  </r>
  <r>
    <x v="30"/>
    <x v="0"/>
    <x v="158"/>
    <x v="2"/>
    <x v="1"/>
    <x v="19"/>
    <x v="0"/>
    <x v="5"/>
    <n v="1348.3068417415341"/>
    <x v="0"/>
  </r>
  <r>
    <x v="30"/>
    <x v="0"/>
    <x v="158"/>
    <x v="2"/>
    <x v="1"/>
    <x v="19"/>
    <x v="0"/>
    <x v="6"/>
    <n v="1332.4000597295108"/>
    <x v="0"/>
  </r>
  <r>
    <x v="30"/>
    <x v="0"/>
    <x v="158"/>
    <x v="2"/>
    <x v="1"/>
    <x v="19"/>
    <x v="0"/>
    <x v="7"/>
    <n v="1348.6525432842241"/>
    <x v="0"/>
  </r>
  <r>
    <x v="30"/>
    <x v="0"/>
    <x v="158"/>
    <x v="2"/>
    <x v="1"/>
    <x v="19"/>
    <x v="0"/>
    <x v="8"/>
    <n v="1360.5359475712851"/>
    <x v="0"/>
  </r>
  <r>
    <x v="30"/>
    <x v="0"/>
    <x v="158"/>
    <x v="2"/>
    <x v="1"/>
    <x v="19"/>
    <x v="0"/>
    <x v="9"/>
    <n v="974.65437294524588"/>
    <x v="0"/>
  </r>
  <r>
    <x v="30"/>
    <x v="0"/>
    <x v="158"/>
    <x v="2"/>
    <x v="1"/>
    <x v="19"/>
    <x v="0"/>
    <x v="10"/>
    <n v="0"/>
    <x v="0"/>
  </r>
  <r>
    <x v="30"/>
    <x v="0"/>
    <x v="158"/>
    <x v="2"/>
    <x v="1"/>
    <x v="19"/>
    <x v="0"/>
    <x v="11"/>
    <n v="1398.4976744678822"/>
    <x v="0"/>
  </r>
  <r>
    <x v="30"/>
    <x v="0"/>
    <x v="159"/>
    <x v="2"/>
    <x v="1"/>
    <x v="19"/>
    <x v="0"/>
    <x v="0"/>
    <n v="0"/>
    <x v="0"/>
  </r>
  <r>
    <x v="30"/>
    <x v="0"/>
    <x v="159"/>
    <x v="2"/>
    <x v="1"/>
    <x v="19"/>
    <x v="0"/>
    <x v="1"/>
    <n v="0"/>
    <x v="0"/>
  </r>
  <r>
    <x v="30"/>
    <x v="0"/>
    <x v="159"/>
    <x v="2"/>
    <x v="1"/>
    <x v="19"/>
    <x v="0"/>
    <x v="2"/>
    <n v="0"/>
    <x v="0"/>
  </r>
  <r>
    <x v="30"/>
    <x v="0"/>
    <x v="159"/>
    <x v="2"/>
    <x v="1"/>
    <x v="19"/>
    <x v="0"/>
    <x v="3"/>
    <n v="0"/>
    <x v="0"/>
  </r>
  <r>
    <x v="30"/>
    <x v="0"/>
    <x v="159"/>
    <x v="2"/>
    <x v="1"/>
    <x v="19"/>
    <x v="0"/>
    <x v="4"/>
    <n v="1349.4007931319998"/>
    <x v="0"/>
  </r>
  <r>
    <x v="30"/>
    <x v="0"/>
    <x v="159"/>
    <x v="2"/>
    <x v="1"/>
    <x v="19"/>
    <x v="0"/>
    <x v="5"/>
    <n v="671.23034727021422"/>
    <x v="0"/>
  </r>
  <r>
    <x v="30"/>
    <x v="0"/>
    <x v="159"/>
    <x v="2"/>
    <x v="1"/>
    <x v="19"/>
    <x v="0"/>
    <x v="6"/>
    <n v="435.50919407824568"/>
    <x v="0"/>
  </r>
  <r>
    <x v="30"/>
    <x v="0"/>
    <x v="159"/>
    <x v="2"/>
    <x v="1"/>
    <x v="19"/>
    <x v="0"/>
    <x v="7"/>
    <n v="366.03398214861812"/>
    <x v="0"/>
  </r>
  <r>
    <x v="30"/>
    <x v="0"/>
    <x v="159"/>
    <x v="2"/>
    <x v="1"/>
    <x v="19"/>
    <x v="0"/>
    <x v="8"/>
    <n v="433.21277032206518"/>
    <x v="0"/>
  </r>
  <r>
    <x v="30"/>
    <x v="0"/>
    <x v="159"/>
    <x v="2"/>
    <x v="1"/>
    <x v="19"/>
    <x v="0"/>
    <x v="9"/>
    <n v="429.68698129169746"/>
    <x v="0"/>
  </r>
  <r>
    <x v="30"/>
    <x v="0"/>
    <x v="159"/>
    <x v="2"/>
    <x v="1"/>
    <x v="19"/>
    <x v="0"/>
    <x v="10"/>
    <n v="0"/>
    <x v="0"/>
  </r>
  <r>
    <x v="30"/>
    <x v="0"/>
    <x v="159"/>
    <x v="2"/>
    <x v="1"/>
    <x v="19"/>
    <x v="0"/>
    <x v="11"/>
    <n v="0"/>
    <x v="0"/>
  </r>
  <r>
    <x v="30"/>
    <x v="0"/>
    <x v="160"/>
    <x v="2"/>
    <x v="1"/>
    <x v="19"/>
    <x v="0"/>
    <x v="0"/>
    <n v="0"/>
    <x v="0"/>
  </r>
  <r>
    <x v="30"/>
    <x v="0"/>
    <x v="160"/>
    <x v="2"/>
    <x v="1"/>
    <x v="19"/>
    <x v="0"/>
    <x v="1"/>
    <n v="1800.4369758365854"/>
    <x v="0"/>
  </r>
  <r>
    <x v="30"/>
    <x v="0"/>
    <x v="160"/>
    <x v="2"/>
    <x v="1"/>
    <x v="19"/>
    <x v="0"/>
    <x v="2"/>
    <n v="1363.6833242073292"/>
    <x v="0"/>
  </r>
  <r>
    <x v="30"/>
    <x v="0"/>
    <x v="160"/>
    <x v="2"/>
    <x v="1"/>
    <x v="19"/>
    <x v="0"/>
    <x v="3"/>
    <n v="0"/>
    <x v="0"/>
  </r>
  <r>
    <x v="30"/>
    <x v="0"/>
    <x v="160"/>
    <x v="2"/>
    <x v="1"/>
    <x v="19"/>
    <x v="0"/>
    <x v="4"/>
    <n v="864.28291279905875"/>
    <x v="0"/>
  </r>
  <r>
    <x v="30"/>
    <x v="0"/>
    <x v="160"/>
    <x v="2"/>
    <x v="1"/>
    <x v="19"/>
    <x v="0"/>
    <x v="5"/>
    <n v="0"/>
    <x v="0"/>
  </r>
  <r>
    <x v="30"/>
    <x v="0"/>
    <x v="160"/>
    <x v="2"/>
    <x v="1"/>
    <x v="19"/>
    <x v="0"/>
    <x v="6"/>
    <n v="0"/>
    <x v="0"/>
  </r>
  <r>
    <x v="30"/>
    <x v="0"/>
    <x v="160"/>
    <x v="2"/>
    <x v="1"/>
    <x v="19"/>
    <x v="0"/>
    <x v="7"/>
    <n v="0"/>
    <x v="0"/>
  </r>
  <r>
    <x v="30"/>
    <x v="0"/>
    <x v="160"/>
    <x v="2"/>
    <x v="1"/>
    <x v="19"/>
    <x v="0"/>
    <x v="8"/>
    <n v="0"/>
    <x v="0"/>
  </r>
  <r>
    <x v="30"/>
    <x v="0"/>
    <x v="160"/>
    <x v="2"/>
    <x v="1"/>
    <x v="19"/>
    <x v="0"/>
    <x v="9"/>
    <n v="0"/>
    <x v="0"/>
  </r>
  <r>
    <x v="30"/>
    <x v="0"/>
    <x v="160"/>
    <x v="2"/>
    <x v="1"/>
    <x v="19"/>
    <x v="0"/>
    <x v="10"/>
    <n v="0"/>
    <x v="0"/>
  </r>
  <r>
    <x v="30"/>
    <x v="0"/>
    <x v="160"/>
    <x v="2"/>
    <x v="1"/>
    <x v="19"/>
    <x v="0"/>
    <x v="11"/>
    <n v="0"/>
    <x v="0"/>
  </r>
  <r>
    <x v="30"/>
    <x v="1"/>
    <x v="161"/>
    <x v="2"/>
    <x v="3"/>
    <x v="20"/>
    <x v="0"/>
    <x v="0"/>
    <n v="0"/>
    <x v="0"/>
  </r>
  <r>
    <x v="30"/>
    <x v="1"/>
    <x v="161"/>
    <x v="2"/>
    <x v="3"/>
    <x v="20"/>
    <x v="0"/>
    <x v="1"/>
    <n v="0"/>
    <x v="0"/>
  </r>
  <r>
    <x v="30"/>
    <x v="1"/>
    <x v="161"/>
    <x v="2"/>
    <x v="3"/>
    <x v="20"/>
    <x v="0"/>
    <x v="2"/>
    <n v="0"/>
    <x v="0"/>
  </r>
  <r>
    <x v="30"/>
    <x v="1"/>
    <x v="161"/>
    <x v="2"/>
    <x v="3"/>
    <x v="20"/>
    <x v="0"/>
    <x v="3"/>
    <n v="0"/>
    <x v="0"/>
  </r>
  <r>
    <x v="30"/>
    <x v="1"/>
    <x v="161"/>
    <x v="2"/>
    <x v="3"/>
    <x v="20"/>
    <x v="0"/>
    <x v="4"/>
    <n v="0"/>
    <x v="0"/>
  </r>
  <r>
    <x v="30"/>
    <x v="1"/>
    <x v="161"/>
    <x v="2"/>
    <x v="3"/>
    <x v="20"/>
    <x v="0"/>
    <x v="5"/>
    <n v="0"/>
    <x v="0"/>
  </r>
  <r>
    <x v="30"/>
    <x v="1"/>
    <x v="161"/>
    <x v="2"/>
    <x v="3"/>
    <x v="20"/>
    <x v="0"/>
    <x v="6"/>
    <n v="0"/>
    <x v="0"/>
  </r>
  <r>
    <x v="30"/>
    <x v="1"/>
    <x v="161"/>
    <x v="2"/>
    <x v="3"/>
    <x v="20"/>
    <x v="0"/>
    <x v="7"/>
    <n v="0"/>
    <x v="0"/>
  </r>
  <r>
    <x v="30"/>
    <x v="1"/>
    <x v="161"/>
    <x v="2"/>
    <x v="3"/>
    <x v="20"/>
    <x v="0"/>
    <x v="8"/>
    <n v="0"/>
    <x v="0"/>
  </r>
  <r>
    <x v="30"/>
    <x v="1"/>
    <x v="161"/>
    <x v="2"/>
    <x v="3"/>
    <x v="20"/>
    <x v="0"/>
    <x v="9"/>
    <n v="0"/>
    <x v="0"/>
  </r>
  <r>
    <x v="30"/>
    <x v="1"/>
    <x v="161"/>
    <x v="2"/>
    <x v="3"/>
    <x v="20"/>
    <x v="0"/>
    <x v="10"/>
    <n v="0"/>
    <x v="0"/>
  </r>
  <r>
    <x v="30"/>
    <x v="1"/>
    <x v="161"/>
    <x v="2"/>
    <x v="3"/>
    <x v="20"/>
    <x v="0"/>
    <x v="11"/>
    <n v="0"/>
    <x v="0"/>
  </r>
  <r>
    <x v="30"/>
    <x v="1"/>
    <x v="162"/>
    <x v="2"/>
    <x v="1"/>
    <x v="8"/>
    <x v="0"/>
    <x v="0"/>
    <n v="0"/>
    <x v="0"/>
  </r>
  <r>
    <x v="30"/>
    <x v="1"/>
    <x v="162"/>
    <x v="2"/>
    <x v="1"/>
    <x v="8"/>
    <x v="0"/>
    <x v="1"/>
    <n v="0"/>
    <x v="0"/>
  </r>
  <r>
    <x v="30"/>
    <x v="1"/>
    <x v="162"/>
    <x v="2"/>
    <x v="1"/>
    <x v="8"/>
    <x v="0"/>
    <x v="2"/>
    <n v="0"/>
    <x v="0"/>
  </r>
  <r>
    <x v="30"/>
    <x v="1"/>
    <x v="162"/>
    <x v="2"/>
    <x v="1"/>
    <x v="8"/>
    <x v="0"/>
    <x v="3"/>
    <n v="2045.1382090111858"/>
    <x v="0"/>
  </r>
  <r>
    <x v="30"/>
    <x v="1"/>
    <x v="162"/>
    <x v="2"/>
    <x v="1"/>
    <x v="8"/>
    <x v="0"/>
    <x v="4"/>
    <n v="122.23820107203557"/>
    <x v="0"/>
  </r>
  <r>
    <x v="30"/>
    <x v="1"/>
    <x v="162"/>
    <x v="2"/>
    <x v="1"/>
    <x v="8"/>
    <x v="0"/>
    <x v="5"/>
    <n v="0"/>
    <x v="0"/>
  </r>
  <r>
    <x v="30"/>
    <x v="1"/>
    <x v="162"/>
    <x v="2"/>
    <x v="1"/>
    <x v="8"/>
    <x v="0"/>
    <x v="6"/>
    <n v="0"/>
    <x v="0"/>
  </r>
  <r>
    <x v="30"/>
    <x v="1"/>
    <x v="162"/>
    <x v="2"/>
    <x v="1"/>
    <x v="8"/>
    <x v="0"/>
    <x v="7"/>
    <n v="101.83890740939886"/>
    <x v="0"/>
  </r>
  <r>
    <x v="30"/>
    <x v="1"/>
    <x v="162"/>
    <x v="2"/>
    <x v="1"/>
    <x v="8"/>
    <x v="0"/>
    <x v="8"/>
    <n v="0"/>
    <x v="0"/>
  </r>
  <r>
    <x v="30"/>
    <x v="1"/>
    <x v="162"/>
    <x v="2"/>
    <x v="1"/>
    <x v="8"/>
    <x v="0"/>
    <x v="9"/>
    <n v="0"/>
    <x v="0"/>
  </r>
  <r>
    <x v="30"/>
    <x v="1"/>
    <x v="162"/>
    <x v="2"/>
    <x v="1"/>
    <x v="8"/>
    <x v="0"/>
    <x v="10"/>
    <n v="0"/>
    <x v="0"/>
  </r>
  <r>
    <x v="30"/>
    <x v="1"/>
    <x v="162"/>
    <x v="2"/>
    <x v="1"/>
    <x v="8"/>
    <x v="0"/>
    <x v="11"/>
    <n v="0"/>
    <x v="0"/>
  </r>
  <r>
    <x v="30"/>
    <x v="1"/>
    <x v="163"/>
    <x v="2"/>
    <x v="1"/>
    <x v="8"/>
    <x v="0"/>
    <x v="0"/>
    <n v="0"/>
    <x v="0"/>
  </r>
  <r>
    <x v="30"/>
    <x v="1"/>
    <x v="163"/>
    <x v="2"/>
    <x v="1"/>
    <x v="8"/>
    <x v="0"/>
    <x v="1"/>
    <n v="0"/>
    <x v="0"/>
  </r>
  <r>
    <x v="30"/>
    <x v="1"/>
    <x v="163"/>
    <x v="2"/>
    <x v="1"/>
    <x v="8"/>
    <x v="0"/>
    <x v="2"/>
    <n v="0"/>
    <x v="0"/>
  </r>
  <r>
    <x v="30"/>
    <x v="1"/>
    <x v="163"/>
    <x v="2"/>
    <x v="1"/>
    <x v="8"/>
    <x v="0"/>
    <x v="3"/>
    <n v="1264.9342804174391"/>
    <x v="0"/>
  </r>
  <r>
    <x v="30"/>
    <x v="1"/>
    <x v="163"/>
    <x v="2"/>
    <x v="1"/>
    <x v="8"/>
    <x v="0"/>
    <x v="4"/>
    <n v="306.26879330631454"/>
    <x v="0"/>
  </r>
  <r>
    <x v="30"/>
    <x v="1"/>
    <x v="163"/>
    <x v="2"/>
    <x v="1"/>
    <x v="8"/>
    <x v="0"/>
    <x v="5"/>
    <n v="1725.6079388389771"/>
    <x v="0"/>
  </r>
  <r>
    <x v="30"/>
    <x v="1"/>
    <x v="163"/>
    <x v="2"/>
    <x v="1"/>
    <x v="8"/>
    <x v="0"/>
    <x v="6"/>
    <n v="0"/>
    <x v="0"/>
  </r>
  <r>
    <x v="30"/>
    <x v="1"/>
    <x v="163"/>
    <x v="2"/>
    <x v="1"/>
    <x v="8"/>
    <x v="0"/>
    <x v="7"/>
    <n v="0"/>
    <x v="0"/>
  </r>
  <r>
    <x v="30"/>
    <x v="1"/>
    <x v="163"/>
    <x v="2"/>
    <x v="1"/>
    <x v="8"/>
    <x v="0"/>
    <x v="8"/>
    <n v="0"/>
    <x v="0"/>
  </r>
  <r>
    <x v="30"/>
    <x v="1"/>
    <x v="163"/>
    <x v="2"/>
    <x v="1"/>
    <x v="8"/>
    <x v="0"/>
    <x v="9"/>
    <n v="0"/>
    <x v="0"/>
  </r>
  <r>
    <x v="30"/>
    <x v="1"/>
    <x v="163"/>
    <x v="2"/>
    <x v="1"/>
    <x v="8"/>
    <x v="0"/>
    <x v="10"/>
    <n v="1352.6348291477975"/>
    <x v="0"/>
  </r>
  <r>
    <x v="30"/>
    <x v="1"/>
    <x v="163"/>
    <x v="2"/>
    <x v="1"/>
    <x v="8"/>
    <x v="0"/>
    <x v="11"/>
    <n v="0"/>
    <x v="0"/>
  </r>
  <r>
    <x v="30"/>
    <x v="1"/>
    <x v="164"/>
    <x v="2"/>
    <x v="3"/>
    <x v="9"/>
    <x v="0"/>
    <x v="0"/>
    <n v="0"/>
    <x v="0"/>
  </r>
  <r>
    <x v="30"/>
    <x v="1"/>
    <x v="164"/>
    <x v="2"/>
    <x v="3"/>
    <x v="9"/>
    <x v="0"/>
    <x v="1"/>
    <n v="0"/>
    <x v="0"/>
  </r>
  <r>
    <x v="30"/>
    <x v="1"/>
    <x v="164"/>
    <x v="2"/>
    <x v="3"/>
    <x v="9"/>
    <x v="0"/>
    <x v="2"/>
    <n v="0"/>
    <x v="0"/>
  </r>
  <r>
    <x v="30"/>
    <x v="1"/>
    <x v="164"/>
    <x v="2"/>
    <x v="3"/>
    <x v="9"/>
    <x v="0"/>
    <x v="3"/>
    <n v="0"/>
    <x v="0"/>
  </r>
  <r>
    <x v="30"/>
    <x v="1"/>
    <x v="164"/>
    <x v="2"/>
    <x v="3"/>
    <x v="9"/>
    <x v="0"/>
    <x v="4"/>
    <n v="102.70623610929533"/>
    <x v="0"/>
  </r>
  <r>
    <x v="30"/>
    <x v="1"/>
    <x v="164"/>
    <x v="2"/>
    <x v="3"/>
    <x v="9"/>
    <x v="0"/>
    <x v="5"/>
    <n v="0"/>
    <x v="0"/>
  </r>
  <r>
    <x v="30"/>
    <x v="1"/>
    <x v="164"/>
    <x v="2"/>
    <x v="3"/>
    <x v="9"/>
    <x v="0"/>
    <x v="6"/>
    <n v="0"/>
    <x v="0"/>
  </r>
  <r>
    <x v="30"/>
    <x v="1"/>
    <x v="164"/>
    <x v="2"/>
    <x v="3"/>
    <x v="9"/>
    <x v="0"/>
    <x v="7"/>
    <n v="0"/>
    <x v="0"/>
  </r>
  <r>
    <x v="30"/>
    <x v="1"/>
    <x v="164"/>
    <x v="2"/>
    <x v="3"/>
    <x v="9"/>
    <x v="0"/>
    <x v="8"/>
    <n v="0"/>
    <x v="0"/>
  </r>
  <r>
    <x v="30"/>
    <x v="1"/>
    <x v="164"/>
    <x v="2"/>
    <x v="3"/>
    <x v="9"/>
    <x v="0"/>
    <x v="9"/>
    <n v="0"/>
    <x v="0"/>
  </r>
  <r>
    <x v="30"/>
    <x v="1"/>
    <x v="164"/>
    <x v="2"/>
    <x v="3"/>
    <x v="9"/>
    <x v="0"/>
    <x v="10"/>
    <n v="0"/>
    <x v="0"/>
  </r>
  <r>
    <x v="30"/>
    <x v="1"/>
    <x v="164"/>
    <x v="2"/>
    <x v="3"/>
    <x v="9"/>
    <x v="0"/>
    <x v="11"/>
    <n v="0"/>
    <x v="0"/>
  </r>
  <r>
    <x v="30"/>
    <x v="1"/>
    <x v="165"/>
    <x v="2"/>
    <x v="2"/>
    <x v="3"/>
    <x v="0"/>
    <x v="0"/>
    <n v="0"/>
    <x v="0"/>
  </r>
  <r>
    <x v="30"/>
    <x v="1"/>
    <x v="165"/>
    <x v="2"/>
    <x v="2"/>
    <x v="3"/>
    <x v="0"/>
    <x v="1"/>
    <n v="0"/>
    <x v="0"/>
  </r>
  <r>
    <x v="30"/>
    <x v="1"/>
    <x v="165"/>
    <x v="2"/>
    <x v="2"/>
    <x v="3"/>
    <x v="0"/>
    <x v="2"/>
    <n v="0"/>
    <x v="0"/>
  </r>
  <r>
    <x v="30"/>
    <x v="1"/>
    <x v="165"/>
    <x v="2"/>
    <x v="2"/>
    <x v="3"/>
    <x v="0"/>
    <x v="3"/>
    <n v="0"/>
    <x v="0"/>
  </r>
  <r>
    <x v="30"/>
    <x v="1"/>
    <x v="165"/>
    <x v="2"/>
    <x v="2"/>
    <x v="3"/>
    <x v="0"/>
    <x v="4"/>
    <n v="129.64657689458318"/>
    <x v="0"/>
  </r>
  <r>
    <x v="30"/>
    <x v="1"/>
    <x v="165"/>
    <x v="2"/>
    <x v="2"/>
    <x v="3"/>
    <x v="0"/>
    <x v="5"/>
    <n v="0"/>
    <x v="0"/>
  </r>
  <r>
    <x v="30"/>
    <x v="1"/>
    <x v="165"/>
    <x v="2"/>
    <x v="2"/>
    <x v="3"/>
    <x v="0"/>
    <x v="6"/>
    <n v="0"/>
    <x v="0"/>
  </r>
  <r>
    <x v="30"/>
    <x v="1"/>
    <x v="165"/>
    <x v="2"/>
    <x v="2"/>
    <x v="3"/>
    <x v="0"/>
    <x v="7"/>
    <n v="0"/>
    <x v="0"/>
  </r>
  <r>
    <x v="30"/>
    <x v="1"/>
    <x v="165"/>
    <x v="2"/>
    <x v="2"/>
    <x v="3"/>
    <x v="0"/>
    <x v="8"/>
    <n v="0"/>
    <x v="0"/>
  </r>
  <r>
    <x v="30"/>
    <x v="1"/>
    <x v="165"/>
    <x v="2"/>
    <x v="2"/>
    <x v="3"/>
    <x v="0"/>
    <x v="9"/>
    <n v="0"/>
    <x v="0"/>
  </r>
  <r>
    <x v="30"/>
    <x v="1"/>
    <x v="165"/>
    <x v="2"/>
    <x v="2"/>
    <x v="3"/>
    <x v="0"/>
    <x v="10"/>
    <n v="0"/>
    <x v="0"/>
  </r>
  <r>
    <x v="30"/>
    <x v="1"/>
    <x v="165"/>
    <x v="2"/>
    <x v="2"/>
    <x v="3"/>
    <x v="0"/>
    <x v="11"/>
    <n v="0"/>
    <x v="0"/>
  </r>
  <r>
    <x v="30"/>
    <x v="1"/>
    <x v="166"/>
    <x v="0"/>
    <x v="4"/>
    <x v="14"/>
    <x v="0"/>
    <x v="0"/>
    <n v="0"/>
    <x v="0"/>
  </r>
  <r>
    <x v="30"/>
    <x v="1"/>
    <x v="166"/>
    <x v="0"/>
    <x v="4"/>
    <x v="14"/>
    <x v="0"/>
    <x v="1"/>
    <n v="0"/>
    <x v="0"/>
  </r>
  <r>
    <x v="30"/>
    <x v="1"/>
    <x v="166"/>
    <x v="0"/>
    <x v="4"/>
    <x v="14"/>
    <x v="0"/>
    <x v="2"/>
    <n v="0"/>
    <x v="0"/>
  </r>
  <r>
    <x v="30"/>
    <x v="1"/>
    <x v="166"/>
    <x v="0"/>
    <x v="4"/>
    <x v="14"/>
    <x v="0"/>
    <x v="3"/>
    <n v="0"/>
    <x v="0"/>
  </r>
  <r>
    <x v="30"/>
    <x v="1"/>
    <x v="166"/>
    <x v="0"/>
    <x v="4"/>
    <x v="14"/>
    <x v="0"/>
    <x v="4"/>
    <n v="0"/>
    <x v="0"/>
  </r>
  <r>
    <x v="30"/>
    <x v="1"/>
    <x v="166"/>
    <x v="0"/>
    <x v="4"/>
    <x v="14"/>
    <x v="0"/>
    <x v="5"/>
    <n v="0"/>
    <x v="0"/>
  </r>
  <r>
    <x v="30"/>
    <x v="1"/>
    <x v="166"/>
    <x v="0"/>
    <x v="4"/>
    <x v="14"/>
    <x v="0"/>
    <x v="6"/>
    <n v="0"/>
    <x v="0"/>
  </r>
  <r>
    <x v="30"/>
    <x v="1"/>
    <x v="166"/>
    <x v="0"/>
    <x v="4"/>
    <x v="14"/>
    <x v="0"/>
    <x v="7"/>
    <n v="1075.384449940854"/>
    <x v="0"/>
  </r>
  <r>
    <x v="30"/>
    <x v="1"/>
    <x v="166"/>
    <x v="0"/>
    <x v="4"/>
    <x v="14"/>
    <x v="0"/>
    <x v="8"/>
    <n v="0"/>
    <x v="0"/>
  </r>
  <r>
    <x v="30"/>
    <x v="1"/>
    <x v="166"/>
    <x v="0"/>
    <x v="4"/>
    <x v="14"/>
    <x v="0"/>
    <x v="9"/>
    <n v="278.29644146025424"/>
    <x v="0"/>
  </r>
  <r>
    <x v="30"/>
    <x v="1"/>
    <x v="166"/>
    <x v="0"/>
    <x v="4"/>
    <x v="14"/>
    <x v="0"/>
    <x v="10"/>
    <n v="0"/>
    <x v="0"/>
  </r>
  <r>
    <x v="30"/>
    <x v="1"/>
    <x v="166"/>
    <x v="0"/>
    <x v="4"/>
    <x v="14"/>
    <x v="0"/>
    <x v="11"/>
    <n v="0"/>
    <x v="0"/>
  </r>
  <r>
    <x v="30"/>
    <x v="1"/>
    <x v="167"/>
    <x v="0"/>
    <x v="1"/>
    <x v="21"/>
    <x v="0"/>
    <x v="0"/>
    <n v="0"/>
    <x v="0"/>
  </r>
  <r>
    <x v="30"/>
    <x v="1"/>
    <x v="167"/>
    <x v="0"/>
    <x v="1"/>
    <x v="21"/>
    <x v="0"/>
    <x v="1"/>
    <n v="0"/>
    <x v="0"/>
  </r>
  <r>
    <x v="30"/>
    <x v="1"/>
    <x v="167"/>
    <x v="0"/>
    <x v="1"/>
    <x v="21"/>
    <x v="0"/>
    <x v="2"/>
    <n v="0"/>
    <x v="0"/>
  </r>
  <r>
    <x v="30"/>
    <x v="1"/>
    <x v="167"/>
    <x v="0"/>
    <x v="1"/>
    <x v="21"/>
    <x v="0"/>
    <x v="3"/>
    <n v="0"/>
    <x v="0"/>
  </r>
  <r>
    <x v="30"/>
    <x v="1"/>
    <x v="167"/>
    <x v="0"/>
    <x v="1"/>
    <x v="21"/>
    <x v="0"/>
    <x v="4"/>
    <n v="0"/>
    <x v="0"/>
  </r>
  <r>
    <x v="30"/>
    <x v="1"/>
    <x v="167"/>
    <x v="0"/>
    <x v="1"/>
    <x v="21"/>
    <x v="0"/>
    <x v="5"/>
    <n v="0"/>
    <x v="0"/>
  </r>
  <r>
    <x v="30"/>
    <x v="1"/>
    <x v="167"/>
    <x v="0"/>
    <x v="1"/>
    <x v="21"/>
    <x v="0"/>
    <x v="6"/>
    <n v="0"/>
    <x v="0"/>
  </r>
  <r>
    <x v="30"/>
    <x v="1"/>
    <x v="167"/>
    <x v="0"/>
    <x v="1"/>
    <x v="21"/>
    <x v="0"/>
    <x v="7"/>
    <n v="0"/>
    <x v="0"/>
  </r>
  <r>
    <x v="30"/>
    <x v="1"/>
    <x v="167"/>
    <x v="0"/>
    <x v="1"/>
    <x v="21"/>
    <x v="0"/>
    <x v="8"/>
    <n v="0"/>
    <x v="0"/>
  </r>
  <r>
    <x v="30"/>
    <x v="1"/>
    <x v="167"/>
    <x v="0"/>
    <x v="1"/>
    <x v="21"/>
    <x v="0"/>
    <x v="9"/>
    <n v="0"/>
    <x v="0"/>
  </r>
  <r>
    <x v="30"/>
    <x v="1"/>
    <x v="167"/>
    <x v="0"/>
    <x v="1"/>
    <x v="21"/>
    <x v="0"/>
    <x v="10"/>
    <n v="0"/>
    <x v="0"/>
  </r>
  <r>
    <x v="30"/>
    <x v="1"/>
    <x v="167"/>
    <x v="0"/>
    <x v="1"/>
    <x v="21"/>
    <x v="0"/>
    <x v="11"/>
    <n v="0"/>
    <x v="0"/>
  </r>
  <r>
    <x v="53"/>
    <x v="0"/>
    <x v="168"/>
    <x v="2"/>
    <x v="0"/>
    <x v="0"/>
    <x v="0"/>
    <x v="0"/>
    <n v="799.46254914701706"/>
    <x v="0"/>
  </r>
  <r>
    <x v="53"/>
    <x v="0"/>
    <x v="168"/>
    <x v="2"/>
    <x v="0"/>
    <x v="0"/>
    <x v="0"/>
    <x v="1"/>
    <n v="753.45013700905088"/>
    <x v="0"/>
  </r>
  <r>
    <x v="53"/>
    <x v="0"/>
    <x v="168"/>
    <x v="2"/>
    <x v="0"/>
    <x v="0"/>
    <x v="0"/>
    <x v="2"/>
    <n v="727.3997086566178"/>
    <x v="0"/>
  </r>
  <r>
    <x v="53"/>
    <x v="0"/>
    <x v="168"/>
    <x v="2"/>
    <x v="0"/>
    <x v="0"/>
    <x v="0"/>
    <x v="3"/>
    <n v="733.30139354677442"/>
    <x v="0"/>
  </r>
  <r>
    <x v="53"/>
    <x v="0"/>
    <x v="168"/>
    <x v="2"/>
    <x v="0"/>
    <x v="0"/>
    <x v="0"/>
    <x v="4"/>
    <n v="3490.7308144855538"/>
    <x v="0"/>
  </r>
  <r>
    <x v="53"/>
    <x v="0"/>
    <x v="168"/>
    <x v="2"/>
    <x v="0"/>
    <x v="0"/>
    <x v="0"/>
    <x v="5"/>
    <n v="807.42052522460256"/>
    <x v="0"/>
  </r>
  <r>
    <x v="53"/>
    <x v="0"/>
    <x v="168"/>
    <x v="2"/>
    <x v="0"/>
    <x v="0"/>
    <x v="0"/>
    <x v="6"/>
    <n v="774.24804812492005"/>
    <x v="0"/>
  </r>
  <r>
    <x v="53"/>
    <x v="0"/>
    <x v="168"/>
    <x v="2"/>
    <x v="0"/>
    <x v="0"/>
    <x v="0"/>
    <x v="7"/>
    <n v="851.05925368319174"/>
    <x v="0"/>
  </r>
  <r>
    <x v="53"/>
    <x v="0"/>
    <x v="168"/>
    <x v="2"/>
    <x v="0"/>
    <x v="0"/>
    <x v="0"/>
    <x v="8"/>
    <n v="1238.6737348981333"/>
    <x v="0"/>
  </r>
  <r>
    <x v="53"/>
    <x v="0"/>
    <x v="168"/>
    <x v="2"/>
    <x v="0"/>
    <x v="0"/>
    <x v="0"/>
    <x v="9"/>
    <n v="699.62090789346871"/>
    <x v="0"/>
  </r>
  <r>
    <x v="53"/>
    <x v="0"/>
    <x v="168"/>
    <x v="2"/>
    <x v="0"/>
    <x v="0"/>
    <x v="0"/>
    <x v="10"/>
    <n v="747.12227254013999"/>
    <x v="0"/>
  </r>
  <r>
    <x v="53"/>
    <x v="0"/>
    <x v="168"/>
    <x v="2"/>
    <x v="0"/>
    <x v="0"/>
    <x v="0"/>
    <x v="11"/>
    <n v="1064.7652748789558"/>
    <x v="0"/>
  </r>
  <r>
    <x v="30"/>
    <x v="1"/>
    <x v="169"/>
    <x v="2"/>
    <x v="2"/>
    <x v="3"/>
    <x v="0"/>
    <x v="0"/>
    <n v="0"/>
    <x v="0"/>
  </r>
  <r>
    <x v="30"/>
    <x v="1"/>
    <x v="169"/>
    <x v="2"/>
    <x v="2"/>
    <x v="3"/>
    <x v="0"/>
    <x v="1"/>
    <n v="0"/>
    <x v="0"/>
  </r>
  <r>
    <x v="30"/>
    <x v="1"/>
    <x v="169"/>
    <x v="2"/>
    <x v="2"/>
    <x v="3"/>
    <x v="0"/>
    <x v="2"/>
    <n v="0"/>
    <x v="0"/>
  </r>
  <r>
    <x v="30"/>
    <x v="1"/>
    <x v="169"/>
    <x v="2"/>
    <x v="2"/>
    <x v="3"/>
    <x v="0"/>
    <x v="3"/>
    <n v="0"/>
    <x v="0"/>
  </r>
  <r>
    <x v="30"/>
    <x v="1"/>
    <x v="169"/>
    <x v="2"/>
    <x v="2"/>
    <x v="3"/>
    <x v="0"/>
    <x v="4"/>
    <n v="0"/>
    <x v="0"/>
  </r>
  <r>
    <x v="30"/>
    <x v="1"/>
    <x v="169"/>
    <x v="2"/>
    <x v="2"/>
    <x v="3"/>
    <x v="0"/>
    <x v="5"/>
    <n v="0"/>
    <x v="0"/>
  </r>
  <r>
    <x v="30"/>
    <x v="1"/>
    <x v="169"/>
    <x v="2"/>
    <x v="2"/>
    <x v="3"/>
    <x v="0"/>
    <x v="6"/>
    <n v="0"/>
    <x v="0"/>
  </r>
  <r>
    <x v="30"/>
    <x v="1"/>
    <x v="169"/>
    <x v="2"/>
    <x v="2"/>
    <x v="3"/>
    <x v="0"/>
    <x v="7"/>
    <n v="0"/>
    <x v="0"/>
  </r>
  <r>
    <x v="30"/>
    <x v="1"/>
    <x v="169"/>
    <x v="2"/>
    <x v="2"/>
    <x v="3"/>
    <x v="0"/>
    <x v="8"/>
    <n v="0"/>
    <x v="0"/>
  </r>
  <r>
    <x v="30"/>
    <x v="1"/>
    <x v="169"/>
    <x v="2"/>
    <x v="2"/>
    <x v="3"/>
    <x v="0"/>
    <x v="9"/>
    <n v="4137.2238463927351"/>
    <x v="0"/>
  </r>
  <r>
    <x v="30"/>
    <x v="1"/>
    <x v="169"/>
    <x v="2"/>
    <x v="2"/>
    <x v="3"/>
    <x v="0"/>
    <x v="10"/>
    <n v="0"/>
    <x v="0"/>
  </r>
  <r>
    <x v="30"/>
    <x v="1"/>
    <x v="169"/>
    <x v="2"/>
    <x v="2"/>
    <x v="3"/>
    <x v="0"/>
    <x v="11"/>
    <n v="0"/>
    <x v="0"/>
  </r>
  <r>
    <x v="54"/>
    <x v="0"/>
    <x v="170"/>
    <x v="2"/>
    <x v="0"/>
    <x v="0"/>
    <x v="0"/>
    <x v="0"/>
    <n v="0"/>
    <x v="0"/>
  </r>
  <r>
    <x v="54"/>
    <x v="0"/>
    <x v="170"/>
    <x v="2"/>
    <x v="0"/>
    <x v="0"/>
    <x v="0"/>
    <x v="1"/>
    <n v="0"/>
    <x v="0"/>
  </r>
  <r>
    <x v="54"/>
    <x v="0"/>
    <x v="170"/>
    <x v="2"/>
    <x v="0"/>
    <x v="0"/>
    <x v="0"/>
    <x v="2"/>
    <n v="0"/>
    <x v="0"/>
  </r>
  <r>
    <x v="54"/>
    <x v="0"/>
    <x v="170"/>
    <x v="2"/>
    <x v="0"/>
    <x v="0"/>
    <x v="0"/>
    <x v="3"/>
    <n v="0"/>
    <x v="0"/>
  </r>
  <r>
    <x v="54"/>
    <x v="0"/>
    <x v="170"/>
    <x v="2"/>
    <x v="0"/>
    <x v="0"/>
    <x v="0"/>
    <x v="4"/>
    <n v="0"/>
    <x v="0"/>
  </r>
  <r>
    <x v="54"/>
    <x v="0"/>
    <x v="170"/>
    <x v="2"/>
    <x v="0"/>
    <x v="0"/>
    <x v="0"/>
    <x v="5"/>
    <n v="0"/>
    <x v="0"/>
  </r>
  <r>
    <x v="54"/>
    <x v="0"/>
    <x v="170"/>
    <x v="2"/>
    <x v="0"/>
    <x v="0"/>
    <x v="0"/>
    <x v="6"/>
    <n v="0"/>
    <x v="0"/>
  </r>
  <r>
    <x v="54"/>
    <x v="0"/>
    <x v="170"/>
    <x v="2"/>
    <x v="0"/>
    <x v="0"/>
    <x v="0"/>
    <x v="7"/>
    <n v="0"/>
    <x v="0"/>
  </r>
  <r>
    <x v="54"/>
    <x v="0"/>
    <x v="170"/>
    <x v="2"/>
    <x v="0"/>
    <x v="0"/>
    <x v="0"/>
    <x v="8"/>
    <n v="0"/>
    <x v="0"/>
  </r>
  <r>
    <x v="54"/>
    <x v="0"/>
    <x v="170"/>
    <x v="2"/>
    <x v="0"/>
    <x v="0"/>
    <x v="0"/>
    <x v="9"/>
    <n v="5354.4082843404976"/>
    <x v="0"/>
  </r>
  <r>
    <x v="54"/>
    <x v="0"/>
    <x v="170"/>
    <x v="2"/>
    <x v="0"/>
    <x v="0"/>
    <x v="0"/>
    <x v="10"/>
    <n v="2573.075339645945"/>
    <x v="0"/>
  </r>
  <r>
    <x v="54"/>
    <x v="0"/>
    <x v="170"/>
    <x v="2"/>
    <x v="0"/>
    <x v="0"/>
    <x v="0"/>
    <x v="11"/>
    <n v="2648.6698380073526"/>
    <x v="0"/>
  </r>
  <r>
    <x v="30"/>
    <x v="1"/>
    <x v="171"/>
    <x v="2"/>
    <x v="3"/>
    <x v="22"/>
    <x v="0"/>
    <x v="0"/>
    <n v="0"/>
    <x v="0"/>
  </r>
  <r>
    <x v="30"/>
    <x v="1"/>
    <x v="171"/>
    <x v="2"/>
    <x v="3"/>
    <x v="22"/>
    <x v="0"/>
    <x v="1"/>
    <n v="0"/>
    <x v="0"/>
  </r>
  <r>
    <x v="30"/>
    <x v="1"/>
    <x v="171"/>
    <x v="2"/>
    <x v="3"/>
    <x v="22"/>
    <x v="0"/>
    <x v="2"/>
    <n v="0"/>
    <x v="0"/>
  </r>
  <r>
    <x v="30"/>
    <x v="1"/>
    <x v="171"/>
    <x v="2"/>
    <x v="3"/>
    <x v="22"/>
    <x v="0"/>
    <x v="3"/>
    <n v="0"/>
    <x v="0"/>
  </r>
  <r>
    <x v="30"/>
    <x v="1"/>
    <x v="171"/>
    <x v="2"/>
    <x v="3"/>
    <x v="22"/>
    <x v="0"/>
    <x v="4"/>
    <n v="0"/>
    <x v="0"/>
  </r>
  <r>
    <x v="30"/>
    <x v="1"/>
    <x v="171"/>
    <x v="2"/>
    <x v="3"/>
    <x v="22"/>
    <x v="0"/>
    <x v="5"/>
    <n v="215.9640635798203"/>
    <x v="0"/>
  </r>
  <r>
    <x v="30"/>
    <x v="1"/>
    <x v="171"/>
    <x v="2"/>
    <x v="3"/>
    <x v="22"/>
    <x v="0"/>
    <x v="6"/>
    <n v="281.007082213405"/>
    <x v="0"/>
  </r>
  <r>
    <x v="30"/>
    <x v="1"/>
    <x v="171"/>
    <x v="2"/>
    <x v="3"/>
    <x v="22"/>
    <x v="0"/>
    <x v="7"/>
    <n v="120.70975373696096"/>
    <x v="0"/>
  </r>
  <r>
    <x v="30"/>
    <x v="1"/>
    <x v="171"/>
    <x v="2"/>
    <x v="3"/>
    <x v="22"/>
    <x v="0"/>
    <x v="8"/>
    <n v="124.32385744053724"/>
    <x v="0"/>
  </r>
  <r>
    <x v="30"/>
    <x v="1"/>
    <x v="171"/>
    <x v="2"/>
    <x v="3"/>
    <x v="22"/>
    <x v="0"/>
    <x v="9"/>
    <n v="145.84551461218021"/>
    <x v="0"/>
  </r>
  <r>
    <x v="30"/>
    <x v="1"/>
    <x v="171"/>
    <x v="2"/>
    <x v="3"/>
    <x v="22"/>
    <x v="0"/>
    <x v="10"/>
    <n v="444.8507616303005"/>
    <x v="0"/>
  </r>
  <r>
    <x v="30"/>
    <x v="1"/>
    <x v="171"/>
    <x v="2"/>
    <x v="3"/>
    <x v="22"/>
    <x v="0"/>
    <x v="11"/>
    <n v="144.29105703115894"/>
    <x v="0"/>
  </r>
  <r>
    <x v="30"/>
    <x v="1"/>
    <x v="172"/>
    <x v="2"/>
    <x v="0"/>
    <x v="0"/>
    <x v="0"/>
    <x v="0"/>
    <n v="0"/>
    <x v="0"/>
  </r>
  <r>
    <x v="30"/>
    <x v="1"/>
    <x v="172"/>
    <x v="2"/>
    <x v="0"/>
    <x v="0"/>
    <x v="0"/>
    <x v="1"/>
    <n v="72.656314871709696"/>
    <x v="0"/>
  </r>
  <r>
    <x v="30"/>
    <x v="1"/>
    <x v="172"/>
    <x v="2"/>
    <x v="0"/>
    <x v="0"/>
    <x v="0"/>
    <x v="2"/>
    <n v="118.81024454247725"/>
    <x v="0"/>
  </r>
  <r>
    <x v="30"/>
    <x v="1"/>
    <x v="172"/>
    <x v="2"/>
    <x v="0"/>
    <x v="0"/>
    <x v="0"/>
    <x v="3"/>
    <n v="0"/>
    <x v="0"/>
  </r>
  <r>
    <x v="30"/>
    <x v="1"/>
    <x v="172"/>
    <x v="2"/>
    <x v="0"/>
    <x v="0"/>
    <x v="0"/>
    <x v="4"/>
    <n v="0"/>
    <x v="0"/>
  </r>
  <r>
    <x v="30"/>
    <x v="1"/>
    <x v="172"/>
    <x v="2"/>
    <x v="0"/>
    <x v="0"/>
    <x v="0"/>
    <x v="5"/>
    <n v="0"/>
    <x v="0"/>
  </r>
  <r>
    <x v="30"/>
    <x v="1"/>
    <x v="172"/>
    <x v="2"/>
    <x v="0"/>
    <x v="0"/>
    <x v="0"/>
    <x v="6"/>
    <n v="0"/>
    <x v="0"/>
  </r>
  <r>
    <x v="30"/>
    <x v="1"/>
    <x v="172"/>
    <x v="2"/>
    <x v="0"/>
    <x v="0"/>
    <x v="0"/>
    <x v="7"/>
    <n v="0"/>
    <x v="0"/>
  </r>
  <r>
    <x v="30"/>
    <x v="1"/>
    <x v="172"/>
    <x v="2"/>
    <x v="0"/>
    <x v="0"/>
    <x v="0"/>
    <x v="8"/>
    <n v="0"/>
    <x v="0"/>
  </r>
  <r>
    <x v="30"/>
    <x v="1"/>
    <x v="172"/>
    <x v="2"/>
    <x v="0"/>
    <x v="0"/>
    <x v="0"/>
    <x v="9"/>
    <n v="0"/>
    <x v="0"/>
  </r>
  <r>
    <x v="30"/>
    <x v="1"/>
    <x v="172"/>
    <x v="2"/>
    <x v="0"/>
    <x v="0"/>
    <x v="0"/>
    <x v="10"/>
    <n v="0"/>
    <x v="0"/>
  </r>
  <r>
    <x v="30"/>
    <x v="1"/>
    <x v="172"/>
    <x v="2"/>
    <x v="0"/>
    <x v="0"/>
    <x v="0"/>
    <x v="11"/>
    <n v="0"/>
    <x v="0"/>
  </r>
  <r>
    <x v="30"/>
    <x v="1"/>
    <x v="173"/>
    <x v="2"/>
    <x v="0"/>
    <x v="0"/>
    <x v="0"/>
    <x v="0"/>
    <n v="275.33342878225528"/>
    <x v="0"/>
  </r>
  <r>
    <x v="30"/>
    <x v="1"/>
    <x v="173"/>
    <x v="2"/>
    <x v="0"/>
    <x v="0"/>
    <x v="0"/>
    <x v="1"/>
    <n v="0"/>
    <x v="0"/>
  </r>
  <r>
    <x v="30"/>
    <x v="1"/>
    <x v="173"/>
    <x v="2"/>
    <x v="0"/>
    <x v="0"/>
    <x v="0"/>
    <x v="2"/>
    <n v="0"/>
    <x v="0"/>
  </r>
  <r>
    <x v="30"/>
    <x v="1"/>
    <x v="173"/>
    <x v="2"/>
    <x v="0"/>
    <x v="0"/>
    <x v="0"/>
    <x v="3"/>
    <n v="0"/>
    <x v="0"/>
  </r>
  <r>
    <x v="30"/>
    <x v="1"/>
    <x v="173"/>
    <x v="2"/>
    <x v="0"/>
    <x v="0"/>
    <x v="0"/>
    <x v="4"/>
    <n v="0"/>
    <x v="0"/>
  </r>
  <r>
    <x v="30"/>
    <x v="1"/>
    <x v="173"/>
    <x v="2"/>
    <x v="0"/>
    <x v="0"/>
    <x v="0"/>
    <x v="5"/>
    <n v="314.94795266067723"/>
    <x v="0"/>
  </r>
  <r>
    <x v="30"/>
    <x v="1"/>
    <x v="173"/>
    <x v="2"/>
    <x v="0"/>
    <x v="0"/>
    <x v="0"/>
    <x v="6"/>
    <n v="266.6496010921968"/>
    <x v="0"/>
  </r>
  <r>
    <x v="30"/>
    <x v="1"/>
    <x v="173"/>
    <x v="2"/>
    <x v="0"/>
    <x v="0"/>
    <x v="0"/>
    <x v="7"/>
    <n v="376.38455747929885"/>
    <x v="0"/>
  </r>
  <r>
    <x v="30"/>
    <x v="1"/>
    <x v="173"/>
    <x v="2"/>
    <x v="0"/>
    <x v="0"/>
    <x v="0"/>
    <x v="8"/>
    <n v="465.60715172585049"/>
    <x v="0"/>
  </r>
  <r>
    <x v="30"/>
    <x v="1"/>
    <x v="173"/>
    <x v="2"/>
    <x v="0"/>
    <x v="0"/>
    <x v="0"/>
    <x v="9"/>
    <n v="461.81771452436794"/>
    <x v="0"/>
  </r>
  <r>
    <x v="30"/>
    <x v="1"/>
    <x v="173"/>
    <x v="2"/>
    <x v="0"/>
    <x v="0"/>
    <x v="0"/>
    <x v="10"/>
    <n v="443.85549608892546"/>
    <x v="0"/>
  </r>
  <r>
    <x v="30"/>
    <x v="1"/>
    <x v="173"/>
    <x v="2"/>
    <x v="0"/>
    <x v="0"/>
    <x v="0"/>
    <x v="11"/>
    <n v="456.89554705626836"/>
    <x v="0"/>
  </r>
  <r>
    <x v="30"/>
    <x v="1"/>
    <x v="174"/>
    <x v="2"/>
    <x v="1"/>
    <x v="1"/>
    <x v="0"/>
    <x v="0"/>
    <n v="1872.267315719336"/>
    <x v="0"/>
  </r>
  <r>
    <x v="30"/>
    <x v="1"/>
    <x v="174"/>
    <x v="2"/>
    <x v="1"/>
    <x v="1"/>
    <x v="0"/>
    <x v="1"/>
    <n v="0"/>
    <x v="0"/>
  </r>
  <r>
    <x v="30"/>
    <x v="1"/>
    <x v="174"/>
    <x v="2"/>
    <x v="1"/>
    <x v="1"/>
    <x v="0"/>
    <x v="2"/>
    <n v="0"/>
    <x v="0"/>
  </r>
  <r>
    <x v="30"/>
    <x v="1"/>
    <x v="174"/>
    <x v="2"/>
    <x v="1"/>
    <x v="1"/>
    <x v="0"/>
    <x v="3"/>
    <n v="0"/>
    <x v="0"/>
  </r>
  <r>
    <x v="30"/>
    <x v="1"/>
    <x v="174"/>
    <x v="2"/>
    <x v="1"/>
    <x v="1"/>
    <x v="0"/>
    <x v="4"/>
    <n v="0"/>
    <x v="0"/>
  </r>
  <r>
    <x v="30"/>
    <x v="1"/>
    <x v="174"/>
    <x v="2"/>
    <x v="1"/>
    <x v="1"/>
    <x v="0"/>
    <x v="5"/>
    <n v="0"/>
    <x v="0"/>
  </r>
  <r>
    <x v="30"/>
    <x v="1"/>
    <x v="174"/>
    <x v="2"/>
    <x v="1"/>
    <x v="1"/>
    <x v="0"/>
    <x v="6"/>
    <n v="0"/>
    <x v="0"/>
  </r>
  <r>
    <x v="30"/>
    <x v="1"/>
    <x v="174"/>
    <x v="2"/>
    <x v="1"/>
    <x v="1"/>
    <x v="0"/>
    <x v="7"/>
    <n v="0"/>
    <x v="0"/>
  </r>
  <r>
    <x v="30"/>
    <x v="1"/>
    <x v="174"/>
    <x v="2"/>
    <x v="1"/>
    <x v="1"/>
    <x v="0"/>
    <x v="8"/>
    <n v="0"/>
    <x v="0"/>
  </r>
  <r>
    <x v="30"/>
    <x v="1"/>
    <x v="174"/>
    <x v="2"/>
    <x v="1"/>
    <x v="1"/>
    <x v="0"/>
    <x v="9"/>
    <n v="0"/>
    <x v="0"/>
  </r>
  <r>
    <x v="30"/>
    <x v="1"/>
    <x v="174"/>
    <x v="2"/>
    <x v="1"/>
    <x v="1"/>
    <x v="0"/>
    <x v="10"/>
    <n v="0"/>
    <x v="0"/>
  </r>
  <r>
    <x v="30"/>
    <x v="1"/>
    <x v="174"/>
    <x v="2"/>
    <x v="1"/>
    <x v="1"/>
    <x v="0"/>
    <x v="11"/>
    <n v="0"/>
    <x v="0"/>
  </r>
  <r>
    <x v="30"/>
    <x v="1"/>
    <x v="175"/>
    <x v="2"/>
    <x v="1"/>
    <x v="1"/>
    <x v="0"/>
    <x v="0"/>
    <n v="0"/>
    <x v="0"/>
  </r>
  <r>
    <x v="30"/>
    <x v="1"/>
    <x v="175"/>
    <x v="2"/>
    <x v="1"/>
    <x v="1"/>
    <x v="0"/>
    <x v="1"/>
    <n v="0"/>
    <x v="0"/>
  </r>
  <r>
    <x v="30"/>
    <x v="1"/>
    <x v="175"/>
    <x v="2"/>
    <x v="1"/>
    <x v="1"/>
    <x v="0"/>
    <x v="2"/>
    <n v="0"/>
    <x v="0"/>
  </r>
  <r>
    <x v="30"/>
    <x v="1"/>
    <x v="175"/>
    <x v="2"/>
    <x v="1"/>
    <x v="1"/>
    <x v="0"/>
    <x v="3"/>
    <n v="0"/>
    <x v="0"/>
  </r>
  <r>
    <x v="30"/>
    <x v="1"/>
    <x v="175"/>
    <x v="2"/>
    <x v="1"/>
    <x v="1"/>
    <x v="0"/>
    <x v="4"/>
    <n v="0"/>
    <x v="0"/>
  </r>
  <r>
    <x v="30"/>
    <x v="1"/>
    <x v="175"/>
    <x v="2"/>
    <x v="1"/>
    <x v="1"/>
    <x v="0"/>
    <x v="5"/>
    <n v="0"/>
    <x v="0"/>
  </r>
  <r>
    <x v="30"/>
    <x v="1"/>
    <x v="175"/>
    <x v="2"/>
    <x v="1"/>
    <x v="1"/>
    <x v="0"/>
    <x v="6"/>
    <n v="0"/>
    <x v="0"/>
  </r>
  <r>
    <x v="30"/>
    <x v="1"/>
    <x v="175"/>
    <x v="2"/>
    <x v="1"/>
    <x v="1"/>
    <x v="0"/>
    <x v="7"/>
    <n v="0"/>
    <x v="0"/>
  </r>
  <r>
    <x v="30"/>
    <x v="1"/>
    <x v="175"/>
    <x v="2"/>
    <x v="1"/>
    <x v="1"/>
    <x v="0"/>
    <x v="8"/>
    <n v="0"/>
    <x v="0"/>
  </r>
  <r>
    <x v="30"/>
    <x v="1"/>
    <x v="175"/>
    <x v="2"/>
    <x v="1"/>
    <x v="1"/>
    <x v="0"/>
    <x v="9"/>
    <n v="0"/>
    <x v="0"/>
  </r>
  <r>
    <x v="30"/>
    <x v="1"/>
    <x v="175"/>
    <x v="2"/>
    <x v="1"/>
    <x v="1"/>
    <x v="0"/>
    <x v="10"/>
    <n v="20584.60271716756"/>
    <x v="0"/>
  </r>
  <r>
    <x v="30"/>
    <x v="1"/>
    <x v="175"/>
    <x v="2"/>
    <x v="1"/>
    <x v="1"/>
    <x v="0"/>
    <x v="11"/>
    <n v="0"/>
    <x v="0"/>
  </r>
  <r>
    <x v="30"/>
    <x v="1"/>
    <x v="176"/>
    <x v="3"/>
    <x v="2"/>
    <x v="3"/>
    <x v="0"/>
    <x v="0"/>
    <n v="0"/>
    <x v="0"/>
  </r>
  <r>
    <x v="30"/>
    <x v="1"/>
    <x v="176"/>
    <x v="3"/>
    <x v="2"/>
    <x v="3"/>
    <x v="0"/>
    <x v="1"/>
    <n v="0"/>
    <x v="0"/>
  </r>
  <r>
    <x v="30"/>
    <x v="1"/>
    <x v="176"/>
    <x v="3"/>
    <x v="2"/>
    <x v="3"/>
    <x v="0"/>
    <x v="2"/>
    <n v="0"/>
    <x v="0"/>
  </r>
  <r>
    <x v="30"/>
    <x v="1"/>
    <x v="176"/>
    <x v="3"/>
    <x v="2"/>
    <x v="3"/>
    <x v="0"/>
    <x v="3"/>
    <n v="0"/>
    <x v="0"/>
  </r>
  <r>
    <x v="30"/>
    <x v="1"/>
    <x v="176"/>
    <x v="3"/>
    <x v="2"/>
    <x v="3"/>
    <x v="0"/>
    <x v="4"/>
    <n v="0"/>
    <x v="0"/>
  </r>
  <r>
    <x v="30"/>
    <x v="1"/>
    <x v="176"/>
    <x v="3"/>
    <x v="2"/>
    <x v="3"/>
    <x v="0"/>
    <x v="5"/>
    <n v="0"/>
    <x v="0"/>
  </r>
  <r>
    <x v="30"/>
    <x v="1"/>
    <x v="176"/>
    <x v="3"/>
    <x v="2"/>
    <x v="3"/>
    <x v="0"/>
    <x v="6"/>
    <n v="0"/>
    <x v="0"/>
  </r>
  <r>
    <x v="30"/>
    <x v="1"/>
    <x v="176"/>
    <x v="3"/>
    <x v="2"/>
    <x v="3"/>
    <x v="0"/>
    <x v="7"/>
    <n v="0"/>
    <x v="0"/>
  </r>
  <r>
    <x v="30"/>
    <x v="1"/>
    <x v="176"/>
    <x v="3"/>
    <x v="2"/>
    <x v="3"/>
    <x v="0"/>
    <x v="8"/>
    <n v="0"/>
    <x v="0"/>
  </r>
  <r>
    <x v="30"/>
    <x v="1"/>
    <x v="176"/>
    <x v="3"/>
    <x v="2"/>
    <x v="3"/>
    <x v="0"/>
    <x v="9"/>
    <n v="0"/>
    <x v="0"/>
  </r>
  <r>
    <x v="30"/>
    <x v="1"/>
    <x v="176"/>
    <x v="3"/>
    <x v="2"/>
    <x v="3"/>
    <x v="0"/>
    <x v="10"/>
    <n v="41169.205434335119"/>
    <x v="0"/>
  </r>
  <r>
    <x v="30"/>
    <x v="1"/>
    <x v="176"/>
    <x v="3"/>
    <x v="2"/>
    <x v="3"/>
    <x v="0"/>
    <x v="11"/>
    <n v="0"/>
    <x v="0"/>
  </r>
  <r>
    <x v="30"/>
    <x v="0"/>
    <x v="177"/>
    <x v="2"/>
    <x v="5"/>
    <x v="23"/>
    <x v="0"/>
    <x v="0"/>
    <n v="1186.4580006387735"/>
    <x v="0"/>
  </r>
  <r>
    <x v="30"/>
    <x v="0"/>
    <x v="177"/>
    <x v="2"/>
    <x v="5"/>
    <x v="23"/>
    <x v="0"/>
    <x v="1"/>
    <n v="2675.093415261978"/>
    <x v="0"/>
  </r>
  <r>
    <x v="30"/>
    <x v="0"/>
    <x v="177"/>
    <x v="2"/>
    <x v="5"/>
    <x v="23"/>
    <x v="0"/>
    <x v="2"/>
    <n v="2662.6842850206112"/>
    <x v="0"/>
  </r>
  <r>
    <x v="30"/>
    <x v="0"/>
    <x v="177"/>
    <x v="2"/>
    <x v="5"/>
    <x v="23"/>
    <x v="0"/>
    <x v="3"/>
    <n v="2684.2877080425774"/>
    <x v="0"/>
  </r>
  <r>
    <x v="30"/>
    <x v="0"/>
    <x v="177"/>
    <x v="2"/>
    <x v="5"/>
    <x v="23"/>
    <x v="0"/>
    <x v="4"/>
    <n v="2807.874667712555"/>
    <x v="0"/>
  </r>
  <r>
    <x v="30"/>
    <x v="0"/>
    <x v="177"/>
    <x v="2"/>
    <x v="5"/>
    <x v="23"/>
    <x v="0"/>
    <x v="5"/>
    <n v="0"/>
    <x v="0"/>
  </r>
  <r>
    <x v="30"/>
    <x v="0"/>
    <x v="177"/>
    <x v="2"/>
    <x v="5"/>
    <x v="23"/>
    <x v="0"/>
    <x v="6"/>
    <n v="2748.9355347924402"/>
    <x v="0"/>
  </r>
  <r>
    <x v="30"/>
    <x v="0"/>
    <x v="177"/>
    <x v="2"/>
    <x v="5"/>
    <x v="23"/>
    <x v="0"/>
    <x v="7"/>
    <n v="5543.1594795139263"/>
    <x v="0"/>
  </r>
  <r>
    <x v="30"/>
    <x v="0"/>
    <x v="177"/>
    <x v="2"/>
    <x v="5"/>
    <x v="23"/>
    <x v="0"/>
    <x v="8"/>
    <n v="2782.6216516772652"/>
    <x v="0"/>
  </r>
  <r>
    <x v="30"/>
    <x v="0"/>
    <x v="177"/>
    <x v="2"/>
    <x v="5"/>
    <x v="23"/>
    <x v="0"/>
    <x v="9"/>
    <n v="2759.9747271928982"/>
    <x v="0"/>
  </r>
  <r>
    <x v="30"/>
    <x v="0"/>
    <x v="177"/>
    <x v="2"/>
    <x v="5"/>
    <x v="23"/>
    <x v="0"/>
    <x v="10"/>
    <n v="2652.6265953067104"/>
    <x v="0"/>
  </r>
  <r>
    <x v="30"/>
    <x v="0"/>
    <x v="177"/>
    <x v="2"/>
    <x v="5"/>
    <x v="23"/>
    <x v="0"/>
    <x v="11"/>
    <n v="2730.5582336550583"/>
    <x v="0"/>
  </r>
  <r>
    <x v="30"/>
    <x v="0"/>
    <x v="178"/>
    <x v="2"/>
    <x v="0"/>
    <x v="24"/>
    <x v="0"/>
    <x v="0"/>
    <n v="874.87196995561624"/>
    <x v="0"/>
  </r>
  <r>
    <x v="30"/>
    <x v="0"/>
    <x v="178"/>
    <x v="2"/>
    <x v="0"/>
    <x v="24"/>
    <x v="0"/>
    <x v="1"/>
    <n v="824.51943037449132"/>
    <x v="0"/>
  </r>
  <r>
    <x v="30"/>
    <x v="0"/>
    <x v="178"/>
    <x v="2"/>
    <x v="0"/>
    <x v="24"/>
    <x v="0"/>
    <x v="2"/>
    <n v="820.69467833417707"/>
    <x v="0"/>
  </r>
  <r>
    <x v="30"/>
    <x v="0"/>
    <x v="178"/>
    <x v="2"/>
    <x v="0"/>
    <x v="24"/>
    <x v="0"/>
    <x v="3"/>
    <n v="827.35330264336449"/>
    <x v="0"/>
  </r>
  <r>
    <x v="30"/>
    <x v="0"/>
    <x v="178"/>
    <x v="2"/>
    <x v="0"/>
    <x v="24"/>
    <x v="0"/>
    <x v="4"/>
    <n v="865.44537412297905"/>
    <x v="0"/>
  </r>
  <r>
    <x v="30"/>
    <x v="0"/>
    <x v="178"/>
    <x v="2"/>
    <x v="0"/>
    <x v="24"/>
    <x v="0"/>
    <x v="5"/>
    <n v="0"/>
    <x v="0"/>
  </r>
  <r>
    <x v="30"/>
    <x v="0"/>
    <x v="178"/>
    <x v="2"/>
    <x v="0"/>
    <x v="24"/>
    <x v="0"/>
    <x v="6"/>
    <n v="847.2791074704553"/>
    <x v="0"/>
  </r>
  <r>
    <x v="30"/>
    <x v="0"/>
    <x v="178"/>
    <x v="2"/>
    <x v="0"/>
    <x v="24"/>
    <x v="0"/>
    <x v="7"/>
    <n v="1708.5170448435315"/>
    <x v="0"/>
  </r>
  <r>
    <x v="30"/>
    <x v="0"/>
    <x v="178"/>
    <x v="2"/>
    <x v="0"/>
    <x v="24"/>
    <x v="0"/>
    <x v="8"/>
    <n v="857.66186933848689"/>
    <x v="0"/>
  </r>
  <r>
    <x v="30"/>
    <x v="0"/>
    <x v="178"/>
    <x v="2"/>
    <x v="0"/>
    <x v="24"/>
    <x v="0"/>
    <x v="9"/>
    <n v="850.68161617459657"/>
    <x v="0"/>
  </r>
  <r>
    <x v="30"/>
    <x v="0"/>
    <x v="178"/>
    <x v="2"/>
    <x v="0"/>
    <x v="24"/>
    <x v="0"/>
    <x v="10"/>
    <n v="817.59468917249899"/>
    <x v="0"/>
  </r>
  <r>
    <x v="30"/>
    <x v="0"/>
    <x v="178"/>
    <x v="2"/>
    <x v="0"/>
    <x v="24"/>
    <x v="0"/>
    <x v="11"/>
    <n v="841.6148410268363"/>
    <x v="0"/>
  </r>
  <r>
    <x v="55"/>
    <x v="0"/>
    <x v="179"/>
    <x v="2"/>
    <x v="0"/>
    <x v="24"/>
    <x v="0"/>
    <x v="0"/>
    <n v="15418.672011806297"/>
    <x v="0"/>
  </r>
  <r>
    <x v="55"/>
    <x v="0"/>
    <x v="179"/>
    <x v="2"/>
    <x v="0"/>
    <x v="24"/>
    <x v="0"/>
    <x v="1"/>
    <n v="14531.26297434194"/>
    <x v="0"/>
  </r>
  <r>
    <x v="55"/>
    <x v="0"/>
    <x v="179"/>
    <x v="2"/>
    <x v="0"/>
    <x v="24"/>
    <x v="0"/>
    <x v="2"/>
    <n v="14463.855857345057"/>
    <x v="0"/>
  </r>
  <r>
    <x v="55"/>
    <x v="0"/>
    <x v="179"/>
    <x v="2"/>
    <x v="0"/>
    <x v="24"/>
    <x v="0"/>
    <x v="3"/>
    <n v="14581.206907326015"/>
    <x v="0"/>
  </r>
  <r>
    <x v="55"/>
    <x v="0"/>
    <x v="179"/>
    <x v="2"/>
    <x v="0"/>
    <x v="24"/>
    <x v="0"/>
    <x v="4"/>
    <n v="15252.538458186255"/>
    <x v="0"/>
  </r>
  <r>
    <x v="55"/>
    <x v="0"/>
    <x v="179"/>
    <x v="2"/>
    <x v="0"/>
    <x v="24"/>
    <x v="0"/>
    <x v="5"/>
    <n v="0"/>
    <x v="0"/>
  </r>
  <r>
    <x v="55"/>
    <x v="0"/>
    <x v="179"/>
    <x v="2"/>
    <x v="0"/>
    <x v="24"/>
    <x v="0"/>
    <x v="6"/>
    <n v="14932.37766116302"/>
    <x v="0"/>
  </r>
  <r>
    <x v="55"/>
    <x v="0"/>
    <x v="179"/>
    <x v="2"/>
    <x v="0"/>
    <x v="24"/>
    <x v="0"/>
    <x v="7"/>
    <n v="30110.764598343907"/>
    <x v="0"/>
  </r>
  <r>
    <x v="55"/>
    <x v="0"/>
    <x v="179"/>
    <x v="2"/>
    <x v="0"/>
    <x v="24"/>
    <x v="0"/>
    <x v="8"/>
    <n v="15115.362606752247"/>
    <x v="0"/>
  </r>
  <r>
    <x v="55"/>
    <x v="0"/>
    <x v="179"/>
    <x v="2"/>
    <x v="0"/>
    <x v="24"/>
    <x v="0"/>
    <x v="9"/>
    <n v="14992.343196153393"/>
    <x v="0"/>
  </r>
  <r>
    <x v="55"/>
    <x v="0"/>
    <x v="179"/>
    <x v="2"/>
    <x v="0"/>
    <x v="24"/>
    <x v="0"/>
    <x v="10"/>
    <n v="14409.221902017291"/>
    <x v="0"/>
  </r>
  <r>
    <x v="55"/>
    <x v="0"/>
    <x v="179"/>
    <x v="2"/>
    <x v="0"/>
    <x v="24"/>
    <x v="0"/>
    <x v="11"/>
    <n v="14832.551092841175"/>
    <x v="0"/>
  </r>
  <r>
    <x v="30"/>
    <x v="0"/>
    <x v="180"/>
    <x v="2"/>
    <x v="0"/>
    <x v="24"/>
    <x v="0"/>
    <x v="0"/>
    <n v="7645.5500611240213"/>
    <x v="0"/>
  </r>
  <r>
    <x v="30"/>
    <x v="0"/>
    <x v="180"/>
    <x v="2"/>
    <x v="0"/>
    <x v="24"/>
    <x v="0"/>
    <x v="1"/>
    <n v="7205.5166901934726"/>
    <x v="0"/>
  </r>
  <r>
    <x v="30"/>
    <x v="0"/>
    <x v="180"/>
    <x v="2"/>
    <x v="0"/>
    <x v="24"/>
    <x v="0"/>
    <x v="2"/>
    <n v="7172.0919901232528"/>
    <x v="0"/>
  </r>
  <r>
    <x v="30"/>
    <x v="0"/>
    <x v="180"/>
    <x v="2"/>
    <x v="0"/>
    <x v="24"/>
    <x v="0"/>
    <x v="3"/>
    <n v="7230.2820422021787"/>
    <x v="0"/>
  </r>
  <r>
    <x v="30"/>
    <x v="0"/>
    <x v="180"/>
    <x v="2"/>
    <x v="0"/>
    <x v="24"/>
    <x v="0"/>
    <x v="4"/>
    <n v="7563.1705669586436"/>
    <x v="0"/>
  </r>
  <r>
    <x v="30"/>
    <x v="0"/>
    <x v="180"/>
    <x v="2"/>
    <x v="0"/>
    <x v="24"/>
    <x v="0"/>
    <x v="5"/>
    <n v="0"/>
    <x v="0"/>
  </r>
  <r>
    <x v="30"/>
    <x v="0"/>
    <x v="180"/>
    <x v="2"/>
    <x v="0"/>
    <x v="24"/>
    <x v="0"/>
    <x v="6"/>
    <n v="7404.414650795683"/>
    <x v="0"/>
  </r>
  <r>
    <x v="30"/>
    <x v="0"/>
    <x v="180"/>
    <x v="2"/>
    <x v="0"/>
    <x v="24"/>
    <x v="0"/>
    <x v="7"/>
    <n v="14930.816216797506"/>
    <x v="0"/>
  </r>
  <r>
    <x v="30"/>
    <x v="0"/>
    <x v="180"/>
    <x v="2"/>
    <x v="0"/>
    <x v="24"/>
    <x v="0"/>
    <x v="8"/>
    <n v="7495.1501279407476"/>
    <x v="0"/>
  </r>
  <r>
    <x v="30"/>
    <x v="0"/>
    <x v="180"/>
    <x v="2"/>
    <x v="0"/>
    <x v="24"/>
    <x v="0"/>
    <x v="9"/>
    <n v="7434.1493451558672"/>
    <x v="0"/>
  </r>
  <r>
    <x v="30"/>
    <x v="0"/>
    <x v="180"/>
    <x v="2"/>
    <x v="0"/>
    <x v="24"/>
    <x v="0"/>
    <x v="10"/>
    <n v="7145.0010292301358"/>
    <x v="0"/>
  </r>
  <r>
    <x v="30"/>
    <x v="0"/>
    <x v="180"/>
    <x v="2"/>
    <x v="0"/>
    <x v="24"/>
    <x v="0"/>
    <x v="11"/>
    <n v="7354.9143420174387"/>
    <x v="0"/>
  </r>
  <r>
    <x v="56"/>
    <x v="0"/>
    <x v="181"/>
    <x v="2"/>
    <x v="0"/>
    <x v="24"/>
    <x v="0"/>
    <x v="0"/>
    <n v="2505.2060044714149"/>
    <x v="0"/>
  </r>
  <r>
    <x v="56"/>
    <x v="0"/>
    <x v="181"/>
    <x v="2"/>
    <x v="0"/>
    <x v="24"/>
    <x v="0"/>
    <x v="1"/>
    <n v="2361.0209250186831"/>
    <x v="0"/>
  </r>
  <r>
    <x v="56"/>
    <x v="0"/>
    <x v="181"/>
    <x v="2"/>
    <x v="0"/>
    <x v="24"/>
    <x v="0"/>
    <x v="2"/>
    <n v="2350.0687033153226"/>
    <x v="0"/>
  </r>
  <r>
    <x v="56"/>
    <x v="0"/>
    <x v="181"/>
    <x v="2"/>
    <x v="0"/>
    <x v="24"/>
    <x v="0"/>
    <x v="3"/>
    <n v="2369.1357510363073"/>
    <x v="0"/>
  </r>
  <r>
    <x v="56"/>
    <x v="0"/>
    <x v="181"/>
    <x v="2"/>
    <x v="0"/>
    <x v="24"/>
    <x v="0"/>
    <x v="4"/>
    <n v="2478.2128382795136"/>
    <x v="0"/>
  </r>
  <r>
    <x v="56"/>
    <x v="0"/>
    <x v="181"/>
    <x v="2"/>
    <x v="0"/>
    <x v="24"/>
    <x v="0"/>
    <x v="5"/>
    <n v="0"/>
    <x v="0"/>
  </r>
  <r>
    <x v="56"/>
    <x v="0"/>
    <x v="181"/>
    <x v="2"/>
    <x v="0"/>
    <x v="24"/>
    <x v="0"/>
    <x v="6"/>
    <n v="2426.1935236144886"/>
    <x v="0"/>
  </r>
  <r>
    <x v="56"/>
    <x v="0"/>
    <x v="181"/>
    <x v="2"/>
    <x v="0"/>
    <x v="24"/>
    <x v="0"/>
    <x v="7"/>
    <n v="4892.3583180987207"/>
    <x v="0"/>
  </r>
  <r>
    <x v="56"/>
    <x v="0"/>
    <x v="181"/>
    <x v="2"/>
    <x v="0"/>
    <x v="24"/>
    <x v="0"/>
    <x v="8"/>
    <n v="2455.9246823074682"/>
    <x v="0"/>
  </r>
  <r>
    <x v="56"/>
    <x v="0"/>
    <x v="181"/>
    <x v="2"/>
    <x v="0"/>
    <x v="24"/>
    <x v="0"/>
    <x v="9"/>
    <n v="2435.9366466411798"/>
    <x v="0"/>
  </r>
  <r>
    <x v="56"/>
    <x v="0"/>
    <x v="181"/>
    <x v="2"/>
    <x v="0"/>
    <x v="24"/>
    <x v="0"/>
    <x v="10"/>
    <n v="2341.1918484973239"/>
    <x v="0"/>
  </r>
  <r>
    <x v="56"/>
    <x v="0"/>
    <x v="181"/>
    <x v="2"/>
    <x v="0"/>
    <x v="24"/>
    <x v="0"/>
    <x v="11"/>
    <n v="2409.9738311420006"/>
    <x v="0"/>
  </r>
  <r>
    <x v="30"/>
    <x v="0"/>
    <x v="182"/>
    <x v="2"/>
    <x v="1"/>
    <x v="1"/>
    <x v="0"/>
    <x v="0"/>
    <n v="453.25168779391845"/>
    <x v="0"/>
  </r>
  <r>
    <x v="30"/>
    <x v="0"/>
    <x v="182"/>
    <x v="2"/>
    <x v="1"/>
    <x v="1"/>
    <x v="0"/>
    <x v="1"/>
    <n v="427.16515818317691"/>
    <x v="0"/>
  </r>
  <r>
    <x v="30"/>
    <x v="0"/>
    <x v="182"/>
    <x v="2"/>
    <x v="1"/>
    <x v="1"/>
    <x v="0"/>
    <x v="2"/>
    <n v="425.18363931276025"/>
    <x v="0"/>
  </r>
  <r>
    <x v="30"/>
    <x v="0"/>
    <x v="182"/>
    <x v="2"/>
    <x v="1"/>
    <x v="1"/>
    <x v="0"/>
    <x v="3"/>
    <n v="428.63332430687194"/>
    <x v="0"/>
  </r>
  <r>
    <x v="30"/>
    <x v="0"/>
    <x v="182"/>
    <x v="2"/>
    <x v="1"/>
    <x v="1"/>
    <x v="0"/>
    <x v="4"/>
    <n v="448.36797838497409"/>
    <x v="0"/>
  </r>
  <r>
    <x v="30"/>
    <x v="0"/>
    <x v="182"/>
    <x v="2"/>
    <x v="1"/>
    <x v="1"/>
    <x v="0"/>
    <x v="5"/>
    <n v="0"/>
    <x v="0"/>
  </r>
  <r>
    <x v="30"/>
    <x v="0"/>
    <x v="182"/>
    <x v="2"/>
    <x v="1"/>
    <x v="1"/>
    <x v="0"/>
    <x v="6"/>
    <n v="438.9564401211656"/>
    <x v="0"/>
  </r>
  <r>
    <x v="30"/>
    <x v="0"/>
    <x v="182"/>
    <x v="2"/>
    <x v="1"/>
    <x v="1"/>
    <x v="0"/>
    <x v="7"/>
    <n v="885.14463920851711"/>
    <x v="0"/>
  </r>
  <r>
    <x v="30"/>
    <x v="0"/>
    <x v="182"/>
    <x v="2"/>
    <x v="1"/>
    <x v="1"/>
    <x v="0"/>
    <x v="8"/>
    <n v="444.33551786311961"/>
    <x v="0"/>
  </r>
  <r>
    <x v="30"/>
    <x v="0"/>
    <x v="182"/>
    <x v="2"/>
    <x v="1"/>
    <x v="1"/>
    <x v="0"/>
    <x v="9"/>
    <n v="440.71920412075264"/>
    <x v="0"/>
  </r>
  <r>
    <x v="30"/>
    <x v="0"/>
    <x v="182"/>
    <x v="2"/>
    <x v="1"/>
    <x v="1"/>
    <x v="0"/>
    <x v="10"/>
    <n v="423.57760395224369"/>
    <x v="0"/>
  </r>
  <r>
    <x v="30"/>
    <x v="0"/>
    <x v="182"/>
    <x v="2"/>
    <x v="1"/>
    <x v="1"/>
    <x v="0"/>
    <x v="11"/>
    <n v="436.02190979689999"/>
    <x v="0"/>
  </r>
  <r>
    <x v="30"/>
    <x v="0"/>
    <x v="183"/>
    <x v="2"/>
    <x v="7"/>
    <x v="25"/>
    <x v="0"/>
    <x v="0"/>
    <n v="702.15641141422259"/>
    <x v="0"/>
  </r>
  <r>
    <x v="30"/>
    <x v="0"/>
    <x v="183"/>
    <x v="2"/>
    <x v="7"/>
    <x v="25"/>
    <x v="0"/>
    <x v="1"/>
    <n v="185.02345761023"/>
    <x v="0"/>
  </r>
  <r>
    <x v="30"/>
    <x v="0"/>
    <x v="183"/>
    <x v="2"/>
    <x v="7"/>
    <x v="25"/>
    <x v="0"/>
    <x v="2"/>
    <n v="224.98217846331863"/>
    <x v="0"/>
  </r>
  <r>
    <x v="30"/>
    <x v="0"/>
    <x v="183"/>
    <x v="2"/>
    <x v="7"/>
    <x v="25"/>
    <x v="0"/>
    <x v="3"/>
    <n v="139.82023454912826"/>
    <x v="0"/>
  </r>
  <r>
    <x v="30"/>
    <x v="0"/>
    <x v="183"/>
    <x v="2"/>
    <x v="7"/>
    <x v="25"/>
    <x v="0"/>
    <x v="4"/>
    <n v="553.76955593323748"/>
    <x v="0"/>
  </r>
  <r>
    <x v="30"/>
    <x v="0"/>
    <x v="183"/>
    <x v="2"/>
    <x v="7"/>
    <x v="25"/>
    <x v="0"/>
    <x v="5"/>
    <n v="343.97460262612299"/>
    <x v="0"/>
  </r>
  <r>
    <x v="30"/>
    <x v="0"/>
    <x v="183"/>
    <x v="2"/>
    <x v="7"/>
    <x v="25"/>
    <x v="0"/>
    <x v="6"/>
    <n v="456.20013652459579"/>
    <x v="0"/>
  </r>
  <r>
    <x v="30"/>
    <x v="0"/>
    <x v="183"/>
    <x v="2"/>
    <x v="7"/>
    <x v="25"/>
    <x v="0"/>
    <x v="7"/>
    <n v="203.91439939778471"/>
    <x v="0"/>
  </r>
  <r>
    <x v="30"/>
    <x v="0"/>
    <x v="183"/>
    <x v="2"/>
    <x v="7"/>
    <x v="25"/>
    <x v="0"/>
    <x v="8"/>
    <n v="420.0278554539467"/>
    <x v="0"/>
  </r>
  <r>
    <x v="30"/>
    <x v="0"/>
    <x v="183"/>
    <x v="2"/>
    <x v="7"/>
    <x v="25"/>
    <x v="0"/>
    <x v="9"/>
    <n v="280.12443644852812"/>
    <x v="0"/>
  </r>
  <r>
    <x v="30"/>
    <x v="0"/>
    <x v="183"/>
    <x v="2"/>
    <x v="7"/>
    <x v="25"/>
    <x v="0"/>
    <x v="10"/>
    <n v="1209.8836969946481"/>
    <x v="0"/>
  </r>
  <r>
    <x v="30"/>
    <x v="0"/>
    <x v="183"/>
    <x v="2"/>
    <x v="7"/>
    <x v="25"/>
    <x v="0"/>
    <x v="11"/>
    <n v="211.89358704058822"/>
    <x v="0"/>
  </r>
  <r>
    <x v="30"/>
    <x v="0"/>
    <x v="184"/>
    <x v="2"/>
    <x v="3"/>
    <x v="22"/>
    <x v="0"/>
    <x v="0"/>
    <n v="727.30977213405436"/>
    <x v="0"/>
  </r>
  <r>
    <x v="30"/>
    <x v="0"/>
    <x v="184"/>
    <x v="2"/>
    <x v="3"/>
    <x v="22"/>
    <x v="0"/>
    <x v="1"/>
    <n v="344.58295275263634"/>
    <x v="0"/>
  </r>
  <r>
    <x v="30"/>
    <x v="0"/>
    <x v="184"/>
    <x v="2"/>
    <x v="3"/>
    <x v="22"/>
    <x v="0"/>
    <x v="2"/>
    <n v="0"/>
    <x v="0"/>
  </r>
  <r>
    <x v="30"/>
    <x v="0"/>
    <x v="184"/>
    <x v="2"/>
    <x v="3"/>
    <x v="22"/>
    <x v="0"/>
    <x v="3"/>
    <n v="533.34617868227554"/>
    <x v="0"/>
  </r>
  <r>
    <x v="30"/>
    <x v="0"/>
    <x v="184"/>
    <x v="2"/>
    <x v="3"/>
    <x v="22"/>
    <x v="0"/>
    <x v="4"/>
    <n v="431.11082058656905"/>
    <x v="0"/>
  </r>
  <r>
    <x v="30"/>
    <x v="0"/>
    <x v="184"/>
    <x v="2"/>
    <x v="3"/>
    <x v="22"/>
    <x v="0"/>
    <x v="5"/>
    <n v="399.46980822391151"/>
    <x v="0"/>
  </r>
  <r>
    <x v="30"/>
    <x v="0"/>
    <x v="184"/>
    <x v="2"/>
    <x v="3"/>
    <x v="22"/>
    <x v="0"/>
    <x v="6"/>
    <n v="0"/>
    <x v="0"/>
  </r>
  <r>
    <x v="30"/>
    <x v="0"/>
    <x v="184"/>
    <x v="2"/>
    <x v="3"/>
    <x v="22"/>
    <x v="0"/>
    <x v="7"/>
    <n v="0"/>
    <x v="0"/>
  </r>
  <r>
    <x v="30"/>
    <x v="0"/>
    <x v="184"/>
    <x v="2"/>
    <x v="3"/>
    <x v="22"/>
    <x v="0"/>
    <x v="8"/>
    <n v="0"/>
    <x v="0"/>
  </r>
  <r>
    <x v="30"/>
    <x v="0"/>
    <x v="184"/>
    <x v="2"/>
    <x v="3"/>
    <x v="22"/>
    <x v="0"/>
    <x v="9"/>
    <n v="0"/>
    <x v="0"/>
  </r>
  <r>
    <x v="30"/>
    <x v="0"/>
    <x v="184"/>
    <x v="2"/>
    <x v="3"/>
    <x v="22"/>
    <x v="0"/>
    <x v="10"/>
    <n v="0"/>
    <x v="0"/>
  </r>
  <r>
    <x v="30"/>
    <x v="0"/>
    <x v="184"/>
    <x v="2"/>
    <x v="3"/>
    <x v="22"/>
    <x v="0"/>
    <x v="11"/>
    <n v="0"/>
    <x v="0"/>
  </r>
  <r>
    <x v="30"/>
    <x v="0"/>
    <x v="185"/>
    <x v="2"/>
    <x v="3"/>
    <x v="22"/>
    <x v="0"/>
    <x v="0"/>
    <n v="0"/>
    <x v="0"/>
  </r>
  <r>
    <x v="30"/>
    <x v="0"/>
    <x v="185"/>
    <x v="2"/>
    <x v="3"/>
    <x v="22"/>
    <x v="0"/>
    <x v="1"/>
    <n v="0"/>
    <x v="0"/>
  </r>
  <r>
    <x v="30"/>
    <x v="0"/>
    <x v="185"/>
    <x v="2"/>
    <x v="3"/>
    <x v="22"/>
    <x v="0"/>
    <x v="2"/>
    <n v="0"/>
    <x v="0"/>
  </r>
  <r>
    <x v="30"/>
    <x v="0"/>
    <x v="185"/>
    <x v="2"/>
    <x v="3"/>
    <x v="22"/>
    <x v="0"/>
    <x v="3"/>
    <n v="0"/>
    <x v="0"/>
  </r>
  <r>
    <x v="30"/>
    <x v="0"/>
    <x v="185"/>
    <x v="2"/>
    <x v="3"/>
    <x v="22"/>
    <x v="0"/>
    <x v="4"/>
    <n v="0"/>
    <x v="0"/>
  </r>
  <r>
    <x v="30"/>
    <x v="0"/>
    <x v="185"/>
    <x v="2"/>
    <x v="3"/>
    <x v="22"/>
    <x v="0"/>
    <x v="5"/>
    <n v="0"/>
    <x v="0"/>
  </r>
  <r>
    <x v="30"/>
    <x v="0"/>
    <x v="185"/>
    <x v="2"/>
    <x v="3"/>
    <x v="22"/>
    <x v="0"/>
    <x v="6"/>
    <n v="0"/>
    <x v="0"/>
  </r>
  <r>
    <x v="30"/>
    <x v="0"/>
    <x v="185"/>
    <x v="2"/>
    <x v="3"/>
    <x v="22"/>
    <x v="0"/>
    <x v="7"/>
    <n v="0"/>
    <x v="0"/>
  </r>
  <r>
    <x v="30"/>
    <x v="0"/>
    <x v="185"/>
    <x v="2"/>
    <x v="3"/>
    <x v="22"/>
    <x v="0"/>
    <x v="8"/>
    <n v="0"/>
    <x v="0"/>
  </r>
  <r>
    <x v="30"/>
    <x v="0"/>
    <x v="185"/>
    <x v="2"/>
    <x v="3"/>
    <x v="22"/>
    <x v="0"/>
    <x v="9"/>
    <n v="0"/>
    <x v="0"/>
  </r>
  <r>
    <x v="30"/>
    <x v="0"/>
    <x v="185"/>
    <x v="2"/>
    <x v="3"/>
    <x v="22"/>
    <x v="0"/>
    <x v="10"/>
    <n v="0"/>
    <x v="0"/>
  </r>
  <r>
    <x v="30"/>
    <x v="0"/>
    <x v="185"/>
    <x v="2"/>
    <x v="3"/>
    <x v="22"/>
    <x v="0"/>
    <x v="11"/>
    <n v="0"/>
    <x v="0"/>
  </r>
  <r>
    <x v="30"/>
    <x v="0"/>
    <x v="186"/>
    <x v="2"/>
    <x v="3"/>
    <x v="22"/>
    <x v="0"/>
    <x v="0"/>
    <n v="0"/>
    <x v="0"/>
  </r>
  <r>
    <x v="30"/>
    <x v="0"/>
    <x v="186"/>
    <x v="2"/>
    <x v="3"/>
    <x v="22"/>
    <x v="0"/>
    <x v="1"/>
    <n v="496.14298762766748"/>
    <x v="0"/>
  </r>
  <r>
    <x v="30"/>
    <x v="0"/>
    <x v="186"/>
    <x v="2"/>
    <x v="3"/>
    <x v="22"/>
    <x v="0"/>
    <x v="2"/>
    <n v="0"/>
    <x v="0"/>
  </r>
  <r>
    <x v="30"/>
    <x v="0"/>
    <x v="186"/>
    <x v="2"/>
    <x v="3"/>
    <x v="22"/>
    <x v="0"/>
    <x v="3"/>
    <n v="0"/>
    <x v="0"/>
  </r>
  <r>
    <x v="30"/>
    <x v="0"/>
    <x v="186"/>
    <x v="2"/>
    <x v="3"/>
    <x v="22"/>
    <x v="0"/>
    <x v="4"/>
    <n v="0"/>
    <x v="0"/>
  </r>
  <r>
    <x v="30"/>
    <x v="0"/>
    <x v="186"/>
    <x v="2"/>
    <x v="3"/>
    <x v="22"/>
    <x v="0"/>
    <x v="5"/>
    <n v="0"/>
    <x v="0"/>
  </r>
  <r>
    <x v="30"/>
    <x v="0"/>
    <x v="186"/>
    <x v="2"/>
    <x v="3"/>
    <x v="22"/>
    <x v="0"/>
    <x v="6"/>
    <n v="0"/>
    <x v="0"/>
  </r>
  <r>
    <x v="30"/>
    <x v="0"/>
    <x v="186"/>
    <x v="2"/>
    <x v="3"/>
    <x v="22"/>
    <x v="0"/>
    <x v="7"/>
    <n v="0"/>
    <x v="0"/>
  </r>
  <r>
    <x v="30"/>
    <x v="0"/>
    <x v="186"/>
    <x v="2"/>
    <x v="3"/>
    <x v="22"/>
    <x v="0"/>
    <x v="8"/>
    <n v="0"/>
    <x v="0"/>
  </r>
  <r>
    <x v="30"/>
    <x v="0"/>
    <x v="186"/>
    <x v="2"/>
    <x v="3"/>
    <x v="22"/>
    <x v="0"/>
    <x v="9"/>
    <n v="0"/>
    <x v="0"/>
  </r>
  <r>
    <x v="30"/>
    <x v="0"/>
    <x v="186"/>
    <x v="2"/>
    <x v="3"/>
    <x v="22"/>
    <x v="0"/>
    <x v="10"/>
    <n v="0"/>
    <x v="0"/>
  </r>
  <r>
    <x v="30"/>
    <x v="0"/>
    <x v="186"/>
    <x v="2"/>
    <x v="3"/>
    <x v="22"/>
    <x v="0"/>
    <x v="11"/>
    <n v="0"/>
    <x v="0"/>
  </r>
  <r>
    <x v="30"/>
    <x v="0"/>
    <x v="187"/>
    <x v="2"/>
    <x v="3"/>
    <x v="26"/>
    <x v="0"/>
    <x v="0"/>
    <n v="1631.7195123294309"/>
    <x v="0"/>
  </r>
  <r>
    <x v="30"/>
    <x v="0"/>
    <x v="187"/>
    <x v="2"/>
    <x v="3"/>
    <x v="26"/>
    <x v="0"/>
    <x v="1"/>
    <n v="1630.766835506103"/>
    <x v="0"/>
  </r>
  <r>
    <x v="30"/>
    <x v="0"/>
    <x v="187"/>
    <x v="2"/>
    <x v="3"/>
    <x v="26"/>
    <x v="0"/>
    <x v="2"/>
    <n v="1703.7420061368075"/>
    <x v="0"/>
  </r>
  <r>
    <x v="30"/>
    <x v="0"/>
    <x v="187"/>
    <x v="2"/>
    <x v="3"/>
    <x v="26"/>
    <x v="0"/>
    <x v="3"/>
    <n v="0"/>
    <x v="0"/>
  </r>
  <r>
    <x v="30"/>
    <x v="0"/>
    <x v="187"/>
    <x v="2"/>
    <x v="3"/>
    <x v="26"/>
    <x v="0"/>
    <x v="4"/>
    <n v="1728.803329411252"/>
    <x v="0"/>
  </r>
  <r>
    <x v="30"/>
    <x v="0"/>
    <x v="187"/>
    <x v="2"/>
    <x v="3"/>
    <x v="26"/>
    <x v="0"/>
    <x v="5"/>
    <n v="1594.0512698686937"/>
    <x v="0"/>
  </r>
  <r>
    <x v="30"/>
    <x v="0"/>
    <x v="187"/>
    <x v="2"/>
    <x v="3"/>
    <x v="26"/>
    <x v="0"/>
    <x v="6"/>
    <n v="1829.9532829898887"/>
    <x v="0"/>
  </r>
  <r>
    <x v="30"/>
    <x v="0"/>
    <x v="187"/>
    <x v="2"/>
    <x v="3"/>
    <x v="26"/>
    <x v="0"/>
    <x v="7"/>
    <n v="1829.6451231315195"/>
    <x v="0"/>
  </r>
  <r>
    <x v="30"/>
    <x v="0"/>
    <x v="187"/>
    <x v="2"/>
    <x v="3"/>
    <x v="26"/>
    <x v="0"/>
    <x v="8"/>
    <n v="1943.7060709774241"/>
    <x v="0"/>
  </r>
  <r>
    <x v="30"/>
    <x v="0"/>
    <x v="187"/>
    <x v="2"/>
    <x v="3"/>
    <x v="26"/>
    <x v="0"/>
    <x v="9"/>
    <n v="1931.1230335935577"/>
    <x v="0"/>
  </r>
  <r>
    <x v="30"/>
    <x v="0"/>
    <x v="187"/>
    <x v="2"/>
    <x v="3"/>
    <x v="26"/>
    <x v="0"/>
    <x v="10"/>
    <n v="1730.6195965417867"/>
    <x v="0"/>
  </r>
  <r>
    <x v="30"/>
    <x v="0"/>
    <x v="187"/>
    <x v="2"/>
    <x v="3"/>
    <x v="26"/>
    <x v="0"/>
    <x v="11"/>
    <n v="1748.1220930848528"/>
    <x v="0"/>
  </r>
  <r>
    <x v="30"/>
    <x v="0"/>
    <x v="188"/>
    <x v="2"/>
    <x v="3"/>
    <x v="26"/>
    <x v="0"/>
    <x v="0"/>
    <n v="0"/>
    <x v="0"/>
  </r>
  <r>
    <x v="30"/>
    <x v="0"/>
    <x v="188"/>
    <x v="2"/>
    <x v="3"/>
    <x v="26"/>
    <x v="0"/>
    <x v="1"/>
    <n v="0"/>
    <x v="0"/>
  </r>
  <r>
    <x v="30"/>
    <x v="0"/>
    <x v="188"/>
    <x v="2"/>
    <x v="3"/>
    <x v="26"/>
    <x v="0"/>
    <x v="2"/>
    <n v="0"/>
    <x v="0"/>
  </r>
  <r>
    <x v="30"/>
    <x v="0"/>
    <x v="188"/>
    <x v="2"/>
    <x v="3"/>
    <x v="26"/>
    <x v="0"/>
    <x v="3"/>
    <n v="0"/>
    <x v="0"/>
  </r>
  <r>
    <x v="30"/>
    <x v="0"/>
    <x v="188"/>
    <x v="2"/>
    <x v="3"/>
    <x v="26"/>
    <x v="0"/>
    <x v="4"/>
    <n v="1735.9927223602215"/>
    <x v="0"/>
  </r>
  <r>
    <x v="30"/>
    <x v="0"/>
    <x v="188"/>
    <x v="2"/>
    <x v="3"/>
    <x v="26"/>
    <x v="0"/>
    <x v="5"/>
    <n v="0"/>
    <x v="0"/>
  </r>
  <r>
    <x v="30"/>
    <x v="0"/>
    <x v="188"/>
    <x v="2"/>
    <x v="3"/>
    <x v="26"/>
    <x v="0"/>
    <x v="6"/>
    <n v="0"/>
    <x v="0"/>
  </r>
  <r>
    <x v="30"/>
    <x v="0"/>
    <x v="188"/>
    <x v="2"/>
    <x v="3"/>
    <x v="26"/>
    <x v="0"/>
    <x v="7"/>
    <n v="0"/>
    <x v="0"/>
  </r>
  <r>
    <x v="30"/>
    <x v="0"/>
    <x v="188"/>
    <x v="2"/>
    <x v="3"/>
    <x v="26"/>
    <x v="0"/>
    <x v="8"/>
    <n v="0"/>
    <x v="0"/>
  </r>
  <r>
    <x v="30"/>
    <x v="0"/>
    <x v="188"/>
    <x v="2"/>
    <x v="3"/>
    <x v="26"/>
    <x v="0"/>
    <x v="9"/>
    <n v="0"/>
    <x v="0"/>
  </r>
  <r>
    <x v="30"/>
    <x v="0"/>
    <x v="188"/>
    <x v="2"/>
    <x v="3"/>
    <x v="26"/>
    <x v="0"/>
    <x v="10"/>
    <n v="0"/>
    <x v="0"/>
  </r>
  <r>
    <x v="30"/>
    <x v="0"/>
    <x v="188"/>
    <x v="2"/>
    <x v="3"/>
    <x v="26"/>
    <x v="0"/>
    <x v="11"/>
    <n v="0"/>
    <x v="0"/>
  </r>
  <r>
    <x v="30"/>
    <x v="0"/>
    <x v="189"/>
    <x v="2"/>
    <x v="3"/>
    <x v="26"/>
    <x v="0"/>
    <x v="0"/>
    <n v="0"/>
    <x v="0"/>
  </r>
  <r>
    <x v="30"/>
    <x v="0"/>
    <x v="189"/>
    <x v="2"/>
    <x v="3"/>
    <x v="26"/>
    <x v="0"/>
    <x v="1"/>
    <n v="1522.4860915054387"/>
    <x v="0"/>
  </r>
  <r>
    <x v="30"/>
    <x v="0"/>
    <x v="189"/>
    <x v="2"/>
    <x v="3"/>
    <x v="26"/>
    <x v="0"/>
    <x v="2"/>
    <n v="0"/>
    <x v="0"/>
  </r>
  <r>
    <x v="30"/>
    <x v="0"/>
    <x v="189"/>
    <x v="2"/>
    <x v="3"/>
    <x v="26"/>
    <x v="0"/>
    <x v="3"/>
    <n v="0"/>
    <x v="0"/>
  </r>
  <r>
    <x v="30"/>
    <x v="0"/>
    <x v="189"/>
    <x v="2"/>
    <x v="3"/>
    <x v="26"/>
    <x v="0"/>
    <x v="4"/>
    <n v="0"/>
    <x v="0"/>
  </r>
  <r>
    <x v="30"/>
    <x v="0"/>
    <x v="189"/>
    <x v="2"/>
    <x v="3"/>
    <x v="26"/>
    <x v="0"/>
    <x v="5"/>
    <n v="0"/>
    <x v="0"/>
  </r>
  <r>
    <x v="30"/>
    <x v="0"/>
    <x v="189"/>
    <x v="2"/>
    <x v="3"/>
    <x v="26"/>
    <x v="0"/>
    <x v="6"/>
    <n v="0"/>
    <x v="0"/>
  </r>
  <r>
    <x v="30"/>
    <x v="0"/>
    <x v="189"/>
    <x v="2"/>
    <x v="3"/>
    <x v="26"/>
    <x v="0"/>
    <x v="7"/>
    <n v="0"/>
    <x v="0"/>
  </r>
  <r>
    <x v="30"/>
    <x v="0"/>
    <x v="189"/>
    <x v="2"/>
    <x v="3"/>
    <x v="26"/>
    <x v="0"/>
    <x v="8"/>
    <n v="0"/>
    <x v="0"/>
  </r>
  <r>
    <x v="30"/>
    <x v="0"/>
    <x v="189"/>
    <x v="2"/>
    <x v="3"/>
    <x v="26"/>
    <x v="0"/>
    <x v="9"/>
    <n v="0"/>
    <x v="0"/>
  </r>
  <r>
    <x v="30"/>
    <x v="0"/>
    <x v="189"/>
    <x v="2"/>
    <x v="3"/>
    <x v="26"/>
    <x v="0"/>
    <x v="10"/>
    <n v="0"/>
    <x v="0"/>
  </r>
  <r>
    <x v="30"/>
    <x v="0"/>
    <x v="189"/>
    <x v="2"/>
    <x v="3"/>
    <x v="26"/>
    <x v="0"/>
    <x v="11"/>
    <n v="0"/>
    <x v="0"/>
  </r>
  <r>
    <x v="30"/>
    <x v="0"/>
    <x v="190"/>
    <x v="2"/>
    <x v="3"/>
    <x v="27"/>
    <x v="0"/>
    <x v="0"/>
    <n v="348.22960605293008"/>
    <x v="0"/>
  </r>
  <r>
    <x v="30"/>
    <x v="0"/>
    <x v="190"/>
    <x v="2"/>
    <x v="3"/>
    <x v="27"/>
    <x v="0"/>
    <x v="1"/>
    <n v="315.22149796562314"/>
    <x v="0"/>
  </r>
  <r>
    <x v="30"/>
    <x v="0"/>
    <x v="190"/>
    <x v="2"/>
    <x v="3"/>
    <x v="27"/>
    <x v="0"/>
    <x v="2"/>
    <n v="339.74874216110669"/>
    <x v="0"/>
  </r>
  <r>
    <x v="30"/>
    <x v="0"/>
    <x v="190"/>
    <x v="2"/>
    <x v="3"/>
    <x v="27"/>
    <x v="0"/>
    <x v="3"/>
    <n v="0"/>
    <x v="0"/>
  </r>
  <r>
    <x v="30"/>
    <x v="0"/>
    <x v="190"/>
    <x v="2"/>
    <x v="3"/>
    <x v="27"/>
    <x v="0"/>
    <x v="4"/>
    <n v="678.87741316947745"/>
    <x v="0"/>
  </r>
  <r>
    <x v="30"/>
    <x v="0"/>
    <x v="190"/>
    <x v="2"/>
    <x v="3"/>
    <x v="27"/>
    <x v="0"/>
    <x v="5"/>
    <n v="0"/>
    <x v="0"/>
  </r>
  <r>
    <x v="30"/>
    <x v="0"/>
    <x v="190"/>
    <x v="2"/>
    <x v="3"/>
    <x v="27"/>
    <x v="0"/>
    <x v="6"/>
    <n v="991.98771278638173"/>
    <x v="0"/>
  </r>
  <r>
    <x v="30"/>
    <x v="0"/>
    <x v="190"/>
    <x v="2"/>
    <x v="3"/>
    <x v="27"/>
    <x v="0"/>
    <x v="7"/>
    <n v="586.59855898483704"/>
    <x v="0"/>
  </r>
  <r>
    <x v="30"/>
    <x v="0"/>
    <x v="190"/>
    <x v="2"/>
    <x v="3"/>
    <x v="27"/>
    <x v="0"/>
    <x v="8"/>
    <n v="0"/>
    <x v="0"/>
  </r>
  <r>
    <x v="30"/>
    <x v="0"/>
    <x v="190"/>
    <x v="2"/>
    <x v="3"/>
    <x v="27"/>
    <x v="0"/>
    <x v="9"/>
    <n v="550.63449738169436"/>
    <x v="0"/>
  </r>
  <r>
    <x v="30"/>
    <x v="0"/>
    <x v="190"/>
    <x v="2"/>
    <x v="3"/>
    <x v="27"/>
    <x v="0"/>
    <x v="10"/>
    <n v="550.67826265953067"/>
    <x v="0"/>
  </r>
  <r>
    <x v="30"/>
    <x v="0"/>
    <x v="190"/>
    <x v="2"/>
    <x v="3"/>
    <x v="27"/>
    <x v="0"/>
    <x v="11"/>
    <n v="349.62441861697056"/>
    <x v="0"/>
  </r>
  <r>
    <x v="30"/>
    <x v="0"/>
    <x v="191"/>
    <x v="2"/>
    <x v="3"/>
    <x v="27"/>
    <x v="0"/>
    <x v="0"/>
    <n v="0"/>
    <x v="0"/>
  </r>
  <r>
    <x v="30"/>
    <x v="0"/>
    <x v="191"/>
    <x v="2"/>
    <x v="3"/>
    <x v="27"/>
    <x v="0"/>
    <x v="1"/>
    <n v="0"/>
    <x v="0"/>
  </r>
  <r>
    <x v="30"/>
    <x v="0"/>
    <x v="191"/>
    <x v="2"/>
    <x v="3"/>
    <x v="27"/>
    <x v="0"/>
    <x v="2"/>
    <n v="0"/>
    <x v="0"/>
  </r>
  <r>
    <x v="30"/>
    <x v="0"/>
    <x v="191"/>
    <x v="2"/>
    <x v="3"/>
    <x v="27"/>
    <x v="0"/>
    <x v="3"/>
    <n v="0"/>
    <x v="0"/>
  </r>
  <r>
    <x v="30"/>
    <x v="0"/>
    <x v="191"/>
    <x v="2"/>
    <x v="3"/>
    <x v="27"/>
    <x v="0"/>
    <x v="4"/>
    <n v="485.67241905259948"/>
    <x v="0"/>
  </r>
  <r>
    <x v="30"/>
    <x v="0"/>
    <x v="191"/>
    <x v="2"/>
    <x v="3"/>
    <x v="27"/>
    <x v="0"/>
    <x v="5"/>
    <n v="0"/>
    <x v="0"/>
  </r>
  <r>
    <x v="30"/>
    <x v="0"/>
    <x v="191"/>
    <x v="2"/>
    <x v="3"/>
    <x v="27"/>
    <x v="0"/>
    <x v="6"/>
    <n v="0"/>
    <x v="0"/>
  </r>
  <r>
    <x v="30"/>
    <x v="0"/>
    <x v="191"/>
    <x v="2"/>
    <x v="3"/>
    <x v="27"/>
    <x v="0"/>
    <x v="7"/>
    <n v="0"/>
    <x v="0"/>
  </r>
  <r>
    <x v="30"/>
    <x v="0"/>
    <x v="191"/>
    <x v="2"/>
    <x v="3"/>
    <x v="27"/>
    <x v="0"/>
    <x v="8"/>
    <n v="0"/>
    <x v="0"/>
  </r>
  <r>
    <x v="30"/>
    <x v="0"/>
    <x v="191"/>
    <x v="2"/>
    <x v="3"/>
    <x v="27"/>
    <x v="0"/>
    <x v="9"/>
    <n v="0"/>
    <x v="0"/>
  </r>
  <r>
    <x v="30"/>
    <x v="0"/>
    <x v="191"/>
    <x v="2"/>
    <x v="3"/>
    <x v="27"/>
    <x v="0"/>
    <x v="10"/>
    <n v="0"/>
    <x v="0"/>
  </r>
  <r>
    <x v="30"/>
    <x v="0"/>
    <x v="191"/>
    <x v="2"/>
    <x v="3"/>
    <x v="27"/>
    <x v="0"/>
    <x v="11"/>
    <n v="0"/>
    <x v="0"/>
  </r>
  <r>
    <x v="30"/>
    <x v="0"/>
    <x v="192"/>
    <x v="2"/>
    <x v="3"/>
    <x v="27"/>
    <x v="0"/>
    <x v="0"/>
    <n v="201.57490721263449"/>
    <x v="0"/>
  </r>
  <r>
    <x v="30"/>
    <x v="0"/>
    <x v="192"/>
    <x v="2"/>
    <x v="3"/>
    <x v="27"/>
    <x v="0"/>
    <x v="1"/>
    <n v="166.87183426056629"/>
    <x v="0"/>
  </r>
  <r>
    <x v="30"/>
    <x v="0"/>
    <x v="192"/>
    <x v="2"/>
    <x v="3"/>
    <x v="27"/>
    <x v="0"/>
    <x v="2"/>
    <n v="166.88396888204727"/>
    <x v="0"/>
  </r>
  <r>
    <x v="30"/>
    <x v="0"/>
    <x v="192"/>
    <x v="2"/>
    <x v="3"/>
    <x v="27"/>
    <x v="0"/>
    <x v="3"/>
    <n v="0"/>
    <x v="0"/>
  </r>
  <r>
    <x v="30"/>
    <x v="0"/>
    <x v="192"/>
    <x v="2"/>
    <x v="3"/>
    <x v="27"/>
    <x v="0"/>
    <x v="4"/>
    <n v="175.15579378568003"/>
    <x v="0"/>
  </r>
  <r>
    <x v="30"/>
    <x v="0"/>
    <x v="192"/>
    <x v="2"/>
    <x v="3"/>
    <x v="27"/>
    <x v="0"/>
    <x v="5"/>
    <n v="0"/>
    <x v="0"/>
  </r>
  <r>
    <x v="30"/>
    <x v="0"/>
    <x v="192"/>
    <x v="2"/>
    <x v="3"/>
    <x v="27"/>
    <x v="0"/>
    <x v="6"/>
    <n v="342.95831733435728"/>
    <x v="0"/>
  </r>
  <r>
    <x v="30"/>
    <x v="0"/>
    <x v="192"/>
    <x v="2"/>
    <x v="3"/>
    <x v="27"/>
    <x v="0"/>
    <x v="7"/>
    <n v="172.89170878589096"/>
    <x v="0"/>
  </r>
  <r>
    <x v="30"/>
    <x v="0"/>
    <x v="192"/>
    <x v="2"/>
    <x v="3"/>
    <x v="27"/>
    <x v="0"/>
    <x v="8"/>
    <n v="173.74245581455608"/>
    <x v="0"/>
  </r>
  <r>
    <x v="30"/>
    <x v="0"/>
    <x v="192"/>
    <x v="2"/>
    <x v="3"/>
    <x v="27"/>
    <x v="0"/>
    <x v="9"/>
    <n v="0"/>
    <x v="0"/>
  </r>
  <r>
    <x v="30"/>
    <x v="0"/>
    <x v="192"/>
    <x v="2"/>
    <x v="3"/>
    <x v="27"/>
    <x v="0"/>
    <x v="10"/>
    <n v="165.47138740222314"/>
    <x v="0"/>
  </r>
  <r>
    <x v="30"/>
    <x v="0"/>
    <x v="192"/>
    <x v="2"/>
    <x v="3"/>
    <x v="27"/>
    <x v="0"/>
    <x v="11"/>
    <n v="170.57433756767352"/>
    <x v="0"/>
  </r>
  <r>
    <x v="30"/>
    <x v="0"/>
    <x v="193"/>
    <x v="2"/>
    <x v="3"/>
    <x v="27"/>
    <x v="0"/>
    <x v="0"/>
    <n v="0"/>
    <x v="0"/>
  </r>
  <r>
    <x v="30"/>
    <x v="0"/>
    <x v="193"/>
    <x v="2"/>
    <x v="3"/>
    <x v="27"/>
    <x v="0"/>
    <x v="1"/>
    <n v="316.52412189653739"/>
    <x v="0"/>
  </r>
  <r>
    <x v="30"/>
    <x v="0"/>
    <x v="193"/>
    <x v="2"/>
    <x v="3"/>
    <x v="27"/>
    <x v="0"/>
    <x v="2"/>
    <n v="0"/>
    <x v="0"/>
  </r>
  <r>
    <x v="30"/>
    <x v="0"/>
    <x v="193"/>
    <x v="2"/>
    <x v="3"/>
    <x v="27"/>
    <x v="0"/>
    <x v="3"/>
    <n v="0"/>
    <x v="0"/>
  </r>
  <r>
    <x v="30"/>
    <x v="0"/>
    <x v="193"/>
    <x v="2"/>
    <x v="3"/>
    <x v="27"/>
    <x v="0"/>
    <x v="4"/>
    <n v="175.15579378568003"/>
    <x v="0"/>
  </r>
  <r>
    <x v="30"/>
    <x v="0"/>
    <x v="193"/>
    <x v="2"/>
    <x v="3"/>
    <x v="27"/>
    <x v="0"/>
    <x v="5"/>
    <n v="0"/>
    <x v="0"/>
  </r>
  <r>
    <x v="30"/>
    <x v="0"/>
    <x v="193"/>
    <x v="2"/>
    <x v="3"/>
    <x v="27"/>
    <x v="0"/>
    <x v="6"/>
    <n v="0"/>
    <x v="0"/>
  </r>
  <r>
    <x v="30"/>
    <x v="0"/>
    <x v="193"/>
    <x v="2"/>
    <x v="3"/>
    <x v="27"/>
    <x v="0"/>
    <x v="7"/>
    <n v="0"/>
    <x v="0"/>
  </r>
  <r>
    <x v="30"/>
    <x v="0"/>
    <x v="193"/>
    <x v="2"/>
    <x v="3"/>
    <x v="27"/>
    <x v="0"/>
    <x v="8"/>
    <n v="0"/>
    <x v="0"/>
  </r>
  <r>
    <x v="30"/>
    <x v="0"/>
    <x v="193"/>
    <x v="2"/>
    <x v="3"/>
    <x v="27"/>
    <x v="0"/>
    <x v="9"/>
    <n v="0"/>
    <x v="0"/>
  </r>
  <r>
    <x v="30"/>
    <x v="0"/>
    <x v="193"/>
    <x v="2"/>
    <x v="3"/>
    <x v="27"/>
    <x v="0"/>
    <x v="10"/>
    <n v="0"/>
    <x v="0"/>
  </r>
  <r>
    <x v="30"/>
    <x v="0"/>
    <x v="193"/>
    <x v="2"/>
    <x v="3"/>
    <x v="27"/>
    <x v="0"/>
    <x v="11"/>
    <n v="0"/>
    <x v="0"/>
  </r>
  <r>
    <x v="30"/>
    <x v="0"/>
    <x v="194"/>
    <x v="2"/>
    <x v="3"/>
    <x v="27"/>
    <x v="0"/>
    <x v="0"/>
    <n v="167.13510060683487"/>
    <x v="0"/>
  </r>
  <r>
    <x v="30"/>
    <x v="0"/>
    <x v="194"/>
    <x v="2"/>
    <x v="3"/>
    <x v="27"/>
    <x v="0"/>
    <x v="1"/>
    <n v="149.27655069334884"/>
    <x v="0"/>
  </r>
  <r>
    <x v="30"/>
    <x v="0"/>
    <x v="194"/>
    <x v="2"/>
    <x v="3"/>
    <x v="27"/>
    <x v="0"/>
    <x v="2"/>
    <n v="52.12257084706539"/>
    <x v="0"/>
  </r>
  <r>
    <x v="30"/>
    <x v="0"/>
    <x v="194"/>
    <x v="2"/>
    <x v="3"/>
    <x v="27"/>
    <x v="0"/>
    <x v="3"/>
    <n v="0"/>
    <x v="0"/>
  </r>
  <r>
    <x v="30"/>
    <x v="0"/>
    <x v="194"/>
    <x v="2"/>
    <x v="3"/>
    <x v="27"/>
    <x v="0"/>
    <x v="4"/>
    <n v="299.66226521985448"/>
    <x v="0"/>
  </r>
  <r>
    <x v="30"/>
    <x v="0"/>
    <x v="194"/>
    <x v="2"/>
    <x v="3"/>
    <x v="27"/>
    <x v="0"/>
    <x v="5"/>
    <n v="0"/>
    <x v="0"/>
  </r>
  <r>
    <x v="30"/>
    <x v="0"/>
    <x v="194"/>
    <x v="2"/>
    <x v="3"/>
    <x v="27"/>
    <x v="0"/>
    <x v="6"/>
    <n v="211.22701480438587"/>
    <x v="0"/>
  </r>
  <r>
    <x v="30"/>
    <x v="0"/>
    <x v="194"/>
    <x v="2"/>
    <x v="3"/>
    <x v="27"/>
    <x v="0"/>
    <x v="7"/>
    <n v="261.13130444133776"/>
    <x v="0"/>
  </r>
  <r>
    <x v="30"/>
    <x v="0"/>
    <x v="194"/>
    <x v="2"/>
    <x v="3"/>
    <x v="27"/>
    <x v="0"/>
    <x v="8"/>
    <n v="159.6257868086071"/>
    <x v="0"/>
  </r>
  <r>
    <x v="30"/>
    <x v="0"/>
    <x v="194"/>
    <x v="2"/>
    <x v="3"/>
    <x v="27"/>
    <x v="0"/>
    <x v="9"/>
    <n v="118.16001113716923"/>
    <x v="0"/>
  </r>
  <r>
    <x v="30"/>
    <x v="0"/>
    <x v="194"/>
    <x v="2"/>
    <x v="3"/>
    <x v="27"/>
    <x v="0"/>
    <x v="10"/>
    <n v="203.68361465623713"/>
    <x v="0"/>
  </r>
  <r>
    <x v="30"/>
    <x v="0"/>
    <x v="194"/>
    <x v="2"/>
    <x v="3"/>
    <x v="27"/>
    <x v="0"/>
    <x v="11"/>
    <n v="152.56338266922353"/>
    <x v="0"/>
  </r>
  <r>
    <x v="30"/>
    <x v="0"/>
    <x v="195"/>
    <x v="2"/>
    <x v="3"/>
    <x v="27"/>
    <x v="0"/>
    <x v="0"/>
    <n v="0"/>
    <x v="0"/>
  </r>
  <r>
    <x v="30"/>
    <x v="0"/>
    <x v="195"/>
    <x v="2"/>
    <x v="3"/>
    <x v="27"/>
    <x v="0"/>
    <x v="1"/>
    <n v="0"/>
    <x v="0"/>
  </r>
  <r>
    <x v="30"/>
    <x v="0"/>
    <x v="195"/>
    <x v="2"/>
    <x v="3"/>
    <x v="27"/>
    <x v="0"/>
    <x v="2"/>
    <n v="0"/>
    <x v="0"/>
  </r>
  <r>
    <x v="30"/>
    <x v="0"/>
    <x v="195"/>
    <x v="2"/>
    <x v="3"/>
    <x v="27"/>
    <x v="0"/>
    <x v="3"/>
    <n v="0"/>
    <x v="0"/>
  </r>
  <r>
    <x v="30"/>
    <x v="0"/>
    <x v="195"/>
    <x v="2"/>
    <x v="3"/>
    <x v="27"/>
    <x v="0"/>
    <x v="4"/>
    <n v="260.52534100318127"/>
    <x v="0"/>
  </r>
  <r>
    <x v="30"/>
    <x v="0"/>
    <x v="195"/>
    <x v="2"/>
    <x v="3"/>
    <x v="27"/>
    <x v="0"/>
    <x v="5"/>
    <n v="0"/>
    <x v="0"/>
  </r>
  <r>
    <x v="30"/>
    <x v="0"/>
    <x v="195"/>
    <x v="2"/>
    <x v="3"/>
    <x v="27"/>
    <x v="0"/>
    <x v="6"/>
    <n v="0"/>
    <x v="0"/>
  </r>
  <r>
    <x v="30"/>
    <x v="0"/>
    <x v="195"/>
    <x v="2"/>
    <x v="3"/>
    <x v="27"/>
    <x v="0"/>
    <x v="7"/>
    <n v="0"/>
    <x v="0"/>
  </r>
  <r>
    <x v="30"/>
    <x v="0"/>
    <x v="195"/>
    <x v="2"/>
    <x v="3"/>
    <x v="27"/>
    <x v="0"/>
    <x v="8"/>
    <n v="0"/>
    <x v="0"/>
  </r>
  <r>
    <x v="30"/>
    <x v="0"/>
    <x v="195"/>
    <x v="2"/>
    <x v="3"/>
    <x v="27"/>
    <x v="0"/>
    <x v="9"/>
    <n v="0"/>
    <x v="0"/>
  </r>
  <r>
    <x v="30"/>
    <x v="0"/>
    <x v="195"/>
    <x v="2"/>
    <x v="3"/>
    <x v="27"/>
    <x v="0"/>
    <x v="10"/>
    <n v="0"/>
    <x v="0"/>
  </r>
  <r>
    <x v="30"/>
    <x v="0"/>
    <x v="195"/>
    <x v="2"/>
    <x v="3"/>
    <x v="27"/>
    <x v="0"/>
    <x v="11"/>
    <n v="0"/>
    <x v="0"/>
  </r>
  <r>
    <x v="30"/>
    <x v="0"/>
    <x v="196"/>
    <x v="2"/>
    <x v="3"/>
    <x v="28"/>
    <x v="0"/>
    <x v="0"/>
    <n v="563.77933677683677"/>
    <x v="0"/>
  </r>
  <r>
    <x v="30"/>
    <x v="0"/>
    <x v="196"/>
    <x v="2"/>
    <x v="3"/>
    <x v="28"/>
    <x v="0"/>
    <x v="1"/>
    <n v="417.27248193971599"/>
    <x v="0"/>
  </r>
  <r>
    <x v="30"/>
    <x v="0"/>
    <x v="196"/>
    <x v="2"/>
    <x v="3"/>
    <x v="28"/>
    <x v="0"/>
    <x v="2"/>
    <n v="186.48559296643353"/>
    <x v="0"/>
  </r>
  <r>
    <x v="30"/>
    <x v="0"/>
    <x v="196"/>
    <x v="2"/>
    <x v="3"/>
    <x v="28"/>
    <x v="0"/>
    <x v="3"/>
    <n v="231.62247172287374"/>
    <x v="0"/>
  </r>
  <r>
    <x v="30"/>
    <x v="0"/>
    <x v="196"/>
    <x v="2"/>
    <x v="3"/>
    <x v="28"/>
    <x v="0"/>
    <x v="4"/>
    <n v="441.34527389201202"/>
    <x v="0"/>
  </r>
  <r>
    <x v="30"/>
    <x v="0"/>
    <x v="196"/>
    <x v="2"/>
    <x v="3"/>
    <x v="28"/>
    <x v="0"/>
    <x v="5"/>
    <n v="438.28934865238421"/>
    <x v="0"/>
  </r>
  <r>
    <x v="30"/>
    <x v="0"/>
    <x v="196"/>
    <x v="2"/>
    <x v="3"/>
    <x v="28"/>
    <x v="0"/>
    <x v="6"/>
    <n v="336.76884679380521"/>
    <x v="0"/>
  </r>
  <r>
    <x v="30"/>
    <x v="0"/>
    <x v="196"/>
    <x v="2"/>
    <x v="3"/>
    <x v="28"/>
    <x v="0"/>
    <x v="7"/>
    <n v="437.55242499193463"/>
    <x v="0"/>
  </r>
  <r>
    <x v="30"/>
    <x v="0"/>
    <x v="196"/>
    <x v="2"/>
    <x v="3"/>
    <x v="28"/>
    <x v="0"/>
    <x v="8"/>
    <n v="440.47138337957915"/>
    <x v="0"/>
  </r>
  <r>
    <x v="30"/>
    <x v="0"/>
    <x v="196"/>
    <x v="2"/>
    <x v="3"/>
    <x v="28"/>
    <x v="0"/>
    <x v="9"/>
    <n v="437.26239813238243"/>
    <x v="0"/>
  </r>
  <r>
    <x v="30"/>
    <x v="0"/>
    <x v="196"/>
    <x v="2"/>
    <x v="3"/>
    <x v="28"/>
    <x v="0"/>
    <x v="10"/>
    <n v="236.0384932070811"/>
    <x v="0"/>
  </r>
  <r>
    <x v="30"/>
    <x v="0"/>
    <x v="196"/>
    <x v="2"/>
    <x v="3"/>
    <x v="28"/>
    <x v="0"/>
    <x v="11"/>
    <n v="426.96557788678524"/>
    <x v="0"/>
  </r>
  <r>
    <x v="30"/>
    <x v="0"/>
    <x v="197"/>
    <x v="2"/>
    <x v="3"/>
    <x v="28"/>
    <x v="0"/>
    <x v="0"/>
    <n v="0"/>
    <x v="0"/>
  </r>
  <r>
    <x v="30"/>
    <x v="0"/>
    <x v="197"/>
    <x v="2"/>
    <x v="3"/>
    <x v="28"/>
    <x v="0"/>
    <x v="1"/>
    <n v="416.11413269118987"/>
    <x v="0"/>
  </r>
  <r>
    <x v="30"/>
    <x v="0"/>
    <x v="197"/>
    <x v="2"/>
    <x v="3"/>
    <x v="28"/>
    <x v="0"/>
    <x v="2"/>
    <n v="0"/>
    <x v="0"/>
  </r>
  <r>
    <x v="30"/>
    <x v="0"/>
    <x v="197"/>
    <x v="2"/>
    <x v="3"/>
    <x v="28"/>
    <x v="0"/>
    <x v="3"/>
    <n v="0"/>
    <x v="0"/>
  </r>
  <r>
    <x v="30"/>
    <x v="0"/>
    <x v="197"/>
    <x v="2"/>
    <x v="3"/>
    <x v="28"/>
    <x v="0"/>
    <x v="4"/>
    <n v="440.22857018346627"/>
    <x v="0"/>
  </r>
  <r>
    <x v="30"/>
    <x v="0"/>
    <x v="197"/>
    <x v="2"/>
    <x v="3"/>
    <x v="28"/>
    <x v="0"/>
    <x v="5"/>
    <n v="0"/>
    <x v="0"/>
  </r>
  <r>
    <x v="30"/>
    <x v="0"/>
    <x v="197"/>
    <x v="2"/>
    <x v="3"/>
    <x v="28"/>
    <x v="0"/>
    <x v="6"/>
    <n v="0"/>
    <x v="0"/>
  </r>
  <r>
    <x v="30"/>
    <x v="0"/>
    <x v="197"/>
    <x v="2"/>
    <x v="3"/>
    <x v="28"/>
    <x v="0"/>
    <x v="7"/>
    <n v="0"/>
    <x v="0"/>
  </r>
  <r>
    <x v="30"/>
    <x v="0"/>
    <x v="197"/>
    <x v="2"/>
    <x v="3"/>
    <x v="28"/>
    <x v="0"/>
    <x v="8"/>
    <n v="0"/>
    <x v="0"/>
  </r>
  <r>
    <x v="30"/>
    <x v="0"/>
    <x v="197"/>
    <x v="2"/>
    <x v="3"/>
    <x v="28"/>
    <x v="0"/>
    <x v="9"/>
    <n v="0"/>
    <x v="0"/>
  </r>
  <r>
    <x v="30"/>
    <x v="0"/>
    <x v="197"/>
    <x v="2"/>
    <x v="3"/>
    <x v="28"/>
    <x v="0"/>
    <x v="10"/>
    <n v="0"/>
    <x v="0"/>
  </r>
  <r>
    <x v="30"/>
    <x v="0"/>
    <x v="197"/>
    <x v="2"/>
    <x v="3"/>
    <x v="28"/>
    <x v="0"/>
    <x v="11"/>
    <n v="0"/>
    <x v="0"/>
  </r>
  <r>
    <x v="30"/>
    <x v="0"/>
    <x v="198"/>
    <x v="2"/>
    <x v="2"/>
    <x v="3"/>
    <x v="0"/>
    <x v="0"/>
    <n v="562.26720558596458"/>
    <x v="0"/>
  </r>
  <r>
    <x v="30"/>
    <x v="0"/>
    <x v="198"/>
    <x v="2"/>
    <x v="2"/>
    <x v="3"/>
    <x v="0"/>
    <x v="1"/>
    <n v="326.20298098480441"/>
    <x v="0"/>
  </r>
  <r>
    <x v="30"/>
    <x v="0"/>
    <x v="198"/>
    <x v="2"/>
    <x v="2"/>
    <x v="3"/>
    <x v="0"/>
    <x v="2"/>
    <n v="606.07688572520749"/>
    <x v="0"/>
  </r>
  <r>
    <x v="30"/>
    <x v="0"/>
    <x v="198"/>
    <x v="2"/>
    <x v="2"/>
    <x v="3"/>
    <x v="0"/>
    <x v="3"/>
    <n v="0"/>
    <x v="0"/>
  </r>
  <r>
    <x v="30"/>
    <x v="0"/>
    <x v="198"/>
    <x v="2"/>
    <x v="2"/>
    <x v="3"/>
    <x v="0"/>
    <x v="4"/>
    <n v="962.63999651370546"/>
    <x v="0"/>
  </r>
  <r>
    <x v="30"/>
    <x v="0"/>
    <x v="198"/>
    <x v="2"/>
    <x v="2"/>
    <x v="3"/>
    <x v="0"/>
    <x v="5"/>
    <n v="396.47870594333102"/>
    <x v="0"/>
  </r>
  <r>
    <x v="30"/>
    <x v="0"/>
    <x v="198"/>
    <x v="2"/>
    <x v="2"/>
    <x v="3"/>
    <x v="0"/>
    <x v="6"/>
    <n v="581.36119288365546"/>
    <x v="0"/>
  </r>
  <r>
    <x v="30"/>
    <x v="0"/>
    <x v="198"/>
    <x v="2"/>
    <x v="2"/>
    <x v="3"/>
    <x v="0"/>
    <x v="7"/>
    <n v="429.14829551564685"/>
    <x v="0"/>
  </r>
  <r>
    <x v="30"/>
    <x v="0"/>
    <x v="198"/>
    <x v="2"/>
    <x v="2"/>
    <x v="3"/>
    <x v="0"/>
    <x v="8"/>
    <n v="449.21346131007004"/>
    <x v="0"/>
  </r>
  <r>
    <x v="30"/>
    <x v="0"/>
    <x v="198"/>
    <x v="2"/>
    <x v="2"/>
    <x v="3"/>
    <x v="0"/>
    <x v="9"/>
    <n v="872.42693909896025"/>
    <x v="0"/>
  </r>
  <r>
    <x v="30"/>
    <x v="0"/>
    <x v="198"/>
    <x v="2"/>
    <x v="2"/>
    <x v="3"/>
    <x v="0"/>
    <x v="10"/>
    <n v="201.39357760395225"/>
    <x v="0"/>
  </r>
  <r>
    <x v="30"/>
    <x v="0"/>
    <x v="198"/>
    <x v="2"/>
    <x v="2"/>
    <x v="3"/>
    <x v="0"/>
    <x v="11"/>
    <n v="423.78717408117643"/>
    <x v="0"/>
  </r>
  <r>
    <x v="30"/>
    <x v="0"/>
    <x v="199"/>
    <x v="2"/>
    <x v="2"/>
    <x v="3"/>
    <x v="0"/>
    <x v="0"/>
    <n v="0"/>
    <x v="0"/>
  </r>
  <r>
    <x v="30"/>
    <x v="0"/>
    <x v="199"/>
    <x v="2"/>
    <x v="2"/>
    <x v="3"/>
    <x v="0"/>
    <x v="1"/>
    <n v="607.48982811591793"/>
    <x v="0"/>
  </r>
  <r>
    <x v="30"/>
    <x v="0"/>
    <x v="199"/>
    <x v="2"/>
    <x v="2"/>
    <x v="3"/>
    <x v="0"/>
    <x v="2"/>
    <n v="0"/>
    <x v="0"/>
  </r>
  <r>
    <x v="30"/>
    <x v="0"/>
    <x v="199"/>
    <x v="2"/>
    <x v="2"/>
    <x v="3"/>
    <x v="0"/>
    <x v="3"/>
    <n v="0"/>
    <x v="0"/>
  </r>
  <r>
    <x v="30"/>
    <x v="0"/>
    <x v="199"/>
    <x v="2"/>
    <x v="2"/>
    <x v="3"/>
    <x v="0"/>
    <x v="4"/>
    <n v="549.58164465943264"/>
    <x v="0"/>
  </r>
  <r>
    <x v="30"/>
    <x v="0"/>
    <x v="199"/>
    <x v="2"/>
    <x v="2"/>
    <x v="3"/>
    <x v="0"/>
    <x v="5"/>
    <n v="0"/>
    <x v="0"/>
  </r>
  <r>
    <x v="30"/>
    <x v="0"/>
    <x v="199"/>
    <x v="2"/>
    <x v="2"/>
    <x v="3"/>
    <x v="0"/>
    <x v="6"/>
    <n v="0"/>
    <x v="0"/>
  </r>
  <r>
    <x v="30"/>
    <x v="0"/>
    <x v="199"/>
    <x v="2"/>
    <x v="2"/>
    <x v="3"/>
    <x v="0"/>
    <x v="7"/>
    <n v="0"/>
    <x v="0"/>
  </r>
  <r>
    <x v="30"/>
    <x v="0"/>
    <x v="199"/>
    <x v="2"/>
    <x v="2"/>
    <x v="3"/>
    <x v="0"/>
    <x v="8"/>
    <n v="0"/>
    <x v="0"/>
  </r>
  <r>
    <x v="30"/>
    <x v="0"/>
    <x v="199"/>
    <x v="2"/>
    <x v="2"/>
    <x v="3"/>
    <x v="0"/>
    <x v="9"/>
    <n v="0"/>
    <x v="0"/>
  </r>
  <r>
    <x v="30"/>
    <x v="0"/>
    <x v="199"/>
    <x v="2"/>
    <x v="2"/>
    <x v="3"/>
    <x v="0"/>
    <x v="10"/>
    <n v="0"/>
    <x v="0"/>
  </r>
  <r>
    <x v="30"/>
    <x v="0"/>
    <x v="199"/>
    <x v="2"/>
    <x v="2"/>
    <x v="3"/>
    <x v="0"/>
    <x v="11"/>
    <n v="0"/>
    <x v="0"/>
  </r>
  <r>
    <x v="30"/>
    <x v="0"/>
    <x v="200"/>
    <x v="2"/>
    <x v="2"/>
    <x v="3"/>
    <x v="0"/>
    <x v="0"/>
    <n v="805.48794590248792"/>
    <x v="0"/>
  </r>
  <r>
    <x v="30"/>
    <x v="0"/>
    <x v="200"/>
    <x v="2"/>
    <x v="2"/>
    <x v="3"/>
    <x v="0"/>
    <x v="1"/>
    <n v="762.41592626421982"/>
    <x v="0"/>
  </r>
  <r>
    <x v="30"/>
    <x v="0"/>
    <x v="200"/>
    <x v="2"/>
    <x v="2"/>
    <x v="3"/>
    <x v="0"/>
    <x v="2"/>
    <n v="761.73586932939372"/>
    <x v="0"/>
  </r>
  <r>
    <x v="30"/>
    <x v="0"/>
    <x v="200"/>
    <x v="2"/>
    <x v="2"/>
    <x v="3"/>
    <x v="0"/>
    <x v="3"/>
    <n v="0"/>
    <x v="0"/>
  </r>
  <r>
    <x v="30"/>
    <x v="0"/>
    <x v="200"/>
    <x v="2"/>
    <x v="2"/>
    <x v="3"/>
    <x v="0"/>
    <x v="4"/>
    <n v="812.02226870614891"/>
    <x v="0"/>
  </r>
  <r>
    <x v="30"/>
    <x v="0"/>
    <x v="200"/>
    <x v="2"/>
    <x v="2"/>
    <x v="3"/>
    <x v="0"/>
    <x v="5"/>
    <n v="808.67635625431922"/>
    <x v="0"/>
  </r>
  <r>
    <x v="30"/>
    <x v="0"/>
    <x v="200"/>
    <x v="2"/>
    <x v="2"/>
    <x v="3"/>
    <x v="0"/>
    <x v="6"/>
    <n v="801.56150006399594"/>
    <x v="0"/>
  </r>
  <r>
    <x v="30"/>
    <x v="0"/>
    <x v="200"/>
    <x v="2"/>
    <x v="2"/>
    <x v="3"/>
    <x v="0"/>
    <x v="7"/>
    <n v="808.21056027529846"/>
    <x v="0"/>
  </r>
  <r>
    <x v="30"/>
    <x v="0"/>
    <x v="200"/>
    <x v="2"/>
    <x v="2"/>
    <x v="3"/>
    <x v="0"/>
    <x v="8"/>
    <n v="815.42954621522119"/>
    <x v="0"/>
  </r>
  <r>
    <x v="30"/>
    <x v="0"/>
    <x v="200"/>
    <x v="2"/>
    <x v="2"/>
    <x v="3"/>
    <x v="0"/>
    <x v="9"/>
    <n v="812.03242629657007"/>
    <x v="0"/>
  </r>
  <r>
    <x v="30"/>
    <x v="0"/>
    <x v="200"/>
    <x v="2"/>
    <x v="2"/>
    <x v="3"/>
    <x v="0"/>
    <x v="10"/>
    <n v="781.65191436805264"/>
    <x v="0"/>
  </r>
  <r>
    <x v="30"/>
    <x v="0"/>
    <x v="200"/>
    <x v="2"/>
    <x v="2"/>
    <x v="3"/>
    <x v="0"/>
    <x v="11"/>
    <n v="781.8873361797705"/>
    <x v="0"/>
  </r>
  <r>
    <x v="30"/>
    <x v="0"/>
    <x v="201"/>
    <x v="2"/>
    <x v="2"/>
    <x v="3"/>
    <x v="0"/>
    <x v="0"/>
    <n v="0"/>
    <x v="0"/>
  </r>
  <r>
    <x v="30"/>
    <x v="0"/>
    <x v="201"/>
    <x v="2"/>
    <x v="2"/>
    <x v="3"/>
    <x v="0"/>
    <x v="1"/>
    <n v="763.88046998256243"/>
    <x v="0"/>
  </r>
  <r>
    <x v="30"/>
    <x v="0"/>
    <x v="201"/>
    <x v="2"/>
    <x v="2"/>
    <x v="3"/>
    <x v="0"/>
    <x v="2"/>
    <n v="0"/>
    <x v="0"/>
  </r>
  <r>
    <x v="30"/>
    <x v="0"/>
    <x v="201"/>
    <x v="2"/>
    <x v="2"/>
    <x v="3"/>
    <x v="0"/>
    <x v="3"/>
    <n v="0"/>
    <x v="0"/>
  </r>
  <r>
    <x v="30"/>
    <x v="0"/>
    <x v="201"/>
    <x v="2"/>
    <x v="2"/>
    <x v="3"/>
    <x v="0"/>
    <x v="4"/>
    <n v="1593.8336165947619"/>
    <x v="0"/>
  </r>
  <r>
    <x v="30"/>
    <x v="0"/>
    <x v="201"/>
    <x v="2"/>
    <x v="2"/>
    <x v="3"/>
    <x v="0"/>
    <x v="5"/>
    <n v="0"/>
    <x v="0"/>
  </r>
  <r>
    <x v="30"/>
    <x v="0"/>
    <x v="201"/>
    <x v="2"/>
    <x v="2"/>
    <x v="3"/>
    <x v="0"/>
    <x v="6"/>
    <n v="0"/>
    <x v="0"/>
  </r>
  <r>
    <x v="30"/>
    <x v="0"/>
    <x v="201"/>
    <x v="2"/>
    <x v="2"/>
    <x v="3"/>
    <x v="0"/>
    <x v="7"/>
    <n v="0"/>
    <x v="0"/>
  </r>
  <r>
    <x v="30"/>
    <x v="0"/>
    <x v="201"/>
    <x v="2"/>
    <x v="2"/>
    <x v="3"/>
    <x v="0"/>
    <x v="8"/>
    <n v="0"/>
    <x v="0"/>
  </r>
  <r>
    <x v="30"/>
    <x v="0"/>
    <x v="201"/>
    <x v="2"/>
    <x v="2"/>
    <x v="3"/>
    <x v="0"/>
    <x v="9"/>
    <n v="0"/>
    <x v="0"/>
  </r>
  <r>
    <x v="30"/>
    <x v="0"/>
    <x v="201"/>
    <x v="2"/>
    <x v="2"/>
    <x v="3"/>
    <x v="0"/>
    <x v="10"/>
    <n v="0"/>
    <x v="0"/>
  </r>
  <r>
    <x v="30"/>
    <x v="0"/>
    <x v="201"/>
    <x v="2"/>
    <x v="2"/>
    <x v="3"/>
    <x v="0"/>
    <x v="11"/>
    <n v="0"/>
    <x v="0"/>
  </r>
  <r>
    <x v="30"/>
    <x v="1"/>
    <x v="202"/>
    <x v="3"/>
    <x v="8"/>
    <x v="29"/>
    <x v="0"/>
    <x v="0"/>
    <n v="0"/>
    <x v="0"/>
  </r>
  <r>
    <x v="30"/>
    <x v="1"/>
    <x v="202"/>
    <x v="3"/>
    <x v="8"/>
    <x v="29"/>
    <x v="0"/>
    <x v="1"/>
    <n v="0"/>
    <x v="0"/>
  </r>
  <r>
    <x v="30"/>
    <x v="1"/>
    <x v="202"/>
    <x v="3"/>
    <x v="8"/>
    <x v="29"/>
    <x v="0"/>
    <x v="2"/>
    <n v="0"/>
    <x v="0"/>
  </r>
  <r>
    <x v="30"/>
    <x v="1"/>
    <x v="202"/>
    <x v="3"/>
    <x v="8"/>
    <x v="29"/>
    <x v="0"/>
    <x v="3"/>
    <n v="0"/>
    <x v="0"/>
  </r>
  <r>
    <x v="30"/>
    <x v="1"/>
    <x v="202"/>
    <x v="3"/>
    <x v="8"/>
    <x v="29"/>
    <x v="0"/>
    <x v="4"/>
    <n v="59.489257855057303"/>
    <x v="0"/>
  </r>
  <r>
    <x v="30"/>
    <x v="1"/>
    <x v="202"/>
    <x v="3"/>
    <x v="8"/>
    <x v="29"/>
    <x v="0"/>
    <x v="5"/>
    <n v="11.287361782999309"/>
    <x v="0"/>
  </r>
  <r>
    <x v="30"/>
    <x v="1"/>
    <x v="202"/>
    <x v="3"/>
    <x v="8"/>
    <x v="29"/>
    <x v="0"/>
    <x v="6"/>
    <n v="55.21673279576774"/>
    <x v="0"/>
  </r>
  <r>
    <x v="30"/>
    <x v="1"/>
    <x v="202"/>
    <x v="3"/>
    <x v="8"/>
    <x v="29"/>
    <x v="0"/>
    <x v="7"/>
    <n v="106.44908054629531"/>
    <x v="0"/>
  </r>
  <r>
    <x v="30"/>
    <x v="1"/>
    <x v="202"/>
    <x v="3"/>
    <x v="8"/>
    <x v="29"/>
    <x v="0"/>
    <x v="8"/>
    <n v="84.94941751870526"/>
    <x v="0"/>
  </r>
  <r>
    <x v="30"/>
    <x v="1"/>
    <x v="202"/>
    <x v="3"/>
    <x v="8"/>
    <x v="29"/>
    <x v="0"/>
    <x v="9"/>
    <n v="71.211488418414888"/>
    <x v="0"/>
  </r>
  <r>
    <x v="30"/>
    <x v="1"/>
    <x v="202"/>
    <x v="3"/>
    <x v="8"/>
    <x v="29"/>
    <x v="0"/>
    <x v="10"/>
    <n v="10.214079868258542"/>
    <x v="0"/>
  </r>
  <r>
    <x v="30"/>
    <x v="1"/>
    <x v="202"/>
    <x v="3"/>
    <x v="8"/>
    <x v="29"/>
    <x v="0"/>
    <x v="11"/>
    <n v="70.452498755125177"/>
    <x v="0"/>
  </r>
  <r>
    <x v="30"/>
    <x v="1"/>
    <x v="203"/>
    <x v="2"/>
    <x v="2"/>
    <x v="3"/>
    <x v="0"/>
    <x v="0"/>
    <n v="1989.0648575424839"/>
    <x v="0"/>
  </r>
  <r>
    <x v="30"/>
    <x v="1"/>
    <x v="203"/>
    <x v="2"/>
    <x v="2"/>
    <x v="3"/>
    <x v="0"/>
    <x v="1"/>
    <n v="0"/>
    <x v="0"/>
  </r>
  <r>
    <x v="30"/>
    <x v="1"/>
    <x v="203"/>
    <x v="2"/>
    <x v="2"/>
    <x v="3"/>
    <x v="0"/>
    <x v="2"/>
    <n v="0"/>
    <x v="0"/>
  </r>
  <r>
    <x v="30"/>
    <x v="1"/>
    <x v="203"/>
    <x v="2"/>
    <x v="2"/>
    <x v="3"/>
    <x v="0"/>
    <x v="3"/>
    <n v="0"/>
    <x v="0"/>
  </r>
  <r>
    <x v="30"/>
    <x v="1"/>
    <x v="203"/>
    <x v="2"/>
    <x v="2"/>
    <x v="3"/>
    <x v="0"/>
    <x v="4"/>
    <n v="81.353771734867308"/>
    <x v="0"/>
  </r>
  <r>
    <x v="30"/>
    <x v="1"/>
    <x v="203"/>
    <x v="2"/>
    <x v="2"/>
    <x v="3"/>
    <x v="0"/>
    <x v="5"/>
    <n v="0"/>
    <x v="0"/>
  </r>
  <r>
    <x v="30"/>
    <x v="1"/>
    <x v="203"/>
    <x v="2"/>
    <x v="2"/>
    <x v="3"/>
    <x v="0"/>
    <x v="6"/>
    <n v="0"/>
    <x v="0"/>
  </r>
  <r>
    <x v="30"/>
    <x v="1"/>
    <x v="203"/>
    <x v="2"/>
    <x v="2"/>
    <x v="3"/>
    <x v="0"/>
    <x v="7"/>
    <n v="0"/>
    <x v="0"/>
  </r>
  <r>
    <x v="30"/>
    <x v="1"/>
    <x v="203"/>
    <x v="2"/>
    <x v="2"/>
    <x v="3"/>
    <x v="0"/>
    <x v="8"/>
    <n v="0"/>
    <x v="0"/>
  </r>
  <r>
    <x v="30"/>
    <x v="1"/>
    <x v="203"/>
    <x v="2"/>
    <x v="2"/>
    <x v="3"/>
    <x v="0"/>
    <x v="9"/>
    <n v="0"/>
    <x v="0"/>
  </r>
  <r>
    <x v="30"/>
    <x v="1"/>
    <x v="203"/>
    <x v="2"/>
    <x v="2"/>
    <x v="3"/>
    <x v="0"/>
    <x v="10"/>
    <n v="0"/>
    <x v="0"/>
  </r>
  <r>
    <x v="30"/>
    <x v="1"/>
    <x v="203"/>
    <x v="2"/>
    <x v="2"/>
    <x v="3"/>
    <x v="0"/>
    <x v="11"/>
    <n v="0"/>
    <x v="0"/>
  </r>
  <r>
    <x v="30"/>
    <x v="1"/>
    <x v="204"/>
    <x v="2"/>
    <x v="2"/>
    <x v="2"/>
    <x v="0"/>
    <x v="0"/>
    <n v="0"/>
    <x v="0"/>
  </r>
  <r>
    <x v="30"/>
    <x v="1"/>
    <x v="204"/>
    <x v="2"/>
    <x v="2"/>
    <x v="2"/>
    <x v="0"/>
    <x v="1"/>
    <n v="81.834883334717262"/>
    <x v="0"/>
  </r>
  <r>
    <x v="30"/>
    <x v="1"/>
    <x v="204"/>
    <x v="2"/>
    <x v="2"/>
    <x v="2"/>
    <x v="0"/>
    <x v="2"/>
    <n v="0"/>
    <x v="0"/>
  </r>
  <r>
    <x v="30"/>
    <x v="1"/>
    <x v="204"/>
    <x v="2"/>
    <x v="2"/>
    <x v="2"/>
    <x v="0"/>
    <x v="3"/>
    <n v="0"/>
    <x v="0"/>
  </r>
  <r>
    <x v="30"/>
    <x v="1"/>
    <x v="204"/>
    <x v="2"/>
    <x v="2"/>
    <x v="2"/>
    <x v="0"/>
    <x v="4"/>
    <n v="0"/>
    <x v="0"/>
  </r>
  <r>
    <x v="30"/>
    <x v="1"/>
    <x v="204"/>
    <x v="2"/>
    <x v="2"/>
    <x v="2"/>
    <x v="0"/>
    <x v="5"/>
    <n v="323.94609536973047"/>
    <x v="0"/>
  </r>
  <r>
    <x v="30"/>
    <x v="1"/>
    <x v="204"/>
    <x v="2"/>
    <x v="2"/>
    <x v="2"/>
    <x v="0"/>
    <x v="6"/>
    <n v="0"/>
    <x v="0"/>
  </r>
  <r>
    <x v="30"/>
    <x v="1"/>
    <x v="204"/>
    <x v="2"/>
    <x v="2"/>
    <x v="2"/>
    <x v="0"/>
    <x v="7"/>
    <n v="1075.384449940854"/>
    <x v="0"/>
  </r>
  <r>
    <x v="30"/>
    <x v="1"/>
    <x v="204"/>
    <x v="2"/>
    <x v="2"/>
    <x v="2"/>
    <x v="0"/>
    <x v="8"/>
    <n v="0"/>
    <x v="0"/>
  </r>
  <r>
    <x v="30"/>
    <x v="1"/>
    <x v="204"/>
    <x v="2"/>
    <x v="2"/>
    <x v="2"/>
    <x v="0"/>
    <x v="9"/>
    <n v="0"/>
    <x v="0"/>
  </r>
  <r>
    <x v="30"/>
    <x v="1"/>
    <x v="204"/>
    <x v="2"/>
    <x v="2"/>
    <x v="2"/>
    <x v="0"/>
    <x v="10"/>
    <n v="0"/>
    <x v="0"/>
  </r>
  <r>
    <x v="30"/>
    <x v="1"/>
    <x v="204"/>
    <x v="2"/>
    <x v="2"/>
    <x v="2"/>
    <x v="0"/>
    <x v="11"/>
    <n v="0"/>
    <x v="0"/>
  </r>
  <r>
    <x v="30"/>
    <x v="0"/>
    <x v="205"/>
    <x v="2"/>
    <x v="1"/>
    <x v="16"/>
    <x v="0"/>
    <x v="0"/>
    <n v="1897.0142842982852"/>
    <x v="0"/>
  </r>
  <r>
    <x v="30"/>
    <x v="0"/>
    <x v="205"/>
    <x v="2"/>
    <x v="1"/>
    <x v="16"/>
    <x v="0"/>
    <x v="1"/>
    <n v="1795.1102300091338"/>
    <x v="0"/>
  </r>
  <r>
    <x v="30"/>
    <x v="0"/>
    <x v="205"/>
    <x v="2"/>
    <x v="1"/>
    <x v="16"/>
    <x v="0"/>
    <x v="2"/>
    <n v="1804.5561145950637"/>
    <x v="0"/>
  </r>
  <r>
    <x v="30"/>
    <x v="0"/>
    <x v="205"/>
    <x v="2"/>
    <x v="1"/>
    <x v="16"/>
    <x v="0"/>
    <x v="3"/>
    <n v="1841.7532859791281"/>
    <x v="0"/>
  </r>
  <r>
    <x v="30"/>
    <x v="0"/>
    <x v="205"/>
    <x v="2"/>
    <x v="1"/>
    <x v="16"/>
    <x v="0"/>
    <x v="4"/>
    <n v="1374.4977556979127"/>
    <x v="0"/>
  </r>
  <r>
    <x v="30"/>
    <x v="0"/>
    <x v="205"/>
    <x v="2"/>
    <x v="1"/>
    <x v="16"/>
    <x v="0"/>
    <x v="5"/>
    <n v="1599.5486351071181"/>
    <x v="0"/>
  </r>
  <r>
    <x v="30"/>
    <x v="0"/>
    <x v="205"/>
    <x v="2"/>
    <x v="1"/>
    <x v="16"/>
    <x v="0"/>
    <x v="6"/>
    <n v="1563.6300610094288"/>
    <x v="0"/>
  </r>
  <r>
    <x v="30"/>
    <x v="0"/>
    <x v="205"/>
    <x v="2"/>
    <x v="1"/>
    <x v="16"/>
    <x v="0"/>
    <x v="7"/>
    <n v="1543.9326809334336"/>
    <x v="0"/>
  </r>
  <r>
    <x v="30"/>
    <x v="0"/>
    <x v="205"/>
    <x v="2"/>
    <x v="1"/>
    <x v="16"/>
    <x v="0"/>
    <x v="8"/>
    <n v="1792.5384092160525"/>
    <x v="0"/>
  </r>
  <r>
    <x v="30"/>
    <x v="0"/>
    <x v="205"/>
    <x v="2"/>
    <x v="1"/>
    <x v="16"/>
    <x v="0"/>
    <x v="9"/>
    <n v="1667.8649832407023"/>
    <x v="0"/>
  </r>
  <r>
    <x v="30"/>
    <x v="0"/>
    <x v="205"/>
    <x v="2"/>
    <x v="1"/>
    <x v="16"/>
    <x v="0"/>
    <x v="10"/>
    <n v="1068.1720872787155"/>
    <x v="0"/>
  </r>
  <r>
    <x v="30"/>
    <x v="0"/>
    <x v="205"/>
    <x v="2"/>
    <x v="1"/>
    <x v="16"/>
    <x v="0"/>
    <x v="11"/>
    <n v="1430.2817125239706"/>
    <x v="0"/>
  </r>
  <r>
    <x v="30"/>
    <x v="0"/>
    <x v="206"/>
    <x v="2"/>
    <x v="1"/>
    <x v="16"/>
    <x v="0"/>
    <x v="0"/>
    <n v="214.76007445015915"/>
    <x v="0"/>
  </r>
  <r>
    <x v="30"/>
    <x v="0"/>
    <x v="206"/>
    <x v="2"/>
    <x v="1"/>
    <x v="16"/>
    <x v="0"/>
    <x v="1"/>
    <n v="202.39973428547702"/>
    <x v="0"/>
  </r>
  <r>
    <x v="30"/>
    <x v="0"/>
    <x v="206"/>
    <x v="2"/>
    <x v="1"/>
    <x v="16"/>
    <x v="0"/>
    <x v="2"/>
    <n v="201.46084944159185"/>
    <x v="0"/>
  </r>
  <r>
    <x v="30"/>
    <x v="0"/>
    <x v="206"/>
    <x v="2"/>
    <x v="1"/>
    <x v="16"/>
    <x v="0"/>
    <x v="3"/>
    <n v="0"/>
    <x v="0"/>
  </r>
  <r>
    <x v="30"/>
    <x v="0"/>
    <x v="206"/>
    <x v="2"/>
    <x v="1"/>
    <x v="16"/>
    <x v="0"/>
    <x v="4"/>
    <n v="239.68274720006974"/>
    <x v="0"/>
  </r>
  <r>
    <x v="30"/>
    <x v="0"/>
    <x v="206"/>
    <x v="2"/>
    <x v="1"/>
    <x v="16"/>
    <x v="0"/>
    <x v="5"/>
    <n v="237.56046993780234"/>
    <x v="0"/>
  </r>
  <r>
    <x v="30"/>
    <x v="0"/>
    <x v="206"/>
    <x v="2"/>
    <x v="1"/>
    <x v="16"/>
    <x v="0"/>
    <x v="6"/>
    <n v="234.65164896113316"/>
    <x v="0"/>
  </r>
  <r>
    <x v="30"/>
    <x v="0"/>
    <x v="206"/>
    <x v="2"/>
    <x v="1"/>
    <x v="16"/>
    <x v="0"/>
    <x v="7"/>
    <n v="236.58457898698785"/>
    <x v="0"/>
  </r>
  <r>
    <x v="30"/>
    <x v="0"/>
    <x v="206"/>
    <x v="2"/>
    <x v="1"/>
    <x v="16"/>
    <x v="0"/>
    <x v="8"/>
    <n v="237.52712667753534"/>
    <x v="0"/>
  </r>
  <r>
    <x v="30"/>
    <x v="0"/>
    <x v="206"/>
    <x v="2"/>
    <x v="1"/>
    <x v="16"/>
    <x v="0"/>
    <x v="9"/>
    <n v="235.59396451098189"/>
    <x v="0"/>
  </r>
  <r>
    <x v="30"/>
    <x v="0"/>
    <x v="206"/>
    <x v="2"/>
    <x v="1"/>
    <x v="16"/>
    <x v="0"/>
    <x v="10"/>
    <n v="190.20172910662825"/>
    <x v="0"/>
  </r>
  <r>
    <x v="30"/>
    <x v="0"/>
    <x v="206"/>
    <x v="2"/>
    <x v="1"/>
    <x v="16"/>
    <x v="0"/>
    <x v="11"/>
    <n v="233.08294574464705"/>
    <x v="0"/>
  </r>
  <r>
    <x v="30"/>
    <x v="0"/>
    <x v="207"/>
    <x v="2"/>
    <x v="1"/>
    <x v="16"/>
    <x v="0"/>
    <x v="0"/>
    <n v="0"/>
    <x v="0"/>
  </r>
  <r>
    <x v="30"/>
    <x v="0"/>
    <x v="207"/>
    <x v="2"/>
    <x v="1"/>
    <x v="16"/>
    <x v="0"/>
    <x v="1"/>
    <n v="202.39973428547702"/>
    <x v="0"/>
  </r>
  <r>
    <x v="30"/>
    <x v="0"/>
    <x v="207"/>
    <x v="2"/>
    <x v="1"/>
    <x v="16"/>
    <x v="0"/>
    <x v="2"/>
    <n v="0"/>
    <x v="0"/>
  </r>
  <r>
    <x v="30"/>
    <x v="0"/>
    <x v="207"/>
    <x v="2"/>
    <x v="1"/>
    <x v="16"/>
    <x v="0"/>
    <x v="3"/>
    <n v="0"/>
    <x v="0"/>
  </r>
  <r>
    <x v="30"/>
    <x v="0"/>
    <x v="207"/>
    <x v="2"/>
    <x v="1"/>
    <x v="16"/>
    <x v="0"/>
    <x v="4"/>
    <n v="212.44607138187999"/>
    <x v="0"/>
  </r>
  <r>
    <x v="30"/>
    <x v="0"/>
    <x v="207"/>
    <x v="2"/>
    <x v="1"/>
    <x v="16"/>
    <x v="0"/>
    <x v="5"/>
    <n v="0"/>
    <x v="0"/>
  </r>
  <r>
    <x v="30"/>
    <x v="0"/>
    <x v="207"/>
    <x v="2"/>
    <x v="1"/>
    <x v="16"/>
    <x v="0"/>
    <x v="6"/>
    <n v="0"/>
    <x v="0"/>
  </r>
  <r>
    <x v="30"/>
    <x v="0"/>
    <x v="207"/>
    <x v="2"/>
    <x v="1"/>
    <x v="16"/>
    <x v="0"/>
    <x v="7"/>
    <n v="0"/>
    <x v="0"/>
  </r>
  <r>
    <x v="30"/>
    <x v="0"/>
    <x v="207"/>
    <x v="2"/>
    <x v="1"/>
    <x v="16"/>
    <x v="0"/>
    <x v="8"/>
    <n v="0"/>
    <x v="0"/>
  </r>
  <r>
    <x v="30"/>
    <x v="0"/>
    <x v="207"/>
    <x v="2"/>
    <x v="1"/>
    <x v="16"/>
    <x v="0"/>
    <x v="9"/>
    <n v="0"/>
    <x v="0"/>
  </r>
  <r>
    <x v="30"/>
    <x v="0"/>
    <x v="207"/>
    <x v="2"/>
    <x v="1"/>
    <x v="16"/>
    <x v="0"/>
    <x v="10"/>
    <n v="0"/>
    <x v="0"/>
  </r>
  <r>
    <x v="30"/>
    <x v="0"/>
    <x v="207"/>
    <x v="2"/>
    <x v="1"/>
    <x v="16"/>
    <x v="0"/>
    <x v="11"/>
    <n v="0"/>
    <x v="0"/>
  </r>
  <r>
    <x v="30"/>
    <x v="0"/>
    <x v="208"/>
    <x v="2"/>
    <x v="2"/>
    <x v="3"/>
    <x v="0"/>
    <x v="0"/>
    <n v="135.91228978292713"/>
    <x v="0"/>
  </r>
  <r>
    <x v="30"/>
    <x v="0"/>
    <x v="208"/>
    <x v="2"/>
    <x v="2"/>
    <x v="3"/>
    <x v="0"/>
    <x v="1"/>
    <n v="129.00751473885245"/>
    <x v="0"/>
  </r>
  <r>
    <x v="30"/>
    <x v="0"/>
    <x v="208"/>
    <x v="2"/>
    <x v="2"/>
    <x v="3"/>
    <x v="0"/>
    <x v="2"/>
    <n v="128.10637132850516"/>
    <x v="0"/>
  </r>
  <r>
    <x v="30"/>
    <x v="0"/>
    <x v="208"/>
    <x v="2"/>
    <x v="2"/>
    <x v="3"/>
    <x v="0"/>
    <x v="3"/>
    <n v="0"/>
    <x v="0"/>
  </r>
  <r>
    <x v="30"/>
    <x v="0"/>
    <x v="208"/>
    <x v="2"/>
    <x v="2"/>
    <x v="3"/>
    <x v="0"/>
    <x v="4"/>
    <n v="138.55188042009848"/>
    <x v="0"/>
  </r>
  <r>
    <x v="30"/>
    <x v="0"/>
    <x v="208"/>
    <x v="2"/>
    <x v="2"/>
    <x v="3"/>
    <x v="0"/>
    <x v="5"/>
    <n v="136.38562543192813"/>
    <x v="0"/>
  </r>
  <r>
    <x v="30"/>
    <x v="0"/>
    <x v="208"/>
    <x v="2"/>
    <x v="2"/>
    <x v="3"/>
    <x v="0"/>
    <x v="6"/>
    <n v="0"/>
    <x v="0"/>
  </r>
  <r>
    <x v="30"/>
    <x v="0"/>
    <x v="208"/>
    <x v="2"/>
    <x v="2"/>
    <x v="3"/>
    <x v="0"/>
    <x v="7"/>
    <n v="0"/>
    <x v="0"/>
  </r>
  <r>
    <x v="30"/>
    <x v="0"/>
    <x v="208"/>
    <x v="2"/>
    <x v="2"/>
    <x v="3"/>
    <x v="0"/>
    <x v="8"/>
    <n v="0"/>
    <x v="0"/>
  </r>
  <r>
    <x v="30"/>
    <x v="0"/>
    <x v="208"/>
    <x v="2"/>
    <x v="2"/>
    <x v="3"/>
    <x v="0"/>
    <x v="9"/>
    <n v="0"/>
    <x v="0"/>
  </r>
  <r>
    <x v="30"/>
    <x v="0"/>
    <x v="208"/>
    <x v="2"/>
    <x v="2"/>
    <x v="3"/>
    <x v="0"/>
    <x v="10"/>
    <n v="0"/>
    <x v="0"/>
  </r>
  <r>
    <x v="30"/>
    <x v="0"/>
    <x v="208"/>
    <x v="2"/>
    <x v="2"/>
    <x v="3"/>
    <x v="0"/>
    <x v="11"/>
    <n v="0"/>
    <x v="0"/>
  </r>
  <r>
    <x v="30"/>
    <x v="0"/>
    <x v="209"/>
    <x v="2"/>
    <x v="2"/>
    <x v="3"/>
    <x v="0"/>
    <x v="0"/>
    <n v="0"/>
    <x v="0"/>
  </r>
  <r>
    <x v="30"/>
    <x v="0"/>
    <x v="209"/>
    <x v="2"/>
    <x v="2"/>
    <x v="3"/>
    <x v="0"/>
    <x v="1"/>
    <n v="129.0843228431454"/>
    <x v="0"/>
  </r>
  <r>
    <x v="30"/>
    <x v="0"/>
    <x v="209"/>
    <x v="2"/>
    <x v="2"/>
    <x v="3"/>
    <x v="0"/>
    <x v="2"/>
    <n v="0"/>
    <x v="0"/>
  </r>
  <r>
    <x v="30"/>
    <x v="0"/>
    <x v="209"/>
    <x v="2"/>
    <x v="2"/>
    <x v="3"/>
    <x v="0"/>
    <x v="3"/>
    <n v="0"/>
    <x v="0"/>
  </r>
  <r>
    <x v="30"/>
    <x v="0"/>
    <x v="209"/>
    <x v="2"/>
    <x v="2"/>
    <x v="3"/>
    <x v="0"/>
    <x v="4"/>
    <n v="134.70824072863556"/>
    <x v="0"/>
  </r>
  <r>
    <x v="30"/>
    <x v="0"/>
    <x v="209"/>
    <x v="2"/>
    <x v="2"/>
    <x v="3"/>
    <x v="0"/>
    <x v="5"/>
    <n v="0"/>
    <x v="0"/>
  </r>
  <r>
    <x v="30"/>
    <x v="0"/>
    <x v="209"/>
    <x v="2"/>
    <x v="2"/>
    <x v="3"/>
    <x v="0"/>
    <x v="6"/>
    <n v="0"/>
    <x v="0"/>
  </r>
  <r>
    <x v="30"/>
    <x v="0"/>
    <x v="209"/>
    <x v="2"/>
    <x v="2"/>
    <x v="3"/>
    <x v="0"/>
    <x v="7"/>
    <n v="0"/>
    <x v="0"/>
  </r>
  <r>
    <x v="30"/>
    <x v="0"/>
    <x v="209"/>
    <x v="2"/>
    <x v="2"/>
    <x v="3"/>
    <x v="0"/>
    <x v="8"/>
    <n v="0"/>
    <x v="0"/>
  </r>
  <r>
    <x v="30"/>
    <x v="0"/>
    <x v="209"/>
    <x v="2"/>
    <x v="2"/>
    <x v="3"/>
    <x v="0"/>
    <x v="9"/>
    <n v="0"/>
    <x v="0"/>
  </r>
  <r>
    <x v="30"/>
    <x v="0"/>
    <x v="209"/>
    <x v="2"/>
    <x v="2"/>
    <x v="3"/>
    <x v="0"/>
    <x v="10"/>
    <n v="0"/>
    <x v="0"/>
  </r>
  <r>
    <x v="30"/>
    <x v="0"/>
    <x v="209"/>
    <x v="2"/>
    <x v="2"/>
    <x v="3"/>
    <x v="0"/>
    <x v="11"/>
    <n v="0"/>
    <x v="0"/>
  </r>
  <r>
    <x v="30"/>
    <x v="1"/>
    <x v="210"/>
    <x v="2"/>
    <x v="2"/>
    <x v="3"/>
    <x v="0"/>
    <x v="0"/>
    <n v="176.2133944206434"/>
    <x v="0"/>
  </r>
  <r>
    <x v="30"/>
    <x v="1"/>
    <x v="210"/>
    <x v="2"/>
    <x v="2"/>
    <x v="3"/>
    <x v="0"/>
    <x v="1"/>
    <n v="0"/>
    <x v="0"/>
  </r>
  <r>
    <x v="30"/>
    <x v="1"/>
    <x v="210"/>
    <x v="2"/>
    <x v="2"/>
    <x v="3"/>
    <x v="0"/>
    <x v="2"/>
    <n v="0"/>
    <x v="0"/>
  </r>
  <r>
    <x v="30"/>
    <x v="1"/>
    <x v="210"/>
    <x v="2"/>
    <x v="2"/>
    <x v="3"/>
    <x v="0"/>
    <x v="3"/>
    <n v="0"/>
    <x v="0"/>
  </r>
  <r>
    <x v="30"/>
    <x v="1"/>
    <x v="210"/>
    <x v="2"/>
    <x v="2"/>
    <x v="3"/>
    <x v="0"/>
    <x v="4"/>
    <n v="0"/>
    <x v="0"/>
  </r>
  <r>
    <x v="30"/>
    <x v="1"/>
    <x v="210"/>
    <x v="2"/>
    <x v="2"/>
    <x v="3"/>
    <x v="0"/>
    <x v="5"/>
    <n v="0"/>
    <x v="0"/>
  </r>
  <r>
    <x v="30"/>
    <x v="1"/>
    <x v="210"/>
    <x v="2"/>
    <x v="2"/>
    <x v="3"/>
    <x v="0"/>
    <x v="6"/>
    <n v="0"/>
    <x v="0"/>
  </r>
  <r>
    <x v="30"/>
    <x v="1"/>
    <x v="210"/>
    <x v="2"/>
    <x v="2"/>
    <x v="3"/>
    <x v="0"/>
    <x v="7"/>
    <n v="0"/>
    <x v="0"/>
  </r>
  <r>
    <x v="30"/>
    <x v="1"/>
    <x v="210"/>
    <x v="2"/>
    <x v="2"/>
    <x v="3"/>
    <x v="0"/>
    <x v="8"/>
    <n v="0"/>
    <x v="0"/>
  </r>
  <r>
    <x v="30"/>
    <x v="1"/>
    <x v="210"/>
    <x v="2"/>
    <x v="2"/>
    <x v="3"/>
    <x v="0"/>
    <x v="9"/>
    <n v="0"/>
    <x v="0"/>
  </r>
  <r>
    <x v="30"/>
    <x v="1"/>
    <x v="210"/>
    <x v="2"/>
    <x v="2"/>
    <x v="3"/>
    <x v="0"/>
    <x v="10"/>
    <n v="0"/>
    <x v="0"/>
  </r>
  <r>
    <x v="30"/>
    <x v="1"/>
    <x v="210"/>
    <x v="2"/>
    <x v="2"/>
    <x v="3"/>
    <x v="0"/>
    <x v="11"/>
    <n v="0"/>
    <x v="0"/>
  </r>
  <r>
    <x v="30"/>
    <x v="1"/>
    <x v="211"/>
    <x v="2"/>
    <x v="3"/>
    <x v="30"/>
    <x v="0"/>
    <x v="0"/>
    <n v="0"/>
    <x v="0"/>
  </r>
  <r>
    <x v="30"/>
    <x v="1"/>
    <x v="211"/>
    <x v="2"/>
    <x v="3"/>
    <x v="30"/>
    <x v="0"/>
    <x v="1"/>
    <n v="0"/>
    <x v="0"/>
  </r>
  <r>
    <x v="30"/>
    <x v="1"/>
    <x v="211"/>
    <x v="2"/>
    <x v="3"/>
    <x v="30"/>
    <x v="0"/>
    <x v="2"/>
    <n v="0"/>
    <x v="0"/>
  </r>
  <r>
    <x v="30"/>
    <x v="1"/>
    <x v="211"/>
    <x v="2"/>
    <x v="3"/>
    <x v="30"/>
    <x v="0"/>
    <x v="3"/>
    <n v="0"/>
    <x v="0"/>
  </r>
  <r>
    <x v="30"/>
    <x v="1"/>
    <x v="211"/>
    <x v="2"/>
    <x v="3"/>
    <x v="30"/>
    <x v="0"/>
    <x v="4"/>
    <n v="0"/>
    <x v="0"/>
  </r>
  <r>
    <x v="30"/>
    <x v="1"/>
    <x v="211"/>
    <x v="2"/>
    <x v="3"/>
    <x v="30"/>
    <x v="0"/>
    <x v="5"/>
    <n v="0"/>
    <x v="0"/>
  </r>
  <r>
    <x v="30"/>
    <x v="1"/>
    <x v="211"/>
    <x v="2"/>
    <x v="3"/>
    <x v="30"/>
    <x v="0"/>
    <x v="6"/>
    <n v="0"/>
    <x v="0"/>
  </r>
  <r>
    <x v="30"/>
    <x v="1"/>
    <x v="211"/>
    <x v="2"/>
    <x v="3"/>
    <x v="30"/>
    <x v="0"/>
    <x v="7"/>
    <n v="0"/>
    <x v="0"/>
  </r>
  <r>
    <x v="30"/>
    <x v="1"/>
    <x v="211"/>
    <x v="2"/>
    <x v="3"/>
    <x v="30"/>
    <x v="0"/>
    <x v="8"/>
    <n v="0"/>
    <x v="0"/>
  </r>
  <r>
    <x v="30"/>
    <x v="1"/>
    <x v="211"/>
    <x v="2"/>
    <x v="3"/>
    <x v="30"/>
    <x v="0"/>
    <x v="9"/>
    <n v="0"/>
    <x v="0"/>
  </r>
  <r>
    <x v="30"/>
    <x v="1"/>
    <x v="211"/>
    <x v="2"/>
    <x v="3"/>
    <x v="30"/>
    <x v="0"/>
    <x v="10"/>
    <n v="0"/>
    <x v="0"/>
  </r>
  <r>
    <x v="30"/>
    <x v="1"/>
    <x v="211"/>
    <x v="2"/>
    <x v="3"/>
    <x v="30"/>
    <x v="0"/>
    <x v="11"/>
    <n v="0"/>
    <x v="0"/>
  </r>
  <r>
    <x v="30"/>
    <x v="1"/>
    <x v="212"/>
    <x v="2"/>
    <x v="2"/>
    <x v="3"/>
    <x v="0"/>
    <x v="0"/>
    <n v="8634.1479531712903"/>
    <x v="0"/>
  </r>
  <r>
    <x v="30"/>
    <x v="1"/>
    <x v="212"/>
    <x v="2"/>
    <x v="2"/>
    <x v="3"/>
    <x v="0"/>
    <x v="1"/>
    <n v="0"/>
    <x v="0"/>
  </r>
  <r>
    <x v="30"/>
    <x v="1"/>
    <x v="212"/>
    <x v="2"/>
    <x v="2"/>
    <x v="3"/>
    <x v="0"/>
    <x v="2"/>
    <n v="172.01657144628228"/>
    <x v="0"/>
  </r>
  <r>
    <x v="30"/>
    <x v="1"/>
    <x v="212"/>
    <x v="2"/>
    <x v="2"/>
    <x v="3"/>
    <x v="0"/>
    <x v="3"/>
    <n v="0"/>
    <x v="0"/>
  </r>
  <r>
    <x v="30"/>
    <x v="1"/>
    <x v="212"/>
    <x v="2"/>
    <x v="2"/>
    <x v="3"/>
    <x v="0"/>
    <x v="4"/>
    <n v="0"/>
    <x v="0"/>
  </r>
  <r>
    <x v="30"/>
    <x v="1"/>
    <x v="212"/>
    <x v="2"/>
    <x v="2"/>
    <x v="3"/>
    <x v="0"/>
    <x v="5"/>
    <n v="0"/>
    <x v="0"/>
  </r>
  <r>
    <x v="30"/>
    <x v="1"/>
    <x v="212"/>
    <x v="2"/>
    <x v="2"/>
    <x v="3"/>
    <x v="0"/>
    <x v="6"/>
    <n v="0"/>
    <x v="0"/>
  </r>
  <r>
    <x v="30"/>
    <x v="1"/>
    <x v="212"/>
    <x v="2"/>
    <x v="2"/>
    <x v="3"/>
    <x v="0"/>
    <x v="7"/>
    <n v="0"/>
    <x v="0"/>
  </r>
  <r>
    <x v="30"/>
    <x v="1"/>
    <x v="212"/>
    <x v="2"/>
    <x v="2"/>
    <x v="3"/>
    <x v="0"/>
    <x v="8"/>
    <n v="0"/>
    <x v="0"/>
  </r>
  <r>
    <x v="30"/>
    <x v="1"/>
    <x v="212"/>
    <x v="2"/>
    <x v="2"/>
    <x v="3"/>
    <x v="0"/>
    <x v="9"/>
    <n v="0"/>
    <x v="0"/>
  </r>
  <r>
    <x v="30"/>
    <x v="1"/>
    <x v="212"/>
    <x v="2"/>
    <x v="2"/>
    <x v="3"/>
    <x v="0"/>
    <x v="10"/>
    <n v="0"/>
    <x v="0"/>
  </r>
  <r>
    <x v="30"/>
    <x v="1"/>
    <x v="212"/>
    <x v="2"/>
    <x v="2"/>
    <x v="3"/>
    <x v="0"/>
    <x v="11"/>
    <n v="0"/>
    <x v="0"/>
  </r>
  <r>
    <x v="30"/>
    <x v="1"/>
    <x v="213"/>
    <x v="2"/>
    <x v="2"/>
    <x v="3"/>
    <x v="0"/>
    <x v="0"/>
    <n v="72.737585215696214"/>
    <x v="0"/>
  </r>
  <r>
    <x v="30"/>
    <x v="1"/>
    <x v="213"/>
    <x v="2"/>
    <x v="2"/>
    <x v="3"/>
    <x v="0"/>
    <x v="1"/>
    <n v="168.21597608569292"/>
    <x v="0"/>
  </r>
  <r>
    <x v="30"/>
    <x v="1"/>
    <x v="213"/>
    <x v="2"/>
    <x v="2"/>
    <x v="3"/>
    <x v="0"/>
    <x v="2"/>
    <n v="0"/>
    <x v="0"/>
  </r>
  <r>
    <x v="30"/>
    <x v="1"/>
    <x v="213"/>
    <x v="2"/>
    <x v="2"/>
    <x v="3"/>
    <x v="0"/>
    <x v="3"/>
    <n v="0"/>
    <x v="0"/>
  </r>
  <r>
    <x v="30"/>
    <x v="1"/>
    <x v="213"/>
    <x v="2"/>
    <x v="2"/>
    <x v="3"/>
    <x v="0"/>
    <x v="4"/>
    <n v="58.340959602562428"/>
    <x v="0"/>
  </r>
  <r>
    <x v="30"/>
    <x v="1"/>
    <x v="213"/>
    <x v="2"/>
    <x v="2"/>
    <x v="3"/>
    <x v="0"/>
    <x v="5"/>
    <n v="0"/>
    <x v="0"/>
  </r>
  <r>
    <x v="30"/>
    <x v="1"/>
    <x v="213"/>
    <x v="2"/>
    <x v="2"/>
    <x v="3"/>
    <x v="0"/>
    <x v="6"/>
    <n v="0"/>
    <x v="0"/>
  </r>
  <r>
    <x v="30"/>
    <x v="1"/>
    <x v="213"/>
    <x v="2"/>
    <x v="2"/>
    <x v="3"/>
    <x v="0"/>
    <x v="7"/>
    <n v="0"/>
    <x v="0"/>
  </r>
  <r>
    <x v="30"/>
    <x v="1"/>
    <x v="213"/>
    <x v="2"/>
    <x v="2"/>
    <x v="3"/>
    <x v="0"/>
    <x v="8"/>
    <n v="0"/>
    <x v="0"/>
  </r>
  <r>
    <x v="30"/>
    <x v="1"/>
    <x v="213"/>
    <x v="2"/>
    <x v="2"/>
    <x v="3"/>
    <x v="0"/>
    <x v="9"/>
    <n v="0"/>
    <x v="0"/>
  </r>
  <r>
    <x v="30"/>
    <x v="1"/>
    <x v="213"/>
    <x v="2"/>
    <x v="2"/>
    <x v="3"/>
    <x v="0"/>
    <x v="10"/>
    <n v="71.037463976945247"/>
    <x v="0"/>
  </r>
  <r>
    <x v="30"/>
    <x v="1"/>
    <x v="213"/>
    <x v="2"/>
    <x v="2"/>
    <x v="3"/>
    <x v="0"/>
    <x v="11"/>
    <n v="0"/>
    <x v="0"/>
  </r>
  <r>
    <x v="30"/>
    <x v="0"/>
    <x v="214"/>
    <x v="2"/>
    <x v="3"/>
    <x v="3"/>
    <x v="0"/>
    <x v="0"/>
    <n v="0"/>
    <x v="0"/>
  </r>
  <r>
    <x v="30"/>
    <x v="0"/>
    <x v="214"/>
    <x v="2"/>
    <x v="3"/>
    <x v="3"/>
    <x v="0"/>
    <x v="1"/>
    <n v="0"/>
    <x v="0"/>
  </r>
  <r>
    <x v="30"/>
    <x v="0"/>
    <x v="214"/>
    <x v="2"/>
    <x v="3"/>
    <x v="3"/>
    <x v="0"/>
    <x v="2"/>
    <n v="0"/>
    <x v="0"/>
  </r>
  <r>
    <x v="30"/>
    <x v="0"/>
    <x v="214"/>
    <x v="2"/>
    <x v="3"/>
    <x v="3"/>
    <x v="0"/>
    <x v="3"/>
    <n v="0"/>
    <x v="0"/>
  </r>
  <r>
    <x v="30"/>
    <x v="0"/>
    <x v="214"/>
    <x v="2"/>
    <x v="3"/>
    <x v="3"/>
    <x v="0"/>
    <x v="4"/>
    <n v="0"/>
    <x v="0"/>
  </r>
  <r>
    <x v="30"/>
    <x v="0"/>
    <x v="214"/>
    <x v="2"/>
    <x v="3"/>
    <x v="3"/>
    <x v="0"/>
    <x v="5"/>
    <n v="0"/>
    <x v="0"/>
  </r>
  <r>
    <x v="30"/>
    <x v="0"/>
    <x v="214"/>
    <x v="2"/>
    <x v="3"/>
    <x v="3"/>
    <x v="0"/>
    <x v="6"/>
    <n v="270.24937070694142"/>
    <x v="0"/>
  </r>
  <r>
    <x v="30"/>
    <x v="0"/>
    <x v="214"/>
    <x v="2"/>
    <x v="3"/>
    <x v="3"/>
    <x v="0"/>
    <x v="7"/>
    <n v="354.15958705237125"/>
    <x v="0"/>
  </r>
  <r>
    <x v="30"/>
    <x v="0"/>
    <x v="214"/>
    <x v="2"/>
    <x v="3"/>
    <x v="3"/>
    <x v="0"/>
    <x v="8"/>
    <n v="248.09168547089752"/>
    <x v="0"/>
  </r>
  <r>
    <x v="30"/>
    <x v="0"/>
    <x v="214"/>
    <x v="2"/>
    <x v="3"/>
    <x v="3"/>
    <x v="0"/>
    <x v="9"/>
    <n v="319.03385056917364"/>
    <x v="0"/>
  </r>
  <r>
    <x v="30"/>
    <x v="0"/>
    <x v="214"/>
    <x v="2"/>
    <x v="3"/>
    <x v="3"/>
    <x v="0"/>
    <x v="10"/>
    <n v="283.28015644298063"/>
    <x v="0"/>
  </r>
  <r>
    <x v="30"/>
    <x v="0"/>
    <x v="214"/>
    <x v="2"/>
    <x v="3"/>
    <x v="3"/>
    <x v="0"/>
    <x v="11"/>
    <n v="0"/>
    <x v="0"/>
  </r>
  <r>
    <x v="30"/>
    <x v="1"/>
    <x v="215"/>
    <x v="2"/>
    <x v="2"/>
    <x v="3"/>
    <x v="0"/>
    <x v="0"/>
    <n v="0"/>
    <x v="0"/>
  </r>
  <r>
    <x v="30"/>
    <x v="1"/>
    <x v="215"/>
    <x v="2"/>
    <x v="2"/>
    <x v="3"/>
    <x v="0"/>
    <x v="1"/>
    <n v="0"/>
    <x v="0"/>
  </r>
  <r>
    <x v="30"/>
    <x v="1"/>
    <x v="215"/>
    <x v="2"/>
    <x v="2"/>
    <x v="3"/>
    <x v="0"/>
    <x v="2"/>
    <n v="0"/>
    <x v="0"/>
  </r>
  <r>
    <x v="30"/>
    <x v="1"/>
    <x v="215"/>
    <x v="2"/>
    <x v="2"/>
    <x v="3"/>
    <x v="0"/>
    <x v="3"/>
    <n v="0"/>
    <x v="0"/>
  </r>
  <r>
    <x v="30"/>
    <x v="1"/>
    <x v="215"/>
    <x v="2"/>
    <x v="2"/>
    <x v="3"/>
    <x v="0"/>
    <x v="4"/>
    <n v="174.91937943957817"/>
    <x v="0"/>
  </r>
  <r>
    <x v="30"/>
    <x v="1"/>
    <x v="215"/>
    <x v="2"/>
    <x v="2"/>
    <x v="3"/>
    <x v="0"/>
    <x v="5"/>
    <n v="0"/>
    <x v="0"/>
  </r>
  <r>
    <x v="30"/>
    <x v="1"/>
    <x v="215"/>
    <x v="2"/>
    <x v="2"/>
    <x v="3"/>
    <x v="0"/>
    <x v="6"/>
    <n v="114.13136225948206"/>
    <x v="0"/>
  </r>
  <r>
    <x v="30"/>
    <x v="1"/>
    <x v="215"/>
    <x v="2"/>
    <x v="2"/>
    <x v="3"/>
    <x v="0"/>
    <x v="7"/>
    <n v="0"/>
    <x v="0"/>
  </r>
  <r>
    <x v="30"/>
    <x v="1"/>
    <x v="215"/>
    <x v="2"/>
    <x v="2"/>
    <x v="3"/>
    <x v="0"/>
    <x v="8"/>
    <n v="115.52995540968031"/>
    <x v="0"/>
  </r>
  <r>
    <x v="30"/>
    <x v="1"/>
    <x v="215"/>
    <x v="2"/>
    <x v="2"/>
    <x v="3"/>
    <x v="0"/>
    <x v="9"/>
    <n v="57.294310405757066"/>
    <x v="0"/>
  </r>
  <r>
    <x v="30"/>
    <x v="1"/>
    <x v="215"/>
    <x v="2"/>
    <x v="2"/>
    <x v="3"/>
    <x v="0"/>
    <x v="10"/>
    <n v="0"/>
    <x v="0"/>
  </r>
  <r>
    <x v="30"/>
    <x v="1"/>
    <x v="215"/>
    <x v="2"/>
    <x v="2"/>
    <x v="3"/>
    <x v="0"/>
    <x v="11"/>
    <n v="0"/>
    <x v="0"/>
  </r>
  <r>
    <x v="30"/>
    <x v="1"/>
    <x v="216"/>
    <x v="2"/>
    <x v="3"/>
    <x v="31"/>
    <x v="0"/>
    <x v="0"/>
    <n v="0"/>
    <x v="0"/>
  </r>
  <r>
    <x v="30"/>
    <x v="1"/>
    <x v="216"/>
    <x v="2"/>
    <x v="3"/>
    <x v="31"/>
    <x v="0"/>
    <x v="1"/>
    <n v="0"/>
    <x v="0"/>
  </r>
  <r>
    <x v="30"/>
    <x v="1"/>
    <x v="216"/>
    <x v="2"/>
    <x v="3"/>
    <x v="31"/>
    <x v="0"/>
    <x v="2"/>
    <n v="127.58153998739579"/>
    <x v="0"/>
  </r>
  <r>
    <x v="30"/>
    <x v="1"/>
    <x v="216"/>
    <x v="2"/>
    <x v="3"/>
    <x v="31"/>
    <x v="0"/>
    <x v="3"/>
    <n v="0"/>
    <x v="0"/>
  </r>
  <r>
    <x v="30"/>
    <x v="1"/>
    <x v="216"/>
    <x v="2"/>
    <x v="3"/>
    <x v="31"/>
    <x v="0"/>
    <x v="4"/>
    <n v="0"/>
    <x v="0"/>
  </r>
  <r>
    <x v="30"/>
    <x v="1"/>
    <x v="216"/>
    <x v="2"/>
    <x v="3"/>
    <x v="31"/>
    <x v="0"/>
    <x v="5"/>
    <n v="0"/>
    <x v="0"/>
  </r>
  <r>
    <x v="30"/>
    <x v="1"/>
    <x v="216"/>
    <x v="2"/>
    <x v="3"/>
    <x v="31"/>
    <x v="0"/>
    <x v="6"/>
    <n v="0"/>
    <x v="0"/>
  </r>
  <r>
    <x v="30"/>
    <x v="1"/>
    <x v="216"/>
    <x v="2"/>
    <x v="3"/>
    <x v="31"/>
    <x v="0"/>
    <x v="7"/>
    <n v="0"/>
    <x v="0"/>
  </r>
  <r>
    <x v="30"/>
    <x v="1"/>
    <x v="216"/>
    <x v="2"/>
    <x v="3"/>
    <x v="31"/>
    <x v="0"/>
    <x v="8"/>
    <n v="0"/>
    <x v="0"/>
  </r>
  <r>
    <x v="30"/>
    <x v="1"/>
    <x v="216"/>
    <x v="2"/>
    <x v="3"/>
    <x v="31"/>
    <x v="0"/>
    <x v="9"/>
    <n v="0"/>
    <x v="0"/>
  </r>
  <r>
    <x v="30"/>
    <x v="1"/>
    <x v="216"/>
    <x v="2"/>
    <x v="3"/>
    <x v="31"/>
    <x v="0"/>
    <x v="10"/>
    <n v="0"/>
    <x v="0"/>
  </r>
  <r>
    <x v="30"/>
    <x v="1"/>
    <x v="216"/>
    <x v="2"/>
    <x v="3"/>
    <x v="31"/>
    <x v="0"/>
    <x v="11"/>
    <n v="0"/>
    <x v="0"/>
  </r>
  <r>
    <x v="30"/>
    <x v="1"/>
    <x v="217"/>
    <x v="3"/>
    <x v="8"/>
    <x v="32"/>
    <x v="0"/>
    <x v="0"/>
    <n v="0"/>
    <x v="0"/>
  </r>
  <r>
    <x v="30"/>
    <x v="1"/>
    <x v="217"/>
    <x v="3"/>
    <x v="8"/>
    <x v="32"/>
    <x v="0"/>
    <x v="1"/>
    <n v="0"/>
    <x v="0"/>
  </r>
  <r>
    <x v="30"/>
    <x v="1"/>
    <x v="217"/>
    <x v="3"/>
    <x v="8"/>
    <x v="32"/>
    <x v="0"/>
    <x v="2"/>
    <n v="0"/>
    <x v="0"/>
  </r>
  <r>
    <x v="30"/>
    <x v="1"/>
    <x v="217"/>
    <x v="3"/>
    <x v="8"/>
    <x v="32"/>
    <x v="0"/>
    <x v="3"/>
    <n v="0"/>
    <x v="0"/>
  </r>
  <r>
    <x v="30"/>
    <x v="1"/>
    <x v="217"/>
    <x v="3"/>
    <x v="8"/>
    <x v="32"/>
    <x v="0"/>
    <x v="4"/>
    <n v="435.78681309103587"/>
    <x v="0"/>
  </r>
  <r>
    <x v="30"/>
    <x v="1"/>
    <x v="217"/>
    <x v="3"/>
    <x v="8"/>
    <x v="32"/>
    <x v="0"/>
    <x v="5"/>
    <n v="0"/>
    <x v="0"/>
  </r>
  <r>
    <x v="30"/>
    <x v="1"/>
    <x v="217"/>
    <x v="3"/>
    <x v="8"/>
    <x v="32"/>
    <x v="0"/>
    <x v="6"/>
    <n v="0"/>
    <x v="0"/>
  </r>
  <r>
    <x v="30"/>
    <x v="1"/>
    <x v="217"/>
    <x v="3"/>
    <x v="8"/>
    <x v="32"/>
    <x v="0"/>
    <x v="7"/>
    <n v="0"/>
    <x v="0"/>
  </r>
  <r>
    <x v="30"/>
    <x v="1"/>
    <x v="217"/>
    <x v="3"/>
    <x v="8"/>
    <x v="32"/>
    <x v="0"/>
    <x v="8"/>
    <n v="0"/>
    <x v="0"/>
  </r>
  <r>
    <x v="30"/>
    <x v="1"/>
    <x v="217"/>
    <x v="3"/>
    <x v="8"/>
    <x v="32"/>
    <x v="0"/>
    <x v="9"/>
    <n v="0"/>
    <x v="0"/>
  </r>
  <r>
    <x v="30"/>
    <x v="1"/>
    <x v="217"/>
    <x v="3"/>
    <x v="8"/>
    <x v="32"/>
    <x v="0"/>
    <x v="10"/>
    <n v="0"/>
    <x v="0"/>
  </r>
  <r>
    <x v="30"/>
    <x v="1"/>
    <x v="217"/>
    <x v="3"/>
    <x v="8"/>
    <x v="32"/>
    <x v="0"/>
    <x v="11"/>
    <n v="0"/>
    <x v="0"/>
  </r>
  <r>
    <x v="30"/>
    <x v="1"/>
    <x v="218"/>
    <x v="2"/>
    <x v="2"/>
    <x v="3"/>
    <x v="0"/>
    <x v="0"/>
    <n v="0"/>
    <x v="0"/>
  </r>
  <r>
    <x v="30"/>
    <x v="1"/>
    <x v="218"/>
    <x v="2"/>
    <x v="2"/>
    <x v="3"/>
    <x v="0"/>
    <x v="1"/>
    <n v="0"/>
    <x v="0"/>
  </r>
  <r>
    <x v="30"/>
    <x v="1"/>
    <x v="218"/>
    <x v="2"/>
    <x v="2"/>
    <x v="3"/>
    <x v="0"/>
    <x v="2"/>
    <n v="363.24940853160871"/>
    <x v="0"/>
  </r>
  <r>
    <x v="30"/>
    <x v="1"/>
    <x v="218"/>
    <x v="2"/>
    <x v="2"/>
    <x v="3"/>
    <x v="0"/>
    <x v="3"/>
    <n v="0"/>
    <x v="0"/>
  </r>
  <r>
    <x v="30"/>
    <x v="1"/>
    <x v="218"/>
    <x v="2"/>
    <x v="2"/>
    <x v="3"/>
    <x v="0"/>
    <x v="4"/>
    <n v="0"/>
    <x v="0"/>
  </r>
  <r>
    <x v="30"/>
    <x v="1"/>
    <x v="218"/>
    <x v="2"/>
    <x v="2"/>
    <x v="3"/>
    <x v="0"/>
    <x v="5"/>
    <n v="0"/>
    <x v="0"/>
  </r>
  <r>
    <x v="30"/>
    <x v="1"/>
    <x v="218"/>
    <x v="2"/>
    <x v="2"/>
    <x v="3"/>
    <x v="0"/>
    <x v="6"/>
    <n v="0"/>
    <x v="0"/>
  </r>
  <r>
    <x v="30"/>
    <x v="1"/>
    <x v="218"/>
    <x v="2"/>
    <x v="2"/>
    <x v="3"/>
    <x v="0"/>
    <x v="7"/>
    <n v="0"/>
    <x v="0"/>
  </r>
  <r>
    <x v="30"/>
    <x v="1"/>
    <x v="218"/>
    <x v="2"/>
    <x v="2"/>
    <x v="3"/>
    <x v="0"/>
    <x v="8"/>
    <n v="0"/>
    <x v="0"/>
  </r>
  <r>
    <x v="30"/>
    <x v="1"/>
    <x v="218"/>
    <x v="2"/>
    <x v="2"/>
    <x v="3"/>
    <x v="0"/>
    <x v="9"/>
    <n v="0"/>
    <x v="0"/>
  </r>
  <r>
    <x v="30"/>
    <x v="1"/>
    <x v="218"/>
    <x v="2"/>
    <x v="2"/>
    <x v="3"/>
    <x v="0"/>
    <x v="10"/>
    <n v="0"/>
    <x v="0"/>
  </r>
  <r>
    <x v="30"/>
    <x v="1"/>
    <x v="218"/>
    <x v="2"/>
    <x v="2"/>
    <x v="3"/>
    <x v="0"/>
    <x v="11"/>
    <n v="0"/>
    <x v="0"/>
  </r>
  <r>
    <x v="30"/>
    <x v="1"/>
    <x v="219"/>
    <x v="2"/>
    <x v="3"/>
    <x v="14"/>
    <x v="0"/>
    <x v="0"/>
    <n v="0"/>
    <x v="0"/>
  </r>
  <r>
    <x v="30"/>
    <x v="1"/>
    <x v="219"/>
    <x v="2"/>
    <x v="3"/>
    <x v="14"/>
    <x v="0"/>
    <x v="1"/>
    <n v="0"/>
    <x v="0"/>
  </r>
  <r>
    <x v="30"/>
    <x v="1"/>
    <x v="219"/>
    <x v="2"/>
    <x v="3"/>
    <x v="14"/>
    <x v="0"/>
    <x v="2"/>
    <n v="35.095513105286543"/>
    <x v="0"/>
  </r>
  <r>
    <x v="30"/>
    <x v="1"/>
    <x v="219"/>
    <x v="2"/>
    <x v="3"/>
    <x v="14"/>
    <x v="0"/>
    <x v="3"/>
    <n v="0"/>
    <x v="0"/>
  </r>
  <r>
    <x v="30"/>
    <x v="1"/>
    <x v="219"/>
    <x v="2"/>
    <x v="3"/>
    <x v="14"/>
    <x v="0"/>
    <x v="4"/>
    <n v="0"/>
    <x v="0"/>
  </r>
  <r>
    <x v="30"/>
    <x v="1"/>
    <x v="219"/>
    <x v="2"/>
    <x v="3"/>
    <x v="14"/>
    <x v="0"/>
    <x v="5"/>
    <n v="0"/>
    <x v="0"/>
  </r>
  <r>
    <x v="30"/>
    <x v="1"/>
    <x v="219"/>
    <x v="2"/>
    <x v="3"/>
    <x v="14"/>
    <x v="0"/>
    <x v="6"/>
    <n v="0"/>
    <x v="0"/>
  </r>
  <r>
    <x v="30"/>
    <x v="1"/>
    <x v="219"/>
    <x v="2"/>
    <x v="3"/>
    <x v="14"/>
    <x v="0"/>
    <x v="7"/>
    <n v="0"/>
    <x v="0"/>
  </r>
  <r>
    <x v="30"/>
    <x v="1"/>
    <x v="219"/>
    <x v="2"/>
    <x v="3"/>
    <x v="14"/>
    <x v="0"/>
    <x v="8"/>
    <n v="0"/>
    <x v="0"/>
  </r>
  <r>
    <x v="30"/>
    <x v="1"/>
    <x v="219"/>
    <x v="2"/>
    <x v="3"/>
    <x v="14"/>
    <x v="0"/>
    <x v="9"/>
    <n v="0"/>
    <x v="0"/>
  </r>
  <r>
    <x v="30"/>
    <x v="1"/>
    <x v="219"/>
    <x v="2"/>
    <x v="3"/>
    <x v="14"/>
    <x v="0"/>
    <x v="10"/>
    <n v="0"/>
    <x v="0"/>
  </r>
  <r>
    <x v="30"/>
    <x v="1"/>
    <x v="219"/>
    <x v="2"/>
    <x v="3"/>
    <x v="14"/>
    <x v="0"/>
    <x v="11"/>
    <n v="0"/>
    <x v="0"/>
  </r>
  <r>
    <x v="30"/>
    <x v="1"/>
    <x v="220"/>
    <x v="2"/>
    <x v="3"/>
    <x v="14"/>
    <x v="0"/>
    <x v="0"/>
    <n v="0"/>
    <x v="0"/>
  </r>
  <r>
    <x v="30"/>
    <x v="1"/>
    <x v="220"/>
    <x v="2"/>
    <x v="3"/>
    <x v="14"/>
    <x v="0"/>
    <x v="1"/>
    <n v="0"/>
    <x v="0"/>
  </r>
  <r>
    <x v="30"/>
    <x v="1"/>
    <x v="220"/>
    <x v="2"/>
    <x v="3"/>
    <x v="14"/>
    <x v="0"/>
    <x v="2"/>
    <n v="0"/>
    <x v="0"/>
  </r>
  <r>
    <x v="30"/>
    <x v="1"/>
    <x v="220"/>
    <x v="2"/>
    <x v="3"/>
    <x v="14"/>
    <x v="0"/>
    <x v="3"/>
    <n v="44.045660007915515"/>
    <x v="0"/>
  </r>
  <r>
    <x v="30"/>
    <x v="1"/>
    <x v="220"/>
    <x v="2"/>
    <x v="3"/>
    <x v="14"/>
    <x v="0"/>
    <x v="4"/>
    <n v="0"/>
    <x v="0"/>
  </r>
  <r>
    <x v="30"/>
    <x v="1"/>
    <x v="220"/>
    <x v="2"/>
    <x v="3"/>
    <x v="14"/>
    <x v="0"/>
    <x v="5"/>
    <n v="0"/>
    <x v="0"/>
  </r>
  <r>
    <x v="30"/>
    <x v="1"/>
    <x v="220"/>
    <x v="2"/>
    <x v="3"/>
    <x v="14"/>
    <x v="0"/>
    <x v="6"/>
    <n v="0"/>
    <x v="0"/>
  </r>
  <r>
    <x v="30"/>
    <x v="1"/>
    <x v="220"/>
    <x v="2"/>
    <x v="3"/>
    <x v="14"/>
    <x v="0"/>
    <x v="7"/>
    <n v="0"/>
    <x v="0"/>
  </r>
  <r>
    <x v="30"/>
    <x v="1"/>
    <x v="220"/>
    <x v="2"/>
    <x v="3"/>
    <x v="14"/>
    <x v="0"/>
    <x v="8"/>
    <n v="0"/>
    <x v="0"/>
  </r>
  <r>
    <x v="30"/>
    <x v="1"/>
    <x v="220"/>
    <x v="2"/>
    <x v="3"/>
    <x v="14"/>
    <x v="0"/>
    <x v="9"/>
    <n v="0"/>
    <x v="0"/>
  </r>
  <r>
    <x v="30"/>
    <x v="1"/>
    <x v="220"/>
    <x v="2"/>
    <x v="3"/>
    <x v="14"/>
    <x v="0"/>
    <x v="10"/>
    <n v="0"/>
    <x v="0"/>
  </r>
  <r>
    <x v="30"/>
    <x v="1"/>
    <x v="220"/>
    <x v="2"/>
    <x v="3"/>
    <x v="14"/>
    <x v="0"/>
    <x v="11"/>
    <n v="0"/>
    <x v="0"/>
  </r>
  <r>
    <x v="30"/>
    <x v="1"/>
    <x v="221"/>
    <x v="2"/>
    <x v="2"/>
    <x v="3"/>
    <x v="0"/>
    <x v="0"/>
    <n v="0"/>
    <x v="0"/>
  </r>
  <r>
    <x v="30"/>
    <x v="1"/>
    <x v="221"/>
    <x v="2"/>
    <x v="2"/>
    <x v="3"/>
    <x v="0"/>
    <x v="1"/>
    <n v="0"/>
    <x v="0"/>
  </r>
  <r>
    <x v="30"/>
    <x v="1"/>
    <x v="221"/>
    <x v="2"/>
    <x v="2"/>
    <x v="3"/>
    <x v="0"/>
    <x v="2"/>
    <n v="0"/>
    <x v="0"/>
  </r>
  <r>
    <x v="30"/>
    <x v="1"/>
    <x v="221"/>
    <x v="2"/>
    <x v="2"/>
    <x v="3"/>
    <x v="0"/>
    <x v="3"/>
    <n v="0"/>
    <x v="0"/>
  </r>
  <r>
    <x v="30"/>
    <x v="1"/>
    <x v="221"/>
    <x v="2"/>
    <x v="2"/>
    <x v="3"/>
    <x v="0"/>
    <x v="4"/>
    <n v="0"/>
    <x v="0"/>
  </r>
  <r>
    <x v="30"/>
    <x v="1"/>
    <x v="221"/>
    <x v="2"/>
    <x v="2"/>
    <x v="3"/>
    <x v="0"/>
    <x v="5"/>
    <n v="0"/>
    <x v="0"/>
  </r>
  <r>
    <x v="30"/>
    <x v="1"/>
    <x v="221"/>
    <x v="2"/>
    <x v="2"/>
    <x v="3"/>
    <x v="0"/>
    <x v="6"/>
    <n v="0"/>
    <x v="0"/>
  </r>
  <r>
    <x v="30"/>
    <x v="1"/>
    <x v="221"/>
    <x v="2"/>
    <x v="2"/>
    <x v="3"/>
    <x v="0"/>
    <x v="7"/>
    <n v="0"/>
    <x v="0"/>
  </r>
  <r>
    <x v="30"/>
    <x v="1"/>
    <x v="221"/>
    <x v="2"/>
    <x v="2"/>
    <x v="3"/>
    <x v="0"/>
    <x v="8"/>
    <n v="0"/>
    <x v="0"/>
  </r>
  <r>
    <x v="30"/>
    <x v="1"/>
    <x v="221"/>
    <x v="2"/>
    <x v="2"/>
    <x v="3"/>
    <x v="0"/>
    <x v="9"/>
    <n v="0"/>
    <x v="0"/>
  </r>
  <r>
    <x v="30"/>
    <x v="1"/>
    <x v="221"/>
    <x v="2"/>
    <x v="2"/>
    <x v="3"/>
    <x v="0"/>
    <x v="10"/>
    <n v="2449.5677233429396"/>
    <x v="0"/>
  </r>
  <r>
    <x v="30"/>
    <x v="1"/>
    <x v="221"/>
    <x v="2"/>
    <x v="2"/>
    <x v="3"/>
    <x v="0"/>
    <x v="11"/>
    <n v="0"/>
    <x v="0"/>
  </r>
  <r>
    <x v="30"/>
    <x v="1"/>
    <x v="222"/>
    <x v="2"/>
    <x v="4"/>
    <x v="33"/>
    <x v="0"/>
    <x v="0"/>
    <n v="0"/>
    <x v="0"/>
  </r>
  <r>
    <x v="30"/>
    <x v="1"/>
    <x v="222"/>
    <x v="2"/>
    <x v="4"/>
    <x v="33"/>
    <x v="0"/>
    <x v="1"/>
    <n v="0"/>
    <x v="0"/>
  </r>
  <r>
    <x v="30"/>
    <x v="1"/>
    <x v="222"/>
    <x v="2"/>
    <x v="4"/>
    <x v="33"/>
    <x v="0"/>
    <x v="2"/>
    <n v="0"/>
    <x v="0"/>
  </r>
  <r>
    <x v="30"/>
    <x v="1"/>
    <x v="222"/>
    <x v="2"/>
    <x v="4"/>
    <x v="33"/>
    <x v="0"/>
    <x v="3"/>
    <n v="0"/>
    <x v="0"/>
  </r>
  <r>
    <x v="30"/>
    <x v="1"/>
    <x v="222"/>
    <x v="2"/>
    <x v="4"/>
    <x v="33"/>
    <x v="0"/>
    <x v="4"/>
    <n v="1601.3531180546477"/>
    <x v="0"/>
  </r>
  <r>
    <x v="30"/>
    <x v="1"/>
    <x v="222"/>
    <x v="2"/>
    <x v="4"/>
    <x v="33"/>
    <x v="0"/>
    <x v="5"/>
    <n v="0"/>
    <x v="0"/>
  </r>
  <r>
    <x v="30"/>
    <x v="1"/>
    <x v="222"/>
    <x v="2"/>
    <x v="4"/>
    <x v="33"/>
    <x v="0"/>
    <x v="6"/>
    <n v="0"/>
    <x v="0"/>
  </r>
  <r>
    <x v="30"/>
    <x v="1"/>
    <x v="222"/>
    <x v="2"/>
    <x v="4"/>
    <x v="33"/>
    <x v="0"/>
    <x v="7"/>
    <n v="90.332293795031731"/>
    <x v="0"/>
  </r>
  <r>
    <x v="30"/>
    <x v="1"/>
    <x v="222"/>
    <x v="2"/>
    <x v="4"/>
    <x v="33"/>
    <x v="0"/>
    <x v="8"/>
    <n v="0"/>
    <x v="0"/>
  </r>
  <r>
    <x v="30"/>
    <x v="1"/>
    <x v="222"/>
    <x v="2"/>
    <x v="4"/>
    <x v="33"/>
    <x v="0"/>
    <x v="9"/>
    <n v="0"/>
    <x v="0"/>
  </r>
  <r>
    <x v="30"/>
    <x v="1"/>
    <x v="222"/>
    <x v="2"/>
    <x v="4"/>
    <x v="33"/>
    <x v="0"/>
    <x v="10"/>
    <n v="0"/>
    <x v="0"/>
  </r>
  <r>
    <x v="30"/>
    <x v="1"/>
    <x v="222"/>
    <x v="2"/>
    <x v="4"/>
    <x v="33"/>
    <x v="0"/>
    <x v="11"/>
    <n v="0"/>
    <x v="0"/>
  </r>
  <r>
    <x v="30"/>
    <x v="1"/>
    <x v="223"/>
    <x v="2"/>
    <x v="3"/>
    <x v="3"/>
    <x v="0"/>
    <x v="0"/>
    <n v="0"/>
    <x v="0"/>
  </r>
  <r>
    <x v="30"/>
    <x v="1"/>
    <x v="223"/>
    <x v="2"/>
    <x v="3"/>
    <x v="3"/>
    <x v="0"/>
    <x v="1"/>
    <n v="0"/>
    <x v="0"/>
  </r>
  <r>
    <x v="30"/>
    <x v="1"/>
    <x v="223"/>
    <x v="2"/>
    <x v="3"/>
    <x v="3"/>
    <x v="0"/>
    <x v="2"/>
    <n v="0"/>
    <x v="0"/>
  </r>
  <r>
    <x v="30"/>
    <x v="1"/>
    <x v="223"/>
    <x v="2"/>
    <x v="3"/>
    <x v="3"/>
    <x v="0"/>
    <x v="3"/>
    <n v="0"/>
    <x v="0"/>
  </r>
  <r>
    <x v="30"/>
    <x v="1"/>
    <x v="223"/>
    <x v="2"/>
    <x v="3"/>
    <x v="3"/>
    <x v="0"/>
    <x v="4"/>
    <n v="0"/>
    <x v="0"/>
  </r>
  <r>
    <x v="30"/>
    <x v="1"/>
    <x v="223"/>
    <x v="2"/>
    <x v="3"/>
    <x v="3"/>
    <x v="0"/>
    <x v="5"/>
    <n v="584.56504837595025"/>
    <x v="0"/>
  </r>
  <r>
    <x v="30"/>
    <x v="1"/>
    <x v="223"/>
    <x v="2"/>
    <x v="3"/>
    <x v="3"/>
    <x v="0"/>
    <x v="6"/>
    <n v="0"/>
    <x v="0"/>
  </r>
  <r>
    <x v="30"/>
    <x v="1"/>
    <x v="223"/>
    <x v="2"/>
    <x v="3"/>
    <x v="3"/>
    <x v="0"/>
    <x v="7"/>
    <n v="0"/>
    <x v="0"/>
  </r>
  <r>
    <x v="30"/>
    <x v="1"/>
    <x v="223"/>
    <x v="2"/>
    <x v="3"/>
    <x v="3"/>
    <x v="0"/>
    <x v="8"/>
    <n v="0"/>
    <x v="0"/>
  </r>
  <r>
    <x v="30"/>
    <x v="1"/>
    <x v="223"/>
    <x v="2"/>
    <x v="3"/>
    <x v="3"/>
    <x v="0"/>
    <x v="9"/>
    <n v="0"/>
    <x v="0"/>
  </r>
  <r>
    <x v="30"/>
    <x v="1"/>
    <x v="223"/>
    <x v="2"/>
    <x v="3"/>
    <x v="3"/>
    <x v="0"/>
    <x v="10"/>
    <n v="0"/>
    <x v="0"/>
  </r>
  <r>
    <x v="30"/>
    <x v="1"/>
    <x v="223"/>
    <x v="2"/>
    <x v="3"/>
    <x v="3"/>
    <x v="0"/>
    <x v="11"/>
    <n v="0"/>
    <x v="0"/>
  </r>
  <r>
    <x v="30"/>
    <x v="1"/>
    <x v="224"/>
    <x v="2"/>
    <x v="3"/>
    <x v="3"/>
    <x v="0"/>
    <x v="0"/>
    <n v="0"/>
    <x v="0"/>
  </r>
  <r>
    <x v="30"/>
    <x v="1"/>
    <x v="224"/>
    <x v="2"/>
    <x v="3"/>
    <x v="3"/>
    <x v="0"/>
    <x v="1"/>
    <n v="0"/>
    <x v="0"/>
  </r>
  <r>
    <x v="30"/>
    <x v="1"/>
    <x v="224"/>
    <x v="2"/>
    <x v="3"/>
    <x v="3"/>
    <x v="0"/>
    <x v="2"/>
    <n v="0"/>
    <x v="0"/>
  </r>
  <r>
    <x v="30"/>
    <x v="1"/>
    <x v="224"/>
    <x v="2"/>
    <x v="3"/>
    <x v="3"/>
    <x v="0"/>
    <x v="3"/>
    <n v="0"/>
    <x v="0"/>
  </r>
  <r>
    <x v="30"/>
    <x v="1"/>
    <x v="224"/>
    <x v="2"/>
    <x v="3"/>
    <x v="3"/>
    <x v="0"/>
    <x v="4"/>
    <n v="0"/>
    <x v="0"/>
  </r>
  <r>
    <x v="30"/>
    <x v="1"/>
    <x v="224"/>
    <x v="2"/>
    <x v="3"/>
    <x v="3"/>
    <x v="0"/>
    <x v="5"/>
    <n v="0"/>
    <x v="0"/>
  </r>
  <r>
    <x v="30"/>
    <x v="1"/>
    <x v="224"/>
    <x v="2"/>
    <x v="3"/>
    <x v="3"/>
    <x v="0"/>
    <x v="6"/>
    <n v="495.37096292503952"/>
    <x v="0"/>
  </r>
  <r>
    <x v="30"/>
    <x v="1"/>
    <x v="224"/>
    <x v="2"/>
    <x v="3"/>
    <x v="3"/>
    <x v="0"/>
    <x v="7"/>
    <n v="0"/>
    <x v="0"/>
  </r>
  <r>
    <x v="30"/>
    <x v="1"/>
    <x v="224"/>
    <x v="2"/>
    <x v="3"/>
    <x v="3"/>
    <x v="0"/>
    <x v="8"/>
    <n v="0"/>
    <x v="0"/>
  </r>
  <r>
    <x v="30"/>
    <x v="1"/>
    <x v="224"/>
    <x v="2"/>
    <x v="3"/>
    <x v="3"/>
    <x v="0"/>
    <x v="9"/>
    <n v="0"/>
    <x v="0"/>
  </r>
  <r>
    <x v="30"/>
    <x v="1"/>
    <x v="224"/>
    <x v="2"/>
    <x v="3"/>
    <x v="3"/>
    <x v="0"/>
    <x v="10"/>
    <n v="0"/>
    <x v="0"/>
  </r>
  <r>
    <x v="30"/>
    <x v="1"/>
    <x v="224"/>
    <x v="2"/>
    <x v="3"/>
    <x v="3"/>
    <x v="0"/>
    <x v="11"/>
    <n v="0"/>
    <x v="0"/>
  </r>
  <r>
    <x v="30"/>
    <x v="1"/>
    <x v="225"/>
    <x v="2"/>
    <x v="1"/>
    <x v="3"/>
    <x v="0"/>
    <x v="0"/>
    <n v="503.42845185519661"/>
    <x v="0"/>
  </r>
  <r>
    <x v="30"/>
    <x v="1"/>
    <x v="225"/>
    <x v="2"/>
    <x v="1"/>
    <x v="3"/>
    <x v="0"/>
    <x v="1"/>
    <n v="0"/>
    <x v="0"/>
  </r>
  <r>
    <x v="30"/>
    <x v="1"/>
    <x v="225"/>
    <x v="2"/>
    <x v="1"/>
    <x v="3"/>
    <x v="0"/>
    <x v="2"/>
    <n v="0"/>
    <x v="0"/>
  </r>
  <r>
    <x v="30"/>
    <x v="1"/>
    <x v="225"/>
    <x v="2"/>
    <x v="1"/>
    <x v="3"/>
    <x v="0"/>
    <x v="3"/>
    <n v="0"/>
    <x v="0"/>
  </r>
  <r>
    <x v="30"/>
    <x v="1"/>
    <x v="225"/>
    <x v="2"/>
    <x v="1"/>
    <x v="3"/>
    <x v="0"/>
    <x v="4"/>
    <n v="0"/>
    <x v="0"/>
  </r>
  <r>
    <x v="30"/>
    <x v="1"/>
    <x v="225"/>
    <x v="2"/>
    <x v="1"/>
    <x v="3"/>
    <x v="0"/>
    <x v="5"/>
    <n v="0"/>
    <x v="0"/>
  </r>
  <r>
    <x v="30"/>
    <x v="1"/>
    <x v="225"/>
    <x v="2"/>
    <x v="1"/>
    <x v="3"/>
    <x v="0"/>
    <x v="6"/>
    <n v="0"/>
    <x v="0"/>
  </r>
  <r>
    <x v="30"/>
    <x v="1"/>
    <x v="225"/>
    <x v="2"/>
    <x v="1"/>
    <x v="3"/>
    <x v="0"/>
    <x v="7"/>
    <n v="0"/>
    <x v="0"/>
  </r>
  <r>
    <x v="30"/>
    <x v="1"/>
    <x v="225"/>
    <x v="2"/>
    <x v="1"/>
    <x v="3"/>
    <x v="0"/>
    <x v="8"/>
    <n v="0"/>
    <x v="0"/>
  </r>
  <r>
    <x v="30"/>
    <x v="1"/>
    <x v="225"/>
    <x v="2"/>
    <x v="1"/>
    <x v="3"/>
    <x v="0"/>
    <x v="9"/>
    <n v="0"/>
    <x v="0"/>
  </r>
  <r>
    <x v="30"/>
    <x v="1"/>
    <x v="225"/>
    <x v="2"/>
    <x v="1"/>
    <x v="3"/>
    <x v="0"/>
    <x v="10"/>
    <n v="0"/>
    <x v="0"/>
  </r>
  <r>
    <x v="30"/>
    <x v="1"/>
    <x v="225"/>
    <x v="2"/>
    <x v="1"/>
    <x v="3"/>
    <x v="0"/>
    <x v="11"/>
    <n v="0"/>
    <x v="0"/>
  </r>
  <r>
    <x v="30"/>
    <x v="1"/>
    <x v="226"/>
    <x v="2"/>
    <x v="1"/>
    <x v="3"/>
    <x v="0"/>
    <x v="0"/>
    <n v="345.99499994493328"/>
    <x v="0"/>
  </r>
  <r>
    <x v="30"/>
    <x v="1"/>
    <x v="226"/>
    <x v="2"/>
    <x v="1"/>
    <x v="3"/>
    <x v="0"/>
    <x v="1"/>
    <n v="81.520385286058286"/>
    <x v="0"/>
  </r>
  <r>
    <x v="30"/>
    <x v="1"/>
    <x v="226"/>
    <x v="2"/>
    <x v="1"/>
    <x v="3"/>
    <x v="0"/>
    <x v="2"/>
    <n v="0"/>
    <x v="0"/>
  </r>
  <r>
    <x v="30"/>
    <x v="1"/>
    <x v="226"/>
    <x v="2"/>
    <x v="1"/>
    <x v="3"/>
    <x v="0"/>
    <x v="3"/>
    <n v="0"/>
    <x v="0"/>
  </r>
  <r>
    <x v="30"/>
    <x v="1"/>
    <x v="226"/>
    <x v="2"/>
    <x v="1"/>
    <x v="3"/>
    <x v="0"/>
    <x v="4"/>
    <n v="0"/>
    <x v="0"/>
  </r>
  <r>
    <x v="30"/>
    <x v="1"/>
    <x v="226"/>
    <x v="2"/>
    <x v="1"/>
    <x v="3"/>
    <x v="0"/>
    <x v="5"/>
    <n v="0"/>
    <x v="0"/>
  </r>
  <r>
    <x v="30"/>
    <x v="1"/>
    <x v="226"/>
    <x v="2"/>
    <x v="1"/>
    <x v="3"/>
    <x v="0"/>
    <x v="6"/>
    <n v="0"/>
    <x v="0"/>
  </r>
  <r>
    <x v="30"/>
    <x v="1"/>
    <x v="226"/>
    <x v="2"/>
    <x v="1"/>
    <x v="3"/>
    <x v="0"/>
    <x v="7"/>
    <n v="0"/>
    <x v="0"/>
  </r>
  <r>
    <x v="30"/>
    <x v="1"/>
    <x v="226"/>
    <x v="2"/>
    <x v="1"/>
    <x v="3"/>
    <x v="0"/>
    <x v="8"/>
    <n v="0"/>
    <x v="0"/>
  </r>
  <r>
    <x v="30"/>
    <x v="1"/>
    <x v="226"/>
    <x v="2"/>
    <x v="1"/>
    <x v="3"/>
    <x v="0"/>
    <x v="9"/>
    <n v="0"/>
    <x v="0"/>
  </r>
  <r>
    <x v="30"/>
    <x v="1"/>
    <x v="226"/>
    <x v="2"/>
    <x v="1"/>
    <x v="3"/>
    <x v="0"/>
    <x v="10"/>
    <n v="0"/>
    <x v="0"/>
  </r>
  <r>
    <x v="30"/>
    <x v="1"/>
    <x v="226"/>
    <x v="2"/>
    <x v="1"/>
    <x v="3"/>
    <x v="0"/>
    <x v="11"/>
    <n v="0"/>
    <x v="0"/>
  </r>
  <r>
    <x v="30"/>
    <x v="2"/>
    <x v="227"/>
    <x v="2"/>
    <x v="2"/>
    <x v="3"/>
    <x v="0"/>
    <x v="0"/>
    <n v="0"/>
    <x v="0"/>
  </r>
  <r>
    <x v="30"/>
    <x v="2"/>
    <x v="227"/>
    <x v="2"/>
    <x v="2"/>
    <x v="3"/>
    <x v="0"/>
    <x v="1"/>
    <n v="0"/>
    <x v="0"/>
  </r>
  <r>
    <x v="30"/>
    <x v="2"/>
    <x v="227"/>
    <x v="2"/>
    <x v="2"/>
    <x v="3"/>
    <x v="0"/>
    <x v="2"/>
    <n v="0"/>
    <x v="0"/>
  </r>
  <r>
    <x v="30"/>
    <x v="2"/>
    <x v="227"/>
    <x v="2"/>
    <x v="2"/>
    <x v="3"/>
    <x v="0"/>
    <x v="3"/>
    <n v="0"/>
    <x v="0"/>
  </r>
  <r>
    <x v="30"/>
    <x v="2"/>
    <x v="227"/>
    <x v="2"/>
    <x v="2"/>
    <x v="3"/>
    <x v="0"/>
    <x v="4"/>
    <n v="0"/>
    <x v="0"/>
  </r>
  <r>
    <x v="30"/>
    <x v="2"/>
    <x v="227"/>
    <x v="2"/>
    <x v="2"/>
    <x v="3"/>
    <x v="0"/>
    <x v="5"/>
    <n v="0"/>
    <x v="0"/>
  </r>
  <r>
    <x v="30"/>
    <x v="2"/>
    <x v="227"/>
    <x v="2"/>
    <x v="2"/>
    <x v="3"/>
    <x v="0"/>
    <x v="6"/>
    <n v="0"/>
    <x v="0"/>
  </r>
  <r>
    <x v="30"/>
    <x v="2"/>
    <x v="227"/>
    <x v="2"/>
    <x v="2"/>
    <x v="3"/>
    <x v="0"/>
    <x v="7"/>
    <n v="0"/>
    <x v="0"/>
  </r>
  <r>
    <x v="30"/>
    <x v="2"/>
    <x v="227"/>
    <x v="2"/>
    <x v="2"/>
    <x v="3"/>
    <x v="0"/>
    <x v="8"/>
    <n v="0"/>
    <x v="0"/>
  </r>
  <r>
    <x v="30"/>
    <x v="2"/>
    <x v="227"/>
    <x v="2"/>
    <x v="2"/>
    <x v="3"/>
    <x v="0"/>
    <x v="9"/>
    <n v="1070.8816568680995"/>
    <x v="0"/>
  </r>
  <r>
    <x v="30"/>
    <x v="2"/>
    <x v="227"/>
    <x v="2"/>
    <x v="2"/>
    <x v="3"/>
    <x v="0"/>
    <x v="10"/>
    <n v="0"/>
    <x v="0"/>
  </r>
  <r>
    <x v="30"/>
    <x v="2"/>
    <x v="227"/>
    <x v="2"/>
    <x v="2"/>
    <x v="3"/>
    <x v="0"/>
    <x v="11"/>
    <n v="0"/>
    <x v="0"/>
  </r>
  <r>
    <x v="30"/>
    <x v="0"/>
    <x v="228"/>
    <x v="2"/>
    <x v="3"/>
    <x v="11"/>
    <x v="0"/>
    <x v="0"/>
    <n v="0"/>
    <x v="0"/>
  </r>
  <r>
    <x v="30"/>
    <x v="0"/>
    <x v="228"/>
    <x v="2"/>
    <x v="3"/>
    <x v="11"/>
    <x v="0"/>
    <x v="1"/>
    <n v="0"/>
    <x v="0"/>
  </r>
  <r>
    <x v="30"/>
    <x v="0"/>
    <x v="228"/>
    <x v="2"/>
    <x v="3"/>
    <x v="11"/>
    <x v="0"/>
    <x v="2"/>
    <n v="0"/>
    <x v="0"/>
  </r>
  <r>
    <x v="30"/>
    <x v="0"/>
    <x v="228"/>
    <x v="2"/>
    <x v="3"/>
    <x v="11"/>
    <x v="0"/>
    <x v="3"/>
    <n v="2485.0698856416775"/>
    <x v="0"/>
  </r>
  <r>
    <x v="30"/>
    <x v="0"/>
    <x v="228"/>
    <x v="2"/>
    <x v="3"/>
    <x v="11"/>
    <x v="0"/>
    <x v="4"/>
    <n v="0"/>
    <x v="0"/>
  </r>
  <r>
    <x v="30"/>
    <x v="0"/>
    <x v="228"/>
    <x v="2"/>
    <x v="3"/>
    <x v="11"/>
    <x v="0"/>
    <x v="5"/>
    <n v="0"/>
    <x v="0"/>
  </r>
  <r>
    <x v="30"/>
    <x v="0"/>
    <x v="228"/>
    <x v="2"/>
    <x v="3"/>
    <x v="11"/>
    <x v="0"/>
    <x v="6"/>
    <n v="0"/>
    <x v="0"/>
  </r>
  <r>
    <x v="30"/>
    <x v="0"/>
    <x v="228"/>
    <x v="2"/>
    <x v="3"/>
    <x v="11"/>
    <x v="0"/>
    <x v="7"/>
    <n v="492.34648886977095"/>
    <x v="0"/>
  </r>
  <r>
    <x v="30"/>
    <x v="0"/>
    <x v="228"/>
    <x v="2"/>
    <x v="3"/>
    <x v="11"/>
    <x v="0"/>
    <x v="8"/>
    <n v="496.14990121030866"/>
    <x v="0"/>
  </r>
  <r>
    <x v="30"/>
    <x v="0"/>
    <x v="228"/>
    <x v="2"/>
    <x v="3"/>
    <x v="11"/>
    <x v="0"/>
    <x v="9"/>
    <n v="493.64967177477217"/>
    <x v="0"/>
  </r>
  <r>
    <x v="30"/>
    <x v="0"/>
    <x v="228"/>
    <x v="2"/>
    <x v="3"/>
    <x v="11"/>
    <x v="0"/>
    <x v="10"/>
    <n v="475.4446274186908"/>
    <x v="0"/>
  </r>
  <r>
    <x v="30"/>
    <x v="0"/>
    <x v="228"/>
    <x v="2"/>
    <x v="3"/>
    <x v="11"/>
    <x v="0"/>
    <x v="11"/>
    <n v="489.412736923517"/>
    <x v="0"/>
  </r>
  <r>
    <x v="30"/>
    <x v="1"/>
    <x v="229"/>
    <x v="2"/>
    <x v="3"/>
    <x v="3"/>
    <x v="0"/>
    <x v="0"/>
    <n v="0"/>
    <x v="0"/>
  </r>
  <r>
    <x v="30"/>
    <x v="1"/>
    <x v="229"/>
    <x v="2"/>
    <x v="3"/>
    <x v="3"/>
    <x v="0"/>
    <x v="1"/>
    <n v="0"/>
    <x v="0"/>
  </r>
  <r>
    <x v="30"/>
    <x v="1"/>
    <x v="229"/>
    <x v="2"/>
    <x v="3"/>
    <x v="3"/>
    <x v="0"/>
    <x v="2"/>
    <n v="0"/>
    <x v="0"/>
  </r>
  <r>
    <x v="30"/>
    <x v="1"/>
    <x v="229"/>
    <x v="2"/>
    <x v="3"/>
    <x v="3"/>
    <x v="0"/>
    <x v="3"/>
    <n v="0"/>
    <x v="0"/>
  </r>
  <r>
    <x v="30"/>
    <x v="1"/>
    <x v="229"/>
    <x v="2"/>
    <x v="3"/>
    <x v="3"/>
    <x v="0"/>
    <x v="4"/>
    <n v="0"/>
    <x v="0"/>
  </r>
  <r>
    <x v="30"/>
    <x v="1"/>
    <x v="229"/>
    <x v="2"/>
    <x v="3"/>
    <x v="3"/>
    <x v="0"/>
    <x v="5"/>
    <n v="276.8119384934347"/>
    <x v="0"/>
  </r>
  <r>
    <x v="30"/>
    <x v="1"/>
    <x v="229"/>
    <x v="2"/>
    <x v="3"/>
    <x v="3"/>
    <x v="0"/>
    <x v="6"/>
    <n v="266.65066769060115"/>
    <x v="0"/>
  </r>
  <r>
    <x v="30"/>
    <x v="1"/>
    <x v="229"/>
    <x v="2"/>
    <x v="3"/>
    <x v="3"/>
    <x v="0"/>
    <x v="7"/>
    <n v="0"/>
    <x v="0"/>
  </r>
  <r>
    <x v="30"/>
    <x v="1"/>
    <x v="229"/>
    <x v="2"/>
    <x v="3"/>
    <x v="3"/>
    <x v="0"/>
    <x v="8"/>
    <n v="0"/>
    <x v="0"/>
  </r>
  <r>
    <x v="30"/>
    <x v="1"/>
    <x v="229"/>
    <x v="2"/>
    <x v="3"/>
    <x v="3"/>
    <x v="0"/>
    <x v="9"/>
    <n v="0"/>
    <x v="0"/>
  </r>
  <r>
    <x v="30"/>
    <x v="1"/>
    <x v="229"/>
    <x v="2"/>
    <x v="3"/>
    <x v="3"/>
    <x v="0"/>
    <x v="10"/>
    <n v="98.428365582544259"/>
    <x v="0"/>
  </r>
  <r>
    <x v="30"/>
    <x v="1"/>
    <x v="229"/>
    <x v="2"/>
    <x v="3"/>
    <x v="3"/>
    <x v="0"/>
    <x v="11"/>
    <n v="0"/>
    <x v="0"/>
  </r>
  <r>
    <x v="30"/>
    <x v="0"/>
    <x v="230"/>
    <x v="2"/>
    <x v="2"/>
    <x v="3"/>
    <x v="0"/>
    <x v="0"/>
    <n v="566.17363627352722"/>
    <x v="0"/>
  </r>
  <r>
    <x v="30"/>
    <x v="0"/>
    <x v="230"/>
    <x v="2"/>
    <x v="2"/>
    <x v="3"/>
    <x v="0"/>
    <x v="1"/>
    <n v="533.5879764178361"/>
    <x v="0"/>
  </r>
  <r>
    <x v="30"/>
    <x v="0"/>
    <x v="230"/>
    <x v="2"/>
    <x v="2"/>
    <x v="3"/>
    <x v="0"/>
    <x v="2"/>
    <n v="1120.0086783135146"/>
    <x v="0"/>
  </r>
  <r>
    <x v="30"/>
    <x v="0"/>
    <x v="230"/>
    <x v="2"/>
    <x v="2"/>
    <x v="3"/>
    <x v="0"/>
    <x v="3"/>
    <n v="0"/>
    <x v="0"/>
  </r>
  <r>
    <x v="30"/>
    <x v="0"/>
    <x v="230"/>
    <x v="2"/>
    <x v="2"/>
    <x v="3"/>
    <x v="0"/>
    <x v="4"/>
    <n v="292.02945918856494"/>
    <x v="0"/>
  </r>
  <r>
    <x v="30"/>
    <x v="0"/>
    <x v="230"/>
    <x v="2"/>
    <x v="2"/>
    <x v="3"/>
    <x v="0"/>
    <x v="5"/>
    <n v="292.65614201796819"/>
    <x v="0"/>
  </r>
  <r>
    <x v="30"/>
    <x v="0"/>
    <x v="230"/>
    <x v="2"/>
    <x v="2"/>
    <x v="3"/>
    <x v="0"/>
    <x v="6"/>
    <n v="283.99569094244634"/>
    <x v="0"/>
  </r>
  <r>
    <x v="30"/>
    <x v="0"/>
    <x v="230"/>
    <x v="2"/>
    <x v="2"/>
    <x v="3"/>
    <x v="0"/>
    <x v="7"/>
    <n v="574.58974083234762"/>
    <x v="0"/>
  </r>
  <r>
    <x v="30"/>
    <x v="0"/>
    <x v="230"/>
    <x v="2"/>
    <x v="2"/>
    <x v="3"/>
    <x v="0"/>
    <x v="8"/>
    <n v="291.65200116604223"/>
    <x v="0"/>
  </r>
  <r>
    <x v="30"/>
    <x v="0"/>
    <x v="230"/>
    <x v="2"/>
    <x v="2"/>
    <x v="3"/>
    <x v="0"/>
    <x v="9"/>
    <n v="289.27833285143663"/>
    <x v="0"/>
  </r>
  <r>
    <x v="30"/>
    <x v="0"/>
    <x v="230"/>
    <x v="2"/>
    <x v="2"/>
    <x v="3"/>
    <x v="0"/>
    <x v="10"/>
    <n v="277.10786331823795"/>
    <x v="0"/>
  </r>
  <r>
    <x v="30"/>
    <x v="0"/>
    <x v="230"/>
    <x v="2"/>
    <x v="2"/>
    <x v="3"/>
    <x v="0"/>
    <x v="11"/>
    <n v="284.99687456959117"/>
    <x v="0"/>
  </r>
  <r>
    <x v="30"/>
    <x v="0"/>
    <x v="231"/>
    <x v="2"/>
    <x v="2"/>
    <x v="3"/>
    <x v="0"/>
    <x v="0"/>
    <n v="0"/>
    <x v="0"/>
  </r>
  <r>
    <x v="30"/>
    <x v="0"/>
    <x v="231"/>
    <x v="2"/>
    <x v="2"/>
    <x v="3"/>
    <x v="0"/>
    <x v="1"/>
    <n v="0"/>
    <x v="0"/>
  </r>
  <r>
    <x v="30"/>
    <x v="0"/>
    <x v="231"/>
    <x v="2"/>
    <x v="2"/>
    <x v="3"/>
    <x v="0"/>
    <x v="2"/>
    <n v="0"/>
    <x v="0"/>
  </r>
  <r>
    <x v="30"/>
    <x v="0"/>
    <x v="231"/>
    <x v="2"/>
    <x v="2"/>
    <x v="3"/>
    <x v="0"/>
    <x v="3"/>
    <n v="0"/>
    <x v="0"/>
  </r>
  <r>
    <x v="30"/>
    <x v="0"/>
    <x v="231"/>
    <x v="2"/>
    <x v="2"/>
    <x v="3"/>
    <x v="0"/>
    <x v="4"/>
    <n v="590.54124722185907"/>
    <x v="0"/>
  </r>
  <r>
    <x v="30"/>
    <x v="0"/>
    <x v="231"/>
    <x v="2"/>
    <x v="2"/>
    <x v="3"/>
    <x v="0"/>
    <x v="5"/>
    <n v="0"/>
    <x v="0"/>
  </r>
  <r>
    <x v="30"/>
    <x v="0"/>
    <x v="231"/>
    <x v="2"/>
    <x v="2"/>
    <x v="3"/>
    <x v="0"/>
    <x v="6"/>
    <n v="0"/>
    <x v="0"/>
  </r>
  <r>
    <x v="30"/>
    <x v="0"/>
    <x v="231"/>
    <x v="2"/>
    <x v="2"/>
    <x v="3"/>
    <x v="0"/>
    <x v="7"/>
    <n v="0"/>
    <x v="0"/>
  </r>
  <r>
    <x v="30"/>
    <x v="0"/>
    <x v="231"/>
    <x v="2"/>
    <x v="2"/>
    <x v="3"/>
    <x v="0"/>
    <x v="8"/>
    <n v="0"/>
    <x v="0"/>
  </r>
  <r>
    <x v="30"/>
    <x v="0"/>
    <x v="231"/>
    <x v="2"/>
    <x v="2"/>
    <x v="3"/>
    <x v="0"/>
    <x v="9"/>
    <n v="0"/>
    <x v="0"/>
  </r>
  <r>
    <x v="30"/>
    <x v="0"/>
    <x v="231"/>
    <x v="2"/>
    <x v="2"/>
    <x v="3"/>
    <x v="0"/>
    <x v="10"/>
    <n v="0"/>
    <x v="0"/>
  </r>
  <r>
    <x v="30"/>
    <x v="0"/>
    <x v="231"/>
    <x v="2"/>
    <x v="2"/>
    <x v="3"/>
    <x v="0"/>
    <x v="11"/>
    <n v="0"/>
    <x v="0"/>
  </r>
  <r>
    <x v="30"/>
    <x v="1"/>
    <x v="232"/>
    <x v="2"/>
    <x v="1"/>
    <x v="3"/>
    <x v="0"/>
    <x v="0"/>
    <n v="0"/>
    <x v="0"/>
  </r>
  <r>
    <x v="30"/>
    <x v="1"/>
    <x v="232"/>
    <x v="2"/>
    <x v="1"/>
    <x v="3"/>
    <x v="0"/>
    <x v="1"/>
    <n v="0"/>
    <x v="0"/>
  </r>
  <r>
    <x v="30"/>
    <x v="1"/>
    <x v="232"/>
    <x v="2"/>
    <x v="1"/>
    <x v="3"/>
    <x v="0"/>
    <x v="2"/>
    <n v="0"/>
    <x v="0"/>
  </r>
  <r>
    <x v="30"/>
    <x v="1"/>
    <x v="232"/>
    <x v="2"/>
    <x v="1"/>
    <x v="3"/>
    <x v="0"/>
    <x v="3"/>
    <n v="0"/>
    <x v="0"/>
  </r>
  <r>
    <x v="30"/>
    <x v="1"/>
    <x v="232"/>
    <x v="2"/>
    <x v="1"/>
    <x v="3"/>
    <x v="0"/>
    <x v="4"/>
    <n v="0"/>
    <x v="0"/>
  </r>
  <r>
    <x v="30"/>
    <x v="1"/>
    <x v="232"/>
    <x v="2"/>
    <x v="1"/>
    <x v="3"/>
    <x v="0"/>
    <x v="5"/>
    <n v="0"/>
    <x v="0"/>
  </r>
  <r>
    <x v="30"/>
    <x v="1"/>
    <x v="232"/>
    <x v="2"/>
    <x v="1"/>
    <x v="3"/>
    <x v="0"/>
    <x v="6"/>
    <n v="0"/>
    <x v="0"/>
  </r>
  <r>
    <x v="30"/>
    <x v="1"/>
    <x v="232"/>
    <x v="2"/>
    <x v="1"/>
    <x v="3"/>
    <x v="0"/>
    <x v="7"/>
    <n v="0"/>
    <x v="0"/>
  </r>
  <r>
    <x v="30"/>
    <x v="1"/>
    <x v="232"/>
    <x v="2"/>
    <x v="1"/>
    <x v="3"/>
    <x v="0"/>
    <x v="8"/>
    <n v="0"/>
    <x v="0"/>
  </r>
  <r>
    <x v="30"/>
    <x v="1"/>
    <x v="232"/>
    <x v="2"/>
    <x v="1"/>
    <x v="3"/>
    <x v="0"/>
    <x v="9"/>
    <n v="0"/>
    <x v="0"/>
  </r>
  <r>
    <x v="30"/>
    <x v="1"/>
    <x v="232"/>
    <x v="2"/>
    <x v="1"/>
    <x v="3"/>
    <x v="0"/>
    <x v="10"/>
    <n v="4517.0028818443807"/>
    <x v="0"/>
  </r>
  <r>
    <x v="30"/>
    <x v="1"/>
    <x v="232"/>
    <x v="2"/>
    <x v="1"/>
    <x v="3"/>
    <x v="0"/>
    <x v="11"/>
    <n v="0"/>
    <x v="0"/>
  </r>
  <r>
    <x v="30"/>
    <x v="1"/>
    <x v="233"/>
    <x v="2"/>
    <x v="1"/>
    <x v="34"/>
    <x v="0"/>
    <x v="0"/>
    <n v="0"/>
    <x v="0"/>
  </r>
  <r>
    <x v="30"/>
    <x v="1"/>
    <x v="233"/>
    <x v="2"/>
    <x v="1"/>
    <x v="34"/>
    <x v="0"/>
    <x v="1"/>
    <n v="0"/>
    <x v="0"/>
  </r>
  <r>
    <x v="30"/>
    <x v="1"/>
    <x v="233"/>
    <x v="2"/>
    <x v="1"/>
    <x v="34"/>
    <x v="0"/>
    <x v="2"/>
    <n v="0"/>
    <x v="0"/>
  </r>
  <r>
    <x v="30"/>
    <x v="1"/>
    <x v="233"/>
    <x v="2"/>
    <x v="1"/>
    <x v="34"/>
    <x v="0"/>
    <x v="3"/>
    <n v="0"/>
    <x v="0"/>
  </r>
  <r>
    <x v="30"/>
    <x v="1"/>
    <x v="233"/>
    <x v="2"/>
    <x v="1"/>
    <x v="34"/>
    <x v="0"/>
    <x v="4"/>
    <n v="0"/>
    <x v="0"/>
  </r>
  <r>
    <x v="30"/>
    <x v="1"/>
    <x v="233"/>
    <x v="2"/>
    <x v="1"/>
    <x v="34"/>
    <x v="0"/>
    <x v="5"/>
    <n v="0"/>
    <x v="0"/>
  </r>
  <r>
    <x v="30"/>
    <x v="1"/>
    <x v="233"/>
    <x v="2"/>
    <x v="1"/>
    <x v="34"/>
    <x v="0"/>
    <x v="6"/>
    <n v="0"/>
    <x v="0"/>
  </r>
  <r>
    <x v="30"/>
    <x v="1"/>
    <x v="233"/>
    <x v="2"/>
    <x v="1"/>
    <x v="34"/>
    <x v="0"/>
    <x v="7"/>
    <n v="0"/>
    <x v="0"/>
  </r>
  <r>
    <x v="30"/>
    <x v="1"/>
    <x v="233"/>
    <x v="2"/>
    <x v="1"/>
    <x v="34"/>
    <x v="0"/>
    <x v="8"/>
    <n v="0"/>
    <x v="0"/>
  </r>
  <r>
    <x v="30"/>
    <x v="1"/>
    <x v="233"/>
    <x v="2"/>
    <x v="1"/>
    <x v="34"/>
    <x v="0"/>
    <x v="9"/>
    <n v="0"/>
    <x v="0"/>
  </r>
  <r>
    <x v="30"/>
    <x v="1"/>
    <x v="233"/>
    <x v="2"/>
    <x v="1"/>
    <x v="34"/>
    <x v="0"/>
    <x v="10"/>
    <n v="295.17291066282422"/>
    <x v="0"/>
  </r>
  <r>
    <x v="30"/>
    <x v="1"/>
    <x v="233"/>
    <x v="2"/>
    <x v="1"/>
    <x v="34"/>
    <x v="0"/>
    <x v="11"/>
    <n v="0"/>
    <x v="0"/>
  </r>
  <r>
    <x v="30"/>
    <x v="1"/>
    <x v="234"/>
    <x v="2"/>
    <x v="1"/>
    <x v="35"/>
    <x v="0"/>
    <x v="0"/>
    <n v="0"/>
    <x v="0"/>
  </r>
  <r>
    <x v="30"/>
    <x v="1"/>
    <x v="234"/>
    <x v="2"/>
    <x v="1"/>
    <x v="35"/>
    <x v="0"/>
    <x v="1"/>
    <n v="0"/>
    <x v="0"/>
  </r>
  <r>
    <x v="30"/>
    <x v="1"/>
    <x v="234"/>
    <x v="2"/>
    <x v="1"/>
    <x v="35"/>
    <x v="0"/>
    <x v="2"/>
    <n v="0"/>
    <x v="0"/>
  </r>
  <r>
    <x v="30"/>
    <x v="1"/>
    <x v="234"/>
    <x v="2"/>
    <x v="1"/>
    <x v="35"/>
    <x v="0"/>
    <x v="3"/>
    <n v="0"/>
    <x v="0"/>
  </r>
  <r>
    <x v="30"/>
    <x v="1"/>
    <x v="234"/>
    <x v="2"/>
    <x v="1"/>
    <x v="35"/>
    <x v="0"/>
    <x v="4"/>
    <n v="0"/>
    <x v="0"/>
  </r>
  <r>
    <x v="30"/>
    <x v="1"/>
    <x v="234"/>
    <x v="2"/>
    <x v="1"/>
    <x v="35"/>
    <x v="0"/>
    <x v="5"/>
    <n v="0"/>
    <x v="0"/>
  </r>
  <r>
    <x v="30"/>
    <x v="1"/>
    <x v="234"/>
    <x v="2"/>
    <x v="1"/>
    <x v="35"/>
    <x v="0"/>
    <x v="6"/>
    <n v="0"/>
    <x v="0"/>
  </r>
  <r>
    <x v="30"/>
    <x v="1"/>
    <x v="234"/>
    <x v="2"/>
    <x v="1"/>
    <x v="35"/>
    <x v="0"/>
    <x v="7"/>
    <n v="0"/>
    <x v="0"/>
  </r>
  <r>
    <x v="30"/>
    <x v="1"/>
    <x v="234"/>
    <x v="2"/>
    <x v="1"/>
    <x v="35"/>
    <x v="0"/>
    <x v="8"/>
    <n v="0"/>
    <x v="0"/>
  </r>
  <r>
    <x v="30"/>
    <x v="1"/>
    <x v="234"/>
    <x v="2"/>
    <x v="1"/>
    <x v="35"/>
    <x v="0"/>
    <x v="9"/>
    <n v="0"/>
    <x v="0"/>
  </r>
  <r>
    <x v="30"/>
    <x v="1"/>
    <x v="234"/>
    <x v="2"/>
    <x v="1"/>
    <x v="35"/>
    <x v="0"/>
    <x v="10"/>
    <n v="981.19905310827494"/>
    <x v="0"/>
  </r>
  <r>
    <x v="30"/>
    <x v="1"/>
    <x v="234"/>
    <x v="2"/>
    <x v="1"/>
    <x v="35"/>
    <x v="0"/>
    <x v="11"/>
    <n v="0"/>
    <x v="0"/>
  </r>
  <r>
    <x v="30"/>
    <x v="0"/>
    <x v="235"/>
    <x v="2"/>
    <x v="3"/>
    <x v="36"/>
    <x v="0"/>
    <x v="0"/>
    <n v="234.19751318847125"/>
    <x v="0"/>
  </r>
  <r>
    <x v="30"/>
    <x v="0"/>
    <x v="235"/>
    <x v="2"/>
    <x v="3"/>
    <x v="36"/>
    <x v="0"/>
    <x v="1"/>
    <n v="0"/>
    <x v="0"/>
  </r>
  <r>
    <x v="30"/>
    <x v="0"/>
    <x v="235"/>
    <x v="2"/>
    <x v="3"/>
    <x v="36"/>
    <x v="0"/>
    <x v="2"/>
    <n v="0"/>
    <x v="0"/>
  </r>
  <r>
    <x v="30"/>
    <x v="0"/>
    <x v="235"/>
    <x v="2"/>
    <x v="3"/>
    <x v="36"/>
    <x v="0"/>
    <x v="3"/>
    <n v="0"/>
    <x v="0"/>
  </r>
  <r>
    <x v="30"/>
    <x v="0"/>
    <x v="235"/>
    <x v="2"/>
    <x v="3"/>
    <x v="36"/>
    <x v="0"/>
    <x v="4"/>
    <n v="0"/>
    <x v="0"/>
  </r>
  <r>
    <x v="30"/>
    <x v="0"/>
    <x v="235"/>
    <x v="2"/>
    <x v="3"/>
    <x v="36"/>
    <x v="0"/>
    <x v="5"/>
    <n v="0"/>
    <x v="0"/>
  </r>
  <r>
    <x v="30"/>
    <x v="0"/>
    <x v="235"/>
    <x v="2"/>
    <x v="3"/>
    <x v="36"/>
    <x v="0"/>
    <x v="6"/>
    <n v="444.74273646486625"/>
    <x v="0"/>
  </r>
  <r>
    <x v="30"/>
    <x v="0"/>
    <x v="235"/>
    <x v="2"/>
    <x v="3"/>
    <x v="36"/>
    <x v="0"/>
    <x v="7"/>
    <n v="0"/>
    <x v="0"/>
  </r>
  <r>
    <x v="30"/>
    <x v="0"/>
    <x v="235"/>
    <x v="2"/>
    <x v="3"/>
    <x v="36"/>
    <x v="0"/>
    <x v="8"/>
    <n v="0"/>
    <x v="0"/>
  </r>
  <r>
    <x v="30"/>
    <x v="0"/>
    <x v="235"/>
    <x v="2"/>
    <x v="3"/>
    <x v="36"/>
    <x v="0"/>
    <x v="9"/>
    <n v="0"/>
    <x v="0"/>
  </r>
  <r>
    <x v="30"/>
    <x v="0"/>
    <x v="235"/>
    <x v="2"/>
    <x v="3"/>
    <x v="36"/>
    <x v="0"/>
    <x v="10"/>
    <n v="0"/>
    <x v="0"/>
  </r>
  <r>
    <x v="30"/>
    <x v="0"/>
    <x v="235"/>
    <x v="2"/>
    <x v="3"/>
    <x v="36"/>
    <x v="0"/>
    <x v="11"/>
    <n v="0"/>
    <x v="0"/>
  </r>
  <r>
    <x v="30"/>
    <x v="1"/>
    <x v="236"/>
    <x v="2"/>
    <x v="3"/>
    <x v="20"/>
    <x v="0"/>
    <x v="0"/>
    <n v="0"/>
    <x v="0"/>
  </r>
  <r>
    <x v="30"/>
    <x v="1"/>
    <x v="236"/>
    <x v="2"/>
    <x v="3"/>
    <x v="20"/>
    <x v="0"/>
    <x v="1"/>
    <n v="0"/>
    <x v="0"/>
  </r>
  <r>
    <x v="30"/>
    <x v="1"/>
    <x v="236"/>
    <x v="2"/>
    <x v="3"/>
    <x v="20"/>
    <x v="0"/>
    <x v="2"/>
    <n v="0"/>
    <x v="0"/>
  </r>
  <r>
    <x v="30"/>
    <x v="1"/>
    <x v="236"/>
    <x v="2"/>
    <x v="3"/>
    <x v="20"/>
    <x v="0"/>
    <x v="3"/>
    <n v="51.355010727602227"/>
    <x v="0"/>
  </r>
  <r>
    <x v="30"/>
    <x v="1"/>
    <x v="236"/>
    <x v="2"/>
    <x v="3"/>
    <x v="20"/>
    <x v="0"/>
    <x v="4"/>
    <n v="2309.8542293110208"/>
    <x v="0"/>
  </r>
  <r>
    <x v="30"/>
    <x v="1"/>
    <x v="236"/>
    <x v="2"/>
    <x v="3"/>
    <x v="20"/>
    <x v="0"/>
    <x v="5"/>
    <n v="0"/>
    <x v="0"/>
  </r>
  <r>
    <x v="30"/>
    <x v="1"/>
    <x v="236"/>
    <x v="2"/>
    <x v="3"/>
    <x v="20"/>
    <x v="0"/>
    <x v="6"/>
    <n v="2278.3597849737616"/>
    <x v="0"/>
  </r>
  <r>
    <x v="30"/>
    <x v="1"/>
    <x v="236"/>
    <x v="2"/>
    <x v="3"/>
    <x v="20"/>
    <x v="0"/>
    <x v="7"/>
    <n v="0"/>
    <x v="0"/>
  </r>
  <r>
    <x v="30"/>
    <x v="1"/>
    <x v="236"/>
    <x v="2"/>
    <x v="3"/>
    <x v="20"/>
    <x v="0"/>
    <x v="8"/>
    <n v="2344.01701557962"/>
    <x v="0"/>
  </r>
  <r>
    <x v="30"/>
    <x v="1"/>
    <x v="236"/>
    <x v="2"/>
    <x v="3"/>
    <x v="20"/>
    <x v="0"/>
    <x v="9"/>
    <n v="0"/>
    <x v="0"/>
  </r>
  <r>
    <x v="30"/>
    <x v="1"/>
    <x v="236"/>
    <x v="2"/>
    <x v="3"/>
    <x v="20"/>
    <x v="0"/>
    <x v="10"/>
    <n v="0"/>
    <x v="0"/>
  </r>
  <r>
    <x v="30"/>
    <x v="1"/>
    <x v="236"/>
    <x v="2"/>
    <x v="3"/>
    <x v="20"/>
    <x v="0"/>
    <x v="11"/>
    <n v="0"/>
    <x v="0"/>
  </r>
  <r>
    <x v="30"/>
    <x v="1"/>
    <x v="237"/>
    <x v="2"/>
    <x v="2"/>
    <x v="3"/>
    <x v="0"/>
    <x v="0"/>
    <n v="0"/>
    <x v="0"/>
  </r>
  <r>
    <x v="30"/>
    <x v="1"/>
    <x v="237"/>
    <x v="2"/>
    <x v="2"/>
    <x v="3"/>
    <x v="0"/>
    <x v="1"/>
    <n v="0"/>
    <x v="0"/>
  </r>
  <r>
    <x v="30"/>
    <x v="1"/>
    <x v="237"/>
    <x v="2"/>
    <x v="2"/>
    <x v="3"/>
    <x v="0"/>
    <x v="2"/>
    <n v="0"/>
    <x v="0"/>
  </r>
  <r>
    <x v="30"/>
    <x v="1"/>
    <x v="237"/>
    <x v="2"/>
    <x v="2"/>
    <x v="3"/>
    <x v="0"/>
    <x v="3"/>
    <n v="0"/>
    <x v="0"/>
  </r>
  <r>
    <x v="30"/>
    <x v="1"/>
    <x v="237"/>
    <x v="2"/>
    <x v="2"/>
    <x v="3"/>
    <x v="0"/>
    <x v="4"/>
    <n v="0"/>
    <x v="0"/>
  </r>
  <r>
    <x v="30"/>
    <x v="1"/>
    <x v="237"/>
    <x v="2"/>
    <x v="2"/>
    <x v="3"/>
    <x v="0"/>
    <x v="5"/>
    <n v="0"/>
    <x v="0"/>
  </r>
  <r>
    <x v="30"/>
    <x v="1"/>
    <x v="237"/>
    <x v="2"/>
    <x v="2"/>
    <x v="3"/>
    <x v="0"/>
    <x v="6"/>
    <n v="0"/>
    <x v="0"/>
  </r>
  <r>
    <x v="30"/>
    <x v="1"/>
    <x v="237"/>
    <x v="2"/>
    <x v="2"/>
    <x v="3"/>
    <x v="0"/>
    <x v="7"/>
    <n v="865.67587912678789"/>
    <x v="0"/>
  </r>
  <r>
    <x v="30"/>
    <x v="1"/>
    <x v="237"/>
    <x v="2"/>
    <x v="2"/>
    <x v="3"/>
    <x v="0"/>
    <x v="8"/>
    <n v="75.57681303376124"/>
    <x v="0"/>
  </r>
  <r>
    <x v="30"/>
    <x v="1"/>
    <x v="237"/>
    <x v="2"/>
    <x v="2"/>
    <x v="3"/>
    <x v="0"/>
    <x v="9"/>
    <n v="0"/>
    <x v="0"/>
  </r>
  <r>
    <x v="30"/>
    <x v="1"/>
    <x v="237"/>
    <x v="2"/>
    <x v="2"/>
    <x v="3"/>
    <x v="0"/>
    <x v="10"/>
    <n v="1113.9234252778922"/>
    <x v="0"/>
  </r>
  <r>
    <x v="30"/>
    <x v="1"/>
    <x v="237"/>
    <x v="2"/>
    <x v="2"/>
    <x v="3"/>
    <x v="0"/>
    <x v="11"/>
    <n v="0"/>
    <x v="0"/>
  </r>
  <r>
    <x v="30"/>
    <x v="1"/>
    <x v="238"/>
    <x v="0"/>
    <x v="9"/>
    <x v="37"/>
    <x v="0"/>
    <x v="0"/>
    <n v="0"/>
    <x v="0"/>
  </r>
  <r>
    <x v="30"/>
    <x v="1"/>
    <x v="238"/>
    <x v="0"/>
    <x v="9"/>
    <x v="37"/>
    <x v="0"/>
    <x v="1"/>
    <n v="0"/>
    <x v="0"/>
  </r>
  <r>
    <x v="30"/>
    <x v="1"/>
    <x v="238"/>
    <x v="0"/>
    <x v="9"/>
    <x v="37"/>
    <x v="0"/>
    <x v="2"/>
    <n v="0"/>
    <x v="0"/>
  </r>
  <r>
    <x v="30"/>
    <x v="1"/>
    <x v="238"/>
    <x v="0"/>
    <x v="9"/>
    <x v="37"/>
    <x v="0"/>
    <x v="3"/>
    <n v="0"/>
    <x v="0"/>
  </r>
  <r>
    <x v="30"/>
    <x v="1"/>
    <x v="238"/>
    <x v="0"/>
    <x v="9"/>
    <x v="37"/>
    <x v="0"/>
    <x v="4"/>
    <n v="0"/>
    <x v="0"/>
  </r>
  <r>
    <x v="30"/>
    <x v="1"/>
    <x v="238"/>
    <x v="0"/>
    <x v="9"/>
    <x v="37"/>
    <x v="0"/>
    <x v="5"/>
    <n v="0"/>
    <x v="0"/>
  </r>
  <r>
    <x v="30"/>
    <x v="1"/>
    <x v="238"/>
    <x v="0"/>
    <x v="9"/>
    <x v="37"/>
    <x v="0"/>
    <x v="6"/>
    <n v="0"/>
    <x v="0"/>
  </r>
  <r>
    <x v="30"/>
    <x v="1"/>
    <x v="238"/>
    <x v="0"/>
    <x v="9"/>
    <x v="37"/>
    <x v="0"/>
    <x v="7"/>
    <n v="0"/>
    <x v="0"/>
  </r>
  <r>
    <x v="30"/>
    <x v="1"/>
    <x v="238"/>
    <x v="0"/>
    <x v="9"/>
    <x v="37"/>
    <x v="0"/>
    <x v="8"/>
    <n v="0"/>
    <x v="0"/>
  </r>
  <r>
    <x v="30"/>
    <x v="1"/>
    <x v="238"/>
    <x v="0"/>
    <x v="9"/>
    <x v="37"/>
    <x v="0"/>
    <x v="9"/>
    <n v="0"/>
    <x v="0"/>
  </r>
  <r>
    <x v="30"/>
    <x v="1"/>
    <x v="238"/>
    <x v="0"/>
    <x v="9"/>
    <x v="37"/>
    <x v="0"/>
    <x v="10"/>
    <n v="0"/>
    <x v="0"/>
  </r>
  <r>
    <x v="30"/>
    <x v="1"/>
    <x v="238"/>
    <x v="0"/>
    <x v="9"/>
    <x v="37"/>
    <x v="0"/>
    <x v="11"/>
    <n v="0"/>
    <x v="0"/>
  </r>
  <r>
    <x v="30"/>
    <x v="1"/>
    <x v="239"/>
    <x v="0"/>
    <x v="9"/>
    <x v="37"/>
    <x v="0"/>
    <x v="0"/>
    <n v="87861.647154704347"/>
    <x v="0"/>
  </r>
  <r>
    <x v="30"/>
    <x v="1"/>
    <x v="239"/>
    <x v="0"/>
    <x v="9"/>
    <x v="37"/>
    <x v="0"/>
    <x v="1"/>
    <n v="75662.111807689114"/>
    <x v="0"/>
  </r>
  <r>
    <x v="30"/>
    <x v="1"/>
    <x v="239"/>
    <x v="0"/>
    <x v="9"/>
    <x v="37"/>
    <x v="0"/>
    <x v="2"/>
    <n v="16948.437387001126"/>
    <x v="0"/>
  </r>
  <r>
    <x v="30"/>
    <x v="1"/>
    <x v="239"/>
    <x v="0"/>
    <x v="9"/>
    <x v="37"/>
    <x v="0"/>
    <x v="3"/>
    <n v="41207.305184660574"/>
    <x v="0"/>
  </r>
  <r>
    <x v="30"/>
    <x v="1"/>
    <x v="239"/>
    <x v="0"/>
    <x v="9"/>
    <x v="37"/>
    <x v="0"/>
    <x v="4"/>
    <n v="18324.099010763934"/>
    <x v="0"/>
  </r>
  <r>
    <x v="30"/>
    <x v="1"/>
    <x v="239"/>
    <x v="0"/>
    <x v="9"/>
    <x v="37"/>
    <x v="0"/>
    <x v="5"/>
    <n v="25946.446311333792"/>
    <x v="0"/>
  </r>
  <r>
    <x v="30"/>
    <x v="1"/>
    <x v="239"/>
    <x v="0"/>
    <x v="9"/>
    <x v="37"/>
    <x v="0"/>
    <x v="6"/>
    <n v="25109.217543410556"/>
    <x v="0"/>
  </r>
  <r>
    <x v="30"/>
    <x v="1"/>
    <x v="239"/>
    <x v="0"/>
    <x v="9"/>
    <x v="37"/>
    <x v="0"/>
    <x v="7"/>
    <n v="0"/>
    <x v="0"/>
  </r>
  <r>
    <x v="30"/>
    <x v="1"/>
    <x v="239"/>
    <x v="0"/>
    <x v="9"/>
    <x v="37"/>
    <x v="0"/>
    <x v="8"/>
    <n v="100217.1041124583"/>
    <x v="0"/>
  </r>
  <r>
    <x v="30"/>
    <x v="1"/>
    <x v="239"/>
    <x v="0"/>
    <x v="9"/>
    <x v="37"/>
    <x v="0"/>
    <x v="9"/>
    <n v="82725.581221019267"/>
    <x v="0"/>
  </r>
  <r>
    <x v="30"/>
    <x v="1"/>
    <x v="239"/>
    <x v="0"/>
    <x v="9"/>
    <x v="37"/>
    <x v="0"/>
    <x v="10"/>
    <n v="69233.677439275416"/>
    <x v="0"/>
  </r>
  <r>
    <x v="30"/>
    <x v="1"/>
    <x v="239"/>
    <x v="0"/>
    <x v="9"/>
    <x v="37"/>
    <x v="0"/>
    <x v="11"/>
    <n v="71267.696822655664"/>
    <x v="0"/>
  </r>
  <r>
    <x v="30"/>
    <x v="1"/>
    <x v="240"/>
    <x v="0"/>
    <x v="9"/>
    <x v="37"/>
    <x v="0"/>
    <x v="0"/>
    <n v="2122.5409971475456"/>
    <x v="0"/>
  </r>
  <r>
    <x v="30"/>
    <x v="1"/>
    <x v="240"/>
    <x v="0"/>
    <x v="9"/>
    <x v="37"/>
    <x v="0"/>
    <x v="1"/>
    <n v="380.23644440753964"/>
    <x v="0"/>
  </r>
  <r>
    <x v="30"/>
    <x v="1"/>
    <x v="240"/>
    <x v="0"/>
    <x v="9"/>
    <x v="37"/>
    <x v="0"/>
    <x v="2"/>
    <n v="718.38769332493052"/>
    <x v="0"/>
  </r>
  <r>
    <x v="30"/>
    <x v="1"/>
    <x v="240"/>
    <x v="0"/>
    <x v="9"/>
    <x v="37"/>
    <x v="0"/>
    <x v="3"/>
    <n v="416.78088612077408"/>
    <x v="0"/>
  </r>
  <r>
    <x v="30"/>
    <x v="1"/>
    <x v="240"/>
    <x v="0"/>
    <x v="9"/>
    <x v="37"/>
    <x v="0"/>
    <x v="4"/>
    <n v="398.32439970366499"/>
    <x v="0"/>
  </r>
  <r>
    <x v="30"/>
    <x v="1"/>
    <x v="240"/>
    <x v="0"/>
    <x v="9"/>
    <x v="37"/>
    <x v="0"/>
    <x v="5"/>
    <n v="438.25587422252937"/>
    <x v="0"/>
  </r>
  <r>
    <x v="30"/>
    <x v="1"/>
    <x v="240"/>
    <x v="0"/>
    <x v="9"/>
    <x v="37"/>
    <x v="0"/>
    <x v="6"/>
    <n v="472.24604291991983"/>
    <x v="0"/>
  </r>
  <r>
    <x v="30"/>
    <x v="1"/>
    <x v="240"/>
    <x v="0"/>
    <x v="9"/>
    <x v="37"/>
    <x v="0"/>
    <x v="7"/>
    <n v="0"/>
    <x v="0"/>
  </r>
  <r>
    <x v="30"/>
    <x v="1"/>
    <x v="240"/>
    <x v="0"/>
    <x v="9"/>
    <x v="37"/>
    <x v="0"/>
    <x v="8"/>
    <n v="447.51082367929519"/>
    <x v="0"/>
  </r>
  <r>
    <x v="30"/>
    <x v="1"/>
    <x v="240"/>
    <x v="0"/>
    <x v="9"/>
    <x v="37"/>
    <x v="0"/>
    <x v="9"/>
    <n v="0"/>
    <x v="0"/>
  </r>
  <r>
    <x v="30"/>
    <x v="1"/>
    <x v="240"/>
    <x v="0"/>
    <x v="9"/>
    <x v="37"/>
    <x v="0"/>
    <x v="10"/>
    <n v="714.69226018937832"/>
    <x v="0"/>
  </r>
  <r>
    <x v="30"/>
    <x v="1"/>
    <x v="240"/>
    <x v="0"/>
    <x v="9"/>
    <x v="37"/>
    <x v="0"/>
    <x v="11"/>
    <n v="735.68923686524624"/>
    <x v="0"/>
  </r>
  <r>
    <x v="30"/>
    <x v="1"/>
    <x v="241"/>
    <x v="0"/>
    <x v="9"/>
    <x v="37"/>
    <x v="0"/>
    <x v="0"/>
    <n v="0"/>
    <x v="0"/>
  </r>
  <r>
    <x v="30"/>
    <x v="1"/>
    <x v="241"/>
    <x v="0"/>
    <x v="9"/>
    <x v="37"/>
    <x v="0"/>
    <x v="1"/>
    <n v="0"/>
    <x v="0"/>
  </r>
  <r>
    <x v="30"/>
    <x v="1"/>
    <x v="241"/>
    <x v="0"/>
    <x v="9"/>
    <x v="37"/>
    <x v="0"/>
    <x v="2"/>
    <n v="0"/>
    <x v="0"/>
  </r>
  <r>
    <x v="30"/>
    <x v="1"/>
    <x v="241"/>
    <x v="0"/>
    <x v="9"/>
    <x v="37"/>
    <x v="0"/>
    <x v="3"/>
    <n v="0"/>
    <x v="0"/>
  </r>
  <r>
    <x v="30"/>
    <x v="1"/>
    <x v="241"/>
    <x v="0"/>
    <x v="9"/>
    <x v="37"/>
    <x v="0"/>
    <x v="4"/>
    <n v="0"/>
    <x v="0"/>
  </r>
  <r>
    <x v="30"/>
    <x v="1"/>
    <x v="241"/>
    <x v="0"/>
    <x v="9"/>
    <x v="37"/>
    <x v="0"/>
    <x v="5"/>
    <n v="126.3249395300622"/>
    <x v="0"/>
  </r>
  <r>
    <x v="30"/>
    <x v="1"/>
    <x v="241"/>
    <x v="0"/>
    <x v="9"/>
    <x v="37"/>
    <x v="0"/>
    <x v="6"/>
    <n v="0"/>
    <x v="0"/>
  </r>
  <r>
    <x v="30"/>
    <x v="1"/>
    <x v="241"/>
    <x v="0"/>
    <x v="9"/>
    <x v="37"/>
    <x v="0"/>
    <x v="7"/>
    <n v="0"/>
    <x v="0"/>
  </r>
  <r>
    <x v="30"/>
    <x v="1"/>
    <x v="241"/>
    <x v="0"/>
    <x v="9"/>
    <x v="37"/>
    <x v="0"/>
    <x v="8"/>
    <n v="0"/>
    <x v="0"/>
  </r>
  <r>
    <x v="30"/>
    <x v="1"/>
    <x v="241"/>
    <x v="0"/>
    <x v="9"/>
    <x v="37"/>
    <x v="0"/>
    <x v="9"/>
    <n v="0"/>
    <x v="0"/>
  </r>
  <r>
    <x v="30"/>
    <x v="1"/>
    <x v="241"/>
    <x v="0"/>
    <x v="9"/>
    <x v="37"/>
    <x v="0"/>
    <x v="10"/>
    <n v="0"/>
    <x v="0"/>
  </r>
  <r>
    <x v="30"/>
    <x v="1"/>
    <x v="241"/>
    <x v="0"/>
    <x v="9"/>
    <x v="37"/>
    <x v="0"/>
    <x v="11"/>
    <n v="0"/>
    <x v="0"/>
  </r>
  <r>
    <x v="30"/>
    <x v="0"/>
    <x v="242"/>
    <x v="2"/>
    <x v="3"/>
    <x v="38"/>
    <x v="0"/>
    <x v="0"/>
    <n v="7385.6936750404739"/>
    <x v="0"/>
  </r>
  <r>
    <x v="30"/>
    <x v="0"/>
    <x v="242"/>
    <x v="2"/>
    <x v="3"/>
    <x v="38"/>
    <x v="0"/>
    <x v="1"/>
    <n v="6926.5942871377556"/>
    <x v="0"/>
  </r>
  <r>
    <x v="30"/>
    <x v="0"/>
    <x v="242"/>
    <x v="2"/>
    <x v="3"/>
    <x v="38"/>
    <x v="0"/>
    <x v="2"/>
    <n v="6940.7147211058655"/>
    <x v="0"/>
  </r>
  <r>
    <x v="30"/>
    <x v="0"/>
    <x v="242"/>
    <x v="2"/>
    <x v="3"/>
    <x v="38"/>
    <x v="0"/>
    <x v="3"/>
    <n v="7041.2960609911052"/>
    <x v="0"/>
  </r>
  <r>
    <x v="30"/>
    <x v="0"/>
    <x v="242"/>
    <x v="2"/>
    <x v="3"/>
    <x v="38"/>
    <x v="0"/>
    <x v="4"/>
    <n v="7394.7890791824639"/>
    <x v="0"/>
  </r>
  <r>
    <x v="30"/>
    <x v="0"/>
    <x v="242"/>
    <x v="2"/>
    <x v="3"/>
    <x v="38"/>
    <x v="0"/>
    <x v="5"/>
    <n v="7365.1434001382167"/>
    <x v="0"/>
  </r>
  <r>
    <x v="30"/>
    <x v="0"/>
    <x v="242"/>
    <x v="2"/>
    <x v="3"/>
    <x v="38"/>
    <x v="0"/>
    <x v="6"/>
    <n v="7257.571782072614"/>
    <x v="0"/>
  </r>
  <r>
    <x v="30"/>
    <x v="0"/>
    <x v="242"/>
    <x v="2"/>
    <x v="3"/>
    <x v="38"/>
    <x v="0"/>
    <x v="7"/>
    <n v="7309.868803097107"/>
    <x v="0"/>
  </r>
  <r>
    <x v="30"/>
    <x v="0"/>
    <x v="242"/>
    <x v="2"/>
    <x v="3"/>
    <x v="38"/>
    <x v="0"/>
    <x v="8"/>
    <n v="7390.6943349780286"/>
    <x v="0"/>
  </r>
  <r>
    <x v="30"/>
    <x v="0"/>
    <x v="242"/>
    <x v="2"/>
    <x v="3"/>
    <x v="38"/>
    <x v="0"/>
    <x v="9"/>
    <n v="7351.626133795955"/>
    <x v="0"/>
  </r>
  <r>
    <x v="30"/>
    <x v="0"/>
    <x v="242"/>
    <x v="2"/>
    <x v="3"/>
    <x v="38"/>
    <x v="0"/>
    <x v="10"/>
    <n v="7071.9030465212018"/>
    <x v="0"/>
  </r>
  <r>
    <x v="30"/>
    <x v="0"/>
    <x v="242"/>
    <x v="2"/>
    <x v="3"/>
    <x v="38"/>
    <x v="0"/>
    <x v="11"/>
    <n v="7214.9766387320287"/>
    <x v="0"/>
  </r>
  <r>
    <x v="30"/>
    <x v="0"/>
    <x v="243"/>
    <x v="2"/>
    <x v="3"/>
    <x v="39"/>
    <x v="0"/>
    <x v="0"/>
    <n v="0"/>
    <x v="0"/>
  </r>
  <r>
    <x v="30"/>
    <x v="0"/>
    <x v="243"/>
    <x v="2"/>
    <x v="3"/>
    <x v="39"/>
    <x v="0"/>
    <x v="1"/>
    <n v="0"/>
    <x v="0"/>
  </r>
  <r>
    <x v="30"/>
    <x v="0"/>
    <x v="243"/>
    <x v="2"/>
    <x v="3"/>
    <x v="39"/>
    <x v="0"/>
    <x v="2"/>
    <n v="0"/>
    <x v="0"/>
  </r>
  <r>
    <x v="30"/>
    <x v="0"/>
    <x v="243"/>
    <x v="2"/>
    <x v="3"/>
    <x v="39"/>
    <x v="0"/>
    <x v="3"/>
    <n v="0"/>
    <x v="0"/>
  </r>
  <r>
    <x v="30"/>
    <x v="0"/>
    <x v="243"/>
    <x v="2"/>
    <x v="3"/>
    <x v="39"/>
    <x v="0"/>
    <x v="4"/>
    <n v="0"/>
    <x v="0"/>
  </r>
  <r>
    <x v="30"/>
    <x v="0"/>
    <x v="243"/>
    <x v="2"/>
    <x v="3"/>
    <x v="39"/>
    <x v="0"/>
    <x v="5"/>
    <n v="5658.2314702833446"/>
    <x v="0"/>
  </r>
  <r>
    <x v="30"/>
    <x v="0"/>
    <x v="243"/>
    <x v="2"/>
    <x v="3"/>
    <x v="39"/>
    <x v="0"/>
    <x v="6"/>
    <n v="5585.8718375357312"/>
    <x v="0"/>
  </r>
  <r>
    <x v="30"/>
    <x v="0"/>
    <x v="243"/>
    <x v="2"/>
    <x v="3"/>
    <x v="39"/>
    <x v="0"/>
    <x v="7"/>
    <n v="5630.5688783740188"/>
    <x v="0"/>
  </r>
  <r>
    <x v="30"/>
    <x v="0"/>
    <x v="243"/>
    <x v="2"/>
    <x v="3"/>
    <x v="39"/>
    <x v="0"/>
    <x v="8"/>
    <n v="5649.6021420628149"/>
    <x v="0"/>
  </r>
  <r>
    <x v="30"/>
    <x v="0"/>
    <x v="243"/>
    <x v="2"/>
    <x v="3"/>
    <x v="39"/>
    <x v="0"/>
    <x v="9"/>
    <n v="5601.5838339705078"/>
    <x v="0"/>
  </r>
  <r>
    <x v="30"/>
    <x v="0"/>
    <x v="243"/>
    <x v="2"/>
    <x v="3"/>
    <x v="39"/>
    <x v="0"/>
    <x v="10"/>
    <n v="5381.6622066694108"/>
    <x v="0"/>
  </r>
  <r>
    <x v="30"/>
    <x v="0"/>
    <x v="243"/>
    <x v="2"/>
    <x v="3"/>
    <x v="39"/>
    <x v="0"/>
    <x v="11"/>
    <n v="5551.6119804634109"/>
    <x v="0"/>
  </r>
  <r>
    <x v="30"/>
    <x v="0"/>
    <x v="244"/>
    <x v="2"/>
    <x v="3"/>
    <x v="40"/>
    <x v="0"/>
    <x v="0"/>
    <n v="0"/>
    <x v="0"/>
  </r>
  <r>
    <x v="30"/>
    <x v="0"/>
    <x v="244"/>
    <x v="2"/>
    <x v="3"/>
    <x v="40"/>
    <x v="0"/>
    <x v="1"/>
    <n v="0"/>
    <x v="0"/>
  </r>
  <r>
    <x v="30"/>
    <x v="0"/>
    <x v="244"/>
    <x v="2"/>
    <x v="3"/>
    <x v="40"/>
    <x v="0"/>
    <x v="2"/>
    <n v="0"/>
    <x v="0"/>
  </r>
  <r>
    <x v="30"/>
    <x v="0"/>
    <x v="244"/>
    <x v="2"/>
    <x v="3"/>
    <x v="40"/>
    <x v="0"/>
    <x v="3"/>
    <n v="0"/>
    <x v="0"/>
  </r>
  <r>
    <x v="30"/>
    <x v="0"/>
    <x v="244"/>
    <x v="2"/>
    <x v="3"/>
    <x v="40"/>
    <x v="0"/>
    <x v="4"/>
    <n v="0"/>
    <x v="0"/>
  </r>
  <r>
    <x v="30"/>
    <x v="0"/>
    <x v="244"/>
    <x v="2"/>
    <x v="3"/>
    <x v="40"/>
    <x v="0"/>
    <x v="5"/>
    <n v="0"/>
    <x v="0"/>
  </r>
  <r>
    <x v="30"/>
    <x v="0"/>
    <x v="244"/>
    <x v="2"/>
    <x v="3"/>
    <x v="40"/>
    <x v="0"/>
    <x v="6"/>
    <n v="20056.596911131022"/>
    <x v="0"/>
  </r>
  <r>
    <x v="30"/>
    <x v="0"/>
    <x v="244"/>
    <x v="2"/>
    <x v="3"/>
    <x v="40"/>
    <x v="0"/>
    <x v="7"/>
    <n v="20219.139692440047"/>
    <x v="0"/>
  </r>
  <r>
    <x v="30"/>
    <x v="0"/>
    <x v="244"/>
    <x v="2"/>
    <x v="3"/>
    <x v="40"/>
    <x v="0"/>
    <x v="8"/>
    <n v="20292.391574265013"/>
    <x v="0"/>
  </r>
  <r>
    <x v="30"/>
    <x v="0"/>
    <x v="244"/>
    <x v="2"/>
    <x v="3"/>
    <x v="40"/>
    <x v="0"/>
    <x v="9"/>
    <n v="20123.772501900818"/>
    <x v="0"/>
  </r>
  <r>
    <x v="30"/>
    <x v="0"/>
    <x v="244"/>
    <x v="2"/>
    <x v="3"/>
    <x v="40"/>
    <x v="0"/>
    <x v="10"/>
    <n v="19323.355290242896"/>
    <x v="0"/>
  </r>
  <r>
    <x v="30"/>
    <x v="0"/>
    <x v="244"/>
    <x v="2"/>
    <x v="3"/>
    <x v="40"/>
    <x v="0"/>
    <x v="11"/>
    <n v="19922.513693623063"/>
    <x v="0"/>
  </r>
  <r>
    <x v="30"/>
    <x v="0"/>
    <x v="245"/>
    <x v="2"/>
    <x v="3"/>
    <x v="40"/>
    <x v="0"/>
    <x v="0"/>
    <n v="5434.0036784546082"/>
    <x v="0"/>
  </r>
  <r>
    <x v="30"/>
    <x v="0"/>
    <x v="245"/>
    <x v="2"/>
    <x v="3"/>
    <x v="40"/>
    <x v="0"/>
    <x v="1"/>
    <n v="5121.2540479946856"/>
    <x v="0"/>
  </r>
  <r>
    <x v="30"/>
    <x v="0"/>
    <x v="245"/>
    <x v="2"/>
    <x v="3"/>
    <x v="40"/>
    <x v="0"/>
    <x v="2"/>
    <n v="5097.4925872738731"/>
    <x v="0"/>
  </r>
  <r>
    <x v="30"/>
    <x v="0"/>
    <x v="245"/>
    <x v="2"/>
    <x v="3"/>
    <x v="40"/>
    <x v="0"/>
    <x v="3"/>
    <n v="0"/>
    <x v="0"/>
  </r>
  <r>
    <x v="30"/>
    <x v="0"/>
    <x v="245"/>
    <x v="2"/>
    <x v="3"/>
    <x v="40"/>
    <x v="0"/>
    <x v="4"/>
    <n v="0"/>
    <x v="0"/>
  </r>
  <r>
    <x v="30"/>
    <x v="0"/>
    <x v="245"/>
    <x v="2"/>
    <x v="3"/>
    <x v="40"/>
    <x v="0"/>
    <x v="5"/>
    <n v="0"/>
    <x v="0"/>
  </r>
  <r>
    <x v="30"/>
    <x v="0"/>
    <x v="245"/>
    <x v="2"/>
    <x v="3"/>
    <x v="40"/>
    <x v="0"/>
    <x v="6"/>
    <n v="0"/>
    <x v="0"/>
  </r>
  <r>
    <x v="30"/>
    <x v="0"/>
    <x v="245"/>
    <x v="2"/>
    <x v="3"/>
    <x v="40"/>
    <x v="0"/>
    <x v="7"/>
    <n v="0"/>
    <x v="0"/>
  </r>
  <r>
    <x v="30"/>
    <x v="0"/>
    <x v="245"/>
    <x v="2"/>
    <x v="3"/>
    <x v="40"/>
    <x v="0"/>
    <x v="8"/>
    <n v="0"/>
    <x v="0"/>
  </r>
  <r>
    <x v="30"/>
    <x v="0"/>
    <x v="245"/>
    <x v="2"/>
    <x v="3"/>
    <x v="40"/>
    <x v="0"/>
    <x v="9"/>
    <n v="0"/>
    <x v="0"/>
  </r>
  <r>
    <x v="30"/>
    <x v="0"/>
    <x v="245"/>
    <x v="2"/>
    <x v="3"/>
    <x v="40"/>
    <x v="0"/>
    <x v="10"/>
    <n v="0"/>
    <x v="0"/>
  </r>
  <r>
    <x v="30"/>
    <x v="0"/>
    <x v="245"/>
    <x v="2"/>
    <x v="3"/>
    <x v="40"/>
    <x v="0"/>
    <x v="11"/>
    <n v="0"/>
    <x v="0"/>
  </r>
  <r>
    <x v="30"/>
    <x v="1"/>
    <x v="246"/>
    <x v="3"/>
    <x v="8"/>
    <x v="32"/>
    <x v="0"/>
    <x v="0"/>
    <n v="0"/>
    <x v="0"/>
  </r>
  <r>
    <x v="30"/>
    <x v="1"/>
    <x v="246"/>
    <x v="3"/>
    <x v="8"/>
    <x v="32"/>
    <x v="0"/>
    <x v="1"/>
    <n v="1037.9473553101386"/>
    <x v="0"/>
  </r>
  <r>
    <x v="30"/>
    <x v="1"/>
    <x v="246"/>
    <x v="3"/>
    <x v="8"/>
    <x v="32"/>
    <x v="0"/>
    <x v="2"/>
    <n v="0"/>
    <x v="0"/>
  </r>
  <r>
    <x v="30"/>
    <x v="1"/>
    <x v="246"/>
    <x v="3"/>
    <x v="8"/>
    <x v="32"/>
    <x v="0"/>
    <x v="3"/>
    <n v="0"/>
    <x v="0"/>
  </r>
  <r>
    <x v="30"/>
    <x v="1"/>
    <x v="246"/>
    <x v="3"/>
    <x v="8"/>
    <x v="32"/>
    <x v="0"/>
    <x v="4"/>
    <n v="0"/>
    <x v="0"/>
  </r>
  <r>
    <x v="30"/>
    <x v="1"/>
    <x v="246"/>
    <x v="3"/>
    <x v="8"/>
    <x v="32"/>
    <x v="0"/>
    <x v="5"/>
    <n v="0"/>
    <x v="0"/>
  </r>
  <r>
    <x v="30"/>
    <x v="1"/>
    <x v="246"/>
    <x v="3"/>
    <x v="8"/>
    <x v="32"/>
    <x v="0"/>
    <x v="6"/>
    <n v="0"/>
    <x v="0"/>
  </r>
  <r>
    <x v="30"/>
    <x v="1"/>
    <x v="246"/>
    <x v="3"/>
    <x v="8"/>
    <x v="32"/>
    <x v="0"/>
    <x v="7"/>
    <n v="0"/>
    <x v="0"/>
  </r>
  <r>
    <x v="30"/>
    <x v="1"/>
    <x v="246"/>
    <x v="3"/>
    <x v="8"/>
    <x v="32"/>
    <x v="0"/>
    <x v="8"/>
    <n v="0"/>
    <x v="0"/>
  </r>
  <r>
    <x v="30"/>
    <x v="1"/>
    <x v="246"/>
    <x v="3"/>
    <x v="8"/>
    <x v="32"/>
    <x v="0"/>
    <x v="9"/>
    <n v="0"/>
    <x v="0"/>
  </r>
  <r>
    <x v="30"/>
    <x v="1"/>
    <x v="246"/>
    <x v="3"/>
    <x v="8"/>
    <x v="32"/>
    <x v="0"/>
    <x v="10"/>
    <n v="0"/>
    <x v="0"/>
  </r>
  <r>
    <x v="30"/>
    <x v="1"/>
    <x v="246"/>
    <x v="3"/>
    <x v="8"/>
    <x v="32"/>
    <x v="0"/>
    <x v="11"/>
    <n v="0"/>
    <x v="0"/>
  </r>
  <r>
    <x v="30"/>
    <x v="1"/>
    <x v="247"/>
    <x v="3"/>
    <x v="8"/>
    <x v="32"/>
    <x v="0"/>
    <x v="0"/>
    <n v="0"/>
    <x v="0"/>
  </r>
  <r>
    <x v="30"/>
    <x v="1"/>
    <x v="247"/>
    <x v="3"/>
    <x v="8"/>
    <x v="32"/>
    <x v="0"/>
    <x v="1"/>
    <n v="0"/>
    <x v="0"/>
  </r>
  <r>
    <x v="30"/>
    <x v="1"/>
    <x v="247"/>
    <x v="3"/>
    <x v="8"/>
    <x v="32"/>
    <x v="0"/>
    <x v="2"/>
    <n v="0"/>
    <x v="0"/>
  </r>
  <r>
    <x v="30"/>
    <x v="1"/>
    <x v="247"/>
    <x v="3"/>
    <x v="8"/>
    <x v="32"/>
    <x v="0"/>
    <x v="3"/>
    <n v="0"/>
    <x v="0"/>
  </r>
  <r>
    <x v="30"/>
    <x v="1"/>
    <x v="247"/>
    <x v="3"/>
    <x v="8"/>
    <x v="32"/>
    <x v="0"/>
    <x v="4"/>
    <n v="0"/>
    <x v="0"/>
  </r>
  <r>
    <x v="30"/>
    <x v="1"/>
    <x v="247"/>
    <x v="3"/>
    <x v="8"/>
    <x v="32"/>
    <x v="0"/>
    <x v="5"/>
    <n v="0"/>
    <x v="0"/>
  </r>
  <r>
    <x v="30"/>
    <x v="1"/>
    <x v="247"/>
    <x v="3"/>
    <x v="8"/>
    <x v="32"/>
    <x v="0"/>
    <x v="6"/>
    <n v="0"/>
    <x v="0"/>
  </r>
  <r>
    <x v="30"/>
    <x v="1"/>
    <x v="247"/>
    <x v="3"/>
    <x v="8"/>
    <x v="32"/>
    <x v="0"/>
    <x v="7"/>
    <n v="19356.92009893537"/>
    <x v="0"/>
  </r>
  <r>
    <x v="30"/>
    <x v="1"/>
    <x v="247"/>
    <x v="3"/>
    <x v="8"/>
    <x v="32"/>
    <x v="0"/>
    <x v="8"/>
    <n v="0"/>
    <x v="0"/>
  </r>
  <r>
    <x v="30"/>
    <x v="1"/>
    <x v="247"/>
    <x v="3"/>
    <x v="8"/>
    <x v="32"/>
    <x v="0"/>
    <x v="9"/>
    <n v="0"/>
    <x v="0"/>
  </r>
  <r>
    <x v="30"/>
    <x v="1"/>
    <x v="247"/>
    <x v="3"/>
    <x v="8"/>
    <x v="32"/>
    <x v="0"/>
    <x v="10"/>
    <n v="0"/>
    <x v="0"/>
  </r>
  <r>
    <x v="30"/>
    <x v="1"/>
    <x v="247"/>
    <x v="3"/>
    <x v="8"/>
    <x v="32"/>
    <x v="0"/>
    <x v="11"/>
    <n v="0"/>
    <x v="0"/>
  </r>
  <r>
    <x v="30"/>
    <x v="0"/>
    <x v="248"/>
    <x v="3"/>
    <x v="8"/>
    <x v="16"/>
    <x v="0"/>
    <x v="0"/>
    <n v="257.16472648377186"/>
    <x v="0"/>
  </r>
  <r>
    <x v="30"/>
    <x v="0"/>
    <x v="248"/>
    <x v="3"/>
    <x v="8"/>
    <x v="16"/>
    <x v="0"/>
    <x v="1"/>
    <n v="190.80690027401809"/>
    <x v="0"/>
  </r>
  <r>
    <x v="30"/>
    <x v="0"/>
    <x v="248"/>
    <x v="3"/>
    <x v="8"/>
    <x v="16"/>
    <x v="0"/>
    <x v="2"/>
    <n v="132.13662144989826"/>
    <x v="0"/>
  </r>
  <r>
    <x v="30"/>
    <x v="0"/>
    <x v="248"/>
    <x v="3"/>
    <x v="8"/>
    <x v="16"/>
    <x v="0"/>
    <x v="3"/>
    <n v="134.06482387985085"/>
    <x v="0"/>
  </r>
  <r>
    <x v="30"/>
    <x v="0"/>
    <x v="248"/>
    <x v="3"/>
    <x v="8"/>
    <x v="16"/>
    <x v="0"/>
    <x v="4"/>
    <n v="0"/>
    <x v="0"/>
  </r>
  <r>
    <x v="30"/>
    <x v="0"/>
    <x v="248"/>
    <x v="3"/>
    <x v="8"/>
    <x v="16"/>
    <x v="0"/>
    <x v="5"/>
    <n v="0"/>
    <x v="0"/>
  </r>
  <r>
    <x v="30"/>
    <x v="0"/>
    <x v="248"/>
    <x v="3"/>
    <x v="8"/>
    <x v="16"/>
    <x v="0"/>
    <x v="6"/>
    <n v="277.38278083535988"/>
    <x v="0"/>
  </r>
  <r>
    <x v="30"/>
    <x v="0"/>
    <x v="248"/>
    <x v="3"/>
    <x v="8"/>
    <x v="16"/>
    <x v="0"/>
    <x v="7"/>
    <n v="0"/>
    <x v="0"/>
  </r>
  <r>
    <x v="30"/>
    <x v="0"/>
    <x v="248"/>
    <x v="3"/>
    <x v="8"/>
    <x v="16"/>
    <x v="0"/>
    <x v="8"/>
    <n v="283.12801632459161"/>
    <x v="0"/>
  </r>
  <r>
    <x v="30"/>
    <x v="0"/>
    <x v="248"/>
    <x v="3"/>
    <x v="8"/>
    <x v="16"/>
    <x v="0"/>
    <x v="9"/>
    <n v="0"/>
    <x v="0"/>
  </r>
  <r>
    <x v="30"/>
    <x v="0"/>
    <x v="248"/>
    <x v="3"/>
    <x v="8"/>
    <x v="16"/>
    <x v="0"/>
    <x v="10"/>
    <n v="136.41827912721286"/>
    <x v="0"/>
  </r>
  <r>
    <x v="30"/>
    <x v="0"/>
    <x v="248"/>
    <x v="3"/>
    <x v="8"/>
    <x v="16"/>
    <x v="0"/>
    <x v="11"/>
    <n v="135.61189570597645"/>
    <x v="0"/>
  </r>
  <r>
    <x v="30"/>
    <x v="1"/>
    <x v="249"/>
    <x v="3"/>
    <x v="8"/>
    <x v="37"/>
    <x v="0"/>
    <x v="0"/>
    <n v="0"/>
    <x v="0"/>
  </r>
  <r>
    <x v="30"/>
    <x v="1"/>
    <x v="249"/>
    <x v="3"/>
    <x v="8"/>
    <x v="37"/>
    <x v="0"/>
    <x v="1"/>
    <n v="0"/>
    <x v="0"/>
  </r>
  <r>
    <x v="30"/>
    <x v="1"/>
    <x v="249"/>
    <x v="3"/>
    <x v="8"/>
    <x v="37"/>
    <x v="0"/>
    <x v="2"/>
    <n v="0"/>
    <x v="0"/>
  </r>
  <r>
    <x v="30"/>
    <x v="1"/>
    <x v="249"/>
    <x v="3"/>
    <x v="8"/>
    <x v="37"/>
    <x v="0"/>
    <x v="3"/>
    <n v="17895.681879725875"/>
    <x v="0"/>
  </r>
  <r>
    <x v="30"/>
    <x v="1"/>
    <x v="249"/>
    <x v="3"/>
    <x v="8"/>
    <x v="37"/>
    <x v="0"/>
    <x v="4"/>
    <n v="0"/>
    <x v="0"/>
  </r>
  <r>
    <x v="30"/>
    <x v="1"/>
    <x v="249"/>
    <x v="3"/>
    <x v="8"/>
    <x v="37"/>
    <x v="0"/>
    <x v="5"/>
    <n v="1535.0520473393226"/>
    <x v="0"/>
  </r>
  <r>
    <x v="30"/>
    <x v="1"/>
    <x v="249"/>
    <x v="3"/>
    <x v="8"/>
    <x v="37"/>
    <x v="0"/>
    <x v="6"/>
    <n v="0"/>
    <x v="0"/>
  </r>
  <r>
    <x v="30"/>
    <x v="1"/>
    <x v="249"/>
    <x v="3"/>
    <x v="8"/>
    <x v="37"/>
    <x v="0"/>
    <x v="7"/>
    <n v="3382.0840950639854"/>
    <x v="0"/>
  </r>
  <r>
    <x v="30"/>
    <x v="1"/>
    <x v="249"/>
    <x v="3"/>
    <x v="8"/>
    <x v="37"/>
    <x v="0"/>
    <x v="8"/>
    <n v="0"/>
    <x v="0"/>
  </r>
  <r>
    <x v="30"/>
    <x v="1"/>
    <x v="249"/>
    <x v="3"/>
    <x v="8"/>
    <x v="37"/>
    <x v="0"/>
    <x v="9"/>
    <n v="0"/>
    <x v="0"/>
  </r>
  <r>
    <x v="30"/>
    <x v="1"/>
    <x v="249"/>
    <x v="3"/>
    <x v="8"/>
    <x v="37"/>
    <x v="0"/>
    <x v="10"/>
    <n v="0"/>
    <x v="0"/>
  </r>
  <r>
    <x v="30"/>
    <x v="1"/>
    <x v="249"/>
    <x v="3"/>
    <x v="8"/>
    <x v="37"/>
    <x v="0"/>
    <x v="11"/>
    <n v="0"/>
    <x v="0"/>
  </r>
  <r>
    <x v="30"/>
    <x v="0"/>
    <x v="250"/>
    <x v="3"/>
    <x v="8"/>
    <x v="16"/>
    <x v="0"/>
    <x v="0"/>
    <n v="41.672265113051907"/>
    <x v="0"/>
  </r>
  <r>
    <x v="30"/>
    <x v="0"/>
    <x v="250"/>
    <x v="3"/>
    <x v="8"/>
    <x v="16"/>
    <x v="0"/>
    <x v="1"/>
    <n v="39.519845553433527"/>
    <x v="0"/>
  </r>
  <r>
    <x v="30"/>
    <x v="0"/>
    <x v="250"/>
    <x v="3"/>
    <x v="8"/>
    <x v="16"/>
    <x v="0"/>
    <x v="2"/>
    <n v="39.26007045964068"/>
    <x v="0"/>
  </r>
  <r>
    <x v="30"/>
    <x v="0"/>
    <x v="250"/>
    <x v="3"/>
    <x v="8"/>
    <x v="16"/>
    <x v="0"/>
    <x v="3"/>
    <n v="39.72858124856792"/>
    <x v="0"/>
  </r>
  <r>
    <x v="30"/>
    <x v="0"/>
    <x v="250"/>
    <x v="3"/>
    <x v="8"/>
    <x v="16"/>
    <x v="0"/>
    <x v="4"/>
    <n v="41.822460452346711"/>
    <x v="0"/>
  </r>
  <r>
    <x v="30"/>
    <x v="0"/>
    <x v="250"/>
    <x v="3"/>
    <x v="8"/>
    <x v="16"/>
    <x v="0"/>
    <x v="5"/>
    <n v="41.637871458189359"/>
    <x v="0"/>
  </r>
  <r>
    <x v="30"/>
    <x v="0"/>
    <x v="250"/>
    <x v="3"/>
    <x v="8"/>
    <x v="16"/>
    <x v="0"/>
    <x v="6"/>
    <n v="41.324288578864291"/>
    <x v="0"/>
  </r>
  <r>
    <x v="30"/>
    <x v="0"/>
    <x v="250"/>
    <x v="3"/>
    <x v="8"/>
    <x v="16"/>
    <x v="0"/>
    <x v="7"/>
    <n v="41.809872029250457"/>
    <x v="0"/>
  </r>
  <r>
    <x v="30"/>
    <x v="0"/>
    <x v="250"/>
    <x v="3"/>
    <x v="8"/>
    <x v="16"/>
    <x v="0"/>
    <x v="8"/>
    <n v="41.978600965223869"/>
    <x v="0"/>
  </r>
  <r>
    <x v="30"/>
    <x v="0"/>
    <x v="250"/>
    <x v="3"/>
    <x v="8"/>
    <x v="16"/>
    <x v="0"/>
    <x v="9"/>
    <n v="41.843629860464119"/>
    <x v="0"/>
  </r>
  <r>
    <x v="30"/>
    <x v="0"/>
    <x v="250"/>
    <x v="3"/>
    <x v="8"/>
    <x v="16"/>
    <x v="0"/>
    <x v="10"/>
    <n v="40.376698229724163"/>
    <x v="0"/>
  </r>
  <r>
    <x v="30"/>
    <x v="0"/>
    <x v="250"/>
    <x v="3"/>
    <x v="8"/>
    <x v="16"/>
    <x v="0"/>
    <x v="11"/>
    <n v="40.853083581425409"/>
    <x v="0"/>
  </r>
  <r>
    <x v="30"/>
    <x v="0"/>
    <x v="251"/>
    <x v="3"/>
    <x v="8"/>
    <x v="40"/>
    <x v="0"/>
    <x v="0"/>
    <n v="0"/>
    <x v="0"/>
  </r>
  <r>
    <x v="30"/>
    <x v="0"/>
    <x v="251"/>
    <x v="3"/>
    <x v="8"/>
    <x v="40"/>
    <x v="0"/>
    <x v="1"/>
    <n v="2174.0077223283233"/>
    <x v="0"/>
  </r>
  <r>
    <x v="30"/>
    <x v="0"/>
    <x v="251"/>
    <x v="3"/>
    <x v="8"/>
    <x v="40"/>
    <x v="0"/>
    <x v="2"/>
    <n v="1084.7912555660018"/>
    <x v="0"/>
  </r>
  <r>
    <x v="30"/>
    <x v="0"/>
    <x v="251"/>
    <x v="3"/>
    <x v="8"/>
    <x v="40"/>
    <x v="0"/>
    <x v="3"/>
    <n v="1093.5926010790092"/>
    <x v="0"/>
  </r>
  <r>
    <x v="30"/>
    <x v="0"/>
    <x v="251"/>
    <x v="3"/>
    <x v="8"/>
    <x v="40"/>
    <x v="0"/>
    <x v="4"/>
    <n v="1140.9585130953938"/>
    <x v="0"/>
  </r>
  <r>
    <x v="30"/>
    <x v="0"/>
    <x v="251"/>
    <x v="3"/>
    <x v="8"/>
    <x v="40"/>
    <x v="0"/>
    <x v="5"/>
    <n v="1130.8558655839668"/>
    <x v="0"/>
  </r>
  <r>
    <x v="30"/>
    <x v="0"/>
    <x v="251"/>
    <x v="3"/>
    <x v="8"/>
    <x v="40"/>
    <x v="0"/>
    <x v="6"/>
    <n v="2234.0180895089384"/>
    <x v="0"/>
  </r>
  <r>
    <x v="30"/>
    <x v="0"/>
    <x v="251"/>
    <x v="3"/>
    <x v="8"/>
    <x v="40"/>
    <x v="0"/>
    <x v="7"/>
    <n v="1126.2103451984085"/>
    <x v="0"/>
  </r>
  <r>
    <x v="30"/>
    <x v="0"/>
    <x v="251"/>
    <x v="3"/>
    <x v="8"/>
    <x v="40"/>
    <x v="0"/>
    <x v="8"/>
    <n v="1130.6971421167984"/>
    <x v="0"/>
  </r>
  <r>
    <x v="30"/>
    <x v="0"/>
    <x v="251"/>
    <x v="3"/>
    <x v="8"/>
    <x v="40"/>
    <x v="0"/>
    <x v="9"/>
    <n v="0"/>
    <x v="0"/>
  </r>
  <r>
    <x v="30"/>
    <x v="0"/>
    <x v="251"/>
    <x v="3"/>
    <x v="8"/>
    <x v="40"/>
    <x v="0"/>
    <x v="10"/>
    <n v="1077.8746397694524"/>
    <x v="0"/>
  </r>
  <r>
    <x v="30"/>
    <x v="0"/>
    <x v="251"/>
    <x v="3"/>
    <x v="8"/>
    <x v="40"/>
    <x v="0"/>
    <x v="11"/>
    <n v="1109.5415682244377"/>
    <x v="0"/>
  </r>
  <r>
    <x v="30"/>
    <x v="1"/>
    <x v="252"/>
    <x v="3"/>
    <x v="8"/>
    <x v="23"/>
    <x v="0"/>
    <x v="0"/>
    <n v="0"/>
    <x v="0"/>
  </r>
  <r>
    <x v="30"/>
    <x v="1"/>
    <x v="252"/>
    <x v="3"/>
    <x v="8"/>
    <x v="23"/>
    <x v="0"/>
    <x v="1"/>
    <n v="0"/>
    <x v="0"/>
  </r>
  <r>
    <x v="30"/>
    <x v="1"/>
    <x v="252"/>
    <x v="3"/>
    <x v="8"/>
    <x v="23"/>
    <x v="0"/>
    <x v="2"/>
    <n v="0"/>
    <x v="0"/>
  </r>
  <r>
    <x v="30"/>
    <x v="1"/>
    <x v="252"/>
    <x v="3"/>
    <x v="8"/>
    <x v="23"/>
    <x v="0"/>
    <x v="3"/>
    <n v="0"/>
    <x v="0"/>
  </r>
  <r>
    <x v="30"/>
    <x v="1"/>
    <x v="252"/>
    <x v="3"/>
    <x v="8"/>
    <x v="23"/>
    <x v="0"/>
    <x v="4"/>
    <n v="0"/>
    <x v="0"/>
  </r>
  <r>
    <x v="30"/>
    <x v="1"/>
    <x v="252"/>
    <x v="3"/>
    <x v="8"/>
    <x v="23"/>
    <x v="0"/>
    <x v="5"/>
    <n v="0"/>
    <x v="0"/>
  </r>
  <r>
    <x v="30"/>
    <x v="1"/>
    <x v="252"/>
    <x v="3"/>
    <x v="8"/>
    <x v="23"/>
    <x v="0"/>
    <x v="6"/>
    <n v="0"/>
    <x v="0"/>
  </r>
  <r>
    <x v="30"/>
    <x v="1"/>
    <x v="252"/>
    <x v="3"/>
    <x v="8"/>
    <x v="23"/>
    <x v="0"/>
    <x v="7"/>
    <n v="865.67587912678789"/>
    <x v="0"/>
  </r>
  <r>
    <x v="30"/>
    <x v="1"/>
    <x v="252"/>
    <x v="3"/>
    <x v="8"/>
    <x v="23"/>
    <x v="0"/>
    <x v="8"/>
    <n v="0"/>
    <x v="0"/>
  </r>
  <r>
    <x v="30"/>
    <x v="1"/>
    <x v="252"/>
    <x v="3"/>
    <x v="8"/>
    <x v="23"/>
    <x v="0"/>
    <x v="9"/>
    <n v="0"/>
    <x v="0"/>
  </r>
  <r>
    <x v="30"/>
    <x v="1"/>
    <x v="252"/>
    <x v="3"/>
    <x v="8"/>
    <x v="23"/>
    <x v="0"/>
    <x v="10"/>
    <n v="0"/>
    <x v="0"/>
  </r>
  <r>
    <x v="30"/>
    <x v="1"/>
    <x v="252"/>
    <x v="3"/>
    <x v="8"/>
    <x v="23"/>
    <x v="0"/>
    <x v="11"/>
    <n v="0"/>
    <x v="0"/>
  </r>
  <r>
    <x v="30"/>
    <x v="1"/>
    <x v="253"/>
    <x v="3"/>
    <x v="8"/>
    <x v="23"/>
    <x v="0"/>
    <x v="0"/>
    <n v="0"/>
    <x v="0"/>
  </r>
  <r>
    <x v="30"/>
    <x v="1"/>
    <x v="253"/>
    <x v="3"/>
    <x v="8"/>
    <x v="23"/>
    <x v="0"/>
    <x v="1"/>
    <n v="0"/>
    <x v="0"/>
  </r>
  <r>
    <x v="30"/>
    <x v="1"/>
    <x v="253"/>
    <x v="3"/>
    <x v="8"/>
    <x v="23"/>
    <x v="0"/>
    <x v="2"/>
    <n v="0"/>
    <x v="0"/>
  </r>
  <r>
    <x v="30"/>
    <x v="1"/>
    <x v="253"/>
    <x v="3"/>
    <x v="8"/>
    <x v="23"/>
    <x v="0"/>
    <x v="3"/>
    <n v="0"/>
    <x v="0"/>
  </r>
  <r>
    <x v="30"/>
    <x v="1"/>
    <x v="253"/>
    <x v="3"/>
    <x v="8"/>
    <x v="23"/>
    <x v="0"/>
    <x v="4"/>
    <n v="32677.977513400445"/>
    <x v="0"/>
  </r>
  <r>
    <x v="30"/>
    <x v="1"/>
    <x v="253"/>
    <x v="3"/>
    <x v="8"/>
    <x v="23"/>
    <x v="0"/>
    <x v="5"/>
    <n v="0"/>
    <x v="0"/>
  </r>
  <r>
    <x v="30"/>
    <x v="1"/>
    <x v="253"/>
    <x v="3"/>
    <x v="8"/>
    <x v="23"/>
    <x v="0"/>
    <x v="6"/>
    <n v="0"/>
    <x v="0"/>
  </r>
  <r>
    <x v="30"/>
    <x v="1"/>
    <x v="253"/>
    <x v="3"/>
    <x v="8"/>
    <x v="23"/>
    <x v="0"/>
    <x v="7"/>
    <n v="0"/>
    <x v="0"/>
  </r>
  <r>
    <x v="30"/>
    <x v="1"/>
    <x v="253"/>
    <x v="3"/>
    <x v="8"/>
    <x v="23"/>
    <x v="0"/>
    <x v="8"/>
    <n v="0"/>
    <x v="0"/>
  </r>
  <r>
    <x v="30"/>
    <x v="1"/>
    <x v="253"/>
    <x v="3"/>
    <x v="8"/>
    <x v="23"/>
    <x v="0"/>
    <x v="9"/>
    <n v="0"/>
    <x v="0"/>
  </r>
  <r>
    <x v="30"/>
    <x v="1"/>
    <x v="253"/>
    <x v="3"/>
    <x v="8"/>
    <x v="23"/>
    <x v="0"/>
    <x v="10"/>
    <n v="0"/>
    <x v="0"/>
  </r>
  <r>
    <x v="30"/>
    <x v="1"/>
    <x v="253"/>
    <x v="3"/>
    <x v="8"/>
    <x v="23"/>
    <x v="0"/>
    <x v="11"/>
    <n v="0"/>
    <x v="0"/>
  </r>
  <r>
    <x v="30"/>
    <x v="1"/>
    <x v="254"/>
    <x v="0"/>
    <x v="5"/>
    <x v="23"/>
    <x v="0"/>
    <x v="0"/>
    <n v="0"/>
    <x v="0"/>
  </r>
  <r>
    <x v="30"/>
    <x v="1"/>
    <x v="254"/>
    <x v="0"/>
    <x v="5"/>
    <x v="23"/>
    <x v="0"/>
    <x v="1"/>
    <n v="2085.6410362866395"/>
    <x v="0"/>
  </r>
  <r>
    <x v="30"/>
    <x v="1"/>
    <x v="254"/>
    <x v="0"/>
    <x v="5"/>
    <x v="23"/>
    <x v="0"/>
    <x v="2"/>
    <n v="0"/>
    <x v="0"/>
  </r>
  <r>
    <x v="30"/>
    <x v="1"/>
    <x v="254"/>
    <x v="0"/>
    <x v="5"/>
    <x v="23"/>
    <x v="0"/>
    <x v="3"/>
    <n v="0"/>
    <x v="0"/>
  </r>
  <r>
    <x v="30"/>
    <x v="1"/>
    <x v="254"/>
    <x v="0"/>
    <x v="5"/>
    <x v="23"/>
    <x v="0"/>
    <x v="4"/>
    <n v="0"/>
    <x v="0"/>
  </r>
  <r>
    <x v="30"/>
    <x v="1"/>
    <x v="254"/>
    <x v="0"/>
    <x v="5"/>
    <x v="23"/>
    <x v="0"/>
    <x v="5"/>
    <n v="0"/>
    <x v="0"/>
  </r>
  <r>
    <x v="30"/>
    <x v="1"/>
    <x v="254"/>
    <x v="0"/>
    <x v="5"/>
    <x v="23"/>
    <x v="0"/>
    <x v="6"/>
    <n v="0"/>
    <x v="0"/>
  </r>
  <r>
    <x v="30"/>
    <x v="1"/>
    <x v="254"/>
    <x v="0"/>
    <x v="5"/>
    <x v="23"/>
    <x v="0"/>
    <x v="7"/>
    <n v="0"/>
    <x v="0"/>
  </r>
  <r>
    <x v="30"/>
    <x v="1"/>
    <x v="254"/>
    <x v="0"/>
    <x v="5"/>
    <x v="23"/>
    <x v="0"/>
    <x v="8"/>
    <n v="0"/>
    <x v="0"/>
  </r>
  <r>
    <x v="30"/>
    <x v="1"/>
    <x v="254"/>
    <x v="0"/>
    <x v="5"/>
    <x v="23"/>
    <x v="0"/>
    <x v="9"/>
    <n v="0"/>
    <x v="0"/>
  </r>
  <r>
    <x v="30"/>
    <x v="1"/>
    <x v="254"/>
    <x v="0"/>
    <x v="5"/>
    <x v="23"/>
    <x v="0"/>
    <x v="10"/>
    <n v="0"/>
    <x v="0"/>
  </r>
  <r>
    <x v="30"/>
    <x v="1"/>
    <x v="254"/>
    <x v="0"/>
    <x v="5"/>
    <x v="23"/>
    <x v="0"/>
    <x v="11"/>
    <n v="0"/>
    <x v="0"/>
  </r>
  <r>
    <x v="30"/>
    <x v="1"/>
    <x v="255"/>
    <x v="0"/>
    <x v="5"/>
    <x v="2"/>
    <x v="0"/>
    <x v="0"/>
    <n v="35.49708697232348"/>
    <x v="0"/>
  </r>
  <r>
    <x v="30"/>
    <x v="1"/>
    <x v="255"/>
    <x v="0"/>
    <x v="5"/>
    <x v="2"/>
    <x v="0"/>
    <x v="1"/>
    <n v="0"/>
    <x v="0"/>
  </r>
  <r>
    <x v="30"/>
    <x v="1"/>
    <x v="255"/>
    <x v="0"/>
    <x v="5"/>
    <x v="2"/>
    <x v="0"/>
    <x v="2"/>
    <n v="0"/>
    <x v="0"/>
  </r>
  <r>
    <x v="30"/>
    <x v="1"/>
    <x v="255"/>
    <x v="0"/>
    <x v="5"/>
    <x v="2"/>
    <x v="0"/>
    <x v="3"/>
    <n v="0"/>
    <x v="0"/>
  </r>
  <r>
    <x v="30"/>
    <x v="1"/>
    <x v="255"/>
    <x v="0"/>
    <x v="5"/>
    <x v="2"/>
    <x v="0"/>
    <x v="4"/>
    <n v="0"/>
    <x v="0"/>
  </r>
  <r>
    <x v="30"/>
    <x v="1"/>
    <x v="255"/>
    <x v="0"/>
    <x v="5"/>
    <x v="2"/>
    <x v="0"/>
    <x v="5"/>
    <n v="0"/>
    <x v="0"/>
  </r>
  <r>
    <x v="30"/>
    <x v="1"/>
    <x v="255"/>
    <x v="0"/>
    <x v="5"/>
    <x v="2"/>
    <x v="0"/>
    <x v="6"/>
    <n v="34.377533171210381"/>
    <x v="0"/>
  </r>
  <r>
    <x v="30"/>
    <x v="1"/>
    <x v="255"/>
    <x v="0"/>
    <x v="5"/>
    <x v="2"/>
    <x v="0"/>
    <x v="7"/>
    <n v="0"/>
    <x v="0"/>
  </r>
  <r>
    <x v="30"/>
    <x v="1"/>
    <x v="255"/>
    <x v="0"/>
    <x v="5"/>
    <x v="2"/>
    <x v="0"/>
    <x v="8"/>
    <n v="0"/>
    <x v="0"/>
  </r>
  <r>
    <x v="30"/>
    <x v="1"/>
    <x v="255"/>
    <x v="0"/>
    <x v="5"/>
    <x v="2"/>
    <x v="0"/>
    <x v="9"/>
    <n v="0"/>
    <x v="0"/>
  </r>
  <r>
    <x v="30"/>
    <x v="1"/>
    <x v="255"/>
    <x v="0"/>
    <x v="5"/>
    <x v="2"/>
    <x v="0"/>
    <x v="10"/>
    <n v="0"/>
    <x v="0"/>
  </r>
  <r>
    <x v="30"/>
    <x v="1"/>
    <x v="255"/>
    <x v="0"/>
    <x v="5"/>
    <x v="2"/>
    <x v="0"/>
    <x v="11"/>
    <n v="0"/>
    <x v="0"/>
  </r>
  <r>
    <x v="42"/>
    <x v="0"/>
    <x v="43"/>
    <x v="1"/>
    <x v="0"/>
    <x v="2"/>
    <x v="0"/>
    <x v="0"/>
    <n v="0"/>
    <x v="0"/>
  </r>
  <r>
    <x v="42"/>
    <x v="0"/>
    <x v="43"/>
    <x v="1"/>
    <x v="0"/>
    <x v="2"/>
    <x v="0"/>
    <x v="1"/>
    <n v="0"/>
    <x v="0"/>
  </r>
  <r>
    <x v="42"/>
    <x v="0"/>
    <x v="43"/>
    <x v="1"/>
    <x v="0"/>
    <x v="2"/>
    <x v="0"/>
    <x v="2"/>
    <n v="0"/>
    <x v="0"/>
  </r>
  <r>
    <x v="42"/>
    <x v="0"/>
    <x v="43"/>
    <x v="1"/>
    <x v="0"/>
    <x v="2"/>
    <x v="0"/>
    <x v="3"/>
    <n v="0"/>
    <x v="0"/>
  </r>
  <r>
    <x v="42"/>
    <x v="0"/>
    <x v="43"/>
    <x v="1"/>
    <x v="0"/>
    <x v="2"/>
    <x v="0"/>
    <x v="4"/>
    <n v="0"/>
    <x v="0"/>
  </r>
  <r>
    <x v="42"/>
    <x v="0"/>
    <x v="43"/>
    <x v="1"/>
    <x v="0"/>
    <x v="2"/>
    <x v="0"/>
    <x v="5"/>
    <n v="0"/>
    <x v="0"/>
  </r>
  <r>
    <x v="42"/>
    <x v="0"/>
    <x v="43"/>
    <x v="1"/>
    <x v="0"/>
    <x v="2"/>
    <x v="0"/>
    <x v="6"/>
    <n v="2133.7663722855073"/>
    <x v="0"/>
  </r>
  <r>
    <x v="42"/>
    <x v="0"/>
    <x v="43"/>
    <x v="1"/>
    <x v="0"/>
    <x v="2"/>
    <x v="0"/>
    <x v="7"/>
    <n v="2201.3184213356276"/>
    <x v="0"/>
  </r>
  <r>
    <x v="42"/>
    <x v="0"/>
    <x v="43"/>
    <x v="1"/>
    <x v="0"/>
    <x v="2"/>
    <x v="0"/>
    <x v="8"/>
    <n v="2843.4696235195042"/>
    <x v="0"/>
  </r>
  <r>
    <x v="42"/>
    <x v="0"/>
    <x v="43"/>
    <x v="1"/>
    <x v="0"/>
    <x v="2"/>
    <x v="0"/>
    <x v="9"/>
    <n v="2824.8540923742521"/>
    <x v="0"/>
  </r>
  <r>
    <x v="42"/>
    <x v="0"/>
    <x v="43"/>
    <x v="1"/>
    <x v="0"/>
    <x v="2"/>
    <x v="0"/>
    <x v="10"/>
    <n v="603.87093454096339"/>
    <x v="0"/>
  </r>
  <r>
    <x v="42"/>
    <x v="0"/>
    <x v="43"/>
    <x v="1"/>
    <x v="0"/>
    <x v="2"/>
    <x v="0"/>
    <x v="11"/>
    <n v="621.61208641020482"/>
    <x v="0"/>
  </r>
  <r>
    <x v="30"/>
    <x v="1"/>
    <x v="256"/>
    <x v="0"/>
    <x v="9"/>
    <x v="2"/>
    <x v="0"/>
    <x v="0"/>
    <n v="0"/>
    <x v="0"/>
  </r>
  <r>
    <x v="30"/>
    <x v="1"/>
    <x v="256"/>
    <x v="0"/>
    <x v="9"/>
    <x v="2"/>
    <x v="0"/>
    <x v="1"/>
    <n v="0"/>
    <x v="0"/>
  </r>
  <r>
    <x v="30"/>
    <x v="1"/>
    <x v="256"/>
    <x v="0"/>
    <x v="9"/>
    <x v="2"/>
    <x v="0"/>
    <x v="2"/>
    <n v="0"/>
    <x v="0"/>
  </r>
  <r>
    <x v="30"/>
    <x v="1"/>
    <x v="256"/>
    <x v="0"/>
    <x v="9"/>
    <x v="2"/>
    <x v="0"/>
    <x v="3"/>
    <n v="0"/>
    <x v="0"/>
  </r>
  <r>
    <x v="30"/>
    <x v="1"/>
    <x v="256"/>
    <x v="0"/>
    <x v="9"/>
    <x v="2"/>
    <x v="0"/>
    <x v="4"/>
    <n v="0"/>
    <x v="0"/>
  </r>
  <r>
    <x v="30"/>
    <x v="1"/>
    <x v="256"/>
    <x v="0"/>
    <x v="9"/>
    <x v="2"/>
    <x v="0"/>
    <x v="5"/>
    <n v="0"/>
    <x v="0"/>
  </r>
  <r>
    <x v="30"/>
    <x v="1"/>
    <x v="256"/>
    <x v="0"/>
    <x v="9"/>
    <x v="2"/>
    <x v="0"/>
    <x v="6"/>
    <n v="0"/>
    <x v="0"/>
  </r>
  <r>
    <x v="30"/>
    <x v="1"/>
    <x v="256"/>
    <x v="0"/>
    <x v="9"/>
    <x v="2"/>
    <x v="0"/>
    <x v="7"/>
    <n v="0"/>
    <x v="0"/>
  </r>
  <r>
    <x v="30"/>
    <x v="1"/>
    <x v="256"/>
    <x v="0"/>
    <x v="9"/>
    <x v="2"/>
    <x v="0"/>
    <x v="8"/>
    <n v="0"/>
    <x v="0"/>
  </r>
  <r>
    <x v="30"/>
    <x v="1"/>
    <x v="256"/>
    <x v="0"/>
    <x v="9"/>
    <x v="2"/>
    <x v="0"/>
    <x v="9"/>
    <n v="8002.0732268876973"/>
    <x v="0"/>
  </r>
  <r>
    <x v="30"/>
    <x v="1"/>
    <x v="256"/>
    <x v="0"/>
    <x v="9"/>
    <x v="2"/>
    <x v="0"/>
    <x v="10"/>
    <n v="0"/>
    <x v="0"/>
  </r>
  <r>
    <x v="30"/>
    <x v="1"/>
    <x v="256"/>
    <x v="0"/>
    <x v="9"/>
    <x v="2"/>
    <x v="0"/>
    <x v="11"/>
    <n v="0"/>
    <x v="0"/>
  </r>
  <r>
    <x v="30"/>
    <x v="0"/>
    <x v="257"/>
    <x v="1"/>
    <x v="0"/>
    <x v="2"/>
    <x v="0"/>
    <x v="0"/>
    <n v="0"/>
    <x v="0"/>
  </r>
  <r>
    <x v="30"/>
    <x v="0"/>
    <x v="257"/>
    <x v="1"/>
    <x v="0"/>
    <x v="2"/>
    <x v="0"/>
    <x v="1"/>
    <n v="0"/>
    <x v="0"/>
  </r>
  <r>
    <x v="30"/>
    <x v="0"/>
    <x v="257"/>
    <x v="1"/>
    <x v="0"/>
    <x v="2"/>
    <x v="0"/>
    <x v="2"/>
    <n v="0"/>
    <x v="0"/>
  </r>
  <r>
    <x v="30"/>
    <x v="0"/>
    <x v="257"/>
    <x v="1"/>
    <x v="0"/>
    <x v="2"/>
    <x v="0"/>
    <x v="3"/>
    <n v="0"/>
    <x v="0"/>
  </r>
  <r>
    <x v="30"/>
    <x v="0"/>
    <x v="257"/>
    <x v="1"/>
    <x v="0"/>
    <x v="2"/>
    <x v="0"/>
    <x v="4"/>
    <n v="0"/>
    <x v="0"/>
  </r>
  <r>
    <x v="30"/>
    <x v="0"/>
    <x v="257"/>
    <x v="1"/>
    <x v="0"/>
    <x v="2"/>
    <x v="0"/>
    <x v="5"/>
    <n v="0"/>
    <x v="0"/>
  </r>
  <r>
    <x v="30"/>
    <x v="0"/>
    <x v="257"/>
    <x v="1"/>
    <x v="0"/>
    <x v="2"/>
    <x v="0"/>
    <x v="6"/>
    <n v="0"/>
    <x v="0"/>
  </r>
  <r>
    <x v="30"/>
    <x v="0"/>
    <x v="257"/>
    <x v="1"/>
    <x v="0"/>
    <x v="2"/>
    <x v="0"/>
    <x v="7"/>
    <n v="0"/>
    <x v="0"/>
  </r>
  <r>
    <x v="30"/>
    <x v="0"/>
    <x v="257"/>
    <x v="1"/>
    <x v="0"/>
    <x v="2"/>
    <x v="0"/>
    <x v="8"/>
    <n v="0"/>
    <x v="0"/>
  </r>
  <r>
    <x v="30"/>
    <x v="0"/>
    <x v="257"/>
    <x v="1"/>
    <x v="0"/>
    <x v="2"/>
    <x v="0"/>
    <x v="9"/>
    <n v="1847.2708580974718"/>
    <x v="0"/>
  </r>
  <r>
    <x v="30"/>
    <x v="0"/>
    <x v="257"/>
    <x v="1"/>
    <x v="0"/>
    <x v="2"/>
    <x v="0"/>
    <x v="10"/>
    <n v="0"/>
    <x v="0"/>
  </r>
  <r>
    <x v="30"/>
    <x v="0"/>
    <x v="257"/>
    <x v="1"/>
    <x v="0"/>
    <x v="2"/>
    <x v="0"/>
    <x v="11"/>
    <n v="0"/>
    <x v="0"/>
  </r>
  <r>
    <x v="30"/>
    <x v="1"/>
    <x v="258"/>
    <x v="0"/>
    <x v="3"/>
    <x v="2"/>
    <x v="0"/>
    <x v="0"/>
    <n v="0"/>
    <x v="0"/>
  </r>
  <r>
    <x v="30"/>
    <x v="1"/>
    <x v="258"/>
    <x v="0"/>
    <x v="3"/>
    <x v="2"/>
    <x v="0"/>
    <x v="1"/>
    <n v="0"/>
    <x v="0"/>
  </r>
  <r>
    <x v="30"/>
    <x v="1"/>
    <x v="258"/>
    <x v="0"/>
    <x v="3"/>
    <x v="2"/>
    <x v="0"/>
    <x v="2"/>
    <n v="0"/>
    <x v="0"/>
  </r>
  <r>
    <x v="30"/>
    <x v="1"/>
    <x v="258"/>
    <x v="0"/>
    <x v="3"/>
    <x v="2"/>
    <x v="0"/>
    <x v="3"/>
    <n v="0"/>
    <x v="0"/>
  </r>
  <r>
    <x v="30"/>
    <x v="1"/>
    <x v="258"/>
    <x v="0"/>
    <x v="3"/>
    <x v="2"/>
    <x v="0"/>
    <x v="4"/>
    <n v="0"/>
    <x v="0"/>
  </r>
  <r>
    <x v="30"/>
    <x v="1"/>
    <x v="258"/>
    <x v="0"/>
    <x v="3"/>
    <x v="2"/>
    <x v="0"/>
    <x v="5"/>
    <n v="0"/>
    <x v="0"/>
  </r>
  <r>
    <x v="30"/>
    <x v="1"/>
    <x v="258"/>
    <x v="0"/>
    <x v="3"/>
    <x v="2"/>
    <x v="0"/>
    <x v="6"/>
    <n v="0"/>
    <x v="0"/>
  </r>
  <r>
    <x v="30"/>
    <x v="1"/>
    <x v="258"/>
    <x v="0"/>
    <x v="3"/>
    <x v="2"/>
    <x v="0"/>
    <x v="7"/>
    <n v="0"/>
    <x v="0"/>
  </r>
  <r>
    <x v="30"/>
    <x v="1"/>
    <x v="258"/>
    <x v="0"/>
    <x v="3"/>
    <x v="2"/>
    <x v="0"/>
    <x v="8"/>
    <n v="0"/>
    <x v="0"/>
  </r>
  <r>
    <x v="30"/>
    <x v="1"/>
    <x v="258"/>
    <x v="0"/>
    <x v="3"/>
    <x v="2"/>
    <x v="0"/>
    <x v="9"/>
    <n v="1381.4202032533385"/>
    <x v="0"/>
  </r>
  <r>
    <x v="30"/>
    <x v="1"/>
    <x v="258"/>
    <x v="0"/>
    <x v="3"/>
    <x v="2"/>
    <x v="0"/>
    <x v="10"/>
    <n v="0"/>
    <x v="0"/>
  </r>
  <r>
    <x v="30"/>
    <x v="1"/>
    <x v="258"/>
    <x v="0"/>
    <x v="3"/>
    <x v="2"/>
    <x v="0"/>
    <x v="11"/>
    <n v="0"/>
    <x v="0"/>
  </r>
  <r>
    <x v="30"/>
    <x v="2"/>
    <x v="259"/>
    <x v="3"/>
    <x v="2"/>
    <x v="3"/>
    <x v="0"/>
    <x v="0"/>
    <n v="0"/>
    <x v="0"/>
  </r>
  <r>
    <x v="30"/>
    <x v="2"/>
    <x v="259"/>
    <x v="3"/>
    <x v="2"/>
    <x v="3"/>
    <x v="0"/>
    <x v="1"/>
    <n v="0"/>
    <x v="0"/>
  </r>
  <r>
    <x v="30"/>
    <x v="2"/>
    <x v="259"/>
    <x v="3"/>
    <x v="2"/>
    <x v="3"/>
    <x v="0"/>
    <x v="2"/>
    <n v="0"/>
    <x v="0"/>
  </r>
  <r>
    <x v="30"/>
    <x v="2"/>
    <x v="259"/>
    <x v="3"/>
    <x v="2"/>
    <x v="3"/>
    <x v="0"/>
    <x v="3"/>
    <n v="0"/>
    <x v="0"/>
  </r>
  <r>
    <x v="30"/>
    <x v="2"/>
    <x v="259"/>
    <x v="3"/>
    <x v="2"/>
    <x v="3"/>
    <x v="0"/>
    <x v="4"/>
    <n v="0"/>
    <x v="0"/>
  </r>
  <r>
    <x v="30"/>
    <x v="2"/>
    <x v="259"/>
    <x v="3"/>
    <x v="2"/>
    <x v="3"/>
    <x v="0"/>
    <x v="5"/>
    <n v="0"/>
    <x v="0"/>
  </r>
  <r>
    <x v="30"/>
    <x v="2"/>
    <x v="259"/>
    <x v="3"/>
    <x v="2"/>
    <x v="3"/>
    <x v="0"/>
    <x v="6"/>
    <n v="0"/>
    <x v="0"/>
  </r>
  <r>
    <x v="30"/>
    <x v="2"/>
    <x v="259"/>
    <x v="3"/>
    <x v="2"/>
    <x v="3"/>
    <x v="0"/>
    <x v="7"/>
    <n v="0"/>
    <x v="0"/>
  </r>
  <r>
    <x v="30"/>
    <x v="2"/>
    <x v="259"/>
    <x v="3"/>
    <x v="2"/>
    <x v="3"/>
    <x v="0"/>
    <x v="8"/>
    <n v="0"/>
    <x v="0"/>
  </r>
  <r>
    <x v="30"/>
    <x v="2"/>
    <x v="259"/>
    <x v="3"/>
    <x v="2"/>
    <x v="3"/>
    <x v="0"/>
    <x v="9"/>
    <n v="0"/>
    <x v="0"/>
  </r>
  <r>
    <x v="30"/>
    <x v="2"/>
    <x v="259"/>
    <x v="3"/>
    <x v="2"/>
    <x v="3"/>
    <x v="0"/>
    <x v="10"/>
    <n v="11223.674351585014"/>
    <x v="0"/>
  </r>
  <r>
    <x v="30"/>
    <x v="2"/>
    <x v="259"/>
    <x v="3"/>
    <x v="2"/>
    <x v="3"/>
    <x v="0"/>
    <x v="11"/>
    <n v="0"/>
    <x v="0"/>
  </r>
  <r>
    <x v="57"/>
    <x v="0"/>
    <x v="260"/>
    <x v="0"/>
    <x v="0"/>
    <x v="0"/>
    <x v="0"/>
    <x v="0"/>
    <n v="6027.8688000577549"/>
    <x v="1"/>
  </r>
  <r>
    <x v="57"/>
    <x v="0"/>
    <x v="260"/>
    <x v="0"/>
    <x v="0"/>
    <x v="0"/>
    <x v="0"/>
    <x v="1"/>
    <n v="4765.1720407872153"/>
    <x v="1"/>
  </r>
  <r>
    <x v="57"/>
    <x v="0"/>
    <x v="260"/>
    <x v="0"/>
    <x v="0"/>
    <x v="0"/>
    <x v="0"/>
    <x v="2"/>
    <n v="4843.1166624766502"/>
    <x v="1"/>
  </r>
  <r>
    <x v="57"/>
    <x v="0"/>
    <x v="260"/>
    <x v="0"/>
    <x v="0"/>
    <x v="0"/>
    <x v="0"/>
    <x v="3"/>
    <n v="4943.5176742754747"/>
    <x v="1"/>
  </r>
  <r>
    <x v="57"/>
    <x v="0"/>
    <x v="260"/>
    <x v="0"/>
    <x v="0"/>
    <x v="0"/>
    <x v="0"/>
    <x v="4"/>
    <n v="6814.6612360734989"/>
    <x v="1"/>
  </r>
  <r>
    <x v="57"/>
    <x v="0"/>
    <x v="260"/>
    <x v="0"/>
    <x v="0"/>
    <x v="0"/>
    <x v="0"/>
    <x v="5"/>
    <n v="4669.0712344488766"/>
    <x v="1"/>
  </r>
  <r>
    <x v="57"/>
    <x v="0"/>
    <x v="260"/>
    <x v="0"/>
    <x v="0"/>
    <x v="0"/>
    <x v="0"/>
    <x v="6"/>
    <n v="9309.3617127707475"/>
    <x v="1"/>
  </r>
  <r>
    <x v="57"/>
    <x v="0"/>
    <x v="260"/>
    <x v="0"/>
    <x v="0"/>
    <x v="0"/>
    <x v="0"/>
    <x v="7"/>
    <n v="8030.1640457359272"/>
    <x v="1"/>
  </r>
  <r>
    <x v="57"/>
    <x v="0"/>
    <x v="260"/>
    <x v="0"/>
    <x v="0"/>
    <x v="0"/>
    <x v="0"/>
    <x v="8"/>
    <n v="4772.2884091682736"/>
    <x v="1"/>
  </r>
  <r>
    <x v="57"/>
    <x v="0"/>
    <x v="260"/>
    <x v="0"/>
    <x v="0"/>
    <x v="0"/>
    <x v="0"/>
    <x v="9"/>
    <n v="7342.6562490114829"/>
    <x v="1"/>
  </r>
  <r>
    <x v="57"/>
    <x v="0"/>
    <x v="260"/>
    <x v="0"/>
    <x v="0"/>
    <x v="0"/>
    <x v="0"/>
    <x v="10"/>
    <n v="8455.314407614047"/>
    <x v="1"/>
  </r>
  <r>
    <x v="57"/>
    <x v="0"/>
    <x v="260"/>
    <x v="0"/>
    <x v="0"/>
    <x v="0"/>
    <x v="0"/>
    <x v="12"/>
    <n v="9519.7570256342369"/>
    <x v="1"/>
  </r>
  <r>
    <x v="57"/>
    <x v="1"/>
    <x v="260"/>
    <x v="0"/>
    <x v="1"/>
    <x v="1"/>
    <x v="0"/>
    <x v="0"/>
    <n v="0"/>
    <x v="1"/>
  </r>
  <r>
    <x v="57"/>
    <x v="1"/>
    <x v="260"/>
    <x v="0"/>
    <x v="1"/>
    <x v="1"/>
    <x v="0"/>
    <x v="1"/>
    <n v="3756.3899174846024"/>
    <x v="1"/>
  </r>
  <r>
    <x v="57"/>
    <x v="1"/>
    <x v="260"/>
    <x v="0"/>
    <x v="1"/>
    <x v="1"/>
    <x v="0"/>
    <x v="2"/>
    <n v="0"/>
    <x v="1"/>
  </r>
  <r>
    <x v="57"/>
    <x v="1"/>
    <x v="260"/>
    <x v="0"/>
    <x v="1"/>
    <x v="1"/>
    <x v="0"/>
    <x v="3"/>
    <n v="2318.4023484596974"/>
    <x v="1"/>
  </r>
  <r>
    <x v="57"/>
    <x v="1"/>
    <x v="260"/>
    <x v="0"/>
    <x v="1"/>
    <x v="1"/>
    <x v="0"/>
    <x v="4"/>
    <n v="0"/>
    <x v="1"/>
  </r>
  <r>
    <x v="57"/>
    <x v="1"/>
    <x v="260"/>
    <x v="0"/>
    <x v="1"/>
    <x v="1"/>
    <x v="0"/>
    <x v="5"/>
    <n v="0"/>
    <x v="1"/>
  </r>
  <r>
    <x v="57"/>
    <x v="1"/>
    <x v="260"/>
    <x v="0"/>
    <x v="1"/>
    <x v="1"/>
    <x v="0"/>
    <x v="6"/>
    <n v="0"/>
    <x v="1"/>
  </r>
  <r>
    <x v="57"/>
    <x v="1"/>
    <x v="260"/>
    <x v="0"/>
    <x v="1"/>
    <x v="1"/>
    <x v="0"/>
    <x v="7"/>
    <n v="0"/>
    <x v="1"/>
  </r>
  <r>
    <x v="57"/>
    <x v="1"/>
    <x v="260"/>
    <x v="0"/>
    <x v="1"/>
    <x v="1"/>
    <x v="0"/>
    <x v="8"/>
    <n v="0"/>
    <x v="1"/>
  </r>
  <r>
    <x v="57"/>
    <x v="1"/>
    <x v="260"/>
    <x v="0"/>
    <x v="1"/>
    <x v="1"/>
    <x v="0"/>
    <x v="9"/>
    <n v="0"/>
    <x v="1"/>
  </r>
  <r>
    <x v="57"/>
    <x v="1"/>
    <x v="260"/>
    <x v="0"/>
    <x v="1"/>
    <x v="1"/>
    <x v="0"/>
    <x v="10"/>
    <n v="0"/>
    <x v="1"/>
  </r>
  <r>
    <x v="57"/>
    <x v="1"/>
    <x v="260"/>
    <x v="0"/>
    <x v="1"/>
    <x v="1"/>
    <x v="0"/>
    <x v="12"/>
    <n v="0"/>
    <x v="1"/>
  </r>
  <r>
    <x v="58"/>
    <x v="0"/>
    <x v="261"/>
    <x v="0"/>
    <x v="0"/>
    <x v="0"/>
    <x v="0"/>
    <x v="0"/>
    <n v="3582.3951204651084"/>
    <x v="1"/>
  </r>
  <r>
    <x v="58"/>
    <x v="0"/>
    <x v="261"/>
    <x v="0"/>
    <x v="0"/>
    <x v="0"/>
    <x v="0"/>
    <x v="1"/>
    <n v="2930.0909805447809"/>
    <x v="1"/>
  </r>
  <r>
    <x v="58"/>
    <x v="0"/>
    <x v="261"/>
    <x v="0"/>
    <x v="0"/>
    <x v="0"/>
    <x v="0"/>
    <x v="2"/>
    <n v="2960.0890684355845"/>
    <x v="1"/>
  </r>
  <r>
    <x v="58"/>
    <x v="0"/>
    <x v="261"/>
    <x v="0"/>
    <x v="0"/>
    <x v="0"/>
    <x v="0"/>
    <x v="3"/>
    <n v="3022.2490614315589"/>
    <x v="1"/>
  </r>
  <r>
    <x v="58"/>
    <x v="0"/>
    <x v="261"/>
    <x v="0"/>
    <x v="0"/>
    <x v="0"/>
    <x v="0"/>
    <x v="4"/>
    <n v="4166.199426885315"/>
    <x v="1"/>
  </r>
  <r>
    <x v="58"/>
    <x v="0"/>
    <x v="261"/>
    <x v="0"/>
    <x v="0"/>
    <x v="0"/>
    <x v="0"/>
    <x v="5"/>
    <n v="2854.4677994772505"/>
    <x v="1"/>
  </r>
  <r>
    <x v="58"/>
    <x v="0"/>
    <x v="261"/>
    <x v="0"/>
    <x v="0"/>
    <x v="0"/>
    <x v="0"/>
    <x v="6"/>
    <n v="6129.0730828872993"/>
    <x v="1"/>
  </r>
  <r>
    <x v="58"/>
    <x v="0"/>
    <x v="261"/>
    <x v="0"/>
    <x v="0"/>
    <x v="0"/>
    <x v="0"/>
    <x v="7"/>
    <n v="5367.0214991792436"/>
    <x v="1"/>
  </r>
  <r>
    <x v="58"/>
    <x v="0"/>
    <x v="261"/>
    <x v="0"/>
    <x v="0"/>
    <x v="0"/>
    <x v="0"/>
    <x v="8"/>
    <n v="2946.226313400658"/>
    <x v="1"/>
  </r>
  <r>
    <x v="58"/>
    <x v="0"/>
    <x v="261"/>
    <x v="0"/>
    <x v="0"/>
    <x v="0"/>
    <x v="0"/>
    <x v="9"/>
    <n v="5676.5791288394012"/>
    <x v="1"/>
  </r>
  <r>
    <x v="58"/>
    <x v="0"/>
    <x v="261"/>
    <x v="0"/>
    <x v="0"/>
    <x v="0"/>
    <x v="0"/>
    <x v="10"/>
    <n v="6661.5991467016738"/>
    <x v="1"/>
  </r>
  <r>
    <x v="58"/>
    <x v="0"/>
    <x v="261"/>
    <x v="0"/>
    <x v="0"/>
    <x v="0"/>
    <x v="0"/>
    <x v="12"/>
    <n v="7359.6873135131091"/>
    <x v="1"/>
  </r>
  <r>
    <x v="58"/>
    <x v="1"/>
    <x v="261"/>
    <x v="0"/>
    <x v="1"/>
    <x v="1"/>
    <x v="0"/>
    <x v="0"/>
    <n v="3676.9762456078397"/>
    <x v="1"/>
  </r>
  <r>
    <x v="58"/>
    <x v="1"/>
    <x v="261"/>
    <x v="0"/>
    <x v="1"/>
    <x v="1"/>
    <x v="0"/>
    <x v="1"/>
    <n v="0"/>
    <x v="1"/>
  </r>
  <r>
    <x v="58"/>
    <x v="1"/>
    <x v="261"/>
    <x v="0"/>
    <x v="1"/>
    <x v="1"/>
    <x v="0"/>
    <x v="2"/>
    <n v="0"/>
    <x v="1"/>
  </r>
  <r>
    <x v="58"/>
    <x v="1"/>
    <x v="261"/>
    <x v="0"/>
    <x v="1"/>
    <x v="1"/>
    <x v="0"/>
    <x v="3"/>
    <n v="0"/>
    <x v="1"/>
  </r>
  <r>
    <x v="58"/>
    <x v="1"/>
    <x v="261"/>
    <x v="0"/>
    <x v="1"/>
    <x v="1"/>
    <x v="0"/>
    <x v="4"/>
    <n v="0"/>
    <x v="1"/>
  </r>
  <r>
    <x v="58"/>
    <x v="1"/>
    <x v="261"/>
    <x v="0"/>
    <x v="1"/>
    <x v="1"/>
    <x v="0"/>
    <x v="5"/>
    <n v="0"/>
    <x v="1"/>
  </r>
  <r>
    <x v="58"/>
    <x v="1"/>
    <x v="261"/>
    <x v="0"/>
    <x v="1"/>
    <x v="1"/>
    <x v="0"/>
    <x v="6"/>
    <n v="0"/>
    <x v="1"/>
  </r>
  <r>
    <x v="58"/>
    <x v="1"/>
    <x v="261"/>
    <x v="0"/>
    <x v="1"/>
    <x v="1"/>
    <x v="0"/>
    <x v="7"/>
    <n v="0"/>
    <x v="1"/>
  </r>
  <r>
    <x v="58"/>
    <x v="1"/>
    <x v="261"/>
    <x v="0"/>
    <x v="1"/>
    <x v="1"/>
    <x v="0"/>
    <x v="8"/>
    <n v="0"/>
    <x v="1"/>
  </r>
  <r>
    <x v="58"/>
    <x v="1"/>
    <x v="261"/>
    <x v="0"/>
    <x v="1"/>
    <x v="1"/>
    <x v="0"/>
    <x v="9"/>
    <n v="0"/>
    <x v="1"/>
  </r>
  <r>
    <x v="58"/>
    <x v="1"/>
    <x v="261"/>
    <x v="0"/>
    <x v="1"/>
    <x v="1"/>
    <x v="0"/>
    <x v="10"/>
    <n v="0"/>
    <x v="1"/>
  </r>
  <r>
    <x v="58"/>
    <x v="1"/>
    <x v="261"/>
    <x v="0"/>
    <x v="1"/>
    <x v="1"/>
    <x v="0"/>
    <x v="12"/>
    <n v="0"/>
    <x v="1"/>
  </r>
  <r>
    <x v="59"/>
    <x v="0"/>
    <x v="262"/>
    <x v="0"/>
    <x v="0"/>
    <x v="0"/>
    <x v="0"/>
    <x v="0"/>
    <n v="3867.8791048949511"/>
    <x v="1"/>
  </r>
  <r>
    <x v="59"/>
    <x v="0"/>
    <x v="262"/>
    <x v="0"/>
    <x v="0"/>
    <x v="0"/>
    <x v="0"/>
    <x v="1"/>
    <n v="3174.4531968150914"/>
    <x v="1"/>
  </r>
  <r>
    <x v="59"/>
    <x v="0"/>
    <x v="262"/>
    <x v="0"/>
    <x v="0"/>
    <x v="0"/>
    <x v="0"/>
    <x v="2"/>
    <n v="3226.3781958242944"/>
    <x v="1"/>
  </r>
  <r>
    <x v="59"/>
    <x v="0"/>
    <x v="262"/>
    <x v="0"/>
    <x v="0"/>
    <x v="0"/>
    <x v="0"/>
    <x v="3"/>
    <n v="3294.1400035141469"/>
    <x v="1"/>
  </r>
  <r>
    <x v="59"/>
    <x v="0"/>
    <x v="262"/>
    <x v="0"/>
    <x v="0"/>
    <x v="0"/>
    <x v="0"/>
    <x v="4"/>
    <n v="4540.9759461640915"/>
    <x v="1"/>
  </r>
  <r>
    <x v="59"/>
    <x v="0"/>
    <x v="262"/>
    <x v="0"/>
    <x v="0"/>
    <x v="0"/>
    <x v="0"/>
    <x v="5"/>
    <n v="3111.2584271176165"/>
    <x v="1"/>
  </r>
  <r>
    <x v="59"/>
    <x v="0"/>
    <x v="262"/>
    <x v="0"/>
    <x v="0"/>
    <x v="0"/>
    <x v="0"/>
    <x v="6"/>
    <n v="0"/>
    <x v="1"/>
  </r>
  <r>
    <x v="59"/>
    <x v="0"/>
    <x v="262"/>
    <x v="0"/>
    <x v="0"/>
    <x v="0"/>
    <x v="0"/>
    <x v="7"/>
    <n v="0"/>
    <x v="1"/>
  </r>
  <r>
    <x v="59"/>
    <x v="0"/>
    <x v="262"/>
    <x v="0"/>
    <x v="0"/>
    <x v="0"/>
    <x v="0"/>
    <x v="8"/>
    <n v="0"/>
    <x v="1"/>
  </r>
  <r>
    <x v="59"/>
    <x v="0"/>
    <x v="262"/>
    <x v="0"/>
    <x v="0"/>
    <x v="0"/>
    <x v="0"/>
    <x v="9"/>
    <n v="0"/>
    <x v="1"/>
  </r>
  <r>
    <x v="59"/>
    <x v="0"/>
    <x v="262"/>
    <x v="0"/>
    <x v="0"/>
    <x v="0"/>
    <x v="0"/>
    <x v="10"/>
    <n v="0"/>
    <x v="1"/>
  </r>
  <r>
    <x v="59"/>
    <x v="0"/>
    <x v="262"/>
    <x v="0"/>
    <x v="0"/>
    <x v="0"/>
    <x v="0"/>
    <x v="12"/>
    <n v="0"/>
    <x v="1"/>
  </r>
  <r>
    <x v="59"/>
    <x v="1"/>
    <x v="262"/>
    <x v="0"/>
    <x v="1"/>
    <x v="1"/>
    <x v="0"/>
    <x v="0"/>
    <n v="0"/>
    <x v="1"/>
  </r>
  <r>
    <x v="59"/>
    <x v="1"/>
    <x v="262"/>
    <x v="0"/>
    <x v="1"/>
    <x v="1"/>
    <x v="0"/>
    <x v="1"/>
    <n v="3786.4410368244789"/>
    <x v="1"/>
  </r>
  <r>
    <x v="59"/>
    <x v="1"/>
    <x v="262"/>
    <x v="0"/>
    <x v="1"/>
    <x v="1"/>
    <x v="0"/>
    <x v="2"/>
    <n v="0"/>
    <x v="1"/>
  </r>
  <r>
    <x v="59"/>
    <x v="1"/>
    <x v="262"/>
    <x v="0"/>
    <x v="1"/>
    <x v="1"/>
    <x v="0"/>
    <x v="3"/>
    <n v="3853.2705698936629"/>
    <x v="1"/>
  </r>
  <r>
    <x v="59"/>
    <x v="1"/>
    <x v="262"/>
    <x v="0"/>
    <x v="1"/>
    <x v="1"/>
    <x v="0"/>
    <x v="4"/>
    <n v="0"/>
    <x v="1"/>
  </r>
  <r>
    <x v="59"/>
    <x v="1"/>
    <x v="262"/>
    <x v="0"/>
    <x v="1"/>
    <x v="1"/>
    <x v="0"/>
    <x v="5"/>
    <n v="0"/>
    <x v="1"/>
  </r>
  <r>
    <x v="59"/>
    <x v="1"/>
    <x v="262"/>
    <x v="0"/>
    <x v="1"/>
    <x v="1"/>
    <x v="0"/>
    <x v="6"/>
    <n v="0"/>
    <x v="1"/>
  </r>
  <r>
    <x v="59"/>
    <x v="1"/>
    <x v="262"/>
    <x v="0"/>
    <x v="1"/>
    <x v="1"/>
    <x v="0"/>
    <x v="7"/>
    <n v="0"/>
    <x v="1"/>
  </r>
  <r>
    <x v="59"/>
    <x v="1"/>
    <x v="262"/>
    <x v="0"/>
    <x v="1"/>
    <x v="1"/>
    <x v="0"/>
    <x v="8"/>
    <n v="0"/>
    <x v="1"/>
  </r>
  <r>
    <x v="59"/>
    <x v="1"/>
    <x v="262"/>
    <x v="0"/>
    <x v="1"/>
    <x v="1"/>
    <x v="0"/>
    <x v="9"/>
    <n v="0"/>
    <x v="1"/>
  </r>
  <r>
    <x v="59"/>
    <x v="1"/>
    <x v="262"/>
    <x v="0"/>
    <x v="1"/>
    <x v="1"/>
    <x v="0"/>
    <x v="10"/>
    <n v="0"/>
    <x v="1"/>
  </r>
  <r>
    <x v="59"/>
    <x v="1"/>
    <x v="262"/>
    <x v="0"/>
    <x v="1"/>
    <x v="1"/>
    <x v="0"/>
    <x v="12"/>
    <n v="0"/>
    <x v="1"/>
  </r>
  <r>
    <x v="60"/>
    <x v="0"/>
    <x v="263"/>
    <x v="0"/>
    <x v="0"/>
    <x v="0"/>
    <x v="0"/>
    <x v="0"/>
    <n v="9029.0692710744734"/>
    <x v="1"/>
  </r>
  <r>
    <x v="60"/>
    <x v="0"/>
    <x v="263"/>
    <x v="0"/>
    <x v="0"/>
    <x v="0"/>
    <x v="0"/>
    <x v="1"/>
    <n v="6945.5797969994155"/>
    <x v="1"/>
  </r>
  <r>
    <x v="60"/>
    <x v="0"/>
    <x v="263"/>
    <x v="0"/>
    <x v="0"/>
    <x v="0"/>
    <x v="0"/>
    <x v="2"/>
    <n v="7059.189669855431"/>
    <x v="1"/>
  </r>
  <r>
    <x v="60"/>
    <x v="0"/>
    <x v="263"/>
    <x v="0"/>
    <x v="0"/>
    <x v="0"/>
    <x v="0"/>
    <x v="3"/>
    <n v="7206.1372995625761"/>
    <x v="1"/>
  </r>
  <r>
    <x v="60"/>
    <x v="0"/>
    <x v="263"/>
    <x v="0"/>
    <x v="0"/>
    <x v="0"/>
    <x v="0"/>
    <x v="4"/>
    <n v="9933.6703569506808"/>
    <x v="1"/>
  </r>
  <r>
    <x v="60"/>
    <x v="0"/>
    <x v="263"/>
    <x v="0"/>
    <x v="0"/>
    <x v="0"/>
    <x v="0"/>
    <x v="5"/>
    <n v="6806.0767384134624"/>
    <x v="1"/>
  </r>
  <r>
    <x v="60"/>
    <x v="0"/>
    <x v="263"/>
    <x v="0"/>
    <x v="0"/>
    <x v="0"/>
    <x v="0"/>
    <x v="6"/>
    <n v="13571.932369566304"/>
    <x v="1"/>
  </r>
  <r>
    <x v="60"/>
    <x v="0"/>
    <x v="263"/>
    <x v="0"/>
    <x v="0"/>
    <x v="0"/>
    <x v="0"/>
    <x v="7"/>
    <n v="11704.078667802174"/>
    <x v="1"/>
  </r>
  <r>
    <x v="60"/>
    <x v="0"/>
    <x v="263"/>
    <x v="0"/>
    <x v="0"/>
    <x v="0"/>
    <x v="0"/>
    <x v="8"/>
    <n v="6955.7860830591171"/>
    <x v="1"/>
  </r>
  <r>
    <x v="60"/>
    <x v="0"/>
    <x v="263"/>
    <x v="0"/>
    <x v="0"/>
    <x v="0"/>
    <x v="0"/>
    <x v="9"/>
    <n v="13704.458292474616"/>
    <x v="1"/>
  </r>
  <r>
    <x v="60"/>
    <x v="0"/>
    <x v="263"/>
    <x v="0"/>
    <x v="0"/>
    <x v="0"/>
    <x v="0"/>
    <x v="10"/>
    <n v="13633.856809977027"/>
    <x v="1"/>
  </r>
  <r>
    <x v="60"/>
    <x v="0"/>
    <x v="263"/>
    <x v="0"/>
    <x v="0"/>
    <x v="0"/>
    <x v="0"/>
    <x v="12"/>
    <n v="17767.836146470891"/>
    <x v="1"/>
  </r>
  <r>
    <x v="60"/>
    <x v="1"/>
    <x v="263"/>
    <x v="0"/>
    <x v="1"/>
    <x v="1"/>
    <x v="0"/>
    <x v="0"/>
    <n v="24819.589657852914"/>
    <x v="1"/>
  </r>
  <r>
    <x v="60"/>
    <x v="1"/>
    <x v="263"/>
    <x v="0"/>
    <x v="1"/>
    <x v="1"/>
    <x v="0"/>
    <x v="1"/>
    <n v="0"/>
    <x v="1"/>
  </r>
  <r>
    <x v="60"/>
    <x v="1"/>
    <x v="263"/>
    <x v="0"/>
    <x v="1"/>
    <x v="1"/>
    <x v="0"/>
    <x v="2"/>
    <n v="0"/>
    <x v="1"/>
  </r>
  <r>
    <x v="60"/>
    <x v="1"/>
    <x v="263"/>
    <x v="0"/>
    <x v="1"/>
    <x v="1"/>
    <x v="0"/>
    <x v="3"/>
    <n v="0"/>
    <x v="1"/>
  </r>
  <r>
    <x v="60"/>
    <x v="1"/>
    <x v="263"/>
    <x v="0"/>
    <x v="1"/>
    <x v="1"/>
    <x v="0"/>
    <x v="4"/>
    <n v="0"/>
    <x v="1"/>
  </r>
  <r>
    <x v="60"/>
    <x v="1"/>
    <x v="263"/>
    <x v="0"/>
    <x v="1"/>
    <x v="1"/>
    <x v="0"/>
    <x v="5"/>
    <n v="0"/>
    <x v="1"/>
  </r>
  <r>
    <x v="60"/>
    <x v="1"/>
    <x v="263"/>
    <x v="0"/>
    <x v="1"/>
    <x v="1"/>
    <x v="0"/>
    <x v="6"/>
    <n v="0"/>
    <x v="1"/>
  </r>
  <r>
    <x v="60"/>
    <x v="1"/>
    <x v="263"/>
    <x v="0"/>
    <x v="1"/>
    <x v="1"/>
    <x v="0"/>
    <x v="7"/>
    <n v="0"/>
    <x v="1"/>
  </r>
  <r>
    <x v="60"/>
    <x v="1"/>
    <x v="263"/>
    <x v="0"/>
    <x v="1"/>
    <x v="1"/>
    <x v="0"/>
    <x v="8"/>
    <n v="0"/>
    <x v="1"/>
  </r>
  <r>
    <x v="60"/>
    <x v="1"/>
    <x v="263"/>
    <x v="0"/>
    <x v="1"/>
    <x v="1"/>
    <x v="0"/>
    <x v="9"/>
    <n v="0"/>
    <x v="1"/>
  </r>
  <r>
    <x v="60"/>
    <x v="1"/>
    <x v="263"/>
    <x v="0"/>
    <x v="1"/>
    <x v="1"/>
    <x v="0"/>
    <x v="10"/>
    <n v="0"/>
    <x v="1"/>
  </r>
  <r>
    <x v="60"/>
    <x v="1"/>
    <x v="263"/>
    <x v="0"/>
    <x v="1"/>
    <x v="1"/>
    <x v="0"/>
    <x v="12"/>
    <n v="0"/>
    <x v="1"/>
  </r>
  <r>
    <x v="61"/>
    <x v="0"/>
    <x v="264"/>
    <x v="0"/>
    <x v="0"/>
    <x v="0"/>
    <x v="0"/>
    <x v="0"/>
    <n v="2466.5056365600449"/>
    <x v="1"/>
  </r>
  <r>
    <x v="61"/>
    <x v="0"/>
    <x v="264"/>
    <x v="0"/>
    <x v="0"/>
    <x v="0"/>
    <x v="0"/>
    <x v="1"/>
    <n v="2024.3152618269664"/>
    <x v="1"/>
  </r>
  <r>
    <x v="61"/>
    <x v="0"/>
    <x v="264"/>
    <x v="0"/>
    <x v="0"/>
    <x v="0"/>
    <x v="0"/>
    <x v="2"/>
    <n v="2057.4272850472616"/>
    <x v="1"/>
  </r>
  <r>
    <x v="61"/>
    <x v="0"/>
    <x v="264"/>
    <x v="0"/>
    <x v="0"/>
    <x v="0"/>
    <x v="0"/>
    <x v="3"/>
    <n v="2100.6381278722329"/>
    <x v="1"/>
  </r>
  <r>
    <x v="61"/>
    <x v="0"/>
    <x v="264"/>
    <x v="0"/>
    <x v="0"/>
    <x v="0"/>
    <x v="0"/>
    <x v="4"/>
    <n v="2895.7280587140422"/>
    <x v="1"/>
  </r>
  <r>
    <x v="61"/>
    <x v="0"/>
    <x v="264"/>
    <x v="0"/>
    <x v="0"/>
    <x v="0"/>
    <x v="0"/>
    <x v="5"/>
    <n v="1984.0207036627564"/>
    <x v="1"/>
  </r>
  <r>
    <x v="61"/>
    <x v="0"/>
    <x v="264"/>
    <x v="0"/>
    <x v="0"/>
    <x v="0"/>
    <x v="0"/>
    <x v="6"/>
    <n v="3955.8276224300935"/>
    <x v="1"/>
  </r>
  <r>
    <x v="61"/>
    <x v="0"/>
    <x v="264"/>
    <x v="0"/>
    <x v="0"/>
    <x v="0"/>
    <x v="0"/>
    <x v="7"/>
    <n v="3411.6740080171658"/>
    <x v="1"/>
  </r>
  <r>
    <x v="61"/>
    <x v="0"/>
    <x v="264"/>
    <x v="0"/>
    <x v="0"/>
    <x v="0"/>
    <x v="0"/>
    <x v="8"/>
    <n v="2027.9608532849199"/>
    <x v="1"/>
  </r>
  <r>
    <x v="61"/>
    <x v="0"/>
    <x v="264"/>
    <x v="0"/>
    <x v="0"/>
    <x v="0"/>
    <x v="0"/>
    <x v="9"/>
    <n v="3121.316420459937"/>
    <x v="1"/>
  </r>
  <r>
    <x v="61"/>
    <x v="0"/>
    <x v="264"/>
    <x v="0"/>
    <x v="0"/>
    <x v="0"/>
    <x v="0"/>
    <x v="10"/>
    <n v="3663.0691171644244"/>
    <x v="1"/>
  </r>
  <r>
    <x v="61"/>
    <x v="0"/>
    <x v="264"/>
    <x v="0"/>
    <x v="0"/>
    <x v="0"/>
    <x v="0"/>
    <x v="12"/>
    <n v="4046.7880989119317"/>
    <x v="1"/>
  </r>
  <r>
    <x v="62"/>
    <x v="0"/>
    <x v="265"/>
    <x v="0"/>
    <x v="0"/>
    <x v="0"/>
    <x v="0"/>
    <x v="0"/>
    <n v="3790.2845878210364"/>
    <x v="1"/>
  </r>
  <r>
    <x v="62"/>
    <x v="0"/>
    <x v="265"/>
    <x v="0"/>
    <x v="0"/>
    <x v="0"/>
    <x v="0"/>
    <x v="1"/>
    <n v="4848.6060413352752"/>
    <x v="1"/>
  </r>
  <r>
    <x v="62"/>
    <x v="0"/>
    <x v="265"/>
    <x v="0"/>
    <x v="0"/>
    <x v="0"/>
    <x v="0"/>
    <x v="2"/>
    <n v="3161.6529934036794"/>
    <x v="1"/>
  </r>
  <r>
    <x v="62"/>
    <x v="0"/>
    <x v="265"/>
    <x v="0"/>
    <x v="0"/>
    <x v="0"/>
    <x v="0"/>
    <x v="3"/>
    <n v="3228.0532699039536"/>
    <x v="1"/>
  </r>
  <r>
    <x v="62"/>
    <x v="0"/>
    <x v="265"/>
    <x v="0"/>
    <x v="0"/>
    <x v="0"/>
    <x v="0"/>
    <x v="4"/>
    <n v="5143.8773032647332"/>
    <x v="1"/>
  </r>
  <r>
    <x v="62"/>
    <x v="0"/>
    <x v="265"/>
    <x v="0"/>
    <x v="0"/>
    <x v="0"/>
    <x v="0"/>
    <x v="5"/>
    <n v="3524.3499567888243"/>
    <x v="1"/>
  </r>
  <r>
    <x v="62"/>
    <x v="0"/>
    <x v="265"/>
    <x v="0"/>
    <x v="0"/>
    <x v="0"/>
    <x v="0"/>
    <x v="6"/>
    <n v="7026.1517682957328"/>
    <x v="1"/>
  </r>
  <r>
    <x v="62"/>
    <x v="0"/>
    <x v="265"/>
    <x v="0"/>
    <x v="0"/>
    <x v="0"/>
    <x v="0"/>
    <x v="7"/>
    <n v="6061.2462393031547"/>
    <x v="1"/>
  </r>
  <r>
    <x v="62"/>
    <x v="0"/>
    <x v="265"/>
    <x v="0"/>
    <x v="0"/>
    <x v="0"/>
    <x v="0"/>
    <x v="8"/>
    <n v="3601.2756155679108"/>
    <x v="1"/>
  </r>
  <r>
    <x v="62"/>
    <x v="0"/>
    <x v="265"/>
    <x v="0"/>
    <x v="0"/>
    <x v="0"/>
    <x v="0"/>
    <x v="9"/>
    <n v="5543.6596336949988"/>
    <x v="1"/>
  </r>
  <r>
    <x v="62"/>
    <x v="0"/>
    <x v="265"/>
    <x v="0"/>
    <x v="0"/>
    <x v="0"/>
    <x v="0"/>
    <x v="10"/>
    <n v="6504.9191992123397"/>
    <x v="1"/>
  </r>
  <r>
    <x v="62"/>
    <x v="0"/>
    <x v="265"/>
    <x v="0"/>
    <x v="0"/>
    <x v="0"/>
    <x v="0"/>
    <x v="12"/>
    <n v="7187.357130152689"/>
    <x v="1"/>
  </r>
  <r>
    <x v="62"/>
    <x v="1"/>
    <x v="265"/>
    <x v="0"/>
    <x v="1"/>
    <x v="1"/>
    <x v="0"/>
    <x v="0"/>
    <n v="0"/>
    <x v="1"/>
  </r>
  <r>
    <x v="62"/>
    <x v="1"/>
    <x v="265"/>
    <x v="0"/>
    <x v="1"/>
    <x v="1"/>
    <x v="0"/>
    <x v="1"/>
    <n v="3363.6217877124122"/>
    <x v="1"/>
  </r>
  <r>
    <x v="62"/>
    <x v="1"/>
    <x v="265"/>
    <x v="0"/>
    <x v="1"/>
    <x v="1"/>
    <x v="0"/>
    <x v="2"/>
    <n v="0"/>
    <x v="1"/>
  </r>
  <r>
    <x v="62"/>
    <x v="1"/>
    <x v="265"/>
    <x v="0"/>
    <x v="1"/>
    <x v="1"/>
    <x v="0"/>
    <x v="3"/>
    <n v="0"/>
    <x v="1"/>
  </r>
  <r>
    <x v="62"/>
    <x v="1"/>
    <x v="265"/>
    <x v="0"/>
    <x v="1"/>
    <x v="1"/>
    <x v="0"/>
    <x v="4"/>
    <n v="0"/>
    <x v="1"/>
  </r>
  <r>
    <x v="62"/>
    <x v="1"/>
    <x v="265"/>
    <x v="0"/>
    <x v="1"/>
    <x v="1"/>
    <x v="0"/>
    <x v="5"/>
    <n v="0"/>
    <x v="1"/>
  </r>
  <r>
    <x v="62"/>
    <x v="1"/>
    <x v="265"/>
    <x v="0"/>
    <x v="1"/>
    <x v="1"/>
    <x v="0"/>
    <x v="6"/>
    <n v="0"/>
    <x v="1"/>
  </r>
  <r>
    <x v="62"/>
    <x v="1"/>
    <x v="265"/>
    <x v="0"/>
    <x v="1"/>
    <x v="1"/>
    <x v="0"/>
    <x v="7"/>
    <n v="0"/>
    <x v="1"/>
  </r>
  <r>
    <x v="62"/>
    <x v="1"/>
    <x v="265"/>
    <x v="0"/>
    <x v="1"/>
    <x v="1"/>
    <x v="0"/>
    <x v="8"/>
    <n v="0"/>
    <x v="1"/>
  </r>
  <r>
    <x v="62"/>
    <x v="1"/>
    <x v="265"/>
    <x v="0"/>
    <x v="1"/>
    <x v="1"/>
    <x v="0"/>
    <x v="9"/>
    <n v="0"/>
    <x v="1"/>
  </r>
  <r>
    <x v="62"/>
    <x v="1"/>
    <x v="265"/>
    <x v="0"/>
    <x v="1"/>
    <x v="1"/>
    <x v="0"/>
    <x v="10"/>
    <n v="0"/>
    <x v="1"/>
  </r>
  <r>
    <x v="62"/>
    <x v="1"/>
    <x v="265"/>
    <x v="0"/>
    <x v="1"/>
    <x v="1"/>
    <x v="0"/>
    <x v="12"/>
    <n v="0"/>
    <x v="1"/>
  </r>
  <r>
    <x v="63"/>
    <x v="0"/>
    <x v="266"/>
    <x v="0"/>
    <x v="0"/>
    <x v="0"/>
    <x v="0"/>
    <x v="0"/>
    <n v="1683.1014017611665"/>
    <x v="1"/>
  </r>
  <r>
    <x v="63"/>
    <x v="0"/>
    <x v="266"/>
    <x v="0"/>
    <x v="0"/>
    <x v="0"/>
    <x v="0"/>
    <x v="1"/>
    <n v="1381.3582277230471"/>
    <x v="1"/>
  </r>
  <r>
    <x v="63"/>
    <x v="0"/>
    <x v="266"/>
    <x v="0"/>
    <x v="0"/>
    <x v="0"/>
    <x v="0"/>
    <x v="2"/>
    <n v="1403.9533079333448"/>
    <x v="1"/>
  </r>
  <r>
    <x v="63"/>
    <x v="0"/>
    <x v="266"/>
    <x v="0"/>
    <x v="0"/>
    <x v="0"/>
    <x v="0"/>
    <x v="3"/>
    <n v="1433.4381186888545"/>
    <x v="1"/>
  </r>
  <r>
    <x v="63"/>
    <x v="0"/>
    <x v="266"/>
    <x v="0"/>
    <x v="0"/>
    <x v="0"/>
    <x v="0"/>
    <x v="4"/>
    <n v="1976.0055331986628"/>
    <x v="1"/>
  </r>
  <r>
    <x v="63"/>
    <x v="0"/>
    <x v="266"/>
    <x v="0"/>
    <x v="0"/>
    <x v="0"/>
    <x v="0"/>
    <x v="5"/>
    <n v="1353.8577469714473"/>
    <x v="1"/>
  </r>
  <r>
    <x v="63"/>
    <x v="0"/>
    <x v="266"/>
    <x v="0"/>
    <x v="0"/>
    <x v="0"/>
    <x v="0"/>
    <x v="6"/>
    <n v="2699.9174628582859"/>
    <x v="1"/>
  </r>
  <r>
    <x v="63"/>
    <x v="0"/>
    <x v="266"/>
    <x v="0"/>
    <x v="0"/>
    <x v="0"/>
    <x v="0"/>
    <x v="7"/>
    <n v="2328.3911297103423"/>
    <x v="1"/>
  </r>
  <r>
    <x v="63"/>
    <x v="0"/>
    <x v="266"/>
    <x v="0"/>
    <x v="0"/>
    <x v="0"/>
    <x v="0"/>
    <x v="8"/>
    <n v="1383.3803755815272"/>
    <x v="1"/>
  </r>
  <r>
    <x v="63"/>
    <x v="0"/>
    <x v="266"/>
    <x v="0"/>
    <x v="0"/>
    <x v="0"/>
    <x v="0"/>
    <x v="9"/>
    <n v="2129.0036377439665"/>
    <x v="1"/>
  </r>
  <r>
    <x v="63"/>
    <x v="0"/>
    <x v="266"/>
    <x v="0"/>
    <x v="0"/>
    <x v="0"/>
    <x v="0"/>
    <x v="10"/>
    <n v="2498.7750246143746"/>
    <x v="1"/>
  </r>
  <r>
    <x v="63"/>
    <x v="0"/>
    <x v="266"/>
    <x v="0"/>
    <x v="0"/>
    <x v="0"/>
    <x v="0"/>
    <x v="12"/>
    <n v="2760.2541438246581"/>
    <x v="1"/>
  </r>
  <r>
    <x v="64"/>
    <x v="0"/>
    <x v="267"/>
    <x v="0"/>
    <x v="0"/>
    <x v="0"/>
    <x v="0"/>
    <x v="0"/>
    <n v="2066.9563137583937"/>
    <x v="1"/>
  </r>
  <r>
    <x v="64"/>
    <x v="0"/>
    <x v="267"/>
    <x v="0"/>
    <x v="0"/>
    <x v="0"/>
    <x v="0"/>
    <x v="1"/>
    <n v="1696.3963712267253"/>
    <x v="1"/>
  </r>
  <r>
    <x v="64"/>
    <x v="0"/>
    <x v="267"/>
    <x v="0"/>
    <x v="0"/>
    <x v="0"/>
    <x v="0"/>
    <x v="2"/>
    <n v="1724.1445768022677"/>
    <x v="1"/>
  </r>
  <r>
    <x v="64"/>
    <x v="0"/>
    <x v="267"/>
    <x v="0"/>
    <x v="0"/>
    <x v="0"/>
    <x v="0"/>
    <x v="3"/>
    <n v="1859.9352173820189"/>
    <x v="1"/>
  </r>
  <r>
    <x v="64"/>
    <x v="0"/>
    <x v="267"/>
    <x v="0"/>
    <x v="0"/>
    <x v="0"/>
    <x v="0"/>
    <x v="4"/>
    <n v="2563.9294260914053"/>
    <x v="1"/>
  </r>
  <r>
    <x v="64"/>
    <x v="0"/>
    <x v="267"/>
    <x v="0"/>
    <x v="0"/>
    <x v="0"/>
    <x v="0"/>
    <x v="5"/>
    <n v="1756.6900869185242"/>
    <x v="1"/>
  </r>
  <r>
    <x v="64"/>
    <x v="0"/>
    <x v="267"/>
    <x v="0"/>
    <x v="0"/>
    <x v="0"/>
    <x v="0"/>
    <x v="6"/>
    <n v="3501.500675303887"/>
    <x v="1"/>
  </r>
  <r>
    <x v="64"/>
    <x v="0"/>
    <x v="267"/>
    <x v="0"/>
    <x v="0"/>
    <x v="0"/>
    <x v="0"/>
    <x v="7"/>
    <n v="3021.1900956219479"/>
    <x v="1"/>
  </r>
  <r>
    <x v="64"/>
    <x v="0"/>
    <x v="267"/>
    <x v="0"/>
    <x v="0"/>
    <x v="0"/>
    <x v="0"/>
    <x v="8"/>
    <n v="1794.6556223760354"/>
    <x v="1"/>
  </r>
  <r>
    <x v="64"/>
    <x v="0"/>
    <x v="267"/>
    <x v="0"/>
    <x v="0"/>
    <x v="0"/>
    <x v="0"/>
    <x v="9"/>
    <n v="2763.8088128301642"/>
    <x v="1"/>
  </r>
  <r>
    <x v="64"/>
    <x v="0"/>
    <x v="267"/>
    <x v="0"/>
    <x v="0"/>
    <x v="0"/>
    <x v="0"/>
    <x v="10"/>
    <n v="3241.6540859862157"/>
    <x v="1"/>
  </r>
  <r>
    <x v="64"/>
    <x v="0"/>
    <x v="267"/>
    <x v="0"/>
    <x v="0"/>
    <x v="0"/>
    <x v="0"/>
    <x v="12"/>
    <n v="3583.2793298735605"/>
    <x v="1"/>
  </r>
  <r>
    <x v="65"/>
    <x v="0"/>
    <x v="268"/>
    <x v="0"/>
    <x v="0"/>
    <x v="0"/>
    <x v="0"/>
    <x v="0"/>
    <n v="3413.9610643572992"/>
    <x v="1"/>
  </r>
  <r>
    <x v="65"/>
    <x v="0"/>
    <x v="268"/>
    <x v="0"/>
    <x v="0"/>
    <x v="0"/>
    <x v="0"/>
    <x v="1"/>
    <n v="2801.9127073635923"/>
    <x v="1"/>
  </r>
  <r>
    <x v="65"/>
    <x v="0"/>
    <x v="268"/>
    <x v="0"/>
    <x v="0"/>
    <x v="0"/>
    <x v="0"/>
    <x v="2"/>
    <n v="2847.7440066562372"/>
    <x v="1"/>
  </r>
  <r>
    <x v="65"/>
    <x v="0"/>
    <x v="268"/>
    <x v="0"/>
    <x v="0"/>
    <x v="0"/>
    <x v="0"/>
    <x v="3"/>
    <n v="2907.5556119178118"/>
    <x v="1"/>
  </r>
  <r>
    <x v="65"/>
    <x v="0"/>
    <x v="268"/>
    <x v="0"/>
    <x v="0"/>
    <x v="0"/>
    <x v="0"/>
    <x v="4"/>
    <n v="4008.0756451840552"/>
    <x v="1"/>
  </r>
  <r>
    <x v="65"/>
    <x v="0"/>
    <x v="268"/>
    <x v="0"/>
    <x v="0"/>
    <x v="0"/>
    <x v="0"/>
    <x v="5"/>
    <n v="2746.1319403124753"/>
    <x v="1"/>
  </r>
  <r>
    <x v="65"/>
    <x v="0"/>
    <x v="268"/>
    <x v="0"/>
    <x v="0"/>
    <x v="0"/>
    <x v="0"/>
    <x v="6"/>
    <n v="5475.0737832024406"/>
    <x v="1"/>
  </r>
  <r>
    <x v="65"/>
    <x v="0"/>
    <x v="268"/>
    <x v="0"/>
    <x v="0"/>
    <x v="0"/>
    <x v="0"/>
    <x v="7"/>
    <n v="4722.851618008779"/>
    <x v="1"/>
  </r>
  <r>
    <x v="65"/>
    <x v="0"/>
    <x v="268"/>
    <x v="0"/>
    <x v="0"/>
    <x v="0"/>
    <x v="0"/>
    <x v="8"/>
    <n v="2807.1405026665157"/>
    <x v="1"/>
  </r>
  <r>
    <x v="65"/>
    <x v="0"/>
    <x v="268"/>
    <x v="0"/>
    <x v="0"/>
    <x v="0"/>
    <x v="0"/>
    <x v="9"/>
    <n v="5348.8638218454435"/>
    <x v="1"/>
  </r>
  <r>
    <x v="65"/>
    <x v="0"/>
    <x v="268"/>
    <x v="0"/>
    <x v="0"/>
    <x v="0"/>
    <x v="0"/>
    <x v="10"/>
    <n v="6278.0034131933053"/>
    <x v="1"/>
  </r>
  <r>
    <x v="65"/>
    <x v="0"/>
    <x v="268"/>
    <x v="0"/>
    <x v="0"/>
    <x v="0"/>
    <x v="0"/>
    <x v="12"/>
    <n v="6934.8042752279362"/>
    <x v="1"/>
  </r>
  <r>
    <x v="66"/>
    <x v="0"/>
    <x v="269"/>
    <x v="2"/>
    <x v="0"/>
    <x v="0"/>
    <x v="0"/>
    <x v="0"/>
    <n v="3478.5661059451559"/>
    <x v="1"/>
  </r>
  <r>
    <x v="66"/>
    <x v="0"/>
    <x v="269"/>
    <x v="2"/>
    <x v="0"/>
    <x v="0"/>
    <x v="0"/>
    <x v="1"/>
    <n v="2854.9354816636987"/>
    <x v="1"/>
  </r>
  <r>
    <x v="66"/>
    <x v="0"/>
    <x v="269"/>
    <x v="2"/>
    <x v="0"/>
    <x v="0"/>
    <x v="0"/>
    <x v="2"/>
    <n v="2901.6340822937086"/>
    <x v="1"/>
  </r>
  <r>
    <x v="66"/>
    <x v="0"/>
    <x v="269"/>
    <x v="2"/>
    <x v="0"/>
    <x v="0"/>
    <x v="0"/>
    <x v="3"/>
    <n v="2962.5716676471325"/>
    <x v="1"/>
  </r>
  <r>
    <x v="66"/>
    <x v="0"/>
    <x v="269"/>
    <x v="2"/>
    <x v="0"/>
    <x v="0"/>
    <x v="0"/>
    <x v="4"/>
    <n v="4083.9189745772428"/>
    <x v="1"/>
  </r>
  <r>
    <x v="66"/>
    <x v="0"/>
    <x v="269"/>
    <x v="2"/>
    <x v="0"/>
    <x v="0"/>
    <x v="0"/>
    <x v="5"/>
    <n v="2798.1088741096232"/>
    <x v="1"/>
  </r>
  <r>
    <x v="66"/>
    <x v="0"/>
    <x v="269"/>
    <x v="2"/>
    <x v="0"/>
    <x v="0"/>
    <x v="0"/>
    <x v="6"/>
    <n v="5587.9320694312446"/>
    <x v="1"/>
  </r>
  <r>
    <x v="66"/>
    <x v="0"/>
    <x v="269"/>
    <x v="2"/>
    <x v="0"/>
    <x v="0"/>
    <x v="0"/>
    <x v="7"/>
    <n v="4820.2370887600155"/>
    <x v="1"/>
  </r>
  <r>
    <x v="66"/>
    <x v="0"/>
    <x v="269"/>
    <x v="2"/>
    <x v="0"/>
    <x v="0"/>
    <x v="0"/>
    <x v="8"/>
    <n v="2863.9712640417565"/>
    <x v="1"/>
  </r>
  <r>
    <x v="66"/>
    <x v="0"/>
    <x v="269"/>
    <x v="2"/>
    <x v="0"/>
    <x v="0"/>
    <x v="0"/>
    <x v="9"/>
    <n v="4406.9687786670038"/>
    <x v="1"/>
  </r>
  <r>
    <x v="66"/>
    <x v="0"/>
    <x v="269"/>
    <x v="2"/>
    <x v="0"/>
    <x v="0"/>
    <x v="0"/>
    <x v="10"/>
    <n v="5173.139645553003"/>
    <x v="1"/>
  </r>
  <r>
    <x v="66"/>
    <x v="0"/>
    <x v="269"/>
    <x v="2"/>
    <x v="0"/>
    <x v="0"/>
    <x v="0"/>
    <x v="12"/>
    <n v="5713.636941415305"/>
    <x v="1"/>
  </r>
  <r>
    <x v="67"/>
    <x v="0"/>
    <x v="270"/>
    <x v="2"/>
    <x v="0"/>
    <x v="0"/>
    <x v="0"/>
    <x v="0"/>
    <n v="3345.9326643451286"/>
    <x v="1"/>
  </r>
  <r>
    <x v="67"/>
    <x v="0"/>
    <x v="270"/>
    <x v="2"/>
    <x v="0"/>
    <x v="0"/>
    <x v="0"/>
    <x v="1"/>
    <n v="2746.0803077367391"/>
    <x v="1"/>
  </r>
  <r>
    <x v="67"/>
    <x v="0"/>
    <x v="270"/>
    <x v="2"/>
    <x v="0"/>
    <x v="0"/>
    <x v="0"/>
    <x v="2"/>
    <n v="2790.998348236275"/>
    <x v="1"/>
  </r>
  <r>
    <x v="67"/>
    <x v="0"/>
    <x v="270"/>
    <x v="2"/>
    <x v="0"/>
    <x v="0"/>
    <x v="0"/>
    <x v="3"/>
    <n v="2849.6108865551851"/>
    <x v="1"/>
  </r>
  <r>
    <x v="67"/>
    <x v="0"/>
    <x v="270"/>
    <x v="2"/>
    <x v="0"/>
    <x v="0"/>
    <x v="0"/>
    <x v="4"/>
    <n v="3928.1958360752624"/>
    <x v="1"/>
  </r>
  <r>
    <x v="67"/>
    <x v="0"/>
    <x v="270"/>
    <x v="2"/>
    <x v="0"/>
    <x v="0"/>
    <x v="0"/>
    <x v="5"/>
    <n v="2691.4162617837774"/>
    <x v="1"/>
  </r>
  <r>
    <x v="67"/>
    <x v="0"/>
    <x v="270"/>
    <x v="2"/>
    <x v="0"/>
    <x v="0"/>
    <x v="0"/>
    <x v="6"/>
    <n v="0"/>
    <x v="1"/>
  </r>
  <r>
    <x v="67"/>
    <x v="0"/>
    <x v="270"/>
    <x v="2"/>
    <x v="0"/>
    <x v="0"/>
    <x v="0"/>
    <x v="7"/>
    <n v="0"/>
    <x v="1"/>
  </r>
  <r>
    <x v="67"/>
    <x v="0"/>
    <x v="270"/>
    <x v="2"/>
    <x v="0"/>
    <x v="0"/>
    <x v="0"/>
    <x v="8"/>
    <n v="0"/>
    <x v="1"/>
  </r>
  <r>
    <x v="67"/>
    <x v="0"/>
    <x v="270"/>
    <x v="2"/>
    <x v="0"/>
    <x v="0"/>
    <x v="0"/>
    <x v="9"/>
    <n v="0"/>
    <x v="1"/>
  </r>
  <r>
    <x v="67"/>
    <x v="0"/>
    <x v="270"/>
    <x v="2"/>
    <x v="0"/>
    <x v="0"/>
    <x v="0"/>
    <x v="10"/>
    <n v="0"/>
    <x v="1"/>
  </r>
  <r>
    <x v="67"/>
    <x v="0"/>
    <x v="270"/>
    <x v="2"/>
    <x v="0"/>
    <x v="0"/>
    <x v="0"/>
    <x v="12"/>
    <n v="0"/>
    <x v="1"/>
  </r>
  <r>
    <x v="68"/>
    <x v="0"/>
    <x v="271"/>
    <x v="0"/>
    <x v="0"/>
    <x v="0"/>
    <x v="0"/>
    <x v="0"/>
    <n v="1294.2705659697251"/>
    <x v="1"/>
  </r>
  <r>
    <x v="68"/>
    <x v="0"/>
    <x v="271"/>
    <x v="0"/>
    <x v="0"/>
    <x v="0"/>
    <x v="0"/>
    <x v="1"/>
    <n v="1062.2362344486614"/>
    <x v="1"/>
  </r>
  <r>
    <x v="68"/>
    <x v="0"/>
    <x v="271"/>
    <x v="0"/>
    <x v="0"/>
    <x v="0"/>
    <x v="0"/>
    <x v="2"/>
    <n v="1079.611389160857"/>
    <x v="1"/>
  </r>
  <r>
    <x v="68"/>
    <x v="0"/>
    <x v="271"/>
    <x v="0"/>
    <x v="0"/>
    <x v="0"/>
    <x v="0"/>
    <x v="3"/>
    <n v="0"/>
    <x v="1"/>
  </r>
  <r>
    <x v="68"/>
    <x v="0"/>
    <x v="271"/>
    <x v="0"/>
    <x v="0"/>
    <x v="0"/>
    <x v="0"/>
    <x v="4"/>
    <n v="0"/>
    <x v="1"/>
  </r>
  <r>
    <x v="68"/>
    <x v="0"/>
    <x v="271"/>
    <x v="0"/>
    <x v="0"/>
    <x v="0"/>
    <x v="0"/>
    <x v="5"/>
    <n v="0"/>
    <x v="1"/>
  </r>
  <r>
    <x v="68"/>
    <x v="0"/>
    <x v="271"/>
    <x v="0"/>
    <x v="0"/>
    <x v="0"/>
    <x v="0"/>
    <x v="6"/>
    <n v="0"/>
    <x v="1"/>
  </r>
  <r>
    <x v="68"/>
    <x v="0"/>
    <x v="271"/>
    <x v="0"/>
    <x v="0"/>
    <x v="0"/>
    <x v="0"/>
    <x v="7"/>
    <n v="0"/>
    <x v="1"/>
  </r>
  <r>
    <x v="68"/>
    <x v="0"/>
    <x v="271"/>
    <x v="0"/>
    <x v="0"/>
    <x v="0"/>
    <x v="0"/>
    <x v="8"/>
    <n v="0"/>
    <x v="1"/>
  </r>
  <r>
    <x v="68"/>
    <x v="0"/>
    <x v="271"/>
    <x v="0"/>
    <x v="0"/>
    <x v="0"/>
    <x v="0"/>
    <x v="9"/>
    <n v="0"/>
    <x v="1"/>
  </r>
  <r>
    <x v="68"/>
    <x v="0"/>
    <x v="271"/>
    <x v="0"/>
    <x v="0"/>
    <x v="0"/>
    <x v="0"/>
    <x v="10"/>
    <n v="0"/>
    <x v="1"/>
  </r>
  <r>
    <x v="68"/>
    <x v="0"/>
    <x v="271"/>
    <x v="0"/>
    <x v="0"/>
    <x v="0"/>
    <x v="0"/>
    <x v="12"/>
    <n v="0"/>
    <x v="1"/>
  </r>
  <r>
    <x v="69"/>
    <x v="0"/>
    <x v="272"/>
    <x v="0"/>
    <x v="0"/>
    <x v="0"/>
    <x v="0"/>
    <x v="0"/>
    <n v="7859.4716329603789"/>
    <x v="1"/>
  </r>
  <r>
    <x v="69"/>
    <x v="0"/>
    <x v="272"/>
    <x v="0"/>
    <x v="0"/>
    <x v="0"/>
    <x v="0"/>
    <x v="1"/>
    <n v="6450.4407128325201"/>
    <x v="1"/>
  </r>
  <r>
    <x v="69"/>
    <x v="0"/>
    <x v="272"/>
    <x v="0"/>
    <x v="0"/>
    <x v="0"/>
    <x v="0"/>
    <x v="2"/>
    <n v="6555.95152268122"/>
    <x v="1"/>
  </r>
  <r>
    <x v="69"/>
    <x v="0"/>
    <x v="272"/>
    <x v="0"/>
    <x v="0"/>
    <x v="0"/>
    <x v="0"/>
    <x v="3"/>
    <n v="6693.4514468965817"/>
    <x v="1"/>
  </r>
  <r>
    <x v="69"/>
    <x v="0"/>
    <x v="272"/>
    <x v="0"/>
    <x v="0"/>
    <x v="0"/>
    <x v="0"/>
    <x v="4"/>
    <n v="9226.9464926386918"/>
    <x v="1"/>
  </r>
  <r>
    <x v="69"/>
    <x v="0"/>
    <x v="272"/>
    <x v="0"/>
    <x v="0"/>
    <x v="0"/>
    <x v="0"/>
    <x v="5"/>
    <n v="6321.8666698754096"/>
    <x v="1"/>
  </r>
  <r>
    <x v="69"/>
    <x v="0"/>
    <x v="272"/>
    <x v="0"/>
    <x v="0"/>
    <x v="0"/>
    <x v="0"/>
    <x v="6"/>
    <n v="12605.402431093993"/>
    <x v="1"/>
  </r>
  <r>
    <x v="69"/>
    <x v="0"/>
    <x v="272"/>
    <x v="0"/>
    <x v="0"/>
    <x v="0"/>
    <x v="0"/>
    <x v="7"/>
    <n v="0"/>
    <x v="1"/>
  </r>
  <r>
    <x v="69"/>
    <x v="0"/>
    <x v="272"/>
    <x v="0"/>
    <x v="0"/>
    <x v="0"/>
    <x v="0"/>
    <x v="8"/>
    <n v="0"/>
    <x v="1"/>
  </r>
  <r>
    <x v="69"/>
    <x v="0"/>
    <x v="272"/>
    <x v="0"/>
    <x v="0"/>
    <x v="0"/>
    <x v="0"/>
    <x v="9"/>
    <n v="0"/>
    <x v="1"/>
  </r>
  <r>
    <x v="69"/>
    <x v="0"/>
    <x v="272"/>
    <x v="0"/>
    <x v="0"/>
    <x v="0"/>
    <x v="0"/>
    <x v="10"/>
    <n v="0"/>
    <x v="1"/>
  </r>
  <r>
    <x v="69"/>
    <x v="0"/>
    <x v="272"/>
    <x v="0"/>
    <x v="0"/>
    <x v="0"/>
    <x v="0"/>
    <x v="12"/>
    <n v="0"/>
    <x v="1"/>
  </r>
  <r>
    <x v="70"/>
    <x v="0"/>
    <x v="273"/>
    <x v="0"/>
    <x v="0"/>
    <x v="0"/>
    <x v="0"/>
    <x v="0"/>
    <n v="1994.7089861106258"/>
    <x v="1"/>
  </r>
  <r>
    <x v="70"/>
    <x v="0"/>
    <x v="273"/>
    <x v="0"/>
    <x v="0"/>
    <x v="0"/>
    <x v="0"/>
    <x v="1"/>
    <n v="1637.1014051760651"/>
    <x v="1"/>
  </r>
  <r>
    <x v="70"/>
    <x v="0"/>
    <x v="273"/>
    <x v="0"/>
    <x v="0"/>
    <x v="0"/>
    <x v="0"/>
    <x v="2"/>
    <n v="1663.8797142489532"/>
    <x v="1"/>
  </r>
  <r>
    <x v="70"/>
    <x v="0"/>
    <x v="273"/>
    <x v="0"/>
    <x v="0"/>
    <x v="0"/>
    <x v="0"/>
    <x v="3"/>
    <n v="1698.8277208524814"/>
    <x v="1"/>
  </r>
  <r>
    <x v="70"/>
    <x v="0"/>
    <x v="273"/>
    <x v="0"/>
    <x v="0"/>
    <x v="0"/>
    <x v="0"/>
    <x v="4"/>
    <n v="6991.7564724380973"/>
    <x v="1"/>
  </r>
  <r>
    <x v="70"/>
    <x v="0"/>
    <x v="273"/>
    <x v="0"/>
    <x v="0"/>
    <x v="0"/>
    <x v="0"/>
    <x v="5"/>
    <n v="0"/>
    <x v="1"/>
  </r>
  <r>
    <x v="70"/>
    <x v="0"/>
    <x v="273"/>
    <x v="0"/>
    <x v="0"/>
    <x v="0"/>
    <x v="0"/>
    <x v="6"/>
    <n v="0"/>
    <x v="1"/>
  </r>
  <r>
    <x v="70"/>
    <x v="0"/>
    <x v="273"/>
    <x v="0"/>
    <x v="0"/>
    <x v="0"/>
    <x v="0"/>
    <x v="7"/>
    <n v="0"/>
    <x v="1"/>
  </r>
  <r>
    <x v="70"/>
    <x v="0"/>
    <x v="273"/>
    <x v="0"/>
    <x v="0"/>
    <x v="0"/>
    <x v="0"/>
    <x v="8"/>
    <n v="0"/>
    <x v="1"/>
  </r>
  <r>
    <x v="70"/>
    <x v="0"/>
    <x v="273"/>
    <x v="0"/>
    <x v="0"/>
    <x v="0"/>
    <x v="0"/>
    <x v="9"/>
    <n v="0"/>
    <x v="1"/>
  </r>
  <r>
    <x v="70"/>
    <x v="0"/>
    <x v="273"/>
    <x v="0"/>
    <x v="0"/>
    <x v="0"/>
    <x v="0"/>
    <x v="10"/>
    <n v="0"/>
    <x v="1"/>
  </r>
  <r>
    <x v="70"/>
    <x v="0"/>
    <x v="273"/>
    <x v="0"/>
    <x v="0"/>
    <x v="0"/>
    <x v="0"/>
    <x v="12"/>
    <n v="0"/>
    <x v="1"/>
  </r>
  <r>
    <x v="71"/>
    <x v="0"/>
    <x v="274"/>
    <x v="0"/>
    <x v="0"/>
    <x v="0"/>
    <x v="0"/>
    <x v="0"/>
    <n v="675.02842169564315"/>
    <x v="1"/>
  </r>
  <r>
    <x v="71"/>
    <x v="0"/>
    <x v="274"/>
    <x v="0"/>
    <x v="0"/>
    <x v="0"/>
    <x v="0"/>
    <x v="1"/>
    <n v="554.01062780915913"/>
    <x v="1"/>
  </r>
  <r>
    <x v="71"/>
    <x v="0"/>
    <x v="274"/>
    <x v="0"/>
    <x v="0"/>
    <x v="0"/>
    <x v="0"/>
    <x v="2"/>
    <n v="563.06825328181446"/>
    <x v="1"/>
  </r>
  <r>
    <x v="71"/>
    <x v="0"/>
    <x v="274"/>
    <x v="0"/>
    <x v="0"/>
    <x v="0"/>
    <x v="0"/>
    <x v="3"/>
    <n v="574.89324901322368"/>
    <x v="1"/>
  </r>
  <r>
    <x v="71"/>
    <x v="0"/>
    <x v="274"/>
    <x v="0"/>
    <x v="0"/>
    <x v="0"/>
    <x v="0"/>
    <x v="4"/>
    <n v="2217.0895953706236"/>
    <x v="1"/>
  </r>
  <r>
    <x v="71"/>
    <x v="0"/>
    <x v="274"/>
    <x v="0"/>
    <x v="0"/>
    <x v="0"/>
    <x v="0"/>
    <x v="5"/>
    <n v="0"/>
    <x v="1"/>
  </r>
  <r>
    <x v="71"/>
    <x v="0"/>
    <x v="274"/>
    <x v="0"/>
    <x v="0"/>
    <x v="0"/>
    <x v="0"/>
    <x v="6"/>
    <n v="0"/>
    <x v="1"/>
  </r>
  <r>
    <x v="71"/>
    <x v="0"/>
    <x v="274"/>
    <x v="0"/>
    <x v="0"/>
    <x v="0"/>
    <x v="0"/>
    <x v="7"/>
    <n v="0"/>
    <x v="1"/>
  </r>
  <r>
    <x v="71"/>
    <x v="0"/>
    <x v="274"/>
    <x v="0"/>
    <x v="0"/>
    <x v="0"/>
    <x v="0"/>
    <x v="8"/>
    <n v="0"/>
    <x v="1"/>
  </r>
  <r>
    <x v="71"/>
    <x v="0"/>
    <x v="274"/>
    <x v="0"/>
    <x v="0"/>
    <x v="0"/>
    <x v="0"/>
    <x v="9"/>
    <n v="0"/>
    <x v="1"/>
  </r>
  <r>
    <x v="71"/>
    <x v="0"/>
    <x v="274"/>
    <x v="0"/>
    <x v="0"/>
    <x v="0"/>
    <x v="0"/>
    <x v="10"/>
    <n v="0"/>
    <x v="1"/>
  </r>
  <r>
    <x v="71"/>
    <x v="0"/>
    <x v="274"/>
    <x v="0"/>
    <x v="0"/>
    <x v="0"/>
    <x v="0"/>
    <x v="12"/>
    <n v="0"/>
    <x v="1"/>
  </r>
  <r>
    <x v="30"/>
    <x v="0"/>
    <x v="275"/>
    <x v="0"/>
    <x v="0"/>
    <x v="0"/>
    <x v="0"/>
    <x v="0"/>
    <n v="1192.3894906095184"/>
    <x v="1"/>
  </r>
  <r>
    <x v="30"/>
    <x v="0"/>
    <x v="275"/>
    <x v="0"/>
    <x v="0"/>
    <x v="0"/>
    <x v="0"/>
    <x v="1"/>
    <n v="978.62020183717868"/>
    <x v="1"/>
  </r>
  <r>
    <x v="30"/>
    <x v="0"/>
    <x v="275"/>
    <x v="0"/>
    <x v="0"/>
    <x v="0"/>
    <x v="0"/>
    <x v="2"/>
    <n v="0"/>
    <x v="1"/>
  </r>
  <r>
    <x v="30"/>
    <x v="0"/>
    <x v="275"/>
    <x v="0"/>
    <x v="0"/>
    <x v="0"/>
    <x v="0"/>
    <x v="3"/>
    <n v="0"/>
    <x v="1"/>
  </r>
  <r>
    <x v="30"/>
    <x v="0"/>
    <x v="275"/>
    <x v="0"/>
    <x v="0"/>
    <x v="0"/>
    <x v="0"/>
    <x v="4"/>
    <n v="0"/>
    <x v="1"/>
  </r>
  <r>
    <x v="30"/>
    <x v="0"/>
    <x v="275"/>
    <x v="0"/>
    <x v="0"/>
    <x v="0"/>
    <x v="0"/>
    <x v="5"/>
    <n v="0"/>
    <x v="1"/>
  </r>
  <r>
    <x v="30"/>
    <x v="0"/>
    <x v="275"/>
    <x v="0"/>
    <x v="0"/>
    <x v="0"/>
    <x v="0"/>
    <x v="6"/>
    <n v="0"/>
    <x v="1"/>
  </r>
  <r>
    <x v="30"/>
    <x v="0"/>
    <x v="275"/>
    <x v="0"/>
    <x v="0"/>
    <x v="0"/>
    <x v="0"/>
    <x v="7"/>
    <n v="0"/>
    <x v="1"/>
  </r>
  <r>
    <x v="30"/>
    <x v="0"/>
    <x v="275"/>
    <x v="0"/>
    <x v="0"/>
    <x v="0"/>
    <x v="0"/>
    <x v="8"/>
    <n v="0"/>
    <x v="1"/>
  </r>
  <r>
    <x v="30"/>
    <x v="0"/>
    <x v="275"/>
    <x v="0"/>
    <x v="0"/>
    <x v="0"/>
    <x v="0"/>
    <x v="9"/>
    <n v="0"/>
    <x v="1"/>
  </r>
  <r>
    <x v="30"/>
    <x v="0"/>
    <x v="275"/>
    <x v="0"/>
    <x v="0"/>
    <x v="0"/>
    <x v="0"/>
    <x v="10"/>
    <n v="0"/>
    <x v="1"/>
  </r>
  <r>
    <x v="30"/>
    <x v="0"/>
    <x v="275"/>
    <x v="0"/>
    <x v="0"/>
    <x v="0"/>
    <x v="0"/>
    <x v="12"/>
    <n v="0"/>
    <x v="1"/>
  </r>
  <r>
    <x v="52"/>
    <x v="0"/>
    <x v="90"/>
    <x v="2"/>
    <x v="0"/>
    <x v="0"/>
    <x v="0"/>
    <x v="0"/>
    <n v="15627.149043833319"/>
    <x v="1"/>
  </r>
  <r>
    <x v="52"/>
    <x v="0"/>
    <x v="90"/>
    <x v="2"/>
    <x v="0"/>
    <x v="0"/>
    <x v="0"/>
    <x v="1"/>
    <n v="12771.725719447648"/>
    <x v="1"/>
  </r>
  <r>
    <x v="52"/>
    <x v="0"/>
    <x v="90"/>
    <x v="2"/>
    <x v="0"/>
    <x v="0"/>
    <x v="0"/>
    <x v="2"/>
    <n v="12720.816906483687"/>
    <x v="1"/>
  </r>
  <r>
    <x v="52"/>
    <x v="0"/>
    <x v="90"/>
    <x v="2"/>
    <x v="0"/>
    <x v="0"/>
    <x v="0"/>
    <x v="3"/>
    <n v="13033.346535653058"/>
    <x v="1"/>
  </r>
  <r>
    <x v="52"/>
    <x v="0"/>
    <x v="90"/>
    <x v="2"/>
    <x v="0"/>
    <x v="0"/>
    <x v="0"/>
    <x v="4"/>
    <n v="18057.935569806727"/>
    <x v="1"/>
  </r>
  <r>
    <x v="52"/>
    <x v="0"/>
    <x v="90"/>
    <x v="2"/>
    <x v="0"/>
    <x v="0"/>
    <x v="0"/>
    <x v="5"/>
    <n v="12583.421739554415"/>
    <x v="1"/>
  </r>
  <r>
    <x v="52"/>
    <x v="0"/>
    <x v="90"/>
    <x v="2"/>
    <x v="0"/>
    <x v="0"/>
    <x v="0"/>
    <x v="6"/>
    <n v="24597.318793457056"/>
    <x v="1"/>
  </r>
  <r>
    <x v="52"/>
    <x v="0"/>
    <x v="90"/>
    <x v="2"/>
    <x v="0"/>
    <x v="0"/>
    <x v="0"/>
    <x v="7"/>
    <n v="21641.215722496949"/>
    <x v="1"/>
  </r>
  <r>
    <x v="52"/>
    <x v="0"/>
    <x v="90"/>
    <x v="2"/>
    <x v="0"/>
    <x v="0"/>
    <x v="0"/>
    <x v="8"/>
    <n v="12712.143991830251"/>
    <x v="1"/>
  </r>
  <r>
    <x v="52"/>
    <x v="0"/>
    <x v="90"/>
    <x v="2"/>
    <x v="0"/>
    <x v="0"/>
    <x v="0"/>
    <x v="9"/>
    <n v="0"/>
    <x v="1"/>
  </r>
  <r>
    <x v="52"/>
    <x v="0"/>
    <x v="90"/>
    <x v="2"/>
    <x v="0"/>
    <x v="0"/>
    <x v="0"/>
    <x v="10"/>
    <n v="0"/>
    <x v="1"/>
  </r>
  <r>
    <x v="52"/>
    <x v="0"/>
    <x v="90"/>
    <x v="2"/>
    <x v="0"/>
    <x v="0"/>
    <x v="0"/>
    <x v="12"/>
    <n v="0"/>
    <x v="1"/>
  </r>
  <r>
    <x v="52"/>
    <x v="1"/>
    <x v="90"/>
    <x v="2"/>
    <x v="1"/>
    <x v="1"/>
    <x v="0"/>
    <x v="0"/>
    <n v="11766.323985945086"/>
    <x v="1"/>
  </r>
  <r>
    <x v="52"/>
    <x v="1"/>
    <x v="90"/>
    <x v="2"/>
    <x v="1"/>
    <x v="1"/>
    <x v="0"/>
    <x v="1"/>
    <n v="0"/>
    <x v="1"/>
  </r>
  <r>
    <x v="52"/>
    <x v="1"/>
    <x v="90"/>
    <x v="2"/>
    <x v="1"/>
    <x v="1"/>
    <x v="0"/>
    <x v="2"/>
    <n v="0"/>
    <x v="1"/>
  </r>
  <r>
    <x v="52"/>
    <x v="1"/>
    <x v="90"/>
    <x v="2"/>
    <x v="1"/>
    <x v="1"/>
    <x v="0"/>
    <x v="3"/>
    <n v="0"/>
    <x v="1"/>
  </r>
  <r>
    <x v="52"/>
    <x v="1"/>
    <x v="90"/>
    <x v="2"/>
    <x v="1"/>
    <x v="1"/>
    <x v="0"/>
    <x v="4"/>
    <n v="0"/>
    <x v="1"/>
  </r>
  <r>
    <x v="52"/>
    <x v="1"/>
    <x v="90"/>
    <x v="2"/>
    <x v="1"/>
    <x v="1"/>
    <x v="0"/>
    <x v="5"/>
    <n v="0"/>
    <x v="1"/>
  </r>
  <r>
    <x v="52"/>
    <x v="1"/>
    <x v="90"/>
    <x v="2"/>
    <x v="1"/>
    <x v="1"/>
    <x v="0"/>
    <x v="6"/>
    <n v="0"/>
    <x v="1"/>
  </r>
  <r>
    <x v="52"/>
    <x v="1"/>
    <x v="90"/>
    <x v="2"/>
    <x v="1"/>
    <x v="1"/>
    <x v="0"/>
    <x v="7"/>
    <n v="0"/>
    <x v="1"/>
  </r>
  <r>
    <x v="52"/>
    <x v="1"/>
    <x v="90"/>
    <x v="2"/>
    <x v="1"/>
    <x v="1"/>
    <x v="0"/>
    <x v="8"/>
    <n v="0"/>
    <x v="1"/>
  </r>
  <r>
    <x v="52"/>
    <x v="1"/>
    <x v="90"/>
    <x v="2"/>
    <x v="1"/>
    <x v="1"/>
    <x v="0"/>
    <x v="9"/>
    <n v="0"/>
    <x v="1"/>
  </r>
  <r>
    <x v="52"/>
    <x v="1"/>
    <x v="90"/>
    <x v="2"/>
    <x v="1"/>
    <x v="1"/>
    <x v="0"/>
    <x v="10"/>
    <n v="0"/>
    <x v="1"/>
  </r>
  <r>
    <x v="52"/>
    <x v="1"/>
    <x v="90"/>
    <x v="2"/>
    <x v="1"/>
    <x v="1"/>
    <x v="0"/>
    <x v="12"/>
    <n v="0"/>
    <x v="1"/>
  </r>
  <r>
    <x v="72"/>
    <x v="0"/>
    <x v="276"/>
    <x v="0"/>
    <x v="0"/>
    <x v="0"/>
    <x v="0"/>
    <x v="0"/>
    <n v="3378.517250586694"/>
    <x v="1"/>
  </r>
  <r>
    <x v="72"/>
    <x v="0"/>
    <x v="276"/>
    <x v="0"/>
    <x v="0"/>
    <x v="0"/>
    <x v="0"/>
    <x v="1"/>
    <n v="2772.823192184841"/>
    <x v="1"/>
  </r>
  <r>
    <x v="72"/>
    <x v="0"/>
    <x v="276"/>
    <x v="0"/>
    <x v="0"/>
    <x v="0"/>
    <x v="0"/>
    <x v="2"/>
    <n v="2818.1786699884974"/>
    <x v="1"/>
  </r>
  <r>
    <x v="72"/>
    <x v="0"/>
    <x v="276"/>
    <x v="0"/>
    <x v="0"/>
    <x v="0"/>
    <x v="0"/>
    <x v="3"/>
    <n v="2877.3642480016933"/>
    <x v="1"/>
  </r>
  <r>
    <x v="72"/>
    <x v="0"/>
    <x v="276"/>
    <x v="0"/>
    <x v="0"/>
    <x v="0"/>
    <x v="0"/>
    <x v="4"/>
    <n v="3966.4574148531701"/>
    <x v="1"/>
  </r>
  <r>
    <x v="72"/>
    <x v="0"/>
    <x v="276"/>
    <x v="0"/>
    <x v="0"/>
    <x v="0"/>
    <x v="0"/>
    <x v="5"/>
    <n v="3082.1981249120336"/>
    <x v="1"/>
  </r>
  <r>
    <x v="72"/>
    <x v="0"/>
    <x v="276"/>
    <x v="0"/>
    <x v="0"/>
    <x v="0"/>
    <x v="0"/>
    <x v="6"/>
    <n v="13291.233555099796"/>
    <x v="1"/>
  </r>
  <r>
    <x v="72"/>
    <x v="0"/>
    <x v="276"/>
    <x v="0"/>
    <x v="0"/>
    <x v="0"/>
    <x v="0"/>
    <x v="7"/>
    <n v="0"/>
    <x v="1"/>
  </r>
  <r>
    <x v="72"/>
    <x v="0"/>
    <x v="276"/>
    <x v="0"/>
    <x v="0"/>
    <x v="0"/>
    <x v="0"/>
    <x v="8"/>
    <n v="0"/>
    <x v="1"/>
  </r>
  <r>
    <x v="72"/>
    <x v="0"/>
    <x v="276"/>
    <x v="0"/>
    <x v="0"/>
    <x v="0"/>
    <x v="0"/>
    <x v="9"/>
    <n v="0"/>
    <x v="1"/>
  </r>
  <r>
    <x v="72"/>
    <x v="0"/>
    <x v="276"/>
    <x v="0"/>
    <x v="0"/>
    <x v="0"/>
    <x v="0"/>
    <x v="10"/>
    <n v="0"/>
    <x v="1"/>
  </r>
  <r>
    <x v="72"/>
    <x v="0"/>
    <x v="276"/>
    <x v="0"/>
    <x v="0"/>
    <x v="0"/>
    <x v="0"/>
    <x v="12"/>
    <n v="0"/>
    <x v="1"/>
  </r>
  <r>
    <x v="73"/>
    <x v="0"/>
    <x v="277"/>
    <x v="0"/>
    <x v="0"/>
    <x v="0"/>
    <x v="0"/>
    <x v="0"/>
    <n v="1821.8534938407056"/>
    <x v="1"/>
  </r>
  <r>
    <x v="73"/>
    <x v="0"/>
    <x v="277"/>
    <x v="0"/>
    <x v="0"/>
    <x v="0"/>
    <x v="0"/>
    <x v="1"/>
    <n v="1495.2351122692198"/>
    <x v="1"/>
  </r>
  <r>
    <x v="73"/>
    <x v="0"/>
    <x v="277"/>
    <x v="0"/>
    <x v="0"/>
    <x v="0"/>
    <x v="0"/>
    <x v="2"/>
    <n v="1519.6928934710345"/>
    <x v="1"/>
  </r>
  <r>
    <x v="73"/>
    <x v="0"/>
    <x v="277"/>
    <x v="0"/>
    <x v="0"/>
    <x v="0"/>
    <x v="0"/>
    <x v="3"/>
    <n v="1551.6122383950637"/>
    <x v="1"/>
  </r>
  <r>
    <x v="73"/>
    <x v="0"/>
    <x v="277"/>
    <x v="0"/>
    <x v="0"/>
    <x v="0"/>
    <x v="0"/>
    <x v="4"/>
    <n v="2138.8881120383189"/>
    <x v="1"/>
  </r>
  <r>
    <x v="73"/>
    <x v="0"/>
    <x v="277"/>
    <x v="0"/>
    <x v="0"/>
    <x v="0"/>
    <x v="0"/>
    <x v="5"/>
    <n v="1465.4652957885069"/>
    <x v="1"/>
  </r>
  <r>
    <x v="73"/>
    <x v="0"/>
    <x v="277"/>
    <x v="0"/>
    <x v="0"/>
    <x v="0"/>
    <x v="0"/>
    <x v="6"/>
    <n v="2922.740233104897"/>
    <x v="1"/>
  </r>
  <r>
    <x v="73"/>
    <x v="0"/>
    <x v="277"/>
    <x v="0"/>
    <x v="0"/>
    <x v="0"/>
    <x v="0"/>
    <x v="7"/>
    <n v="2520.3359830419945"/>
    <x v="1"/>
  </r>
  <r>
    <x v="73"/>
    <x v="0"/>
    <x v="277"/>
    <x v="0"/>
    <x v="0"/>
    <x v="0"/>
    <x v="0"/>
    <x v="8"/>
    <n v="1497.0418983320094"/>
    <x v="1"/>
  </r>
  <r>
    <x v="73"/>
    <x v="0"/>
    <x v="277"/>
    <x v="0"/>
    <x v="0"/>
    <x v="0"/>
    <x v="0"/>
    <x v="9"/>
    <n v="2305.4657261253283"/>
    <x v="1"/>
  </r>
  <r>
    <x v="73"/>
    <x v="0"/>
    <x v="277"/>
    <x v="0"/>
    <x v="0"/>
    <x v="0"/>
    <x v="0"/>
    <x v="10"/>
    <n v="2706.7811617984903"/>
    <x v="1"/>
  </r>
  <r>
    <x v="73"/>
    <x v="0"/>
    <x v="277"/>
    <x v="0"/>
    <x v="0"/>
    <x v="0"/>
    <x v="0"/>
    <x v="12"/>
    <n v="2989.0373182859053"/>
    <x v="1"/>
  </r>
  <r>
    <x v="74"/>
    <x v="0"/>
    <x v="278"/>
    <x v="0"/>
    <x v="0"/>
    <x v="0"/>
    <x v="0"/>
    <x v="0"/>
    <n v="0"/>
    <x v="1"/>
  </r>
  <r>
    <x v="74"/>
    <x v="0"/>
    <x v="278"/>
    <x v="0"/>
    <x v="0"/>
    <x v="0"/>
    <x v="0"/>
    <x v="1"/>
    <n v="1514.2693345532346"/>
    <x v="1"/>
  </r>
  <r>
    <x v="74"/>
    <x v="0"/>
    <x v="278"/>
    <x v="0"/>
    <x v="0"/>
    <x v="0"/>
    <x v="0"/>
    <x v="2"/>
    <n v="2605.5226157868351"/>
    <x v="1"/>
  </r>
  <r>
    <x v="74"/>
    <x v="0"/>
    <x v="278"/>
    <x v="0"/>
    <x v="0"/>
    <x v="0"/>
    <x v="0"/>
    <x v="3"/>
    <n v="2669.4747040835937"/>
    <x v="1"/>
  </r>
  <r>
    <x v="74"/>
    <x v="0"/>
    <x v="278"/>
    <x v="0"/>
    <x v="0"/>
    <x v="0"/>
    <x v="0"/>
    <x v="4"/>
    <n v="3679.8885996753793"/>
    <x v="1"/>
  </r>
  <r>
    <x v="74"/>
    <x v="0"/>
    <x v="278"/>
    <x v="0"/>
    <x v="0"/>
    <x v="0"/>
    <x v="0"/>
    <x v="5"/>
    <n v="2521.2883998650018"/>
    <x v="1"/>
  </r>
  <r>
    <x v="74"/>
    <x v="0"/>
    <x v="278"/>
    <x v="0"/>
    <x v="0"/>
    <x v="0"/>
    <x v="0"/>
    <x v="6"/>
    <n v="5026.5344404982252"/>
    <x v="1"/>
  </r>
  <r>
    <x v="74"/>
    <x v="0"/>
    <x v="278"/>
    <x v="0"/>
    <x v="0"/>
    <x v="0"/>
    <x v="0"/>
    <x v="7"/>
    <n v="4336.1612834284451"/>
    <x v="1"/>
  </r>
  <r>
    <x v="74"/>
    <x v="0"/>
    <x v="278"/>
    <x v="0"/>
    <x v="0"/>
    <x v="0"/>
    <x v="0"/>
    <x v="8"/>
    <n v="2576.8263644615909"/>
    <x v="1"/>
  </r>
  <r>
    <x v="74"/>
    <x v="0"/>
    <x v="278"/>
    <x v="0"/>
    <x v="0"/>
    <x v="0"/>
    <x v="0"/>
    <x v="9"/>
    <n v="3964.6676999968367"/>
    <x v="1"/>
  </r>
  <r>
    <x v="74"/>
    <x v="0"/>
    <x v="278"/>
    <x v="0"/>
    <x v="0"/>
    <x v="0"/>
    <x v="0"/>
    <x v="10"/>
    <n v="4651.7736133902199"/>
    <x v="1"/>
  </r>
  <r>
    <x v="74"/>
    <x v="0"/>
    <x v="278"/>
    <x v="0"/>
    <x v="0"/>
    <x v="0"/>
    <x v="0"/>
    <x v="12"/>
    <n v="5140.1934002332182"/>
    <x v="1"/>
  </r>
  <r>
    <x v="74"/>
    <x v="1"/>
    <x v="278"/>
    <x v="0"/>
    <x v="1"/>
    <x v="1"/>
    <x v="0"/>
    <x v="0"/>
    <n v="0"/>
    <x v="1"/>
  </r>
  <r>
    <x v="74"/>
    <x v="1"/>
    <x v="278"/>
    <x v="0"/>
    <x v="1"/>
    <x v="1"/>
    <x v="0"/>
    <x v="1"/>
    <n v="0"/>
    <x v="1"/>
  </r>
  <r>
    <x v="74"/>
    <x v="1"/>
    <x v="278"/>
    <x v="0"/>
    <x v="1"/>
    <x v="1"/>
    <x v="0"/>
    <x v="2"/>
    <n v="1085.0108537883145"/>
    <x v="1"/>
  </r>
  <r>
    <x v="74"/>
    <x v="1"/>
    <x v="278"/>
    <x v="0"/>
    <x v="1"/>
    <x v="1"/>
    <x v="0"/>
    <x v="3"/>
    <n v="0"/>
    <x v="1"/>
  </r>
  <r>
    <x v="74"/>
    <x v="1"/>
    <x v="278"/>
    <x v="0"/>
    <x v="1"/>
    <x v="1"/>
    <x v="0"/>
    <x v="4"/>
    <n v="0"/>
    <x v="1"/>
  </r>
  <r>
    <x v="74"/>
    <x v="1"/>
    <x v="278"/>
    <x v="0"/>
    <x v="1"/>
    <x v="1"/>
    <x v="0"/>
    <x v="5"/>
    <n v="0"/>
    <x v="1"/>
  </r>
  <r>
    <x v="74"/>
    <x v="1"/>
    <x v="278"/>
    <x v="0"/>
    <x v="1"/>
    <x v="1"/>
    <x v="0"/>
    <x v="6"/>
    <n v="0"/>
    <x v="1"/>
  </r>
  <r>
    <x v="74"/>
    <x v="1"/>
    <x v="278"/>
    <x v="0"/>
    <x v="1"/>
    <x v="1"/>
    <x v="0"/>
    <x v="7"/>
    <n v="0"/>
    <x v="1"/>
  </r>
  <r>
    <x v="74"/>
    <x v="1"/>
    <x v="278"/>
    <x v="0"/>
    <x v="1"/>
    <x v="1"/>
    <x v="0"/>
    <x v="8"/>
    <n v="0"/>
    <x v="1"/>
  </r>
  <r>
    <x v="74"/>
    <x v="1"/>
    <x v="278"/>
    <x v="0"/>
    <x v="1"/>
    <x v="1"/>
    <x v="0"/>
    <x v="9"/>
    <n v="0"/>
    <x v="1"/>
  </r>
  <r>
    <x v="74"/>
    <x v="1"/>
    <x v="278"/>
    <x v="0"/>
    <x v="1"/>
    <x v="1"/>
    <x v="0"/>
    <x v="10"/>
    <n v="0"/>
    <x v="1"/>
  </r>
  <r>
    <x v="74"/>
    <x v="1"/>
    <x v="278"/>
    <x v="0"/>
    <x v="1"/>
    <x v="1"/>
    <x v="0"/>
    <x v="12"/>
    <n v="0"/>
    <x v="1"/>
  </r>
  <r>
    <x v="75"/>
    <x v="0"/>
    <x v="279"/>
    <x v="0"/>
    <x v="0"/>
    <x v="0"/>
    <x v="0"/>
    <x v="0"/>
    <n v="0"/>
    <x v="1"/>
  </r>
  <r>
    <x v="75"/>
    <x v="0"/>
    <x v="279"/>
    <x v="0"/>
    <x v="0"/>
    <x v="0"/>
    <x v="0"/>
    <x v="1"/>
    <n v="0"/>
    <x v="1"/>
  </r>
  <r>
    <x v="75"/>
    <x v="0"/>
    <x v="279"/>
    <x v="0"/>
    <x v="0"/>
    <x v="0"/>
    <x v="0"/>
    <x v="2"/>
    <n v="0"/>
    <x v="1"/>
  </r>
  <r>
    <x v="75"/>
    <x v="0"/>
    <x v="279"/>
    <x v="0"/>
    <x v="0"/>
    <x v="0"/>
    <x v="0"/>
    <x v="3"/>
    <n v="0"/>
    <x v="1"/>
  </r>
  <r>
    <x v="75"/>
    <x v="0"/>
    <x v="279"/>
    <x v="0"/>
    <x v="0"/>
    <x v="0"/>
    <x v="0"/>
    <x v="4"/>
    <n v="0"/>
    <x v="1"/>
  </r>
  <r>
    <x v="75"/>
    <x v="0"/>
    <x v="279"/>
    <x v="0"/>
    <x v="0"/>
    <x v="0"/>
    <x v="0"/>
    <x v="5"/>
    <n v="0"/>
    <x v="1"/>
  </r>
  <r>
    <x v="75"/>
    <x v="0"/>
    <x v="279"/>
    <x v="0"/>
    <x v="0"/>
    <x v="0"/>
    <x v="0"/>
    <x v="6"/>
    <n v="0"/>
    <x v="1"/>
  </r>
  <r>
    <x v="75"/>
    <x v="0"/>
    <x v="279"/>
    <x v="0"/>
    <x v="0"/>
    <x v="0"/>
    <x v="0"/>
    <x v="7"/>
    <n v="1199.7126188938573"/>
    <x v="1"/>
  </r>
  <r>
    <x v="75"/>
    <x v="0"/>
    <x v="279"/>
    <x v="0"/>
    <x v="0"/>
    <x v="0"/>
    <x v="0"/>
    <x v="8"/>
    <n v="5141.6883581073416"/>
    <x v="1"/>
  </r>
  <r>
    <x v="75"/>
    <x v="0"/>
    <x v="279"/>
    <x v="0"/>
    <x v="0"/>
    <x v="0"/>
    <x v="0"/>
    <x v="9"/>
    <n v="7819.3330591845124"/>
    <x v="1"/>
  </r>
  <r>
    <x v="75"/>
    <x v="0"/>
    <x v="279"/>
    <x v="0"/>
    <x v="0"/>
    <x v="0"/>
    <x v="0"/>
    <x v="10"/>
    <n v="9071.2286839514272"/>
    <x v="1"/>
  </r>
  <r>
    <x v="75"/>
    <x v="0"/>
    <x v="279"/>
    <x v="0"/>
    <x v="0"/>
    <x v="0"/>
    <x v="0"/>
    <x v="12"/>
    <n v="10137.768717685398"/>
    <x v="1"/>
  </r>
  <r>
    <x v="76"/>
    <x v="0"/>
    <x v="280"/>
    <x v="0"/>
    <x v="0"/>
    <x v="0"/>
    <x v="0"/>
    <x v="0"/>
    <n v="0"/>
    <x v="1"/>
  </r>
  <r>
    <x v="76"/>
    <x v="0"/>
    <x v="280"/>
    <x v="0"/>
    <x v="0"/>
    <x v="0"/>
    <x v="0"/>
    <x v="1"/>
    <n v="0"/>
    <x v="1"/>
  </r>
  <r>
    <x v="76"/>
    <x v="0"/>
    <x v="280"/>
    <x v="0"/>
    <x v="0"/>
    <x v="0"/>
    <x v="0"/>
    <x v="2"/>
    <n v="0"/>
    <x v="1"/>
  </r>
  <r>
    <x v="76"/>
    <x v="0"/>
    <x v="280"/>
    <x v="0"/>
    <x v="0"/>
    <x v="0"/>
    <x v="0"/>
    <x v="3"/>
    <n v="0"/>
    <x v="1"/>
  </r>
  <r>
    <x v="76"/>
    <x v="0"/>
    <x v="280"/>
    <x v="0"/>
    <x v="0"/>
    <x v="0"/>
    <x v="0"/>
    <x v="4"/>
    <n v="0"/>
    <x v="1"/>
  </r>
  <r>
    <x v="76"/>
    <x v="0"/>
    <x v="280"/>
    <x v="0"/>
    <x v="0"/>
    <x v="0"/>
    <x v="0"/>
    <x v="5"/>
    <n v="0"/>
    <x v="1"/>
  </r>
  <r>
    <x v="76"/>
    <x v="0"/>
    <x v="280"/>
    <x v="0"/>
    <x v="0"/>
    <x v="0"/>
    <x v="0"/>
    <x v="6"/>
    <n v="0"/>
    <x v="1"/>
  </r>
  <r>
    <x v="76"/>
    <x v="0"/>
    <x v="280"/>
    <x v="0"/>
    <x v="0"/>
    <x v="0"/>
    <x v="0"/>
    <x v="7"/>
    <n v="0"/>
    <x v="1"/>
  </r>
  <r>
    <x v="76"/>
    <x v="0"/>
    <x v="280"/>
    <x v="0"/>
    <x v="0"/>
    <x v="0"/>
    <x v="0"/>
    <x v="8"/>
    <n v="1640.6143481220925"/>
    <x v="1"/>
  </r>
  <r>
    <x v="76"/>
    <x v="0"/>
    <x v="280"/>
    <x v="0"/>
    <x v="0"/>
    <x v="0"/>
    <x v="0"/>
    <x v="9"/>
    <n v="2523.1786923101258"/>
    <x v="1"/>
  </r>
  <r>
    <x v="76"/>
    <x v="0"/>
    <x v="280"/>
    <x v="0"/>
    <x v="0"/>
    <x v="0"/>
    <x v="0"/>
    <x v="10"/>
    <n v="2963.4121102723993"/>
    <x v="1"/>
  </r>
  <r>
    <x v="76"/>
    <x v="0"/>
    <x v="280"/>
    <x v="0"/>
    <x v="0"/>
    <x v="0"/>
    <x v="0"/>
    <x v="12"/>
    <n v="3271.3022737900419"/>
    <x v="1"/>
  </r>
  <r>
    <x v="77"/>
    <x v="0"/>
    <x v="281"/>
    <x v="2"/>
    <x v="0"/>
    <x v="0"/>
    <x v="0"/>
    <x v="0"/>
    <n v="0"/>
    <x v="1"/>
  </r>
  <r>
    <x v="77"/>
    <x v="0"/>
    <x v="281"/>
    <x v="2"/>
    <x v="0"/>
    <x v="0"/>
    <x v="0"/>
    <x v="1"/>
    <n v="0"/>
    <x v="1"/>
  </r>
  <r>
    <x v="77"/>
    <x v="0"/>
    <x v="281"/>
    <x v="2"/>
    <x v="0"/>
    <x v="0"/>
    <x v="0"/>
    <x v="2"/>
    <n v="0"/>
    <x v="1"/>
  </r>
  <r>
    <x v="77"/>
    <x v="0"/>
    <x v="281"/>
    <x v="2"/>
    <x v="0"/>
    <x v="0"/>
    <x v="0"/>
    <x v="3"/>
    <n v="0"/>
    <x v="1"/>
  </r>
  <r>
    <x v="77"/>
    <x v="0"/>
    <x v="281"/>
    <x v="2"/>
    <x v="0"/>
    <x v="0"/>
    <x v="0"/>
    <x v="4"/>
    <n v="0"/>
    <x v="1"/>
  </r>
  <r>
    <x v="77"/>
    <x v="0"/>
    <x v="281"/>
    <x v="2"/>
    <x v="0"/>
    <x v="0"/>
    <x v="0"/>
    <x v="5"/>
    <n v="0"/>
    <x v="1"/>
  </r>
  <r>
    <x v="77"/>
    <x v="0"/>
    <x v="281"/>
    <x v="2"/>
    <x v="0"/>
    <x v="0"/>
    <x v="0"/>
    <x v="6"/>
    <n v="0"/>
    <x v="1"/>
  </r>
  <r>
    <x v="77"/>
    <x v="0"/>
    <x v="281"/>
    <x v="2"/>
    <x v="0"/>
    <x v="0"/>
    <x v="0"/>
    <x v="7"/>
    <n v="0"/>
    <x v="1"/>
  </r>
  <r>
    <x v="77"/>
    <x v="0"/>
    <x v="281"/>
    <x v="2"/>
    <x v="0"/>
    <x v="0"/>
    <x v="0"/>
    <x v="8"/>
    <n v="0"/>
    <x v="1"/>
  </r>
  <r>
    <x v="77"/>
    <x v="0"/>
    <x v="281"/>
    <x v="2"/>
    <x v="0"/>
    <x v="0"/>
    <x v="0"/>
    <x v="9"/>
    <n v="5798.0400468161824"/>
    <x v="1"/>
  </r>
  <r>
    <x v="77"/>
    <x v="0"/>
    <x v="281"/>
    <x v="2"/>
    <x v="0"/>
    <x v="0"/>
    <x v="0"/>
    <x v="10"/>
    <n v="6807.4735805710543"/>
    <x v="1"/>
  </r>
  <r>
    <x v="77"/>
    <x v="0"/>
    <x v="281"/>
    <x v="2"/>
    <x v="0"/>
    <x v="0"/>
    <x v="0"/>
    <x v="12"/>
    <n v="7517.1614465838375"/>
    <x v="1"/>
  </r>
  <r>
    <x v="78"/>
    <x v="0"/>
    <x v="282"/>
    <x v="0"/>
    <x v="0"/>
    <x v="0"/>
    <x v="0"/>
    <x v="0"/>
    <n v="813.01"/>
    <x v="1"/>
  </r>
  <r>
    <x v="78"/>
    <x v="0"/>
    <x v="282"/>
    <x v="0"/>
    <x v="0"/>
    <x v="0"/>
    <x v="0"/>
    <x v="1"/>
    <n v="816.4"/>
    <x v="1"/>
  </r>
  <r>
    <x v="78"/>
    <x v="0"/>
    <x v="282"/>
    <x v="0"/>
    <x v="0"/>
    <x v="0"/>
    <x v="0"/>
    <x v="2"/>
    <n v="833.10937919913999"/>
    <x v="1"/>
  </r>
  <r>
    <x v="78"/>
    <x v="0"/>
    <x v="282"/>
    <x v="0"/>
    <x v="0"/>
    <x v="0"/>
    <x v="0"/>
    <x v="3"/>
    <n v="207.55"/>
    <x v="1"/>
  </r>
  <r>
    <x v="78"/>
    <x v="0"/>
    <x v="282"/>
    <x v="0"/>
    <x v="0"/>
    <x v="0"/>
    <x v="0"/>
    <x v="4"/>
    <n v="0"/>
    <x v="1"/>
  </r>
  <r>
    <x v="78"/>
    <x v="0"/>
    <x v="282"/>
    <x v="0"/>
    <x v="0"/>
    <x v="0"/>
    <x v="0"/>
    <x v="5"/>
    <n v="0"/>
    <x v="1"/>
  </r>
  <r>
    <x v="78"/>
    <x v="0"/>
    <x v="282"/>
    <x v="0"/>
    <x v="0"/>
    <x v="0"/>
    <x v="0"/>
    <x v="6"/>
    <n v="0"/>
    <x v="1"/>
  </r>
  <r>
    <x v="78"/>
    <x v="0"/>
    <x v="282"/>
    <x v="0"/>
    <x v="0"/>
    <x v="0"/>
    <x v="0"/>
    <x v="7"/>
    <n v="0"/>
    <x v="1"/>
  </r>
  <r>
    <x v="78"/>
    <x v="0"/>
    <x v="282"/>
    <x v="0"/>
    <x v="0"/>
    <x v="0"/>
    <x v="0"/>
    <x v="8"/>
    <n v="0"/>
    <x v="1"/>
  </r>
  <r>
    <x v="78"/>
    <x v="0"/>
    <x v="282"/>
    <x v="0"/>
    <x v="0"/>
    <x v="0"/>
    <x v="0"/>
    <x v="9"/>
    <n v="0"/>
    <x v="1"/>
  </r>
  <r>
    <x v="78"/>
    <x v="0"/>
    <x v="282"/>
    <x v="0"/>
    <x v="0"/>
    <x v="0"/>
    <x v="0"/>
    <x v="10"/>
    <n v="0"/>
    <x v="1"/>
  </r>
  <r>
    <x v="78"/>
    <x v="0"/>
    <x v="282"/>
    <x v="0"/>
    <x v="0"/>
    <x v="0"/>
    <x v="0"/>
    <x v="12"/>
    <n v="0"/>
    <x v="1"/>
  </r>
  <r>
    <x v="79"/>
    <x v="0"/>
    <x v="283"/>
    <x v="0"/>
    <x v="0"/>
    <x v="0"/>
    <x v="0"/>
    <x v="0"/>
    <n v="1835.82"/>
    <x v="1"/>
  </r>
  <r>
    <x v="79"/>
    <x v="0"/>
    <x v="283"/>
    <x v="0"/>
    <x v="0"/>
    <x v="0"/>
    <x v="0"/>
    <x v="1"/>
    <n v="1843.6"/>
    <x v="1"/>
  </r>
  <r>
    <x v="79"/>
    <x v="0"/>
    <x v="283"/>
    <x v="0"/>
    <x v="0"/>
    <x v="0"/>
    <x v="0"/>
    <x v="2"/>
    <n v="1881.2147272238644"/>
    <x v="1"/>
  </r>
  <r>
    <x v="79"/>
    <x v="0"/>
    <x v="283"/>
    <x v="0"/>
    <x v="0"/>
    <x v="0"/>
    <x v="0"/>
    <x v="3"/>
    <n v="0"/>
    <x v="1"/>
  </r>
  <r>
    <x v="79"/>
    <x v="0"/>
    <x v="283"/>
    <x v="0"/>
    <x v="0"/>
    <x v="0"/>
    <x v="0"/>
    <x v="4"/>
    <n v="0"/>
    <x v="1"/>
  </r>
  <r>
    <x v="79"/>
    <x v="0"/>
    <x v="283"/>
    <x v="0"/>
    <x v="0"/>
    <x v="0"/>
    <x v="0"/>
    <x v="5"/>
    <n v="0"/>
    <x v="1"/>
  </r>
  <r>
    <x v="79"/>
    <x v="0"/>
    <x v="283"/>
    <x v="0"/>
    <x v="0"/>
    <x v="0"/>
    <x v="0"/>
    <x v="6"/>
    <n v="0"/>
    <x v="1"/>
  </r>
  <r>
    <x v="79"/>
    <x v="0"/>
    <x v="283"/>
    <x v="0"/>
    <x v="0"/>
    <x v="0"/>
    <x v="0"/>
    <x v="7"/>
    <n v="0"/>
    <x v="1"/>
  </r>
  <r>
    <x v="79"/>
    <x v="0"/>
    <x v="283"/>
    <x v="0"/>
    <x v="0"/>
    <x v="0"/>
    <x v="0"/>
    <x v="8"/>
    <n v="0"/>
    <x v="1"/>
  </r>
  <r>
    <x v="79"/>
    <x v="0"/>
    <x v="283"/>
    <x v="0"/>
    <x v="0"/>
    <x v="0"/>
    <x v="0"/>
    <x v="9"/>
    <n v="0"/>
    <x v="1"/>
  </r>
  <r>
    <x v="79"/>
    <x v="0"/>
    <x v="283"/>
    <x v="0"/>
    <x v="0"/>
    <x v="0"/>
    <x v="0"/>
    <x v="10"/>
    <n v="0"/>
    <x v="1"/>
  </r>
  <r>
    <x v="79"/>
    <x v="0"/>
    <x v="283"/>
    <x v="0"/>
    <x v="0"/>
    <x v="0"/>
    <x v="0"/>
    <x v="12"/>
    <n v="0"/>
    <x v="1"/>
  </r>
  <r>
    <x v="80"/>
    <x v="0"/>
    <x v="284"/>
    <x v="0"/>
    <x v="0"/>
    <x v="0"/>
    <x v="0"/>
    <x v="0"/>
    <n v="655.65171780750063"/>
    <x v="1"/>
  </r>
  <r>
    <x v="80"/>
    <x v="0"/>
    <x v="284"/>
    <x v="0"/>
    <x v="0"/>
    <x v="0"/>
    <x v="0"/>
    <x v="1"/>
    <n v="658.4"/>
    <x v="1"/>
  </r>
  <r>
    <x v="80"/>
    <x v="0"/>
    <x v="284"/>
    <x v="0"/>
    <x v="0"/>
    <x v="0"/>
    <x v="0"/>
    <x v="2"/>
    <n v="671.86240257995166"/>
    <x v="1"/>
  </r>
  <r>
    <x v="80"/>
    <x v="0"/>
    <x v="284"/>
    <x v="0"/>
    <x v="0"/>
    <x v="0"/>
    <x v="0"/>
    <x v="3"/>
    <n v="334.76"/>
    <x v="1"/>
  </r>
  <r>
    <x v="80"/>
    <x v="0"/>
    <x v="284"/>
    <x v="0"/>
    <x v="0"/>
    <x v="0"/>
    <x v="0"/>
    <x v="4"/>
    <n v="0"/>
    <x v="1"/>
  </r>
  <r>
    <x v="80"/>
    <x v="0"/>
    <x v="284"/>
    <x v="0"/>
    <x v="0"/>
    <x v="0"/>
    <x v="0"/>
    <x v="5"/>
    <n v="0"/>
    <x v="1"/>
  </r>
  <r>
    <x v="80"/>
    <x v="0"/>
    <x v="284"/>
    <x v="0"/>
    <x v="0"/>
    <x v="0"/>
    <x v="0"/>
    <x v="6"/>
    <n v="0"/>
    <x v="1"/>
  </r>
  <r>
    <x v="80"/>
    <x v="0"/>
    <x v="284"/>
    <x v="0"/>
    <x v="0"/>
    <x v="0"/>
    <x v="0"/>
    <x v="7"/>
    <n v="0"/>
    <x v="1"/>
  </r>
  <r>
    <x v="80"/>
    <x v="0"/>
    <x v="284"/>
    <x v="0"/>
    <x v="0"/>
    <x v="0"/>
    <x v="0"/>
    <x v="8"/>
    <n v="0"/>
    <x v="1"/>
  </r>
  <r>
    <x v="80"/>
    <x v="0"/>
    <x v="284"/>
    <x v="0"/>
    <x v="0"/>
    <x v="0"/>
    <x v="0"/>
    <x v="9"/>
    <n v="0"/>
    <x v="1"/>
  </r>
  <r>
    <x v="80"/>
    <x v="0"/>
    <x v="284"/>
    <x v="0"/>
    <x v="0"/>
    <x v="0"/>
    <x v="0"/>
    <x v="10"/>
    <n v="0"/>
    <x v="1"/>
  </r>
  <r>
    <x v="80"/>
    <x v="0"/>
    <x v="284"/>
    <x v="0"/>
    <x v="0"/>
    <x v="0"/>
    <x v="0"/>
    <x v="12"/>
    <n v="0"/>
    <x v="1"/>
  </r>
  <r>
    <x v="76"/>
    <x v="0"/>
    <x v="280"/>
    <x v="0"/>
    <x v="0"/>
    <x v="0"/>
    <x v="0"/>
    <x v="0"/>
    <n v="1442.4337791765013"/>
    <x v="1"/>
  </r>
  <r>
    <x v="76"/>
    <x v="0"/>
    <x v="280"/>
    <x v="0"/>
    <x v="0"/>
    <x v="0"/>
    <x v="0"/>
    <x v="1"/>
    <n v="1448.5"/>
    <x v="1"/>
  </r>
  <r>
    <x v="76"/>
    <x v="0"/>
    <x v="280"/>
    <x v="0"/>
    <x v="0"/>
    <x v="0"/>
    <x v="0"/>
    <x v="2"/>
    <n v="1478.0972856758935"/>
    <x v="1"/>
  </r>
  <r>
    <x v="76"/>
    <x v="0"/>
    <x v="280"/>
    <x v="0"/>
    <x v="0"/>
    <x v="0"/>
    <x v="0"/>
    <x v="3"/>
    <n v="1472.95"/>
    <x v="1"/>
  </r>
  <r>
    <x v="76"/>
    <x v="0"/>
    <x v="280"/>
    <x v="0"/>
    <x v="0"/>
    <x v="0"/>
    <x v="0"/>
    <x v="4"/>
    <n v="1465.49"/>
    <x v="1"/>
  </r>
  <r>
    <x v="76"/>
    <x v="0"/>
    <x v="280"/>
    <x v="0"/>
    <x v="0"/>
    <x v="0"/>
    <x v="0"/>
    <x v="5"/>
    <n v="1440.92"/>
    <x v="1"/>
  </r>
  <r>
    <x v="76"/>
    <x v="0"/>
    <x v="280"/>
    <x v="0"/>
    <x v="0"/>
    <x v="0"/>
    <x v="0"/>
    <x v="6"/>
    <n v="1470"/>
    <x v="1"/>
  </r>
  <r>
    <x v="76"/>
    <x v="0"/>
    <x v="280"/>
    <x v="0"/>
    <x v="0"/>
    <x v="0"/>
    <x v="0"/>
    <x v="7"/>
    <n v="1440.92"/>
    <x v="1"/>
  </r>
  <r>
    <x v="76"/>
    <x v="0"/>
    <x v="280"/>
    <x v="0"/>
    <x v="0"/>
    <x v="0"/>
    <x v="0"/>
    <x v="8"/>
    <n v="0"/>
    <x v="1"/>
  </r>
  <r>
    <x v="76"/>
    <x v="0"/>
    <x v="280"/>
    <x v="0"/>
    <x v="0"/>
    <x v="0"/>
    <x v="0"/>
    <x v="9"/>
    <n v="0"/>
    <x v="1"/>
  </r>
  <r>
    <x v="76"/>
    <x v="0"/>
    <x v="280"/>
    <x v="0"/>
    <x v="0"/>
    <x v="0"/>
    <x v="0"/>
    <x v="10"/>
    <n v="0"/>
    <x v="1"/>
  </r>
  <r>
    <x v="76"/>
    <x v="0"/>
    <x v="280"/>
    <x v="0"/>
    <x v="0"/>
    <x v="0"/>
    <x v="0"/>
    <x v="12"/>
    <n v="0"/>
    <x v="1"/>
  </r>
  <r>
    <x v="81"/>
    <x v="0"/>
    <x v="285"/>
    <x v="0"/>
    <x v="0"/>
    <x v="0"/>
    <x v="0"/>
    <x v="0"/>
    <n v="367.16496197220033"/>
    <x v="1"/>
  </r>
  <r>
    <x v="81"/>
    <x v="0"/>
    <x v="285"/>
    <x v="0"/>
    <x v="0"/>
    <x v="0"/>
    <x v="0"/>
    <x v="1"/>
    <n v="368.7"/>
    <x v="1"/>
  </r>
  <r>
    <x v="81"/>
    <x v="0"/>
    <x v="285"/>
    <x v="0"/>
    <x v="0"/>
    <x v="0"/>
    <x v="0"/>
    <x v="2"/>
    <n v="376.24294544477289"/>
    <x v="1"/>
  </r>
  <r>
    <x v="81"/>
    <x v="0"/>
    <x v="285"/>
    <x v="0"/>
    <x v="0"/>
    <x v="0"/>
    <x v="0"/>
    <x v="3"/>
    <n v="374.93"/>
    <x v="1"/>
  </r>
  <r>
    <x v="81"/>
    <x v="0"/>
    <x v="285"/>
    <x v="0"/>
    <x v="0"/>
    <x v="0"/>
    <x v="0"/>
    <x v="4"/>
    <n v="373.03"/>
    <x v="1"/>
  </r>
  <r>
    <x v="81"/>
    <x v="0"/>
    <x v="285"/>
    <x v="0"/>
    <x v="0"/>
    <x v="0"/>
    <x v="0"/>
    <x v="5"/>
    <n v="366.78"/>
    <x v="1"/>
  </r>
  <r>
    <x v="81"/>
    <x v="0"/>
    <x v="285"/>
    <x v="0"/>
    <x v="0"/>
    <x v="0"/>
    <x v="0"/>
    <x v="6"/>
    <n v="855"/>
    <x v="1"/>
  </r>
  <r>
    <x v="81"/>
    <x v="0"/>
    <x v="285"/>
    <x v="0"/>
    <x v="0"/>
    <x v="0"/>
    <x v="0"/>
    <x v="7"/>
    <n v="838.35"/>
    <x v="1"/>
  </r>
  <r>
    <x v="81"/>
    <x v="0"/>
    <x v="285"/>
    <x v="0"/>
    <x v="0"/>
    <x v="0"/>
    <x v="0"/>
    <x v="8"/>
    <n v="848"/>
    <x v="1"/>
  </r>
  <r>
    <x v="81"/>
    <x v="0"/>
    <x v="285"/>
    <x v="0"/>
    <x v="0"/>
    <x v="0"/>
    <x v="0"/>
    <x v="9"/>
    <n v="852"/>
    <x v="1"/>
  </r>
  <r>
    <x v="81"/>
    <x v="0"/>
    <x v="285"/>
    <x v="0"/>
    <x v="0"/>
    <x v="0"/>
    <x v="0"/>
    <x v="10"/>
    <n v="849"/>
    <x v="1"/>
  </r>
  <r>
    <x v="81"/>
    <x v="0"/>
    <x v="285"/>
    <x v="0"/>
    <x v="0"/>
    <x v="0"/>
    <x v="0"/>
    <x v="12"/>
    <n v="852"/>
    <x v="1"/>
  </r>
  <r>
    <x v="77"/>
    <x v="0"/>
    <x v="281"/>
    <x v="1"/>
    <x v="0"/>
    <x v="0"/>
    <x v="0"/>
    <x v="0"/>
    <n v="2045.6333595594019"/>
    <x v="1"/>
  </r>
  <r>
    <x v="77"/>
    <x v="0"/>
    <x v="281"/>
    <x v="1"/>
    <x v="0"/>
    <x v="0"/>
    <x v="0"/>
    <x v="1"/>
    <n v="2054.3000000000002"/>
    <x v="1"/>
  </r>
  <r>
    <x v="77"/>
    <x v="0"/>
    <x v="281"/>
    <x v="1"/>
    <x v="0"/>
    <x v="0"/>
    <x v="0"/>
    <x v="2"/>
    <n v="2096.2106960494489"/>
    <x v="1"/>
  </r>
  <r>
    <x v="77"/>
    <x v="0"/>
    <x v="281"/>
    <x v="1"/>
    <x v="0"/>
    <x v="0"/>
    <x v="0"/>
    <x v="3"/>
    <n v="2088.91"/>
    <x v="1"/>
  </r>
  <r>
    <x v="77"/>
    <x v="0"/>
    <x v="281"/>
    <x v="1"/>
    <x v="0"/>
    <x v="0"/>
    <x v="0"/>
    <x v="4"/>
    <n v="2078.34"/>
    <x v="1"/>
  </r>
  <r>
    <x v="77"/>
    <x v="0"/>
    <x v="281"/>
    <x v="1"/>
    <x v="0"/>
    <x v="0"/>
    <x v="0"/>
    <x v="5"/>
    <n v="2043.49"/>
    <x v="1"/>
  </r>
  <r>
    <x v="77"/>
    <x v="0"/>
    <x v="281"/>
    <x v="1"/>
    <x v="0"/>
    <x v="0"/>
    <x v="0"/>
    <x v="6"/>
    <n v="2084"/>
    <x v="1"/>
  </r>
  <r>
    <x v="77"/>
    <x v="0"/>
    <x v="281"/>
    <x v="1"/>
    <x v="0"/>
    <x v="0"/>
    <x v="0"/>
    <x v="7"/>
    <n v="2043.49"/>
    <x v="1"/>
  </r>
  <r>
    <x v="77"/>
    <x v="0"/>
    <x v="281"/>
    <x v="1"/>
    <x v="0"/>
    <x v="0"/>
    <x v="0"/>
    <x v="8"/>
    <n v="2518"/>
    <x v="1"/>
  </r>
  <r>
    <x v="77"/>
    <x v="0"/>
    <x v="281"/>
    <x v="1"/>
    <x v="0"/>
    <x v="0"/>
    <x v="0"/>
    <x v="9"/>
    <n v="0"/>
    <x v="1"/>
  </r>
  <r>
    <x v="77"/>
    <x v="0"/>
    <x v="281"/>
    <x v="1"/>
    <x v="0"/>
    <x v="0"/>
    <x v="0"/>
    <x v="10"/>
    <n v="0"/>
    <x v="1"/>
  </r>
  <r>
    <x v="77"/>
    <x v="0"/>
    <x v="281"/>
    <x v="1"/>
    <x v="0"/>
    <x v="0"/>
    <x v="0"/>
    <x v="12"/>
    <n v="0"/>
    <x v="1"/>
  </r>
  <r>
    <x v="50"/>
    <x v="0"/>
    <x v="286"/>
    <x v="0"/>
    <x v="0"/>
    <x v="0"/>
    <x v="0"/>
    <x v="0"/>
    <n v="655.65171780750063"/>
    <x v="1"/>
  </r>
  <r>
    <x v="50"/>
    <x v="0"/>
    <x v="286"/>
    <x v="0"/>
    <x v="0"/>
    <x v="0"/>
    <x v="0"/>
    <x v="1"/>
    <n v="658.4"/>
    <x v="1"/>
  </r>
  <r>
    <x v="50"/>
    <x v="0"/>
    <x v="286"/>
    <x v="0"/>
    <x v="0"/>
    <x v="0"/>
    <x v="0"/>
    <x v="2"/>
    <n v="1084.1171728030099"/>
    <x v="1"/>
  </r>
  <r>
    <x v="50"/>
    <x v="0"/>
    <x v="286"/>
    <x v="0"/>
    <x v="0"/>
    <x v="0"/>
    <x v="0"/>
    <x v="3"/>
    <n v="1080.3399999999999"/>
    <x v="1"/>
  </r>
  <r>
    <x v="50"/>
    <x v="0"/>
    <x v="286"/>
    <x v="0"/>
    <x v="0"/>
    <x v="0"/>
    <x v="0"/>
    <x v="4"/>
    <n v="1074.8699999999999"/>
    <x v="1"/>
  </r>
  <r>
    <x v="50"/>
    <x v="0"/>
    <x v="286"/>
    <x v="0"/>
    <x v="0"/>
    <x v="0"/>
    <x v="0"/>
    <x v="5"/>
    <n v="1056.8499999999999"/>
    <x v="1"/>
  </r>
  <r>
    <x v="50"/>
    <x v="0"/>
    <x v="286"/>
    <x v="0"/>
    <x v="0"/>
    <x v="0"/>
    <x v="0"/>
    <x v="6"/>
    <n v="1078"/>
    <x v="1"/>
  </r>
  <r>
    <x v="50"/>
    <x v="0"/>
    <x v="286"/>
    <x v="0"/>
    <x v="0"/>
    <x v="0"/>
    <x v="0"/>
    <x v="7"/>
    <n v="2062.35"/>
    <x v="1"/>
  </r>
  <r>
    <x v="50"/>
    <x v="0"/>
    <x v="286"/>
    <x v="0"/>
    <x v="0"/>
    <x v="0"/>
    <x v="0"/>
    <x v="8"/>
    <n v="0"/>
    <x v="1"/>
  </r>
  <r>
    <x v="50"/>
    <x v="0"/>
    <x v="286"/>
    <x v="0"/>
    <x v="0"/>
    <x v="0"/>
    <x v="0"/>
    <x v="9"/>
    <n v="0"/>
    <x v="1"/>
  </r>
  <r>
    <x v="50"/>
    <x v="0"/>
    <x v="286"/>
    <x v="0"/>
    <x v="0"/>
    <x v="0"/>
    <x v="0"/>
    <x v="10"/>
    <n v="0"/>
    <x v="1"/>
  </r>
  <r>
    <x v="50"/>
    <x v="0"/>
    <x v="286"/>
    <x v="0"/>
    <x v="0"/>
    <x v="0"/>
    <x v="0"/>
    <x v="12"/>
    <n v="0"/>
    <x v="1"/>
  </r>
  <r>
    <x v="82"/>
    <x v="0"/>
    <x v="287"/>
    <x v="0"/>
    <x v="0"/>
    <x v="0"/>
    <x v="0"/>
    <x v="0"/>
    <n v="655.65171780750063"/>
    <x v="1"/>
  </r>
  <r>
    <x v="82"/>
    <x v="0"/>
    <x v="287"/>
    <x v="0"/>
    <x v="0"/>
    <x v="0"/>
    <x v="0"/>
    <x v="1"/>
    <n v="658.4"/>
    <x v="1"/>
  </r>
  <r>
    <x v="82"/>
    <x v="0"/>
    <x v="287"/>
    <x v="0"/>
    <x v="0"/>
    <x v="0"/>
    <x v="0"/>
    <x v="2"/>
    <n v="671.86240257995166"/>
    <x v="1"/>
  </r>
  <r>
    <x v="82"/>
    <x v="0"/>
    <x v="287"/>
    <x v="0"/>
    <x v="0"/>
    <x v="0"/>
    <x v="0"/>
    <x v="3"/>
    <n v="669.52"/>
    <x v="1"/>
  </r>
  <r>
    <x v="82"/>
    <x v="0"/>
    <x v="287"/>
    <x v="0"/>
    <x v="0"/>
    <x v="0"/>
    <x v="0"/>
    <x v="4"/>
    <n v="666.13"/>
    <x v="1"/>
  </r>
  <r>
    <x v="82"/>
    <x v="0"/>
    <x v="287"/>
    <x v="0"/>
    <x v="0"/>
    <x v="0"/>
    <x v="0"/>
    <x v="5"/>
    <n v="654.96"/>
    <x v="1"/>
  </r>
  <r>
    <x v="82"/>
    <x v="0"/>
    <x v="287"/>
    <x v="0"/>
    <x v="0"/>
    <x v="0"/>
    <x v="0"/>
    <x v="6"/>
    <n v="0"/>
    <x v="1"/>
  </r>
  <r>
    <x v="82"/>
    <x v="0"/>
    <x v="287"/>
    <x v="0"/>
    <x v="0"/>
    <x v="0"/>
    <x v="0"/>
    <x v="7"/>
    <n v="0"/>
    <x v="1"/>
  </r>
  <r>
    <x v="82"/>
    <x v="0"/>
    <x v="287"/>
    <x v="0"/>
    <x v="0"/>
    <x v="0"/>
    <x v="0"/>
    <x v="8"/>
    <n v="0"/>
    <x v="1"/>
  </r>
  <r>
    <x v="82"/>
    <x v="0"/>
    <x v="287"/>
    <x v="0"/>
    <x v="0"/>
    <x v="0"/>
    <x v="0"/>
    <x v="9"/>
    <n v="0"/>
    <x v="1"/>
  </r>
  <r>
    <x v="82"/>
    <x v="0"/>
    <x v="287"/>
    <x v="0"/>
    <x v="0"/>
    <x v="0"/>
    <x v="0"/>
    <x v="10"/>
    <n v="0"/>
    <x v="1"/>
  </r>
  <r>
    <x v="82"/>
    <x v="0"/>
    <x v="287"/>
    <x v="0"/>
    <x v="0"/>
    <x v="0"/>
    <x v="0"/>
    <x v="12"/>
    <n v="0"/>
    <x v="1"/>
  </r>
  <r>
    <x v="83"/>
    <x v="0"/>
    <x v="288"/>
    <x v="0"/>
    <x v="0"/>
    <x v="0"/>
    <x v="0"/>
    <x v="0"/>
    <n v="655.65171780750063"/>
    <x v="1"/>
  </r>
  <r>
    <x v="83"/>
    <x v="0"/>
    <x v="288"/>
    <x v="0"/>
    <x v="0"/>
    <x v="0"/>
    <x v="0"/>
    <x v="1"/>
    <n v="658.4"/>
    <x v="1"/>
  </r>
  <r>
    <x v="83"/>
    <x v="0"/>
    <x v="288"/>
    <x v="0"/>
    <x v="0"/>
    <x v="0"/>
    <x v="0"/>
    <x v="2"/>
    <n v="671.86240257995166"/>
    <x v="1"/>
  </r>
  <r>
    <x v="83"/>
    <x v="0"/>
    <x v="288"/>
    <x v="0"/>
    <x v="0"/>
    <x v="0"/>
    <x v="0"/>
    <x v="3"/>
    <n v="167.38"/>
    <x v="1"/>
  </r>
  <r>
    <x v="83"/>
    <x v="0"/>
    <x v="288"/>
    <x v="0"/>
    <x v="0"/>
    <x v="0"/>
    <x v="0"/>
    <x v="4"/>
    <n v="0"/>
    <x v="1"/>
  </r>
  <r>
    <x v="83"/>
    <x v="0"/>
    <x v="288"/>
    <x v="0"/>
    <x v="0"/>
    <x v="0"/>
    <x v="0"/>
    <x v="5"/>
    <n v="0"/>
    <x v="1"/>
  </r>
  <r>
    <x v="83"/>
    <x v="0"/>
    <x v="288"/>
    <x v="0"/>
    <x v="0"/>
    <x v="0"/>
    <x v="0"/>
    <x v="6"/>
    <n v="0"/>
    <x v="1"/>
  </r>
  <r>
    <x v="83"/>
    <x v="0"/>
    <x v="288"/>
    <x v="0"/>
    <x v="0"/>
    <x v="0"/>
    <x v="0"/>
    <x v="7"/>
    <n v="0"/>
    <x v="1"/>
  </r>
  <r>
    <x v="83"/>
    <x v="0"/>
    <x v="288"/>
    <x v="0"/>
    <x v="0"/>
    <x v="0"/>
    <x v="0"/>
    <x v="8"/>
    <n v="0"/>
    <x v="1"/>
  </r>
  <r>
    <x v="83"/>
    <x v="0"/>
    <x v="288"/>
    <x v="0"/>
    <x v="0"/>
    <x v="0"/>
    <x v="0"/>
    <x v="9"/>
    <n v="0"/>
    <x v="1"/>
  </r>
  <r>
    <x v="83"/>
    <x v="0"/>
    <x v="288"/>
    <x v="0"/>
    <x v="0"/>
    <x v="0"/>
    <x v="0"/>
    <x v="10"/>
    <n v="0"/>
    <x v="1"/>
  </r>
  <r>
    <x v="83"/>
    <x v="0"/>
    <x v="288"/>
    <x v="0"/>
    <x v="0"/>
    <x v="0"/>
    <x v="0"/>
    <x v="12"/>
    <n v="0"/>
    <x v="1"/>
  </r>
  <r>
    <x v="84"/>
    <x v="0"/>
    <x v="289"/>
    <x v="0"/>
    <x v="0"/>
    <x v="0"/>
    <x v="0"/>
    <x v="0"/>
    <n v="1180.173092053501"/>
    <x v="1"/>
  </r>
  <r>
    <x v="84"/>
    <x v="0"/>
    <x v="289"/>
    <x v="0"/>
    <x v="0"/>
    <x v="0"/>
    <x v="0"/>
    <x v="1"/>
    <n v="1185.0999999999999"/>
    <x v="1"/>
  </r>
  <r>
    <x v="84"/>
    <x v="0"/>
    <x v="289"/>
    <x v="0"/>
    <x v="0"/>
    <x v="0"/>
    <x v="0"/>
    <x v="2"/>
    <n v="1209.3523246439129"/>
    <x v="1"/>
  </r>
  <r>
    <x v="84"/>
    <x v="0"/>
    <x v="289"/>
    <x v="0"/>
    <x v="0"/>
    <x v="0"/>
    <x v="0"/>
    <x v="3"/>
    <n v="0"/>
    <x v="1"/>
  </r>
  <r>
    <x v="84"/>
    <x v="0"/>
    <x v="289"/>
    <x v="0"/>
    <x v="0"/>
    <x v="0"/>
    <x v="0"/>
    <x v="4"/>
    <n v="0"/>
    <x v="1"/>
  </r>
  <r>
    <x v="84"/>
    <x v="0"/>
    <x v="289"/>
    <x v="0"/>
    <x v="0"/>
    <x v="0"/>
    <x v="0"/>
    <x v="5"/>
    <n v="0"/>
    <x v="1"/>
  </r>
  <r>
    <x v="84"/>
    <x v="0"/>
    <x v="289"/>
    <x v="0"/>
    <x v="0"/>
    <x v="0"/>
    <x v="0"/>
    <x v="6"/>
    <n v="0"/>
    <x v="1"/>
  </r>
  <r>
    <x v="84"/>
    <x v="0"/>
    <x v="289"/>
    <x v="0"/>
    <x v="0"/>
    <x v="0"/>
    <x v="0"/>
    <x v="7"/>
    <n v="0"/>
    <x v="1"/>
  </r>
  <r>
    <x v="84"/>
    <x v="0"/>
    <x v="289"/>
    <x v="0"/>
    <x v="0"/>
    <x v="0"/>
    <x v="0"/>
    <x v="8"/>
    <n v="0"/>
    <x v="1"/>
  </r>
  <r>
    <x v="84"/>
    <x v="0"/>
    <x v="289"/>
    <x v="0"/>
    <x v="0"/>
    <x v="0"/>
    <x v="0"/>
    <x v="9"/>
    <n v="0"/>
    <x v="1"/>
  </r>
  <r>
    <x v="84"/>
    <x v="0"/>
    <x v="289"/>
    <x v="0"/>
    <x v="0"/>
    <x v="0"/>
    <x v="0"/>
    <x v="10"/>
    <n v="0"/>
    <x v="1"/>
  </r>
  <r>
    <x v="84"/>
    <x v="0"/>
    <x v="289"/>
    <x v="0"/>
    <x v="0"/>
    <x v="0"/>
    <x v="0"/>
    <x v="12"/>
    <n v="0"/>
    <x v="1"/>
  </r>
  <r>
    <x v="51"/>
    <x v="0"/>
    <x v="290"/>
    <x v="0"/>
    <x v="0"/>
    <x v="0"/>
    <x v="0"/>
    <x v="0"/>
    <n v="655.65171780750063"/>
    <x v="1"/>
  </r>
  <r>
    <x v="51"/>
    <x v="0"/>
    <x v="290"/>
    <x v="0"/>
    <x v="0"/>
    <x v="0"/>
    <x v="0"/>
    <x v="1"/>
    <n v="658.4"/>
    <x v="1"/>
  </r>
  <r>
    <x v="51"/>
    <x v="0"/>
    <x v="290"/>
    <x v="0"/>
    <x v="0"/>
    <x v="0"/>
    <x v="0"/>
    <x v="2"/>
    <n v="671.86240257995166"/>
    <x v="1"/>
  </r>
  <r>
    <x v="51"/>
    <x v="0"/>
    <x v="290"/>
    <x v="0"/>
    <x v="0"/>
    <x v="0"/>
    <x v="0"/>
    <x v="3"/>
    <n v="669.52"/>
    <x v="1"/>
  </r>
  <r>
    <x v="51"/>
    <x v="0"/>
    <x v="290"/>
    <x v="0"/>
    <x v="0"/>
    <x v="0"/>
    <x v="0"/>
    <x v="4"/>
    <n v="666.13"/>
    <x v="1"/>
  </r>
  <r>
    <x v="51"/>
    <x v="0"/>
    <x v="290"/>
    <x v="0"/>
    <x v="0"/>
    <x v="0"/>
    <x v="0"/>
    <x v="5"/>
    <n v="654.96"/>
    <x v="1"/>
  </r>
  <r>
    <x v="51"/>
    <x v="0"/>
    <x v="290"/>
    <x v="0"/>
    <x v="0"/>
    <x v="0"/>
    <x v="0"/>
    <x v="6"/>
    <n v="668"/>
    <x v="1"/>
  </r>
  <r>
    <x v="51"/>
    <x v="0"/>
    <x v="290"/>
    <x v="0"/>
    <x v="0"/>
    <x v="0"/>
    <x v="0"/>
    <x v="7"/>
    <n v="654.96"/>
    <x v="1"/>
  </r>
  <r>
    <x v="51"/>
    <x v="0"/>
    <x v="290"/>
    <x v="0"/>
    <x v="0"/>
    <x v="0"/>
    <x v="0"/>
    <x v="8"/>
    <n v="0"/>
    <x v="1"/>
  </r>
  <r>
    <x v="51"/>
    <x v="0"/>
    <x v="290"/>
    <x v="0"/>
    <x v="0"/>
    <x v="0"/>
    <x v="0"/>
    <x v="9"/>
    <n v="0"/>
    <x v="1"/>
  </r>
  <r>
    <x v="51"/>
    <x v="0"/>
    <x v="290"/>
    <x v="0"/>
    <x v="0"/>
    <x v="0"/>
    <x v="0"/>
    <x v="10"/>
    <n v="0"/>
    <x v="1"/>
  </r>
  <r>
    <x v="51"/>
    <x v="0"/>
    <x v="290"/>
    <x v="0"/>
    <x v="0"/>
    <x v="0"/>
    <x v="0"/>
    <x v="12"/>
    <n v="0"/>
    <x v="1"/>
  </r>
  <r>
    <x v="85"/>
    <x v="0"/>
    <x v="291"/>
    <x v="0"/>
    <x v="0"/>
    <x v="0"/>
    <x v="0"/>
    <x v="0"/>
    <n v="1966.9551534225018"/>
    <x v="1"/>
  </r>
  <r>
    <x v="85"/>
    <x v="0"/>
    <x v="291"/>
    <x v="0"/>
    <x v="0"/>
    <x v="0"/>
    <x v="0"/>
    <x v="1"/>
    <n v="1975.2"/>
    <x v="1"/>
  </r>
  <r>
    <x v="85"/>
    <x v="0"/>
    <x v="291"/>
    <x v="0"/>
    <x v="0"/>
    <x v="0"/>
    <x v="0"/>
    <x v="2"/>
    <n v="2015.5872077398549"/>
    <x v="1"/>
  </r>
  <r>
    <x v="85"/>
    <x v="0"/>
    <x v="291"/>
    <x v="0"/>
    <x v="0"/>
    <x v="0"/>
    <x v="0"/>
    <x v="3"/>
    <n v="0"/>
    <x v="1"/>
  </r>
  <r>
    <x v="85"/>
    <x v="0"/>
    <x v="291"/>
    <x v="0"/>
    <x v="0"/>
    <x v="0"/>
    <x v="0"/>
    <x v="4"/>
    <n v="0"/>
    <x v="1"/>
  </r>
  <r>
    <x v="85"/>
    <x v="0"/>
    <x v="291"/>
    <x v="0"/>
    <x v="0"/>
    <x v="0"/>
    <x v="0"/>
    <x v="5"/>
    <n v="0"/>
    <x v="1"/>
  </r>
  <r>
    <x v="85"/>
    <x v="0"/>
    <x v="291"/>
    <x v="0"/>
    <x v="0"/>
    <x v="0"/>
    <x v="0"/>
    <x v="6"/>
    <n v="0"/>
    <x v="1"/>
  </r>
  <r>
    <x v="85"/>
    <x v="0"/>
    <x v="291"/>
    <x v="0"/>
    <x v="0"/>
    <x v="0"/>
    <x v="0"/>
    <x v="7"/>
    <n v="0"/>
    <x v="1"/>
  </r>
  <r>
    <x v="85"/>
    <x v="0"/>
    <x v="291"/>
    <x v="0"/>
    <x v="0"/>
    <x v="0"/>
    <x v="0"/>
    <x v="8"/>
    <n v="0"/>
    <x v="1"/>
  </r>
  <r>
    <x v="85"/>
    <x v="0"/>
    <x v="291"/>
    <x v="0"/>
    <x v="0"/>
    <x v="0"/>
    <x v="0"/>
    <x v="9"/>
    <n v="0"/>
    <x v="1"/>
  </r>
  <r>
    <x v="85"/>
    <x v="0"/>
    <x v="291"/>
    <x v="0"/>
    <x v="0"/>
    <x v="0"/>
    <x v="0"/>
    <x v="10"/>
    <n v="0"/>
    <x v="1"/>
  </r>
  <r>
    <x v="85"/>
    <x v="0"/>
    <x v="291"/>
    <x v="0"/>
    <x v="0"/>
    <x v="0"/>
    <x v="0"/>
    <x v="12"/>
    <n v="0"/>
    <x v="1"/>
  </r>
  <r>
    <x v="30"/>
    <x v="0"/>
    <x v="292"/>
    <x v="0"/>
    <x v="0"/>
    <x v="0"/>
    <x v="0"/>
    <x v="0"/>
    <n v="4101.7571466037243"/>
    <x v="1"/>
  </r>
  <r>
    <x v="30"/>
    <x v="0"/>
    <x v="292"/>
    <x v="0"/>
    <x v="0"/>
    <x v="0"/>
    <x v="0"/>
    <x v="1"/>
    <n v="0"/>
    <x v="1"/>
  </r>
  <r>
    <x v="30"/>
    <x v="0"/>
    <x v="292"/>
    <x v="0"/>
    <x v="0"/>
    <x v="0"/>
    <x v="0"/>
    <x v="2"/>
    <n v="0"/>
    <x v="1"/>
  </r>
  <r>
    <x v="30"/>
    <x v="0"/>
    <x v="292"/>
    <x v="0"/>
    <x v="0"/>
    <x v="0"/>
    <x v="0"/>
    <x v="3"/>
    <n v="0"/>
    <x v="1"/>
  </r>
  <r>
    <x v="30"/>
    <x v="0"/>
    <x v="292"/>
    <x v="0"/>
    <x v="0"/>
    <x v="0"/>
    <x v="0"/>
    <x v="4"/>
    <n v="0"/>
    <x v="1"/>
  </r>
  <r>
    <x v="30"/>
    <x v="0"/>
    <x v="292"/>
    <x v="0"/>
    <x v="0"/>
    <x v="0"/>
    <x v="0"/>
    <x v="5"/>
    <n v="0"/>
    <x v="1"/>
  </r>
  <r>
    <x v="30"/>
    <x v="0"/>
    <x v="292"/>
    <x v="0"/>
    <x v="0"/>
    <x v="0"/>
    <x v="0"/>
    <x v="6"/>
    <n v="0"/>
    <x v="1"/>
  </r>
  <r>
    <x v="30"/>
    <x v="0"/>
    <x v="292"/>
    <x v="0"/>
    <x v="0"/>
    <x v="0"/>
    <x v="0"/>
    <x v="7"/>
    <n v="0"/>
    <x v="1"/>
  </r>
  <r>
    <x v="30"/>
    <x v="0"/>
    <x v="292"/>
    <x v="0"/>
    <x v="0"/>
    <x v="0"/>
    <x v="0"/>
    <x v="8"/>
    <n v="0"/>
    <x v="1"/>
  </r>
  <r>
    <x v="30"/>
    <x v="0"/>
    <x v="292"/>
    <x v="0"/>
    <x v="0"/>
    <x v="0"/>
    <x v="0"/>
    <x v="9"/>
    <n v="0"/>
    <x v="1"/>
  </r>
  <r>
    <x v="30"/>
    <x v="0"/>
    <x v="292"/>
    <x v="0"/>
    <x v="0"/>
    <x v="0"/>
    <x v="0"/>
    <x v="10"/>
    <n v="0"/>
    <x v="1"/>
  </r>
  <r>
    <x v="30"/>
    <x v="0"/>
    <x v="292"/>
    <x v="0"/>
    <x v="0"/>
    <x v="0"/>
    <x v="0"/>
    <x v="12"/>
    <n v="0"/>
    <x v="1"/>
  </r>
  <r>
    <x v="74"/>
    <x v="0"/>
    <x v="278"/>
    <x v="0"/>
    <x v="0"/>
    <x v="0"/>
    <x v="0"/>
    <x v="0"/>
    <n v="1704.6944662995015"/>
    <x v="1"/>
  </r>
  <r>
    <x v="74"/>
    <x v="0"/>
    <x v="278"/>
    <x v="0"/>
    <x v="0"/>
    <x v="0"/>
    <x v="0"/>
    <x v="1"/>
    <n v="0"/>
    <x v="1"/>
  </r>
  <r>
    <x v="74"/>
    <x v="0"/>
    <x v="278"/>
    <x v="0"/>
    <x v="0"/>
    <x v="0"/>
    <x v="0"/>
    <x v="2"/>
    <n v="0"/>
    <x v="1"/>
  </r>
  <r>
    <x v="74"/>
    <x v="0"/>
    <x v="278"/>
    <x v="0"/>
    <x v="0"/>
    <x v="0"/>
    <x v="0"/>
    <x v="3"/>
    <n v="0"/>
    <x v="1"/>
  </r>
  <r>
    <x v="74"/>
    <x v="0"/>
    <x v="278"/>
    <x v="0"/>
    <x v="0"/>
    <x v="0"/>
    <x v="0"/>
    <x v="4"/>
    <n v="0"/>
    <x v="1"/>
  </r>
  <r>
    <x v="74"/>
    <x v="0"/>
    <x v="278"/>
    <x v="0"/>
    <x v="0"/>
    <x v="0"/>
    <x v="0"/>
    <x v="5"/>
    <n v="0"/>
    <x v="1"/>
  </r>
  <r>
    <x v="74"/>
    <x v="0"/>
    <x v="278"/>
    <x v="0"/>
    <x v="0"/>
    <x v="0"/>
    <x v="0"/>
    <x v="6"/>
    <n v="0"/>
    <x v="1"/>
  </r>
  <r>
    <x v="74"/>
    <x v="0"/>
    <x v="278"/>
    <x v="0"/>
    <x v="0"/>
    <x v="0"/>
    <x v="0"/>
    <x v="7"/>
    <n v="0"/>
    <x v="1"/>
  </r>
  <r>
    <x v="74"/>
    <x v="0"/>
    <x v="278"/>
    <x v="0"/>
    <x v="0"/>
    <x v="0"/>
    <x v="0"/>
    <x v="8"/>
    <n v="0"/>
    <x v="1"/>
  </r>
  <r>
    <x v="74"/>
    <x v="0"/>
    <x v="278"/>
    <x v="0"/>
    <x v="0"/>
    <x v="0"/>
    <x v="0"/>
    <x v="9"/>
    <n v="0"/>
    <x v="1"/>
  </r>
  <r>
    <x v="74"/>
    <x v="0"/>
    <x v="278"/>
    <x v="0"/>
    <x v="0"/>
    <x v="0"/>
    <x v="0"/>
    <x v="10"/>
    <n v="0"/>
    <x v="1"/>
  </r>
  <r>
    <x v="74"/>
    <x v="0"/>
    <x v="278"/>
    <x v="0"/>
    <x v="0"/>
    <x v="0"/>
    <x v="0"/>
    <x v="12"/>
    <n v="0"/>
    <x v="1"/>
  </r>
  <r>
    <x v="86"/>
    <x v="0"/>
    <x v="293"/>
    <x v="0"/>
    <x v="0"/>
    <x v="0"/>
    <x v="0"/>
    <x v="0"/>
    <n v="472.06923682140047"/>
    <x v="1"/>
  </r>
  <r>
    <x v="86"/>
    <x v="0"/>
    <x v="293"/>
    <x v="0"/>
    <x v="0"/>
    <x v="0"/>
    <x v="0"/>
    <x v="1"/>
    <n v="474.1"/>
    <x v="1"/>
  </r>
  <r>
    <x v="86"/>
    <x v="0"/>
    <x v="293"/>
    <x v="0"/>
    <x v="0"/>
    <x v="0"/>
    <x v="0"/>
    <x v="2"/>
    <n v="483.74092985756516"/>
    <x v="1"/>
  </r>
  <r>
    <x v="86"/>
    <x v="0"/>
    <x v="293"/>
    <x v="0"/>
    <x v="0"/>
    <x v="0"/>
    <x v="0"/>
    <x v="3"/>
    <n v="482.06"/>
    <x v="1"/>
  </r>
  <r>
    <x v="86"/>
    <x v="0"/>
    <x v="293"/>
    <x v="0"/>
    <x v="0"/>
    <x v="0"/>
    <x v="0"/>
    <x v="4"/>
    <n v="479.62"/>
    <x v="1"/>
  </r>
  <r>
    <x v="86"/>
    <x v="0"/>
    <x v="293"/>
    <x v="0"/>
    <x v="0"/>
    <x v="0"/>
    <x v="0"/>
    <x v="5"/>
    <n v="0"/>
    <x v="1"/>
  </r>
  <r>
    <x v="86"/>
    <x v="0"/>
    <x v="293"/>
    <x v="0"/>
    <x v="0"/>
    <x v="0"/>
    <x v="0"/>
    <x v="6"/>
    <n v="0"/>
    <x v="1"/>
  </r>
  <r>
    <x v="86"/>
    <x v="0"/>
    <x v="293"/>
    <x v="0"/>
    <x v="0"/>
    <x v="0"/>
    <x v="0"/>
    <x v="7"/>
    <n v="0"/>
    <x v="1"/>
  </r>
  <r>
    <x v="86"/>
    <x v="0"/>
    <x v="293"/>
    <x v="0"/>
    <x v="0"/>
    <x v="0"/>
    <x v="0"/>
    <x v="8"/>
    <n v="0"/>
    <x v="1"/>
  </r>
  <r>
    <x v="86"/>
    <x v="0"/>
    <x v="293"/>
    <x v="0"/>
    <x v="0"/>
    <x v="0"/>
    <x v="0"/>
    <x v="9"/>
    <n v="0"/>
    <x v="1"/>
  </r>
  <r>
    <x v="86"/>
    <x v="0"/>
    <x v="293"/>
    <x v="0"/>
    <x v="0"/>
    <x v="0"/>
    <x v="0"/>
    <x v="10"/>
    <n v="0"/>
    <x v="1"/>
  </r>
  <r>
    <x v="86"/>
    <x v="0"/>
    <x v="293"/>
    <x v="0"/>
    <x v="0"/>
    <x v="0"/>
    <x v="0"/>
    <x v="12"/>
    <n v="0"/>
    <x v="1"/>
  </r>
  <r>
    <x v="73"/>
    <x v="0"/>
    <x v="277"/>
    <x v="0"/>
    <x v="0"/>
    <x v="0"/>
    <x v="0"/>
    <x v="0"/>
    <n v="1180.17"/>
    <x v="1"/>
  </r>
  <r>
    <x v="73"/>
    <x v="0"/>
    <x v="277"/>
    <x v="0"/>
    <x v="0"/>
    <x v="0"/>
    <x v="0"/>
    <x v="1"/>
    <n v="0"/>
    <x v="1"/>
  </r>
  <r>
    <x v="73"/>
    <x v="0"/>
    <x v="277"/>
    <x v="0"/>
    <x v="0"/>
    <x v="0"/>
    <x v="0"/>
    <x v="2"/>
    <n v="0"/>
    <x v="1"/>
  </r>
  <r>
    <x v="73"/>
    <x v="0"/>
    <x v="277"/>
    <x v="0"/>
    <x v="0"/>
    <x v="0"/>
    <x v="0"/>
    <x v="3"/>
    <n v="0"/>
    <x v="1"/>
  </r>
  <r>
    <x v="73"/>
    <x v="0"/>
    <x v="277"/>
    <x v="0"/>
    <x v="0"/>
    <x v="0"/>
    <x v="0"/>
    <x v="4"/>
    <n v="0"/>
    <x v="1"/>
  </r>
  <r>
    <x v="73"/>
    <x v="0"/>
    <x v="277"/>
    <x v="0"/>
    <x v="0"/>
    <x v="0"/>
    <x v="0"/>
    <x v="5"/>
    <n v="0"/>
    <x v="1"/>
  </r>
  <r>
    <x v="73"/>
    <x v="0"/>
    <x v="277"/>
    <x v="0"/>
    <x v="0"/>
    <x v="0"/>
    <x v="0"/>
    <x v="6"/>
    <n v="0"/>
    <x v="1"/>
  </r>
  <r>
    <x v="73"/>
    <x v="0"/>
    <x v="277"/>
    <x v="0"/>
    <x v="0"/>
    <x v="0"/>
    <x v="0"/>
    <x v="7"/>
    <n v="0"/>
    <x v="1"/>
  </r>
  <r>
    <x v="73"/>
    <x v="0"/>
    <x v="277"/>
    <x v="0"/>
    <x v="0"/>
    <x v="0"/>
    <x v="0"/>
    <x v="8"/>
    <n v="0"/>
    <x v="1"/>
  </r>
  <r>
    <x v="73"/>
    <x v="0"/>
    <x v="277"/>
    <x v="0"/>
    <x v="0"/>
    <x v="0"/>
    <x v="0"/>
    <x v="9"/>
    <n v="0"/>
    <x v="1"/>
  </r>
  <r>
    <x v="73"/>
    <x v="0"/>
    <x v="277"/>
    <x v="0"/>
    <x v="0"/>
    <x v="0"/>
    <x v="0"/>
    <x v="10"/>
    <n v="0"/>
    <x v="1"/>
  </r>
  <r>
    <x v="73"/>
    <x v="0"/>
    <x v="277"/>
    <x v="0"/>
    <x v="0"/>
    <x v="0"/>
    <x v="0"/>
    <x v="12"/>
    <n v="0"/>
    <x v="1"/>
  </r>
  <r>
    <x v="30"/>
    <x v="2"/>
    <x v="294"/>
    <x v="0"/>
    <x v="2"/>
    <x v="3"/>
    <x v="9"/>
    <x v="0"/>
    <n v="0"/>
    <x v="1"/>
  </r>
  <r>
    <x v="30"/>
    <x v="2"/>
    <x v="294"/>
    <x v="0"/>
    <x v="2"/>
    <x v="3"/>
    <x v="9"/>
    <x v="1"/>
    <n v="0"/>
    <x v="1"/>
  </r>
  <r>
    <x v="30"/>
    <x v="2"/>
    <x v="294"/>
    <x v="0"/>
    <x v="2"/>
    <x v="3"/>
    <x v="9"/>
    <x v="2"/>
    <n v="0"/>
    <x v="1"/>
  </r>
  <r>
    <x v="30"/>
    <x v="2"/>
    <x v="294"/>
    <x v="0"/>
    <x v="2"/>
    <x v="3"/>
    <x v="9"/>
    <x v="3"/>
    <n v="1836"/>
    <x v="1"/>
  </r>
  <r>
    <x v="30"/>
    <x v="2"/>
    <x v="294"/>
    <x v="0"/>
    <x v="2"/>
    <x v="3"/>
    <x v="9"/>
    <x v="4"/>
    <n v="0"/>
    <x v="1"/>
  </r>
  <r>
    <x v="30"/>
    <x v="2"/>
    <x v="294"/>
    <x v="0"/>
    <x v="2"/>
    <x v="3"/>
    <x v="9"/>
    <x v="5"/>
    <n v="0"/>
    <x v="1"/>
  </r>
  <r>
    <x v="30"/>
    <x v="2"/>
    <x v="294"/>
    <x v="0"/>
    <x v="2"/>
    <x v="3"/>
    <x v="9"/>
    <x v="6"/>
    <n v="0"/>
    <x v="1"/>
  </r>
  <r>
    <x v="30"/>
    <x v="2"/>
    <x v="294"/>
    <x v="0"/>
    <x v="2"/>
    <x v="3"/>
    <x v="9"/>
    <x v="7"/>
    <n v="9909"/>
    <x v="1"/>
  </r>
  <r>
    <x v="30"/>
    <x v="2"/>
    <x v="294"/>
    <x v="0"/>
    <x v="2"/>
    <x v="3"/>
    <x v="9"/>
    <x v="8"/>
    <n v="0"/>
    <x v="1"/>
  </r>
  <r>
    <x v="30"/>
    <x v="2"/>
    <x v="294"/>
    <x v="0"/>
    <x v="2"/>
    <x v="3"/>
    <x v="9"/>
    <x v="9"/>
    <n v="0"/>
    <x v="1"/>
  </r>
  <r>
    <x v="30"/>
    <x v="2"/>
    <x v="294"/>
    <x v="0"/>
    <x v="2"/>
    <x v="3"/>
    <x v="9"/>
    <x v="10"/>
    <n v="0"/>
    <x v="1"/>
  </r>
  <r>
    <x v="30"/>
    <x v="2"/>
    <x v="294"/>
    <x v="0"/>
    <x v="2"/>
    <x v="3"/>
    <x v="9"/>
    <x v="12"/>
    <n v="0"/>
    <x v="1"/>
  </r>
  <r>
    <x v="87"/>
    <x v="0"/>
    <x v="295"/>
    <x v="0"/>
    <x v="0"/>
    <x v="0"/>
    <x v="0"/>
    <x v="0"/>
    <n v="0"/>
    <x v="1"/>
  </r>
  <r>
    <x v="87"/>
    <x v="0"/>
    <x v="295"/>
    <x v="0"/>
    <x v="0"/>
    <x v="0"/>
    <x v="0"/>
    <x v="1"/>
    <n v="0"/>
    <x v="1"/>
  </r>
  <r>
    <x v="87"/>
    <x v="0"/>
    <x v="295"/>
    <x v="0"/>
    <x v="0"/>
    <x v="0"/>
    <x v="0"/>
    <x v="2"/>
    <n v="0"/>
    <x v="1"/>
  </r>
  <r>
    <x v="87"/>
    <x v="0"/>
    <x v="295"/>
    <x v="0"/>
    <x v="0"/>
    <x v="0"/>
    <x v="0"/>
    <x v="3"/>
    <n v="0"/>
    <x v="1"/>
  </r>
  <r>
    <x v="87"/>
    <x v="0"/>
    <x v="295"/>
    <x v="0"/>
    <x v="0"/>
    <x v="0"/>
    <x v="0"/>
    <x v="4"/>
    <n v="0"/>
    <x v="1"/>
  </r>
  <r>
    <x v="87"/>
    <x v="0"/>
    <x v="295"/>
    <x v="0"/>
    <x v="0"/>
    <x v="0"/>
    <x v="0"/>
    <x v="5"/>
    <n v="0"/>
    <x v="1"/>
  </r>
  <r>
    <x v="87"/>
    <x v="0"/>
    <x v="295"/>
    <x v="0"/>
    <x v="0"/>
    <x v="0"/>
    <x v="0"/>
    <x v="6"/>
    <n v="0"/>
    <x v="1"/>
  </r>
  <r>
    <x v="87"/>
    <x v="0"/>
    <x v="295"/>
    <x v="0"/>
    <x v="0"/>
    <x v="0"/>
    <x v="0"/>
    <x v="7"/>
    <n v="838.3"/>
    <x v="1"/>
  </r>
  <r>
    <x v="87"/>
    <x v="0"/>
    <x v="295"/>
    <x v="0"/>
    <x v="0"/>
    <x v="0"/>
    <x v="0"/>
    <x v="8"/>
    <n v="848"/>
    <x v="1"/>
  </r>
  <r>
    <x v="87"/>
    <x v="0"/>
    <x v="295"/>
    <x v="0"/>
    <x v="0"/>
    <x v="0"/>
    <x v="0"/>
    <x v="9"/>
    <n v="852"/>
    <x v="1"/>
  </r>
  <r>
    <x v="87"/>
    <x v="0"/>
    <x v="295"/>
    <x v="0"/>
    <x v="0"/>
    <x v="0"/>
    <x v="0"/>
    <x v="10"/>
    <n v="848"/>
    <x v="1"/>
  </r>
  <r>
    <x v="87"/>
    <x v="0"/>
    <x v="295"/>
    <x v="0"/>
    <x v="0"/>
    <x v="0"/>
    <x v="0"/>
    <x v="12"/>
    <n v="852"/>
    <x v="1"/>
  </r>
  <r>
    <x v="71"/>
    <x v="1"/>
    <x v="274"/>
    <x v="0"/>
    <x v="2"/>
    <x v="3"/>
    <x v="18"/>
    <x v="0"/>
    <n v="0"/>
    <x v="1"/>
  </r>
  <r>
    <x v="71"/>
    <x v="1"/>
    <x v="274"/>
    <x v="0"/>
    <x v="2"/>
    <x v="3"/>
    <x v="18"/>
    <x v="1"/>
    <n v="0"/>
    <x v="1"/>
  </r>
  <r>
    <x v="71"/>
    <x v="1"/>
    <x v="274"/>
    <x v="0"/>
    <x v="2"/>
    <x v="3"/>
    <x v="18"/>
    <x v="2"/>
    <n v="0"/>
    <x v="1"/>
  </r>
  <r>
    <x v="71"/>
    <x v="1"/>
    <x v="274"/>
    <x v="0"/>
    <x v="2"/>
    <x v="3"/>
    <x v="18"/>
    <x v="3"/>
    <n v="0"/>
    <x v="1"/>
  </r>
  <r>
    <x v="71"/>
    <x v="1"/>
    <x v="274"/>
    <x v="0"/>
    <x v="2"/>
    <x v="3"/>
    <x v="18"/>
    <x v="4"/>
    <n v="0"/>
    <x v="1"/>
  </r>
  <r>
    <x v="71"/>
    <x v="1"/>
    <x v="274"/>
    <x v="0"/>
    <x v="2"/>
    <x v="3"/>
    <x v="18"/>
    <x v="5"/>
    <n v="654.96"/>
    <x v="1"/>
  </r>
  <r>
    <x v="71"/>
    <x v="1"/>
    <x v="274"/>
    <x v="0"/>
    <x v="2"/>
    <x v="3"/>
    <x v="18"/>
    <x v="6"/>
    <n v="0"/>
    <x v="1"/>
  </r>
  <r>
    <x v="71"/>
    <x v="1"/>
    <x v="274"/>
    <x v="0"/>
    <x v="2"/>
    <x v="3"/>
    <x v="18"/>
    <x v="7"/>
    <n v="0"/>
    <x v="1"/>
  </r>
  <r>
    <x v="71"/>
    <x v="1"/>
    <x v="274"/>
    <x v="0"/>
    <x v="2"/>
    <x v="3"/>
    <x v="18"/>
    <x v="8"/>
    <n v="0"/>
    <x v="1"/>
  </r>
  <r>
    <x v="71"/>
    <x v="1"/>
    <x v="274"/>
    <x v="0"/>
    <x v="2"/>
    <x v="3"/>
    <x v="18"/>
    <x v="9"/>
    <n v="0"/>
    <x v="1"/>
  </r>
  <r>
    <x v="71"/>
    <x v="1"/>
    <x v="274"/>
    <x v="0"/>
    <x v="2"/>
    <x v="3"/>
    <x v="18"/>
    <x v="10"/>
    <n v="0"/>
    <x v="1"/>
  </r>
  <r>
    <x v="71"/>
    <x v="1"/>
    <x v="274"/>
    <x v="0"/>
    <x v="2"/>
    <x v="3"/>
    <x v="18"/>
    <x v="12"/>
    <n v="0"/>
    <x v="1"/>
  </r>
  <r>
    <x v="88"/>
    <x v="0"/>
    <x v="296"/>
    <x v="0"/>
    <x v="0"/>
    <x v="0"/>
    <x v="0"/>
    <x v="0"/>
    <n v="0"/>
    <x v="1"/>
  </r>
  <r>
    <x v="88"/>
    <x v="0"/>
    <x v="296"/>
    <x v="0"/>
    <x v="0"/>
    <x v="0"/>
    <x v="0"/>
    <x v="1"/>
    <n v="0"/>
    <x v="1"/>
  </r>
  <r>
    <x v="88"/>
    <x v="0"/>
    <x v="296"/>
    <x v="0"/>
    <x v="0"/>
    <x v="0"/>
    <x v="0"/>
    <x v="2"/>
    <n v="0"/>
    <x v="1"/>
  </r>
  <r>
    <x v="88"/>
    <x v="0"/>
    <x v="296"/>
    <x v="0"/>
    <x v="0"/>
    <x v="0"/>
    <x v="0"/>
    <x v="3"/>
    <n v="0"/>
    <x v="1"/>
  </r>
  <r>
    <x v="88"/>
    <x v="0"/>
    <x v="296"/>
    <x v="0"/>
    <x v="0"/>
    <x v="0"/>
    <x v="0"/>
    <x v="4"/>
    <n v="0"/>
    <x v="1"/>
  </r>
  <r>
    <x v="88"/>
    <x v="0"/>
    <x v="296"/>
    <x v="0"/>
    <x v="0"/>
    <x v="0"/>
    <x v="0"/>
    <x v="5"/>
    <n v="196.49"/>
    <x v="1"/>
  </r>
  <r>
    <x v="88"/>
    <x v="0"/>
    <x v="296"/>
    <x v="0"/>
    <x v="0"/>
    <x v="0"/>
    <x v="0"/>
    <x v="6"/>
    <n v="481"/>
    <x v="1"/>
  </r>
  <r>
    <x v="88"/>
    <x v="0"/>
    <x v="296"/>
    <x v="0"/>
    <x v="0"/>
    <x v="0"/>
    <x v="0"/>
    <x v="7"/>
    <n v="471.57"/>
    <x v="1"/>
  </r>
  <r>
    <x v="88"/>
    <x v="0"/>
    <x v="296"/>
    <x v="0"/>
    <x v="0"/>
    <x v="0"/>
    <x v="0"/>
    <x v="8"/>
    <n v="477"/>
    <x v="1"/>
  </r>
  <r>
    <x v="88"/>
    <x v="0"/>
    <x v="296"/>
    <x v="0"/>
    <x v="0"/>
    <x v="0"/>
    <x v="0"/>
    <x v="9"/>
    <n v="479"/>
    <x v="1"/>
  </r>
  <r>
    <x v="88"/>
    <x v="0"/>
    <x v="296"/>
    <x v="0"/>
    <x v="0"/>
    <x v="0"/>
    <x v="0"/>
    <x v="10"/>
    <n v="0"/>
    <x v="1"/>
  </r>
  <r>
    <x v="88"/>
    <x v="0"/>
    <x v="296"/>
    <x v="0"/>
    <x v="0"/>
    <x v="0"/>
    <x v="0"/>
    <x v="12"/>
    <n v="0"/>
    <x v="1"/>
  </r>
  <r>
    <x v="30"/>
    <x v="1"/>
    <x v="297"/>
    <x v="0"/>
    <x v="2"/>
    <x v="3"/>
    <x v="0"/>
    <x v="0"/>
    <n v="0"/>
    <x v="1"/>
  </r>
  <r>
    <x v="30"/>
    <x v="1"/>
    <x v="297"/>
    <x v="0"/>
    <x v="2"/>
    <x v="3"/>
    <x v="0"/>
    <x v="1"/>
    <n v="0"/>
    <x v="1"/>
  </r>
  <r>
    <x v="30"/>
    <x v="1"/>
    <x v="297"/>
    <x v="0"/>
    <x v="2"/>
    <x v="3"/>
    <x v="0"/>
    <x v="2"/>
    <n v="604.67616232195644"/>
    <x v="1"/>
  </r>
  <r>
    <x v="30"/>
    <x v="1"/>
    <x v="297"/>
    <x v="0"/>
    <x v="2"/>
    <x v="3"/>
    <x v="0"/>
    <x v="3"/>
    <n v="0"/>
    <x v="1"/>
  </r>
  <r>
    <x v="30"/>
    <x v="1"/>
    <x v="297"/>
    <x v="0"/>
    <x v="2"/>
    <x v="3"/>
    <x v="0"/>
    <x v="4"/>
    <n v="0"/>
    <x v="1"/>
  </r>
  <r>
    <x v="30"/>
    <x v="1"/>
    <x v="297"/>
    <x v="0"/>
    <x v="2"/>
    <x v="3"/>
    <x v="0"/>
    <x v="5"/>
    <n v="0"/>
    <x v="1"/>
  </r>
  <r>
    <x v="30"/>
    <x v="1"/>
    <x v="297"/>
    <x v="0"/>
    <x v="2"/>
    <x v="3"/>
    <x v="0"/>
    <x v="6"/>
    <n v="0"/>
    <x v="1"/>
  </r>
  <r>
    <x v="30"/>
    <x v="1"/>
    <x v="297"/>
    <x v="0"/>
    <x v="2"/>
    <x v="3"/>
    <x v="0"/>
    <x v="7"/>
    <n v="0"/>
    <x v="1"/>
  </r>
  <r>
    <x v="30"/>
    <x v="1"/>
    <x v="297"/>
    <x v="0"/>
    <x v="2"/>
    <x v="3"/>
    <x v="0"/>
    <x v="8"/>
    <n v="0"/>
    <x v="1"/>
  </r>
  <r>
    <x v="30"/>
    <x v="1"/>
    <x v="297"/>
    <x v="0"/>
    <x v="2"/>
    <x v="3"/>
    <x v="0"/>
    <x v="9"/>
    <n v="0"/>
    <x v="1"/>
  </r>
  <r>
    <x v="30"/>
    <x v="1"/>
    <x v="297"/>
    <x v="0"/>
    <x v="2"/>
    <x v="3"/>
    <x v="0"/>
    <x v="10"/>
    <n v="0"/>
    <x v="1"/>
  </r>
  <r>
    <x v="30"/>
    <x v="1"/>
    <x v="297"/>
    <x v="0"/>
    <x v="2"/>
    <x v="3"/>
    <x v="0"/>
    <x v="12"/>
    <n v="0"/>
    <x v="1"/>
  </r>
  <r>
    <x v="30"/>
    <x v="2"/>
    <x v="298"/>
    <x v="0"/>
    <x v="2"/>
    <x v="3"/>
    <x v="19"/>
    <x v="0"/>
    <n v="0"/>
    <x v="1"/>
  </r>
  <r>
    <x v="30"/>
    <x v="2"/>
    <x v="298"/>
    <x v="0"/>
    <x v="2"/>
    <x v="3"/>
    <x v="19"/>
    <x v="1"/>
    <n v="0"/>
    <x v="1"/>
  </r>
  <r>
    <x v="30"/>
    <x v="2"/>
    <x v="298"/>
    <x v="0"/>
    <x v="2"/>
    <x v="3"/>
    <x v="19"/>
    <x v="2"/>
    <n v="0"/>
    <x v="1"/>
  </r>
  <r>
    <x v="30"/>
    <x v="2"/>
    <x v="298"/>
    <x v="0"/>
    <x v="2"/>
    <x v="3"/>
    <x v="19"/>
    <x v="3"/>
    <n v="0"/>
    <x v="1"/>
  </r>
  <r>
    <x v="30"/>
    <x v="2"/>
    <x v="298"/>
    <x v="0"/>
    <x v="2"/>
    <x v="3"/>
    <x v="19"/>
    <x v="4"/>
    <n v="0"/>
    <x v="1"/>
  </r>
  <r>
    <x v="30"/>
    <x v="2"/>
    <x v="298"/>
    <x v="0"/>
    <x v="2"/>
    <x v="3"/>
    <x v="19"/>
    <x v="5"/>
    <n v="0"/>
    <x v="1"/>
  </r>
  <r>
    <x v="30"/>
    <x v="2"/>
    <x v="298"/>
    <x v="0"/>
    <x v="2"/>
    <x v="3"/>
    <x v="19"/>
    <x v="6"/>
    <n v="3550"/>
    <x v="1"/>
  </r>
  <r>
    <x v="30"/>
    <x v="2"/>
    <x v="298"/>
    <x v="0"/>
    <x v="2"/>
    <x v="3"/>
    <x v="19"/>
    <x v="7"/>
    <n v="0"/>
    <x v="1"/>
  </r>
  <r>
    <x v="30"/>
    <x v="2"/>
    <x v="298"/>
    <x v="0"/>
    <x v="2"/>
    <x v="3"/>
    <x v="19"/>
    <x v="8"/>
    <n v="0"/>
    <x v="1"/>
  </r>
  <r>
    <x v="30"/>
    <x v="2"/>
    <x v="298"/>
    <x v="0"/>
    <x v="2"/>
    <x v="3"/>
    <x v="19"/>
    <x v="9"/>
    <n v="0"/>
    <x v="1"/>
  </r>
  <r>
    <x v="30"/>
    <x v="2"/>
    <x v="298"/>
    <x v="0"/>
    <x v="2"/>
    <x v="3"/>
    <x v="19"/>
    <x v="10"/>
    <n v="0"/>
    <x v="1"/>
  </r>
  <r>
    <x v="30"/>
    <x v="2"/>
    <x v="298"/>
    <x v="0"/>
    <x v="2"/>
    <x v="3"/>
    <x v="19"/>
    <x v="12"/>
    <n v="0"/>
    <x v="1"/>
  </r>
  <r>
    <x v="30"/>
    <x v="1"/>
    <x v="299"/>
    <x v="0"/>
    <x v="2"/>
    <x v="3"/>
    <x v="0"/>
    <x v="0"/>
    <n v="0"/>
    <x v="1"/>
  </r>
  <r>
    <x v="30"/>
    <x v="1"/>
    <x v="299"/>
    <x v="0"/>
    <x v="2"/>
    <x v="3"/>
    <x v="0"/>
    <x v="1"/>
    <n v="0"/>
    <x v="1"/>
  </r>
  <r>
    <x v="30"/>
    <x v="1"/>
    <x v="299"/>
    <x v="0"/>
    <x v="2"/>
    <x v="3"/>
    <x v="0"/>
    <x v="2"/>
    <n v="0"/>
    <x v="1"/>
  </r>
  <r>
    <x v="30"/>
    <x v="1"/>
    <x v="299"/>
    <x v="0"/>
    <x v="2"/>
    <x v="3"/>
    <x v="0"/>
    <x v="3"/>
    <n v="0"/>
    <x v="1"/>
  </r>
  <r>
    <x v="30"/>
    <x v="1"/>
    <x v="299"/>
    <x v="0"/>
    <x v="2"/>
    <x v="3"/>
    <x v="0"/>
    <x v="4"/>
    <n v="0"/>
    <x v="1"/>
  </r>
  <r>
    <x v="30"/>
    <x v="1"/>
    <x v="299"/>
    <x v="0"/>
    <x v="2"/>
    <x v="3"/>
    <x v="0"/>
    <x v="5"/>
    <n v="0"/>
    <x v="1"/>
  </r>
  <r>
    <x v="30"/>
    <x v="1"/>
    <x v="299"/>
    <x v="0"/>
    <x v="2"/>
    <x v="3"/>
    <x v="0"/>
    <x v="6"/>
    <n v="94"/>
    <x v="1"/>
  </r>
  <r>
    <x v="30"/>
    <x v="1"/>
    <x v="299"/>
    <x v="0"/>
    <x v="2"/>
    <x v="3"/>
    <x v="0"/>
    <x v="7"/>
    <n v="0"/>
    <x v="1"/>
  </r>
  <r>
    <x v="30"/>
    <x v="1"/>
    <x v="299"/>
    <x v="0"/>
    <x v="2"/>
    <x v="3"/>
    <x v="0"/>
    <x v="8"/>
    <n v="93"/>
    <x v="1"/>
  </r>
  <r>
    <x v="30"/>
    <x v="1"/>
    <x v="299"/>
    <x v="0"/>
    <x v="2"/>
    <x v="3"/>
    <x v="0"/>
    <x v="9"/>
    <n v="93"/>
    <x v="1"/>
  </r>
  <r>
    <x v="30"/>
    <x v="1"/>
    <x v="299"/>
    <x v="0"/>
    <x v="2"/>
    <x v="3"/>
    <x v="0"/>
    <x v="10"/>
    <n v="93"/>
    <x v="1"/>
  </r>
  <r>
    <x v="30"/>
    <x v="1"/>
    <x v="299"/>
    <x v="0"/>
    <x v="2"/>
    <x v="3"/>
    <x v="0"/>
    <x v="12"/>
    <n v="93"/>
    <x v="1"/>
  </r>
  <r>
    <x v="30"/>
    <x v="0"/>
    <x v="300"/>
    <x v="0"/>
    <x v="0"/>
    <x v="2"/>
    <x v="0"/>
    <x v="0"/>
    <n v="0"/>
    <x v="1"/>
  </r>
  <r>
    <x v="30"/>
    <x v="0"/>
    <x v="300"/>
    <x v="0"/>
    <x v="0"/>
    <x v="2"/>
    <x v="0"/>
    <x v="1"/>
    <n v="0"/>
    <x v="1"/>
  </r>
  <r>
    <x v="30"/>
    <x v="0"/>
    <x v="300"/>
    <x v="0"/>
    <x v="0"/>
    <x v="2"/>
    <x v="0"/>
    <x v="2"/>
    <n v="2418.7046492878258"/>
    <x v="1"/>
  </r>
  <r>
    <x v="30"/>
    <x v="0"/>
    <x v="300"/>
    <x v="0"/>
    <x v="0"/>
    <x v="2"/>
    <x v="0"/>
    <x v="3"/>
    <n v="0"/>
    <x v="1"/>
  </r>
  <r>
    <x v="30"/>
    <x v="0"/>
    <x v="300"/>
    <x v="0"/>
    <x v="0"/>
    <x v="2"/>
    <x v="0"/>
    <x v="4"/>
    <n v="0"/>
    <x v="1"/>
  </r>
  <r>
    <x v="30"/>
    <x v="0"/>
    <x v="300"/>
    <x v="0"/>
    <x v="0"/>
    <x v="2"/>
    <x v="0"/>
    <x v="5"/>
    <n v="0"/>
    <x v="1"/>
  </r>
  <r>
    <x v="30"/>
    <x v="0"/>
    <x v="300"/>
    <x v="0"/>
    <x v="0"/>
    <x v="2"/>
    <x v="0"/>
    <x v="6"/>
    <n v="0"/>
    <x v="1"/>
  </r>
  <r>
    <x v="30"/>
    <x v="0"/>
    <x v="300"/>
    <x v="0"/>
    <x v="0"/>
    <x v="2"/>
    <x v="0"/>
    <x v="7"/>
    <n v="0"/>
    <x v="1"/>
  </r>
  <r>
    <x v="30"/>
    <x v="0"/>
    <x v="300"/>
    <x v="0"/>
    <x v="0"/>
    <x v="2"/>
    <x v="0"/>
    <x v="8"/>
    <n v="0"/>
    <x v="1"/>
  </r>
  <r>
    <x v="30"/>
    <x v="0"/>
    <x v="300"/>
    <x v="0"/>
    <x v="0"/>
    <x v="2"/>
    <x v="0"/>
    <x v="9"/>
    <n v="0"/>
    <x v="1"/>
  </r>
  <r>
    <x v="30"/>
    <x v="0"/>
    <x v="300"/>
    <x v="0"/>
    <x v="0"/>
    <x v="2"/>
    <x v="0"/>
    <x v="10"/>
    <n v="0"/>
    <x v="1"/>
  </r>
  <r>
    <x v="30"/>
    <x v="0"/>
    <x v="300"/>
    <x v="0"/>
    <x v="0"/>
    <x v="2"/>
    <x v="0"/>
    <x v="12"/>
    <n v="0"/>
    <x v="1"/>
  </r>
  <r>
    <x v="30"/>
    <x v="1"/>
    <x v="301"/>
    <x v="0"/>
    <x v="2"/>
    <x v="3"/>
    <x v="0"/>
    <x v="0"/>
    <n v="0"/>
    <x v="1"/>
  </r>
  <r>
    <x v="30"/>
    <x v="1"/>
    <x v="301"/>
    <x v="0"/>
    <x v="2"/>
    <x v="3"/>
    <x v="0"/>
    <x v="1"/>
    <n v="0"/>
    <x v="1"/>
  </r>
  <r>
    <x v="30"/>
    <x v="1"/>
    <x v="301"/>
    <x v="0"/>
    <x v="2"/>
    <x v="3"/>
    <x v="0"/>
    <x v="2"/>
    <n v="0"/>
    <x v="1"/>
  </r>
  <r>
    <x v="30"/>
    <x v="1"/>
    <x v="301"/>
    <x v="0"/>
    <x v="2"/>
    <x v="3"/>
    <x v="0"/>
    <x v="3"/>
    <n v="0"/>
    <x v="1"/>
  </r>
  <r>
    <x v="30"/>
    <x v="1"/>
    <x v="301"/>
    <x v="0"/>
    <x v="2"/>
    <x v="3"/>
    <x v="0"/>
    <x v="4"/>
    <n v="0"/>
    <x v="1"/>
  </r>
  <r>
    <x v="30"/>
    <x v="1"/>
    <x v="301"/>
    <x v="0"/>
    <x v="2"/>
    <x v="3"/>
    <x v="0"/>
    <x v="5"/>
    <n v="0"/>
    <x v="1"/>
  </r>
  <r>
    <x v="30"/>
    <x v="1"/>
    <x v="301"/>
    <x v="0"/>
    <x v="2"/>
    <x v="3"/>
    <x v="0"/>
    <x v="6"/>
    <n v="0"/>
    <x v="1"/>
  </r>
  <r>
    <x v="30"/>
    <x v="1"/>
    <x v="301"/>
    <x v="0"/>
    <x v="2"/>
    <x v="3"/>
    <x v="0"/>
    <x v="7"/>
    <n v="0"/>
    <x v="1"/>
  </r>
  <r>
    <x v="30"/>
    <x v="1"/>
    <x v="301"/>
    <x v="0"/>
    <x v="2"/>
    <x v="3"/>
    <x v="0"/>
    <x v="8"/>
    <n v="0"/>
    <x v="1"/>
  </r>
  <r>
    <x v="30"/>
    <x v="1"/>
    <x v="301"/>
    <x v="0"/>
    <x v="2"/>
    <x v="3"/>
    <x v="0"/>
    <x v="9"/>
    <n v="147"/>
    <x v="1"/>
  </r>
  <r>
    <x v="30"/>
    <x v="1"/>
    <x v="301"/>
    <x v="0"/>
    <x v="2"/>
    <x v="3"/>
    <x v="0"/>
    <x v="10"/>
    <n v="1097"/>
    <x v="1"/>
  </r>
  <r>
    <x v="30"/>
    <x v="1"/>
    <x v="301"/>
    <x v="0"/>
    <x v="2"/>
    <x v="3"/>
    <x v="0"/>
    <x v="12"/>
    <n v="1097"/>
    <x v="1"/>
  </r>
  <r>
    <x v="30"/>
    <x v="0"/>
    <x v="302"/>
    <x v="0"/>
    <x v="0"/>
    <x v="0"/>
    <x v="0"/>
    <x v="0"/>
    <n v="0"/>
    <x v="1"/>
  </r>
  <r>
    <x v="30"/>
    <x v="0"/>
    <x v="302"/>
    <x v="0"/>
    <x v="0"/>
    <x v="0"/>
    <x v="0"/>
    <x v="1"/>
    <n v="0"/>
    <x v="1"/>
  </r>
  <r>
    <x v="30"/>
    <x v="0"/>
    <x v="302"/>
    <x v="0"/>
    <x v="0"/>
    <x v="0"/>
    <x v="0"/>
    <x v="2"/>
    <n v="0"/>
    <x v="1"/>
  </r>
  <r>
    <x v="30"/>
    <x v="0"/>
    <x v="302"/>
    <x v="0"/>
    <x v="0"/>
    <x v="0"/>
    <x v="0"/>
    <x v="3"/>
    <n v="0"/>
    <x v="1"/>
  </r>
  <r>
    <x v="30"/>
    <x v="0"/>
    <x v="302"/>
    <x v="0"/>
    <x v="0"/>
    <x v="0"/>
    <x v="0"/>
    <x v="4"/>
    <n v="0"/>
    <x v="1"/>
  </r>
  <r>
    <x v="30"/>
    <x v="0"/>
    <x v="302"/>
    <x v="0"/>
    <x v="0"/>
    <x v="0"/>
    <x v="0"/>
    <x v="5"/>
    <n v="0"/>
    <x v="1"/>
  </r>
  <r>
    <x v="30"/>
    <x v="0"/>
    <x v="302"/>
    <x v="0"/>
    <x v="0"/>
    <x v="0"/>
    <x v="0"/>
    <x v="6"/>
    <n v="0"/>
    <x v="1"/>
  </r>
  <r>
    <x v="30"/>
    <x v="0"/>
    <x v="302"/>
    <x v="0"/>
    <x v="0"/>
    <x v="0"/>
    <x v="0"/>
    <x v="7"/>
    <n v="0"/>
    <x v="1"/>
  </r>
  <r>
    <x v="30"/>
    <x v="0"/>
    <x v="302"/>
    <x v="0"/>
    <x v="0"/>
    <x v="0"/>
    <x v="0"/>
    <x v="8"/>
    <n v="0"/>
    <x v="1"/>
  </r>
  <r>
    <x v="30"/>
    <x v="0"/>
    <x v="302"/>
    <x v="0"/>
    <x v="0"/>
    <x v="0"/>
    <x v="0"/>
    <x v="9"/>
    <n v="0"/>
    <x v="1"/>
  </r>
  <r>
    <x v="30"/>
    <x v="0"/>
    <x v="302"/>
    <x v="0"/>
    <x v="0"/>
    <x v="0"/>
    <x v="0"/>
    <x v="10"/>
    <n v="1458"/>
    <x v="1"/>
  </r>
  <r>
    <x v="30"/>
    <x v="0"/>
    <x v="302"/>
    <x v="0"/>
    <x v="0"/>
    <x v="0"/>
    <x v="0"/>
    <x v="12"/>
    <n v="1458"/>
    <x v="1"/>
  </r>
  <r>
    <x v="70"/>
    <x v="0"/>
    <x v="273"/>
    <x v="0"/>
    <x v="0"/>
    <x v="0"/>
    <x v="0"/>
    <x v="0"/>
    <n v="0"/>
    <x v="1"/>
  </r>
  <r>
    <x v="70"/>
    <x v="0"/>
    <x v="273"/>
    <x v="0"/>
    <x v="0"/>
    <x v="0"/>
    <x v="0"/>
    <x v="1"/>
    <n v="0"/>
    <x v="1"/>
  </r>
  <r>
    <x v="70"/>
    <x v="0"/>
    <x v="273"/>
    <x v="0"/>
    <x v="0"/>
    <x v="0"/>
    <x v="0"/>
    <x v="2"/>
    <n v="0"/>
    <x v="1"/>
  </r>
  <r>
    <x v="70"/>
    <x v="0"/>
    <x v="273"/>
    <x v="0"/>
    <x v="0"/>
    <x v="0"/>
    <x v="0"/>
    <x v="3"/>
    <n v="0"/>
    <x v="1"/>
  </r>
  <r>
    <x v="70"/>
    <x v="0"/>
    <x v="273"/>
    <x v="0"/>
    <x v="0"/>
    <x v="0"/>
    <x v="0"/>
    <x v="4"/>
    <n v="0"/>
    <x v="1"/>
  </r>
  <r>
    <x v="70"/>
    <x v="0"/>
    <x v="273"/>
    <x v="0"/>
    <x v="0"/>
    <x v="0"/>
    <x v="0"/>
    <x v="5"/>
    <n v="0"/>
    <x v="1"/>
  </r>
  <r>
    <x v="70"/>
    <x v="0"/>
    <x v="273"/>
    <x v="0"/>
    <x v="0"/>
    <x v="0"/>
    <x v="0"/>
    <x v="6"/>
    <n v="0"/>
    <x v="1"/>
  </r>
  <r>
    <x v="70"/>
    <x v="0"/>
    <x v="273"/>
    <x v="0"/>
    <x v="0"/>
    <x v="0"/>
    <x v="0"/>
    <x v="7"/>
    <n v="0"/>
    <x v="1"/>
  </r>
  <r>
    <x v="70"/>
    <x v="0"/>
    <x v="273"/>
    <x v="0"/>
    <x v="0"/>
    <x v="0"/>
    <x v="0"/>
    <x v="8"/>
    <n v="0"/>
    <x v="1"/>
  </r>
  <r>
    <x v="70"/>
    <x v="0"/>
    <x v="273"/>
    <x v="0"/>
    <x v="0"/>
    <x v="0"/>
    <x v="0"/>
    <x v="9"/>
    <n v="0"/>
    <x v="1"/>
  </r>
  <r>
    <x v="70"/>
    <x v="0"/>
    <x v="273"/>
    <x v="0"/>
    <x v="0"/>
    <x v="0"/>
    <x v="0"/>
    <x v="10"/>
    <n v="274"/>
    <x v="1"/>
  </r>
  <r>
    <x v="70"/>
    <x v="0"/>
    <x v="273"/>
    <x v="0"/>
    <x v="0"/>
    <x v="0"/>
    <x v="0"/>
    <x v="12"/>
    <n v="274"/>
    <x v="1"/>
  </r>
  <r>
    <x v="59"/>
    <x v="1"/>
    <x v="262"/>
    <x v="0"/>
    <x v="2"/>
    <x v="3"/>
    <x v="0"/>
    <x v="0"/>
    <n v="0"/>
    <x v="1"/>
  </r>
  <r>
    <x v="59"/>
    <x v="1"/>
    <x v="262"/>
    <x v="0"/>
    <x v="2"/>
    <x v="3"/>
    <x v="0"/>
    <x v="1"/>
    <n v="0"/>
    <x v="1"/>
  </r>
  <r>
    <x v="59"/>
    <x v="1"/>
    <x v="262"/>
    <x v="0"/>
    <x v="2"/>
    <x v="3"/>
    <x v="0"/>
    <x v="2"/>
    <n v="0"/>
    <x v="1"/>
  </r>
  <r>
    <x v="59"/>
    <x v="1"/>
    <x v="262"/>
    <x v="0"/>
    <x v="2"/>
    <x v="3"/>
    <x v="0"/>
    <x v="3"/>
    <n v="0"/>
    <x v="1"/>
  </r>
  <r>
    <x v="59"/>
    <x v="1"/>
    <x v="262"/>
    <x v="0"/>
    <x v="2"/>
    <x v="3"/>
    <x v="0"/>
    <x v="4"/>
    <n v="0"/>
    <x v="1"/>
  </r>
  <r>
    <x v="59"/>
    <x v="1"/>
    <x v="262"/>
    <x v="0"/>
    <x v="2"/>
    <x v="3"/>
    <x v="0"/>
    <x v="5"/>
    <n v="0"/>
    <x v="1"/>
  </r>
  <r>
    <x v="59"/>
    <x v="1"/>
    <x v="262"/>
    <x v="0"/>
    <x v="2"/>
    <x v="3"/>
    <x v="0"/>
    <x v="6"/>
    <n v="0"/>
    <x v="1"/>
  </r>
  <r>
    <x v="59"/>
    <x v="1"/>
    <x v="262"/>
    <x v="0"/>
    <x v="2"/>
    <x v="3"/>
    <x v="0"/>
    <x v="7"/>
    <n v="0"/>
    <x v="1"/>
  </r>
  <r>
    <x v="59"/>
    <x v="1"/>
    <x v="262"/>
    <x v="0"/>
    <x v="2"/>
    <x v="3"/>
    <x v="0"/>
    <x v="8"/>
    <n v="0"/>
    <x v="1"/>
  </r>
  <r>
    <x v="59"/>
    <x v="1"/>
    <x v="262"/>
    <x v="0"/>
    <x v="2"/>
    <x v="3"/>
    <x v="0"/>
    <x v="9"/>
    <n v="0"/>
    <x v="1"/>
  </r>
  <r>
    <x v="59"/>
    <x v="1"/>
    <x v="262"/>
    <x v="0"/>
    <x v="2"/>
    <x v="3"/>
    <x v="0"/>
    <x v="10"/>
    <n v="252"/>
    <x v="1"/>
  </r>
  <r>
    <x v="59"/>
    <x v="1"/>
    <x v="262"/>
    <x v="0"/>
    <x v="2"/>
    <x v="3"/>
    <x v="0"/>
    <x v="12"/>
    <n v="252"/>
    <x v="1"/>
  </r>
  <r>
    <x v="30"/>
    <x v="0"/>
    <x v="303"/>
    <x v="2"/>
    <x v="2"/>
    <x v="3"/>
    <x v="0"/>
    <x v="0"/>
    <n v="1117.0858221872541"/>
    <x v="1"/>
  </r>
  <r>
    <x v="30"/>
    <x v="0"/>
    <x v="303"/>
    <x v="2"/>
    <x v="2"/>
    <x v="3"/>
    <x v="0"/>
    <x v="1"/>
    <n v="0"/>
    <x v="1"/>
  </r>
  <r>
    <x v="30"/>
    <x v="0"/>
    <x v="303"/>
    <x v="2"/>
    <x v="2"/>
    <x v="3"/>
    <x v="0"/>
    <x v="2"/>
    <n v="2110.5574200483743"/>
    <x v="1"/>
  </r>
  <r>
    <x v="30"/>
    <x v="0"/>
    <x v="303"/>
    <x v="2"/>
    <x v="2"/>
    <x v="3"/>
    <x v="0"/>
    <x v="3"/>
    <n v="1120"/>
    <x v="1"/>
  </r>
  <r>
    <x v="30"/>
    <x v="0"/>
    <x v="303"/>
    <x v="2"/>
    <x v="2"/>
    <x v="3"/>
    <x v="0"/>
    <x v="4"/>
    <n v="1119"/>
    <x v="1"/>
  </r>
  <r>
    <x v="30"/>
    <x v="0"/>
    <x v="303"/>
    <x v="2"/>
    <x v="2"/>
    <x v="3"/>
    <x v="0"/>
    <x v="5"/>
    <n v="1118"/>
    <x v="1"/>
  </r>
  <r>
    <x v="30"/>
    <x v="0"/>
    <x v="303"/>
    <x v="2"/>
    <x v="2"/>
    <x v="3"/>
    <x v="0"/>
    <x v="6"/>
    <n v="1124"/>
    <x v="1"/>
  </r>
  <r>
    <x v="30"/>
    <x v="0"/>
    <x v="303"/>
    <x v="2"/>
    <x v="2"/>
    <x v="3"/>
    <x v="0"/>
    <x v="7"/>
    <n v="1119"/>
    <x v="1"/>
  </r>
  <r>
    <x v="30"/>
    <x v="0"/>
    <x v="303"/>
    <x v="2"/>
    <x v="2"/>
    <x v="3"/>
    <x v="0"/>
    <x v="8"/>
    <n v="1120"/>
    <x v="1"/>
  </r>
  <r>
    <x v="30"/>
    <x v="0"/>
    <x v="303"/>
    <x v="2"/>
    <x v="2"/>
    <x v="3"/>
    <x v="0"/>
    <x v="9"/>
    <n v="1120"/>
    <x v="1"/>
  </r>
  <r>
    <x v="30"/>
    <x v="0"/>
    <x v="303"/>
    <x v="2"/>
    <x v="2"/>
    <x v="3"/>
    <x v="0"/>
    <x v="10"/>
    <n v="1121"/>
    <x v="1"/>
  </r>
  <r>
    <x v="30"/>
    <x v="0"/>
    <x v="303"/>
    <x v="2"/>
    <x v="2"/>
    <x v="3"/>
    <x v="0"/>
    <x v="12"/>
    <n v="1120"/>
    <x v="1"/>
  </r>
  <r>
    <x v="30"/>
    <x v="0"/>
    <x v="304"/>
    <x v="2"/>
    <x v="2"/>
    <x v="3"/>
    <x v="0"/>
    <x v="0"/>
    <n v="650"/>
    <x v="1"/>
  </r>
  <r>
    <x v="30"/>
    <x v="0"/>
    <x v="304"/>
    <x v="2"/>
    <x v="2"/>
    <x v="3"/>
    <x v="0"/>
    <x v="1"/>
    <n v="0"/>
    <x v="1"/>
  </r>
  <r>
    <x v="30"/>
    <x v="0"/>
    <x v="304"/>
    <x v="2"/>
    <x v="2"/>
    <x v="3"/>
    <x v="0"/>
    <x v="2"/>
    <n v="1300"/>
    <x v="1"/>
  </r>
  <r>
    <x v="30"/>
    <x v="0"/>
    <x v="304"/>
    <x v="2"/>
    <x v="2"/>
    <x v="3"/>
    <x v="0"/>
    <x v="3"/>
    <n v="1300"/>
    <x v="1"/>
  </r>
  <r>
    <x v="30"/>
    <x v="0"/>
    <x v="304"/>
    <x v="2"/>
    <x v="2"/>
    <x v="3"/>
    <x v="0"/>
    <x v="4"/>
    <n v="650"/>
    <x v="1"/>
  </r>
  <r>
    <x v="30"/>
    <x v="0"/>
    <x v="304"/>
    <x v="2"/>
    <x v="2"/>
    <x v="3"/>
    <x v="0"/>
    <x v="5"/>
    <n v="650"/>
    <x v="1"/>
  </r>
  <r>
    <x v="30"/>
    <x v="0"/>
    <x v="304"/>
    <x v="2"/>
    <x v="2"/>
    <x v="3"/>
    <x v="0"/>
    <x v="6"/>
    <n v="650"/>
    <x v="1"/>
  </r>
  <r>
    <x v="30"/>
    <x v="0"/>
    <x v="304"/>
    <x v="2"/>
    <x v="2"/>
    <x v="3"/>
    <x v="0"/>
    <x v="7"/>
    <n v="650"/>
    <x v="1"/>
  </r>
  <r>
    <x v="30"/>
    <x v="0"/>
    <x v="304"/>
    <x v="2"/>
    <x v="2"/>
    <x v="3"/>
    <x v="0"/>
    <x v="8"/>
    <n v="650"/>
    <x v="1"/>
  </r>
  <r>
    <x v="30"/>
    <x v="0"/>
    <x v="304"/>
    <x v="2"/>
    <x v="2"/>
    <x v="3"/>
    <x v="0"/>
    <x v="9"/>
    <n v="650"/>
    <x v="1"/>
  </r>
  <r>
    <x v="30"/>
    <x v="0"/>
    <x v="304"/>
    <x v="2"/>
    <x v="2"/>
    <x v="3"/>
    <x v="0"/>
    <x v="10"/>
    <n v="650"/>
    <x v="1"/>
  </r>
  <r>
    <x v="30"/>
    <x v="0"/>
    <x v="304"/>
    <x v="2"/>
    <x v="2"/>
    <x v="3"/>
    <x v="0"/>
    <x v="12"/>
    <n v="650"/>
    <x v="1"/>
  </r>
  <r>
    <x v="30"/>
    <x v="2"/>
    <x v="305"/>
    <x v="0"/>
    <x v="2"/>
    <x v="3"/>
    <x v="20"/>
    <x v="0"/>
    <n v="954.89116181484394"/>
    <x v="1"/>
  </r>
  <r>
    <x v="30"/>
    <x v="2"/>
    <x v="305"/>
    <x v="0"/>
    <x v="2"/>
    <x v="3"/>
    <x v="20"/>
    <x v="1"/>
    <n v="0"/>
    <x v="1"/>
  </r>
  <r>
    <x v="30"/>
    <x v="2"/>
    <x v="305"/>
    <x v="0"/>
    <x v="2"/>
    <x v="3"/>
    <x v="20"/>
    <x v="2"/>
    <n v="20942.010000000002"/>
    <x v="1"/>
  </r>
  <r>
    <x v="30"/>
    <x v="2"/>
    <x v="305"/>
    <x v="0"/>
    <x v="2"/>
    <x v="3"/>
    <x v="20"/>
    <x v="3"/>
    <n v="2912"/>
    <x v="1"/>
  </r>
  <r>
    <x v="30"/>
    <x v="2"/>
    <x v="305"/>
    <x v="0"/>
    <x v="2"/>
    <x v="3"/>
    <x v="20"/>
    <x v="4"/>
    <n v="0"/>
    <x v="1"/>
  </r>
  <r>
    <x v="30"/>
    <x v="2"/>
    <x v="305"/>
    <x v="0"/>
    <x v="2"/>
    <x v="3"/>
    <x v="20"/>
    <x v="5"/>
    <n v="0"/>
    <x v="1"/>
  </r>
  <r>
    <x v="30"/>
    <x v="2"/>
    <x v="305"/>
    <x v="0"/>
    <x v="2"/>
    <x v="3"/>
    <x v="20"/>
    <x v="6"/>
    <n v="0"/>
    <x v="1"/>
  </r>
  <r>
    <x v="30"/>
    <x v="2"/>
    <x v="305"/>
    <x v="0"/>
    <x v="2"/>
    <x v="3"/>
    <x v="20"/>
    <x v="7"/>
    <n v="36628"/>
    <x v="1"/>
  </r>
  <r>
    <x v="30"/>
    <x v="2"/>
    <x v="305"/>
    <x v="0"/>
    <x v="2"/>
    <x v="3"/>
    <x v="20"/>
    <x v="8"/>
    <n v="4768"/>
    <x v="1"/>
  </r>
  <r>
    <x v="30"/>
    <x v="2"/>
    <x v="305"/>
    <x v="0"/>
    <x v="2"/>
    <x v="3"/>
    <x v="20"/>
    <x v="9"/>
    <n v="0"/>
    <x v="1"/>
  </r>
  <r>
    <x v="30"/>
    <x v="2"/>
    <x v="305"/>
    <x v="0"/>
    <x v="2"/>
    <x v="3"/>
    <x v="20"/>
    <x v="10"/>
    <n v="7600"/>
    <x v="1"/>
  </r>
  <r>
    <x v="30"/>
    <x v="2"/>
    <x v="305"/>
    <x v="0"/>
    <x v="2"/>
    <x v="3"/>
    <x v="20"/>
    <x v="12"/>
    <n v="0"/>
    <x v="1"/>
  </r>
  <r>
    <x v="30"/>
    <x v="2"/>
    <x v="306"/>
    <x v="0"/>
    <x v="2"/>
    <x v="3"/>
    <x v="20"/>
    <x v="0"/>
    <n v="7139"/>
    <x v="1"/>
  </r>
  <r>
    <x v="30"/>
    <x v="2"/>
    <x v="306"/>
    <x v="0"/>
    <x v="2"/>
    <x v="3"/>
    <x v="20"/>
    <x v="1"/>
    <n v="0"/>
    <x v="1"/>
  </r>
  <r>
    <x v="30"/>
    <x v="2"/>
    <x v="306"/>
    <x v="0"/>
    <x v="2"/>
    <x v="3"/>
    <x v="20"/>
    <x v="2"/>
    <n v="0"/>
    <x v="1"/>
  </r>
  <r>
    <x v="30"/>
    <x v="2"/>
    <x v="306"/>
    <x v="0"/>
    <x v="2"/>
    <x v="3"/>
    <x v="20"/>
    <x v="3"/>
    <n v="0"/>
    <x v="1"/>
  </r>
  <r>
    <x v="30"/>
    <x v="2"/>
    <x v="306"/>
    <x v="0"/>
    <x v="2"/>
    <x v="3"/>
    <x v="20"/>
    <x v="4"/>
    <n v="0"/>
    <x v="1"/>
  </r>
  <r>
    <x v="30"/>
    <x v="2"/>
    <x v="306"/>
    <x v="0"/>
    <x v="2"/>
    <x v="3"/>
    <x v="20"/>
    <x v="5"/>
    <n v="0"/>
    <x v="1"/>
  </r>
  <r>
    <x v="30"/>
    <x v="2"/>
    <x v="306"/>
    <x v="0"/>
    <x v="2"/>
    <x v="3"/>
    <x v="20"/>
    <x v="6"/>
    <n v="0"/>
    <x v="1"/>
  </r>
  <r>
    <x v="30"/>
    <x v="2"/>
    <x v="306"/>
    <x v="0"/>
    <x v="2"/>
    <x v="3"/>
    <x v="20"/>
    <x v="7"/>
    <n v="0"/>
    <x v="1"/>
  </r>
  <r>
    <x v="30"/>
    <x v="2"/>
    <x v="306"/>
    <x v="0"/>
    <x v="2"/>
    <x v="3"/>
    <x v="20"/>
    <x v="8"/>
    <n v="0"/>
    <x v="1"/>
  </r>
  <r>
    <x v="30"/>
    <x v="2"/>
    <x v="306"/>
    <x v="0"/>
    <x v="2"/>
    <x v="3"/>
    <x v="20"/>
    <x v="9"/>
    <n v="0"/>
    <x v="1"/>
  </r>
  <r>
    <x v="30"/>
    <x v="2"/>
    <x v="306"/>
    <x v="0"/>
    <x v="2"/>
    <x v="3"/>
    <x v="20"/>
    <x v="10"/>
    <n v="0"/>
    <x v="1"/>
  </r>
  <r>
    <x v="30"/>
    <x v="2"/>
    <x v="306"/>
    <x v="0"/>
    <x v="2"/>
    <x v="3"/>
    <x v="20"/>
    <x v="12"/>
    <n v="0"/>
    <x v="1"/>
  </r>
  <r>
    <x v="30"/>
    <x v="1"/>
    <x v="307"/>
    <x v="1"/>
    <x v="4"/>
    <x v="41"/>
    <x v="0"/>
    <x v="0"/>
    <n v="242"/>
    <x v="1"/>
  </r>
  <r>
    <x v="30"/>
    <x v="1"/>
    <x v="307"/>
    <x v="1"/>
    <x v="4"/>
    <x v="41"/>
    <x v="0"/>
    <x v="1"/>
    <n v="0"/>
    <x v="1"/>
  </r>
  <r>
    <x v="30"/>
    <x v="1"/>
    <x v="307"/>
    <x v="1"/>
    <x v="4"/>
    <x v="41"/>
    <x v="0"/>
    <x v="2"/>
    <n v="0"/>
    <x v="1"/>
  </r>
  <r>
    <x v="30"/>
    <x v="1"/>
    <x v="307"/>
    <x v="1"/>
    <x v="4"/>
    <x v="41"/>
    <x v="0"/>
    <x v="3"/>
    <n v="0"/>
    <x v="1"/>
  </r>
  <r>
    <x v="30"/>
    <x v="1"/>
    <x v="307"/>
    <x v="1"/>
    <x v="4"/>
    <x v="41"/>
    <x v="0"/>
    <x v="4"/>
    <n v="0"/>
    <x v="1"/>
  </r>
  <r>
    <x v="30"/>
    <x v="1"/>
    <x v="307"/>
    <x v="1"/>
    <x v="4"/>
    <x v="41"/>
    <x v="0"/>
    <x v="5"/>
    <n v="0"/>
    <x v="1"/>
  </r>
  <r>
    <x v="30"/>
    <x v="1"/>
    <x v="307"/>
    <x v="1"/>
    <x v="4"/>
    <x v="41"/>
    <x v="0"/>
    <x v="6"/>
    <n v="0"/>
    <x v="1"/>
  </r>
  <r>
    <x v="30"/>
    <x v="1"/>
    <x v="307"/>
    <x v="1"/>
    <x v="4"/>
    <x v="41"/>
    <x v="0"/>
    <x v="7"/>
    <n v="0"/>
    <x v="1"/>
  </r>
  <r>
    <x v="30"/>
    <x v="1"/>
    <x v="307"/>
    <x v="1"/>
    <x v="4"/>
    <x v="41"/>
    <x v="0"/>
    <x v="8"/>
    <n v="0"/>
    <x v="1"/>
  </r>
  <r>
    <x v="30"/>
    <x v="1"/>
    <x v="307"/>
    <x v="1"/>
    <x v="4"/>
    <x v="41"/>
    <x v="0"/>
    <x v="9"/>
    <n v="0"/>
    <x v="1"/>
  </r>
  <r>
    <x v="30"/>
    <x v="1"/>
    <x v="307"/>
    <x v="1"/>
    <x v="4"/>
    <x v="41"/>
    <x v="0"/>
    <x v="10"/>
    <n v="0"/>
    <x v="1"/>
  </r>
  <r>
    <x v="30"/>
    <x v="1"/>
    <x v="307"/>
    <x v="1"/>
    <x v="4"/>
    <x v="41"/>
    <x v="0"/>
    <x v="12"/>
    <n v="0"/>
    <x v="1"/>
  </r>
  <r>
    <x v="30"/>
    <x v="1"/>
    <x v="308"/>
    <x v="0"/>
    <x v="4"/>
    <x v="33"/>
    <x v="1"/>
    <x v="0"/>
    <n v="884.05"/>
    <x v="1"/>
  </r>
  <r>
    <x v="30"/>
    <x v="1"/>
    <x v="308"/>
    <x v="0"/>
    <x v="4"/>
    <x v="33"/>
    <x v="1"/>
    <x v="1"/>
    <n v="0"/>
    <x v="1"/>
  </r>
  <r>
    <x v="30"/>
    <x v="1"/>
    <x v="308"/>
    <x v="0"/>
    <x v="4"/>
    <x v="33"/>
    <x v="1"/>
    <x v="2"/>
    <n v="0"/>
    <x v="1"/>
  </r>
  <r>
    <x v="30"/>
    <x v="1"/>
    <x v="308"/>
    <x v="0"/>
    <x v="4"/>
    <x v="33"/>
    <x v="1"/>
    <x v="3"/>
    <n v="0"/>
    <x v="1"/>
  </r>
  <r>
    <x v="30"/>
    <x v="1"/>
    <x v="308"/>
    <x v="0"/>
    <x v="4"/>
    <x v="33"/>
    <x v="1"/>
    <x v="4"/>
    <n v="0"/>
    <x v="1"/>
  </r>
  <r>
    <x v="30"/>
    <x v="1"/>
    <x v="308"/>
    <x v="0"/>
    <x v="4"/>
    <x v="33"/>
    <x v="1"/>
    <x v="5"/>
    <n v="0"/>
    <x v="1"/>
  </r>
  <r>
    <x v="30"/>
    <x v="1"/>
    <x v="308"/>
    <x v="0"/>
    <x v="4"/>
    <x v="33"/>
    <x v="1"/>
    <x v="6"/>
    <n v="0"/>
    <x v="1"/>
  </r>
  <r>
    <x v="30"/>
    <x v="1"/>
    <x v="308"/>
    <x v="0"/>
    <x v="4"/>
    <x v="33"/>
    <x v="1"/>
    <x v="7"/>
    <n v="0"/>
    <x v="1"/>
  </r>
  <r>
    <x v="30"/>
    <x v="1"/>
    <x v="308"/>
    <x v="0"/>
    <x v="4"/>
    <x v="33"/>
    <x v="1"/>
    <x v="8"/>
    <n v="0"/>
    <x v="1"/>
  </r>
  <r>
    <x v="30"/>
    <x v="1"/>
    <x v="308"/>
    <x v="0"/>
    <x v="4"/>
    <x v="33"/>
    <x v="1"/>
    <x v="9"/>
    <n v="0"/>
    <x v="1"/>
  </r>
  <r>
    <x v="30"/>
    <x v="1"/>
    <x v="308"/>
    <x v="0"/>
    <x v="4"/>
    <x v="33"/>
    <x v="1"/>
    <x v="10"/>
    <n v="0"/>
    <x v="1"/>
  </r>
  <r>
    <x v="30"/>
    <x v="1"/>
    <x v="308"/>
    <x v="0"/>
    <x v="4"/>
    <x v="33"/>
    <x v="1"/>
    <x v="12"/>
    <n v="0"/>
    <x v="1"/>
  </r>
  <r>
    <x v="61"/>
    <x v="1"/>
    <x v="309"/>
    <x v="0"/>
    <x v="4"/>
    <x v="41"/>
    <x v="0"/>
    <x v="0"/>
    <n v="0"/>
    <x v="1"/>
  </r>
  <r>
    <x v="61"/>
    <x v="1"/>
    <x v="309"/>
    <x v="0"/>
    <x v="4"/>
    <x v="41"/>
    <x v="0"/>
    <x v="1"/>
    <n v="0"/>
    <x v="1"/>
  </r>
  <r>
    <x v="61"/>
    <x v="1"/>
    <x v="309"/>
    <x v="0"/>
    <x v="4"/>
    <x v="41"/>
    <x v="0"/>
    <x v="2"/>
    <n v="388"/>
    <x v="1"/>
  </r>
  <r>
    <x v="61"/>
    <x v="1"/>
    <x v="309"/>
    <x v="0"/>
    <x v="4"/>
    <x v="41"/>
    <x v="0"/>
    <x v="3"/>
    <n v="0"/>
    <x v="1"/>
  </r>
  <r>
    <x v="61"/>
    <x v="1"/>
    <x v="309"/>
    <x v="0"/>
    <x v="4"/>
    <x v="41"/>
    <x v="0"/>
    <x v="4"/>
    <n v="0"/>
    <x v="1"/>
  </r>
  <r>
    <x v="61"/>
    <x v="1"/>
    <x v="309"/>
    <x v="0"/>
    <x v="4"/>
    <x v="41"/>
    <x v="0"/>
    <x v="5"/>
    <n v="0"/>
    <x v="1"/>
  </r>
  <r>
    <x v="61"/>
    <x v="1"/>
    <x v="309"/>
    <x v="0"/>
    <x v="4"/>
    <x v="41"/>
    <x v="0"/>
    <x v="6"/>
    <n v="0"/>
    <x v="1"/>
  </r>
  <r>
    <x v="61"/>
    <x v="1"/>
    <x v="309"/>
    <x v="0"/>
    <x v="4"/>
    <x v="41"/>
    <x v="0"/>
    <x v="7"/>
    <n v="0"/>
    <x v="1"/>
  </r>
  <r>
    <x v="61"/>
    <x v="1"/>
    <x v="309"/>
    <x v="0"/>
    <x v="4"/>
    <x v="41"/>
    <x v="0"/>
    <x v="8"/>
    <n v="0"/>
    <x v="1"/>
  </r>
  <r>
    <x v="61"/>
    <x v="1"/>
    <x v="309"/>
    <x v="0"/>
    <x v="4"/>
    <x v="41"/>
    <x v="0"/>
    <x v="9"/>
    <n v="0"/>
    <x v="1"/>
  </r>
  <r>
    <x v="61"/>
    <x v="1"/>
    <x v="309"/>
    <x v="0"/>
    <x v="4"/>
    <x v="41"/>
    <x v="0"/>
    <x v="10"/>
    <n v="0"/>
    <x v="1"/>
  </r>
  <r>
    <x v="61"/>
    <x v="1"/>
    <x v="309"/>
    <x v="0"/>
    <x v="4"/>
    <x v="41"/>
    <x v="0"/>
    <x v="12"/>
    <n v="0"/>
    <x v="1"/>
  </r>
  <r>
    <x v="30"/>
    <x v="1"/>
    <x v="310"/>
    <x v="0"/>
    <x v="4"/>
    <x v="41"/>
    <x v="9"/>
    <x v="0"/>
    <n v="0"/>
    <x v="1"/>
  </r>
  <r>
    <x v="30"/>
    <x v="1"/>
    <x v="310"/>
    <x v="0"/>
    <x v="4"/>
    <x v="41"/>
    <x v="9"/>
    <x v="1"/>
    <n v="0"/>
    <x v="1"/>
  </r>
  <r>
    <x v="30"/>
    <x v="1"/>
    <x v="310"/>
    <x v="0"/>
    <x v="4"/>
    <x v="41"/>
    <x v="9"/>
    <x v="2"/>
    <n v="0"/>
    <x v="1"/>
  </r>
  <r>
    <x v="30"/>
    <x v="1"/>
    <x v="310"/>
    <x v="0"/>
    <x v="4"/>
    <x v="41"/>
    <x v="9"/>
    <x v="3"/>
    <n v="0"/>
    <x v="1"/>
  </r>
  <r>
    <x v="30"/>
    <x v="1"/>
    <x v="310"/>
    <x v="0"/>
    <x v="4"/>
    <x v="41"/>
    <x v="9"/>
    <x v="4"/>
    <n v="974"/>
    <x v="1"/>
  </r>
  <r>
    <x v="30"/>
    <x v="1"/>
    <x v="310"/>
    <x v="0"/>
    <x v="4"/>
    <x v="41"/>
    <x v="9"/>
    <x v="5"/>
    <n v="0"/>
    <x v="1"/>
  </r>
  <r>
    <x v="30"/>
    <x v="1"/>
    <x v="310"/>
    <x v="0"/>
    <x v="4"/>
    <x v="41"/>
    <x v="9"/>
    <x v="6"/>
    <n v="0"/>
    <x v="1"/>
  </r>
  <r>
    <x v="30"/>
    <x v="1"/>
    <x v="310"/>
    <x v="0"/>
    <x v="4"/>
    <x v="41"/>
    <x v="9"/>
    <x v="7"/>
    <n v="0"/>
    <x v="1"/>
  </r>
  <r>
    <x v="30"/>
    <x v="1"/>
    <x v="310"/>
    <x v="0"/>
    <x v="4"/>
    <x v="41"/>
    <x v="9"/>
    <x v="8"/>
    <n v="0"/>
    <x v="1"/>
  </r>
  <r>
    <x v="30"/>
    <x v="1"/>
    <x v="310"/>
    <x v="0"/>
    <x v="4"/>
    <x v="41"/>
    <x v="9"/>
    <x v="9"/>
    <n v="0"/>
    <x v="1"/>
  </r>
  <r>
    <x v="30"/>
    <x v="1"/>
    <x v="310"/>
    <x v="0"/>
    <x v="4"/>
    <x v="41"/>
    <x v="9"/>
    <x v="10"/>
    <n v="0"/>
    <x v="1"/>
  </r>
  <r>
    <x v="30"/>
    <x v="1"/>
    <x v="310"/>
    <x v="0"/>
    <x v="4"/>
    <x v="41"/>
    <x v="9"/>
    <x v="12"/>
    <n v="0"/>
    <x v="1"/>
  </r>
  <r>
    <x v="30"/>
    <x v="1"/>
    <x v="311"/>
    <x v="0"/>
    <x v="4"/>
    <x v="41"/>
    <x v="21"/>
    <x v="0"/>
    <n v="0"/>
    <x v="1"/>
  </r>
  <r>
    <x v="30"/>
    <x v="1"/>
    <x v="311"/>
    <x v="0"/>
    <x v="4"/>
    <x v="41"/>
    <x v="21"/>
    <x v="1"/>
    <n v="0"/>
    <x v="1"/>
  </r>
  <r>
    <x v="30"/>
    <x v="1"/>
    <x v="311"/>
    <x v="0"/>
    <x v="4"/>
    <x v="41"/>
    <x v="21"/>
    <x v="2"/>
    <n v="0"/>
    <x v="1"/>
  </r>
  <r>
    <x v="30"/>
    <x v="1"/>
    <x v="311"/>
    <x v="0"/>
    <x v="4"/>
    <x v="41"/>
    <x v="21"/>
    <x v="3"/>
    <n v="0"/>
    <x v="1"/>
  </r>
  <r>
    <x v="30"/>
    <x v="1"/>
    <x v="311"/>
    <x v="0"/>
    <x v="4"/>
    <x v="41"/>
    <x v="21"/>
    <x v="4"/>
    <n v="598"/>
    <x v="1"/>
  </r>
  <r>
    <x v="30"/>
    <x v="1"/>
    <x v="311"/>
    <x v="0"/>
    <x v="4"/>
    <x v="41"/>
    <x v="21"/>
    <x v="5"/>
    <n v="0"/>
    <x v="1"/>
  </r>
  <r>
    <x v="30"/>
    <x v="1"/>
    <x v="311"/>
    <x v="0"/>
    <x v="4"/>
    <x v="41"/>
    <x v="21"/>
    <x v="6"/>
    <n v="0"/>
    <x v="1"/>
  </r>
  <r>
    <x v="30"/>
    <x v="1"/>
    <x v="311"/>
    <x v="0"/>
    <x v="4"/>
    <x v="41"/>
    <x v="21"/>
    <x v="7"/>
    <n v="0"/>
    <x v="1"/>
  </r>
  <r>
    <x v="30"/>
    <x v="1"/>
    <x v="311"/>
    <x v="0"/>
    <x v="4"/>
    <x v="41"/>
    <x v="21"/>
    <x v="8"/>
    <n v="0"/>
    <x v="1"/>
  </r>
  <r>
    <x v="30"/>
    <x v="1"/>
    <x v="311"/>
    <x v="0"/>
    <x v="4"/>
    <x v="41"/>
    <x v="21"/>
    <x v="9"/>
    <n v="0"/>
    <x v="1"/>
  </r>
  <r>
    <x v="30"/>
    <x v="1"/>
    <x v="311"/>
    <x v="0"/>
    <x v="4"/>
    <x v="41"/>
    <x v="21"/>
    <x v="10"/>
    <n v="0"/>
    <x v="1"/>
  </r>
  <r>
    <x v="30"/>
    <x v="1"/>
    <x v="311"/>
    <x v="0"/>
    <x v="4"/>
    <x v="41"/>
    <x v="21"/>
    <x v="12"/>
    <n v="0"/>
    <x v="1"/>
  </r>
  <r>
    <x v="30"/>
    <x v="1"/>
    <x v="312"/>
    <x v="0"/>
    <x v="4"/>
    <x v="41"/>
    <x v="21"/>
    <x v="0"/>
    <n v="0"/>
    <x v="1"/>
  </r>
  <r>
    <x v="30"/>
    <x v="1"/>
    <x v="312"/>
    <x v="0"/>
    <x v="4"/>
    <x v="41"/>
    <x v="21"/>
    <x v="1"/>
    <n v="0"/>
    <x v="1"/>
  </r>
  <r>
    <x v="30"/>
    <x v="1"/>
    <x v="312"/>
    <x v="0"/>
    <x v="4"/>
    <x v="41"/>
    <x v="21"/>
    <x v="2"/>
    <n v="0"/>
    <x v="1"/>
  </r>
  <r>
    <x v="30"/>
    <x v="1"/>
    <x v="312"/>
    <x v="0"/>
    <x v="4"/>
    <x v="41"/>
    <x v="21"/>
    <x v="3"/>
    <n v="0"/>
    <x v="1"/>
  </r>
  <r>
    <x v="30"/>
    <x v="1"/>
    <x v="312"/>
    <x v="0"/>
    <x v="4"/>
    <x v="41"/>
    <x v="21"/>
    <x v="4"/>
    <n v="699"/>
    <x v="1"/>
  </r>
  <r>
    <x v="30"/>
    <x v="1"/>
    <x v="312"/>
    <x v="0"/>
    <x v="4"/>
    <x v="41"/>
    <x v="21"/>
    <x v="5"/>
    <n v="0"/>
    <x v="1"/>
  </r>
  <r>
    <x v="30"/>
    <x v="1"/>
    <x v="312"/>
    <x v="0"/>
    <x v="4"/>
    <x v="41"/>
    <x v="21"/>
    <x v="6"/>
    <n v="0"/>
    <x v="1"/>
  </r>
  <r>
    <x v="30"/>
    <x v="1"/>
    <x v="312"/>
    <x v="0"/>
    <x v="4"/>
    <x v="41"/>
    <x v="21"/>
    <x v="7"/>
    <n v="0"/>
    <x v="1"/>
  </r>
  <r>
    <x v="30"/>
    <x v="1"/>
    <x v="312"/>
    <x v="0"/>
    <x v="4"/>
    <x v="41"/>
    <x v="21"/>
    <x v="8"/>
    <n v="0"/>
    <x v="1"/>
  </r>
  <r>
    <x v="30"/>
    <x v="1"/>
    <x v="312"/>
    <x v="0"/>
    <x v="4"/>
    <x v="41"/>
    <x v="21"/>
    <x v="9"/>
    <n v="0"/>
    <x v="1"/>
  </r>
  <r>
    <x v="30"/>
    <x v="1"/>
    <x v="312"/>
    <x v="0"/>
    <x v="4"/>
    <x v="41"/>
    <x v="21"/>
    <x v="10"/>
    <n v="0"/>
    <x v="1"/>
  </r>
  <r>
    <x v="30"/>
    <x v="1"/>
    <x v="312"/>
    <x v="0"/>
    <x v="4"/>
    <x v="41"/>
    <x v="21"/>
    <x v="12"/>
    <n v="0"/>
    <x v="1"/>
  </r>
  <r>
    <x v="30"/>
    <x v="1"/>
    <x v="313"/>
    <x v="0"/>
    <x v="4"/>
    <x v="41"/>
    <x v="9"/>
    <x v="0"/>
    <n v="0"/>
    <x v="1"/>
  </r>
  <r>
    <x v="30"/>
    <x v="1"/>
    <x v="313"/>
    <x v="0"/>
    <x v="4"/>
    <x v="41"/>
    <x v="9"/>
    <x v="1"/>
    <n v="0"/>
    <x v="1"/>
  </r>
  <r>
    <x v="30"/>
    <x v="1"/>
    <x v="313"/>
    <x v="0"/>
    <x v="4"/>
    <x v="41"/>
    <x v="9"/>
    <x v="2"/>
    <n v="0"/>
    <x v="1"/>
  </r>
  <r>
    <x v="30"/>
    <x v="1"/>
    <x v="313"/>
    <x v="0"/>
    <x v="4"/>
    <x v="41"/>
    <x v="9"/>
    <x v="3"/>
    <n v="0"/>
    <x v="1"/>
  </r>
  <r>
    <x v="30"/>
    <x v="1"/>
    <x v="313"/>
    <x v="0"/>
    <x v="4"/>
    <x v="41"/>
    <x v="9"/>
    <x v="4"/>
    <n v="1905"/>
    <x v="1"/>
  </r>
  <r>
    <x v="30"/>
    <x v="1"/>
    <x v="313"/>
    <x v="0"/>
    <x v="4"/>
    <x v="41"/>
    <x v="9"/>
    <x v="5"/>
    <n v="0"/>
    <x v="1"/>
  </r>
  <r>
    <x v="30"/>
    <x v="1"/>
    <x v="313"/>
    <x v="0"/>
    <x v="4"/>
    <x v="41"/>
    <x v="9"/>
    <x v="6"/>
    <n v="0"/>
    <x v="1"/>
  </r>
  <r>
    <x v="30"/>
    <x v="1"/>
    <x v="313"/>
    <x v="0"/>
    <x v="4"/>
    <x v="41"/>
    <x v="9"/>
    <x v="7"/>
    <n v="0"/>
    <x v="1"/>
  </r>
  <r>
    <x v="30"/>
    <x v="1"/>
    <x v="313"/>
    <x v="0"/>
    <x v="4"/>
    <x v="41"/>
    <x v="9"/>
    <x v="8"/>
    <n v="0"/>
    <x v="1"/>
  </r>
  <r>
    <x v="30"/>
    <x v="1"/>
    <x v="313"/>
    <x v="0"/>
    <x v="4"/>
    <x v="41"/>
    <x v="9"/>
    <x v="9"/>
    <n v="0"/>
    <x v="1"/>
  </r>
  <r>
    <x v="30"/>
    <x v="1"/>
    <x v="313"/>
    <x v="0"/>
    <x v="4"/>
    <x v="41"/>
    <x v="9"/>
    <x v="10"/>
    <n v="0"/>
    <x v="1"/>
  </r>
  <r>
    <x v="30"/>
    <x v="1"/>
    <x v="313"/>
    <x v="0"/>
    <x v="4"/>
    <x v="41"/>
    <x v="9"/>
    <x v="12"/>
    <n v="0"/>
    <x v="1"/>
  </r>
  <r>
    <x v="30"/>
    <x v="1"/>
    <x v="314"/>
    <x v="0"/>
    <x v="4"/>
    <x v="41"/>
    <x v="0"/>
    <x v="0"/>
    <n v="0"/>
    <x v="1"/>
  </r>
  <r>
    <x v="30"/>
    <x v="1"/>
    <x v="314"/>
    <x v="0"/>
    <x v="4"/>
    <x v="41"/>
    <x v="0"/>
    <x v="1"/>
    <n v="0"/>
    <x v="1"/>
  </r>
  <r>
    <x v="30"/>
    <x v="1"/>
    <x v="314"/>
    <x v="0"/>
    <x v="4"/>
    <x v="41"/>
    <x v="0"/>
    <x v="2"/>
    <n v="0"/>
    <x v="1"/>
  </r>
  <r>
    <x v="30"/>
    <x v="1"/>
    <x v="314"/>
    <x v="0"/>
    <x v="4"/>
    <x v="41"/>
    <x v="0"/>
    <x v="3"/>
    <n v="0"/>
    <x v="1"/>
  </r>
  <r>
    <x v="30"/>
    <x v="1"/>
    <x v="314"/>
    <x v="0"/>
    <x v="4"/>
    <x v="41"/>
    <x v="0"/>
    <x v="4"/>
    <n v="0"/>
    <x v="1"/>
  </r>
  <r>
    <x v="30"/>
    <x v="1"/>
    <x v="314"/>
    <x v="0"/>
    <x v="4"/>
    <x v="41"/>
    <x v="0"/>
    <x v="5"/>
    <n v="634"/>
    <x v="1"/>
  </r>
  <r>
    <x v="30"/>
    <x v="1"/>
    <x v="314"/>
    <x v="0"/>
    <x v="4"/>
    <x v="41"/>
    <x v="0"/>
    <x v="6"/>
    <n v="0"/>
    <x v="1"/>
  </r>
  <r>
    <x v="30"/>
    <x v="1"/>
    <x v="314"/>
    <x v="0"/>
    <x v="4"/>
    <x v="41"/>
    <x v="0"/>
    <x v="7"/>
    <n v="0"/>
    <x v="1"/>
  </r>
  <r>
    <x v="30"/>
    <x v="1"/>
    <x v="314"/>
    <x v="0"/>
    <x v="4"/>
    <x v="41"/>
    <x v="0"/>
    <x v="8"/>
    <n v="0"/>
    <x v="1"/>
  </r>
  <r>
    <x v="30"/>
    <x v="1"/>
    <x v="314"/>
    <x v="0"/>
    <x v="4"/>
    <x v="41"/>
    <x v="0"/>
    <x v="9"/>
    <n v="0"/>
    <x v="1"/>
  </r>
  <r>
    <x v="30"/>
    <x v="1"/>
    <x v="314"/>
    <x v="0"/>
    <x v="4"/>
    <x v="41"/>
    <x v="0"/>
    <x v="10"/>
    <n v="0"/>
    <x v="1"/>
  </r>
  <r>
    <x v="30"/>
    <x v="1"/>
    <x v="314"/>
    <x v="0"/>
    <x v="4"/>
    <x v="41"/>
    <x v="0"/>
    <x v="12"/>
    <n v="0"/>
    <x v="1"/>
  </r>
  <r>
    <x v="30"/>
    <x v="1"/>
    <x v="315"/>
    <x v="0"/>
    <x v="4"/>
    <x v="41"/>
    <x v="9"/>
    <x v="0"/>
    <n v="0"/>
    <x v="1"/>
  </r>
  <r>
    <x v="30"/>
    <x v="1"/>
    <x v="315"/>
    <x v="0"/>
    <x v="4"/>
    <x v="41"/>
    <x v="9"/>
    <x v="1"/>
    <n v="0"/>
    <x v="1"/>
  </r>
  <r>
    <x v="30"/>
    <x v="1"/>
    <x v="315"/>
    <x v="0"/>
    <x v="4"/>
    <x v="41"/>
    <x v="9"/>
    <x v="2"/>
    <n v="0"/>
    <x v="1"/>
  </r>
  <r>
    <x v="30"/>
    <x v="1"/>
    <x v="315"/>
    <x v="0"/>
    <x v="4"/>
    <x v="41"/>
    <x v="9"/>
    <x v="3"/>
    <n v="0"/>
    <x v="1"/>
  </r>
  <r>
    <x v="30"/>
    <x v="1"/>
    <x v="315"/>
    <x v="0"/>
    <x v="4"/>
    <x v="41"/>
    <x v="9"/>
    <x v="4"/>
    <n v="0"/>
    <x v="1"/>
  </r>
  <r>
    <x v="30"/>
    <x v="1"/>
    <x v="315"/>
    <x v="0"/>
    <x v="4"/>
    <x v="41"/>
    <x v="9"/>
    <x v="5"/>
    <n v="335.28"/>
    <x v="1"/>
  </r>
  <r>
    <x v="30"/>
    <x v="1"/>
    <x v="315"/>
    <x v="0"/>
    <x v="4"/>
    <x v="41"/>
    <x v="9"/>
    <x v="6"/>
    <n v="0"/>
    <x v="1"/>
  </r>
  <r>
    <x v="30"/>
    <x v="1"/>
    <x v="315"/>
    <x v="0"/>
    <x v="4"/>
    <x v="41"/>
    <x v="9"/>
    <x v="7"/>
    <n v="0"/>
    <x v="1"/>
  </r>
  <r>
    <x v="30"/>
    <x v="1"/>
    <x v="315"/>
    <x v="0"/>
    <x v="4"/>
    <x v="41"/>
    <x v="9"/>
    <x v="8"/>
    <n v="0"/>
    <x v="1"/>
  </r>
  <r>
    <x v="30"/>
    <x v="1"/>
    <x v="315"/>
    <x v="0"/>
    <x v="4"/>
    <x v="41"/>
    <x v="9"/>
    <x v="9"/>
    <n v="0"/>
    <x v="1"/>
  </r>
  <r>
    <x v="30"/>
    <x v="1"/>
    <x v="315"/>
    <x v="0"/>
    <x v="4"/>
    <x v="41"/>
    <x v="9"/>
    <x v="10"/>
    <n v="0"/>
    <x v="1"/>
  </r>
  <r>
    <x v="30"/>
    <x v="1"/>
    <x v="315"/>
    <x v="0"/>
    <x v="4"/>
    <x v="41"/>
    <x v="9"/>
    <x v="12"/>
    <n v="0"/>
    <x v="1"/>
  </r>
  <r>
    <x v="30"/>
    <x v="1"/>
    <x v="314"/>
    <x v="0"/>
    <x v="4"/>
    <x v="41"/>
    <x v="0"/>
    <x v="0"/>
    <n v="0"/>
    <x v="1"/>
  </r>
  <r>
    <x v="30"/>
    <x v="1"/>
    <x v="314"/>
    <x v="0"/>
    <x v="4"/>
    <x v="41"/>
    <x v="0"/>
    <x v="1"/>
    <n v="0"/>
    <x v="1"/>
  </r>
  <r>
    <x v="30"/>
    <x v="1"/>
    <x v="314"/>
    <x v="0"/>
    <x v="4"/>
    <x v="41"/>
    <x v="0"/>
    <x v="2"/>
    <n v="0"/>
    <x v="1"/>
  </r>
  <r>
    <x v="30"/>
    <x v="1"/>
    <x v="314"/>
    <x v="0"/>
    <x v="4"/>
    <x v="41"/>
    <x v="0"/>
    <x v="3"/>
    <n v="0"/>
    <x v="1"/>
  </r>
  <r>
    <x v="30"/>
    <x v="1"/>
    <x v="314"/>
    <x v="0"/>
    <x v="4"/>
    <x v="41"/>
    <x v="0"/>
    <x v="4"/>
    <n v="0"/>
    <x v="1"/>
  </r>
  <r>
    <x v="30"/>
    <x v="1"/>
    <x v="314"/>
    <x v="0"/>
    <x v="4"/>
    <x v="41"/>
    <x v="0"/>
    <x v="5"/>
    <n v="235"/>
    <x v="1"/>
  </r>
  <r>
    <x v="30"/>
    <x v="1"/>
    <x v="314"/>
    <x v="0"/>
    <x v="4"/>
    <x v="41"/>
    <x v="0"/>
    <x v="6"/>
    <n v="0"/>
    <x v="1"/>
  </r>
  <r>
    <x v="30"/>
    <x v="1"/>
    <x v="314"/>
    <x v="0"/>
    <x v="4"/>
    <x v="41"/>
    <x v="0"/>
    <x v="7"/>
    <n v="0"/>
    <x v="1"/>
  </r>
  <r>
    <x v="30"/>
    <x v="1"/>
    <x v="314"/>
    <x v="0"/>
    <x v="4"/>
    <x v="41"/>
    <x v="0"/>
    <x v="8"/>
    <n v="0"/>
    <x v="1"/>
  </r>
  <r>
    <x v="30"/>
    <x v="1"/>
    <x v="314"/>
    <x v="0"/>
    <x v="4"/>
    <x v="41"/>
    <x v="0"/>
    <x v="9"/>
    <n v="0"/>
    <x v="1"/>
  </r>
  <r>
    <x v="30"/>
    <x v="1"/>
    <x v="314"/>
    <x v="0"/>
    <x v="4"/>
    <x v="41"/>
    <x v="0"/>
    <x v="10"/>
    <n v="0"/>
    <x v="1"/>
  </r>
  <r>
    <x v="30"/>
    <x v="1"/>
    <x v="314"/>
    <x v="0"/>
    <x v="4"/>
    <x v="41"/>
    <x v="0"/>
    <x v="12"/>
    <n v="0"/>
    <x v="1"/>
  </r>
  <r>
    <x v="30"/>
    <x v="1"/>
    <x v="316"/>
    <x v="0"/>
    <x v="4"/>
    <x v="41"/>
    <x v="0"/>
    <x v="0"/>
    <n v="0"/>
    <x v="1"/>
  </r>
  <r>
    <x v="30"/>
    <x v="1"/>
    <x v="316"/>
    <x v="0"/>
    <x v="4"/>
    <x v="41"/>
    <x v="0"/>
    <x v="1"/>
    <n v="0"/>
    <x v="1"/>
  </r>
  <r>
    <x v="30"/>
    <x v="1"/>
    <x v="316"/>
    <x v="0"/>
    <x v="4"/>
    <x v="41"/>
    <x v="0"/>
    <x v="2"/>
    <n v="0"/>
    <x v="1"/>
  </r>
  <r>
    <x v="30"/>
    <x v="1"/>
    <x v="316"/>
    <x v="0"/>
    <x v="4"/>
    <x v="41"/>
    <x v="0"/>
    <x v="3"/>
    <n v="0"/>
    <x v="1"/>
  </r>
  <r>
    <x v="30"/>
    <x v="1"/>
    <x v="316"/>
    <x v="0"/>
    <x v="4"/>
    <x v="41"/>
    <x v="0"/>
    <x v="4"/>
    <n v="0"/>
    <x v="1"/>
  </r>
  <r>
    <x v="30"/>
    <x v="1"/>
    <x v="316"/>
    <x v="0"/>
    <x v="4"/>
    <x v="41"/>
    <x v="0"/>
    <x v="5"/>
    <n v="328"/>
    <x v="1"/>
  </r>
  <r>
    <x v="30"/>
    <x v="1"/>
    <x v="316"/>
    <x v="0"/>
    <x v="4"/>
    <x v="41"/>
    <x v="0"/>
    <x v="6"/>
    <n v="0"/>
    <x v="1"/>
  </r>
  <r>
    <x v="30"/>
    <x v="1"/>
    <x v="316"/>
    <x v="0"/>
    <x v="4"/>
    <x v="41"/>
    <x v="0"/>
    <x v="7"/>
    <n v="0"/>
    <x v="1"/>
  </r>
  <r>
    <x v="30"/>
    <x v="1"/>
    <x v="316"/>
    <x v="0"/>
    <x v="4"/>
    <x v="41"/>
    <x v="0"/>
    <x v="8"/>
    <n v="0"/>
    <x v="1"/>
  </r>
  <r>
    <x v="30"/>
    <x v="1"/>
    <x v="316"/>
    <x v="0"/>
    <x v="4"/>
    <x v="41"/>
    <x v="0"/>
    <x v="9"/>
    <n v="0"/>
    <x v="1"/>
  </r>
  <r>
    <x v="30"/>
    <x v="1"/>
    <x v="316"/>
    <x v="0"/>
    <x v="4"/>
    <x v="41"/>
    <x v="0"/>
    <x v="10"/>
    <n v="0"/>
    <x v="1"/>
  </r>
  <r>
    <x v="30"/>
    <x v="1"/>
    <x v="316"/>
    <x v="0"/>
    <x v="4"/>
    <x v="41"/>
    <x v="0"/>
    <x v="12"/>
    <n v="0"/>
    <x v="1"/>
  </r>
  <r>
    <x v="30"/>
    <x v="1"/>
    <x v="317"/>
    <x v="0"/>
    <x v="4"/>
    <x v="41"/>
    <x v="9"/>
    <x v="0"/>
    <n v="0"/>
    <x v="1"/>
  </r>
  <r>
    <x v="30"/>
    <x v="1"/>
    <x v="317"/>
    <x v="0"/>
    <x v="4"/>
    <x v="41"/>
    <x v="9"/>
    <x v="1"/>
    <n v="0"/>
    <x v="1"/>
  </r>
  <r>
    <x v="30"/>
    <x v="1"/>
    <x v="317"/>
    <x v="0"/>
    <x v="4"/>
    <x v="41"/>
    <x v="9"/>
    <x v="2"/>
    <n v="0"/>
    <x v="1"/>
  </r>
  <r>
    <x v="30"/>
    <x v="1"/>
    <x v="317"/>
    <x v="0"/>
    <x v="4"/>
    <x v="41"/>
    <x v="9"/>
    <x v="3"/>
    <n v="0"/>
    <x v="1"/>
  </r>
  <r>
    <x v="30"/>
    <x v="1"/>
    <x v="317"/>
    <x v="0"/>
    <x v="4"/>
    <x v="41"/>
    <x v="9"/>
    <x v="4"/>
    <n v="0"/>
    <x v="1"/>
  </r>
  <r>
    <x v="30"/>
    <x v="1"/>
    <x v="317"/>
    <x v="0"/>
    <x v="4"/>
    <x v="41"/>
    <x v="9"/>
    <x v="5"/>
    <n v="555"/>
    <x v="1"/>
  </r>
  <r>
    <x v="30"/>
    <x v="1"/>
    <x v="317"/>
    <x v="0"/>
    <x v="4"/>
    <x v="41"/>
    <x v="9"/>
    <x v="6"/>
    <n v="0"/>
    <x v="1"/>
  </r>
  <r>
    <x v="30"/>
    <x v="1"/>
    <x v="317"/>
    <x v="0"/>
    <x v="4"/>
    <x v="41"/>
    <x v="9"/>
    <x v="7"/>
    <n v="0"/>
    <x v="1"/>
  </r>
  <r>
    <x v="30"/>
    <x v="1"/>
    <x v="317"/>
    <x v="0"/>
    <x v="4"/>
    <x v="41"/>
    <x v="9"/>
    <x v="8"/>
    <n v="0"/>
    <x v="1"/>
  </r>
  <r>
    <x v="30"/>
    <x v="1"/>
    <x v="317"/>
    <x v="0"/>
    <x v="4"/>
    <x v="41"/>
    <x v="9"/>
    <x v="9"/>
    <n v="0"/>
    <x v="1"/>
  </r>
  <r>
    <x v="30"/>
    <x v="1"/>
    <x v="317"/>
    <x v="0"/>
    <x v="4"/>
    <x v="41"/>
    <x v="9"/>
    <x v="10"/>
    <n v="0"/>
    <x v="1"/>
  </r>
  <r>
    <x v="30"/>
    <x v="1"/>
    <x v="317"/>
    <x v="0"/>
    <x v="4"/>
    <x v="41"/>
    <x v="9"/>
    <x v="12"/>
    <n v="0"/>
    <x v="1"/>
  </r>
  <r>
    <x v="30"/>
    <x v="1"/>
    <x v="318"/>
    <x v="0"/>
    <x v="4"/>
    <x v="41"/>
    <x v="0"/>
    <x v="0"/>
    <n v="0"/>
    <x v="1"/>
  </r>
  <r>
    <x v="30"/>
    <x v="1"/>
    <x v="318"/>
    <x v="0"/>
    <x v="4"/>
    <x v="41"/>
    <x v="0"/>
    <x v="1"/>
    <n v="0"/>
    <x v="1"/>
  </r>
  <r>
    <x v="30"/>
    <x v="1"/>
    <x v="318"/>
    <x v="0"/>
    <x v="4"/>
    <x v="41"/>
    <x v="0"/>
    <x v="2"/>
    <n v="0"/>
    <x v="1"/>
  </r>
  <r>
    <x v="30"/>
    <x v="1"/>
    <x v="318"/>
    <x v="0"/>
    <x v="4"/>
    <x v="41"/>
    <x v="0"/>
    <x v="3"/>
    <n v="0"/>
    <x v="1"/>
  </r>
  <r>
    <x v="30"/>
    <x v="1"/>
    <x v="318"/>
    <x v="0"/>
    <x v="4"/>
    <x v="41"/>
    <x v="0"/>
    <x v="4"/>
    <n v="0"/>
    <x v="1"/>
  </r>
  <r>
    <x v="30"/>
    <x v="1"/>
    <x v="318"/>
    <x v="0"/>
    <x v="4"/>
    <x v="41"/>
    <x v="0"/>
    <x v="5"/>
    <n v="179"/>
    <x v="1"/>
  </r>
  <r>
    <x v="30"/>
    <x v="1"/>
    <x v="318"/>
    <x v="0"/>
    <x v="4"/>
    <x v="41"/>
    <x v="0"/>
    <x v="6"/>
    <n v="0"/>
    <x v="1"/>
  </r>
  <r>
    <x v="30"/>
    <x v="1"/>
    <x v="318"/>
    <x v="0"/>
    <x v="4"/>
    <x v="41"/>
    <x v="0"/>
    <x v="7"/>
    <n v="0"/>
    <x v="1"/>
  </r>
  <r>
    <x v="30"/>
    <x v="1"/>
    <x v="318"/>
    <x v="0"/>
    <x v="4"/>
    <x v="41"/>
    <x v="0"/>
    <x v="8"/>
    <n v="0"/>
    <x v="1"/>
  </r>
  <r>
    <x v="30"/>
    <x v="1"/>
    <x v="318"/>
    <x v="0"/>
    <x v="4"/>
    <x v="41"/>
    <x v="0"/>
    <x v="9"/>
    <n v="0"/>
    <x v="1"/>
  </r>
  <r>
    <x v="30"/>
    <x v="1"/>
    <x v="318"/>
    <x v="0"/>
    <x v="4"/>
    <x v="41"/>
    <x v="0"/>
    <x v="10"/>
    <n v="0"/>
    <x v="1"/>
  </r>
  <r>
    <x v="30"/>
    <x v="1"/>
    <x v="318"/>
    <x v="0"/>
    <x v="4"/>
    <x v="41"/>
    <x v="0"/>
    <x v="12"/>
    <n v="0"/>
    <x v="1"/>
  </r>
  <r>
    <x v="30"/>
    <x v="1"/>
    <x v="319"/>
    <x v="0"/>
    <x v="4"/>
    <x v="41"/>
    <x v="0"/>
    <x v="0"/>
    <n v="0"/>
    <x v="1"/>
  </r>
  <r>
    <x v="30"/>
    <x v="1"/>
    <x v="319"/>
    <x v="0"/>
    <x v="4"/>
    <x v="41"/>
    <x v="0"/>
    <x v="1"/>
    <n v="0"/>
    <x v="1"/>
  </r>
  <r>
    <x v="30"/>
    <x v="1"/>
    <x v="319"/>
    <x v="0"/>
    <x v="4"/>
    <x v="41"/>
    <x v="0"/>
    <x v="2"/>
    <n v="0"/>
    <x v="1"/>
  </r>
  <r>
    <x v="30"/>
    <x v="1"/>
    <x v="319"/>
    <x v="0"/>
    <x v="4"/>
    <x v="41"/>
    <x v="0"/>
    <x v="3"/>
    <n v="0"/>
    <x v="1"/>
  </r>
  <r>
    <x v="30"/>
    <x v="1"/>
    <x v="319"/>
    <x v="0"/>
    <x v="4"/>
    <x v="41"/>
    <x v="0"/>
    <x v="4"/>
    <n v="0"/>
    <x v="1"/>
  </r>
  <r>
    <x v="30"/>
    <x v="1"/>
    <x v="319"/>
    <x v="0"/>
    <x v="4"/>
    <x v="41"/>
    <x v="0"/>
    <x v="5"/>
    <n v="0"/>
    <x v="1"/>
  </r>
  <r>
    <x v="30"/>
    <x v="1"/>
    <x v="319"/>
    <x v="0"/>
    <x v="4"/>
    <x v="41"/>
    <x v="0"/>
    <x v="6"/>
    <n v="0"/>
    <x v="1"/>
  </r>
  <r>
    <x v="30"/>
    <x v="1"/>
    <x v="319"/>
    <x v="0"/>
    <x v="4"/>
    <x v="41"/>
    <x v="0"/>
    <x v="7"/>
    <n v="386"/>
    <x v="1"/>
  </r>
  <r>
    <x v="30"/>
    <x v="1"/>
    <x v="319"/>
    <x v="0"/>
    <x v="4"/>
    <x v="41"/>
    <x v="0"/>
    <x v="8"/>
    <n v="0"/>
    <x v="1"/>
  </r>
  <r>
    <x v="30"/>
    <x v="1"/>
    <x v="319"/>
    <x v="0"/>
    <x v="4"/>
    <x v="41"/>
    <x v="0"/>
    <x v="9"/>
    <n v="0"/>
    <x v="1"/>
  </r>
  <r>
    <x v="30"/>
    <x v="1"/>
    <x v="319"/>
    <x v="0"/>
    <x v="4"/>
    <x v="41"/>
    <x v="0"/>
    <x v="10"/>
    <n v="0"/>
    <x v="1"/>
  </r>
  <r>
    <x v="30"/>
    <x v="1"/>
    <x v="319"/>
    <x v="0"/>
    <x v="4"/>
    <x v="41"/>
    <x v="0"/>
    <x v="12"/>
    <n v="0"/>
    <x v="1"/>
  </r>
  <r>
    <x v="30"/>
    <x v="1"/>
    <x v="320"/>
    <x v="0"/>
    <x v="4"/>
    <x v="41"/>
    <x v="0"/>
    <x v="0"/>
    <n v="0"/>
    <x v="1"/>
  </r>
  <r>
    <x v="30"/>
    <x v="1"/>
    <x v="320"/>
    <x v="0"/>
    <x v="4"/>
    <x v="41"/>
    <x v="0"/>
    <x v="1"/>
    <n v="0"/>
    <x v="1"/>
  </r>
  <r>
    <x v="30"/>
    <x v="1"/>
    <x v="320"/>
    <x v="0"/>
    <x v="4"/>
    <x v="41"/>
    <x v="0"/>
    <x v="2"/>
    <n v="0"/>
    <x v="1"/>
  </r>
  <r>
    <x v="30"/>
    <x v="1"/>
    <x v="320"/>
    <x v="0"/>
    <x v="4"/>
    <x v="41"/>
    <x v="0"/>
    <x v="3"/>
    <n v="0"/>
    <x v="1"/>
  </r>
  <r>
    <x v="30"/>
    <x v="1"/>
    <x v="320"/>
    <x v="0"/>
    <x v="4"/>
    <x v="41"/>
    <x v="0"/>
    <x v="4"/>
    <n v="0"/>
    <x v="1"/>
  </r>
  <r>
    <x v="30"/>
    <x v="1"/>
    <x v="320"/>
    <x v="0"/>
    <x v="4"/>
    <x v="41"/>
    <x v="0"/>
    <x v="5"/>
    <n v="0"/>
    <x v="1"/>
  </r>
  <r>
    <x v="30"/>
    <x v="1"/>
    <x v="320"/>
    <x v="0"/>
    <x v="4"/>
    <x v="41"/>
    <x v="0"/>
    <x v="6"/>
    <n v="0"/>
    <x v="1"/>
  </r>
  <r>
    <x v="30"/>
    <x v="1"/>
    <x v="320"/>
    <x v="0"/>
    <x v="4"/>
    <x v="41"/>
    <x v="0"/>
    <x v="7"/>
    <n v="723"/>
    <x v="1"/>
  </r>
  <r>
    <x v="30"/>
    <x v="1"/>
    <x v="320"/>
    <x v="0"/>
    <x v="4"/>
    <x v="41"/>
    <x v="0"/>
    <x v="8"/>
    <n v="0"/>
    <x v="1"/>
  </r>
  <r>
    <x v="30"/>
    <x v="1"/>
    <x v="320"/>
    <x v="0"/>
    <x v="4"/>
    <x v="41"/>
    <x v="0"/>
    <x v="9"/>
    <n v="0"/>
    <x v="1"/>
  </r>
  <r>
    <x v="30"/>
    <x v="1"/>
    <x v="320"/>
    <x v="0"/>
    <x v="4"/>
    <x v="41"/>
    <x v="0"/>
    <x v="10"/>
    <n v="0"/>
    <x v="1"/>
  </r>
  <r>
    <x v="30"/>
    <x v="1"/>
    <x v="320"/>
    <x v="0"/>
    <x v="4"/>
    <x v="41"/>
    <x v="0"/>
    <x v="12"/>
    <n v="0"/>
    <x v="1"/>
  </r>
  <r>
    <x v="30"/>
    <x v="1"/>
    <x v="321"/>
    <x v="0"/>
    <x v="4"/>
    <x v="41"/>
    <x v="0"/>
    <x v="0"/>
    <n v="0"/>
    <x v="1"/>
  </r>
  <r>
    <x v="30"/>
    <x v="1"/>
    <x v="321"/>
    <x v="0"/>
    <x v="4"/>
    <x v="41"/>
    <x v="0"/>
    <x v="1"/>
    <n v="0"/>
    <x v="1"/>
  </r>
  <r>
    <x v="30"/>
    <x v="1"/>
    <x v="321"/>
    <x v="0"/>
    <x v="4"/>
    <x v="41"/>
    <x v="0"/>
    <x v="2"/>
    <n v="0"/>
    <x v="1"/>
  </r>
  <r>
    <x v="30"/>
    <x v="1"/>
    <x v="321"/>
    <x v="0"/>
    <x v="4"/>
    <x v="41"/>
    <x v="0"/>
    <x v="3"/>
    <n v="0"/>
    <x v="1"/>
  </r>
  <r>
    <x v="30"/>
    <x v="1"/>
    <x v="321"/>
    <x v="0"/>
    <x v="4"/>
    <x v="41"/>
    <x v="0"/>
    <x v="4"/>
    <n v="0"/>
    <x v="1"/>
  </r>
  <r>
    <x v="30"/>
    <x v="1"/>
    <x v="321"/>
    <x v="0"/>
    <x v="4"/>
    <x v="41"/>
    <x v="0"/>
    <x v="5"/>
    <n v="0"/>
    <x v="1"/>
  </r>
  <r>
    <x v="30"/>
    <x v="1"/>
    <x v="321"/>
    <x v="0"/>
    <x v="4"/>
    <x v="41"/>
    <x v="0"/>
    <x v="6"/>
    <n v="0"/>
    <x v="1"/>
  </r>
  <r>
    <x v="30"/>
    <x v="1"/>
    <x v="321"/>
    <x v="0"/>
    <x v="4"/>
    <x v="41"/>
    <x v="0"/>
    <x v="7"/>
    <n v="899"/>
    <x v="1"/>
  </r>
  <r>
    <x v="30"/>
    <x v="1"/>
    <x v="321"/>
    <x v="0"/>
    <x v="4"/>
    <x v="41"/>
    <x v="0"/>
    <x v="8"/>
    <n v="0"/>
    <x v="1"/>
  </r>
  <r>
    <x v="30"/>
    <x v="1"/>
    <x v="321"/>
    <x v="0"/>
    <x v="4"/>
    <x v="41"/>
    <x v="0"/>
    <x v="9"/>
    <n v="0"/>
    <x v="1"/>
  </r>
  <r>
    <x v="30"/>
    <x v="1"/>
    <x v="321"/>
    <x v="0"/>
    <x v="4"/>
    <x v="41"/>
    <x v="0"/>
    <x v="10"/>
    <n v="0"/>
    <x v="1"/>
  </r>
  <r>
    <x v="30"/>
    <x v="1"/>
    <x v="321"/>
    <x v="0"/>
    <x v="4"/>
    <x v="41"/>
    <x v="0"/>
    <x v="12"/>
    <n v="0"/>
    <x v="1"/>
  </r>
  <r>
    <x v="30"/>
    <x v="1"/>
    <x v="315"/>
    <x v="0"/>
    <x v="4"/>
    <x v="41"/>
    <x v="0"/>
    <x v="0"/>
    <n v="0"/>
    <x v="1"/>
  </r>
  <r>
    <x v="30"/>
    <x v="1"/>
    <x v="315"/>
    <x v="0"/>
    <x v="4"/>
    <x v="41"/>
    <x v="0"/>
    <x v="1"/>
    <n v="0"/>
    <x v="1"/>
  </r>
  <r>
    <x v="30"/>
    <x v="1"/>
    <x v="315"/>
    <x v="0"/>
    <x v="4"/>
    <x v="41"/>
    <x v="0"/>
    <x v="2"/>
    <n v="0"/>
    <x v="1"/>
  </r>
  <r>
    <x v="30"/>
    <x v="1"/>
    <x v="315"/>
    <x v="0"/>
    <x v="4"/>
    <x v="41"/>
    <x v="0"/>
    <x v="3"/>
    <n v="0"/>
    <x v="1"/>
  </r>
  <r>
    <x v="30"/>
    <x v="1"/>
    <x v="315"/>
    <x v="0"/>
    <x v="4"/>
    <x v="41"/>
    <x v="0"/>
    <x v="4"/>
    <n v="0"/>
    <x v="1"/>
  </r>
  <r>
    <x v="30"/>
    <x v="1"/>
    <x v="315"/>
    <x v="0"/>
    <x v="4"/>
    <x v="41"/>
    <x v="0"/>
    <x v="5"/>
    <n v="0"/>
    <x v="1"/>
  </r>
  <r>
    <x v="30"/>
    <x v="1"/>
    <x v="315"/>
    <x v="0"/>
    <x v="4"/>
    <x v="41"/>
    <x v="0"/>
    <x v="6"/>
    <n v="0"/>
    <x v="1"/>
  </r>
  <r>
    <x v="30"/>
    <x v="1"/>
    <x v="315"/>
    <x v="0"/>
    <x v="4"/>
    <x v="41"/>
    <x v="0"/>
    <x v="7"/>
    <n v="1796"/>
    <x v="1"/>
  </r>
  <r>
    <x v="30"/>
    <x v="1"/>
    <x v="315"/>
    <x v="0"/>
    <x v="4"/>
    <x v="41"/>
    <x v="0"/>
    <x v="8"/>
    <n v="0"/>
    <x v="1"/>
  </r>
  <r>
    <x v="30"/>
    <x v="1"/>
    <x v="315"/>
    <x v="0"/>
    <x v="4"/>
    <x v="41"/>
    <x v="0"/>
    <x v="9"/>
    <n v="0"/>
    <x v="1"/>
  </r>
  <r>
    <x v="30"/>
    <x v="1"/>
    <x v="315"/>
    <x v="0"/>
    <x v="4"/>
    <x v="41"/>
    <x v="0"/>
    <x v="10"/>
    <n v="0"/>
    <x v="1"/>
  </r>
  <r>
    <x v="30"/>
    <x v="1"/>
    <x v="315"/>
    <x v="0"/>
    <x v="4"/>
    <x v="41"/>
    <x v="0"/>
    <x v="12"/>
    <n v="0"/>
    <x v="1"/>
  </r>
  <r>
    <x v="30"/>
    <x v="1"/>
    <x v="322"/>
    <x v="0"/>
    <x v="4"/>
    <x v="41"/>
    <x v="0"/>
    <x v="0"/>
    <n v="0"/>
    <x v="1"/>
  </r>
  <r>
    <x v="30"/>
    <x v="1"/>
    <x v="322"/>
    <x v="0"/>
    <x v="4"/>
    <x v="41"/>
    <x v="0"/>
    <x v="1"/>
    <n v="0"/>
    <x v="1"/>
  </r>
  <r>
    <x v="30"/>
    <x v="1"/>
    <x v="322"/>
    <x v="0"/>
    <x v="4"/>
    <x v="41"/>
    <x v="0"/>
    <x v="2"/>
    <n v="0"/>
    <x v="1"/>
  </r>
  <r>
    <x v="30"/>
    <x v="1"/>
    <x v="322"/>
    <x v="0"/>
    <x v="4"/>
    <x v="41"/>
    <x v="0"/>
    <x v="3"/>
    <n v="0"/>
    <x v="1"/>
  </r>
  <r>
    <x v="30"/>
    <x v="1"/>
    <x v="322"/>
    <x v="0"/>
    <x v="4"/>
    <x v="41"/>
    <x v="0"/>
    <x v="4"/>
    <n v="0"/>
    <x v="1"/>
  </r>
  <r>
    <x v="30"/>
    <x v="1"/>
    <x v="322"/>
    <x v="0"/>
    <x v="4"/>
    <x v="41"/>
    <x v="0"/>
    <x v="5"/>
    <n v="0"/>
    <x v="1"/>
  </r>
  <r>
    <x v="30"/>
    <x v="1"/>
    <x v="322"/>
    <x v="0"/>
    <x v="4"/>
    <x v="41"/>
    <x v="0"/>
    <x v="6"/>
    <n v="0"/>
    <x v="1"/>
  </r>
  <r>
    <x v="30"/>
    <x v="1"/>
    <x v="322"/>
    <x v="0"/>
    <x v="4"/>
    <x v="41"/>
    <x v="0"/>
    <x v="7"/>
    <n v="0"/>
    <x v="1"/>
  </r>
  <r>
    <x v="30"/>
    <x v="1"/>
    <x v="322"/>
    <x v="0"/>
    <x v="4"/>
    <x v="41"/>
    <x v="0"/>
    <x v="8"/>
    <n v="375"/>
    <x v="1"/>
  </r>
  <r>
    <x v="30"/>
    <x v="1"/>
    <x v="322"/>
    <x v="0"/>
    <x v="4"/>
    <x v="41"/>
    <x v="0"/>
    <x v="9"/>
    <n v="0"/>
    <x v="1"/>
  </r>
  <r>
    <x v="30"/>
    <x v="1"/>
    <x v="322"/>
    <x v="0"/>
    <x v="4"/>
    <x v="41"/>
    <x v="0"/>
    <x v="10"/>
    <n v="0"/>
    <x v="1"/>
  </r>
  <r>
    <x v="30"/>
    <x v="1"/>
    <x v="322"/>
    <x v="0"/>
    <x v="4"/>
    <x v="41"/>
    <x v="0"/>
    <x v="12"/>
    <n v="0"/>
    <x v="1"/>
  </r>
  <r>
    <x v="30"/>
    <x v="1"/>
    <x v="323"/>
    <x v="0"/>
    <x v="4"/>
    <x v="41"/>
    <x v="0"/>
    <x v="0"/>
    <n v="0"/>
    <x v="1"/>
  </r>
  <r>
    <x v="30"/>
    <x v="1"/>
    <x v="323"/>
    <x v="0"/>
    <x v="4"/>
    <x v="41"/>
    <x v="0"/>
    <x v="1"/>
    <n v="0"/>
    <x v="1"/>
  </r>
  <r>
    <x v="30"/>
    <x v="1"/>
    <x v="323"/>
    <x v="0"/>
    <x v="4"/>
    <x v="41"/>
    <x v="0"/>
    <x v="2"/>
    <n v="0"/>
    <x v="1"/>
  </r>
  <r>
    <x v="30"/>
    <x v="1"/>
    <x v="323"/>
    <x v="0"/>
    <x v="4"/>
    <x v="41"/>
    <x v="0"/>
    <x v="3"/>
    <n v="0"/>
    <x v="1"/>
  </r>
  <r>
    <x v="30"/>
    <x v="1"/>
    <x v="323"/>
    <x v="0"/>
    <x v="4"/>
    <x v="41"/>
    <x v="0"/>
    <x v="4"/>
    <n v="0"/>
    <x v="1"/>
  </r>
  <r>
    <x v="30"/>
    <x v="1"/>
    <x v="323"/>
    <x v="0"/>
    <x v="4"/>
    <x v="41"/>
    <x v="0"/>
    <x v="5"/>
    <n v="0"/>
    <x v="1"/>
  </r>
  <r>
    <x v="30"/>
    <x v="1"/>
    <x v="323"/>
    <x v="0"/>
    <x v="4"/>
    <x v="41"/>
    <x v="0"/>
    <x v="6"/>
    <n v="0"/>
    <x v="1"/>
  </r>
  <r>
    <x v="30"/>
    <x v="1"/>
    <x v="323"/>
    <x v="0"/>
    <x v="4"/>
    <x v="41"/>
    <x v="0"/>
    <x v="7"/>
    <n v="0"/>
    <x v="1"/>
  </r>
  <r>
    <x v="30"/>
    <x v="1"/>
    <x v="323"/>
    <x v="0"/>
    <x v="4"/>
    <x v="41"/>
    <x v="0"/>
    <x v="8"/>
    <n v="0"/>
    <x v="1"/>
  </r>
  <r>
    <x v="30"/>
    <x v="1"/>
    <x v="323"/>
    <x v="0"/>
    <x v="4"/>
    <x v="41"/>
    <x v="0"/>
    <x v="9"/>
    <n v="0"/>
    <x v="1"/>
  </r>
  <r>
    <x v="30"/>
    <x v="1"/>
    <x v="323"/>
    <x v="0"/>
    <x v="4"/>
    <x v="41"/>
    <x v="0"/>
    <x v="10"/>
    <n v="0"/>
    <x v="1"/>
  </r>
  <r>
    <x v="30"/>
    <x v="1"/>
    <x v="323"/>
    <x v="0"/>
    <x v="4"/>
    <x v="41"/>
    <x v="0"/>
    <x v="12"/>
    <n v="1215"/>
    <x v="1"/>
  </r>
  <r>
    <x v="30"/>
    <x v="1"/>
    <x v="324"/>
    <x v="1"/>
    <x v="4"/>
    <x v="6"/>
    <x v="0"/>
    <x v="0"/>
    <n v="240"/>
    <x v="1"/>
  </r>
  <r>
    <x v="30"/>
    <x v="1"/>
    <x v="324"/>
    <x v="1"/>
    <x v="4"/>
    <x v="6"/>
    <x v="0"/>
    <x v="1"/>
    <n v="0"/>
    <x v="1"/>
  </r>
  <r>
    <x v="30"/>
    <x v="1"/>
    <x v="324"/>
    <x v="1"/>
    <x v="4"/>
    <x v="6"/>
    <x v="0"/>
    <x v="2"/>
    <n v="0"/>
    <x v="1"/>
  </r>
  <r>
    <x v="30"/>
    <x v="1"/>
    <x v="324"/>
    <x v="1"/>
    <x v="4"/>
    <x v="6"/>
    <x v="0"/>
    <x v="3"/>
    <n v="0"/>
    <x v="1"/>
  </r>
  <r>
    <x v="30"/>
    <x v="1"/>
    <x v="324"/>
    <x v="1"/>
    <x v="4"/>
    <x v="6"/>
    <x v="0"/>
    <x v="4"/>
    <n v="0"/>
    <x v="1"/>
  </r>
  <r>
    <x v="30"/>
    <x v="1"/>
    <x v="324"/>
    <x v="1"/>
    <x v="4"/>
    <x v="6"/>
    <x v="0"/>
    <x v="5"/>
    <n v="0"/>
    <x v="1"/>
  </r>
  <r>
    <x v="30"/>
    <x v="1"/>
    <x v="324"/>
    <x v="1"/>
    <x v="4"/>
    <x v="6"/>
    <x v="0"/>
    <x v="6"/>
    <n v="0"/>
    <x v="1"/>
  </r>
  <r>
    <x v="30"/>
    <x v="1"/>
    <x v="324"/>
    <x v="1"/>
    <x v="4"/>
    <x v="6"/>
    <x v="0"/>
    <x v="7"/>
    <n v="0"/>
    <x v="1"/>
  </r>
  <r>
    <x v="30"/>
    <x v="1"/>
    <x v="324"/>
    <x v="1"/>
    <x v="4"/>
    <x v="6"/>
    <x v="0"/>
    <x v="8"/>
    <n v="0"/>
    <x v="1"/>
  </r>
  <r>
    <x v="30"/>
    <x v="1"/>
    <x v="324"/>
    <x v="1"/>
    <x v="4"/>
    <x v="6"/>
    <x v="0"/>
    <x v="9"/>
    <n v="0"/>
    <x v="1"/>
  </r>
  <r>
    <x v="30"/>
    <x v="1"/>
    <x v="324"/>
    <x v="1"/>
    <x v="4"/>
    <x v="6"/>
    <x v="0"/>
    <x v="10"/>
    <n v="0"/>
    <x v="1"/>
  </r>
  <r>
    <x v="30"/>
    <x v="1"/>
    <x v="324"/>
    <x v="1"/>
    <x v="4"/>
    <x v="6"/>
    <x v="0"/>
    <x v="12"/>
    <n v="0"/>
    <x v="1"/>
  </r>
  <r>
    <x v="30"/>
    <x v="1"/>
    <x v="325"/>
    <x v="0"/>
    <x v="4"/>
    <x v="42"/>
    <x v="1"/>
    <x v="0"/>
    <n v="200"/>
    <x v="1"/>
  </r>
  <r>
    <x v="30"/>
    <x v="1"/>
    <x v="325"/>
    <x v="0"/>
    <x v="4"/>
    <x v="42"/>
    <x v="1"/>
    <x v="1"/>
    <n v="0"/>
    <x v="1"/>
  </r>
  <r>
    <x v="30"/>
    <x v="1"/>
    <x v="325"/>
    <x v="0"/>
    <x v="4"/>
    <x v="42"/>
    <x v="1"/>
    <x v="2"/>
    <n v="0"/>
    <x v="1"/>
  </r>
  <r>
    <x v="30"/>
    <x v="1"/>
    <x v="325"/>
    <x v="0"/>
    <x v="4"/>
    <x v="42"/>
    <x v="1"/>
    <x v="3"/>
    <n v="0"/>
    <x v="1"/>
  </r>
  <r>
    <x v="30"/>
    <x v="1"/>
    <x v="325"/>
    <x v="0"/>
    <x v="4"/>
    <x v="42"/>
    <x v="1"/>
    <x v="4"/>
    <n v="0"/>
    <x v="1"/>
  </r>
  <r>
    <x v="30"/>
    <x v="1"/>
    <x v="325"/>
    <x v="0"/>
    <x v="4"/>
    <x v="42"/>
    <x v="1"/>
    <x v="5"/>
    <n v="0"/>
    <x v="1"/>
  </r>
  <r>
    <x v="30"/>
    <x v="1"/>
    <x v="325"/>
    <x v="0"/>
    <x v="4"/>
    <x v="42"/>
    <x v="1"/>
    <x v="6"/>
    <n v="0"/>
    <x v="1"/>
  </r>
  <r>
    <x v="30"/>
    <x v="1"/>
    <x v="325"/>
    <x v="0"/>
    <x v="4"/>
    <x v="42"/>
    <x v="1"/>
    <x v="7"/>
    <n v="0"/>
    <x v="1"/>
  </r>
  <r>
    <x v="30"/>
    <x v="1"/>
    <x v="325"/>
    <x v="0"/>
    <x v="4"/>
    <x v="42"/>
    <x v="1"/>
    <x v="8"/>
    <n v="0"/>
    <x v="1"/>
  </r>
  <r>
    <x v="30"/>
    <x v="1"/>
    <x v="325"/>
    <x v="0"/>
    <x v="4"/>
    <x v="42"/>
    <x v="1"/>
    <x v="9"/>
    <n v="0"/>
    <x v="1"/>
  </r>
  <r>
    <x v="30"/>
    <x v="1"/>
    <x v="325"/>
    <x v="0"/>
    <x v="4"/>
    <x v="42"/>
    <x v="1"/>
    <x v="10"/>
    <n v="0"/>
    <x v="1"/>
  </r>
  <r>
    <x v="30"/>
    <x v="1"/>
    <x v="325"/>
    <x v="0"/>
    <x v="4"/>
    <x v="42"/>
    <x v="1"/>
    <x v="12"/>
    <n v="0"/>
    <x v="1"/>
  </r>
  <r>
    <x v="32"/>
    <x v="1"/>
    <x v="326"/>
    <x v="0"/>
    <x v="4"/>
    <x v="6"/>
    <x v="12"/>
    <x v="0"/>
    <n v="142.54000000000002"/>
    <x v="1"/>
  </r>
  <r>
    <x v="32"/>
    <x v="1"/>
    <x v="326"/>
    <x v="0"/>
    <x v="4"/>
    <x v="6"/>
    <x v="12"/>
    <x v="1"/>
    <n v="0"/>
    <x v="1"/>
  </r>
  <r>
    <x v="32"/>
    <x v="1"/>
    <x v="326"/>
    <x v="0"/>
    <x v="4"/>
    <x v="6"/>
    <x v="12"/>
    <x v="2"/>
    <n v="0"/>
    <x v="1"/>
  </r>
  <r>
    <x v="32"/>
    <x v="1"/>
    <x v="326"/>
    <x v="0"/>
    <x v="4"/>
    <x v="6"/>
    <x v="12"/>
    <x v="3"/>
    <n v="0"/>
    <x v="1"/>
  </r>
  <r>
    <x v="32"/>
    <x v="1"/>
    <x v="326"/>
    <x v="0"/>
    <x v="4"/>
    <x v="6"/>
    <x v="12"/>
    <x v="4"/>
    <n v="0"/>
    <x v="1"/>
  </r>
  <r>
    <x v="32"/>
    <x v="1"/>
    <x v="326"/>
    <x v="0"/>
    <x v="4"/>
    <x v="6"/>
    <x v="12"/>
    <x v="5"/>
    <n v="0"/>
    <x v="1"/>
  </r>
  <r>
    <x v="32"/>
    <x v="1"/>
    <x v="326"/>
    <x v="0"/>
    <x v="4"/>
    <x v="6"/>
    <x v="12"/>
    <x v="6"/>
    <n v="0"/>
    <x v="1"/>
  </r>
  <r>
    <x v="32"/>
    <x v="1"/>
    <x v="326"/>
    <x v="0"/>
    <x v="4"/>
    <x v="6"/>
    <x v="12"/>
    <x v="7"/>
    <n v="0"/>
    <x v="1"/>
  </r>
  <r>
    <x v="32"/>
    <x v="1"/>
    <x v="326"/>
    <x v="0"/>
    <x v="4"/>
    <x v="6"/>
    <x v="12"/>
    <x v="8"/>
    <n v="0"/>
    <x v="1"/>
  </r>
  <r>
    <x v="32"/>
    <x v="1"/>
    <x v="326"/>
    <x v="0"/>
    <x v="4"/>
    <x v="6"/>
    <x v="12"/>
    <x v="9"/>
    <n v="0"/>
    <x v="1"/>
  </r>
  <r>
    <x v="32"/>
    <x v="1"/>
    <x v="326"/>
    <x v="0"/>
    <x v="4"/>
    <x v="6"/>
    <x v="12"/>
    <x v="10"/>
    <n v="0"/>
    <x v="1"/>
  </r>
  <r>
    <x v="32"/>
    <x v="1"/>
    <x v="326"/>
    <x v="0"/>
    <x v="4"/>
    <x v="6"/>
    <x v="12"/>
    <x v="12"/>
    <n v="0"/>
    <x v="1"/>
  </r>
  <r>
    <x v="30"/>
    <x v="1"/>
    <x v="327"/>
    <x v="0"/>
    <x v="4"/>
    <x v="42"/>
    <x v="0"/>
    <x v="0"/>
    <n v="200"/>
    <x v="1"/>
  </r>
  <r>
    <x v="30"/>
    <x v="1"/>
    <x v="327"/>
    <x v="0"/>
    <x v="4"/>
    <x v="42"/>
    <x v="0"/>
    <x v="1"/>
    <n v="0"/>
    <x v="1"/>
  </r>
  <r>
    <x v="30"/>
    <x v="1"/>
    <x v="327"/>
    <x v="0"/>
    <x v="4"/>
    <x v="42"/>
    <x v="0"/>
    <x v="2"/>
    <n v="0"/>
    <x v="1"/>
  </r>
  <r>
    <x v="30"/>
    <x v="1"/>
    <x v="327"/>
    <x v="0"/>
    <x v="4"/>
    <x v="42"/>
    <x v="0"/>
    <x v="3"/>
    <n v="0"/>
    <x v="1"/>
  </r>
  <r>
    <x v="30"/>
    <x v="1"/>
    <x v="327"/>
    <x v="0"/>
    <x v="4"/>
    <x v="42"/>
    <x v="0"/>
    <x v="4"/>
    <n v="0"/>
    <x v="1"/>
  </r>
  <r>
    <x v="30"/>
    <x v="1"/>
    <x v="327"/>
    <x v="0"/>
    <x v="4"/>
    <x v="42"/>
    <x v="0"/>
    <x v="5"/>
    <n v="0"/>
    <x v="1"/>
  </r>
  <r>
    <x v="30"/>
    <x v="1"/>
    <x v="327"/>
    <x v="0"/>
    <x v="4"/>
    <x v="42"/>
    <x v="0"/>
    <x v="6"/>
    <n v="0"/>
    <x v="1"/>
  </r>
  <r>
    <x v="30"/>
    <x v="1"/>
    <x v="327"/>
    <x v="0"/>
    <x v="4"/>
    <x v="42"/>
    <x v="0"/>
    <x v="7"/>
    <n v="0"/>
    <x v="1"/>
  </r>
  <r>
    <x v="30"/>
    <x v="1"/>
    <x v="327"/>
    <x v="0"/>
    <x v="4"/>
    <x v="42"/>
    <x v="0"/>
    <x v="8"/>
    <n v="0"/>
    <x v="1"/>
  </r>
  <r>
    <x v="30"/>
    <x v="1"/>
    <x v="327"/>
    <x v="0"/>
    <x v="4"/>
    <x v="42"/>
    <x v="0"/>
    <x v="9"/>
    <n v="0"/>
    <x v="1"/>
  </r>
  <r>
    <x v="30"/>
    <x v="1"/>
    <x v="327"/>
    <x v="0"/>
    <x v="4"/>
    <x v="42"/>
    <x v="0"/>
    <x v="10"/>
    <n v="0"/>
    <x v="1"/>
  </r>
  <r>
    <x v="30"/>
    <x v="1"/>
    <x v="327"/>
    <x v="0"/>
    <x v="4"/>
    <x v="42"/>
    <x v="0"/>
    <x v="12"/>
    <n v="0"/>
    <x v="1"/>
  </r>
  <r>
    <x v="30"/>
    <x v="1"/>
    <x v="328"/>
    <x v="0"/>
    <x v="4"/>
    <x v="33"/>
    <x v="9"/>
    <x v="0"/>
    <n v="0"/>
    <x v="1"/>
  </r>
  <r>
    <x v="30"/>
    <x v="1"/>
    <x v="328"/>
    <x v="0"/>
    <x v="4"/>
    <x v="33"/>
    <x v="9"/>
    <x v="1"/>
    <n v="565.03"/>
    <x v="1"/>
  </r>
  <r>
    <x v="30"/>
    <x v="1"/>
    <x v="328"/>
    <x v="0"/>
    <x v="4"/>
    <x v="33"/>
    <x v="9"/>
    <x v="2"/>
    <n v="0"/>
    <x v="1"/>
  </r>
  <r>
    <x v="30"/>
    <x v="1"/>
    <x v="328"/>
    <x v="0"/>
    <x v="4"/>
    <x v="33"/>
    <x v="9"/>
    <x v="3"/>
    <n v="0"/>
    <x v="1"/>
  </r>
  <r>
    <x v="30"/>
    <x v="1"/>
    <x v="328"/>
    <x v="0"/>
    <x v="4"/>
    <x v="33"/>
    <x v="9"/>
    <x v="4"/>
    <n v="0"/>
    <x v="1"/>
  </r>
  <r>
    <x v="30"/>
    <x v="1"/>
    <x v="328"/>
    <x v="0"/>
    <x v="4"/>
    <x v="33"/>
    <x v="9"/>
    <x v="5"/>
    <n v="0"/>
    <x v="1"/>
  </r>
  <r>
    <x v="30"/>
    <x v="1"/>
    <x v="328"/>
    <x v="0"/>
    <x v="4"/>
    <x v="33"/>
    <x v="9"/>
    <x v="6"/>
    <n v="0"/>
    <x v="1"/>
  </r>
  <r>
    <x v="30"/>
    <x v="1"/>
    <x v="328"/>
    <x v="0"/>
    <x v="4"/>
    <x v="33"/>
    <x v="9"/>
    <x v="7"/>
    <n v="0"/>
    <x v="1"/>
  </r>
  <r>
    <x v="30"/>
    <x v="1"/>
    <x v="328"/>
    <x v="0"/>
    <x v="4"/>
    <x v="33"/>
    <x v="9"/>
    <x v="8"/>
    <n v="0"/>
    <x v="1"/>
  </r>
  <r>
    <x v="30"/>
    <x v="1"/>
    <x v="328"/>
    <x v="0"/>
    <x v="4"/>
    <x v="33"/>
    <x v="9"/>
    <x v="9"/>
    <n v="0"/>
    <x v="1"/>
  </r>
  <r>
    <x v="30"/>
    <x v="1"/>
    <x v="328"/>
    <x v="0"/>
    <x v="4"/>
    <x v="33"/>
    <x v="9"/>
    <x v="10"/>
    <n v="0"/>
    <x v="1"/>
  </r>
  <r>
    <x v="30"/>
    <x v="1"/>
    <x v="328"/>
    <x v="0"/>
    <x v="4"/>
    <x v="33"/>
    <x v="9"/>
    <x v="12"/>
    <n v="0"/>
    <x v="1"/>
  </r>
  <r>
    <x v="30"/>
    <x v="1"/>
    <x v="329"/>
    <x v="1"/>
    <x v="4"/>
    <x v="6"/>
    <x v="0"/>
    <x v="0"/>
    <n v="0"/>
    <x v="1"/>
  </r>
  <r>
    <x v="30"/>
    <x v="1"/>
    <x v="329"/>
    <x v="1"/>
    <x v="4"/>
    <x v="6"/>
    <x v="0"/>
    <x v="1"/>
    <n v="0"/>
    <x v="1"/>
  </r>
  <r>
    <x v="30"/>
    <x v="1"/>
    <x v="329"/>
    <x v="1"/>
    <x v="4"/>
    <x v="6"/>
    <x v="0"/>
    <x v="2"/>
    <n v="266.04000000000002"/>
    <x v="1"/>
  </r>
  <r>
    <x v="30"/>
    <x v="1"/>
    <x v="329"/>
    <x v="1"/>
    <x v="4"/>
    <x v="6"/>
    <x v="0"/>
    <x v="3"/>
    <n v="0"/>
    <x v="1"/>
  </r>
  <r>
    <x v="30"/>
    <x v="1"/>
    <x v="329"/>
    <x v="1"/>
    <x v="4"/>
    <x v="6"/>
    <x v="0"/>
    <x v="4"/>
    <n v="0"/>
    <x v="1"/>
  </r>
  <r>
    <x v="30"/>
    <x v="1"/>
    <x v="329"/>
    <x v="1"/>
    <x v="4"/>
    <x v="6"/>
    <x v="0"/>
    <x v="5"/>
    <n v="0"/>
    <x v="1"/>
  </r>
  <r>
    <x v="30"/>
    <x v="1"/>
    <x v="329"/>
    <x v="1"/>
    <x v="4"/>
    <x v="6"/>
    <x v="0"/>
    <x v="6"/>
    <n v="0"/>
    <x v="1"/>
  </r>
  <r>
    <x v="30"/>
    <x v="1"/>
    <x v="329"/>
    <x v="1"/>
    <x v="4"/>
    <x v="6"/>
    <x v="0"/>
    <x v="7"/>
    <n v="0"/>
    <x v="1"/>
  </r>
  <r>
    <x v="30"/>
    <x v="1"/>
    <x v="329"/>
    <x v="1"/>
    <x v="4"/>
    <x v="6"/>
    <x v="0"/>
    <x v="8"/>
    <n v="0"/>
    <x v="1"/>
  </r>
  <r>
    <x v="30"/>
    <x v="1"/>
    <x v="329"/>
    <x v="1"/>
    <x v="4"/>
    <x v="6"/>
    <x v="0"/>
    <x v="9"/>
    <n v="0"/>
    <x v="1"/>
  </r>
  <r>
    <x v="30"/>
    <x v="1"/>
    <x v="329"/>
    <x v="1"/>
    <x v="4"/>
    <x v="6"/>
    <x v="0"/>
    <x v="10"/>
    <n v="0"/>
    <x v="1"/>
  </r>
  <r>
    <x v="30"/>
    <x v="1"/>
    <x v="329"/>
    <x v="1"/>
    <x v="4"/>
    <x v="6"/>
    <x v="0"/>
    <x v="12"/>
    <n v="0"/>
    <x v="1"/>
  </r>
  <r>
    <x v="30"/>
    <x v="1"/>
    <x v="330"/>
    <x v="0"/>
    <x v="4"/>
    <x v="33"/>
    <x v="13"/>
    <x v="0"/>
    <n v="0"/>
    <x v="1"/>
  </r>
  <r>
    <x v="30"/>
    <x v="1"/>
    <x v="330"/>
    <x v="0"/>
    <x v="4"/>
    <x v="33"/>
    <x v="13"/>
    <x v="1"/>
    <n v="0"/>
    <x v="1"/>
  </r>
  <r>
    <x v="30"/>
    <x v="1"/>
    <x v="330"/>
    <x v="0"/>
    <x v="4"/>
    <x v="33"/>
    <x v="13"/>
    <x v="2"/>
    <n v="85.93"/>
    <x v="1"/>
  </r>
  <r>
    <x v="30"/>
    <x v="1"/>
    <x v="330"/>
    <x v="0"/>
    <x v="4"/>
    <x v="33"/>
    <x v="13"/>
    <x v="3"/>
    <n v="0"/>
    <x v="1"/>
  </r>
  <r>
    <x v="30"/>
    <x v="1"/>
    <x v="330"/>
    <x v="0"/>
    <x v="4"/>
    <x v="33"/>
    <x v="13"/>
    <x v="4"/>
    <n v="0"/>
    <x v="1"/>
  </r>
  <r>
    <x v="30"/>
    <x v="1"/>
    <x v="330"/>
    <x v="0"/>
    <x v="4"/>
    <x v="33"/>
    <x v="13"/>
    <x v="5"/>
    <n v="0"/>
    <x v="1"/>
  </r>
  <r>
    <x v="30"/>
    <x v="1"/>
    <x v="330"/>
    <x v="0"/>
    <x v="4"/>
    <x v="33"/>
    <x v="13"/>
    <x v="6"/>
    <n v="0"/>
    <x v="1"/>
  </r>
  <r>
    <x v="30"/>
    <x v="1"/>
    <x v="330"/>
    <x v="0"/>
    <x v="4"/>
    <x v="33"/>
    <x v="13"/>
    <x v="7"/>
    <n v="0"/>
    <x v="1"/>
  </r>
  <r>
    <x v="30"/>
    <x v="1"/>
    <x v="330"/>
    <x v="0"/>
    <x v="4"/>
    <x v="33"/>
    <x v="13"/>
    <x v="8"/>
    <n v="0"/>
    <x v="1"/>
  </r>
  <r>
    <x v="30"/>
    <x v="1"/>
    <x v="330"/>
    <x v="0"/>
    <x v="4"/>
    <x v="33"/>
    <x v="13"/>
    <x v="9"/>
    <n v="0"/>
    <x v="1"/>
  </r>
  <r>
    <x v="30"/>
    <x v="1"/>
    <x v="330"/>
    <x v="0"/>
    <x v="4"/>
    <x v="33"/>
    <x v="13"/>
    <x v="10"/>
    <n v="0"/>
    <x v="1"/>
  </r>
  <r>
    <x v="30"/>
    <x v="1"/>
    <x v="330"/>
    <x v="0"/>
    <x v="4"/>
    <x v="33"/>
    <x v="13"/>
    <x v="12"/>
    <n v="0"/>
    <x v="1"/>
  </r>
  <r>
    <x v="30"/>
    <x v="1"/>
    <x v="331"/>
    <x v="0"/>
    <x v="4"/>
    <x v="33"/>
    <x v="1"/>
    <x v="0"/>
    <n v="0"/>
    <x v="1"/>
  </r>
  <r>
    <x v="30"/>
    <x v="1"/>
    <x v="331"/>
    <x v="0"/>
    <x v="4"/>
    <x v="33"/>
    <x v="1"/>
    <x v="1"/>
    <n v="0"/>
    <x v="1"/>
  </r>
  <r>
    <x v="30"/>
    <x v="1"/>
    <x v="331"/>
    <x v="0"/>
    <x v="4"/>
    <x v="33"/>
    <x v="1"/>
    <x v="2"/>
    <n v="79.930000000000007"/>
    <x v="1"/>
  </r>
  <r>
    <x v="30"/>
    <x v="1"/>
    <x v="331"/>
    <x v="0"/>
    <x v="4"/>
    <x v="33"/>
    <x v="1"/>
    <x v="3"/>
    <n v="0"/>
    <x v="1"/>
  </r>
  <r>
    <x v="30"/>
    <x v="1"/>
    <x v="331"/>
    <x v="0"/>
    <x v="4"/>
    <x v="33"/>
    <x v="1"/>
    <x v="4"/>
    <n v="0"/>
    <x v="1"/>
  </r>
  <r>
    <x v="30"/>
    <x v="1"/>
    <x v="331"/>
    <x v="0"/>
    <x v="4"/>
    <x v="33"/>
    <x v="1"/>
    <x v="5"/>
    <n v="0"/>
    <x v="1"/>
  </r>
  <r>
    <x v="30"/>
    <x v="1"/>
    <x v="331"/>
    <x v="0"/>
    <x v="4"/>
    <x v="33"/>
    <x v="1"/>
    <x v="6"/>
    <n v="0"/>
    <x v="1"/>
  </r>
  <r>
    <x v="30"/>
    <x v="1"/>
    <x v="331"/>
    <x v="0"/>
    <x v="4"/>
    <x v="33"/>
    <x v="1"/>
    <x v="7"/>
    <n v="0"/>
    <x v="1"/>
  </r>
  <r>
    <x v="30"/>
    <x v="1"/>
    <x v="331"/>
    <x v="0"/>
    <x v="4"/>
    <x v="33"/>
    <x v="1"/>
    <x v="8"/>
    <n v="0"/>
    <x v="1"/>
  </r>
  <r>
    <x v="30"/>
    <x v="1"/>
    <x v="331"/>
    <x v="0"/>
    <x v="4"/>
    <x v="33"/>
    <x v="1"/>
    <x v="9"/>
    <n v="0"/>
    <x v="1"/>
  </r>
  <r>
    <x v="30"/>
    <x v="1"/>
    <x v="331"/>
    <x v="0"/>
    <x v="4"/>
    <x v="33"/>
    <x v="1"/>
    <x v="10"/>
    <n v="0"/>
    <x v="1"/>
  </r>
  <r>
    <x v="30"/>
    <x v="1"/>
    <x v="331"/>
    <x v="0"/>
    <x v="4"/>
    <x v="33"/>
    <x v="1"/>
    <x v="12"/>
    <n v="0"/>
    <x v="1"/>
  </r>
  <r>
    <x v="30"/>
    <x v="1"/>
    <x v="332"/>
    <x v="2"/>
    <x v="4"/>
    <x v="41"/>
    <x v="0"/>
    <x v="0"/>
    <n v="0"/>
    <x v="1"/>
  </r>
  <r>
    <x v="30"/>
    <x v="1"/>
    <x v="332"/>
    <x v="2"/>
    <x v="4"/>
    <x v="41"/>
    <x v="0"/>
    <x v="1"/>
    <n v="0"/>
    <x v="1"/>
  </r>
  <r>
    <x v="30"/>
    <x v="1"/>
    <x v="332"/>
    <x v="2"/>
    <x v="4"/>
    <x v="41"/>
    <x v="0"/>
    <x v="2"/>
    <n v="0"/>
    <x v="1"/>
  </r>
  <r>
    <x v="30"/>
    <x v="1"/>
    <x v="332"/>
    <x v="2"/>
    <x v="4"/>
    <x v="41"/>
    <x v="0"/>
    <x v="3"/>
    <n v="0"/>
    <x v="1"/>
  </r>
  <r>
    <x v="30"/>
    <x v="1"/>
    <x v="332"/>
    <x v="2"/>
    <x v="4"/>
    <x v="41"/>
    <x v="0"/>
    <x v="4"/>
    <n v="807.26"/>
    <x v="1"/>
  </r>
  <r>
    <x v="30"/>
    <x v="1"/>
    <x v="332"/>
    <x v="2"/>
    <x v="4"/>
    <x v="41"/>
    <x v="0"/>
    <x v="5"/>
    <n v="0"/>
    <x v="1"/>
  </r>
  <r>
    <x v="30"/>
    <x v="1"/>
    <x v="332"/>
    <x v="2"/>
    <x v="4"/>
    <x v="41"/>
    <x v="0"/>
    <x v="6"/>
    <n v="0"/>
    <x v="1"/>
  </r>
  <r>
    <x v="30"/>
    <x v="1"/>
    <x v="332"/>
    <x v="2"/>
    <x v="4"/>
    <x v="41"/>
    <x v="0"/>
    <x v="7"/>
    <n v="0"/>
    <x v="1"/>
  </r>
  <r>
    <x v="30"/>
    <x v="1"/>
    <x v="332"/>
    <x v="2"/>
    <x v="4"/>
    <x v="41"/>
    <x v="0"/>
    <x v="8"/>
    <n v="0"/>
    <x v="1"/>
  </r>
  <r>
    <x v="30"/>
    <x v="1"/>
    <x v="332"/>
    <x v="2"/>
    <x v="4"/>
    <x v="41"/>
    <x v="0"/>
    <x v="9"/>
    <n v="0"/>
    <x v="1"/>
  </r>
  <r>
    <x v="30"/>
    <x v="1"/>
    <x v="332"/>
    <x v="2"/>
    <x v="4"/>
    <x v="41"/>
    <x v="0"/>
    <x v="10"/>
    <n v="0"/>
    <x v="1"/>
  </r>
  <r>
    <x v="30"/>
    <x v="1"/>
    <x v="332"/>
    <x v="2"/>
    <x v="4"/>
    <x v="41"/>
    <x v="0"/>
    <x v="12"/>
    <n v="0"/>
    <x v="1"/>
  </r>
  <r>
    <x v="30"/>
    <x v="1"/>
    <x v="333"/>
    <x v="0"/>
    <x v="4"/>
    <x v="6"/>
    <x v="9"/>
    <x v="0"/>
    <n v="0"/>
    <x v="1"/>
  </r>
  <r>
    <x v="30"/>
    <x v="1"/>
    <x v="333"/>
    <x v="0"/>
    <x v="4"/>
    <x v="6"/>
    <x v="9"/>
    <x v="1"/>
    <n v="0"/>
    <x v="1"/>
  </r>
  <r>
    <x v="30"/>
    <x v="1"/>
    <x v="333"/>
    <x v="0"/>
    <x v="4"/>
    <x v="6"/>
    <x v="9"/>
    <x v="2"/>
    <n v="0"/>
    <x v="1"/>
  </r>
  <r>
    <x v="30"/>
    <x v="1"/>
    <x v="333"/>
    <x v="0"/>
    <x v="4"/>
    <x v="6"/>
    <x v="9"/>
    <x v="3"/>
    <n v="0"/>
    <x v="1"/>
  </r>
  <r>
    <x v="30"/>
    <x v="1"/>
    <x v="333"/>
    <x v="0"/>
    <x v="4"/>
    <x v="6"/>
    <x v="9"/>
    <x v="4"/>
    <n v="424"/>
    <x v="1"/>
  </r>
  <r>
    <x v="30"/>
    <x v="1"/>
    <x v="333"/>
    <x v="0"/>
    <x v="4"/>
    <x v="6"/>
    <x v="9"/>
    <x v="5"/>
    <n v="0"/>
    <x v="1"/>
  </r>
  <r>
    <x v="30"/>
    <x v="1"/>
    <x v="333"/>
    <x v="0"/>
    <x v="4"/>
    <x v="6"/>
    <x v="9"/>
    <x v="6"/>
    <n v="0"/>
    <x v="1"/>
  </r>
  <r>
    <x v="30"/>
    <x v="1"/>
    <x v="333"/>
    <x v="0"/>
    <x v="4"/>
    <x v="6"/>
    <x v="9"/>
    <x v="7"/>
    <n v="0"/>
    <x v="1"/>
  </r>
  <r>
    <x v="30"/>
    <x v="1"/>
    <x v="333"/>
    <x v="0"/>
    <x v="4"/>
    <x v="6"/>
    <x v="9"/>
    <x v="8"/>
    <n v="0"/>
    <x v="1"/>
  </r>
  <r>
    <x v="30"/>
    <x v="1"/>
    <x v="333"/>
    <x v="0"/>
    <x v="4"/>
    <x v="6"/>
    <x v="9"/>
    <x v="9"/>
    <n v="0"/>
    <x v="1"/>
  </r>
  <r>
    <x v="30"/>
    <x v="1"/>
    <x v="333"/>
    <x v="0"/>
    <x v="4"/>
    <x v="6"/>
    <x v="9"/>
    <x v="10"/>
    <n v="0"/>
    <x v="1"/>
  </r>
  <r>
    <x v="30"/>
    <x v="1"/>
    <x v="333"/>
    <x v="0"/>
    <x v="4"/>
    <x v="6"/>
    <x v="9"/>
    <x v="12"/>
    <n v="0"/>
    <x v="1"/>
  </r>
  <r>
    <x v="34"/>
    <x v="1"/>
    <x v="334"/>
    <x v="0"/>
    <x v="4"/>
    <x v="6"/>
    <x v="21"/>
    <x v="0"/>
    <n v="0"/>
    <x v="1"/>
  </r>
  <r>
    <x v="34"/>
    <x v="1"/>
    <x v="334"/>
    <x v="0"/>
    <x v="4"/>
    <x v="6"/>
    <x v="21"/>
    <x v="1"/>
    <n v="0"/>
    <x v="1"/>
  </r>
  <r>
    <x v="34"/>
    <x v="1"/>
    <x v="334"/>
    <x v="0"/>
    <x v="4"/>
    <x v="6"/>
    <x v="21"/>
    <x v="2"/>
    <n v="0"/>
    <x v="1"/>
  </r>
  <r>
    <x v="34"/>
    <x v="1"/>
    <x v="334"/>
    <x v="0"/>
    <x v="4"/>
    <x v="6"/>
    <x v="21"/>
    <x v="3"/>
    <n v="0"/>
    <x v="1"/>
  </r>
  <r>
    <x v="34"/>
    <x v="1"/>
    <x v="334"/>
    <x v="0"/>
    <x v="4"/>
    <x v="6"/>
    <x v="21"/>
    <x v="4"/>
    <n v="306.04000000000002"/>
    <x v="1"/>
  </r>
  <r>
    <x v="34"/>
    <x v="1"/>
    <x v="334"/>
    <x v="0"/>
    <x v="4"/>
    <x v="6"/>
    <x v="21"/>
    <x v="5"/>
    <n v="0"/>
    <x v="1"/>
  </r>
  <r>
    <x v="34"/>
    <x v="1"/>
    <x v="334"/>
    <x v="0"/>
    <x v="4"/>
    <x v="6"/>
    <x v="21"/>
    <x v="6"/>
    <n v="0"/>
    <x v="1"/>
  </r>
  <r>
    <x v="34"/>
    <x v="1"/>
    <x v="334"/>
    <x v="0"/>
    <x v="4"/>
    <x v="6"/>
    <x v="21"/>
    <x v="7"/>
    <n v="0"/>
    <x v="1"/>
  </r>
  <r>
    <x v="34"/>
    <x v="1"/>
    <x v="334"/>
    <x v="0"/>
    <x v="4"/>
    <x v="6"/>
    <x v="21"/>
    <x v="8"/>
    <n v="0"/>
    <x v="1"/>
  </r>
  <r>
    <x v="34"/>
    <x v="1"/>
    <x v="334"/>
    <x v="0"/>
    <x v="4"/>
    <x v="6"/>
    <x v="21"/>
    <x v="9"/>
    <n v="0"/>
    <x v="1"/>
  </r>
  <r>
    <x v="34"/>
    <x v="1"/>
    <x v="334"/>
    <x v="0"/>
    <x v="4"/>
    <x v="6"/>
    <x v="21"/>
    <x v="10"/>
    <n v="0"/>
    <x v="1"/>
  </r>
  <r>
    <x v="34"/>
    <x v="1"/>
    <x v="334"/>
    <x v="0"/>
    <x v="4"/>
    <x v="6"/>
    <x v="21"/>
    <x v="12"/>
    <n v="0"/>
    <x v="1"/>
  </r>
  <r>
    <x v="30"/>
    <x v="1"/>
    <x v="335"/>
    <x v="0"/>
    <x v="4"/>
    <x v="43"/>
    <x v="0"/>
    <x v="0"/>
    <n v="0"/>
    <x v="1"/>
  </r>
  <r>
    <x v="30"/>
    <x v="1"/>
    <x v="335"/>
    <x v="0"/>
    <x v="4"/>
    <x v="43"/>
    <x v="0"/>
    <x v="1"/>
    <n v="0"/>
    <x v="1"/>
  </r>
  <r>
    <x v="30"/>
    <x v="1"/>
    <x v="335"/>
    <x v="0"/>
    <x v="4"/>
    <x v="43"/>
    <x v="0"/>
    <x v="2"/>
    <n v="0"/>
    <x v="1"/>
  </r>
  <r>
    <x v="30"/>
    <x v="1"/>
    <x v="335"/>
    <x v="0"/>
    <x v="4"/>
    <x v="43"/>
    <x v="0"/>
    <x v="3"/>
    <n v="0"/>
    <x v="1"/>
  </r>
  <r>
    <x v="30"/>
    <x v="1"/>
    <x v="335"/>
    <x v="0"/>
    <x v="4"/>
    <x v="43"/>
    <x v="0"/>
    <x v="4"/>
    <n v="350.46"/>
    <x v="1"/>
  </r>
  <r>
    <x v="30"/>
    <x v="1"/>
    <x v="335"/>
    <x v="0"/>
    <x v="4"/>
    <x v="43"/>
    <x v="0"/>
    <x v="5"/>
    <n v="0"/>
    <x v="1"/>
  </r>
  <r>
    <x v="30"/>
    <x v="1"/>
    <x v="335"/>
    <x v="0"/>
    <x v="4"/>
    <x v="43"/>
    <x v="0"/>
    <x v="6"/>
    <n v="0"/>
    <x v="1"/>
  </r>
  <r>
    <x v="30"/>
    <x v="1"/>
    <x v="335"/>
    <x v="0"/>
    <x v="4"/>
    <x v="43"/>
    <x v="0"/>
    <x v="7"/>
    <n v="0"/>
    <x v="1"/>
  </r>
  <r>
    <x v="30"/>
    <x v="1"/>
    <x v="335"/>
    <x v="0"/>
    <x v="4"/>
    <x v="43"/>
    <x v="0"/>
    <x v="8"/>
    <n v="0"/>
    <x v="1"/>
  </r>
  <r>
    <x v="30"/>
    <x v="1"/>
    <x v="335"/>
    <x v="0"/>
    <x v="4"/>
    <x v="43"/>
    <x v="0"/>
    <x v="9"/>
    <n v="0"/>
    <x v="1"/>
  </r>
  <r>
    <x v="30"/>
    <x v="1"/>
    <x v="335"/>
    <x v="0"/>
    <x v="4"/>
    <x v="43"/>
    <x v="0"/>
    <x v="10"/>
    <n v="0"/>
    <x v="1"/>
  </r>
  <r>
    <x v="30"/>
    <x v="1"/>
    <x v="335"/>
    <x v="0"/>
    <x v="4"/>
    <x v="43"/>
    <x v="0"/>
    <x v="12"/>
    <n v="0"/>
    <x v="1"/>
  </r>
  <r>
    <x v="30"/>
    <x v="1"/>
    <x v="336"/>
    <x v="0"/>
    <x v="4"/>
    <x v="33"/>
    <x v="9"/>
    <x v="0"/>
    <n v="0"/>
    <x v="1"/>
  </r>
  <r>
    <x v="30"/>
    <x v="1"/>
    <x v="336"/>
    <x v="0"/>
    <x v="4"/>
    <x v="33"/>
    <x v="9"/>
    <x v="1"/>
    <n v="0"/>
    <x v="1"/>
  </r>
  <r>
    <x v="30"/>
    <x v="1"/>
    <x v="336"/>
    <x v="0"/>
    <x v="4"/>
    <x v="33"/>
    <x v="9"/>
    <x v="2"/>
    <n v="0"/>
    <x v="1"/>
  </r>
  <r>
    <x v="30"/>
    <x v="1"/>
    <x v="336"/>
    <x v="0"/>
    <x v="4"/>
    <x v="33"/>
    <x v="9"/>
    <x v="3"/>
    <n v="0"/>
    <x v="1"/>
  </r>
  <r>
    <x v="30"/>
    <x v="1"/>
    <x v="336"/>
    <x v="0"/>
    <x v="4"/>
    <x v="33"/>
    <x v="9"/>
    <x v="4"/>
    <n v="388.06"/>
    <x v="1"/>
  </r>
  <r>
    <x v="30"/>
    <x v="1"/>
    <x v="336"/>
    <x v="0"/>
    <x v="4"/>
    <x v="33"/>
    <x v="9"/>
    <x v="5"/>
    <n v="0"/>
    <x v="1"/>
  </r>
  <r>
    <x v="30"/>
    <x v="1"/>
    <x v="336"/>
    <x v="0"/>
    <x v="4"/>
    <x v="33"/>
    <x v="9"/>
    <x v="6"/>
    <n v="0"/>
    <x v="1"/>
  </r>
  <r>
    <x v="30"/>
    <x v="1"/>
    <x v="336"/>
    <x v="0"/>
    <x v="4"/>
    <x v="33"/>
    <x v="9"/>
    <x v="7"/>
    <n v="0"/>
    <x v="1"/>
  </r>
  <r>
    <x v="30"/>
    <x v="1"/>
    <x v="336"/>
    <x v="0"/>
    <x v="4"/>
    <x v="33"/>
    <x v="9"/>
    <x v="8"/>
    <n v="0"/>
    <x v="1"/>
  </r>
  <r>
    <x v="30"/>
    <x v="1"/>
    <x v="336"/>
    <x v="0"/>
    <x v="4"/>
    <x v="33"/>
    <x v="9"/>
    <x v="9"/>
    <n v="0"/>
    <x v="1"/>
  </r>
  <r>
    <x v="30"/>
    <x v="1"/>
    <x v="336"/>
    <x v="0"/>
    <x v="4"/>
    <x v="33"/>
    <x v="9"/>
    <x v="10"/>
    <n v="0"/>
    <x v="1"/>
  </r>
  <r>
    <x v="30"/>
    <x v="1"/>
    <x v="336"/>
    <x v="0"/>
    <x v="4"/>
    <x v="33"/>
    <x v="9"/>
    <x v="12"/>
    <n v="0"/>
    <x v="1"/>
  </r>
  <r>
    <x v="30"/>
    <x v="1"/>
    <x v="337"/>
    <x v="0"/>
    <x v="4"/>
    <x v="33"/>
    <x v="21"/>
    <x v="0"/>
    <n v="0"/>
    <x v="1"/>
  </r>
  <r>
    <x v="30"/>
    <x v="1"/>
    <x v="337"/>
    <x v="0"/>
    <x v="4"/>
    <x v="33"/>
    <x v="21"/>
    <x v="1"/>
    <n v="0"/>
    <x v="1"/>
  </r>
  <r>
    <x v="30"/>
    <x v="1"/>
    <x v="337"/>
    <x v="0"/>
    <x v="4"/>
    <x v="33"/>
    <x v="21"/>
    <x v="2"/>
    <n v="0"/>
    <x v="1"/>
  </r>
  <r>
    <x v="30"/>
    <x v="1"/>
    <x v="337"/>
    <x v="0"/>
    <x v="4"/>
    <x v="33"/>
    <x v="21"/>
    <x v="3"/>
    <n v="0"/>
    <x v="1"/>
  </r>
  <r>
    <x v="30"/>
    <x v="1"/>
    <x v="337"/>
    <x v="0"/>
    <x v="4"/>
    <x v="33"/>
    <x v="21"/>
    <x v="4"/>
    <n v="43"/>
    <x v="1"/>
  </r>
  <r>
    <x v="30"/>
    <x v="1"/>
    <x v="337"/>
    <x v="0"/>
    <x v="4"/>
    <x v="33"/>
    <x v="21"/>
    <x v="5"/>
    <n v="0"/>
    <x v="1"/>
  </r>
  <r>
    <x v="30"/>
    <x v="1"/>
    <x v="337"/>
    <x v="0"/>
    <x v="4"/>
    <x v="33"/>
    <x v="21"/>
    <x v="6"/>
    <n v="0"/>
    <x v="1"/>
  </r>
  <r>
    <x v="30"/>
    <x v="1"/>
    <x v="337"/>
    <x v="0"/>
    <x v="4"/>
    <x v="33"/>
    <x v="21"/>
    <x v="7"/>
    <n v="0"/>
    <x v="1"/>
  </r>
  <r>
    <x v="30"/>
    <x v="1"/>
    <x v="337"/>
    <x v="0"/>
    <x v="4"/>
    <x v="33"/>
    <x v="21"/>
    <x v="8"/>
    <n v="0"/>
    <x v="1"/>
  </r>
  <r>
    <x v="30"/>
    <x v="1"/>
    <x v="337"/>
    <x v="0"/>
    <x v="4"/>
    <x v="33"/>
    <x v="21"/>
    <x v="9"/>
    <n v="0"/>
    <x v="1"/>
  </r>
  <r>
    <x v="30"/>
    <x v="1"/>
    <x v="337"/>
    <x v="0"/>
    <x v="4"/>
    <x v="33"/>
    <x v="21"/>
    <x v="10"/>
    <n v="0"/>
    <x v="1"/>
  </r>
  <r>
    <x v="30"/>
    <x v="1"/>
    <x v="337"/>
    <x v="0"/>
    <x v="4"/>
    <x v="33"/>
    <x v="21"/>
    <x v="12"/>
    <n v="0"/>
    <x v="1"/>
  </r>
  <r>
    <x v="30"/>
    <x v="1"/>
    <x v="338"/>
    <x v="0"/>
    <x v="4"/>
    <x v="6"/>
    <x v="11"/>
    <x v="0"/>
    <n v="0"/>
    <x v="1"/>
  </r>
  <r>
    <x v="30"/>
    <x v="1"/>
    <x v="338"/>
    <x v="0"/>
    <x v="4"/>
    <x v="6"/>
    <x v="11"/>
    <x v="1"/>
    <n v="0"/>
    <x v="1"/>
  </r>
  <r>
    <x v="30"/>
    <x v="1"/>
    <x v="338"/>
    <x v="0"/>
    <x v="4"/>
    <x v="6"/>
    <x v="11"/>
    <x v="2"/>
    <n v="0"/>
    <x v="1"/>
  </r>
  <r>
    <x v="30"/>
    <x v="1"/>
    <x v="338"/>
    <x v="0"/>
    <x v="4"/>
    <x v="6"/>
    <x v="11"/>
    <x v="3"/>
    <n v="0"/>
    <x v="1"/>
  </r>
  <r>
    <x v="30"/>
    <x v="1"/>
    <x v="338"/>
    <x v="0"/>
    <x v="4"/>
    <x v="6"/>
    <x v="11"/>
    <x v="4"/>
    <n v="0"/>
    <x v="1"/>
  </r>
  <r>
    <x v="30"/>
    <x v="1"/>
    <x v="338"/>
    <x v="0"/>
    <x v="4"/>
    <x v="6"/>
    <x v="11"/>
    <x v="5"/>
    <n v="199.75"/>
    <x v="1"/>
  </r>
  <r>
    <x v="30"/>
    <x v="1"/>
    <x v="338"/>
    <x v="0"/>
    <x v="4"/>
    <x v="6"/>
    <x v="11"/>
    <x v="6"/>
    <n v="0"/>
    <x v="1"/>
  </r>
  <r>
    <x v="30"/>
    <x v="1"/>
    <x v="338"/>
    <x v="0"/>
    <x v="4"/>
    <x v="6"/>
    <x v="11"/>
    <x v="7"/>
    <n v="0"/>
    <x v="1"/>
  </r>
  <r>
    <x v="30"/>
    <x v="1"/>
    <x v="338"/>
    <x v="0"/>
    <x v="4"/>
    <x v="6"/>
    <x v="11"/>
    <x v="8"/>
    <n v="0"/>
    <x v="1"/>
  </r>
  <r>
    <x v="30"/>
    <x v="1"/>
    <x v="338"/>
    <x v="0"/>
    <x v="4"/>
    <x v="6"/>
    <x v="11"/>
    <x v="9"/>
    <n v="0"/>
    <x v="1"/>
  </r>
  <r>
    <x v="30"/>
    <x v="1"/>
    <x v="338"/>
    <x v="0"/>
    <x v="4"/>
    <x v="6"/>
    <x v="11"/>
    <x v="10"/>
    <n v="0"/>
    <x v="1"/>
  </r>
  <r>
    <x v="30"/>
    <x v="1"/>
    <x v="338"/>
    <x v="0"/>
    <x v="4"/>
    <x v="6"/>
    <x v="11"/>
    <x v="12"/>
    <n v="0"/>
    <x v="1"/>
  </r>
  <r>
    <x v="30"/>
    <x v="1"/>
    <x v="339"/>
    <x v="0"/>
    <x v="4"/>
    <x v="33"/>
    <x v="9"/>
    <x v="0"/>
    <n v="0"/>
    <x v="1"/>
  </r>
  <r>
    <x v="30"/>
    <x v="1"/>
    <x v="339"/>
    <x v="0"/>
    <x v="4"/>
    <x v="33"/>
    <x v="9"/>
    <x v="1"/>
    <n v="0"/>
    <x v="1"/>
  </r>
  <r>
    <x v="30"/>
    <x v="1"/>
    <x v="339"/>
    <x v="0"/>
    <x v="4"/>
    <x v="33"/>
    <x v="9"/>
    <x v="2"/>
    <n v="0"/>
    <x v="1"/>
  </r>
  <r>
    <x v="30"/>
    <x v="1"/>
    <x v="339"/>
    <x v="0"/>
    <x v="4"/>
    <x v="33"/>
    <x v="9"/>
    <x v="3"/>
    <n v="0"/>
    <x v="1"/>
  </r>
  <r>
    <x v="30"/>
    <x v="1"/>
    <x v="339"/>
    <x v="0"/>
    <x v="4"/>
    <x v="33"/>
    <x v="9"/>
    <x v="4"/>
    <n v="0"/>
    <x v="1"/>
  </r>
  <r>
    <x v="30"/>
    <x v="1"/>
    <x v="339"/>
    <x v="0"/>
    <x v="4"/>
    <x v="33"/>
    <x v="9"/>
    <x v="5"/>
    <n v="360.4"/>
    <x v="1"/>
  </r>
  <r>
    <x v="30"/>
    <x v="1"/>
    <x v="339"/>
    <x v="0"/>
    <x v="4"/>
    <x v="33"/>
    <x v="9"/>
    <x v="6"/>
    <n v="0"/>
    <x v="1"/>
  </r>
  <r>
    <x v="30"/>
    <x v="1"/>
    <x v="339"/>
    <x v="0"/>
    <x v="4"/>
    <x v="33"/>
    <x v="9"/>
    <x v="7"/>
    <n v="0"/>
    <x v="1"/>
  </r>
  <r>
    <x v="30"/>
    <x v="1"/>
    <x v="339"/>
    <x v="0"/>
    <x v="4"/>
    <x v="33"/>
    <x v="9"/>
    <x v="8"/>
    <n v="0"/>
    <x v="1"/>
  </r>
  <r>
    <x v="30"/>
    <x v="1"/>
    <x v="339"/>
    <x v="0"/>
    <x v="4"/>
    <x v="33"/>
    <x v="9"/>
    <x v="9"/>
    <n v="0"/>
    <x v="1"/>
  </r>
  <r>
    <x v="30"/>
    <x v="1"/>
    <x v="339"/>
    <x v="0"/>
    <x v="4"/>
    <x v="33"/>
    <x v="9"/>
    <x v="10"/>
    <n v="0"/>
    <x v="1"/>
  </r>
  <r>
    <x v="30"/>
    <x v="1"/>
    <x v="339"/>
    <x v="0"/>
    <x v="4"/>
    <x v="33"/>
    <x v="9"/>
    <x v="12"/>
    <n v="0"/>
    <x v="1"/>
  </r>
  <r>
    <x v="32"/>
    <x v="1"/>
    <x v="326"/>
    <x v="0"/>
    <x v="4"/>
    <x v="6"/>
    <x v="0"/>
    <x v="0"/>
    <n v="0"/>
    <x v="1"/>
  </r>
  <r>
    <x v="32"/>
    <x v="1"/>
    <x v="326"/>
    <x v="0"/>
    <x v="4"/>
    <x v="6"/>
    <x v="0"/>
    <x v="1"/>
    <n v="0"/>
    <x v="1"/>
  </r>
  <r>
    <x v="32"/>
    <x v="1"/>
    <x v="326"/>
    <x v="0"/>
    <x v="4"/>
    <x v="6"/>
    <x v="0"/>
    <x v="2"/>
    <n v="0"/>
    <x v="1"/>
  </r>
  <r>
    <x v="32"/>
    <x v="1"/>
    <x v="326"/>
    <x v="0"/>
    <x v="4"/>
    <x v="6"/>
    <x v="0"/>
    <x v="3"/>
    <n v="0"/>
    <x v="1"/>
  </r>
  <r>
    <x v="32"/>
    <x v="1"/>
    <x v="326"/>
    <x v="0"/>
    <x v="4"/>
    <x v="6"/>
    <x v="0"/>
    <x v="4"/>
    <n v="0"/>
    <x v="1"/>
  </r>
  <r>
    <x v="32"/>
    <x v="1"/>
    <x v="326"/>
    <x v="0"/>
    <x v="4"/>
    <x v="6"/>
    <x v="0"/>
    <x v="5"/>
    <n v="94.24"/>
    <x v="1"/>
  </r>
  <r>
    <x v="32"/>
    <x v="1"/>
    <x v="326"/>
    <x v="0"/>
    <x v="4"/>
    <x v="6"/>
    <x v="0"/>
    <x v="6"/>
    <n v="0"/>
    <x v="1"/>
  </r>
  <r>
    <x v="32"/>
    <x v="1"/>
    <x v="326"/>
    <x v="0"/>
    <x v="4"/>
    <x v="6"/>
    <x v="0"/>
    <x v="7"/>
    <n v="0"/>
    <x v="1"/>
  </r>
  <r>
    <x v="32"/>
    <x v="1"/>
    <x v="326"/>
    <x v="0"/>
    <x v="4"/>
    <x v="6"/>
    <x v="0"/>
    <x v="8"/>
    <n v="0"/>
    <x v="1"/>
  </r>
  <r>
    <x v="32"/>
    <x v="1"/>
    <x v="326"/>
    <x v="0"/>
    <x v="4"/>
    <x v="6"/>
    <x v="0"/>
    <x v="9"/>
    <n v="0"/>
    <x v="1"/>
  </r>
  <r>
    <x v="32"/>
    <x v="1"/>
    <x v="326"/>
    <x v="0"/>
    <x v="4"/>
    <x v="6"/>
    <x v="0"/>
    <x v="10"/>
    <n v="0"/>
    <x v="1"/>
  </r>
  <r>
    <x v="32"/>
    <x v="1"/>
    <x v="326"/>
    <x v="0"/>
    <x v="4"/>
    <x v="6"/>
    <x v="0"/>
    <x v="12"/>
    <n v="0"/>
    <x v="1"/>
  </r>
  <r>
    <x v="3"/>
    <x v="1"/>
    <x v="340"/>
    <x v="0"/>
    <x v="4"/>
    <x v="6"/>
    <x v="11"/>
    <x v="0"/>
    <n v="0"/>
    <x v="1"/>
  </r>
  <r>
    <x v="3"/>
    <x v="1"/>
    <x v="340"/>
    <x v="0"/>
    <x v="4"/>
    <x v="6"/>
    <x v="11"/>
    <x v="1"/>
    <n v="0"/>
    <x v="1"/>
  </r>
  <r>
    <x v="3"/>
    <x v="1"/>
    <x v="340"/>
    <x v="0"/>
    <x v="4"/>
    <x v="6"/>
    <x v="11"/>
    <x v="2"/>
    <n v="0"/>
    <x v="1"/>
  </r>
  <r>
    <x v="3"/>
    <x v="1"/>
    <x v="340"/>
    <x v="0"/>
    <x v="4"/>
    <x v="6"/>
    <x v="11"/>
    <x v="3"/>
    <n v="0"/>
    <x v="1"/>
  </r>
  <r>
    <x v="3"/>
    <x v="1"/>
    <x v="340"/>
    <x v="0"/>
    <x v="4"/>
    <x v="6"/>
    <x v="11"/>
    <x v="4"/>
    <n v="0"/>
    <x v="1"/>
  </r>
  <r>
    <x v="3"/>
    <x v="1"/>
    <x v="340"/>
    <x v="0"/>
    <x v="4"/>
    <x v="6"/>
    <x v="11"/>
    <x v="5"/>
    <n v="305.76"/>
    <x v="1"/>
  </r>
  <r>
    <x v="3"/>
    <x v="1"/>
    <x v="340"/>
    <x v="0"/>
    <x v="4"/>
    <x v="6"/>
    <x v="11"/>
    <x v="6"/>
    <n v="0"/>
    <x v="1"/>
  </r>
  <r>
    <x v="3"/>
    <x v="1"/>
    <x v="340"/>
    <x v="0"/>
    <x v="4"/>
    <x v="6"/>
    <x v="11"/>
    <x v="7"/>
    <n v="0"/>
    <x v="1"/>
  </r>
  <r>
    <x v="3"/>
    <x v="1"/>
    <x v="340"/>
    <x v="0"/>
    <x v="4"/>
    <x v="6"/>
    <x v="11"/>
    <x v="8"/>
    <n v="0"/>
    <x v="1"/>
  </r>
  <r>
    <x v="3"/>
    <x v="1"/>
    <x v="340"/>
    <x v="0"/>
    <x v="4"/>
    <x v="6"/>
    <x v="11"/>
    <x v="9"/>
    <n v="0"/>
    <x v="1"/>
  </r>
  <r>
    <x v="3"/>
    <x v="1"/>
    <x v="340"/>
    <x v="0"/>
    <x v="4"/>
    <x v="6"/>
    <x v="11"/>
    <x v="10"/>
    <n v="0"/>
    <x v="1"/>
  </r>
  <r>
    <x v="3"/>
    <x v="1"/>
    <x v="340"/>
    <x v="0"/>
    <x v="4"/>
    <x v="6"/>
    <x v="11"/>
    <x v="12"/>
    <n v="0"/>
    <x v="1"/>
  </r>
  <r>
    <x v="30"/>
    <x v="1"/>
    <x v="341"/>
    <x v="0"/>
    <x v="4"/>
    <x v="6"/>
    <x v="11"/>
    <x v="0"/>
    <n v="0"/>
    <x v="1"/>
  </r>
  <r>
    <x v="30"/>
    <x v="1"/>
    <x v="341"/>
    <x v="0"/>
    <x v="4"/>
    <x v="6"/>
    <x v="11"/>
    <x v="1"/>
    <n v="0"/>
    <x v="1"/>
  </r>
  <r>
    <x v="30"/>
    <x v="1"/>
    <x v="341"/>
    <x v="0"/>
    <x v="4"/>
    <x v="6"/>
    <x v="11"/>
    <x v="2"/>
    <n v="0"/>
    <x v="1"/>
  </r>
  <r>
    <x v="30"/>
    <x v="1"/>
    <x v="341"/>
    <x v="0"/>
    <x v="4"/>
    <x v="6"/>
    <x v="11"/>
    <x v="3"/>
    <n v="0"/>
    <x v="1"/>
  </r>
  <r>
    <x v="30"/>
    <x v="1"/>
    <x v="341"/>
    <x v="0"/>
    <x v="4"/>
    <x v="6"/>
    <x v="11"/>
    <x v="4"/>
    <n v="0"/>
    <x v="1"/>
  </r>
  <r>
    <x v="30"/>
    <x v="1"/>
    <x v="341"/>
    <x v="0"/>
    <x v="4"/>
    <x v="6"/>
    <x v="11"/>
    <x v="5"/>
    <n v="141.15797746921666"/>
    <x v="1"/>
  </r>
  <r>
    <x v="30"/>
    <x v="1"/>
    <x v="341"/>
    <x v="0"/>
    <x v="4"/>
    <x v="6"/>
    <x v="11"/>
    <x v="6"/>
    <n v="0"/>
    <x v="1"/>
  </r>
  <r>
    <x v="30"/>
    <x v="1"/>
    <x v="341"/>
    <x v="0"/>
    <x v="4"/>
    <x v="6"/>
    <x v="11"/>
    <x v="7"/>
    <n v="0"/>
    <x v="1"/>
  </r>
  <r>
    <x v="30"/>
    <x v="1"/>
    <x v="341"/>
    <x v="0"/>
    <x v="4"/>
    <x v="6"/>
    <x v="11"/>
    <x v="8"/>
    <n v="0"/>
    <x v="1"/>
  </r>
  <r>
    <x v="30"/>
    <x v="1"/>
    <x v="341"/>
    <x v="0"/>
    <x v="4"/>
    <x v="6"/>
    <x v="11"/>
    <x v="9"/>
    <n v="0"/>
    <x v="1"/>
  </r>
  <r>
    <x v="30"/>
    <x v="1"/>
    <x v="341"/>
    <x v="0"/>
    <x v="4"/>
    <x v="6"/>
    <x v="11"/>
    <x v="10"/>
    <n v="0"/>
    <x v="1"/>
  </r>
  <r>
    <x v="30"/>
    <x v="1"/>
    <x v="341"/>
    <x v="0"/>
    <x v="4"/>
    <x v="6"/>
    <x v="11"/>
    <x v="12"/>
    <n v="0"/>
    <x v="1"/>
  </r>
  <r>
    <x v="30"/>
    <x v="1"/>
    <x v="342"/>
    <x v="0"/>
    <x v="4"/>
    <x v="33"/>
    <x v="9"/>
    <x v="0"/>
    <n v="0"/>
    <x v="1"/>
  </r>
  <r>
    <x v="30"/>
    <x v="1"/>
    <x v="342"/>
    <x v="0"/>
    <x v="4"/>
    <x v="33"/>
    <x v="9"/>
    <x v="1"/>
    <n v="0"/>
    <x v="1"/>
  </r>
  <r>
    <x v="30"/>
    <x v="1"/>
    <x v="342"/>
    <x v="0"/>
    <x v="4"/>
    <x v="33"/>
    <x v="9"/>
    <x v="2"/>
    <n v="0"/>
    <x v="1"/>
  </r>
  <r>
    <x v="30"/>
    <x v="1"/>
    <x v="342"/>
    <x v="0"/>
    <x v="4"/>
    <x v="33"/>
    <x v="9"/>
    <x v="3"/>
    <n v="0"/>
    <x v="1"/>
  </r>
  <r>
    <x v="30"/>
    <x v="1"/>
    <x v="342"/>
    <x v="0"/>
    <x v="4"/>
    <x v="33"/>
    <x v="9"/>
    <x v="4"/>
    <n v="0"/>
    <x v="1"/>
  </r>
  <r>
    <x v="30"/>
    <x v="1"/>
    <x v="342"/>
    <x v="0"/>
    <x v="4"/>
    <x v="33"/>
    <x v="9"/>
    <x v="5"/>
    <n v="88.998166099030655"/>
    <x v="1"/>
  </r>
  <r>
    <x v="30"/>
    <x v="1"/>
    <x v="342"/>
    <x v="0"/>
    <x v="4"/>
    <x v="33"/>
    <x v="9"/>
    <x v="6"/>
    <n v="0"/>
    <x v="1"/>
  </r>
  <r>
    <x v="30"/>
    <x v="1"/>
    <x v="342"/>
    <x v="0"/>
    <x v="4"/>
    <x v="33"/>
    <x v="9"/>
    <x v="7"/>
    <n v="0"/>
    <x v="1"/>
  </r>
  <r>
    <x v="30"/>
    <x v="1"/>
    <x v="342"/>
    <x v="0"/>
    <x v="4"/>
    <x v="33"/>
    <x v="9"/>
    <x v="8"/>
    <n v="0"/>
    <x v="1"/>
  </r>
  <r>
    <x v="30"/>
    <x v="1"/>
    <x v="342"/>
    <x v="0"/>
    <x v="4"/>
    <x v="33"/>
    <x v="9"/>
    <x v="9"/>
    <n v="0"/>
    <x v="1"/>
  </r>
  <r>
    <x v="30"/>
    <x v="1"/>
    <x v="342"/>
    <x v="0"/>
    <x v="4"/>
    <x v="33"/>
    <x v="9"/>
    <x v="10"/>
    <n v="0"/>
    <x v="1"/>
  </r>
  <r>
    <x v="30"/>
    <x v="1"/>
    <x v="342"/>
    <x v="0"/>
    <x v="4"/>
    <x v="33"/>
    <x v="9"/>
    <x v="12"/>
    <n v="0"/>
    <x v="1"/>
  </r>
  <r>
    <x v="30"/>
    <x v="1"/>
    <x v="343"/>
    <x v="0"/>
    <x v="4"/>
    <x v="33"/>
    <x v="11"/>
    <x v="0"/>
    <n v="0"/>
    <x v="1"/>
  </r>
  <r>
    <x v="30"/>
    <x v="1"/>
    <x v="343"/>
    <x v="0"/>
    <x v="4"/>
    <x v="33"/>
    <x v="11"/>
    <x v="1"/>
    <n v="0"/>
    <x v="1"/>
  </r>
  <r>
    <x v="30"/>
    <x v="1"/>
    <x v="343"/>
    <x v="0"/>
    <x v="4"/>
    <x v="33"/>
    <x v="11"/>
    <x v="2"/>
    <n v="0"/>
    <x v="1"/>
  </r>
  <r>
    <x v="30"/>
    <x v="1"/>
    <x v="343"/>
    <x v="0"/>
    <x v="4"/>
    <x v="33"/>
    <x v="11"/>
    <x v="3"/>
    <n v="0"/>
    <x v="1"/>
  </r>
  <r>
    <x v="30"/>
    <x v="1"/>
    <x v="343"/>
    <x v="0"/>
    <x v="4"/>
    <x v="33"/>
    <x v="11"/>
    <x v="4"/>
    <n v="0"/>
    <x v="1"/>
  </r>
  <r>
    <x v="30"/>
    <x v="1"/>
    <x v="343"/>
    <x v="0"/>
    <x v="4"/>
    <x v="33"/>
    <x v="11"/>
    <x v="5"/>
    <n v="66.12"/>
    <x v="1"/>
  </r>
  <r>
    <x v="30"/>
    <x v="1"/>
    <x v="343"/>
    <x v="0"/>
    <x v="4"/>
    <x v="33"/>
    <x v="11"/>
    <x v="6"/>
    <n v="0"/>
    <x v="1"/>
  </r>
  <r>
    <x v="30"/>
    <x v="1"/>
    <x v="343"/>
    <x v="0"/>
    <x v="4"/>
    <x v="33"/>
    <x v="11"/>
    <x v="7"/>
    <n v="0"/>
    <x v="1"/>
  </r>
  <r>
    <x v="30"/>
    <x v="1"/>
    <x v="343"/>
    <x v="0"/>
    <x v="4"/>
    <x v="33"/>
    <x v="11"/>
    <x v="8"/>
    <n v="0"/>
    <x v="1"/>
  </r>
  <r>
    <x v="30"/>
    <x v="1"/>
    <x v="343"/>
    <x v="0"/>
    <x v="4"/>
    <x v="33"/>
    <x v="11"/>
    <x v="9"/>
    <n v="0"/>
    <x v="1"/>
  </r>
  <r>
    <x v="30"/>
    <x v="1"/>
    <x v="343"/>
    <x v="0"/>
    <x v="4"/>
    <x v="33"/>
    <x v="11"/>
    <x v="10"/>
    <n v="0"/>
    <x v="1"/>
  </r>
  <r>
    <x v="30"/>
    <x v="1"/>
    <x v="343"/>
    <x v="0"/>
    <x v="4"/>
    <x v="33"/>
    <x v="11"/>
    <x v="12"/>
    <n v="0"/>
    <x v="1"/>
  </r>
  <r>
    <x v="30"/>
    <x v="1"/>
    <x v="336"/>
    <x v="0"/>
    <x v="4"/>
    <x v="33"/>
    <x v="0"/>
    <x v="0"/>
    <n v="0"/>
    <x v="1"/>
  </r>
  <r>
    <x v="30"/>
    <x v="1"/>
    <x v="336"/>
    <x v="0"/>
    <x v="4"/>
    <x v="33"/>
    <x v="0"/>
    <x v="1"/>
    <n v="0"/>
    <x v="1"/>
  </r>
  <r>
    <x v="30"/>
    <x v="1"/>
    <x v="336"/>
    <x v="0"/>
    <x v="4"/>
    <x v="33"/>
    <x v="0"/>
    <x v="2"/>
    <n v="0"/>
    <x v="1"/>
  </r>
  <r>
    <x v="30"/>
    <x v="1"/>
    <x v="336"/>
    <x v="0"/>
    <x v="4"/>
    <x v="33"/>
    <x v="0"/>
    <x v="3"/>
    <n v="0"/>
    <x v="1"/>
  </r>
  <r>
    <x v="30"/>
    <x v="1"/>
    <x v="336"/>
    <x v="0"/>
    <x v="4"/>
    <x v="33"/>
    <x v="0"/>
    <x v="4"/>
    <n v="0"/>
    <x v="1"/>
  </r>
  <r>
    <x v="30"/>
    <x v="1"/>
    <x v="336"/>
    <x v="0"/>
    <x v="4"/>
    <x v="33"/>
    <x v="0"/>
    <x v="5"/>
    <n v="0"/>
    <x v="1"/>
  </r>
  <r>
    <x v="30"/>
    <x v="1"/>
    <x v="336"/>
    <x v="0"/>
    <x v="4"/>
    <x v="33"/>
    <x v="0"/>
    <x v="6"/>
    <n v="2195"/>
    <x v="1"/>
  </r>
  <r>
    <x v="30"/>
    <x v="1"/>
    <x v="336"/>
    <x v="0"/>
    <x v="4"/>
    <x v="33"/>
    <x v="0"/>
    <x v="7"/>
    <n v="0"/>
    <x v="1"/>
  </r>
  <r>
    <x v="30"/>
    <x v="1"/>
    <x v="336"/>
    <x v="0"/>
    <x v="4"/>
    <x v="33"/>
    <x v="0"/>
    <x v="8"/>
    <n v="0"/>
    <x v="1"/>
  </r>
  <r>
    <x v="30"/>
    <x v="1"/>
    <x v="336"/>
    <x v="0"/>
    <x v="4"/>
    <x v="33"/>
    <x v="0"/>
    <x v="9"/>
    <n v="0"/>
    <x v="1"/>
  </r>
  <r>
    <x v="30"/>
    <x v="1"/>
    <x v="336"/>
    <x v="0"/>
    <x v="4"/>
    <x v="33"/>
    <x v="0"/>
    <x v="10"/>
    <n v="0"/>
    <x v="1"/>
  </r>
  <r>
    <x v="30"/>
    <x v="1"/>
    <x v="336"/>
    <x v="0"/>
    <x v="4"/>
    <x v="33"/>
    <x v="0"/>
    <x v="12"/>
    <n v="0"/>
    <x v="1"/>
  </r>
  <r>
    <x v="30"/>
    <x v="1"/>
    <x v="344"/>
    <x v="0"/>
    <x v="4"/>
    <x v="33"/>
    <x v="0"/>
    <x v="0"/>
    <n v="0"/>
    <x v="1"/>
  </r>
  <r>
    <x v="30"/>
    <x v="1"/>
    <x v="344"/>
    <x v="0"/>
    <x v="4"/>
    <x v="33"/>
    <x v="0"/>
    <x v="1"/>
    <n v="0"/>
    <x v="1"/>
  </r>
  <r>
    <x v="30"/>
    <x v="1"/>
    <x v="344"/>
    <x v="0"/>
    <x v="4"/>
    <x v="33"/>
    <x v="0"/>
    <x v="2"/>
    <n v="0"/>
    <x v="1"/>
  </r>
  <r>
    <x v="30"/>
    <x v="1"/>
    <x v="344"/>
    <x v="0"/>
    <x v="4"/>
    <x v="33"/>
    <x v="0"/>
    <x v="3"/>
    <n v="0"/>
    <x v="1"/>
  </r>
  <r>
    <x v="30"/>
    <x v="1"/>
    <x v="344"/>
    <x v="0"/>
    <x v="4"/>
    <x v="33"/>
    <x v="0"/>
    <x v="4"/>
    <n v="0"/>
    <x v="1"/>
  </r>
  <r>
    <x v="30"/>
    <x v="1"/>
    <x v="344"/>
    <x v="0"/>
    <x v="4"/>
    <x v="33"/>
    <x v="0"/>
    <x v="5"/>
    <n v="0"/>
    <x v="1"/>
  </r>
  <r>
    <x v="30"/>
    <x v="1"/>
    <x v="344"/>
    <x v="0"/>
    <x v="4"/>
    <x v="33"/>
    <x v="0"/>
    <x v="6"/>
    <n v="0"/>
    <x v="1"/>
  </r>
  <r>
    <x v="30"/>
    <x v="1"/>
    <x v="344"/>
    <x v="0"/>
    <x v="4"/>
    <x v="33"/>
    <x v="0"/>
    <x v="7"/>
    <n v="87"/>
    <x v="1"/>
  </r>
  <r>
    <x v="30"/>
    <x v="1"/>
    <x v="344"/>
    <x v="0"/>
    <x v="4"/>
    <x v="33"/>
    <x v="0"/>
    <x v="8"/>
    <n v="0"/>
    <x v="1"/>
  </r>
  <r>
    <x v="30"/>
    <x v="1"/>
    <x v="344"/>
    <x v="0"/>
    <x v="4"/>
    <x v="33"/>
    <x v="0"/>
    <x v="9"/>
    <n v="0"/>
    <x v="1"/>
  </r>
  <r>
    <x v="30"/>
    <x v="1"/>
    <x v="344"/>
    <x v="0"/>
    <x v="4"/>
    <x v="33"/>
    <x v="0"/>
    <x v="10"/>
    <n v="0"/>
    <x v="1"/>
  </r>
  <r>
    <x v="30"/>
    <x v="1"/>
    <x v="344"/>
    <x v="0"/>
    <x v="4"/>
    <x v="33"/>
    <x v="0"/>
    <x v="12"/>
    <n v="0"/>
    <x v="1"/>
  </r>
  <r>
    <x v="30"/>
    <x v="1"/>
    <x v="345"/>
    <x v="0"/>
    <x v="4"/>
    <x v="33"/>
    <x v="0"/>
    <x v="0"/>
    <n v="0"/>
    <x v="1"/>
  </r>
  <r>
    <x v="30"/>
    <x v="1"/>
    <x v="345"/>
    <x v="0"/>
    <x v="4"/>
    <x v="33"/>
    <x v="0"/>
    <x v="1"/>
    <n v="0"/>
    <x v="1"/>
  </r>
  <r>
    <x v="30"/>
    <x v="1"/>
    <x v="345"/>
    <x v="0"/>
    <x v="4"/>
    <x v="33"/>
    <x v="0"/>
    <x v="2"/>
    <n v="0"/>
    <x v="1"/>
  </r>
  <r>
    <x v="30"/>
    <x v="1"/>
    <x v="345"/>
    <x v="0"/>
    <x v="4"/>
    <x v="33"/>
    <x v="0"/>
    <x v="3"/>
    <n v="0"/>
    <x v="1"/>
  </r>
  <r>
    <x v="30"/>
    <x v="1"/>
    <x v="345"/>
    <x v="0"/>
    <x v="4"/>
    <x v="33"/>
    <x v="0"/>
    <x v="4"/>
    <n v="0"/>
    <x v="1"/>
  </r>
  <r>
    <x v="30"/>
    <x v="1"/>
    <x v="345"/>
    <x v="0"/>
    <x v="4"/>
    <x v="33"/>
    <x v="0"/>
    <x v="5"/>
    <n v="0"/>
    <x v="1"/>
  </r>
  <r>
    <x v="30"/>
    <x v="1"/>
    <x v="345"/>
    <x v="0"/>
    <x v="4"/>
    <x v="33"/>
    <x v="0"/>
    <x v="6"/>
    <n v="0"/>
    <x v="1"/>
  </r>
  <r>
    <x v="30"/>
    <x v="1"/>
    <x v="345"/>
    <x v="0"/>
    <x v="4"/>
    <x v="33"/>
    <x v="0"/>
    <x v="7"/>
    <n v="112"/>
    <x v="1"/>
  </r>
  <r>
    <x v="30"/>
    <x v="1"/>
    <x v="345"/>
    <x v="0"/>
    <x v="4"/>
    <x v="33"/>
    <x v="0"/>
    <x v="8"/>
    <n v="0"/>
    <x v="1"/>
  </r>
  <r>
    <x v="30"/>
    <x v="1"/>
    <x v="345"/>
    <x v="0"/>
    <x v="4"/>
    <x v="33"/>
    <x v="0"/>
    <x v="9"/>
    <n v="0"/>
    <x v="1"/>
  </r>
  <r>
    <x v="30"/>
    <x v="1"/>
    <x v="345"/>
    <x v="0"/>
    <x v="4"/>
    <x v="33"/>
    <x v="0"/>
    <x v="10"/>
    <n v="0"/>
    <x v="1"/>
  </r>
  <r>
    <x v="30"/>
    <x v="1"/>
    <x v="345"/>
    <x v="0"/>
    <x v="4"/>
    <x v="33"/>
    <x v="0"/>
    <x v="12"/>
    <n v="0"/>
    <x v="1"/>
  </r>
  <r>
    <x v="74"/>
    <x v="1"/>
    <x v="346"/>
    <x v="0"/>
    <x v="4"/>
    <x v="42"/>
    <x v="0"/>
    <x v="0"/>
    <n v="0"/>
    <x v="1"/>
  </r>
  <r>
    <x v="74"/>
    <x v="1"/>
    <x v="346"/>
    <x v="0"/>
    <x v="4"/>
    <x v="42"/>
    <x v="0"/>
    <x v="1"/>
    <n v="0"/>
    <x v="1"/>
  </r>
  <r>
    <x v="74"/>
    <x v="1"/>
    <x v="346"/>
    <x v="0"/>
    <x v="4"/>
    <x v="42"/>
    <x v="0"/>
    <x v="2"/>
    <n v="0"/>
    <x v="1"/>
  </r>
  <r>
    <x v="74"/>
    <x v="1"/>
    <x v="346"/>
    <x v="0"/>
    <x v="4"/>
    <x v="42"/>
    <x v="0"/>
    <x v="3"/>
    <n v="0"/>
    <x v="1"/>
  </r>
  <r>
    <x v="74"/>
    <x v="1"/>
    <x v="346"/>
    <x v="0"/>
    <x v="4"/>
    <x v="42"/>
    <x v="0"/>
    <x v="4"/>
    <n v="0"/>
    <x v="1"/>
  </r>
  <r>
    <x v="74"/>
    <x v="1"/>
    <x v="346"/>
    <x v="0"/>
    <x v="4"/>
    <x v="42"/>
    <x v="0"/>
    <x v="5"/>
    <n v="0"/>
    <x v="1"/>
  </r>
  <r>
    <x v="74"/>
    <x v="1"/>
    <x v="346"/>
    <x v="0"/>
    <x v="4"/>
    <x v="42"/>
    <x v="0"/>
    <x v="6"/>
    <n v="0"/>
    <x v="1"/>
  </r>
  <r>
    <x v="74"/>
    <x v="1"/>
    <x v="346"/>
    <x v="0"/>
    <x v="4"/>
    <x v="42"/>
    <x v="0"/>
    <x v="7"/>
    <n v="0"/>
    <x v="1"/>
  </r>
  <r>
    <x v="74"/>
    <x v="1"/>
    <x v="346"/>
    <x v="0"/>
    <x v="4"/>
    <x v="42"/>
    <x v="0"/>
    <x v="8"/>
    <n v="200"/>
    <x v="1"/>
  </r>
  <r>
    <x v="74"/>
    <x v="1"/>
    <x v="346"/>
    <x v="0"/>
    <x v="4"/>
    <x v="42"/>
    <x v="0"/>
    <x v="9"/>
    <n v="0"/>
    <x v="1"/>
  </r>
  <r>
    <x v="74"/>
    <x v="1"/>
    <x v="346"/>
    <x v="0"/>
    <x v="4"/>
    <x v="42"/>
    <x v="0"/>
    <x v="10"/>
    <n v="0"/>
    <x v="1"/>
  </r>
  <r>
    <x v="74"/>
    <x v="1"/>
    <x v="346"/>
    <x v="0"/>
    <x v="4"/>
    <x v="42"/>
    <x v="0"/>
    <x v="12"/>
    <n v="0"/>
    <x v="1"/>
  </r>
  <r>
    <x v="30"/>
    <x v="1"/>
    <x v="347"/>
    <x v="0"/>
    <x v="4"/>
    <x v="42"/>
    <x v="0"/>
    <x v="0"/>
    <n v="0"/>
    <x v="1"/>
  </r>
  <r>
    <x v="30"/>
    <x v="1"/>
    <x v="347"/>
    <x v="0"/>
    <x v="4"/>
    <x v="42"/>
    <x v="0"/>
    <x v="1"/>
    <n v="0"/>
    <x v="1"/>
  </r>
  <r>
    <x v="30"/>
    <x v="1"/>
    <x v="347"/>
    <x v="0"/>
    <x v="4"/>
    <x v="42"/>
    <x v="0"/>
    <x v="2"/>
    <n v="0"/>
    <x v="1"/>
  </r>
  <r>
    <x v="30"/>
    <x v="1"/>
    <x v="347"/>
    <x v="0"/>
    <x v="4"/>
    <x v="42"/>
    <x v="0"/>
    <x v="3"/>
    <n v="0"/>
    <x v="1"/>
  </r>
  <r>
    <x v="30"/>
    <x v="1"/>
    <x v="347"/>
    <x v="0"/>
    <x v="4"/>
    <x v="42"/>
    <x v="0"/>
    <x v="4"/>
    <n v="0"/>
    <x v="1"/>
  </r>
  <r>
    <x v="30"/>
    <x v="1"/>
    <x v="347"/>
    <x v="0"/>
    <x v="4"/>
    <x v="42"/>
    <x v="0"/>
    <x v="5"/>
    <n v="0"/>
    <x v="1"/>
  </r>
  <r>
    <x v="30"/>
    <x v="1"/>
    <x v="347"/>
    <x v="0"/>
    <x v="4"/>
    <x v="42"/>
    <x v="0"/>
    <x v="6"/>
    <n v="0"/>
    <x v="1"/>
  </r>
  <r>
    <x v="30"/>
    <x v="1"/>
    <x v="347"/>
    <x v="0"/>
    <x v="4"/>
    <x v="42"/>
    <x v="0"/>
    <x v="7"/>
    <n v="0"/>
    <x v="1"/>
  </r>
  <r>
    <x v="30"/>
    <x v="1"/>
    <x v="347"/>
    <x v="0"/>
    <x v="4"/>
    <x v="42"/>
    <x v="0"/>
    <x v="8"/>
    <n v="0"/>
    <x v="1"/>
  </r>
  <r>
    <x v="30"/>
    <x v="1"/>
    <x v="347"/>
    <x v="0"/>
    <x v="4"/>
    <x v="42"/>
    <x v="0"/>
    <x v="9"/>
    <n v="139.85"/>
    <x v="1"/>
  </r>
  <r>
    <x v="30"/>
    <x v="1"/>
    <x v="347"/>
    <x v="0"/>
    <x v="4"/>
    <x v="42"/>
    <x v="0"/>
    <x v="10"/>
    <n v="0"/>
    <x v="1"/>
  </r>
  <r>
    <x v="30"/>
    <x v="1"/>
    <x v="347"/>
    <x v="0"/>
    <x v="4"/>
    <x v="42"/>
    <x v="0"/>
    <x v="12"/>
    <n v="0"/>
    <x v="1"/>
  </r>
  <r>
    <x v="44"/>
    <x v="1"/>
    <x v="348"/>
    <x v="0"/>
    <x v="4"/>
    <x v="6"/>
    <x v="0"/>
    <x v="0"/>
    <n v="0"/>
    <x v="1"/>
  </r>
  <r>
    <x v="44"/>
    <x v="1"/>
    <x v="348"/>
    <x v="0"/>
    <x v="4"/>
    <x v="6"/>
    <x v="0"/>
    <x v="1"/>
    <n v="0"/>
    <x v="1"/>
  </r>
  <r>
    <x v="44"/>
    <x v="1"/>
    <x v="348"/>
    <x v="0"/>
    <x v="4"/>
    <x v="6"/>
    <x v="0"/>
    <x v="2"/>
    <n v="0"/>
    <x v="1"/>
  </r>
  <r>
    <x v="44"/>
    <x v="1"/>
    <x v="348"/>
    <x v="0"/>
    <x v="4"/>
    <x v="6"/>
    <x v="0"/>
    <x v="3"/>
    <n v="0"/>
    <x v="1"/>
  </r>
  <r>
    <x v="44"/>
    <x v="1"/>
    <x v="348"/>
    <x v="0"/>
    <x v="4"/>
    <x v="6"/>
    <x v="0"/>
    <x v="4"/>
    <n v="0"/>
    <x v="1"/>
  </r>
  <r>
    <x v="44"/>
    <x v="1"/>
    <x v="348"/>
    <x v="0"/>
    <x v="4"/>
    <x v="6"/>
    <x v="0"/>
    <x v="5"/>
    <n v="0"/>
    <x v="1"/>
  </r>
  <r>
    <x v="44"/>
    <x v="1"/>
    <x v="348"/>
    <x v="0"/>
    <x v="4"/>
    <x v="6"/>
    <x v="0"/>
    <x v="6"/>
    <n v="0"/>
    <x v="1"/>
  </r>
  <r>
    <x v="44"/>
    <x v="1"/>
    <x v="348"/>
    <x v="0"/>
    <x v="4"/>
    <x v="6"/>
    <x v="0"/>
    <x v="7"/>
    <n v="0"/>
    <x v="1"/>
  </r>
  <r>
    <x v="44"/>
    <x v="1"/>
    <x v="348"/>
    <x v="0"/>
    <x v="4"/>
    <x v="6"/>
    <x v="0"/>
    <x v="8"/>
    <n v="0"/>
    <x v="1"/>
  </r>
  <r>
    <x v="44"/>
    <x v="1"/>
    <x v="348"/>
    <x v="0"/>
    <x v="4"/>
    <x v="6"/>
    <x v="0"/>
    <x v="9"/>
    <n v="585.6"/>
    <x v="1"/>
  </r>
  <r>
    <x v="44"/>
    <x v="1"/>
    <x v="348"/>
    <x v="0"/>
    <x v="4"/>
    <x v="6"/>
    <x v="0"/>
    <x v="10"/>
    <n v="0"/>
    <x v="1"/>
  </r>
  <r>
    <x v="44"/>
    <x v="1"/>
    <x v="348"/>
    <x v="0"/>
    <x v="4"/>
    <x v="6"/>
    <x v="0"/>
    <x v="12"/>
    <n v="0"/>
    <x v="1"/>
  </r>
  <r>
    <x v="32"/>
    <x v="1"/>
    <x v="349"/>
    <x v="0"/>
    <x v="4"/>
    <x v="6"/>
    <x v="0"/>
    <x v="0"/>
    <n v="0"/>
    <x v="1"/>
  </r>
  <r>
    <x v="32"/>
    <x v="1"/>
    <x v="349"/>
    <x v="0"/>
    <x v="4"/>
    <x v="6"/>
    <x v="0"/>
    <x v="1"/>
    <n v="0"/>
    <x v="1"/>
  </r>
  <r>
    <x v="32"/>
    <x v="1"/>
    <x v="349"/>
    <x v="0"/>
    <x v="4"/>
    <x v="6"/>
    <x v="0"/>
    <x v="2"/>
    <n v="0"/>
    <x v="1"/>
  </r>
  <r>
    <x v="32"/>
    <x v="1"/>
    <x v="349"/>
    <x v="0"/>
    <x v="4"/>
    <x v="6"/>
    <x v="0"/>
    <x v="3"/>
    <n v="0"/>
    <x v="1"/>
  </r>
  <r>
    <x v="32"/>
    <x v="1"/>
    <x v="349"/>
    <x v="0"/>
    <x v="4"/>
    <x v="6"/>
    <x v="0"/>
    <x v="4"/>
    <n v="0"/>
    <x v="1"/>
  </r>
  <r>
    <x v="32"/>
    <x v="1"/>
    <x v="349"/>
    <x v="0"/>
    <x v="4"/>
    <x v="6"/>
    <x v="0"/>
    <x v="5"/>
    <n v="0"/>
    <x v="1"/>
  </r>
  <r>
    <x v="32"/>
    <x v="1"/>
    <x v="349"/>
    <x v="0"/>
    <x v="4"/>
    <x v="6"/>
    <x v="0"/>
    <x v="6"/>
    <n v="0"/>
    <x v="1"/>
  </r>
  <r>
    <x v="32"/>
    <x v="1"/>
    <x v="349"/>
    <x v="0"/>
    <x v="4"/>
    <x v="6"/>
    <x v="0"/>
    <x v="7"/>
    <n v="0"/>
    <x v="1"/>
  </r>
  <r>
    <x v="32"/>
    <x v="1"/>
    <x v="349"/>
    <x v="0"/>
    <x v="4"/>
    <x v="6"/>
    <x v="0"/>
    <x v="8"/>
    <n v="0"/>
    <x v="1"/>
  </r>
  <r>
    <x v="32"/>
    <x v="1"/>
    <x v="349"/>
    <x v="0"/>
    <x v="4"/>
    <x v="6"/>
    <x v="0"/>
    <x v="9"/>
    <n v="0"/>
    <x v="1"/>
  </r>
  <r>
    <x v="32"/>
    <x v="1"/>
    <x v="349"/>
    <x v="0"/>
    <x v="4"/>
    <x v="6"/>
    <x v="0"/>
    <x v="10"/>
    <n v="328"/>
    <x v="1"/>
  </r>
  <r>
    <x v="32"/>
    <x v="1"/>
    <x v="349"/>
    <x v="0"/>
    <x v="4"/>
    <x v="6"/>
    <x v="0"/>
    <x v="12"/>
    <n v="0"/>
    <x v="1"/>
  </r>
  <r>
    <x v="30"/>
    <x v="1"/>
    <x v="350"/>
    <x v="0"/>
    <x v="4"/>
    <x v="6"/>
    <x v="0"/>
    <x v="0"/>
    <n v="0"/>
    <x v="1"/>
  </r>
  <r>
    <x v="30"/>
    <x v="1"/>
    <x v="350"/>
    <x v="0"/>
    <x v="4"/>
    <x v="6"/>
    <x v="0"/>
    <x v="1"/>
    <n v="0"/>
    <x v="1"/>
  </r>
  <r>
    <x v="30"/>
    <x v="1"/>
    <x v="350"/>
    <x v="0"/>
    <x v="4"/>
    <x v="6"/>
    <x v="0"/>
    <x v="2"/>
    <n v="0"/>
    <x v="1"/>
  </r>
  <r>
    <x v="30"/>
    <x v="1"/>
    <x v="350"/>
    <x v="0"/>
    <x v="4"/>
    <x v="6"/>
    <x v="0"/>
    <x v="3"/>
    <n v="0"/>
    <x v="1"/>
  </r>
  <r>
    <x v="30"/>
    <x v="1"/>
    <x v="350"/>
    <x v="0"/>
    <x v="4"/>
    <x v="6"/>
    <x v="0"/>
    <x v="4"/>
    <n v="0"/>
    <x v="1"/>
  </r>
  <r>
    <x v="30"/>
    <x v="1"/>
    <x v="350"/>
    <x v="0"/>
    <x v="4"/>
    <x v="6"/>
    <x v="0"/>
    <x v="5"/>
    <n v="0"/>
    <x v="1"/>
  </r>
  <r>
    <x v="30"/>
    <x v="1"/>
    <x v="350"/>
    <x v="0"/>
    <x v="4"/>
    <x v="6"/>
    <x v="0"/>
    <x v="6"/>
    <n v="0"/>
    <x v="1"/>
  </r>
  <r>
    <x v="30"/>
    <x v="1"/>
    <x v="350"/>
    <x v="0"/>
    <x v="4"/>
    <x v="6"/>
    <x v="0"/>
    <x v="7"/>
    <n v="0"/>
    <x v="1"/>
  </r>
  <r>
    <x v="30"/>
    <x v="1"/>
    <x v="350"/>
    <x v="0"/>
    <x v="4"/>
    <x v="6"/>
    <x v="0"/>
    <x v="8"/>
    <n v="0"/>
    <x v="1"/>
  </r>
  <r>
    <x v="30"/>
    <x v="1"/>
    <x v="350"/>
    <x v="0"/>
    <x v="4"/>
    <x v="6"/>
    <x v="0"/>
    <x v="9"/>
    <n v="0"/>
    <x v="1"/>
  </r>
  <r>
    <x v="30"/>
    <x v="1"/>
    <x v="350"/>
    <x v="0"/>
    <x v="4"/>
    <x v="6"/>
    <x v="0"/>
    <x v="10"/>
    <n v="0"/>
    <x v="1"/>
  </r>
  <r>
    <x v="30"/>
    <x v="1"/>
    <x v="350"/>
    <x v="0"/>
    <x v="4"/>
    <x v="6"/>
    <x v="0"/>
    <x v="12"/>
    <n v="867"/>
    <x v="1"/>
  </r>
  <r>
    <x v="30"/>
    <x v="1"/>
    <x v="351"/>
    <x v="2"/>
    <x v="3"/>
    <x v="44"/>
    <x v="0"/>
    <x v="0"/>
    <n v="0"/>
    <x v="1"/>
  </r>
  <r>
    <x v="30"/>
    <x v="1"/>
    <x v="351"/>
    <x v="2"/>
    <x v="3"/>
    <x v="44"/>
    <x v="0"/>
    <x v="1"/>
    <n v="0"/>
    <x v="1"/>
  </r>
  <r>
    <x v="30"/>
    <x v="1"/>
    <x v="351"/>
    <x v="2"/>
    <x v="3"/>
    <x v="44"/>
    <x v="0"/>
    <x v="2"/>
    <n v="0"/>
    <x v="1"/>
  </r>
  <r>
    <x v="30"/>
    <x v="1"/>
    <x v="351"/>
    <x v="2"/>
    <x v="3"/>
    <x v="44"/>
    <x v="0"/>
    <x v="3"/>
    <n v="0"/>
    <x v="1"/>
  </r>
  <r>
    <x v="30"/>
    <x v="1"/>
    <x v="351"/>
    <x v="2"/>
    <x v="3"/>
    <x v="44"/>
    <x v="0"/>
    <x v="4"/>
    <n v="0"/>
    <x v="1"/>
  </r>
  <r>
    <x v="30"/>
    <x v="1"/>
    <x v="351"/>
    <x v="2"/>
    <x v="3"/>
    <x v="44"/>
    <x v="0"/>
    <x v="5"/>
    <n v="0"/>
    <x v="1"/>
  </r>
  <r>
    <x v="30"/>
    <x v="1"/>
    <x v="351"/>
    <x v="2"/>
    <x v="3"/>
    <x v="44"/>
    <x v="0"/>
    <x v="6"/>
    <n v="0"/>
    <x v="1"/>
  </r>
  <r>
    <x v="30"/>
    <x v="1"/>
    <x v="351"/>
    <x v="2"/>
    <x v="3"/>
    <x v="44"/>
    <x v="0"/>
    <x v="7"/>
    <n v="0"/>
    <x v="1"/>
  </r>
  <r>
    <x v="30"/>
    <x v="1"/>
    <x v="351"/>
    <x v="2"/>
    <x v="3"/>
    <x v="44"/>
    <x v="0"/>
    <x v="8"/>
    <n v="0"/>
    <x v="1"/>
  </r>
  <r>
    <x v="30"/>
    <x v="1"/>
    <x v="351"/>
    <x v="2"/>
    <x v="3"/>
    <x v="44"/>
    <x v="0"/>
    <x v="9"/>
    <n v="0"/>
    <x v="1"/>
  </r>
  <r>
    <x v="30"/>
    <x v="1"/>
    <x v="351"/>
    <x v="2"/>
    <x v="3"/>
    <x v="44"/>
    <x v="0"/>
    <x v="10"/>
    <n v="0"/>
    <x v="1"/>
  </r>
  <r>
    <x v="30"/>
    <x v="1"/>
    <x v="351"/>
    <x v="2"/>
    <x v="3"/>
    <x v="44"/>
    <x v="0"/>
    <x v="12"/>
    <n v="0"/>
    <x v="1"/>
  </r>
  <r>
    <x v="30"/>
    <x v="1"/>
    <x v="352"/>
    <x v="2"/>
    <x v="3"/>
    <x v="45"/>
    <x v="0"/>
    <x v="0"/>
    <n v="0"/>
    <x v="1"/>
  </r>
  <r>
    <x v="30"/>
    <x v="1"/>
    <x v="352"/>
    <x v="2"/>
    <x v="3"/>
    <x v="45"/>
    <x v="0"/>
    <x v="1"/>
    <n v="0"/>
    <x v="1"/>
  </r>
  <r>
    <x v="30"/>
    <x v="1"/>
    <x v="352"/>
    <x v="2"/>
    <x v="3"/>
    <x v="45"/>
    <x v="0"/>
    <x v="2"/>
    <n v="0"/>
    <x v="1"/>
  </r>
  <r>
    <x v="30"/>
    <x v="1"/>
    <x v="352"/>
    <x v="2"/>
    <x v="3"/>
    <x v="45"/>
    <x v="0"/>
    <x v="3"/>
    <n v="0"/>
    <x v="1"/>
  </r>
  <r>
    <x v="30"/>
    <x v="1"/>
    <x v="352"/>
    <x v="2"/>
    <x v="3"/>
    <x v="45"/>
    <x v="0"/>
    <x v="4"/>
    <n v="591"/>
    <x v="1"/>
  </r>
  <r>
    <x v="30"/>
    <x v="1"/>
    <x v="352"/>
    <x v="2"/>
    <x v="3"/>
    <x v="45"/>
    <x v="0"/>
    <x v="5"/>
    <n v="0"/>
    <x v="1"/>
  </r>
  <r>
    <x v="30"/>
    <x v="1"/>
    <x v="352"/>
    <x v="2"/>
    <x v="3"/>
    <x v="45"/>
    <x v="0"/>
    <x v="6"/>
    <n v="0"/>
    <x v="1"/>
  </r>
  <r>
    <x v="30"/>
    <x v="1"/>
    <x v="352"/>
    <x v="2"/>
    <x v="3"/>
    <x v="45"/>
    <x v="0"/>
    <x v="7"/>
    <n v="0"/>
    <x v="1"/>
  </r>
  <r>
    <x v="30"/>
    <x v="1"/>
    <x v="352"/>
    <x v="2"/>
    <x v="3"/>
    <x v="45"/>
    <x v="0"/>
    <x v="8"/>
    <n v="0"/>
    <x v="1"/>
  </r>
  <r>
    <x v="30"/>
    <x v="1"/>
    <x v="352"/>
    <x v="2"/>
    <x v="3"/>
    <x v="45"/>
    <x v="0"/>
    <x v="9"/>
    <n v="0"/>
    <x v="1"/>
  </r>
  <r>
    <x v="30"/>
    <x v="1"/>
    <x v="352"/>
    <x v="2"/>
    <x v="3"/>
    <x v="45"/>
    <x v="0"/>
    <x v="10"/>
    <n v="0"/>
    <x v="1"/>
  </r>
  <r>
    <x v="30"/>
    <x v="1"/>
    <x v="352"/>
    <x v="2"/>
    <x v="3"/>
    <x v="45"/>
    <x v="0"/>
    <x v="12"/>
    <n v="0"/>
    <x v="1"/>
  </r>
  <r>
    <x v="30"/>
    <x v="1"/>
    <x v="353"/>
    <x v="2"/>
    <x v="3"/>
    <x v="44"/>
    <x v="0"/>
    <x v="0"/>
    <n v="0"/>
    <x v="1"/>
  </r>
  <r>
    <x v="30"/>
    <x v="1"/>
    <x v="353"/>
    <x v="2"/>
    <x v="3"/>
    <x v="44"/>
    <x v="0"/>
    <x v="1"/>
    <n v="0"/>
    <x v="1"/>
  </r>
  <r>
    <x v="30"/>
    <x v="1"/>
    <x v="353"/>
    <x v="2"/>
    <x v="3"/>
    <x v="44"/>
    <x v="0"/>
    <x v="2"/>
    <n v="-556.87"/>
    <x v="1"/>
  </r>
  <r>
    <x v="30"/>
    <x v="1"/>
    <x v="353"/>
    <x v="2"/>
    <x v="3"/>
    <x v="44"/>
    <x v="0"/>
    <x v="3"/>
    <n v="0"/>
    <x v="1"/>
  </r>
  <r>
    <x v="30"/>
    <x v="1"/>
    <x v="353"/>
    <x v="2"/>
    <x v="3"/>
    <x v="44"/>
    <x v="0"/>
    <x v="4"/>
    <n v="0"/>
    <x v="1"/>
  </r>
  <r>
    <x v="30"/>
    <x v="1"/>
    <x v="353"/>
    <x v="2"/>
    <x v="3"/>
    <x v="44"/>
    <x v="0"/>
    <x v="5"/>
    <n v="0"/>
    <x v="1"/>
  </r>
  <r>
    <x v="30"/>
    <x v="1"/>
    <x v="353"/>
    <x v="2"/>
    <x v="3"/>
    <x v="44"/>
    <x v="0"/>
    <x v="6"/>
    <n v="0"/>
    <x v="1"/>
  </r>
  <r>
    <x v="30"/>
    <x v="1"/>
    <x v="353"/>
    <x v="2"/>
    <x v="3"/>
    <x v="44"/>
    <x v="0"/>
    <x v="7"/>
    <n v="0"/>
    <x v="1"/>
  </r>
  <r>
    <x v="30"/>
    <x v="1"/>
    <x v="353"/>
    <x v="2"/>
    <x v="3"/>
    <x v="44"/>
    <x v="0"/>
    <x v="8"/>
    <n v="0"/>
    <x v="1"/>
  </r>
  <r>
    <x v="30"/>
    <x v="1"/>
    <x v="353"/>
    <x v="2"/>
    <x v="3"/>
    <x v="44"/>
    <x v="0"/>
    <x v="9"/>
    <n v="0"/>
    <x v="1"/>
  </r>
  <r>
    <x v="30"/>
    <x v="1"/>
    <x v="353"/>
    <x v="2"/>
    <x v="3"/>
    <x v="44"/>
    <x v="0"/>
    <x v="10"/>
    <n v="0"/>
    <x v="1"/>
  </r>
  <r>
    <x v="30"/>
    <x v="1"/>
    <x v="353"/>
    <x v="2"/>
    <x v="3"/>
    <x v="44"/>
    <x v="0"/>
    <x v="12"/>
    <n v="0"/>
    <x v="1"/>
  </r>
  <r>
    <x v="30"/>
    <x v="1"/>
    <x v="354"/>
    <x v="0"/>
    <x v="1"/>
    <x v="35"/>
    <x v="0"/>
    <x v="0"/>
    <n v="0"/>
    <x v="1"/>
  </r>
  <r>
    <x v="30"/>
    <x v="1"/>
    <x v="354"/>
    <x v="0"/>
    <x v="1"/>
    <x v="35"/>
    <x v="0"/>
    <x v="1"/>
    <n v="447.72188569923622"/>
    <x v="1"/>
  </r>
  <r>
    <x v="30"/>
    <x v="1"/>
    <x v="354"/>
    <x v="0"/>
    <x v="1"/>
    <x v="35"/>
    <x v="0"/>
    <x v="2"/>
    <n v="1056.4364418167158"/>
    <x v="1"/>
  </r>
  <r>
    <x v="30"/>
    <x v="1"/>
    <x v="354"/>
    <x v="0"/>
    <x v="1"/>
    <x v="35"/>
    <x v="0"/>
    <x v="3"/>
    <n v="455"/>
    <x v="1"/>
  </r>
  <r>
    <x v="30"/>
    <x v="1"/>
    <x v="354"/>
    <x v="0"/>
    <x v="1"/>
    <x v="35"/>
    <x v="0"/>
    <x v="4"/>
    <n v="453"/>
    <x v="1"/>
  </r>
  <r>
    <x v="30"/>
    <x v="1"/>
    <x v="354"/>
    <x v="0"/>
    <x v="1"/>
    <x v="35"/>
    <x v="0"/>
    <x v="5"/>
    <n v="445"/>
    <x v="1"/>
  </r>
  <r>
    <x v="30"/>
    <x v="1"/>
    <x v="354"/>
    <x v="0"/>
    <x v="1"/>
    <x v="35"/>
    <x v="0"/>
    <x v="6"/>
    <n v="454"/>
    <x v="1"/>
  </r>
  <r>
    <x v="30"/>
    <x v="1"/>
    <x v="354"/>
    <x v="0"/>
    <x v="1"/>
    <x v="35"/>
    <x v="0"/>
    <x v="7"/>
    <n v="445"/>
    <x v="1"/>
  </r>
  <r>
    <x v="30"/>
    <x v="1"/>
    <x v="354"/>
    <x v="0"/>
    <x v="1"/>
    <x v="35"/>
    <x v="0"/>
    <x v="8"/>
    <n v="451"/>
    <x v="1"/>
  </r>
  <r>
    <x v="30"/>
    <x v="1"/>
    <x v="354"/>
    <x v="0"/>
    <x v="1"/>
    <x v="35"/>
    <x v="0"/>
    <x v="9"/>
    <n v="452"/>
    <x v="1"/>
  </r>
  <r>
    <x v="30"/>
    <x v="1"/>
    <x v="354"/>
    <x v="0"/>
    <x v="1"/>
    <x v="35"/>
    <x v="0"/>
    <x v="10"/>
    <n v="451"/>
    <x v="1"/>
  </r>
  <r>
    <x v="30"/>
    <x v="1"/>
    <x v="354"/>
    <x v="0"/>
    <x v="1"/>
    <x v="35"/>
    <x v="0"/>
    <x v="12"/>
    <n v="452"/>
    <x v="1"/>
  </r>
  <r>
    <x v="30"/>
    <x v="1"/>
    <x v="355"/>
    <x v="2"/>
    <x v="3"/>
    <x v="45"/>
    <x v="0"/>
    <x v="0"/>
    <n v="0"/>
    <x v="1"/>
  </r>
  <r>
    <x v="30"/>
    <x v="1"/>
    <x v="355"/>
    <x v="2"/>
    <x v="3"/>
    <x v="45"/>
    <x v="0"/>
    <x v="1"/>
    <n v="0"/>
    <x v="1"/>
  </r>
  <r>
    <x v="30"/>
    <x v="1"/>
    <x v="355"/>
    <x v="2"/>
    <x v="3"/>
    <x v="45"/>
    <x v="0"/>
    <x v="2"/>
    <n v="0"/>
    <x v="1"/>
  </r>
  <r>
    <x v="30"/>
    <x v="1"/>
    <x v="355"/>
    <x v="2"/>
    <x v="3"/>
    <x v="45"/>
    <x v="0"/>
    <x v="3"/>
    <n v="0"/>
    <x v="1"/>
  </r>
  <r>
    <x v="30"/>
    <x v="1"/>
    <x v="355"/>
    <x v="2"/>
    <x v="3"/>
    <x v="45"/>
    <x v="0"/>
    <x v="4"/>
    <n v="0"/>
    <x v="1"/>
  </r>
  <r>
    <x v="30"/>
    <x v="1"/>
    <x v="355"/>
    <x v="2"/>
    <x v="3"/>
    <x v="45"/>
    <x v="0"/>
    <x v="5"/>
    <n v="0"/>
    <x v="1"/>
  </r>
  <r>
    <x v="30"/>
    <x v="1"/>
    <x v="355"/>
    <x v="2"/>
    <x v="3"/>
    <x v="45"/>
    <x v="0"/>
    <x v="6"/>
    <n v="0"/>
    <x v="1"/>
  </r>
  <r>
    <x v="30"/>
    <x v="1"/>
    <x v="355"/>
    <x v="2"/>
    <x v="3"/>
    <x v="45"/>
    <x v="0"/>
    <x v="7"/>
    <n v="0"/>
    <x v="1"/>
  </r>
  <r>
    <x v="30"/>
    <x v="1"/>
    <x v="355"/>
    <x v="2"/>
    <x v="3"/>
    <x v="45"/>
    <x v="0"/>
    <x v="8"/>
    <n v="0"/>
    <x v="1"/>
  </r>
  <r>
    <x v="30"/>
    <x v="1"/>
    <x v="355"/>
    <x v="2"/>
    <x v="3"/>
    <x v="45"/>
    <x v="0"/>
    <x v="9"/>
    <n v="0"/>
    <x v="1"/>
  </r>
  <r>
    <x v="30"/>
    <x v="1"/>
    <x v="355"/>
    <x v="2"/>
    <x v="3"/>
    <x v="45"/>
    <x v="0"/>
    <x v="10"/>
    <n v="0"/>
    <x v="1"/>
  </r>
  <r>
    <x v="30"/>
    <x v="1"/>
    <x v="355"/>
    <x v="2"/>
    <x v="3"/>
    <x v="45"/>
    <x v="0"/>
    <x v="12"/>
    <n v="0"/>
    <x v="1"/>
  </r>
  <r>
    <x v="30"/>
    <x v="0"/>
    <x v="356"/>
    <x v="2"/>
    <x v="3"/>
    <x v="4"/>
    <x v="0"/>
    <x v="0"/>
    <n v="1417"/>
    <x v="1"/>
  </r>
  <r>
    <x v="30"/>
    <x v="0"/>
    <x v="356"/>
    <x v="2"/>
    <x v="3"/>
    <x v="4"/>
    <x v="0"/>
    <x v="1"/>
    <n v="58"/>
    <x v="1"/>
  </r>
  <r>
    <x v="30"/>
    <x v="0"/>
    <x v="356"/>
    <x v="2"/>
    <x v="3"/>
    <x v="4"/>
    <x v="0"/>
    <x v="2"/>
    <n v="1495.43"/>
    <x v="1"/>
  </r>
  <r>
    <x v="30"/>
    <x v="0"/>
    <x v="356"/>
    <x v="2"/>
    <x v="3"/>
    <x v="4"/>
    <x v="0"/>
    <x v="3"/>
    <n v="2058"/>
    <x v="1"/>
  </r>
  <r>
    <x v="30"/>
    <x v="0"/>
    <x v="356"/>
    <x v="2"/>
    <x v="3"/>
    <x v="4"/>
    <x v="0"/>
    <x v="4"/>
    <n v="2339"/>
    <x v="1"/>
  </r>
  <r>
    <x v="30"/>
    <x v="0"/>
    <x v="356"/>
    <x v="2"/>
    <x v="3"/>
    <x v="4"/>
    <x v="0"/>
    <x v="5"/>
    <n v="2255"/>
    <x v="1"/>
  </r>
  <r>
    <x v="30"/>
    <x v="0"/>
    <x v="356"/>
    <x v="2"/>
    <x v="3"/>
    <x v="4"/>
    <x v="0"/>
    <x v="6"/>
    <n v="2250"/>
    <x v="1"/>
  </r>
  <r>
    <x v="30"/>
    <x v="0"/>
    <x v="356"/>
    <x v="2"/>
    <x v="3"/>
    <x v="4"/>
    <x v="0"/>
    <x v="7"/>
    <n v="2244"/>
    <x v="1"/>
  </r>
  <r>
    <x v="30"/>
    <x v="0"/>
    <x v="356"/>
    <x v="2"/>
    <x v="3"/>
    <x v="4"/>
    <x v="0"/>
    <x v="8"/>
    <n v="2208"/>
    <x v="1"/>
  </r>
  <r>
    <x v="30"/>
    <x v="0"/>
    <x v="356"/>
    <x v="2"/>
    <x v="3"/>
    <x v="4"/>
    <x v="0"/>
    <x v="9"/>
    <n v="1628"/>
    <x v="1"/>
  </r>
  <r>
    <x v="30"/>
    <x v="0"/>
    <x v="356"/>
    <x v="2"/>
    <x v="3"/>
    <x v="4"/>
    <x v="0"/>
    <x v="10"/>
    <n v="2945"/>
    <x v="1"/>
  </r>
  <r>
    <x v="30"/>
    <x v="0"/>
    <x v="356"/>
    <x v="2"/>
    <x v="3"/>
    <x v="4"/>
    <x v="0"/>
    <x v="12"/>
    <n v="1628"/>
    <x v="1"/>
  </r>
  <r>
    <x v="30"/>
    <x v="0"/>
    <x v="183"/>
    <x v="2"/>
    <x v="7"/>
    <x v="25"/>
    <x v="0"/>
    <x v="0"/>
    <n v="241.48557828481506"/>
    <x v="1"/>
  </r>
  <r>
    <x v="30"/>
    <x v="0"/>
    <x v="183"/>
    <x v="2"/>
    <x v="7"/>
    <x v="25"/>
    <x v="0"/>
    <x v="1"/>
    <n v="285.41634974980246"/>
    <x v="1"/>
  </r>
  <r>
    <x v="30"/>
    <x v="0"/>
    <x v="183"/>
    <x v="2"/>
    <x v="7"/>
    <x v="25"/>
    <x v="0"/>
    <x v="2"/>
    <n v="234.09939263638807"/>
    <x v="1"/>
  </r>
  <r>
    <x v="30"/>
    <x v="0"/>
    <x v="183"/>
    <x v="2"/>
    <x v="7"/>
    <x v="25"/>
    <x v="0"/>
    <x v="3"/>
    <n v="208"/>
    <x v="1"/>
  </r>
  <r>
    <x v="30"/>
    <x v="0"/>
    <x v="183"/>
    <x v="2"/>
    <x v="7"/>
    <x v="25"/>
    <x v="0"/>
    <x v="4"/>
    <n v="243"/>
    <x v="1"/>
  </r>
  <r>
    <x v="30"/>
    <x v="0"/>
    <x v="183"/>
    <x v="2"/>
    <x v="7"/>
    <x v="25"/>
    <x v="0"/>
    <x v="5"/>
    <n v="524"/>
    <x v="1"/>
  </r>
  <r>
    <x v="30"/>
    <x v="0"/>
    <x v="183"/>
    <x v="2"/>
    <x v="7"/>
    <x v="25"/>
    <x v="0"/>
    <x v="6"/>
    <n v="805"/>
    <x v="1"/>
  </r>
  <r>
    <x v="30"/>
    <x v="0"/>
    <x v="183"/>
    <x v="2"/>
    <x v="7"/>
    <x v="25"/>
    <x v="0"/>
    <x v="7"/>
    <n v="953"/>
    <x v="1"/>
  </r>
  <r>
    <x v="30"/>
    <x v="0"/>
    <x v="183"/>
    <x v="2"/>
    <x v="7"/>
    <x v="25"/>
    <x v="0"/>
    <x v="8"/>
    <n v="271"/>
    <x v="1"/>
  </r>
  <r>
    <x v="30"/>
    <x v="0"/>
    <x v="183"/>
    <x v="2"/>
    <x v="7"/>
    <x v="25"/>
    <x v="0"/>
    <x v="9"/>
    <n v="521"/>
    <x v="1"/>
  </r>
  <r>
    <x v="30"/>
    <x v="0"/>
    <x v="183"/>
    <x v="2"/>
    <x v="7"/>
    <x v="25"/>
    <x v="0"/>
    <x v="10"/>
    <n v="223"/>
    <x v="1"/>
  </r>
  <r>
    <x v="30"/>
    <x v="0"/>
    <x v="183"/>
    <x v="2"/>
    <x v="7"/>
    <x v="25"/>
    <x v="0"/>
    <x v="12"/>
    <n v="521"/>
    <x v="1"/>
  </r>
  <r>
    <x v="30"/>
    <x v="0"/>
    <x v="357"/>
    <x v="2"/>
    <x v="3"/>
    <x v="19"/>
    <x v="0"/>
    <x v="0"/>
    <n v="7533.601223708366"/>
    <x v="1"/>
  </r>
  <r>
    <x v="30"/>
    <x v="0"/>
    <x v="357"/>
    <x v="2"/>
    <x v="3"/>
    <x v="19"/>
    <x v="0"/>
    <x v="1"/>
    <n v="6447.8746378720034"/>
    <x v="1"/>
  </r>
  <r>
    <x v="30"/>
    <x v="0"/>
    <x v="357"/>
    <x v="2"/>
    <x v="3"/>
    <x v="19"/>
    <x v="0"/>
    <x v="2"/>
    <n v="9290.6826122010207"/>
    <x v="1"/>
  </r>
  <r>
    <x v="30"/>
    <x v="0"/>
    <x v="357"/>
    <x v="2"/>
    <x v="3"/>
    <x v="19"/>
    <x v="0"/>
    <x v="3"/>
    <n v="7372"/>
    <x v="1"/>
  </r>
  <r>
    <x v="30"/>
    <x v="0"/>
    <x v="357"/>
    <x v="2"/>
    <x v="3"/>
    <x v="19"/>
    <x v="0"/>
    <x v="4"/>
    <n v="4341"/>
    <x v="1"/>
  </r>
  <r>
    <x v="30"/>
    <x v="0"/>
    <x v="357"/>
    <x v="2"/>
    <x v="3"/>
    <x v="19"/>
    <x v="0"/>
    <x v="5"/>
    <n v="4658"/>
    <x v="1"/>
  </r>
  <r>
    <x v="30"/>
    <x v="0"/>
    <x v="357"/>
    <x v="2"/>
    <x v="3"/>
    <x v="19"/>
    <x v="0"/>
    <x v="6"/>
    <n v="4025"/>
    <x v="1"/>
  </r>
  <r>
    <x v="30"/>
    <x v="0"/>
    <x v="357"/>
    <x v="2"/>
    <x v="3"/>
    <x v="19"/>
    <x v="0"/>
    <x v="7"/>
    <n v="4770"/>
    <x v="1"/>
  </r>
  <r>
    <x v="30"/>
    <x v="0"/>
    <x v="357"/>
    <x v="2"/>
    <x v="3"/>
    <x v="19"/>
    <x v="0"/>
    <x v="8"/>
    <n v="4122"/>
    <x v="1"/>
  </r>
  <r>
    <x v="30"/>
    <x v="0"/>
    <x v="357"/>
    <x v="2"/>
    <x v="3"/>
    <x v="19"/>
    <x v="0"/>
    <x v="9"/>
    <n v="5081"/>
    <x v="1"/>
  </r>
  <r>
    <x v="30"/>
    <x v="0"/>
    <x v="357"/>
    <x v="2"/>
    <x v="3"/>
    <x v="19"/>
    <x v="0"/>
    <x v="10"/>
    <n v="4443"/>
    <x v="1"/>
  </r>
  <r>
    <x v="30"/>
    <x v="0"/>
    <x v="357"/>
    <x v="2"/>
    <x v="3"/>
    <x v="19"/>
    <x v="0"/>
    <x v="12"/>
    <n v="5081"/>
    <x v="1"/>
  </r>
  <r>
    <x v="30"/>
    <x v="0"/>
    <x v="358"/>
    <x v="2"/>
    <x v="3"/>
    <x v="16"/>
    <x v="0"/>
    <x v="0"/>
    <n v="1065.827432467873"/>
    <x v="1"/>
  </r>
  <r>
    <x v="30"/>
    <x v="0"/>
    <x v="358"/>
    <x v="2"/>
    <x v="3"/>
    <x v="16"/>
    <x v="0"/>
    <x v="1"/>
    <n v="2175.3489597050302"/>
    <x v="1"/>
  </r>
  <r>
    <x v="30"/>
    <x v="0"/>
    <x v="358"/>
    <x v="2"/>
    <x v="3"/>
    <x v="16"/>
    <x v="0"/>
    <x v="2"/>
    <n v="1734.7621607094868"/>
    <x v="1"/>
  </r>
  <r>
    <x v="30"/>
    <x v="0"/>
    <x v="358"/>
    <x v="2"/>
    <x v="3"/>
    <x v="16"/>
    <x v="0"/>
    <x v="3"/>
    <n v="64"/>
    <x v="1"/>
  </r>
  <r>
    <x v="30"/>
    <x v="0"/>
    <x v="358"/>
    <x v="2"/>
    <x v="3"/>
    <x v="16"/>
    <x v="0"/>
    <x v="4"/>
    <n v="3154"/>
    <x v="1"/>
  </r>
  <r>
    <x v="30"/>
    <x v="0"/>
    <x v="358"/>
    <x v="2"/>
    <x v="3"/>
    <x v="16"/>
    <x v="0"/>
    <x v="5"/>
    <n v="1397"/>
    <x v="1"/>
  </r>
  <r>
    <x v="30"/>
    <x v="0"/>
    <x v="358"/>
    <x v="2"/>
    <x v="3"/>
    <x v="16"/>
    <x v="0"/>
    <x v="6"/>
    <n v="1334"/>
    <x v="1"/>
  </r>
  <r>
    <x v="30"/>
    <x v="0"/>
    <x v="358"/>
    <x v="2"/>
    <x v="3"/>
    <x v="16"/>
    <x v="0"/>
    <x v="7"/>
    <n v="1611"/>
    <x v="1"/>
  </r>
  <r>
    <x v="30"/>
    <x v="0"/>
    <x v="358"/>
    <x v="2"/>
    <x v="3"/>
    <x v="16"/>
    <x v="0"/>
    <x v="8"/>
    <n v="1466"/>
    <x v="1"/>
  </r>
  <r>
    <x v="30"/>
    <x v="0"/>
    <x v="358"/>
    <x v="2"/>
    <x v="3"/>
    <x v="16"/>
    <x v="0"/>
    <x v="9"/>
    <n v="1231"/>
    <x v="1"/>
  </r>
  <r>
    <x v="30"/>
    <x v="0"/>
    <x v="358"/>
    <x v="2"/>
    <x v="3"/>
    <x v="16"/>
    <x v="0"/>
    <x v="10"/>
    <n v="0"/>
    <x v="1"/>
  </r>
  <r>
    <x v="30"/>
    <x v="0"/>
    <x v="358"/>
    <x v="2"/>
    <x v="3"/>
    <x v="16"/>
    <x v="0"/>
    <x v="12"/>
    <n v="1231"/>
    <x v="1"/>
  </r>
  <r>
    <x v="30"/>
    <x v="1"/>
    <x v="359"/>
    <x v="2"/>
    <x v="3"/>
    <x v="46"/>
    <x v="0"/>
    <x v="0"/>
    <n v="7865.7445580907415"/>
    <x v="1"/>
  </r>
  <r>
    <x v="30"/>
    <x v="1"/>
    <x v="359"/>
    <x v="2"/>
    <x v="3"/>
    <x v="46"/>
    <x v="0"/>
    <x v="1"/>
    <n v="9920.6742217540159"/>
    <x v="1"/>
  </r>
  <r>
    <x v="30"/>
    <x v="1"/>
    <x v="359"/>
    <x v="2"/>
    <x v="3"/>
    <x v="46"/>
    <x v="0"/>
    <x v="2"/>
    <n v="1138.9062080085998"/>
    <x v="1"/>
  </r>
  <r>
    <x v="30"/>
    <x v="1"/>
    <x v="359"/>
    <x v="2"/>
    <x v="3"/>
    <x v="46"/>
    <x v="0"/>
    <x v="3"/>
    <n v="2056"/>
    <x v="1"/>
  </r>
  <r>
    <x v="30"/>
    <x v="1"/>
    <x v="359"/>
    <x v="2"/>
    <x v="3"/>
    <x v="46"/>
    <x v="0"/>
    <x v="4"/>
    <n v="2039"/>
    <x v="1"/>
  </r>
  <r>
    <x v="30"/>
    <x v="1"/>
    <x v="359"/>
    <x v="2"/>
    <x v="3"/>
    <x v="46"/>
    <x v="0"/>
    <x v="5"/>
    <n v="916"/>
    <x v="1"/>
  </r>
  <r>
    <x v="30"/>
    <x v="1"/>
    <x v="359"/>
    <x v="2"/>
    <x v="3"/>
    <x v="46"/>
    <x v="0"/>
    <x v="6"/>
    <n v="857"/>
    <x v="1"/>
  </r>
  <r>
    <x v="30"/>
    <x v="1"/>
    <x v="359"/>
    <x v="2"/>
    <x v="3"/>
    <x v="46"/>
    <x v="0"/>
    <x v="7"/>
    <n v="2248"/>
    <x v="1"/>
  </r>
  <r>
    <x v="30"/>
    <x v="1"/>
    <x v="359"/>
    <x v="2"/>
    <x v="3"/>
    <x v="46"/>
    <x v="0"/>
    <x v="8"/>
    <n v="458"/>
    <x v="1"/>
  </r>
  <r>
    <x v="30"/>
    <x v="1"/>
    <x v="359"/>
    <x v="2"/>
    <x v="3"/>
    <x v="46"/>
    <x v="0"/>
    <x v="9"/>
    <n v="1869"/>
    <x v="1"/>
  </r>
  <r>
    <x v="30"/>
    <x v="1"/>
    <x v="359"/>
    <x v="2"/>
    <x v="3"/>
    <x v="46"/>
    <x v="0"/>
    <x v="10"/>
    <n v="7771"/>
    <x v="1"/>
  </r>
  <r>
    <x v="30"/>
    <x v="1"/>
    <x v="359"/>
    <x v="2"/>
    <x v="3"/>
    <x v="46"/>
    <x v="0"/>
    <x v="12"/>
    <n v="1869"/>
    <x v="1"/>
  </r>
  <r>
    <x v="30"/>
    <x v="1"/>
    <x v="360"/>
    <x v="0"/>
    <x v="3"/>
    <x v="21"/>
    <x v="0"/>
    <x v="0"/>
    <n v="0"/>
    <x v="1"/>
  </r>
  <r>
    <x v="30"/>
    <x v="1"/>
    <x v="360"/>
    <x v="0"/>
    <x v="3"/>
    <x v="21"/>
    <x v="0"/>
    <x v="1"/>
    <n v="0"/>
    <x v="1"/>
  </r>
  <r>
    <x v="30"/>
    <x v="1"/>
    <x v="360"/>
    <x v="0"/>
    <x v="3"/>
    <x v="21"/>
    <x v="0"/>
    <x v="2"/>
    <n v="0"/>
    <x v="1"/>
  </r>
  <r>
    <x v="30"/>
    <x v="1"/>
    <x v="360"/>
    <x v="0"/>
    <x v="3"/>
    <x v="21"/>
    <x v="0"/>
    <x v="3"/>
    <n v="125"/>
    <x v="1"/>
  </r>
  <r>
    <x v="30"/>
    <x v="1"/>
    <x v="360"/>
    <x v="0"/>
    <x v="3"/>
    <x v="21"/>
    <x v="0"/>
    <x v="4"/>
    <n v="697"/>
    <x v="1"/>
  </r>
  <r>
    <x v="30"/>
    <x v="1"/>
    <x v="360"/>
    <x v="0"/>
    <x v="3"/>
    <x v="21"/>
    <x v="0"/>
    <x v="5"/>
    <n v="0"/>
    <x v="1"/>
  </r>
  <r>
    <x v="30"/>
    <x v="1"/>
    <x v="360"/>
    <x v="0"/>
    <x v="3"/>
    <x v="21"/>
    <x v="0"/>
    <x v="6"/>
    <n v="0"/>
    <x v="1"/>
  </r>
  <r>
    <x v="30"/>
    <x v="1"/>
    <x v="360"/>
    <x v="0"/>
    <x v="3"/>
    <x v="21"/>
    <x v="0"/>
    <x v="7"/>
    <n v="0"/>
    <x v="1"/>
  </r>
  <r>
    <x v="30"/>
    <x v="1"/>
    <x v="360"/>
    <x v="0"/>
    <x v="3"/>
    <x v="21"/>
    <x v="0"/>
    <x v="8"/>
    <n v="0"/>
    <x v="1"/>
  </r>
  <r>
    <x v="30"/>
    <x v="1"/>
    <x v="360"/>
    <x v="0"/>
    <x v="3"/>
    <x v="21"/>
    <x v="0"/>
    <x v="9"/>
    <n v="0"/>
    <x v="1"/>
  </r>
  <r>
    <x v="30"/>
    <x v="1"/>
    <x v="360"/>
    <x v="0"/>
    <x v="3"/>
    <x v="21"/>
    <x v="0"/>
    <x v="10"/>
    <n v="0"/>
    <x v="1"/>
  </r>
  <r>
    <x v="30"/>
    <x v="1"/>
    <x v="360"/>
    <x v="0"/>
    <x v="3"/>
    <x v="21"/>
    <x v="0"/>
    <x v="12"/>
    <n v="0"/>
    <x v="1"/>
  </r>
  <r>
    <x v="30"/>
    <x v="1"/>
    <x v="361"/>
    <x v="0"/>
    <x v="3"/>
    <x v="2"/>
    <x v="0"/>
    <x v="0"/>
    <n v="1024.8275268817204"/>
    <x v="1"/>
  </r>
  <r>
    <x v="30"/>
    <x v="1"/>
    <x v="361"/>
    <x v="0"/>
    <x v="3"/>
    <x v="2"/>
    <x v="0"/>
    <x v="1"/>
    <n v="70547.163423755599"/>
    <x v="1"/>
  </r>
  <r>
    <x v="30"/>
    <x v="1"/>
    <x v="361"/>
    <x v="0"/>
    <x v="3"/>
    <x v="2"/>
    <x v="0"/>
    <x v="2"/>
    <n v="6141.8243294813201"/>
    <x v="1"/>
  </r>
  <r>
    <x v="30"/>
    <x v="1"/>
    <x v="361"/>
    <x v="0"/>
    <x v="3"/>
    <x v="2"/>
    <x v="0"/>
    <x v="3"/>
    <n v="6450"/>
    <x v="1"/>
  </r>
  <r>
    <x v="30"/>
    <x v="1"/>
    <x v="361"/>
    <x v="0"/>
    <x v="3"/>
    <x v="2"/>
    <x v="0"/>
    <x v="4"/>
    <n v="12531"/>
    <x v="1"/>
  </r>
  <r>
    <x v="30"/>
    <x v="1"/>
    <x v="361"/>
    <x v="0"/>
    <x v="3"/>
    <x v="2"/>
    <x v="0"/>
    <x v="5"/>
    <n v="8367"/>
    <x v="1"/>
  </r>
  <r>
    <x v="30"/>
    <x v="1"/>
    <x v="361"/>
    <x v="0"/>
    <x v="3"/>
    <x v="2"/>
    <x v="0"/>
    <x v="6"/>
    <n v="8543"/>
    <x v="1"/>
  </r>
  <r>
    <x v="30"/>
    <x v="1"/>
    <x v="361"/>
    <x v="0"/>
    <x v="3"/>
    <x v="2"/>
    <x v="0"/>
    <x v="7"/>
    <n v="6887"/>
    <x v="1"/>
  </r>
  <r>
    <x v="30"/>
    <x v="1"/>
    <x v="361"/>
    <x v="0"/>
    <x v="3"/>
    <x v="2"/>
    <x v="0"/>
    <x v="8"/>
    <n v="7012"/>
    <x v="1"/>
  </r>
  <r>
    <x v="30"/>
    <x v="1"/>
    <x v="361"/>
    <x v="0"/>
    <x v="3"/>
    <x v="2"/>
    <x v="0"/>
    <x v="9"/>
    <n v="12199"/>
    <x v="1"/>
  </r>
  <r>
    <x v="30"/>
    <x v="1"/>
    <x v="361"/>
    <x v="0"/>
    <x v="3"/>
    <x v="2"/>
    <x v="0"/>
    <x v="10"/>
    <n v="3164"/>
    <x v="1"/>
  </r>
  <r>
    <x v="30"/>
    <x v="1"/>
    <x v="361"/>
    <x v="0"/>
    <x v="3"/>
    <x v="2"/>
    <x v="0"/>
    <x v="12"/>
    <n v="8700"/>
    <x v="1"/>
  </r>
  <r>
    <x v="30"/>
    <x v="1"/>
    <x v="362"/>
    <x v="0"/>
    <x v="9"/>
    <x v="37"/>
    <x v="0"/>
    <x v="0"/>
    <n v="68490.427484920001"/>
    <x v="1"/>
  </r>
  <r>
    <x v="30"/>
    <x v="1"/>
    <x v="362"/>
    <x v="0"/>
    <x v="9"/>
    <x v="37"/>
    <x v="0"/>
    <x v="1"/>
    <n v="25772.715301553857"/>
    <x v="1"/>
  </r>
  <r>
    <x v="30"/>
    <x v="1"/>
    <x v="362"/>
    <x v="0"/>
    <x v="9"/>
    <x v="37"/>
    <x v="0"/>
    <x v="2"/>
    <n v="671.86240257995166"/>
    <x v="1"/>
  </r>
  <r>
    <x v="30"/>
    <x v="1"/>
    <x v="362"/>
    <x v="0"/>
    <x v="9"/>
    <x v="37"/>
    <x v="0"/>
    <x v="3"/>
    <n v="12133"/>
    <x v="1"/>
  </r>
  <r>
    <x v="30"/>
    <x v="1"/>
    <x v="362"/>
    <x v="0"/>
    <x v="9"/>
    <x v="37"/>
    <x v="0"/>
    <x v="4"/>
    <n v="4707"/>
    <x v="1"/>
  </r>
  <r>
    <x v="30"/>
    <x v="1"/>
    <x v="362"/>
    <x v="0"/>
    <x v="9"/>
    <x v="37"/>
    <x v="0"/>
    <x v="5"/>
    <n v="0"/>
    <x v="1"/>
  </r>
  <r>
    <x v="30"/>
    <x v="1"/>
    <x v="362"/>
    <x v="0"/>
    <x v="9"/>
    <x v="37"/>
    <x v="0"/>
    <x v="6"/>
    <n v="38504"/>
    <x v="1"/>
  </r>
  <r>
    <x v="30"/>
    <x v="1"/>
    <x v="362"/>
    <x v="0"/>
    <x v="9"/>
    <x v="37"/>
    <x v="0"/>
    <x v="7"/>
    <n v="49397"/>
    <x v="1"/>
  </r>
  <r>
    <x v="30"/>
    <x v="1"/>
    <x v="362"/>
    <x v="0"/>
    <x v="9"/>
    <x v="37"/>
    <x v="0"/>
    <x v="8"/>
    <n v="62034"/>
    <x v="1"/>
  </r>
  <r>
    <x v="30"/>
    <x v="1"/>
    <x v="362"/>
    <x v="0"/>
    <x v="9"/>
    <x v="37"/>
    <x v="0"/>
    <x v="9"/>
    <n v="43549"/>
    <x v="1"/>
  </r>
  <r>
    <x v="30"/>
    <x v="1"/>
    <x v="362"/>
    <x v="0"/>
    <x v="9"/>
    <x v="37"/>
    <x v="0"/>
    <x v="10"/>
    <n v="8096"/>
    <x v="1"/>
  </r>
  <r>
    <x v="30"/>
    <x v="1"/>
    <x v="362"/>
    <x v="0"/>
    <x v="9"/>
    <x v="37"/>
    <x v="0"/>
    <x v="12"/>
    <n v="43549"/>
    <x v="1"/>
  </r>
  <r>
    <x v="30"/>
    <x v="1"/>
    <x v="363"/>
    <x v="0"/>
    <x v="9"/>
    <x v="37"/>
    <x v="0"/>
    <x v="0"/>
    <n v="0"/>
    <x v="1"/>
  </r>
  <r>
    <x v="30"/>
    <x v="1"/>
    <x v="363"/>
    <x v="0"/>
    <x v="9"/>
    <x v="37"/>
    <x v="0"/>
    <x v="1"/>
    <n v="0"/>
    <x v="1"/>
  </r>
  <r>
    <x v="30"/>
    <x v="1"/>
    <x v="363"/>
    <x v="0"/>
    <x v="9"/>
    <x v="37"/>
    <x v="0"/>
    <x v="2"/>
    <n v="0"/>
    <x v="1"/>
  </r>
  <r>
    <x v="30"/>
    <x v="1"/>
    <x v="363"/>
    <x v="0"/>
    <x v="9"/>
    <x v="37"/>
    <x v="0"/>
    <x v="3"/>
    <m/>
    <x v="1"/>
  </r>
  <r>
    <x v="30"/>
    <x v="1"/>
    <x v="363"/>
    <x v="0"/>
    <x v="9"/>
    <x v="37"/>
    <x v="0"/>
    <x v="4"/>
    <n v="0"/>
    <x v="1"/>
  </r>
  <r>
    <x v="30"/>
    <x v="1"/>
    <x v="363"/>
    <x v="0"/>
    <x v="9"/>
    <x v="37"/>
    <x v="0"/>
    <x v="5"/>
    <n v="0"/>
    <x v="1"/>
  </r>
  <r>
    <x v="30"/>
    <x v="1"/>
    <x v="363"/>
    <x v="0"/>
    <x v="9"/>
    <x v="37"/>
    <x v="0"/>
    <x v="6"/>
    <m/>
    <x v="1"/>
  </r>
  <r>
    <x v="30"/>
    <x v="1"/>
    <x v="363"/>
    <x v="0"/>
    <x v="9"/>
    <x v="37"/>
    <x v="0"/>
    <x v="7"/>
    <n v="20149"/>
    <x v="1"/>
  </r>
  <r>
    <x v="30"/>
    <x v="1"/>
    <x v="363"/>
    <x v="0"/>
    <x v="9"/>
    <x v="37"/>
    <x v="0"/>
    <x v="8"/>
    <n v="0"/>
    <x v="1"/>
  </r>
  <r>
    <x v="30"/>
    <x v="1"/>
    <x v="363"/>
    <x v="0"/>
    <x v="9"/>
    <x v="37"/>
    <x v="0"/>
    <x v="9"/>
    <n v="34018"/>
    <x v="1"/>
  </r>
  <r>
    <x v="30"/>
    <x v="1"/>
    <x v="363"/>
    <x v="0"/>
    <x v="9"/>
    <x v="37"/>
    <x v="0"/>
    <x v="10"/>
    <n v="0"/>
    <x v="1"/>
  </r>
  <r>
    <x v="30"/>
    <x v="1"/>
    <x v="363"/>
    <x v="0"/>
    <x v="9"/>
    <x v="37"/>
    <x v="0"/>
    <x v="12"/>
    <n v="0"/>
    <x v="1"/>
  </r>
  <r>
    <x v="30"/>
    <x v="1"/>
    <x v="364"/>
    <x v="3"/>
    <x v="8"/>
    <x v="23"/>
    <x v="0"/>
    <x v="0"/>
    <n v="0"/>
    <x v="1"/>
  </r>
  <r>
    <x v="30"/>
    <x v="1"/>
    <x v="364"/>
    <x v="3"/>
    <x v="8"/>
    <x v="23"/>
    <x v="0"/>
    <x v="1"/>
    <n v="0"/>
    <x v="1"/>
  </r>
  <r>
    <x v="30"/>
    <x v="1"/>
    <x v="364"/>
    <x v="3"/>
    <x v="8"/>
    <x v="23"/>
    <x v="0"/>
    <x v="2"/>
    <n v="0"/>
    <x v="1"/>
  </r>
  <r>
    <x v="30"/>
    <x v="1"/>
    <x v="364"/>
    <x v="3"/>
    <x v="8"/>
    <x v="23"/>
    <x v="0"/>
    <x v="3"/>
    <n v="0"/>
    <x v="1"/>
  </r>
  <r>
    <x v="30"/>
    <x v="1"/>
    <x v="364"/>
    <x v="3"/>
    <x v="8"/>
    <x v="23"/>
    <x v="0"/>
    <x v="4"/>
    <n v="0"/>
    <x v="1"/>
  </r>
  <r>
    <x v="30"/>
    <x v="1"/>
    <x v="364"/>
    <x v="3"/>
    <x v="8"/>
    <x v="23"/>
    <x v="0"/>
    <x v="5"/>
    <n v="5600.4"/>
    <x v="1"/>
  </r>
  <r>
    <x v="30"/>
    <x v="1"/>
    <x v="364"/>
    <x v="3"/>
    <x v="8"/>
    <x v="23"/>
    <x v="0"/>
    <x v="6"/>
    <n v="0"/>
    <x v="1"/>
  </r>
  <r>
    <x v="30"/>
    <x v="1"/>
    <x v="364"/>
    <x v="3"/>
    <x v="8"/>
    <x v="23"/>
    <x v="0"/>
    <x v="7"/>
    <n v="100000"/>
    <x v="1"/>
  </r>
  <r>
    <x v="30"/>
    <x v="1"/>
    <x v="364"/>
    <x v="3"/>
    <x v="8"/>
    <x v="23"/>
    <x v="0"/>
    <x v="8"/>
    <n v="0"/>
    <x v="1"/>
  </r>
  <r>
    <x v="30"/>
    <x v="1"/>
    <x v="364"/>
    <x v="3"/>
    <x v="8"/>
    <x v="23"/>
    <x v="0"/>
    <x v="9"/>
    <n v="100000"/>
    <x v="1"/>
  </r>
  <r>
    <x v="30"/>
    <x v="1"/>
    <x v="364"/>
    <x v="3"/>
    <x v="8"/>
    <x v="23"/>
    <x v="0"/>
    <x v="10"/>
    <n v="0"/>
    <x v="1"/>
  </r>
  <r>
    <x v="30"/>
    <x v="1"/>
    <x v="364"/>
    <x v="3"/>
    <x v="8"/>
    <x v="23"/>
    <x v="0"/>
    <x v="12"/>
    <n v="0"/>
    <x v="1"/>
  </r>
  <r>
    <x v="30"/>
    <x v="1"/>
    <x v="365"/>
    <x v="3"/>
    <x v="8"/>
    <x v="23"/>
    <x v="0"/>
    <x v="0"/>
    <n v="0"/>
    <x v="1"/>
  </r>
  <r>
    <x v="30"/>
    <x v="1"/>
    <x v="365"/>
    <x v="3"/>
    <x v="8"/>
    <x v="23"/>
    <x v="0"/>
    <x v="1"/>
    <n v="50000"/>
    <x v="1"/>
  </r>
  <r>
    <x v="30"/>
    <x v="1"/>
    <x v="365"/>
    <x v="3"/>
    <x v="8"/>
    <x v="23"/>
    <x v="0"/>
    <x v="2"/>
    <n v="0"/>
    <x v="1"/>
  </r>
  <r>
    <x v="30"/>
    <x v="1"/>
    <x v="365"/>
    <x v="3"/>
    <x v="8"/>
    <x v="23"/>
    <x v="0"/>
    <x v="3"/>
    <n v="0"/>
    <x v="1"/>
  </r>
  <r>
    <x v="30"/>
    <x v="1"/>
    <x v="365"/>
    <x v="3"/>
    <x v="8"/>
    <x v="23"/>
    <x v="0"/>
    <x v="4"/>
    <n v="0"/>
    <x v="1"/>
  </r>
  <r>
    <x v="30"/>
    <x v="1"/>
    <x v="365"/>
    <x v="3"/>
    <x v="8"/>
    <x v="23"/>
    <x v="0"/>
    <x v="5"/>
    <n v="0"/>
    <x v="1"/>
  </r>
  <r>
    <x v="30"/>
    <x v="1"/>
    <x v="365"/>
    <x v="3"/>
    <x v="8"/>
    <x v="23"/>
    <x v="0"/>
    <x v="6"/>
    <n v="0"/>
    <x v="1"/>
  </r>
  <r>
    <x v="30"/>
    <x v="1"/>
    <x v="365"/>
    <x v="3"/>
    <x v="8"/>
    <x v="23"/>
    <x v="0"/>
    <x v="7"/>
    <n v="0"/>
    <x v="1"/>
  </r>
  <r>
    <x v="30"/>
    <x v="1"/>
    <x v="365"/>
    <x v="3"/>
    <x v="8"/>
    <x v="23"/>
    <x v="0"/>
    <x v="8"/>
    <n v="0"/>
    <x v="1"/>
  </r>
  <r>
    <x v="30"/>
    <x v="1"/>
    <x v="365"/>
    <x v="3"/>
    <x v="8"/>
    <x v="23"/>
    <x v="0"/>
    <x v="9"/>
    <n v="0"/>
    <x v="1"/>
  </r>
  <r>
    <x v="30"/>
    <x v="1"/>
    <x v="365"/>
    <x v="3"/>
    <x v="8"/>
    <x v="23"/>
    <x v="0"/>
    <x v="10"/>
    <n v="0"/>
    <x v="1"/>
  </r>
  <r>
    <x v="30"/>
    <x v="1"/>
    <x v="365"/>
    <x v="3"/>
    <x v="8"/>
    <x v="23"/>
    <x v="0"/>
    <x v="12"/>
    <n v="0"/>
    <x v="1"/>
  </r>
  <r>
    <x v="30"/>
    <x v="1"/>
    <x v="366"/>
    <x v="3"/>
    <x v="8"/>
    <x v="23"/>
    <x v="0"/>
    <x v="0"/>
    <n v="0"/>
    <x v="1"/>
  </r>
  <r>
    <x v="30"/>
    <x v="1"/>
    <x v="366"/>
    <x v="3"/>
    <x v="8"/>
    <x v="23"/>
    <x v="0"/>
    <x v="1"/>
    <n v="0"/>
    <x v="1"/>
  </r>
  <r>
    <x v="30"/>
    <x v="1"/>
    <x v="366"/>
    <x v="3"/>
    <x v="8"/>
    <x v="23"/>
    <x v="0"/>
    <x v="2"/>
    <n v="0"/>
    <x v="1"/>
  </r>
  <r>
    <x v="30"/>
    <x v="1"/>
    <x v="366"/>
    <x v="3"/>
    <x v="8"/>
    <x v="23"/>
    <x v="0"/>
    <x v="3"/>
    <n v="0"/>
    <x v="1"/>
  </r>
  <r>
    <x v="30"/>
    <x v="1"/>
    <x v="366"/>
    <x v="3"/>
    <x v="8"/>
    <x v="23"/>
    <x v="0"/>
    <x v="4"/>
    <n v="0"/>
    <x v="1"/>
  </r>
  <r>
    <x v="30"/>
    <x v="1"/>
    <x v="366"/>
    <x v="3"/>
    <x v="8"/>
    <x v="23"/>
    <x v="0"/>
    <x v="5"/>
    <n v="44000"/>
    <x v="1"/>
  </r>
  <r>
    <x v="30"/>
    <x v="1"/>
    <x v="366"/>
    <x v="3"/>
    <x v="8"/>
    <x v="23"/>
    <x v="0"/>
    <x v="6"/>
    <n v="0"/>
    <x v="1"/>
  </r>
  <r>
    <x v="30"/>
    <x v="1"/>
    <x v="366"/>
    <x v="3"/>
    <x v="8"/>
    <x v="23"/>
    <x v="0"/>
    <x v="7"/>
    <n v="14000"/>
    <x v="1"/>
  </r>
  <r>
    <x v="30"/>
    <x v="1"/>
    <x v="366"/>
    <x v="3"/>
    <x v="8"/>
    <x v="23"/>
    <x v="0"/>
    <x v="8"/>
    <n v="0"/>
    <x v="1"/>
  </r>
  <r>
    <x v="30"/>
    <x v="1"/>
    <x v="366"/>
    <x v="3"/>
    <x v="8"/>
    <x v="23"/>
    <x v="0"/>
    <x v="9"/>
    <n v="90000"/>
    <x v="1"/>
  </r>
  <r>
    <x v="30"/>
    <x v="1"/>
    <x v="366"/>
    <x v="3"/>
    <x v="8"/>
    <x v="23"/>
    <x v="0"/>
    <x v="10"/>
    <n v="0"/>
    <x v="1"/>
  </r>
  <r>
    <x v="30"/>
    <x v="1"/>
    <x v="366"/>
    <x v="3"/>
    <x v="8"/>
    <x v="23"/>
    <x v="0"/>
    <x v="12"/>
    <n v="0"/>
    <x v="1"/>
  </r>
  <r>
    <x v="89"/>
    <x v="0"/>
    <x v="367"/>
    <x v="2"/>
    <x v="0"/>
    <x v="0"/>
    <x v="0"/>
    <x v="0"/>
    <n v="2829.3040493293315"/>
    <x v="2"/>
  </r>
  <r>
    <x v="89"/>
    <x v="0"/>
    <x v="367"/>
    <x v="2"/>
    <x v="0"/>
    <x v="0"/>
    <x v="0"/>
    <x v="1"/>
    <n v="2609.6521313614617"/>
    <x v="2"/>
  </r>
  <r>
    <x v="89"/>
    <x v="0"/>
    <x v="367"/>
    <x v="2"/>
    <x v="0"/>
    <x v="0"/>
    <x v="0"/>
    <x v="2"/>
    <n v="3831.9995754187171"/>
    <x v="2"/>
  </r>
  <r>
    <x v="89"/>
    <x v="0"/>
    <x v="367"/>
    <x v="2"/>
    <x v="0"/>
    <x v="0"/>
    <x v="0"/>
    <x v="3"/>
    <n v="2879.8682273358572"/>
    <x v="2"/>
  </r>
  <r>
    <x v="89"/>
    <x v="0"/>
    <x v="367"/>
    <x v="2"/>
    <x v="0"/>
    <x v="0"/>
    <x v="0"/>
    <x v="4"/>
    <n v="1881.46"/>
    <x v="2"/>
  </r>
  <r>
    <x v="89"/>
    <x v="0"/>
    <x v="367"/>
    <x v="2"/>
    <x v="0"/>
    <x v="0"/>
    <x v="0"/>
    <x v="5"/>
    <n v="3098.099976352838"/>
    <x v="2"/>
  </r>
  <r>
    <x v="89"/>
    <x v="0"/>
    <x v="367"/>
    <x v="2"/>
    <x v="0"/>
    <x v="0"/>
    <x v="0"/>
    <x v="6"/>
    <n v="4489.221970787904"/>
    <x v="2"/>
  </r>
  <r>
    <x v="89"/>
    <x v="0"/>
    <x v="367"/>
    <x v="2"/>
    <x v="0"/>
    <x v="0"/>
    <x v="0"/>
    <x v="7"/>
    <n v="2622.9914249360531"/>
    <x v="2"/>
  </r>
  <r>
    <x v="89"/>
    <x v="0"/>
    <x v="367"/>
    <x v="2"/>
    <x v="0"/>
    <x v="0"/>
    <x v="0"/>
    <x v="8"/>
    <n v="2724.3547400611619"/>
    <x v="2"/>
  </r>
  <r>
    <x v="89"/>
    <x v="0"/>
    <x v="367"/>
    <x v="2"/>
    <x v="0"/>
    <x v="0"/>
    <x v="0"/>
    <x v="9"/>
    <n v="2292.389118676424"/>
    <x v="2"/>
  </r>
  <r>
    <x v="89"/>
    <x v="0"/>
    <x v="367"/>
    <x v="2"/>
    <x v="0"/>
    <x v="0"/>
    <x v="0"/>
    <x v="10"/>
    <n v="4295.2801072180737"/>
    <x v="2"/>
  </r>
  <r>
    <x v="89"/>
    <x v="0"/>
    <x v="367"/>
    <x v="2"/>
    <x v="0"/>
    <x v="0"/>
    <x v="0"/>
    <x v="12"/>
    <n v="4295.2801072180737"/>
    <x v="2"/>
  </r>
  <r>
    <x v="90"/>
    <x v="0"/>
    <x v="368"/>
    <x v="2"/>
    <x v="0"/>
    <x v="0"/>
    <x v="0"/>
    <x v="0"/>
    <n v="1531.8459506706686"/>
    <x v="2"/>
  </r>
  <r>
    <x v="90"/>
    <x v="0"/>
    <x v="368"/>
    <x v="2"/>
    <x v="0"/>
    <x v="0"/>
    <x v="0"/>
    <x v="1"/>
    <n v="1546.9078686385385"/>
    <x v="2"/>
  </r>
  <r>
    <x v="90"/>
    <x v="0"/>
    <x v="368"/>
    <x v="2"/>
    <x v="0"/>
    <x v="0"/>
    <x v="0"/>
    <x v="2"/>
    <n v="2115.5404245812829"/>
    <x v="2"/>
  </r>
  <r>
    <x v="90"/>
    <x v="0"/>
    <x v="368"/>
    <x v="2"/>
    <x v="0"/>
    <x v="0"/>
    <x v="0"/>
    <x v="3"/>
    <n v="1599.2617726641422"/>
    <x v="2"/>
  </r>
  <r>
    <x v="90"/>
    <x v="0"/>
    <x v="368"/>
    <x v="2"/>
    <x v="0"/>
    <x v="0"/>
    <x v="0"/>
    <x v="4"/>
    <n v="1060.3599999999999"/>
    <x v="2"/>
  </r>
  <r>
    <x v="90"/>
    <x v="0"/>
    <x v="368"/>
    <x v="2"/>
    <x v="0"/>
    <x v="0"/>
    <x v="0"/>
    <x v="5"/>
    <n v="1558.9100236471625"/>
    <x v="2"/>
  </r>
  <r>
    <x v="90"/>
    <x v="0"/>
    <x v="368"/>
    <x v="2"/>
    <x v="0"/>
    <x v="0"/>
    <x v="0"/>
    <x v="6"/>
    <n v="1362.7780292120963"/>
    <x v="2"/>
  </r>
  <r>
    <x v="90"/>
    <x v="0"/>
    <x v="368"/>
    <x v="2"/>
    <x v="0"/>
    <x v="0"/>
    <x v="0"/>
    <x v="7"/>
    <n v="1463.2385750639471"/>
    <x v="2"/>
  </r>
  <r>
    <x v="90"/>
    <x v="0"/>
    <x v="368"/>
    <x v="2"/>
    <x v="0"/>
    <x v="0"/>
    <x v="0"/>
    <x v="8"/>
    <n v="1558.6452599388379"/>
    <x v="2"/>
  </r>
  <r>
    <x v="90"/>
    <x v="0"/>
    <x v="368"/>
    <x v="2"/>
    <x v="0"/>
    <x v="0"/>
    <x v="0"/>
    <x v="9"/>
    <n v="1258.6108813235762"/>
    <x v="2"/>
  </r>
  <r>
    <x v="90"/>
    <x v="0"/>
    <x v="368"/>
    <x v="2"/>
    <x v="0"/>
    <x v="0"/>
    <x v="0"/>
    <x v="10"/>
    <n v="2365.7198927819263"/>
    <x v="2"/>
  </r>
  <r>
    <x v="90"/>
    <x v="0"/>
    <x v="368"/>
    <x v="2"/>
    <x v="0"/>
    <x v="0"/>
    <x v="0"/>
    <x v="12"/>
    <n v="2365.7198927819263"/>
    <x v="2"/>
  </r>
  <r>
    <x v="30"/>
    <x v="0"/>
    <x v="369"/>
    <x v="2"/>
    <x v="0"/>
    <x v="0"/>
    <x v="0"/>
    <x v="0"/>
    <n v="2802.86"/>
    <x v="2"/>
  </r>
  <r>
    <x v="30"/>
    <x v="0"/>
    <x v="369"/>
    <x v="2"/>
    <x v="0"/>
    <x v="0"/>
    <x v="0"/>
    <x v="1"/>
    <n v="2844.04"/>
    <x v="2"/>
  </r>
  <r>
    <x v="30"/>
    <x v="0"/>
    <x v="369"/>
    <x v="2"/>
    <x v="0"/>
    <x v="0"/>
    <x v="0"/>
    <x v="2"/>
    <n v="2846.91"/>
    <x v="2"/>
  </r>
  <r>
    <x v="30"/>
    <x v="0"/>
    <x v="369"/>
    <x v="2"/>
    <x v="0"/>
    <x v="0"/>
    <x v="0"/>
    <x v="3"/>
    <n v="2881.39"/>
    <x v="2"/>
  </r>
  <r>
    <x v="30"/>
    <x v="0"/>
    <x v="369"/>
    <x v="2"/>
    <x v="0"/>
    <x v="0"/>
    <x v="0"/>
    <x v="4"/>
    <n v="2950.14"/>
    <x v="2"/>
  </r>
  <r>
    <x v="30"/>
    <x v="0"/>
    <x v="369"/>
    <x v="2"/>
    <x v="0"/>
    <x v="0"/>
    <x v="0"/>
    <x v="5"/>
    <n v="2720.9"/>
    <x v="2"/>
  </r>
  <r>
    <x v="30"/>
    <x v="0"/>
    <x v="369"/>
    <x v="2"/>
    <x v="0"/>
    <x v="0"/>
    <x v="0"/>
    <x v="6"/>
    <n v="2788"/>
    <x v="2"/>
  </r>
  <r>
    <x v="30"/>
    <x v="0"/>
    <x v="369"/>
    <x v="2"/>
    <x v="0"/>
    <x v="0"/>
    <x v="0"/>
    <x v="7"/>
    <n v="2956.01"/>
    <x v="2"/>
  </r>
  <r>
    <x v="30"/>
    <x v="0"/>
    <x v="369"/>
    <x v="2"/>
    <x v="0"/>
    <x v="0"/>
    <x v="0"/>
    <x v="8"/>
    <n v="2946"/>
    <x v="2"/>
  </r>
  <r>
    <x v="30"/>
    <x v="0"/>
    <x v="369"/>
    <x v="2"/>
    <x v="0"/>
    <x v="0"/>
    <x v="0"/>
    <x v="9"/>
    <n v="2695"/>
    <x v="2"/>
  </r>
  <r>
    <x v="30"/>
    <x v="0"/>
    <x v="369"/>
    <x v="2"/>
    <x v="0"/>
    <x v="0"/>
    <x v="0"/>
    <x v="10"/>
    <n v="2806"/>
    <x v="2"/>
  </r>
  <r>
    <x v="30"/>
    <x v="0"/>
    <x v="369"/>
    <x v="2"/>
    <x v="0"/>
    <x v="0"/>
    <x v="0"/>
    <x v="12"/>
    <n v="2806"/>
    <x v="2"/>
  </r>
  <r>
    <x v="30"/>
    <x v="0"/>
    <x v="303"/>
    <x v="2"/>
    <x v="2"/>
    <x v="3"/>
    <x v="0"/>
    <x v="0"/>
    <n v="0"/>
    <x v="2"/>
  </r>
  <r>
    <x v="30"/>
    <x v="0"/>
    <x v="303"/>
    <x v="2"/>
    <x v="2"/>
    <x v="3"/>
    <x v="0"/>
    <x v="1"/>
    <n v="0"/>
    <x v="2"/>
  </r>
  <r>
    <x v="30"/>
    <x v="0"/>
    <x v="303"/>
    <x v="2"/>
    <x v="2"/>
    <x v="3"/>
    <x v="0"/>
    <x v="2"/>
    <n v="305.01"/>
    <x v="2"/>
  </r>
  <r>
    <x v="30"/>
    <x v="0"/>
    <x v="303"/>
    <x v="2"/>
    <x v="2"/>
    <x v="3"/>
    <x v="0"/>
    <x v="3"/>
    <n v="0"/>
    <x v="2"/>
  </r>
  <r>
    <x v="30"/>
    <x v="0"/>
    <x v="303"/>
    <x v="2"/>
    <x v="2"/>
    <x v="3"/>
    <x v="0"/>
    <x v="4"/>
    <n v="126.48"/>
    <x v="2"/>
  </r>
  <r>
    <x v="30"/>
    <x v="0"/>
    <x v="303"/>
    <x v="2"/>
    <x v="2"/>
    <x v="3"/>
    <x v="0"/>
    <x v="5"/>
    <n v="477.99"/>
    <x v="2"/>
  </r>
  <r>
    <x v="30"/>
    <x v="0"/>
    <x v="303"/>
    <x v="2"/>
    <x v="2"/>
    <x v="3"/>
    <x v="0"/>
    <x v="6"/>
    <n v="0"/>
    <x v="2"/>
  </r>
  <r>
    <x v="30"/>
    <x v="0"/>
    <x v="303"/>
    <x v="2"/>
    <x v="2"/>
    <x v="3"/>
    <x v="0"/>
    <x v="7"/>
    <n v="0"/>
    <x v="2"/>
  </r>
  <r>
    <x v="30"/>
    <x v="0"/>
    <x v="303"/>
    <x v="2"/>
    <x v="2"/>
    <x v="3"/>
    <x v="0"/>
    <x v="8"/>
    <n v="0"/>
    <x v="2"/>
  </r>
  <r>
    <x v="30"/>
    <x v="0"/>
    <x v="303"/>
    <x v="2"/>
    <x v="2"/>
    <x v="3"/>
    <x v="0"/>
    <x v="9"/>
    <n v="0"/>
    <x v="2"/>
  </r>
  <r>
    <x v="30"/>
    <x v="0"/>
    <x v="303"/>
    <x v="2"/>
    <x v="2"/>
    <x v="3"/>
    <x v="0"/>
    <x v="10"/>
    <n v="0"/>
    <x v="2"/>
  </r>
  <r>
    <x v="30"/>
    <x v="0"/>
    <x v="303"/>
    <x v="2"/>
    <x v="2"/>
    <x v="3"/>
    <x v="0"/>
    <x v="12"/>
    <n v="0"/>
    <x v="2"/>
  </r>
  <r>
    <x v="30"/>
    <x v="0"/>
    <x v="370"/>
    <x v="2"/>
    <x v="2"/>
    <x v="3"/>
    <x v="0"/>
    <x v="0"/>
    <n v="538.78"/>
    <x v="2"/>
  </r>
  <r>
    <x v="30"/>
    <x v="0"/>
    <x v="370"/>
    <x v="2"/>
    <x v="2"/>
    <x v="3"/>
    <x v="0"/>
    <x v="1"/>
    <n v="648.37"/>
    <x v="2"/>
  </r>
  <r>
    <x v="30"/>
    <x v="0"/>
    <x v="370"/>
    <x v="2"/>
    <x v="2"/>
    <x v="3"/>
    <x v="0"/>
    <x v="2"/>
    <n v="706"/>
    <x v="2"/>
  </r>
  <r>
    <x v="30"/>
    <x v="0"/>
    <x v="370"/>
    <x v="2"/>
    <x v="2"/>
    <x v="3"/>
    <x v="0"/>
    <x v="3"/>
    <n v="576.32653061224482"/>
    <x v="2"/>
  </r>
  <r>
    <x v="30"/>
    <x v="0"/>
    <x v="370"/>
    <x v="2"/>
    <x v="2"/>
    <x v="3"/>
    <x v="0"/>
    <x v="4"/>
    <n v="576.33000000000004"/>
    <x v="2"/>
  </r>
  <r>
    <x v="30"/>
    <x v="0"/>
    <x v="370"/>
    <x v="2"/>
    <x v="2"/>
    <x v="3"/>
    <x v="0"/>
    <x v="5"/>
    <n v="1096.99"/>
    <x v="2"/>
  </r>
  <r>
    <x v="30"/>
    <x v="0"/>
    <x v="370"/>
    <x v="2"/>
    <x v="2"/>
    <x v="3"/>
    <x v="0"/>
    <x v="6"/>
    <n v="11694"/>
    <x v="2"/>
  </r>
  <r>
    <x v="30"/>
    <x v="0"/>
    <x v="370"/>
    <x v="2"/>
    <x v="2"/>
    <x v="3"/>
    <x v="0"/>
    <x v="7"/>
    <n v="522.96"/>
    <x v="2"/>
  </r>
  <r>
    <x v="30"/>
    <x v="0"/>
    <x v="370"/>
    <x v="2"/>
    <x v="2"/>
    <x v="3"/>
    <x v="0"/>
    <x v="8"/>
    <n v="523"/>
    <x v="2"/>
  </r>
  <r>
    <x v="30"/>
    <x v="0"/>
    <x v="370"/>
    <x v="2"/>
    <x v="2"/>
    <x v="3"/>
    <x v="0"/>
    <x v="9"/>
    <n v="618"/>
    <x v="2"/>
  </r>
  <r>
    <x v="30"/>
    <x v="0"/>
    <x v="370"/>
    <x v="2"/>
    <x v="2"/>
    <x v="3"/>
    <x v="0"/>
    <x v="10"/>
    <n v="486"/>
    <x v="2"/>
  </r>
  <r>
    <x v="30"/>
    <x v="0"/>
    <x v="370"/>
    <x v="2"/>
    <x v="2"/>
    <x v="3"/>
    <x v="0"/>
    <x v="12"/>
    <n v="486"/>
    <x v="2"/>
  </r>
  <r>
    <x v="30"/>
    <x v="1"/>
    <x v="371"/>
    <x v="2"/>
    <x v="2"/>
    <x v="3"/>
    <x v="0"/>
    <x v="0"/>
    <n v="0"/>
    <x v="2"/>
  </r>
  <r>
    <x v="30"/>
    <x v="1"/>
    <x v="371"/>
    <x v="2"/>
    <x v="2"/>
    <x v="3"/>
    <x v="0"/>
    <x v="1"/>
    <n v="35366.730000000003"/>
    <x v="2"/>
  </r>
  <r>
    <x v="30"/>
    <x v="1"/>
    <x v="371"/>
    <x v="2"/>
    <x v="2"/>
    <x v="3"/>
    <x v="0"/>
    <x v="2"/>
    <n v="0"/>
    <x v="2"/>
  </r>
  <r>
    <x v="30"/>
    <x v="1"/>
    <x v="371"/>
    <x v="2"/>
    <x v="2"/>
    <x v="3"/>
    <x v="0"/>
    <x v="3"/>
    <n v="0"/>
    <x v="2"/>
  </r>
  <r>
    <x v="30"/>
    <x v="1"/>
    <x v="371"/>
    <x v="2"/>
    <x v="2"/>
    <x v="3"/>
    <x v="0"/>
    <x v="4"/>
    <n v="35577.58"/>
    <x v="2"/>
  </r>
  <r>
    <x v="30"/>
    <x v="1"/>
    <x v="371"/>
    <x v="2"/>
    <x v="2"/>
    <x v="3"/>
    <x v="0"/>
    <x v="5"/>
    <n v="2106.23"/>
    <x v="2"/>
  </r>
  <r>
    <x v="30"/>
    <x v="1"/>
    <x v="371"/>
    <x v="2"/>
    <x v="2"/>
    <x v="3"/>
    <x v="0"/>
    <x v="6"/>
    <n v="0"/>
    <x v="2"/>
  </r>
  <r>
    <x v="30"/>
    <x v="1"/>
    <x v="371"/>
    <x v="2"/>
    <x v="2"/>
    <x v="3"/>
    <x v="0"/>
    <x v="7"/>
    <n v="0"/>
    <x v="2"/>
  </r>
  <r>
    <x v="30"/>
    <x v="1"/>
    <x v="371"/>
    <x v="2"/>
    <x v="2"/>
    <x v="3"/>
    <x v="0"/>
    <x v="8"/>
    <n v="0"/>
    <x v="2"/>
  </r>
  <r>
    <x v="30"/>
    <x v="1"/>
    <x v="371"/>
    <x v="2"/>
    <x v="2"/>
    <x v="3"/>
    <x v="0"/>
    <x v="9"/>
    <n v="28516"/>
    <x v="2"/>
  </r>
  <r>
    <x v="30"/>
    <x v="1"/>
    <x v="371"/>
    <x v="2"/>
    <x v="2"/>
    <x v="3"/>
    <x v="0"/>
    <x v="10"/>
    <n v="0"/>
    <x v="2"/>
  </r>
  <r>
    <x v="30"/>
    <x v="1"/>
    <x v="371"/>
    <x v="2"/>
    <x v="2"/>
    <x v="3"/>
    <x v="0"/>
    <x v="12"/>
    <n v="0"/>
    <x v="2"/>
  </r>
  <r>
    <x v="30"/>
    <x v="2"/>
    <x v="372"/>
    <x v="0"/>
    <x v="2"/>
    <x v="3"/>
    <x v="8"/>
    <x v="0"/>
    <n v="0"/>
    <x v="2"/>
  </r>
  <r>
    <x v="30"/>
    <x v="2"/>
    <x v="372"/>
    <x v="0"/>
    <x v="2"/>
    <x v="3"/>
    <x v="8"/>
    <x v="1"/>
    <n v="0"/>
    <x v="2"/>
  </r>
  <r>
    <x v="30"/>
    <x v="2"/>
    <x v="372"/>
    <x v="0"/>
    <x v="2"/>
    <x v="3"/>
    <x v="8"/>
    <x v="2"/>
    <n v="0"/>
    <x v="2"/>
  </r>
  <r>
    <x v="30"/>
    <x v="2"/>
    <x v="372"/>
    <x v="0"/>
    <x v="2"/>
    <x v="3"/>
    <x v="8"/>
    <x v="3"/>
    <n v="0"/>
    <x v="2"/>
  </r>
  <r>
    <x v="30"/>
    <x v="2"/>
    <x v="372"/>
    <x v="0"/>
    <x v="2"/>
    <x v="3"/>
    <x v="8"/>
    <x v="4"/>
    <n v="0"/>
    <x v="2"/>
  </r>
  <r>
    <x v="30"/>
    <x v="2"/>
    <x v="372"/>
    <x v="0"/>
    <x v="2"/>
    <x v="3"/>
    <x v="8"/>
    <x v="5"/>
    <n v="0"/>
    <x v="2"/>
  </r>
  <r>
    <x v="30"/>
    <x v="2"/>
    <x v="372"/>
    <x v="0"/>
    <x v="2"/>
    <x v="3"/>
    <x v="8"/>
    <x v="6"/>
    <n v="0"/>
    <x v="2"/>
  </r>
  <r>
    <x v="30"/>
    <x v="2"/>
    <x v="372"/>
    <x v="0"/>
    <x v="2"/>
    <x v="3"/>
    <x v="8"/>
    <x v="7"/>
    <n v="7419.75"/>
    <x v="2"/>
  </r>
  <r>
    <x v="30"/>
    <x v="2"/>
    <x v="372"/>
    <x v="0"/>
    <x v="2"/>
    <x v="3"/>
    <x v="8"/>
    <x v="8"/>
    <n v="0"/>
    <x v="2"/>
  </r>
  <r>
    <x v="30"/>
    <x v="2"/>
    <x v="372"/>
    <x v="0"/>
    <x v="2"/>
    <x v="3"/>
    <x v="8"/>
    <x v="9"/>
    <n v="0"/>
    <x v="2"/>
  </r>
  <r>
    <x v="30"/>
    <x v="2"/>
    <x v="372"/>
    <x v="0"/>
    <x v="2"/>
    <x v="3"/>
    <x v="8"/>
    <x v="10"/>
    <n v="0"/>
    <x v="2"/>
  </r>
  <r>
    <x v="30"/>
    <x v="2"/>
    <x v="372"/>
    <x v="0"/>
    <x v="2"/>
    <x v="3"/>
    <x v="8"/>
    <x v="12"/>
    <n v="0"/>
    <x v="2"/>
  </r>
  <r>
    <x v="30"/>
    <x v="1"/>
    <x v="306"/>
    <x v="0"/>
    <x v="2"/>
    <x v="3"/>
    <x v="0"/>
    <x v="0"/>
    <n v="0"/>
    <x v="2"/>
  </r>
  <r>
    <x v="30"/>
    <x v="1"/>
    <x v="306"/>
    <x v="0"/>
    <x v="2"/>
    <x v="3"/>
    <x v="0"/>
    <x v="1"/>
    <n v="0"/>
    <x v="2"/>
  </r>
  <r>
    <x v="30"/>
    <x v="1"/>
    <x v="306"/>
    <x v="0"/>
    <x v="2"/>
    <x v="3"/>
    <x v="0"/>
    <x v="2"/>
    <n v="0"/>
    <x v="2"/>
  </r>
  <r>
    <x v="30"/>
    <x v="1"/>
    <x v="306"/>
    <x v="0"/>
    <x v="2"/>
    <x v="3"/>
    <x v="0"/>
    <x v="3"/>
    <n v="0"/>
    <x v="2"/>
  </r>
  <r>
    <x v="30"/>
    <x v="1"/>
    <x v="306"/>
    <x v="0"/>
    <x v="2"/>
    <x v="3"/>
    <x v="0"/>
    <x v="4"/>
    <n v="0"/>
    <x v="2"/>
  </r>
  <r>
    <x v="30"/>
    <x v="1"/>
    <x v="306"/>
    <x v="0"/>
    <x v="2"/>
    <x v="3"/>
    <x v="0"/>
    <x v="5"/>
    <n v="0"/>
    <x v="2"/>
  </r>
  <r>
    <x v="30"/>
    <x v="1"/>
    <x v="306"/>
    <x v="0"/>
    <x v="2"/>
    <x v="3"/>
    <x v="0"/>
    <x v="6"/>
    <n v="0"/>
    <x v="2"/>
  </r>
  <r>
    <x v="30"/>
    <x v="1"/>
    <x v="306"/>
    <x v="0"/>
    <x v="2"/>
    <x v="3"/>
    <x v="0"/>
    <x v="7"/>
    <n v="0"/>
    <x v="2"/>
  </r>
  <r>
    <x v="30"/>
    <x v="1"/>
    <x v="306"/>
    <x v="0"/>
    <x v="2"/>
    <x v="3"/>
    <x v="0"/>
    <x v="8"/>
    <n v="0"/>
    <x v="2"/>
  </r>
  <r>
    <x v="30"/>
    <x v="1"/>
    <x v="306"/>
    <x v="0"/>
    <x v="2"/>
    <x v="3"/>
    <x v="0"/>
    <x v="9"/>
    <n v="0"/>
    <x v="2"/>
  </r>
  <r>
    <x v="30"/>
    <x v="1"/>
    <x v="306"/>
    <x v="0"/>
    <x v="2"/>
    <x v="3"/>
    <x v="0"/>
    <x v="10"/>
    <n v="0"/>
    <x v="2"/>
  </r>
  <r>
    <x v="30"/>
    <x v="1"/>
    <x v="306"/>
    <x v="0"/>
    <x v="2"/>
    <x v="3"/>
    <x v="0"/>
    <x v="12"/>
    <n v="0"/>
    <x v="2"/>
  </r>
  <r>
    <x v="30"/>
    <x v="1"/>
    <x v="373"/>
    <x v="0"/>
    <x v="4"/>
    <x v="41"/>
    <x v="22"/>
    <x v="0"/>
    <n v="0"/>
    <x v="2"/>
  </r>
  <r>
    <x v="30"/>
    <x v="1"/>
    <x v="373"/>
    <x v="0"/>
    <x v="4"/>
    <x v="41"/>
    <x v="22"/>
    <x v="1"/>
    <n v="0"/>
    <x v="2"/>
  </r>
  <r>
    <x v="30"/>
    <x v="1"/>
    <x v="373"/>
    <x v="0"/>
    <x v="4"/>
    <x v="41"/>
    <x v="22"/>
    <x v="2"/>
    <n v="0"/>
    <x v="2"/>
  </r>
  <r>
    <x v="30"/>
    <x v="1"/>
    <x v="373"/>
    <x v="0"/>
    <x v="4"/>
    <x v="41"/>
    <x v="22"/>
    <x v="3"/>
    <n v="0"/>
    <x v="2"/>
  </r>
  <r>
    <x v="30"/>
    <x v="1"/>
    <x v="373"/>
    <x v="0"/>
    <x v="4"/>
    <x v="41"/>
    <x v="22"/>
    <x v="4"/>
    <n v="0"/>
    <x v="2"/>
  </r>
  <r>
    <x v="30"/>
    <x v="1"/>
    <x v="373"/>
    <x v="0"/>
    <x v="4"/>
    <x v="41"/>
    <x v="22"/>
    <x v="5"/>
    <n v="0"/>
    <x v="2"/>
  </r>
  <r>
    <x v="30"/>
    <x v="1"/>
    <x v="373"/>
    <x v="0"/>
    <x v="4"/>
    <x v="41"/>
    <x v="22"/>
    <x v="6"/>
    <n v="0"/>
    <x v="2"/>
  </r>
  <r>
    <x v="30"/>
    <x v="1"/>
    <x v="373"/>
    <x v="0"/>
    <x v="4"/>
    <x v="41"/>
    <x v="22"/>
    <x v="7"/>
    <n v="0"/>
    <x v="2"/>
  </r>
  <r>
    <x v="30"/>
    <x v="1"/>
    <x v="373"/>
    <x v="0"/>
    <x v="4"/>
    <x v="41"/>
    <x v="22"/>
    <x v="8"/>
    <n v="0"/>
    <x v="2"/>
  </r>
  <r>
    <x v="30"/>
    <x v="1"/>
    <x v="373"/>
    <x v="0"/>
    <x v="4"/>
    <x v="41"/>
    <x v="22"/>
    <x v="9"/>
    <n v="0"/>
    <x v="2"/>
  </r>
  <r>
    <x v="30"/>
    <x v="1"/>
    <x v="373"/>
    <x v="0"/>
    <x v="4"/>
    <x v="41"/>
    <x v="22"/>
    <x v="10"/>
    <n v="0"/>
    <x v="2"/>
  </r>
  <r>
    <x v="30"/>
    <x v="1"/>
    <x v="373"/>
    <x v="0"/>
    <x v="4"/>
    <x v="41"/>
    <x v="22"/>
    <x v="12"/>
    <n v="0"/>
    <x v="2"/>
  </r>
  <r>
    <x v="30"/>
    <x v="1"/>
    <x v="374"/>
    <x v="1"/>
    <x v="4"/>
    <x v="41"/>
    <x v="0"/>
    <x v="0"/>
    <n v="0"/>
    <x v="2"/>
  </r>
  <r>
    <x v="30"/>
    <x v="1"/>
    <x v="374"/>
    <x v="1"/>
    <x v="4"/>
    <x v="41"/>
    <x v="0"/>
    <x v="1"/>
    <n v="0"/>
    <x v="2"/>
  </r>
  <r>
    <x v="30"/>
    <x v="1"/>
    <x v="374"/>
    <x v="1"/>
    <x v="4"/>
    <x v="41"/>
    <x v="0"/>
    <x v="2"/>
    <n v="0"/>
    <x v="2"/>
  </r>
  <r>
    <x v="30"/>
    <x v="1"/>
    <x v="374"/>
    <x v="1"/>
    <x v="4"/>
    <x v="41"/>
    <x v="0"/>
    <x v="3"/>
    <n v="0"/>
    <x v="2"/>
  </r>
  <r>
    <x v="30"/>
    <x v="1"/>
    <x v="374"/>
    <x v="1"/>
    <x v="4"/>
    <x v="41"/>
    <x v="0"/>
    <x v="4"/>
    <n v="0"/>
    <x v="2"/>
  </r>
  <r>
    <x v="30"/>
    <x v="1"/>
    <x v="374"/>
    <x v="1"/>
    <x v="4"/>
    <x v="41"/>
    <x v="0"/>
    <x v="5"/>
    <n v="0"/>
    <x v="2"/>
  </r>
  <r>
    <x v="30"/>
    <x v="1"/>
    <x v="374"/>
    <x v="1"/>
    <x v="4"/>
    <x v="41"/>
    <x v="0"/>
    <x v="6"/>
    <n v="0"/>
    <x v="2"/>
  </r>
  <r>
    <x v="30"/>
    <x v="1"/>
    <x v="374"/>
    <x v="1"/>
    <x v="4"/>
    <x v="41"/>
    <x v="0"/>
    <x v="7"/>
    <n v="0"/>
    <x v="2"/>
  </r>
  <r>
    <x v="30"/>
    <x v="1"/>
    <x v="374"/>
    <x v="1"/>
    <x v="4"/>
    <x v="41"/>
    <x v="0"/>
    <x v="8"/>
    <n v="0"/>
    <x v="2"/>
  </r>
  <r>
    <x v="30"/>
    <x v="1"/>
    <x v="374"/>
    <x v="1"/>
    <x v="4"/>
    <x v="41"/>
    <x v="0"/>
    <x v="9"/>
    <n v="0"/>
    <x v="2"/>
  </r>
  <r>
    <x v="30"/>
    <x v="1"/>
    <x v="374"/>
    <x v="1"/>
    <x v="4"/>
    <x v="41"/>
    <x v="0"/>
    <x v="10"/>
    <n v="0"/>
    <x v="2"/>
  </r>
  <r>
    <x v="30"/>
    <x v="1"/>
    <x v="374"/>
    <x v="1"/>
    <x v="4"/>
    <x v="41"/>
    <x v="0"/>
    <x v="12"/>
    <n v="0"/>
    <x v="2"/>
  </r>
  <r>
    <x v="30"/>
    <x v="1"/>
    <x v="375"/>
    <x v="0"/>
    <x v="4"/>
    <x v="41"/>
    <x v="23"/>
    <x v="0"/>
    <n v="0"/>
    <x v="2"/>
  </r>
  <r>
    <x v="30"/>
    <x v="1"/>
    <x v="375"/>
    <x v="0"/>
    <x v="4"/>
    <x v="41"/>
    <x v="23"/>
    <x v="1"/>
    <n v="0"/>
    <x v="2"/>
  </r>
  <r>
    <x v="30"/>
    <x v="1"/>
    <x v="375"/>
    <x v="0"/>
    <x v="4"/>
    <x v="41"/>
    <x v="23"/>
    <x v="2"/>
    <n v="0"/>
    <x v="2"/>
  </r>
  <r>
    <x v="30"/>
    <x v="1"/>
    <x v="375"/>
    <x v="0"/>
    <x v="4"/>
    <x v="41"/>
    <x v="23"/>
    <x v="3"/>
    <n v="0"/>
    <x v="2"/>
  </r>
  <r>
    <x v="30"/>
    <x v="1"/>
    <x v="375"/>
    <x v="0"/>
    <x v="4"/>
    <x v="41"/>
    <x v="23"/>
    <x v="4"/>
    <n v="0"/>
    <x v="2"/>
  </r>
  <r>
    <x v="30"/>
    <x v="1"/>
    <x v="375"/>
    <x v="0"/>
    <x v="4"/>
    <x v="41"/>
    <x v="23"/>
    <x v="5"/>
    <n v="0"/>
    <x v="2"/>
  </r>
  <r>
    <x v="30"/>
    <x v="1"/>
    <x v="375"/>
    <x v="0"/>
    <x v="4"/>
    <x v="41"/>
    <x v="23"/>
    <x v="6"/>
    <n v="0"/>
    <x v="2"/>
  </r>
  <r>
    <x v="30"/>
    <x v="1"/>
    <x v="375"/>
    <x v="0"/>
    <x v="4"/>
    <x v="41"/>
    <x v="23"/>
    <x v="7"/>
    <n v="0"/>
    <x v="2"/>
  </r>
  <r>
    <x v="30"/>
    <x v="1"/>
    <x v="375"/>
    <x v="0"/>
    <x v="4"/>
    <x v="41"/>
    <x v="23"/>
    <x v="8"/>
    <n v="0"/>
    <x v="2"/>
  </r>
  <r>
    <x v="30"/>
    <x v="1"/>
    <x v="375"/>
    <x v="0"/>
    <x v="4"/>
    <x v="41"/>
    <x v="23"/>
    <x v="9"/>
    <n v="0"/>
    <x v="2"/>
  </r>
  <r>
    <x v="30"/>
    <x v="1"/>
    <x v="375"/>
    <x v="0"/>
    <x v="4"/>
    <x v="41"/>
    <x v="23"/>
    <x v="10"/>
    <n v="0"/>
    <x v="2"/>
  </r>
  <r>
    <x v="30"/>
    <x v="1"/>
    <x v="375"/>
    <x v="0"/>
    <x v="4"/>
    <x v="41"/>
    <x v="23"/>
    <x v="12"/>
    <n v="0"/>
    <x v="2"/>
  </r>
  <r>
    <x v="30"/>
    <x v="1"/>
    <x v="376"/>
    <x v="1"/>
    <x v="4"/>
    <x v="41"/>
    <x v="0"/>
    <x v="0"/>
    <n v="0"/>
    <x v="2"/>
  </r>
  <r>
    <x v="30"/>
    <x v="1"/>
    <x v="376"/>
    <x v="1"/>
    <x v="4"/>
    <x v="41"/>
    <x v="0"/>
    <x v="1"/>
    <n v="0"/>
    <x v="2"/>
  </r>
  <r>
    <x v="30"/>
    <x v="1"/>
    <x v="376"/>
    <x v="1"/>
    <x v="4"/>
    <x v="41"/>
    <x v="0"/>
    <x v="2"/>
    <n v="0"/>
    <x v="2"/>
  </r>
  <r>
    <x v="30"/>
    <x v="1"/>
    <x v="376"/>
    <x v="1"/>
    <x v="4"/>
    <x v="41"/>
    <x v="0"/>
    <x v="3"/>
    <n v="0"/>
    <x v="2"/>
  </r>
  <r>
    <x v="30"/>
    <x v="1"/>
    <x v="376"/>
    <x v="1"/>
    <x v="4"/>
    <x v="41"/>
    <x v="0"/>
    <x v="4"/>
    <n v="0"/>
    <x v="2"/>
  </r>
  <r>
    <x v="30"/>
    <x v="1"/>
    <x v="376"/>
    <x v="1"/>
    <x v="4"/>
    <x v="41"/>
    <x v="0"/>
    <x v="5"/>
    <n v="0"/>
    <x v="2"/>
  </r>
  <r>
    <x v="30"/>
    <x v="1"/>
    <x v="376"/>
    <x v="1"/>
    <x v="4"/>
    <x v="41"/>
    <x v="0"/>
    <x v="6"/>
    <n v="0"/>
    <x v="2"/>
  </r>
  <r>
    <x v="30"/>
    <x v="1"/>
    <x v="376"/>
    <x v="1"/>
    <x v="4"/>
    <x v="41"/>
    <x v="0"/>
    <x v="7"/>
    <n v="0"/>
    <x v="2"/>
  </r>
  <r>
    <x v="30"/>
    <x v="1"/>
    <x v="376"/>
    <x v="1"/>
    <x v="4"/>
    <x v="41"/>
    <x v="0"/>
    <x v="8"/>
    <n v="0"/>
    <x v="2"/>
  </r>
  <r>
    <x v="30"/>
    <x v="1"/>
    <x v="376"/>
    <x v="1"/>
    <x v="4"/>
    <x v="41"/>
    <x v="0"/>
    <x v="9"/>
    <n v="0"/>
    <x v="2"/>
  </r>
  <r>
    <x v="30"/>
    <x v="1"/>
    <x v="376"/>
    <x v="1"/>
    <x v="4"/>
    <x v="41"/>
    <x v="0"/>
    <x v="10"/>
    <n v="0"/>
    <x v="2"/>
  </r>
  <r>
    <x v="30"/>
    <x v="1"/>
    <x v="376"/>
    <x v="1"/>
    <x v="4"/>
    <x v="41"/>
    <x v="0"/>
    <x v="12"/>
    <n v="2500"/>
    <x v="2"/>
  </r>
  <r>
    <x v="30"/>
    <x v="1"/>
    <x v="377"/>
    <x v="1"/>
    <x v="4"/>
    <x v="41"/>
    <x v="0"/>
    <x v="0"/>
    <n v="2054.67"/>
    <x v="2"/>
  </r>
  <r>
    <x v="30"/>
    <x v="1"/>
    <x v="377"/>
    <x v="1"/>
    <x v="4"/>
    <x v="41"/>
    <x v="0"/>
    <x v="1"/>
    <n v="0"/>
    <x v="2"/>
  </r>
  <r>
    <x v="30"/>
    <x v="1"/>
    <x v="377"/>
    <x v="1"/>
    <x v="4"/>
    <x v="41"/>
    <x v="0"/>
    <x v="2"/>
    <n v="0"/>
    <x v="2"/>
  </r>
  <r>
    <x v="30"/>
    <x v="1"/>
    <x v="377"/>
    <x v="1"/>
    <x v="4"/>
    <x v="41"/>
    <x v="0"/>
    <x v="3"/>
    <n v="0"/>
    <x v="2"/>
  </r>
  <r>
    <x v="30"/>
    <x v="1"/>
    <x v="377"/>
    <x v="1"/>
    <x v="4"/>
    <x v="41"/>
    <x v="0"/>
    <x v="4"/>
    <n v="0"/>
    <x v="2"/>
  </r>
  <r>
    <x v="30"/>
    <x v="1"/>
    <x v="377"/>
    <x v="1"/>
    <x v="4"/>
    <x v="41"/>
    <x v="0"/>
    <x v="5"/>
    <n v="0"/>
    <x v="2"/>
  </r>
  <r>
    <x v="30"/>
    <x v="1"/>
    <x v="377"/>
    <x v="1"/>
    <x v="4"/>
    <x v="41"/>
    <x v="0"/>
    <x v="6"/>
    <n v="0"/>
    <x v="2"/>
  </r>
  <r>
    <x v="30"/>
    <x v="1"/>
    <x v="377"/>
    <x v="1"/>
    <x v="4"/>
    <x v="41"/>
    <x v="0"/>
    <x v="7"/>
    <n v="0"/>
    <x v="2"/>
  </r>
  <r>
    <x v="30"/>
    <x v="1"/>
    <x v="377"/>
    <x v="1"/>
    <x v="4"/>
    <x v="41"/>
    <x v="0"/>
    <x v="8"/>
    <n v="0"/>
    <x v="2"/>
  </r>
  <r>
    <x v="30"/>
    <x v="1"/>
    <x v="377"/>
    <x v="1"/>
    <x v="4"/>
    <x v="41"/>
    <x v="0"/>
    <x v="9"/>
    <n v="0"/>
    <x v="2"/>
  </r>
  <r>
    <x v="30"/>
    <x v="1"/>
    <x v="377"/>
    <x v="1"/>
    <x v="4"/>
    <x v="41"/>
    <x v="0"/>
    <x v="10"/>
    <n v="0"/>
    <x v="2"/>
  </r>
  <r>
    <x v="30"/>
    <x v="1"/>
    <x v="377"/>
    <x v="1"/>
    <x v="4"/>
    <x v="41"/>
    <x v="0"/>
    <x v="12"/>
    <n v="0"/>
    <x v="2"/>
  </r>
  <r>
    <x v="30"/>
    <x v="1"/>
    <x v="378"/>
    <x v="1"/>
    <x v="4"/>
    <x v="41"/>
    <x v="0"/>
    <x v="0"/>
    <n v="0"/>
    <x v="2"/>
  </r>
  <r>
    <x v="30"/>
    <x v="1"/>
    <x v="378"/>
    <x v="1"/>
    <x v="4"/>
    <x v="41"/>
    <x v="0"/>
    <x v="1"/>
    <n v="0"/>
    <x v="2"/>
  </r>
  <r>
    <x v="30"/>
    <x v="1"/>
    <x v="378"/>
    <x v="1"/>
    <x v="4"/>
    <x v="41"/>
    <x v="0"/>
    <x v="2"/>
    <n v="0"/>
    <x v="2"/>
  </r>
  <r>
    <x v="30"/>
    <x v="1"/>
    <x v="378"/>
    <x v="1"/>
    <x v="4"/>
    <x v="41"/>
    <x v="0"/>
    <x v="3"/>
    <n v="0"/>
    <x v="2"/>
  </r>
  <r>
    <x v="30"/>
    <x v="1"/>
    <x v="378"/>
    <x v="1"/>
    <x v="4"/>
    <x v="41"/>
    <x v="0"/>
    <x v="4"/>
    <n v="0"/>
    <x v="2"/>
  </r>
  <r>
    <x v="30"/>
    <x v="1"/>
    <x v="378"/>
    <x v="1"/>
    <x v="4"/>
    <x v="41"/>
    <x v="0"/>
    <x v="5"/>
    <n v="0"/>
    <x v="2"/>
  </r>
  <r>
    <x v="30"/>
    <x v="1"/>
    <x v="378"/>
    <x v="1"/>
    <x v="4"/>
    <x v="41"/>
    <x v="0"/>
    <x v="6"/>
    <n v="0"/>
    <x v="2"/>
  </r>
  <r>
    <x v="30"/>
    <x v="1"/>
    <x v="378"/>
    <x v="1"/>
    <x v="4"/>
    <x v="41"/>
    <x v="0"/>
    <x v="7"/>
    <n v="0"/>
    <x v="2"/>
  </r>
  <r>
    <x v="30"/>
    <x v="1"/>
    <x v="378"/>
    <x v="1"/>
    <x v="4"/>
    <x v="41"/>
    <x v="0"/>
    <x v="8"/>
    <n v="0"/>
    <x v="2"/>
  </r>
  <r>
    <x v="30"/>
    <x v="1"/>
    <x v="378"/>
    <x v="1"/>
    <x v="4"/>
    <x v="41"/>
    <x v="0"/>
    <x v="9"/>
    <n v="0"/>
    <x v="2"/>
  </r>
  <r>
    <x v="30"/>
    <x v="1"/>
    <x v="378"/>
    <x v="1"/>
    <x v="4"/>
    <x v="41"/>
    <x v="0"/>
    <x v="10"/>
    <n v="0"/>
    <x v="2"/>
  </r>
  <r>
    <x v="30"/>
    <x v="1"/>
    <x v="378"/>
    <x v="1"/>
    <x v="4"/>
    <x v="41"/>
    <x v="0"/>
    <x v="12"/>
    <n v="0"/>
    <x v="2"/>
  </r>
  <r>
    <x v="30"/>
    <x v="1"/>
    <x v="379"/>
    <x v="0"/>
    <x v="4"/>
    <x v="41"/>
    <x v="22"/>
    <x v="0"/>
    <n v="5460.18"/>
    <x v="2"/>
  </r>
  <r>
    <x v="30"/>
    <x v="1"/>
    <x v="379"/>
    <x v="0"/>
    <x v="4"/>
    <x v="41"/>
    <x v="22"/>
    <x v="1"/>
    <n v="0"/>
    <x v="2"/>
  </r>
  <r>
    <x v="30"/>
    <x v="1"/>
    <x v="379"/>
    <x v="0"/>
    <x v="4"/>
    <x v="41"/>
    <x v="22"/>
    <x v="2"/>
    <n v="0"/>
    <x v="2"/>
  </r>
  <r>
    <x v="30"/>
    <x v="1"/>
    <x v="379"/>
    <x v="0"/>
    <x v="4"/>
    <x v="41"/>
    <x v="22"/>
    <x v="3"/>
    <n v="0"/>
    <x v="2"/>
  </r>
  <r>
    <x v="30"/>
    <x v="1"/>
    <x v="379"/>
    <x v="0"/>
    <x v="4"/>
    <x v="41"/>
    <x v="22"/>
    <x v="4"/>
    <n v="0"/>
    <x v="2"/>
  </r>
  <r>
    <x v="30"/>
    <x v="1"/>
    <x v="379"/>
    <x v="0"/>
    <x v="4"/>
    <x v="41"/>
    <x v="22"/>
    <x v="5"/>
    <n v="0"/>
    <x v="2"/>
  </r>
  <r>
    <x v="30"/>
    <x v="1"/>
    <x v="379"/>
    <x v="0"/>
    <x v="4"/>
    <x v="41"/>
    <x v="22"/>
    <x v="6"/>
    <n v="0"/>
    <x v="2"/>
  </r>
  <r>
    <x v="30"/>
    <x v="1"/>
    <x v="379"/>
    <x v="0"/>
    <x v="4"/>
    <x v="41"/>
    <x v="22"/>
    <x v="7"/>
    <n v="0"/>
    <x v="2"/>
  </r>
  <r>
    <x v="30"/>
    <x v="1"/>
    <x v="379"/>
    <x v="0"/>
    <x v="4"/>
    <x v="41"/>
    <x v="22"/>
    <x v="8"/>
    <n v="0"/>
    <x v="2"/>
  </r>
  <r>
    <x v="30"/>
    <x v="1"/>
    <x v="379"/>
    <x v="0"/>
    <x v="4"/>
    <x v="41"/>
    <x v="22"/>
    <x v="9"/>
    <n v="834"/>
    <x v="2"/>
  </r>
  <r>
    <x v="30"/>
    <x v="1"/>
    <x v="379"/>
    <x v="0"/>
    <x v="4"/>
    <x v="41"/>
    <x v="22"/>
    <x v="10"/>
    <n v="0"/>
    <x v="2"/>
  </r>
  <r>
    <x v="30"/>
    <x v="1"/>
    <x v="379"/>
    <x v="0"/>
    <x v="4"/>
    <x v="41"/>
    <x v="22"/>
    <x v="12"/>
    <n v="0"/>
    <x v="2"/>
  </r>
  <r>
    <x v="30"/>
    <x v="1"/>
    <x v="380"/>
    <x v="1"/>
    <x v="4"/>
    <x v="41"/>
    <x v="0"/>
    <x v="0"/>
    <n v="1867.32"/>
    <x v="2"/>
  </r>
  <r>
    <x v="30"/>
    <x v="1"/>
    <x v="380"/>
    <x v="1"/>
    <x v="4"/>
    <x v="41"/>
    <x v="0"/>
    <x v="1"/>
    <n v="0"/>
    <x v="2"/>
  </r>
  <r>
    <x v="30"/>
    <x v="1"/>
    <x v="380"/>
    <x v="1"/>
    <x v="4"/>
    <x v="41"/>
    <x v="0"/>
    <x v="2"/>
    <n v="0"/>
    <x v="2"/>
  </r>
  <r>
    <x v="30"/>
    <x v="1"/>
    <x v="380"/>
    <x v="1"/>
    <x v="4"/>
    <x v="41"/>
    <x v="0"/>
    <x v="3"/>
    <n v="0"/>
    <x v="2"/>
  </r>
  <r>
    <x v="30"/>
    <x v="1"/>
    <x v="380"/>
    <x v="1"/>
    <x v="4"/>
    <x v="41"/>
    <x v="0"/>
    <x v="4"/>
    <n v="0"/>
    <x v="2"/>
  </r>
  <r>
    <x v="30"/>
    <x v="1"/>
    <x v="380"/>
    <x v="1"/>
    <x v="4"/>
    <x v="41"/>
    <x v="0"/>
    <x v="5"/>
    <n v="0"/>
    <x v="2"/>
  </r>
  <r>
    <x v="30"/>
    <x v="1"/>
    <x v="380"/>
    <x v="1"/>
    <x v="4"/>
    <x v="41"/>
    <x v="0"/>
    <x v="6"/>
    <n v="0"/>
    <x v="2"/>
  </r>
  <r>
    <x v="30"/>
    <x v="1"/>
    <x v="380"/>
    <x v="1"/>
    <x v="4"/>
    <x v="41"/>
    <x v="0"/>
    <x v="7"/>
    <n v="0"/>
    <x v="2"/>
  </r>
  <r>
    <x v="30"/>
    <x v="1"/>
    <x v="380"/>
    <x v="1"/>
    <x v="4"/>
    <x v="41"/>
    <x v="0"/>
    <x v="8"/>
    <n v="0"/>
    <x v="2"/>
  </r>
  <r>
    <x v="30"/>
    <x v="1"/>
    <x v="380"/>
    <x v="1"/>
    <x v="4"/>
    <x v="41"/>
    <x v="0"/>
    <x v="9"/>
    <n v="0"/>
    <x v="2"/>
  </r>
  <r>
    <x v="30"/>
    <x v="1"/>
    <x v="380"/>
    <x v="1"/>
    <x v="4"/>
    <x v="41"/>
    <x v="0"/>
    <x v="10"/>
    <n v="0"/>
    <x v="2"/>
  </r>
  <r>
    <x v="30"/>
    <x v="1"/>
    <x v="380"/>
    <x v="1"/>
    <x v="4"/>
    <x v="41"/>
    <x v="0"/>
    <x v="12"/>
    <n v="0"/>
    <x v="2"/>
  </r>
  <r>
    <x v="30"/>
    <x v="1"/>
    <x v="381"/>
    <x v="0"/>
    <x v="4"/>
    <x v="41"/>
    <x v="23"/>
    <x v="0"/>
    <n v="2720.02"/>
    <x v="2"/>
  </r>
  <r>
    <x v="30"/>
    <x v="1"/>
    <x v="381"/>
    <x v="0"/>
    <x v="4"/>
    <x v="41"/>
    <x v="23"/>
    <x v="1"/>
    <n v="2102"/>
    <x v="2"/>
  </r>
  <r>
    <x v="30"/>
    <x v="1"/>
    <x v="381"/>
    <x v="0"/>
    <x v="4"/>
    <x v="41"/>
    <x v="23"/>
    <x v="2"/>
    <n v="0"/>
    <x v="2"/>
  </r>
  <r>
    <x v="30"/>
    <x v="1"/>
    <x v="381"/>
    <x v="0"/>
    <x v="4"/>
    <x v="41"/>
    <x v="23"/>
    <x v="3"/>
    <n v="0"/>
    <x v="2"/>
  </r>
  <r>
    <x v="30"/>
    <x v="1"/>
    <x v="381"/>
    <x v="0"/>
    <x v="4"/>
    <x v="41"/>
    <x v="23"/>
    <x v="4"/>
    <n v="0"/>
    <x v="2"/>
  </r>
  <r>
    <x v="30"/>
    <x v="1"/>
    <x v="381"/>
    <x v="0"/>
    <x v="4"/>
    <x v="41"/>
    <x v="23"/>
    <x v="5"/>
    <n v="0"/>
    <x v="2"/>
  </r>
  <r>
    <x v="30"/>
    <x v="1"/>
    <x v="381"/>
    <x v="0"/>
    <x v="4"/>
    <x v="41"/>
    <x v="23"/>
    <x v="6"/>
    <n v="0"/>
    <x v="2"/>
  </r>
  <r>
    <x v="30"/>
    <x v="1"/>
    <x v="381"/>
    <x v="0"/>
    <x v="4"/>
    <x v="41"/>
    <x v="23"/>
    <x v="7"/>
    <n v="0"/>
    <x v="2"/>
  </r>
  <r>
    <x v="30"/>
    <x v="1"/>
    <x v="381"/>
    <x v="0"/>
    <x v="4"/>
    <x v="41"/>
    <x v="23"/>
    <x v="8"/>
    <n v="0"/>
    <x v="2"/>
  </r>
  <r>
    <x v="30"/>
    <x v="1"/>
    <x v="381"/>
    <x v="0"/>
    <x v="4"/>
    <x v="41"/>
    <x v="23"/>
    <x v="9"/>
    <n v="0"/>
    <x v="2"/>
  </r>
  <r>
    <x v="30"/>
    <x v="1"/>
    <x v="381"/>
    <x v="0"/>
    <x v="4"/>
    <x v="41"/>
    <x v="23"/>
    <x v="10"/>
    <n v="0"/>
    <x v="2"/>
  </r>
  <r>
    <x v="30"/>
    <x v="1"/>
    <x v="381"/>
    <x v="0"/>
    <x v="4"/>
    <x v="41"/>
    <x v="23"/>
    <x v="12"/>
    <n v="0"/>
    <x v="2"/>
  </r>
  <r>
    <x v="30"/>
    <x v="1"/>
    <x v="382"/>
    <x v="1"/>
    <x v="4"/>
    <x v="41"/>
    <x v="0"/>
    <x v="0"/>
    <n v="8577.5499999999993"/>
    <x v="2"/>
  </r>
  <r>
    <x v="30"/>
    <x v="1"/>
    <x v="382"/>
    <x v="1"/>
    <x v="4"/>
    <x v="41"/>
    <x v="0"/>
    <x v="1"/>
    <n v="0"/>
    <x v="2"/>
  </r>
  <r>
    <x v="30"/>
    <x v="1"/>
    <x v="382"/>
    <x v="1"/>
    <x v="4"/>
    <x v="41"/>
    <x v="0"/>
    <x v="2"/>
    <n v="0"/>
    <x v="2"/>
  </r>
  <r>
    <x v="30"/>
    <x v="1"/>
    <x v="382"/>
    <x v="1"/>
    <x v="4"/>
    <x v="41"/>
    <x v="0"/>
    <x v="3"/>
    <n v="0"/>
    <x v="2"/>
  </r>
  <r>
    <x v="30"/>
    <x v="1"/>
    <x v="382"/>
    <x v="1"/>
    <x v="4"/>
    <x v="41"/>
    <x v="0"/>
    <x v="4"/>
    <n v="0"/>
    <x v="2"/>
  </r>
  <r>
    <x v="30"/>
    <x v="1"/>
    <x v="382"/>
    <x v="1"/>
    <x v="4"/>
    <x v="41"/>
    <x v="0"/>
    <x v="5"/>
    <n v="559.01"/>
    <x v="2"/>
  </r>
  <r>
    <x v="30"/>
    <x v="1"/>
    <x v="382"/>
    <x v="1"/>
    <x v="4"/>
    <x v="41"/>
    <x v="0"/>
    <x v="6"/>
    <n v="0"/>
    <x v="2"/>
  </r>
  <r>
    <x v="30"/>
    <x v="1"/>
    <x v="382"/>
    <x v="1"/>
    <x v="4"/>
    <x v="41"/>
    <x v="0"/>
    <x v="7"/>
    <n v="0"/>
    <x v="2"/>
  </r>
  <r>
    <x v="30"/>
    <x v="1"/>
    <x v="382"/>
    <x v="1"/>
    <x v="4"/>
    <x v="41"/>
    <x v="0"/>
    <x v="8"/>
    <n v="0"/>
    <x v="2"/>
  </r>
  <r>
    <x v="30"/>
    <x v="1"/>
    <x v="382"/>
    <x v="1"/>
    <x v="4"/>
    <x v="41"/>
    <x v="0"/>
    <x v="9"/>
    <n v="304"/>
    <x v="2"/>
  </r>
  <r>
    <x v="30"/>
    <x v="1"/>
    <x v="382"/>
    <x v="1"/>
    <x v="4"/>
    <x v="41"/>
    <x v="0"/>
    <x v="10"/>
    <n v="0"/>
    <x v="2"/>
  </r>
  <r>
    <x v="30"/>
    <x v="1"/>
    <x v="382"/>
    <x v="1"/>
    <x v="4"/>
    <x v="41"/>
    <x v="0"/>
    <x v="12"/>
    <n v="0"/>
    <x v="2"/>
  </r>
  <r>
    <x v="30"/>
    <x v="1"/>
    <x v="383"/>
    <x v="1"/>
    <x v="4"/>
    <x v="41"/>
    <x v="0"/>
    <x v="0"/>
    <n v="2019.77"/>
    <x v="2"/>
  </r>
  <r>
    <x v="30"/>
    <x v="1"/>
    <x v="383"/>
    <x v="1"/>
    <x v="4"/>
    <x v="41"/>
    <x v="0"/>
    <x v="1"/>
    <n v="0"/>
    <x v="2"/>
  </r>
  <r>
    <x v="30"/>
    <x v="1"/>
    <x v="383"/>
    <x v="1"/>
    <x v="4"/>
    <x v="41"/>
    <x v="0"/>
    <x v="2"/>
    <n v="0"/>
    <x v="2"/>
  </r>
  <r>
    <x v="30"/>
    <x v="1"/>
    <x v="383"/>
    <x v="1"/>
    <x v="4"/>
    <x v="41"/>
    <x v="0"/>
    <x v="3"/>
    <n v="0"/>
    <x v="2"/>
  </r>
  <r>
    <x v="30"/>
    <x v="1"/>
    <x v="383"/>
    <x v="1"/>
    <x v="4"/>
    <x v="41"/>
    <x v="0"/>
    <x v="4"/>
    <n v="0"/>
    <x v="2"/>
  </r>
  <r>
    <x v="30"/>
    <x v="1"/>
    <x v="383"/>
    <x v="1"/>
    <x v="4"/>
    <x v="41"/>
    <x v="0"/>
    <x v="5"/>
    <n v="0"/>
    <x v="2"/>
  </r>
  <r>
    <x v="30"/>
    <x v="1"/>
    <x v="383"/>
    <x v="1"/>
    <x v="4"/>
    <x v="41"/>
    <x v="0"/>
    <x v="6"/>
    <n v="0"/>
    <x v="2"/>
  </r>
  <r>
    <x v="30"/>
    <x v="1"/>
    <x v="383"/>
    <x v="1"/>
    <x v="4"/>
    <x v="41"/>
    <x v="0"/>
    <x v="7"/>
    <n v="0"/>
    <x v="2"/>
  </r>
  <r>
    <x v="30"/>
    <x v="1"/>
    <x v="383"/>
    <x v="1"/>
    <x v="4"/>
    <x v="41"/>
    <x v="0"/>
    <x v="8"/>
    <n v="0"/>
    <x v="2"/>
  </r>
  <r>
    <x v="30"/>
    <x v="1"/>
    <x v="383"/>
    <x v="1"/>
    <x v="4"/>
    <x v="41"/>
    <x v="0"/>
    <x v="9"/>
    <n v="0"/>
    <x v="2"/>
  </r>
  <r>
    <x v="30"/>
    <x v="1"/>
    <x v="383"/>
    <x v="1"/>
    <x v="4"/>
    <x v="41"/>
    <x v="0"/>
    <x v="10"/>
    <n v="0"/>
    <x v="2"/>
  </r>
  <r>
    <x v="30"/>
    <x v="1"/>
    <x v="383"/>
    <x v="1"/>
    <x v="4"/>
    <x v="41"/>
    <x v="0"/>
    <x v="12"/>
    <n v="0"/>
    <x v="2"/>
  </r>
  <r>
    <x v="30"/>
    <x v="1"/>
    <x v="384"/>
    <x v="1"/>
    <x v="4"/>
    <x v="41"/>
    <x v="0"/>
    <x v="0"/>
    <n v="3235.66"/>
    <x v="2"/>
  </r>
  <r>
    <x v="30"/>
    <x v="1"/>
    <x v="384"/>
    <x v="1"/>
    <x v="4"/>
    <x v="41"/>
    <x v="0"/>
    <x v="1"/>
    <n v="0"/>
    <x v="2"/>
  </r>
  <r>
    <x v="30"/>
    <x v="1"/>
    <x v="384"/>
    <x v="1"/>
    <x v="4"/>
    <x v="41"/>
    <x v="0"/>
    <x v="2"/>
    <n v="0"/>
    <x v="2"/>
  </r>
  <r>
    <x v="30"/>
    <x v="1"/>
    <x v="384"/>
    <x v="1"/>
    <x v="4"/>
    <x v="41"/>
    <x v="0"/>
    <x v="3"/>
    <n v="0"/>
    <x v="2"/>
  </r>
  <r>
    <x v="30"/>
    <x v="1"/>
    <x v="384"/>
    <x v="1"/>
    <x v="4"/>
    <x v="41"/>
    <x v="0"/>
    <x v="4"/>
    <n v="0"/>
    <x v="2"/>
  </r>
  <r>
    <x v="30"/>
    <x v="1"/>
    <x v="384"/>
    <x v="1"/>
    <x v="4"/>
    <x v="41"/>
    <x v="0"/>
    <x v="5"/>
    <n v="0"/>
    <x v="2"/>
  </r>
  <r>
    <x v="30"/>
    <x v="1"/>
    <x v="384"/>
    <x v="1"/>
    <x v="4"/>
    <x v="41"/>
    <x v="0"/>
    <x v="6"/>
    <n v="0"/>
    <x v="2"/>
  </r>
  <r>
    <x v="30"/>
    <x v="1"/>
    <x v="384"/>
    <x v="1"/>
    <x v="4"/>
    <x v="41"/>
    <x v="0"/>
    <x v="7"/>
    <n v="0"/>
    <x v="2"/>
  </r>
  <r>
    <x v="30"/>
    <x v="1"/>
    <x v="384"/>
    <x v="1"/>
    <x v="4"/>
    <x v="41"/>
    <x v="0"/>
    <x v="8"/>
    <n v="0"/>
    <x v="2"/>
  </r>
  <r>
    <x v="30"/>
    <x v="1"/>
    <x v="384"/>
    <x v="1"/>
    <x v="4"/>
    <x v="41"/>
    <x v="0"/>
    <x v="9"/>
    <n v="0"/>
    <x v="2"/>
  </r>
  <r>
    <x v="30"/>
    <x v="1"/>
    <x v="384"/>
    <x v="1"/>
    <x v="4"/>
    <x v="41"/>
    <x v="0"/>
    <x v="10"/>
    <n v="0"/>
    <x v="2"/>
  </r>
  <r>
    <x v="30"/>
    <x v="1"/>
    <x v="384"/>
    <x v="1"/>
    <x v="4"/>
    <x v="41"/>
    <x v="0"/>
    <x v="12"/>
    <n v="0"/>
    <x v="2"/>
  </r>
  <r>
    <x v="30"/>
    <x v="1"/>
    <x v="385"/>
    <x v="1"/>
    <x v="4"/>
    <x v="41"/>
    <x v="0"/>
    <x v="0"/>
    <n v="0"/>
    <x v="2"/>
  </r>
  <r>
    <x v="30"/>
    <x v="1"/>
    <x v="385"/>
    <x v="1"/>
    <x v="4"/>
    <x v="41"/>
    <x v="0"/>
    <x v="1"/>
    <n v="1699.59"/>
    <x v="2"/>
  </r>
  <r>
    <x v="30"/>
    <x v="1"/>
    <x v="385"/>
    <x v="1"/>
    <x v="4"/>
    <x v="41"/>
    <x v="0"/>
    <x v="2"/>
    <n v="0"/>
    <x v="2"/>
  </r>
  <r>
    <x v="30"/>
    <x v="1"/>
    <x v="385"/>
    <x v="1"/>
    <x v="4"/>
    <x v="41"/>
    <x v="0"/>
    <x v="3"/>
    <n v="0"/>
    <x v="2"/>
  </r>
  <r>
    <x v="30"/>
    <x v="1"/>
    <x v="385"/>
    <x v="1"/>
    <x v="4"/>
    <x v="41"/>
    <x v="0"/>
    <x v="4"/>
    <n v="0"/>
    <x v="2"/>
  </r>
  <r>
    <x v="30"/>
    <x v="1"/>
    <x v="385"/>
    <x v="1"/>
    <x v="4"/>
    <x v="41"/>
    <x v="0"/>
    <x v="5"/>
    <n v="0"/>
    <x v="2"/>
  </r>
  <r>
    <x v="30"/>
    <x v="1"/>
    <x v="385"/>
    <x v="1"/>
    <x v="4"/>
    <x v="41"/>
    <x v="0"/>
    <x v="6"/>
    <n v="0"/>
    <x v="2"/>
  </r>
  <r>
    <x v="30"/>
    <x v="1"/>
    <x v="385"/>
    <x v="1"/>
    <x v="4"/>
    <x v="41"/>
    <x v="0"/>
    <x v="7"/>
    <n v="0"/>
    <x v="2"/>
  </r>
  <r>
    <x v="30"/>
    <x v="1"/>
    <x v="385"/>
    <x v="1"/>
    <x v="4"/>
    <x v="41"/>
    <x v="0"/>
    <x v="8"/>
    <n v="0"/>
    <x v="2"/>
  </r>
  <r>
    <x v="30"/>
    <x v="1"/>
    <x v="385"/>
    <x v="1"/>
    <x v="4"/>
    <x v="41"/>
    <x v="0"/>
    <x v="9"/>
    <n v="0"/>
    <x v="2"/>
  </r>
  <r>
    <x v="30"/>
    <x v="1"/>
    <x v="385"/>
    <x v="1"/>
    <x v="4"/>
    <x v="41"/>
    <x v="0"/>
    <x v="10"/>
    <n v="0"/>
    <x v="2"/>
  </r>
  <r>
    <x v="30"/>
    <x v="1"/>
    <x v="385"/>
    <x v="1"/>
    <x v="4"/>
    <x v="41"/>
    <x v="0"/>
    <x v="12"/>
    <n v="0"/>
    <x v="2"/>
  </r>
  <r>
    <x v="30"/>
    <x v="1"/>
    <x v="386"/>
    <x v="0"/>
    <x v="4"/>
    <x v="41"/>
    <x v="17"/>
    <x v="0"/>
    <n v="0"/>
    <x v="2"/>
  </r>
  <r>
    <x v="30"/>
    <x v="1"/>
    <x v="386"/>
    <x v="0"/>
    <x v="4"/>
    <x v="41"/>
    <x v="17"/>
    <x v="1"/>
    <n v="0"/>
    <x v="2"/>
  </r>
  <r>
    <x v="30"/>
    <x v="1"/>
    <x v="386"/>
    <x v="0"/>
    <x v="4"/>
    <x v="41"/>
    <x v="17"/>
    <x v="2"/>
    <n v="0"/>
    <x v="2"/>
  </r>
  <r>
    <x v="30"/>
    <x v="1"/>
    <x v="386"/>
    <x v="0"/>
    <x v="4"/>
    <x v="41"/>
    <x v="17"/>
    <x v="3"/>
    <n v="8804.18"/>
    <x v="2"/>
  </r>
  <r>
    <x v="30"/>
    <x v="1"/>
    <x v="386"/>
    <x v="0"/>
    <x v="4"/>
    <x v="41"/>
    <x v="17"/>
    <x v="4"/>
    <n v="0"/>
    <x v="2"/>
  </r>
  <r>
    <x v="30"/>
    <x v="1"/>
    <x v="386"/>
    <x v="0"/>
    <x v="4"/>
    <x v="41"/>
    <x v="17"/>
    <x v="5"/>
    <n v="0"/>
    <x v="2"/>
  </r>
  <r>
    <x v="30"/>
    <x v="1"/>
    <x v="386"/>
    <x v="0"/>
    <x v="4"/>
    <x v="41"/>
    <x v="17"/>
    <x v="6"/>
    <n v="0"/>
    <x v="2"/>
  </r>
  <r>
    <x v="30"/>
    <x v="1"/>
    <x v="386"/>
    <x v="0"/>
    <x v="4"/>
    <x v="41"/>
    <x v="17"/>
    <x v="7"/>
    <n v="1290.19"/>
    <x v="2"/>
  </r>
  <r>
    <x v="30"/>
    <x v="1"/>
    <x v="386"/>
    <x v="0"/>
    <x v="4"/>
    <x v="41"/>
    <x v="17"/>
    <x v="8"/>
    <n v="0"/>
    <x v="2"/>
  </r>
  <r>
    <x v="30"/>
    <x v="1"/>
    <x v="386"/>
    <x v="0"/>
    <x v="4"/>
    <x v="41"/>
    <x v="17"/>
    <x v="9"/>
    <n v="0"/>
    <x v="2"/>
  </r>
  <r>
    <x v="30"/>
    <x v="1"/>
    <x v="386"/>
    <x v="0"/>
    <x v="4"/>
    <x v="41"/>
    <x v="17"/>
    <x v="10"/>
    <n v="0"/>
    <x v="2"/>
  </r>
  <r>
    <x v="30"/>
    <x v="1"/>
    <x v="386"/>
    <x v="0"/>
    <x v="4"/>
    <x v="41"/>
    <x v="17"/>
    <x v="12"/>
    <n v="0"/>
    <x v="2"/>
  </r>
  <r>
    <x v="30"/>
    <x v="1"/>
    <x v="387"/>
    <x v="0"/>
    <x v="4"/>
    <x v="41"/>
    <x v="17"/>
    <x v="0"/>
    <n v="0"/>
    <x v="2"/>
  </r>
  <r>
    <x v="30"/>
    <x v="1"/>
    <x v="387"/>
    <x v="0"/>
    <x v="4"/>
    <x v="41"/>
    <x v="17"/>
    <x v="1"/>
    <n v="0"/>
    <x v="2"/>
  </r>
  <r>
    <x v="30"/>
    <x v="1"/>
    <x v="387"/>
    <x v="0"/>
    <x v="4"/>
    <x v="41"/>
    <x v="17"/>
    <x v="2"/>
    <n v="0"/>
    <x v="2"/>
  </r>
  <r>
    <x v="30"/>
    <x v="1"/>
    <x v="387"/>
    <x v="0"/>
    <x v="4"/>
    <x v="41"/>
    <x v="17"/>
    <x v="3"/>
    <n v="0"/>
    <x v="2"/>
  </r>
  <r>
    <x v="30"/>
    <x v="1"/>
    <x v="387"/>
    <x v="0"/>
    <x v="4"/>
    <x v="41"/>
    <x v="17"/>
    <x v="4"/>
    <n v="0"/>
    <x v="2"/>
  </r>
  <r>
    <x v="30"/>
    <x v="1"/>
    <x v="387"/>
    <x v="0"/>
    <x v="4"/>
    <x v="41"/>
    <x v="17"/>
    <x v="5"/>
    <n v="0"/>
    <x v="2"/>
  </r>
  <r>
    <x v="30"/>
    <x v="1"/>
    <x v="387"/>
    <x v="0"/>
    <x v="4"/>
    <x v="41"/>
    <x v="17"/>
    <x v="6"/>
    <n v="0"/>
    <x v="2"/>
  </r>
  <r>
    <x v="30"/>
    <x v="1"/>
    <x v="387"/>
    <x v="0"/>
    <x v="4"/>
    <x v="41"/>
    <x v="17"/>
    <x v="7"/>
    <n v="1627.41"/>
    <x v="2"/>
  </r>
  <r>
    <x v="30"/>
    <x v="1"/>
    <x v="387"/>
    <x v="0"/>
    <x v="4"/>
    <x v="41"/>
    <x v="17"/>
    <x v="8"/>
    <n v="0"/>
    <x v="2"/>
  </r>
  <r>
    <x v="30"/>
    <x v="1"/>
    <x v="387"/>
    <x v="0"/>
    <x v="4"/>
    <x v="41"/>
    <x v="17"/>
    <x v="9"/>
    <n v="0"/>
    <x v="2"/>
  </r>
  <r>
    <x v="30"/>
    <x v="1"/>
    <x v="387"/>
    <x v="0"/>
    <x v="4"/>
    <x v="41"/>
    <x v="17"/>
    <x v="10"/>
    <n v="0"/>
    <x v="2"/>
  </r>
  <r>
    <x v="30"/>
    <x v="1"/>
    <x v="387"/>
    <x v="0"/>
    <x v="4"/>
    <x v="41"/>
    <x v="17"/>
    <x v="12"/>
    <n v="0"/>
    <x v="2"/>
  </r>
  <r>
    <x v="30"/>
    <x v="1"/>
    <x v="388"/>
    <x v="1"/>
    <x v="4"/>
    <x v="41"/>
    <x v="0"/>
    <x v="0"/>
    <n v="0"/>
    <x v="2"/>
  </r>
  <r>
    <x v="30"/>
    <x v="1"/>
    <x v="388"/>
    <x v="1"/>
    <x v="4"/>
    <x v="41"/>
    <x v="0"/>
    <x v="1"/>
    <n v="0"/>
    <x v="2"/>
  </r>
  <r>
    <x v="30"/>
    <x v="1"/>
    <x v="388"/>
    <x v="1"/>
    <x v="4"/>
    <x v="41"/>
    <x v="0"/>
    <x v="2"/>
    <n v="0"/>
    <x v="2"/>
  </r>
  <r>
    <x v="30"/>
    <x v="1"/>
    <x v="388"/>
    <x v="1"/>
    <x v="4"/>
    <x v="41"/>
    <x v="0"/>
    <x v="3"/>
    <n v="0"/>
    <x v="2"/>
  </r>
  <r>
    <x v="30"/>
    <x v="1"/>
    <x v="388"/>
    <x v="1"/>
    <x v="4"/>
    <x v="41"/>
    <x v="0"/>
    <x v="4"/>
    <n v="0"/>
    <x v="2"/>
  </r>
  <r>
    <x v="30"/>
    <x v="1"/>
    <x v="388"/>
    <x v="1"/>
    <x v="4"/>
    <x v="41"/>
    <x v="0"/>
    <x v="5"/>
    <n v="719.41"/>
    <x v="2"/>
  </r>
  <r>
    <x v="30"/>
    <x v="1"/>
    <x v="388"/>
    <x v="1"/>
    <x v="4"/>
    <x v="41"/>
    <x v="0"/>
    <x v="6"/>
    <n v="0"/>
    <x v="2"/>
  </r>
  <r>
    <x v="30"/>
    <x v="1"/>
    <x v="388"/>
    <x v="1"/>
    <x v="4"/>
    <x v="41"/>
    <x v="0"/>
    <x v="7"/>
    <n v="0"/>
    <x v="2"/>
  </r>
  <r>
    <x v="30"/>
    <x v="1"/>
    <x v="388"/>
    <x v="1"/>
    <x v="4"/>
    <x v="41"/>
    <x v="0"/>
    <x v="8"/>
    <n v="0"/>
    <x v="2"/>
  </r>
  <r>
    <x v="30"/>
    <x v="1"/>
    <x v="388"/>
    <x v="1"/>
    <x v="4"/>
    <x v="41"/>
    <x v="0"/>
    <x v="9"/>
    <n v="0"/>
    <x v="2"/>
  </r>
  <r>
    <x v="30"/>
    <x v="1"/>
    <x v="388"/>
    <x v="1"/>
    <x v="4"/>
    <x v="41"/>
    <x v="0"/>
    <x v="10"/>
    <n v="0"/>
    <x v="2"/>
  </r>
  <r>
    <x v="30"/>
    <x v="1"/>
    <x v="388"/>
    <x v="1"/>
    <x v="4"/>
    <x v="41"/>
    <x v="0"/>
    <x v="12"/>
    <n v="0"/>
    <x v="2"/>
  </r>
  <r>
    <x v="30"/>
    <x v="1"/>
    <x v="373"/>
    <x v="0"/>
    <x v="4"/>
    <x v="6"/>
    <x v="22"/>
    <x v="0"/>
    <n v="0"/>
    <x v="2"/>
  </r>
  <r>
    <x v="30"/>
    <x v="1"/>
    <x v="373"/>
    <x v="0"/>
    <x v="4"/>
    <x v="6"/>
    <x v="22"/>
    <x v="1"/>
    <n v="0"/>
    <x v="2"/>
  </r>
  <r>
    <x v="30"/>
    <x v="1"/>
    <x v="373"/>
    <x v="0"/>
    <x v="4"/>
    <x v="6"/>
    <x v="22"/>
    <x v="2"/>
    <n v="0"/>
    <x v="2"/>
  </r>
  <r>
    <x v="30"/>
    <x v="1"/>
    <x v="373"/>
    <x v="0"/>
    <x v="4"/>
    <x v="6"/>
    <x v="22"/>
    <x v="3"/>
    <n v="0"/>
    <x v="2"/>
  </r>
  <r>
    <x v="30"/>
    <x v="1"/>
    <x v="373"/>
    <x v="0"/>
    <x v="4"/>
    <x v="6"/>
    <x v="22"/>
    <x v="4"/>
    <n v="0"/>
    <x v="2"/>
  </r>
  <r>
    <x v="30"/>
    <x v="1"/>
    <x v="373"/>
    <x v="0"/>
    <x v="4"/>
    <x v="6"/>
    <x v="22"/>
    <x v="5"/>
    <n v="0"/>
    <x v="2"/>
  </r>
  <r>
    <x v="30"/>
    <x v="1"/>
    <x v="373"/>
    <x v="0"/>
    <x v="4"/>
    <x v="6"/>
    <x v="22"/>
    <x v="6"/>
    <n v="0"/>
    <x v="2"/>
  </r>
  <r>
    <x v="30"/>
    <x v="1"/>
    <x v="373"/>
    <x v="0"/>
    <x v="4"/>
    <x v="6"/>
    <x v="22"/>
    <x v="7"/>
    <n v="0"/>
    <x v="2"/>
  </r>
  <r>
    <x v="30"/>
    <x v="1"/>
    <x v="373"/>
    <x v="0"/>
    <x v="4"/>
    <x v="6"/>
    <x v="22"/>
    <x v="8"/>
    <n v="0"/>
    <x v="2"/>
  </r>
  <r>
    <x v="30"/>
    <x v="1"/>
    <x v="373"/>
    <x v="0"/>
    <x v="4"/>
    <x v="6"/>
    <x v="22"/>
    <x v="9"/>
    <n v="0"/>
    <x v="2"/>
  </r>
  <r>
    <x v="30"/>
    <x v="1"/>
    <x v="373"/>
    <x v="0"/>
    <x v="4"/>
    <x v="6"/>
    <x v="22"/>
    <x v="10"/>
    <n v="0"/>
    <x v="2"/>
  </r>
  <r>
    <x v="30"/>
    <x v="1"/>
    <x v="373"/>
    <x v="0"/>
    <x v="4"/>
    <x v="6"/>
    <x v="22"/>
    <x v="12"/>
    <n v="0"/>
    <x v="2"/>
  </r>
  <r>
    <x v="30"/>
    <x v="1"/>
    <x v="374"/>
    <x v="1"/>
    <x v="4"/>
    <x v="6"/>
    <x v="0"/>
    <x v="0"/>
    <n v="86.1"/>
    <x v="2"/>
  </r>
  <r>
    <x v="30"/>
    <x v="1"/>
    <x v="374"/>
    <x v="1"/>
    <x v="4"/>
    <x v="6"/>
    <x v="0"/>
    <x v="1"/>
    <n v="0"/>
    <x v="2"/>
  </r>
  <r>
    <x v="30"/>
    <x v="1"/>
    <x v="374"/>
    <x v="1"/>
    <x v="4"/>
    <x v="6"/>
    <x v="0"/>
    <x v="2"/>
    <n v="0"/>
    <x v="2"/>
  </r>
  <r>
    <x v="30"/>
    <x v="1"/>
    <x v="374"/>
    <x v="1"/>
    <x v="4"/>
    <x v="6"/>
    <x v="0"/>
    <x v="3"/>
    <n v="0"/>
    <x v="2"/>
  </r>
  <r>
    <x v="30"/>
    <x v="1"/>
    <x v="374"/>
    <x v="1"/>
    <x v="4"/>
    <x v="6"/>
    <x v="0"/>
    <x v="4"/>
    <n v="0"/>
    <x v="2"/>
  </r>
  <r>
    <x v="30"/>
    <x v="1"/>
    <x v="374"/>
    <x v="1"/>
    <x v="4"/>
    <x v="6"/>
    <x v="0"/>
    <x v="5"/>
    <n v="0"/>
    <x v="2"/>
  </r>
  <r>
    <x v="30"/>
    <x v="1"/>
    <x v="374"/>
    <x v="1"/>
    <x v="4"/>
    <x v="6"/>
    <x v="0"/>
    <x v="6"/>
    <n v="0"/>
    <x v="2"/>
  </r>
  <r>
    <x v="30"/>
    <x v="1"/>
    <x v="374"/>
    <x v="1"/>
    <x v="4"/>
    <x v="6"/>
    <x v="0"/>
    <x v="7"/>
    <n v="0"/>
    <x v="2"/>
  </r>
  <r>
    <x v="30"/>
    <x v="1"/>
    <x v="374"/>
    <x v="1"/>
    <x v="4"/>
    <x v="6"/>
    <x v="0"/>
    <x v="8"/>
    <n v="0"/>
    <x v="2"/>
  </r>
  <r>
    <x v="30"/>
    <x v="1"/>
    <x v="374"/>
    <x v="1"/>
    <x v="4"/>
    <x v="6"/>
    <x v="0"/>
    <x v="9"/>
    <n v="0"/>
    <x v="2"/>
  </r>
  <r>
    <x v="30"/>
    <x v="1"/>
    <x v="374"/>
    <x v="1"/>
    <x v="4"/>
    <x v="6"/>
    <x v="0"/>
    <x v="10"/>
    <n v="0"/>
    <x v="2"/>
  </r>
  <r>
    <x v="30"/>
    <x v="1"/>
    <x v="374"/>
    <x v="1"/>
    <x v="4"/>
    <x v="6"/>
    <x v="0"/>
    <x v="12"/>
    <n v="0"/>
    <x v="2"/>
  </r>
  <r>
    <x v="30"/>
    <x v="1"/>
    <x v="374"/>
    <x v="1"/>
    <x v="4"/>
    <x v="6"/>
    <x v="0"/>
    <x v="0"/>
    <n v="0"/>
    <x v="2"/>
  </r>
  <r>
    <x v="30"/>
    <x v="1"/>
    <x v="374"/>
    <x v="1"/>
    <x v="4"/>
    <x v="6"/>
    <x v="0"/>
    <x v="1"/>
    <n v="0"/>
    <x v="2"/>
  </r>
  <r>
    <x v="30"/>
    <x v="1"/>
    <x v="374"/>
    <x v="1"/>
    <x v="4"/>
    <x v="6"/>
    <x v="0"/>
    <x v="2"/>
    <n v="0"/>
    <x v="2"/>
  </r>
  <r>
    <x v="30"/>
    <x v="1"/>
    <x v="374"/>
    <x v="1"/>
    <x v="4"/>
    <x v="6"/>
    <x v="0"/>
    <x v="3"/>
    <n v="0"/>
    <x v="2"/>
  </r>
  <r>
    <x v="30"/>
    <x v="1"/>
    <x v="374"/>
    <x v="1"/>
    <x v="4"/>
    <x v="6"/>
    <x v="0"/>
    <x v="4"/>
    <n v="0"/>
    <x v="2"/>
  </r>
  <r>
    <x v="30"/>
    <x v="1"/>
    <x v="374"/>
    <x v="1"/>
    <x v="4"/>
    <x v="6"/>
    <x v="0"/>
    <x v="5"/>
    <n v="0"/>
    <x v="2"/>
  </r>
  <r>
    <x v="30"/>
    <x v="1"/>
    <x v="374"/>
    <x v="1"/>
    <x v="4"/>
    <x v="6"/>
    <x v="0"/>
    <x v="6"/>
    <n v="0"/>
    <x v="2"/>
  </r>
  <r>
    <x v="30"/>
    <x v="1"/>
    <x v="374"/>
    <x v="1"/>
    <x v="4"/>
    <x v="6"/>
    <x v="0"/>
    <x v="7"/>
    <n v="0"/>
    <x v="2"/>
  </r>
  <r>
    <x v="30"/>
    <x v="1"/>
    <x v="374"/>
    <x v="1"/>
    <x v="4"/>
    <x v="6"/>
    <x v="0"/>
    <x v="8"/>
    <n v="0"/>
    <x v="2"/>
  </r>
  <r>
    <x v="30"/>
    <x v="1"/>
    <x v="374"/>
    <x v="1"/>
    <x v="4"/>
    <x v="6"/>
    <x v="0"/>
    <x v="9"/>
    <n v="0"/>
    <x v="2"/>
  </r>
  <r>
    <x v="30"/>
    <x v="1"/>
    <x v="374"/>
    <x v="1"/>
    <x v="4"/>
    <x v="6"/>
    <x v="0"/>
    <x v="10"/>
    <n v="0"/>
    <x v="2"/>
  </r>
  <r>
    <x v="30"/>
    <x v="1"/>
    <x v="374"/>
    <x v="1"/>
    <x v="4"/>
    <x v="6"/>
    <x v="0"/>
    <x v="12"/>
    <n v="0"/>
    <x v="2"/>
  </r>
  <r>
    <x v="30"/>
    <x v="1"/>
    <x v="375"/>
    <x v="0"/>
    <x v="4"/>
    <x v="6"/>
    <x v="23"/>
    <x v="0"/>
    <n v="3040.43"/>
    <x v="2"/>
  </r>
  <r>
    <x v="30"/>
    <x v="1"/>
    <x v="375"/>
    <x v="0"/>
    <x v="4"/>
    <x v="6"/>
    <x v="23"/>
    <x v="1"/>
    <n v="0"/>
    <x v="2"/>
  </r>
  <r>
    <x v="30"/>
    <x v="1"/>
    <x v="375"/>
    <x v="0"/>
    <x v="4"/>
    <x v="6"/>
    <x v="23"/>
    <x v="2"/>
    <n v="0"/>
    <x v="2"/>
  </r>
  <r>
    <x v="30"/>
    <x v="1"/>
    <x v="375"/>
    <x v="0"/>
    <x v="4"/>
    <x v="6"/>
    <x v="23"/>
    <x v="3"/>
    <n v="0"/>
    <x v="2"/>
  </r>
  <r>
    <x v="30"/>
    <x v="1"/>
    <x v="375"/>
    <x v="0"/>
    <x v="4"/>
    <x v="6"/>
    <x v="23"/>
    <x v="4"/>
    <n v="0"/>
    <x v="2"/>
  </r>
  <r>
    <x v="30"/>
    <x v="1"/>
    <x v="375"/>
    <x v="0"/>
    <x v="4"/>
    <x v="6"/>
    <x v="23"/>
    <x v="5"/>
    <n v="0"/>
    <x v="2"/>
  </r>
  <r>
    <x v="30"/>
    <x v="1"/>
    <x v="375"/>
    <x v="0"/>
    <x v="4"/>
    <x v="6"/>
    <x v="23"/>
    <x v="6"/>
    <n v="0"/>
    <x v="2"/>
  </r>
  <r>
    <x v="30"/>
    <x v="1"/>
    <x v="375"/>
    <x v="0"/>
    <x v="4"/>
    <x v="6"/>
    <x v="23"/>
    <x v="7"/>
    <n v="0"/>
    <x v="2"/>
  </r>
  <r>
    <x v="30"/>
    <x v="1"/>
    <x v="375"/>
    <x v="0"/>
    <x v="4"/>
    <x v="6"/>
    <x v="23"/>
    <x v="8"/>
    <n v="0"/>
    <x v="2"/>
  </r>
  <r>
    <x v="30"/>
    <x v="1"/>
    <x v="375"/>
    <x v="0"/>
    <x v="4"/>
    <x v="6"/>
    <x v="23"/>
    <x v="9"/>
    <n v="0"/>
    <x v="2"/>
  </r>
  <r>
    <x v="30"/>
    <x v="1"/>
    <x v="375"/>
    <x v="0"/>
    <x v="4"/>
    <x v="6"/>
    <x v="23"/>
    <x v="10"/>
    <n v="0"/>
    <x v="2"/>
  </r>
  <r>
    <x v="30"/>
    <x v="1"/>
    <x v="375"/>
    <x v="0"/>
    <x v="4"/>
    <x v="6"/>
    <x v="23"/>
    <x v="12"/>
    <n v="0"/>
    <x v="2"/>
  </r>
  <r>
    <x v="30"/>
    <x v="1"/>
    <x v="376"/>
    <x v="1"/>
    <x v="4"/>
    <x v="6"/>
    <x v="0"/>
    <x v="0"/>
    <n v="368"/>
    <x v="2"/>
  </r>
  <r>
    <x v="30"/>
    <x v="1"/>
    <x v="376"/>
    <x v="1"/>
    <x v="4"/>
    <x v="6"/>
    <x v="0"/>
    <x v="1"/>
    <n v="0"/>
    <x v="2"/>
  </r>
  <r>
    <x v="30"/>
    <x v="1"/>
    <x v="376"/>
    <x v="1"/>
    <x v="4"/>
    <x v="6"/>
    <x v="0"/>
    <x v="2"/>
    <n v="0"/>
    <x v="2"/>
  </r>
  <r>
    <x v="30"/>
    <x v="1"/>
    <x v="376"/>
    <x v="1"/>
    <x v="4"/>
    <x v="6"/>
    <x v="0"/>
    <x v="3"/>
    <n v="0"/>
    <x v="2"/>
  </r>
  <r>
    <x v="30"/>
    <x v="1"/>
    <x v="376"/>
    <x v="1"/>
    <x v="4"/>
    <x v="6"/>
    <x v="0"/>
    <x v="4"/>
    <n v="0"/>
    <x v="2"/>
  </r>
  <r>
    <x v="30"/>
    <x v="1"/>
    <x v="376"/>
    <x v="1"/>
    <x v="4"/>
    <x v="6"/>
    <x v="0"/>
    <x v="5"/>
    <n v="0"/>
    <x v="2"/>
  </r>
  <r>
    <x v="30"/>
    <x v="1"/>
    <x v="376"/>
    <x v="1"/>
    <x v="4"/>
    <x v="6"/>
    <x v="0"/>
    <x v="6"/>
    <n v="0"/>
    <x v="2"/>
  </r>
  <r>
    <x v="30"/>
    <x v="1"/>
    <x v="376"/>
    <x v="1"/>
    <x v="4"/>
    <x v="6"/>
    <x v="0"/>
    <x v="7"/>
    <n v="0"/>
    <x v="2"/>
  </r>
  <r>
    <x v="30"/>
    <x v="1"/>
    <x v="376"/>
    <x v="1"/>
    <x v="4"/>
    <x v="6"/>
    <x v="0"/>
    <x v="8"/>
    <n v="0"/>
    <x v="2"/>
  </r>
  <r>
    <x v="30"/>
    <x v="1"/>
    <x v="376"/>
    <x v="1"/>
    <x v="4"/>
    <x v="6"/>
    <x v="0"/>
    <x v="9"/>
    <n v="0"/>
    <x v="2"/>
  </r>
  <r>
    <x v="30"/>
    <x v="1"/>
    <x v="376"/>
    <x v="1"/>
    <x v="4"/>
    <x v="6"/>
    <x v="0"/>
    <x v="10"/>
    <n v="0"/>
    <x v="2"/>
  </r>
  <r>
    <x v="30"/>
    <x v="1"/>
    <x v="376"/>
    <x v="1"/>
    <x v="4"/>
    <x v="6"/>
    <x v="0"/>
    <x v="12"/>
    <n v="2000"/>
    <x v="2"/>
  </r>
  <r>
    <x v="30"/>
    <x v="1"/>
    <x v="377"/>
    <x v="1"/>
    <x v="4"/>
    <x v="6"/>
    <x v="0"/>
    <x v="0"/>
    <n v="0"/>
    <x v="2"/>
  </r>
  <r>
    <x v="30"/>
    <x v="1"/>
    <x v="377"/>
    <x v="1"/>
    <x v="4"/>
    <x v="6"/>
    <x v="0"/>
    <x v="1"/>
    <n v="0"/>
    <x v="2"/>
  </r>
  <r>
    <x v="30"/>
    <x v="1"/>
    <x v="377"/>
    <x v="1"/>
    <x v="4"/>
    <x v="6"/>
    <x v="0"/>
    <x v="2"/>
    <n v="0"/>
    <x v="2"/>
  </r>
  <r>
    <x v="30"/>
    <x v="1"/>
    <x v="377"/>
    <x v="1"/>
    <x v="4"/>
    <x v="6"/>
    <x v="0"/>
    <x v="3"/>
    <n v="0"/>
    <x v="2"/>
  </r>
  <r>
    <x v="30"/>
    <x v="1"/>
    <x v="377"/>
    <x v="1"/>
    <x v="4"/>
    <x v="6"/>
    <x v="0"/>
    <x v="4"/>
    <n v="0"/>
    <x v="2"/>
  </r>
  <r>
    <x v="30"/>
    <x v="1"/>
    <x v="377"/>
    <x v="1"/>
    <x v="4"/>
    <x v="6"/>
    <x v="0"/>
    <x v="5"/>
    <n v="0"/>
    <x v="2"/>
  </r>
  <r>
    <x v="30"/>
    <x v="1"/>
    <x v="377"/>
    <x v="1"/>
    <x v="4"/>
    <x v="6"/>
    <x v="0"/>
    <x v="6"/>
    <n v="0"/>
    <x v="2"/>
  </r>
  <r>
    <x v="30"/>
    <x v="1"/>
    <x v="377"/>
    <x v="1"/>
    <x v="4"/>
    <x v="6"/>
    <x v="0"/>
    <x v="7"/>
    <n v="0"/>
    <x v="2"/>
  </r>
  <r>
    <x v="30"/>
    <x v="1"/>
    <x v="377"/>
    <x v="1"/>
    <x v="4"/>
    <x v="6"/>
    <x v="0"/>
    <x v="8"/>
    <n v="0"/>
    <x v="2"/>
  </r>
  <r>
    <x v="30"/>
    <x v="1"/>
    <x v="377"/>
    <x v="1"/>
    <x v="4"/>
    <x v="6"/>
    <x v="0"/>
    <x v="9"/>
    <n v="0"/>
    <x v="2"/>
  </r>
  <r>
    <x v="30"/>
    <x v="1"/>
    <x v="377"/>
    <x v="1"/>
    <x v="4"/>
    <x v="6"/>
    <x v="0"/>
    <x v="10"/>
    <n v="0"/>
    <x v="2"/>
  </r>
  <r>
    <x v="30"/>
    <x v="1"/>
    <x v="377"/>
    <x v="1"/>
    <x v="4"/>
    <x v="6"/>
    <x v="0"/>
    <x v="12"/>
    <n v="0"/>
    <x v="2"/>
  </r>
  <r>
    <x v="30"/>
    <x v="1"/>
    <x v="378"/>
    <x v="1"/>
    <x v="4"/>
    <x v="6"/>
    <x v="0"/>
    <x v="0"/>
    <n v="317.83"/>
    <x v="2"/>
  </r>
  <r>
    <x v="30"/>
    <x v="1"/>
    <x v="378"/>
    <x v="1"/>
    <x v="4"/>
    <x v="6"/>
    <x v="0"/>
    <x v="1"/>
    <n v="0"/>
    <x v="2"/>
  </r>
  <r>
    <x v="30"/>
    <x v="1"/>
    <x v="378"/>
    <x v="1"/>
    <x v="4"/>
    <x v="6"/>
    <x v="0"/>
    <x v="2"/>
    <n v="0"/>
    <x v="2"/>
  </r>
  <r>
    <x v="30"/>
    <x v="1"/>
    <x v="378"/>
    <x v="1"/>
    <x v="4"/>
    <x v="6"/>
    <x v="0"/>
    <x v="3"/>
    <n v="0"/>
    <x v="2"/>
  </r>
  <r>
    <x v="30"/>
    <x v="1"/>
    <x v="378"/>
    <x v="1"/>
    <x v="4"/>
    <x v="6"/>
    <x v="0"/>
    <x v="4"/>
    <n v="0"/>
    <x v="2"/>
  </r>
  <r>
    <x v="30"/>
    <x v="1"/>
    <x v="378"/>
    <x v="1"/>
    <x v="4"/>
    <x v="6"/>
    <x v="0"/>
    <x v="5"/>
    <n v="0"/>
    <x v="2"/>
  </r>
  <r>
    <x v="30"/>
    <x v="1"/>
    <x v="378"/>
    <x v="1"/>
    <x v="4"/>
    <x v="6"/>
    <x v="0"/>
    <x v="6"/>
    <n v="0"/>
    <x v="2"/>
  </r>
  <r>
    <x v="30"/>
    <x v="1"/>
    <x v="378"/>
    <x v="1"/>
    <x v="4"/>
    <x v="6"/>
    <x v="0"/>
    <x v="7"/>
    <n v="0"/>
    <x v="2"/>
  </r>
  <r>
    <x v="30"/>
    <x v="1"/>
    <x v="378"/>
    <x v="1"/>
    <x v="4"/>
    <x v="6"/>
    <x v="0"/>
    <x v="8"/>
    <n v="0"/>
    <x v="2"/>
  </r>
  <r>
    <x v="30"/>
    <x v="1"/>
    <x v="378"/>
    <x v="1"/>
    <x v="4"/>
    <x v="6"/>
    <x v="0"/>
    <x v="9"/>
    <n v="0"/>
    <x v="2"/>
  </r>
  <r>
    <x v="30"/>
    <x v="1"/>
    <x v="378"/>
    <x v="1"/>
    <x v="4"/>
    <x v="6"/>
    <x v="0"/>
    <x v="10"/>
    <n v="0"/>
    <x v="2"/>
  </r>
  <r>
    <x v="30"/>
    <x v="1"/>
    <x v="378"/>
    <x v="1"/>
    <x v="4"/>
    <x v="6"/>
    <x v="0"/>
    <x v="12"/>
    <n v="0"/>
    <x v="2"/>
  </r>
  <r>
    <x v="30"/>
    <x v="1"/>
    <x v="380"/>
    <x v="1"/>
    <x v="4"/>
    <x v="6"/>
    <x v="0"/>
    <x v="0"/>
    <n v="0"/>
    <x v="2"/>
  </r>
  <r>
    <x v="30"/>
    <x v="1"/>
    <x v="380"/>
    <x v="1"/>
    <x v="4"/>
    <x v="6"/>
    <x v="0"/>
    <x v="1"/>
    <n v="0"/>
    <x v="2"/>
  </r>
  <r>
    <x v="30"/>
    <x v="1"/>
    <x v="380"/>
    <x v="1"/>
    <x v="4"/>
    <x v="6"/>
    <x v="0"/>
    <x v="2"/>
    <n v="0"/>
    <x v="2"/>
  </r>
  <r>
    <x v="30"/>
    <x v="1"/>
    <x v="380"/>
    <x v="1"/>
    <x v="4"/>
    <x v="6"/>
    <x v="0"/>
    <x v="3"/>
    <n v="176.94"/>
    <x v="2"/>
  </r>
  <r>
    <x v="30"/>
    <x v="1"/>
    <x v="380"/>
    <x v="1"/>
    <x v="4"/>
    <x v="6"/>
    <x v="0"/>
    <x v="4"/>
    <n v="0"/>
    <x v="2"/>
  </r>
  <r>
    <x v="30"/>
    <x v="1"/>
    <x v="380"/>
    <x v="1"/>
    <x v="4"/>
    <x v="6"/>
    <x v="0"/>
    <x v="5"/>
    <n v="0"/>
    <x v="2"/>
  </r>
  <r>
    <x v="30"/>
    <x v="1"/>
    <x v="380"/>
    <x v="1"/>
    <x v="4"/>
    <x v="6"/>
    <x v="0"/>
    <x v="6"/>
    <n v="0"/>
    <x v="2"/>
  </r>
  <r>
    <x v="30"/>
    <x v="1"/>
    <x v="380"/>
    <x v="1"/>
    <x v="4"/>
    <x v="6"/>
    <x v="0"/>
    <x v="7"/>
    <n v="103.15"/>
    <x v="2"/>
  </r>
  <r>
    <x v="30"/>
    <x v="1"/>
    <x v="380"/>
    <x v="1"/>
    <x v="4"/>
    <x v="6"/>
    <x v="0"/>
    <x v="8"/>
    <n v="0"/>
    <x v="2"/>
  </r>
  <r>
    <x v="30"/>
    <x v="1"/>
    <x v="380"/>
    <x v="1"/>
    <x v="4"/>
    <x v="6"/>
    <x v="0"/>
    <x v="9"/>
    <n v="0"/>
    <x v="2"/>
  </r>
  <r>
    <x v="30"/>
    <x v="1"/>
    <x v="380"/>
    <x v="1"/>
    <x v="4"/>
    <x v="6"/>
    <x v="0"/>
    <x v="10"/>
    <n v="0"/>
    <x v="2"/>
  </r>
  <r>
    <x v="30"/>
    <x v="1"/>
    <x v="380"/>
    <x v="1"/>
    <x v="4"/>
    <x v="6"/>
    <x v="0"/>
    <x v="12"/>
    <n v="0"/>
    <x v="2"/>
  </r>
  <r>
    <x v="30"/>
    <x v="1"/>
    <x v="381"/>
    <x v="0"/>
    <x v="4"/>
    <x v="6"/>
    <x v="23"/>
    <x v="0"/>
    <n v="0"/>
    <x v="2"/>
  </r>
  <r>
    <x v="30"/>
    <x v="1"/>
    <x v="381"/>
    <x v="0"/>
    <x v="4"/>
    <x v="6"/>
    <x v="23"/>
    <x v="1"/>
    <n v="289.89999999999998"/>
    <x v="2"/>
  </r>
  <r>
    <x v="30"/>
    <x v="1"/>
    <x v="381"/>
    <x v="0"/>
    <x v="4"/>
    <x v="6"/>
    <x v="23"/>
    <x v="2"/>
    <n v="0"/>
    <x v="2"/>
  </r>
  <r>
    <x v="30"/>
    <x v="1"/>
    <x v="381"/>
    <x v="0"/>
    <x v="4"/>
    <x v="6"/>
    <x v="23"/>
    <x v="3"/>
    <n v="0"/>
    <x v="2"/>
  </r>
  <r>
    <x v="30"/>
    <x v="1"/>
    <x v="381"/>
    <x v="0"/>
    <x v="4"/>
    <x v="6"/>
    <x v="23"/>
    <x v="4"/>
    <n v="0"/>
    <x v="2"/>
  </r>
  <r>
    <x v="30"/>
    <x v="1"/>
    <x v="381"/>
    <x v="0"/>
    <x v="4"/>
    <x v="6"/>
    <x v="23"/>
    <x v="5"/>
    <n v="0"/>
    <x v="2"/>
  </r>
  <r>
    <x v="30"/>
    <x v="1"/>
    <x v="381"/>
    <x v="0"/>
    <x v="4"/>
    <x v="6"/>
    <x v="23"/>
    <x v="6"/>
    <n v="0"/>
    <x v="2"/>
  </r>
  <r>
    <x v="30"/>
    <x v="1"/>
    <x v="381"/>
    <x v="0"/>
    <x v="4"/>
    <x v="6"/>
    <x v="23"/>
    <x v="7"/>
    <n v="0"/>
    <x v="2"/>
  </r>
  <r>
    <x v="30"/>
    <x v="1"/>
    <x v="381"/>
    <x v="0"/>
    <x v="4"/>
    <x v="6"/>
    <x v="23"/>
    <x v="8"/>
    <n v="0"/>
    <x v="2"/>
  </r>
  <r>
    <x v="30"/>
    <x v="1"/>
    <x v="381"/>
    <x v="0"/>
    <x v="4"/>
    <x v="6"/>
    <x v="23"/>
    <x v="9"/>
    <n v="0"/>
    <x v="2"/>
  </r>
  <r>
    <x v="30"/>
    <x v="1"/>
    <x v="381"/>
    <x v="0"/>
    <x v="4"/>
    <x v="6"/>
    <x v="23"/>
    <x v="10"/>
    <n v="0"/>
    <x v="2"/>
  </r>
  <r>
    <x v="30"/>
    <x v="1"/>
    <x v="381"/>
    <x v="0"/>
    <x v="4"/>
    <x v="6"/>
    <x v="23"/>
    <x v="12"/>
    <n v="0"/>
    <x v="2"/>
  </r>
  <r>
    <x v="30"/>
    <x v="1"/>
    <x v="382"/>
    <x v="1"/>
    <x v="4"/>
    <x v="6"/>
    <x v="0"/>
    <x v="0"/>
    <n v="0"/>
    <x v="2"/>
  </r>
  <r>
    <x v="30"/>
    <x v="1"/>
    <x v="382"/>
    <x v="1"/>
    <x v="4"/>
    <x v="6"/>
    <x v="0"/>
    <x v="1"/>
    <n v="0"/>
    <x v="2"/>
  </r>
  <r>
    <x v="30"/>
    <x v="1"/>
    <x v="382"/>
    <x v="1"/>
    <x v="4"/>
    <x v="6"/>
    <x v="0"/>
    <x v="2"/>
    <n v="0"/>
    <x v="2"/>
  </r>
  <r>
    <x v="30"/>
    <x v="1"/>
    <x v="382"/>
    <x v="1"/>
    <x v="4"/>
    <x v="6"/>
    <x v="0"/>
    <x v="3"/>
    <n v="0"/>
    <x v="2"/>
  </r>
  <r>
    <x v="30"/>
    <x v="1"/>
    <x v="382"/>
    <x v="1"/>
    <x v="4"/>
    <x v="6"/>
    <x v="0"/>
    <x v="4"/>
    <n v="0"/>
    <x v="2"/>
  </r>
  <r>
    <x v="30"/>
    <x v="1"/>
    <x v="382"/>
    <x v="1"/>
    <x v="4"/>
    <x v="6"/>
    <x v="0"/>
    <x v="5"/>
    <n v="0"/>
    <x v="2"/>
  </r>
  <r>
    <x v="30"/>
    <x v="1"/>
    <x v="382"/>
    <x v="1"/>
    <x v="4"/>
    <x v="6"/>
    <x v="0"/>
    <x v="6"/>
    <n v="0"/>
    <x v="2"/>
  </r>
  <r>
    <x v="30"/>
    <x v="1"/>
    <x v="382"/>
    <x v="1"/>
    <x v="4"/>
    <x v="6"/>
    <x v="0"/>
    <x v="7"/>
    <n v="0"/>
    <x v="2"/>
  </r>
  <r>
    <x v="30"/>
    <x v="1"/>
    <x v="382"/>
    <x v="1"/>
    <x v="4"/>
    <x v="6"/>
    <x v="0"/>
    <x v="8"/>
    <n v="0"/>
    <x v="2"/>
  </r>
  <r>
    <x v="30"/>
    <x v="1"/>
    <x v="382"/>
    <x v="1"/>
    <x v="4"/>
    <x v="6"/>
    <x v="0"/>
    <x v="9"/>
    <n v="400"/>
    <x v="2"/>
  </r>
  <r>
    <x v="30"/>
    <x v="1"/>
    <x v="382"/>
    <x v="1"/>
    <x v="4"/>
    <x v="6"/>
    <x v="0"/>
    <x v="10"/>
    <n v="0"/>
    <x v="2"/>
  </r>
  <r>
    <x v="30"/>
    <x v="1"/>
    <x v="382"/>
    <x v="1"/>
    <x v="4"/>
    <x v="6"/>
    <x v="0"/>
    <x v="12"/>
    <n v="0"/>
    <x v="2"/>
  </r>
  <r>
    <x v="30"/>
    <x v="1"/>
    <x v="383"/>
    <x v="1"/>
    <x v="4"/>
    <x v="6"/>
    <x v="0"/>
    <x v="0"/>
    <n v="868.35"/>
    <x v="2"/>
  </r>
  <r>
    <x v="30"/>
    <x v="1"/>
    <x v="383"/>
    <x v="1"/>
    <x v="4"/>
    <x v="6"/>
    <x v="0"/>
    <x v="1"/>
    <n v="0"/>
    <x v="2"/>
  </r>
  <r>
    <x v="30"/>
    <x v="1"/>
    <x v="383"/>
    <x v="1"/>
    <x v="4"/>
    <x v="6"/>
    <x v="0"/>
    <x v="2"/>
    <n v="0"/>
    <x v="2"/>
  </r>
  <r>
    <x v="30"/>
    <x v="1"/>
    <x v="383"/>
    <x v="1"/>
    <x v="4"/>
    <x v="6"/>
    <x v="0"/>
    <x v="3"/>
    <n v="0"/>
    <x v="2"/>
  </r>
  <r>
    <x v="30"/>
    <x v="1"/>
    <x v="383"/>
    <x v="1"/>
    <x v="4"/>
    <x v="6"/>
    <x v="0"/>
    <x v="4"/>
    <n v="0"/>
    <x v="2"/>
  </r>
  <r>
    <x v="30"/>
    <x v="1"/>
    <x v="383"/>
    <x v="1"/>
    <x v="4"/>
    <x v="6"/>
    <x v="0"/>
    <x v="5"/>
    <n v="0"/>
    <x v="2"/>
  </r>
  <r>
    <x v="30"/>
    <x v="1"/>
    <x v="383"/>
    <x v="1"/>
    <x v="4"/>
    <x v="6"/>
    <x v="0"/>
    <x v="6"/>
    <n v="0"/>
    <x v="2"/>
  </r>
  <r>
    <x v="30"/>
    <x v="1"/>
    <x v="383"/>
    <x v="1"/>
    <x v="4"/>
    <x v="6"/>
    <x v="0"/>
    <x v="7"/>
    <n v="0"/>
    <x v="2"/>
  </r>
  <r>
    <x v="30"/>
    <x v="1"/>
    <x v="383"/>
    <x v="1"/>
    <x v="4"/>
    <x v="6"/>
    <x v="0"/>
    <x v="8"/>
    <n v="0"/>
    <x v="2"/>
  </r>
  <r>
    <x v="30"/>
    <x v="1"/>
    <x v="383"/>
    <x v="1"/>
    <x v="4"/>
    <x v="6"/>
    <x v="0"/>
    <x v="9"/>
    <n v="0"/>
    <x v="2"/>
  </r>
  <r>
    <x v="30"/>
    <x v="1"/>
    <x v="383"/>
    <x v="1"/>
    <x v="4"/>
    <x v="6"/>
    <x v="0"/>
    <x v="10"/>
    <n v="0"/>
    <x v="2"/>
  </r>
  <r>
    <x v="30"/>
    <x v="1"/>
    <x v="383"/>
    <x v="1"/>
    <x v="4"/>
    <x v="6"/>
    <x v="0"/>
    <x v="12"/>
    <n v="0"/>
    <x v="2"/>
  </r>
  <r>
    <x v="30"/>
    <x v="1"/>
    <x v="384"/>
    <x v="1"/>
    <x v="4"/>
    <x v="6"/>
    <x v="0"/>
    <x v="0"/>
    <n v="0"/>
    <x v="2"/>
  </r>
  <r>
    <x v="30"/>
    <x v="1"/>
    <x v="384"/>
    <x v="1"/>
    <x v="4"/>
    <x v="6"/>
    <x v="0"/>
    <x v="1"/>
    <n v="0"/>
    <x v="2"/>
  </r>
  <r>
    <x v="30"/>
    <x v="1"/>
    <x v="384"/>
    <x v="1"/>
    <x v="4"/>
    <x v="6"/>
    <x v="0"/>
    <x v="2"/>
    <n v="0"/>
    <x v="2"/>
  </r>
  <r>
    <x v="30"/>
    <x v="1"/>
    <x v="384"/>
    <x v="1"/>
    <x v="4"/>
    <x v="6"/>
    <x v="0"/>
    <x v="3"/>
    <n v="0"/>
    <x v="2"/>
  </r>
  <r>
    <x v="30"/>
    <x v="1"/>
    <x v="384"/>
    <x v="1"/>
    <x v="4"/>
    <x v="6"/>
    <x v="0"/>
    <x v="4"/>
    <n v="0"/>
    <x v="2"/>
  </r>
  <r>
    <x v="30"/>
    <x v="1"/>
    <x v="384"/>
    <x v="1"/>
    <x v="4"/>
    <x v="6"/>
    <x v="0"/>
    <x v="5"/>
    <n v="0"/>
    <x v="2"/>
  </r>
  <r>
    <x v="30"/>
    <x v="1"/>
    <x v="384"/>
    <x v="1"/>
    <x v="4"/>
    <x v="6"/>
    <x v="0"/>
    <x v="6"/>
    <n v="0"/>
    <x v="2"/>
  </r>
  <r>
    <x v="30"/>
    <x v="1"/>
    <x v="384"/>
    <x v="1"/>
    <x v="4"/>
    <x v="6"/>
    <x v="0"/>
    <x v="7"/>
    <n v="0"/>
    <x v="2"/>
  </r>
  <r>
    <x v="30"/>
    <x v="1"/>
    <x v="384"/>
    <x v="1"/>
    <x v="4"/>
    <x v="6"/>
    <x v="0"/>
    <x v="8"/>
    <n v="0"/>
    <x v="2"/>
  </r>
  <r>
    <x v="30"/>
    <x v="1"/>
    <x v="384"/>
    <x v="1"/>
    <x v="4"/>
    <x v="6"/>
    <x v="0"/>
    <x v="9"/>
    <n v="0"/>
    <x v="2"/>
  </r>
  <r>
    <x v="30"/>
    <x v="1"/>
    <x v="384"/>
    <x v="1"/>
    <x v="4"/>
    <x v="6"/>
    <x v="0"/>
    <x v="10"/>
    <n v="0"/>
    <x v="2"/>
  </r>
  <r>
    <x v="30"/>
    <x v="1"/>
    <x v="384"/>
    <x v="1"/>
    <x v="4"/>
    <x v="6"/>
    <x v="0"/>
    <x v="12"/>
    <n v="0"/>
    <x v="2"/>
  </r>
  <r>
    <x v="30"/>
    <x v="1"/>
    <x v="389"/>
    <x v="0"/>
    <x v="4"/>
    <x v="6"/>
    <x v="17"/>
    <x v="0"/>
    <n v="0"/>
    <x v="2"/>
  </r>
  <r>
    <x v="30"/>
    <x v="1"/>
    <x v="389"/>
    <x v="0"/>
    <x v="4"/>
    <x v="6"/>
    <x v="17"/>
    <x v="1"/>
    <n v="0"/>
    <x v="2"/>
  </r>
  <r>
    <x v="30"/>
    <x v="1"/>
    <x v="389"/>
    <x v="0"/>
    <x v="4"/>
    <x v="6"/>
    <x v="17"/>
    <x v="2"/>
    <n v="0"/>
    <x v="2"/>
  </r>
  <r>
    <x v="30"/>
    <x v="1"/>
    <x v="389"/>
    <x v="0"/>
    <x v="4"/>
    <x v="6"/>
    <x v="17"/>
    <x v="3"/>
    <n v="348.47"/>
    <x v="2"/>
  </r>
  <r>
    <x v="30"/>
    <x v="1"/>
    <x v="389"/>
    <x v="0"/>
    <x v="4"/>
    <x v="6"/>
    <x v="17"/>
    <x v="4"/>
    <n v="664.29"/>
    <x v="2"/>
  </r>
  <r>
    <x v="30"/>
    <x v="1"/>
    <x v="389"/>
    <x v="0"/>
    <x v="4"/>
    <x v="6"/>
    <x v="17"/>
    <x v="5"/>
    <n v="0"/>
    <x v="2"/>
  </r>
  <r>
    <x v="30"/>
    <x v="1"/>
    <x v="389"/>
    <x v="0"/>
    <x v="4"/>
    <x v="6"/>
    <x v="17"/>
    <x v="6"/>
    <n v="0"/>
    <x v="2"/>
  </r>
  <r>
    <x v="30"/>
    <x v="1"/>
    <x v="389"/>
    <x v="0"/>
    <x v="4"/>
    <x v="6"/>
    <x v="17"/>
    <x v="7"/>
    <n v="1172.5"/>
    <x v="2"/>
  </r>
  <r>
    <x v="30"/>
    <x v="1"/>
    <x v="389"/>
    <x v="0"/>
    <x v="4"/>
    <x v="6"/>
    <x v="17"/>
    <x v="8"/>
    <n v="1110"/>
    <x v="2"/>
  </r>
  <r>
    <x v="30"/>
    <x v="1"/>
    <x v="389"/>
    <x v="0"/>
    <x v="4"/>
    <x v="6"/>
    <x v="17"/>
    <x v="9"/>
    <n v="937"/>
    <x v="2"/>
  </r>
  <r>
    <x v="30"/>
    <x v="1"/>
    <x v="389"/>
    <x v="0"/>
    <x v="4"/>
    <x v="6"/>
    <x v="17"/>
    <x v="10"/>
    <n v="0"/>
    <x v="2"/>
  </r>
  <r>
    <x v="30"/>
    <x v="1"/>
    <x v="389"/>
    <x v="0"/>
    <x v="4"/>
    <x v="6"/>
    <x v="17"/>
    <x v="12"/>
    <n v="0"/>
    <x v="2"/>
  </r>
  <r>
    <x v="30"/>
    <x v="1"/>
    <x v="390"/>
    <x v="1"/>
    <x v="4"/>
    <x v="6"/>
    <x v="0"/>
    <x v="0"/>
    <n v="0"/>
    <x v="2"/>
  </r>
  <r>
    <x v="30"/>
    <x v="1"/>
    <x v="390"/>
    <x v="1"/>
    <x v="4"/>
    <x v="6"/>
    <x v="0"/>
    <x v="1"/>
    <n v="0"/>
    <x v="2"/>
  </r>
  <r>
    <x v="30"/>
    <x v="1"/>
    <x v="390"/>
    <x v="1"/>
    <x v="4"/>
    <x v="6"/>
    <x v="0"/>
    <x v="2"/>
    <n v="0"/>
    <x v="2"/>
  </r>
  <r>
    <x v="30"/>
    <x v="1"/>
    <x v="390"/>
    <x v="1"/>
    <x v="4"/>
    <x v="6"/>
    <x v="0"/>
    <x v="3"/>
    <n v="0"/>
    <x v="2"/>
  </r>
  <r>
    <x v="30"/>
    <x v="1"/>
    <x v="390"/>
    <x v="1"/>
    <x v="4"/>
    <x v="6"/>
    <x v="0"/>
    <x v="4"/>
    <n v="0"/>
    <x v="2"/>
  </r>
  <r>
    <x v="30"/>
    <x v="1"/>
    <x v="390"/>
    <x v="1"/>
    <x v="4"/>
    <x v="6"/>
    <x v="0"/>
    <x v="5"/>
    <n v="411.7"/>
    <x v="2"/>
  </r>
  <r>
    <x v="30"/>
    <x v="1"/>
    <x v="390"/>
    <x v="1"/>
    <x v="4"/>
    <x v="6"/>
    <x v="0"/>
    <x v="6"/>
    <n v="0"/>
    <x v="2"/>
  </r>
  <r>
    <x v="30"/>
    <x v="1"/>
    <x v="390"/>
    <x v="1"/>
    <x v="4"/>
    <x v="6"/>
    <x v="0"/>
    <x v="7"/>
    <n v="0"/>
    <x v="2"/>
  </r>
  <r>
    <x v="30"/>
    <x v="1"/>
    <x v="390"/>
    <x v="1"/>
    <x v="4"/>
    <x v="6"/>
    <x v="0"/>
    <x v="8"/>
    <n v="0"/>
    <x v="2"/>
  </r>
  <r>
    <x v="30"/>
    <x v="1"/>
    <x v="390"/>
    <x v="1"/>
    <x v="4"/>
    <x v="6"/>
    <x v="0"/>
    <x v="9"/>
    <n v="0"/>
    <x v="2"/>
  </r>
  <r>
    <x v="30"/>
    <x v="1"/>
    <x v="390"/>
    <x v="1"/>
    <x v="4"/>
    <x v="6"/>
    <x v="0"/>
    <x v="10"/>
    <n v="0"/>
    <x v="2"/>
  </r>
  <r>
    <x v="30"/>
    <x v="1"/>
    <x v="390"/>
    <x v="1"/>
    <x v="4"/>
    <x v="6"/>
    <x v="0"/>
    <x v="12"/>
    <n v="0"/>
    <x v="2"/>
  </r>
  <r>
    <x v="30"/>
    <x v="1"/>
    <x v="391"/>
    <x v="1"/>
    <x v="4"/>
    <x v="6"/>
    <x v="0"/>
    <x v="0"/>
    <n v="0"/>
    <x v="2"/>
  </r>
  <r>
    <x v="30"/>
    <x v="1"/>
    <x v="391"/>
    <x v="1"/>
    <x v="4"/>
    <x v="6"/>
    <x v="0"/>
    <x v="1"/>
    <n v="0"/>
    <x v="2"/>
  </r>
  <r>
    <x v="30"/>
    <x v="1"/>
    <x v="391"/>
    <x v="1"/>
    <x v="4"/>
    <x v="6"/>
    <x v="0"/>
    <x v="2"/>
    <n v="0"/>
    <x v="2"/>
  </r>
  <r>
    <x v="30"/>
    <x v="1"/>
    <x v="391"/>
    <x v="1"/>
    <x v="4"/>
    <x v="6"/>
    <x v="0"/>
    <x v="3"/>
    <n v="0"/>
    <x v="2"/>
  </r>
  <r>
    <x v="30"/>
    <x v="1"/>
    <x v="391"/>
    <x v="1"/>
    <x v="4"/>
    <x v="6"/>
    <x v="0"/>
    <x v="4"/>
    <n v="0"/>
    <x v="2"/>
  </r>
  <r>
    <x v="30"/>
    <x v="1"/>
    <x v="391"/>
    <x v="1"/>
    <x v="4"/>
    <x v="6"/>
    <x v="0"/>
    <x v="5"/>
    <n v="0"/>
    <x v="2"/>
  </r>
  <r>
    <x v="30"/>
    <x v="1"/>
    <x v="391"/>
    <x v="1"/>
    <x v="4"/>
    <x v="6"/>
    <x v="0"/>
    <x v="6"/>
    <n v="237"/>
    <x v="2"/>
  </r>
  <r>
    <x v="30"/>
    <x v="1"/>
    <x v="391"/>
    <x v="1"/>
    <x v="4"/>
    <x v="6"/>
    <x v="0"/>
    <x v="7"/>
    <n v="0"/>
    <x v="2"/>
  </r>
  <r>
    <x v="30"/>
    <x v="1"/>
    <x v="391"/>
    <x v="1"/>
    <x v="4"/>
    <x v="6"/>
    <x v="0"/>
    <x v="8"/>
    <n v="0"/>
    <x v="2"/>
  </r>
  <r>
    <x v="30"/>
    <x v="1"/>
    <x v="391"/>
    <x v="1"/>
    <x v="4"/>
    <x v="6"/>
    <x v="0"/>
    <x v="9"/>
    <n v="0"/>
    <x v="2"/>
  </r>
  <r>
    <x v="30"/>
    <x v="1"/>
    <x v="391"/>
    <x v="1"/>
    <x v="4"/>
    <x v="6"/>
    <x v="0"/>
    <x v="10"/>
    <n v="0"/>
    <x v="2"/>
  </r>
  <r>
    <x v="30"/>
    <x v="1"/>
    <x v="391"/>
    <x v="1"/>
    <x v="4"/>
    <x v="6"/>
    <x v="0"/>
    <x v="12"/>
    <n v="0"/>
    <x v="2"/>
  </r>
  <r>
    <x v="30"/>
    <x v="1"/>
    <x v="392"/>
    <x v="1"/>
    <x v="4"/>
    <x v="6"/>
    <x v="0"/>
    <x v="0"/>
    <n v="0"/>
    <x v="2"/>
  </r>
  <r>
    <x v="30"/>
    <x v="1"/>
    <x v="392"/>
    <x v="1"/>
    <x v="4"/>
    <x v="6"/>
    <x v="0"/>
    <x v="1"/>
    <n v="0"/>
    <x v="2"/>
  </r>
  <r>
    <x v="30"/>
    <x v="1"/>
    <x v="392"/>
    <x v="1"/>
    <x v="4"/>
    <x v="6"/>
    <x v="0"/>
    <x v="2"/>
    <n v="0"/>
    <x v="2"/>
  </r>
  <r>
    <x v="30"/>
    <x v="1"/>
    <x v="392"/>
    <x v="1"/>
    <x v="4"/>
    <x v="6"/>
    <x v="0"/>
    <x v="3"/>
    <n v="0"/>
    <x v="2"/>
  </r>
  <r>
    <x v="30"/>
    <x v="1"/>
    <x v="392"/>
    <x v="1"/>
    <x v="4"/>
    <x v="6"/>
    <x v="0"/>
    <x v="4"/>
    <n v="0"/>
    <x v="2"/>
  </r>
  <r>
    <x v="30"/>
    <x v="1"/>
    <x v="392"/>
    <x v="1"/>
    <x v="4"/>
    <x v="6"/>
    <x v="0"/>
    <x v="5"/>
    <n v="0"/>
    <x v="2"/>
  </r>
  <r>
    <x v="30"/>
    <x v="1"/>
    <x v="392"/>
    <x v="1"/>
    <x v="4"/>
    <x v="6"/>
    <x v="0"/>
    <x v="6"/>
    <n v="0"/>
    <x v="2"/>
  </r>
  <r>
    <x v="30"/>
    <x v="1"/>
    <x v="392"/>
    <x v="1"/>
    <x v="4"/>
    <x v="6"/>
    <x v="0"/>
    <x v="7"/>
    <n v="0"/>
    <x v="2"/>
  </r>
  <r>
    <x v="30"/>
    <x v="1"/>
    <x v="392"/>
    <x v="1"/>
    <x v="4"/>
    <x v="6"/>
    <x v="0"/>
    <x v="8"/>
    <n v="987"/>
    <x v="2"/>
  </r>
  <r>
    <x v="30"/>
    <x v="1"/>
    <x v="392"/>
    <x v="1"/>
    <x v="4"/>
    <x v="6"/>
    <x v="0"/>
    <x v="9"/>
    <n v="0"/>
    <x v="2"/>
  </r>
  <r>
    <x v="30"/>
    <x v="1"/>
    <x v="392"/>
    <x v="1"/>
    <x v="4"/>
    <x v="6"/>
    <x v="0"/>
    <x v="10"/>
    <n v="0"/>
    <x v="2"/>
  </r>
  <r>
    <x v="30"/>
    <x v="1"/>
    <x v="392"/>
    <x v="1"/>
    <x v="4"/>
    <x v="6"/>
    <x v="0"/>
    <x v="12"/>
    <n v="0"/>
    <x v="2"/>
  </r>
  <r>
    <x v="30"/>
    <x v="1"/>
    <x v="373"/>
    <x v="0"/>
    <x v="4"/>
    <x v="47"/>
    <x v="22"/>
    <x v="0"/>
    <n v="66.680000000000007"/>
    <x v="2"/>
  </r>
  <r>
    <x v="30"/>
    <x v="1"/>
    <x v="373"/>
    <x v="0"/>
    <x v="4"/>
    <x v="47"/>
    <x v="22"/>
    <x v="1"/>
    <n v="0"/>
    <x v="2"/>
  </r>
  <r>
    <x v="30"/>
    <x v="1"/>
    <x v="373"/>
    <x v="0"/>
    <x v="4"/>
    <x v="47"/>
    <x v="22"/>
    <x v="2"/>
    <n v="0"/>
    <x v="2"/>
  </r>
  <r>
    <x v="30"/>
    <x v="1"/>
    <x v="373"/>
    <x v="0"/>
    <x v="4"/>
    <x v="47"/>
    <x v="22"/>
    <x v="3"/>
    <n v="0"/>
    <x v="2"/>
  </r>
  <r>
    <x v="30"/>
    <x v="1"/>
    <x v="373"/>
    <x v="0"/>
    <x v="4"/>
    <x v="47"/>
    <x v="22"/>
    <x v="4"/>
    <n v="0"/>
    <x v="2"/>
  </r>
  <r>
    <x v="30"/>
    <x v="1"/>
    <x v="373"/>
    <x v="0"/>
    <x v="4"/>
    <x v="47"/>
    <x v="22"/>
    <x v="5"/>
    <n v="0"/>
    <x v="2"/>
  </r>
  <r>
    <x v="30"/>
    <x v="1"/>
    <x v="373"/>
    <x v="0"/>
    <x v="4"/>
    <x v="47"/>
    <x v="22"/>
    <x v="6"/>
    <n v="0"/>
    <x v="2"/>
  </r>
  <r>
    <x v="30"/>
    <x v="1"/>
    <x v="373"/>
    <x v="0"/>
    <x v="4"/>
    <x v="47"/>
    <x v="22"/>
    <x v="7"/>
    <n v="0"/>
    <x v="2"/>
  </r>
  <r>
    <x v="30"/>
    <x v="1"/>
    <x v="373"/>
    <x v="0"/>
    <x v="4"/>
    <x v="47"/>
    <x v="22"/>
    <x v="8"/>
    <n v="0"/>
    <x v="2"/>
  </r>
  <r>
    <x v="30"/>
    <x v="1"/>
    <x v="373"/>
    <x v="0"/>
    <x v="4"/>
    <x v="47"/>
    <x v="22"/>
    <x v="9"/>
    <n v="0"/>
    <x v="2"/>
  </r>
  <r>
    <x v="30"/>
    <x v="1"/>
    <x v="373"/>
    <x v="0"/>
    <x v="4"/>
    <x v="47"/>
    <x v="22"/>
    <x v="10"/>
    <n v="0"/>
    <x v="2"/>
  </r>
  <r>
    <x v="30"/>
    <x v="1"/>
    <x v="373"/>
    <x v="0"/>
    <x v="4"/>
    <x v="47"/>
    <x v="22"/>
    <x v="12"/>
    <n v="0"/>
    <x v="2"/>
  </r>
  <r>
    <x v="30"/>
    <x v="1"/>
    <x v="374"/>
    <x v="1"/>
    <x v="4"/>
    <x v="47"/>
    <x v="0"/>
    <x v="0"/>
    <n v="0"/>
    <x v="2"/>
  </r>
  <r>
    <x v="30"/>
    <x v="1"/>
    <x v="374"/>
    <x v="1"/>
    <x v="4"/>
    <x v="47"/>
    <x v="0"/>
    <x v="1"/>
    <n v="0"/>
    <x v="2"/>
  </r>
  <r>
    <x v="30"/>
    <x v="1"/>
    <x v="374"/>
    <x v="1"/>
    <x v="4"/>
    <x v="47"/>
    <x v="0"/>
    <x v="2"/>
    <n v="0"/>
    <x v="2"/>
  </r>
  <r>
    <x v="30"/>
    <x v="1"/>
    <x v="374"/>
    <x v="1"/>
    <x v="4"/>
    <x v="47"/>
    <x v="0"/>
    <x v="3"/>
    <n v="0"/>
    <x v="2"/>
  </r>
  <r>
    <x v="30"/>
    <x v="1"/>
    <x v="374"/>
    <x v="1"/>
    <x v="4"/>
    <x v="47"/>
    <x v="0"/>
    <x v="4"/>
    <n v="0"/>
    <x v="2"/>
  </r>
  <r>
    <x v="30"/>
    <x v="1"/>
    <x v="374"/>
    <x v="1"/>
    <x v="4"/>
    <x v="47"/>
    <x v="0"/>
    <x v="5"/>
    <n v="0"/>
    <x v="2"/>
  </r>
  <r>
    <x v="30"/>
    <x v="1"/>
    <x v="374"/>
    <x v="1"/>
    <x v="4"/>
    <x v="47"/>
    <x v="0"/>
    <x v="6"/>
    <n v="0"/>
    <x v="2"/>
  </r>
  <r>
    <x v="30"/>
    <x v="1"/>
    <x v="374"/>
    <x v="1"/>
    <x v="4"/>
    <x v="47"/>
    <x v="0"/>
    <x v="7"/>
    <n v="0"/>
    <x v="2"/>
  </r>
  <r>
    <x v="30"/>
    <x v="1"/>
    <x v="374"/>
    <x v="1"/>
    <x v="4"/>
    <x v="47"/>
    <x v="0"/>
    <x v="8"/>
    <n v="0"/>
    <x v="2"/>
  </r>
  <r>
    <x v="30"/>
    <x v="1"/>
    <x v="374"/>
    <x v="1"/>
    <x v="4"/>
    <x v="47"/>
    <x v="0"/>
    <x v="9"/>
    <n v="0"/>
    <x v="2"/>
  </r>
  <r>
    <x v="30"/>
    <x v="1"/>
    <x v="374"/>
    <x v="1"/>
    <x v="4"/>
    <x v="47"/>
    <x v="0"/>
    <x v="10"/>
    <n v="0"/>
    <x v="2"/>
  </r>
  <r>
    <x v="30"/>
    <x v="1"/>
    <x v="374"/>
    <x v="1"/>
    <x v="4"/>
    <x v="47"/>
    <x v="0"/>
    <x v="12"/>
    <n v="0"/>
    <x v="2"/>
  </r>
  <r>
    <x v="30"/>
    <x v="1"/>
    <x v="375"/>
    <x v="0"/>
    <x v="4"/>
    <x v="47"/>
    <x v="23"/>
    <x v="0"/>
    <n v="0"/>
    <x v="2"/>
  </r>
  <r>
    <x v="30"/>
    <x v="1"/>
    <x v="375"/>
    <x v="0"/>
    <x v="4"/>
    <x v="47"/>
    <x v="23"/>
    <x v="1"/>
    <n v="0"/>
    <x v="2"/>
  </r>
  <r>
    <x v="30"/>
    <x v="1"/>
    <x v="375"/>
    <x v="0"/>
    <x v="4"/>
    <x v="47"/>
    <x v="23"/>
    <x v="2"/>
    <n v="0"/>
    <x v="2"/>
  </r>
  <r>
    <x v="30"/>
    <x v="1"/>
    <x v="375"/>
    <x v="0"/>
    <x v="4"/>
    <x v="47"/>
    <x v="23"/>
    <x v="3"/>
    <n v="0"/>
    <x v="2"/>
  </r>
  <r>
    <x v="30"/>
    <x v="1"/>
    <x v="375"/>
    <x v="0"/>
    <x v="4"/>
    <x v="47"/>
    <x v="23"/>
    <x v="4"/>
    <n v="0"/>
    <x v="2"/>
  </r>
  <r>
    <x v="30"/>
    <x v="1"/>
    <x v="375"/>
    <x v="0"/>
    <x v="4"/>
    <x v="47"/>
    <x v="23"/>
    <x v="5"/>
    <n v="0"/>
    <x v="2"/>
  </r>
  <r>
    <x v="30"/>
    <x v="1"/>
    <x v="375"/>
    <x v="0"/>
    <x v="4"/>
    <x v="47"/>
    <x v="23"/>
    <x v="6"/>
    <n v="0"/>
    <x v="2"/>
  </r>
  <r>
    <x v="30"/>
    <x v="1"/>
    <x v="375"/>
    <x v="0"/>
    <x v="4"/>
    <x v="47"/>
    <x v="23"/>
    <x v="7"/>
    <n v="0"/>
    <x v="2"/>
  </r>
  <r>
    <x v="30"/>
    <x v="1"/>
    <x v="375"/>
    <x v="0"/>
    <x v="4"/>
    <x v="47"/>
    <x v="23"/>
    <x v="8"/>
    <n v="0"/>
    <x v="2"/>
  </r>
  <r>
    <x v="30"/>
    <x v="1"/>
    <x v="375"/>
    <x v="0"/>
    <x v="4"/>
    <x v="47"/>
    <x v="23"/>
    <x v="9"/>
    <n v="0"/>
    <x v="2"/>
  </r>
  <r>
    <x v="30"/>
    <x v="1"/>
    <x v="375"/>
    <x v="0"/>
    <x v="4"/>
    <x v="47"/>
    <x v="23"/>
    <x v="10"/>
    <n v="0"/>
    <x v="2"/>
  </r>
  <r>
    <x v="30"/>
    <x v="1"/>
    <x v="375"/>
    <x v="0"/>
    <x v="4"/>
    <x v="47"/>
    <x v="23"/>
    <x v="12"/>
    <n v="0"/>
    <x v="2"/>
  </r>
  <r>
    <x v="30"/>
    <x v="1"/>
    <x v="393"/>
    <x v="0"/>
    <x v="4"/>
    <x v="47"/>
    <x v="23"/>
    <x v="0"/>
    <n v="408.16"/>
    <x v="2"/>
  </r>
  <r>
    <x v="30"/>
    <x v="1"/>
    <x v="393"/>
    <x v="0"/>
    <x v="4"/>
    <x v="47"/>
    <x v="23"/>
    <x v="1"/>
    <n v="0"/>
    <x v="2"/>
  </r>
  <r>
    <x v="30"/>
    <x v="1"/>
    <x v="393"/>
    <x v="0"/>
    <x v="4"/>
    <x v="47"/>
    <x v="23"/>
    <x v="2"/>
    <n v="0"/>
    <x v="2"/>
  </r>
  <r>
    <x v="30"/>
    <x v="1"/>
    <x v="393"/>
    <x v="0"/>
    <x v="4"/>
    <x v="47"/>
    <x v="23"/>
    <x v="3"/>
    <n v="0"/>
    <x v="2"/>
  </r>
  <r>
    <x v="30"/>
    <x v="1"/>
    <x v="393"/>
    <x v="0"/>
    <x v="4"/>
    <x v="47"/>
    <x v="23"/>
    <x v="4"/>
    <n v="0"/>
    <x v="2"/>
  </r>
  <r>
    <x v="30"/>
    <x v="1"/>
    <x v="393"/>
    <x v="0"/>
    <x v="4"/>
    <x v="47"/>
    <x v="23"/>
    <x v="5"/>
    <n v="0"/>
    <x v="2"/>
  </r>
  <r>
    <x v="30"/>
    <x v="1"/>
    <x v="393"/>
    <x v="0"/>
    <x v="4"/>
    <x v="47"/>
    <x v="23"/>
    <x v="6"/>
    <n v="0"/>
    <x v="2"/>
  </r>
  <r>
    <x v="30"/>
    <x v="1"/>
    <x v="393"/>
    <x v="0"/>
    <x v="4"/>
    <x v="47"/>
    <x v="23"/>
    <x v="7"/>
    <n v="0"/>
    <x v="2"/>
  </r>
  <r>
    <x v="30"/>
    <x v="1"/>
    <x v="393"/>
    <x v="0"/>
    <x v="4"/>
    <x v="47"/>
    <x v="23"/>
    <x v="8"/>
    <n v="0"/>
    <x v="2"/>
  </r>
  <r>
    <x v="30"/>
    <x v="1"/>
    <x v="393"/>
    <x v="0"/>
    <x v="4"/>
    <x v="47"/>
    <x v="23"/>
    <x v="9"/>
    <n v="0"/>
    <x v="2"/>
  </r>
  <r>
    <x v="30"/>
    <x v="1"/>
    <x v="393"/>
    <x v="0"/>
    <x v="4"/>
    <x v="47"/>
    <x v="23"/>
    <x v="10"/>
    <n v="0"/>
    <x v="2"/>
  </r>
  <r>
    <x v="30"/>
    <x v="1"/>
    <x v="393"/>
    <x v="0"/>
    <x v="4"/>
    <x v="47"/>
    <x v="23"/>
    <x v="12"/>
    <n v="0"/>
    <x v="2"/>
  </r>
  <r>
    <x v="30"/>
    <x v="1"/>
    <x v="376"/>
    <x v="1"/>
    <x v="4"/>
    <x v="47"/>
    <x v="0"/>
    <x v="0"/>
    <n v="29.93"/>
    <x v="2"/>
  </r>
  <r>
    <x v="30"/>
    <x v="1"/>
    <x v="376"/>
    <x v="1"/>
    <x v="4"/>
    <x v="47"/>
    <x v="0"/>
    <x v="1"/>
    <n v="0"/>
    <x v="2"/>
  </r>
  <r>
    <x v="30"/>
    <x v="1"/>
    <x v="376"/>
    <x v="1"/>
    <x v="4"/>
    <x v="47"/>
    <x v="0"/>
    <x v="2"/>
    <n v="0"/>
    <x v="2"/>
  </r>
  <r>
    <x v="30"/>
    <x v="1"/>
    <x v="376"/>
    <x v="1"/>
    <x v="4"/>
    <x v="47"/>
    <x v="0"/>
    <x v="3"/>
    <n v="0"/>
    <x v="2"/>
  </r>
  <r>
    <x v="30"/>
    <x v="1"/>
    <x v="376"/>
    <x v="1"/>
    <x v="4"/>
    <x v="47"/>
    <x v="0"/>
    <x v="4"/>
    <n v="0"/>
    <x v="2"/>
  </r>
  <r>
    <x v="30"/>
    <x v="1"/>
    <x v="376"/>
    <x v="1"/>
    <x v="4"/>
    <x v="47"/>
    <x v="0"/>
    <x v="5"/>
    <n v="0"/>
    <x v="2"/>
  </r>
  <r>
    <x v="30"/>
    <x v="1"/>
    <x v="376"/>
    <x v="1"/>
    <x v="4"/>
    <x v="47"/>
    <x v="0"/>
    <x v="6"/>
    <n v="0"/>
    <x v="2"/>
  </r>
  <r>
    <x v="30"/>
    <x v="1"/>
    <x v="376"/>
    <x v="1"/>
    <x v="4"/>
    <x v="47"/>
    <x v="0"/>
    <x v="7"/>
    <n v="0"/>
    <x v="2"/>
  </r>
  <r>
    <x v="30"/>
    <x v="1"/>
    <x v="376"/>
    <x v="1"/>
    <x v="4"/>
    <x v="47"/>
    <x v="0"/>
    <x v="8"/>
    <n v="0"/>
    <x v="2"/>
  </r>
  <r>
    <x v="30"/>
    <x v="1"/>
    <x v="376"/>
    <x v="1"/>
    <x v="4"/>
    <x v="47"/>
    <x v="0"/>
    <x v="9"/>
    <n v="0"/>
    <x v="2"/>
  </r>
  <r>
    <x v="30"/>
    <x v="1"/>
    <x v="376"/>
    <x v="1"/>
    <x v="4"/>
    <x v="47"/>
    <x v="0"/>
    <x v="10"/>
    <n v="0"/>
    <x v="2"/>
  </r>
  <r>
    <x v="30"/>
    <x v="1"/>
    <x v="376"/>
    <x v="1"/>
    <x v="4"/>
    <x v="47"/>
    <x v="0"/>
    <x v="12"/>
    <n v="1000"/>
    <x v="2"/>
  </r>
  <r>
    <x v="30"/>
    <x v="1"/>
    <x v="394"/>
    <x v="1"/>
    <x v="4"/>
    <x v="47"/>
    <x v="0"/>
    <x v="0"/>
    <n v="123.12"/>
    <x v="2"/>
  </r>
  <r>
    <x v="30"/>
    <x v="1"/>
    <x v="394"/>
    <x v="1"/>
    <x v="4"/>
    <x v="47"/>
    <x v="0"/>
    <x v="1"/>
    <n v="0"/>
    <x v="2"/>
  </r>
  <r>
    <x v="30"/>
    <x v="1"/>
    <x v="394"/>
    <x v="1"/>
    <x v="4"/>
    <x v="47"/>
    <x v="0"/>
    <x v="2"/>
    <n v="0"/>
    <x v="2"/>
  </r>
  <r>
    <x v="30"/>
    <x v="1"/>
    <x v="394"/>
    <x v="1"/>
    <x v="4"/>
    <x v="47"/>
    <x v="0"/>
    <x v="3"/>
    <n v="0"/>
    <x v="2"/>
  </r>
  <r>
    <x v="30"/>
    <x v="1"/>
    <x v="394"/>
    <x v="1"/>
    <x v="4"/>
    <x v="47"/>
    <x v="0"/>
    <x v="4"/>
    <n v="0"/>
    <x v="2"/>
  </r>
  <r>
    <x v="30"/>
    <x v="1"/>
    <x v="394"/>
    <x v="1"/>
    <x v="4"/>
    <x v="47"/>
    <x v="0"/>
    <x v="5"/>
    <n v="0"/>
    <x v="2"/>
  </r>
  <r>
    <x v="30"/>
    <x v="1"/>
    <x v="394"/>
    <x v="1"/>
    <x v="4"/>
    <x v="47"/>
    <x v="0"/>
    <x v="6"/>
    <n v="0"/>
    <x v="2"/>
  </r>
  <r>
    <x v="30"/>
    <x v="1"/>
    <x v="394"/>
    <x v="1"/>
    <x v="4"/>
    <x v="47"/>
    <x v="0"/>
    <x v="7"/>
    <n v="0"/>
    <x v="2"/>
  </r>
  <r>
    <x v="30"/>
    <x v="1"/>
    <x v="394"/>
    <x v="1"/>
    <x v="4"/>
    <x v="47"/>
    <x v="0"/>
    <x v="8"/>
    <n v="0"/>
    <x v="2"/>
  </r>
  <r>
    <x v="30"/>
    <x v="1"/>
    <x v="394"/>
    <x v="1"/>
    <x v="4"/>
    <x v="47"/>
    <x v="0"/>
    <x v="9"/>
    <n v="0"/>
    <x v="2"/>
  </r>
  <r>
    <x v="30"/>
    <x v="1"/>
    <x v="394"/>
    <x v="1"/>
    <x v="4"/>
    <x v="47"/>
    <x v="0"/>
    <x v="10"/>
    <n v="0"/>
    <x v="2"/>
  </r>
  <r>
    <x v="30"/>
    <x v="1"/>
    <x v="394"/>
    <x v="1"/>
    <x v="4"/>
    <x v="47"/>
    <x v="0"/>
    <x v="12"/>
    <n v="0"/>
    <x v="2"/>
  </r>
  <r>
    <x v="30"/>
    <x v="1"/>
    <x v="378"/>
    <x v="1"/>
    <x v="4"/>
    <x v="47"/>
    <x v="0"/>
    <x v="0"/>
    <n v="0"/>
    <x v="2"/>
  </r>
  <r>
    <x v="30"/>
    <x v="1"/>
    <x v="378"/>
    <x v="1"/>
    <x v="4"/>
    <x v="47"/>
    <x v="0"/>
    <x v="1"/>
    <n v="0"/>
    <x v="2"/>
  </r>
  <r>
    <x v="30"/>
    <x v="1"/>
    <x v="378"/>
    <x v="1"/>
    <x v="4"/>
    <x v="47"/>
    <x v="0"/>
    <x v="2"/>
    <n v="0"/>
    <x v="2"/>
  </r>
  <r>
    <x v="30"/>
    <x v="1"/>
    <x v="378"/>
    <x v="1"/>
    <x v="4"/>
    <x v="47"/>
    <x v="0"/>
    <x v="3"/>
    <n v="0"/>
    <x v="2"/>
  </r>
  <r>
    <x v="30"/>
    <x v="1"/>
    <x v="378"/>
    <x v="1"/>
    <x v="4"/>
    <x v="47"/>
    <x v="0"/>
    <x v="4"/>
    <n v="0"/>
    <x v="2"/>
  </r>
  <r>
    <x v="30"/>
    <x v="1"/>
    <x v="378"/>
    <x v="1"/>
    <x v="4"/>
    <x v="47"/>
    <x v="0"/>
    <x v="5"/>
    <n v="0"/>
    <x v="2"/>
  </r>
  <r>
    <x v="30"/>
    <x v="1"/>
    <x v="378"/>
    <x v="1"/>
    <x v="4"/>
    <x v="47"/>
    <x v="0"/>
    <x v="6"/>
    <n v="0"/>
    <x v="2"/>
  </r>
  <r>
    <x v="30"/>
    <x v="1"/>
    <x v="378"/>
    <x v="1"/>
    <x v="4"/>
    <x v="47"/>
    <x v="0"/>
    <x v="7"/>
    <n v="0"/>
    <x v="2"/>
  </r>
  <r>
    <x v="30"/>
    <x v="1"/>
    <x v="378"/>
    <x v="1"/>
    <x v="4"/>
    <x v="47"/>
    <x v="0"/>
    <x v="8"/>
    <n v="0"/>
    <x v="2"/>
  </r>
  <r>
    <x v="30"/>
    <x v="1"/>
    <x v="378"/>
    <x v="1"/>
    <x v="4"/>
    <x v="47"/>
    <x v="0"/>
    <x v="9"/>
    <n v="0"/>
    <x v="2"/>
  </r>
  <r>
    <x v="30"/>
    <x v="1"/>
    <x v="378"/>
    <x v="1"/>
    <x v="4"/>
    <x v="47"/>
    <x v="0"/>
    <x v="10"/>
    <n v="0"/>
    <x v="2"/>
  </r>
  <r>
    <x v="30"/>
    <x v="1"/>
    <x v="378"/>
    <x v="1"/>
    <x v="4"/>
    <x v="47"/>
    <x v="0"/>
    <x v="12"/>
    <n v="0"/>
    <x v="2"/>
  </r>
  <r>
    <x v="30"/>
    <x v="1"/>
    <x v="379"/>
    <x v="0"/>
    <x v="4"/>
    <x v="47"/>
    <x v="22"/>
    <x v="0"/>
    <n v="280.27999999999997"/>
    <x v="2"/>
  </r>
  <r>
    <x v="30"/>
    <x v="1"/>
    <x v="379"/>
    <x v="0"/>
    <x v="4"/>
    <x v="47"/>
    <x v="22"/>
    <x v="1"/>
    <n v="0"/>
    <x v="2"/>
  </r>
  <r>
    <x v="30"/>
    <x v="1"/>
    <x v="379"/>
    <x v="0"/>
    <x v="4"/>
    <x v="47"/>
    <x v="22"/>
    <x v="2"/>
    <n v="0"/>
    <x v="2"/>
  </r>
  <r>
    <x v="30"/>
    <x v="1"/>
    <x v="379"/>
    <x v="0"/>
    <x v="4"/>
    <x v="47"/>
    <x v="22"/>
    <x v="3"/>
    <n v="0"/>
    <x v="2"/>
  </r>
  <r>
    <x v="30"/>
    <x v="1"/>
    <x v="379"/>
    <x v="0"/>
    <x v="4"/>
    <x v="47"/>
    <x v="22"/>
    <x v="4"/>
    <n v="0"/>
    <x v="2"/>
  </r>
  <r>
    <x v="30"/>
    <x v="1"/>
    <x v="379"/>
    <x v="0"/>
    <x v="4"/>
    <x v="47"/>
    <x v="22"/>
    <x v="5"/>
    <n v="0"/>
    <x v="2"/>
  </r>
  <r>
    <x v="30"/>
    <x v="1"/>
    <x v="379"/>
    <x v="0"/>
    <x v="4"/>
    <x v="47"/>
    <x v="22"/>
    <x v="6"/>
    <n v="0"/>
    <x v="2"/>
  </r>
  <r>
    <x v="30"/>
    <x v="1"/>
    <x v="379"/>
    <x v="0"/>
    <x v="4"/>
    <x v="47"/>
    <x v="22"/>
    <x v="7"/>
    <n v="0"/>
    <x v="2"/>
  </r>
  <r>
    <x v="30"/>
    <x v="1"/>
    <x v="379"/>
    <x v="0"/>
    <x v="4"/>
    <x v="47"/>
    <x v="22"/>
    <x v="8"/>
    <n v="0"/>
    <x v="2"/>
  </r>
  <r>
    <x v="30"/>
    <x v="1"/>
    <x v="379"/>
    <x v="0"/>
    <x v="4"/>
    <x v="47"/>
    <x v="22"/>
    <x v="9"/>
    <n v="0"/>
    <x v="2"/>
  </r>
  <r>
    <x v="30"/>
    <x v="1"/>
    <x v="379"/>
    <x v="0"/>
    <x v="4"/>
    <x v="47"/>
    <x v="22"/>
    <x v="10"/>
    <n v="0"/>
    <x v="2"/>
  </r>
  <r>
    <x v="30"/>
    <x v="1"/>
    <x v="379"/>
    <x v="0"/>
    <x v="4"/>
    <x v="47"/>
    <x v="22"/>
    <x v="12"/>
    <n v="0"/>
    <x v="2"/>
  </r>
  <r>
    <x v="30"/>
    <x v="1"/>
    <x v="380"/>
    <x v="1"/>
    <x v="4"/>
    <x v="47"/>
    <x v="0"/>
    <x v="0"/>
    <n v="0"/>
    <x v="2"/>
  </r>
  <r>
    <x v="30"/>
    <x v="1"/>
    <x v="380"/>
    <x v="1"/>
    <x v="4"/>
    <x v="47"/>
    <x v="0"/>
    <x v="1"/>
    <n v="0"/>
    <x v="2"/>
  </r>
  <r>
    <x v="30"/>
    <x v="1"/>
    <x v="380"/>
    <x v="1"/>
    <x v="4"/>
    <x v="47"/>
    <x v="0"/>
    <x v="2"/>
    <n v="0"/>
    <x v="2"/>
  </r>
  <r>
    <x v="30"/>
    <x v="1"/>
    <x v="380"/>
    <x v="1"/>
    <x v="4"/>
    <x v="47"/>
    <x v="0"/>
    <x v="3"/>
    <n v="49"/>
    <x v="2"/>
  </r>
  <r>
    <x v="30"/>
    <x v="1"/>
    <x v="380"/>
    <x v="1"/>
    <x v="4"/>
    <x v="47"/>
    <x v="0"/>
    <x v="4"/>
    <n v="0"/>
    <x v="2"/>
  </r>
  <r>
    <x v="30"/>
    <x v="1"/>
    <x v="380"/>
    <x v="1"/>
    <x v="4"/>
    <x v="47"/>
    <x v="0"/>
    <x v="5"/>
    <n v="0"/>
    <x v="2"/>
  </r>
  <r>
    <x v="30"/>
    <x v="1"/>
    <x v="380"/>
    <x v="1"/>
    <x v="4"/>
    <x v="47"/>
    <x v="0"/>
    <x v="6"/>
    <n v="0"/>
    <x v="2"/>
  </r>
  <r>
    <x v="30"/>
    <x v="1"/>
    <x v="380"/>
    <x v="1"/>
    <x v="4"/>
    <x v="47"/>
    <x v="0"/>
    <x v="7"/>
    <n v="52.1"/>
    <x v="2"/>
  </r>
  <r>
    <x v="30"/>
    <x v="1"/>
    <x v="380"/>
    <x v="1"/>
    <x v="4"/>
    <x v="47"/>
    <x v="0"/>
    <x v="8"/>
    <n v="0"/>
    <x v="2"/>
  </r>
  <r>
    <x v="30"/>
    <x v="1"/>
    <x v="380"/>
    <x v="1"/>
    <x v="4"/>
    <x v="47"/>
    <x v="0"/>
    <x v="9"/>
    <n v="0"/>
    <x v="2"/>
  </r>
  <r>
    <x v="30"/>
    <x v="1"/>
    <x v="380"/>
    <x v="1"/>
    <x v="4"/>
    <x v="47"/>
    <x v="0"/>
    <x v="10"/>
    <n v="57"/>
    <x v="2"/>
  </r>
  <r>
    <x v="30"/>
    <x v="1"/>
    <x v="380"/>
    <x v="1"/>
    <x v="4"/>
    <x v="47"/>
    <x v="0"/>
    <x v="12"/>
    <n v="0"/>
    <x v="2"/>
  </r>
  <r>
    <x v="30"/>
    <x v="1"/>
    <x v="381"/>
    <x v="0"/>
    <x v="4"/>
    <x v="47"/>
    <x v="23"/>
    <x v="0"/>
    <n v="0"/>
    <x v="2"/>
  </r>
  <r>
    <x v="30"/>
    <x v="1"/>
    <x v="381"/>
    <x v="0"/>
    <x v="4"/>
    <x v="47"/>
    <x v="23"/>
    <x v="1"/>
    <n v="0"/>
    <x v="2"/>
  </r>
  <r>
    <x v="30"/>
    <x v="1"/>
    <x v="381"/>
    <x v="0"/>
    <x v="4"/>
    <x v="47"/>
    <x v="23"/>
    <x v="2"/>
    <n v="91.74"/>
    <x v="2"/>
  </r>
  <r>
    <x v="30"/>
    <x v="1"/>
    <x v="381"/>
    <x v="0"/>
    <x v="4"/>
    <x v="47"/>
    <x v="23"/>
    <x v="3"/>
    <n v="0"/>
    <x v="2"/>
  </r>
  <r>
    <x v="30"/>
    <x v="1"/>
    <x v="381"/>
    <x v="0"/>
    <x v="4"/>
    <x v="47"/>
    <x v="23"/>
    <x v="4"/>
    <n v="0"/>
    <x v="2"/>
  </r>
  <r>
    <x v="30"/>
    <x v="1"/>
    <x v="381"/>
    <x v="0"/>
    <x v="4"/>
    <x v="47"/>
    <x v="23"/>
    <x v="5"/>
    <n v="0"/>
    <x v="2"/>
  </r>
  <r>
    <x v="30"/>
    <x v="1"/>
    <x v="381"/>
    <x v="0"/>
    <x v="4"/>
    <x v="47"/>
    <x v="23"/>
    <x v="6"/>
    <n v="0"/>
    <x v="2"/>
  </r>
  <r>
    <x v="30"/>
    <x v="1"/>
    <x v="381"/>
    <x v="0"/>
    <x v="4"/>
    <x v="47"/>
    <x v="23"/>
    <x v="7"/>
    <n v="0"/>
    <x v="2"/>
  </r>
  <r>
    <x v="30"/>
    <x v="1"/>
    <x v="381"/>
    <x v="0"/>
    <x v="4"/>
    <x v="47"/>
    <x v="23"/>
    <x v="8"/>
    <n v="0"/>
    <x v="2"/>
  </r>
  <r>
    <x v="30"/>
    <x v="1"/>
    <x v="381"/>
    <x v="0"/>
    <x v="4"/>
    <x v="47"/>
    <x v="23"/>
    <x v="9"/>
    <n v="0"/>
    <x v="2"/>
  </r>
  <r>
    <x v="30"/>
    <x v="1"/>
    <x v="381"/>
    <x v="0"/>
    <x v="4"/>
    <x v="47"/>
    <x v="23"/>
    <x v="10"/>
    <n v="0"/>
    <x v="2"/>
  </r>
  <r>
    <x v="30"/>
    <x v="1"/>
    <x v="381"/>
    <x v="0"/>
    <x v="4"/>
    <x v="47"/>
    <x v="23"/>
    <x v="12"/>
    <n v="0"/>
    <x v="2"/>
  </r>
  <r>
    <x v="30"/>
    <x v="1"/>
    <x v="382"/>
    <x v="1"/>
    <x v="4"/>
    <x v="47"/>
    <x v="0"/>
    <x v="0"/>
    <n v="0"/>
    <x v="2"/>
  </r>
  <r>
    <x v="30"/>
    <x v="1"/>
    <x v="382"/>
    <x v="1"/>
    <x v="4"/>
    <x v="47"/>
    <x v="0"/>
    <x v="1"/>
    <n v="0"/>
    <x v="2"/>
  </r>
  <r>
    <x v="30"/>
    <x v="1"/>
    <x v="382"/>
    <x v="1"/>
    <x v="4"/>
    <x v="47"/>
    <x v="0"/>
    <x v="2"/>
    <n v="0"/>
    <x v="2"/>
  </r>
  <r>
    <x v="30"/>
    <x v="1"/>
    <x v="382"/>
    <x v="1"/>
    <x v="4"/>
    <x v="47"/>
    <x v="0"/>
    <x v="3"/>
    <n v="0"/>
    <x v="2"/>
  </r>
  <r>
    <x v="30"/>
    <x v="1"/>
    <x v="382"/>
    <x v="1"/>
    <x v="4"/>
    <x v="47"/>
    <x v="0"/>
    <x v="4"/>
    <n v="0"/>
    <x v="2"/>
  </r>
  <r>
    <x v="30"/>
    <x v="1"/>
    <x v="382"/>
    <x v="1"/>
    <x v="4"/>
    <x v="47"/>
    <x v="0"/>
    <x v="5"/>
    <n v="0"/>
    <x v="2"/>
  </r>
  <r>
    <x v="30"/>
    <x v="1"/>
    <x v="382"/>
    <x v="1"/>
    <x v="4"/>
    <x v="47"/>
    <x v="0"/>
    <x v="6"/>
    <n v="0"/>
    <x v="2"/>
  </r>
  <r>
    <x v="30"/>
    <x v="1"/>
    <x v="382"/>
    <x v="1"/>
    <x v="4"/>
    <x v="47"/>
    <x v="0"/>
    <x v="7"/>
    <n v="0"/>
    <x v="2"/>
  </r>
  <r>
    <x v="30"/>
    <x v="1"/>
    <x v="382"/>
    <x v="1"/>
    <x v="4"/>
    <x v="47"/>
    <x v="0"/>
    <x v="8"/>
    <n v="0"/>
    <x v="2"/>
  </r>
  <r>
    <x v="30"/>
    <x v="1"/>
    <x v="382"/>
    <x v="1"/>
    <x v="4"/>
    <x v="47"/>
    <x v="0"/>
    <x v="9"/>
    <n v="0"/>
    <x v="2"/>
  </r>
  <r>
    <x v="30"/>
    <x v="1"/>
    <x v="382"/>
    <x v="1"/>
    <x v="4"/>
    <x v="47"/>
    <x v="0"/>
    <x v="10"/>
    <n v="0"/>
    <x v="2"/>
  </r>
  <r>
    <x v="30"/>
    <x v="1"/>
    <x v="382"/>
    <x v="1"/>
    <x v="4"/>
    <x v="47"/>
    <x v="0"/>
    <x v="12"/>
    <n v="0"/>
    <x v="2"/>
  </r>
  <r>
    <x v="30"/>
    <x v="1"/>
    <x v="383"/>
    <x v="1"/>
    <x v="4"/>
    <x v="47"/>
    <x v="0"/>
    <x v="0"/>
    <n v="425.57"/>
    <x v="2"/>
  </r>
  <r>
    <x v="30"/>
    <x v="1"/>
    <x v="383"/>
    <x v="1"/>
    <x v="4"/>
    <x v="47"/>
    <x v="0"/>
    <x v="1"/>
    <n v="0"/>
    <x v="2"/>
  </r>
  <r>
    <x v="30"/>
    <x v="1"/>
    <x v="383"/>
    <x v="1"/>
    <x v="4"/>
    <x v="47"/>
    <x v="0"/>
    <x v="2"/>
    <n v="0"/>
    <x v="2"/>
  </r>
  <r>
    <x v="30"/>
    <x v="1"/>
    <x v="383"/>
    <x v="1"/>
    <x v="4"/>
    <x v="47"/>
    <x v="0"/>
    <x v="3"/>
    <n v="0"/>
    <x v="2"/>
  </r>
  <r>
    <x v="30"/>
    <x v="1"/>
    <x v="383"/>
    <x v="1"/>
    <x v="4"/>
    <x v="47"/>
    <x v="0"/>
    <x v="4"/>
    <n v="0"/>
    <x v="2"/>
  </r>
  <r>
    <x v="30"/>
    <x v="1"/>
    <x v="383"/>
    <x v="1"/>
    <x v="4"/>
    <x v="47"/>
    <x v="0"/>
    <x v="5"/>
    <n v="0"/>
    <x v="2"/>
  </r>
  <r>
    <x v="30"/>
    <x v="1"/>
    <x v="383"/>
    <x v="1"/>
    <x v="4"/>
    <x v="47"/>
    <x v="0"/>
    <x v="6"/>
    <n v="0"/>
    <x v="2"/>
  </r>
  <r>
    <x v="30"/>
    <x v="1"/>
    <x v="383"/>
    <x v="1"/>
    <x v="4"/>
    <x v="47"/>
    <x v="0"/>
    <x v="7"/>
    <n v="0"/>
    <x v="2"/>
  </r>
  <r>
    <x v="30"/>
    <x v="1"/>
    <x v="383"/>
    <x v="1"/>
    <x v="4"/>
    <x v="47"/>
    <x v="0"/>
    <x v="8"/>
    <n v="0"/>
    <x v="2"/>
  </r>
  <r>
    <x v="30"/>
    <x v="1"/>
    <x v="383"/>
    <x v="1"/>
    <x v="4"/>
    <x v="47"/>
    <x v="0"/>
    <x v="9"/>
    <n v="0"/>
    <x v="2"/>
  </r>
  <r>
    <x v="30"/>
    <x v="1"/>
    <x v="383"/>
    <x v="1"/>
    <x v="4"/>
    <x v="47"/>
    <x v="0"/>
    <x v="10"/>
    <n v="0"/>
    <x v="2"/>
  </r>
  <r>
    <x v="30"/>
    <x v="1"/>
    <x v="383"/>
    <x v="1"/>
    <x v="4"/>
    <x v="47"/>
    <x v="0"/>
    <x v="12"/>
    <n v="0"/>
    <x v="2"/>
  </r>
  <r>
    <x v="30"/>
    <x v="1"/>
    <x v="384"/>
    <x v="1"/>
    <x v="4"/>
    <x v="47"/>
    <x v="0"/>
    <x v="0"/>
    <n v="0"/>
    <x v="2"/>
  </r>
  <r>
    <x v="30"/>
    <x v="1"/>
    <x v="384"/>
    <x v="1"/>
    <x v="4"/>
    <x v="47"/>
    <x v="0"/>
    <x v="1"/>
    <n v="0"/>
    <x v="2"/>
  </r>
  <r>
    <x v="30"/>
    <x v="1"/>
    <x v="384"/>
    <x v="1"/>
    <x v="4"/>
    <x v="47"/>
    <x v="0"/>
    <x v="2"/>
    <n v="0"/>
    <x v="2"/>
  </r>
  <r>
    <x v="30"/>
    <x v="1"/>
    <x v="384"/>
    <x v="1"/>
    <x v="4"/>
    <x v="47"/>
    <x v="0"/>
    <x v="3"/>
    <n v="0"/>
    <x v="2"/>
  </r>
  <r>
    <x v="30"/>
    <x v="1"/>
    <x v="384"/>
    <x v="1"/>
    <x v="4"/>
    <x v="47"/>
    <x v="0"/>
    <x v="4"/>
    <n v="0"/>
    <x v="2"/>
  </r>
  <r>
    <x v="30"/>
    <x v="1"/>
    <x v="384"/>
    <x v="1"/>
    <x v="4"/>
    <x v="47"/>
    <x v="0"/>
    <x v="5"/>
    <n v="0"/>
    <x v="2"/>
  </r>
  <r>
    <x v="30"/>
    <x v="1"/>
    <x v="384"/>
    <x v="1"/>
    <x v="4"/>
    <x v="47"/>
    <x v="0"/>
    <x v="6"/>
    <n v="0"/>
    <x v="2"/>
  </r>
  <r>
    <x v="30"/>
    <x v="1"/>
    <x v="384"/>
    <x v="1"/>
    <x v="4"/>
    <x v="47"/>
    <x v="0"/>
    <x v="7"/>
    <n v="0"/>
    <x v="2"/>
  </r>
  <r>
    <x v="30"/>
    <x v="1"/>
    <x v="384"/>
    <x v="1"/>
    <x v="4"/>
    <x v="47"/>
    <x v="0"/>
    <x v="8"/>
    <n v="0"/>
    <x v="2"/>
  </r>
  <r>
    <x v="30"/>
    <x v="1"/>
    <x v="384"/>
    <x v="1"/>
    <x v="4"/>
    <x v="47"/>
    <x v="0"/>
    <x v="9"/>
    <n v="0"/>
    <x v="2"/>
  </r>
  <r>
    <x v="30"/>
    <x v="1"/>
    <x v="384"/>
    <x v="1"/>
    <x v="4"/>
    <x v="47"/>
    <x v="0"/>
    <x v="10"/>
    <n v="0"/>
    <x v="2"/>
  </r>
  <r>
    <x v="30"/>
    <x v="1"/>
    <x v="384"/>
    <x v="1"/>
    <x v="4"/>
    <x v="47"/>
    <x v="0"/>
    <x v="12"/>
    <n v="0"/>
    <x v="2"/>
  </r>
  <r>
    <x v="30"/>
    <x v="1"/>
    <x v="395"/>
    <x v="0"/>
    <x v="4"/>
    <x v="47"/>
    <x v="17"/>
    <x v="0"/>
    <n v="0"/>
    <x v="2"/>
  </r>
  <r>
    <x v="30"/>
    <x v="1"/>
    <x v="395"/>
    <x v="0"/>
    <x v="4"/>
    <x v="47"/>
    <x v="17"/>
    <x v="1"/>
    <n v="0"/>
    <x v="2"/>
  </r>
  <r>
    <x v="30"/>
    <x v="1"/>
    <x v="395"/>
    <x v="0"/>
    <x v="4"/>
    <x v="47"/>
    <x v="17"/>
    <x v="2"/>
    <n v="0"/>
    <x v="2"/>
  </r>
  <r>
    <x v="30"/>
    <x v="1"/>
    <x v="395"/>
    <x v="0"/>
    <x v="4"/>
    <x v="47"/>
    <x v="17"/>
    <x v="3"/>
    <n v="0"/>
    <x v="2"/>
  </r>
  <r>
    <x v="30"/>
    <x v="1"/>
    <x v="395"/>
    <x v="0"/>
    <x v="4"/>
    <x v="47"/>
    <x v="17"/>
    <x v="4"/>
    <n v="189.33"/>
    <x v="2"/>
  </r>
  <r>
    <x v="30"/>
    <x v="1"/>
    <x v="395"/>
    <x v="0"/>
    <x v="4"/>
    <x v="47"/>
    <x v="17"/>
    <x v="5"/>
    <n v="0"/>
    <x v="2"/>
  </r>
  <r>
    <x v="30"/>
    <x v="1"/>
    <x v="395"/>
    <x v="0"/>
    <x v="4"/>
    <x v="47"/>
    <x v="17"/>
    <x v="6"/>
    <n v="0"/>
    <x v="2"/>
  </r>
  <r>
    <x v="30"/>
    <x v="1"/>
    <x v="395"/>
    <x v="0"/>
    <x v="4"/>
    <x v="47"/>
    <x v="17"/>
    <x v="7"/>
    <n v="1235.79"/>
    <x v="2"/>
  </r>
  <r>
    <x v="30"/>
    <x v="1"/>
    <x v="395"/>
    <x v="0"/>
    <x v="4"/>
    <x v="47"/>
    <x v="17"/>
    <x v="8"/>
    <n v="0"/>
    <x v="2"/>
  </r>
  <r>
    <x v="30"/>
    <x v="1"/>
    <x v="395"/>
    <x v="0"/>
    <x v="4"/>
    <x v="47"/>
    <x v="17"/>
    <x v="9"/>
    <n v="0"/>
    <x v="2"/>
  </r>
  <r>
    <x v="30"/>
    <x v="1"/>
    <x v="395"/>
    <x v="0"/>
    <x v="4"/>
    <x v="47"/>
    <x v="17"/>
    <x v="10"/>
    <n v="0"/>
    <x v="2"/>
  </r>
  <r>
    <x v="30"/>
    <x v="1"/>
    <x v="395"/>
    <x v="0"/>
    <x v="4"/>
    <x v="47"/>
    <x v="17"/>
    <x v="12"/>
    <n v="0"/>
    <x v="2"/>
  </r>
  <r>
    <x v="30"/>
    <x v="1"/>
    <x v="373"/>
    <x v="0"/>
    <x v="4"/>
    <x v="43"/>
    <x v="22"/>
    <x v="0"/>
    <n v="350.74"/>
    <x v="2"/>
  </r>
  <r>
    <x v="30"/>
    <x v="1"/>
    <x v="373"/>
    <x v="0"/>
    <x v="4"/>
    <x v="43"/>
    <x v="22"/>
    <x v="1"/>
    <n v="0"/>
    <x v="2"/>
  </r>
  <r>
    <x v="30"/>
    <x v="1"/>
    <x v="373"/>
    <x v="0"/>
    <x v="4"/>
    <x v="43"/>
    <x v="22"/>
    <x v="2"/>
    <n v="0"/>
    <x v="2"/>
  </r>
  <r>
    <x v="30"/>
    <x v="1"/>
    <x v="373"/>
    <x v="0"/>
    <x v="4"/>
    <x v="43"/>
    <x v="22"/>
    <x v="3"/>
    <n v="0"/>
    <x v="2"/>
  </r>
  <r>
    <x v="30"/>
    <x v="1"/>
    <x v="373"/>
    <x v="0"/>
    <x v="4"/>
    <x v="43"/>
    <x v="22"/>
    <x v="4"/>
    <n v="0"/>
    <x v="2"/>
  </r>
  <r>
    <x v="30"/>
    <x v="1"/>
    <x v="373"/>
    <x v="0"/>
    <x v="4"/>
    <x v="43"/>
    <x v="22"/>
    <x v="5"/>
    <n v="0"/>
    <x v="2"/>
  </r>
  <r>
    <x v="30"/>
    <x v="1"/>
    <x v="373"/>
    <x v="0"/>
    <x v="4"/>
    <x v="43"/>
    <x v="22"/>
    <x v="6"/>
    <n v="0"/>
    <x v="2"/>
  </r>
  <r>
    <x v="30"/>
    <x v="1"/>
    <x v="373"/>
    <x v="0"/>
    <x v="4"/>
    <x v="43"/>
    <x v="22"/>
    <x v="7"/>
    <n v="0"/>
    <x v="2"/>
  </r>
  <r>
    <x v="30"/>
    <x v="1"/>
    <x v="373"/>
    <x v="0"/>
    <x v="4"/>
    <x v="43"/>
    <x v="22"/>
    <x v="8"/>
    <n v="0"/>
    <x v="2"/>
  </r>
  <r>
    <x v="30"/>
    <x v="1"/>
    <x v="373"/>
    <x v="0"/>
    <x v="4"/>
    <x v="43"/>
    <x v="22"/>
    <x v="9"/>
    <n v="0"/>
    <x v="2"/>
  </r>
  <r>
    <x v="30"/>
    <x v="1"/>
    <x v="373"/>
    <x v="0"/>
    <x v="4"/>
    <x v="43"/>
    <x v="22"/>
    <x v="10"/>
    <n v="0"/>
    <x v="2"/>
  </r>
  <r>
    <x v="30"/>
    <x v="1"/>
    <x v="373"/>
    <x v="0"/>
    <x v="4"/>
    <x v="43"/>
    <x v="22"/>
    <x v="12"/>
    <n v="0"/>
    <x v="2"/>
  </r>
  <r>
    <x v="30"/>
    <x v="1"/>
    <x v="374"/>
    <x v="1"/>
    <x v="4"/>
    <x v="43"/>
    <x v="0"/>
    <x v="0"/>
    <n v="0"/>
    <x v="2"/>
  </r>
  <r>
    <x v="30"/>
    <x v="1"/>
    <x v="374"/>
    <x v="1"/>
    <x v="4"/>
    <x v="43"/>
    <x v="0"/>
    <x v="1"/>
    <n v="0"/>
    <x v="2"/>
  </r>
  <r>
    <x v="30"/>
    <x v="1"/>
    <x v="374"/>
    <x v="1"/>
    <x v="4"/>
    <x v="43"/>
    <x v="0"/>
    <x v="2"/>
    <n v="0"/>
    <x v="2"/>
  </r>
  <r>
    <x v="30"/>
    <x v="1"/>
    <x v="374"/>
    <x v="1"/>
    <x v="4"/>
    <x v="43"/>
    <x v="0"/>
    <x v="3"/>
    <n v="0"/>
    <x v="2"/>
  </r>
  <r>
    <x v="30"/>
    <x v="1"/>
    <x v="374"/>
    <x v="1"/>
    <x v="4"/>
    <x v="43"/>
    <x v="0"/>
    <x v="4"/>
    <n v="0"/>
    <x v="2"/>
  </r>
  <r>
    <x v="30"/>
    <x v="1"/>
    <x v="374"/>
    <x v="1"/>
    <x v="4"/>
    <x v="43"/>
    <x v="0"/>
    <x v="5"/>
    <n v="0"/>
    <x v="2"/>
  </r>
  <r>
    <x v="30"/>
    <x v="1"/>
    <x v="374"/>
    <x v="1"/>
    <x v="4"/>
    <x v="43"/>
    <x v="0"/>
    <x v="6"/>
    <n v="0"/>
    <x v="2"/>
  </r>
  <r>
    <x v="30"/>
    <x v="1"/>
    <x v="374"/>
    <x v="1"/>
    <x v="4"/>
    <x v="43"/>
    <x v="0"/>
    <x v="7"/>
    <n v="0"/>
    <x v="2"/>
  </r>
  <r>
    <x v="30"/>
    <x v="1"/>
    <x v="374"/>
    <x v="1"/>
    <x v="4"/>
    <x v="43"/>
    <x v="0"/>
    <x v="8"/>
    <n v="0"/>
    <x v="2"/>
  </r>
  <r>
    <x v="30"/>
    <x v="1"/>
    <x v="374"/>
    <x v="1"/>
    <x v="4"/>
    <x v="43"/>
    <x v="0"/>
    <x v="9"/>
    <n v="0"/>
    <x v="2"/>
  </r>
  <r>
    <x v="30"/>
    <x v="1"/>
    <x v="374"/>
    <x v="1"/>
    <x v="4"/>
    <x v="43"/>
    <x v="0"/>
    <x v="10"/>
    <n v="0"/>
    <x v="2"/>
  </r>
  <r>
    <x v="30"/>
    <x v="1"/>
    <x v="374"/>
    <x v="1"/>
    <x v="4"/>
    <x v="43"/>
    <x v="0"/>
    <x v="12"/>
    <n v="0"/>
    <x v="2"/>
  </r>
  <r>
    <x v="30"/>
    <x v="1"/>
    <x v="375"/>
    <x v="0"/>
    <x v="4"/>
    <x v="43"/>
    <x v="23"/>
    <x v="0"/>
    <n v="0"/>
    <x v="2"/>
  </r>
  <r>
    <x v="30"/>
    <x v="1"/>
    <x v="375"/>
    <x v="0"/>
    <x v="4"/>
    <x v="43"/>
    <x v="23"/>
    <x v="1"/>
    <n v="0"/>
    <x v="2"/>
  </r>
  <r>
    <x v="30"/>
    <x v="1"/>
    <x v="375"/>
    <x v="0"/>
    <x v="4"/>
    <x v="43"/>
    <x v="23"/>
    <x v="2"/>
    <n v="0"/>
    <x v="2"/>
  </r>
  <r>
    <x v="30"/>
    <x v="1"/>
    <x v="375"/>
    <x v="0"/>
    <x v="4"/>
    <x v="43"/>
    <x v="23"/>
    <x v="3"/>
    <n v="0"/>
    <x v="2"/>
  </r>
  <r>
    <x v="30"/>
    <x v="1"/>
    <x v="375"/>
    <x v="0"/>
    <x v="4"/>
    <x v="43"/>
    <x v="23"/>
    <x v="4"/>
    <n v="0"/>
    <x v="2"/>
  </r>
  <r>
    <x v="30"/>
    <x v="1"/>
    <x v="375"/>
    <x v="0"/>
    <x v="4"/>
    <x v="43"/>
    <x v="23"/>
    <x v="5"/>
    <n v="0"/>
    <x v="2"/>
  </r>
  <r>
    <x v="30"/>
    <x v="1"/>
    <x v="375"/>
    <x v="0"/>
    <x v="4"/>
    <x v="43"/>
    <x v="23"/>
    <x v="6"/>
    <n v="0"/>
    <x v="2"/>
  </r>
  <r>
    <x v="30"/>
    <x v="1"/>
    <x v="375"/>
    <x v="0"/>
    <x v="4"/>
    <x v="43"/>
    <x v="23"/>
    <x v="7"/>
    <n v="0"/>
    <x v="2"/>
  </r>
  <r>
    <x v="30"/>
    <x v="1"/>
    <x v="375"/>
    <x v="0"/>
    <x v="4"/>
    <x v="43"/>
    <x v="23"/>
    <x v="8"/>
    <n v="0"/>
    <x v="2"/>
  </r>
  <r>
    <x v="30"/>
    <x v="1"/>
    <x v="375"/>
    <x v="0"/>
    <x v="4"/>
    <x v="43"/>
    <x v="23"/>
    <x v="9"/>
    <n v="0"/>
    <x v="2"/>
  </r>
  <r>
    <x v="30"/>
    <x v="1"/>
    <x v="375"/>
    <x v="0"/>
    <x v="4"/>
    <x v="43"/>
    <x v="23"/>
    <x v="10"/>
    <n v="0"/>
    <x v="2"/>
  </r>
  <r>
    <x v="30"/>
    <x v="1"/>
    <x v="375"/>
    <x v="0"/>
    <x v="4"/>
    <x v="43"/>
    <x v="23"/>
    <x v="12"/>
    <n v="0"/>
    <x v="2"/>
  </r>
  <r>
    <x v="30"/>
    <x v="1"/>
    <x v="376"/>
    <x v="1"/>
    <x v="4"/>
    <x v="43"/>
    <x v="0"/>
    <x v="0"/>
    <n v="30.36"/>
    <x v="2"/>
  </r>
  <r>
    <x v="30"/>
    <x v="1"/>
    <x v="376"/>
    <x v="1"/>
    <x v="4"/>
    <x v="43"/>
    <x v="0"/>
    <x v="1"/>
    <n v="0"/>
    <x v="2"/>
  </r>
  <r>
    <x v="30"/>
    <x v="1"/>
    <x v="376"/>
    <x v="1"/>
    <x v="4"/>
    <x v="43"/>
    <x v="0"/>
    <x v="2"/>
    <n v="0"/>
    <x v="2"/>
  </r>
  <r>
    <x v="30"/>
    <x v="1"/>
    <x v="376"/>
    <x v="1"/>
    <x v="4"/>
    <x v="43"/>
    <x v="0"/>
    <x v="3"/>
    <n v="0"/>
    <x v="2"/>
  </r>
  <r>
    <x v="30"/>
    <x v="1"/>
    <x v="376"/>
    <x v="1"/>
    <x v="4"/>
    <x v="43"/>
    <x v="0"/>
    <x v="4"/>
    <n v="0"/>
    <x v="2"/>
  </r>
  <r>
    <x v="30"/>
    <x v="1"/>
    <x v="376"/>
    <x v="1"/>
    <x v="4"/>
    <x v="43"/>
    <x v="0"/>
    <x v="5"/>
    <n v="0"/>
    <x v="2"/>
  </r>
  <r>
    <x v="30"/>
    <x v="1"/>
    <x v="376"/>
    <x v="1"/>
    <x v="4"/>
    <x v="43"/>
    <x v="0"/>
    <x v="6"/>
    <n v="0"/>
    <x v="2"/>
  </r>
  <r>
    <x v="30"/>
    <x v="1"/>
    <x v="376"/>
    <x v="1"/>
    <x v="4"/>
    <x v="43"/>
    <x v="0"/>
    <x v="7"/>
    <n v="0"/>
    <x v="2"/>
  </r>
  <r>
    <x v="30"/>
    <x v="1"/>
    <x v="376"/>
    <x v="1"/>
    <x v="4"/>
    <x v="43"/>
    <x v="0"/>
    <x v="8"/>
    <n v="0"/>
    <x v="2"/>
  </r>
  <r>
    <x v="30"/>
    <x v="1"/>
    <x v="376"/>
    <x v="1"/>
    <x v="4"/>
    <x v="43"/>
    <x v="0"/>
    <x v="9"/>
    <n v="0"/>
    <x v="2"/>
  </r>
  <r>
    <x v="30"/>
    <x v="1"/>
    <x v="376"/>
    <x v="1"/>
    <x v="4"/>
    <x v="43"/>
    <x v="0"/>
    <x v="10"/>
    <n v="0"/>
    <x v="2"/>
  </r>
  <r>
    <x v="30"/>
    <x v="1"/>
    <x v="376"/>
    <x v="1"/>
    <x v="4"/>
    <x v="43"/>
    <x v="0"/>
    <x v="12"/>
    <n v="500"/>
    <x v="2"/>
  </r>
  <r>
    <x v="30"/>
    <x v="1"/>
    <x v="377"/>
    <x v="1"/>
    <x v="4"/>
    <x v="43"/>
    <x v="0"/>
    <x v="0"/>
    <n v="537.14"/>
    <x v="2"/>
  </r>
  <r>
    <x v="30"/>
    <x v="1"/>
    <x v="377"/>
    <x v="1"/>
    <x v="4"/>
    <x v="43"/>
    <x v="0"/>
    <x v="1"/>
    <n v="0"/>
    <x v="2"/>
  </r>
  <r>
    <x v="30"/>
    <x v="1"/>
    <x v="377"/>
    <x v="1"/>
    <x v="4"/>
    <x v="43"/>
    <x v="0"/>
    <x v="2"/>
    <n v="0"/>
    <x v="2"/>
  </r>
  <r>
    <x v="30"/>
    <x v="1"/>
    <x v="377"/>
    <x v="1"/>
    <x v="4"/>
    <x v="43"/>
    <x v="0"/>
    <x v="3"/>
    <n v="0"/>
    <x v="2"/>
  </r>
  <r>
    <x v="30"/>
    <x v="1"/>
    <x v="377"/>
    <x v="1"/>
    <x v="4"/>
    <x v="43"/>
    <x v="0"/>
    <x v="4"/>
    <n v="0"/>
    <x v="2"/>
  </r>
  <r>
    <x v="30"/>
    <x v="1"/>
    <x v="377"/>
    <x v="1"/>
    <x v="4"/>
    <x v="43"/>
    <x v="0"/>
    <x v="5"/>
    <n v="0"/>
    <x v="2"/>
  </r>
  <r>
    <x v="30"/>
    <x v="1"/>
    <x v="377"/>
    <x v="1"/>
    <x v="4"/>
    <x v="43"/>
    <x v="0"/>
    <x v="6"/>
    <n v="60"/>
    <x v="2"/>
  </r>
  <r>
    <x v="30"/>
    <x v="1"/>
    <x v="377"/>
    <x v="1"/>
    <x v="4"/>
    <x v="43"/>
    <x v="0"/>
    <x v="7"/>
    <n v="0"/>
    <x v="2"/>
  </r>
  <r>
    <x v="30"/>
    <x v="1"/>
    <x v="377"/>
    <x v="1"/>
    <x v="4"/>
    <x v="43"/>
    <x v="0"/>
    <x v="8"/>
    <n v="0"/>
    <x v="2"/>
  </r>
  <r>
    <x v="30"/>
    <x v="1"/>
    <x v="377"/>
    <x v="1"/>
    <x v="4"/>
    <x v="43"/>
    <x v="0"/>
    <x v="9"/>
    <n v="0"/>
    <x v="2"/>
  </r>
  <r>
    <x v="30"/>
    <x v="1"/>
    <x v="377"/>
    <x v="1"/>
    <x v="4"/>
    <x v="43"/>
    <x v="0"/>
    <x v="10"/>
    <n v="0"/>
    <x v="2"/>
  </r>
  <r>
    <x v="30"/>
    <x v="1"/>
    <x v="377"/>
    <x v="1"/>
    <x v="4"/>
    <x v="43"/>
    <x v="0"/>
    <x v="12"/>
    <n v="0"/>
    <x v="2"/>
  </r>
  <r>
    <x v="30"/>
    <x v="1"/>
    <x v="378"/>
    <x v="1"/>
    <x v="4"/>
    <x v="43"/>
    <x v="0"/>
    <x v="0"/>
    <n v="0"/>
    <x v="2"/>
  </r>
  <r>
    <x v="30"/>
    <x v="1"/>
    <x v="378"/>
    <x v="1"/>
    <x v="4"/>
    <x v="43"/>
    <x v="0"/>
    <x v="1"/>
    <n v="0"/>
    <x v="2"/>
  </r>
  <r>
    <x v="30"/>
    <x v="1"/>
    <x v="378"/>
    <x v="1"/>
    <x v="4"/>
    <x v="43"/>
    <x v="0"/>
    <x v="2"/>
    <n v="0"/>
    <x v="2"/>
  </r>
  <r>
    <x v="30"/>
    <x v="1"/>
    <x v="378"/>
    <x v="1"/>
    <x v="4"/>
    <x v="43"/>
    <x v="0"/>
    <x v="3"/>
    <n v="0"/>
    <x v="2"/>
  </r>
  <r>
    <x v="30"/>
    <x v="1"/>
    <x v="378"/>
    <x v="1"/>
    <x v="4"/>
    <x v="43"/>
    <x v="0"/>
    <x v="4"/>
    <n v="0"/>
    <x v="2"/>
  </r>
  <r>
    <x v="30"/>
    <x v="1"/>
    <x v="378"/>
    <x v="1"/>
    <x v="4"/>
    <x v="43"/>
    <x v="0"/>
    <x v="5"/>
    <n v="0"/>
    <x v="2"/>
  </r>
  <r>
    <x v="30"/>
    <x v="1"/>
    <x v="378"/>
    <x v="1"/>
    <x v="4"/>
    <x v="43"/>
    <x v="0"/>
    <x v="6"/>
    <n v="0"/>
    <x v="2"/>
  </r>
  <r>
    <x v="30"/>
    <x v="1"/>
    <x v="378"/>
    <x v="1"/>
    <x v="4"/>
    <x v="43"/>
    <x v="0"/>
    <x v="7"/>
    <n v="0"/>
    <x v="2"/>
  </r>
  <r>
    <x v="30"/>
    <x v="1"/>
    <x v="378"/>
    <x v="1"/>
    <x v="4"/>
    <x v="43"/>
    <x v="0"/>
    <x v="8"/>
    <n v="0"/>
    <x v="2"/>
  </r>
  <r>
    <x v="30"/>
    <x v="1"/>
    <x v="378"/>
    <x v="1"/>
    <x v="4"/>
    <x v="43"/>
    <x v="0"/>
    <x v="9"/>
    <n v="0"/>
    <x v="2"/>
  </r>
  <r>
    <x v="30"/>
    <x v="1"/>
    <x v="378"/>
    <x v="1"/>
    <x v="4"/>
    <x v="43"/>
    <x v="0"/>
    <x v="10"/>
    <n v="0"/>
    <x v="2"/>
  </r>
  <r>
    <x v="30"/>
    <x v="1"/>
    <x v="378"/>
    <x v="1"/>
    <x v="4"/>
    <x v="43"/>
    <x v="0"/>
    <x v="12"/>
    <n v="0"/>
    <x v="2"/>
  </r>
  <r>
    <x v="30"/>
    <x v="1"/>
    <x v="396"/>
    <x v="1"/>
    <x v="4"/>
    <x v="43"/>
    <x v="0"/>
    <x v="0"/>
    <n v="0"/>
    <x v="2"/>
  </r>
  <r>
    <x v="30"/>
    <x v="1"/>
    <x v="396"/>
    <x v="1"/>
    <x v="4"/>
    <x v="43"/>
    <x v="0"/>
    <x v="1"/>
    <n v="0"/>
    <x v="2"/>
  </r>
  <r>
    <x v="30"/>
    <x v="1"/>
    <x v="396"/>
    <x v="1"/>
    <x v="4"/>
    <x v="43"/>
    <x v="0"/>
    <x v="2"/>
    <n v="0"/>
    <x v="2"/>
  </r>
  <r>
    <x v="30"/>
    <x v="1"/>
    <x v="396"/>
    <x v="1"/>
    <x v="4"/>
    <x v="43"/>
    <x v="0"/>
    <x v="3"/>
    <n v="0"/>
    <x v="2"/>
  </r>
  <r>
    <x v="30"/>
    <x v="1"/>
    <x v="396"/>
    <x v="1"/>
    <x v="4"/>
    <x v="43"/>
    <x v="0"/>
    <x v="4"/>
    <n v="0"/>
    <x v="2"/>
  </r>
  <r>
    <x v="30"/>
    <x v="1"/>
    <x v="396"/>
    <x v="1"/>
    <x v="4"/>
    <x v="43"/>
    <x v="0"/>
    <x v="5"/>
    <n v="0"/>
    <x v="2"/>
  </r>
  <r>
    <x v="30"/>
    <x v="1"/>
    <x v="396"/>
    <x v="1"/>
    <x v="4"/>
    <x v="43"/>
    <x v="0"/>
    <x v="6"/>
    <n v="0"/>
    <x v="2"/>
  </r>
  <r>
    <x v="30"/>
    <x v="1"/>
    <x v="396"/>
    <x v="1"/>
    <x v="4"/>
    <x v="43"/>
    <x v="0"/>
    <x v="7"/>
    <n v="0"/>
    <x v="2"/>
  </r>
  <r>
    <x v="30"/>
    <x v="1"/>
    <x v="396"/>
    <x v="1"/>
    <x v="4"/>
    <x v="43"/>
    <x v="0"/>
    <x v="8"/>
    <n v="616"/>
    <x v="2"/>
  </r>
  <r>
    <x v="30"/>
    <x v="1"/>
    <x v="396"/>
    <x v="1"/>
    <x v="4"/>
    <x v="43"/>
    <x v="0"/>
    <x v="9"/>
    <n v="0"/>
    <x v="2"/>
  </r>
  <r>
    <x v="30"/>
    <x v="1"/>
    <x v="396"/>
    <x v="1"/>
    <x v="4"/>
    <x v="43"/>
    <x v="0"/>
    <x v="10"/>
    <n v="0"/>
    <x v="2"/>
  </r>
  <r>
    <x v="30"/>
    <x v="1"/>
    <x v="396"/>
    <x v="1"/>
    <x v="4"/>
    <x v="43"/>
    <x v="0"/>
    <x v="12"/>
    <n v="0"/>
    <x v="2"/>
  </r>
  <r>
    <x v="30"/>
    <x v="1"/>
    <x v="379"/>
    <x v="0"/>
    <x v="4"/>
    <x v="43"/>
    <x v="22"/>
    <x v="0"/>
    <n v="62.8"/>
    <x v="2"/>
  </r>
  <r>
    <x v="30"/>
    <x v="1"/>
    <x v="379"/>
    <x v="0"/>
    <x v="4"/>
    <x v="43"/>
    <x v="22"/>
    <x v="1"/>
    <n v="0"/>
    <x v="2"/>
  </r>
  <r>
    <x v="30"/>
    <x v="1"/>
    <x v="379"/>
    <x v="0"/>
    <x v="4"/>
    <x v="43"/>
    <x v="22"/>
    <x v="2"/>
    <n v="0"/>
    <x v="2"/>
  </r>
  <r>
    <x v="30"/>
    <x v="1"/>
    <x v="379"/>
    <x v="0"/>
    <x v="4"/>
    <x v="43"/>
    <x v="22"/>
    <x v="3"/>
    <n v="0"/>
    <x v="2"/>
  </r>
  <r>
    <x v="30"/>
    <x v="1"/>
    <x v="379"/>
    <x v="0"/>
    <x v="4"/>
    <x v="43"/>
    <x v="22"/>
    <x v="4"/>
    <n v="0"/>
    <x v="2"/>
  </r>
  <r>
    <x v="30"/>
    <x v="1"/>
    <x v="379"/>
    <x v="0"/>
    <x v="4"/>
    <x v="43"/>
    <x v="22"/>
    <x v="5"/>
    <n v="0"/>
    <x v="2"/>
  </r>
  <r>
    <x v="30"/>
    <x v="1"/>
    <x v="379"/>
    <x v="0"/>
    <x v="4"/>
    <x v="43"/>
    <x v="22"/>
    <x v="6"/>
    <n v="0"/>
    <x v="2"/>
  </r>
  <r>
    <x v="30"/>
    <x v="1"/>
    <x v="379"/>
    <x v="0"/>
    <x v="4"/>
    <x v="43"/>
    <x v="22"/>
    <x v="7"/>
    <n v="0"/>
    <x v="2"/>
  </r>
  <r>
    <x v="30"/>
    <x v="1"/>
    <x v="379"/>
    <x v="0"/>
    <x v="4"/>
    <x v="43"/>
    <x v="22"/>
    <x v="8"/>
    <n v="2141"/>
    <x v="2"/>
  </r>
  <r>
    <x v="30"/>
    <x v="1"/>
    <x v="379"/>
    <x v="0"/>
    <x v="4"/>
    <x v="43"/>
    <x v="22"/>
    <x v="9"/>
    <n v="116"/>
    <x v="2"/>
  </r>
  <r>
    <x v="30"/>
    <x v="1"/>
    <x v="379"/>
    <x v="0"/>
    <x v="4"/>
    <x v="43"/>
    <x v="22"/>
    <x v="10"/>
    <n v="183"/>
    <x v="2"/>
  </r>
  <r>
    <x v="30"/>
    <x v="1"/>
    <x v="379"/>
    <x v="0"/>
    <x v="4"/>
    <x v="43"/>
    <x v="22"/>
    <x v="12"/>
    <n v="0"/>
    <x v="2"/>
  </r>
  <r>
    <x v="30"/>
    <x v="1"/>
    <x v="380"/>
    <x v="1"/>
    <x v="4"/>
    <x v="43"/>
    <x v="0"/>
    <x v="0"/>
    <n v="0"/>
    <x v="2"/>
  </r>
  <r>
    <x v="30"/>
    <x v="1"/>
    <x v="380"/>
    <x v="1"/>
    <x v="4"/>
    <x v="43"/>
    <x v="0"/>
    <x v="1"/>
    <n v="0"/>
    <x v="2"/>
  </r>
  <r>
    <x v="30"/>
    <x v="1"/>
    <x v="380"/>
    <x v="1"/>
    <x v="4"/>
    <x v="43"/>
    <x v="0"/>
    <x v="2"/>
    <n v="0"/>
    <x v="2"/>
  </r>
  <r>
    <x v="30"/>
    <x v="1"/>
    <x v="380"/>
    <x v="1"/>
    <x v="4"/>
    <x v="43"/>
    <x v="0"/>
    <x v="3"/>
    <n v="56.97"/>
    <x v="2"/>
  </r>
  <r>
    <x v="30"/>
    <x v="1"/>
    <x v="380"/>
    <x v="1"/>
    <x v="4"/>
    <x v="43"/>
    <x v="0"/>
    <x v="4"/>
    <n v="0"/>
    <x v="2"/>
  </r>
  <r>
    <x v="30"/>
    <x v="1"/>
    <x v="380"/>
    <x v="1"/>
    <x v="4"/>
    <x v="43"/>
    <x v="0"/>
    <x v="5"/>
    <n v="0"/>
    <x v="2"/>
  </r>
  <r>
    <x v="30"/>
    <x v="1"/>
    <x v="380"/>
    <x v="1"/>
    <x v="4"/>
    <x v="43"/>
    <x v="0"/>
    <x v="6"/>
    <n v="0"/>
    <x v="2"/>
  </r>
  <r>
    <x v="30"/>
    <x v="1"/>
    <x v="380"/>
    <x v="1"/>
    <x v="4"/>
    <x v="43"/>
    <x v="0"/>
    <x v="7"/>
    <n v="100.14"/>
    <x v="2"/>
  </r>
  <r>
    <x v="30"/>
    <x v="1"/>
    <x v="380"/>
    <x v="1"/>
    <x v="4"/>
    <x v="43"/>
    <x v="0"/>
    <x v="8"/>
    <n v="0"/>
    <x v="2"/>
  </r>
  <r>
    <x v="30"/>
    <x v="1"/>
    <x v="380"/>
    <x v="1"/>
    <x v="4"/>
    <x v="43"/>
    <x v="0"/>
    <x v="9"/>
    <n v="0"/>
    <x v="2"/>
  </r>
  <r>
    <x v="30"/>
    <x v="1"/>
    <x v="380"/>
    <x v="1"/>
    <x v="4"/>
    <x v="43"/>
    <x v="0"/>
    <x v="10"/>
    <n v="21"/>
    <x v="2"/>
  </r>
  <r>
    <x v="30"/>
    <x v="1"/>
    <x v="380"/>
    <x v="1"/>
    <x v="4"/>
    <x v="43"/>
    <x v="0"/>
    <x v="12"/>
    <n v="0"/>
    <x v="2"/>
  </r>
  <r>
    <x v="30"/>
    <x v="1"/>
    <x v="381"/>
    <x v="0"/>
    <x v="4"/>
    <x v="43"/>
    <x v="23"/>
    <x v="0"/>
    <n v="1530.61"/>
    <x v="2"/>
  </r>
  <r>
    <x v="30"/>
    <x v="1"/>
    <x v="381"/>
    <x v="0"/>
    <x v="4"/>
    <x v="43"/>
    <x v="23"/>
    <x v="1"/>
    <n v="0"/>
    <x v="2"/>
  </r>
  <r>
    <x v="30"/>
    <x v="1"/>
    <x v="381"/>
    <x v="0"/>
    <x v="4"/>
    <x v="43"/>
    <x v="23"/>
    <x v="2"/>
    <n v="231.78"/>
    <x v="2"/>
  </r>
  <r>
    <x v="30"/>
    <x v="1"/>
    <x v="381"/>
    <x v="0"/>
    <x v="4"/>
    <x v="43"/>
    <x v="23"/>
    <x v="3"/>
    <n v="0"/>
    <x v="2"/>
  </r>
  <r>
    <x v="30"/>
    <x v="1"/>
    <x v="381"/>
    <x v="0"/>
    <x v="4"/>
    <x v="43"/>
    <x v="23"/>
    <x v="4"/>
    <n v="0"/>
    <x v="2"/>
  </r>
  <r>
    <x v="30"/>
    <x v="1"/>
    <x v="381"/>
    <x v="0"/>
    <x v="4"/>
    <x v="43"/>
    <x v="23"/>
    <x v="5"/>
    <n v="0"/>
    <x v="2"/>
  </r>
  <r>
    <x v="30"/>
    <x v="1"/>
    <x v="381"/>
    <x v="0"/>
    <x v="4"/>
    <x v="43"/>
    <x v="23"/>
    <x v="6"/>
    <n v="0"/>
    <x v="2"/>
  </r>
  <r>
    <x v="30"/>
    <x v="1"/>
    <x v="381"/>
    <x v="0"/>
    <x v="4"/>
    <x v="43"/>
    <x v="23"/>
    <x v="7"/>
    <n v="0"/>
    <x v="2"/>
  </r>
  <r>
    <x v="30"/>
    <x v="1"/>
    <x v="381"/>
    <x v="0"/>
    <x v="4"/>
    <x v="43"/>
    <x v="23"/>
    <x v="8"/>
    <n v="0"/>
    <x v="2"/>
  </r>
  <r>
    <x v="30"/>
    <x v="1"/>
    <x v="381"/>
    <x v="0"/>
    <x v="4"/>
    <x v="43"/>
    <x v="23"/>
    <x v="9"/>
    <n v="0"/>
    <x v="2"/>
  </r>
  <r>
    <x v="30"/>
    <x v="1"/>
    <x v="381"/>
    <x v="0"/>
    <x v="4"/>
    <x v="43"/>
    <x v="23"/>
    <x v="10"/>
    <n v="711"/>
    <x v="2"/>
  </r>
  <r>
    <x v="30"/>
    <x v="1"/>
    <x v="381"/>
    <x v="0"/>
    <x v="4"/>
    <x v="43"/>
    <x v="23"/>
    <x v="12"/>
    <n v="0"/>
    <x v="2"/>
  </r>
  <r>
    <x v="30"/>
    <x v="1"/>
    <x v="382"/>
    <x v="1"/>
    <x v="4"/>
    <x v="43"/>
    <x v="0"/>
    <x v="0"/>
    <n v="0"/>
    <x v="2"/>
  </r>
  <r>
    <x v="30"/>
    <x v="1"/>
    <x v="382"/>
    <x v="1"/>
    <x v="4"/>
    <x v="43"/>
    <x v="0"/>
    <x v="1"/>
    <n v="0"/>
    <x v="2"/>
  </r>
  <r>
    <x v="30"/>
    <x v="1"/>
    <x v="382"/>
    <x v="1"/>
    <x v="4"/>
    <x v="43"/>
    <x v="0"/>
    <x v="2"/>
    <n v="0"/>
    <x v="2"/>
  </r>
  <r>
    <x v="30"/>
    <x v="1"/>
    <x v="382"/>
    <x v="1"/>
    <x v="4"/>
    <x v="43"/>
    <x v="0"/>
    <x v="3"/>
    <n v="0"/>
    <x v="2"/>
  </r>
  <r>
    <x v="30"/>
    <x v="1"/>
    <x v="382"/>
    <x v="1"/>
    <x v="4"/>
    <x v="43"/>
    <x v="0"/>
    <x v="4"/>
    <n v="0"/>
    <x v="2"/>
  </r>
  <r>
    <x v="30"/>
    <x v="1"/>
    <x v="382"/>
    <x v="1"/>
    <x v="4"/>
    <x v="43"/>
    <x v="0"/>
    <x v="5"/>
    <n v="36.869999999999997"/>
    <x v="2"/>
  </r>
  <r>
    <x v="30"/>
    <x v="1"/>
    <x v="382"/>
    <x v="1"/>
    <x v="4"/>
    <x v="43"/>
    <x v="0"/>
    <x v="6"/>
    <n v="0"/>
    <x v="2"/>
  </r>
  <r>
    <x v="30"/>
    <x v="1"/>
    <x v="382"/>
    <x v="1"/>
    <x v="4"/>
    <x v="43"/>
    <x v="0"/>
    <x v="7"/>
    <n v="0"/>
    <x v="2"/>
  </r>
  <r>
    <x v="30"/>
    <x v="1"/>
    <x v="382"/>
    <x v="1"/>
    <x v="4"/>
    <x v="43"/>
    <x v="0"/>
    <x v="8"/>
    <n v="0"/>
    <x v="2"/>
  </r>
  <r>
    <x v="30"/>
    <x v="1"/>
    <x v="382"/>
    <x v="1"/>
    <x v="4"/>
    <x v="43"/>
    <x v="0"/>
    <x v="9"/>
    <n v="0"/>
    <x v="2"/>
  </r>
  <r>
    <x v="30"/>
    <x v="1"/>
    <x v="382"/>
    <x v="1"/>
    <x v="4"/>
    <x v="43"/>
    <x v="0"/>
    <x v="10"/>
    <n v="0"/>
    <x v="2"/>
  </r>
  <r>
    <x v="30"/>
    <x v="1"/>
    <x v="382"/>
    <x v="1"/>
    <x v="4"/>
    <x v="43"/>
    <x v="0"/>
    <x v="12"/>
    <n v="0"/>
    <x v="2"/>
  </r>
  <r>
    <x v="30"/>
    <x v="1"/>
    <x v="383"/>
    <x v="1"/>
    <x v="4"/>
    <x v="43"/>
    <x v="0"/>
    <x v="0"/>
    <n v="293.88"/>
    <x v="2"/>
  </r>
  <r>
    <x v="30"/>
    <x v="1"/>
    <x v="383"/>
    <x v="1"/>
    <x v="4"/>
    <x v="43"/>
    <x v="0"/>
    <x v="1"/>
    <n v="0"/>
    <x v="2"/>
  </r>
  <r>
    <x v="30"/>
    <x v="1"/>
    <x v="383"/>
    <x v="1"/>
    <x v="4"/>
    <x v="43"/>
    <x v="0"/>
    <x v="2"/>
    <n v="0"/>
    <x v="2"/>
  </r>
  <r>
    <x v="30"/>
    <x v="1"/>
    <x v="383"/>
    <x v="1"/>
    <x v="4"/>
    <x v="43"/>
    <x v="0"/>
    <x v="3"/>
    <n v="0"/>
    <x v="2"/>
  </r>
  <r>
    <x v="30"/>
    <x v="1"/>
    <x v="383"/>
    <x v="1"/>
    <x v="4"/>
    <x v="43"/>
    <x v="0"/>
    <x v="4"/>
    <n v="0"/>
    <x v="2"/>
  </r>
  <r>
    <x v="30"/>
    <x v="1"/>
    <x v="383"/>
    <x v="1"/>
    <x v="4"/>
    <x v="43"/>
    <x v="0"/>
    <x v="5"/>
    <n v="0"/>
    <x v="2"/>
  </r>
  <r>
    <x v="30"/>
    <x v="1"/>
    <x v="383"/>
    <x v="1"/>
    <x v="4"/>
    <x v="43"/>
    <x v="0"/>
    <x v="6"/>
    <n v="0"/>
    <x v="2"/>
  </r>
  <r>
    <x v="30"/>
    <x v="1"/>
    <x v="383"/>
    <x v="1"/>
    <x v="4"/>
    <x v="43"/>
    <x v="0"/>
    <x v="7"/>
    <n v="0"/>
    <x v="2"/>
  </r>
  <r>
    <x v="30"/>
    <x v="1"/>
    <x v="383"/>
    <x v="1"/>
    <x v="4"/>
    <x v="43"/>
    <x v="0"/>
    <x v="8"/>
    <n v="0"/>
    <x v="2"/>
  </r>
  <r>
    <x v="30"/>
    <x v="1"/>
    <x v="383"/>
    <x v="1"/>
    <x v="4"/>
    <x v="43"/>
    <x v="0"/>
    <x v="9"/>
    <n v="0"/>
    <x v="2"/>
  </r>
  <r>
    <x v="30"/>
    <x v="1"/>
    <x v="383"/>
    <x v="1"/>
    <x v="4"/>
    <x v="43"/>
    <x v="0"/>
    <x v="10"/>
    <n v="0"/>
    <x v="2"/>
  </r>
  <r>
    <x v="30"/>
    <x v="1"/>
    <x v="383"/>
    <x v="1"/>
    <x v="4"/>
    <x v="43"/>
    <x v="0"/>
    <x v="12"/>
    <n v="0"/>
    <x v="2"/>
  </r>
  <r>
    <x v="30"/>
    <x v="1"/>
    <x v="384"/>
    <x v="1"/>
    <x v="4"/>
    <x v="43"/>
    <x v="0"/>
    <x v="0"/>
    <n v="0"/>
    <x v="2"/>
  </r>
  <r>
    <x v="30"/>
    <x v="1"/>
    <x v="384"/>
    <x v="1"/>
    <x v="4"/>
    <x v="43"/>
    <x v="0"/>
    <x v="1"/>
    <n v="0"/>
    <x v="2"/>
  </r>
  <r>
    <x v="30"/>
    <x v="1"/>
    <x v="384"/>
    <x v="1"/>
    <x v="4"/>
    <x v="43"/>
    <x v="0"/>
    <x v="2"/>
    <n v="0"/>
    <x v="2"/>
  </r>
  <r>
    <x v="30"/>
    <x v="1"/>
    <x v="384"/>
    <x v="1"/>
    <x v="4"/>
    <x v="43"/>
    <x v="0"/>
    <x v="3"/>
    <n v="0"/>
    <x v="2"/>
  </r>
  <r>
    <x v="30"/>
    <x v="1"/>
    <x v="384"/>
    <x v="1"/>
    <x v="4"/>
    <x v="43"/>
    <x v="0"/>
    <x v="4"/>
    <n v="0"/>
    <x v="2"/>
  </r>
  <r>
    <x v="30"/>
    <x v="1"/>
    <x v="384"/>
    <x v="1"/>
    <x v="4"/>
    <x v="43"/>
    <x v="0"/>
    <x v="5"/>
    <n v="0"/>
    <x v="2"/>
  </r>
  <r>
    <x v="30"/>
    <x v="1"/>
    <x v="384"/>
    <x v="1"/>
    <x v="4"/>
    <x v="43"/>
    <x v="0"/>
    <x v="6"/>
    <n v="0"/>
    <x v="2"/>
  </r>
  <r>
    <x v="30"/>
    <x v="1"/>
    <x v="384"/>
    <x v="1"/>
    <x v="4"/>
    <x v="43"/>
    <x v="0"/>
    <x v="7"/>
    <n v="0"/>
    <x v="2"/>
  </r>
  <r>
    <x v="30"/>
    <x v="1"/>
    <x v="384"/>
    <x v="1"/>
    <x v="4"/>
    <x v="43"/>
    <x v="0"/>
    <x v="8"/>
    <n v="0"/>
    <x v="2"/>
  </r>
  <r>
    <x v="30"/>
    <x v="1"/>
    <x v="384"/>
    <x v="1"/>
    <x v="4"/>
    <x v="43"/>
    <x v="0"/>
    <x v="9"/>
    <n v="0"/>
    <x v="2"/>
  </r>
  <r>
    <x v="30"/>
    <x v="1"/>
    <x v="384"/>
    <x v="1"/>
    <x v="4"/>
    <x v="43"/>
    <x v="0"/>
    <x v="10"/>
    <n v="0"/>
    <x v="2"/>
  </r>
  <r>
    <x v="30"/>
    <x v="1"/>
    <x v="384"/>
    <x v="1"/>
    <x v="4"/>
    <x v="43"/>
    <x v="0"/>
    <x v="12"/>
    <n v="0"/>
    <x v="2"/>
  </r>
  <r>
    <x v="30"/>
    <x v="1"/>
    <x v="397"/>
    <x v="1"/>
    <x v="4"/>
    <x v="43"/>
    <x v="0"/>
    <x v="0"/>
    <n v="0"/>
    <x v="2"/>
  </r>
  <r>
    <x v="30"/>
    <x v="1"/>
    <x v="397"/>
    <x v="1"/>
    <x v="4"/>
    <x v="43"/>
    <x v="0"/>
    <x v="1"/>
    <n v="40.82"/>
    <x v="2"/>
  </r>
  <r>
    <x v="30"/>
    <x v="1"/>
    <x v="397"/>
    <x v="1"/>
    <x v="4"/>
    <x v="43"/>
    <x v="0"/>
    <x v="2"/>
    <n v="0"/>
    <x v="2"/>
  </r>
  <r>
    <x v="30"/>
    <x v="1"/>
    <x v="397"/>
    <x v="1"/>
    <x v="4"/>
    <x v="43"/>
    <x v="0"/>
    <x v="3"/>
    <n v="0"/>
    <x v="2"/>
  </r>
  <r>
    <x v="30"/>
    <x v="1"/>
    <x v="397"/>
    <x v="1"/>
    <x v="4"/>
    <x v="43"/>
    <x v="0"/>
    <x v="4"/>
    <n v="0"/>
    <x v="2"/>
  </r>
  <r>
    <x v="30"/>
    <x v="1"/>
    <x v="397"/>
    <x v="1"/>
    <x v="4"/>
    <x v="43"/>
    <x v="0"/>
    <x v="5"/>
    <n v="0"/>
    <x v="2"/>
  </r>
  <r>
    <x v="30"/>
    <x v="1"/>
    <x v="397"/>
    <x v="1"/>
    <x v="4"/>
    <x v="43"/>
    <x v="0"/>
    <x v="6"/>
    <n v="0"/>
    <x v="2"/>
  </r>
  <r>
    <x v="30"/>
    <x v="1"/>
    <x v="397"/>
    <x v="1"/>
    <x v="4"/>
    <x v="43"/>
    <x v="0"/>
    <x v="7"/>
    <n v="0"/>
    <x v="2"/>
  </r>
  <r>
    <x v="30"/>
    <x v="1"/>
    <x v="397"/>
    <x v="1"/>
    <x v="4"/>
    <x v="43"/>
    <x v="0"/>
    <x v="8"/>
    <n v="0"/>
    <x v="2"/>
  </r>
  <r>
    <x v="30"/>
    <x v="1"/>
    <x v="397"/>
    <x v="1"/>
    <x v="4"/>
    <x v="43"/>
    <x v="0"/>
    <x v="9"/>
    <n v="0"/>
    <x v="2"/>
  </r>
  <r>
    <x v="30"/>
    <x v="1"/>
    <x v="397"/>
    <x v="1"/>
    <x v="4"/>
    <x v="43"/>
    <x v="0"/>
    <x v="10"/>
    <n v="0"/>
    <x v="2"/>
  </r>
  <r>
    <x v="30"/>
    <x v="1"/>
    <x v="397"/>
    <x v="1"/>
    <x v="4"/>
    <x v="43"/>
    <x v="0"/>
    <x v="12"/>
    <n v="0"/>
    <x v="2"/>
  </r>
  <r>
    <x v="30"/>
    <x v="1"/>
    <x v="389"/>
    <x v="0"/>
    <x v="4"/>
    <x v="43"/>
    <x v="17"/>
    <x v="0"/>
    <n v="0"/>
    <x v="2"/>
  </r>
  <r>
    <x v="30"/>
    <x v="1"/>
    <x v="389"/>
    <x v="0"/>
    <x v="4"/>
    <x v="43"/>
    <x v="17"/>
    <x v="1"/>
    <n v="0"/>
    <x v="2"/>
  </r>
  <r>
    <x v="30"/>
    <x v="1"/>
    <x v="389"/>
    <x v="0"/>
    <x v="4"/>
    <x v="43"/>
    <x v="17"/>
    <x v="2"/>
    <n v="0"/>
    <x v="2"/>
  </r>
  <r>
    <x v="30"/>
    <x v="1"/>
    <x v="389"/>
    <x v="0"/>
    <x v="4"/>
    <x v="43"/>
    <x v="17"/>
    <x v="3"/>
    <n v="402.04"/>
    <x v="2"/>
  </r>
  <r>
    <x v="30"/>
    <x v="1"/>
    <x v="389"/>
    <x v="0"/>
    <x v="4"/>
    <x v="43"/>
    <x v="17"/>
    <x v="4"/>
    <n v="0"/>
    <x v="2"/>
  </r>
  <r>
    <x v="30"/>
    <x v="1"/>
    <x v="389"/>
    <x v="0"/>
    <x v="4"/>
    <x v="43"/>
    <x v="17"/>
    <x v="5"/>
    <n v="0"/>
    <x v="2"/>
  </r>
  <r>
    <x v="30"/>
    <x v="1"/>
    <x v="389"/>
    <x v="0"/>
    <x v="4"/>
    <x v="43"/>
    <x v="17"/>
    <x v="6"/>
    <n v="0"/>
    <x v="2"/>
  </r>
  <r>
    <x v="30"/>
    <x v="1"/>
    <x v="389"/>
    <x v="0"/>
    <x v="4"/>
    <x v="43"/>
    <x v="17"/>
    <x v="7"/>
    <n v="140.13999999999999"/>
    <x v="2"/>
  </r>
  <r>
    <x v="30"/>
    <x v="1"/>
    <x v="389"/>
    <x v="0"/>
    <x v="4"/>
    <x v="43"/>
    <x v="17"/>
    <x v="8"/>
    <n v="0"/>
    <x v="2"/>
  </r>
  <r>
    <x v="30"/>
    <x v="1"/>
    <x v="389"/>
    <x v="0"/>
    <x v="4"/>
    <x v="43"/>
    <x v="17"/>
    <x v="9"/>
    <n v="0"/>
    <x v="2"/>
  </r>
  <r>
    <x v="30"/>
    <x v="1"/>
    <x v="389"/>
    <x v="0"/>
    <x v="4"/>
    <x v="43"/>
    <x v="17"/>
    <x v="10"/>
    <n v="0"/>
    <x v="2"/>
  </r>
  <r>
    <x v="30"/>
    <x v="1"/>
    <x v="389"/>
    <x v="0"/>
    <x v="4"/>
    <x v="43"/>
    <x v="17"/>
    <x v="12"/>
    <n v="0"/>
    <x v="2"/>
  </r>
  <r>
    <x v="30"/>
    <x v="1"/>
    <x v="398"/>
    <x v="1"/>
    <x v="4"/>
    <x v="43"/>
    <x v="0"/>
    <x v="0"/>
    <n v="0"/>
    <x v="2"/>
  </r>
  <r>
    <x v="30"/>
    <x v="1"/>
    <x v="398"/>
    <x v="1"/>
    <x v="4"/>
    <x v="43"/>
    <x v="0"/>
    <x v="1"/>
    <n v="0"/>
    <x v="2"/>
  </r>
  <r>
    <x v="30"/>
    <x v="1"/>
    <x v="398"/>
    <x v="1"/>
    <x v="4"/>
    <x v="43"/>
    <x v="0"/>
    <x v="2"/>
    <n v="0"/>
    <x v="2"/>
  </r>
  <r>
    <x v="30"/>
    <x v="1"/>
    <x v="398"/>
    <x v="1"/>
    <x v="4"/>
    <x v="43"/>
    <x v="0"/>
    <x v="3"/>
    <n v="0"/>
    <x v="2"/>
  </r>
  <r>
    <x v="30"/>
    <x v="1"/>
    <x v="398"/>
    <x v="1"/>
    <x v="4"/>
    <x v="43"/>
    <x v="0"/>
    <x v="4"/>
    <n v="0"/>
    <x v="2"/>
  </r>
  <r>
    <x v="30"/>
    <x v="1"/>
    <x v="398"/>
    <x v="1"/>
    <x v="4"/>
    <x v="43"/>
    <x v="0"/>
    <x v="5"/>
    <n v="0"/>
    <x v="2"/>
  </r>
  <r>
    <x v="30"/>
    <x v="1"/>
    <x v="398"/>
    <x v="1"/>
    <x v="4"/>
    <x v="43"/>
    <x v="0"/>
    <x v="6"/>
    <n v="0"/>
    <x v="2"/>
  </r>
  <r>
    <x v="30"/>
    <x v="1"/>
    <x v="398"/>
    <x v="1"/>
    <x v="4"/>
    <x v="43"/>
    <x v="0"/>
    <x v="7"/>
    <n v="0"/>
    <x v="2"/>
  </r>
  <r>
    <x v="30"/>
    <x v="1"/>
    <x v="398"/>
    <x v="1"/>
    <x v="4"/>
    <x v="43"/>
    <x v="0"/>
    <x v="8"/>
    <n v="0"/>
    <x v="2"/>
  </r>
  <r>
    <x v="30"/>
    <x v="1"/>
    <x v="398"/>
    <x v="1"/>
    <x v="4"/>
    <x v="43"/>
    <x v="0"/>
    <x v="9"/>
    <n v="0"/>
    <x v="2"/>
  </r>
  <r>
    <x v="30"/>
    <x v="1"/>
    <x v="398"/>
    <x v="1"/>
    <x v="4"/>
    <x v="43"/>
    <x v="0"/>
    <x v="10"/>
    <n v="0"/>
    <x v="2"/>
  </r>
  <r>
    <x v="30"/>
    <x v="1"/>
    <x v="398"/>
    <x v="1"/>
    <x v="4"/>
    <x v="43"/>
    <x v="0"/>
    <x v="12"/>
    <n v="0"/>
    <x v="2"/>
  </r>
  <r>
    <x v="30"/>
    <x v="1"/>
    <x v="399"/>
    <x v="1"/>
    <x v="4"/>
    <x v="33"/>
    <x v="0"/>
    <x v="0"/>
    <n v="0"/>
    <x v="2"/>
  </r>
  <r>
    <x v="30"/>
    <x v="1"/>
    <x v="399"/>
    <x v="1"/>
    <x v="4"/>
    <x v="33"/>
    <x v="0"/>
    <x v="1"/>
    <n v="0"/>
    <x v="2"/>
  </r>
  <r>
    <x v="30"/>
    <x v="1"/>
    <x v="399"/>
    <x v="1"/>
    <x v="4"/>
    <x v="33"/>
    <x v="0"/>
    <x v="2"/>
    <n v="0"/>
    <x v="2"/>
  </r>
  <r>
    <x v="30"/>
    <x v="1"/>
    <x v="399"/>
    <x v="1"/>
    <x v="4"/>
    <x v="33"/>
    <x v="0"/>
    <x v="3"/>
    <n v="0"/>
    <x v="2"/>
  </r>
  <r>
    <x v="30"/>
    <x v="1"/>
    <x v="399"/>
    <x v="1"/>
    <x v="4"/>
    <x v="33"/>
    <x v="0"/>
    <x v="4"/>
    <n v="0"/>
    <x v="2"/>
  </r>
  <r>
    <x v="30"/>
    <x v="1"/>
    <x v="399"/>
    <x v="1"/>
    <x v="4"/>
    <x v="33"/>
    <x v="0"/>
    <x v="5"/>
    <n v="0"/>
    <x v="2"/>
  </r>
  <r>
    <x v="30"/>
    <x v="1"/>
    <x v="399"/>
    <x v="1"/>
    <x v="4"/>
    <x v="33"/>
    <x v="0"/>
    <x v="6"/>
    <n v="0"/>
    <x v="2"/>
  </r>
  <r>
    <x v="30"/>
    <x v="1"/>
    <x v="399"/>
    <x v="1"/>
    <x v="4"/>
    <x v="33"/>
    <x v="0"/>
    <x v="7"/>
    <n v="0"/>
    <x v="2"/>
  </r>
  <r>
    <x v="30"/>
    <x v="1"/>
    <x v="399"/>
    <x v="1"/>
    <x v="4"/>
    <x v="33"/>
    <x v="0"/>
    <x v="8"/>
    <n v="0"/>
    <x v="2"/>
  </r>
  <r>
    <x v="30"/>
    <x v="1"/>
    <x v="399"/>
    <x v="1"/>
    <x v="4"/>
    <x v="33"/>
    <x v="0"/>
    <x v="9"/>
    <n v="0"/>
    <x v="2"/>
  </r>
  <r>
    <x v="30"/>
    <x v="1"/>
    <x v="399"/>
    <x v="1"/>
    <x v="4"/>
    <x v="33"/>
    <x v="0"/>
    <x v="10"/>
    <n v="0"/>
    <x v="2"/>
  </r>
  <r>
    <x v="30"/>
    <x v="1"/>
    <x v="399"/>
    <x v="1"/>
    <x v="4"/>
    <x v="33"/>
    <x v="0"/>
    <x v="12"/>
    <n v="0"/>
    <x v="2"/>
  </r>
  <r>
    <x v="30"/>
    <x v="1"/>
    <x v="400"/>
    <x v="1"/>
    <x v="4"/>
    <x v="43"/>
    <x v="0"/>
    <x v="0"/>
    <n v="0"/>
    <x v="2"/>
  </r>
  <r>
    <x v="30"/>
    <x v="1"/>
    <x v="400"/>
    <x v="1"/>
    <x v="4"/>
    <x v="43"/>
    <x v="0"/>
    <x v="1"/>
    <n v="0"/>
    <x v="2"/>
  </r>
  <r>
    <x v="30"/>
    <x v="1"/>
    <x v="400"/>
    <x v="1"/>
    <x v="4"/>
    <x v="43"/>
    <x v="0"/>
    <x v="2"/>
    <n v="0"/>
    <x v="2"/>
  </r>
  <r>
    <x v="30"/>
    <x v="1"/>
    <x v="400"/>
    <x v="1"/>
    <x v="4"/>
    <x v="43"/>
    <x v="0"/>
    <x v="3"/>
    <n v="0"/>
    <x v="2"/>
  </r>
  <r>
    <x v="30"/>
    <x v="1"/>
    <x v="400"/>
    <x v="1"/>
    <x v="4"/>
    <x v="43"/>
    <x v="0"/>
    <x v="4"/>
    <n v="0"/>
    <x v="2"/>
  </r>
  <r>
    <x v="30"/>
    <x v="1"/>
    <x v="400"/>
    <x v="1"/>
    <x v="4"/>
    <x v="43"/>
    <x v="0"/>
    <x v="5"/>
    <n v="0"/>
    <x v="2"/>
  </r>
  <r>
    <x v="30"/>
    <x v="1"/>
    <x v="400"/>
    <x v="1"/>
    <x v="4"/>
    <x v="43"/>
    <x v="0"/>
    <x v="6"/>
    <n v="0"/>
    <x v="2"/>
  </r>
  <r>
    <x v="30"/>
    <x v="1"/>
    <x v="400"/>
    <x v="1"/>
    <x v="4"/>
    <x v="43"/>
    <x v="0"/>
    <x v="7"/>
    <n v="0"/>
    <x v="2"/>
  </r>
  <r>
    <x v="30"/>
    <x v="1"/>
    <x v="400"/>
    <x v="1"/>
    <x v="4"/>
    <x v="43"/>
    <x v="0"/>
    <x v="8"/>
    <n v="444"/>
    <x v="2"/>
  </r>
  <r>
    <x v="30"/>
    <x v="1"/>
    <x v="400"/>
    <x v="1"/>
    <x v="4"/>
    <x v="43"/>
    <x v="0"/>
    <x v="9"/>
    <n v="0"/>
    <x v="2"/>
  </r>
  <r>
    <x v="30"/>
    <x v="1"/>
    <x v="400"/>
    <x v="1"/>
    <x v="4"/>
    <x v="43"/>
    <x v="0"/>
    <x v="10"/>
    <n v="0"/>
    <x v="2"/>
  </r>
  <r>
    <x v="30"/>
    <x v="1"/>
    <x v="400"/>
    <x v="1"/>
    <x v="4"/>
    <x v="43"/>
    <x v="0"/>
    <x v="12"/>
    <n v="0"/>
    <x v="2"/>
  </r>
  <r>
    <x v="30"/>
    <x v="1"/>
    <x v="392"/>
    <x v="1"/>
    <x v="4"/>
    <x v="43"/>
    <x v="0"/>
    <x v="0"/>
    <n v="0"/>
    <x v="2"/>
  </r>
  <r>
    <x v="30"/>
    <x v="1"/>
    <x v="392"/>
    <x v="1"/>
    <x v="4"/>
    <x v="43"/>
    <x v="0"/>
    <x v="1"/>
    <n v="0"/>
    <x v="2"/>
  </r>
  <r>
    <x v="30"/>
    <x v="1"/>
    <x v="392"/>
    <x v="1"/>
    <x v="4"/>
    <x v="43"/>
    <x v="0"/>
    <x v="2"/>
    <n v="0"/>
    <x v="2"/>
  </r>
  <r>
    <x v="30"/>
    <x v="1"/>
    <x v="392"/>
    <x v="1"/>
    <x v="4"/>
    <x v="43"/>
    <x v="0"/>
    <x v="3"/>
    <n v="0"/>
    <x v="2"/>
  </r>
  <r>
    <x v="30"/>
    <x v="1"/>
    <x v="392"/>
    <x v="1"/>
    <x v="4"/>
    <x v="43"/>
    <x v="0"/>
    <x v="4"/>
    <n v="0"/>
    <x v="2"/>
  </r>
  <r>
    <x v="30"/>
    <x v="1"/>
    <x v="392"/>
    <x v="1"/>
    <x v="4"/>
    <x v="43"/>
    <x v="0"/>
    <x v="5"/>
    <n v="0"/>
    <x v="2"/>
  </r>
  <r>
    <x v="30"/>
    <x v="1"/>
    <x v="392"/>
    <x v="1"/>
    <x v="4"/>
    <x v="43"/>
    <x v="0"/>
    <x v="6"/>
    <n v="0"/>
    <x v="2"/>
  </r>
  <r>
    <x v="30"/>
    <x v="1"/>
    <x v="392"/>
    <x v="1"/>
    <x v="4"/>
    <x v="43"/>
    <x v="0"/>
    <x v="7"/>
    <n v="0"/>
    <x v="2"/>
  </r>
  <r>
    <x v="30"/>
    <x v="1"/>
    <x v="392"/>
    <x v="1"/>
    <x v="4"/>
    <x v="43"/>
    <x v="0"/>
    <x v="8"/>
    <n v="1217"/>
    <x v="2"/>
  </r>
  <r>
    <x v="30"/>
    <x v="1"/>
    <x v="392"/>
    <x v="1"/>
    <x v="4"/>
    <x v="43"/>
    <x v="0"/>
    <x v="9"/>
    <n v="0"/>
    <x v="2"/>
  </r>
  <r>
    <x v="30"/>
    <x v="1"/>
    <x v="392"/>
    <x v="1"/>
    <x v="4"/>
    <x v="43"/>
    <x v="0"/>
    <x v="10"/>
    <n v="0"/>
    <x v="2"/>
  </r>
  <r>
    <x v="30"/>
    <x v="1"/>
    <x v="392"/>
    <x v="1"/>
    <x v="4"/>
    <x v="43"/>
    <x v="0"/>
    <x v="12"/>
    <n v="0"/>
    <x v="2"/>
  </r>
  <r>
    <x v="30"/>
    <x v="1"/>
    <x v="401"/>
    <x v="2"/>
    <x v="3"/>
    <x v="43"/>
    <x v="0"/>
    <x v="0"/>
    <n v="0"/>
    <x v="2"/>
  </r>
  <r>
    <x v="30"/>
    <x v="1"/>
    <x v="401"/>
    <x v="2"/>
    <x v="3"/>
    <x v="43"/>
    <x v="0"/>
    <x v="1"/>
    <n v="11.29"/>
    <x v="2"/>
  </r>
  <r>
    <x v="30"/>
    <x v="1"/>
    <x v="401"/>
    <x v="2"/>
    <x v="3"/>
    <x v="43"/>
    <x v="0"/>
    <x v="2"/>
    <n v="0"/>
    <x v="2"/>
  </r>
  <r>
    <x v="30"/>
    <x v="1"/>
    <x v="401"/>
    <x v="2"/>
    <x v="3"/>
    <x v="43"/>
    <x v="0"/>
    <x v="3"/>
    <n v="0"/>
    <x v="2"/>
  </r>
  <r>
    <x v="30"/>
    <x v="1"/>
    <x v="401"/>
    <x v="2"/>
    <x v="3"/>
    <x v="43"/>
    <x v="0"/>
    <x v="4"/>
    <n v="0"/>
    <x v="2"/>
  </r>
  <r>
    <x v="30"/>
    <x v="1"/>
    <x v="401"/>
    <x v="2"/>
    <x v="3"/>
    <x v="43"/>
    <x v="0"/>
    <x v="5"/>
    <n v="0"/>
    <x v="2"/>
  </r>
  <r>
    <x v="30"/>
    <x v="1"/>
    <x v="401"/>
    <x v="2"/>
    <x v="3"/>
    <x v="43"/>
    <x v="0"/>
    <x v="6"/>
    <n v="36"/>
    <x v="2"/>
  </r>
  <r>
    <x v="30"/>
    <x v="1"/>
    <x v="401"/>
    <x v="2"/>
    <x v="3"/>
    <x v="43"/>
    <x v="0"/>
    <x v="7"/>
    <n v="0"/>
    <x v="2"/>
  </r>
  <r>
    <x v="30"/>
    <x v="1"/>
    <x v="401"/>
    <x v="2"/>
    <x v="3"/>
    <x v="43"/>
    <x v="0"/>
    <x v="8"/>
    <n v="0"/>
    <x v="2"/>
  </r>
  <r>
    <x v="30"/>
    <x v="1"/>
    <x v="401"/>
    <x v="2"/>
    <x v="3"/>
    <x v="43"/>
    <x v="0"/>
    <x v="9"/>
    <n v="0"/>
    <x v="2"/>
  </r>
  <r>
    <x v="30"/>
    <x v="1"/>
    <x v="401"/>
    <x v="2"/>
    <x v="3"/>
    <x v="43"/>
    <x v="0"/>
    <x v="10"/>
    <n v="134"/>
    <x v="2"/>
  </r>
  <r>
    <x v="30"/>
    <x v="1"/>
    <x v="401"/>
    <x v="2"/>
    <x v="3"/>
    <x v="43"/>
    <x v="0"/>
    <x v="12"/>
    <n v="0"/>
    <x v="2"/>
  </r>
  <r>
    <x v="30"/>
    <x v="1"/>
    <x v="351"/>
    <x v="2"/>
    <x v="3"/>
    <x v="44"/>
    <x v="0"/>
    <x v="0"/>
    <n v="0"/>
    <x v="2"/>
  </r>
  <r>
    <x v="30"/>
    <x v="1"/>
    <x v="351"/>
    <x v="2"/>
    <x v="3"/>
    <x v="44"/>
    <x v="0"/>
    <x v="1"/>
    <n v="0"/>
    <x v="2"/>
  </r>
  <r>
    <x v="30"/>
    <x v="1"/>
    <x v="351"/>
    <x v="2"/>
    <x v="3"/>
    <x v="44"/>
    <x v="0"/>
    <x v="2"/>
    <n v="0"/>
    <x v="2"/>
  </r>
  <r>
    <x v="30"/>
    <x v="1"/>
    <x v="351"/>
    <x v="2"/>
    <x v="3"/>
    <x v="44"/>
    <x v="0"/>
    <x v="3"/>
    <n v="0"/>
    <x v="2"/>
  </r>
  <r>
    <x v="30"/>
    <x v="1"/>
    <x v="351"/>
    <x v="2"/>
    <x v="3"/>
    <x v="44"/>
    <x v="0"/>
    <x v="4"/>
    <n v="0"/>
    <x v="2"/>
  </r>
  <r>
    <x v="30"/>
    <x v="1"/>
    <x v="351"/>
    <x v="2"/>
    <x v="3"/>
    <x v="44"/>
    <x v="0"/>
    <x v="5"/>
    <n v="0"/>
    <x v="2"/>
  </r>
  <r>
    <x v="30"/>
    <x v="1"/>
    <x v="351"/>
    <x v="2"/>
    <x v="3"/>
    <x v="44"/>
    <x v="0"/>
    <x v="6"/>
    <n v="0"/>
    <x v="2"/>
  </r>
  <r>
    <x v="30"/>
    <x v="1"/>
    <x v="351"/>
    <x v="2"/>
    <x v="3"/>
    <x v="44"/>
    <x v="0"/>
    <x v="7"/>
    <n v="0"/>
    <x v="2"/>
  </r>
  <r>
    <x v="30"/>
    <x v="1"/>
    <x v="351"/>
    <x v="2"/>
    <x v="3"/>
    <x v="44"/>
    <x v="0"/>
    <x v="8"/>
    <n v="0"/>
    <x v="2"/>
  </r>
  <r>
    <x v="30"/>
    <x v="1"/>
    <x v="351"/>
    <x v="2"/>
    <x v="3"/>
    <x v="44"/>
    <x v="0"/>
    <x v="9"/>
    <n v="0"/>
    <x v="2"/>
  </r>
  <r>
    <x v="30"/>
    <x v="1"/>
    <x v="351"/>
    <x v="2"/>
    <x v="3"/>
    <x v="44"/>
    <x v="0"/>
    <x v="10"/>
    <n v="0"/>
    <x v="2"/>
  </r>
  <r>
    <x v="30"/>
    <x v="1"/>
    <x v="351"/>
    <x v="2"/>
    <x v="3"/>
    <x v="44"/>
    <x v="0"/>
    <x v="12"/>
    <n v="0"/>
    <x v="2"/>
  </r>
  <r>
    <x v="30"/>
    <x v="1"/>
    <x v="352"/>
    <x v="2"/>
    <x v="3"/>
    <x v="45"/>
    <x v="0"/>
    <x v="0"/>
    <n v="0"/>
    <x v="2"/>
  </r>
  <r>
    <x v="30"/>
    <x v="1"/>
    <x v="352"/>
    <x v="2"/>
    <x v="3"/>
    <x v="45"/>
    <x v="0"/>
    <x v="1"/>
    <n v="0"/>
    <x v="2"/>
  </r>
  <r>
    <x v="30"/>
    <x v="1"/>
    <x v="352"/>
    <x v="2"/>
    <x v="3"/>
    <x v="45"/>
    <x v="0"/>
    <x v="2"/>
    <n v="0"/>
    <x v="2"/>
  </r>
  <r>
    <x v="30"/>
    <x v="1"/>
    <x v="352"/>
    <x v="2"/>
    <x v="3"/>
    <x v="45"/>
    <x v="0"/>
    <x v="3"/>
    <n v="0"/>
    <x v="2"/>
  </r>
  <r>
    <x v="30"/>
    <x v="1"/>
    <x v="352"/>
    <x v="2"/>
    <x v="3"/>
    <x v="45"/>
    <x v="0"/>
    <x v="4"/>
    <n v="0"/>
    <x v="2"/>
  </r>
  <r>
    <x v="30"/>
    <x v="1"/>
    <x v="352"/>
    <x v="2"/>
    <x v="3"/>
    <x v="45"/>
    <x v="0"/>
    <x v="5"/>
    <n v="0"/>
    <x v="2"/>
  </r>
  <r>
    <x v="30"/>
    <x v="1"/>
    <x v="352"/>
    <x v="2"/>
    <x v="3"/>
    <x v="45"/>
    <x v="0"/>
    <x v="6"/>
    <n v="0"/>
    <x v="2"/>
  </r>
  <r>
    <x v="30"/>
    <x v="1"/>
    <x v="352"/>
    <x v="2"/>
    <x v="3"/>
    <x v="45"/>
    <x v="0"/>
    <x v="7"/>
    <n v="0"/>
    <x v="2"/>
  </r>
  <r>
    <x v="30"/>
    <x v="1"/>
    <x v="352"/>
    <x v="2"/>
    <x v="3"/>
    <x v="45"/>
    <x v="0"/>
    <x v="8"/>
    <n v="0"/>
    <x v="2"/>
  </r>
  <r>
    <x v="30"/>
    <x v="1"/>
    <x v="352"/>
    <x v="2"/>
    <x v="3"/>
    <x v="45"/>
    <x v="0"/>
    <x v="9"/>
    <n v="0"/>
    <x v="2"/>
  </r>
  <r>
    <x v="30"/>
    <x v="1"/>
    <x v="352"/>
    <x v="2"/>
    <x v="3"/>
    <x v="45"/>
    <x v="0"/>
    <x v="10"/>
    <n v="0"/>
    <x v="2"/>
  </r>
  <r>
    <x v="30"/>
    <x v="1"/>
    <x v="352"/>
    <x v="2"/>
    <x v="3"/>
    <x v="45"/>
    <x v="0"/>
    <x v="12"/>
    <n v="0"/>
    <x v="2"/>
  </r>
  <r>
    <x v="30"/>
    <x v="1"/>
    <x v="353"/>
    <x v="2"/>
    <x v="3"/>
    <x v="44"/>
    <x v="0"/>
    <x v="0"/>
    <n v="0"/>
    <x v="2"/>
  </r>
  <r>
    <x v="30"/>
    <x v="1"/>
    <x v="353"/>
    <x v="2"/>
    <x v="3"/>
    <x v="44"/>
    <x v="0"/>
    <x v="1"/>
    <n v="0"/>
    <x v="2"/>
  </r>
  <r>
    <x v="30"/>
    <x v="1"/>
    <x v="353"/>
    <x v="2"/>
    <x v="3"/>
    <x v="44"/>
    <x v="0"/>
    <x v="2"/>
    <n v="0"/>
    <x v="2"/>
  </r>
  <r>
    <x v="30"/>
    <x v="1"/>
    <x v="353"/>
    <x v="2"/>
    <x v="3"/>
    <x v="44"/>
    <x v="0"/>
    <x v="3"/>
    <n v="0"/>
    <x v="2"/>
  </r>
  <r>
    <x v="30"/>
    <x v="1"/>
    <x v="353"/>
    <x v="2"/>
    <x v="3"/>
    <x v="44"/>
    <x v="0"/>
    <x v="4"/>
    <n v="0"/>
    <x v="2"/>
  </r>
  <r>
    <x v="30"/>
    <x v="1"/>
    <x v="353"/>
    <x v="2"/>
    <x v="3"/>
    <x v="44"/>
    <x v="0"/>
    <x v="5"/>
    <n v="0"/>
    <x v="2"/>
  </r>
  <r>
    <x v="30"/>
    <x v="1"/>
    <x v="353"/>
    <x v="2"/>
    <x v="3"/>
    <x v="44"/>
    <x v="0"/>
    <x v="6"/>
    <n v="0"/>
    <x v="2"/>
  </r>
  <r>
    <x v="30"/>
    <x v="1"/>
    <x v="353"/>
    <x v="2"/>
    <x v="3"/>
    <x v="44"/>
    <x v="0"/>
    <x v="7"/>
    <n v="0"/>
    <x v="2"/>
  </r>
  <r>
    <x v="30"/>
    <x v="1"/>
    <x v="353"/>
    <x v="2"/>
    <x v="3"/>
    <x v="44"/>
    <x v="0"/>
    <x v="8"/>
    <n v="0"/>
    <x v="2"/>
  </r>
  <r>
    <x v="30"/>
    <x v="1"/>
    <x v="353"/>
    <x v="2"/>
    <x v="3"/>
    <x v="44"/>
    <x v="0"/>
    <x v="9"/>
    <n v="0"/>
    <x v="2"/>
  </r>
  <r>
    <x v="30"/>
    <x v="1"/>
    <x v="353"/>
    <x v="2"/>
    <x v="3"/>
    <x v="44"/>
    <x v="0"/>
    <x v="10"/>
    <n v="0"/>
    <x v="2"/>
  </r>
  <r>
    <x v="30"/>
    <x v="1"/>
    <x v="353"/>
    <x v="2"/>
    <x v="3"/>
    <x v="44"/>
    <x v="0"/>
    <x v="12"/>
    <n v="0"/>
    <x v="2"/>
  </r>
  <r>
    <x v="30"/>
    <x v="1"/>
    <x v="354"/>
    <x v="0"/>
    <x v="1"/>
    <x v="35"/>
    <x v="0"/>
    <x v="0"/>
    <n v="0"/>
    <x v="2"/>
  </r>
  <r>
    <x v="30"/>
    <x v="1"/>
    <x v="354"/>
    <x v="0"/>
    <x v="1"/>
    <x v="35"/>
    <x v="0"/>
    <x v="1"/>
    <n v="0"/>
    <x v="2"/>
  </r>
  <r>
    <x v="30"/>
    <x v="1"/>
    <x v="354"/>
    <x v="0"/>
    <x v="1"/>
    <x v="35"/>
    <x v="0"/>
    <x v="2"/>
    <n v="0"/>
    <x v="2"/>
  </r>
  <r>
    <x v="30"/>
    <x v="1"/>
    <x v="354"/>
    <x v="0"/>
    <x v="1"/>
    <x v="35"/>
    <x v="0"/>
    <x v="3"/>
    <n v="0"/>
    <x v="2"/>
  </r>
  <r>
    <x v="30"/>
    <x v="1"/>
    <x v="354"/>
    <x v="0"/>
    <x v="1"/>
    <x v="35"/>
    <x v="0"/>
    <x v="4"/>
    <n v="0"/>
    <x v="2"/>
  </r>
  <r>
    <x v="30"/>
    <x v="1"/>
    <x v="354"/>
    <x v="0"/>
    <x v="1"/>
    <x v="35"/>
    <x v="0"/>
    <x v="5"/>
    <n v="0"/>
    <x v="2"/>
  </r>
  <r>
    <x v="30"/>
    <x v="1"/>
    <x v="354"/>
    <x v="0"/>
    <x v="1"/>
    <x v="35"/>
    <x v="0"/>
    <x v="6"/>
    <n v="0"/>
    <x v="2"/>
  </r>
  <r>
    <x v="30"/>
    <x v="1"/>
    <x v="354"/>
    <x v="0"/>
    <x v="1"/>
    <x v="35"/>
    <x v="0"/>
    <x v="7"/>
    <n v="0"/>
    <x v="2"/>
  </r>
  <r>
    <x v="30"/>
    <x v="1"/>
    <x v="354"/>
    <x v="0"/>
    <x v="1"/>
    <x v="35"/>
    <x v="0"/>
    <x v="8"/>
    <n v="0"/>
    <x v="2"/>
  </r>
  <r>
    <x v="30"/>
    <x v="1"/>
    <x v="354"/>
    <x v="0"/>
    <x v="1"/>
    <x v="35"/>
    <x v="0"/>
    <x v="9"/>
    <n v="0"/>
    <x v="2"/>
  </r>
  <r>
    <x v="30"/>
    <x v="1"/>
    <x v="354"/>
    <x v="0"/>
    <x v="1"/>
    <x v="35"/>
    <x v="0"/>
    <x v="10"/>
    <n v="0"/>
    <x v="2"/>
  </r>
  <r>
    <x v="30"/>
    <x v="1"/>
    <x v="354"/>
    <x v="0"/>
    <x v="1"/>
    <x v="35"/>
    <x v="0"/>
    <x v="12"/>
    <n v="0"/>
    <x v="2"/>
  </r>
  <r>
    <x v="30"/>
    <x v="1"/>
    <x v="355"/>
    <x v="2"/>
    <x v="3"/>
    <x v="45"/>
    <x v="0"/>
    <x v="0"/>
    <n v="0"/>
    <x v="2"/>
  </r>
  <r>
    <x v="30"/>
    <x v="1"/>
    <x v="355"/>
    <x v="2"/>
    <x v="3"/>
    <x v="45"/>
    <x v="0"/>
    <x v="1"/>
    <n v="0"/>
    <x v="2"/>
  </r>
  <r>
    <x v="30"/>
    <x v="1"/>
    <x v="355"/>
    <x v="2"/>
    <x v="3"/>
    <x v="45"/>
    <x v="0"/>
    <x v="2"/>
    <n v="0"/>
    <x v="2"/>
  </r>
  <r>
    <x v="30"/>
    <x v="1"/>
    <x v="355"/>
    <x v="2"/>
    <x v="3"/>
    <x v="45"/>
    <x v="0"/>
    <x v="3"/>
    <n v="0"/>
    <x v="2"/>
  </r>
  <r>
    <x v="30"/>
    <x v="1"/>
    <x v="355"/>
    <x v="2"/>
    <x v="3"/>
    <x v="45"/>
    <x v="0"/>
    <x v="4"/>
    <n v="0"/>
    <x v="2"/>
  </r>
  <r>
    <x v="30"/>
    <x v="1"/>
    <x v="355"/>
    <x v="2"/>
    <x v="3"/>
    <x v="45"/>
    <x v="0"/>
    <x v="5"/>
    <n v="0"/>
    <x v="2"/>
  </r>
  <r>
    <x v="30"/>
    <x v="1"/>
    <x v="355"/>
    <x v="2"/>
    <x v="3"/>
    <x v="45"/>
    <x v="0"/>
    <x v="6"/>
    <n v="0"/>
    <x v="2"/>
  </r>
  <r>
    <x v="30"/>
    <x v="1"/>
    <x v="355"/>
    <x v="2"/>
    <x v="3"/>
    <x v="45"/>
    <x v="0"/>
    <x v="7"/>
    <n v="0"/>
    <x v="2"/>
  </r>
  <r>
    <x v="30"/>
    <x v="1"/>
    <x v="355"/>
    <x v="2"/>
    <x v="3"/>
    <x v="45"/>
    <x v="0"/>
    <x v="8"/>
    <n v="0"/>
    <x v="2"/>
  </r>
  <r>
    <x v="30"/>
    <x v="1"/>
    <x v="355"/>
    <x v="2"/>
    <x v="3"/>
    <x v="45"/>
    <x v="0"/>
    <x v="9"/>
    <n v="0"/>
    <x v="2"/>
  </r>
  <r>
    <x v="30"/>
    <x v="1"/>
    <x v="355"/>
    <x v="2"/>
    <x v="3"/>
    <x v="45"/>
    <x v="0"/>
    <x v="10"/>
    <n v="0"/>
    <x v="2"/>
  </r>
  <r>
    <x v="30"/>
    <x v="1"/>
    <x v="355"/>
    <x v="2"/>
    <x v="3"/>
    <x v="45"/>
    <x v="0"/>
    <x v="12"/>
    <n v="0"/>
    <x v="2"/>
  </r>
  <r>
    <x v="30"/>
    <x v="0"/>
    <x v="356"/>
    <x v="2"/>
    <x v="3"/>
    <x v="4"/>
    <x v="0"/>
    <x v="0"/>
    <n v="0"/>
    <x v="2"/>
  </r>
  <r>
    <x v="30"/>
    <x v="0"/>
    <x v="356"/>
    <x v="2"/>
    <x v="3"/>
    <x v="4"/>
    <x v="0"/>
    <x v="1"/>
    <n v="0"/>
    <x v="2"/>
  </r>
  <r>
    <x v="30"/>
    <x v="0"/>
    <x v="356"/>
    <x v="2"/>
    <x v="3"/>
    <x v="4"/>
    <x v="0"/>
    <x v="2"/>
    <n v="0"/>
    <x v="2"/>
  </r>
  <r>
    <x v="30"/>
    <x v="0"/>
    <x v="356"/>
    <x v="2"/>
    <x v="3"/>
    <x v="4"/>
    <x v="0"/>
    <x v="3"/>
    <n v="0"/>
    <x v="2"/>
  </r>
  <r>
    <x v="30"/>
    <x v="0"/>
    <x v="356"/>
    <x v="2"/>
    <x v="3"/>
    <x v="4"/>
    <x v="0"/>
    <x v="4"/>
    <n v="0"/>
    <x v="2"/>
  </r>
  <r>
    <x v="30"/>
    <x v="0"/>
    <x v="356"/>
    <x v="2"/>
    <x v="3"/>
    <x v="4"/>
    <x v="0"/>
    <x v="5"/>
    <n v="0"/>
    <x v="2"/>
  </r>
  <r>
    <x v="30"/>
    <x v="0"/>
    <x v="356"/>
    <x v="2"/>
    <x v="3"/>
    <x v="4"/>
    <x v="0"/>
    <x v="6"/>
    <n v="0"/>
    <x v="2"/>
  </r>
  <r>
    <x v="30"/>
    <x v="0"/>
    <x v="356"/>
    <x v="2"/>
    <x v="3"/>
    <x v="4"/>
    <x v="0"/>
    <x v="7"/>
    <n v="0"/>
    <x v="2"/>
  </r>
  <r>
    <x v="30"/>
    <x v="0"/>
    <x v="356"/>
    <x v="2"/>
    <x v="3"/>
    <x v="4"/>
    <x v="0"/>
    <x v="8"/>
    <n v="535"/>
    <x v="2"/>
  </r>
  <r>
    <x v="30"/>
    <x v="0"/>
    <x v="356"/>
    <x v="2"/>
    <x v="3"/>
    <x v="4"/>
    <x v="0"/>
    <x v="9"/>
    <n v="1200"/>
    <x v="2"/>
  </r>
  <r>
    <x v="30"/>
    <x v="0"/>
    <x v="356"/>
    <x v="2"/>
    <x v="3"/>
    <x v="4"/>
    <x v="0"/>
    <x v="10"/>
    <n v="0"/>
    <x v="2"/>
  </r>
  <r>
    <x v="30"/>
    <x v="0"/>
    <x v="356"/>
    <x v="2"/>
    <x v="3"/>
    <x v="4"/>
    <x v="0"/>
    <x v="12"/>
    <n v="0"/>
    <x v="2"/>
  </r>
  <r>
    <x v="30"/>
    <x v="0"/>
    <x v="183"/>
    <x v="2"/>
    <x v="7"/>
    <x v="25"/>
    <x v="0"/>
    <x v="0"/>
    <n v="66.86"/>
    <x v="2"/>
  </r>
  <r>
    <x v="30"/>
    <x v="0"/>
    <x v="183"/>
    <x v="2"/>
    <x v="7"/>
    <x v="25"/>
    <x v="0"/>
    <x v="1"/>
    <n v="248.68"/>
    <x v="2"/>
  </r>
  <r>
    <x v="30"/>
    <x v="0"/>
    <x v="183"/>
    <x v="2"/>
    <x v="7"/>
    <x v="25"/>
    <x v="0"/>
    <x v="2"/>
    <n v="13.2"/>
    <x v="2"/>
  </r>
  <r>
    <x v="30"/>
    <x v="0"/>
    <x v="183"/>
    <x v="2"/>
    <x v="7"/>
    <x v="25"/>
    <x v="0"/>
    <x v="3"/>
    <n v="16.62"/>
    <x v="2"/>
  </r>
  <r>
    <x v="30"/>
    <x v="0"/>
    <x v="183"/>
    <x v="2"/>
    <x v="7"/>
    <x v="25"/>
    <x v="0"/>
    <x v="4"/>
    <n v="17.09"/>
    <x v="2"/>
  </r>
  <r>
    <x v="30"/>
    <x v="0"/>
    <x v="183"/>
    <x v="2"/>
    <x v="7"/>
    <x v="25"/>
    <x v="0"/>
    <x v="5"/>
    <n v="774.1"/>
    <x v="2"/>
  </r>
  <r>
    <x v="30"/>
    <x v="0"/>
    <x v="183"/>
    <x v="2"/>
    <x v="7"/>
    <x v="25"/>
    <x v="0"/>
    <x v="6"/>
    <n v="908"/>
    <x v="2"/>
  </r>
  <r>
    <x v="30"/>
    <x v="0"/>
    <x v="183"/>
    <x v="2"/>
    <x v="7"/>
    <x v="25"/>
    <x v="0"/>
    <x v="7"/>
    <n v="37.1"/>
    <x v="2"/>
  </r>
  <r>
    <x v="30"/>
    <x v="0"/>
    <x v="183"/>
    <x v="2"/>
    <x v="7"/>
    <x v="25"/>
    <x v="0"/>
    <x v="8"/>
    <n v="437"/>
    <x v="2"/>
  </r>
  <r>
    <x v="30"/>
    <x v="0"/>
    <x v="183"/>
    <x v="2"/>
    <x v="7"/>
    <x v="25"/>
    <x v="0"/>
    <x v="9"/>
    <n v="63"/>
    <x v="2"/>
  </r>
  <r>
    <x v="30"/>
    <x v="0"/>
    <x v="183"/>
    <x v="2"/>
    <x v="7"/>
    <x v="25"/>
    <x v="0"/>
    <x v="10"/>
    <n v="47"/>
    <x v="2"/>
  </r>
  <r>
    <x v="30"/>
    <x v="0"/>
    <x v="183"/>
    <x v="2"/>
    <x v="7"/>
    <x v="25"/>
    <x v="0"/>
    <x v="12"/>
    <n v="47"/>
    <x v="2"/>
  </r>
  <r>
    <x v="30"/>
    <x v="0"/>
    <x v="357"/>
    <x v="2"/>
    <x v="3"/>
    <x v="19"/>
    <x v="0"/>
    <x v="0"/>
    <n v="1114.71"/>
    <x v="2"/>
  </r>
  <r>
    <x v="30"/>
    <x v="0"/>
    <x v="357"/>
    <x v="2"/>
    <x v="3"/>
    <x v="19"/>
    <x v="0"/>
    <x v="1"/>
    <n v="1114.71"/>
    <x v="2"/>
  </r>
  <r>
    <x v="30"/>
    <x v="0"/>
    <x v="357"/>
    <x v="2"/>
    <x v="3"/>
    <x v="19"/>
    <x v="0"/>
    <x v="2"/>
    <n v="1365.52"/>
    <x v="2"/>
  </r>
  <r>
    <x v="30"/>
    <x v="0"/>
    <x v="357"/>
    <x v="2"/>
    <x v="3"/>
    <x v="19"/>
    <x v="0"/>
    <x v="3"/>
    <n v="1114.708163265306"/>
    <x v="2"/>
  </r>
  <r>
    <x v="30"/>
    <x v="0"/>
    <x v="357"/>
    <x v="2"/>
    <x v="3"/>
    <x v="19"/>
    <x v="0"/>
    <x v="4"/>
    <n v="1185.24"/>
    <x v="2"/>
  </r>
  <r>
    <x v="30"/>
    <x v="0"/>
    <x v="357"/>
    <x v="2"/>
    <x v="3"/>
    <x v="19"/>
    <x v="0"/>
    <x v="5"/>
    <n v="1085.83"/>
    <x v="2"/>
  </r>
  <r>
    <x v="30"/>
    <x v="0"/>
    <x v="357"/>
    <x v="2"/>
    <x v="3"/>
    <x v="19"/>
    <x v="0"/>
    <x v="6"/>
    <n v="1042"/>
    <x v="2"/>
  </r>
  <r>
    <x v="30"/>
    <x v="0"/>
    <x v="357"/>
    <x v="2"/>
    <x v="3"/>
    <x v="19"/>
    <x v="0"/>
    <x v="7"/>
    <n v="1090.74"/>
    <x v="2"/>
  </r>
  <r>
    <x v="30"/>
    <x v="0"/>
    <x v="357"/>
    <x v="2"/>
    <x v="3"/>
    <x v="19"/>
    <x v="0"/>
    <x v="8"/>
    <n v="1108"/>
    <x v="2"/>
  </r>
  <r>
    <x v="30"/>
    <x v="0"/>
    <x v="357"/>
    <x v="2"/>
    <x v="3"/>
    <x v="19"/>
    <x v="0"/>
    <x v="9"/>
    <n v="1032"/>
    <x v="2"/>
  </r>
  <r>
    <x v="30"/>
    <x v="0"/>
    <x v="357"/>
    <x v="2"/>
    <x v="3"/>
    <x v="19"/>
    <x v="0"/>
    <x v="10"/>
    <n v="1057"/>
    <x v="2"/>
  </r>
  <r>
    <x v="30"/>
    <x v="0"/>
    <x v="357"/>
    <x v="2"/>
    <x v="3"/>
    <x v="19"/>
    <x v="0"/>
    <x v="12"/>
    <n v="1057"/>
    <x v="2"/>
  </r>
  <r>
    <x v="30"/>
    <x v="0"/>
    <x v="358"/>
    <x v="2"/>
    <x v="3"/>
    <x v="48"/>
    <x v="0"/>
    <x v="0"/>
    <n v="0"/>
    <x v="2"/>
  </r>
  <r>
    <x v="30"/>
    <x v="0"/>
    <x v="358"/>
    <x v="2"/>
    <x v="3"/>
    <x v="48"/>
    <x v="0"/>
    <x v="1"/>
    <n v="0"/>
    <x v="2"/>
  </r>
  <r>
    <x v="30"/>
    <x v="0"/>
    <x v="358"/>
    <x v="2"/>
    <x v="3"/>
    <x v="48"/>
    <x v="0"/>
    <x v="2"/>
    <n v="0"/>
    <x v="2"/>
  </r>
  <r>
    <x v="30"/>
    <x v="0"/>
    <x v="358"/>
    <x v="2"/>
    <x v="3"/>
    <x v="48"/>
    <x v="0"/>
    <x v="3"/>
    <n v="0"/>
    <x v="2"/>
  </r>
  <r>
    <x v="30"/>
    <x v="0"/>
    <x v="358"/>
    <x v="2"/>
    <x v="3"/>
    <x v="48"/>
    <x v="0"/>
    <x v="4"/>
    <n v="0"/>
    <x v="2"/>
  </r>
  <r>
    <x v="30"/>
    <x v="0"/>
    <x v="358"/>
    <x v="2"/>
    <x v="3"/>
    <x v="48"/>
    <x v="0"/>
    <x v="5"/>
    <n v="0"/>
    <x v="2"/>
  </r>
  <r>
    <x v="30"/>
    <x v="0"/>
    <x v="358"/>
    <x v="2"/>
    <x v="3"/>
    <x v="48"/>
    <x v="0"/>
    <x v="6"/>
    <n v="0"/>
    <x v="2"/>
  </r>
  <r>
    <x v="30"/>
    <x v="0"/>
    <x v="358"/>
    <x v="2"/>
    <x v="3"/>
    <x v="48"/>
    <x v="0"/>
    <x v="7"/>
    <n v="0"/>
    <x v="2"/>
  </r>
  <r>
    <x v="30"/>
    <x v="0"/>
    <x v="358"/>
    <x v="2"/>
    <x v="3"/>
    <x v="48"/>
    <x v="0"/>
    <x v="8"/>
    <n v="0"/>
    <x v="2"/>
  </r>
  <r>
    <x v="30"/>
    <x v="0"/>
    <x v="358"/>
    <x v="2"/>
    <x v="3"/>
    <x v="48"/>
    <x v="0"/>
    <x v="9"/>
    <n v="0"/>
    <x v="2"/>
  </r>
  <r>
    <x v="30"/>
    <x v="0"/>
    <x v="358"/>
    <x v="2"/>
    <x v="3"/>
    <x v="48"/>
    <x v="0"/>
    <x v="10"/>
    <n v="0"/>
    <x v="2"/>
  </r>
  <r>
    <x v="30"/>
    <x v="0"/>
    <x v="358"/>
    <x v="2"/>
    <x v="3"/>
    <x v="48"/>
    <x v="0"/>
    <x v="12"/>
    <n v="0"/>
    <x v="2"/>
  </r>
  <r>
    <x v="30"/>
    <x v="1"/>
    <x v="359"/>
    <x v="2"/>
    <x v="3"/>
    <x v="46"/>
    <x v="0"/>
    <x v="0"/>
    <n v="959.98"/>
    <x v="2"/>
  </r>
  <r>
    <x v="30"/>
    <x v="1"/>
    <x v="359"/>
    <x v="2"/>
    <x v="3"/>
    <x v="46"/>
    <x v="0"/>
    <x v="1"/>
    <n v="747.65"/>
    <x v="2"/>
  </r>
  <r>
    <x v="30"/>
    <x v="1"/>
    <x v="359"/>
    <x v="2"/>
    <x v="3"/>
    <x v="46"/>
    <x v="0"/>
    <x v="2"/>
    <n v="871.88"/>
    <x v="2"/>
  </r>
  <r>
    <x v="30"/>
    <x v="1"/>
    <x v="359"/>
    <x v="2"/>
    <x v="3"/>
    <x v="46"/>
    <x v="0"/>
    <x v="3"/>
    <n v="835.68"/>
    <x v="2"/>
  </r>
  <r>
    <x v="30"/>
    <x v="1"/>
    <x v="359"/>
    <x v="2"/>
    <x v="3"/>
    <x v="46"/>
    <x v="0"/>
    <x v="4"/>
    <n v="2697.45"/>
    <x v="2"/>
  </r>
  <r>
    <x v="30"/>
    <x v="1"/>
    <x v="359"/>
    <x v="2"/>
    <x v="3"/>
    <x v="46"/>
    <x v="0"/>
    <x v="5"/>
    <n v="708.7"/>
    <x v="2"/>
  </r>
  <r>
    <x v="30"/>
    <x v="1"/>
    <x v="359"/>
    <x v="2"/>
    <x v="3"/>
    <x v="46"/>
    <x v="0"/>
    <x v="6"/>
    <n v="734"/>
    <x v="2"/>
  </r>
  <r>
    <x v="30"/>
    <x v="1"/>
    <x v="359"/>
    <x v="2"/>
    <x v="3"/>
    <x v="46"/>
    <x v="0"/>
    <x v="7"/>
    <n v="3200.86"/>
    <x v="2"/>
  </r>
  <r>
    <x v="30"/>
    <x v="1"/>
    <x v="359"/>
    <x v="2"/>
    <x v="3"/>
    <x v="46"/>
    <x v="0"/>
    <x v="8"/>
    <n v="11336"/>
    <x v="2"/>
  </r>
  <r>
    <x v="30"/>
    <x v="1"/>
    <x v="359"/>
    <x v="2"/>
    <x v="3"/>
    <x v="46"/>
    <x v="0"/>
    <x v="9"/>
    <n v="2066"/>
    <x v="2"/>
  </r>
  <r>
    <x v="30"/>
    <x v="1"/>
    <x v="359"/>
    <x v="2"/>
    <x v="3"/>
    <x v="46"/>
    <x v="0"/>
    <x v="10"/>
    <n v="1478"/>
    <x v="2"/>
  </r>
  <r>
    <x v="30"/>
    <x v="1"/>
    <x v="359"/>
    <x v="2"/>
    <x v="3"/>
    <x v="46"/>
    <x v="0"/>
    <x v="12"/>
    <n v="860"/>
    <x v="2"/>
  </r>
  <r>
    <x v="30"/>
    <x v="1"/>
    <x v="360"/>
    <x v="2"/>
    <x v="3"/>
    <x v="49"/>
    <x v="0"/>
    <x v="0"/>
    <n v="0"/>
    <x v="2"/>
  </r>
  <r>
    <x v="30"/>
    <x v="1"/>
    <x v="360"/>
    <x v="2"/>
    <x v="3"/>
    <x v="49"/>
    <x v="0"/>
    <x v="1"/>
    <n v="0"/>
    <x v="2"/>
  </r>
  <r>
    <x v="30"/>
    <x v="1"/>
    <x v="360"/>
    <x v="2"/>
    <x v="3"/>
    <x v="49"/>
    <x v="0"/>
    <x v="2"/>
    <n v="0"/>
    <x v="2"/>
  </r>
  <r>
    <x v="30"/>
    <x v="1"/>
    <x v="360"/>
    <x v="2"/>
    <x v="3"/>
    <x v="49"/>
    <x v="0"/>
    <x v="3"/>
    <n v="0"/>
    <x v="2"/>
  </r>
  <r>
    <x v="30"/>
    <x v="1"/>
    <x v="360"/>
    <x v="2"/>
    <x v="3"/>
    <x v="49"/>
    <x v="0"/>
    <x v="4"/>
    <n v="0"/>
    <x v="2"/>
  </r>
  <r>
    <x v="30"/>
    <x v="1"/>
    <x v="360"/>
    <x v="2"/>
    <x v="3"/>
    <x v="49"/>
    <x v="0"/>
    <x v="5"/>
    <n v="0"/>
    <x v="2"/>
  </r>
  <r>
    <x v="30"/>
    <x v="1"/>
    <x v="360"/>
    <x v="2"/>
    <x v="3"/>
    <x v="49"/>
    <x v="0"/>
    <x v="6"/>
    <n v="0"/>
    <x v="2"/>
  </r>
  <r>
    <x v="30"/>
    <x v="1"/>
    <x v="360"/>
    <x v="2"/>
    <x v="3"/>
    <x v="49"/>
    <x v="0"/>
    <x v="7"/>
    <n v="0"/>
    <x v="2"/>
  </r>
  <r>
    <x v="30"/>
    <x v="1"/>
    <x v="360"/>
    <x v="2"/>
    <x v="3"/>
    <x v="49"/>
    <x v="0"/>
    <x v="8"/>
    <n v="0"/>
    <x v="2"/>
  </r>
  <r>
    <x v="30"/>
    <x v="1"/>
    <x v="360"/>
    <x v="2"/>
    <x v="3"/>
    <x v="49"/>
    <x v="0"/>
    <x v="9"/>
    <n v="0"/>
    <x v="2"/>
  </r>
  <r>
    <x v="30"/>
    <x v="1"/>
    <x v="360"/>
    <x v="2"/>
    <x v="3"/>
    <x v="49"/>
    <x v="0"/>
    <x v="10"/>
    <n v="0"/>
    <x v="2"/>
  </r>
  <r>
    <x v="30"/>
    <x v="1"/>
    <x v="360"/>
    <x v="2"/>
    <x v="3"/>
    <x v="49"/>
    <x v="0"/>
    <x v="12"/>
    <n v="0"/>
    <x v="2"/>
  </r>
  <r>
    <x v="30"/>
    <x v="1"/>
    <x v="402"/>
    <x v="0"/>
    <x v="3"/>
    <x v="11"/>
    <x v="0"/>
    <x v="0"/>
    <n v="0"/>
    <x v="2"/>
  </r>
  <r>
    <x v="30"/>
    <x v="1"/>
    <x v="402"/>
    <x v="0"/>
    <x v="3"/>
    <x v="11"/>
    <x v="0"/>
    <x v="1"/>
    <n v="0"/>
    <x v="2"/>
  </r>
  <r>
    <x v="30"/>
    <x v="1"/>
    <x v="402"/>
    <x v="0"/>
    <x v="3"/>
    <x v="11"/>
    <x v="0"/>
    <x v="2"/>
    <n v="0"/>
    <x v="2"/>
  </r>
  <r>
    <x v="30"/>
    <x v="1"/>
    <x v="402"/>
    <x v="0"/>
    <x v="3"/>
    <x v="11"/>
    <x v="0"/>
    <x v="3"/>
    <n v="1614.26"/>
    <x v="2"/>
  </r>
  <r>
    <x v="30"/>
    <x v="1"/>
    <x v="402"/>
    <x v="0"/>
    <x v="3"/>
    <x v="11"/>
    <x v="0"/>
    <x v="4"/>
    <n v="0"/>
    <x v="2"/>
  </r>
  <r>
    <x v="30"/>
    <x v="1"/>
    <x v="402"/>
    <x v="0"/>
    <x v="3"/>
    <x v="11"/>
    <x v="0"/>
    <x v="5"/>
    <n v="0"/>
    <x v="2"/>
  </r>
  <r>
    <x v="30"/>
    <x v="1"/>
    <x v="402"/>
    <x v="0"/>
    <x v="3"/>
    <x v="11"/>
    <x v="0"/>
    <x v="6"/>
    <n v="0"/>
    <x v="2"/>
  </r>
  <r>
    <x v="30"/>
    <x v="1"/>
    <x v="402"/>
    <x v="0"/>
    <x v="3"/>
    <x v="11"/>
    <x v="0"/>
    <x v="7"/>
    <n v="0"/>
    <x v="2"/>
  </r>
  <r>
    <x v="30"/>
    <x v="1"/>
    <x v="402"/>
    <x v="0"/>
    <x v="3"/>
    <x v="11"/>
    <x v="0"/>
    <x v="8"/>
    <n v="0"/>
    <x v="2"/>
  </r>
  <r>
    <x v="30"/>
    <x v="1"/>
    <x v="402"/>
    <x v="0"/>
    <x v="3"/>
    <x v="11"/>
    <x v="0"/>
    <x v="9"/>
    <n v="0"/>
    <x v="2"/>
  </r>
  <r>
    <x v="30"/>
    <x v="1"/>
    <x v="402"/>
    <x v="0"/>
    <x v="3"/>
    <x v="11"/>
    <x v="0"/>
    <x v="10"/>
    <n v="0"/>
    <x v="2"/>
  </r>
  <r>
    <x v="30"/>
    <x v="1"/>
    <x v="402"/>
    <x v="0"/>
    <x v="3"/>
    <x v="11"/>
    <x v="0"/>
    <x v="12"/>
    <n v="0"/>
    <x v="2"/>
  </r>
  <r>
    <x v="30"/>
    <x v="1"/>
    <x v="403"/>
    <x v="0"/>
    <x v="9"/>
    <x v="37"/>
    <x v="0"/>
    <x v="0"/>
    <n v="519.1"/>
    <x v="2"/>
  </r>
  <r>
    <x v="30"/>
    <x v="1"/>
    <x v="403"/>
    <x v="0"/>
    <x v="9"/>
    <x v="37"/>
    <x v="0"/>
    <x v="1"/>
    <n v="733.06"/>
    <x v="2"/>
  </r>
  <r>
    <x v="30"/>
    <x v="1"/>
    <x v="403"/>
    <x v="0"/>
    <x v="9"/>
    <x v="37"/>
    <x v="0"/>
    <x v="2"/>
    <n v="449"/>
    <x v="2"/>
  </r>
  <r>
    <x v="30"/>
    <x v="1"/>
    <x v="403"/>
    <x v="0"/>
    <x v="9"/>
    <x v="37"/>
    <x v="0"/>
    <x v="3"/>
    <n v="366.53"/>
    <x v="2"/>
  </r>
  <r>
    <x v="30"/>
    <x v="1"/>
    <x v="403"/>
    <x v="0"/>
    <x v="9"/>
    <x v="37"/>
    <x v="0"/>
    <x v="4"/>
    <n v="366.55"/>
    <x v="2"/>
  </r>
  <r>
    <x v="30"/>
    <x v="1"/>
    <x v="403"/>
    <x v="0"/>
    <x v="9"/>
    <x v="37"/>
    <x v="0"/>
    <x v="5"/>
    <n v="766.77"/>
    <x v="2"/>
  </r>
  <r>
    <x v="30"/>
    <x v="1"/>
    <x v="403"/>
    <x v="0"/>
    <x v="9"/>
    <x v="37"/>
    <x v="0"/>
    <x v="6"/>
    <n v="0"/>
    <x v="2"/>
  </r>
  <r>
    <x v="30"/>
    <x v="1"/>
    <x v="403"/>
    <x v="0"/>
    <x v="9"/>
    <x v="37"/>
    <x v="0"/>
    <x v="7"/>
    <n v="364.9"/>
    <x v="2"/>
  </r>
  <r>
    <x v="30"/>
    <x v="1"/>
    <x v="403"/>
    <x v="0"/>
    <x v="9"/>
    <x v="37"/>
    <x v="0"/>
    <x v="8"/>
    <n v="362"/>
    <x v="2"/>
  </r>
  <r>
    <x v="30"/>
    <x v="1"/>
    <x v="403"/>
    <x v="0"/>
    <x v="9"/>
    <x v="37"/>
    <x v="0"/>
    <x v="9"/>
    <n v="0"/>
    <x v="2"/>
  </r>
  <r>
    <x v="30"/>
    <x v="1"/>
    <x v="403"/>
    <x v="0"/>
    <x v="9"/>
    <x v="37"/>
    <x v="0"/>
    <x v="10"/>
    <n v="367"/>
    <x v="2"/>
  </r>
  <r>
    <x v="30"/>
    <x v="1"/>
    <x v="403"/>
    <x v="0"/>
    <x v="9"/>
    <x v="37"/>
    <x v="0"/>
    <x v="12"/>
    <n v="367"/>
    <x v="2"/>
  </r>
  <r>
    <x v="30"/>
    <x v="1"/>
    <x v="404"/>
    <x v="0"/>
    <x v="9"/>
    <x v="37"/>
    <x v="0"/>
    <x v="0"/>
    <n v="1263.2163265306122"/>
    <x v="2"/>
  </r>
  <r>
    <x v="30"/>
    <x v="1"/>
    <x v="404"/>
    <x v="0"/>
    <x v="9"/>
    <x v="37"/>
    <x v="0"/>
    <x v="1"/>
    <n v="329.77"/>
    <x v="2"/>
  </r>
  <r>
    <x v="30"/>
    <x v="1"/>
    <x v="404"/>
    <x v="0"/>
    <x v="9"/>
    <x v="37"/>
    <x v="0"/>
    <x v="2"/>
    <n v="77.510000000000005"/>
    <x v="2"/>
  </r>
  <r>
    <x v="30"/>
    <x v="1"/>
    <x v="404"/>
    <x v="0"/>
    <x v="9"/>
    <x v="37"/>
    <x v="0"/>
    <x v="3"/>
    <n v="67.3"/>
    <x v="2"/>
  </r>
  <r>
    <x v="30"/>
    <x v="1"/>
    <x v="404"/>
    <x v="0"/>
    <x v="9"/>
    <x v="37"/>
    <x v="0"/>
    <x v="4"/>
    <n v="128.16"/>
    <x v="2"/>
  </r>
  <r>
    <x v="30"/>
    <x v="1"/>
    <x v="404"/>
    <x v="0"/>
    <x v="9"/>
    <x v="37"/>
    <x v="0"/>
    <x v="5"/>
    <n v="49.39"/>
    <x v="2"/>
  </r>
  <r>
    <x v="30"/>
    <x v="1"/>
    <x v="404"/>
    <x v="0"/>
    <x v="9"/>
    <x v="37"/>
    <x v="0"/>
    <x v="6"/>
    <n v="152"/>
    <x v="2"/>
  </r>
  <r>
    <x v="30"/>
    <x v="1"/>
    <x v="404"/>
    <x v="0"/>
    <x v="9"/>
    <x v="37"/>
    <x v="0"/>
    <x v="7"/>
    <n v="750.73"/>
    <x v="2"/>
  </r>
  <r>
    <x v="30"/>
    <x v="1"/>
    <x v="404"/>
    <x v="0"/>
    <x v="9"/>
    <x v="37"/>
    <x v="0"/>
    <x v="8"/>
    <n v="864"/>
    <x v="2"/>
  </r>
  <r>
    <x v="30"/>
    <x v="1"/>
    <x v="404"/>
    <x v="0"/>
    <x v="9"/>
    <x v="37"/>
    <x v="0"/>
    <x v="9"/>
    <n v="149"/>
    <x v="2"/>
  </r>
  <r>
    <x v="30"/>
    <x v="1"/>
    <x v="404"/>
    <x v="0"/>
    <x v="9"/>
    <x v="37"/>
    <x v="0"/>
    <x v="10"/>
    <n v="332"/>
    <x v="2"/>
  </r>
  <r>
    <x v="30"/>
    <x v="1"/>
    <x v="404"/>
    <x v="0"/>
    <x v="9"/>
    <x v="37"/>
    <x v="0"/>
    <x v="12"/>
    <n v="332"/>
    <x v="2"/>
  </r>
  <r>
    <x v="30"/>
    <x v="1"/>
    <x v="405"/>
    <x v="0"/>
    <x v="9"/>
    <x v="37"/>
    <x v="0"/>
    <x v="0"/>
    <n v="407.50204081632648"/>
    <x v="2"/>
  </r>
  <r>
    <x v="30"/>
    <x v="1"/>
    <x v="405"/>
    <x v="0"/>
    <x v="9"/>
    <x v="37"/>
    <x v="0"/>
    <x v="1"/>
    <n v="54.67"/>
    <x v="2"/>
  </r>
  <r>
    <x v="30"/>
    <x v="1"/>
    <x v="405"/>
    <x v="0"/>
    <x v="9"/>
    <x v="37"/>
    <x v="0"/>
    <x v="2"/>
    <n v="3111.62"/>
    <x v="2"/>
  </r>
  <r>
    <x v="30"/>
    <x v="1"/>
    <x v="405"/>
    <x v="0"/>
    <x v="9"/>
    <x v="37"/>
    <x v="0"/>
    <x v="3"/>
    <n v="2540.1"/>
    <x v="2"/>
  </r>
  <r>
    <x v="30"/>
    <x v="1"/>
    <x v="405"/>
    <x v="0"/>
    <x v="9"/>
    <x v="37"/>
    <x v="0"/>
    <x v="4"/>
    <n v="2540.1"/>
    <x v="2"/>
  </r>
  <r>
    <x v="30"/>
    <x v="1"/>
    <x v="405"/>
    <x v="0"/>
    <x v="9"/>
    <x v="37"/>
    <x v="0"/>
    <x v="5"/>
    <n v="2447.69"/>
    <x v="2"/>
  </r>
  <r>
    <x v="30"/>
    <x v="1"/>
    <x v="405"/>
    <x v="0"/>
    <x v="9"/>
    <x v="37"/>
    <x v="0"/>
    <x v="6"/>
    <n v="2457"/>
    <x v="2"/>
  </r>
  <r>
    <x v="30"/>
    <x v="1"/>
    <x v="405"/>
    <x v="0"/>
    <x v="9"/>
    <x v="37"/>
    <x v="0"/>
    <x v="7"/>
    <n v="2478.54"/>
    <x v="2"/>
  </r>
  <r>
    <x v="30"/>
    <x v="1"/>
    <x v="405"/>
    <x v="0"/>
    <x v="9"/>
    <x v="37"/>
    <x v="0"/>
    <x v="8"/>
    <n v="2438"/>
    <x v="2"/>
  </r>
  <r>
    <x v="30"/>
    <x v="1"/>
    <x v="405"/>
    <x v="0"/>
    <x v="9"/>
    <x v="37"/>
    <x v="0"/>
    <x v="9"/>
    <n v="0"/>
    <x v="2"/>
  </r>
  <r>
    <x v="30"/>
    <x v="1"/>
    <x v="405"/>
    <x v="0"/>
    <x v="9"/>
    <x v="37"/>
    <x v="0"/>
    <x v="10"/>
    <n v="295"/>
    <x v="2"/>
  </r>
  <r>
    <x v="30"/>
    <x v="1"/>
    <x v="405"/>
    <x v="0"/>
    <x v="9"/>
    <x v="37"/>
    <x v="0"/>
    <x v="12"/>
    <n v="295"/>
    <x v="2"/>
  </r>
  <r>
    <x v="30"/>
    <x v="1"/>
    <x v="406"/>
    <x v="0"/>
    <x v="9"/>
    <x v="37"/>
    <x v="0"/>
    <x v="0"/>
    <n v="2973.5122448979587"/>
    <x v="2"/>
  </r>
  <r>
    <x v="30"/>
    <x v="1"/>
    <x v="406"/>
    <x v="0"/>
    <x v="9"/>
    <x v="37"/>
    <x v="0"/>
    <x v="1"/>
    <n v="2548.19"/>
    <x v="2"/>
  </r>
  <r>
    <x v="30"/>
    <x v="1"/>
    <x v="406"/>
    <x v="0"/>
    <x v="9"/>
    <x v="37"/>
    <x v="0"/>
    <x v="2"/>
    <n v="0"/>
    <x v="2"/>
  </r>
  <r>
    <x v="30"/>
    <x v="1"/>
    <x v="406"/>
    <x v="0"/>
    <x v="9"/>
    <x v="37"/>
    <x v="0"/>
    <x v="3"/>
    <n v="208.62"/>
    <x v="2"/>
  </r>
  <r>
    <x v="30"/>
    <x v="1"/>
    <x v="406"/>
    <x v="0"/>
    <x v="9"/>
    <x v="37"/>
    <x v="0"/>
    <x v="4"/>
    <n v="397.32"/>
    <x v="2"/>
  </r>
  <r>
    <x v="30"/>
    <x v="1"/>
    <x v="406"/>
    <x v="0"/>
    <x v="9"/>
    <x v="37"/>
    <x v="0"/>
    <x v="5"/>
    <n v="415.37"/>
    <x v="2"/>
  </r>
  <r>
    <x v="30"/>
    <x v="1"/>
    <x v="406"/>
    <x v="0"/>
    <x v="9"/>
    <x v="37"/>
    <x v="0"/>
    <x v="6"/>
    <n v="96"/>
    <x v="2"/>
  </r>
  <r>
    <x v="30"/>
    <x v="1"/>
    <x v="406"/>
    <x v="0"/>
    <x v="9"/>
    <x v="37"/>
    <x v="0"/>
    <x v="7"/>
    <n v="242.17"/>
    <x v="2"/>
  </r>
  <r>
    <x v="30"/>
    <x v="1"/>
    <x v="406"/>
    <x v="0"/>
    <x v="9"/>
    <x v="37"/>
    <x v="0"/>
    <x v="8"/>
    <n v="0"/>
    <x v="2"/>
  </r>
  <r>
    <x v="30"/>
    <x v="1"/>
    <x v="406"/>
    <x v="0"/>
    <x v="9"/>
    <x v="37"/>
    <x v="0"/>
    <x v="9"/>
    <n v="47"/>
    <x v="2"/>
  </r>
  <r>
    <x v="30"/>
    <x v="1"/>
    <x v="406"/>
    <x v="0"/>
    <x v="9"/>
    <x v="37"/>
    <x v="0"/>
    <x v="10"/>
    <n v="2620"/>
    <x v="2"/>
  </r>
  <r>
    <x v="30"/>
    <x v="1"/>
    <x v="406"/>
    <x v="0"/>
    <x v="9"/>
    <x v="37"/>
    <x v="0"/>
    <x v="12"/>
    <n v="2620"/>
    <x v="2"/>
  </r>
  <r>
    <x v="30"/>
    <x v="1"/>
    <x v="407"/>
    <x v="0"/>
    <x v="9"/>
    <x v="37"/>
    <x v="0"/>
    <x v="0"/>
    <n v="9885.3795918367341"/>
    <x v="2"/>
  </r>
  <r>
    <x v="30"/>
    <x v="1"/>
    <x v="407"/>
    <x v="0"/>
    <x v="9"/>
    <x v="37"/>
    <x v="0"/>
    <x v="1"/>
    <n v="2514"/>
    <x v="2"/>
  </r>
  <r>
    <x v="30"/>
    <x v="1"/>
    <x v="407"/>
    <x v="0"/>
    <x v="9"/>
    <x v="37"/>
    <x v="0"/>
    <x v="2"/>
    <n v="2969.32"/>
    <x v="2"/>
  </r>
  <r>
    <x v="30"/>
    <x v="1"/>
    <x v="407"/>
    <x v="0"/>
    <x v="9"/>
    <x v="37"/>
    <x v="0"/>
    <x v="3"/>
    <n v="2987.78"/>
    <x v="2"/>
  </r>
  <r>
    <x v="30"/>
    <x v="1"/>
    <x v="407"/>
    <x v="0"/>
    <x v="9"/>
    <x v="37"/>
    <x v="0"/>
    <x v="4"/>
    <n v="5731.87"/>
    <x v="2"/>
  </r>
  <r>
    <x v="30"/>
    <x v="1"/>
    <x v="407"/>
    <x v="0"/>
    <x v="9"/>
    <x v="37"/>
    <x v="0"/>
    <x v="5"/>
    <n v="614.37"/>
    <x v="2"/>
  </r>
  <r>
    <x v="30"/>
    <x v="1"/>
    <x v="407"/>
    <x v="0"/>
    <x v="9"/>
    <x v="37"/>
    <x v="0"/>
    <x v="6"/>
    <n v="735"/>
    <x v="2"/>
  </r>
  <r>
    <x v="30"/>
    <x v="1"/>
    <x v="407"/>
    <x v="0"/>
    <x v="9"/>
    <x v="37"/>
    <x v="0"/>
    <x v="7"/>
    <n v="5011.09"/>
    <x v="2"/>
  </r>
  <r>
    <x v="30"/>
    <x v="1"/>
    <x v="407"/>
    <x v="0"/>
    <x v="9"/>
    <x v="37"/>
    <x v="0"/>
    <x v="8"/>
    <n v="2989"/>
    <x v="2"/>
  </r>
  <r>
    <x v="30"/>
    <x v="1"/>
    <x v="407"/>
    <x v="0"/>
    <x v="9"/>
    <x v="37"/>
    <x v="0"/>
    <x v="9"/>
    <n v="1115"/>
    <x v="2"/>
  </r>
  <r>
    <x v="30"/>
    <x v="1"/>
    <x v="407"/>
    <x v="0"/>
    <x v="9"/>
    <x v="37"/>
    <x v="0"/>
    <x v="10"/>
    <n v="3451"/>
    <x v="2"/>
  </r>
  <r>
    <x v="30"/>
    <x v="1"/>
    <x v="407"/>
    <x v="0"/>
    <x v="9"/>
    <x v="37"/>
    <x v="0"/>
    <x v="12"/>
    <n v="3451"/>
    <x v="2"/>
  </r>
  <r>
    <x v="30"/>
    <x v="1"/>
    <x v="408"/>
    <x v="0"/>
    <x v="9"/>
    <x v="37"/>
    <x v="0"/>
    <x v="0"/>
    <n v="9141.2510204081627"/>
    <x v="2"/>
  </r>
  <r>
    <x v="30"/>
    <x v="1"/>
    <x v="408"/>
    <x v="0"/>
    <x v="9"/>
    <x v="37"/>
    <x v="0"/>
    <x v="1"/>
    <n v="0"/>
    <x v="2"/>
  </r>
  <r>
    <x v="30"/>
    <x v="1"/>
    <x v="408"/>
    <x v="0"/>
    <x v="9"/>
    <x v="37"/>
    <x v="0"/>
    <x v="2"/>
    <n v="0"/>
    <x v="2"/>
  </r>
  <r>
    <x v="30"/>
    <x v="1"/>
    <x v="408"/>
    <x v="0"/>
    <x v="9"/>
    <x v="37"/>
    <x v="0"/>
    <x v="3"/>
    <n v="5015.09"/>
    <x v="2"/>
  </r>
  <r>
    <x v="30"/>
    <x v="1"/>
    <x v="408"/>
    <x v="0"/>
    <x v="9"/>
    <x v="37"/>
    <x v="0"/>
    <x v="4"/>
    <n v="0"/>
    <x v="2"/>
  </r>
  <r>
    <x v="30"/>
    <x v="1"/>
    <x v="408"/>
    <x v="0"/>
    <x v="9"/>
    <x v="37"/>
    <x v="0"/>
    <x v="5"/>
    <n v="0"/>
    <x v="2"/>
  </r>
  <r>
    <x v="30"/>
    <x v="1"/>
    <x v="408"/>
    <x v="0"/>
    <x v="9"/>
    <x v="37"/>
    <x v="0"/>
    <x v="6"/>
    <n v="1413"/>
    <x v="2"/>
  </r>
  <r>
    <x v="30"/>
    <x v="1"/>
    <x v="408"/>
    <x v="0"/>
    <x v="9"/>
    <x v="37"/>
    <x v="0"/>
    <x v="7"/>
    <n v="4462.34"/>
    <x v="2"/>
  </r>
  <r>
    <x v="30"/>
    <x v="1"/>
    <x v="408"/>
    <x v="0"/>
    <x v="9"/>
    <x v="37"/>
    <x v="0"/>
    <x v="8"/>
    <n v="4501"/>
    <x v="2"/>
  </r>
  <r>
    <x v="30"/>
    <x v="1"/>
    <x v="408"/>
    <x v="0"/>
    <x v="9"/>
    <x v="37"/>
    <x v="0"/>
    <x v="9"/>
    <n v="5920"/>
    <x v="2"/>
  </r>
  <r>
    <x v="30"/>
    <x v="1"/>
    <x v="408"/>
    <x v="0"/>
    <x v="9"/>
    <x v="37"/>
    <x v="0"/>
    <x v="10"/>
    <n v="5979"/>
    <x v="2"/>
  </r>
  <r>
    <x v="30"/>
    <x v="1"/>
    <x v="408"/>
    <x v="0"/>
    <x v="9"/>
    <x v="37"/>
    <x v="0"/>
    <x v="12"/>
    <n v="0"/>
    <x v="2"/>
  </r>
  <r>
    <x v="30"/>
    <x v="1"/>
    <x v="409"/>
    <x v="0"/>
    <x v="9"/>
    <x v="37"/>
    <x v="0"/>
    <x v="0"/>
    <n v="30195.593877551019"/>
    <x v="2"/>
  </r>
  <r>
    <x v="30"/>
    <x v="1"/>
    <x v="409"/>
    <x v="0"/>
    <x v="9"/>
    <x v="37"/>
    <x v="0"/>
    <x v="1"/>
    <n v="0"/>
    <x v="2"/>
  </r>
  <r>
    <x v="30"/>
    <x v="1"/>
    <x v="409"/>
    <x v="0"/>
    <x v="9"/>
    <x v="37"/>
    <x v="0"/>
    <x v="2"/>
    <n v="0"/>
    <x v="2"/>
  </r>
  <r>
    <x v="30"/>
    <x v="1"/>
    <x v="409"/>
    <x v="0"/>
    <x v="9"/>
    <x v="37"/>
    <x v="0"/>
    <x v="3"/>
    <n v="15885.86"/>
    <x v="2"/>
  </r>
  <r>
    <x v="30"/>
    <x v="1"/>
    <x v="409"/>
    <x v="0"/>
    <x v="9"/>
    <x v="37"/>
    <x v="0"/>
    <x v="4"/>
    <n v="0"/>
    <x v="2"/>
  </r>
  <r>
    <x v="30"/>
    <x v="1"/>
    <x v="409"/>
    <x v="0"/>
    <x v="9"/>
    <x v="37"/>
    <x v="0"/>
    <x v="5"/>
    <n v="0"/>
    <x v="2"/>
  </r>
  <r>
    <x v="30"/>
    <x v="1"/>
    <x v="409"/>
    <x v="0"/>
    <x v="9"/>
    <x v="37"/>
    <x v="0"/>
    <x v="6"/>
    <n v="4223"/>
    <x v="2"/>
  </r>
  <r>
    <x v="30"/>
    <x v="1"/>
    <x v="409"/>
    <x v="0"/>
    <x v="9"/>
    <x v="37"/>
    <x v="0"/>
    <x v="7"/>
    <n v="1493.44"/>
    <x v="2"/>
  </r>
  <r>
    <x v="30"/>
    <x v="1"/>
    <x v="409"/>
    <x v="0"/>
    <x v="9"/>
    <x v="37"/>
    <x v="0"/>
    <x v="8"/>
    <n v="1506"/>
    <x v="2"/>
  </r>
  <r>
    <x v="30"/>
    <x v="1"/>
    <x v="409"/>
    <x v="0"/>
    <x v="9"/>
    <x v="37"/>
    <x v="0"/>
    <x v="9"/>
    <n v="1815"/>
    <x v="2"/>
  </r>
  <r>
    <x v="30"/>
    <x v="1"/>
    <x v="409"/>
    <x v="0"/>
    <x v="9"/>
    <x v="37"/>
    <x v="0"/>
    <x v="10"/>
    <n v="1833"/>
    <x v="2"/>
  </r>
  <r>
    <x v="30"/>
    <x v="1"/>
    <x v="409"/>
    <x v="0"/>
    <x v="9"/>
    <x v="37"/>
    <x v="0"/>
    <x v="12"/>
    <n v="0"/>
    <x v="2"/>
  </r>
  <r>
    <x v="30"/>
    <x v="1"/>
    <x v="410"/>
    <x v="0"/>
    <x v="9"/>
    <x v="37"/>
    <x v="0"/>
    <x v="0"/>
    <n v="0"/>
    <x v="2"/>
  </r>
  <r>
    <x v="30"/>
    <x v="1"/>
    <x v="410"/>
    <x v="0"/>
    <x v="9"/>
    <x v="37"/>
    <x v="0"/>
    <x v="1"/>
    <n v="0"/>
    <x v="2"/>
  </r>
  <r>
    <x v="30"/>
    <x v="1"/>
    <x v="410"/>
    <x v="0"/>
    <x v="9"/>
    <x v="37"/>
    <x v="0"/>
    <x v="2"/>
    <n v="0"/>
    <x v="2"/>
  </r>
  <r>
    <x v="30"/>
    <x v="1"/>
    <x v="410"/>
    <x v="0"/>
    <x v="9"/>
    <x v="37"/>
    <x v="0"/>
    <x v="3"/>
    <n v="5.24"/>
    <x v="2"/>
  </r>
  <r>
    <x v="30"/>
    <x v="1"/>
    <x v="410"/>
    <x v="0"/>
    <x v="9"/>
    <x v="37"/>
    <x v="0"/>
    <x v="4"/>
    <n v="0"/>
    <x v="2"/>
  </r>
  <r>
    <x v="30"/>
    <x v="1"/>
    <x v="410"/>
    <x v="0"/>
    <x v="9"/>
    <x v="37"/>
    <x v="0"/>
    <x v="5"/>
    <n v="0"/>
    <x v="2"/>
  </r>
  <r>
    <x v="30"/>
    <x v="1"/>
    <x v="410"/>
    <x v="0"/>
    <x v="9"/>
    <x v="37"/>
    <x v="0"/>
    <x v="6"/>
    <n v="0"/>
    <x v="2"/>
  </r>
  <r>
    <x v="30"/>
    <x v="1"/>
    <x v="410"/>
    <x v="0"/>
    <x v="9"/>
    <x v="37"/>
    <x v="0"/>
    <x v="7"/>
    <n v="0"/>
    <x v="2"/>
  </r>
  <r>
    <x v="30"/>
    <x v="1"/>
    <x v="410"/>
    <x v="0"/>
    <x v="9"/>
    <x v="37"/>
    <x v="0"/>
    <x v="8"/>
    <n v="0"/>
    <x v="2"/>
  </r>
  <r>
    <x v="30"/>
    <x v="1"/>
    <x v="410"/>
    <x v="0"/>
    <x v="9"/>
    <x v="37"/>
    <x v="0"/>
    <x v="9"/>
    <n v="48"/>
    <x v="2"/>
  </r>
  <r>
    <x v="30"/>
    <x v="1"/>
    <x v="410"/>
    <x v="0"/>
    <x v="9"/>
    <x v="37"/>
    <x v="0"/>
    <x v="10"/>
    <n v="2303"/>
    <x v="2"/>
  </r>
  <r>
    <x v="30"/>
    <x v="1"/>
    <x v="410"/>
    <x v="0"/>
    <x v="9"/>
    <x v="37"/>
    <x v="0"/>
    <x v="12"/>
    <n v="0"/>
    <x v="2"/>
  </r>
  <r>
    <x v="30"/>
    <x v="1"/>
    <x v="364"/>
    <x v="3"/>
    <x v="8"/>
    <x v="23"/>
    <x v="0"/>
    <x v="0"/>
    <n v="0"/>
    <x v="2"/>
  </r>
  <r>
    <x v="30"/>
    <x v="1"/>
    <x v="364"/>
    <x v="3"/>
    <x v="8"/>
    <x v="23"/>
    <x v="0"/>
    <x v="1"/>
    <n v="0"/>
    <x v="2"/>
  </r>
  <r>
    <x v="30"/>
    <x v="1"/>
    <x v="364"/>
    <x v="3"/>
    <x v="8"/>
    <x v="23"/>
    <x v="0"/>
    <x v="2"/>
    <n v="0"/>
    <x v="2"/>
  </r>
  <r>
    <x v="30"/>
    <x v="1"/>
    <x v="364"/>
    <x v="3"/>
    <x v="8"/>
    <x v="23"/>
    <x v="0"/>
    <x v="3"/>
    <n v="0"/>
    <x v="2"/>
  </r>
  <r>
    <x v="30"/>
    <x v="1"/>
    <x v="364"/>
    <x v="3"/>
    <x v="8"/>
    <x v="23"/>
    <x v="0"/>
    <x v="4"/>
    <n v="0"/>
    <x v="2"/>
  </r>
  <r>
    <x v="30"/>
    <x v="1"/>
    <x v="364"/>
    <x v="3"/>
    <x v="8"/>
    <x v="23"/>
    <x v="0"/>
    <x v="5"/>
    <n v="0"/>
    <x v="2"/>
  </r>
  <r>
    <x v="30"/>
    <x v="1"/>
    <x v="364"/>
    <x v="3"/>
    <x v="8"/>
    <x v="23"/>
    <x v="0"/>
    <x v="6"/>
    <n v="0"/>
    <x v="2"/>
  </r>
  <r>
    <x v="30"/>
    <x v="1"/>
    <x v="364"/>
    <x v="3"/>
    <x v="8"/>
    <x v="23"/>
    <x v="0"/>
    <x v="7"/>
    <n v="0"/>
    <x v="2"/>
  </r>
  <r>
    <x v="30"/>
    <x v="1"/>
    <x v="364"/>
    <x v="3"/>
    <x v="8"/>
    <x v="23"/>
    <x v="0"/>
    <x v="8"/>
    <n v="0"/>
    <x v="2"/>
  </r>
  <r>
    <x v="30"/>
    <x v="1"/>
    <x v="364"/>
    <x v="3"/>
    <x v="8"/>
    <x v="23"/>
    <x v="0"/>
    <x v="9"/>
    <n v="0"/>
    <x v="2"/>
  </r>
  <r>
    <x v="30"/>
    <x v="1"/>
    <x v="364"/>
    <x v="3"/>
    <x v="8"/>
    <x v="23"/>
    <x v="0"/>
    <x v="10"/>
    <n v="0"/>
    <x v="2"/>
  </r>
  <r>
    <x v="30"/>
    <x v="1"/>
    <x v="364"/>
    <x v="3"/>
    <x v="8"/>
    <x v="23"/>
    <x v="0"/>
    <x v="12"/>
    <n v="0"/>
    <x v="2"/>
  </r>
  <r>
    <x v="30"/>
    <x v="1"/>
    <x v="365"/>
    <x v="3"/>
    <x v="8"/>
    <x v="23"/>
    <x v="0"/>
    <x v="0"/>
    <n v="0"/>
    <x v="2"/>
  </r>
  <r>
    <x v="30"/>
    <x v="1"/>
    <x v="365"/>
    <x v="3"/>
    <x v="8"/>
    <x v="23"/>
    <x v="0"/>
    <x v="1"/>
    <n v="0"/>
    <x v="2"/>
  </r>
  <r>
    <x v="30"/>
    <x v="1"/>
    <x v="365"/>
    <x v="3"/>
    <x v="8"/>
    <x v="23"/>
    <x v="0"/>
    <x v="2"/>
    <n v="0"/>
    <x v="2"/>
  </r>
  <r>
    <x v="30"/>
    <x v="1"/>
    <x v="365"/>
    <x v="3"/>
    <x v="8"/>
    <x v="23"/>
    <x v="0"/>
    <x v="3"/>
    <n v="0"/>
    <x v="2"/>
  </r>
  <r>
    <x v="30"/>
    <x v="1"/>
    <x v="365"/>
    <x v="3"/>
    <x v="8"/>
    <x v="23"/>
    <x v="0"/>
    <x v="4"/>
    <n v="0"/>
    <x v="2"/>
  </r>
  <r>
    <x v="30"/>
    <x v="1"/>
    <x v="365"/>
    <x v="3"/>
    <x v="8"/>
    <x v="23"/>
    <x v="0"/>
    <x v="5"/>
    <n v="0"/>
    <x v="2"/>
  </r>
  <r>
    <x v="30"/>
    <x v="1"/>
    <x v="365"/>
    <x v="3"/>
    <x v="8"/>
    <x v="23"/>
    <x v="0"/>
    <x v="6"/>
    <n v="0"/>
    <x v="2"/>
  </r>
  <r>
    <x v="30"/>
    <x v="1"/>
    <x v="365"/>
    <x v="3"/>
    <x v="8"/>
    <x v="23"/>
    <x v="0"/>
    <x v="7"/>
    <n v="0"/>
    <x v="2"/>
  </r>
  <r>
    <x v="30"/>
    <x v="1"/>
    <x v="365"/>
    <x v="3"/>
    <x v="8"/>
    <x v="23"/>
    <x v="0"/>
    <x v="8"/>
    <n v="0"/>
    <x v="2"/>
  </r>
  <r>
    <x v="30"/>
    <x v="1"/>
    <x v="365"/>
    <x v="3"/>
    <x v="8"/>
    <x v="23"/>
    <x v="0"/>
    <x v="9"/>
    <n v="0"/>
    <x v="2"/>
  </r>
  <r>
    <x v="30"/>
    <x v="1"/>
    <x v="365"/>
    <x v="3"/>
    <x v="8"/>
    <x v="23"/>
    <x v="0"/>
    <x v="10"/>
    <n v="0"/>
    <x v="2"/>
  </r>
  <r>
    <x v="30"/>
    <x v="1"/>
    <x v="365"/>
    <x v="3"/>
    <x v="8"/>
    <x v="23"/>
    <x v="0"/>
    <x v="12"/>
    <n v="0"/>
    <x v="2"/>
  </r>
  <r>
    <x v="30"/>
    <x v="1"/>
    <x v="366"/>
    <x v="3"/>
    <x v="8"/>
    <x v="23"/>
    <x v="0"/>
    <x v="0"/>
    <n v="0"/>
    <x v="2"/>
  </r>
  <r>
    <x v="30"/>
    <x v="1"/>
    <x v="366"/>
    <x v="3"/>
    <x v="8"/>
    <x v="23"/>
    <x v="0"/>
    <x v="1"/>
    <n v="188253.47"/>
    <x v="2"/>
  </r>
  <r>
    <x v="30"/>
    <x v="1"/>
    <x v="366"/>
    <x v="3"/>
    <x v="8"/>
    <x v="23"/>
    <x v="0"/>
    <x v="2"/>
    <n v="0"/>
    <x v="2"/>
  </r>
  <r>
    <x v="30"/>
    <x v="1"/>
    <x v="366"/>
    <x v="3"/>
    <x v="8"/>
    <x v="23"/>
    <x v="0"/>
    <x v="3"/>
    <n v="0"/>
    <x v="2"/>
  </r>
  <r>
    <x v="30"/>
    <x v="1"/>
    <x v="366"/>
    <x v="3"/>
    <x v="8"/>
    <x v="23"/>
    <x v="0"/>
    <x v="4"/>
    <n v="0"/>
    <x v="2"/>
  </r>
  <r>
    <x v="30"/>
    <x v="1"/>
    <x v="366"/>
    <x v="3"/>
    <x v="8"/>
    <x v="23"/>
    <x v="0"/>
    <x v="5"/>
    <n v="321484.53999999998"/>
    <x v="2"/>
  </r>
  <r>
    <x v="30"/>
    <x v="1"/>
    <x v="366"/>
    <x v="3"/>
    <x v="8"/>
    <x v="23"/>
    <x v="0"/>
    <x v="6"/>
    <n v="0"/>
    <x v="2"/>
  </r>
  <r>
    <x v="30"/>
    <x v="1"/>
    <x v="366"/>
    <x v="3"/>
    <x v="8"/>
    <x v="23"/>
    <x v="0"/>
    <x v="7"/>
    <n v="0"/>
    <x v="2"/>
  </r>
  <r>
    <x v="30"/>
    <x v="1"/>
    <x v="366"/>
    <x v="3"/>
    <x v="8"/>
    <x v="23"/>
    <x v="0"/>
    <x v="8"/>
    <n v="0"/>
    <x v="2"/>
  </r>
  <r>
    <x v="30"/>
    <x v="1"/>
    <x v="366"/>
    <x v="3"/>
    <x v="8"/>
    <x v="23"/>
    <x v="0"/>
    <x v="9"/>
    <n v="0"/>
    <x v="2"/>
  </r>
  <r>
    <x v="30"/>
    <x v="1"/>
    <x v="366"/>
    <x v="3"/>
    <x v="8"/>
    <x v="23"/>
    <x v="0"/>
    <x v="10"/>
    <n v="0"/>
    <x v="2"/>
  </r>
  <r>
    <x v="30"/>
    <x v="1"/>
    <x v="366"/>
    <x v="3"/>
    <x v="8"/>
    <x v="23"/>
    <x v="0"/>
    <x v="1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0">
  <r>
    <x v="0"/>
    <x v="0"/>
    <x v="0"/>
    <x v="0"/>
    <x v="0"/>
    <x v="0"/>
    <x v="0"/>
    <x v="0"/>
    <n v="2947.9802430904697"/>
    <x v="0"/>
  </r>
  <r>
    <x v="0"/>
    <x v="0"/>
    <x v="0"/>
    <x v="0"/>
    <x v="0"/>
    <x v="0"/>
    <x v="0"/>
    <x v="1"/>
    <n v="2825.3146426480248"/>
    <x v="0"/>
  </r>
  <r>
    <x v="0"/>
    <x v="0"/>
    <x v="0"/>
    <x v="0"/>
    <x v="0"/>
    <x v="0"/>
    <x v="0"/>
    <x v="2"/>
    <n v="2831.8560489492356"/>
    <x v="0"/>
  </r>
  <r>
    <x v="0"/>
    <x v="0"/>
    <x v="0"/>
    <x v="0"/>
    <x v="0"/>
    <x v="0"/>
    <x v="0"/>
    <x v="3"/>
    <n v="2796.9640518392966"/>
    <x v="0"/>
  </r>
  <r>
    <x v="0"/>
    <x v="0"/>
    <x v="0"/>
    <x v="0"/>
    <x v="0"/>
    <x v="0"/>
    <x v="0"/>
    <x v="4"/>
    <n v="2854.5880967501216"/>
    <x v="0"/>
  </r>
  <r>
    <x v="0"/>
    <x v="0"/>
    <x v="0"/>
    <x v="0"/>
    <x v="0"/>
    <x v="0"/>
    <x v="0"/>
    <x v="5"/>
    <n v="2927.2905029357667"/>
    <x v="0"/>
  </r>
  <r>
    <x v="0"/>
    <x v="0"/>
    <x v="0"/>
    <x v="0"/>
    <x v="0"/>
    <x v="0"/>
    <x v="0"/>
    <x v="6"/>
    <n v="2944.3130375187034"/>
    <x v="0"/>
  </r>
  <r>
    <x v="0"/>
    <x v="0"/>
    <x v="0"/>
    <x v="0"/>
    <x v="0"/>
    <x v="0"/>
    <x v="0"/>
    <x v="7"/>
    <n v="3029.155526177648"/>
    <x v="0"/>
  </r>
  <r>
    <x v="0"/>
    <x v="0"/>
    <x v="0"/>
    <x v="0"/>
    <x v="0"/>
    <x v="0"/>
    <x v="0"/>
    <x v="8"/>
    <n v="3023.000544445686"/>
    <x v="0"/>
  </r>
  <r>
    <x v="0"/>
    <x v="0"/>
    <x v="0"/>
    <x v="0"/>
    <x v="0"/>
    <x v="0"/>
    <x v="0"/>
    <x v="9"/>
    <n v="2797.3887566644094"/>
    <x v="0"/>
  </r>
  <r>
    <x v="0"/>
    <x v="0"/>
    <x v="0"/>
    <x v="0"/>
    <x v="0"/>
    <x v="0"/>
    <x v="0"/>
    <x v="10"/>
    <n v="2733.6621571356404"/>
    <x v="0"/>
  </r>
  <r>
    <x v="0"/>
    <x v="0"/>
    <x v="0"/>
    <x v="0"/>
    <x v="0"/>
    <x v="0"/>
    <x v="0"/>
    <x v="11"/>
    <n v="3505.8176641331406"/>
    <x v="0"/>
  </r>
  <r>
    <x v="1"/>
    <x v="0"/>
    <x v="1"/>
    <x v="0"/>
    <x v="0"/>
    <x v="0"/>
    <x v="0"/>
    <x v="0"/>
    <n v="10427.759626854762"/>
    <x v="0"/>
  </r>
  <r>
    <x v="1"/>
    <x v="0"/>
    <x v="1"/>
    <x v="0"/>
    <x v="0"/>
    <x v="0"/>
    <x v="0"/>
    <x v="1"/>
    <n v="9983.5296087945899"/>
    <x v="0"/>
  </r>
  <r>
    <x v="1"/>
    <x v="0"/>
    <x v="1"/>
    <x v="0"/>
    <x v="0"/>
    <x v="0"/>
    <x v="0"/>
    <x v="2"/>
    <n v="10086.707940044811"/>
    <x v="0"/>
  </r>
  <r>
    <x v="1"/>
    <x v="0"/>
    <x v="1"/>
    <x v="0"/>
    <x v="0"/>
    <x v="0"/>
    <x v="0"/>
    <x v="3"/>
    <n v="9968.5088756787609"/>
    <x v="0"/>
  </r>
  <r>
    <x v="1"/>
    <x v="0"/>
    <x v="1"/>
    <x v="0"/>
    <x v="0"/>
    <x v="0"/>
    <x v="0"/>
    <x v="4"/>
    <n v="10176.830513789117"/>
    <x v="0"/>
  </r>
  <r>
    <x v="1"/>
    <x v="0"/>
    <x v="1"/>
    <x v="0"/>
    <x v="0"/>
    <x v="0"/>
    <x v="0"/>
    <x v="5"/>
    <n v="10441.537632528352"/>
    <x v="0"/>
  </r>
  <r>
    <x v="1"/>
    <x v="0"/>
    <x v="1"/>
    <x v="0"/>
    <x v="0"/>
    <x v="0"/>
    <x v="0"/>
    <x v="6"/>
    <n v="10945.563409868324"/>
    <x v="0"/>
  </r>
  <r>
    <x v="1"/>
    <x v="0"/>
    <x v="1"/>
    <x v="0"/>
    <x v="0"/>
    <x v="0"/>
    <x v="0"/>
    <x v="7"/>
    <n v="12068.867384308482"/>
    <x v="0"/>
  </r>
  <r>
    <x v="1"/>
    <x v="0"/>
    <x v="1"/>
    <x v="0"/>
    <x v="0"/>
    <x v="0"/>
    <x v="0"/>
    <x v="8"/>
    <n v="11352.380854411766"/>
    <x v="0"/>
  </r>
  <r>
    <x v="1"/>
    <x v="0"/>
    <x v="1"/>
    <x v="0"/>
    <x v="0"/>
    <x v="0"/>
    <x v="0"/>
    <x v="9"/>
    <n v="10483.642252768304"/>
    <x v="0"/>
  </r>
  <r>
    <x v="1"/>
    <x v="0"/>
    <x v="1"/>
    <x v="0"/>
    <x v="0"/>
    <x v="0"/>
    <x v="0"/>
    <x v="10"/>
    <n v="10174.684106484396"/>
    <x v="0"/>
  </r>
  <r>
    <x v="1"/>
    <x v="0"/>
    <x v="1"/>
    <x v="0"/>
    <x v="0"/>
    <x v="0"/>
    <x v="0"/>
    <x v="11"/>
    <n v="9862.5657187339439"/>
    <x v="0"/>
  </r>
  <r>
    <x v="2"/>
    <x v="0"/>
    <x v="2"/>
    <x v="1"/>
    <x v="0"/>
    <x v="0"/>
    <x v="0"/>
    <x v="0"/>
    <n v="3341.2793267193947"/>
    <x v="0"/>
  </r>
  <r>
    <x v="2"/>
    <x v="0"/>
    <x v="2"/>
    <x v="1"/>
    <x v="0"/>
    <x v="0"/>
    <x v="0"/>
    <x v="1"/>
    <n v="3225.9169104938628"/>
    <x v="0"/>
  </r>
  <r>
    <x v="2"/>
    <x v="0"/>
    <x v="2"/>
    <x v="1"/>
    <x v="0"/>
    <x v="0"/>
    <x v="0"/>
    <x v="2"/>
    <n v="3130.9924839771461"/>
    <x v="0"/>
  </r>
  <r>
    <x v="2"/>
    <x v="0"/>
    <x v="2"/>
    <x v="1"/>
    <x v="0"/>
    <x v="0"/>
    <x v="0"/>
    <x v="3"/>
    <n v="3092.3157399429861"/>
    <x v="0"/>
  </r>
  <r>
    <x v="2"/>
    <x v="0"/>
    <x v="2"/>
    <x v="1"/>
    <x v="0"/>
    <x v="0"/>
    <x v="0"/>
    <x v="4"/>
    <n v="3155.9569962542446"/>
    <x v="0"/>
  </r>
  <r>
    <x v="2"/>
    <x v="0"/>
    <x v="2"/>
    <x v="1"/>
    <x v="0"/>
    <x v="0"/>
    <x v="0"/>
    <x v="5"/>
    <n v="3447.4362653727239"/>
    <x v="0"/>
  </r>
  <r>
    <x v="2"/>
    <x v="0"/>
    <x v="2"/>
    <x v="1"/>
    <x v="0"/>
    <x v="0"/>
    <x v="0"/>
    <x v="6"/>
    <n v="3341.4649114216609"/>
    <x v="0"/>
  </r>
  <r>
    <x v="2"/>
    <x v="0"/>
    <x v="2"/>
    <x v="1"/>
    <x v="0"/>
    <x v="0"/>
    <x v="0"/>
    <x v="7"/>
    <n v="3754.8482423263426"/>
    <x v="0"/>
  </r>
  <r>
    <x v="2"/>
    <x v="0"/>
    <x v="2"/>
    <x v="1"/>
    <x v="0"/>
    <x v="0"/>
    <x v="0"/>
    <x v="8"/>
    <n v="3457.0856559939575"/>
    <x v="0"/>
  </r>
  <r>
    <x v="2"/>
    <x v="0"/>
    <x v="2"/>
    <x v="1"/>
    <x v="0"/>
    <x v="0"/>
    <x v="0"/>
    <x v="9"/>
    <n v="3177.1163678248236"/>
    <x v="0"/>
  </r>
  <r>
    <x v="2"/>
    <x v="0"/>
    <x v="2"/>
    <x v="1"/>
    <x v="0"/>
    <x v="0"/>
    <x v="0"/>
    <x v="10"/>
    <n v="3104.7693201601187"/>
    <x v="0"/>
  </r>
  <r>
    <x v="2"/>
    <x v="0"/>
    <x v="2"/>
    <x v="1"/>
    <x v="0"/>
    <x v="0"/>
    <x v="0"/>
    <x v="11"/>
    <n v="3458.5522578896689"/>
    <x v="0"/>
  </r>
  <r>
    <x v="2"/>
    <x v="1"/>
    <x v="2"/>
    <x v="1"/>
    <x v="1"/>
    <x v="1"/>
    <x v="0"/>
    <x v="0"/>
    <n v="0"/>
    <x v="0"/>
  </r>
  <r>
    <x v="2"/>
    <x v="1"/>
    <x v="2"/>
    <x v="1"/>
    <x v="1"/>
    <x v="1"/>
    <x v="0"/>
    <x v="1"/>
    <n v="22308.205076739425"/>
    <x v="0"/>
  </r>
  <r>
    <x v="2"/>
    <x v="1"/>
    <x v="2"/>
    <x v="1"/>
    <x v="1"/>
    <x v="1"/>
    <x v="0"/>
    <x v="2"/>
    <n v="0"/>
    <x v="0"/>
  </r>
  <r>
    <x v="2"/>
    <x v="1"/>
    <x v="2"/>
    <x v="1"/>
    <x v="1"/>
    <x v="1"/>
    <x v="0"/>
    <x v="3"/>
    <n v="0"/>
    <x v="0"/>
  </r>
  <r>
    <x v="2"/>
    <x v="1"/>
    <x v="2"/>
    <x v="1"/>
    <x v="1"/>
    <x v="1"/>
    <x v="0"/>
    <x v="4"/>
    <n v="0"/>
    <x v="0"/>
  </r>
  <r>
    <x v="2"/>
    <x v="1"/>
    <x v="2"/>
    <x v="1"/>
    <x v="1"/>
    <x v="1"/>
    <x v="0"/>
    <x v="5"/>
    <n v="0"/>
    <x v="0"/>
  </r>
  <r>
    <x v="2"/>
    <x v="1"/>
    <x v="2"/>
    <x v="1"/>
    <x v="1"/>
    <x v="1"/>
    <x v="0"/>
    <x v="6"/>
    <n v="0"/>
    <x v="0"/>
  </r>
  <r>
    <x v="2"/>
    <x v="1"/>
    <x v="2"/>
    <x v="1"/>
    <x v="1"/>
    <x v="1"/>
    <x v="0"/>
    <x v="7"/>
    <n v="0"/>
    <x v="0"/>
  </r>
  <r>
    <x v="2"/>
    <x v="1"/>
    <x v="2"/>
    <x v="1"/>
    <x v="1"/>
    <x v="1"/>
    <x v="0"/>
    <x v="8"/>
    <n v="0"/>
    <x v="0"/>
  </r>
  <r>
    <x v="2"/>
    <x v="1"/>
    <x v="2"/>
    <x v="1"/>
    <x v="1"/>
    <x v="1"/>
    <x v="0"/>
    <x v="9"/>
    <n v="0"/>
    <x v="0"/>
  </r>
  <r>
    <x v="2"/>
    <x v="1"/>
    <x v="2"/>
    <x v="1"/>
    <x v="1"/>
    <x v="1"/>
    <x v="0"/>
    <x v="10"/>
    <n v="0"/>
    <x v="0"/>
  </r>
  <r>
    <x v="2"/>
    <x v="1"/>
    <x v="2"/>
    <x v="1"/>
    <x v="1"/>
    <x v="1"/>
    <x v="0"/>
    <x v="11"/>
    <n v="0"/>
    <x v="0"/>
  </r>
  <r>
    <x v="3"/>
    <x v="0"/>
    <x v="3"/>
    <x v="0"/>
    <x v="0"/>
    <x v="0"/>
    <x v="0"/>
    <x v="0"/>
    <n v="4537.6827208226186"/>
    <x v="0"/>
  </r>
  <r>
    <x v="3"/>
    <x v="0"/>
    <x v="3"/>
    <x v="0"/>
    <x v="0"/>
    <x v="0"/>
    <x v="0"/>
    <x v="1"/>
    <n v="4348.7198506375153"/>
    <x v="0"/>
  </r>
  <r>
    <x v="3"/>
    <x v="0"/>
    <x v="3"/>
    <x v="0"/>
    <x v="0"/>
    <x v="0"/>
    <x v="0"/>
    <x v="2"/>
    <n v="4423.2777010511873"/>
    <x v="0"/>
  </r>
  <r>
    <x v="3"/>
    <x v="0"/>
    <x v="3"/>
    <x v="0"/>
    <x v="0"/>
    <x v="0"/>
    <x v="0"/>
    <x v="3"/>
    <n v="4366.3829042550224"/>
    <x v="0"/>
  </r>
  <r>
    <x v="3"/>
    <x v="0"/>
    <x v="3"/>
    <x v="0"/>
    <x v="0"/>
    <x v="0"/>
    <x v="0"/>
    <x v="4"/>
    <n v="4453.4067527662246"/>
    <x v="0"/>
  </r>
  <r>
    <x v="3"/>
    <x v="0"/>
    <x v="3"/>
    <x v="0"/>
    <x v="0"/>
    <x v="0"/>
    <x v="0"/>
    <x v="5"/>
    <n v="4564.9059350458119"/>
    <x v="0"/>
  </r>
  <r>
    <x v="3"/>
    <x v="0"/>
    <x v="3"/>
    <x v="0"/>
    <x v="0"/>
    <x v="0"/>
    <x v="0"/>
    <x v="6"/>
    <n v="5700.3997190035279"/>
    <x v="0"/>
  </r>
  <r>
    <x v="3"/>
    <x v="0"/>
    <x v="3"/>
    <x v="0"/>
    <x v="0"/>
    <x v="0"/>
    <x v="0"/>
    <x v="7"/>
    <n v="0"/>
    <x v="0"/>
  </r>
  <r>
    <x v="3"/>
    <x v="0"/>
    <x v="3"/>
    <x v="0"/>
    <x v="0"/>
    <x v="0"/>
    <x v="0"/>
    <x v="8"/>
    <n v="0"/>
    <x v="0"/>
  </r>
  <r>
    <x v="3"/>
    <x v="0"/>
    <x v="3"/>
    <x v="0"/>
    <x v="0"/>
    <x v="0"/>
    <x v="0"/>
    <x v="9"/>
    <n v="0"/>
    <x v="0"/>
  </r>
  <r>
    <x v="3"/>
    <x v="0"/>
    <x v="3"/>
    <x v="0"/>
    <x v="0"/>
    <x v="0"/>
    <x v="0"/>
    <x v="10"/>
    <n v="0"/>
    <x v="0"/>
  </r>
  <r>
    <x v="3"/>
    <x v="0"/>
    <x v="3"/>
    <x v="0"/>
    <x v="0"/>
    <x v="0"/>
    <x v="0"/>
    <x v="11"/>
    <n v="0"/>
    <x v="0"/>
  </r>
  <r>
    <x v="3"/>
    <x v="1"/>
    <x v="3"/>
    <x v="0"/>
    <x v="1"/>
    <x v="1"/>
    <x v="0"/>
    <x v="0"/>
    <n v="6673.0368892376864"/>
    <x v="0"/>
  </r>
  <r>
    <x v="3"/>
    <x v="1"/>
    <x v="3"/>
    <x v="0"/>
    <x v="1"/>
    <x v="1"/>
    <x v="0"/>
    <x v="1"/>
    <n v="0"/>
    <x v="0"/>
  </r>
  <r>
    <x v="3"/>
    <x v="1"/>
    <x v="3"/>
    <x v="0"/>
    <x v="1"/>
    <x v="1"/>
    <x v="0"/>
    <x v="2"/>
    <n v="0"/>
    <x v="0"/>
  </r>
  <r>
    <x v="3"/>
    <x v="1"/>
    <x v="3"/>
    <x v="0"/>
    <x v="1"/>
    <x v="1"/>
    <x v="0"/>
    <x v="3"/>
    <n v="0"/>
    <x v="0"/>
  </r>
  <r>
    <x v="3"/>
    <x v="1"/>
    <x v="3"/>
    <x v="0"/>
    <x v="1"/>
    <x v="1"/>
    <x v="0"/>
    <x v="4"/>
    <n v="0"/>
    <x v="0"/>
  </r>
  <r>
    <x v="3"/>
    <x v="1"/>
    <x v="3"/>
    <x v="0"/>
    <x v="1"/>
    <x v="1"/>
    <x v="0"/>
    <x v="5"/>
    <n v="0"/>
    <x v="0"/>
  </r>
  <r>
    <x v="3"/>
    <x v="1"/>
    <x v="3"/>
    <x v="0"/>
    <x v="1"/>
    <x v="1"/>
    <x v="0"/>
    <x v="6"/>
    <n v="0"/>
    <x v="0"/>
  </r>
  <r>
    <x v="3"/>
    <x v="1"/>
    <x v="3"/>
    <x v="0"/>
    <x v="1"/>
    <x v="1"/>
    <x v="0"/>
    <x v="7"/>
    <n v="0"/>
    <x v="0"/>
  </r>
  <r>
    <x v="3"/>
    <x v="1"/>
    <x v="3"/>
    <x v="0"/>
    <x v="1"/>
    <x v="1"/>
    <x v="0"/>
    <x v="8"/>
    <n v="0"/>
    <x v="0"/>
  </r>
  <r>
    <x v="3"/>
    <x v="1"/>
    <x v="3"/>
    <x v="0"/>
    <x v="1"/>
    <x v="1"/>
    <x v="0"/>
    <x v="9"/>
    <n v="0"/>
    <x v="0"/>
  </r>
  <r>
    <x v="3"/>
    <x v="1"/>
    <x v="3"/>
    <x v="0"/>
    <x v="1"/>
    <x v="1"/>
    <x v="0"/>
    <x v="10"/>
    <n v="0"/>
    <x v="0"/>
  </r>
  <r>
    <x v="3"/>
    <x v="1"/>
    <x v="3"/>
    <x v="0"/>
    <x v="1"/>
    <x v="1"/>
    <x v="0"/>
    <x v="11"/>
    <n v="0"/>
    <x v="0"/>
  </r>
  <r>
    <x v="4"/>
    <x v="0"/>
    <x v="4"/>
    <x v="0"/>
    <x v="0"/>
    <x v="0"/>
    <x v="0"/>
    <x v="0"/>
    <n v="8782.9383687410646"/>
    <x v="0"/>
  </r>
  <r>
    <x v="4"/>
    <x v="0"/>
    <x v="4"/>
    <x v="0"/>
    <x v="0"/>
    <x v="0"/>
    <x v="0"/>
    <x v="1"/>
    <n v="8366.8111641944906"/>
    <x v="0"/>
  </r>
  <r>
    <x v="4"/>
    <x v="0"/>
    <x v="4"/>
    <x v="0"/>
    <x v="0"/>
    <x v="0"/>
    <x v="0"/>
    <x v="2"/>
    <n v="8373.8724095435391"/>
    <x v="0"/>
  </r>
  <r>
    <x v="4"/>
    <x v="0"/>
    <x v="4"/>
    <x v="0"/>
    <x v="0"/>
    <x v="0"/>
    <x v="0"/>
    <x v="3"/>
    <n v="8271.4671799689677"/>
    <x v="0"/>
  </r>
  <r>
    <x v="4"/>
    <x v="0"/>
    <x v="4"/>
    <x v="0"/>
    <x v="0"/>
    <x v="0"/>
    <x v="0"/>
    <x v="4"/>
    <n v="8440.0668666362744"/>
    <x v="0"/>
  </r>
  <r>
    <x v="4"/>
    <x v="0"/>
    <x v="4"/>
    <x v="0"/>
    <x v="0"/>
    <x v="0"/>
    <x v="0"/>
    <x v="5"/>
    <n v="8656.028320407373"/>
    <x v="0"/>
  </r>
  <r>
    <x v="4"/>
    <x v="0"/>
    <x v="4"/>
    <x v="0"/>
    <x v="0"/>
    <x v="0"/>
    <x v="0"/>
    <x v="6"/>
    <n v="8389.7374808331897"/>
    <x v="0"/>
  </r>
  <r>
    <x v="4"/>
    <x v="0"/>
    <x v="4"/>
    <x v="0"/>
    <x v="0"/>
    <x v="0"/>
    <x v="0"/>
    <x v="7"/>
    <n v="8842.8203665990422"/>
    <x v="0"/>
  </r>
  <r>
    <x v="4"/>
    <x v="0"/>
    <x v="4"/>
    <x v="0"/>
    <x v="0"/>
    <x v="0"/>
    <x v="0"/>
    <x v="8"/>
    <n v="8926.0300938752134"/>
    <x v="0"/>
  </r>
  <r>
    <x v="4"/>
    <x v="0"/>
    <x v="4"/>
    <x v="0"/>
    <x v="0"/>
    <x v="0"/>
    <x v="0"/>
    <x v="9"/>
    <n v="8213.1019887944185"/>
    <x v="0"/>
  </r>
  <r>
    <x v="4"/>
    <x v="0"/>
    <x v="4"/>
    <x v="0"/>
    <x v="0"/>
    <x v="0"/>
    <x v="0"/>
    <x v="10"/>
    <n v="8022.4435507264807"/>
    <x v="0"/>
  </r>
  <r>
    <x v="4"/>
    <x v="0"/>
    <x v="4"/>
    <x v="0"/>
    <x v="0"/>
    <x v="0"/>
    <x v="0"/>
    <x v="11"/>
    <n v="8278.3956369209645"/>
    <x v="0"/>
  </r>
  <r>
    <x v="4"/>
    <x v="1"/>
    <x v="4"/>
    <x v="0"/>
    <x v="1"/>
    <x v="1"/>
    <x v="0"/>
    <x v="0"/>
    <n v="0"/>
    <x v="0"/>
  </r>
  <r>
    <x v="4"/>
    <x v="1"/>
    <x v="4"/>
    <x v="0"/>
    <x v="1"/>
    <x v="1"/>
    <x v="0"/>
    <x v="1"/>
    <n v="0"/>
    <x v="0"/>
  </r>
  <r>
    <x v="4"/>
    <x v="1"/>
    <x v="4"/>
    <x v="0"/>
    <x v="1"/>
    <x v="1"/>
    <x v="0"/>
    <x v="2"/>
    <n v="0"/>
    <x v="0"/>
  </r>
  <r>
    <x v="4"/>
    <x v="1"/>
    <x v="4"/>
    <x v="0"/>
    <x v="1"/>
    <x v="1"/>
    <x v="0"/>
    <x v="3"/>
    <n v="0"/>
    <x v="0"/>
  </r>
  <r>
    <x v="4"/>
    <x v="1"/>
    <x v="4"/>
    <x v="0"/>
    <x v="1"/>
    <x v="1"/>
    <x v="0"/>
    <x v="4"/>
    <n v="0"/>
    <x v="0"/>
  </r>
  <r>
    <x v="4"/>
    <x v="1"/>
    <x v="4"/>
    <x v="0"/>
    <x v="1"/>
    <x v="1"/>
    <x v="0"/>
    <x v="5"/>
    <n v="0"/>
    <x v="0"/>
  </r>
  <r>
    <x v="4"/>
    <x v="1"/>
    <x v="4"/>
    <x v="0"/>
    <x v="1"/>
    <x v="1"/>
    <x v="0"/>
    <x v="6"/>
    <n v="0"/>
    <x v="0"/>
  </r>
  <r>
    <x v="4"/>
    <x v="1"/>
    <x v="4"/>
    <x v="0"/>
    <x v="1"/>
    <x v="1"/>
    <x v="0"/>
    <x v="7"/>
    <n v="0"/>
    <x v="0"/>
  </r>
  <r>
    <x v="4"/>
    <x v="1"/>
    <x v="4"/>
    <x v="0"/>
    <x v="1"/>
    <x v="1"/>
    <x v="0"/>
    <x v="8"/>
    <n v="0"/>
    <x v="0"/>
  </r>
  <r>
    <x v="4"/>
    <x v="1"/>
    <x v="4"/>
    <x v="0"/>
    <x v="1"/>
    <x v="1"/>
    <x v="0"/>
    <x v="9"/>
    <n v="13772.268547340378"/>
    <x v="0"/>
  </r>
  <r>
    <x v="4"/>
    <x v="1"/>
    <x v="4"/>
    <x v="0"/>
    <x v="1"/>
    <x v="1"/>
    <x v="0"/>
    <x v="10"/>
    <n v="0"/>
    <x v="0"/>
  </r>
  <r>
    <x v="4"/>
    <x v="1"/>
    <x v="4"/>
    <x v="0"/>
    <x v="1"/>
    <x v="1"/>
    <x v="0"/>
    <x v="11"/>
    <n v="0"/>
    <x v="0"/>
  </r>
  <r>
    <x v="5"/>
    <x v="0"/>
    <x v="5"/>
    <x v="1"/>
    <x v="0"/>
    <x v="0"/>
    <x v="0"/>
    <x v="0"/>
    <n v="2955.3281485219559"/>
    <x v="0"/>
  </r>
  <r>
    <x v="5"/>
    <x v="0"/>
    <x v="5"/>
    <x v="1"/>
    <x v="0"/>
    <x v="0"/>
    <x v="0"/>
    <x v="1"/>
    <n v="2832.3587619164009"/>
    <x v="0"/>
  </r>
  <r>
    <x v="5"/>
    <x v="0"/>
    <x v="5"/>
    <x v="1"/>
    <x v="0"/>
    <x v="0"/>
    <x v="0"/>
    <x v="2"/>
    <n v="4206.8493260566584"/>
    <x v="0"/>
  </r>
  <r>
    <x v="5"/>
    <x v="0"/>
    <x v="5"/>
    <x v="1"/>
    <x v="0"/>
    <x v="0"/>
    <x v="0"/>
    <x v="3"/>
    <n v="4151.3955187014362"/>
    <x v="0"/>
  </r>
  <r>
    <x v="5"/>
    <x v="0"/>
    <x v="5"/>
    <x v="1"/>
    <x v="0"/>
    <x v="0"/>
    <x v="0"/>
    <x v="4"/>
    <n v="4233.2228522959704"/>
    <x v="0"/>
  </r>
  <r>
    <x v="5"/>
    <x v="0"/>
    <x v="5"/>
    <x v="1"/>
    <x v="0"/>
    <x v="0"/>
    <x v="0"/>
    <x v="5"/>
    <n v="4338.0264052681796"/>
    <x v="0"/>
  </r>
  <r>
    <x v="5"/>
    <x v="0"/>
    <x v="5"/>
    <x v="1"/>
    <x v="0"/>
    <x v="0"/>
    <x v="0"/>
    <x v="6"/>
    <n v="4333.525977353097"/>
    <x v="0"/>
  </r>
  <r>
    <x v="5"/>
    <x v="0"/>
    <x v="5"/>
    <x v="1"/>
    <x v="0"/>
    <x v="0"/>
    <x v="0"/>
    <x v="7"/>
    <n v="4449.8699251918342"/>
    <x v="0"/>
  </r>
  <r>
    <x v="5"/>
    <x v="0"/>
    <x v="5"/>
    <x v="1"/>
    <x v="0"/>
    <x v="0"/>
    <x v="0"/>
    <x v="8"/>
    <n v="4531.8153609341625"/>
    <x v="0"/>
  </r>
  <r>
    <x v="5"/>
    <x v="0"/>
    <x v="5"/>
    <x v="1"/>
    <x v="0"/>
    <x v="0"/>
    <x v="0"/>
    <x v="9"/>
    <n v="4135.1181224315296"/>
    <x v="0"/>
  </r>
  <r>
    <x v="5"/>
    <x v="0"/>
    <x v="5"/>
    <x v="1"/>
    <x v="0"/>
    <x v="0"/>
    <x v="0"/>
    <x v="10"/>
    <n v="4038.3857294486475"/>
    <x v="0"/>
  </r>
  <r>
    <x v="5"/>
    <x v="0"/>
    <x v="5"/>
    <x v="1"/>
    <x v="0"/>
    <x v="0"/>
    <x v="0"/>
    <x v="11"/>
    <n v="4441.1685984018704"/>
    <x v="0"/>
  </r>
  <r>
    <x v="6"/>
    <x v="0"/>
    <x v="6"/>
    <x v="0"/>
    <x v="0"/>
    <x v="0"/>
    <x v="0"/>
    <x v="0"/>
    <n v="8425.1203392948155"/>
    <x v="0"/>
  </r>
  <r>
    <x v="6"/>
    <x v="0"/>
    <x v="6"/>
    <x v="0"/>
    <x v="0"/>
    <x v="0"/>
    <x v="0"/>
    <x v="1"/>
    <n v="8065.6523221894395"/>
    <x v="0"/>
  </r>
  <r>
    <x v="6"/>
    <x v="0"/>
    <x v="6"/>
    <x v="0"/>
    <x v="0"/>
    <x v="0"/>
    <x v="0"/>
    <x v="2"/>
    <n v="8084.2266265952112"/>
    <x v="0"/>
  </r>
  <r>
    <x v="6"/>
    <x v="0"/>
    <x v="6"/>
    <x v="0"/>
    <x v="0"/>
    <x v="0"/>
    <x v="0"/>
    <x v="3"/>
    <n v="9000.5222083130284"/>
    <x v="0"/>
  </r>
  <r>
    <x v="6"/>
    <x v="0"/>
    <x v="6"/>
    <x v="0"/>
    <x v="0"/>
    <x v="0"/>
    <x v="0"/>
    <x v="4"/>
    <n v="9188.1821260660054"/>
    <x v="0"/>
  </r>
  <r>
    <x v="6"/>
    <x v="0"/>
    <x v="6"/>
    <x v="0"/>
    <x v="0"/>
    <x v="0"/>
    <x v="0"/>
    <x v="5"/>
    <n v="9427.2680962373615"/>
    <x v="0"/>
  </r>
  <r>
    <x v="6"/>
    <x v="0"/>
    <x v="6"/>
    <x v="0"/>
    <x v="0"/>
    <x v="0"/>
    <x v="0"/>
    <x v="6"/>
    <n v="9215.5727465969649"/>
    <x v="0"/>
  </r>
  <r>
    <x v="6"/>
    <x v="0"/>
    <x v="6"/>
    <x v="0"/>
    <x v="0"/>
    <x v="0"/>
    <x v="0"/>
    <x v="7"/>
    <n v="9646.0850959629643"/>
    <x v="0"/>
  </r>
  <r>
    <x v="6"/>
    <x v="0"/>
    <x v="6"/>
    <x v="0"/>
    <x v="0"/>
    <x v="0"/>
    <x v="0"/>
    <x v="8"/>
    <n v="9698.6680896695398"/>
    <x v="0"/>
  </r>
  <r>
    <x v="6"/>
    <x v="0"/>
    <x v="6"/>
    <x v="0"/>
    <x v="0"/>
    <x v="0"/>
    <x v="0"/>
    <x v="9"/>
    <n v="8989.0109403487531"/>
    <x v="0"/>
  </r>
  <r>
    <x v="6"/>
    <x v="0"/>
    <x v="6"/>
    <x v="0"/>
    <x v="0"/>
    <x v="0"/>
    <x v="0"/>
    <x v="10"/>
    <n v="8785.0905999411843"/>
    <x v="0"/>
  </r>
  <r>
    <x v="6"/>
    <x v="0"/>
    <x v="6"/>
    <x v="0"/>
    <x v="0"/>
    <x v="0"/>
    <x v="0"/>
    <x v="11"/>
    <n v="8896.3496842622735"/>
    <x v="0"/>
  </r>
  <r>
    <x v="7"/>
    <x v="0"/>
    <x v="7"/>
    <x v="0"/>
    <x v="0"/>
    <x v="0"/>
    <x v="0"/>
    <x v="0"/>
    <n v="4374.5965948470503"/>
    <x v="0"/>
  </r>
  <r>
    <x v="7"/>
    <x v="0"/>
    <x v="7"/>
    <x v="0"/>
    <x v="0"/>
    <x v="0"/>
    <x v="0"/>
    <x v="1"/>
    <n v="4190.4797924771401"/>
    <x v="0"/>
  </r>
  <r>
    <x v="7"/>
    <x v="0"/>
    <x v="7"/>
    <x v="0"/>
    <x v="0"/>
    <x v="0"/>
    <x v="0"/>
    <x v="2"/>
    <n v="4627.5342586623246"/>
    <x v="0"/>
  </r>
  <r>
    <x v="7"/>
    <x v="0"/>
    <x v="7"/>
    <x v="0"/>
    <x v="0"/>
    <x v="0"/>
    <x v="0"/>
    <x v="3"/>
    <n v="4568.2669930107631"/>
    <x v="0"/>
  </r>
  <r>
    <x v="7"/>
    <x v="0"/>
    <x v="7"/>
    <x v="0"/>
    <x v="0"/>
    <x v="0"/>
    <x v="0"/>
    <x v="4"/>
    <n v="4659.6312863855801"/>
    <x v="0"/>
  </r>
  <r>
    <x v="7"/>
    <x v="0"/>
    <x v="7"/>
    <x v="0"/>
    <x v="0"/>
    <x v="0"/>
    <x v="0"/>
    <x v="5"/>
    <n v="4776.4984336277648"/>
    <x v="0"/>
  </r>
  <r>
    <x v="7"/>
    <x v="0"/>
    <x v="7"/>
    <x v="0"/>
    <x v="0"/>
    <x v="0"/>
    <x v="0"/>
    <x v="6"/>
    <n v="4749.4501103163066"/>
    <x v="0"/>
  </r>
  <r>
    <x v="7"/>
    <x v="0"/>
    <x v="7"/>
    <x v="0"/>
    <x v="0"/>
    <x v="0"/>
    <x v="0"/>
    <x v="7"/>
    <n v="4897.0997249979437"/>
    <x v="0"/>
  </r>
  <r>
    <x v="7"/>
    <x v="0"/>
    <x v="7"/>
    <x v="0"/>
    <x v="0"/>
    <x v="0"/>
    <x v="0"/>
    <x v="8"/>
    <n v="3767.3152457584297"/>
    <x v="0"/>
  </r>
  <r>
    <x v="7"/>
    <x v="0"/>
    <x v="7"/>
    <x v="0"/>
    <x v="0"/>
    <x v="0"/>
    <x v="0"/>
    <x v="9"/>
    <n v="3300.8312789587271"/>
    <x v="0"/>
  </r>
  <r>
    <x v="7"/>
    <x v="0"/>
    <x v="7"/>
    <x v="0"/>
    <x v="0"/>
    <x v="0"/>
    <x v="0"/>
    <x v="10"/>
    <n v="4584.0874348287798"/>
    <x v="0"/>
  </r>
  <r>
    <x v="7"/>
    <x v="0"/>
    <x v="7"/>
    <x v="0"/>
    <x v="0"/>
    <x v="0"/>
    <x v="0"/>
    <x v="11"/>
    <n v="4701.2501076227782"/>
    <x v="0"/>
  </r>
  <r>
    <x v="7"/>
    <x v="1"/>
    <x v="7"/>
    <x v="0"/>
    <x v="1"/>
    <x v="1"/>
    <x v="0"/>
    <x v="0"/>
    <n v="1459.9454463513348"/>
    <x v="0"/>
  </r>
  <r>
    <x v="7"/>
    <x v="1"/>
    <x v="7"/>
    <x v="0"/>
    <x v="1"/>
    <x v="1"/>
    <x v="0"/>
    <x v="1"/>
    <n v="0"/>
    <x v="0"/>
  </r>
  <r>
    <x v="7"/>
    <x v="1"/>
    <x v="7"/>
    <x v="0"/>
    <x v="1"/>
    <x v="1"/>
    <x v="0"/>
    <x v="2"/>
    <n v="0"/>
    <x v="0"/>
  </r>
  <r>
    <x v="7"/>
    <x v="1"/>
    <x v="7"/>
    <x v="0"/>
    <x v="1"/>
    <x v="1"/>
    <x v="0"/>
    <x v="3"/>
    <n v="0"/>
    <x v="0"/>
  </r>
  <r>
    <x v="7"/>
    <x v="1"/>
    <x v="7"/>
    <x v="0"/>
    <x v="1"/>
    <x v="1"/>
    <x v="0"/>
    <x v="4"/>
    <n v="0"/>
    <x v="0"/>
  </r>
  <r>
    <x v="7"/>
    <x v="1"/>
    <x v="7"/>
    <x v="0"/>
    <x v="1"/>
    <x v="1"/>
    <x v="0"/>
    <x v="5"/>
    <n v="0"/>
    <x v="0"/>
  </r>
  <r>
    <x v="7"/>
    <x v="1"/>
    <x v="7"/>
    <x v="0"/>
    <x v="1"/>
    <x v="1"/>
    <x v="0"/>
    <x v="6"/>
    <n v="0"/>
    <x v="0"/>
  </r>
  <r>
    <x v="7"/>
    <x v="1"/>
    <x v="7"/>
    <x v="0"/>
    <x v="1"/>
    <x v="1"/>
    <x v="0"/>
    <x v="7"/>
    <n v="0"/>
    <x v="0"/>
  </r>
  <r>
    <x v="7"/>
    <x v="1"/>
    <x v="7"/>
    <x v="0"/>
    <x v="1"/>
    <x v="1"/>
    <x v="0"/>
    <x v="8"/>
    <n v="0"/>
    <x v="0"/>
  </r>
  <r>
    <x v="7"/>
    <x v="1"/>
    <x v="7"/>
    <x v="0"/>
    <x v="1"/>
    <x v="1"/>
    <x v="0"/>
    <x v="9"/>
    <n v="0"/>
    <x v="0"/>
  </r>
  <r>
    <x v="7"/>
    <x v="1"/>
    <x v="7"/>
    <x v="0"/>
    <x v="1"/>
    <x v="1"/>
    <x v="0"/>
    <x v="10"/>
    <n v="0"/>
    <x v="0"/>
  </r>
  <r>
    <x v="7"/>
    <x v="1"/>
    <x v="7"/>
    <x v="0"/>
    <x v="1"/>
    <x v="1"/>
    <x v="0"/>
    <x v="11"/>
    <n v="0"/>
    <x v="0"/>
  </r>
  <r>
    <x v="8"/>
    <x v="0"/>
    <x v="8"/>
    <x v="0"/>
    <x v="0"/>
    <x v="0"/>
    <x v="0"/>
    <x v="0"/>
    <n v="2947.7889902369975"/>
    <x v="0"/>
  </r>
  <r>
    <x v="8"/>
    <x v="0"/>
    <x v="8"/>
    <x v="0"/>
    <x v="0"/>
    <x v="0"/>
    <x v="0"/>
    <x v="1"/>
    <n v="2825.1312968057518"/>
    <x v="0"/>
  </r>
  <r>
    <x v="8"/>
    <x v="0"/>
    <x v="8"/>
    <x v="0"/>
    <x v="0"/>
    <x v="0"/>
    <x v="0"/>
    <x v="2"/>
    <n v="4206.8493260566584"/>
    <x v="0"/>
  </r>
  <r>
    <x v="8"/>
    <x v="0"/>
    <x v="8"/>
    <x v="0"/>
    <x v="0"/>
    <x v="0"/>
    <x v="0"/>
    <x v="3"/>
    <n v="4151.3789042084545"/>
    <x v="0"/>
  </r>
  <r>
    <x v="8"/>
    <x v="0"/>
    <x v="8"/>
    <x v="0"/>
    <x v="0"/>
    <x v="0"/>
    <x v="0"/>
    <x v="4"/>
    <n v="4233.1903590829788"/>
    <x v="0"/>
  </r>
  <r>
    <x v="8"/>
    <x v="0"/>
    <x v="8"/>
    <x v="0"/>
    <x v="0"/>
    <x v="0"/>
    <x v="0"/>
    <x v="5"/>
    <n v="4337.9800589869601"/>
    <x v="0"/>
  </r>
  <r>
    <x v="8"/>
    <x v="0"/>
    <x v="8"/>
    <x v="0"/>
    <x v="0"/>
    <x v="0"/>
    <x v="0"/>
    <x v="6"/>
    <n v="4333.4783995068019"/>
    <x v="0"/>
  </r>
  <r>
    <x v="8"/>
    <x v="0"/>
    <x v="8"/>
    <x v="0"/>
    <x v="0"/>
    <x v="0"/>
    <x v="0"/>
    <x v="7"/>
    <n v="4449.8018626933526"/>
    <x v="0"/>
  </r>
  <r>
    <x v="8"/>
    <x v="0"/>
    <x v="8"/>
    <x v="0"/>
    <x v="0"/>
    <x v="0"/>
    <x v="0"/>
    <x v="8"/>
    <n v="4531.7375866661669"/>
    <x v="0"/>
  </r>
  <r>
    <x v="8"/>
    <x v="0"/>
    <x v="8"/>
    <x v="0"/>
    <x v="0"/>
    <x v="0"/>
    <x v="0"/>
    <x v="9"/>
    <n v="4126.666081224027"/>
    <x v="0"/>
  </r>
  <r>
    <x v="8"/>
    <x v="0"/>
    <x v="8"/>
    <x v="0"/>
    <x v="0"/>
    <x v="0"/>
    <x v="0"/>
    <x v="10"/>
    <n v="4030.0378449891164"/>
    <x v="0"/>
  </r>
  <r>
    <x v="8"/>
    <x v="0"/>
    <x v="8"/>
    <x v="0"/>
    <x v="0"/>
    <x v="0"/>
    <x v="0"/>
    <x v="11"/>
    <n v="4312.2766512743383"/>
    <x v="0"/>
  </r>
  <r>
    <x v="8"/>
    <x v="1"/>
    <x v="8"/>
    <x v="0"/>
    <x v="1"/>
    <x v="1"/>
    <x v="0"/>
    <x v="0"/>
    <n v="0"/>
    <x v="0"/>
  </r>
  <r>
    <x v="8"/>
    <x v="1"/>
    <x v="8"/>
    <x v="0"/>
    <x v="1"/>
    <x v="1"/>
    <x v="0"/>
    <x v="1"/>
    <n v="2099.3798733488138"/>
    <x v="0"/>
  </r>
  <r>
    <x v="8"/>
    <x v="1"/>
    <x v="8"/>
    <x v="0"/>
    <x v="1"/>
    <x v="1"/>
    <x v="0"/>
    <x v="2"/>
    <n v="0"/>
    <x v="0"/>
  </r>
  <r>
    <x v="8"/>
    <x v="1"/>
    <x v="8"/>
    <x v="0"/>
    <x v="1"/>
    <x v="1"/>
    <x v="0"/>
    <x v="3"/>
    <n v="0"/>
    <x v="0"/>
  </r>
  <r>
    <x v="8"/>
    <x v="1"/>
    <x v="8"/>
    <x v="0"/>
    <x v="1"/>
    <x v="1"/>
    <x v="0"/>
    <x v="4"/>
    <n v="0"/>
    <x v="0"/>
  </r>
  <r>
    <x v="8"/>
    <x v="1"/>
    <x v="8"/>
    <x v="0"/>
    <x v="1"/>
    <x v="1"/>
    <x v="0"/>
    <x v="5"/>
    <n v="0"/>
    <x v="0"/>
  </r>
  <r>
    <x v="8"/>
    <x v="1"/>
    <x v="8"/>
    <x v="0"/>
    <x v="1"/>
    <x v="1"/>
    <x v="0"/>
    <x v="6"/>
    <n v="0"/>
    <x v="0"/>
  </r>
  <r>
    <x v="8"/>
    <x v="1"/>
    <x v="8"/>
    <x v="0"/>
    <x v="1"/>
    <x v="1"/>
    <x v="0"/>
    <x v="7"/>
    <n v="0"/>
    <x v="0"/>
  </r>
  <r>
    <x v="8"/>
    <x v="1"/>
    <x v="8"/>
    <x v="0"/>
    <x v="1"/>
    <x v="1"/>
    <x v="0"/>
    <x v="8"/>
    <n v="0"/>
    <x v="0"/>
  </r>
  <r>
    <x v="8"/>
    <x v="1"/>
    <x v="8"/>
    <x v="0"/>
    <x v="1"/>
    <x v="1"/>
    <x v="0"/>
    <x v="9"/>
    <n v="0"/>
    <x v="0"/>
  </r>
  <r>
    <x v="8"/>
    <x v="1"/>
    <x v="8"/>
    <x v="0"/>
    <x v="1"/>
    <x v="1"/>
    <x v="0"/>
    <x v="10"/>
    <n v="0"/>
    <x v="0"/>
  </r>
  <r>
    <x v="8"/>
    <x v="1"/>
    <x v="8"/>
    <x v="0"/>
    <x v="1"/>
    <x v="1"/>
    <x v="0"/>
    <x v="11"/>
    <n v="0"/>
    <x v="0"/>
  </r>
  <r>
    <x v="9"/>
    <x v="0"/>
    <x v="9"/>
    <x v="0"/>
    <x v="0"/>
    <x v="0"/>
    <x v="0"/>
    <x v="0"/>
    <n v="2360.8091638587653"/>
    <x v="0"/>
  </r>
  <r>
    <x v="9"/>
    <x v="0"/>
    <x v="9"/>
    <x v="0"/>
    <x v="0"/>
    <x v="0"/>
    <x v="0"/>
    <x v="1"/>
    <n v="2262.9607539069893"/>
    <x v="0"/>
  </r>
  <r>
    <x v="9"/>
    <x v="0"/>
    <x v="9"/>
    <x v="0"/>
    <x v="0"/>
    <x v="0"/>
    <x v="0"/>
    <x v="2"/>
    <n v="3085.0228391082164"/>
    <x v="0"/>
  </r>
  <r>
    <x v="9"/>
    <x v="0"/>
    <x v="9"/>
    <x v="0"/>
    <x v="0"/>
    <x v="0"/>
    <x v="0"/>
    <x v="3"/>
    <n v="3046.9277142004894"/>
    <x v="0"/>
  </r>
  <r>
    <x v="9"/>
    <x v="0"/>
    <x v="9"/>
    <x v="0"/>
    <x v="0"/>
    <x v="0"/>
    <x v="0"/>
    <x v="4"/>
    <n v="1593.0391023487584"/>
    <x v="0"/>
  </r>
  <r>
    <x v="9"/>
    <x v="0"/>
    <x v="9"/>
    <x v="0"/>
    <x v="0"/>
    <x v="0"/>
    <x v="0"/>
    <x v="5"/>
    <n v="3188.7689799643263"/>
    <x v="0"/>
  </r>
  <r>
    <x v="9"/>
    <x v="0"/>
    <x v="9"/>
    <x v="0"/>
    <x v="0"/>
    <x v="0"/>
    <x v="0"/>
    <x v="6"/>
    <n v="3198.1772305619111"/>
    <x v="0"/>
  </r>
  <r>
    <x v="9"/>
    <x v="0"/>
    <x v="9"/>
    <x v="0"/>
    <x v="0"/>
    <x v="0"/>
    <x v="0"/>
    <x v="7"/>
    <n v="3275.6527421463466"/>
    <x v="0"/>
  </r>
  <r>
    <x v="9"/>
    <x v="0"/>
    <x v="9"/>
    <x v="0"/>
    <x v="0"/>
    <x v="0"/>
    <x v="0"/>
    <x v="8"/>
    <n v="6341.1469576415984"/>
    <x v="0"/>
  </r>
  <r>
    <x v="9"/>
    <x v="0"/>
    <x v="9"/>
    <x v="0"/>
    <x v="0"/>
    <x v="0"/>
    <x v="0"/>
    <x v="9"/>
    <n v="0"/>
    <x v="0"/>
  </r>
  <r>
    <x v="9"/>
    <x v="0"/>
    <x v="9"/>
    <x v="0"/>
    <x v="0"/>
    <x v="0"/>
    <x v="0"/>
    <x v="10"/>
    <n v="0"/>
    <x v="0"/>
  </r>
  <r>
    <x v="9"/>
    <x v="0"/>
    <x v="9"/>
    <x v="0"/>
    <x v="0"/>
    <x v="0"/>
    <x v="0"/>
    <x v="11"/>
    <n v="0"/>
    <x v="0"/>
  </r>
  <r>
    <x v="10"/>
    <x v="0"/>
    <x v="10"/>
    <x v="0"/>
    <x v="0"/>
    <x v="0"/>
    <x v="0"/>
    <x v="0"/>
    <n v="2214.8277587326488"/>
    <x v="0"/>
  </r>
  <r>
    <x v="10"/>
    <x v="0"/>
    <x v="10"/>
    <x v="0"/>
    <x v="0"/>
    <x v="0"/>
    <x v="0"/>
    <x v="1"/>
    <n v="2123.0160915495571"/>
    <x v="0"/>
  </r>
  <r>
    <x v="10"/>
    <x v="0"/>
    <x v="10"/>
    <x v="0"/>
    <x v="0"/>
    <x v="0"/>
    <x v="0"/>
    <x v="2"/>
    <n v="2524.109595633995"/>
    <x v="0"/>
  </r>
  <r>
    <x v="10"/>
    <x v="0"/>
    <x v="10"/>
    <x v="0"/>
    <x v="0"/>
    <x v="0"/>
    <x v="0"/>
    <x v="3"/>
    <n v="2492.4647008083712"/>
    <x v="0"/>
  </r>
  <r>
    <x v="10"/>
    <x v="0"/>
    <x v="10"/>
    <x v="0"/>
    <x v="0"/>
    <x v="0"/>
    <x v="0"/>
    <x v="4"/>
    <n v="2543.4429783806818"/>
    <x v="0"/>
  </r>
  <r>
    <x v="10"/>
    <x v="0"/>
    <x v="10"/>
    <x v="0"/>
    <x v="0"/>
    <x v="0"/>
    <x v="0"/>
    <x v="5"/>
    <n v="2451.1331546603565"/>
    <x v="0"/>
  </r>
  <r>
    <x v="10"/>
    <x v="0"/>
    <x v="10"/>
    <x v="0"/>
    <x v="0"/>
    <x v="0"/>
    <x v="0"/>
    <x v="6"/>
    <n v="2490.2272737815738"/>
    <x v="0"/>
  </r>
  <r>
    <x v="10"/>
    <x v="0"/>
    <x v="10"/>
    <x v="0"/>
    <x v="0"/>
    <x v="0"/>
    <x v="0"/>
    <x v="7"/>
    <n v="2842.5991770783512"/>
    <x v="0"/>
  </r>
  <r>
    <x v="10"/>
    <x v="0"/>
    <x v="10"/>
    <x v="0"/>
    <x v="0"/>
    <x v="0"/>
    <x v="0"/>
    <x v="8"/>
    <n v="2682.7515828937162"/>
    <x v="0"/>
  </r>
  <r>
    <x v="10"/>
    <x v="0"/>
    <x v="10"/>
    <x v="0"/>
    <x v="0"/>
    <x v="0"/>
    <x v="0"/>
    <x v="9"/>
    <n v="2497.453537786721"/>
    <x v="0"/>
  </r>
  <r>
    <x v="10"/>
    <x v="0"/>
    <x v="10"/>
    <x v="0"/>
    <x v="0"/>
    <x v="0"/>
    <x v="0"/>
    <x v="10"/>
    <n v="2442.0531407773951"/>
    <x v="0"/>
  </r>
  <r>
    <x v="10"/>
    <x v="0"/>
    <x v="10"/>
    <x v="0"/>
    <x v="0"/>
    <x v="0"/>
    <x v="0"/>
    <x v="11"/>
    <n v="2706.5607914305806"/>
    <x v="0"/>
  </r>
  <r>
    <x v="11"/>
    <x v="0"/>
    <x v="11"/>
    <x v="0"/>
    <x v="0"/>
    <x v="0"/>
    <x v="0"/>
    <x v="0"/>
    <n v="6440.2135491262534"/>
    <x v="0"/>
  </r>
  <r>
    <x v="11"/>
    <x v="0"/>
    <x v="11"/>
    <x v="0"/>
    <x v="0"/>
    <x v="0"/>
    <x v="0"/>
    <x v="1"/>
    <n v="6173.9543026049478"/>
    <x v="0"/>
  </r>
  <r>
    <x v="11"/>
    <x v="0"/>
    <x v="11"/>
    <x v="0"/>
    <x v="0"/>
    <x v="0"/>
    <x v="0"/>
    <x v="2"/>
    <n v="6184.0530841890932"/>
    <x v="0"/>
  </r>
  <r>
    <x v="11"/>
    <x v="0"/>
    <x v="11"/>
    <x v="0"/>
    <x v="0"/>
    <x v="0"/>
    <x v="0"/>
    <x v="3"/>
    <n v="5690.3406219074623"/>
    <x v="0"/>
  </r>
  <r>
    <x v="11"/>
    <x v="0"/>
    <x v="11"/>
    <x v="0"/>
    <x v="0"/>
    <x v="0"/>
    <x v="0"/>
    <x v="4"/>
    <n v="6233.7734662571002"/>
    <x v="0"/>
  </r>
  <r>
    <x v="11"/>
    <x v="0"/>
    <x v="11"/>
    <x v="0"/>
    <x v="0"/>
    <x v="0"/>
    <x v="0"/>
    <x v="5"/>
    <n v="5411.6843559768658"/>
    <x v="0"/>
  </r>
  <r>
    <x v="11"/>
    <x v="0"/>
    <x v="11"/>
    <x v="0"/>
    <x v="0"/>
    <x v="0"/>
    <x v="0"/>
    <x v="6"/>
    <n v="8398.6009537282807"/>
    <x v="0"/>
  </r>
  <r>
    <x v="11"/>
    <x v="0"/>
    <x v="11"/>
    <x v="0"/>
    <x v="0"/>
    <x v="0"/>
    <x v="0"/>
    <x v="7"/>
    <n v="6548.0606786585531"/>
    <x v="0"/>
  </r>
  <r>
    <x v="11"/>
    <x v="0"/>
    <x v="11"/>
    <x v="0"/>
    <x v="0"/>
    <x v="0"/>
    <x v="0"/>
    <x v="8"/>
    <n v="6594.0449466209384"/>
    <x v="0"/>
  </r>
  <r>
    <x v="11"/>
    <x v="0"/>
    <x v="11"/>
    <x v="0"/>
    <x v="0"/>
    <x v="0"/>
    <x v="0"/>
    <x v="9"/>
    <n v="6079.7913630799412"/>
    <x v="0"/>
  </r>
  <r>
    <x v="11"/>
    <x v="0"/>
    <x v="11"/>
    <x v="0"/>
    <x v="0"/>
    <x v="0"/>
    <x v="0"/>
    <x v="10"/>
    <n v="12675.226304485672"/>
    <x v="0"/>
  </r>
  <r>
    <x v="11"/>
    <x v="0"/>
    <x v="11"/>
    <x v="0"/>
    <x v="0"/>
    <x v="0"/>
    <x v="0"/>
    <x v="11"/>
    <n v="6201.5179401783516"/>
    <x v="0"/>
  </r>
  <r>
    <x v="11"/>
    <x v="1"/>
    <x v="11"/>
    <x v="0"/>
    <x v="1"/>
    <x v="1"/>
    <x v="0"/>
    <x v="0"/>
    <n v="7866.8123815374774"/>
    <x v="0"/>
  </r>
  <r>
    <x v="11"/>
    <x v="1"/>
    <x v="11"/>
    <x v="0"/>
    <x v="1"/>
    <x v="1"/>
    <x v="0"/>
    <x v="1"/>
    <n v="0"/>
    <x v="0"/>
  </r>
  <r>
    <x v="11"/>
    <x v="1"/>
    <x v="11"/>
    <x v="0"/>
    <x v="1"/>
    <x v="1"/>
    <x v="0"/>
    <x v="2"/>
    <n v="0"/>
    <x v="0"/>
  </r>
  <r>
    <x v="11"/>
    <x v="1"/>
    <x v="11"/>
    <x v="0"/>
    <x v="1"/>
    <x v="1"/>
    <x v="0"/>
    <x v="3"/>
    <n v="0"/>
    <x v="0"/>
  </r>
  <r>
    <x v="11"/>
    <x v="1"/>
    <x v="11"/>
    <x v="0"/>
    <x v="1"/>
    <x v="1"/>
    <x v="0"/>
    <x v="4"/>
    <n v="0"/>
    <x v="0"/>
  </r>
  <r>
    <x v="11"/>
    <x v="1"/>
    <x v="11"/>
    <x v="0"/>
    <x v="1"/>
    <x v="1"/>
    <x v="0"/>
    <x v="5"/>
    <n v="0"/>
    <x v="0"/>
  </r>
  <r>
    <x v="11"/>
    <x v="1"/>
    <x v="11"/>
    <x v="0"/>
    <x v="1"/>
    <x v="1"/>
    <x v="0"/>
    <x v="6"/>
    <n v="0"/>
    <x v="0"/>
  </r>
  <r>
    <x v="11"/>
    <x v="1"/>
    <x v="11"/>
    <x v="0"/>
    <x v="1"/>
    <x v="1"/>
    <x v="0"/>
    <x v="7"/>
    <n v="0"/>
    <x v="0"/>
  </r>
  <r>
    <x v="11"/>
    <x v="1"/>
    <x v="11"/>
    <x v="0"/>
    <x v="1"/>
    <x v="1"/>
    <x v="0"/>
    <x v="8"/>
    <n v="0"/>
    <x v="0"/>
  </r>
  <r>
    <x v="11"/>
    <x v="1"/>
    <x v="11"/>
    <x v="0"/>
    <x v="1"/>
    <x v="1"/>
    <x v="0"/>
    <x v="9"/>
    <n v="0"/>
    <x v="0"/>
  </r>
  <r>
    <x v="11"/>
    <x v="1"/>
    <x v="11"/>
    <x v="0"/>
    <x v="1"/>
    <x v="1"/>
    <x v="0"/>
    <x v="10"/>
    <n v="0"/>
    <x v="0"/>
  </r>
  <r>
    <x v="11"/>
    <x v="1"/>
    <x v="11"/>
    <x v="0"/>
    <x v="1"/>
    <x v="1"/>
    <x v="0"/>
    <x v="11"/>
    <n v="0"/>
    <x v="0"/>
  </r>
  <r>
    <x v="12"/>
    <x v="0"/>
    <x v="12"/>
    <x v="0"/>
    <x v="0"/>
    <x v="0"/>
    <x v="0"/>
    <x v="0"/>
    <n v="3630.5470776776629"/>
    <x v="0"/>
  </r>
  <r>
    <x v="12"/>
    <x v="0"/>
    <x v="12"/>
    <x v="0"/>
    <x v="0"/>
    <x v="0"/>
    <x v="0"/>
    <x v="1"/>
    <n v="3477.3078532213081"/>
    <x v="0"/>
  </r>
  <r>
    <x v="12"/>
    <x v="0"/>
    <x v="12"/>
    <x v="0"/>
    <x v="0"/>
    <x v="0"/>
    <x v="0"/>
    <x v="2"/>
    <n v="1991.6570901336561"/>
    <x v="0"/>
  </r>
  <r>
    <x v="12"/>
    <x v="0"/>
    <x v="12"/>
    <x v="0"/>
    <x v="0"/>
    <x v="0"/>
    <x v="0"/>
    <x v="3"/>
    <n v="3438.5714654589328"/>
    <x v="0"/>
  </r>
  <r>
    <x v="12"/>
    <x v="0"/>
    <x v="12"/>
    <x v="0"/>
    <x v="0"/>
    <x v="0"/>
    <x v="0"/>
    <x v="4"/>
    <n v="3509.2670030997369"/>
    <x v="0"/>
  </r>
  <r>
    <x v="12"/>
    <x v="0"/>
    <x v="12"/>
    <x v="0"/>
    <x v="0"/>
    <x v="0"/>
    <x v="0"/>
    <x v="5"/>
    <n v="3598.4541744020466"/>
    <x v="0"/>
  </r>
  <r>
    <x v="12"/>
    <x v="0"/>
    <x v="12"/>
    <x v="0"/>
    <x v="0"/>
    <x v="0"/>
    <x v="0"/>
    <x v="6"/>
    <n v="3608.7222681969361"/>
    <x v="0"/>
  </r>
  <r>
    <x v="12"/>
    <x v="0"/>
    <x v="12"/>
    <x v="0"/>
    <x v="0"/>
    <x v="0"/>
    <x v="0"/>
    <x v="7"/>
    <n v="3694.1882803642866"/>
    <x v="0"/>
  </r>
  <r>
    <x v="12"/>
    <x v="0"/>
    <x v="12"/>
    <x v="0"/>
    <x v="0"/>
    <x v="0"/>
    <x v="0"/>
    <x v="8"/>
    <n v="3770.5847563322664"/>
    <x v="0"/>
  </r>
  <r>
    <x v="12"/>
    <x v="0"/>
    <x v="12"/>
    <x v="0"/>
    <x v="0"/>
    <x v="0"/>
    <x v="0"/>
    <x v="9"/>
    <n v="6794.0432455746886"/>
    <x v="0"/>
  </r>
  <r>
    <x v="12"/>
    <x v="0"/>
    <x v="12"/>
    <x v="0"/>
    <x v="0"/>
    <x v="0"/>
    <x v="0"/>
    <x v="10"/>
    <n v="0"/>
    <x v="0"/>
  </r>
  <r>
    <x v="12"/>
    <x v="0"/>
    <x v="12"/>
    <x v="0"/>
    <x v="0"/>
    <x v="0"/>
    <x v="0"/>
    <x v="11"/>
    <n v="0"/>
    <x v="0"/>
  </r>
  <r>
    <x v="13"/>
    <x v="0"/>
    <x v="13"/>
    <x v="0"/>
    <x v="0"/>
    <x v="0"/>
    <x v="0"/>
    <x v="0"/>
    <n v="1900.1613368442065"/>
    <x v="0"/>
  </r>
  <r>
    <x v="13"/>
    <x v="0"/>
    <x v="13"/>
    <x v="0"/>
    <x v="0"/>
    <x v="0"/>
    <x v="0"/>
    <x v="1"/>
    <n v="1821.3575971346481"/>
    <x v="0"/>
  </r>
  <r>
    <x v="13"/>
    <x v="0"/>
    <x v="13"/>
    <x v="0"/>
    <x v="0"/>
    <x v="0"/>
    <x v="0"/>
    <x v="2"/>
    <n v="2524.109595633995"/>
    <x v="0"/>
  </r>
  <r>
    <x v="13"/>
    <x v="0"/>
    <x v="13"/>
    <x v="0"/>
    <x v="0"/>
    <x v="0"/>
    <x v="0"/>
    <x v="3"/>
    <n v="2492.4647008083712"/>
    <x v="0"/>
  </r>
  <r>
    <x v="13"/>
    <x v="0"/>
    <x v="13"/>
    <x v="0"/>
    <x v="0"/>
    <x v="0"/>
    <x v="0"/>
    <x v="4"/>
    <n v="2543.4429783806818"/>
    <x v="0"/>
  </r>
  <r>
    <x v="13"/>
    <x v="0"/>
    <x v="13"/>
    <x v="0"/>
    <x v="0"/>
    <x v="0"/>
    <x v="0"/>
    <x v="5"/>
    <n v="2607.7430321829534"/>
    <x v="0"/>
  </r>
  <r>
    <x v="13"/>
    <x v="0"/>
    <x v="13"/>
    <x v="0"/>
    <x v="0"/>
    <x v="0"/>
    <x v="0"/>
    <x v="6"/>
    <n v="2641.5430165294088"/>
    <x v="0"/>
  </r>
  <r>
    <x v="13"/>
    <x v="0"/>
    <x v="13"/>
    <x v="0"/>
    <x v="0"/>
    <x v="0"/>
    <x v="0"/>
    <x v="7"/>
    <n v="2682.603478201775"/>
    <x v="0"/>
  </r>
  <r>
    <x v="13"/>
    <x v="0"/>
    <x v="13"/>
    <x v="0"/>
    <x v="0"/>
    <x v="0"/>
    <x v="0"/>
    <x v="8"/>
    <n v="2682.7515828937162"/>
    <x v="0"/>
  </r>
  <r>
    <x v="13"/>
    <x v="0"/>
    <x v="13"/>
    <x v="0"/>
    <x v="0"/>
    <x v="0"/>
    <x v="0"/>
    <x v="9"/>
    <n v="2497.453537786721"/>
    <x v="0"/>
  </r>
  <r>
    <x v="13"/>
    <x v="0"/>
    <x v="13"/>
    <x v="0"/>
    <x v="0"/>
    <x v="0"/>
    <x v="0"/>
    <x v="10"/>
    <n v="2442.0531407773951"/>
    <x v="0"/>
  </r>
  <r>
    <x v="13"/>
    <x v="0"/>
    <x v="13"/>
    <x v="0"/>
    <x v="0"/>
    <x v="0"/>
    <x v="0"/>
    <x v="11"/>
    <n v="2770.9919458288355"/>
    <x v="0"/>
  </r>
  <r>
    <x v="14"/>
    <x v="0"/>
    <x v="14"/>
    <x v="0"/>
    <x v="0"/>
    <x v="0"/>
    <x v="0"/>
    <x v="0"/>
    <n v="1938.2542334304057"/>
    <x v="0"/>
  </r>
  <r>
    <x v="14"/>
    <x v="0"/>
    <x v="14"/>
    <x v="0"/>
    <x v="0"/>
    <x v="0"/>
    <x v="0"/>
    <x v="1"/>
    <n v="1857.8770098248419"/>
    <x v="0"/>
  </r>
  <r>
    <x v="14"/>
    <x v="0"/>
    <x v="14"/>
    <x v="0"/>
    <x v="0"/>
    <x v="0"/>
    <x v="0"/>
    <x v="2"/>
    <n v="2243.6529738968848"/>
    <x v="0"/>
  </r>
  <r>
    <x v="14"/>
    <x v="0"/>
    <x v="14"/>
    <x v="0"/>
    <x v="0"/>
    <x v="0"/>
    <x v="0"/>
    <x v="3"/>
    <n v="2215.556484454904"/>
    <x v="0"/>
  </r>
  <r>
    <x v="14"/>
    <x v="0"/>
    <x v="14"/>
    <x v="0"/>
    <x v="0"/>
    <x v="0"/>
    <x v="0"/>
    <x v="4"/>
    <n v="2260.8933001922974"/>
    <x v="0"/>
  </r>
  <r>
    <x v="14"/>
    <x v="0"/>
    <x v="14"/>
    <x v="0"/>
    <x v="0"/>
    <x v="0"/>
    <x v="0"/>
    <x v="5"/>
    <n v="2318.0773262457933"/>
    <x v="0"/>
  </r>
  <r>
    <x v="14"/>
    <x v="0"/>
    <x v="14"/>
    <x v="0"/>
    <x v="0"/>
    <x v="0"/>
    <x v="0"/>
    <x v="6"/>
    <n v="2360.6434120032291"/>
    <x v="0"/>
  </r>
  <r>
    <x v="14"/>
    <x v="0"/>
    <x v="14"/>
    <x v="0"/>
    <x v="0"/>
    <x v="0"/>
    <x v="0"/>
    <x v="7"/>
    <n v="2386.5227320891527"/>
    <x v="0"/>
  </r>
  <r>
    <x v="14"/>
    <x v="0"/>
    <x v="14"/>
    <x v="0"/>
    <x v="0"/>
    <x v="0"/>
    <x v="0"/>
    <x v="8"/>
    <n v="2388.0888120004661"/>
    <x v="0"/>
  </r>
  <r>
    <x v="14"/>
    <x v="0"/>
    <x v="14"/>
    <x v="0"/>
    <x v="0"/>
    <x v="0"/>
    <x v="0"/>
    <x v="9"/>
    <n v="2221.8621807933118"/>
    <x v="0"/>
  </r>
  <r>
    <x v="14"/>
    <x v="0"/>
    <x v="14"/>
    <x v="0"/>
    <x v="0"/>
    <x v="0"/>
    <x v="0"/>
    <x v="10"/>
    <n v="2172.5817067114931"/>
    <x v="0"/>
  </r>
  <r>
    <x v="14"/>
    <x v="0"/>
    <x v="14"/>
    <x v="0"/>
    <x v="0"/>
    <x v="0"/>
    <x v="0"/>
    <x v="11"/>
    <n v="2448.8361738375611"/>
    <x v="0"/>
  </r>
  <r>
    <x v="15"/>
    <x v="0"/>
    <x v="15"/>
    <x v="0"/>
    <x v="0"/>
    <x v="0"/>
    <x v="0"/>
    <x v="0"/>
    <n v="2947.5685384745989"/>
    <x v="0"/>
  </r>
  <r>
    <x v="15"/>
    <x v="0"/>
    <x v="15"/>
    <x v="0"/>
    <x v="0"/>
    <x v="0"/>
    <x v="0"/>
    <x v="1"/>
    <n v="2824.9199592318346"/>
    <x v="0"/>
  </r>
  <r>
    <x v="15"/>
    <x v="0"/>
    <x v="15"/>
    <x v="0"/>
    <x v="0"/>
    <x v="0"/>
    <x v="0"/>
    <x v="2"/>
    <n v="4206.8493260566584"/>
    <x v="0"/>
  </r>
  <r>
    <x v="15"/>
    <x v="0"/>
    <x v="15"/>
    <x v="0"/>
    <x v="0"/>
    <x v="0"/>
    <x v="0"/>
    <x v="3"/>
    <n v="4151.3789042084545"/>
    <x v="0"/>
  </r>
  <r>
    <x v="15"/>
    <x v="0"/>
    <x v="15"/>
    <x v="0"/>
    <x v="0"/>
    <x v="0"/>
    <x v="0"/>
    <x v="4"/>
    <n v="4233.1903590829788"/>
    <x v="0"/>
  </r>
  <r>
    <x v="15"/>
    <x v="0"/>
    <x v="15"/>
    <x v="0"/>
    <x v="0"/>
    <x v="0"/>
    <x v="0"/>
    <x v="5"/>
    <n v="4337.9800589869601"/>
    <x v="0"/>
  </r>
  <r>
    <x v="15"/>
    <x v="0"/>
    <x v="15"/>
    <x v="0"/>
    <x v="0"/>
    <x v="0"/>
    <x v="0"/>
    <x v="6"/>
    <n v="4333.4783995068019"/>
    <x v="0"/>
  </r>
  <r>
    <x v="15"/>
    <x v="0"/>
    <x v="15"/>
    <x v="0"/>
    <x v="0"/>
    <x v="0"/>
    <x v="0"/>
    <x v="7"/>
    <n v="4449.8018626933526"/>
    <x v="0"/>
  </r>
  <r>
    <x v="15"/>
    <x v="0"/>
    <x v="15"/>
    <x v="0"/>
    <x v="0"/>
    <x v="0"/>
    <x v="0"/>
    <x v="8"/>
    <n v="4531.7375866661669"/>
    <x v="0"/>
  </r>
  <r>
    <x v="15"/>
    <x v="0"/>
    <x v="15"/>
    <x v="0"/>
    <x v="0"/>
    <x v="0"/>
    <x v="0"/>
    <x v="9"/>
    <n v="4139.3751306395125"/>
    <x v="0"/>
  </r>
  <r>
    <x v="15"/>
    <x v="0"/>
    <x v="15"/>
    <x v="0"/>
    <x v="0"/>
    <x v="0"/>
    <x v="0"/>
    <x v="10"/>
    <n v="4042.5536117526076"/>
    <x v="0"/>
  </r>
  <r>
    <x v="15"/>
    <x v="0"/>
    <x v="15"/>
    <x v="0"/>
    <x v="0"/>
    <x v="0"/>
    <x v="0"/>
    <x v="11"/>
    <n v="4312.2766512743383"/>
    <x v="0"/>
  </r>
  <r>
    <x v="16"/>
    <x v="0"/>
    <x v="16"/>
    <x v="0"/>
    <x v="0"/>
    <x v="0"/>
    <x v="0"/>
    <x v="0"/>
    <n v="1954.0566829417126"/>
    <x v="0"/>
  </r>
  <r>
    <x v="16"/>
    <x v="0"/>
    <x v="16"/>
    <x v="0"/>
    <x v="0"/>
    <x v="0"/>
    <x v="0"/>
    <x v="1"/>
    <n v="1308.9423572342519"/>
    <x v="0"/>
  </r>
  <r>
    <x v="16"/>
    <x v="0"/>
    <x v="16"/>
    <x v="0"/>
    <x v="0"/>
    <x v="0"/>
    <x v="0"/>
    <x v="2"/>
    <n v="0"/>
    <x v="0"/>
  </r>
  <r>
    <x v="16"/>
    <x v="0"/>
    <x v="16"/>
    <x v="0"/>
    <x v="0"/>
    <x v="0"/>
    <x v="0"/>
    <x v="3"/>
    <n v="0"/>
    <x v="0"/>
  </r>
  <r>
    <x v="16"/>
    <x v="0"/>
    <x v="16"/>
    <x v="0"/>
    <x v="0"/>
    <x v="0"/>
    <x v="0"/>
    <x v="4"/>
    <n v="0"/>
    <x v="0"/>
  </r>
  <r>
    <x v="16"/>
    <x v="0"/>
    <x v="16"/>
    <x v="0"/>
    <x v="0"/>
    <x v="0"/>
    <x v="0"/>
    <x v="5"/>
    <n v="0"/>
    <x v="0"/>
  </r>
  <r>
    <x v="16"/>
    <x v="0"/>
    <x v="16"/>
    <x v="0"/>
    <x v="0"/>
    <x v="0"/>
    <x v="0"/>
    <x v="6"/>
    <n v="0"/>
    <x v="0"/>
  </r>
  <r>
    <x v="16"/>
    <x v="0"/>
    <x v="16"/>
    <x v="0"/>
    <x v="0"/>
    <x v="0"/>
    <x v="0"/>
    <x v="7"/>
    <n v="0"/>
    <x v="0"/>
  </r>
  <r>
    <x v="16"/>
    <x v="0"/>
    <x v="16"/>
    <x v="0"/>
    <x v="0"/>
    <x v="0"/>
    <x v="0"/>
    <x v="8"/>
    <n v="0"/>
    <x v="0"/>
  </r>
  <r>
    <x v="16"/>
    <x v="0"/>
    <x v="16"/>
    <x v="0"/>
    <x v="0"/>
    <x v="0"/>
    <x v="0"/>
    <x v="9"/>
    <n v="0"/>
    <x v="0"/>
  </r>
  <r>
    <x v="16"/>
    <x v="0"/>
    <x v="16"/>
    <x v="0"/>
    <x v="0"/>
    <x v="0"/>
    <x v="0"/>
    <x v="10"/>
    <n v="0"/>
    <x v="0"/>
  </r>
  <r>
    <x v="16"/>
    <x v="0"/>
    <x v="16"/>
    <x v="0"/>
    <x v="0"/>
    <x v="0"/>
    <x v="0"/>
    <x v="11"/>
    <n v="0"/>
    <x v="0"/>
  </r>
  <r>
    <x v="17"/>
    <x v="0"/>
    <x v="17"/>
    <x v="2"/>
    <x v="0"/>
    <x v="0"/>
    <x v="0"/>
    <x v="0"/>
    <n v="2585.675801287583"/>
    <x v="0"/>
  </r>
  <r>
    <x v="17"/>
    <x v="0"/>
    <x v="17"/>
    <x v="2"/>
    <x v="0"/>
    <x v="0"/>
    <x v="0"/>
    <x v="1"/>
    <n v="2478.5320772353562"/>
    <x v="0"/>
  </r>
  <r>
    <x v="17"/>
    <x v="0"/>
    <x v="17"/>
    <x v="2"/>
    <x v="0"/>
    <x v="0"/>
    <x v="0"/>
    <x v="2"/>
    <n v="3505.7077717138818"/>
    <x v="0"/>
  </r>
  <r>
    <x v="17"/>
    <x v="0"/>
    <x v="17"/>
    <x v="2"/>
    <x v="0"/>
    <x v="0"/>
    <x v="0"/>
    <x v="3"/>
    <n v="3458.9532947236298"/>
    <x v="0"/>
  </r>
  <r>
    <x v="17"/>
    <x v="0"/>
    <x v="17"/>
    <x v="2"/>
    <x v="0"/>
    <x v="0"/>
    <x v="0"/>
    <x v="4"/>
    <n v="3526.4912314821008"/>
    <x v="0"/>
  </r>
  <r>
    <x v="17"/>
    <x v="0"/>
    <x v="17"/>
    <x v="2"/>
    <x v="0"/>
    <x v="0"/>
    <x v="0"/>
    <x v="5"/>
    <n v="3613.3574004563834"/>
    <x v="0"/>
  </r>
  <r>
    <x v="17"/>
    <x v="0"/>
    <x v="17"/>
    <x v="2"/>
    <x v="0"/>
    <x v="0"/>
    <x v="0"/>
    <x v="6"/>
    <n v="3633.3521997451649"/>
    <x v="0"/>
  </r>
  <r>
    <x v="17"/>
    <x v="0"/>
    <x v="17"/>
    <x v="2"/>
    <x v="0"/>
    <x v="0"/>
    <x v="0"/>
    <x v="7"/>
    <n v="3709.3410639936596"/>
    <x v="0"/>
  </r>
  <r>
    <x v="17"/>
    <x v="0"/>
    <x v="17"/>
    <x v="2"/>
    <x v="0"/>
    <x v="0"/>
    <x v="0"/>
    <x v="8"/>
    <n v="3796.5793097509645"/>
    <x v="0"/>
  </r>
  <r>
    <x v="17"/>
    <x v="0"/>
    <x v="17"/>
    <x v="2"/>
    <x v="0"/>
    <x v="0"/>
    <x v="0"/>
    <x v="9"/>
    <n v="3453.7916023529083"/>
    <x v="0"/>
  </r>
  <r>
    <x v="17"/>
    <x v="0"/>
    <x v="17"/>
    <x v="2"/>
    <x v="0"/>
    <x v="0"/>
    <x v="0"/>
    <x v="10"/>
    <n v="3377.2680238283797"/>
    <x v="0"/>
  </r>
  <r>
    <x v="17"/>
    <x v="0"/>
    <x v="17"/>
    <x v="2"/>
    <x v="0"/>
    <x v="0"/>
    <x v="0"/>
    <x v="11"/>
    <n v="3667.6687239815569"/>
    <x v="0"/>
  </r>
  <r>
    <x v="18"/>
    <x v="0"/>
    <x v="18"/>
    <x v="0"/>
    <x v="0"/>
    <x v="0"/>
    <x v="0"/>
    <x v="0"/>
    <n v="6756.0610668807931"/>
    <x v="0"/>
  </r>
  <r>
    <x v="18"/>
    <x v="0"/>
    <x v="18"/>
    <x v="0"/>
    <x v="0"/>
    <x v="0"/>
    <x v="0"/>
    <x v="1"/>
    <n v="6512.7914149902817"/>
    <x v="0"/>
  </r>
  <r>
    <x v="18"/>
    <x v="0"/>
    <x v="18"/>
    <x v="0"/>
    <x v="0"/>
    <x v="0"/>
    <x v="0"/>
    <x v="2"/>
    <n v="8230.7511886217653"/>
    <x v="0"/>
  </r>
  <r>
    <x v="18"/>
    <x v="0"/>
    <x v="18"/>
    <x v="0"/>
    <x v="0"/>
    <x v="0"/>
    <x v="0"/>
    <x v="3"/>
    <n v="8132.7126263774908"/>
    <x v="0"/>
  </r>
  <r>
    <x v="18"/>
    <x v="0"/>
    <x v="18"/>
    <x v="0"/>
    <x v="0"/>
    <x v="0"/>
    <x v="0"/>
    <x v="4"/>
    <n v="8260.3497310761613"/>
    <x v="0"/>
  </r>
  <r>
    <x v="18"/>
    <x v="0"/>
    <x v="18"/>
    <x v="0"/>
    <x v="0"/>
    <x v="0"/>
    <x v="0"/>
    <x v="5"/>
    <n v="8477.7066584551776"/>
    <x v="0"/>
  </r>
  <r>
    <x v="18"/>
    <x v="0"/>
    <x v="18"/>
    <x v="0"/>
    <x v="0"/>
    <x v="0"/>
    <x v="0"/>
    <x v="6"/>
    <n v="8303.7475203969279"/>
    <x v="0"/>
  </r>
  <r>
    <x v="18"/>
    <x v="0"/>
    <x v="18"/>
    <x v="0"/>
    <x v="0"/>
    <x v="0"/>
    <x v="0"/>
    <x v="7"/>
    <n v="8676.4371502019112"/>
    <x v="0"/>
  </r>
  <r>
    <x v="18"/>
    <x v="0"/>
    <x v="18"/>
    <x v="0"/>
    <x v="0"/>
    <x v="0"/>
    <x v="0"/>
    <x v="8"/>
    <n v="8709.3315396710605"/>
    <x v="0"/>
  </r>
  <r>
    <x v="18"/>
    <x v="0"/>
    <x v="18"/>
    <x v="0"/>
    <x v="0"/>
    <x v="0"/>
    <x v="0"/>
    <x v="9"/>
    <n v="8066.0706270098663"/>
    <x v="0"/>
  </r>
  <r>
    <x v="18"/>
    <x v="0"/>
    <x v="18"/>
    <x v="0"/>
    <x v="0"/>
    <x v="0"/>
    <x v="0"/>
    <x v="10"/>
    <n v="7883.1298964100679"/>
    <x v="0"/>
  </r>
  <r>
    <x v="18"/>
    <x v="0"/>
    <x v="18"/>
    <x v="0"/>
    <x v="0"/>
    <x v="0"/>
    <x v="0"/>
    <x v="11"/>
    <n v="19756.917903178721"/>
    <x v="0"/>
  </r>
  <r>
    <x v="18"/>
    <x v="1"/>
    <x v="18"/>
    <x v="0"/>
    <x v="1"/>
    <x v="1"/>
    <x v="0"/>
    <x v="0"/>
    <n v="0"/>
    <x v="0"/>
  </r>
  <r>
    <x v="18"/>
    <x v="1"/>
    <x v="18"/>
    <x v="0"/>
    <x v="1"/>
    <x v="1"/>
    <x v="0"/>
    <x v="1"/>
    <n v="0"/>
    <x v="0"/>
  </r>
  <r>
    <x v="18"/>
    <x v="1"/>
    <x v="18"/>
    <x v="0"/>
    <x v="1"/>
    <x v="1"/>
    <x v="0"/>
    <x v="2"/>
    <n v="0"/>
    <x v="0"/>
  </r>
  <r>
    <x v="18"/>
    <x v="1"/>
    <x v="18"/>
    <x v="0"/>
    <x v="1"/>
    <x v="1"/>
    <x v="0"/>
    <x v="3"/>
    <n v="0"/>
    <x v="0"/>
  </r>
  <r>
    <x v="18"/>
    <x v="1"/>
    <x v="18"/>
    <x v="0"/>
    <x v="1"/>
    <x v="1"/>
    <x v="0"/>
    <x v="4"/>
    <n v="11725.811644817961"/>
    <x v="0"/>
  </r>
  <r>
    <x v="18"/>
    <x v="1"/>
    <x v="18"/>
    <x v="0"/>
    <x v="1"/>
    <x v="1"/>
    <x v="0"/>
    <x v="5"/>
    <n v="0"/>
    <x v="0"/>
  </r>
  <r>
    <x v="18"/>
    <x v="1"/>
    <x v="18"/>
    <x v="0"/>
    <x v="1"/>
    <x v="1"/>
    <x v="0"/>
    <x v="6"/>
    <n v="0"/>
    <x v="0"/>
  </r>
  <r>
    <x v="18"/>
    <x v="1"/>
    <x v="18"/>
    <x v="0"/>
    <x v="1"/>
    <x v="1"/>
    <x v="0"/>
    <x v="7"/>
    <n v="0"/>
    <x v="0"/>
  </r>
  <r>
    <x v="18"/>
    <x v="1"/>
    <x v="18"/>
    <x v="0"/>
    <x v="1"/>
    <x v="1"/>
    <x v="0"/>
    <x v="8"/>
    <n v="0"/>
    <x v="0"/>
  </r>
  <r>
    <x v="18"/>
    <x v="1"/>
    <x v="18"/>
    <x v="0"/>
    <x v="1"/>
    <x v="1"/>
    <x v="0"/>
    <x v="9"/>
    <n v="0"/>
    <x v="0"/>
  </r>
  <r>
    <x v="18"/>
    <x v="1"/>
    <x v="18"/>
    <x v="0"/>
    <x v="1"/>
    <x v="1"/>
    <x v="0"/>
    <x v="10"/>
    <n v="0"/>
    <x v="0"/>
  </r>
  <r>
    <x v="18"/>
    <x v="1"/>
    <x v="18"/>
    <x v="0"/>
    <x v="1"/>
    <x v="1"/>
    <x v="0"/>
    <x v="11"/>
    <n v="0"/>
    <x v="0"/>
  </r>
  <r>
    <x v="19"/>
    <x v="0"/>
    <x v="19"/>
    <x v="0"/>
    <x v="0"/>
    <x v="0"/>
    <x v="0"/>
    <x v="0"/>
    <n v="1801.6704971424529"/>
    <x v="0"/>
  </r>
  <r>
    <x v="19"/>
    <x v="0"/>
    <x v="19"/>
    <x v="0"/>
    <x v="0"/>
    <x v="0"/>
    <x v="0"/>
    <x v="1"/>
    <n v="1726.4404343008016"/>
    <x v="0"/>
  </r>
  <r>
    <x v="19"/>
    <x v="0"/>
    <x v="19"/>
    <x v="0"/>
    <x v="0"/>
    <x v="0"/>
    <x v="0"/>
    <x v="2"/>
    <n v="2243.6529738968848"/>
    <x v="0"/>
  </r>
  <r>
    <x v="19"/>
    <x v="0"/>
    <x v="19"/>
    <x v="0"/>
    <x v="0"/>
    <x v="0"/>
    <x v="0"/>
    <x v="3"/>
    <n v="1983.7760001205618"/>
    <x v="0"/>
  </r>
  <r>
    <x v="19"/>
    <x v="0"/>
    <x v="19"/>
    <x v="0"/>
    <x v="0"/>
    <x v="0"/>
    <x v="0"/>
    <x v="4"/>
    <n v="2102.2769745992928"/>
    <x v="0"/>
  </r>
  <r>
    <x v="19"/>
    <x v="0"/>
    <x v="19"/>
    <x v="0"/>
    <x v="0"/>
    <x v="0"/>
    <x v="0"/>
    <x v="5"/>
    <n v="2154.9123465733492"/>
    <x v="0"/>
  </r>
  <r>
    <x v="19"/>
    <x v="0"/>
    <x v="19"/>
    <x v="0"/>
    <x v="0"/>
    <x v="0"/>
    <x v="0"/>
    <x v="6"/>
    <n v="2848.995020511762"/>
    <x v="0"/>
  </r>
  <r>
    <x v="19"/>
    <x v="0"/>
    <x v="19"/>
    <x v="0"/>
    <x v="0"/>
    <x v="0"/>
    <x v="0"/>
    <x v="7"/>
    <n v="2297.7869895033923"/>
    <x v="0"/>
  </r>
  <r>
    <x v="19"/>
    <x v="0"/>
    <x v="19"/>
    <x v="0"/>
    <x v="0"/>
    <x v="0"/>
    <x v="0"/>
    <x v="8"/>
    <n v="2385.685287987586"/>
    <x v="0"/>
  </r>
  <r>
    <x v="19"/>
    <x v="0"/>
    <x v="19"/>
    <x v="0"/>
    <x v="0"/>
    <x v="0"/>
    <x v="0"/>
    <x v="9"/>
    <n v="2215.8946568317492"/>
    <x v="0"/>
  </r>
  <r>
    <x v="19"/>
    <x v="0"/>
    <x v="19"/>
    <x v="0"/>
    <x v="0"/>
    <x v="0"/>
    <x v="0"/>
    <x v="10"/>
    <n v="2166.7466714859488"/>
    <x v="0"/>
  </r>
  <r>
    <x v="19"/>
    <x v="0"/>
    <x v="19"/>
    <x v="0"/>
    <x v="0"/>
    <x v="0"/>
    <x v="0"/>
    <x v="11"/>
    <n v="2304.1560166362797"/>
    <x v="0"/>
  </r>
  <r>
    <x v="19"/>
    <x v="1"/>
    <x v="19"/>
    <x v="0"/>
    <x v="1"/>
    <x v="1"/>
    <x v="0"/>
    <x v="0"/>
    <n v="1459.9454463513348"/>
    <x v="0"/>
  </r>
  <r>
    <x v="19"/>
    <x v="1"/>
    <x v="19"/>
    <x v="0"/>
    <x v="1"/>
    <x v="1"/>
    <x v="0"/>
    <x v="1"/>
    <n v="0"/>
    <x v="0"/>
  </r>
  <r>
    <x v="19"/>
    <x v="1"/>
    <x v="19"/>
    <x v="0"/>
    <x v="1"/>
    <x v="1"/>
    <x v="0"/>
    <x v="2"/>
    <n v="0"/>
    <x v="0"/>
  </r>
  <r>
    <x v="19"/>
    <x v="1"/>
    <x v="19"/>
    <x v="0"/>
    <x v="1"/>
    <x v="1"/>
    <x v="0"/>
    <x v="3"/>
    <n v="0"/>
    <x v="0"/>
  </r>
  <r>
    <x v="19"/>
    <x v="1"/>
    <x v="19"/>
    <x v="0"/>
    <x v="1"/>
    <x v="1"/>
    <x v="0"/>
    <x v="4"/>
    <n v="0"/>
    <x v="0"/>
  </r>
  <r>
    <x v="19"/>
    <x v="1"/>
    <x v="19"/>
    <x v="0"/>
    <x v="1"/>
    <x v="1"/>
    <x v="0"/>
    <x v="5"/>
    <n v="0"/>
    <x v="0"/>
  </r>
  <r>
    <x v="19"/>
    <x v="1"/>
    <x v="19"/>
    <x v="0"/>
    <x v="1"/>
    <x v="1"/>
    <x v="0"/>
    <x v="6"/>
    <n v="0"/>
    <x v="0"/>
  </r>
  <r>
    <x v="19"/>
    <x v="1"/>
    <x v="19"/>
    <x v="0"/>
    <x v="1"/>
    <x v="1"/>
    <x v="0"/>
    <x v="7"/>
    <n v="0"/>
    <x v="0"/>
  </r>
  <r>
    <x v="19"/>
    <x v="1"/>
    <x v="19"/>
    <x v="0"/>
    <x v="1"/>
    <x v="1"/>
    <x v="0"/>
    <x v="8"/>
    <n v="0"/>
    <x v="0"/>
  </r>
  <r>
    <x v="19"/>
    <x v="1"/>
    <x v="19"/>
    <x v="0"/>
    <x v="1"/>
    <x v="1"/>
    <x v="0"/>
    <x v="9"/>
    <n v="0"/>
    <x v="0"/>
  </r>
  <r>
    <x v="19"/>
    <x v="1"/>
    <x v="19"/>
    <x v="0"/>
    <x v="1"/>
    <x v="1"/>
    <x v="0"/>
    <x v="10"/>
    <n v="0"/>
    <x v="0"/>
  </r>
  <r>
    <x v="19"/>
    <x v="1"/>
    <x v="19"/>
    <x v="0"/>
    <x v="1"/>
    <x v="1"/>
    <x v="0"/>
    <x v="11"/>
    <n v="0"/>
    <x v="0"/>
  </r>
  <r>
    <x v="20"/>
    <x v="0"/>
    <x v="20"/>
    <x v="0"/>
    <x v="0"/>
    <x v="0"/>
    <x v="0"/>
    <x v="0"/>
    <n v="1940.7740992708082"/>
    <x v="0"/>
  </r>
  <r>
    <x v="20"/>
    <x v="0"/>
    <x v="20"/>
    <x v="0"/>
    <x v="0"/>
    <x v="0"/>
    <x v="0"/>
    <x v="1"/>
    <n v="1860.2926962657752"/>
    <x v="0"/>
  </r>
  <r>
    <x v="20"/>
    <x v="0"/>
    <x v="20"/>
    <x v="0"/>
    <x v="0"/>
    <x v="0"/>
    <x v="0"/>
    <x v="2"/>
    <n v="1511.9865208442411"/>
    <x v="0"/>
  </r>
  <r>
    <x v="20"/>
    <x v="0"/>
    <x v="20"/>
    <x v="0"/>
    <x v="0"/>
    <x v="0"/>
    <x v="0"/>
    <x v="3"/>
    <n v="2215.556484454904"/>
    <x v="0"/>
  </r>
  <r>
    <x v="20"/>
    <x v="0"/>
    <x v="20"/>
    <x v="0"/>
    <x v="0"/>
    <x v="0"/>
    <x v="0"/>
    <x v="4"/>
    <n v="2260.8933001922974"/>
    <x v="0"/>
  </r>
  <r>
    <x v="20"/>
    <x v="0"/>
    <x v="20"/>
    <x v="0"/>
    <x v="0"/>
    <x v="0"/>
    <x v="0"/>
    <x v="5"/>
    <n v="2318.0773262457933"/>
    <x v="0"/>
  </r>
  <r>
    <x v="20"/>
    <x v="0"/>
    <x v="20"/>
    <x v="0"/>
    <x v="0"/>
    <x v="0"/>
    <x v="0"/>
    <x v="6"/>
    <n v="3719.6206305170967"/>
    <x v="0"/>
  </r>
  <r>
    <x v="20"/>
    <x v="0"/>
    <x v="20"/>
    <x v="0"/>
    <x v="0"/>
    <x v="0"/>
    <x v="0"/>
    <x v="7"/>
    <n v="2386.5478856211998"/>
    <x v="0"/>
  </r>
  <r>
    <x v="20"/>
    <x v="0"/>
    <x v="20"/>
    <x v="0"/>
    <x v="0"/>
    <x v="0"/>
    <x v="0"/>
    <x v="8"/>
    <n v="2388.6900669184361"/>
    <x v="0"/>
  </r>
  <r>
    <x v="20"/>
    <x v="0"/>
    <x v="20"/>
    <x v="0"/>
    <x v="0"/>
    <x v="0"/>
    <x v="0"/>
    <x v="9"/>
    <n v="2221.8855936498421"/>
    <x v="0"/>
  </r>
  <r>
    <x v="20"/>
    <x v="0"/>
    <x v="20"/>
    <x v="0"/>
    <x v="0"/>
    <x v="0"/>
    <x v="0"/>
    <x v="10"/>
    <n v="2172.604599764536"/>
    <x v="0"/>
  </r>
  <r>
    <x v="20"/>
    <x v="0"/>
    <x v="20"/>
    <x v="0"/>
    <x v="0"/>
    <x v="0"/>
    <x v="0"/>
    <x v="11"/>
    <n v="2448.8361738375611"/>
    <x v="0"/>
  </r>
  <r>
    <x v="21"/>
    <x v="0"/>
    <x v="21"/>
    <x v="0"/>
    <x v="0"/>
    <x v="0"/>
    <x v="0"/>
    <x v="0"/>
    <n v="5083.8147335573876"/>
    <x v="0"/>
  </r>
  <r>
    <x v="21"/>
    <x v="0"/>
    <x v="21"/>
    <x v="0"/>
    <x v="0"/>
    <x v="0"/>
    <x v="0"/>
    <x v="1"/>
    <n v="4873.6333987172484"/>
    <x v="0"/>
  </r>
  <r>
    <x v="21"/>
    <x v="0"/>
    <x v="21"/>
    <x v="0"/>
    <x v="0"/>
    <x v="0"/>
    <x v="0"/>
    <x v="2"/>
    <n v="4887.8344629951889"/>
    <x v="0"/>
  </r>
  <r>
    <x v="21"/>
    <x v="0"/>
    <x v="21"/>
    <x v="0"/>
    <x v="0"/>
    <x v="0"/>
    <x v="0"/>
    <x v="3"/>
    <n v="4825.3028912176223"/>
    <x v="0"/>
  </r>
  <r>
    <x v="21"/>
    <x v="0"/>
    <x v="21"/>
    <x v="0"/>
    <x v="0"/>
    <x v="0"/>
    <x v="0"/>
    <x v="4"/>
    <n v="4915.4107953140065"/>
    <x v="0"/>
  </r>
  <r>
    <x v="21"/>
    <x v="0"/>
    <x v="21"/>
    <x v="0"/>
    <x v="0"/>
    <x v="0"/>
    <x v="0"/>
    <x v="5"/>
    <n v="6517.6963559399564"/>
    <x v="0"/>
  </r>
  <r>
    <x v="21"/>
    <x v="0"/>
    <x v="21"/>
    <x v="0"/>
    <x v="0"/>
    <x v="0"/>
    <x v="0"/>
    <x v="6"/>
    <n v="6426.1493876919094"/>
    <x v="0"/>
  </r>
  <r>
    <x v="21"/>
    <x v="0"/>
    <x v="21"/>
    <x v="0"/>
    <x v="0"/>
    <x v="0"/>
    <x v="0"/>
    <x v="7"/>
    <n v="6689.0506646438798"/>
    <x v="0"/>
  </r>
  <r>
    <x v="21"/>
    <x v="0"/>
    <x v="21"/>
    <x v="0"/>
    <x v="0"/>
    <x v="0"/>
    <x v="0"/>
    <x v="8"/>
    <n v="6729.9375320361369"/>
    <x v="0"/>
  </r>
  <r>
    <x v="21"/>
    <x v="0"/>
    <x v="21"/>
    <x v="0"/>
    <x v="0"/>
    <x v="0"/>
    <x v="0"/>
    <x v="9"/>
    <n v="6206.2221655713802"/>
    <x v="0"/>
  </r>
  <r>
    <x v="21"/>
    <x v="0"/>
    <x v="21"/>
    <x v="0"/>
    <x v="0"/>
    <x v="0"/>
    <x v="0"/>
    <x v="10"/>
    <n v="6064.6646674147942"/>
    <x v="0"/>
  </r>
  <r>
    <x v="21"/>
    <x v="0"/>
    <x v="21"/>
    <x v="0"/>
    <x v="0"/>
    <x v="0"/>
    <x v="0"/>
    <x v="11"/>
    <n v="6270.661589209295"/>
    <x v="0"/>
  </r>
  <r>
    <x v="21"/>
    <x v="1"/>
    <x v="21"/>
    <x v="0"/>
    <x v="1"/>
    <x v="1"/>
    <x v="0"/>
    <x v="0"/>
    <n v="4102.7795718090192"/>
    <x v="0"/>
  </r>
  <r>
    <x v="21"/>
    <x v="1"/>
    <x v="21"/>
    <x v="0"/>
    <x v="1"/>
    <x v="1"/>
    <x v="0"/>
    <x v="1"/>
    <n v="0"/>
    <x v="0"/>
  </r>
  <r>
    <x v="21"/>
    <x v="1"/>
    <x v="21"/>
    <x v="0"/>
    <x v="1"/>
    <x v="1"/>
    <x v="0"/>
    <x v="2"/>
    <n v="0"/>
    <x v="0"/>
  </r>
  <r>
    <x v="21"/>
    <x v="1"/>
    <x v="21"/>
    <x v="0"/>
    <x v="1"/>
    <x v="1"/>
    <x v="0"/>
    <x v="3"/>
    <n v="0"/>
    <x v="0"/>
  </r>
  <r>
    <x v="21"/>
    <x v="1"/>
    <x v="21"/>
    <x v="0"/>
    <x v="1"/>
    <x v="1"/>
    <x v="0"/>
    <x v="4"/>
    <n v="0"/>
    <x v="0"/>
  </r>
  <r>
    <x v="21"/>
    <x v="1"/>
    <x v="21"/>
    <x v="0"/>
    <x v="1"/>
    <x v="1"/>
    <x v="0"/>
    <x v="5"/>
    <n v="0"/>
    <x v="0"/>
  </r>
  <r>
    <x v="21"/>
    <x v="1"/>
    <x v="21"/>
    <x v="0"/>
    <x v="1"/>
    <x v="1"/>
    <x v="0"/>
    <x v="6"/>
    <n v="0"/>
    <x v="0"/>
  </r>
  <r>
    <x v="21"/>
    <x v="1"/>
    <x v="21"/>
    <x v="0"/>
    <x v="1"/>
    <x v="1"/>
    <x v="0"/>
    <x v="7"/>
    <n v="0"/>
    <x v="0"/>
  </r>
  <r>
    <x v="21"/>
    <x v="1"/>
    <x v="21"/>
    <x v="0"/>
    <x v="1"/>
    <x v="1"/>
    <x v="0"/>
    <x v="8"/>
    <n v="0"/>
    <x v="0"/>
  </r>
  <r>
    <x v="21"/>
    <x v="1"/>
    <x v="21"/>
    <x v="0"/>
    <x v="1"/>
    <x v="1"/>
    <x v="0"/>
    <x v="9"/>
    <n v="11017.814837872302"/>
    <x v="0"/>
  </r>
  <r>
    <x v="21"/>
    <x v="1"/>
    <x v="21"/>
    <x v="0"/>
    <x v="1"/>
    <x v="1"/>
    <x v="0"/>
    <x v="10"/>
    <n v="0"/>
    <x v="0"/>
  </r>
  <r>
    <x v="21"/>
    <x v="1"/>
    <x v="21"/>
    <x v="0"/>
    <x v="1"/>
    <x v="1"/>
    <x v="0"/>
    <x v="11"/>
    <n v="0"/>
    <x v="0"/>
  </r>
  <r>
    <x v="22"/>
    <x v="0"/>
    <x v="22"/>
    <x v="0"/>
    <x v="0"/>
    <x v="0"/>
    <x v="0"/>
    <x v="0"/>
    <n v="1899.7832109736016"/>
    <x v="0"/>
  </r>
  <r>
    <x v="22"/>
    <x v="0"/>
    <x v="22"/>
    <x v="0"/>
    <x v="0"/>
    <x v="0"/>
    <x v="0"/>
    <x v="1"/>
    <n v="1820.9965037964323"/>
    <x v="0"/>
  </r>
  <r>
    <x v="22"/>
    <x v="0"/>
    <x v="22"/>
    <x v="0"/>
    <x v="0"/>
    <x v="0"/>
    <x v="0"/>
    <x v="2"/>
    <n v="1824.8456983737485"/>
    <x v="0"/>
  </r>
  <r>
    <x v="22"/>
    <x v="0"/>
    <x v="22"/>
    <x v="0"/>
    <x v="0"/>
    <x v="0"/>
    <x v="0"/>
    <x v="3"/>
    <n v="1802.0480604331906"/>
    <x v="0"/>
  </r>
  <r>
    <x v="22"/>
    <x v="0"/>
    <x v="22"/>
    <x v="0"/>
    <x v="0"/>
    <x v="0"/>
    <x v="0"/>
    <x v="4"/>
    <n v="1838.960453005192"/>
    <x v="0"/>
  </r>
  <r>
    <x v="22"/>
    <x v="0"/>
    <x v="22"/>
    <x v="0"/>
    <x v="0"/>
    <x v="0"/>
    <x v="0"/>
    <x v="5"/>
    <n v="1885.521690348012"/>
    <x v="0"/>
  </r>
  <r>
    <x v="22"/>
    <x v="0"/>
    <x v="22"/>
    <x v="0"/>
    <x v="0"/>
    <x v="0"/>
    <x v="0"/>
    <x v="6"/>
    <n v="1942.8791358671353"/>
    <x v="0"/>
  </r>
  <r>
    <x v="22"/>
    <x v="0"/>
    <x v="22"/>
    <x v="0"/>
    <x v="0"/>
    <x v="0"/>
    <x v="0"/>
    <x v="7"/>
    <n v="1944.6447161310509"/>
    <x v="0"/>
  </r>
  <r>
    <x v="22"/>
    <x v="0"/>
    <x v="22"/>
    <x v="0"/>
    <x v="0"/>
    <x v="0"/>
    <x v="0"/>
    <x v="8"/>
    <n v="1941.9935586827946"/>
    <x v="0"/>
  </r>
  <r>
    <x v="22"/>
    <x v="0"/>
    <x v="22"/>
    <x v="0"/>
    <x v="0"/>
    <x v="0"/>
    <x v="0"/>
    <x v="9"/>
    <n v="1810.5616439881198"/>
    <x v="0"/>
  </r>
  <r>
    <x v="22"/>
    <x v="0"/>
    <x v="22"/>
    <x v="0"/>
    <x v="0"/>
    <x v="0"/>
    <x v="0"/>
    <x v="10"/>
    <n v="1770.4127106585345"/>
    <x v="0"/>
  </r>
  <r>
    <x v="22"/>
    <x v="0"/>
    <x v="22"/>
    <x v="0"/>
    <x v="0"/>
    <x v="0"/>
    <x v="0"/>
    <x v="11"/>
    <n v="2063.9747137628174"/>
    <x v="0"/>
  </r>
  <r>
    <x v="23"/>
    <x v="0"/>
    <x v="23"/>
    <x v="0"/>
    <x v="0"/>
    <x v="0"/>
    <x v="0"/>
    <x v="0"/>
    <n v="1900.1613368442065"/>
    <x v="0"/>
  </r>
  <r>
    <x v="23"/>
    <x v="0"/>
    <x v="23"/>
    <x v="0"/>
    <x v="0"/>
    <x v="0"/>
    <x v="0"/>
    <x v="1"/>
    <n v="1821.3575971346481"/>
    <x v="0"/>
  </r>
  <r>
    <x v="23"/>
    <x v="0"/>
    <x v="23"/>
    <x v="0"/>
    <x v="0"/>
    <x v="0"/>
    <x v="0"/>
    <x v="2"/>
    <n v="1825.2074874157895"/>
    <x v="0"/>
  </r>
  <r>
    <x v="23"/>
    <x v="0"/>
    <x v="23"/>
    <x v="0"/>
    <x v="0"/>
    <x v="0"/>
    <x v="0"/>
    <x v="3"/>
    <n v="1802.4052720322866"/>
    <x v="0"/>
  </r>
  <r>
    <x v="23"/>
    <x v="0"/>
    <x v="23"/>
    <x v="0"/>
    <x v="0"/>
    <x v="0"/>
    <x v="0"/>
    <x v="4"/>
    <n v="1839.3249420900549"/>
    <x v="0"/>
  </r>
  <r>
    <x v="23"/>
    <x v="0"/>
    <x v="23"/>
    <x v="0"/>
    <x v="0"/>
    <x v="0"/>
    <x v="0"/>
    <x v="5"/>
    <n v="1885.8953572403364"/>
    <x v="0"/>
  </r>
  <r>
    <x v="23"/>
    <x v="0"/>
    <x v="23"/>
    <x v="0"/>
    <x v="0"/>
    <x v="0"/>
    <x v="0"/>
    <x v="6"/>
    <n v="1944.1035657350235"/>
    <x v="0"/>
  </r>
  <r>
    <x v="23"/>
    <x v="0"/>
    <x v="23"/>
    <x v="0"/>
    <x v="0"/>
    <x v="0"/>
    <x v="0"/>
    <x v="7"/>
    <n v="1789.7951339875046"/>
    <x v="0"/>
  </r>
  <r>
    <x v="23"/>
    <x v="0"/>
    <x v="23"/>
    <x v="0"/>
    <x v="0"/>
    <x v="0"/>
    <x v="0"/>
    <x v="8"/>
    <n v="1945.5427574896171"/>
    <x v="0"/>
  </r>
  <r>
    <x v="23"/>
    <x v="0"/>
    <x v="23"/>
    <x v="0"/>
    <x v="0"/>
    <x v="0"/>
    <x v="0"/>
    <x v="9"/>
    <n v="1781.9180798633611"/>
    <x v="0"/>
  </r>
  <r>
    <x v="23"/>
    <x v="0"/>
    <x v="23"/>
    <x v="0"/>
    <x v="0"/>
    <x v="0"/>
    <x v="0"/>
    <x v="10"/>
    <n v="3501.4897695889013"/>
    <x v="0"/>
  </r>
  <r>
    <x v="23"/>
    <x v="0"/>
    <x v="23"/>
    <x v="0"/>
    <x v="0"/>
    <x v="0"/>
    <x v="0"/>
    <x v="11"/>
    <n v="2064.307178519512"/>
    <x v="0"/>
  </r>
  <r>
    <x v="24"/>
    <x v="0"/>
    <x v="24"/>
    <x v="0"/>
    <x v="0"/>
    <x v="0"/>
    <x v="0"/>
    <x v="0"/>
    <n v="3560.6580292153785"/>
    <x v="0"/>
  </r>
  <r>
    <x v="24"/>
    <x v="0"/>
    <x v="24"/>
    <x v="0"/>
    <x v="0"/>
    <x v="0"/>
    <x v="0"/>
    <x v="1"/>
    <n v="1415.3235337631652"/>
    <x v="0"/>
  </r>
  <r>
    <x v="24"/>
    <x v="0"/>
    <x v="24"/>
    <x v="0"/>
    <x v="0"/>
    <x v="0"/>
    <x v="0"/>
    <x v="2"/>
    <n v="0"/>
    <x v="0"/>
  </r>
  <r>
    <x v="24"/>
    <x v="0"/>
    <x v="24"/>
    <x v="0"/>
    <x v="0"/>
    <x v="0"/>
    <x v="0"/>
    <x v="3"/>
    <n v="0"/>
    <x v="0"/>
  </r>
  <r>
    <x v="24"/>
    <x v="0"/>
    <x v="24"/>
    <x v="0"/>
    <x v="0"/>
    <x v="0"/>
    <x v="0"/>
    <x v="4"/>
    <n v="0"/>
    <x v="0"/>
  </r>
  <r>
    <x v="24"/>
    <x v="0"/>
    <x v="24"/>
    <x v="0"/>
    <x v="0"/>
    <x v="0"/>
    <x v="0"/>
    <x v="5"/>
    <n v="0"/>
    <x v="0"/>
  </r>
  <r>
    <x v="24"/>
    <x v="0"/>
    <x v="24"/>
    <x v="0"/>
    <x v="0"/>
    <x v="0"/>
    <x v="0"/>
    <x v="6"/>
    <n v="0"/>
    <x v="0"/>
  </r>
  <r>
    <x v="24"/>
    <x v="0"/>
    <x v="24"/>
    <x v="0"/>
    <x v="0"/>
    <x v="0"/>
    <x v="0"/>
    <x v="7"/>
    <n v="0"/>
    <x v="0"/>
  </r>
  <r>
    <x v="24"/>
    <x v="0"/>
    <x v="24"/>
    <x v="0"/>
    <x v="0"/>
    <x v="0"/>
    <x v="0"/>
    <x v="8"/>
    <n v="0"/>
    <x v="0"/>
  </r>
  <r>
    <x v="24"/>
    <x v="0"/>
    <x v="24"/>
    <x v="0"/>
    <x v="0"/>
    <x v="0"/>
    <x v="0"/>
    <x v="9"/>
    <n v="0"/>
    <x v="0"/>
  </r>
  <r>
    <x v="24"/>
    <x v="0"/>
    <x v="24"/>
    <x v="0"/>
    <x v="0"/>
    <x v="0"/>
    <x v="0"/>
    <x v="10"/>
    <n v="0"/>
    <x v="0"/>
  </r>
  <r>
    <x v="24"/>
    <x v="0"/>
    <x v="24"/>
    <x v="0"/>
    <x v="0"/>
    <x v="0"/>
    <x v="0"/>
    <x v="11"/>
    <n v="0"/>
    <x v="0"/>
  </r>
  <r>
    <x v="25"/>
    <x v="0"/>
    <x v="25"/>
    <x v="1"/>
    <x v="0"/>
    <x v="0"/>
    <x v="0"/>
    <x v="0"/>
    <n v="7950.2818425417217"/>
    <x v="0"/>
  </r>
  <r>
    <x v="25"/>
    <x v="0"/>
    <x v="25"/>
    <x v="1"/>
    <x v="0"/>
    <x v="0"/>
    <x v="0"/>
    <x v="1"/>
    <n v="8123.8317368262633"/>
    <x v="0"/>
  </r>
  <r>
    <x v="25"/>
    <x v="0"/>
    <x v="25"/>
    <x v="1"/>
    <x v="0"/>
    <x v="0"/>
    <x v="0"/>
    <x v="2"/>
    <n v="0"/>
    <x v="0"/>
  </r>
  <r>
    <x v="25"/>
    <x v="0"/>
    <x v="25"/>
    <x v="1"/>
    <x v="0"/>
    <x v="0"/>
    <x v="0"/>
    <x v="3"/>
    <n v="0"/>
    <x v="0"/>
  </r>
  <r>
    <x v="25"/>
    <x v="0"/>
    <x v="25"/>
    <x v="1"/>
    <x v="0"/>
    <x v="0"/>
    <x v="0"/>
    <x v="4"/>
    <n v="0"/>
    <x v="0"/>
  </r>
  <r>
    <x v="25"/>
    <x v="0"/>
    <x v="25"/>
    <x v="1"/>
    <x v="0"/>
    <x v="0"/>
    <x v="0"/>
    <x v="5"/>
    <n v="0"/>
    <x v="0"/>
  </r>
  <r>
    <x v="25"/>
    <x v="0"/>
    <x v="25"/>
    <x v="1"/>
    <x v="0"/>
    <x v="0"/>
    <x v="0"/>
    <x v="6"/>
    <n v="0"/>
    <x v="0"/>
  </r>
  <r>
    <x v="25"/>
    <x v="0"/>
    <x v="25"/>
    <x v="1"/>
    <x v="0"/>
    <x v="0"/>
    <x v="0"/>
    <x v="7"/>
    <n v="0"/>
    <x v="0"/>
  </r>
  <r>
    <x v="25"/>
    <x v="0"/>
    <x v="25"/>
    <x v="1"/>
    <x v="0"/>
    <x v="0"/>
    <x v="0"/>
    <x v="8"/>
    <n v="0"/>
    <x v="0"/>
  </r>
  <r>
    <x v="25"/>
    <x v="0"/>
    <x v="25"/>
    <x v="1"/>
    <x v="0"/>
    <x v="0"/>
    <x v="0"/>
    <x v="9"/>
    <n v="0"/>
    <x v="0"/>
  </r>
  <r>
    <x v="25"/>
    <x v="0"/>
    <x v="25"/>
    <x v="1"/>
    <x v="0"/>
    <x v="0"/>
    <x v="0"/>
    <x v="10"/>
    <n v="0"/>
    <x v="0"/>
  </r>
  <r>
    <x v="25"/>
    <x v="0"/>
    <x v="25"/>
    <x v="1"/>
    <x v="0"/>
    <x v="0"/>
    <x v="0"/>
    <x v="11"/>
    <n v="0"/>
    <x v="0"/>
  </r>
  <r>
    <x v="26"/>
    <x v="0"/>
    <x v="26"/>
    <x v="0"/>
    <x v="0"/>
    <x v="0"/>
    <x v="0"/>
    <x v="0"/>
    <n v="3224.2442599580868"/>
    <x v="0"/>
  </r>
  <r>
    <x v="26"/>
    <x v="0"/>
    <x v="26"/>
    <x v="0"/>
    <x v="0"/>
    <x v="0"/>
    <x v="0"/>
    <x v="1"/>
    <n v="3090.157012017306"/>
    <x v="0"/>
  </r>
  <r>
    <x v="26"/>
    <x v="0"/>
    <x v="26"/>
    <x v="0"/>
    <x v="0"/>
    <x v="0"/>
    <x v="0"/>
    <x v="2"/>
    <n v="3097.208679322694"/>
    <x v="0"/>
  </r>
  <r>
    <x v="26"/>
    <x v="0"/>
    <x v="26"/>
    <x v="0"/>
    <x v="0"/>
    <x v="0"/>
    <x v="0"/>
    <x v="3"/>
    <n v="3058.9593762010477"/>
    <x v="0"/>
  </r>
  <r>
    <x v="26"/>
    <x v="0"/>
    <x v="26"/>
    <x v="0"/>
    <x v="0"/>
    <x v="0"/>
    <x v="0"/>
    <x v="4"/>
    <n v="3121.9210620196714"/>
    <x v="0"/>
  </r>
  <r>
    <x v="26"/>
    <x v="0"/>
    <x v="26"/>
    <x v="0"/>
    <x v="0"/>
    <x v="0"/>
    <x v="0"/>
    <x v="5"/>
    <n v="3148.903936509942"/>
    <x v="0"/>
  </r>
  <r>
    <x v="26"/>
    <x v="0"/>
    <x v="26"/>
    <x v="0"/>
    <x v="0"/>
    <x v="0"/>
    <x v="0"/>
    <x v="6"/>
    <n v="0"/>
    <x v="0"/>
  </r>
  <r>
    <x v="26"/>
    <x v="0"/>
    <x v="26"/>
    <x v="0"/>
    <x v="0"/>
    <x v="0"/>
    <x v="0"/>
    <x v="7"/>
    <n v="0"/>
    <x v="0"/>
  </r>
  <r>
    <x v="26"/>
    <x v="0"/>
    <x v="26"/>
    <x v="0"/>
    <x v="0"/>
    <x v="0"/>
    <x v="0"/>
    <x v="8"/>
    <n v="0"/>
    <x v="0"/>
  </r>
  <r>
    <x v="26"/>
    <x v="0"/>
    <x v="26"/>
    <x v="0"/>
    <x v="0"/>
    <x v="0"/>
    <x v="0"/>
    <x v="9"/>
    <n v="0"/>
    <x v="0"/>
  </r>
  <r>
    <x v="26"/>
    <x v="0"/>
    <x v="26"/>
    <x v="0"/>
    <x v="0"/>
    <x v="0"/>
    <x v="0"/>
    <x v="10"/>
    <n v="0"/>
    <x v="0"/>
  </r>
  <r>
    <x v="26"/>
    <x v="0"/>
    <x v="26"/>
    <x v="0"/>
    <x v="0"/>
    <x v="0"/>
    <x v="0"/>
    <x v="11"/>
    <n v="0"/>
    <x v="0"/>
  </r>
  <r>
    <x v="27"/>
    <x v="0"/>
    <x v="27"/>
    <x v="0"/>
    <x v="0"/>
    <x v="0"/>
    <x v="0"/>
    <x v="0"/>
    <n v="1616.1771284562842"/>
    <x v="0"/>
  </r>
  <r>
    <x v="27"/>
    <x v="0"/>
    <x v="27"/>
    <x v="0"/>
    <x v="0"/>
    <x v="0"/>
    <x v="0"/>
    <x v="1"/>
    <n v="1549.1156135051031"/>
    <x v="0"/>
  </r>
  <r>
    <x v="27"/>
    <x v="0"/>
    <x v="27"/>
    <x v="0"/>
    <x v="0"/>
    <x v="0"/>
    <x v="0"/>
    <x v="2"/>
    <n v="1552.4409862467105"/>
    <x v="0"/>
  </r>
  <r>
    <x v="27"/>
    <x v="0"/>
    <x v="27"/>
    <x v="0"/>
    <x v="0"/>
    <x v="0"/>
    <x v="0"/>
    <x v="3"/>
    <n v="1533.0898789712321"/>
    <x v="0"/>
  </r>
  <r>
    <x v="27"/>
    <x v="0"/>
    <x v="27"/>
    <x v="0"/>
    <x v="0"/>
    <x v="0"/>
    <x v="0"/>
    <x v="4"/>
    <n v="1564.5227760775958"/>
    <x v="0"/>
  </r>
  <r>
    <x v="27"/>
    <x v="0"/>
    <x v="27"/>
    <x v="0"/>
    <x v="0"/>
    <x v="0"/>
    <x v="0"/>
    <x v="5"/>
    <n v="1078.9066670566858"/>
    <x v="0"/>
  </r>
  <r>
    <x v="27"/>
    <x v="0"/>
    <x v="27"/>
    <x v="0"/>
    <x v="0"/>
    <x v="0"/>
    <x v="0"/>
    <x v="6"/>
    <n v="0"/>
    <x v="0"/>
  </r>
  <r>
    <x v="27"/>
    <x v="0"/>
    <x v="27"/>
    <x v="0"/>
    <x v="0"/>
    <x v="0"/>
    <x v="0"/>
    <x v="7"/>
    <n v="0"/>
    <x v="0"/>
  </r>
  <r>
    <x v="27"/>
    <x v="0"/>
    <x v="27"/>
    <x v="0"/>
    <x v="0"/>
    <x v="0"/>
    <x v="0"/>
    <x v="8"/>
    <n v="0"/>
    <x v="0"/>
  </r>
  <r>
    <x v="27"/>
    <x v="0"/>
    <x v="27"/>
    <x v="0"/>
    <x v="0"/>
    <x v="0"/>
    <x v="0"/>
    <x v="9"/>
    <n v="0"/>
    <x v="0"/>
  </r>
  <r>
    <x v="27"/>
    <x v="0"/>
    <x v="27"/>
    <x v="0"/>
    <x v="0"/>
    <x v="0"/>
    <x v="0"/>
    <x v="10"/>
    <n v="0"/>
    <x v="0"/>
  </r>
  <r>
    <x v="27"/>
    <x v="0"/>
    <x v="27"/>
    <x v="0"/>
    <x v="0"/>
    <x v="0"/>
    <x v="0"/>
    <x v="11"/>
    <n v="0"/>
    <x v="0"/>
  </r>
  <r>
    <x v="28"/>
    <x v="0"/>
    <x v="28"/>
    <x v="0"/>
    <x v="0"/>
    <x v="0"/>
    <x v="0"/>
    <x v="0"/>
    <n v="2200.2998415960069"/>
    <x v="0"/>
  </r>
  <r>
    <x v="28"/>
    <x v="0"/>
    <x v="28"/>
    <x v="0"/>
    <x v="0"/>
    <x v="0"/>
    <x v="0"/>
    <x v="1"/>
    <n v="1799.0397894943681"/>
    <x v="0"/>
  </r>
  <r>
    <x v="28"/>
    <x v="0"/>
    <x v="28"/>
    <x v="0"/>
    <x v="0"/>
    <x v="0"/>
    <x v="0"/>
    <x v="2"/>
    <n v="2524.109595633995"/>
    <x v="0"/>
  </r>
  <r>
    <x v="28"/>
    <x v="0"/>
    <x v="28"/>
    <x v="0"/>
    <x v="0"/>
    <x v="0"/>
    <x v="0"/>
    <x v="3"/>
    <n v="2467.2148251001795"/>
    <x v="0"/>
  </r>
  <r>
    <x v="28"/>
    <x v="0"/>
    <x v="28"/>
    <x v="0"/>
    <x v="0"/>
    <x v="0"/>
    <x v="0"/>
    <x v="4"/>
    <n v="2517.6786859750741"/>
    <x v="0"/>
  </r>
  <r>
    <x v="28"/>
    <x v="0"/>
    <x v="28"/>
    <x v="0"/>
    <x v="0"/>
    <x v="0"/>
    <x v="0"/>
    <x v="5"/>
    <n v="2581.3299968522501"/>
    <x v="0"/>
  </r>
  <r>
    <x v="28"/>
    <x v="0"/>
    <x v="28"/>
    <x v="0"/>
    <x v="0"/>
    <x v="0"/>
    <x v="0"/>
    <x v="6"/>
    <n v="2614.7412962326516"/>
    <x v="0"/>
  </r>
  <r>
    <x v="28"/>
    <x v="0"/>
    <x v="28"/>
    <x v="0"/>
    <x v="0"/>
    <x v="0"/>
    <x v="0"/>
    <x v="7"/>
    <n v="2655.4243470145902"/>
    <x v="0"/>
  </r>
  <r>
    <x v="28"/>
    <x v="0"/>
    <x v="28"/>
    <x v="0"/>
    <x v="0"/>
    <x v="0"/>
    <x v="0"/>
    <x v="8"/>
    <n v="2625.4618605605847"/>
    <x v="0"/>
  </r>
  <r>
    <x v="28"/>
    <x v="0"/>
    <x v="28"/>
    <x v="0"/>
    <x v="0"/>
    <x v="0"/>
    <x v="0"/>
    <x v="9"/>
    <n v="2467.1972410150693"/>
    <x v="0"/>
  </r>
  <r>
    <x v="28"/>
    <x v="0"/>
    <x v="28"/>
    <x v="0"/>
    <x v="0"/>
    <x v="0"/>
    <x v="0"/>
    <x v="10"/>
    <n v="2410.9697613460507"/>
    <x v="0"/>
  </r>
  <r>
    <x v="28"/>
    <x v="0"/>
    <x v="28"/>
    <x v="0"/>
    <x v="0"/>
    <x v="0"/>
    <x v="0"/>
    <x v="11"/>
    <n v="2683.0601721753615"/>
    <x v="0"/>
  </r>
  <r>
    <x v="29"/>
    <x v="0"/>
    <x v="29"/>
    <x v="2"/>
    <x v="0"/>
    <x v="0"/>
    <x v="0"/>
    <x v="0"/>
    <n v="1882.5879735064757"/>
    <x v="0"/>
  </r>
  <r>
    <x v="29"/>
    <x v="0"/>
    <x v="29"/>
    <x v="2"/>
    <x v="0"/>
    <x v="0"/>
    <x v="0"/>
    <x v="1"/>
    <n v="1803.9649346772444"/>
    <x v="0"/>
  </r>
  <r>
    <x v="29"/>
    <x v="0"/>
    <x v="29"/>
    <x v="2"/>
    <x v="0"/>
    <x v="0"/>
    <x v="0"/>
    <x v="2"/>
    <n v="1806.7267983264226"/>
    <x v="0"/>
  </r>
  <r>
    <x v="29"/>
    <x v="0"/>
    <x v="29"/>
    <x v="2"/>
    <x v="0"/>
    <x v="0"/>
    <x v="0"/>
    <x v="3"/>
    <n v="1783.4190601780113"/>
    <x v="0"/>
  </r>
  <r>
    <x v="29"/>
    <x v="0"/>
    <x v="29"/>
    <x v="2"/>
    <x v="0"/>
    <x v="0"/>
    <x v="0"/>
    <x v="4"/>
    <n v="1819.1621970545318"/>
    <x v="0"/>
  </r>
  <r>
    <x v="29"/>
    <x v="0"/>
    <x v="29"/>
    <x v="2"/>
    <x v="0"/>
    <x v="0"/>
    <x v="0"/>
    <x v="5"/>
    <n v="1864.6137242332984"/>
    <x v="0"/>
  </r>
  <r>
    <x v="29"/>
    <x v="0"/>
    <x v="29"/>
    <x v="2"/>
    <x v="0"/>
    <x v="0"/>
    <x v="0"/>
    <x v="6"/>
    <n v="1921.3389656312459"/>
    <x v="0"/>
  </r>
  <r>
    <x v="29"/>
    <x v="0"/>
    <x v="29"/>
    <x v="2"/>
    <x v="0"/>
    <x v="0"/>
    <x v="0"/>
    <x v="7"/>
    <n v="1910.8176543856423"/>
    <x v="0"/>
  </r>
  <r>
    <x v="29"/>
    <x v="0"/>
    <x v="29"/>
    <x v="2"/>
    <x v="0"/>
    <x v="0"/>
    <x v="0"/>
    <x v="8"/>
    <n v="1931.1290917073386"/>
    <x v="0"/>
  </r>
  <r>
    <x v="29"/>
    <x v="0"/>
    <x v="29"/>
    <x v="2"/>
    <x v="0"/>
    <x v="0"/>
    <x v="0"/>
    <x v="9"/>
    <n v="2260.7647077589845"/>
    <x v="0"/>
  </r>
  <r>
    <x v="29"/>
    <x v="0"/>
    <x v="29"/>
    <x v="2"/>
    <x v="0"/>
    <x v="0"/>
    <x v="0"/>
    <x v="10"/>
    <n v="2210.6205343172974"/>
    <x v="0"/>
  </r>
  <r>
    <x v="29"/>
    <x v="0"/>
    <x v="29"/>
    <x v="2"/>
    <x v="0"/>
    <x v="0"/>
    <x v="0"/>
    <x v="11"/>
    <n v="2045.9159498080742"/>
    <x v="0"/>
  </r>
  <r>
    <x v="30"/>
    <x v="0"/>
    <x v="30"/>
    <x v="0"/>
    <x v="0"/>
    <x v="0"/>
    <x v="0"/>
    <x v="0"/>
    <n v="1607.8028813760129"/>
    <x v="0"/>
  </r>
  <r>
    <x v="30"/>
    <x v="0"/>
    <x v="30"/>
    <x v="0"/>
    <x v="0"/>
    <x v="0"/>
    <x v="0"/>
    <x v="1"/>
    <n v="1541.087584869417"/>
    <x v="0"/>
  </r>
  <r>
    <x v="30"/>
    <x v="0"/>
    <x v="30"/>
    <x v="0"/>
    <x v="0"/>
    <x v="0"/>
    <x v="0"/>
    <x v="2"/>
    <n v="1544.3974903352901"/>
    <x v="0"/>
  </r>
  <r>
    <x v="30"/>
    <x v="0"/>
    <x v="30"/>
    <x v="0"/>
    <x v="0"/>
    <x v="0"/>
    <x v="0"/>
    <x v="3"/>
    <n v="513.72150752003313"/>
    <x v="0"/>
  </r>
  <r>
    <x v="30"/>
    <x v="0"/>
    <x v="30"/>
    <x v="0"/>
    <x v="0"/>
    <x v="0"/>
    <x v="0"/>
    <x v="4"/>
    <n v="0"/>
    <x v="0"/>
  </r>
  <r>
    <x v="30"/>
    <x v="0"/>
    <x v="30"/>
    <x v="0"/>
    <x v="0"/>
    <x v="0"/>
    <x v="0"/>
    <x v="5"/>
    <n v="0"/>
    <x v="0"/>
  </r>
  <r>
    <x v="30"/>
    <x v="0"/>
    <x v="30"/>
    <x v="0"/>
    <x v="0"/>
    <x v="0"/>
    <x v="0"/>
    <x v="6"/>
    <n v="0"/>
    <x v="0"/>
  </r>
  <r>
    <x v="30"/>
    <x v="0"/>
    <x v="30"/>
    <x v="0"/>
    <x v="0"/>
    <x v="0"/>
    <x v="0"/>
    <x v="7"/>
    <n v="0"/>
    <x v="0"/>
  </r>
  <r>
    <x v="30"/>
    <x v="0"/>
    <x v="30"/>
    <x v="0"/>
    <x v="0"/>
    <x v="0"/>
    <x v="0"/>
    <x v="8"/>
    <n v="0"/>
    <x v="0"/>
  </r>
  <r>
    <x v="30"/>
    <x v="0"/>
    <x v="30"/>
    <x v="0"/>
    <x v="0"/>
    <x v="0"/>
    <x v="0"/>
    <x v="9"/>
    <n v="0"/>
    <x v="0"/>
  </r>
  <r>
    <x v="30"/>
    <x v="0"/>
    <x v="30"/>
    <x v="0"/>
    <x v="0"/>
    <x v="0"/>
    <x v="0"/>
    <x v="10"/>
    <n v="0"/>
    <x v="0"/>
  </r>
  <r>
    <x v="30"/>
    <x v="0"/>
    <x v="30"/>
    <x v="0"/>
    <x v="0"/>
    <x v="0"/>
    <x v="0"/>
    <x v="11"/>
    <n v="0"/>
    <x v="0"/>
  </r>
  <r>
    <x v="30"/>
    <x v="0"/>
    <x v="31"/>
    <x v="0"/>
    <x v="0"/>
    <x v="0"/>
    <x v="0"/>
    <x v="0"/>
    <n v="1608.1299091559956"/>
    <x v="0"/>
  </r>
  <r>
    <x v="30"/>
    <x v="0"/>
    <x v="31"/>
    <x v="0"/>
    <x v="0"/>
    <x v="0"/>
    <x v="0"/>
    <x v="1"/>
    <n v="1541.399692677255"/>
    <x v="0"/>
  </r>
  <r>
    <x v="30"/>
    <x v="0"/>
    <x v="31"/>
    <x v="0"/>
    <x v="0"/>
    <x v="0"/>
    <x v="0"/>
    <x v="2"/>
    <n v="1544.710199468527"/>
    <x v="0"/>
  </r>
  <r>
    <x v="30"/>
    <x v="0"/>
    <x v="31"/>
    <x v="0"/>
    <x v="0"/>
    <x v="0"/>
    <x v="0"/>
    <x v="3"/>
    <n v="1525.4569039874489"/>
    <x v="0"/>
  </r>
  <r>
    <x v="30"/>
    <x v="0"/>
    <x v="31"/>
    <x v="0"/>
    <x v="0"/>
    <x v="0"/>
    <x v="0"/>
    <x v="4"/>
    <n v="1556.7342941983329"/>
    <x v="0"/>
  </r>
  <r>
    <x v="30"/>
    <x v="0"/>
    <x v="31"/>
    <x v="0"/>
    <x v="0"/>
    <x v="0"/>
    <x v="0"/>
    <x v="5"/>
    <n v="1596.18909830711"/>
    <x v="0"/>
  </r>
  <r>
    <x v="30"/>
    <x v="0"/>
    <x v="31"/>
    <x v="0"/>
    <x v="0"/>
    <x v="0"/>
    <x v="0"/>
    <x v="6"/>
    <n v="1653.6324180130089"/>
    <x v="0"/>
  </r>
  <r>
    <x v="30"/>
    <x v="0"/>
    <x v="31"/>
    <x v="0"/>
    <x v="0"/>
    <x v="0"/>
    <x v="0"/>
    <x v="7"/>
    <n v="1638.0231604709572"/>
    <x v="0"/>
  </r>
  <r>
    <x v="30"/>
    <x v="0"/>
    <x v="31"/>
    <x v="0"/>
    <x v="0"/>
    <x v="0"/>
    <x v="0"/>
    <x v="8"/>
    <n v="1635.0798449211572"/>
    <x v="0"/>
  </r>
  <r>
    <x v="30"/>
    <x v="0"/>
    <x v="31"/>
    <x v="0"/>
    <x v="0"/>
    <x v="0"/>
    <x v="0"/>
    <x v="9"/>
    <n v="1525.1589228815851"/>
    <x v="0"/>
  </r>
  <r>
    <x v="30"/>
    <x v="0"/>
    <x v="31"/>
    <x v="0"/>
    <x v="0"/>
    <x v="0"/>
    <x v="0"/>
    <x v="10"/>
    <n v="1491.3477407175396"/>
    <x v="0"/>
  </r>
  <r>
    <x v="30"/>
    <x v="0"/>
    <x v="31"/>
    <x v="0"/>
    <x v="0"/>
    <x v="0"/>
    <x v="0"/>
    <x v="11"/>
    <n v="1806.5451908569416"/>
    <x v="0"/>
  </r>
  <r>
    <x v="31"/>
    <x v="0"/>
    <x v="32"/>
    <x v="0"/>
    <x v="0"/>
    <x v="0"/>
    <x v="0"/>
    <x v="0"/>
    <n v="1608.1299091559956"/>
    <x v="0"/>
  </r>
  <r>
    <x v="31"/>
    <x v="0"/>
    <x v="32"/>
    <x v="0"/>
    <x v="0"/>
    <x v="0"/>
    <x v="0"/>
    <x v="1"/>
    <n v="1541.399692677255"/>
    <x v="0"/>
  </r>
  <r>
    <x v="31"/>
    <x v="0"/>
    <x v="32"/>
    <x v="0"/>
    <x v="0"/>
    <x v="0"/>
    <x v="0"/>
    <x v="2"/>
    <n v="1822.9680412912187"/>
    <x v="0"/>
  </r>
  <r>
    <x v="31"/>
    <x v="0"/>
    <x v="32"/>
    <x v="0"/>
    <x v="0"/>
    <x v="0"/>
    <x v="0"/>
    <x v="3"/>
    <n v="1800.1941599247041"/>
    <x v="0"/>
  </r>
  <r>
    <x v="31"/>
    <x v="0"/>
    <x v="32"/>
    <x v="0"/>
    <x v="0"/>
    <x v="0"/>
    <x v="0"/>
    <x v="4"/>
    <n v="1837.0687829097205"/>
    <x v="0"/>
  </r>
  <r>
    <x v="31"/>
    <x v="0"/>
    <x v="32"/>
    <x v="0"/>
    <x v="0"/>
    <x v="0"/>
    <x v="0"/>
    <x v="5"/>
    <n v="2463.6785136576996"/>
    <x v="0"/>
  </r>
  <r>
    <x v="31"/>
    <x v="0"/>
    <x v="32"/>
    <x v="0"/>
    <x v="0"/>
    <x v="0"/>
    <x v="0"/>
    <x v="6"/>
    <n v="2485.6877875056548"/>
    <x v="0"/>
  </r>
  <r>
    <x v="31"/>
    <x v="0"/>
    <x v="32"/>
    <x v="0"/>
    <x v="0"/>
    <x v="0"/>
    <x v="0"/>
    <x v="7"/>
    <n v="2517.8078935627059"/>
    <x v="0"/>
  </r>
  <r>
    <x v="31"/>
    <x v="0"/>
    <x v="32"/>
    <x v="0"/>
    <x v="0"/>
    <x v="0"/>
    <x v="0"/>
    <x v="8"/>
    <n v="2523.7331180216765"/>
    <x v="0"/>
  </r>
  <r>
    <x v="31"/>
    <x v="0"/>
    <x v="32"/>
    <x v="0"/>
    <x v="0"/>
    <x v="0"/>
    <x v="0"/>
    <x v="9"/>
    <n v="2344.0607651601536"/>
    <x v="0"/>
  </r>
  <r>
    <x v="31"/>
    <x v="0"/>
    <x v="32"/>
    <x v="0"/>
    <x v="0"/>
    <x v="0"/>
    <x v="0"/>
    <x v="10"/>
    <n v="2292.0672837925222"/>
    <x v="0"/>
  </r>
  <r>
    <x v="31"/>
    <x v="0"/>
    <x v="32"/>
    <x v="0"/>
    <x v="0"/>
    <x v="0"/>
    <x v="0"/>
    <x v="11"/>
    <n v="2062.2492474480318"/>
    <x v="0"/>
  </r>
  <r>
    <x v="32"/>
    <x v="0"/>
    <x v="33"/>
    <x v="0"/>
    <x v="0"/>
    <x v="0"/>
    <x v="0"/>
    <x v="0"/>
    <n v="10340.278235763943"/>
    <x v="0"/>
  </r>
  <r>
    <x v="32"/>
    <x v="0"/>
    <x v="33"/>
    <x v="0"/>
    <x v="0"/>
    <x v="0"/>
    <x v="0"/>
    <x v="1"/>
    <n v="9912.7777078895706"/>
    <x v="0"/>
  </r>
  <r>
    <x v="32"/>
    <x v="0"/>
    <x v="33"/>
    <x v="0"/>
    <x v="0"/>
    <x v="0"/>
    <x v="0"/>
    <x v="2"/>
    <n v="9941.9923232284618"/>
    <x v="0"/>
  </r>
  <r>
    <x v="32"/>
    <x v="0"/>
    <x v="33"/>
    <x v="0"/>
    <x v="0"/>
    <x v="0"/>
    <x v="0"/>
    <x v="3"/>
    <n v="9825.5356254111393"/>
    <x v="0"/>
  </r>
  <r>
    <x v="32"/>
    <x v="0"/>
    <x v="33"/>
    <x v="0"/>
    <x v="0"/>
    <x v="0"/>
    <x v="0"/>
    <x v="4"/>
    <n v="10030.851222553089"/>
    <x v="0"/>
  </r>
  <r>
    <x v="32"/>
    <x v="0"/>
    <x v="33"/>
    <x v="0"/>
    <x v="0"/>
    <x v="0"/>
    <x v="0"/>
    <x v="5"/>
    <n v="10291.810177766709"/>
    <x v="0"/>
  </r>
  <r>
    <x v="32"/>
    <x v="0"/>
    <x v="33"/>
    <x v="0"/>
    <x v="0"/>
    <x v="0"/>
    <x v="0"/>
    <x v="6"/>
    <n v="10050.912386832391"/>
    <x v="0"/>
  </r>
  <r>
    <x v="32"/>
    <x v="0"/>
    <x v="33"/>
    <x v="0"/>
    <x v="0"/>
    <x v="0"/>
    <x v="0"/>
    <x v="7"/>
    <n v="10530.224349338012"/>
    <x v="0"/>
  </r>
  <r>
    <x v="32"/>
    <x v="0"/>
    <x v="33"/>
    <x v="0"/>
    <x v="0"/>
    <x v="0"/>
    <x v="0"/>
    <x v="8"/>
    <n v="10562.402188172307"/>
    <x v="0"/>
  </r>
  <r>
    <x v="32"/>
    <x v="0"/>
    <x v="33"/>
    <x v="0"/>
    <x v="0"/>
    <x v="0"/>
    <x v="0"/>
    <x v="9"/>
    <n v="9818.5738957098183"/>
    <x v="0"/>
  </r>
  <r>
    <x v="32"/>
    <x v="0"/>
    <x v="33"/>
    <x v="0"/>
    <x v="0"/>
    <x v="0"/>
    <x v="0"/>
    <x v="10"/>
    <n v="9597.538119424953"/>
    <x v="0"/>
  </r>
  <r>
    <x v="32"/>
    <x v="0"/>
    <x v="33"/>
    <x v="0"/>
    <x v="0"/>
    <x v="0"/>
    <x v="0"/>
    <x v="11"/>
    <n v="9600.549986258"/>
    <x v="0"/>
  </r>
  <r>
    <x v="32"/>
    <x v="1"/>
    <x v="33"/>
    <x v="0"/>
    <x v="1"/>
    <x v="1"/>
    <x v="0"/>
    <x v="0"/>
    <n v="2860.3835163093895"/>
    <x v="0"/>
  </r>
  <r>
    <x v="32"/>
    <x v="1"/>
    <x v="33"/>
    <x v="0"/>
    <x v="1"/>
    <x v="1"/>
    <x v="0"/>
    <x v="1"/>
    <n v="0"/>
    <x v="0"/>
  </r>
  <r>
    <x v="32"/>
    <x v="1"/>
    <x v="33"/>
    <x v="0"/>
    <x v="1"/>
    <x v="1"/>
    <x v="0"/>
    <x v="2"/>
    <n v="0"/>
    <x v="0"/>
  </r>
  <r>
    <x v="32"/>
    <x v="1"/>
    <x v="33"/>
    <x v="0"/>
    <x v="1"/>
    <x v="1"/>
    <x v="0"/>
    <x v="3"/>
    <n v="0"/>
    <x v="0"/>
  </r>
  <r>
    <x v="32"/>
    <x v="1"/>
    <x v="33"/>
    <x v="0"/>
    <x v="1"/>
    <x v="1"/>
    <x v="0"/>
    <x v="4"/>
    <n v="0"/>
    <x v="0"/>
  </r>
  <r>
    <x v="32"/>
    <x v="1"/>
    <x v="33"/>
    <x v="0"/>
    <x v="1"/>
    <x v="1"/>
    <x v="0"/>
    <x v="5"/>
    <n v="0"/>
    <x v="0"/>
  </r>
  <r>
    <x v="32"/>
    <x v="1"/>
    <x v="33"/>
    <x v="0"/>
    <x v="1"/>
    <x v="1"/>
    <x v="0"/>
    <x v="6"/>
    <n v="0"/>
    <x v="0"/>
  </r>
  <r>
    <x v="32"/>
    <x v="1"/>
    <x v="33"/>
    <x v="0"/>
    <x v="1"/>
    <x v="1"/>
    <x v="0"/>
    <x v="7"/>
    <n v="0"/>
    <x v="0"/>
  </r>
  <r>
    <x v="32"/>
    <x v="1"/>
    <x v="33"/>
    <x v="0"/>
    <x v="1"/>
    <x v="1"/>
    <x v="0"/>
    <x v="8"/>
    <n v="0"/>
    <x v="0"/>
  </r>
  <r>
    <x v="32"/>
    <x v="1"/>
    <x v="33"/>
    <x v="0"/>
    <x v="1"/>
    <x v="1"/>
    <x v="0"/>
    <x v="9"/>
    <n v="0"/>
    <x v="0"/>
  </r>
  <r>
    <x v="32"/>
    <x v="1"/>
    <x v="33"/>
    <x v="0"/>
    <x v="1"/>
    <x v="1"/>
    <x v="0"/>
    <x v="10"/>
    <n v="0"/>
    <x v="0"/>
  </r>
  <r>
    <x v="32"/>
    <x v="1"/>
    <x v="33"/>
    <x v="0"/>
    <x v="1"/>
    <x v="1"/>
    <x v="0"/>
    <x v="11"/>
    <n v="0"/>
    <x v="0"/>
  </r>
  <r>
    <x v="33"/>
    <x v="0"/>
    <x v="34"/>
    <x v="0"/>
    <x v="0"/>
    <x v="0"/>
    <x v="0"/>
    <x v="0"/>
    <n v="8612.8751634773835"/>
    <x v="0"/>
  </r>
  <r>
    <x v="33"/>
    <x v="0"/>
    <x v="34"/>
    <x v="0"/>
    <x v="0"/>
    <x v="0"/>
    <x v="0"/>
    <x v="1"/>
    <n v="8256.7910625517725"/>
    <x v="0"/>
  </r>
  <r>
    <x v="33"/>
    <x v="0"/>
    <x v="34"/>
    <x v="0"/>
    <x v="0"/>
    <x v="0"/>
    <x v="0"/>
    <x v="2"/>
    <n v="8277.5327554106225"/>
    <x v="0"/>
  </r>
  <r>
    <x v="33"/>
    <x v="0"/>
    <x v="34"/>
    <x v="0"/>
    <x v="0"/>
    <x v="0"/>
    <x v="0"/>
    <x v="3"/>
    <n v="8177.8985091220493"/>
    <x v="0"/>
  </r>
  <r>
    <x v="33"/>
    <x v="0"/>
    <x v="34"/>
    <x v="0"/>
    <x v="0"/>
    <x v="0"/>
    <x v="0"/>
    <x v="4"/>
    <n v="8346.2575479809475"/>
    <x v="0"/>
  </r>
  <r>
    <x v="33"/>
    <x v="0"/>
    <x v="34"/>
    <x v="0"/>
    <x v="0"/>
    <x v="0"/>
    <x v="0"/>
    <x v="5"/>
    <n v="8561.138654576278"/>
    <x v="0"/>
  </r>
  <r>
    <x v="33"/>
    <x v="0"/>
    <x v="34"/>
    <x v="0"/>
    <x v="0"/>
    <x v="0"/>
    <x v="0"/>
    <x v="6"/>
    <n v="8384.3220024460734"/>
    <x v="0"/>
  </r>
  <r>
    <x v="33"/>
    <x v="0"/>
    <x v="34"/>
    <x v="0"/>
    <x v="0"/>
    <x v="0"/>
    <x v="0"/>
    <x v="7"/>
    <n v="0"/>
    <x v="0"/>
  </r>
  <r>
    <x v="33"/>
    <x v="0"/>
    <x v="34"/>
    <x v="0"/>
    <x v="0"/>
    <x v="0"/>
    <x v="0"/>
    <x v="8"/>
    <n v="12470.381469878803"/>
    <x v="0"/>
  </r>
  <r>
    <x v="33"/>
    <x v="0"/>
    <x v="34"/>
    <x v="0"/>
    <x v="0"/>
    <x v="0"/>
    <x v="0"/>
    <x v="9"/>
    <n v="0"/>
    <x v="0"/>
  </r>
  <r>
    <x v="33"/>
    <x v="0"/>
    <x v="34"/>
    <x v="0"/>
    <x v="0"/>
    <x v="0"/>
    <x v="0"/>
    <x v="10"/>
    <n v="0"/>
    <x v="0"/>
  </r>
  <r>
    <x v="33"/>
    <x v="0"/>
    <x v="34"/>
    <x v="0"/>
    <x v="0"/>
    <x v="0"/>
    <x v="0"/>
    <x v="11"/>
    <n v="0"/>
    <x v="0"/>
  </r>
  <r>
    <x v="33"/>
    <x v="1"/>
    <x v="34"/>
    <x v="0"/>
    <x v="1"/>
    <x v="1"/>
    <x v="0"/>
    <x v="0"/>
    <n v="2166.2466140598622"/>
    <x v="0"/>
  </r>
  <r>
    <x v="33"/>
    <x v="1"/>
    <x v="34"/>
    <x v="0"/>
    <x v="1"/>
    <x v="1"/>
    <x v="0"/>
    <x v="1"/>
    <n v="0"/>
    <x v="0"/>
  </r>
  <r>
    <x v="33"/>
    <x v="1"/>
    <x v="34"/>
    <x v="0"/>
    <x v="1"/>
    <x v="1"/>
    <x v="0"/>
    <x v="2"/>
    <n v="0"/>
    <x v="0"/>
  </r>
  <r>
    <x v="33"/>
    <x v="1"/>
    <x v="34"/>
    <x v="0"/>
    <x v="1"/>
    <x v="1"/>
    <x v="0"/>
    <x v="3"/>
    <n v="0"/>
    <x v="0"/>
  </r>
  <r>
    <x v="33"/>
    <x v="1"/>
    <x v="34"/>
    <x v="0"/>
    <x v="1"/>
    <x v="1"/>
    <x v="0"/>
    <x v="4"/>
    <n v="0"/>
    <x v="0"/>
  </r>
  <r>
    <x v="33"/>
    <x v="1"/>
    <x v="34"/>
    <x v="0"/>
    <x v="1"/>
    <x v="1"/>
    <x v="0"/>
    <x v="5"/>
    <n v="0"/>
    <x v="0"/>
  </r>
  <r>
    <x v="33"/>
    <x v="1"/>
    <x v="34"/>
    <x v="0"/>
    <x v="1"/>
    <x v="1"/>
    <x v="0"/>
    <x v="6"/>
    <n v="0"/>
    <x v="0"/>
  </r>
  <r>
    <x v="33"/>
    <x v="1"/>
    <x v="34"/>
    <x v="0"/>
    <x v="1"/>
    <x v="1"/>
    <x v="0"/>
    <x v="7"/>
    <n v="0"/>
    <x v="0"/>
  </r>
  <r>
    <x v="33"/>
    <x v="1"/>
    <x v="34"/>
    <x v="0"/>
    <x v="1"/>
    <x v="1"/>
    <x v="0"/>
    <x v="8"/>
    <n v="0"/>
    <x v="0"/>
  </r>
  <r>
    <x v="33"/>
    <x v="1"/>
    <x v="34"/>
    <x v="0"/>
    <x v="1"/>
    <x v="1"/>
    <x v="0"/>
    <x v="9"/>
    <n v="0"/>
    <x v="0"/>
  </r>
  <r>
    <x v="33"/>
    <x v="1"/>
    <x v="34"/>
    <x v="0"/>
    <x v="1"/>
    <x v="1"/>
    <x v="0"/>
    <x v="10"/>
    <n v="0"/>
    <x v="0"/>
  </r>
  <r>
    <x v="33"/>
    <x v="1"/>
    <x v="34"/>
    <x v="0"/>
    <x v="1"/>
    <x v="1"/>
    <x v="0"/>
    <x v="11"/>
    <n v="0"/>
    <x v="0"/>
  </r>
  <r>
    <x v="34"/>
    <x v="0"/>
    <x v="35"/>
    <x v="0"/>
    <x v="0"/>
    <x v="0"/>
    <x v="0"/>
    <x v="0"/>
    <n v="6116.6472997968531"/>
    <x v="0"/>
  </r>
  <r>
    <x v="34"/>
    <x v="0"/>
    <x v="35"/>
    <x v="0"/>
    <x v="0"/>
    <x v="0"/>
    <x v="0"/>
    <x v="1"/>
    <n v="5859.2992471874277"/>
    <x v="0"/>
  </r>
  <r>
    <x v="34"/>
    <x v="0"/>
    <x v="35"/>
    <x v="0"/>
    <x v="0"/>
    <x v="0"/>
    <x v="0"/>
    <x v="2"/>
    <n v="5868.732899803842"/>
    <x v="0"/>
  </r>
  <r>
    <x v="34"/>
    <x v="0"/>
    <x v="35"/>
    <x v="0"/>
    <x v="0"/>
    <x v="0"/>
    <x v="0"/>
    <x v="3"/>
    <n v="5770.9610645576913"/>
    <x v="0"/>
  </r>
  <r>
    <x v="34"/>
    <x v="0"/>
    <x v="35"/>
    <x v="0"/>
    <x v="0"/>
    <x v="0"/>
    <x v="0"/>
    <x v="4"/>
    <n v="5886.5524049765663"/>
    <x v="0"/>
  </r>
  <r>
    <x v="34"/>
    <x v="0"/>
    <x v="35"/>
    <x v="0"/>
    <x v="0"/>
    <x v="0"/>
    <x v="0"/>
    <x v="5"/>
    <n v="6034.1018778502585"/>
    <x v="0"/>
  </r>
  <r>
    <x v="34"/>
    <x v="0"/>
    <x v="35"/>
    <x v="0"/>
    <x v="0"/>
    <x v="0"/>
    <x v="0"/>
    <x v="6"/>
    <n v="5965.3229626135026"/>
    <x v="0"/>
  </r>
  <r>
    <x v="34"/>
    <x v="0"/>
    <x v="35"/>
    <x v="0"/>
    <x v="0"/>
    <x v="0"/>
    <x v="0"/>
    <x v="7"/>
    <n v="6181.7068824830994"/>
    <x v="0"/>
  </r>
  <r>
    <x v="34"/>
    <x v="0"/>
    <x v="35"/>
    <x v="0"/>
    <x v="0"/>
    <x v="0"/>
    <x v="0"/>
    <x v="8"/>
    <n v="6249.5378438961834"/>
    <x v="0"/>
  </r>
  <r>
    <x v="34"/>
    <x v="0"/>
    <x v="35"/>
    <x v="0"/>
    <x v="0"/>
    <x v="0"/>
    <x v="0"/>
    <x v="9"/>
    <n v="5733.3650972669957"/>
    <x v="0"/>
  </r>
  <r>
    <x v="34"/>
    <x v="0"/>
    <x v="35"/>
    <x v="0"/>
    <x v="0"/>
    <x v="0"/>
    <x v="0"/>
    <x v="10"/>
    <n v="5600.9214385778996"/>
    <x v="0"/>
  </r>
  <r>
    <x v="34"/>
    <x v="0"/>
    <x v="35"/>
    <x v="0"/>
    <x v="0"/>
    <x v="0"/>
    <x v="0"/>
    <x v="11"/>
    <n v="5820.3728690892995"/>
    <x v="0"/>
  </r>
  <r>
    <x v="35"/>
    <x v="0"/>
    <x v="36"/>
    <x v="0"/>
    <x v="0"/>
    <x v="0"/>
    <x v="0"/>
    <x v="0"/>
    <n v="1607.4685538687984"/>
    <x v="0"/>
  </r>
  <r>
    <x v="35"/>
    <x v="0"/>
    <x v="36"/>
    <x v="0"/>
    <x v="0"/>
    <x v="0"/>
    <x v="0"/>
    <x v="1"/>
    <n v="1411.7377929394856"/>
    <x v="0"/>
  </r>
  <r>
    <x v="35"/>
    <x v="0"/>
    <x v="36"/>
    <x v="0"/>
    <x v="0"/>
    <x v="0"/>
    <x v="0"/>
    <x v="2"/>
    <n v="1544.0749652202926"/>
    <x v="0"/>
  </r>
  <r>
    <x v="35"/>
    <x v="0"/>
    <x v="36"/>
    <x v="0"/>
    <x v="0"/>
    <x v="0"/>
    <x v="0"/>
    <x v="3"/>
    <n v="474.45315335894793"/>
    <x v="0"/>
  </r>
  <r>
    <x v="35"/>
    <x v="0"/>
    <x v="36"/>
    <x v="0"/>
    <x v="0"/>
    <x v="0"/>
    <x v="0"/>
    <x v="4"/>
    <n v="0"/>
    <x v="0"/>
  </r>
  <r>
    <x v="35"/>
    <x v="0"/>
    <x v="36"/>
    <x v="0"/>
    <x v="0"/>
    <x v="0"/>
    <x v="0"/>
    <x v="5"/>
    <n v="0"/>
    <x v="0"/>
  </r>
  <r>
    <x v="35"/>
    <x v="0"/>
    <x v="36"/>
    <x v="0"/>
    <x v="0"/>
    <x v="0"/>
    <x v="0"/>
    <x v="6"/>
    <n v="0"/>
    <x v="0"/>
  </r>
  <r>
    <x v="35"/>
    <x v="0"/>
    <x v="36"/>
    <x v="0"/>
    <x v="0"/>
    <x v="0"/>
    <x v="0"/>
    <x v="7"/>
    <n v="0"/>
    <x v="0"/>
  </r>
  <r>
    <x v="35"/>
    <x v="0"/>
    <x v="36"/>
    <x v="0"/>
    <x v="0"/>
    <x v="0"/>
    <x v="0"/>
    <x v="8"/>
    <n v="0"/>
    <x v="0"/>
  </r>
  <r>
    <x v="35"/>
    <x v="0"/>
    <x v="36"/>
    <x v="0"/>
    <x v="0"/>
    <x v="0"/>
    <x v="0"/>
    <x v="9"/>
    <n v="0"/>
    <x v="0"/>
  </r>
  <r>
    <x v="35"/>
    <x v="0"/>
    <x v="36"/>
    <x v="0"/>
    <x v="0"/>
    <x v="0"/>
    <x v="0"/>
    <x v="10"/>
    <n v="0"/>
    <x v="0"/>
  </r>
  <r>
    <x v="35"/>
    <x v="0"/>
    <x v="36"/>
    <x v="0"/>
    <x v="0"/>
    <x v="0"/>
    <x v="0"/>
    <x v="11"/>
    <n v="0"/>
    <x v="0"/>
  </r>
  <r>
    <x v="36"/>
    <x v="0"/>
    <x v="37"/>
    <x v="0"/>
    <x v="0"/>
    <x v="0"/>
    <x v="0"/>
    <x v="0"/>
    <n v="8571.5703869092104"/>
    <x v="0"/>
  </r>
  <r>
    <x v="36"/>
    <x v="0"/>
    <x v="37"/>
    <x v="0"/>
    <x v="0"/>
    <x v="0"/>
    <x v="0"/>
    <x v="1"/>
    <n v="8217.1939589672511"/>
    <x v="0"/>
  </r>
  <r>
    <x v="36"/>
    <x v="0"/>
    <x v="37"/>
    <x v="0"/>
    <x v="0"/>
    <x v="0"/>
    <x v="0"/>
    <x v="2"/>
    <n v="8208.0734661881015"/>
    <x v="0"/>
  </r>
  <r>
    <x v="36"/>
    <x v="0"/>
    <x v="37"/>
    <x v="0"/>
    <x v="0"/>
    <x v="0"/>
    <x v="0"/>
    <x v="3"/>
    <n v="5202.6789466284536"/>
    <x v="0"/>
  </r>
  <r>
    <x v="36"/>
    <x v="0"/>
    <x v="37"/>
    <x v="0"/>
    <x v="0"/>
    <x v="0"/>
    <x v="0"/>
    <x v="4"/>
    <n v="9345.936675140536"/>
    <x v="0"/>
  </r>
  <r>
    <x v="36"/>
    <x v="0"/>
    <x v="37"/>
    <x v="0"/>
    <x v="0"/>
    <x v="0"/>
    <x v="0"/>
    <x v="5"/>
    <n v="0"/>
    <x v="0"/>
  </r>
  <r>
    <x v="36"/>
    <x v="0"/>
    <x v="37"/>
    <x v="0"/>
    <x v="0"/>
    <x v="0"/>
    <x v="0"/>
    <x v="6"/>
    <n v="0"/>
    <x v="0"/>
  </r>
  <r>
    <x v="36"/>
    <x v="0"/>
    <x v="37"/>
    <x v="0"/>
    <x v="0"/>
    <x v="0"/>
    <x v="0"/>
    <x v="7"/>
    <n v="0"/>
    <x v="0"/>
  </r>
  <r>
    <x v="36"/>
    <x v="0"/>
    <x v="37"/>
    <x v="0"/>
    <x v="0"/>
    <x v="0"/>
    <x v="0"/>
    <x v="8"/>
    <n v="0"/>
    <x v="0"/>
  </r>
  <r>
    <x v="36"/>
    <x v="0"/>
    <x v="37"/>
    <x v="0"/>
    <x v="0"/>
    <x v="0"/>
    <x v="0"/>
    <x v="9"/>
    <n v="0"/>
    <x v="0"/>
  </r>
  <r>
    <x v="36"/>
    <x v="0"/>
    <x v="37"/>
    <x v="0"/>
    <x v="0"/>
    <x v="0"/>
    <x v="0"/>
    <x v="10"/>
    <n v="0"/>
    <x v="0"/>
  </r>
  <r>
    <x v="36"/>
    <x v="0"/>
    <x v="37"/>
    <x v="0"/>
    <x v="0"/>
    <x v="0"/>
    <x v="0"/>
    <x v="11"/>
    <n v="0"/>
    <x v="0"/>
  </r>
  <r>
    <x v="36"/>
    <x v="1"/>
    <x v="37"/>
    <x v="0"/>
    <x v="1"/>
    <x v="1"/>
    <x v="0"/>
    <x v="0"/>
    <n v="4820.5573706713139"/>
    <x v="0"/>
  </r>
  <r>
    <x v="36"/>
    <x v="1"/>
    <x v="37"/>
    <x v="0"/>
    <x v="1"/>
    <x v="1"/>
    <x v="0"/>
    <x v="1"/>
    <n v="0"/>
    <x v="0"/>
  </r>
  <r>
    <x v="36"/>
    <x v="1"/>
    <x v="37"/>
    <x v="0"/>
    <x v="1"/>
    <x v="1"/>
    <x v="0"/>
    <x v="2"/>
    <n v="0"/>
    <x v="0"/>
  </r>
  <r>
    <x v="36"/>
    <x v="1"/>
    <x v="37"/>
    <x v="0"/>
    <x v="1"/>
    <x v="1"/>
    <x v="0"/>
    <x v="3"/>
    <n v="0"/>
    <x v="0"/>
  </r>
  <r>
    <x v="36"/>
    <x v="1"/>
    <x v="37"/>
    <x v="0"/>
    <x v="1"/>
    <x v="1"/>
    <x v="0"/>
    <x v="4"/>
    <n v="0"/>
    <x v="0"/>
  </r>
  <r>
    <x v="36"/>
    <x v="1"/>
    <x v="37"/>
    <x v="0"/>
    <x v="1"/>
    <x v="1"/>
    <x v="0"/>
    <x v="5"/>
    <n v="0"/>
    <x v="0"/>
  </r>
  <r>
    <x v="36"/>
    <x v="1"/>
    <x v="37"/>
    <x v="0"/>
    <x v="1"/>
    <x v="1"/>
    <x v="0"/>
    <x v="6"/>
    <n v="0"/>
    <x v="0"/>
  </r>
  <r>
    <x v="36"/>
    <x v="1"/>
    <x v="37"/>
    <x v="0"/>
    <x v="1"/>
    <x v="1"/>
    <x v="0"/>
    <x v="7"/>
    <n v="0"/>
    <x v="0"/>
  </r>
  <r>
    <x v="36"/>
    <x v="1"/>
    <x v="37"/>
    <x v="0"/>
    <x v="1"/>
    <x v="1"/>
    <x v="0"/>
    <x v="8"/>
    <n v="0"/>
    <x v="0"/>
  </r>
  <r>
    <x v="36"/>
    <x v="1"/>
    <x v="37"/>
    <x v="0"/>
    <x v="1"/>
    <x v="1"/>
    <x v="0"/>
    <x v="9"/>
    <n v="0"/>
    <x v="0"/>
  </r>
  <r>
    <x v="36"/>
    <x v="1"/>
    <x v="37"/>
    <x v="0"/>
    <x v="1"/>
    <x v="1"/>
    <x v="0"/>
    <x v="10"/>
    <n v="0"/>
    <x v="0"/>
  </r>
  <r>
    <x v="36"/>
    <x v="1"/>
    <x v="37"/>
    <x v="0"/>
    <x v="1"/>
    <x v="1"/>
    <x v="0"/>
    <x v="11"/>
    <n v="0"/>
    <x v="0"/>
  </r>
  <r>
    <x v="37"/>
    <x v="0"/>
    <x v="38"/>
    <x v="0"/>
    <x v="0"/>
    <x v="0"/>
    <x v="0"/>
    <x v="0"/>
    <n v="1606.9736323624854"/>
    <x v="0"/>
  </r>
  <r>
    <x v="37"/>
    <x v="0"/>
    <x v="38"/>
    <x v="0"/>
    <x v="0"/>
    <x v="0"/>
    <x v="0"/>
    <x v="1"/>
    <n v="1541.8741525286318"/>
    <x v="0"/>
  </r>
  <r>
    <x v="37"/>
    <x v="0"/>
    <x v="38"/>
    <x v="0"/>
    <x v="0"/>
    <x v="0"/>
    <x v="0"/>
    <x v="2"/>
    <n v="1545.1855734423714"/>
    <x v="0"/>
  </r>
  <r>
    <x v="37"/>
    <x v="0"/>
    <x v="38"/>
    <x v="0"/>
    <x v="0"/>
    <x v="0"/>
    <x v="0"/>
    <x v="3"/>
    <n v="1525.9262634141678"/>
    <x v="0"/>
  </r>
  <r>
    <x v="37"/>
    <x v="0"/>
    <x v="38"/>
    <x v="0"/>
    <x v="0"/>
    <x v="0"/>
    <x v="0"/>
    <x v="4"/>
    <n v="1557.2132159028622"/>
    <x v="0"/>
  </r>
  <r>
    <x v="37"/>
    <x v="0"/>
    <x v="38"/>
    <x v="0"/>
    <x v="0"/>
    <x v="0"/>
    <x v="0"/>
    <x v="5"/>
    <n v="2542.2702200340377"/>
    <x v="0"/>
  </r>
  <r>
    <x v="37"/>
    <x v="0"/>
    <x v="38"/>
    <x v="0"/>
    <x v="0"/>
    <x v="0"/>
    <x v="0"/>
    <x v="6"/>
    <n v="0"/>
    <x v="0"/>
  </r>
  <r>
    <x v="37"/>
    <x v="0"/>
    <x v="38"/>
    <x v="0"/>
    <x v="0"/>
    <x v="0"/>
    <x v="0"/>
    <x v="7"/>
    <n v="0"/>
    <x v="0"/>
  </r>
  <r>
    <x v="37"/>
    <x v="0"/>
    <x v="38"/>
    <x v="0"/>
    <x v="0"/>
    <x v="0"/>
    <x v="0"/>
    <x v="8"/>
    <n v="0"/>
    <x v="0"/>
  </r>
  <r>
    <x v="37"/>
    <x v="0"/>
    <x v="38"/>
    <x v="0"/>
    <x v="0"/>
    <x v="0"/>
    <x v="0"/>
    <x v="9"/>
    <n v="0"/>
    <x v="0"/>
  </r>
  <r>
    <x v="37"/>
    <x v="0"/>
    <x v="38"/>
    <x v="0"/>
    <x v="0"/>
    <x v="0"/>
    <x v="0"/>
    <x v="10"/>
    <n v="0"/>
    <x v="0"/>
  </r>
  <r>
    <x v="37"/>
    <x v="0"/>
    <x v="38"/>
    <x v="0"/>
    <x v="0"/>
    <x v="0"/>
    <x v="0"/>
    <x v="11"/>
    <n v="0"/>
    <x v="0"/>
  </r>
  <r>
    <x v="38"/>
    <x v="0"/>
    <x v="39"/>
    <x v="0"/>
    <x v="0"/>
    <x v="0"/>
    <x v="0"/>
    <x v="0"/>
    <n v="928.23769462651785"/>
    <x v="0"/>
  </r>
  <r>
    <x v="38"/>
    <x v="0"/>
    <x v="39"/>
    <x v="0"/>
    <x v="0"/>
    <x v="0"/>
    <x v="0"/>
    <x v="1"/>
    <n v="1486.1762049021056"/>
    <x v="0"/>
  </r>
  <r>
    <x v="38"/>
    <x v="0"/>
    <x v="39"/>
    <x v="0"/>
    <x v="0"/>
    <x v="0"/>
    <x v="0"/>
    <x v="2"/>
    <n v="1485.2393728291727"/>
    <x v="0"/>
  </r>
  <r>
    <x v="38"/>
    <x v="0"/>
    <x v="39"/>
    <x v="0"/>
    <x v="0"/>
    <x v="0"/>
    <x v="0"/>
    <x v="3"/>
    <n v="1465.9216374714536"/>
    <x v="0"/>
  </r>
  <r>
    <x v="38"/>
    <x v="0"/>
    <x v="39"/>
    <x v="0"/>
    <x v="0"/>
    <x v="0"/>
    <x v="0"/>
    <x v="4"/>
    <n v="1495.1102093854463"/>
    <x v="0"/>
  </r>
  <r>
    <x v="38"/>
    <x v="0"/>
    <x v="39"/>
    <x v="0"/>
    <x v="0"/>
    <x v="0"/>
    <x v="0"/>
    <x v="5"/>
    <n v="1532.3384060008434"/>
    <x v="0"/>
  </r>
  <r>
    <x v="38"/>
    <x v="0"/>
    <x v="39"/>
    <x v="0"/>
    <x v="0"/>
    <x v="0"/>
    <x v="0"/>
    <x v="6"/>
    <n v="1603.4699751853648"/>
    <x v="0"/>
  </r>
  <r>
    <x v="38"/>
    <x v="0"/>
    <x v="39"/>
    <x v="0"/>
    <x v="0"/>
    <x v="0"/>
    <x v="0"/>
    <x v="7"/>
    <n v="1924.1712206638467"/>
    <x v="0"/>
  </r>
  <r>
    <x v="38"/>
    <x v="0"/>
    <x v="39"/>
    <x v="0"/>
    <x v="0"/>
    <x v="0"/>
    <x v="0"/>
    <x v="8"/>
    <n v="1956.9501486820463"/>
    <x v="0"/>
  </r>
  <r>
    <x v="38"/>
    <x v="0"/>
    <x v="39"/>
    <x v="0"/>
    <x v="0"/>
    <x v="0"/>
    <x v="0"/>
    <x v="9"/>
    <n v="1775.861036156241"/>
    <x v="0"/>
  </r>
  <r>
    <x v="38"/>
    <x v="0"/>
    <x v="39"/>
    <x v="0"/>
    <x v="0"/>
    <x v="0"/>
    <x v="0"/>
    <x v="10"/>
    <n v="1735.0927697641016"/>
    <x v="0"/>
  </r>
  <r>
    <x v="38"/>
    <x v="0"/>
    <x v="39"/>
    <x v="0"/>
    <x v="0"/>
    <x v="0"/>
    <x v="0"/>
    <x v="11"/>
    <n v="2061.796940744156"/>
    <x v="0"/>
  </r>
  <r>
    <x v="39"/>
    <x v="0"/>
    <x v="40"/>
    <x v="0"/>
    <x v="0"/>
    <x v="0"/>
    <x v="0"/>
    <x v="0"/>
    <n v="0"/>
    <x v="0"/>
  </r>
  <r>
    <x v="39"/>
    <x v="0"/>
    <x v="40"/>
    <x v="0"/>
    <x v="0"/>
    <x v="0"/>
    <x v="0"/>
    <x v="1"/>
    <n v="0"/>
    <x v="0"/>
  </r>
  <r>
    <x v="39"/>
    <x v="0"/>
    <x v="40"/>
    <x v="0"/>
    <x v="0"/>
    <x v="0"/>
    <x v="0"/>
    <x v="2"/>
    <n v="941.10304446726559"/>
    <x v="0"/>
  </r>
  <r>
    <x v="39"/>
    <x v="0"/>
    <x v="40"/>
    <x v="0"/>
    <x v="0"/>
    <x v="0"/>
    <x v="0"/>
    <x v="3"/>
    <n v="1384.8318353945042"/>
    <x v="0"/>
  </r>
  <r>
    <x v="39"/>
    <x v="0"/>
    <x v="40"/>
    <x v="0"/>
    <x v="0"/>
    <x v="0"/>
    <x v="0"/>
    <x v="4"/>
    <n v="1413.2442656271437"/>
    <x v="0"/>
  </r>
  <r>
    <x v="39"/>
    <x v="0"/>
    <x v="40"/>
    <x v="0"/>
    <x v="0"/>
    <x v="0"/>
    <x v="0"/>
    <x v="5"/>
    <n v="1449.0860017194657"/>
    <x v="0"/>
  </r>
  <r>
    <x v="39"/>
    <x v="0"/>
    <x v="40"/>
    <x v="0"/>
    <x v="0"/>
    <x v="0"/>
    <x v="0"/>
    <x v="6"/>
    <n v="1481.5545427510513"/>
    <x v="0"/>
  </r>
  <r>
    <x v="39"/>
    <x v="0"/>
    <x v="40"/>
    <x v="0"/>
    <x v="0"/>
    <x v="0"/>
    <x v="0"/>
    <x v="7"/>
    <n v="1499.0632124838253"/>
    <x v="0"/>
  </r>
  <r>
    <x v="39"/>
    <x v="0"/>
    <x v="40"/>
    <x v="0"/>
    <x v="0"/>
    <x v="0"/>
    <x v="0"/>
    <x v="8"/>
    <n v="1500.7382578888817"/>
    <x v="0"/>
  </r>
  <r>
    <x v="39"/>
    <x v="0"/>
    <x v="40"/>
    <x v="0"/>
    <x v="0"/>
    <x v="0"/>
    <x v="0"/>
    <x v="9"/>
    <n v="1394.0303995886477"/>
    <x v="0"/>
  </r>
  <r>
    <x v="39"/>
    <x v="0"/>
    <x v="40"/>
    <x v="0"/>
    <x v="0"/>
    <x v="0"/>
    <x v="0"/>
    <x v="10"/>
    <n v="1354.2035398394728"/>
    <x v="0"/>
  </r>
  <r>
    <x v="39"/>
    <x v="0"/>
    <x v="40"/>
    <x v="0"/>
    <x v="0"/>
    <x v="0"/>
    <x v="0"/>
    <x v="11"/>
    <n v="1114.7697926753744"/>
    <x v="0"/>
  </r>
  <r>
    <x v="40"/>
    <x v="0"/>
    <x v="41"/>
    <x v="0"/>
    <x v="0"/>
    <x v="0"/>
    <x v="0"/>
    <x v="0"/>
    <n v="0"/>
    <x v="0"/>
  </r>
  <r>
    <x v="40"/>
    <x v="0"/>
    <x v="41"/>
    <x v="0"/>
    <x v="0"/>
    <x v="0"/>
    <x v="0"/>
    <x v="1"/>
    <n v="0"/>
    <x v="0"/>
  </r>
  <r>
    <x v="40"/>
    <x v="0"/>
    <x v="41"/>
    <x v="0"/>
    <x v="0"/>
    <x v="0"/>
    <x v="0"/>
    <x v="2"/>
    <n v="0"/>
    <x v="0"/>
  </r>
  <r>
    <x v="40"/>
    <x v="0"/>
    <x v="41"/>
    <x v="0"/>
    <x v="0"/>
    <x v="0"/>
    <x v="0"/>
    <x v="3"/>
    <n v="0"/>
    <x v="0"/>
  </r>
  <r>
    <x v="40"/>
    <x v="0"/>
    <x v="41"/>
    <x v="0"/>
    <x v="0"/>
    <x v="0"/>
    <x v="0"/>
    <x v="4"/>
    <n v="1554.081152720144"/>
    <x v="0"/>
  </r>
  <r>
    <x v="40"/>
    <x v="0"/>
    <x v="41"/>
    <x v="0"/>
    <x v="0"/>
    <x v="0"/>
    <x v="0"/>
    <x v="5"/>
    <n v="1580.6022646048"/>
    <x v="0"/>
  </r>
  <r>
    <x v="40"/>
    <x v="0"/>
    <x v="41"/>
    <x v="0"/>
    <x v="0"/>
    <x v="0"/>
    <x v="0"/>
    <x v="6"/>
    <n v="1584.398255563138"/>
    <x v="0"/>
  </r>
  <r>
    <x v="40"/>
    <x v="0"/>
    <x v="41"/>
    <x v="0"/>
    <x v="0"/>
    <x v="0"/>
    <x v="0"/>
    <x v="7"/>
    <n v="1634.3019173474463"/>
    <x v="0"/>
  </r>
  <r>
    <x v="40"/>
    <x v="0"/>
    <x v="41"/>
    <x v="0"/>
    <x v="0"/>
    <x v="0"/>
    <x v="0"/>
    <x v="8"/>
    <n v="1652.3532107112926"/>
    <x v="0"/>
  </r>
  <r>
    <x v="40"/>
    <x v="0"/>
    <x v="41"/>
    <x v="0"/>
    <x v="0"/>
    <x v="0"/>
    <x v="0"/>
    <x v="9"/>
    <n v="1500.5437473069237"/>
    <x v="0"/>
  </r>
  <r>
    <x v="40"/>
    <x v="0"/>
    <x v="41"/>
    <x v="0"/>
    <x v="0"/>
    <x v="0"/>
    <x v="0"/>
    <x v="10"/>
    <n v="2962.9778295143728"/>
    <x v="0"/>
  </r>
  <r>
    <x v="40"/>
    <x v="0"/>
    <x v="41"/>
    <x v="0"/>
    <x v="0"/>
    <x v="0"/>
    <x v="0"/>
    <x v="11"/>
    <n v="1726.8077714198375"/>
    <x v="0"/>
  </r>
  <r>
    <x v="41"/>
    <x v="0"/>
    <x v="42"/>
    <x v="0"/>
    <x v="0"/>
    <x v="0"/>
    <x v="0"/>
    <x v="0"/>
    <n v="0"/>
    <x v="0"/>
  </r>
  <r>
    <x v="41"/>
    <x v="0"/>
    <x v="42"/>
    <x v="0"/>
    <x v="0"/>
    <x v="0"/>
    <x v="0"/>
    <x v="1"/>
    <n v="0"/>
    <x v="0"/>
  </r>
  <r>
    <x v="41"/>
    <x v="0"/>
    <x v="42"/>
    <x v="0"/>
    <x v="0"/>
    <x v="0"/>
    <x v="0"/>
    <x v="2"/>
    <n v="0"/>
    <x v="0"/>
  </r>
  <r>
    <x v="41"/>
    <x v="0"/>
    <x v="42"/>
    <x v="0"/>
    <x v="0"/>
    <x v="0"/>
    <x v="0"/>
    <x v="3"/>
    <n v="0"/>
    <x v="0"/>
  </r>
  <r>
    <x v="41"/>
    <x v="0"/>
    <x v="42"/>
    <x v="0"/>
    <x v="0"/>
    <x v="0"/>
    <x v="0"/>
    <x v="4"/>
    <n v="0"/>
    <x v="0"/>
  </r>
  <r>
    <x v="41"/>
    <x v="0"/>
    <x v="42"/>
    <x v="0"/>
    <x v="0"/>
    <x v="0"/>
    <x v="0"/>
    <x v="5"/>
    <n v="9618.1162890101532"/>
    <x v="0"/>
  </r>
  <r>
    <x v="41"/>
    <x v="0"/>
    <x v="42"/>
    <x v="0"/>
    <x v="0"/>
    <x v="0"/>
    <x v="0"/>
    <x v="6"/>
    <n v="9327.9782071659411"/>
    <x v="0"/>
  </r>
  <r>
    <x v="41"/>
    <x v="0"/>
    <x v="42"/>
    <x v="0"/>
    <x v="0"/>
    <x v="0"/>
    <x v="0"/>
    <x v="7"/>
    <n v="9841.641970676701"/>
    <x v="0"/>
  </r>
  <r>
    <x v="41"/>
    <x v="0"/>
    <x v="42"/>
    <x v="0"/>
    <x v="0"/>
    <x v="0"/>
    <x v="0"/>
    <x v="8"/>
    <n v="9929.0623933360075"/>
    <x v="0"/>
  </r>
  <r>
    <x v="41"/>
    <x v="0"/>
    <x v="42"/>
    <x v="0"/>
    <x v="0"/>
    <x v="0"/>
    <x v="0"/>
    <x v="9"/>
    <n v="6512.2777805915066"/>
    <x v="0"/>
  </r>
  <r>
    <x v="41"/>
    <x v="0"/>
    <x v="42"/>
    <x v="0"/>
    <x v="0"/>
    <x v="0"/>
    <x v="0"/>
    <x v="10"/>
    <n v="0"/>
    <x v="0"/>
  </r>
  <r>
    <x v="41"/>
    <x v="0"/>
    <x v="42"/>
    <x v="0"/>
    <x v="0"/>
    <x v="0"/>
    <x v="0"/>
    <x v="11"/>
    <n v="0"/>
    <x v="0"/>
  </r>
  <r>
    <x v="42"/>
    <x v="0"/>
    <x v="43"/>
    <x v="1"/>
    <x v="0"/>
    <x v="2"/>
    <x v="0"/>
    <x v="0"/>
    <n v="0"/>
    <x v="0"/>
  </r>
  <r>
    <x v="42"/>
    <x v="0"/>
    <x v="43"/>
    <x v="1"/>
    <x v="0"/>
    <x v="2"/>
    <x v="0"/>
    <x v="1"/>
    <n v="0"/>
    <x v="0"/>
  </r>
  <r>
    <x v="42"/>
    <x v="0"/>
    <x v="43"/>
    <x v="1"/>
    <x v="0"/>
    <x v="2"/>
    <x v="0"/>
    <x v="2"/>
    <n v="0"/>
    <x v="0"/>
  </r>
  <r>
    <x v="42"/>
    <x v="0"/>
    <x v="43"/>
    <x v="1"/>
    <x v="0"/>
    <x v="2"/>
    <x v="0"/>
    <x v="3"/>
    <n v="0"/>
    <x v="0"/>
  </r>
  <r>
    <x v="42"/>
    <x v="0"/>
    <x v="43"/>
    <x v="1"/>
    <x v="0"/>
    <x v="2"/>
    <x v="0"/>
    <x v="4"/>
    <n v="0"/>
    <x v="0"/>
  </r>
  <r>
    <x v="42"/>
    <x v="0"/>
    <x v="43"/>
    <x v="1"/>
    <x v="0"/>
    <x v="2"/>
    <x v="0"/>
    <x v="5"/>
    <n v="0"/>
    <x v="0"/>
  </r>
  <r>
    <x v="42"/>
    <x v="0"/>
    <x v="43"/>
    <x v="1"/>
    <x v="0"/>
    <x v="2"/>
    <x v="0"/>
    <x v="6"/>
    <n v="0"/>
    <x v="0"/>
  </r>
  <r>
    <x v="42"/>
    <x v="0"/>
    <x v="43"/>
    <x v="1"/>
    <x v="0"/>
    <x v="2"/>
    <x v="0"/>
    <x v="7"/>
    <n v="0"/>
    <x v="0"/>
  </r>
  <r>
    <x v="42"/>
    <x v="0"/>
    <x v="43"/>
    <x v="1"/>
    <x v="0"/>
    <x v="2"/>
    <x v="0"/>
    <x v="8"/>
    <n v="0"/>
    <x v="0"/>
  </r>
  <r>
    <x v="42"/>
    <x v="0"/>
    <x v="43"/>
    <x v="1"/>
    <x v="0"/>
    <x v="2"/>
    <x v="0"/>
    <x v="9"/>
    <n v="0"/>
    <x v="0"/>
  </r>
  <r>
    <x v="42"/>
    <x v="0"/>
    <x v="43"/>
    <x v="1"/>
    <x v="0"/>
    <x v="2"/>
    <x v="0"/>
    <x v="10"/>
    <n v="0"/>
    <x v="0"/>
  </r>
  <r>
    <x v="42"/>
    <x v="0"/>
    <x v="43"/>
    <x v="1"/>
    <x v="0"/>
    <x v="2"/>
    <x v="0"/>
    <x v="11"/>
    <n v="0"/>
    <x v="0"/>
  </r>
  <r>
    <x v="30"/>
    <x v="0"/>
    <x v="44"/>
    <x v="0"/>
    <x v="0"/>
    <x v="0"/>
    <x v="0"/>
    <x v="0"/>
    <n v="0"/>
    <x v="0"/>
  </r>
  <r>
    <x v="30"/>
    <x v="0"/>
    <x v="44"/>
    <x v="0"/>
    <x v="0"/>
    <x v="0"/>
    <x v="0"/>
    <x v="1"/>
    <n v="0"/>
    <x v="0"/>
  </r>
  <r>
    <x v="30"/>
    <x v="0"/>
    <x v="44"/>
    <x v="0"/>
    <x v="0"/>
    <x v="0"/>
    <x v="0"/>
    <x v="2"/>
    <n v="0"/>
    <x v="0"/>
  </r>
  <r>
    <x v="30"/>
    <x v="0"/>
    <x v="44"/>
    <x v="0"/>
    <x v="0"/>
    <x v="0"/>
    <x v="0"/>
    <x v="3"/>
    <n v="0"/>
    <x v="0"/>
  </r>
  <r>
    <x v="30"/>
    <x v="0"/>
    <x v="44"/>
    <x v="0"/>
    <x v="0"/>
    <x v="0"/>
    <x v="0"/>
    <x v="4"/>
    <n v="0"/>
    <x v="0"/>
  </r>
  <r>
    <x v="30"/>
    <x v="0"/>
    <x v="44"/>
    <x v="0"/>
    <x v="0"/>
    <x v="0"/>
    <x v="0"/>
    <x v="5"/>
    <n v="0"/>
    <x v="0"/>
  </r>
  <r>
    <x v="30"/>
    <x v="0"/>
    <x v="44"/>
    <x v="0"/>
    <x v="0"/>
    <x v="0"/>
    <x v="0"/>
    <x v="6"/>
    <n v="0"/>
    <x v="0"/>
  </r>
  <r>
    <x v="30"/>
    <x v="0"/>
    <x v="44"/>
    <x v="0"/>
    <x v="0"/>
    <x v="0"/>
    <x v="0"/>
    <x v="7"/>
    <n v="0"/>
    <x v="0"/>
  </r>
  <r>
    <x v="30"/>
    <x v="0"/>
    <x v="44"/>
    <x v="0"/>
    <x v="0"/>
    <x v="0"/>
    <x v="0"/>
    <x v="8"/>
    <n v="0"/>
    <x v="0"/>
  </r>
  <r>
    <x v="30"/>
    <x v="0"/>
    <x v="44"/>
    <x v="0"/>
    <x v="0"/>
    <x v="0"/>
    <x v="0"/>
    <x v="9"/>
    <n v="0"/>
    <x v="0"/>
  </r>
  <r>
    <x v="30"/>
    <x v="0"/>
    <x v="44"/>
    <x v="0"/>
    <x v="0"/>
    <x v="0"/>
    <x v="0"/>
    <x v="10"/>
    <n v="0"/>
    <x v="0"/>
  </r>
  <r>
    <x v="30"/>
    <x v="0"/>
    <x v="44"/>
    <x v="0"/>
    <x v="0"/>
    <x v="0"/>
    <x v="0"/>
    <x v="11"/>
    <n v="0"/>
    <x v="0"/>
  </r>
  <r>
    <x v="43"/>
    <x v="0"/>
    <x v="45"/>
    <x v="0"/>
    <x v="0"/>
    <x v="0"/>
    <x v="0"/>
    <x v="0"/>
    <n v="0"/>
    <x v="0"/>
  </r>
  <r>
    <x v="43"/>
    <x v="0"/>
    <x v="45"/>
    <x v="0"/>
    <x v="0"/>
    <x v="0"/>
    <x v="0"/>
    <x v="1"/>
    <n v="0"/>
    <x v="0"/>
  </r>
  <r>
    <x v="43"/>
    <x v="0"/>
    <x v="45"/>
    <x v="0"/>
    <x v="0"/>
    <x v="0"/>
    <x v="0"/>
    <x v="2"/>
    <n v="0"/>
    <x v="0"/>
  </r>
  <r>
    <x v="43"/>
    <x v="0"/>
    <x v="45"/>
    <x v="0"/>
    <x v="0"/>
    <x v="0"/>
    <x v="0"/>
    <x v="3"/>
    <n v="0"/>
    <x v="0"/>
  </r>
  <r>
    <x v="43"/>
    <x v="0"/>
    <x v="45"/>
    <x v="0"/>
    <x v="0"/>
    <x v="0"/>
    <x v="0"/>
    <x v="4"/>
    <n v="0"/>
    <x v="0"/>
  </r>
  <r>
    <x v="43"/>
    <x v="0"/>
    <x v="45"/>
    <x v="0"/>
    <x v="0"/>
    <x v="0"/>
    <x v="0"/>
    <x v="5"/>
    <n v="0"/>
    <x v="0"/>
  </r>
  <r>
    <x v="43"/>
    <x v="0"/>
    <x v="45"/>
    <x v="0"/>
    <x v="0"/>
    <x v="0"/>
    <x v="0"/>
    <x v="6"/>
    <n v="547.95405578049042"/>
    <x v="0"/>
  </r>
  <r>
    <x v="43"/>
    <x v="0"/>
    <x v="45"/>
    <x v="0"/>
    <x v="0"/>
    <x v="0"/>
    <x v="0"/>
    <x v="7"/>
    <n v="1627.9380737394069"/>
    <x v="0"/>
  </r>
  <r>
    <x v="43"/>
    <x v="0"/>
    <x v="45"/>
    <x v="0"/>
    <x v="0"/>
    <x v="0"/>
    <x v="0"/>
    <x v="8"/>
    <n v="1636.0101448191106"/>
    <x v="0"/>
  </r>
  <r>
    <x v="43"/>
    <x v="0"/>
    <x v="45"/>
    <x v="0"/>
    <x v="0"/>
    <x v="0"/>
    <x v="0"/>
    <x v="9"/>
    <n v="1515.7717446397178"/>
    <x v="0"/>
  </r>
  <r>
    <x v="43"/>
    <x v="0"/>
    <x v="45"/>
    <x v="0"/>
    <x v="0"/>
    <x v="0"/>
    <x v="0"/>
    <x v="10"/>
    <n v="1482.1689730975738"/>
    <x v="0"/>
  </r>
  <r>
    <x v="43"/>
    <x v="0"/>
    <x v="45"/>
    <x v="0"/>
    <x v="0"/>
    <x v="0"/>
    <x v="0"/>
    <x v="11"/>
    <n v="1650.2545396330947"/>
    <x v="0"/>
  </r>
  <r>
    <x v="44"/>
    <x v="0"/>
    <x v="46"/>
    <x v="0"/>
    <x v="0"/>
    <x v="0"/>
    <x v="0"/>
    <x v="0"/>
    <n v="0"/>
    <x v="0"/>
  </r>
  <r>
    <x v="44"/>
    <x v="0"/>
    <x v="46"/>
    <x v="0"/>
    <x v="0"/>
    <x v="0"/>
    <x v="0"/>
    <x v="1"/>
    <n v="0"/>
    <x v="0"/>
  </r>
  <r>
    <x v="44"/>
    <x v="0"/>
    <x v="46"/>
    <x v="0"/>
    <x v="0"/>
    <x v="0"/>
    <x v="0"/>
    <x v="2"/>
    <n v="0"/>
    <x v="0"/>
  </r>
  <r>
    <x v="44"/>
    <x v="0"/>
    <x v="46"/>
    <x v="0"/>
    <x v="0"/>
    <x v="0"/>
    <x v="0"/>
    <x v="3"/>
    <n v="0"/>
    <x v="0"/>
  </r>
  <r>
    <x v="44"/>
    <x v="0"/>
    <x v="46"/>
    <x v="0"/>
    <x v="0"/>
    <x v="0"/>
    <x v="0"/>
    <x v="4"/>
    <n v="0"/>
    <x v="0"/>
  </r>
  <r>
    <x v="44"/>
    <x v="0"/>
    <x v="46"/>
    <x v="0"/>
    <x v="0"/>
    <x v="0"/>
    <x v="0"/>
    <x v="5"/>
    <n v="0"/>
    <x v="0"/>
  </r>
  <r>
    <x v="44"/>
    <x v="0"/>
    <x v="46"/>
    <x v="0"/>
    <x v="0"/>
    <x v="0"/>
    <x v="0"/>
    <x v="6"/>
    <n v="0"/>
    <x v="0"/>
  </r>
  <r>
    <x v="44"/>
    <x v="0"/>
    <x v="46"/>
    <x v="0"/>
    <x v="0"/>
    <x v="0"/>
    <x v="0"/>
    <x v="7"/>
    <n v="0"/>
    <x v="0"/>
  </r>
  <r>
    <x v="44"/>
    <x v="0"/>
    <x v="46"/>
    <x v="0"/>
    <x v="0"/>
    <x v="0"/>
    <x v="0"/>
    <x v="8"/>
    <n v="7567.3929019102188"/>
    <x v="0"/>
  </r>
  <r>
    <x v="44"/>
    <x v="0"/>
    <x v="46"/>
    <x v="0"/>
    <x v="0"/>
    <x v="0"/>
    <x v="0"/>
    <x v="9"/>
    <n v="6949.092822107501"/>
    <x v="0"/>
  </r>
  <r>
    <x v="44"/>
    <x v="0"/>
    <x v="46"/>
    <x v="0"/>
    <x v="0"/>
    <x v="0"/>
    <x v="0"/>
    <x v="10"/>
    <n v="6791.0935600656812"/>
    <x v="0"/>
  </r>
  <r>
    <x v="44"/>
    <x v="0"/>
    <x v="46"/>
    <x v="0"/>
    <x v="0"/>
    <x v="0"/>
    <x v="0"/>
    <x v="11"/>
    <n v="6820.6214393141272"/>
    <x v="0"/>
  </r>
  <r>
    <x v="45"/>
    <x v="0"/>
    <x v="47"/>
    <x v="0"/>
    <x v="0"/>
    <x v="0"/>
    <x v="0"/>
    <x v="0"/>
    <n v="0"/>
    <x v="0"/>
  </r>
  <r>
    <x v="45"/>
    <x v="0"/>
    <x v="47"/>
    <x v="0"/>
    <x v="0"/>
    <x v="0"/>
    <x v="0"/>
    <x v="1"/>
    <n v="3372.6943545457543"/>
    <x v="0"/>
  </r>
  <r>
    <x v="45"/>
    <x v="0"/>
    <x v="47"/>
    <x v="0"/>
    <x v="0"/>
    <x v="0"/>
    <x v="0"/>
    <x v="2"/>
    <n v="0"/>
    <x v="0"/>
  </r>
  <r>
    <x v="45"/>
    <x v="0"/>
    <x v="47"/>
    <x v="0"/>
    <x v="0"/>
    <x v="0"/>
    <x v="0"/>
    <x v="3"/>
    <n v="0"/>
    <x v="0"/>
  </r>
  <r>
    <x v="45"/>
    <x v="0"/>
    <x v="47"/>
    <x v="0"/>
    <x v="0"/>
    <x v="0"/>
    <x v="0"/>
    <x v="4"/>
    <n v="0"/>
    <x v="0"/>
  </r>
  <r>
    <x v="45"/>
    <x v="0"/>
    <x v="47"/>
    <x v="0"/>
    <x v="0"/>
    <x v="0"/>
    <x v="0"/>
    <x v="5"/>
    <n v="0"/>
    <x v="0"/>
  </r>
  <r>
    <x v="45"/>
    <x v="0"/>
    <x v="47"/>
    <x v="0"/>
    <x v="0"/>
    <x v="0"/>
    <x v="0"/>
    <x v="6"/>
    <n v="0"/>
    <x v="0"/>
  </r>
  <r>
    <x v="45"/>
    <x v="0"/>
    <x v="47"/>
    <x v="0"/>
    <x v="0"/>
    <x v="0"/>
    <x v="0"/>
    <x v="7"/>
    <n v="0"/>
    <x v="0"/>
  </r>
  <r>
    <x v="45"/>
    <x v="0"/>
    <x v="47"/>
    <x v="0"/>
    <x v="0"/>
    <x v="0"/>
    <x v="0"/>
    <x v="8"/>
    <n v="0"/>
    <x v="0"/>
  </r>
  <r>
    <x v="45"/>
    <x v="0"/>
    <x v="47"/>
    <x v="0"/>
    <x v="0"/>
    <x v="0"/>
    <x v="0"/>
    <x v="9"/>
    <n v="0"/>
    <x v="0"/>
  </r>
  <r>
    <x v="45"/>
    <x v="0"/>
    <x v="47"/>
    <x v="0"/>
    <x v="0"/>
    <x v="0"/>
    <x v="0"/>
    <x v="10"/>
    <n v="0"/>
    <x v="0"/>
  </r>
  <r>
    <x v="45"/>
    <x v="0"/>
    <x v="47"/>
    <x v="0"/>
    <x v="0"/>
    <x v="0"/>
    <x v="0"/>
    <x v="11"/>
    <n v="0"/>
    <x v="0"/>
  </r>
  <r>
    <x v="46"/>
    <x v="0"/>
    <x v="48"/>
    <x v="0"/>
    <x v="0"/>
    <x v="0"/>
    <x v="0"/>
    <x v="0"/>
    <n v="0"/>
    <x v="0"/>
  </r>
  <r>
    <x v="46"/>
    <x v="0"/>
    <x v="48"/>
    <x v="0"/>
    <x v="0"/>
    <x v="0"/>
    <x v="0"/>
    <x v="1"/>
    <n v="0"/>
    <x v="0"/>
  </r>
  <r>
    <x v="46"/>
    <x v="0"/>
    <x v="48"/>
    <x v="0"/>
    <x v="0"/>
    <x v="0"/>
    <x v="0"/>
    <x v="2"/>
    <n v="0"/>
    <x v="0"/>
  </r>
  <r>
    <x v="46"/>
    <x v="0"/>
    <x v="48"/>
    <x v="0"/>
    <x v="0"/>
    <x v="0"/>
    <x v="0"/>
    <x v="3"/>
    <n v="0"/>
    <x v="0"/>
  </r>
  <r>
    <x v="46"/>
    <x v="0"/>
    <x v="48"/>
    <x v="0"/>
    <x v="0"/>
    <x v="0"/>
    <x v="0"/>
    <x v="4"/>
    <n v="0"/>
    <x v="0"/>
  </r>
  <r>
    <x v="46"/>
    <x v="0"/>
    <x v="48"/>
    <x v="0"/>
    <x v="0"/>
    <x v="0"/>
    <x v="0"/>
    <x v="5"/>
    <n v="0"/>
    <x v="0"/>
  </r>
  <r>
    <x v="46"/>
    <x v="0"/>
    <x v="48"/>
    <x v="0"/>
    <x v="0"/>
    <x v="0"/>
    <x v="0"/>
    <x v="6"/>
    <n v="0"/>
    <x v="0"/>
  </r>
  <r>
    <x v="46"/>
    <x v="0"/>
    <x v="48"/>
    <x v="0"/>
    <x v="0"/>
    <x v="0"/>
    <x v="0"/>
    <x v="7"/>
    <n v="0"/>
    <x v="0"/>
  </r>
  <r>
    <x v="46"/>
    <x v="0"/>
    <x v="48"/>
    <x v="0"/>
    <x v="0"/>
    <x v="0"/>
    <x v="0"/>
    <x v="8"/>
    <n v="0"/>
    <x v="0"/>
  </r>
  <r>
    <x v="46"/>
    <x v="0"/>
    <x v="48"/>
    <x v="0"/>
    <x v="0"/>
    <x v="0"/>
    <x v="0"/>
    <x v="9"/>
    <n v="13482.882886169953"/>
    <x v="0"/>
  </r>
  <r>
    <x v="46"/>
    <x v="0"/>
    <x v="48"/>
    <x v="0"/>
    <x v="0"/>
    <x v="0"/>
    <x v="0"/>
    <x v="10"/>
    <n v="13212.967960657819"/>
    <x v="0"/>
  </r>
  <r>
    <x v="46"/>
    <x v="0"/>
    <x v="48"/>
    <x v="0"/>
    <x v="0"/>
    <x v="0"/>
    <x v="0"/>
    <x v="11"/>
    <n v="13223.502200464081"/>
    <x v="0"/>
  </r>
  <r>
    <x v="30"/>
    <x v="0"/>
    <x v="49"/>
    <x v="0"/>
    <x v="0"/>
    <x v="0"/>
    <x v="0"/>
    <x v="0"/>
    <n v="0"/>
    <x v="0"/>
  </r>
  <r>
    <x v="30"/>
    <x v="0"/>
    <x v="49"/>
    <x v="0"/>
    <x v="0"/>
    <x v="0"/>
    <x v="0"/>
    <x v="1"/>
    <n v="0"/>
    <x v="0"/>
  </r>
  <r>
    <x v="30"/>
    <x v="0"/>
    <x v="49"/>
    <x v="0"/>
    <x v="0"/>
    <x v="0"/>
    <x v="0"/>
    <x v="2"/>
    <n v="0"/>
    <x v="0"/>
  </r>
  <r>
    <x v="30"/>
    <x v="0"/>
    <x v="49"/>
    <x v="0"/>
    <x v="0"/>
    <x v="0"/>
    <x v="0"/>
    <x v="3"/>
    <n v="0"/>
    <x v="0"/>
  </r>
  <r>
    <x v="30"/>
    <x v="0"/>
    <x v="49"/>
    <x v="0"/>
    <x v="0"/>
    <x v="0"/>
    <x v="0"/>
    <x v="4"/>
    <n v="0"/>
    <x v="0"/>
  </r>
  <r>
    <x v="30"/>
    <x v="0"/>
    <x v="49"/>
    <x v="0"/>
    <x v="0"/>
    <x v="0"/>
    <x v="0"/>
    <x v="5"/>
    <n v="0"/>
    <x v="0"/>
  </r>
  <r>
    <x v="30"/>
    <x v="0"/>
    <x v="49"/>
    <x v="0"/>
    <x v="0"/>
    <x v="0"/>
    <x v="0"/>
    <x v="6"/>
    <n v="0"/>
    <x v="0"/>
  </r>
  <r>
    <x v="30"/>
    <x v="0"/>
    <x v="49"/>
    <x v="0"/>
    <x v="0"/>
    <x v="0"/>
    <x v="0"/>
    <x v="7"/>
    <n v="0"/>
    <x v="0"/>
  </r>
  <r>
    <x v="30"/>
    <x v="0"/>
    <x v="49"/>
    <x v="0"/>
    <x v="0"/>
    <x v="0"/>
    <x v="0"/>
    <x v="8"/>
    <n v="0"/>
    <x v="0"/>
  </r>
  <r>
    <x v="30"/>
    <x v="0"/>
    <x v="49"/>
    <x v="0"/>
    <x v="0"/>
    <x v="0"/>
    <x v="0"/>
    <x v="9"/>
    <n v="1118.9004135915743"/>
    <x v="0"/>
  </r>
  <r>
    <x v="30"/>
    <x v="0"/>
    <x v="49"/>
    <x v="0"/>
    <x v="0"/>
    <x v="0"/>
    <x v="0"/>
    <x v="10"/>
    <n v="1751.7117796229622"/>
    <x v="0"/>
  </r>
  <r>
    <x v="30"/>
    <x v="0"/>
    <x v="49"/>
    <x v="0"/>
    <x v="0"/>
    <x v="0"/>
    <x v="0"/>
    <x v="11"/>
    <n v="1805.0929126368051"/>
    <x v="0"/>
  </r>
  <r>
    <x v="30"/>
    <x v="0"/>
    <x v="50"/>
    <x v="0"/>
    <x v="0"/>
    <x v="0"/>
    <x v="0"/>
    <x v="0"/>
    <n v="0"/>
    <x v="0"/>
  </r>
  <r>
    <x v="30"/>
    <x v="0"/>
    <x v="50"/>
    <x v="0"/>
    <x v="0"/>
    <x v="0"/>
    <x v="0"/>
    <x v="1"/>
    <n v="0"/>
    <x v="0"/>
  </r>
  <r>
    <x v="30"/>
    <x v="0"/>
    <x v="50"/>
    <x v="0"/>
    <x v="0"/>
    <x v="0"/>
    <x v="0"/>
    <x v="2"/>
    <n v="0"/>
    <x v="0"/>
  </r>
  <r>
    <x v="30"/>
    <x v="0"/>
    <x v="50"/>
    <x v="0"/>
    <x v="0"/>
    <x v="0"/>
    <x v="0"/>
    <x v="3"/>
    <n v="0"/>
    <x v="0"/>
  </r>
  <r>
    <x v="30"/>
    <x v="0"/>
    <x v="50"/>
    <x v="0"/>
    <x v="0"/>
    <x v="0"/>
    <x v="0"/>
    <x v="4"/>
    <n v="0"/>
    <x v="0"/>
  </r>
  <r>
    <x v="30"/>
    <x v="0"/>
    <x v="50"/>
    <x v="0"/>
    <x v="0"/>
    <x v="0"/>
    <x v="0"/>
    <x v="5"/>
    <n v="0"/>
    <x v="0"/>
  </r>
  <r>
    <x v="30"/>
    <x v="0"/>
    <x v="50"/>
    <x v="0"/>
    <x v="0"/>
    <x v="0"/>
    <x v="0"/>
    <x v="6"/>
    <n v="0"/>
    <x v="0"/>
  </r>
  <r>
    <x v="30"/>
    <x v="0"/>
    <x v="50"/>
    <x v="0"/>
    <x v="0"/>
    <x v="0"/>
    <x v="0"/>
    <x v="7"/>
    <n v="0"/>
    <x v="0"/>
  </r>
  <r>
    <x v="30"/>
    <x v="0"/>
    <x v="50"/>
    <x v="0"/>
    <x v="0"/>
    <x v="0"/>
    <x v="0"/>
    <x v="8"/>
    <n v="0"/>
    <x v="0"/>
  </r>
  <r>
    <x v="30"/>
    <x v="0"/>
    <x v="50"/>
    <x v="0"/>
    <x v="0"/>
    <x v="0"/>
    <x v="0"/>
    <x v="9"/>
    <n v="0"/>
    <x v="0"/>
  </r>
  <r>
    <x v="30"/>
    <x v="0"/>
    <x v="50"/>
    <x v="0"/>
    <x v="0"/>
    <x v="0"/>
    <x v="0"/>
    <x v="10"/>
    <n v="2520.9708812164849"/>
    <x v="0"/>
  </r>
  <r>
    <x v="30"/>
    <x v="0"/>
    <x v="50"/>
    <x v="0"/>
    <x v="0"/>
    <x v="0"/>
    <x v="0"/>
    <x v="11"/>
    <n v="2541.2046767828997"/>
    <x v="0"/>
  </r>
  <r>
    <x v="30"/>
    <x v="0"/>
    <x v="51"/>
    <x v="0"/>
    <x v="0"/>
    <x v="0"/>
    <x v="0"/>
    <x v="0"/>
    <n v="0"/>
    <x v="0"/>
  </r>
  <r>
    <x v="30"/>
    <x v="0"/>
    <x v="51"/>
    <x v="0"/>
    <x v="0"/>
    <x v="0"/>
    <x v="0"/>
    <x v="1"/>
    <n v="0"/>
    <x v="0"/>
  </r>
  <r>
    <x v="30"/>
    <x v="0"/>
    <x v="51"/>
    <x v="0"/>
    <x v="0"/>
    <x v="0"/>
    <x v="0"/>
    <x v="2"/>
    <n v="0"/>
    <x v="0"/>
  </r>
  <r>
    <x v="30"/>
    <x v="0"/>
    <x v="51"/>
    <x v="0"/>
    <x v="0"/>
    <x v="0"/>
    <x v="0"/>
    <x v="3"/>
    <n v="0"/>
    <x v="0"/>
  </r>
  <r>
    <x v="30"/>
    <x v="0"/>
    <x v="51"/>
    <x v="0"/>
    <x v="0"/>
    <x v="0"/>
    <x v="0"/>
    <x v="4"/>
    <n v="0"/>
    <x v="0"/>
  </r>
  <r>
    <x v="30"/>
    <x v="0"/>
    <x v="51"/>
    <x v="0"/>
    <x v="0"/>
    <x v="0"/>
    <x v="0"/>
    <x v="5"/>
    <n v="0"/>
    <x v="0"/>
  </r>
  <r>
    <x v="30"/>
    <x v="0"/>
    <x v="51"/>
    <x v="0"/>
    <x v="0"/>
    <x v="0"/>
    <x v="0"/>
    <x v="6"/>
    <n v="0"/>
    <x v="0"/>
  </r>
  <r>
    <x v="30"/>
    <x v="0"/>
    <x v="51"/>
    <x v="0"/>
    <x v="0"/>
    <x v="0"/>
    <x v="0"/>
    <x v="7"/>
    <n v="0"/>
    <x v="0"/>
  </r>
  <r>
    <x v="30"/>
    <x v="0"/>
    <x v="51"/>
    <x v="0"/>
    <x v="0"/>
    <x v="0"/>
    <x v="0"/>
    <x v="8"/>
    <n v="0"/>
    <x v="0"/>
  </r>
  <r>
    <x v="30"/>
    <x v="0"/>
    <x v="51"/>
    <x v="0"/>
    <x v="0"/>
    <x v="0"/>
    <x v="0"/>
    <x v="9"/>
    <n v="0"/>
    <x v="0"/>
  </r>
  <r>
    <x v="30"/>
    <x v="0"/>
    <x v="51"/>
    <x v="0"/>
    <x v="0"/>
    <x v="0"/>
    <x v="0"/>
    <x v="10"/>
    <n v="0"/>
    <x v="0"/>
  </r>
  <r>
    <x v="30"/>
    <x v="0"/>
    <x v="51"/>
    <x v="0"/>
    <x v="0"/>
    <x v="0"/>
    <x v="0"/>
    <x v="11"/>
    <n v="1829.5406698616789"/>
    <x v="0"/>
  </r>
  <r>
    <x v="30"/>
    <x v="0"/>
    <x v="52"/>
    <x v="0"/>
    <x v="0"/>
    <x v="0"/>
    <x v="0"/>
    <x v="0"/>
    <n v="0"/>
    <x v="0"/>
  </r>
  <r>
    <x v="30"/>
    <x v="0"/>
    <x v="52"/>
    <x v="0"/>
    <x v="0"/>
    <x v="0"/>
    <x v="0"/>
    <x v="1"/>
    <n v="0"/>
    <x v="0"/>
  </r>
  <r>
    <x v="30"/>
    <x v="0"/>
    <x v="52"/>
    <x v="0"/>
    <x v="0"/>
    <x v="0"/>
    <x v="0"/>
    <x v="2"/>
    <n v="0"/>
    <x v="0"/>
  </r>
  <r>
    <x v="30"/>
    <x v="0"/>
    <x v="52"/>
    <x v="0"/>
    <x v="0"/>
    <x v="0"/>
    <x v="0"/>
    <x v="3"/>
    <n v="0"/>
    <x v="0"/>
  </r>
  <r>
    <x v="30"/>
    <x v="0"/>
    <x v="52"/>
    <x v="0"/>
    <x v="0"/>
    <x v="0"/>
    <x v="0"/>
    <x v="4"/>
    <n v="0"/>
    <x v="0"/>
  </r>
  <r>
    <x v="30"/>
    <x v="0"/>
    <x v="52"/>
    <x v="0"/>
    <x v="0"/>
    <x v="0"/>
    <x v="0"/>
    <x v="5"/>
    <n v="0"/>
    <x v="0"/>
  </r>
  <r>
    <x v="30"/>
    <x v="0"/>
    <x v="52"/>
    <x v="0"/>
    <x v="0"/>
    <x v="0"/>
    <x v="0"/>
    <x v="6"/>
    <n v="0"/>
    <x v="0"/>
  </r>
  <r>
    <x v="30"/>
    <x v="0"/>
    <x v="52"/>
    <x v="0"/>
    <x v="0"/>
    <x v="0"/>
    <x v="0"/>
    <x v="7"/>
    <n v="0"/>
    <x v="0"/>
  </r>
  <r>
    <x v="30"/>
    <x v="0"/>
    <x v="52"/>
    <x v="0"/>
    <x v="0"/>
    <x v="0"/>
    <x v="0"/>
    <x v="8"/>
    <n v="0"/>
    <x v="0"/>
  </r>
  <r>
    <x v="30"/>
    <x v="0"/>
    <x v="52"/>
    <x v="0"/>
    <x v="0"/>
    <x v="0"/>
    <x v="0"/>
    <x v="9"/>
    <n v="0"/>
    <x v="0"/>
  </r>
  <r>
    <x v="30"/>
    <x v="0"/>
    <x v="52"/>
    <x v="0"/>
    <x v="0"/>
    <x v="0"/>
    <x v="0"/>
    <x v="10"/>
    <n v="0"/>
    <x v="0"/>
  </r>
  <r>
    <x v="30"/>
    <x v="0"/>
    <x v="52"/>
    <x v="0"/>
    <x v="0"/>
    <x v="0"/>
    <x v="0"/>
    <x v="11"/>
    <n v="6571.9777486219973"/>
    <x v="0"/>
  </r>
  <r>
    <x v="30"/>
    <x v="0"/>
    <x v="53"/>
    <x v="0"/>
    <x v="0"/>
    <x v="0"/>
    <x v="0"/>
    <x v="0"/>
    <n v="0"/>
    <x v="0"/>
  </r>
  <r>
    <x v="30"/>
    <x v="0"/>
    <x v="53"/>
    <x v="0"/>
    <x v="0"/>
    <x v="0"/>
    <x v="0"/>
    <x v="1"/>
    <n v="0"/>
    <x v="0"/>
  </r>
  <r>
    <x v="30"/>
    <x v="0"/>
    <x v="53"/>
    <x v="0"/>
    <x v="0"/>
    <x v="0"/>
    <x v="0"/>
    <x v="2"/>
    <n v="0"/>
    <x v="0"/>
  </r>
  <r>
    <x v="30"/>
    <x v="0"/>
    <x v="53"/>
    <x v="0"/>
    <x v="0"/>
    <x v="0"/>
    <x v="0"/>
    <x v="3"/>
    <n v="0"/>
    <x v="0"/>
  </r>
  <r>
    <x v="30"/>
    <x v="0"/>
    <x v="53"/>
    <x v="0"/>
    <x v="0"/>
    <x v="0"/>
    <x v="0"/>
    <x v="4"/>
    <n v="0"/>
    <x v="0"/>
  </r>
  <r>
    <x v="30"/>
    <x v="0"/>
    <x v="53"/>
    <x v="0"/>
    <x v="0"/>
    <x v="0"/>
    <x v="0"/>
    <x v="5"/>
    <n v="0"/>
    <x v="0"/>
  </r>
  <r>
    <x v="30"/>
    <x v="0"/>
    <x v="53"/>
    <x v="0"/>
    <x v="0"/>
    <x v="0"/>
    <x v="0"/>
    <x v="6"/>
    <n v="0"/>
    <x v="0"/>
  </r>
  <r>
    <x v="30"/>
    <x v="0"/>
    <x v="53"/>
    <x v="0"/>
    <x v="0"/>
    <x v="0"/>
    <x v="0"/>
    <x v="7"/>
    <n v="0"/>
    <x v="0"/>
  </r>
  <r>
    <x v="30"/>
    <x v="0"/>
    <x v="53"/>
    <x v="0"/>
    <x v="0"/>
    <x v="0"/>
    <x v="0"/>
    <x v="8"/>
    <n v="0"/>
    <x v="0"/>
  </r>
  <r>
    <x v="30"/>
    <x v="0"/>
    <x v="53"/>
    <x v="0"/>
    <x v="0"/>
    <x v="0"/>
    <x v="0"/>
    <x v="9"/>
    <n v="0"/>
    <x v="0"/>
  </r>
  <r>
    <x v="30"/>
    <x v="0"/>
    <x v="53"/>
    <x v="0"/>
    <x v="0"/>
    <x v="0"/>
    <x v="0"/>
    <x v="10"/>
    <n v="0"/>
    <x v="0"/>
  </r>
  <r>
    <x v="30"/>
    <x v="0"/>
    <x v="53"/>
    <x v="0"/>
    <x v="0"/>
    <x v="0"/>
    <x v="0"/>
    <x v="11"/>
    <n v="7409.5827557993107"/>
    <x v="0"/>
  </r>
  <r>
    <x v="30"/>
    <x v="0"/>
    <x v="54"/>
    <x v="0"/>
    <x v="0"/>
    <x v="0"/>
    <x v="0"/>
    <x v="0"/>
    <n v="0"/>
    <x v="0"/>
  </r>
  <r>
    <x v="30"/>
    <x v="0"/>
    <x v="54"/>
    <x v="0"/>
    <x v="0"/>
    <x v="0"/>
    <x v="0"/>
    <x v="1"/>
    <n v="0"/>
    <x v="0"/>
  </r>
  <r>
    <x v="30"/>
    <x v="0"/>
    <x v="54"/>
    <x v="0"/>
    <x v="0"/>
    <x v="0"/>
    <x v="0"/>
    <x v="2"/>
    <n v="0"/>
    <x v="0"/>
  </r>
  <r>
    <x v="30"/>
    <x v="0"/>
    <x v="54"/>
    <x v="0"/>
    <x v="0"/>
    <x v="0"/>
    <x v="0"/>
    <x v="3"/>
    <n v="0"/>
    <x v="0"/>
  </r>
  <r>
    <x v="30"/>
    <x v="0"/>
    <x v="54"/>
    <x v="0"/>
    <x v="0"/>
    <x v="0"/>
    <x v="0"/>
    <x v="4"/>
    <n v="0"/>
    <x v="0"/>
  </r>
  <r>
    <x v="30"/>
    <x v="0"/>
    <x v="54"/>
    <x v="0"/>
    <x v="0"/>
    <x v="0"/>
    <x v="0"/>
    <x v="5"/>
    <n v="0"/>
    <x v="0"/>
  </r>
  <r>
    <x v="30"/>
    <x v="0"/>
    <x v="54"/>
    <x v="0"/>
    <x v="0"/>
    <x v="0"/>
    <x v="0"/>
    <x v="6"/>
    <n v="0"/>
    <x v="0"/>
  </r>
  <r>
    <x v="30"/>
    <x v="0"/>
    <x v="54"/>
    <x v="0"/>
    <x v="0"/>
    <x v="0"/>
    <x v="0"/>
    <x v="7"/>
    <n v="0"/>
    <x v="0"/>
  </r>
  <r>
    <x v="30"/>
    <x v="0"/>
    <x v="54"/>
    <x v="0"/>
    <x v="0"/>
    <x v="0"/>
    <x v="0"/>
    <x v="8"/>
    <n v="0"/>
    <x v="0"/>
  </r>
  <r>
    <x v="30"/>
    <x v="0"/>
    <x v="54"/>
    <x v="0"/>
    <x v="0"/>
    <x v="0"/>
    <x v="0"/>
    <x v="9"/>
    <n v="0"/>
    <x v="0"/>
  </r>
  <r>
    <x v="30"/>
    <x v="0"/>
    <x v="54"/>
    <x v="0"/>
    <x v="0"/>
    <x v="0"/>
    <x v="0"/>
    <x v="10"/>
    <n v="0"/>
    <x v="0"/>
  </r>
  <r>
    <x v="30"/>
    <x v="0"/>
    <x v="54"/>
    <x v="0"/>
    <x v="0"/>
    <x v="0"/>
    <x v="0"/>
    <x v="11"/>
    <n v="6249.8219766307238"/>
    <x v="0"/>
  </r>
  <r>
    <x v="30"/>
    <x v="0"/>
    <x v="55"/>
    <x v="0"/>
    <x v="0"/>
    <x v="0"/>
    <x v="0"/>
    <x v="0"/>
    <n v="157.80000506045681"/>
    <x v="0"/>
  </r>
  <r>
    <x v="30"/>
    <x v="0"/>
    <x v="55"/>
    <x v="0"/>
    <x v="0"/>
    <x v="0"/>
    <x v="0"/>
    <x v="1"/>
    <n v="296.78609910526558"/>
    <x v="0"/>
  </r>
  <r>
    <x v="30"/>
    <x v="0"/>
    <x v="55"/>
    <x v="0"/>
    <x v="0"/>
    <x v="0"/>
    <x v="0"/>
    <x v="2"/>
    <n v="204.3324990901786"/>
    <x v="0"/>
  </r>
  <r>
    <x v="30"/>
    <x v="0"/>
    <x v="55"/>
    <x v="0"/>
    <x v="0"/>
    <x v="0"/>
    <x v="0"/>
    <x v="3"/>
    <n v="0"/>
    <x v="0"/>
  </r>
  <r>
    <x v="30"/>
    <x v="0"/>
    <x v="55"/>
    <x v="0"/>
    <x v="0"/>
    <x v="0"/>
    <x v="0"/>
    <x v="4"/>
    <n v="0"/>
    <x v="0"/>
  </r>
  <r>
    <x v="30"/>
    <x v="0"/>
    <x v="55"/>
    <x v="0"/>
    <x v="0"/>
    <x v="0"/>
    <x v="0"/>
    <x v="5"/>
    <n v="0"/>
    <x v="0"/>
  </r>
  <r>
    <x v="30"/>
    <x v="0"/>
    <x v="55"/>
    <x v="0"/>
    <x v="0"/>
    <x v="0"/>
    <x v="0"/>
    <x v="6"/>
    <n v="0"/>
    <x v="0"/>
  </r>
  <r>
    <x v="30"/>
    <x v="0"/>
    <x v="55"/>
    <x v="0"/>
    <x v="0"/>
    <x v="0"/>
    <x v="0"/>
    <x v="7"/>
    <n v="0"/>
    <x v="0"/>
  </r>
  <r>
    <x v="30"/>
    <x v="0"/>
    <x v="55"/>
    <x v="0"/>
    <x v="0"/>
    <x v="0"/>
    <x v="0"/>
    <x v="8"/>
    <n v="0"/>
    <x v="0"/>
  </r>
  <r>
    <x v="30"/>
    <x v="0"/>
    <x v="55"/>
    <x v="0"/>
    <x v="0"/>
    <x v="0"/>
    <x v="0"/>
    <x v="9"/>
    <n v="0"/>
    <x v="0"/>
  </r>
  <r>
    <x v="30"/>
    <x v="0"/>
    <x v="55"/>
    <x v="0"/>
    <x v="0"/>
    <x v="0"/>
    <x v="0"/>
    <x v="10"/>
    <n v="0"/>
    <x v="0"/>
  </r>
  <r>
    <x v="30"/>
    <x v="0"/>
    <x v="55"/>
    <x v="0"/>
    <x v="0"/>
    <x v="0"/>
    <x v="0"/>
    <x v="11"/>
    <n v="0"/>
    <x v="0"/>
  </r>
  <r>
    <x v="30"/>
    <x v="0"/>
    <x v="56"/>
    <x v="0"/>
    <x v="0"/>
    <x v="0"/>
    <x v="0"/>
    <x v="0"/>
    <n v="157.80000506045681"/>
    <x v="0"/>
  </r>
  <r>
    <x v="30"/>
    <x v="0"/>
    <x v="56"/>
    <x v="0"/>
    <x v="0"/>
    <x v="0"/>
    <x v="0"/>
    <x v="1"/>
    <n v="296.78609910526558"/>
    <x v="0"/>
  </r>
  <r>
    <x v="30"/>
    <x v="0"/>
    <x v="56"/>
    <x v="0"/>
    <x v="0"/>
    <x v="0"/>
    <x v="0"/>
    <x v="2"/>
    <n v="204.3324990901786"/>
    <x v="0"/>
  </r>
  <r>
    <x v="30"/>
    <x v="0"/>
    <x v="56"/>
    <x v="0"/>
    <x v="0"/>
    <x v="0"/>
    <x v="0"/>
    <x v="3"/>
    <n v="0"/>
    <x v="0"/>
  </r>
  <r>
    <x v="30"/>
    <x v="0"/>
    <x v="56"/>
    <x v="0"/>
    <x v="0"/>
    <x v="0"/>
    <x v="0"/>
    <x v="4"/>
    <n v="0"/>
    <x v="0"/>
  </r>
  <r>
    <x v="30"/>
    <x v="0"/>
    <x v="56"/>
    <x v="0"/>
    <x v="0"/>
    <x v="0"/>
    <x v="0"/>
    <x v="5"/>
    <n v="0"/>
    <x v="0"/>
  </r>
  <r>
    <x v="30"/>
    <x v="0"/>
    <x v="56"/>
    <x v="0"/>
    <x v="0"/>
    <x v="0"/>
    <x v="0"/>
    <x v="6"/>
    <n v="0"/>
    <x v="0"/>
  </r>
  <r>
    <x v="30"/>
    <x v="0"/>
    <x v="56"/>
    <x v="0"/>
    <x v="0"/>
    <x v="0"/>
    <x v="0"/>
    <x v="7"/>
    <n v="0"/>
    <x v="0"/>
  </r>
  <r>
    <x v="30"/>
    <x v="0"/>
    <x v="56"/>
    <x v="0"/>
    <x v="0"/>
    <x v="0"/>
    <x v="0"/>
    <x v="8"/>
    <n v="0"/>
    <x v="0"/>
  </r>
  <r>
    <x v="30"/>
    <x v="0"/>
    <x v="56"/>
    <x v="0"/>
    <x v="0"/>
    <x v="0"/>
    <x v="0"/>
    <x v="9"/>
    <n v="0"/>
    <x v="0"/>
  </r>
  <r>
    <x v="30"/>
    <x v="0"/>
    <x v="56"/>
    <x v="0"/>
    <x v="0"/>
    <x v="0"/>
    <x v="0"/>
    <x v="10"/>
    <n v="0"/>
    <x v="0"/>
  </r>
  <r>
    <x v="30"/>
    <x v="0"/>
    <x v="56"/>
    <x v="0"/>
    <x v="0"/>
    <x v="0"/>
    <x v="0"/>
    <x v="11"/>
    <n v="0"/>
    <x v="0"/>
  </r>
  <r>
    <x v="39"/>
    <x v="0"/>
    <x v="40"/>
    <x v="0"/>
    <x v="0"/>
    <x v="0"/>
    <x v="0"/>
    <x v="0"/>
    <n v="157.80000506045681"/>
    <x v="0"/>
  </r>
  <r>
    <x v="39"/>
    <x v="0"/>
    <x v="40"/>
    <x v="0"/>
    <x v="0"/>
    <x v="0"/>
    <x v="0"/>
    <x v="1"/>
    <n v="296.78609910526558"/>
    <x v="0"/>
  </r>
  <r>
    <x v="39"/>
    <x v="0"/>
    <x v="40"/>
    <x v="0"/>
    <x v="0"/>
    <x v="0"/>
    <x v="0"/>
    <x v="2"/>
    <n v="102.16680681655458"/>
    <x v="0"/>
  </r>
  <r>
    <x v="39"/>
    <x v="0"/>
    <x v="40"/>
    <x v="0"/>
    <x v="0"/>
    <x v="0"/>
    <x v="0"/>
    <x v="3"/>
    <n v="0"/>
    <x v="0"/>
  </r>
  <r>
    <x v="39"/>
    <x v="0"/>
    <x v="40"/>
    <x v="0"/>
    <x v="0"/>
    <x v="0"/>
    <x v="0"/>
    <x v="4"/>
    <n v="0"/>
    <x v="0"/>
  </r>
  <r>
    <x v="39"/>
    <x v="0"/>
    <x v="40"/>
    <x v="0"/>
    <x v="0"/>
    <x v="0"/>
    <x v="0"/>
    <x v="5"/>
    <n v="0"/>
    <x v="0"/>
  </r>
  <r>
    <x v="39"/>
    <x v="0"/>
    <x v="40"/>
    <x v="0"/>
    <x v="0"/>
    <x v="0"/>
    <x v="0"/>
    <x v="6"/>
    <n v="0"/>
    <x v="0"/>
  </r>
  <r>
    <x v="39"/>
    <x v="0"/>
    <x v="40"/>
    <x v="0"/>
    <x v="0"/>
    <x v="0"/>
    <x v="0"/>
    <x v="7"/>
    <n v="0"/>
    <x v="0"/>
  </r>
  <r>
    <x v="39"/>
    <x v="0"/>
    <x v="40"/>
    <x v="0"/>
    <x v="0"/>
    <x v="0"/>
    <x v="0"/>
    <x v="8"/>
    <n v="0"/>
    <x v="0"/>
  </r>
  <r>
    <x v="39"/>
    <x v="0"/>
    <x v="40"/>
    <x v="0"/>
    <x v="0"/>
    <x v="0"/>
    <x v="0"/>
    <x v="9"/>
    <n v="0"/>
    <x v="0"/>
  </r>
  <r>
    <x v="39"/>
    <x v="0"/>
    <x v="40"/>
    <x v="0"/>
    <x v="0"/>
    <x v="0"/>
    <x v="0"/>
    <x v="10"/>
    <n v="0"/>
    <x v="0"/>
  </r>
  <r>
    <x v="39"/>
    <x v="0"/>
    <x v="40"/>
    <x v="0"/>
    <x v="0"/>
    <x v="0"/>
    <x v="0"/>
    <x v="11"/>
    <n v="0"/>
    <x v="0"/>
  </r>
  <r>
    <x v="30"/>
    <x v="0"/>
    <x v="57"/>
    <x v="0"/>
    <x v="0"/>
    <x v="0"/>
    <x v="0"/>
    <x v="0"/>
    <n v="0"/>
    <x v="0"/>
  </r>
  <r>
    <x v="30"/>
    <x v="0"/>
    <x v="57"/>
    <x v="0"/>
    <x v="0"/>
    <x v="0"/>
    <x v="0"/>
    <x v="1"/>
    <n v="0"/>
    <x v="0"/>
  </r>
  <r>
    <x v="30"/>
    <x v="0"/>
    <x v="57"/>
    <x v="0"/>
    <x v="0"/>
    <x v="0"/>
    <x v="0"/>
    <x v="2"/>
    <n v="0"/>
    <x v="0"/>
  </r>
  <r>
    <x v="30"/>
    <x v="0"/>
    <x v="57"/>
    <x v="0"/>
    <x v="0"/>
    <x v="0"/>
    <x v="0"/>
    <x v="3"/>
    <n v="308.17134914893109"/>
    <x v="0"/>
  </r>
  <r>
    <x v="30"/>
    <x v="0"/>
    <x v="57"/>
    <x v="0"/>
    <x v="0"/>
    <x v="0"/>
    <x v="0"/>
    <x v="4"/>
    <n v="0"/>
    <x v="0"/>
  </r>
  <r>
    <x v="30"/>
    <x v="0"/>
    <x v="57"/>
    <x v="0"/>
    <x v="0"/>
    <x v="0"/>
    <x v="0"/>
    <x v="5"/>
    <n v="0"/>
    <x v="0"/>
  </r>
  <r>
    <x v="30"/>
    <x v="0"/>
    <x v="57"/>
    <x v="0"/>
    <x v="0"/>
    <x v="0"/>
    <x v="0"/>
    <x v="6"/>
    <n v="0"/>
    <x v="0"/>
  </r>
  <r>
    <x v="30"/>
    <x v="0"/>
    <x v="57"/>
    <x v="0"/>
    <x v="0"/>
    <x v="0"/>
    <x v="0"/>
    <x v="7"/>
    <n v="0"/>
    <x v="0"/>
  </r>
  <r>
    <x v="30"/>
    <x v="0"/>
    <x v="57"/>
    <x v="0"/>
    <x v="0"/>
    <x v="0"/>
    <x v="0"/>
    <x v="8"/>
    <n v="0"/>
    <x v="0"/>
  </r>
  <r>
    <x v="30"/>
    <x v="0"/>
    <x v="57"/>
    <x v="0"/>
    <x v="0"/>
    <x v="0"/>
    <x v="0"/>
    <x v="9"/>
    <n v="0"/>
    <x v="0"/>
  </r>
  <r>
    <x v="30"/>
    <x v="0"/>
    <x v="57"/>
    <x v="0"/>
    <x v="0"/>
    <x v="0"/>
    <x v="0"/>
    <x v="10"/>
    <n v="0"/>
    <x v="0"/>
  </r>
  <r>
    <x v="30"/>
    <x v="0"/>
    <x v="57"/>
    <x v="0"/>
    <x v="0"/>
    <x v="0"/>
    <x v="0"/>
    <x v="11"/>
    <n v="0"/>
    <x v="0"/>
  </r>
  <r>
    <x v="47"/>
    <x v="1"/>
    <x v="58"/>
    <x v="2"/>
    <x v="2"/>
    <x v="3"/>
    <x v="1"/>
    <x v="0"/>
    <n v="42198.645552370421"/>
    <x v="0"/>
  </r>
  <r>
    <x v="47"/>
    <x v="1"/>
    <x v="58"/>
    <x v="2"/>
    <x v="2"/>
    <x v="3"/>
    <x v="1"/>
    <x v="1"/>
    <n v="0"/>
    <x v="0"/>
  </r>
  <r>
    <x v="47"/>
    <x v="1"/>
    <x v="58"/>
    <x v="2"/>
    <x v="2"/>
    <x v="3"/>
    <x v="1"/>
    <x v="2"/>
    <n v="13886.802564903501"/>
    <x v="0"/>
  </r>
  <r>
    <x v="47"/>
    <x v="1"/>
    <x v="58"/>
    <x v="2"/>
    <x v="2"/>
    <x v="3"/>
    <x v="1"/>
    <x v="3"/>
    <n v="0"/>
    <x v="0"/>
  </r>
  <r>
    <x v="47"/>
    <x v="1"/>
    <x v="58"/>
    <x v="2"/>
    <x v="2"/>
    <x v="3"/>
    <x v="1"/>
    <x v="4"/>
    <n v="0"/>
    <x v="0"/>
  </r>
  <r>
    <x v="47"/>
    <x v="1"/>
    <x v="58"/>
    <x v="2"/>
    <x v="2"/>
    <x v="3"/>
    <x v="1"/>
    <x v="5"/>
    <n v="22741.378119181591"/>
    <x v="0"/>
  </r>
  <r>
    <x v="47"/>
    <x v="1"/>
    <x v="58"/>
    <x v="2"/>
    <x v="2"/>
    <x v="3"/>
    <x v="1"/>
    <x v="6"/>
    <n v="0"/>
    <x v="0"/>
  </r>
  <r>
    <x v="47"/>
    <x v="1"/>
    <x v="58"/>
    <x v="2"/>
    <x v="2"/>
    <x v="3"/>
    <x v="1"/>
    <x v="7"/>
    <n v="7569.294565577462"/>
    <x v="0"/>
  </r>
  <r>
    <x v="47"/>
    <x v="1"/>
    <x v="58"/>
    <x v="2"/>
    <x v="2"/>
    <x v="3"/>
    <x v="1"/>
    <x v="8"/>
    <n v="0"/>
    <x v="0"/>
  </r>
  <r>
    <x v="47"/>
    <x v="1"/>
    <x v="58"/>
    <x v="2"/>
    <x v="2"/>
    <x v="3"/>
    <x v="1"/>
    <x v="9"/>
    <n v="1156.193060441612"/>
    <x v="0"/>
  </r>
  <r>
    <x v="47"/>
    <x v="1"/>
    <x v="58"/>
    <x v="2"/>
    <x v="2"/>
    <x v="3"/>
    <x v="1"/>
    <x v="10"/>
    <n v="34823.874510388647"/>
    <x v="0"/>
  </r>
  <r>
    <x v="47"/>
    <x v="1"/>
    <x v="58"/>
    <x v="2"/>
    <x v="2"/>
    <x v="3"/>
    <x v="1"/>
    <x v="11"/>
    <n v="15173.832442913757"/>
    <x v="0"/>
  </r>
  <r>
    <x v="30"/>
    <x v="2"/>
    <x v="59"/>
    <x v="2"/>
    <x v="2"/>
    <x v="3"/>
    <x v="0"/>
    <x v="0"/>
    <n v="0"/>
    <x v="0"/>
  </r>
  <r>
    <x v="30"/>
    <x v="2"/>
    <x v="59"/>
    <x v="2"/>
    <x v="2"/>
    <x v="3"/>
    <x v="0"/>
    <x v="1"/>
    <n v="0"/>
    <x v="0"/>
  </r>
  <r>
    <x v="30"/>
    <x v="2"/>
    <x v="59"/>
    <x v="2"/>
    <x v="2"/>
    <x v="3"/>
    <x v="0"/>
    <x v="2"/>
    <n v="0"/>
    <x v="0"/>
  </r>
  <r>
    <x v="30"/>
    <x v="2"/>
    <x v="59"/>
    <x v="2"/>
    <x v="2"/>
    <x v="3"/>
    <x v="0"/>
    <x v="3"/>
    <n v="0"/>
    <x v="0"/>
  </r>
  <r>
    <x v="30"/>
    <x v="2"/>
    <x v="59"/>
    <x v="2"/>
    <x v="2"/>
    <x v="3"/>
    <x v="0"/>
    <x v="4"/>
    <n v="0"/>
    <x v="0"/>
  </r>
  <r>
    <x v="30"/>
    <x v="2"/>
    <x v="59"/>
    <x v="2"/>
    <x v="2"/>
    <x v="3"/>
    <x v="0"/>
    <x v="5"/>
    <n v="0"/>
    <x v="0"/>
  </r>
  <r>
    <x v="30"/>
    <x v="2"/>
    <x v="59"/>
    <x v="2"/>
    <x v="2"/>
    <x v="3"/>
    <x v="0"/>
    <x v="6"/>
    <n v="0"/>
    <x v="0"/>
  </r>
  <r>
    <x v="30"/>
    <x v="2"/>
    <x v="59"/>
    <x v="2"/>
    <x v="2"/>
    <x v="3"/>
    <x v="0"/>
    <x v="7"/>
    <n v="17316.154969763866"/>
    <x v="0"/>
  </r>
  <r>
    <x v="30"/>
    <x v="2"/>
    <x v="59"/>
    <x v="2"/>
    <x v="2"/>
    <x v="3"/>
    <x v="0"/>
    <x v="8"/>
    <n v="0"/>
    <x v="0"/>
  </r>
  <r>
    <x v="30"/>
    <x v="2"/>
    <x v="59"/>
    <x v="2"/>
    <x v="2"/>
    <x v="3"/>
    <x v="0"/>
    <x v="9"/>
    <n v="0"/>
    <x v="0"/>
  </r>
  <r>
    <x v="30"/>
    <x v="2"/>
    <x v="59"/>
    <x v="2"/>
    <x v="2"/>
    <x v="3"/>
    <x v="0"/>
    <x v="10"/>
    <n v="0"/>
    <x v="0"/>
  </r>
  <r>
    <x v="30"/>
    <x v="2"/>
    <x v="59"/>
    <x v="2"/>
    <x v="2"/>
    <x v="3"/>
    <x v="0"/>
    <x v="11"/>
    <n v="0"/>
    <x v="0"/>
  </r>
  <r>
    <x v="30"/>
    <x v="2"/>
    <x v="60"/>
    <x v="0"/>
    <x v="2"/>
    <x v="3"/>
    <x v="2"/>
    <x v="0"/>
    <n v="0"/>
    <x v="0"/>
  </r>
  <r>
    <x v="30"/>
    <x v="2"/>
    <x v="60"/>
    <x v="0"/>
    <x v="2"/>
    <x v="3"/>
    <x v="2"/>
    <x v="1"/>
    <n v="0"/>
    <x v="0"/>
  </r>
  <r>
    <x v="30"/>
    <x v="2"/>
    <x v="60"/>
    <x v="0"/>
    <x v="2"/>
    <x v="3"/>
    <x v="2"/>
    <x v="2"/>
    <n v="0"/>
    <x v="0"/>
  </r>
  <r>
    <x v="30"/>
    <x v="2"/>
    <x v="60"/>
    <x v="0"/>
    <x v="2"/>
    <x v="3"/>
    <x v="2"/>
    <x v="3"/>
    <n v="0"/>
    <x v="0"/>
  </r>
  <r>
    <x v="30"/>
    <x v="2"/>
    <x v="60"/>
    <x v="0"/>
    <x v="2"/>
    <x v="3"/>
    <x v="2"/>
    <x v="4"/>
    <n v="0"/>
    <x v="0"/>
  </r>
  <r>
    <x v="30"/>
    <x v="2"/>
    <x v="60"/>
    <x v="0"/>
    <x v="2"/>
    <x v="3"/>
    <x v="2"/>
    <x v="5"/>
    <n v="0"/>
    <x v="0"/>
  </r>
  <r>
    <x v="30"/>
    <x v="2"/>
    <x v="60"/>
    <x v="0"/>
    <x v="2"/>
    <x v="3"/>
    <x v="2"/>
    <x v="6"/>
    <n v="0"/>
    <x v="0"/>
  </r>
  <r>
    <x v="30"/>
    <x v="2"/>
    <x v="60"/>
    <x v="0"/>
    <x v="2"/>
    <x v="3"/>
    <x v="2"/>
    <x v="7"/>
    <n v="0"/>
    <x v="0"/>
  </r>
  <r>
    <x v="30"/>
    <x v="2"/>
    <x v="60"/>
    <x v="0"/>
    <x v="2"/>
    <x v="3"/>
    <x v="2"/>
    <x v="8"/>
    <n v="0"/>
    <x v="0"/>
  </r>
  <r>
    <x v="30"/>
    <x v="2"/>
    <x v="60"/>
    <x v="0"/>
    <x v="2"/>
    <x v="3"/>
    <x v="2"/>
    <x v="9"/>
    <n v="0"/>
    <x v="0"/>
  </r>
  <r>
    <x v="30"/>
    <x v="2"/>
    <x v="60"/>
    <x v="0"/>
    <x v="2"/>
    <x v="3"/>
    <x v="2"/>
    <x v="10"/>
    <n v="0"/>
    <x v="0"/>
  </r>
  <r>
    <x v="30"/>
    <x v="2"/>
    <x v="60"/>
    <x v="0"/>
    <x v="2"/>
    <x v="3"/>
    <x v="2"/>
    <x v="11"/>
    <n v="0"/>
    <x v="0"/>
  </r>
  <r>
    <x v="30"/>
    <x v="2"/>
    <x v="61"/>
    <x v="0"/>
    <x v="2"/>
    <x v="3"/>
    <x v="0"/>
    <x v="0"/>
    <n v="0"/>
    <x v="0"/>
  </r>
  <r>
    <x v="30"/>
    <x v="2"/>
    <x v="61"/>
    <x v="0"/>
    <x v="2"/>
    <x v="3"/>
    <x v="0"/>
    <x v="1"/>
    <n v="0"/>
    <x v="0"/>
  </r>
  <r>
    <x v="30"/>
    <x v="2"/>
    <x v="61"/>
    <x v="0"/>
    <x v="2"/>
    <x v="3"/>
    <x v="0"/>
    <x v="2"/>
    <n v="0"/>
    <x v="0"/>
  </r>
  <r>
    <x v="30"/>
    <x v="2"/>
    <x v="61"/>
    <x v="0"/>
    <x v="2"/>
    <x v="3"/>
    <x v="0"/>
    <x v="3"/>
    <n v="0"/>
    <x v="0"/>
  </r>
  <r>
    <x v="30"/>
    <x v="2"/>
    <x v="61"/>
    <x v="0"/>
    <x v="2"/>
    <x v="3"/>
    <x v="0"/>
    <x v="4"/>
    <n v="0"/>
    <x v="0"/>
  </r>
  <r>
    <x v="30"/>
    <x v="2"/>
    <x v="61"/>
    <x v="0"/>
    <x v="2"/>
    <x v="3"/>
    <x v="0"/>
    <x v="5"/>
    <n v="0"/>
    <x v="0"/>
  </r>
  <r>
    <x v="30"/>
    <x v="2"/>
    <x v="61"/>
    <x v="0"/>
    <x v="2"/>
    <x v="3"/>
    <x v="0"/>
    <x v="6"/>
    <n v="0"/>
    <x v="0"/>
  </r>
  <r>
    <x v="30"/>
    <x v="2"/>
    <x v="61"/>
    <x v="0"/>
    <x v="2"/>
    <x v="3"/>
    <x v="0"/>
    <x v="7"/>
    <n v="0"/>
    <x v="0"/>
  </r>
  <r>
    <x v="30"/>
    <x v="2"/>
    <x v="61"/>
    <x v="0"/>
    <x v="2"/>
    <x v="3"/>
    <x v="0"/>
    <x v="8"/>
    <n v="0"/>
    <x v="0"/>
  </r>
  <r>
    <x v="30"/>
    <x v="2"/>
    <x v="61"/>
    <x v="0"/>
    <x v="2"/>
    <x v="3"/>
    <x v="0"/>
    <x v="9"/>
    <n v="0"/>
    <x v="0"/>
  </r>
  <r>
    <x v="30"/>
    <x v="2"/>
    <x v="61"/>
    <x v="0"/>
    <x v="2"/>
    <x v="3"/>
    <x v="0"/>
    <x v="10"/>
    <n v="0"/>
    <x v="0"/>
  </r>
  <r>
    <x v="30"/>
    <x v="2"/>
    <x v="61"/>
    <x v="0"/>
    <x v="2"/>
    <x v="3"/>
    <x v="0"/>
    <x v="11"/>
    <n v="0"/>
    <x v="0"/>
  </r>
  <r>
    <x v="30"/>
    <x v="1"/>
    <x v="62"/>
    <x v="2"/>
    <x v="2"/>
    <x v="3"/>
    <x v="0"/>
    <x v="0"/>
    <n v="0"/>
    <x v="0"/>
  </r>
  <r>
    <x v="30"/>
    <x v="1"/>
    <x v="62"/>
    <x v="2"/>
    <x v="2"/>
    <x v="3"/>
    <x v="0"/>
    <x v="1"/>
    <n v="0"/>
    <x v="0"/>
  </r>
  <r>
    <x v="30"/>
    <x v="1"/>
    <x v="62"/>
    <x v="2"/>
    <x v="2"/>
    <x v="3"/>
    <x v="0"/>
    <x v="2"/>
    <n v="0"/>
    <x v="0"/>
  </r>
  <r>
    <x v="30"/>
    <x v="1"/>
    <x v="62"/>
    <x v="2"/>
    <x v="2"/>
    <x v="3"/>
    <x v="0"/>
    <x v="3"/>
    <n v="0"/>
    <x v="0"/>
  </r>
  <r>
    <x v="30"/>
    <x v="1"/>
    <x v="62"/>
    <x v="2"/>
    <x v="2"/>
    <x v="3"/>
    <x v="0"/>
    <x v="4"/>
    <n v="0"/>
    <x v="0"/>
  </r>
  <r>
    <x v="30"/>
    <x v="1"/>
    <x v="62"/>
    <x v="2"/>
    <x v="2"/>
    <x v="3"/>
    <x v="0"/>
    <x v="5"/>
    <n v="0"/>
    <x v="0"/>
  </r>
  <r>
    <x v="30"/>
    <x v="1"/>
    <x v="62"/>
    <x v="2"/>
    <x v="2"/>
    <x v="3"/>
    <x v="0"/>
    <x v="6"/>
    <n v="0"/>
    <x v="0"/>
  </r>
  <r>
    <x v="30"/>
    <x v="1"/>
    <x v="62"/>
    <x v="2"/>
    <x v="2"/>
    <x v="3"/>
    <x v="0"/>
    <x v="7"/>
    <n v="0"/>
    <x v="0"/>
  </r>
  <r>
    <x v="30"/>
    <x v="1"/>
    <x v="62"/>
    <x v="2"/>
    <x v="2"/>
    <x v="3"/>
    <x v="0"/>
    <x v="8"/>
    <n v="0"/>
    <x v="0"/>
  </r>
  <r>
    <x v="30"/>
    <x v="1"/>
    <x v="62"/>
    <x v="2"/>
    <x v="2"/>
    <x v="3"/>
    <x v="0"/>
    <x v="9"/>
    <n v="0"/>
    <x v="0"/>
  </r>
  <r>
    <x v="30"/>
    <x v="1"/>
    <x v="62"/>
    <x v="2"/>
    <x v="2"/>
    <x v="3"/>
    <x v="0"/>
    <x v="10"/>
    <n v="0"/>
    <x v="0"/>
  </r>
  <r>
    <x v="30"/>
    <x v="1"/>
    <x v="62"/>
    <x v="2"/>
    <x v="2"/>
    <x v="3"/>
    <x v="0"/>
    <x v="11"/>
    <n v="0"/>
    <x v="0"/>
  </r>
  <r>
    <x v="30"/>
    <x v="2"/>
    <x v="63"/>
    <x v="0"/>
    <x v="2"/>
    <x v="3"/>
    <x v="3"/>
    <x v="0"/>
    <n v="0"/>
    <x v="0"/>
  </r>
  <r>
    <x v="30"/>
    <x v="2"/>
    <x v="63"/>
    <x v="0"/>
    <x v="2"/>
    <x v="3"/>
    <x v="3"/>
    <x v="1"/>
    <n v="0"/>
    <x v="0"/>
  </r>
  <r>
    <x v="30"/>
    <x v="2"/>
    <x v="63"/>
    <x v="0"/>
    <x v="2"/>
    <x v="3"/>
    <x v="3"/>
    <x v="2"/>
    <n v="0"/>
    <x v="0"/>
  </r>
  <r>
    <x v="30"/>
    <x v="2"/>
    <x v="63"/>
    <x v="0"/>
    <x v="2"/>
    <x v="3"/>
    <x v="3"/>
    <x v="3"/>
    <n v="0"/>
    <x v="0"/>
  </r>
  <r>
    <x v="30"/>
    <x v="2"/>
    <x v="63"/>
    <x v="0"/>
    <x v="2"/>
    <x v="3"/>
    <x v="3"/>
    <x v="4"/>
    <n v="0"/>
    <x v="0"/>
  </r>
  <r>
    <x v="30"/>
    <x v="2"/>
    <x v="63"/>
    <x v="0"/>
    <x v="2"/>
    <x v="3"/>
    <x v="3"/>
    <x v="5"/>
    <n v="0"/>
    <x v="0"/>
  </r>
  <r>
    <x v="30"/>
    <x v="2"/>
    <x v="63"/>
    <x v="0"/>
    <x v="2"/>
    <x v="3"/>
    <x v="3"/>
    <x v="6"/>
    <n v="0"/>
    <x v="0"/>
  </r>
  <r>
    <x v="30"/>
    <x v="2"/>
    <x v="63"/>
    <x v="0"/>
    <x v="2"/>
    <x v="3"/>
    <x v="3"/>
    <x v="7"/>
    <n v="0"/>
    <x v="0"/>
  </r>
  <r>
    <x v="30"/>
    <x v="2"/>
    <x v="63"/>
    <x v="0"/>
    <x v="2"/>
    <x v="3"/>
    <x v="3"/>
    <x v="8"/>
    <n v="16233.078418504136"/>
    <x v="0"/>
  </r>
  <r>
    <x v="30"/>
    <x v="2"/>
    <x v="63"/>
    <x v="0"/>
    <x v="2"/>
    <x v="3"/>
    <x v="3"/>
    <x v="9"/>
    <n v="0"/>
    <x v="0"/>
  </r>
  <r>
    <x v="30"/>
    <x v="2"/>
    <x v="63"/>
    <x v="0"/>
    <x v="2"/>
    <x v="3"/>
    <x v="3"/>
    <x v="10"/>
    <n v="0"/>
    <x v="0"/>
  </r>
  <r>
    <x v="30"/>
    <x v="2"/>
    <x v="63"/>
    <x v="0"/>
    <x v="2"/>
    <x v="3"/>
    <x v="3"/>
    <x v="11"/>
    <n v="0"/>
    <x v="0"/>
  </r>
  <r>
    <x v="30"/>
    <x v="2"/>
    <x v="64"/>
    <x v="0"/>
    <x v="2"/>
    <x v="3"/>
    <x v="4"/>
    <x v="0"/>
    <n v="0"/>
    <x v="0"/>
  </r>
  <r>
    <x v="30"/>
    <x v="2"/>
    <x v="64"/>
    <x v="0"/>
    <x v="2"/>
    <x v="3"/>
    <x v="4"/>
    <x v="1"/>
    <n v="0"/>
    <x v="0"/>
  </r>
  <r>
    <x v="30"/>
    <x v="2"/>
    <x v="64"/>
    <x v="0"/>
    <x v="2"/>
    <x v="3"/>
    <x v="4"/>
    <x v="2"/>
    <n v="0"/>
    <x v="0"/>
  </r>
  <r>
    <x v="30"/>
    <x v="2"/>
    <x v="64"/>
    <x v="0"/>
    <x v="2"/>
    <x v="3"/>
    <x v="4"/>
    <x v="3"/>
    <n v="0"/>
    <x v="0"/>
  </r>
  <r>
    <x v="30"/>
    <x v="2"/>
    <x v="64"/>
    <x v="0"/>
    <x v="2"/>
    <x v="3"/>
    <x v="4"/>
    <x v="4"/>
    <n v="0"/>
    <x v="0"/>
  </r>
  <r>
    <x v="30"/>
    <x v="2"/>
    <x v="64"/>
    <x v="0"/>
    <x v="2"/>
    <x v="3"/>
    <x v="4"/>
    <x v="5"/>
    <n v="0"/>
    <x v="0"/>
  </r>
  <r>
    <x v="30"/>
    <x v="2"/>
    <x v="64"/>
    <x v="0"/>
    <x v="2"/>
    <x v="3"/>
    <x v="4"/>
    <x v="6"/>
    <n v="0"/>
    <x v="0"/>
  </r>
  <r>
    <x v="30"/>
    <x v="2"/>
    <x v="64"/>
    <x v="0"/>
    <x v="2"/>
    <x v="3"/>
    <x v="4"/>
    <x v="7"/>
    <n v="0"/>
    <x v="0"/>
  </r>
  <r>
    <x v="30"/>
    <x v="2"/>
    <x v="64"/>
    <x v="0"/>
    <x v="2"/>
    <x v="3"/>
    <x v="4"/>
    <x v="8"/>
    <n v="5904.7091966467624"/>
    <x v="0"/>
  </r>
  <r>
    <x v="30"/>
    <x v="2"/>
    <x v="64"/>
    <x v="0"/>
    <x v="2"/>
    <x v="3"/>
    <x v="4"/>
    <x v="9"/>
    <n v="0"/>
    <x v="0"/>
  </r>
  <r>
    <x v="30"/>
    <x v="2"/>
    <x v="64"/>
    <x v="0"/>
    <x v="2"/>
    <x v="3"/>
    <x v="4"/>
    <x v="10"/>
    <n v="0"/>
    <x v="0"/>
  </r>
  <r>
    <x v="30"/>
    <x v="2"/>
    <x v="64"/>
    <x v="0"/>
    <x v="2"/>
    <x v="3"/>
    <x v="4"/>
    <x v="11"/>
    <n v="5755.3227127770833"/>
    <x v="0"/>
  </r>
  <r>
    <x v="30"/>
    <x v="2"/>
    <x v="65"/>
    <x v="0"/>
    <x v="2"/>
    <x v="3"/>
    <x v="5"/>
    <x v="0"/>
    <n v="0"/>
    <x v="0"/>
  </r>
  <r>
    <x v="30"/>
    <x v="2"/>
    <x v="65"/>
    <x v="0"/>
    <x v="2"/>
    <x v="3"/>
    <x v="5"/>
    <x v="1"/>
    <n v="0"/>
    <x v="0"/>
  </r>
  <r>
    <x v="30"/>
    <x v="2"/>
    <x v="65"/>
    <x v="0"/>
    <x v="2"/>
    <x v="3"/>
    <x v="5"/>
    <x v="2"/>
    <n v="0"/>
    <x v="0"/>
  </r>
  <r>
    <x v="30"/>
    <x v="2"/>
    <x v="65"/>
    <x v="0"/>
    <x v="2"/>
    <x v="3"/>
    <x v="5"/>
    <x v="3"/>
    <n v="0"/>
    <x v="0"/>
  </r>
  <r>
    <x v="30"/>
    <x v="2"/>
    <x v="65"/>
    <x v="0"/>
    <x v="2"/>
    <x v="3"/>
    <x v="5"/>
    <x v="4"/>
    <n v="0"/>
    <x v="0"/>
  </r>
  <r>
    <x v="30"/>
    <x v="2"/>
    <x v="65"/>
    <x v="0"/>
    <x v="2"/>
    <x v="3"/>
    <x v="5"/>
    <x v="5"/>
    <n v="0"/>
    <x v="0"/>
  </r>
  <r>
    <x v="30"/>
    <x v="2"/>
    <x v="65"/>
    <x v="0"/>
    <x v="2"/>
    <x v="3"/>
    <x v="5"/>
    <x v="6"/>
    <n v="0"/>
    <x v="0"/>
  </r>
  <r>
    <x v="30"/>
    <x v="2"/>
    <x v="65"/>
    <x v="0"/>
    <x v="2"/>
    <x v="3"/>
    <x v="5"/>
    <x v="7"/>
    <n v="0"/>
    <x v="0"/>
  </r>
  <r>
    <x v="30"/>
    <x v="2"/>
    <x v="65"/>
    <x v="0"/>
    <x v="2"/>
    <x v="3"/>
    <x v="5"/>
    <x v="8"/>
    <n v="0"/>
    <x v="0"/>
  </r>
  <r>
    <x v="30"/>
    <x v="2"/>
    <x v="65"/>
    <x v="0"/>
    <x v="2"/>
    <x v="3"/>
    <x v="5"/>
    <x v="9"/>
    <n v="2402.5204977845988"/>
    <x v="0"/>
  </r>
  <r>
    <x v="30"/>
    <x v="2"/>
    <x v="65"/>
    <x v="0"/>
    <x v="2"/>
    <x v="3"/>
    <x v="5"/>
    <x v="10"/>
    <n v="0"/>
    <x v="0"/>
  </r>
  <r>
    <x v="30"/>
    <x v="2"/>
    <x v="65"/>
    <x v="0"/>
    <x v="2"/>
    <x v="3"/>
    <x v="5"/>
    <x v="11"/>
    <n v="0"/>
    <x v="0"/>
  </r>
  <r>
    <x v="48"/>
    <x v="0"/>
    <x v="66"/>
    <x v="0"/>
    <x v="0"/>
    <x v="0"/>
    <x v="0"/>
    <x v="0"/>
    <n v="1462.6463805211481"/>
    <x v="0"/>
  </r>
  <r>
    <x v="48"/>
    <x v="0"/>
    <x v="66"/>
    <x v="0"/>
    <x v="0"/>
    <x v="0"/>
    <x v="0"/>
    <x v="1"/>
    <n v="720.92548762539332"/>
    <x v="0"/>
  </r>
  <r>
    <x v="48"/>
    <x v="0"/>
    <x v="66"/>
    <x v="0"/>
    <x v="0"/>
    <x v="0"/>
    <x v="0"/>
    <x v="2"/>
    <n v="0"/>
    <x v="0"/>
  </r>
  <r>
    <x v="48"/>
    <x v="0"/>
    <x v="66"/>
    <x v="0"/>
    <x v="0"/>
    <x v="0"/>
    <x v="0"/>
    <x v="3"/>
    <n v="561.93443026292016"/>
    <x v="0"/>
  </r>
  <r>
    <x v="48"/>
    <x v="0"/>
    <x v="66"/>
    <x v="0"/>
    <x v="0"/>
    <x v="0"/>
    <x v="0"/>
    <x v="4"/>
    <n v="0"/>
    <x v="0"/>
  </r>
  <r>
    <x v="48"/>
    <x v="0"/>
    <x v="66"/>
    <x v="0"/>
    <x v="0"/>
    <x v="0"/>
    <x v="0"/>
    <x v="5"/>
    <n v="0"/>
    <x v="0"/>
  </r>
  <r>
    <x v="48"/>
    <x v="0"/>
    <x v="66"/>
    <x v="0"/>
    <x v="0"/>
    <x v="0"/>
    <x v="0"/>
    <x v="6"/>
    <n v="0"/>
    <x v="0"/>
  </r>
  <r>
    <x v="48"/>
    <x v="0"/>
    <x v="66"/>
    <x v="0"/>
    <x v="0"/>
    <x v="0"/>
    <x v="0"/>
    <x v="7"/>
    <n v="0"/>
    <x v="0"/>
  </r>
  <r>
    <x v="48"/>
    <x v="0"/>
    <x v="66"/>
    <x v="0"/>
    <x v="0"/>
    <x v="0"/>
    <x v="0"/>
    <x v="8"/>
    <n v="0"/>
    <x v="0"/>
  </r>
  <r>
    <x v="48"/>
    <x v="0"/>
    <x v="66"/>
    <x v="0"/>
    <x v="0"/>
    <x v="0"/>
    <x v="0"/>
    <x v="9"/>
    <n v="0"/>
    <x v="0"/>
  </r>
  <r>
    <x v="48"/>
    <x v="0"/>
    <x v="66"/>
    <x v="0"/>
    <x v="0"/>
    <x v="0"/>
    <x v="0"/>
    <x v="10"/>
    <n v="0"/>
    <x v="0"/>
  </r>
  <r>
    <x v="48"/>
    <x v="0"/>
    <x v="66"/>
    <x v="0"/>
    <x v="0"/>
    <x v="0"/>
    <x v="0"/>
    <x v="11"/>
    <n v="0"/>
    <x v="0"/>
  </r>
  <r>
    <x v="46"/>
    <x v="0"/>
    <x v="48"/>
    <x v="0"/>
    <x v="0"/>
    <x v="0"/>
    <x v="0"/>
    <x v="0"/>
    <n v="8284.5209769764242"/>
    <x v="0"/>
  </r>
  <r>
    <x v="46"/>
    <x v="0"/>
    <x v="48"/>
    <x v="0"/>
    <x v="0"/>
    <x v="0"/>
    <x v="0"/>
    <x v="1"/>
    <n v="8166.7343177433777"/>
    <x v="0"/>
  </r>
  <r>
    <x v="46"/>
    <x v="0"/>
    <x v="48"/>
    <x v="0"/>
    <x v="0"/>
    <x v="0"/>
    <x v="0"/>
    <x v="2"/>
    <n v="7734.5434208443294"/>
    <x v="0"/>
  </r>
  <r>
    <x v="46"/>
    <x v="0"/>
    <x v="48"/>
    <x v="0"/>
    <x v="0"/>
    <x v="0"/>
    <x v="0"/>
    <x v="3"/>
    <n v="8554.411375912503"/>
    <x v="0"/>
  </r>
  <r>
    <x v="46"/>
    <x v="0"/>
    <x v="48"/>
    <x v="0"/>
    <x v="0"/>
    <x v="0"/>
    <x v="0"/>
    <x v="4"/>
    <n v="9104.4462231917751"/>
    <x v="0"/>
  </r>
  <r>
    <x v="46"/>
    <x v="0"/>
    <x v="48"/>
    <x v="0"/>
    <x v="0"/>
    <x v="0"/>
    <x v="0"/>
    <x v="5"/>
    <n v="0"/>
    <x v="0"/>
  </r>
  <r>
    <x v="46"/>
    <x v="0"/>
    <x v="48"/>
    <x v="0"/>
    <x v="0"/>
    <x v="0"/>
    <x v="0"/>
    <x v="6"/>
    <n v="15566.365147193686"/>
    <x v="0"/>
  </r>
  <r>
    <x v="46"/>
    <x v="0"/>
    <x v="48"/>
    <x v="0"/>
    <x v="0"/>
    <x v="0"/>
    <x v="0"/>
    <x v="7"/>
    <n v="7721.5165427002548"/>
    <x v="0"/>
  </r>
  <r>
    <x v="46"/>
    <x v="0"/>
    <x v="48"/>
    <x v="0"/>
    <x v="0"/>
    <x v="0"/>
    <x v="0"/>
    <x v="8"/>
    <n v="9094.1615789939151"/>
    <x v="0"/>
  </r>
  <r>
    <x v="46"/>
    <x v="0"/>
    <x v="48"/>
    <x v="0"/>
    <x v="0"/>
    <x v="0"/>
    <x v="0"/>
    <x v="9"/>
    <n v="0"/>
    <x v="0"/>
  </r>
  <r>
    <x v="46"/>
    <x v="0"/>
    <x v="48"/>
    <x v="0"/>
    <x v="0"/>
    <x v="0"/>
    <x v="0"/>
    <x v="10"/>
    <n v="0"/>
    <x v="0"/>
  </r>
  <r>
    <x v="46"/>
    <x v="0"/>
    <x v="48"/>
    <x v="0"/>
    <x v="0"/>
    <x v="0"/>
    <x v="0"/>
    <x v="11"/>
    <n v="0"/>
    <x v="0"/>
  </r>
  <r>
    <x v="46"/>
    <x v="0"/>
    <x v="48"/>
    <x v="0"/>
    <x v="0"/>
    <x v="0"/>
    <x v="0"/>
    <x v="0"/>
    <n v="1421.030864647802"/>
    <x v="0"/>
  </r>
  <r>
    <x v="46"/>
    <x v="0"/>
    <x v="48"/>
    <x v="0"/>
    <x v="0"/>
    <x v="0"/>
    <x v="0"/>
    <x v="1"/>
    <n v="1522.5577998970762"/>
    <x v="0"/>
  </r>
  <r>
    <x v="46"/>
    <x v="0"/>
    <x v="48"/>
    <x v="0"/>
    <x v="0"/>
    <x v="0"/>
    <x v="0"/>
    <x v="2"/>
    <n v="1418.2480773497332"/>
    <x v="0"/>
  </r>
  <r>
    <x v="46"/>
    <x v="0"/>
    <x v="48"/>
    <x v="0"/>
    <x v="0"/>
    <x v="0"/>
    <x v="0"/>
    <x v="3"/>
    <n v="994.69329244578125"/>
    <x v="0"/>
  </r>
  <r>
    <x v="46"/>
    <x v="0"/>
    <x v="48"/>
    <x v="0"/>
    <x v="0"/>
    <x v="0"/>
    <x v="0"/>
    <x v="4"/>
    <n v="1493.7902501678964"/>
    <x v="0"/>
  </r>
  <r>
    <x v="46"/>
    <x v="0"/>
    <x v="48"/>
    <x v="0"/>
    <x v="0"/>
    <x v="0"/>
    <x v="0"/>
    <x v="5"/>
    <n v="0"/>
    <x v="0"/>
  </r>
  <r>
    <x v="46"/>
    <x v="0"/>
    <x v="48"/>
    <x v="0"/>
    <x v="0"/>
    <x v="0"/>
    <x v="0"/>
    <x v="6"/>
    <n v="1385.6391081871823"/>
    <x v="0"/>
  </r>
  <r>
    <x v="46"/>
    <x v="0"/>
    <x v="48"/>
    <x v="0"/>
    <x v="0"/>
    <x v="0"/>
    <x v="0"/>
    <x v="7"/>
    <n v="2884.4640596504009"/>
    <x v="0"/>
  </r>
  <r>
    <x v="46"/>
    <x v="0"/>
    <x v="48"/>
    <x v="0"/>
    <x v="0"/>
    <x v="0"/>
    <x v="0"/>
    <x v="8"/>
    <n v="0"/>
    <x v="0"/>
  </r>
  <r>
    <x v="46"/>
    <x v="0"/>
    <x v="48"/>
    <x v="0"/>
    <x v="0"/>
    <x v="0"/>
    <x v="0"/>
    <x v="9"/>
    <n v="2339.2851407866515"/>
    <x v="0"/>
  </r>
  <r>
    <x v="46"/>
    <x v="0"/>
    <x v="48"/>
    <x v="0"/>
    <x v="0"/>
    <x v="0"/>
    <x v="0"/>
    <x v="10"/>
    <n v="0"/>
    <x v="0"/>
  </r>
  <r>
    <x v="46"/>
    <x v="0"/>
    <x v="48"/>
    <x v="0"/>
    <x v="0"/>
    <x v="0"/>
    <x v="0"/>
    <x v="11"/>
    <n v="0"/>
    <x v="0"/>
  </r>
  <r>
    <x v="46"/>
    <x v="0"/>
    <x v="48"/>
    <x v="0"/>
    <x v="0"/>
    <x v="1"/>
    <x v="0"/>
    <x v="0"/>
    <n v="0"/>
    <x v="0"/>
  </r>
  <r>
    <x v="46"/>
    <x v="0"/>
    <x v="48"/>
    <x v="0"/>
    <x v="0"/>
    <x v="1"/>
    <x v="0"/>
    <x v="1"/>
    <n v="1467.753278836298"/>
    <x v="0"/>
  </r>
  <r>
    <x v="46"/>
    <x v="0"/>
    <x v="48"/>
    <x v="0"/>
    <x v="0"/>
    <x v="1"/>
    <x v="0"/>
    <x v="2"/>
    <n v="0"/>
    <x v="0"/>
  </r>
  <r>
    <x v="46"/>
    <x v="0"/>
    <x v="48"/>
    <x v="0"/>
    <x v="0"/>
    <x v="1"/>
    <x v="0"/>
    <x v="3"/>
    <n v="0"/>
    <x v="0"/>
  </r>
  <r>
    <x v="46"/>
    <x v="0"/>
    <x v="48"/>
    <x v="0"/>
    <x v="0"/>
    <x v="1"/>
    <x v="0"/>
    <x v="4"/>
    <n v="260.87985968628828"/>
    <x v="0"/>
  </r>
  <r>
    <x v="46"/>
    <x v="0"/>
    <x v="48"/>
    <x v="0"/>
    <x v="0"/>
    <x v="1"/>
    <x v="0"/>
    <x v="5"/>
    <n v="0"/>
    <x v="0"/>
  </r>
  <r>
    <x v="46"/>
    <x v="0"/>
    <x v="48"/>
    <x v="0"/>
    <x v="0"/>
    <x v="1"/>
    <x v="0"/>
    <x v="6"/>
    <n v="0"/>
    <x v="0"/>
  </r>
  <r>
    <x v="46"/>
    <x v="0"/>
    <x v="48"/>
    <x v="0"/>
    <x v="0"/>
    <x v="1"/>
    <x v="0"/>
    <x v="7"/>
    <n v="0"/>
    <x v="0"/>
  </r>
  <r>
    <x v="46"/>
    <x v="0"/>
    <x v="48"/>
    <x v="0"/>
    <x v="0"/>
    <x v="1"/>
    <x v="0"/>
    <x v="8"/>
    <n v="0"/>
    <x v="0"/>
  </r>
  <r>
    <x v="46"/>
    <x v="0"/>
    <x v="48"/>
    <x v="0"/>
    <x v="0"/>
    <x v="1"/>
    <x v="0"/>
    <x v="9"/>
    <n v="0"/>
    <x v="0"/>
  </r>
  <r>
    <x v="46"/>
    <x v="0"/>
    <x v="48"/>
    <x v="0"/>
    <x v="0"/>
    <x v="1"/>
    <x v="0"/>
    <x v="10"/>
    <n v="0"/>
    <x v="0"/>
  </r>
  <r>
    <x v="46"/>
    <x v="0"/>
    <x v="48"/>
    <x v="0"/>
    <x v="0"/>
    <x v="1"/>
    <x v="0"/>
    <x v="11"/>
    <n v="0"/>
    <x v="0"/>
  </r>
  <r>
    <x v="46"/>
    <x v="1"/>
    <x v="48"/>
    <x v="0"/>
    <x v="1"/>
    <x v="1"/>
    <x v="0"/>
    <x v="0"/>
    <n v="11835.029967109176"/>
    <x v="0"/>
  </r>
  <r>
    <x v="46"/>
    <x v="1"/>
    <x v="48"/>
    <x v="0"/>
    <x v="1"/>
    <x v="1"/>
    <x v="0"/>
    <x v="1"/>
    <n v="0"/>
    <x v="0"/>
  </r>
  <r>
    <x v="46"/>
    <x v="1"/>
    <x v="48"/>
    <x v="0"/>
    <x v="1"/>
    <x v="1"/>
    <x v="0"/>
    <x v="2"/>
    <n v="11145.429305699388"/>
    <x v="0"/>
  </r>
  <r>
    <x v="46"/>
    <x v="1"/>
    <x v="48"/>
    <x v="0"/>
    <x v="1"/>
    <x v="1"/>
    <x v="0"/>
    <x v="3"/>
    <n v="0"/>
    <x v="0"/>
  </r>
  <r>
    <x v="46"/>
    <x v="1"/>
    <x v="48"/>
    <x v="0"/>
    <x v="1"/>
    <x v="1"/>
    <x v="0"/>
    <x v="4"/>
    <n v="0"/>
    <x v="0"/>
  </r>
  <r>
    <x v="46"/>
    <x v="1"/>
    <x v="48"/>
    <x v="0"/>
    <x v="1"/>
    <x v="1"/>
    <x v="0"/>
    <x v="5"/>
    <n v="0"/>
    <x v="0"/>
  </r>
  <r>
    <x v="46"/>
    <x v="1"/>
    <x v="48"/>
    <x v="0"/>
    <x v="1"/>
    <x v="1"/>
    <x v="0"/>
    <x v="6"/>
    <n v="0"/>
    <x v="0"/>
  </r>
  <r>
    <x v="46"/>
    <x v="1"/>
    <x v="48"/>
    <x v="0"/>
    <x v="1"/>
    <x v="1"/>
    <x v="0"/>
    <x v="7"/>
    <n v="0"/>
    <x v="0"/>
  </r>
  <r>
    <x v="46"/>
    <x v="1"/>
    <x v="48"/>
    <x v="0"/>
    <x v="1"/>
    <x v="1"/>
    <x v="0"/>
    <x v="8"/>
    <n v="0"/>
    <x v="0"/>
  </r>
  <r>
    <x v="46"/>
    <x v="1"/>
    <x v="48"/>
    <x v="0"/>
    <x v="1"/>
    <x v="1"/>
    <x v="0"/>
    <x v="9"/>
    <n v="0"/>
    <x v="0"/>
  </r>
  <r>
    <x v="46"/>
    <x v="1"/>
    <x v="48"/>
    <x v="0"/>
    <x v="1"/>
    <x v="1"/>
    <x v="0"/>
    <x v="10"/>
    <n v="0"/>
    <x v="0"/>
  </r>
  <r>
    <x v="46"/>
    <x v="1"/>
    <x v="48"/>
    <x v="0"/>
    <x v="1"/>
    <x v="1"/>
    <x v="0"/>
    <x v="11"/>
    <n v="0"/>
    <x v="0"/>
  </r>
  <r>
    <x v="49"/>
    <x v="0"/>
    <x v="67"/>
    <x v="1"/>
    <x v="0"/>
    <x v="0"/>
    <x v="0"/>
    <x v="0"/>
    <n v="2059.2952142769968"/>
    <x v="0"/>
  </r>
  <r>
    <x v="49"/>
    <x v="0"/>
    <x v="67"/>
    <x v="1"/>
    <x v="0"/>
    <x v="0"/>
    <x v="0"/>
    <x v="1"/>
    <n v="2047.8240838263323"/>
    <x v="0"/>
  </r>
  <r>
    <x v="49"/>
    <x v="0"/>
    <x v="67"/>
    <x v="1"/>
    <x v="0"/>
    <x v="0"/>
    <x v="0"/>
    <x v="2"/>
    <n v="1922.5865552331445"/>
    <x v="0"/>
  </r>
  <r>
    <x v="49"/>
    <x v="0"/>
    <x v="67"/>
    <x v="1"/>
    <x v="0"/>
    <x v="0"/>
    <x v="0"/>
    <x v="3"/>
    <n v="2126.3823091276245"/>
    <x v="0"/>
  </r>
  <r>
    <x v="49"/>
    <x v="0"/>
    <x v="67"/>
    <x v="1"/>
    <x v="0"/>
    <x v="0"/>
    <x v="0"/>
    <x v="4"/>
    <n v="2250.0887897942366"/>
    <x v="0"/>
  </r>
  <r>
    <x v="49"/>
    <x v="0"/>
    <x v="67"/>
    <x v="1"/>
    <x v="0"/>
    <x v="0"/>
    <x v="0"/>
    <x v="5"/>
    <n v="0"/>
    <x v="0"/>
  </r>
  <r>
    <x v="49"/>
    <x v="0"/>
    <x v="67"/>
    <x v="1"/>
    <x v="0"/>
    <x v="0"/>
    <x v="0"/>
    <x v="6"/>
    <n v="3847.0987533896546"/>
    <x v="0"/>
  </r>
  <r>
    <x v="49"/>
    <x v="0"/>
    <x v="67"/>
    <x v="1"/>
    <x v="0"/>
    <x v="0"/>
    <x v="0"/>
    <x v="7"/>
    <n v="1902.8022908797057"/>
    <x v="0"/>
  </r>
  <r>
    <x v="49"/>
    <x v="0"/>
    <x v="67"/>
    <x v="1"/>
    <x v="0"/>
    <x v="0"/>
    <x v="0"/>
    <x v="8"/>
    <n v="2241.0612462520717"/>
    <x v="0"/>
  </r>
  <r>
    <x v="49"/>
    <x v="0"/>
    <x v="67"/>
    <x v="1"/>
    <x v="0"/>
    <x v="0"/>
    <x v="0"/>
    <x v="9"/>
    <n v="0"/>
    <x v="0"/>
  </r>
  <r>
    <x v="49"/>
    <x v="0"/>
    <x v="67"/>
    <x v="1"/>
    <x v="0"/>
    <x v="0"/>
    <x v="0"/>
    <x v="10"/>
    <n v="0"/>
    <x v="0"/>
  </r>
  <r>
    <x v="49"/>
    <x v="0"/>
    <x v="67"/>
    <x v="1"/>
    <x v="0"/>
    <x v="0"/>
    <x v="0"/>
    <x v="11"/>
    <n v="0"/>
    <x v="0"/>
  </r>
  <r>
    <x v="6"/>
    <x v="1"/>
    <x v="6"/>
    <x v="0"/>
    <x v="1"/>
    <x v="1"/>
    <x v="0"/>
    <x v="0"/>
    <n v="15924.032820745397"/>
    <x v="0"/>
  </r>
  <r>
    <x v="6"/>
    <x v="1"/>
    <x v="6"/>
    <x v="0"/>
    <x v="1"/>
    <x v="1"/>
    <x v="0"/>
    <x v="1"/>
    <n v="0"/>
    <x v="0"/>
  </r>
  <r>
    <x v="6"/>
    <x v="1"/>
    <x v="6"/>
    <x v="0"/>
    <x v="1"/>
    <x v="1"/>
    <x v="0"/>
    <x v="2"/>
    <n v="0"/>
    <x v="0"/>
  </r>
  <r>
    <x v="6"/>
    <x v="1"/>
    <x v="6"/>
    <x v="0"/>
    <x v="1"/>
    <x v="1"/>
    <x v="0"/>
    <x v="3"/>
    <n v="0"/>
    <x v="0"/>
  </r>
  <r>
    <x v="6"/>
    <x v="1"/>
    <x v="6"/>
    <x v="0"/>
    <x v="1"/>
    <x v="1"/>
    <x v="0"/>
    <x v="4"/>
    <n v="0"/>
    <x v="0"/>
  </r>
  <r>
    <x v="6"/>
    <x v="1"/>
    <x v="6"/>
    <x v="0"/>
    <x v="1"/>
    <x v="1"/>
    <x v="0"/>
    <x v="5"/>
    <n v="0"/>
    <x v="0"/>
  </r>
  <r>
    <x v="6"/>
    <x v="1"/>
    <x v="6"/>
    <x v="0"/>
    <x v="1"/>
    <x v="1"/>
    <x v="0"/>
    <x v="6"/>
    <n v="0"/>
    <x v="0"/>
  </r>
  <r>
    <x v="6"/>
    <x v="1"/>
    <x v="6"/>
    <x v="0"/>
    <x v="1"/>
    <x v="1"/>
    <x v="0"/>
    <x v="7"/>
    <n v="0"/>
    <x v="0"/>
  </r>
  <r>
    <x v="6"/>
    <x v="1"/>
    <x v="6"/>
    <x v="0"/>
    <x v="1"/>
    <x v="1"/>
    <x v="0"/>
    <x v="8"/>
    <n v="0"/>
    <x v="0"/>
  </r>
  <r>
    <x v="6"/>
    <x v="1"/>
    <x v="6"/>
    <x v="0"/>
    <x v="1"/>
    <x v="1"/>
    <x v="0"/>
    <x v="9"/>
    <n v="0"/>
    <x v="0"/>
  </r>
  <r>
    <x v="6"/>
    <x v="1"/>
    <x v="6"/>
    <x v="0"/>
    <x v="1"/>
    <x v="1"/>
    <x v="0"/>
    <x v="10"/>
    <n v="0"/>
    <x v="0"/>
  </r>
  <r>
    <x v="6"/>
    <x v="1"/>
    <x v="6"/>
    <x v="0"/>
    <x v="1"/>
    <x v="1"/>
    <x v="0"/>
    <x v="11"/>
    <n v="0"/>
    <x v="0"/>
  </r>
  <r>
    <x v="30"/>
    <x v="2"/>
    <x v="68"/>
    <x v="0"/>
    <x v="2"/>
    <x v="3"/>
    <x v="6"/>
    <x v="0"/>
    <n v="1650.98668041173"/>
    <x v="0"/>
  </r>
  <r>
    <x v="30"/>
    <x v="2"/>
    <x v="68"/>
    <x v="0"/>
    <x v="2"/>
    <x v="3"/>
    <x v="6"/>
    <x v="1"/>
    <n v="1712.9425210399149"/>
    <x v="0"/>
  </r>
  <r>
    <x v="30"/>
    <x v="2"/>
    <x v="68"/>
    <x v="0"/>
    <x v="2"/>
    <x v="3"/>
    <x v="6"/>
    <x v="2"/>
    <n v="1631.5403870587636"/>
    <x v="0"/>
  </r>
  <r>
    <x v="30"/>
    <x v="2"/>
    <x v="68"/>
    <x v="0"/>
    <x v="2"/>
    <x v="3"/>
    <x v="6"/>
    <x v="3"/>
    <n v="1790.6727682187452"/>
    <x v="0"/>
  </r>
  <r>
    <x v="30"/>
    <x v="2"/>
    <x v="68"/>
    <x v="0"/>
    <x v="2"/>
    <x v="3"/>
    <x v="6"/>
    <x v="4"/>
    <n v="1770.0763699679583"/>
    <x v="0"/>
  </r>
  <r>
    <x v="30"/>
    <x v="2"/>
    <x v="68"/>
    <x v="0"/>
    <x v="2"/>
    <x v="3"/>
    <x v="6"/>
    <x v="5"/>
    <n v="1891.6247606808504"/>
    <x v="0"/>
  </r>
  <r>
    <x v="30"/>
    <x v="2"/>
    <x v="68"/>
    <x v="0"/>
    <x v="2"/>
    <x v="3"/>
    <x v="6"/>
    <x v="6"/>
    <n v="0"/>
    <x v="0"/>
  </r>
  <r>
    <x v="30"/>
    <x v="2"/>
    <x v="68"/>
    <x v="0"/>
    <x v="2"/>
    <x v="3"/>
    <x v="6"/>
    <x v="7"/>
    <n v="1543.1230195828095"/>
    <x v="0"/>
  </r>
  <r>
    <x v="30"/>
    <x v="2"/>
    <x v="68"/>
    <x v="0"/>
    <x v="2"/>
    <x v="3"/>
    <x v="6"/>
    <x v="8"/>
    <n v="0"/>
    <x v="0"/>
  </r>
  <r>
    <x v="30"/>
    <x v="2"/>
    <x v="68"/>
    <x v="0"/>
    <x v="2"/>
    <x v="3"/>
    <x v="6"/>
    <x v="9"/>
    <n v="3303.4087441188917"/>
    <x v="0"/>
  </r>
  <r>
    <x v="30"/>
    <x v="2"/>
    <x v="68"/>
    <x v="0"/>
    <x v="2"/>
    <x v="3"/>
    <x v="6"/>
    <x v="10"/>
    <n v="0"/>
    <x v="0"/>
  </r>
  <r>
    <x v="30"/>
    <x v="2"/>
    <x v="68"/>
    <x v="0"/>
    <x v="2"/>
    <x v="3"/>
    <x v="6"/>
    <x v="11"/>
    <n v="0"/>
    <x v="0"/>
  </r>
  <r>
    <x v="30"/>
    <x v="2"/>
    <x v="69"/>
    <x v="0"/>
    <x v="2"/>
    <x v="3"/>
    <x v="0"/>
    <x v="0"/>
    <n v="0"/>
    <x v="0"/>
  </r>
  <r>
    <x v="30"/>
    <x v="2"/>
    <x v="69"/>
    <x v="0"/>
    <x v="2"/>
    <x v="3"/>
    <x v="0"/>
    <x v="1"/>
    <n v="0"/>
    <x v="0"/>
  </r>
  <r>
    <x v="30"/>
    <x v="2"/>
    <x v="69"/>
    <x v="0"/>
    <x v="2"/>
    <x v="3"/>
    <x v="0"/>
    <x v="2"/>
    <n v="0"/>
    <x v="0"/>
  </r>
  <r>
    <x v="30"/>
    <x v="2"/>
    <x v="69"/>
    <x v="0"/>
    <x v="2"/>
    <x v="3"/>
    <x v="0"/>
    <x v="3"/>
    <n v="0"/>
    <x v="0"/>
  </r>
  <r>
    <x v="30"/>
    <x v="2"/>
    <x v="69"/>
    <x v="0"/>
    <x v="2"/>
    <x v="3"/>
    <x v="0"/>
    <x v="4"/>
    <n v="0"/>
    <x v="0"/>
  </r>
  <r>
    <x v="30"/>
    <x v="2"/>
    <x v="69"/>
    <x v="0"/>
    <x v="2"/>
    <x v="3"/>
    <x v="0"/>
    <x v="5"/>
    <n v="0"/>
    <x v="0"/>
  </r>
  <r>
    <x v="30"/>
    <x v="2"/>
    <x v="69"/>
    <x v="0"/>
    <x v="2"/>
    <x v="3"/>
    <x v="0"/>
    <x v="6"/>
    <n v="0"/>
    <x v="0"/>
  </r>
  <r>
    <x v="30"/>
    <x v="2"/>
    <x v="69"/>
    <x v="0"/>
    <x v="2"/>
    <x v="3"/>
    <x v="0"/>
    <x v="7"/>
    <n v="0"/>
    <x v="0"/>
  </r>
  <r>
    <x v="30"/>
    <x v="2"/>
    <x v="69"/>
    <x v="0"/>
    <x v="2"/>
    <x v="3"/>
    <x v="0"/>
    <x v="8"/>
    <n v="0"/>
    <x v="0"/>
  </r>
  <r>
    <x v="30"/>
    <x v="2"/>
    <x v="69"/>
    <x v="0"/>
    <x v="2"/>
    <x v="3"/>
    <x v="0"/>
    <x v="9"/>
    <n v="4911.296007141872"/>
    <x v="0"/>
  </r>
  <r>
    <x v="30"/>
    <x v="2"/>
    <x v="69"/>
    <x v="0"/>
    <x v="2"/>
    <x v="3"/>
    <x v="0"/>
    <x v="10"/>
    <n v="0"/>
    <x v="0"/>
  </r>
  <r>
    <x v="30"/>
    <x v="2"/>
    <x v="69"/>
    <x v="0"/>
    <x v="2"/>
    <x v="3"/>
    <x v="0"/>
    <x v="11"/>
    <n v="0"/>
    <x v="0"/>
  </r>
  <r>
    <x v="30"/>
    <x v="2"/>
    <x v="70"/>
    <x v="0"/>
    <x v="2"/>
    <x v="3"/>
    <x v="7"/>
    <x v="0"/>
    <n v="0"/>
    <x v="0"/>
  </r>
  <r>
    <x v="30"/>
    <x v="2"/>
    <x v="70"/>
    <x v="0"/>
    <x v="2"/>
    <x v="3"/>
    <x v="7"/>
    <x v="1"/>
    <n v="0"/>
    <x v="0"/>
  </r>
  <r>
    <x v="30"/>
    <x v="2"/>
    <x v="70"/>
    <x v="0"/>
    <x v="2"/>
    <x v="3"/>
    <x v="7"/>
    <x v="2"/>
    <n v="0"/>
    <x v="0"/>
  </r>
  <r>
    <x v="30"/>
    <x v="2"/>
    <x v="70"/>
    <x v="0"/>
    <x v="2"/>
    <x v="3"/>
    <x v="7"/>
    <x v="3"/>
    <n v="0"/>
    <x v="0"/>
  </r>
  <r>
    <x v="30"/>
    <x v="2"/>
    <x v="70"/>
    <x v="0"/>
    <x v="2"/>
    <x v="3"/>
    <x v="7"/>
    <x v="4"/>
    <n v="1367.9965906257648"/>
    <x v="0"/>
  </r>
  <r>
    <x v="30"/>
    <x v="2"/>
    <x v="70"/>
    <x v="0"/>
    <x v="2"/>
    <x v="3"/>
    <x v="7"/>
    <x v="5"/>
    <n v="0"/>
    <x v="0"/>
  </r>
  <r>
    <x v="30"/>
    <x v="2"/>
    <x v="70"/>
    <x v="0"/>
    <x v="2"/>
    <x v="3"/>
    <x v="7"/>
    <x v="6"/>
    <n v="0"/>
    <x v="0"/>
  </r>
  <r>
    <x v="30"/>
    <x v="2"/>
    <x v="70"/>
    <x v="0"/>
    <x v="2"/>
    <x v="3"/>
    <x v="7"/>
    <x v="7"/>
    <n v="0"/>
    <x v="0"/>
  </r>
  <r>
    <x v="30"/>
    <x v="2"/>
    <x v="70"/>
    <x v="0"/>
    <x v="2"/>
    <x v="3"/>
    <x v="7"/>
    <x v="8"/>
    <n v="0"/>
    <x v="0"/>
  </r>
  <r>
    <x v="30"/>
    <x v="2"/>
    <x v="70"/>
    <x v="0"/>
    <x v="2"/>
    <x v="3"/>
    <x v="7"/>
    <x v="9"/>
    <n v="0"/>
    <x v="0"/>
  </r>
  <r>
    <x v="30"/>
    <x v="2"/>
    <x v="70"/>
    <x v="0"/>
    <x v="2"/>
    <x v="3"/>
    <x v="7"/>
    <x v="10"/>
    <n v="0"/>
    <x v="0"/>
  </r>
  <r>
    <x v="30"/>
    <x v="2"/>
    <x v="70"/>
    <x v="0"/>
    <x v="2"/>
    <x v="3"/>
    <x v="7"/>
    <x v="11"/>
    <n v="0"/>
    <x v="0"/>
  </r>
  <r>
    <x v="16"/>
    <x v="2"/>
    <x v="71"/>
    <x v="0"/>
    <x v="2"/>
    <x v="3"/>
    <x v="7"/>
    <x v="0"/>
    <n v="621.23492500952113"/>
    <x v="0"/>
  </r>
  <r>
    <x v="16"/>
    <x v="2"/>
    <x v="71"/>
    <x v="0"/>
    <x v="2"/>
    <x v="3"/>
    <x v="7"/>
    <x v="1"/>
    <n v="28847.599335876643"/>
    <x v="0"/>
  </r>
  <r>
    <x v="16"/>
    <x v="2"/>
    <x v="71"/>
    <x v="0"/>
    <x v="2"/>
    <x v="3"/>
    <x v="7"/>
    <x v="2"/>
    <n v="0"/>
    <x v="0"/>
  </r>
  <r>
    <x v="16"/>
    <x v="2"/>
    <x v="71"/>
    <x v="0"/>
    <x v="2"/>
    <x v="3"/>
    <x v="7"/>
    <x v="3"/>
    <n v="0"/>
    <x v="0"/>
  </r>
  <r>
    <x v="16"/>
    <x v="2"/>
    <x v="71"/>
    <x v="0"/>
    <x v="2"/>
    <x v="3"/>
    <x v="7"/>
    <x v="4"/>
    <n v="0"/>
    <x v="0"/>
  </r>
  <r>
    <x v="16"/>
    <x v="2"/>
    <x v="71"/>
    <x v="0"/>
    <x v="2"/>
    <x v="3"/>
    <x v="7"/>
    <x v="5"/>
    <n v="0"/>
    <x v="0"/>
  </r>
  <r>
    <x v="16"/>
    <x v="2"/>
    <x v="71"/>
    <x v="0"/>
    <x v="2"/>
    <x v="3"/>
    <x v="7"/>
    <x v="6"/>
    <n v="0"/>
    <x v="0"/>
  </r>
  <r>
    <x v="16"/>
    <x v="2"/>
    <x v="71"/>
    <x v="0"/>
    <x v="2"/>
    <x v="3"/>
    <x v="7"/>
    <x v="7"/>
    <n v="0"/>
    <x v="0"/>
  </r>
  <r>
    <x v="16"/>
    <x v="2"/>
    <x v="71"/>
    <x v="0"/>
    <x v="2"/>
    <x v="3"/>
    <x v="7"/>
    <x v="8"/>
    <n v="0"/>
    <x v="0"/>
  </r>
  <r>
    <x v="16"/>
    <x v="2"/>
    <x v="71"/>
    <x v="0"/>
    <x v="2"/>
    <x v="3"/>
    <x v="7"/>
    <x v="9"/>
    <n v="0"/>
    <x v="0"/>
  </r>
  <r>
    <x v="16"/>
    <x v="2"/>
    <x v="71"/>
    <x v="0"/>
    <x v="2"/>
    <x v="3"/>
    <x v="7"/>
    <x v="10"/>
    <n v="0"/>
    <x v="0"/>
  </r>
  <r>
    <x v="16"/>
    <x v="2"/>
    <x v="71"/>
    <x v="0"/>
    <x v="2"/>
    <x v="3"/>
    <x v="7"/>
    <x v="11"/>
    <n v="10651.899732873177"/>
    <x v="0"/>
  </r>
  <r>
    <x v="40"/>
    <x v="0"/>
    <x v="41"/>
    <x v="0"/>
    <x v="0"/>
    <x v="0"/>
    <x v="0"/>
    <x v="0"/>
    <n v="0"/>
    <x v="0"/>
  </r>
  <r>
    <x v="40"/>
    <x v="0"/>
    <x v="41"/>
    <x v="0"/>
    <x v="0"/>
    <x v="0"/>
    <x v="0"/>
    <x v="1"/>
    <n v="0"/>
    <x v="0"/>
  </r>
  <r>
    <x v="40"/>
    <x v="0"/>
    <x v="41"/>
    <x v="0"/>
    <x v="0"/>
    <x v="0"/>
    <x v="0"/>
    <x v="2"/>
    <n v="0"/>
    <x v="0"/>
  </r>
  <r>
    <x v="40"/>
    <x v="0"/>
    <x v="41"/>
    <x v="0"/>
    <x v="0"/>
    <x v="0"/>
    <x v="0"/>
    <x v="3"/>
    <n v="0"/>
    <x v="0"/>
  </r>
  <r>
    <x v="40"/>
    <x v="0"/>
    <x v="41"/>
    <x v="0"/>
    <x v="0"/>
    <x v="0"/>
    <x v="0"/>
    <x v="4"/>
    <n v="502.19372989610497"/>
    <x v="0"/>
  </r>
  <r>
    <x v="40"/>
    <x v="0"/>
    <x v="41"/>
    <x v="0"/>
    <x v="0"/>
    <x v="0"/>
    <x v="0"/>
    <x v="5"/>
    <n v="0"/>
    <x v="0"/>
  </r>
  <r>
    <x v="40"/>
    <x v="0"/>
    <x v="41"/>
    <x v="0"/>
    <x v="0"/>
    <x v="0"/>
    <x v="0"/>
    <x v="6"/>
    <n v="0"/>
    <x v="0"/>
  </r>
  <r>
    <x v="40"/>
    <x v="0"/>
    <x v="41"/>
    <x v="0"/>
    <x v="0"/>
    <x v="0"/>
    <x v="0"/>
    <x v="7"/>
    <n v="0"/>
    <x v="0"/>
  </r>
  <r>
    <x v="40"/>
    <x v="0"/>
    <x v="41"/>
    <x v="0"/>
    <x v="0"/>
    <x v="0"/>
    <x v="0"/>
    <x v="8"/>
    <n v="0"/>
    <x v="0"/>
  </r>
  <r>
    <x v="40"/>
    <x v="0"/>
    <x v="41"/>
    <x v="0"/>
    <x v="0"/>
    <x v="0"/>
    <x v="0"/>
    <x v="9"/>
    <n v="0"/>
    <x v="0"/>
  </r>
  <r>
    <x v="40"/>
    <x v="0"/>
    <x v="41"/>
    <x v="0"/>
    <x v="0"/>
    <x v="0"/>
    <x v="0"/>
    <x v="10"/>
    <n v="0"/>
    <x v="0"/>
  </r>
  <r>
    <x v="40"/>
    <x v="0"/>
    <x v="41"/>
    <x v="0"/>
    <x v="0"/>
    <x v="0"/>
    <x v="0"/>
    <x v="11"/>
    <n v="0"/>
    <x v="0"/>
  </r>
  <r>
    <x v="30"/>
    <x v="2"/>
    <x v="72"/>
    <x v="0"/>
    <x v="2"/>
    <x v="3"/>
    <x v="8"/>
    <x v="0"/>
    <n v="0"/>
    <x v="0"/>
  </r>
  <r>
    <x v="30"/>
    <x v="2"/>
    <x v="72"/>
    <x v="0"/>
    <x v="2"/>
    <x v="3"/>
    <x v="8"/>
    <x v="1"/>
    <n v="0"/>
    <x v="0"/>
  </r>
  <r>
    <x v="30"/>
    <x v="2"/>
    <x v="72"/>
    <x v="0"/>
    <x v="2"/>
    <x v="3"/>
    <x v="8"/>
    <x v="2"/>
    <n v="0"/>
    <x v="0"/>
  </r>
  <r>
    <x v="30"/>
    <x v="2"/>
    <x v="72"/>
    <x v="0"/>
    <x v="2"/>
    <x v="3"/>
    <x v="8"/>
    <x v="3"/>
    <n v="0"/>
    <x v="0"/>
  </r>
  <r>
    <x v="30"/>
    <x v="2"/>
    <x v="72"/>
    <x v="0"/>
    <x v="2"/>
    <x v="3"/>
    <x v="8"/>
    <x v="4"/>
    <n v="0"/>
    <x v="0"/>
  </r>
  <r>
    <x v="30"/>
    <x v="2"/>
    <x v="72"/>
    <x v="0"/>
    <x v="2"/>
    <x v="3"/>
    <x v="8"/>
    <x v="5"/>
    <n v="0"/>
    <x v="0"/>
  </r>
  <r>
    <x v="30"/>
    <x v="2"/>
    <x v="72"/>
    <x v="0"/>
    <x v="2"/>
    <x v="3"/>
    <x v="8"/>
    <x v="6"/>
    <n v="0"/>
    <x v="0"/>
  </r>
  <r>
    <x v="30"/>
    <x v="2"/>
    <x v="72"/>
    <x v="0"/>
    <x v="2"/>
    <x v="3"/>
    <x v="8"/>
    <x v="7"/>
    <n v="0"/>
    <x v="0"/>
  </r>
  <r>
    <x v="30"/>
    <x v="2"/>
    <x v="72"/>
    <x v="0"/>
    <x v="2"/>
    <x v="3"/>
    <x v="8"/>
    <x v="8"/>
    <n v="0"/>
    <x v="0"/>
  </r>
  <r>
    <x v="30"/>
    <x v="2"/>
    <x v="72"/>
    <x v="0"/>
    <x v="2"/>
    <x v="3"/>
    <x v="8"/>
    <x v="9"/>
    <n v="9869.4923048147211"/>
    <x v="0"/>
  </r>
  <r>
    <x v="30"/>
    <x v="2"/>
    <x v="72"/>
    <x v="0"/>
    <x v="2"/>
    <x v="3"/>
    <x v="8"/>
    <x v="10"/>
    <n v="0"/>
    <x v="0"/>
  </r>
  <r>
    <x v="30"/>
    <x v="2"/>
    <x v="72"/>
    <x v="0"/>
    <x v="2"/>
    <x v="3"/>
    <x v="8"/>
    <x v="11"/>
    <n v="0"/>
    <x v="0"/>
  </r>
  <r>
    <x v="30"/>
    <x v="2"/>
    <x v="73"/>
    <x v="2"/>
    <x v="2"/>
    <x v="3"/>
    <x v="0"/>
    <x v="0"/>
    <n v="0"/>
    <x v="0"/>
  </r>
  <r>
    <x v="30"/>
    <x v="2"/>
    <x v="73"/>
    <x v="2"/>
    <x v="2"/>
    <x v="3"/>
    <x v="0"/>
    <x v="1"/>
    <n v="0"/>
    <x v="0"/>
  </r>
  <r>
    <x v="30"/>
    <x v="2"/>
    <x v="73"/>
    <x v="2"/>
    <x v="2"/>
    <x v="3"/>
    <x v="0"/>
    <x v="2"/>
    <n v="0"/>
    <x v="0"/>
  </r>
  <r>
    <x v="30"/>
    <x v="2"/>
    <x v="73"/>
    <x v="2"/>
    <x v="2"/>
    <x v="3"/>
    <x v="0"/>
    <x v="3"/>
    <n v="0"/>
    <x v="0"/>
  </r>
  <r>
    <x v="30"/>
    <x v="2"/>
    <x v="73"/>
    <x v="2"/>
    <x v="2"/>
    <x v="3"/>
    <x v="0"/>
    <x v="4"/>
    <n v="0"/>
    <x v="0"/>
  </r>
  <r>
    <x v="30"/>
    <x v="2"/>
    <x v="73"/>
    <x v="2"/>
    <x v="2"/>
    <x v="3"/>
    <x v="0"/>
    <x v="5"/>
    <n v="0"/>
    <x v="0"/>
  </r>
  <r>
    <x v="30"/>
    <x v="2"/>
    <x v="73"/>
    <x v="2"/>
    <x v="2"/>
    <x v="3"/>
    <x v="0"/>
    <x v="6"/>
    <n v="0"/>
    <x v="0"/>
  </r>
  <r>
    <x v="30"/>
    <x v="2"/>
    <x v="73"/>
    <x v="2"/>
    <x v="2"/>
    <x v="3"/>
    <x v="0"/>
    <x v="7"/>
    <n v="0"/>
    <x v="0"/>
  </r>
  <r>
    <x v="30"/>
    <x v="2"/>
    <x v="73"/>
    <x v="2"/>
    <x v="2"/>
    <x v="3"/>
    <x v="0"/>
    <x v="8"/>
    <n v="0"/>
    <x v="0"/>
  </r>
  <r>
    <x v="30"/>
    <x v="2"/>
    <x v="73"/>
    <x v="2"/>
    <x v="2"/>
    <x v="3"/>
    <x v="0"/>
    <x v="9"/>
    <n v="15038.632693979127"/>
    <x v="0"/>
  </r>
  <r>
    <x v="30"/>
    <x v="2"/>
    <x v="73"/>
    <x v="2"/>
    <x v="2"/>
    <x v="3"/>
    <x v="0"/>
    <x v="10"/>
    <n v="0"/>
    <x v="0"/>
  </r>
  <r>
    <x v="30"/>
    <x v="2"/>
    <x v="73"/>
    <x v="2"/>
    <x v="2"/>
    <x v="3"/>
    <x v="0"/>
    <x v="11"/>
    <n v="0"/>
    <x v="0"/>
  </r>
  <r>
    <x v="30"/>
    <x v="2"/>
    <x v="74"/>
    <x v="0"/>
    <x v="2"/>
    <x v="3"/>
    <x v="5"/>
    <x v="0"/>
    <n v="0"/>
    <x v="0"/>
  </r>
  <r>
    <x v="30"/>
    <x v="2"/>
    <x v="74"/>
    <x v="0"/>
    <x v="2"/>
    <x v="3"/>
    <x v="5"/>
    <x v="1"/>
    <n v="0"/>
    <x v="0"/>
  </r>
  <r>
    <x v="30"/>
    <x v="2"/>
    <x v="74"/>
    <x v="0"/>
    <x v="2"/>
    <x v="3"/>
    <x v="5"/>
    <x v="2"/>
    <n v="0"/>
    <x v="0"/>
  </r>
  <r>
    <x v="30"/>
    <x v="2"/>
    <x v="74"/>
    <x v="0"/>
    <x v="2"/>
    <x v="3"/>
    <x v="5"/>
    <x v="3"/>
    <n v="0"/>
    <x v="0"/>
  </r>
  <r>
    <x v="30"/>
    <x v="2"/>
    <x v="74"/>
    <x v="0"/>
    <x v="2"/>
    <x v="3"/>
    <x v="5"/>
    <x v="4"/>
    <n v="0"/>
    <x v="0"/>
  </r>
  <r>
    <x v="30"/>
    <x v="2"/>
    <x v="74"/>
    <x v="0"/>
    <x v="2"/>
    <x v="3"/>
    <x v="5"/>
    <x v="5"/>
    <n v="0"/>
    <x v="0"/>
  </r>
  <r>
    <x v="30"/>
    <x v="2"/>
    <x v="74"/>
    <x v="0"/>
    <x v="2"/>
    <x v="3"/>
    <x v="5"/>
    <x v="6"/>
    <n v="0"/>
    <x v="0"/>
  </r>
  <r>
    <x v="30"/>
    <x v="2"/>
    <x v="74"/>
    <x v="0"/>
    <x v="2"/>
    <x v="3"/>
    <x v="5"/>
    <x v="7"/>
    <n v="0"/>
    <x v="0"/>
  </r>
  <r>
    <x v="30"/>
    <x v="2"/>
    <x v="74"/>
    <x v="0"/>
    <x v="2"/>
    <x v="3"/>
    <x v="5"/>
    <x v="8"/>
    <n v="0"/>
    <x v="0"/>
  </r>
  <r>
    <x v="30"/>
    <x v="2"/>
    <x v="74"/>
    <x v="0"/>
    <x v="2"/>
    <x v="3"/>
    <x v="5"/>
    <x v="9"/>
    <n v="927.27262992810995"/>
    <x v="0"/>
  </r>
  <r>
    <x v="30"/>
    <x v="2"/>
    <x v="74"/>
    <x v="0"/>
    <x v="2"/>
    <x v="3"/>
    <x v="5"/>
    <x v="10"/>
    <n v="0"/>
    <x v="0"/>
  </r>
  <r>
    <x v="30"/>
    <x v="2"/>
    <x v="74"/>
    <x v="0"/>
    <x v="2"/>
    <x v="3"/>
    <x v="5"/>
    <x v="11"/>
    <n v="0"/>
    <x v="0"/>
  </r>
  <r>
    <x v="30"/>
    <x v="2"/>
    <x v="75"/>
    <x v="0"/>
    <x v="2"/>
    <x v="3"/>
    <x v="9"/>
    <x v="0"/>
    <n v="0"/>
    <x v="0"/>
  </r>
  <r>
    <x v="30"/>
    <x v="2"/>
    <x v="75"/>
    <x v="0"/>
    <x v="2"/>
    <x v="3"/>
    <x v="9"/>
    <x v="1"/>
    <n v="0"/>
    <x v="0"/>
  </r>
  <r>
    <x v="30"/>
    <x v="2"/>
    <x v="75"/>
    <x v="0"/>
    <x v="2"/>
    <x v="3"/>
    <x v="9"/>
    <x v="2"/>
    <n v="0"/>
    <x v="0"/>
  </r>
  <r>
    <x v="30"/>
    <x v="2"/>
    <x v="75"/>
    <x v="0"/>
    <x v="2"/>
    <x v="3"/>
    <x v="9"/>
    <x v="3"/>
    <n v="0"/>
    <x v="0"/>
  </r>
  <r>
    <x v="30"/>
    <x v="2"/>
    <x v="75"/>
    <x v="0"/>
    <x v="2"/>
    <x v="3"/>
    <x v="9"/>
    <x v="4"/>
    <n v="0"/>
    <x v="0"/>
  </r>
  <r>
    <x v="30"/>
    <x v="2"/>
    <x v="75"/>
    <x v="0"/>
    <x v="2"/>
    <x v="3"/>
    <x v="9"/>
    <x v="5"/>
    <n v="0"/>
    <x v="0"/>
  </r>
  <r>
    <x v="30"/>
    <x v="2"/>
    <x v="75"/>
    <x v="0"/>
    <x v="2"/>
    <x v="3"/>
    <x v="9"/>
    <x v="6"/>
    <n v="0"/>
    <x v="0"/>
  </r>
  <r>
    <x v="30"/>
    <x v="2"/>
    <x v="75"/>
    <x v="0"/>
    <x v="2"/>
    <x v="3"/>
    <x v="9"/>
    <x v="7"/>
    <n v="0"/>
    <x v="0"/>
  </r>
  <r>
    <x v="30"/>
    <x v="2"/>
    <x v="75"/>
    <x v="0"/>
    <x v="2"/>
    <x v="3"/>
    <x v="9"/>
    <x v="8"/>
    <n v="0"/>
    <x v="0"/>
  </r>
  <r>
    <x v="30"/>
    <x v="2"/>
    <x v="75"/>
    <x v="0"/>
    <x v="2"/>
    <x v="3"/>
    <x v="9"/>
    <x v="9"/>
    <n v="21999.543145044408"/>
    <x v="0"/>
  </r>
  <r>
    <x v="30"/>
    <x v="2"/>
    <x v="75"/>
    <x v="0"/>
    <x v="2"/>
    <x v="3"/>
    <x v="9"/>
    <x v="10"/>
    <n v="0"/>
    <x v="0"/>
  </r>
  <r>
    <x v="30"/>
    <x v="2"/>
    <x v="75"/>
    <x v="0"/>
    <x v="2"/>
    <x v="3"/>
    <x v="9"/>
    <x v="11"/>
    <n v="0"/>
    <x v="0"/>
  </r>
  <r>
    <x v="30"/>
    <x v="2"/>
    <x v="76"/>
    <x v="0"/>
    <x v="2"/>
    <x v="2"/>
    <x v="0"/>
    <x v="0"/>
    <n v="0"/>
    <x v="0"/>
  </r>
  <r>
    <x v="30"/>
    <x v="2"/>
    <x v="76"/>
    <x v="0"/>
    <x v="2"/>
    <x v="2"/>
    <x v="0"/>
    <x v="1"/>
    <n v="0"/>
    <x v="0"/>
  </r>
  <r>
    <x v="30"/>
    <x v="2"/>
    <x v="76"/>
    <x v="0"/>
    <x v="2"/>
    <x v="2"/>
    <x v="0"/>
    <x v="2"/>
    <n v="0"/>
    <x v="0"/>
  </r>
  <r>
    <x v="30"/>
    <x v="2"/>
    <x v="76"/>
    <x v="0"/>
    <x v="2"/>
    <x v="2"/>
    <x v="0"/>
    <x v="3"/>
    <n v="0"/>
    <x v="0"/>
  </r>
  <r>
    <x v="30"/>
    <x v="2"/>
    <x v="76"/>
    <x v="0"/>
    <x v="2"/>
    <x v="2"/>
    <x v="0"/>
    <x v="4"/>
    <n v="0"/>
    <x v="0"/>
  </r>
  <r>
    <x v="30"/>
    <x v="2"/>
    <x v="76"/>
    <x v="0"/>
    <x v="2"/>
    <x v="2"/>
    <x v="0"/>
    <x v="5"/>
    <n v="0"/>
    <x v="0"/>
  </r>
  <r>
    <x v="30"/>
    <x v="2"/>
    <x v="76"/>
    <x v="0"/>
    <x v="2"/>
    <x v="2"/>
    <x v="0"/>
    <x v="6"/>
    <n v="0"/>
    <x v="0"/>
  </r>
  <r>
    <x v="30"/>
    <x v="2"/>
    <x v="76"/>
    <x v="0"/>
    <x v="2"/>
    <x v="2"/>
    <x v="0"/>
    <x v="7"/>
    <n v="0"/>
    <x v="0"/>
  </r>
  <r>
    <x v="30"/>
    <x v="2"/>
    <x v="76"/>
    <x v="0"/>
    <x v="2"/>
    <x v="2"/>
    <x v="0"/>
    <x v="8"/>
    <n v="0"/>
    <x v="0"/>
  </r>
  <r>
    <x v="30"/>
    <x v="2"/>
    <x v="76"/>
    <x v="0"/>
    <x v="2"/>
    <x v="2"/>
    <x v="0"/>
    <x v="9"/>
    <n v="0"/>
    <x v="0"/>
  </r>
  <r>
    <x v="30"/>
    <x v="2"/>
    <x v="76"/>
    <x v="0"/>
    <x v="2"/>
    <x v="2"/>
    <x v="0"/>
    <x v="10"/>
    <n v="111920.12307058509"/>
    <x v="0"/>
  </r>
  <r>
    <x v="30"/>
    <x v="2"/>
    <x v="76"/>
    <x v="0"/>
    <x v="2"/>
    <x v="2"/>
    <x v="0"/>
    <x v="11"/>
    <n v="0"/>
    <x v="0"/>
  </r>
  <r>
    <x v="30"/>
    <x v="2"/>
    <x v="77"/>
    <x v="0"/>
    <x v="2"/>
    <x v="3"/>
    <x v="9"/>
    <x v="0"/>
    <n v="11892.874859576419"/>
    <x v="0"/>
  </r>
  <r>
    <x v="30"/>
    <x v="2"/>
    <x v="77"/>
    <x v="0"/>
    <x v="2"/>
    <x v="3"/>
    <x v="9"/>
    <x v="1"/>
    <n v="16400.786845630206"/>
    <x v="0"/>
  </r>
  <r>
    <x v="30"/>
    <x v="2"/>
    <x v="77"/>
    <x v="0"/>
    <x v="2"/>
    <x v="3"/>
    <x v="9"/>
    <x v="2"/>
    <n v="0"/>
    <x v="0"/>
  </r>
  <r>
    <x v="30"/>
    <x v="2"/>
    <x v="77"/>
    <x v="0"/>
    <x v="2"/>
    <x v="3"/>
    <x v="9"/>
    <x v="3"/>
    <n v="0"/>
    <x v="0"/>
  </r>
  <r>
    <x v="30"/>
    <x v="2"/>
    <x v="77"/>
    <x v="0"/>
    <x v="2"/>
    <x v="3"/>
    <x v="9"/>
    <x v="4"/>
    <n v="16135.033219404597"/>
    <x v="0"/>
  </r>
  <r>
    <x v="30"/>
    <x v="2"/>
    <x v="77"/>
    <x v="0"/>
    <x v="2"/>
    <x v="3"/>
    <x v="9"/>
    <x v="5"/>
    <n v="0"/>
    <x v="0"/>
  </r>
  <r>
    <x v="30"/>
    <x v="2"/>
    <x v="77"/>
    <x v="0"/>
    <x v="2"/>
    <x v="3"/>
    <x v="9"/>
    <x v="6"/>
    <n v="16383.136550469861"/>
    <x v="0"/>
  </r>
  <r>
    <x v="30"/>
    <x v="2"/>
    <x v="77"/>
    <x v="0"/>
    <x v="2"/>
    <x v="3"/>
    <x v="9"/>
    <x v="7"/>
    <n v="0"/>
    <x v="0"/>
  </r>
  <r>
    <x v="30"/>
    <x v="2"/>
    <x v="77"/>
    <x v="0"/>
    <x v="2"/>
    <x v="3"/>
    <x v="9"/>
    <x v="8"/>
    <n v="0"/>
    <x v="0"/>
  </r>
  <r>
    <x v="30"/>
    <x v="2"/>
    <x v="77"/>
    <x v="0"/>
    <x v="2"/>
    <x v="3"/>
    <x v="9"/>
    <x v="9"/>
    <n v="0"/>
    <x v="0"/>
  </r>
  <r>
    <x v="30"/>
    <x v="2"/>
    <x v="77"/>
    <x v="0"/>
    <x v="2"/>
    <x v="3"/>
    <x v="9"/>
    <x v="10"/>
    <n v="0"/>
    <x v="0"/>
  </r>
  <r>
    <x v="30"/>
    <x v="2"/>
    <x v="77"/>
    <x v="0"/>
    <x v="2"/>
    <x v="3"/>
    <x v="9"/>
    <x v="11"/>
    <n v="0"/>
    <x v="0"/>
  </r>
  <r>
    <x v="30"/>
    <x v="2"/>
    <x v="78"/>
    <x v="0"/>
    <x v="2"/>
    <x v="3"/>
    <x v="9"/>
    <x v="0"/>
    <n v="0"/>
    <x v="0"/>
  </r>
  <r>
    <x v="30"/>
    <x v="2"/>
    <x v="78"/>
    <x v="0"/>
    <x v="2"/>
    <x v="3"/>
    <x v="9"/>
    <x v="1"/>
    <n v="0"/>
    <x v="0"/>
  </r>
  <r>
    <x v="30"/>
    <x v="2"/>
    <x v="78"/>
    <x v="0"/>
    <x v="2"/>
    <x v="3"/>
    <x v="9"/>
    <x v="2"/>
    <n v="0"/>
    <x v="0"/>
  </r>
  <r>
    <x v="30"/>
    <x v="2"/>
    <x v="78"/>
    <x v="0"/>
    <x v="2"/>
    <x v="3"/>
    <x v="9"/>
    <x v="3"/>
    <n v="0"/>
    <x v="0"/>
  </r>
  <r>
    <x v="30"/>
    <x v="2"/>
    <x v="78"/>
    <x v="0"/>
    <x v="2"/>
    <x v="3"/>
    <x v="9"/>
    <x v="4"/>
    <n v="0"/>
    <x v="0"/>
  </r>
  <r>
    <x v="30"/>
    <x v="2"/>
    <x v="78"/>
    <x v="0"/>
    <x v="2"/>
    <x v="3"/>
    <x v="9"/>
    <x v="5"/>
    <n v="0"/>
    <x v="0"/>
  </r>
  <r>
    <x v="30"/>
    <x v="2"/>
    <x v="78"/>
    <x v="0"/>
    <x v="2"/>
    <x v="3"/>
    <x v="9"/>
    <x v="6"/>
    <n v="0"/>
    <x v="0"/>
  </r>
  <r>
    <x v="30"/>
    <x v="2"/>
    <x v="78"/>
    <x v="0"/>
    <x v="2"/>
    <x v="3"/>
    <x v="9"/>
    <x v="7"/>
    <n v="8607.705068641837"/>
    <x v="0"/>
  </r>
  <r>
    <x v="30"/>
    <x v="2"/>
    <x v="78"/>
    <x v="0"/>
    <x v="2"/>
    <x v="3"/>
    <x v="9"/>
    <x v="8"/>
    <n v="0"/>
    <x v="0"/>
  </r>
  <r>
    <x v="30"/>
    <x v="2"/>
    <x v="78"/>
    <x v="0"/>
    <x v="2"/>
    <x v="3"/>
    <x v="9"/>
    <x v="9"/>
    <n v="0"/>
    <x v="0"/>
  </r>
  <r>
    <x v="30"/>
    <x v="2"/>
    <x v="78"/>
    <x v="0"/>
    <x v="2"/>
    <x v="3"/>
    <x v="9"/>
    <x v="10"/>
    <n v="0"/>
    <x v="0"/>
  </r>
  <r>
    <x v="30"/>
    <x v="2"/>
    <x v="78"/>
    <x v="0"/>
    <x v="2"/>
    <x v="3"/>
    <x v="9"/>
    <x v="11"/>
    <n v="0"/>
    <x v="0"/>
  </r>
  <r>
    <x v="30"/>
    <x v="2"/>
    <x v="79"/>
    <x v="0"/>
    <x v="2"/>
    <x v="3"/>
    <x v="0"/>
    <x v="0"/>
    <n v="0"/>
    <x v="0"/>
  </r>
  <r>
    <x v="30"/>
    <x v="2"/>
    <x v="79"/>
    <x v="0"/>
    <x v="2"/>
    <x v="3"/>
    <x v="0"/>
    <x v="1"/>
    <n v="0"/>
    <x v="0"/>
  </r>
  <r>
    <x v="30"/>
    <x v="2"/>
    <x v="79"/>
    <x v="0"/>
    <x v="2"/>
    <x v="3"/>
    <x v="0"/>
    <x v="2"/>
    <n v="0"/>
    <x v="0"/>
  </r>
  <r>
    <x v="30"/>
    <x v="2"/>
    <x v="79"/>
    <x v="0"/>
    <x v="2"/>
    <x v="3"/>
    <x v="0"/>
    <x v="3"/>
    <n v="0"/>
    <x v="0"/>
  </r>
  <r>
    <x v="30"/>
    <x v="2"/>
    <x v="79"/>
    <x v="0"/>
    <x v="2"/>
    <x v="3"/>
    <x v="0"/>
    <x v="4"/>
    <n v="0"/>
    <x v="0"/>
  </r>
  <r>
    <x v="30"/>
    <x v="2"/>
    <x v="79"/>
    <x v="0"/>
    <x v="2"/>
    <x v="3"/>
    <x v="0"/>
    <x v="5"/>
    <n v="0"/>
    <x v="0"/>
  </r>
  <r>
    <x v="30"/>
    <x v="2"/>
    <x v="79"/>
    <x v="0"/>
    <x v="2"/>
    <x v="3"/>
    <x v="0"/>
    <x v="6"/>
    <n v="0"/>
    <x v="0"/>
  </r>
  <r>
    <x v="30"/>
    <x v="2"/>
    <x v="79"/>
    <x v="0"/>
    <x v="2"/>
    <x v="3"/>
    <x v="0"/>
    <x v="7"/>
    <n v="0"/>
    <x v="0"/>
  </r>
  <r>
    <x v="30"/>
    <x v="2"/>
    <x v="79"/>
    <x v="0"/>
    <x v="2"/>
    <x v="3"/>
    <x v="0"/>
    <x v="8"/>
    <n v="0"/>
    <x v="0"/>
  </r>
  <r>
    <x v="30"/>
    <x v="2"/>
    <x v="79"/>
    <x v="0"/>
    <x v="2"/>
    <x v="3"/>
    <x v="0"/>
    <x v="9"/>
    <n v="0"/>
    <x v="0"/>
  </r>
  <r>
    <x v="30"/>
    <x v="2"/>
    <x v="79"/>
    <x v="0"/>
    <x v="2"/>
    <x v="3"/>
    <x v="0"/>
    <x v="10"/>
    <n v="0"/>
    <x v="0"/>
  </r>
  <r>
    <x v="30"/>
    <x v="2"/>
    <x v="79"/>
    <x v="0"/>
    <x v="2"/>
    <x v="3"/>
    <x v="0"/>
    <x v="11"/>
    <n v="0"/>
    <x v="0"/>
  </r>
  <r>
    <x v="30"/>
    <x v="2"/>
    <x v="80"/>
    <x v="0"/>
    <x v="2"/>
    <x v="3"/>
    <x v="6"/>
    <x v="0"/>
    <n v="0"/>
    <x v="0"/>
  </r>
  <r>
    <x v="30"/>
    <x v="2"/>
    <x v="80"/>
    <x v="0"/>
    <x v="2"/>
    <x v="3"/>
    <x v="6"/>
    <x v="1"/>
    <n v="0"/>
    <x v="0"/>
  </r>
  <r>
    <x v="30"/>
    <x v="2"/>
    <x v="80"/>
    <x v="0"/>
    <x v="2"/>
    <x v="3"/>
    <x v="6"/>
    <x v="2"/>
    <n v="1745.8200464447523"/>
    <x v="0"/>
  </r>
  <r>
    <x v="30"/>
    <x v="2"/>
    <x v="80"/>
    <x v="0"/>
    <x v="2"/>
    <x v="3"/>
    <x v="6"/>
    <x v="3"/>
    <n v="0"/>
    <x v="0"/>
  </r>
  <r>
    <x v="30"/>
    <x v="2"/>
    <x v="80"/>
    <x v="0"/>
    <x v="2"/>
    <x v="3"/>
    <x v="6"/>
    <x v="4"/>
    <n v="0"/>
    <x v="0"/>
  </r>
  <r>
    <x v="30"/>
    <x v="2"/>
    <x v="80"/>
    <x v="0"/>
    <x v="2"/>
    <x v="3"/>
    <x v="6"/>
    <x v="5"/>
    <n v="0"/>
    <x v="0"/>
  </r>
  <r>
    <x v="30"/>
    <x v="2"/>
    <x v="80"/>
    <x v="0"/>
    <x v="2"/>
    <x v="3"/>
    <x v="6"/>
    <x v="6"/>
    <n v="0"/>
    <x v="0"/>
  </r>
  <r>
    <x v="30"/>
    <x v="2"/>
    <x v="80"/>
    <x v="0"/>
    <x v="2"/>
    <x v="3"/>
    <x v="6"/>
    <x v="7"/>
    <n v="431.96369687448856"/>
    <x v="0"/>
  </r>
  <r>
    <x v="30"/>
    <x v="2"/>
    <x v="80"/>
    <x v="0"/>
    <x v="2"/>
    <x v="3"/>
    <x v="6"/>
    <x v="8"/>
    <n v="0"/>
    <x v="0"/>
  </r>
  <r>
    <x v="30"/>
    <x v="2"/>
    <x v="80"/>
    <x v="0"/>
    <x v="2"/>
    <x v="3"/>
    <x v="6"/>
    <x v="9"/>
    <n v="0"/>
    <x v="0"/>
  </r>
  <r>
    <x v="30"/>
    <x v="2"/>
    <x v="80"/>
    <x v="0"/>
    <x v="2"/>
    <x v="3"/>
    <x v="6"/>
    <x v="10"/>
    <n v="0"/>
    <x v="0"/>
  </r>
  <r>
    <x v="30"/>
    <x v="2"/>
    <x v="80"/>
    <x v="0"/>
    <x v="2"/>
    <x v="3"/>
    <x v="6"/>
    <x v="11"/>
    <n v="0"/>
    <x v="0"/>
  </r>
  <r>
    <x v="30"/>
    <x v="1"/>
    <x v="81"/>
    <x v="1"/>
    <x v="2"/>
    <x v="3"/>
    <x v="0"/>
    <x v="0"/>
    <n v="5504.2298195881522"/>
    <x v="0"/>
  </r>
  <r>
    <x v="30"/>
    <x v="1"/>
    <x v="81"/>
    <x v="1"/>
    <x v="2"/>
    <x v="3"/>
    <x v="0"/>
    <x v="1"/>
    <n v="3751.6137215698409"/>
    <x v="0"/>
  </r>
  <r>
    <x v="30"/>
    <x v="1"/>
    <x v="81"/>
    <x v="1"/>
    <x v="2"/>
    <x v="3"/>
    <x v="0"/>
    <x v="2"/>
    <n v="3289.5455960039103"/>
    <x v="0"/>
  </r>
  <r>
    <x v="30"/>
    <x v="1"/>
    <x v="81"/>
    <x v="1"/>
    <x v="2"/>
    <x v="3"/>
    <x v="0"/>
    <x v="3"/>
    <n v="0"/>
    <x v="0"/>
  </r>
  <r>
    <x v="30"/>
    <x v="1"/>
    <x v="81"/>
    <x v="1"/>
    <x v="2"/>
    <x v="3"/>
    <x v="0"/>
    <x v="4"/>
    <n v="0"/>
    <x v="0"/>
  </r>
  <r>
    <x v="30"/>
    <x v="1"/>
    <x v="81"/>
    <x v="1"/>
    <x v="2"/>
    <x v="3"/>
    <x v="0"/>
    <x v="5"/>
    <n v="0"/>
    <x v="0"/>
  </r>
  <r>
    <x v="30"/>
    <x v="1"/>
    <x v="81"/>
    <x v="1"/>
    <x v="2"/>
    <x v="3"/>
    <x v="0"/>
    <x v="6"/>
    <n v="0"/>
    <x v="0"/>
  </r>
  <r>
    <x v="30"/>
    <x v="1"/>
    <x v="81"/>
    <x v="1"/>
    <x v="2"/>
    <x v="3"/>
    <x v="0"/>
    <x v="7"/>
    <n v="0"/>
    <x v="0"/>
  </r>
  <r>
    <x v="30"/>
    <x v="1"/>
    <x v="81"/>
    <x v="1"/>
    <x v="2"/>
    <x v="3"/>
    <x v="0"/>
    <x v="8"/>
    <n v="0"/>
    <x v="0"/>
  </r>
  <r>
    <x v="30"/>
    <x v="1"/>
    <x v="81"/>
    <x v="1"/>
    <x v="2"/>
    <x v="3"/>
    <x v="0"/>
    <x v="9"/>
    <n v="0"/>
    <x v="0"/>
  </r>
  <r>
    <x v="30"/>
    <x v="1"/>
    <x v="81"/>
    <x v="1"/>
    <x v="2"/>
    <x v="3"/>
    <x v="0"/>
    <x v="10"/>
    <n v="0"/>
    <x v="0"/>
  </r>
  <r>
    <x v="30"/>
    <x v="1"/>
    <x v="81"/>
    <x v="1"/>
    <x v="2"/>
    <x v="3"/>
    <x v="0"/>
    <x v="11"/>
    <n v="0"/>
    <x v="0"/>
  </r>
  <r>
    <x v="30"/>
    <x v="2"/>
    <x v="82"/>
    <x v="0"/>
    <x v="2"/>
    <x v="3"/>
    <x v="4"/>
    <x v="0"/>
    <n v="0"/>
    <x v="0"/>
  </r>
  <r>
    <x v="30"/>
    <x v="2"/>
    <x v="82"/>
    <x v="0"/>
    <x v="2"/>
    <x v="3"/>
    <x v="4"/>
    <x v="1"/>
    <n v="5071.0392437953096"/>
    <x v="0"/>
  </r>
  <r>
    <x v="30"/>
    <x v="2"/>
    <x v="82"/>
    <x v="0"/>
    <x v="2"/>
    <x v="3"/>
    <x v="4"/>
    <x v="2"/>
    <n v="4760.9105603387461"/>
    <x v="0"/>
  </r>
  <r>
    <x v="30"/>
    <x v="2"/>
    <x v="82"/>
    <x v="0"/>
    <x v="2"/>
    <x v="3"/>
    <x v="4"/>
    <x v="3"/>
    <n v="0"/>
    <x v="0"/>
  </r>
  <r>
    <x v="30"/>
    <x v="2"/>
    <x v="82"/>
    <x v="0"/>
    <x v="2"/>
    <x v="3"/>
    <x v="4"/>
    <x v="4"/>
    <n v="0"/>
    <x v="0"/>
  </r>
  <r>
    <x v="30"/>
    <x v="2"/>
    <x v="82"/>
    <x v="0"/>
    <x v="2"/>
    <x v="3"/>
    <x v="4"/>
    <x v="5"/>
    <n v="0"/>
    <x v="0"/>
  </r>
  <r>
    <x v="30"/>
    <x v="2"/>
    <x v="82"/>
    <x v="0"/>
    <x v="2"/>
    <x v="3"/>
    <x v="4"/>
    <x v="6"/>
    <n v="0"/>
    <x v="0"/>
  </r>
  <r>
    <x v="30"/>
    <x v="2"/>
    <x v="82"/>
    <x v="0"/>
    <x v="2"/>
    <x v="3"/>
    <x v="4"/>
    <x v="7"/>
    <n v="0"/>
    <x v="0"/>
  </r>
  <r>
    <x v="30"/>
    <x v="2"/>
    <x v="82"/>
    <x v="0"/>
    <x v="2"/>
    <x v="3"/>
    <x v="4"/>
    <x v="8"/>
    <n v="0"/>
    <x v="0"/>
  </r>
  <r>
    <x v="30"/>
    <x v="2"/>
    <x v="82"/>
    <x v="0"/>
    <x v="2"/>
    <x v="3"/>
    <x v="4"/>
    <x v="9"/>
    <n v="0"/>
    <x v="0"/>
  </r>
  <r>
    <x v="30"/>
    <x v="2"/>
    <x v="82"/>
    <x v="0"/>
    <x v="2"/>
    <x v="3"/>
    <x v="4"/>
    <x v="10"/>
    <n v="0"/>
    <x v="0"/>
  </r>
  <r>
    <x v="30"/>
    <x v="2"/>
    <x v="82"/>
    <x v="0"/>
    <x v="2"/>
    <x v="3"/>
    <x v="4"/>
    <x v="11"/>
    <n v="0"/>
    <x v="0"/>
  </r>
  <r>
    <x v="30"/>
    <x v="2"/>
    <x v="83"/>
    <x v="0"/>
    <x v="2"/>
    <x v="3"/>
    <x v="10"/>
    <x v="0"/>
    <n v="0"/>
    <x v="0"/>
  </r>
  <r>
    <x v="30"/>
    <x v="2"/>
    <x v="83"/>
    <x v="0"/>
    <x v="2"/>
    <x v="3"/>
    <x v="10"/>
    <x v="1"/>
    <n v="0"/>
    <x v="0"/>
  </r>
  <r>
    <x v="30"/>
    <x v="2"/>
    <x v="83"/>
    <x v="0"/>
    <x v="2"/>
    <x v="3"/>
    <x v="10"/>
    <x v="2"/>
    <n v="8620.8892590947253"/>
    <x v="0"/>
  </r>
  <r>
    <x v="30"/>
    <x v="2"/>
    <x v="83"/>
    <x v="0"/>
    <x v="2"/>
    <x v="3"/>
    <x v="10"/>
    <x v="3"/>
    <n v="0"/>
    <x v="0"/>
  </r>
  <r>
    <x v="30"/>
    <x v="2"/>
    <x v="83"/>
    <x v="0"/>
    <x v="2"/>
    <x v="3"/>
    <x v="10"/>
    <x v="4"/>
    <n v="0"/>
    <x v="0"/>
  </r>
  <r>
    <x v="30"/>
    <x v="2"/>
    <x v="83"/>
    <x v="0"/>
    <x v="2"/>
    <x v="3"/>
    <x v="10"/>
    <x v="5"/>
    <n v="0"/>
    <x v="0"/>
  </r>
  <r>
    <x v="30"/>
    <x v="2"/>
    <x v="83"/>
    <x v="0"/>
    <x v="2"/>
    <x v="3"/>
    <x v="10"/>
    <x v="6"/>
    <n v="0"/>
    <x v="0"/>
  </r>
  <r>
    <x v="30"/>
    <x v="2"/>
    <x v="83"/>
    <x v="0"/>
    <x v="2"/>
    <x v="3"/>
    <x v="10"/>
    <x v="7"/>
    <n v="0"/>
    <x v="0"/>
  </r>
  <r>
    <x v="30"/>
    <x v="2"/>
    <x v="83"/>
    <x v="0"/>
    <x v="2"/>
    <x v="3"/>
    <x v="10"/>
    <x v="8"/>
    <n v="0"/>
    <x v="0"/>
  </r>
  <r>
    <x v="30"/>
    <x v="2"/>
    <x v="83"/>
    <x v="0"/>
    <x v="2"/>
    <x v="3"/>
    <x v="10"/>
    <x v="9"/>
    <n v="0"/>
    <x v="0"/>
  </r>
  <r>
    <x v="30"/>
    <x v="2"/>
    <x v="83"/>
    <x v="0"/>
    <x v="2"/>
    <x v="3"/>
    <x v="10"/>
    <x v="10"/>
    <n v="0"/>
    <x v="0"/>
  </r>
  <r>
    <x v="30"/>
    <x v="2"/>
    <x v="83"/>
    <x v="0"/>
    <x v="2"/>
    <x v="3"/>
    <x v="10"/>
    <x v="11"/>
    <n v="0"/>
    <x v="0"/>
  </r>
  <r>
    <x v="30"/>
    <x v="2"/>
    <x v="84"/>
    <x v="0"/>
    <x v="2"/>
    <x v="3"/>
    <x v="9"/>
    <x v="0"/>
    <n v="0"/>
    <x v="0"/>
  </r>
  <r>
    <x v="30"/>
    <x v="2"/>
    <x v="84"/>
    <x v="0"/>
    <x v="2"/>
    <x v="3"/>
    <x v="9"/>
    <x v="1"/>
    <n v="0"/>
    <x v="0"/>
  </r>
  <r>
    <x v="30"/>
    <x v="2"/>
    <x v="84"/>
    <x v="0"/>
    <x v="2"/>
    <x v="3"/>
    <x v="9"/>
    <x v="2"/>
    <n v="0"/>
    <x v="0"/>
  </r>
  <r>
    <x v="30"/>
    <x v="2"/>
    <x v="84"/>
    <x v="0"/>
    <x v="2"/>
    <x v="3"/>
    <x v="9"/>
    <x v="3"/>
    <n v="0"/>
    <x v="0"/>
  </r>
  <r>
    <x v="30"/>
    <x v="2"/>
    <x v="84"/>
    <x v="0"/>
    <x v="2"/>
    <x v="3"/>
    <x v="9"/>
    <x v="4"/>
    <n v="1826.159017804018"/>
    <x v="0"/>
  </r>
  <r>
    <x v="30"/>
    <x v="2"/>
    <x v="84"/>
    <x v="0"/>
    <x v="2"/>
    <x v="3"/>
    <x v="9"/>
    <x v="5"/>
    <n v="0"/>
    <x v="0"/>
  </r>
  <r>
    <x v="30"/>
    <x v="2"/>
    <x v="84"/>
    <x v="0"/>
    <x v="2"/>
    <x v="3"/>
    <x v="9"/>
    <x v="6"/>
    <n v="0"/>
    <x v="0"/>
  </r>
  <r>
    <x v="30"/>
    <x v="2"/>
    <x v="84"/>
    <x v="0"/>
    <x v="2"/>
    <x v="3"/>
    <x v="9"/>
    <x v="7"/>
    <n v="0"/>
    <x v="0"/>
  </r>
  <r>
    <x v="30"/>
    <x v="2"/>
    <x v="84"/>
    <x v="0"/>
    <x v="2"/>
    <x v="3"/>
    <x v="9"/>
    <x v="8"/>
    <n v="0"/>
    <x v="0"/>
  </r>
  <r>
    <x v="30"/>
    <x v="2"/>
    <x v="84"/>
    <x v="0"/>
    <x v="2"/>
    <x v="3"/>
    <x v="9"/>
    <x v="9"/>
    <n v="0"/>
    <x v="0"/>
  </r>
  <r>
    <x v="30"/>
    <x v="2"/>
    <x v="84"/>
    <x v="0"/>
    <x v="2"/>
    <x v="3"/>
    <x v="9"/>
    <x v="10"/>
    <n v="0"/>
    <x v="0"/>
  </r>
  <r>
    <x v="30"/>
    <x v="2"/>
    <x v="84"/>
    <x v="0"/>
    <x v="2"/>
    <x v="3"/>
    <x v="9"/>
    <x v="11"/>
    <n v="0"/>
    <x v="0"/>
  </r>
  <r>
    <x v="30"/>
    <x v="2"/>
    <x v="85"/>
    <x v="0"/>
    <x v="2"/>
    <x v="3"/>
    <x v="3"/>
    <x v="0"/>
    <n v="0"/>
    <x v="0"/>
  </r>
  <r>
    <x v="30"/>
    <x v="2"/>
    <x v="85"/>
    <x v="0"/>
    <x v="2"/>
    <x v="3"/>
    <x v="3"/>
    <x v="1"/>
    <n v="0"/>
    <x v="0"/>
  </r>
  <r>
    <x v="30"/>
    <x v="2"/>
    <x v="85"/>
    <x v="0"/>
    <x v="2"/>
    <x v="3"/>
    <x v="3"/>
    <x v="2"/>
    <n v="216.20126675781788"/>
    <x v="0"/>
  </r>
  <r>
    <x v="30"/>
    <x v="2"/>
    <x v="85"/>
    <x v="0"/>
    <x v="2"/>
    <x v="3"/>
    <x v="3"/>
    <x v="3"/>
    <n v="0"/>
    <x v="0"/>
  </r>
  <r>
    <x v="30"/>
    <x v="2"/>
    <x v="85"/>
    <x v="0"/>
    <x v="2"/>
    <x v="3"/>
    <x v="3"/>
    <x v="4"/>
    <n v="497.88921221128123"/>
    <x v="0"/>
  </r>
  <r>
    <x v="30"/>
    <x v="2"/>
    <x v="85"/>
    <x v="0"/>
    <x v="2"/>
    <x v="3"/>
    <x v="3"/>
    <x v="5"/>
    <n v="699.07750196202403"/>
    <x v="0"/>
  </r>
  <r>
    <x v="30"/>
    <x v="2"/>
    <x v="85"/>
    <x v="0"/>
    <x v="2"/>
    <x v="3"/>
    <x v="3"/>
    <x v="6"/>
    <n v="0"/>
    <x v="0"/>
  </r>
  <r>
    <x v="30"/>
    <x v="2"/>
    <x v="85"/>
    <x v="0"/>
    <x v="2"/>
    <x v="3"/>
    <x v="3"/>
    <x v="7"/>
    <n v="404.77513405384911"/>
    <x v="0"/>
  </r>
  <r>
    <x v="30"/>
    <x v="2"/>
    <x v="85"/>
    <x v="0"/>
    <x v="2"/>
    <x v="3"/>
    <x v="3"/>
    <x v="8"/>
    <n v="0"/>
    <x v="0"/>
  </r>
  <r>
    <x v="30"/>
    <x v="2"/>
    <x v="85"/>
    <x v="0"/>
    <x v="2"/>
    <x v="3"/>
    <x v="3"/>
    <x v="9"/>
    <n v="0"/>
    <x v="0"/>
  </r>
  <r>
    <x v="30"/>
    <x v="2"/>
    <x v="85"/>
    <x v="0"/>
    <x v="2"/>
    <x v="3"/>
    <x v="3"/>
    <x v="10"/>
    <n v="788.85397566660185"/>
    <x v="0"/>
  </r>
  <r>
    <x v="30"/>
    <x v="2"/>
    <x v="85"/>
    <x v="0"/>
    <x v="2"/>
    <x v="3"/>
    <x v="3"/>
    <x v="11"/>
    <n v="0"/>
    <x v="0"/>
  </r>
  <r>
    <x v="50"/>
    <x v="1"/>
    <x v="86"/>
    <x v="0"/>
    <x v="1"/>
    <x v="1"/>
    <x v="0"/>
    <x v="0"/>
    <n v="337.29835406261157"/>
    <x v="0"/>
  </r>
  <r>
    <x v="50"/>
    <x v="1"/>
    <x v="86"/>
    <x v="0"/>
    <x v="1"/>
    <x v="1"/>
    <x v="0"/>
    <x v="1"/>
    <n v="0"/>
    <x v="0"/>
  </r>
  <r>
    <x v="50"/>
    <x v="1"/>
    <x v="86"/>
    <x v="0"/>
    <x v="1"/>
    <x v="1"/>
    <x v="0"/>
    <x v="2"/>
    <n v="936.2160616787487"/>
    <x v="0"/>
  </r>
  <r>
    <x v="50"/>
    <x v="1"/>
    <x v="86"/>
    <x v="0"/>
    <x v="1"/>
    <x v="1"/>
    <x v="0"/>
    <x v="3"/>
    <n v="0"/>
    <x v="0"/>
  </r>
  <r>
    <x v="50"/>
    <x v="1"/>
    <x v="86"/>
    <x v="0"/>
    <x v="1"/>
    <x v="1"/>
    <x v="0"/>
    <x v="4"/>
    <n v="0"/>
    <x v="0"/>
  </r>
  <r>
    <x v="50"/>
    <x v="1"/>
    <x v="86"/>
    <x v="0"/>
    <x v="1"/>
    <x v="1"/>
    <x v="0"/>
    <x v="5"/>
    <n v="0"/>
    <x v="0"/>
  </r>
  <r>
    <x v="50"/>
    <x v="1"/>
    <x v="86"/>
    <x v="0"/>
    <x v="1"/>
    <x v="1"/>
    <x v="0"/>
    <x v="6"/>
    <n v="623.64593075492519"/>
    <x v="0"/>
  </r>
  <r>
    <x v="50"/>
    <x v="1"/>
    <x v="86"/>
    <x v="0"/>
    <x v="1"/>
    <x v="1"/>
    <x v="0"/>
    <x v="7"/>
    <n v="0"/>
    <x v="0"/>
  </r>
  <r>
    <x v="50"/>
    <x v="1"/>
    <x v="86"/>
    <x v="0"/>
    <x v="1"/>
    <x v="1"/>
    <x v="0"/>
    <x v="8"/>
    <n v="0"/>
    <x v="0"/>
  </r>
  <r>
    <x v="50"/>
    <x v="1"/>
    <x v="86"/>
    <x v="0"/>
    <x v="1"/>
    <x v="1"/>
    <x v="0"/>
    <x v="9"/>
    <n v="519.73630907470567"/>
    <x v="0"/>
  </r>
  <r>
    <x v="50"/>
    <x v="1"/>
    <x v="86"/>
    <x v="0"/>
    <x v="1"/>
    <x v="1"/>
    <x v="0"/>
    <x v="10"/>
    <n v="0"/>
    <x v="0"/>
  </r>
  <r>
    <x v="50"/>
    <x v="1"/>
    <x v="86"/>
    <x v="0"/>
    <x v="1"/>
    <x v="1"/>
    <x v="0"/>
    <x v="11"/>
    <n v="0"/>
    <x v="0"/>
  </r>
  <r>
    <x v="50"/>
    <x v="1"/>
    <x v="86"/>
    <x v="0"/>
    <x v="1"/>
    <x v="1"/>
    <x v="0"/>
    <x v="0"/>
    <n v="0"/>
    <x v="0"/>
  </r>
  <r>
    <x v="50"/>
    <x v="1"/>
    <x v="86"/>
    <x v="0"/>
    <x v="1"/>
    <x v="1"/>
    <x v="0"/>
    <x v="1"/>
    <n v="0"/>
    <x v="0"/>
  </r>
  <r>
    <x v="50"/>
    <x v="1"/>
    <x v="86"/>
    <x v="0"/>
    <x v="1"/>
    <x v="1"/>
    <x v="0"/>
    <x v="2"/>
    <n v="0"/>
    <x v="0"/>
  </r>
  <r>
    <x v="50"/>
    <x v="1"/>
    <x v="86"/>
    <x v="0"/>
    <x v="1"/>
    <x v="1"/>
    <x v="0"/>
    <x v="3"/>
    <n v="0"/>
    <x v="0"/>
  </r>
  <r>
    <x v="50"/>
    <x v="1"/>
    <x v="86"/>
    <x v="0"/>
    <x v="1"/>
    <x v="1"/>
    <x v="0"/>
    <x v="4"/>
    <n v="0"/>
    <x v="0"/>
  </r>
  <r>
    <x v="50"/>
    <x v="1"/>
    <x v="86"/>
    <x v="0"/>
    <x v="1"/>
    <x v="1"/>
    <x v="0"/>
    <x v="5"/>
    <n v="0"/>
    <x v="0"/>
  </r>
  <r>
    <x v="50"/>
    <x v="1"/>
    <x v="86"/>
    <x v="0"/>
    <x v="1"/>
    <x v="1"/>
    <x v="0"/>
    <x v="6"/>
    <n v="0"/>
    <x v="0"/>
  </r>
  <r>
    <x v="50"/>
    <x v="1"/>
    <x v="86"/>
    <x v="0"/>
    <x v="1"/>
    <x v="1"/>
    <x v="0"/>
    <x v="7"/>
    <n v="0"/>
    <x v="0"/>
  </r>
  <r>
    <x v="50"/>
    <x v="1"/>
    <x v="86"/>
    <x v="0"/>
    <x v="1"/>
    <x v="1"/>
    <x v="0"/>
    <x v="8"/>
    <n v="0"/>
    <x v="0"/>
  </r>
  <r>
    <x v="50"/>
    <x v="1"/>
    <x v="86"/>
    <x v="0"/>
    <x v="1"/>
    <x v="1"/>
    <x v="0"/>
    <x v="9"/>
    <n v="0"/>
    <x v="0"/>
  </r>
  <r>
    <x v="50"/>
    <x v="1"/>
    <x v="86"/>
    <x v="0"/>
    <x v="1"/>
    <x v="1"/>
    <x v="0"/>
    <x v="10"/>
    <n v="0"/>
    <x v="0"/>
  </r>
  <r>
    <x v="50"/>
    <x v="1"/>
    <x v="86"/>
    <x v="0"/>
    <x v="1"/>
    <x v="1"/>
    <x v="0"/>
    <x v="11"/>
    <n v="0"/>
    <x v="0"/>
  </r>
  <r>
    <x v="30"/>
    <x v="1"/>
    <x v="87"/>
    <x v="2"/>
    <x v="2"/>
    <x v="3"/>
    <x v="0"/>
    <x v="0"/>
    <n v="0"/>
    <x v="0"/>
  </r>
  <r>
    <x v="30"/>
    <x v="1"/>
    <x v="87"/>
    <x v="2"/>
    <x v="2"/>
    <x v="3"/>
    <x v="0"/>
    <x v="1"/>
    <n v="0"/>
    <x v="0"/>
  </r>
  <r>
    <x v="30"/>
    <x v="1"/>
    <x v="87"/>
    <x v="2"/>
    <x v="2"/>
    <x v="3"/>
    <x v="0"/>
    <x v="2"/>
    <n v="0"/>
    <x v="0"/>
  </r>
  <r>
    <x v="30"/>
    <x v="1"/>
    <x v="87"/>
    <x v="2"/>
    <x v="2"/>
    <x v="3"/>
    <x v="0"/>
    <x v="3"/>
    <n v="0"/>
    <x v="0"/>
  </r>
  <r>
    <x v="30"/>
    <x v="1"/>
    <x v="87"/>
    <x v="2"/>
    <x v="2"/>
    <x v="3"/>
    <x v="0"/>
    <x v="4"/>
    <n v="1539.4455300122952"/>
    <x v="0"/>
  </r>
  <r>
    <x v="30"/>
    <x v="1"/>
    <x v="87"/>
    <x v="2"/>
    <x v="2"/>
    <x v="3"/>
    <x v="0"/>
    <x v="5"/>
    <n v="0"/>
    <x v="0"/>
  </r>
  <r>
    <x v="30"/>
    <x v="1"/>
    <x v="87"/>
    <x v="2"/>
    <x v="2"/>
    <x v="3"/>
    <x v="0"/>
    <x v="6"/>
    <n v="0"/>
    <x v="0"/>
  </r>
  <r>
    <x v="30"/>
    <x v="1"/>
    <x v="87"/>
    <x v="2"/>
    <x v="2"/>
    <x v="3"/>
    <x v="0"/>
    <x v="7"/>
    <n v="0"/>
    <x v="0"/>
  </r>
  <r>
    <x v="30"/>
    <x v="1"/>
    <x v="87"/>
    <x v="2"/>
    <x v="2"/>
    <x v="3"/>
    <x v="0"/>
    <x v="8"/>
    <n v="0"/>
    <x v="0"/>
  </r>
  <r>
    <x v="30"/>
    <x v="1"/>
    <x v="87"/>
    <x v="2"/>
    <x v="2"/>
    <x v="3"/>
    <x v="0"/>
    <x v="9"/>
    <n v="342.45337314032508"/>
    <x v="0"/>
  </r>
  <r>
    <x v="30"/>
    <x v="1"/>
    <x v="87"/>
    <x v="2"/>
    <x v="2"/>
    <x v="3"/>
    <x v="0"/>
    <x v="10"/>
    <n v="0"/>
    <x v="0"/>
  </r>
  <r>
    <x v="30"/>
    <x v="1"/>
    <x v="87"/>
    <x v="2"/>
    <x v="2"/>
    <x v="3"/>
    <x v="0"/>
    <x v="11"/>
    <n v="0"/>
    <x v="0"/>
  </r>
  <r>
    <x v="51"/>
    <x v="1"/>
    <x v="88"/>
    <x v="0"/>
    <x v="1"/>
    <x v="1"/>
    <x v="0"/>
    <x v="0"/>
    <n v="0"/>
    <x v="0"/>
  </r>
  <r>
    <x v="51"/>
    <x v="1"/>
    <x v="88"/>
    <x v="0"/>
    <x v="1"/>
    <x v="1"/>
    <x v="0"/>
    <x v="1"/>
    <n v="0"/>
    <x v="0"/>
  </r>
  <r>
    <x v="51"/>
    <x v="1"/>
    <x v="88"/>
    <x v="0"/>
    <x v="1"/>
    <x v="1"/>
    <x v="0"/>
    <x v="2"/>
    <n v="352.52992893927166"/>
    <x v="0"/>
  </r>
  <r>
    <x v="51"/>
    <x v="1"/>
    <x v="88"/>
    <x v="0"/>
    <x v="1"/>
    <x v="1"/>
    <x v="0"/>
    <x v="3"/>
    <n v="0"/>
    <x v="0"/>
  </r>
  <r>
    <x v="51"/>
    <x v="1"/>
    <x v="88"/>
    <x v="0"/>
    <x v="1"/>
    <x v="1"/>
    <x v="0"/>
    <x v="4"/>
    <n v="0"/>
    <x v="0"/>
  </r>
  <r>
    <x v="51"/>
    <x v="1"/>
    <x v="88"/>
    <x v="0"/>
    <x v="1"/>
    <x v="1"/>
    <x v="0"/>
    <x v="5"/>
    <n v="0"/>
    <x v="0"/>
  </r>
  <r>
    <x v="51"/>
    <x v="1"/>
    <x v="88"/>
    <x v="0"/>
    <x v="1"/>
    <x v="1"/>
    <x v="0"/>
    <x v="6"/>
    <n v="0"/>
    <x v="0"/>
  </r>
  <r>
    <x v="51"/>
    <x v="1"/>
    <x v="88"/>
    <x v="0"/>
    <x v="1"/>
    <x v="1"/>
    <x v="0"/>
    <x v="7"/>
    <n v="0"/>
    <x v="0"/>
  </r>
  <r>
    <x v="51"/>
    <x v="1"/>
    <x v="88"/>
    <x v="0"/>
    <x v="1"/>
    <x v="1"/>
    <x v="0"/>
    <x v="8"/>
    <n v="0"/>
    <x v="0"/>
  </r>
  <r>
    <x v="51"/>
    <x v="1"/>
    <x v="88"/>
    <x v="0"/>
    <x v="1"/>
    <x v="1"/>
    <x v="0"/>
    <x v="9"/>
    <n v="0"/>
    <x v="0"/>
  </r>
  <r>
    <x v="51"/>
    <x v="1"/>
    <x v="88"/>
    <x v="0"/>
    <x v="1"/>
    <x v="1"/>
    <x v="0"/>
    <x v="10"/>
    <n v="0"/>
    <x v="0"/>
  </r>
  <r>
    <x v="51"/>
    <x v="1"/>
    <x v="88"/>
    <x v="0"/>
    <x v="1"/>
    <x v="1"/>
    <x v="0"/>
    <x v="11"/>
    <n v="0"/>
    <x v="0"/>
  </r>
  <r>
    <x v="41"/>
    <x v="0"/>
    <x v="42"/>
    <x v="0"/>
    <x v="0"/>
    <x v="0"/>
    <x v="0"/>
    <x v="0"/>
    <n v="0"/>
    <x v="0"/>
  </r>
  <r>
    <x v="41"/>
    <x v="0"/>
    <x v="42"/>
    <x v="0"/>
    <x v="0"/>
    <x v="0"/>
    <x v="0"/>
    <x v="1"/>
    <n v="0"/>
    <x v="0"/>
  </r>
  <r>
    <x v="41"/>
    <x v="0"/>
    <x v="42"/>
    <x v="0"/>
    <x v="0"/>
    <x v="0"/>
    <x v="0"/>
    <x v="2"/>
    <n v="8988.0921457149507"/>
    <x v="0"/>
  </r>
  <r>
    <x v="41"/>
    <x v="0"/>
    <x v="42"/>
    <x v="0"/>
    <x v="0"/>
    <x v="0"/>
    <x v="0"/>
    <x v="3"/>
    <n v="9037.1248137924049"/>
    <x v="0"/>
  </r>
  <r>
    <x v="41"/>
    <x v="0"/>
    <x v="42"/>
    <x v="0"/>
    <x v="0"/>
    <x v="0"/>
    <x v="0"/>
    <x v="4"/>
    <n v="9562.8773566255059"/>
    <x v="0"/>
  </r>
  <r>
    <x v="41"/>
    <x v="0"/>
    <x v="42"/>
    <x v="0"/>
    <x v="0"/>
    <x v="0"/>
    <x v="0"/>
    <x v="5"/>
    <n v="0"/>
    <x v="0"/>
  </r>
  <r>
    <x v="41"/>
    <x v="0"/>
    <x v="42"/>
    <x v="0"/>
    <x v="0"/>
    <x v="0"/>
    <x v="0"/>
    <x v="6"/>
    <n v="0"/>
    <x v="0"/>
  </r>
  <r>
    <x v="41"/>
    <x v="0"/>
    <x v="42"/>
    <x v="0"/>
    <x v="0"/>
    <x v="0"/>
    <x v="0"/>
    <x v="7"/>
    <n v="0"/>
    <x v="0"/>
  </r>
  <r>
    <x v="41"/>
    <x v="0"/>
    <x v="42"/>
    <x v="0"/>
    <x v="0"/>
    <x v="0"/>
    <x v="0"/>
    <x v="8"/>
    <n v="0"/>
    <x v="0"/>
  </r>
  <r>
    <x v="41"/>
    <x v="0"/>
    <x v="42"/>
    <x v="0"/>
    <x v="0"/>
    <x v="0"/>
    <x v="0"/>
    <x v="9"/>
    <n v="0"/>
    <x v="0"/>
  </r>
  <r>
    <x v="41"/>
    <x v="0"/>
    <x v="42"/>
    <x v="0"/>
    <x v="0"/>
    <x v="0"/>
    <x v="0"/>
    <x v="10"/>
    <n v="0"/>
    <x v="0"/>
  </r>
  <r>
    <x v="41"/>
    <x v="0"/>
    <x v="42"/>
    <x v="0"/>
    <x v="0"/>
    <x v="0"/>
    <x v="0"/>
    <x v="11"/>
    <n v="0"/>
    <x v="0"/>
  </r>
  <r>
    <x v="30"/>
    <x v="0"/>
    <x v="89"/>
    <x v="1"/>
    <x v="0"/>
    <x v="0"/>
    <x v="0"/>
    <x v="0"/>
    <n v="0"/>
    <x v="0"/>
  </r>
  <r>
    <x v="30"/>
    <x v="0"/>
    <x v="89"/>
    <x v="1"/>
    <x v="0"/>
    <x v="0"/>
    <x v="0"/>
    <x v="1"/>
    <n v="0"/>
    <x v="0"/>
  </r>
  <r>
    <x v="30"/>
    <x v="0"/>
    <x v="89"/>
    <x v="1"/>
    <x v="0"/>
    <x v="0"/>
    <x v="0"/>
    <x v="2"/>
    <n v="6729.0529433160063"/>
    <x v="0"/>
  </r>
  <r>
    <x v="30"/>
    <x v="0"/>
    <x v="89"/>
    <x v="1"/>
    <x v="0"/>
    <x v="0"/>
    <x v="0"/>
    <x v="3"/>
    <n v="0"/>
    <x v="0"/>
  </r>
  <r>
    <x v="30"/>
    <x v="0"/>
    <x v="89"/>
    <x v="1"/>
    <x v="0"/>
    <x v="0"/>
    <x v="0"/>
    <x v="4"/>
    <n v="0"/>
    <x v="0"/>
  </r>
  <r>
    <x v="30"/>
    <x v="0"/>
    <x v="89"/>
    <x v="1"/>
    <x v="0"/>
    <x v="0"/>
    <x v="0"/>
    <x v="5"/>
    <n v="0"/>
    <x v="0"/>
  </r>
  <r>
    <x v="30"/>
    <x v="0"/>
    <x v="89"/>
    <x v="1"/>
    <x v="0"/>
    <x v="0"/>
    <x v="0"/>
    <x v="6"/>
    <n v="0"/>
    <x v="0"/>
  </r>
  <r>
    <x v="30"/>
    <x v="0"/>
    <x v="89"/>
    <x v="1"/>
    <x v="0"/>
    <x v="0"/>
    <x v="0"/>
    <x v="7"/>
    <n v="0"/>
    <x v="0"/>
  </r>
  <r>
    <x v="30"/>
    <x v="0"/>
    <x v="89"/>
    <x v="1"/>
    <x v="0"/>
    <x v="0"/>
    <x v="0"/>
    <x v="8"/>
    <n v="0"/>
    <x v="0"/>
  </r>
  <r>
    <x v="30"/>
    <x v="0"/>
    <x v="89"/>
    <x v="1"/>
    <x v="0"/>
    <x v="0"/>
    <x v="0"/>
    <x v="9"/>
    <n v="0"/>
    <x v="0"/>
  </r>
  <r>
    <x v="30"/>
    <x v="0"/>
    <x v="89"/>
    <x v="1"/>
    <x v="0"/>
    <x v="0"/>
    <x v="0"/>
    <x v="10"/>
    <n v="0"/>
    <x v="0"/>
  </r>
  <r>
    <x v="30"/>
    <x v="0"/>
    <x v="89"/>
    <x v="1"/>
    <x v="0"/>
    <x v="0"/>
    <x v="0"/>
    <x v="11"/>
    <n v="0"/>
    <x v="0"/>
  </r>
  <r>
    <x v="1"/>
    <x v="1"/>
    <x v="1"/>
    <x v="2"/>
    <x v="1"/>
    <x v="1"/>
    <x v="0"/>
    <x v="0"/>
    <n v="18986.346824734897"/>
    <x v="0"/>
  </r>
  <r>
    <x v="1"/>
    <x v="1"/>
    <x v="1"/>
    <x v="2"/>
    <x v="1"/>
    <x v="1"/>
    <x v="0"/>
    <x v="1"/>
    <n v="0"/>
    <x v="0"/>
  </r>
  <r>
    <x v="1"/>
    <x v="1"/>
    <x v="1"/>
    <x v="2"/>
    <x v="1"/>
    <x v="1"/>
    <x v="0"/>
    <x v="2"/>
    <n v="0"/>
    <x v="0"/>
  </r>
  <r>
    <x v="1"/>
    <x v="1"/>
    <x v="1"/>
    <x v="2"/>
    <x v="1"/>
    <x v="1"/>
    <x v="0"/>
    <x v="3"/>
    <n v="0"/>
    <x v="0"/>
  </r>
  <r>
    <x v="1"/>
    <x v="1"/>
    <x v="1"/>
    <x v="2"/>
    <x v="1"/>
    <x v="1"/>
    <x v="0"/>
    <x v="4"/>
    <n v="0"/>
    <x v="0"/>
  </r>
  <r>
    <x v="1"/>
    <x v="1"/>
    <x v="1"/>
    <x v="2"/>
    <x v="1"/>
    <x v="1"/>
    <x v="0"/>
    <x v="5"/>
    <n v="0"/>
    <x v="0"/>
  </r>
  <r>
    <x v="1"/>
    <x v="1"/>
    <x v="1"/>
    <x v="2"/>
    <x v="1"/>
    <x v="1"/>
    <x v="0"/>
    <x v="6"/>
    <n v="0"/>
    <x v="0"/>
  </r>
  <r>
    <x v="1"/>
    <x v="1"/>
    <x v="1"/>
    <x v="2"/>
    <x v="1"/>
    <x v="1"/>
    <x v="0"/>
    <x v="7"/>
    <n v="0"/>
    <x v="0"/>
  </r>
  <r>
    <x v="1"/>
    <x v="1"/>
    <x v="1"/>
    <x v="2"/>
    <x v="1"/>
    <x v="1"/>
    <x v="0"/>
    <x v="8"/>
    <n v="0"/>
    <x v="0"/>
  </r>
  <r>
    <x v="1"/>
    <x v="1"/>
    <x v="1"/>
    <x v="2"/>
    <x v="1"/>
    <x v="1"/>
    <x v="0"/>
    <x v="9"/>
    <n v="0"/>
    <x v="0"/>
  </r>
  <r>
    <x v="1"/>
    <x v="1"/>
    <x v="1"/>
    <x v="2"/>
    <x v="1"/>
    <x v="1"/>
    <x v="0"/>
    <x v="10"/>
    <n v="0"/>
    <x v="0"/>
  </r>
  <r>
    <x v="1"/>
    <x v="1"/>
    <x v="1"/>
    <x v="2"/>
    <x v="1"/>
    <x v="1"/>
    <x v="0"/>
    <x v="11"/>
    <n v="0"/>
    <x v="0"/>
  </r>
  <r>
    <x v="30"/>
    <x v="2"/>
    <x v="90"/>
    <x v="0"/>
    <x v="2"/>
    <x v="3"/>
    <x v="11"/>
    <x v="0"/>
    <n v="0"/>
    <x v="0"/>
  </r>
  <r>
    <x v="30"/>
    <x v="2"/>
    <x v="90"/>
    <x v="0"/>
    <x v="2"/>
    <x v="3"/>
    <x v="11"/>
    <x v="1"/>
    <n v="0"/>
    <x v="0"/>
  </r>
  <r>
    <x v="30"/>
    <x v="2"/>
    <x v="90"/>
    <x v="0"/>
    <x v="2"/>
    <x v="3"/>
    <x v="11"/>
    <x v="2"/>
    <n v="0"/>
    <x v="0"/>
  </r>
  <r>
    <x v="30"/>
    <x v="2"/>
    <x v="90"/>
    <x v="0"/>
    <x v="2"/>
    <x v="3"/>
    <x v="11"/>
    <x v="3"/>
    <n v="0"/>
    <x v="0"/>
  </r>
  <r>
    <x v="30"/>
    <x v="2"/>
    <x v="90"/>
    <x v="0"/>
    <x v="2"/>
    <x v="3"/>
    <x v="11"/>
    <x v="4"/>
    <n v="0"/>
    <x v="0"/>
  </r>
  <r>
    <x v="30"/>
    <x v="2"/>
    <x v="90"/>
    <x v="0"/>
    <x v="2"/>
    <x v="3"/>
    <x v="11"/>
    <x v="5"/>
    <n v="0"/>
    <x v="0"/>
  </r>
  <r>
    <x v="30"/>
    <x v="2"/>
    <x v="90"/>
    <x v="0"/>
    <x v="2"/>
    <x v="3"/>
    <x v="11"/>
    <x v="6"/>
    <n v="0"/>
    <x v="0"/>
  </r>
  <r>
    <x v="30"/>
    <x v="2"/>
    <x v="90"/>
    <x v="0"/>
    <x v="2"/>
    <x v="3"/>
    <x v="11"/>
    <x v="7"/>
    <n v="6459.7192568341861"/>
    <x v="0"/>
  </r>
  <r>
    <x v="30"/>
    <x v="2"/>
    <x v="90"/>
    <x v="0"/>
    <x v="2"/>
    <x v="3"/>
    <x v="11"/>
    <x v="8"/>
    <n v="0"/>
    <x v="0"/>
  </r>
  <r>
    <x v="30"/>
    <x v="2"/>
    <x v="90"/>
    <x v="0"/>
    <x v="2"/>
    <x v="3"/>
    <x v="11"/>
    <x v="9"/>
    <n v="0"/>
    <x v="0"/>
  </r>
  <r>
    <x v="30"/>
    <x v="2"/>
    <x v="90"/>
    <x v="0"/>
    <x v="2"/>
    <x v="3"/>
    <x v="11"/>
    <x v="10"/>
    <n v="0"/>
    <x v="0"/>
  </r>
  <r>
    <x v="30"/>
    <x v="2"/>
    <x v="90"/>
    <x v="0"/>
    <x v="2"/>
    <x v="3"/>
    <x v="11"/>
    <x v="11"/>
    <n v="0"/>
    <x v="0"/>
  </r>
  <r>
    <x v="30"/>
    <x v="2"/>
    <x v="91"/>
    <x v="0"/>
    <x v="2"/>
    <x v="3"/>
    <x v="11"/>
    <x v="0"/>
    <n v="0"/>
    <x v="0"/>
  </r>
  <r>
    <x v="30"/>
    <x v="2"/>
    <x v="91"/>
    <x v="0"/>
    <x v="2"/>
    <x v="3"/>
    <x v="11"/>
    <x v="1"/>
    <n v="0"/>
    <x v="0"/>
  </r>
  <r>
    <x v="30"/>
    <x v="2"/>
    <x v="91"/>
    <x v="0"/>
    <x v="2"/>
    <x v="3"/>
    <x v="11"/>
    <x v="2"/>
    <n v="0"/>
    <x v="0"/>
  </r>
  <r>
    <x v="30"/>
    <x v="2"/>
    <x v="91"/>
    <x v="0"/>
    <x v="2"/>
    <x v="3"/>
    <x v="11"/>
    <x v="3"/>
    <n v="0"/>
    <x v="0"/>
  </r>
  <r>
    <x v="30"/>
    <x v="2"/>
    <x v="91"/>
    <x v="0"/>
    <x v="2"/>
    <x v="3"/>
    <x v="11"/>
    <x v="4"/>
    <n v="0"/>
    <x v="0"/>
  </r>
  <r>
    <x v="30"/>
    <x v="2"/>
    <x v="91"/>
    <x v="0"/>
    <x v="2"/>
    <x v="3"/>
    <x v="11"/>
    <x v="5"/>
    <n v="0"/>
    <x v="0"/>
  </r>
  <r>
    <x v="30"/>
    <x v="2"/>
    <x v="91"/>
    <x v="0"/>
    <x v="2"/>
    <x v="3"/>
    <x v="11"/>
    <x v="6"/>
    <n v="0"/>
    <x v="0"/>
  </r>
  <r>
    <x v="30"/>
    <x v="2"/>
    <x v="91"/>
    <x v="0"/>
    <x v="2"/>
    <x v="3"/>
    <x v="11"/>
    <x v="7"/>
    <n v="6042.5764594265147"/>
    <x v="0"/>
  </r>
  <r>
    <x v="30"/>
    <x v="2"/>
    <x v="91"/>
    <x v="0"/>
    <x v="2"/>
    <x v="3"/>
    <x v="11"/>
    <x v="8"/>
    <n v="0"/>
    <x v="0"/>
  </r>
  <r>
    <x v="30"/>
    <x v="2"/>
    <x v="91"/>
    <x v="0"/>
    <x v="2"/>
    <x v="3"/>
    <x v="11"/>
    <x v="9"/>
    <n v="0"/>
    <x v="0"/>
  </r>
  <r>
    <x v="30"/>
    <x v="2"/>
    <x v="91"/>
    <x v="0"/>
    <x v="2"/>
    <x v="3"/>
    <x v="11"/>
    <x v="10"/>
    <n v="0"/>
    <x v="0"/>
  </r>
  <r>
    <x v="30"/>
    <x v="2"/>
    <x v="91"/>
    <x v="0"/>
    <x v="2"/>
    <x v="3"/>
    <x v="11"/>
    <x v="11"/>
    <n v="0"/>
    <x v="0"/>
  </r>
  <r>
    <x v="30"/>
    <x v="1"/>
    <x v="92"/>
    <x v="1"/>
    <x v="0"/>
    <x v="0"/>
    <x v="0"/>
    <x v="0"/>
    <n v="0"/>
    <x v="0"/>
  </r>
  <r>
    <x v="30"/>
    <x v="1"/>
    <x v="92"/>
    <x v="1"/>
    <x v="0"/>
    <x v="0"/>
    <x v="0"/>
    <x v="1"/>
    <n v="0"/>
    <x v="0"/>
  </r>
  <r>
    <x v="30"/>
    <x v="1"/>
    <x v="92"/>
    <x v="1"/>
    <x v="0"/>
    <x v="0"/>
    <x v="0"/>
    <x v="2"/>
    <n v="0"/>
    <x v="0"/>
  </r>
  <r>
    <x v="30"/>
    <x v="1"/>
    <x v="92"/>
    <x v="1"/>
    <x v="0"/>
    <x v="0"/>
    <x v="0"/>
    <x v="3"/>
    <n v="0"/>
    <x v="0"/>
  </r>
  <r>
    <x v="30"/>
    <x v="1"/>
    <x v="92"/>
    <x v="1"/>
    <x v="0"/>
    <x v="0"/>
    <x v="0"/>
    <x v="4"/>
    <n v="0"/>
    <x v="0"/>
  </r>
  <r>
    <x v="30"/>
    <x v="1"/>
    <x v="92"/>
    <x v="1"/>
    <x v="0"/>
    <x v="0"/>
    <x v="0"/>
    <x v="5"/>
    <n v="0"/>
    <x v="0"/>
  </r>
  <r>
    <x v="30"/>
    <x v="1"/>
    <x v="92"/>
    <x v="1"/>
    <x v="0"/>
    <x v="0"/>
    <x v="0"/>
    <x v="6"/>
    <n v="0"/>
    <x v="0"/>
  </r>
  <r>
    <x v="30"/>
    <x v="1"/>
    <x v="92"/>
    <x v="1"/>
    <x v="0"/>
    <x v="0"/>
    <x v="0"/>
    <x v="7"/>
    <n v="0"/>
    <x v="0"/>
  </r>
  <r>
    <x v="30"/>
    <x v="1"/>
    <x v="92"/>
    <x v="1"/>
    <x v="0"/>
    <x v="0"/>
    <x v="0"/>
    <x v="8"/>
    <n v="0"/>
    <x v="0"/>
  </r>
  <r>
    <x v="30"/>
    <x v="1"/>
    <x v="92"/>
    <x v="1"/>
    <x v="0"/>
    <x v="0"/>
    <x v="0"/>
    <x v="9"/>
    <n v="0"/>
    <x v="0"/>
  </r>
  <r>
    <x v="30"/>
    <x v="1"/>
    <x v="92"/>
    <x v="1"/>
    <x v="0"/>
    <x v="0"/>
    <x v="0"/>
    <x v="10"/>
    <n v="580.71678424068114"/>
    <x v="0"/>
  </r>
  <r>
    <x v="30"/>
    <x v="1"/>
    <x v="92"/>
    <x v="1"/>
    <x v="0"/>
    <x v="0"/>
    <x v="0"/>
    <x v="11"/>
    <n v="0"/>
    <x v="0"/>
  </r>
  <r>
    <x v="30"/>
    <x v="2"/>
    <x v="93"/>
    <x v="0"/>
    <x v="2"/>
    <x v="3"/>
    <x v="0"/>
    <x v="0"/>
    <n v="0"/>
    <x v="0"/>
  </r>
  <r>
    <x v="30"/>
    <x v="2"/>
    <x v="93"/>
    <x v="0"/>
    <x v="2"/>
    <x v="3"/>
    <x v="0"/>
    <x v="1"/>
    <n v="0"/>
    <x v="0"/>
  </r>
  <r>
    <x v="30"/>
    <x v="2"/>
    <x v="93"/>
    <x v="0"/>
    <x v="2"/>
    <x v="3"/>
    <x v="0"/>
    <x v="2"/>
    <n v="0"/>
    <x v="0"/>
  </r>
  <r>
    <x v="30"/>
    <x v="2"/>
    <x v="93"/>
    <x v="0"/>
    <x v="2"/>
    <x v="3"/>
    <x v="0"/>
    <x v="3"/>
    <n v="0"/>
    <x v="0"/>
  </r>
  <r>
    <x v="30"/>
    <x v="2"/>
    <x v="93"/>
    <x v="0"/>
    <x v="2"/>
    <x v="3"/>
    <x v="0"/>
    <x v="4"/>
    <n v="0"/>
    <x v="0"/>
  </r>
  <r>
    <x v="30"/>
    <x v="2"/>
    <x v="93"/>
    <x v="0"/>
    <x v="2"/>
    <x v="3"/>
    <x v="0"/>
    <x v="5"/>
    <n v="0"/>
    <x v="0"/>
  </r>
  <r>
    <x v="30"/>
    <x v="2"/>
    <x v="93"/>
    <x v="0"/>
    <x v="2"/>
    <x v="3"/>
    <x v="0"/>
    <x v="6"/>
    <n v="0"/>
    <x v="0"/>
  </r>
  <r>
    <x v="30"/>
    <x v="2"/>
    <x v="93"/>
    <x v="0"/>
    <x v="2"/>
    <x v="3"/>
    <x v="0"/>
    <x v="7"/>
    <n v="0"/>
    <x v="0"/>
  </r>
  <r>
    <x v="30"/>
    <x v="2"/>
    <x v="93"/>
    <x v="0"/>
    <x v="2"/>
    <x v="3"/>
    <x v="0"/>
    <x v="8"/>
    <n v="0"/>
    <x v="0"/>
  </r>
  <r>
    <x v="30"/>
    <x v="2"/>
    <x v="93"/>
    <x v="0"/>
    <x v="2"/>
    <x v="3"/>
    <x v="0"/>
    <x v="9"/>
    <n v="0"/>
    <x v="0"/>
  </r>
  <r>
    <x v="30"/>
    <x v="2"/>
    <x v="93"/>
    <x v="0"/>
    <x v="2"/>
    <x v="3"/>
    <x v="0"/>
    <x v="10"/>
    <n v="0"/>
    <x v="0"/>
  </r>
  <r>
    <x v="30"/>
    <x v="2"/>
    <x v="93"/>
    <x v="0"/>
    <x v="2"/>
    <x v="3"/>
    <x v="0"/>
    <x v="11"/>
    <n v="1507.0205876751215"/>
    <x v="0"/>
  </r>
  <r>
    <x v="30"/>
    <x v="1"/>
    <x v="94"/>
    <x v="0"/>
    <x v="0"/>
    <x v="0"/>
    <x v="0"/>
    <x v="0"/>
    <n v="0"/>
    <x v="0"/>
  </r>
  <r>
    <x v="30"/>
    <x v="1"/>
    <x v="94"/>
    <x v="0"/>
    <x v="0"/>
    <x v="0"/>
    <x v="0"/>
    <x v="1"/>
    <n v="0"/>
    <x v="0"/>
  </r>
  <r>
    <x v="30"/>
    <x v="1"/>
    <x v="94"/>
    <x v="0"/>
    <x v="0"/>
    <x v="0"/>
    <x v="0"/>
    <x v="2"/>
    <n v="0"/>
    <x v="0"/>
  </r>
  <r>
    <x v="30"/>
    <x v="1"/>
    <x v="94"/>
    <x v="0"/>
    <x v="0"/>
    <x v="0"/>
    <x v="0"/>
    <x v="3"/>
    <n v="0"/>
    <x v="0"/>
  </r>
  <r>
    <x v="30"/>
    <x v="1"/>
    <x v="94"/>
    <x v="0"/>
    <x v="0"/>
    <x v="0"/>
    <x v="0"/>
    <x v="4"/>
    <n v="0"/>
    <x v="0"/>
  </r>
  <r>
    <x v="30"/>
    <x v="1"/>
    <x v="94"/>
    <x v="0"/>
    <x v="0"/>
    <x v="0"/>
    <x v="0"/>
    <x v="5"/>
    <n v="0"/>
    <x v="0"/>
  </r>
  <r>
    <x v="30"/>
    <x v="1"/>
    <x v="94"/>
    <x v="0"/>
    <x v="0"/>
    <x v="0"/>
    <x v="0"/>
    <x v="6"/>
    <n v="0"/>
    <x v="0"/>
  </r>
  <r>
    <x v="30"/>
    <x v="1"/>
    <x v="94"/>
    <x v="0"/>
    <x v="0"/>
    <x v="0"/>
    <x v="0"/>
    <x v="7"/>
    <n v="0"/>
    <x v="0"/>
  </r>
  <r>
    <x v="30"/>
    <x v="1"/>
    <x v="94"/>
    <x v="0"/>
    <x v="0"/>
    <x v="0"/>
    <x v="0"/>
    <x v="8"/>
    <n v="0"/>
    <x v="0"/>
  </r>
  <r>
    <x v="30"/>
    <x v="1"/>
    <x v="94"/>
    <x v="0"/>
    <x v="0"/>
    <x v="0"/>
    <x v="0"/>
    <x v="9"/>
    <n v="0"/>
    <x v="0"/>
  </r>
  <r>
    <x v="30"/>
    <x v="1"/>
    <x v="94"/>
    <x v="0"/>
    <x v="0"/>
    <x v="0"/>
    <x v="0"/>
    <x v="10"/>
    <n v="0"/>
    <x v="0"/>
  </r>
  <r>
    <x v="30"/>
    <x v="1"/>
    <x v="94"/>
    <x v="0"/>
    <x v="0"/>
    <x v="0"/>
    <x v="0"/>
    <x v="11"/>
    <n v="5877.3802919329737"/>
    <x v="0"/>
  </r>
  <r>
    <x v="30"/>
    <x v="2"/>
    <x v="95"/>
    <x v="0"/>
    <x v="2"/>
    <x v="3"/>
    <x v="0"/>
    <x v="0"/>
    <n v="0"/>
    <x v="0"/>
  </r>
  <r>
    <x v="30"/>
    <x v="2"/>
    <x v="95"/>
    <x v="0"/>
    <x v="2"/>
    <x v="3"/>
    <x v="0"/>
    <x v="1"/>
    <n v="0"/>
    <x v="0"/>
  </r>
  <r>
    <x v="30"/>
    <x v="2"/>
    <x v="95"/>
    <x v="0"/>
    <x v="2"/>
    <x v="3"/>
    <x v="0"/>
    <x v="2"/>
    <n v="0"/>
    <x v="0"/>
  </r>
  <r>
    <x v="30"/>
    <x v="2"/>
    <x v="95"/>
    <x v="0"/>
    <x v="2"/>
    <x v="3"/>
    <x v="0"/>
    <x v="3"/>
    <n v="0"/>
    <x v="0"/>
  </r>
  <r>
    <x v="30"/>
    <x v="2"/>
    <x v="95"/>
    <x v="0"/>
    <x v="2"/>
    <x v="3"/>
    <x v="0"/>
    <x v="4"/>
    <n v="0"/>
    <x v="0"/>
  </r>
  <r>
    <x v="30"/>
    <x v="2"/>
    <x v="95"/>
    <x v="0"/>
    <x v="2"/>
    <x v="3"/>
    <x v="0"/>
    <x v="5"/>
    <n v="0"/>
    <x v="0"/>
  </r>
  <r>
    <x v="30"/>
    <x v="2"/>
    <x v="95"/>
    <x v="0"/>
    <x v="2"/>
    <x v="3"/>
    <x v="0"/>
    <x v="6"/>
    <n v="0"/>
    <x v="0"/>
  </r>
  <r>
    <x v="30"/>
    <x v="2"/>
    <x v="95"/>
    <x v="0"/>
    <x v="2"/>
    <x v="3"/>
    <x v="0"/>
    <x v="7"/>
    <n v="0"/>
    <x v="0"/>
  </r>
  <r>
    <x v="30"/>
    <x v="2"/>
    <x v="95"/>
    <x v="0"/>
    <x v="2"/>
    <x v="3"/>
    <x v="0"/>
    <x v="8"/>
    <n v="0"/>
    <x v="0"/>
  </r>
  <r>
    <x v="30"/>
    <x v="2"/>
    <x v="95"/>
    <x v="0"/>
    <x v="2"/>
    <x v="3"/>
    <x v="0"/>
    <x v="9"/>
    <n v="0"/>
    <x v="0"/>
  </r>
  <r>
    <x v="30"/>
    <x v="2"/>
    <x v="95"/>
    <x v="0"/>
    <x v="2"/>
    <x v="3"/>
    <x v="0"/>
    <x v="10"/>
    <n v="0"/>
    <x v="0"/>
  </r>
  <r>
    <x v="30"/>
    <x v="2"/>
    <x v="95"/>
    <x v="0"/>
    <x v="2"/>
    <x v="3"/>
    <x v="0"/>
    <x v="11"/>
    <n v="6064.3301439928018"/>
    <x v="0"/>
  </r>
  <r>
    <x v="30"/>
    <x v="0"/>
    <x v="96"/>
    <x v="2"/>
    <x v="3"/>
    <x v="4"/>
    <x v="0"/>
    <x v="0"/>
    <n v="11332.385819227084"/>
    <x v="0"/>
  </r>
  <r>
    <x v="30"/>
    <x v="0"/>
    <x v="96"/>
    <x v="2"/>
    <x v="3"/>
    <x v="4"/>
    <x v="0"/>
    <x v="1"/>
    <n v="0"/>
    <x v="0"/>
  </r>
  <r>
    <x v="30"/>
    <x v="0"/>
    <x v="96"/>
    <x v="2"/>
    <x v="3"/>
    <x v="4"/>
    <x v="0"/>
    <x v="2"/>
    <n v="0"/>
    <x v="0"/>
  </r>
  <r>
    <x v="30"/>
    <x v="0"/>
    <x v="96"/>
    <x v="2"/>
    <x v="3"/>
    <x v="4"/>
    <x v="0"/>
    <x v="3"/>
    <n v="5740.8586247838857"/>
    <x v="0"/>
  </r>
  <r>
    <x v="30"/>
    <x v="0"/>
    <x v="96"/>
    <x v="2"/>
    <x v="3"/>
    <x v="4"/>
    <x v="0"/>
    <x v="4"/>
    <n v="10765.362574628492"/>
    <x v="0"/>
  </r>
  <r>
    <x v="30"/>
    <x v="0"/>
    <x v="96"/>
    <x v="2"/>
    <x v="3"/>
    <x v="4"/>
    <x v="0"/>
    <x v="5"/>
    <n v="6994.2920697995851"/>
    <x v="0"/>
  </r>
  <r>
    <x v="30"/>
    <x v="0"/>
    <x v="96"/>
    <x v="2"/>
    <x v="3"/>
    <x v="4"/>
    <x v="0"/>
    <x v="6"/>
    <n v="4987.7725158923167"/>
    <x v="0"/>
  </r>
  <r>
    <x v="30"/>
    <x v="0"/>
    <x v="96"/>
    <x v="2"/>
    <x v="3"/>
    <x v="4"/>
    <x v="0"/>
    <x v="7"/>
    <n v="4749.312829336488"/>
    <x v="0"/>
  </r>
  <r>
    <x v="30"/>
    <x v="0"/>
    <x v="96"/>
    <x v="2"/>
    <x v="3"/>
    <x v="4"/>
    <x v="0"/>
    <x v="8"/>
    <n v="3756.4882693989484"/>
    <x v="0"/>
  </r>
  <r>
    <x v="30"/>
    <x v="0"/>
    <x v="96"/>
    <x v="2"/>
    <x v="3"/>
    <x v="4"/>
    <x v="0"/>
    <x v="9"/>
    <n v="10809.470877373342"/>
    <x v="0"/>
  </r>
  <r>
    <x v="30"/>
    <x v="0"/>
    <x v="96"/>
    <x v="2"/>
    <x v="3"/>
    <x v="4"/>
    <x v="0"/>
    <x v="10"/>
    <n v="3941.0292301358581"/>
    <x v="0"/>
  </r>
  <r>
    <x v="30"/>
    <x v="0"/>
    <x v="96"/>
    <x v="2"/>
    <x v="3"/>
    <x v="4"/>
    <x v="0"/>
    <x v="11"/>
    <n v="13615.383361851218"/>
    <x v="0"/>
  </r>
  <r>
    <x v="52"/>
    <x v="1"/>
    <x v="97"/>
    <x v="2"/>
    <x v="4"/>
    <x v="5"/>
    <x v="0"/>
    <x v="0"/>
    <n v="738.71848808907589"/>
    <x v="0"/>
  </r>
  <r>
    <x v="52"/>
    <x v="1"/>
    <x v="97"/>
    <x v="2"/>
    <x v="4"/>
    <x v="5"/>
    <x v="0"/>
    <x v="1"/>
    <n v="0"/>
    <x v="0"/>
  </r>
  <r>
    <x v="52"/>
    <x v="1"/>
    <x v="97"/>
    <x v="2"/>
    <x v="4"/>
    <x v="5"/>
    <x v="0"/>
    <x v="2"/>
    <n v="0"/>
    <x v="0"/>
  </r>
  <r>
    <x v="52"/>
    <x v="1"/>
    <x v="97"/>
    <x v="2"/>
    <x v="4"/>
    <x v="5"/>
    <x v="0"/>
    <x v="3"/>
    <n v="0"/>
    <x v="0"/>
  </r>
  <r>
    <x v="52"/>
    <x v="1"/>
    <x v="97"/>
    <x v="2"/>
    <x v="4"/>
    <x v="5"/>
    <x v="0"/>
    <x v="4"/>
    <n v="0"/>
    <x v="0"/>
  </r>
  <r>
    <x v="52"/>
    <x v="1"/>
    <x v="97"/>
    <x v="2"/>
    <x v="4"/>
    <x v="5"/>
    <x v="0"/>
    <x v="5"/>
    <n v="0"/>
    <x v="0"/>
  </r>
  <r>
    <x v="52"/>
    <x v="1"/>
    <x v="97"/>
    <x v="2"/>
    <x v="4"/>
    <x v="5"/>
    <x v="0"/>
    <x v="6"/>
    <n v="0"/>
    <x v="0"/>
  </r>
  <r>
    <x v="52"/>
    <x v="1"/>
    <x v="97"/>
    <x v="2"/>
    <x v="4"/>
    <x v="5"/>
    <x v="0"/>
    <x v="7"/>
    <n v="0"/>
    <x v="0"/>
  </r>
  <r>
    <x v="52"/>
    <x v="1"/>
    <x v="97"/>
    <x v="2"/>
    <x v="4"/>
    <x v="5"/>
    <x v="0"/>
    <x v="8"/>
    <n v="0"/>
    <x v="0"/>
  </r>
  <r>
    <x v="52"/>
    <x v="1"/>
    <x v="97"/>
    <x v="2"/>
    <x v="4"/>
    <x v="5"/>
    <x v="0"/>
    <x v="9"/>
    <n v="0"/>
    <x v="0"/>
  </r>
  <r>
    <x v="52"/>
    <x v="1"/>
    <x v="97"/>
    <x v="2"/>
    <x v="4"/>
    <x v="5"/>
    <x v="0"/>
    <x v="10"/>
    <n v="0"/>
    <x v="0"/>
  </r>
  <r>
    <x v="52"/>
    <x v="1"/>
    <x v="97"/>
    <x v="2"/>
    <x v="4"/>
    <x v="5"/>
    <x v="0"/>
    <x v="11"/>
    <n v="0"/>
    <x v="0"/>
  </r>
  <r>
    <x v="50"/>
    <x v="1"/>
    <x v="86"/>
    <x v="0"/>
    <x v="4"/>
    <x v="5"/>
    <x v="0"/>
    <x v="0"/>
    <n v="667.18355929030054"/>
    <x v="0"/>
  </r>
  <r>
    <x v="50"/>
    <x v="1"/>
    <x v="86"/>
    <x v="0"/>
    <x v="4"/>
    <x v="5"/>
    <x v="0"/>
    <x v="1"/>
    <n v="0"/>
    <x v="0"/>
  </r>
  <r>
    <x v="50"/>
    <x v="1"/>
    <x v="86"/>
    <x v="0"/>
    <x v="4"/>
    <x v="5"/>
    <x v="0"/>
    <x v="2"/>
    <n v="0"/>
    <x v="0"/>
  </r>
  <r>
    <x v="50"/>
    <x v="1"/>
    <x v="86"/>
    <x v="0"/>
    <x v="4"/>
    <x v="5"/>
    <x v="0"/>
    <x v="3"/>
    <n v="280.7507238527715"/>
    <x v="0"/>
  </r>
  <r>
    <x v="50"/>
    <x v="1"/>
    <x v="86"/>
    <x v="0"/>
    <x v="4"/>
    <x v="5"/>
    <x v="0"/>
    <x v="4"/>
    <n v="0"/>
    <x v="0"/>
  </r>
  <r>
    <x v="50"/>
    <x v="1"/>
    <x v="86"/>
    <x v="0"/>
    <x v="4"/>
    <x v="5"/>
    <x v="0"/>
    <x v="5"/>
    <n v="0"/>
    <x v="0"/>
  </r>
  <r>
    <x v="50"/>
    <x v="1"/>
    <x v="86"/>
    <x v="0"/>
    <x v="4"/>
    <x v="5"/>
    <x v="0"/>
    <x v="6"/>
    <n v="0"/>
    <x v="0"/>
  </r>
  <r>
    <x v="50"/>
    <x v="1"/>
    <x v="86"/>
    <x v="0"/>
    <x v="4"/>
    <x v="5"/>
    <x v="0"/>
    <x v="7"/>
    <n v="0"/>
    <x v="0"/>
  </r>
  <r>
    <x v="50"/>
    <x v="1"/>
    <x v="86"/>
    <x v="0"/>
    <x v="4"/>
    <x v="5"/>
    <x v="0"/>
    <x v="8"/>
    <n v="0"/>
    <x v="0"/>
  </r>
  <r>
    <x v="50"/>
    <x v="1"/>
    <x v="86"/>
    <x v="0"/>
    <x v="4"/>
    <x v="5"/>
    <x v="0"/>
    <x v="9"/>
    <n v="0"/>
    <x v="0"/>
  </r>
  <r>
    <x v="50"/>
    <x v="1"/>
    <x v="86"/>
    <x v="0"/>
    <x v="4"/>
    <x v="5"/>
    <x v="0"/>
    <x v="10"/>
    <n v="0"/>
    <x v="0"/>
  </r>
  <r>
    <x v="50"/>
    <x v="1"/>
    <x v="86"/>
    <x v="0"/>
    <x v="4"/>
    <x v="5"/>
    <x v="0"/>
    <x v="11"/>
    <n v="0"/>
    <x v="0"/>
  </r>
  <r>
    <x v="30"/>
    <x v="1"/>
    <x v="98"/>
    <x v="0"/>
    <x v="4"/>
    <x v="5"/>
    <x v="0"/>
    <x v="0"/>
    <n v="1105.2875031663343"/>
    <x v="0"/>
  </r>
  <r>
    <x v="30"/>
    <x v="1"/>
    <x v="98"/>
    <x v="0"/>
    <x v="4"/>
    <x v="5"/>
    <x v="0"/>
    <x v="1"/>
    <n v="0"/>
    <x v="0"/>
  </r>
  <r>
    <x v="30"/>
    <x v="1"/>
    <x v="98"/>
    <x v="0"/>
    <x v="4"/>
    <x v="5"/>
    <x v="0"/>
    <x v="2"/>
    <n v="0"/>
    <x v="0"/>
  </r>
  <r>
    <x v="30"/>
    <x v="1"/>
    <x v="98"/>
    <x v="0"/>
    <x v="4"/>
    <x v="5"/>
    <x v="0"/>
    <x v="3"/>
    <n v="1192.1074010040202"/>
    <x v="0"/>
  </r>
  <r>
    <x v="30"/>
    <x v="1"/>
    <x v="98"/>
    <x v="0"/>
    <x v="4"/>
    <x v="5"/>
    <x v="0"/>
    <x v="4"/>
    <n v="0"/>
    <x v="0"/>
  </r>
  <r>
    <x v="30"/>
    <x v="1"/>
    <x v="98"/>
    <x v="0"/>
    <x v="4"/>
    <x v="5"/>
    <x v="0"/>
    <x v="5"/>
    <n v="0"/>
    <x v="0"/>
  </r>
  <r>
    <x v="30"/>
    <x v="1"/>
    <x v="98"/>
    <x v="0"/>
    <x v="4"/>
    <x v="5"/>
    <x v="0"/>
    <x v="6"/>
    <n v="0"/>
    <x v="0"/>
  </r>
  <r>
    <x v="30"/>
    <x v="1"/>
    <x v="98"/>
    <x v="0"/>
    <x v="4"/>
    <x v="5"/>
    <x v="0"/>
    <x v="7"/>
    <n v="0"/>
    <x v="0"/>
  </r>
  <r>
    <x v="30"/>
    <x v="1"/>
    <x v="98"/>
    <x v="0"/>
    <x v="4"/>
    <x v="5"/>
    <x v="0"/>
    <x v="8"/>
    <n v="0"/>
    <x v="0"/>
  </r>
  <r>
    <x v="30"/>
    <x v="1"/>
    <x v="98"/>
    <x v="0"/>
    <x v="4"/>
    <x v="5"/>
    <x v="0"/>
    <x v="9"/>
    <n v="0"/>
    <x v="0"/>
  </r>
  <r>
    <x v="30"/>
    <x v="1"/>
    <x v="98"/>
    <x v="0"/>
    <x v="4"/>
    <x v="5"/>
    <x v="0"/>
    <x v="10"/>
    <n v="0"/>
    <x v="0"/>
  </r>
  <r>
    <x v="30"/>
    <x v="1"/>
    <x v="98"/>
    <x v="0"/>
    <x v="4"/>
    <x v="5"/>
    <x v="0"/>
    <x v="11"/>
    <n v="0"/>
    <x v="0"/>
  </r>
  <r>
    <x v="30"/>
    <x v="1"/>
    <x v="99"/>
    <x v="0"/>
    <x v="4"/>
    <x v="5"/>
    <x v="0"/>
    <x v="0"/>
    <n v="521.30860472031634"/>
    <x v="0"/>
  </r>
  <r>
    <x v="30"/>
    <x v="1"/>
    <x v="99"/>
    <x v="0"/>
    <x v="4"/>
    <x v="5"/>
    <x v="0"/>
    <x v="1"/>
    <n v="0"/>
    <x v="0"/>
  </r>
  <r>
    <x v="30"/>
    <x v="1"/>
    <x v="99"/>
    <x v="0"/>
    <x v="4"/>
    <x v="5"/>
    <x v="0"/>
    <x v="2"/>
    <n v="356.58570351161757"/>
    <x v="0"/>
  </r>
  <r>
    <x v="30"/>
    <x v="1"/>
    <x v="99"/>
    <x v="0"/>
    <x v="4"/>
    <x v="5"/>
    <x v="0"/>
    <x v="3"/>
    <n v="0"/>
    <x v="0"/>
  </r>
  <r>
    <x v="30"/>
    <x v="1"/>
    <x v="99"/>
    <x v="0"/>
    <x v="4"/>
    <x v="5"/>
    <x v="0"/>
    <x v="4"/>
    <n v="0"/>
    <x v="0"/>
  </r>
  <r>
    <x v="30"/>
    <x v="1"/>
    <x v="99"/>
    <x v="0"/>
    <x v="4"/>
    <x v="5"/>
    <x v="0"/>
    <x v="5"/>
    <n v="0"/>
    <x v="0"/>
  </r>
  <r>
    <x v="30"/>
    <x v="1"/>
    <x v="99"/>
    <x v="0"/>
    <x v="4"/>
    <x v="5"/>
    <x v="0"/>
    <x v="6"/>
    <n v="0"/>
    <x v="0"/>
  </r>
  <r>
    <x v="30"/>
    <x v="1"/>
    <x v="99"/>
    <x v="0"/>
    <x v="4"/>
    <x v="5"/>
    <x v="0"/>
    <x v="7"/>
    <n v="0"/>
    <x v="0"/>
  </r>
  <r>
    <x v="30"/>
    <x v="1"/>
    <x v="99"/>
    <x v="0"/>
    <x v="4"/>
    <x v="5"/>
    <x v="0"/>
    <x v="8"/>
    <n v="0"/>
    <x v="0"/>
  </r>
  <r>
    <x v="30"/>
    <x v="1"/>
    <x v="99"/>
    <x v="0"/>
    <x v="4"/>
    <x v="5"/>
    <x v="0"/>
    <x v="9"/>
    <n v="0"/>
    <x v="0"/>
  </r>
  <r>
    <x v="30"/>
    <x v="1"/>
    <x v="99"/>
    <x v="0"/>
    <x v="4"/>
    <x v="5"/>
    <x v="0"/>
    <x v="10"/>
    <n v="0"/>
    <x v="0"/>
  </r>
  <r>
    <x v="30"/>
    <x v="1"/>
    <x v="99"/>
    <x v="0"/>
    <x v="4"/>
    <x v="5"/>
    <x v="0"/>
    <x v="11"/>
    <n v="0"/>
    <x v="0"/>
  </r>
  <r>
    <x v="30"/>
    <x v="1"/>
    <x v="100"/>
    <x v="0"/>
    <x v="4"/>
    <x v="5"/>
    <x v="12"/>
    <x v="0"/>
    <n v="1114.6675624180882"/>
    <x v="0"/>
  </r>
  <r>
    <x v="30"/>
    <x v="1"/>
    <x v="100"/>
    <x v="0"/>
    <x v="4"/>
    <x v="5"/>
    <x v="12"/>
    <x v="1"/>
    <n v="0"/>
    <x v="0"/>
  </r>
  <r>
    <x v="30"/>
    <x v="1"/>
    <x v="100"/>
    <x v="0"/>
    <x v="4"/>
    <x v="5"/>
    <x v="12"/>
    <x v="2"/>
    <n v="0"/>
    <x v="0"/>
  </r>
  <r>
    <x v="30"/>
    <x v="1"/>
    <x v="100"/>
    <x v="0"/>
    <x v="4"/>
    <x v="5"/>
    <x v="12"/>
    <x v="3"/>
    <n v="0"/>
    <x v="0"/>
  </r>
  <r>
    <x v="30"/>
    <x v="1"/>
    <x v="100"/>
    <x v="0"/>
    <x v="4"/>
    <x v="5"/>
    <x v="12"/>
    <x v="4"/>
    <n v="0"/>
    <x v="0"/>
  </r>
  <r>
    <x v="30"/>
    <x v="1"/>
    <x v="100"/>
    <x v="0"/>
    <x v="4"/>
    <x v="5"/>
    <x v="12"/>
    <x v="5"/>
    <n v="0"/>
    <x v="0"/>
  </r>
  <r>
    <x v="30"/>
    <x v="1"/>
    <x v="100"/>
    <x v="0"/>
    <x v="4"/>
    <x v="5"/>
    <x v="12"/>
    <x v="6"/>
    <n v="0"/>
    <x v="0"/>
  </r>
  <r>
    <x v="30"/>
    <x v="1"/>
    <x v="100"/>
    <x v="0"/>
    <x v="4"/>
    <x v="5"/>
    <x v="12"/>
    <x v="7"/>
    <n v="0"/>
    <x v="0"/>
  </r>
  <r>
    <x v="30"/>
    <x v="1"/>
    <x v="100"/>
    <x v="0"/>
    <x v="4"/>
    <x v="5"/>
    <x v="12"/>
    <x v="8"/>
    <n v="0"/>
    <x v="0"/>
  </r>
  <r>
    <x v="30"/>
    <x v="1"/>
    <x v="100"/>
    <x v="0"/>
    <x v="4"/>
    <x v="5"/>
    <x v="12"/>
    <x v="9"/>
    <n v="0"/>
    <x v="0"/>
  </r>
  <r>
    <x v="30"/>
    <x v="1"/>
    <x v="100"/>
    <x v="0"/>
    <x v="4"/>
    <x v="5"/>
    <x v="12"/>
    <x v="10"/>
    <n v="0"/>
    <x v="0"/>
  </r>
  <r>
    <x v="30"/>
    <x v="1"/>
    <x v="100"/>
    <x v="0"/>
    <x v="4"/>
    <x v="5"/>
    <x v="12"/>
    <x v="11"/>
    <n v="0"/>
    <x v="0"/>
  </r>
  <r>
    <x v="30"/>
    <x v="1"/>
    <x v="101"/>
    <x v="1"/>
    <x v="4"/>
    <x v="5"/>
    <x v="0"/>
    <x v="0"/>
    <n v="2598.5969008469256"/>
    <x v="0"/>
  </r>
  <r>
    <x v="30"/>
    <x v="1"/>
    <x v="101"/>
    <x v="1"/>
    <x v="4"/>
    <x v="5"/>
    <x v="0"/>
    <x v="1"/>
    <n v="0"/>
    <x v="0"/>
  </r>
  <r>
    <x v="30"/>
    <x v="1"/>
    <x v="101"/>
    <x v="1"/>
    <x v="4"/>
    <x v="5"/>
    <x v="0"/>
    <x v="2"/>
    <n v="796.53693965472712"/>
    <x v="0"/>
  </r>
  <r>
    <x v="30"/>
    <x v="1"/>
    <x v="101"/>
    <x v="1"/>
    <x v="4"/>
    <x v="5"/>
    <x v="0"/>
    <x v="3"/>
    <n v="0"/>
    <x v="0"/>
  </r>
  <r>
    <x v="30"/>
    <x v="1"/>
    <x v="101"/>
    <x v="1"/>
    <x v="4"/>
    <x v="5"/>
    <x v="0"/>
    <x v="4"/>
    <n v="0"/>
    <x v="0"/>
  </r>
  <r>
    <x v="30"/>
    <x v="1"/>
    <x v="101"/>
    <x v="1"/>
    <x v="4"/>
    <x v="5"/>
    <x v="0"/>
    <x v="5"/>
    <n v="0"/>
    <x v="0"/>
  </r>
  <r>
    <x v="30"/>
    <x v="1"/>
    <x v="101"/>
    <x v="1"/>
    <x v="4"/>
    <x v="5"/>
    <x v="0"/>
    <x v="6"/>
    <n v="0"/>
    <x v="0"/>
  </r>
  <r>
    <x v="30"/>
    <x v="1"/>
    <x v="101"/>
    <x v="1"/>
    <x v="4"/>
    <x v="5"/>
    <x v="0"/>
    <x v="7"/>
    <n v="0"/>
    <x v="0"/>
  </r>
  <r>
    <x v="30"/>
    <x v="1"/>
    <x v="101"/>
    <x v="1"/>
    <x v="4"/>
    <x v="5"/>
    <x v="0"/>
    <x v="8"/>
    <n v="0"/>
    <x v="0"/>
  </r>
  <r>
    <x v="30"/>
    <x v="1"/>
    <x v="101"/>
    <x v="1"/>
    <x v="4"/>
    <x v="5"/>
    <x v="0"/>
    <x v="9"/>
    <n v="0"/>
    <x v="0"/>
  </r>
  <r>
    <x v="30"/>
    <x v="1"/>
    <x v="101"/>
    <x v="1"/>
    <x v="4"/>
    <x v="5"/>
    <x v="0"/>
    <x v="10"/>
    <n v="0"/>
    <x v="0"/>
  </r>
  <r>
    <x v="30"/>
    <x v="1"/>
    <x v="101"/>
    <x v="1"/>
    <x v="4"/>
    <x v="5"/>
    <x v="0"/>
    <x v="11"/>
    <n v="0"/>
    <x v="0"/>
  </r>
  <r>
    <x v="30"/>
    <x v="1"/>
    <x v="102"/>
    <x v="0"/>
    <x v="4"/>
    <x v="5"/>
    <x v="0"/>
    <x v="0"/>
    <n v="0"/>
    <x v="0"/>
  </r>
  <r>
    <x v="30"/>
    <x v="1"/>
    <x v="102"/>
    <x v="0"/>
    <x v="4"/>
    <x v="5"/>
    <x v="0"/>
    <x v="1"/>
    <n v="376.88491239724317"/>
    <x v="0"/>
  </r>
  <r>
    <x v="30"/>
    <x v="1"/>
    <x v="102"/>
    <x v="0"/>
    <x v="4"/>
    <x v="5"/>
    <x v="0"/>
    <x v="2"/>
    <n v="0"/>
    <x v="0"/>
  </r>
  <r>
    <x v="30"/>
    <x v="1"/>
    <x v="102"/>
    <x v="0"/>
    <x v="4"/>
    <x v="5"/>
    <x v="0"/>
    <x v="3"/>
    <n v="0"/>
    <x v="0"/>
  </r>
  <r>
    <x v="30"/>
    <x v="1"/>
    <x v="102"/>
    <x v="0"/>
    <x v="4"/>
    <x v="5"/>
    <x v="0"/>
    <x v="4"/>
    <n v="0"/>
    <x v="0"/>
  </r>
  <r>
    <x v="30"/>
    <x v="1"/>
    <x v="102"/>
    <x v="0"/>
    <x v="4"/>
    <x v="5"/>
    <x v="0"/>
    <x v="5"/>
    <n v="0"/>
    <x v="0"/>
  </r>
  <r>
    <x v="30"/>
    <x v="1"/>
    <x v="102"/>
    <x v="0"/>
    <x v="4"/>
    <x v="5"/>
    <x v="0"/>
    <x v="6"/>
    <n v="0"/>
    <x v="0"/>
  </r>
  <r>
    <x v="30"/>
    <x v="1"/>
    <x v="102"/>
    <x v="0"/>
    <x v="4"/>
    <x v="5"/>
    <x v="0"/>
    <x v="7"/>
    <n v="0"/>
    <x v="0"/>
  </r>
  <r>
    <x v="30"/>
    <x v="1"/>
    <x v="102"/>
    <x v="0"/>
    <x v="4"/>
    <x v="5"/>
    <x v="0"/>
    <x v="8"/>
    <n v="0"/>
    <x v="0"/>
  </r>
  <r>
    <x v="30"/>
    <x v="1"/>
    <x v="102"/>
    <x v="0"/>
    <x v="4"/>
    <x v="5"/>
    <x v="0"/>
    <x v="9"/>
    <n v="0"/>
    <x v="0"/>
  </r>
  <r>
    <x v="30"/>
    <x v="1"/>
    <x v="102"/>
    <x v="0"/>
    <x v="4"/>
    <x v="5"/>
    <x v="0"/>
    <x v="10"/>
    <n v="0"/>
    <x v="0"/>
  </r>
  <r>
    <x v="30"/>
    <x v="1"/>
    <x v="102"/>
    <x v="0"/>
    <x v="4"/>
    <x v="5"/>
    <x v="0"/>
    <x v="11"/>
    <n v="0"/>
    <x v="0"/>
  </r>
  <r>
    <x v="30"/>
    <x v="1"/>
    <x v="103"/>
    <x v="0"/>
    <x v="4"/>
    <x v="5"/>
    <x v="0"/>
    <x v="0"/>
    <n v="0"/>
    <x v="0"/>
  </r>
  <r>
    <x v="30"/>
    <x v="1"/>
    <x v="103"/>
    <x v="0"/>
    <x v="4"/>
    <x v="5"/>
    <x v="0"/>
    <x v="1"/>
    <n v="898.94959727642606"/>
    <x v="0"/>
  </r>
  <r>
    <x v="30"/>
    <x v="1"/>
    <x v="103"/>
    <x v="0"/>
    <x v="4"/>
    <x v="5"/>
    <x v="0"/>
    <x v="2"/>
    <n v="0"/>
    <x v="0"/>
  </r>
  <r>
    <x v="30"/>
    <x v="1"/>
    <x v="103"/>
    <x v="0"/>
    <x v="4"/>
    <x v="5"/>
    <x v="0"/>
    <x v="3"/>
    <n v="0"/>
    <x v="0"/>
  </r>
  <r>
    <x v="30"/>
    <x v="1"/>
    <x v="103"/>
    <x v="0"/>
    <x v="4"/>
    <x v="5"/>
    <x v="0"/>
    <x v="4"/>
    <n v="0"/>
    <x v="0"/>
  </r>
  <r>
    <x v="30"/>
    <x v="1"/>
    <x v="103"/>
    <x v="0"/>
    <x v="4"/>
    <x v="5"/>
    <x v="0"/>
    <x v="5"/>
    <n v="0"/>
    <x v="0"/>
  </r>
  <r>
    <x v="30"/>
    <x v="1"/>
    <x v="103"/>
    <x v="0"/>
    <x v="4"/>
    <x v="5"/>
    <x v="0"/>
    <x v="6"/>
    <n v="0"/>
    <x v="0"/>
  </r>
  <r>
    <x v="30"/>
    <x v="1"/>
    <x v="103"/>
    <x v="0"/>
    <x v="4"/>
    <x v="5"/>
    <x v="0"/>
    <x v="7"/>
    <n v="0"/>
    <x v="0"/>
  </r>
  <r>
    <x v="30"/>
    <x v="1"/>
    <x v="103"/>
    <x v="0"/>
    <x v="4"/>
    <x v="5"/>
    <x v="0"/>
    <x v="8"/>
    <n v="0"/>
    <x v="0"/>
  </r>
  <r>
    <x v="30"/>
    <x v="1"/>
    <x v="103"/>
    <x v="0"/>
    <x v="4"/>
    <x v="5"/>
    <x v="0"/>
    <x v="9"/>
    <n v="0"/>
    <x v="0"/>
  </r>
  <r>
    <x v="30"/>
    <x v="1"/>
    <x v="103"/>
    <x v="0"/>
    <x v="4"/>
    <x v="5"/>
    <x v="0"/>
    <x v="10"/>
    <n v="0"/>
    <x v="0"/>
  </r>
  <r>
    <x v="30"/>
    <x v="1"/>
    <x v="103"/>
    <x v="0"/>
    <x v="4"/>
    <x v="5"/>
    <x v="0"/>
    <x v="11"/>
    <n v="0"/>
    <x v="0"/>
  </r>
  <r>
    <x v="30"/>
    <x v="1"/>
    <x v="104"/>
    <x v="0"/>
    <x v="4"/>
    <x v="5"/>
    <x v="0"/>
    <x v="0"/>
    <n v="0"/>
    <x v="0"/>
  </r>
  <r>
    <x v="30"/>
    <x v="1"/>
    <x v="104"/>
    <x v="0"/>
    <x v="4"/>
    <x v="5"/>
    <x v="0"/>
    <x v="1"/>
    <n v="1116.9517562069252"/>
    <x v="0"/>
  </r>
  <r>
    <x v="30"/>
    <x v="1"/>
    <x v="104"/>
    <x v="0"/>
    <x v="4"/>
    <x v="5"/>
    <x v="0"/>
    <x v="2"/>
    <n v="0"/>
    <x v="0"/>
  </r>
  <r>
    <x v="30"/>
    <x v="1"/>
    <x v="104"/>
    <x v="0"/>
    <x v="4"/>
    <x v="5"/>
    <x v="0"/>
    <x v="3"/>
    <n v="0"/>
    <x v="0"/>
  </r>
  <r>
    <x v="30"/>
    <x v="1"/>
    <x v="104"/>
    <x v="0"/>
    <x v="4"/>
    <x v="5"/>
    <x v="0"/>
    <x v="4"/>
    <n v="0"/>
    <x v="0"/>
  </r>
  <r>
    <x v="30"/>
    <x v="1"/>
    <x v="104"/>
    <x v="0"/>
    <x v="4"/>
    <x v="5"/>
    <x v="0"/>
    <x v="5"/>
    <n v="0"/>
    <x v="0"/>
  </r>
  <r>
    <x v="30"/>
    <x v="1"/>
    <x v="104"/>
    <x v="0"/>
    <x v="4"/>
    <x v="5"/>
    <x v="0"/>
    <x v="6"/>
    <n v="0"/>
    <x v="0"/>
  </r>
  <r>
    <x v="30"/>
    <x v="1"/>
    <x v="104"/>
    <x v="0"/>
    <x v="4"/>
    <x v="5"/>
    <x v="0"/>
    <x v="7"/>
    <n v="0"/>
    <x v="0"/>
  </r>
  <r>
    <x v="30"/>
    <x v="1"/>
    <x v="104"/>
    <x v="0"/>
    <x v="4"/>
    <x v="5"/>
    <x v="0"/>
    <x v="8"/>
    <n v="0"/>
    <x v="0"/>
  </r>
  <r>
    <x v="30"/>
    <x v="1"/>
    <x v="104"/>
    <x v="0"/>
    <x v="4"/>
    <x v="5"/>
    <x v="0"/>
    <x v="9"/>
    <n v="0"/>
    <x v="0"/>
  </r>
  <r>
    <x v="30"/>
    <x v="1"/>
    <x v="104"/>
    <x v="0"/>
    <x v="4"/>
    <x v="5"/>
    <x v="0"/>
    <x v="10"/>
    <n v="0"/>
    <x v="0"/>
  </r>
  <r>
    <x v="30"/>
    <x v="1"/>
    <x v="104"/>
    <x v="0"/>
    <x v="4"/>
    <x v="5"/>
    <x v="0"/>
    <x v="11"/>
    <n v="0"/>
    <x v="0"/>
  </r>
  <r>
    <x v="30"/>
    <x v="1"/>
    <x v="105"/>
    <x v="0"/>
    <x v="4"/>
    <x v="5"/>
    <x v="0"/>
    <x v="0"/>
    <n v="0"/>
    <x v="0"/>
  </r>
  <r>
    <x v="30"/>
    <x v="1"/>
    <x v="105"/>
    <x v="0"/>
    <x v="4"/>
    <x v="5"/>
    <x v="0"/>
    <x v="1"/>
    <n v="282.53342190484096"/>
    <x v="0"/>
  </r>
  <r>
    <x v="30"/>
    <x v="1"/>
    <x v="105"/>
    <x v="0"/>
    <x v="4"/>
    <x v="5"/>
    <x v="0"/>
    <x v="2"/>
    <n v="0"/>
    <x v="0"/>
  </r>
  <r>
    <x v="30"/>
    <x v="1"/>
    <x v="105"/>
    <x v="0"/>
    <x v="4"/>
    <x v="5"/>
    <x v="0"/>
    <x v="3"/>
    <n v="0"/>
    <x v="0"/>
  </r>
  <r>
    <x v="30"/>
    <x v="1"/>
    <x v="105"/>
    <x v="0"/>
    <x v="4"/>
    <x v="5"/>
    <x v="0"/>
    <x v="4"/>
    <n v="0"/>
    <x v="0"/>
  </r>
  <r>
    <x v="30"/>
    <x v="1"/>
    <x v="105"/>
    <x v="0"/>
    <x v="4"/>
    <x v="5"/>
    <x v="0"/>
    <x v="5"/>
    <n v="0"/>
    <x v="0"/>
  </r>
  <r>
    <x v="30"/>
    <x v="1"/>
    <x v="105"/>
    <x v="0"/>
    <x v="4"/>
    <x v="5"/>
    <x v="0"/>
    <x v="6"/>
    <n v="0"/>
    <x v="0"/>
  </r>
  <r>
    <x v="30"/>
    <x v="1"/>
    <x v="105"/>
    <x v="0"/>
    <x v="4"/>
    <x v="5"/>
    <x v="0"/>
    <x v="7"/>
    <n v="0"/>
    <x v="0"/>
  </r>
  <r>
    <x v="30"/>
    <x v="1"/>
    <x v="105"/>
    <x v="0"/>
    <x v="4"/>
    <x v="5"/>
    <x v="0"/>
    <x v="8"/>
    <n v="0"/>
    <x v="0"/>
  </r>
  <r>
    <x v="30"/>
    <x v="1"/>
    <x v="105"/>
    <x v="0"/>
    <x v="4"/>
    <x v="5"/>
    <x v="0"/>
    <x v="9"/>
    <n v="0"/>
    <x v="0"/>
  </r>
  <r>
    <x v="30"/>
    <x v="1"/>
    <x v="105"/>
    <x v="0"/>
    <x v="4"/>
    <x v="5"/>
    <x v="0"/>
    <x v="10"/>
    <n v="0"/>
    <x v="0"/>
  </r>
  <r>
    <x v="30"/>
    <x v="1"/>
    <x v="105"/>
    <x v="0"/>
    <x v="4"/>
    <x v="5"/>
    <x v="0"/>
    <x v="11"/>
    <n v="0"/>
    <x v="0"/>
  </r>
  <r>
    <x v="30"/>
    <x v="1"/>
    <x v="106"/>
    <x v="0"/>
    <x v="4"/>
    <x v="5"/>
    <x v="13"/>
    <x v="0"/>
    <n v="0"/>
    <x v="0"/>
  </r>
  <r>
    <x v="30"/>
    <x v="1"/>
    <x v="106"/>
    <x v="0"/>
    <x v="4"/>
    <x v="5"/>
    <x v="13"/>
    <x v="1"/>
    <n v="1049.6969193722493"/>
    <x v="0"/>
  </r>
  <r>
    <x v="30"/>
    <x v="1"/>
    <x v="106"/>
    <x v="0"/>
    <x v="4"/>
    <x v="5"/>
    <x v="13"/>
    <x v="2"/>
    <n v="0"/>
    <x v="0"/>
  </r>
  <r>
    <x v="30"/>
    <x v="1"/>
    <x v="106"/>
    <x v="0"/>
    <x v="4"/>
    <x v="5"/>
    <x v="13"/>
    <x v="3"/>
    <n v="0"/>
    <x v="0"/>
  </r>
  <r>
    <x v="30"/>
    <x v="1"/>
    <x v="106"/>
    <x v="0"/>
    <x v="4"/>
    <x v="5"/>
    <x v="13"/>
    <x v="4"/>
    <n v="0"/>
    <x v="0"/>
  </r>
  <r>
    <x v="30"/>
    <x v="1"/>
    <x v="106"/>
    <x v="0"/>
    <x v="4"/>
    <x v="5"/>
    <x v="13"/>
    <x v="5"/>
    <n v="0"/>
    <x v="0"/>
  </r>
  <r>
    <x v="30"/>
    <x v="1"/>
    <x v="106"/>
    <x v="0"/>
    <x v="4"/>
    <x v="5"/>
    <x v="13"/>
    <x v="6"/>
    <n v="0"/>
    <x v="0"/>
  </r>
  <r>
    <x v="30"/>
    <x v="1"/>
    <x v="106"/>
    <x v="0"/>
    <x v="4"/>
    <x v="5"/>
    <x v="13"/>
    <x v="7"/>
    <n v="0"/>
    <x v="0"/>
  </r>
  <r>
    <x v="30"/>
    <x v="1"/>
    <x v="106"/>
    <x v="0"/>
    <x v="4"/>
    <x v="5"/>
    <x v="13"/>
    <x v="8"/>
    <n v="0"/>
    <x v="0"/>
  </r>
  <r>
    <x v="30"/>
    <x v="1"/>
    <x v="106"/>
    <x v="0"/>
    <x v="4"/>
    <x v="5"/>
    <x v="13"/>
    <x v="9"/>
    <n v="0"/>
    <x v="0"/>
  </r>
  <r>
    <x v="30"/>
    <x v="1"/>
    <x v="106"/>
    <x v="0"/>
    <x v="4"/>
    <x v="5"/>
    <x v="13"/>
    <x v="10"/>
    <n v="0"/>
    <x v="0"/>
  </r>
  <r>
    <x v="30"/>
    <x v="1"/>
    <x v="106"/>
    <x v="0"/>
    <x v="4"/>
    <x v="5"/>
    <x v="13"/>
    <x v="11"/>
    <n v="0"/>
    <x v="0"/>
  </r>
  <r>
    <x v="30"/>
    <x v="1"/>
    <x v="107"/>
    <x v="0"/>
    <x v="4"/>
    <x v="5"/>
    <x v="13"/>
    <x v="0"/>
    <n v="0"/>
    <x v="0"/>
  </r>
  <r>
    <x v="30"/>
    <x v="1"/>
    <x v="107"/>
    <x v="0"/>
    <x v="4"/>
    <x v="5"/>
    <x v="13"/>
    <x v="1"/>
    <n v="907.97870132026901"/>
    <x v="0"/>
  </r>
  <r>
    <x v="30"/>
    <x v="1"/>
    <x v="107"/>
    <x v="0"/>
    <x v="4"/>
    <x v="5"/>
    <x v="13"/>
    <x v="2"/>
    <n v="0"/>
    <x v="0"/>
  </r>
  <r>
    <x v="30"/>
    <x v="1"/>
    <x v="107"/>
    <x v="0"/>
    <x v="4"/>
    <x v="5"/>
    <x v="13"/>
    <x v="3"/>
    <n v="0"/>
    <x v="0"/>
  </r>
  <r>
    <x v="30"/>
    <x v="1"/>
    <x v="107"/>
    <x v="0"/>
    <x v="4"/>
    <x v="5"/>
    <x v="13"/>
    <x v="4"/>
    <n v="0"/>
    <x v="0"/>
  </r>
  <r>
    <x v="30"/>
    <x v="1"/>
    <x v="107"/>
    <x v="0"/>
    <x v="4"/>
    <x v="5"/>
    <x v="13"/>
    <x v="5"/>
    <n v="0"/>
    <x v="0"/>
  </r>
  <r>
    <x v="30"/>
    <x v="1"/>
    <x v="107"/>
    <x v="0"/>
    <x v="4"/>
    <x v="5"/>
    <x v="13"/>
    <x v="6"/>
    <n v="0"/>
    <x v="0"/>
  </r>
  <r>
    <x v="30"/>
    <x v="1"/>
    <x v="107"/>
    <x v="0"/>
    <x v="4"/>
    <x v="5"/>
    <x v="13"/>
    <x v="7"/>
    <n v="0"/>
    <x v="0"/>
  </r>
  <r>
    <x v="30"/>
    <x v="1"/>
    <x v="107"/>
    <x v="0"/>
    <x v="4"/>
    <x v="5"/>
    <x v="13"/>
    <x v="8"/>
    <n v="0"/>
    <x v="0"/>
  </r>
  <r>
    <x v="30"/>
    <x v="1"/>
    <x v="107"/>
    <x v="0"/>
    <x v="4"/>
    <x v="5"/>
    <x v="13"/>
    <x v="9"/>
    <n v="0"/>
    <x v="0"/>
  </r>
  <r>
    <x v="30"/>
    <x v="1"/>
    <x v="107"/>
    <x v="0"/>
    <x v="4"/>
    <x v="5"/>
    <x v="13"/>
    <x v="10"/>
    <n v="0"/>
    <x v="0"/>
  </r>
  <r>
    <x v="30"/>
    <x v="1"/>
    <x v="107"/>
    <x v="0"/>
    <x v="4"/>
    <x v="5"/>
    <x v="13"/>
    <x v="11"/>
    <n v="0"/>
    <x v="0"/>
  </r>
  <r>
    <x v="30"/>
    <x v="1"/>
    <x v="108"/>
    <x v="0"/>
    <x v="4"/>
    <x v="5"/>
    <x v="0"/>
    <x v="0"/>
    <n v="0"/>
    <x v="0"/>
  </r>
  <r>
    <x v="30"/>
    <x v="1"/>
    <x v="108"/>
    <x v="0"/>
    <x v="4"/>
    <x v="5"/>
    <x v="0"/>
    <x v="1"/>
    <n v="521.75952835672172"/>
    <x v="0"/>
  </r>
  <r>
    <x v="30"/>
    <x v="1"/>
    <x v="108"/>
    <x v="0"/>
    <x v="4"/>
    <x v="5"/>
    <x v="0"/>
    <x v="2"/>
    <n v="0"/>
    <x v="0"/>
  </r>
  <r>
    <x v="30"/>
    <x v="1"/>
    <x v="108"/>
    <x v="0"/>
    <x v="4"/>
    <x v="5"/>
    <x v="0"/>
    <x v="3"/>
    <n v="0"/>
    <x v="0"/>
  </r>
  <r>
    <x v="30"/>
    <x v="1"/>
    <x v="108"/>
    <x v="0"/>
    <x v="4"/>
    <x v="5"/>
    <x v="0"/>
    <x v="4"/>
    <n v="0"/>
    <x v="0"/>
  </r>
  <r>
    <x v="30"/>
    <x v="1"/>
    <x v="108"/>
    <x v="0"/>
    <x v="4"/>
    <x v="5"/>
    <x v="0"/>
    <x v="5"/>
    <n v="0"/>
    <x v="0"/>
  </r>
  <r>
    <x v="30"/>
    <x v="1"/>
    <x v="108"/>
    <x v="0"/>
    <x v="4"/>
    <x v="5"/>
    <x v="0"/>
    <x v="6"/>
    <n v="0"/>
    <x v="0"/>
  </r>
  <r>
    <x v="30"/>
    <x v="1"/>
    <x v="108"/>
    <x v="0"/>
    <x v="4"/>
    <x v="5"/>
    <x v="0"/>
    <x v="7"/>
    <n v="0"/>
    <x v="0"/>
  </r>
  <r>
    <x v="30"/>
    <x v="1"/>
    <x v="108"/>
    <x v="0"/>
    <x v="4"/>
    <x v="5"/>
    <x v="0"/>
    <x v="8"/>
    <n v="0"/>
    <x v="0"/>
  </r>
  <r>
    <x v="30"/>
    <x v="1"/>
    <x v="108"/>
    <x v="0"/>
    <x v="4"/>
    <x v="5"/>
    <x v="0"/>
    <x v="9"/>
    <n v="0"/>
    <x v="0"/>
  </r>
  <r>
    <x v="30"/>
    <x v="1"/>
    <x v="108"/>
    <x v="0"/>
    <x v="4"/>
    <x v="5"/>
    <x v="0"/>
    <x v="10"/>
    <n v="0"/>
    <x v="0"/>
  </r>
  <r>
    <x v="30"/>
    <x v="1"/>
    <x v="108"/>
    <x v="0"/>
    <x v="4"/>
    <x v="5"/>
    <x v="0"/>
    <x v="11"/>
    <n v="0"/>
    <x v="0"/>
  </r>
  <r>
    <x v="30"/>
    <x v="1"/>
    <x v="109"/>
    <x v="0"/>
    <x v="4"/>
    <x v="5"/>
    <x v="0"/>
    <x v="0"/>
    <n v="372.01731296600184"/>
    <x v="0"/>
  </r>
  <r>
    <x v="30"/>
    <x v="1"/>
    <x v="109"/>
    <x v="0"/>
    <x v="4"/>
    <x v="5"/>
    <x v="0"/>
    <x v="1"/>
    <n v="0"/>
    <x v="0"/>
  </r>
  <r>
    <x v="30"/>
    <x v="1"/>
    <x v="109"/>
    <x v="0"/>
    <x v="4"/>
    <x v="5"/>
    <x v="0"/>
    <x v="2"/>
    <n v="0"/>
    <x v="0"/>
  </r>
  <r>
    <x v="30"/>
    <x v="1"/>
    <x v="109"/>
    <x v="0"/>
    <x v="4"/>
    <x v="5"/>
    <x v="0"/>
    <x v="3"/>
    <n v="0"/>
    <x v="0"/>
  </r>
  <r>
    <x v="30"/>
    <x v="1"/>
    <x v="109"/>
    <x v="0"/>
    <x v="4"/>
    <x v="5"/>
    <x v="0"/>
    <x v="4"/>
    <n v="0"/>
    <x v="0"/>
  </r>
  <r>
    <x v="30"/>
    <x v="1"/>
    <x v="109"/>
    <x v="0"/>
    <x v="4"/>
    <x v="5"/>
    <x v="0"/>
    <x v="5"/>
    <n v="0"/>
    <x v="0"/>
  </r>
  <r>
    <x v="30"/>
    <x v="1"/>
    <x v="109"/>
    <x v="0"/>
    <x v="4"/>
    <x v="5"/>
    <x v="0"/>
    <x v="6"/>
    <n v="0"/>
    <x v="0"/>
  </r>
  <r>
    <x v="30"/>
    <x v="1"/>
    <x v="109"/>
    <x v="0"/>
    <x v="4"/>
    <x v="5"/>
    <x v="0"/>
    <x v="7"/>
    <n v="0"/>
    <x v="0"/>
  </r>
  <r>
    <x v="30"/>
    <x v="1"/>
    <x v="109"/>
    <x v="0"/>
    <x v="4"/>
    <x v="5"/>
    <x v="0"/>
    <x v="8"/>
    <n v="0"/>
    <x v="0"/>
  </r>
  <r>
    <x v="30"/>
    <x v="1"/>
    <x v="109"/>
    <x v="0"/>
    <x v="4"/>
    <x v="5"/>
    <x v="0"/>
    <x v="9"/>
    <n v="1022.067658303081"/>
    <x v="0"/>
  </r>
  <r>
    <x v="30"/>
    <x v="1"/>
    <x v="109"/>
    <x v="0"/>
    <x v="4"/>
    <x v="5"/>
    <x v="0"/>
    <x v="10"/>
    <n v="0"/>
    <x v="0"/>
  </r>
  <r>
    <x v="30"/>
    <x v="1"/>
    <x v="109"/>
    <x v="0"/>
    <x v="4"/>
    <x v="5"/>
    <x v="0"/>
    <x v="11"/>
    <n v="0"/>
    <x v="0"/>
  </r>
  <r>
    <x v="30"/>
    <x v="1"/>
    <x v="110"/>
    <x v="0"/>
    <x v="4"/>
    <x v="5"/>
    <x v="1"/>
    <x v="0"/>
    <n v="0"/>
    <x v="0"/>
  </r>
  <r>
    <x v="30"/>
    <x v="1"/>
    <x v="110"/>
    <x v="0"/>
    <x v="4"/>
    <x v="5"/>
    <x v="1"/>
    <x v="1"/>
    <n v="0"/>
    <x v="0"/>
  </r>
  <r>
    <x v="30"/>
    <x v="1"/>
    <x v="110"/>
    <x v="0"/>
    <x v="4"/>
    <x v="5"/>
    <x v="1"/>
    <x v="2"/>
    <n v="3357.6343330612754"/>
    <x v="0"/>
  </r>
  <r>
    <x v="30"/>
    <x v="1"/>
    <x v="110"/>
    <x v="0"/>
    <x v="4"/>
    <x v="5"/>
    <x v="1"/>
    <x v="3"/>
    <n v="0"/>
    <x v="0"/>
  </r>
  <r>
    <x v="30"/>
    <x v="1"/>
    <x v="110"/>
    <x v="0"/>
    <x v="4"/>
    <x v="5"/>
    <x v="1"/>
    <x v="4"/>
    <n v="0"/>
    <x v="0"/>
  </r>
  <r>
    <x v="30"/>
    <x v="1"/>
    <x v="110"/>
    <x v="0"/>
    <x v="4"/>
    <x v="5"/>
    <x v="1"/>
    <x v="5"/>
    <n v="0"/>
    <x v="0"/>
  </r>
  <r>
    <x v="30"/>
    <x v="1"/>
    <x v="110"/>
    <x v="0"/>
    <x v="4"/>
    <x v="5"/>
    <x v="1"/>
    <x v="6"/>
    <n v="0"/>
    <x v="0"/>
  </r>
  <r>
    <x v="30"/>
    <x v="1"/>
    <x v="110"/>
    <x v="0"/>
    <x v="4"/>
    <x v="5"/>
    <x v="1"/>
    <x v="7"/>
    <n v="0"/>
    <x v="0"/>
  </r>
  <r>
    <x v="30"/>
    <x v="1"/>
    <x v="110"/>
    <x v="0"/>
    <x v="4"/>
    <x v="5"/>
    <x v="1"/>
    <x v="8"/>
    <n v="4966.4762850757388"/>
    <x v="0"/>
  </r>
  <r>
    <x v="30"/>
    <x v="1"/>
    <x v="110"/>
    <x v="0"/>
    <x v="4"/>
    <x v="5"/>
    <x v="1"/>
    <x v="9"/>
    <n v="0"/>
    <x v="0"/>
  </r>
  <r>
    <x v="30"/>
    <x v="1"/>
    <x v="110"/>
    <x v="0"/>
    <x v="4"/>
    <x v="5"/>
    <x v="1"/>
    <x v="10"/>
    <n v="0"/>
    <x v="0"/>
  </r>
  <r>
    <x v="30"/>
    <x v="1"/>
    <x v="110"/>
    <x v="0"/>
    <x v="4"/>
    <x v="5"/>
    <x v="1"/>
    <x v="11"/>
    <n v="0"/>
    <x v="0"/>
  </r>
  <r>
    <x v="30"/>
    <x v="1"/>
    <x v="111"/>
    <x v="0"/>
    <x v="4"/>
    <x v="5"/>
    <x v="1"/>
    <x v="0"/>
    <n v="0"/>
    <x v="0"/>
  </r>
  <r>
    <x v="30"/>
    <x v="1"/>
    <x v="111"/>
    <x v="0"/>
    <x v="4"/>
    <x v="5"/>
    <x v="1"/>
    <x v="1"/>
    <n v="0"/>
    <x v="0"/>
  </r>
  <r>
    <x v="30"/>
    <x v="1"/>
    <x v="111"/>
    <x v="0"/>
    <x v="4"/>
    <x v="5"/>
    <x v="1"/>
    <x v="2"/>
    <n v="569.12896593761945"/>
    <x v="0"/>
  </r>
  <r>
    <x v="30"/>
    <x v="1"/>
    <x v="111"/>
    <x v="0"/>
    <x v="4"/>
    <x v="5"/>
    <x v="1"/>
    <x v="3"/>
    <n v="0"/>
    <x v="0"/>
  </r>
  <r>
    <x v="30"/>
    <x v="1"/>
    <x v="111"/>
    <x v="0"/>
    <x v="4"/>
    <x v="5"/>
    <x v="1"/>
    <x v="4"/>
    <n v="0"/>
    <x v="0"/>
  </r>
  <r>
    <x v="30"/>
    <x v="1"/>
    <x v="111"/>
    <x v="0"/>
    <x v="4"/>
    <x v="5"/>
    <x v="1"/>
    <x v="5"/>
    <n v="0"/>
    <x v="0"/>
  </r>
  <r>
    <x v="30"/>
    <x v="1"/>
    <x v="111"/>
    <x v="0"/>
    <x v="4"/>
    <x v="5"/>
    <x v="1"/>
    <x v="6"/>
    <n v="0"/>
    <x v="0"/>
  </r>
  <r>
    <x v="30"/>
    <x v="1"/>
    <x v="111"/>
    <x v="0"/>
    <x v="4"/>
    <x v="5"/>
    <x v="1"/>
    <x v="7"/>
    <n v="0"/>
    <x v="0"/>
  </r>
  <r>
    <x v="30"/>
    <x v="1"/>
    <x v="111"/>
    <x v="0"/>
    <x v="4"/>
    <x v="5"/>
    <x v="1"/>
    <x v="8"/>
    <n v="0"/>
    <x v="0"/>
  </r>
  <r>
    <x v="30"/>
    <x v="1"/>
    <x v="111"/>
    <x v="0"/>
    <x v="4"/>
    <x v="5"/>
    <x v="1"/>
    <x v="9"/>
    <n v="0"/>
    <x v="0"/>
  </r>
  <r>
    <x v="30"/>
    <x v="1"/>
    <x v="111"/>
    <x v="0"/>
    <x v="4"/>
    <x v="5"/>
    <x v="1"/>
    <x v="10"/>
    <n v="0"/>
    <x v="0"/>
  </r>
  <r>
    <x v="30"/>
    <x v="1"/>
    <x v="111"/>
    <x v="0"/>
    <x v="4"/>
    <x v="5"/>
    <x v="1"/>
    <x v="11"/>
    <n v="0"/>
    <x v="0"/>
  </r>
  <r>
    <x v="30"/>
    <x v="1"/>
    <x v="112"/>
    <x v="2"/>
    <x v="4"/>
    <x v="6"/>
    <x v="0"/>
    <x v="0"/>
    <n v="615.97594687166156"/>
    <x v="0"/>
  </r>
  <r>
    <x v="30"/>
    <x v="1"/>
    <x v="112"/>
    <x v="2"/>
    <x v="4"/>
    <x v="6"/>
    <x v="0"/>
    <x v="1"/>
    <n v="0"/>
    <x v="0"/>
  </r>
  <r>
    <x v="30"/>
    <x v="1"/>
    <x v="112"/>
    <x v="2"/>
    <x v="4"/>
    <x v="6"/>
    <x v="0"/>
    <x v="2"/>
    <n v="0"/>
    <x v="0"/>
  </r>
  <r>
    <x v="30"/>
    <x v="1"/>
    <x v="112"/>
    <x v="2"/>
    <x v="4"/>
    <x v="6"/>
    <x v="0"/>
    <x v="3"/>
    <n v="0"/>
    <x v="0"/>
  </r>
  <r>
    <x v="30"/>
    <x v="1"/>
    <x v="112"/>
    <x v="2"/>
    <x v="4"/>
    <x v="6"/>
    <x v="0"/>
    <x v="4"/>
    <n v="0"/>
    <x v="0"/>
  </r>
  <r>
    <x v="30"/>
    <x v="1"/>
    <x v="112"/>
    <x v="2"/>
    <x v="4"/>
    <x v="6"/>
    <x v="0"/>
    <x v="5"/>
    <n v="0"/>
    <x v="0"/>
  </r>
  <r>
    <x v="30"/>
    <x v="1"/>
    <x v="112"/>
    <x v="2"/>
    <x v="4"/>
    <x v="6"/>
    <x v="0"/>
    <x v="6"/>
    <n v="0"/>
    <x v="0"/>
  </r>
  <r>
    <x v="30"/>
    <x v="1"/>
    <x v="112"/>
    <x v="2"/>
    <x v="4"/>
    <x v="6"/>
    <x v="0"/>
    <x v="7"/>
    <n v="0"/>
    <x v="0"/>
  </r>
  <r>
    <x v="30"/>
    <x v="1"/>
    <x v="112"/>
    <x v="2"/>
    <x v="4"/>
    <x v="6"/>
    <x v="0"/>
    <x v="8"/>
    <n v="0"/>
    <x v="0"/>
  </r>
  <r>
    <x v="30"/>
    <x v="1"/>
    <x v="112"/>
    <x v="2"/>
    <x v="4"/>
    <x v="6"/>
    <x v="0"/>
    <x v="9"/>
    <n v="0"/>
    <x v="0"/>
  </r>
  <r>
    <x v="30"/>
    <x v="1"/>
    <x v="112"/>
    <x v="2"/>
    <x v="4"/>
    <x v="6"/>
    <x v="0"/>
    <x v="10"/>
    <n v="0"/>
    <x v="0"/>
  </r>
  <r>
    <x v="30"/>
    <x v="1"/>
    <x v="112"/>
    <x v="2"/>
    <x v="4"/>
    <x v="6"/>
    <x v="0"/>
    <x v="11"/>
    <n v="0"/>
    <x v="0"/>
  </r>
  <r>
    <x v="30"/>
    <x v="1"/>
    <x v="113"/>
    <x v="2"/>
    <x v="4"/>
    <x v="7"/>
    <x v="0"/>
    <x v="0"/>
    <n v="0"/>
    <x v="0"/>
  </r>
  <r>
    <x v="30"/>
    <x v="1"/>
    <x v="113"/>
    <x v="2"/>
    <x v="4"/>
    <x v="7"/>
    <x v="0"/>
    <x v="1"/>
    <n v="0"/>
    <x v="0"/>
  </r>
  <r>
    <x v="30"/>
    <x v="1"/>
    <x v="113"/>
    <x v="2"/>
    <x v="4"/>
    <x v="7"/>
    <x v="0"/>
    <x v="2"/>
    <n v="29.960844275929045"/>
    <x v="0"/>
  </r>
  <r>
    <x v="30"/>
    <x v="1"/>
    <x v="113"/>
    <x v="2"/>
    <x v="4"/>
    <x v="7"/>
    <x v="0"/>
    <x v="3"/>
    <n v="0"/>
    <x v="0"/>
  </r>
  <r>
    <x v="30"/>
    <x v="1"/>
    <x v="113"/>
    <x v="2"/>
    <x v="4"/>
    <x v="7"/>
    <x v="0"/>
    <x v="4"/>
    <n v="0"/>
    <x v="0"/>
  </r>
  <r>
    <x v="30"/>
    <x v="1"/>
    <x v="113"/>
    <x v="2"/>
    <x v="4"/>
    <x v="7"/>
    <x v="0"/>
    <x v="5"/>
    <n v="0"/>
    <x v="0"/>
  </r>
  <r>
    <x v="30"/>
    <x v="1"/>
    <x v="113"/>
    <x v="2"/>
    <x v="4"/>
    <x v="7"/>
    <x v="0"/>
    <x v="6"/>
    <n v="0"/>
    <x v="0"/>
  </r>
  <r>
    <x v="30"/>
    <x v="1"/>
    <x v="113"/>
    <x v="2"/>
    <x v="4"/>
    <x v="7"/>
    <x v="0"/>
    <x v="7"/>
    <n v="0"/>
    <x v="0"/>
  </r>
  <r>
    <x v="30"/>
    <x v="1"/>
    <x v="113"/>
    <x v="2"/>
    <x v="4"/>
    <x v="7"/>
    <x v="0"/>
    <x v="8"/>
    <n v="0"/>
    <x v="0"/>
  </r>
  <r>
    <x v="30"/>
    <x v="1"/>
    <x v="113"/>
    <x v="2"/>
    <x v="4"/>
    <x v="7"/>
    <x v="0"/>
    <x v="9"/>
    <n v="0"/>
    <x v="0"/>
  </r>
  <r>
    <x v="30"/>
    <x v="1"/>
    <x v="113"/>
    <x v="2"/>
    <x v="4"/>
    <x v="7"/>
    <x v="0"/>
    <x v="10"/>
    <n v="0"/>
    <x v="0"/>
  </r>
  <r>
    <x v="30"/>
    <x v="1"/>
    <x v="113"/>
    <x v="2"/>
    <x v="4"/>
    <x v="7"/>
    <x v="0"/>
    <x v="11"/>
    <n v="0"/>
    <x v="0"/>
  </r>
  <r>
    <x v="30"/>
    <x v="1"/>
    <x v="114"/>
    <x v="0"/>
    <x v="1"/>
    <x v="8"/>
    <x v="0"/>
    <x v="0"/>
    <n v="2621.6368021674248"/>
    <x v="0"/>
  </r>
  <r>
    <x v="30"/>
    <x v="1"/>
    <x v="114"/>
    <x v="0"/>
    <x v="1"/>
    <x v="8"/>
    <x v="0"/>
    <x v="1"/>
    <n v="0"/>
    <x v="0"/>
  </r>
  <r>
    <x v="30"/>
    <x v="1"/>
    <x v="114"/>
    <x v="0"/>
    <x v="1"/>
    <x v="8"/>
    <x v="0"/>
    <x v="2"/>
    <n v="0"/>
    <x v="0"/>
  </r>
  <r>
    <x v="30"/>
    <x v="1"/>
    <x v="114"/>
    <x v="0"/>
    <x v="1"/>
    <x v="8"/>
    <x v="0"/>
    <x v="3"/>
    <n v="0"/>
    <x v="0"/>
  </r>
  <r>
    <x v="30"/>
    <x v="1"/>
    <x v="114"/>
    <x v="0"/>
    <x v="1"/>
    <x v="8"/>
    <x v="0"/>
    <x v="4"/>
    <n v="0"/>
    <x v="0"/>
  </r>
  <r>
    <x v="30"/>
    <x v="1"/>
    <x v="114"/>
    <x v="0"/>
    <x v="1"/>
    <x v="8"/>
    <x v="0"/>
    <x v="5"/>
    <n v="0"/>
    <x v="0"/>
  </r>
  <r>
    <x v="30"/>
    <x v="1"/>
    <x v="114"/>
    <x v="0"/>
    <x v="1"/>
    <x v="8"/>
    <x v="0"/>
    <x v="6"/>
    <n v="0"/>
    <x v="0"/>
  </r>
  <r>
    <x v="30"/>
    <x v="1"/>
    <x v="114"/>
    <x v="0"/>
    <x v="1"/>
    <x v="8"/>
    <x v="0"/>
    <x v="7"/>
    <n v="0"/>
    <x v="0"/>
  </r>
  <r>
    <x v="30"/>
    <x v="1"/>
    <x v="114"/>
    <x v="0"/>
    <x v="1"/>
    <x v="8"/>
    <x v="0"/>
    <x v="8"/>
    <n v="0"/>
    <x v="0"/>
  </r>
  <r>
    <x v="30"/>
    <x v="1"/>
    <x v="114"/>
    <x v="0"/>
    <x v="1"/>
    <x v="8"/>
    <x v="0"/>
    <x v="9"/>
    <n v="0"/>
    <x v="0"/>
  </r>
  <r>
    <x v="30"/>
    <x v="1"/>
    <x v="114"/>
    <x v="0"/>
    <x v="1"/>
    <x v="8"/>
    <x v="0"/>
    <x v="10"/>
    <n v="0"/>
    <x v="0"/>
  </r>
  <r>
    <x v="30"/>
    <x v="1"/>
    <x v="114"/>
    <x v="0"/>
    <x v="1"/>
    <x v="8"/>
    <x v="0"/>
    <x v="11"/>
    <n v="0"/>
    <x v="0"/>
  </r>
  <r>
    <x v="30"/>
    <x v="1"/>
    <x v="115"/>
    <x v="0"/>
    <x v="4"/>
    <x v="5"/>
    <x v="0"/>
    <x v="0"/>
    <n v="4528.1390764215466"/>
    <x v="0"/>
  </r>
  <r>
    <x v="30"/>
    <x v="1"/>
    <x v="115"/>
    <x v="0"/>
    <x v="4"/>
    <x v="5"/>
    <x v="0"/>
    <x v="1"/>
    <n v="0"/>
    <x v="0"/>
  </r>
  <r>
    <x v="30"/>
    <x v="1"/>
    <x v="115"/>
    <x v="0"/>
    <x v="4"/>
    <x v="5"/>
    <x v="0"/>
    <x v="2"/>
    <n v="0"/>
    <x v="0"/>
  </r>
  <r>
    <x v="30"/>
    <x v="1"/>
    <x v="115"/>
    <x v="0"/>
    <x v="4"/>
    <x v="5"/>
    <x v="0"/>
    <x v="3"/>
    <n v="0"/>
    <x v="0"/>
  </r>
  <r>
    <x v="30"/>
    <x v="1"/>
    <x v="115"/>
    <x v="0"/>
    <x v="4"/>
    <x v="5"/>
    <x v="0"/>
    <x v="4"/>
    <n v="0"/>
    <x v="0"/>
  </r>
  <r>
    <x v="30"/>
    <x v="1"/>
    <x v="115"/>
    <x v="0"/>
    <x v="4"/>
    <x v="5"/>
    <x v="0"/>
    <x v="5"/>
    <n v="0"/>
    <x v="0"/>
  </r>
  <r>
    <x v="30"/>
    <x v="1"/>
    <x v="115"/>
    <x v="0"/>
    <x v="4"/>
    <x v="5"/>
    <x v="0"/>
    <x v="6"/>
    <n v="0"/>
    <x v="0"/>
  </r>
  <r>
    <x v="30"/>
    <x v="1"/>
    <x v="115"/>
    <x v="0"/>
    <x v="4"/>
    <x v="5"/>
    <x v="0"/>
    <x v="7"/>
    <n v="0"/>
    <x v="0"/>
  </r>
  <r>
    <x v="30"/>
    <x v="1"/>
    <x v="115"/>
    <x v="0"/>
    <x v="4"/>
    <x v="5"/>
    <x v="0"/>
    <x v="8"/>
    <n v="0"/>
    <x v="0"/>
  </r>
  <r>
    <x v="30"/>
    <x v="1"/>
    <x v="115"/>
    <x v="0"/>
    <x v="4"/>
    <x v="5"/>
    <x v="0"/>
    <x v="9"/>
    <n v="0"/>
    <x v="0"/>
  </r>
  <r>
    <x v="30"/>
    <x v="1"/>
    <x v="115"/>
    <x v="0"/>
    <x v="4"/>
    <x v="5"/>
    <x v="0"/>
    <x v="10"/>
    <n v="0"/>
    <x v="0"/>
  </r>
  <r>
    <x v="30"/>
    <x v="1"/>
    <x v="115"/>
    <x v="0"/>
    <x v="4"/>
    <x v="5"/>
    <x v="0"/>
    <x v="11"/>
    <n v="0"/>
    <x v="0"/>
  </r>
  <r>
    <x v="30"/>
    <x v="1"/>
    <x v="116"/>
    <x v="0"/>
    <x v="1"/>
    <x v="9"/>
    <x v="0"/>
    <x v="0"/>
    <n v="634.1523585061509"/>
    <x v="0"/>
  </r>
  <r>
    <x v="30"/>
    <x v="1"/>
    <x v="116"/>
    <x v="0"/>
    <x v="1"/>
    <x v="9"/>
    <x v="0"/>
    <x v="1"/>
    <n v="160.97214149298347"/>
    <x v="0"/>
  </r>
  <r>
    <x v="30"/>
    <x v="1"/>
    <x v="116"/>
    <x v="0"/>
    <x v="1"/>
    <x v="9"/>
    <x v="0"/>
    <x v="2"/>
    <n v="0"/>
    <x v="0"/>
  </r>
  <r>
    <x v="30"/>
    <x v="1"/>
    <x v="116"/>
    <x v="0"/>
    <x v="1"/>
    <x v="9"/>
    <x v="0"/>
    <x v="3"/>
    <n v="0"/>
    <x v="0"/>
  </r>
  <r>
    <x v="30"/>
    <x v="1"/>
    <x v="116"/>
    <x v="0"/>
    <x v="1"/>
    <x v="9"/>
    <x v="0"/>
    <x v="4"/>
    <n v="0"/>
    <x v="0"/>
  </r>
  <r>
    <x v="30"/>
    <x v="1"/>
    <x v="116"/>
    <x v="0"/>
    <x v="1"/>
    <x v="9"/>
    <x v="0"/>
    <x v="5"/>
    <n v="0"/>
    <x v="0"/>
  </r>
  <r>
    <x v="30"/>
    <x v="1"/>
    <x v="116"/>
    <x v="0"/>
    <x v="1"/>
    <x v="9"/>
    <x v="0"/>
    <x v="6"/>
    <n v="0"/>
    <x v="0"/>
  </r>
  <r>
    <x v="30"/>
    <x v="1"/>
    <x v="116"/>
    <x v="0"/>
    <x v="1"/>
    <x v="9"/>
    <x v="0"/>
    <x v="7"/>
    <n v="0"/>
    <x v="0"/>
  </r>
  <r>
    <x v="30"/>
    <x v="1"/>
    <x v="116"/>
    <x v="0"/>
    <x v="1"/>
    <x v="9"/>
    <x v="0"/>
    <x v="8"/>
    <n v="0"/>
    <x v="0"/>
  </r>
  <r>
    <x v="30"/>
    <x v="1"/>
    <x v="116"/>
    <x v="0"/>
    <x v="1"/>
    <x v="9"/>
    <x v="0"/>
    <x v="9"/>
    <n v="0"/>
    <x v="0"/>
  </r>
  <r>
    <x v="30"/>
    <x v="1"/>
    <x v="116"/>
    <x v="0"/>
    <x v="1"/>
    <x v="9"/>
    <x v="0"/>
    <x v="10"/>
    <n v="0"/>
    <x v="0"/>
  </r>
  <r>
    <x v="30"/>
    <x v="1"/>
    <x v="116"/>
    <x v="0"/>
    <x v="1"/>
    <x v="9"/>
    <x v="0"/>
    <x v="11"/>
    <n v="0"/>
    <x v="0"/>
  </r>
  <r>
    <x v="30"/>
    <x v="1"/>
    <x v="117"/>
    <x v="0"/>
    <x v="4"/>
    <x v="4"/>
    <x v="1"/>
    <x v="0"/>
    <n v="6975.3929008028726"/>
    <x v="0"/>
  </r>
  <r>
    <x v="30"/>
    <x v="1"/>
    <x v="117"/>
    <x v="0"/>
    <x v="4"/>
    <x v="4"/>
    <x v="1"/>
    <x v="1"/>
    <n v="1501.7489412936975"/>
    <x v="0"/>
  </r>
  <r>
    <x v="30"/>
    <x v="1"/>
    <x v="117"/>
    <x v="0"/>
    <x v="4"/>
    <x v="4"/>
    <x v="1"/>
    <x v="2"/>
    <n v="0"/>
    <x v="0"/>
  </r>
  <r>
    <x v="30"/>
    <x v="1"/>
    <x v="117"/>
    <x v="0"/>
    <x v="4"/>
    <x v="4"/>
    <x v="1"/>
    <x v="3"/>
    <n v="0"/>
    <x v="0"/>
  </r>
  <r>
    <x v="30"/>
    <x v="1"/>
    <x v="117"/>
    <x v="0"/>
    <x v="4"/>
    <x v="4"/>
    <x v="1"/>
    <x v="4"/>
    <n v="0"/>
    <x v="0"/>
  </r>
  <r>
    <x v="30"/>
    <x v="1"/>
    <x v="117"/>
    <x v="0"/>
    <x v="4"/>
    <x v="4"/>
    <x v="1"/>
    <x v="5"/>
    <n v="0"/>
    <x v="0"/>
  </r>
  <r>
    <x v="30"/>
    <x v="1"/>
    <x v="117"/>
    <x v="0"/>
    <x v="4"/>
    <x v="4"/>
    <x v="1"/>
    <x v="6"/>
    <n v="0"/>
    <x v="0"/>
  </r>
  <r>
    <x v="30"/>
    <x v="1"/>
    <x v="117"/>
    <x v="0"/>
    <x v="4"/>
    <x v="4"/>
    <x v="1"/>
    <x v="7"/>
    <n v="0"/>
    <x v="0"/>
  </r>
  <r>
    <x v="30"/>
    <x v="1"/>
    <x v="117"/>
    <x v="0"/>
    <x v="4"/>
    <x v="4"/>
    <x v="1"/>
    <x v="8"/>
    <n v="0"/>
    <x v="0"/>
  </r>
  <r>
    <x v="30"/>
    <x v="1"/>
    <x v="117"/>
    <x v="0"/>
    <x v="4"/>
    <x v="4"/>
    <x v="1"/>
    <x v="9"/>
    <n v="0"/>
    <x v="0"/>
  </r>
  <r>
    <x v="30"/>
    <x v="1"/>
    <x v="117"/>
    <x v="0"/>
    <x v="4"/>
    <x v="4"/>
    <x v="1"/>
    <x v="10"/>
    <n v="0"/>
    <x v="0"/>
  </r>
  <r>
    <x v="30"/>
    <x v="1"/>
    <x v="117"/>
    <x v="0"/>
    <x v="4"/>
    <x v="4"/>
    <x v="1"/>
    <x v="11"/>
    <n v="0"/>
    <x v="0"/>
  </r>
  <r>
    <x v="30"/>
    <x v="1"/>
    <x v="118"/>
    <x v="0"/>
    <x v="4"/>
    <x v="4"/>
    <x v="1"/>
    <x v="0"/>
    <n v="4756.2880648465289"/>
    <x v="0"/>
  </r>
  <r>
    <x v="30"/>
    <x v="1"/>
    <x v="118"/>
    <x v="0"/>
    <x v="4"/>
    <x v="4"/>
    <x v="1"/>
    <x v="1"/>
    <n v="3749.3180685875609"/>
    <x v="0"/>
  </r>
  <r>
    <x v="30"/>
    <x v="1"/>
    <x v="118"/>
    <x v="0"/>
    <x v="4"/>
    <x v="4"/>
    <x v="1"/>
    <x v="2"/>
    <n v="0"/>
    <x v="0"/>
  </r>
  <r>
    <x v="30"/>
    <x v="1"/>
    <x v="118"/>
    <x v="0"/>
    <x v="4"/>
    <x v="4"/>
    <x v="1"/>
    <x v="3"/>
    <n v="0"/>
    <x v="0"/>
  </r>
  <r>
    <x v="30"/>
    <x v="1"/>
    <x v="118"/>
    <x v="0"/>
    <x v="4"/>
    <x v="4"/>
    <x v="1"/>
    <x v="4"/>
    <n v="0"/>
    <x v="0"/>
  </r>
  <r>
    <x v="30"/>
    <x v="1"/>
    <x v="118"/>
    <x v="0"/>
    <x v="4"/>
    <x v="4"/>
    <x v="1"/>
    <x v="5"/>
    <n v="0"/>
    <x v="0"/>
  </r>
  <r>
    <x v="30"/>
    <x v="1"/>
    <x v="118"/>
    <x v="0"/>
    <x v="4"/>
    <x v="4"/>
    <x v="1"/>
    <x v="6"/>
    <n v="0"/>
    <x v="0"/>
  </r>
  <r>
    <x v="30"/>
    <x v="1"/>
    <x v="118"/>
    <x v="0"/>
    <x v="4"/>
    <x v="4"/>
    <x v="1"/>
    <x v="7"/>
    <n v="0"/>
    <x v="0"/>
  </r>
  <r>
    <x v="30"/>
    <x v="1"/>
    <x v="118"/>
    <x v="0"/>
    <x v="4"/>
    <x v="4"/>
    <x v="1"/>
    <x v="8"/>
    <n v="0"/>
    <x v="0"/>
  </r>
  <r>
    <x v="30"/>
    <x v="1"/>
    <x v="118"/>
    <x v="0"/>
    <x v="4"/>
    <x v="4"/>
    <x v="1"/>
    <x v="9"/>
    <n v="0"/>
    <x v="0"/>
  </r>
  <r>
    <x v="30"/>
    <x v="1"/>
    <x v="118"/>
    <x v="0"/>
    <x v="4"/>
    <x v="4"/>
    <x v="1"/>
    <x v="10"/>
    <n v="0"/>
    <x v="0"/>
  </r>
  <r>
    <x v="30"/>
    <x v="1"/>
    <x v="118"/>
    <x v="0"/>
    <x v="4"/>
    <x v="4"/>
    <x v="1"/>
    <x v="11"/>
    <n v="0"/>
    <x v="0"/>
  </r>
  <r>
    <x v="30"/>
    <x v="1"/>
    <x v="119"/>
    <x v="2"/>
    <x v="4"/>
    <x v="4"/>
    <x v="0"/>
    <x v="0"/>
    <n v="371.48647011530966"/>
    <x v="0"/>
  </r>
  <r>
    <x v="30"/>
    <x v="1"/>
    <x v="119"/>
    <x v="2"/>
    <x v="4"/>
    <x v="4"/>
    <x v="0"/>
    <x v="1"/>
    <n v="0"/>
    <x v="0"/>
  </r>
  <r>
    <x v="30"/>
    <x v="1"/>
    <x v="119"/>
    <x v="2"/>
    <x v="4"/>
    <x v="4"/>
    <x v="0"/>
    <x v="2"/>
    <n v="0"/>
    <x v="0"/>
  </r>
  <r>
    <x v="30"/>
    <x v="1"/>
    <x v="119"/>
    <x v="2"/>
    <x v="4"/>
    <x v="4"/>
    <x v="0"/>
    <x v="3"/>
    <n v="0"/>
    <x v="0"/>
  </r>
  <r>
    <x v="30"/>
    <x v="1"/>
    <x v="119"/>
    <x v="2"/>
    <x v="4"/>
    <x v="4"/>
    <x v="0"/>
    <x v="4"/>
    <n v="0"/>
    <x v="0"/>
  </r>
  <r>
    <x v="30"/>
    <x v="1"/>
    <x v="119"/>
    <x v="2"/>
    <x v="4"/>
    <x v="4"/>
    <x v="0"/>
    <x v="5"/>
    <n v="0"/>
    <x v="0"/>
  </r>
  <r>
    <x v="30"/>
    <x v="1"/>
    <x v="119"/>
    <x v="2"/>
    <x v="4"/>
    <x v="4"/>
    <x v="0"/>
    <x v="6"/>
    <n v="0"/>
    <x v="0"/>
  </r>
  <r>
    <x v="30"/>
    <x v="1"/>
    <x v="119"/>
    <x v="2"/>
    <x v="4"/>
    <x v="4"/>
    <x v="0"/>
    <x v="7"/>
    <n v="0"/>
    <x v="0"/>
  </r>
  <r>
    <x v="30"/>
    <x v="1"/>
    <x v="119"/>
    <x v="2"/>
    <x v="4"/>
    <x v="4"/>
    <x v="0"/>
    <x v="8"/>
    <n v="0"/>
    <x v="0"/>
  </r>
  <r>
    <x v="30"/>
    <x v="1"/>
    <x v="119"/>
    <x v="2"/>
    <x v="4"/>
    <x v="4"/>
    <x v="0"/>
    <x v="9"/>
    <n v="0"/>
    <x v="0"/>
  </r>
  <r>
    <x v="30"/>
    <x v="1"/>
    <x v="119"/>
    <x v="2"/>
    <x v="4"/>
    <x v="4"/>
    <x v="0"/>
    <x v="10"/>
    <n v="0"/>
    <x v="0"/>
  </r>
  <r>
    <x v="30"/>
    <x v="1"/>
    <x v="119"/>
    <x v="2"/>
    <x v="4"/>
    <x v="4"/>
    <x v="0"/>
    <x v="11"/>
    <n v="0"/>
    <x v="0"/>
  </r>
  <r>
    <x v="30"/>
    <x v="1"/>
    <x v="120"/>
    <x v="0"/>
    <x v="4"/>
    <x v="5"/>
    <x v="1"/>
    <x v="0"/>
    <n v="8830.2393198162972"/>
    <x v="0"/>
  </r>
  <r>
    <x v="30"/>
    <x v="1"/>
    <x v="120"/>
    <x v="0"/>
    <x v="4"/>
    <x v="5"/>
    <x v="1"/>
    <x v="1"/>
    <n v="0"/>
    <x v="0"/>
  </r>
  <r>
    <x v="30"/>
    <x v="1"/>
    <x v="120"/>
    <x v="0"/>
    <x v="4"/>
    <x v="5"/>
    <x v="1"/>
    <x v="2"/>
    <n v="0"/>
    <x v="0"/>
  </r>
  <r>
    <x v="30"/>
    <x v="1"/>
    <x v="120"/>
    <x v="0"/>
    <x v="4"/>
    <x v="5"/>
    <x v="1"/>
    <x v="3"/>
    <n v="0"/>
    <x v="0"/>
  </r>
  <r>
    <x v="30"/>
    <x v="1"/>
    <x v="120"/>
    <x v="0"/>
    <x v="4"/>
    <x v="5"/>
    <x v="1"/>
    <x v="4"/>
    <n v="0"/>
    <x v="0"/>
  </r>
  <r>
    <x v="30"/>
    <x v="1"/>
    <x v="120"/>
    <x v="0"/>
    <x v="4"/>
    <x v="5"/>
    <x v="1"/>
    <x v="5"/>
    <n v="0"/>
    <x v="0"/>
  </r>
  <r>
    <x v="30"/>
    <x v="1"/>
    <x v="120"/>
    <x v="0"/>
    <x v="4"/>
    <x v="5"/>
    <x v="1"/>
    <x v="6"/>
    <n v="0"/>
    <x v="0"/>
  </r>
  <r>
    <x v="30"/>
    <x v="1"/>
    <x v="120"/>
    <x v="0"/>
    <x v="4"/>
    <x v="5"/>
    <x v="1"/>
    <x v="7"/>
    <n v="0"/>
    <x v="0"/>
  </r>
  <r>
    <x v="30"/>
    <x v="1"/>
    <x v="120"/>
    <x v="0"/>
    <x v="4"/>
    <x v="5"/>
    <x v="1"/>
    <x v="8"/>
    <n v="0"/>
    <x v="0"/>
  </r>
  <r>
    <x v="30"/>
    <x v="1"/>
    <x v="120"/>
    <x v="0"/>
    <x v="4"/>
    <x v="5"/>
    <x v="1"/>
    <x v="9"/>
    <n v="0"/>
    <x v="0"/>
  </r>
  <r>
    <x v="30"/>
    <x v="1"/>
    <x v="120"/>
    <x v="0"/>
    <x v="4"/>
    <x v="5"/>
    <x v="1"/>
    <x v="10"/>
    <n v="0"/>
    <x v="0"/>
  </r>
  <r>
    <x v="30"/>
    <x v="1"/>
    <x v="120"/>
    <x v="0"/>
    <x v="4"/>
    <x v="5"/>
    <x v="1"/>
    <x v="11"/>
    <n v="0"/>
    <x v="0"/>
  </r>
  <r>
    <x v="30"/>
    <x v="1"/>
    <x v="121"/>
    <x v="0"/>
    <x v="4"/>
    <x v="6"/>
    <x v="13"/>
    <x v="0"/>
    <n v="0"/>
    <x v="0"/>
  </r>
  <r>
    <x v="30"/>
    <x v="1"/>
    <x v="121"/>
    <x v="0"/>
    <x v="4"/>
    <x v="6"/>
    <x v="13"/>
    <x v="1"/>
    <n v="352.01984555343353"/>
    <x v="0"/>
  </r>
  <r>
    <x v="30"/>
    <x v="1"/>
    <x v="121"/>
    <x v="0"/>
    <x v="4"/>
    <x v="6"/>
    <x v="13"/>
    <x v="2"/>
    <n v="0"/>
    <x v="0"/>
  </r>
  <r>
    <x v="30"/>
    <x v="1"/>
    <x v="121"/>
    <x v="0"/>
    <x v="4"/>
    <x v="6"/>
    <x v="13"/>
    <x v="3"/>
    <n v="0"/>
    <x v="0"/>
  </r>
  <r>
    <x v="30"/>
    <x v="1"/>
    <x v="121"/>
    <x v="0"/>
    <x v="4"/>
    <x v="6"/>
    <x v="13"/>
    <x v="4"/>
    <n v="0"/>
    <x v="0"/>
  </r>
  <r>
    <x v="30"/>
    <x v="1"/>
    <x v="121"/>
    <x v="0"/>
    <x v="4"/>
    <x v="6"/>
    <x v="13"/>
    <x v="5"/>
    <n v="0"/>
    <x v="0"/>
  </r>
  <r>
    <x v="30"/>
    <x v="1"/>
    <x v="121"/>
    <x v="0"/>
    <x v="4"/>
    <x v="6"/>
    <x v="13"/>
    <x v="6"/>
    <n v="0"/>
    <x v="0"/>
  </r>
  <r>
    <x v="30"/>
    <x v="1"/>
    <x v="121"/>
    <x v="0"/>
    <x v="4"/>
    <x v="6"/>
    <x v="13"/>
    <x v="7"/>
    <n v="0"/>
    <x v="0"/>
  </r>
  <r>
    <x v="30"/>
    <x v="1"/>
    <x v="121"/>
    <x v="0"/>
    <x v="4"/>
    <x v="6"/>
    <x v="13"/>
    <x v="8"/>
    <n v="0"/>
    <x v="0"/>
  </r>
  <r>
    <x v="30"/>
    <x v="1"/>
    <x v="121"/>
    <x v="0"/>
    <x v="4"/>
    <x v="6"/>
    <x v="13"/>
    <x v="9"/>
    <n v="0"/>
    <x v="0"/>
  </r>
  <r>
    <x v="30"/>
    <x v="1"/>
    <x v="121"/>
    <x v="0"/>
    <x v="4"/>
    <x v="6"/>
    <x v="13"/>
    <x v="10"/>
    <n v="0"/>
    <x v="0"/>
  </r>
  <r>
    <x v="30"/>
    <x v="1"/>
    <x v="121"/>
    <x v="0"/>
    <x v="4"/>
    <x v="6"/>
    <x v="13"/>
    <x v="11"/>
    <n v="0"/>
    <x v="0"/>
  </r>
  <r>
    <x v="30"/>
    <x v="1"/>
    <x v="122"/>
    <x v="2"/>
    <x v="3"/>
    <x v="9"/>
    <x v="0"/>
    <x v="0"/>
    <n v="43.40356171323473"/>
    <x v="0"/>
  </r>
  <r>
    <x v="30"/>
    <x v="1"/>
    <x v="122"/>
    <x v="2"/>
    <x v="3"/>
    <x v="9"/>
    <x v="0"/>
    <x v="1"/>
    <n v="0"/>
    <x v="0"/>
  </r>
  <r>
    <x v="30"/>
    <x v="1"/>
    <x v="122"/>
    <x v="2"/>
    <x v="3"/>
    <x v="9"/>
    <x v="0"/>
    <x v="2"/>
    <n v="40.791172915396778"/>
    <x v="0"/>
  </r>
  <r>
    <x v="30"/>
    <x v="1"/>
    <x v="122"/>
    <x v="2"/>
    <x v="3"/>
    <x v="9"/>
    <x v="0"/>
    <x v="3"/>
    <n v="0"/>
    <x v="0"/>
  </r>
  <r>
    <x v="30"/>
    <x v="1"/>
    <x v="122"/>
    <x v="2"/>
    <x v="3"/>
    <x v="9"/>
    <x v="0"/>
    <x v="4"/>
    <n v="0"/>
    <x v="0"/>
  </r>
  <r>
    <x v="30"/>
    <x v="1"/>
    <x v="122"/>
    <x v="2"/>
    <x v="3"/>
    <x v="9"/>
    <x v="0"/>
    <x v="5"/>
    <n v="0"/>
    <x v="0"/>
  </r>
  <r>
    <x v="30"/>
    <x v="1"/>
    <x v="122"/>
    <x v="2"/>
    <x v="3"/>
    <x v="9"/>
    <x v="0"/>
    <x v="6"/>
    <n v="0"/>
    <x v="0"/>
  </r>
  <r>
    <x v="30"/>
    <x v="1"/>
    <x v="122"/>
    <x v="2"/>
    <x v="3"/>
    <x v="9"/>
    <x v="0"/>
    <x v="7"/>
    <n v="0"/>
    <x v="0"/>
  </r>
  <r>
    <x v="30"/>
    <x v="1"/>
    <x v="122"/>
    <x v="2"/>
    <x v="3"/>
    <x v="9"/>
    <x v="0"/>
    <x v="8"/>
    <n v="0"/>
    <x v="0"/>
  </r>
  <r>
    <x v="30"/>
    <x v="1"/>
    <x v="122"/>
    <x v="2"/>
    <x v="3"/>
    <x v="9"/>
    <x v="0"/>
    <x v="9"/>
    <n v="0"/>
    <x v="0"/>
  </r>
  <r>
    <x v="30"/>
    <x v="1"/>
    <x v="122"/>
    <x v="2"/>
    <x v="3"/>
    <x v="9"/>
    <x v="0"/>
    <x v="10"/>
    <n v="0"/>
    <x v="0"/>
  </r>
  <r>
    <x v="30"/>
    <x v="1"/>
    <x v="122"/>
    <x v="2"/>
    <x v="3"/>
    <x v="9"/>
    <x v="0"/>
    <x v="11"/>
    <n v="0"/>
    <x v="0"/>
  </r>
  <r>
    <x v="30"/>
    <x v="1"/>
    <x v="123"/>
    <x v="2"/>
    <x v="3"/>
    <x v="9"/>
    <x v="0"/>
    <x v="0"/>
    <n v="59.50506062842102"/>
    <x v="0"/>
  </r>
  <r>
    <x v="30"/>
    <x v="1"/>
    <x v="123"/>
    <x v="2"/>
    <x v="3"/>
    <x v="9"/>
    <x v="0"/>
    <x v="1"/>
    <n v="0"/>
    <x v="0"/>
  </r>
  <r>
    <x v="30"/>
    <x v="1"/>
    <x v="123"/>
    <x v="2"/>
    <x v="3"/>
    <x v="9"/>
    <x v="0"/>
    <x v="2"/>
    <n v="21.726777762854752"/>
    <x v="0"/>
  </r>
  <r>
    <x v="30"/>
    <x v="1"/>
    <x v="123"/>
    <x v="2"/>
    <x v="3"/>
    <x v="9"/>
    <x v="0"/>
    <x v="3"/>
    <n v="0"/>
    <x v="0"/>
  </r>
  <r>
    <x v="30"/>
    <x v="1"/>
    <x v="123"/>
    <x v="2"/>
    <x v="3"/>
    <x v="9"/>
    <x v="0"/>
    <x v="4"/>
    <n v="0"/>
    <x v="0"/>
  </r>
  <r>
    <x v="30"/>
    <x v="1"/>
    <x v="123"/>
    <x v="2"/>
    <x v="3"/>
    <x v="9"/>
    <x v="0"/>
    <x v="5"/>
    <n v="0"/>
    <x v="0"/>
  </r>
  <r>
    <x v="30"/>
    <x v="1"/>
    <x v="123"/>
    <x v="2"/>
    <x v="3"/>
    <x v="9"/>
    <x v="0"/>
    <x v="6"/>
    <n v="0"/>
    <x v="0"/>
  </r>
  <r>
    <x v="30"/>
    <x v="1"/>
    <x v="123"/>
    <x v="2"/>
    <x v="3"/>
    <x v="9"/>
    <x v="0"/>
    <x v="7"/>
    <n v="0"/>
    <x v="0"/>
  </r>
  <r>
    <x v="30"/>
    <x v="1"/>
    <x v="123"/>
    <x v="2"/>
    <x v="3"/>
    <x v="9"/>
    <x v="0"/>
    <x v="8"/>
    <n v="0"/>
    <x v="0"/>
  </r>
  <r>
    <x v="30"/>
    <x v="1"/>
    <x v="123"/>
    <x v="2"/>
    <x v="3"/>
    <x v="9"/>
    <x v="0"/>
    <x v="9"/>
    <n v="0"/>
    <x v="0"/>
  </r>
  <r>
    <x v="30"/>
    <x v="1"/>
    <x v="123"/>
    <x v="2"/>
    <x v="3"/>
    <x v="9"/>
    <x v="0"/>
    <x v="10"/>
    <n v="0"/>
    <x v="0"/>
  </r>
  <r>
    <x v="30"/>
    <x v="1"/>
    <x v="123"/>
    <x v="2"/>
    <x v="3"/>
    <x v="9"/>
    <x v="0"/>
    <x v="11"/>
    <n v="0"/>
    <x v="0"/>
  </r>
  <r>
    <x v="30"/>
    <x v="1"/>
    <x v="124"/>
    <x v="0"/>
    <x v="5"/>
    <x v="10"/>
    <x v="0"/>
    <x v="0"/>
    <n v="10674.305884426039"/>
    <x v="0"/>
  </r>
  <r>
    <x v="30"/>
    <x v="1"/>
    <x v="124"/>
    <x v="0"/>
    <x v="5"/>
    <x v="10"/>
    <x v="0"/>
    <x v="1"/>
    <n v="0"/>
    <x v="0"/>
  </r>
  <r>
    <x v="30"/>
    <x v="1"/>
    <x v="124"/>
    <x v="0"/>
    <x v="5"/>
    <x v="10"/>
    <x v="0"/>
    <x v="2"/>
    <n v="0"/>
    <x v="0"/>
  </r>
  <r>
    <x v="30"/>
    <x v="1"/>
    <x v="124"/>
    <x v="0"/>
    <x v="5"/>
    <x v="10"/>
    <x v="0"/>
    <x v="3"/>
    <n v="0"/>
    <x v="0"/>
  </r>
  <r>
    <x v="30"/>
    <x v="1"/>
    <x v="124"/>
    <x v="0"/>
    <x v="5"/>
    <x v="10"/>
    <x v="0"/>
    <x v="4"/>
    <n v="0"/>
    <x v="0"/>
  </r>
  <r>
    <x v="30"/>
    <x v="1"/>
    <x v="124"/>
    <x v="0"/>
    <x v="5"/>
    <x v="10"/>
    <x v="0"/>
    <x v="5"/>
    <n v="0"/>
    <x v="0"/>
  </r>
  <r>
    <x v="30"/>
    <x v="1"/>
    <x v="124"/>
    <x v="0"/>
    <x v="5"/>
    <x v="10"/>
    <x v="0"/>
    <x v="6"/>
    <n v="0"/>
    <x v="0"/>
  </r>
  <r>
    <x v="30"/>
    <x v="1"/>
    <x v="124"/>
    <x v="0"/>
    <x v="5"/>
    <x v="10"/>
    <x v="0"/>
    <x v="7"/>
    <n v="0"/>
    <x v="0"/>
  </r>
  <r>
    <x v="30"/>
    <x v="1"/>
    <x v="124"/>
    <x v="0"/>
    <x v="5"/>
    <x v="10"/>
    <x v="0"/>
    <x v="8"/>
    <n v="0"/>
    <x v="0"/>
  </r>
  <r>
    <x v="30"/>
    <x v="1"/>
    <x v="124"/>
    <x v="0"/>
    <x v="5"/>
    <x v="10"/>
    <x v="0"/>
    <x v="9"/>
    <n v="0"/>
    <x v="0"/>
  </r>
  <r>
    <x v="30"/>
    <x v="1"/>
    <x v="124"/>
    <x v="0"/>
    <x v="5"/>
    <x v="10"/>
    <x v="0"/>
    <x v="10"/>
    <n v="0"/>
    <x v="0"/>
  </r>
  <r>
    <x v="30"/>
    <x v="1"/>
    <x v="124"/>
    <x v="0"/>
    <x v="5"/>
    <x v="10"/>
    <x v="0"/>
    <x v="11"/>
    <n v="0"/>
    <x v="0"/>
  </r>
  <r>
    <x v="30"/>
    <x v="1"/>
    <x v="125"/>
    <x v="0"/>
    <x v="5"/>
    <x v="10"/>
    <x v="0"/>
    <x v="0"/>
    <n v="1040.5874514036498"/>
    <x v="0"/>
  </r>
  <r>
    <x v="30"/>
    <x v="1"/>
    <x v="125"/>
    <x v="0"/>
    <x v="5"/>
    <x v="10"/>
    <x v="0"/>
    <x v="1"/>
    <n v="519.32450386116409"/>
    <x v="0"/>
  </r>
  <r>
    <x v="30"/>
    <x v="1"/>
    <x v="125"/>
    <x v="0"/>
    <x v="5"/>
    <x v="10"/>
    <x v="0"/>
    <x v="2"/>
    <n v="0"/>
    <x v="0"/>
  </r>
  <r>
    <x v="30"/>
    <x v="1"/>
    <x v="125"/>
    <x v="0"/>
    <x v="5"/>
    <x v="10"/>
    <x v="0"/>
    <x v="3"/>
    <n v="0"/>
    <x v="0"/>
  </r>
  <r>
    <x v="30"/>
    <x v="1"/>
    <x v="125"/>
    <x v="0"/>
    <x v="5"/>
    <x v="10"/>
    <x v="0"/>
    <x v="4"/>
    <n v="4112.9766418268182"/>
    <x v="0"/>
  </r>
  <r>
    <x v="30"/>
    <x v="1"/>
    <x v="125"/>
    <x v="0"/>
    <x v="5"/>
    <x v="10"/>
    <x v="0"/>
    <x v="5"/>
    <n v="0"/>
    <x v="0"/>
  </r>
  <r>
    <x v="30"/>
    <x v="1"/>
    <x v="125"/>
    <x v="0"/>
    <x v="5"/>
    <x v="10"/>
    <x v="0"/>
    <x v="6"/>
    <n v="2910.1433508255473"/>
    <x v="0"/>
  </r>
  <r>
    <x v="30"/>
    <x v="1"/>
    <x v="125"/>
    <x v="0"/>
    <x v="5"/>
    <x v="10"/>
    <x v="0"/>
    <x v="7"/>
    <n v="202.59167652435747"/>
    <x v="0"/>
  </r>
  <r>
    <x v="30"/>
    <x v="1"/>
    <x v="125"/>
    <x v="0"/>
    <x v="5"/>
    <x v="10"/>
    <x v="0"/>
    <x v="8"/>
    <n v="0"/>
    <x v="0"/>
  </r>
  <r>
    <x v="30"/>
    <x v="1"/>
    <x v="125"/>
    <x v="0"/>
    <x v="5"/>
    <x v="10"/>
    <x v="0"/>
    <x v="9"/>
    <n v="0"/>
    <x v="0"/>
  </r>
  <r>
    <x v="30"/>
    <x v="1"/>
    <x v="125"/>
    <x v="0"/>
    <x v="5"/>
    <x v="10"/>
    <x v="0"/>
    <x v="10"/>
    <n v="10693.744339234252"/>
    <x v="0"/>
  </r>
  <r>
    <x v="30"/>
    <x v="1"/>
    <x v="125"/>
    <x v="0"/>
    <x v="5"/>
    <x v="10"/>
    <x v="0"/>
    <x v="11"/>
    <n v="9987.7495314918924"/>
    <x v="0"/>
  </r>
  <r>
    <x v="30"/>
    <x v="1"/>
    <x v="126"/>
    <x v="0"/>
    <x v="3"/>
    <x v="11"/>
    <x v="0"/>
    <x v="0"/>
    <n v="1887.7773984294981"/>
    <x v="0"/>
  </r>
  <r>
    <x v="30"/>
    <x v="1"/>
    <x v="126"/>
    <x v="0"/>
    <x v="3"/>
    <x v="11"/>
    <x v="0"/>
    <x v="1"/>
    <n v="1871.807273935066"/>
    <x v="0"/>
  </r>
  <r>
    <x v="30"/>
    <x v="1"/>
    <x v="126"/>
    <x v="0"/>
    <x v="3"/>
    <x v="11"/>
    <x v="0"/>
    <x v="2"/>
    <n v="0"/>
    <x v="0"/>
  </r>
  <r>
    <x v="30"/>
    <x v="1"/>
    <x v="126"/>
    <x v="0"/>
    <x v="3"/>
    <x v="11"/>
    <x v="0"/>
    <x v="3"/>
    <n v="1928.3417001687253"/>
    <x v="0"/>
  </r>
  <r>
    <x v="30"/>
    <x v="1"/>
    <x v="126"/>
    <x v="0"/>
    <x v="3"/>
    <x v="11"/>
    <x v="0"/>
    <x v="4"/>
    <n v="2040.8757136009065"/>
    <x v="0"/>
  </r>
  <r>
    <x v="30"/>
    <x v="1"/>
    <x v="126"/>
    <x v="0"/>
    <x v="3"/>
    <x v="11"/>
    <x v="0"/>
    <x v="5"/>
    <n v="2023.0174498963372"/>
    <x v="0"/>
  </r>
  <r>
    <x v="30"/>
    <x v="1"/>
    <x v="126"/>
    <x v="0"/>
    <x v="3"/>
    <x v="11"/>
    <x v="0"/>
    <x v="6"/>
    <n v="4142.2628951747092"/>
    <x v="0"/>
  </r>
  <r>
    <x v="30"/>
    <x v="1"/>
    <x v="126"/>
    <x v="0"/>
    <x v="3"/>
    <x v="11"/>
    <x v="0"/>
    <x v="7"/>
    <n v="0"/>
    <x v="0"/>
  </r>
  <r>
    <x v="30"/>
    <x v="1"/>
    <x v="126"/>
    <x v="0"/>
    <x v="3"/>
    <x v="11"/>
    <x v="0"/>
    <x v="8"/>
    <n v="0"/>
    <x v="0"/>
  </r>
  <r>
    <x v="30"/>
    <x v="1"/>
    <x v="126"/>
    <x v="0"/>
    <x v="3"/>
    <x v="11"/>
    <x v="0"/>
    <x v="9"/>
    <n v="4146.6679517246548"/>
    <x v="0"/>
  </r>
  <r>
    <x v="30"/>
    <x v="1"/>
    <x v="126"/>
    <x v="0"/>
    <x v="3"/>
    <x v="11"/>
    <x v="0"/>
    <x v="10"/>
    <n v="4175.323178262659"/>
    <x v="0"/>
  </r>
  <r>
    <x v="30"/>
    <x v="1"/>
    <x v="126"/>
    <x v="0"/>
    <x v="3"/>
    <x v="11"/>
    <x v="0"/>
    <x v="11"/>
    <n v="4497.5759797930414"/>
    <x v="0"/>
  </r>
  <r>
    <x v="30"/>
    <x v="2"/>
    <x v="127"/>
    <x v="0"/>
    <x v="2"/>
    <x v="3"/>
    <x v="9"/>
    <x v="0"/>
    <n v="38183.680437009221"/>
    <x v="0"/>
  </r>
  <r>
    <x v="30"/>
    <x v="2"/>
    <x v="127"/>
    <x v="0"/>
    <x v="2"/>
    <x v="3"/>
    <x v="9"/>
    <x v="1"/>
    <n v="0"/>
    <x v="0"/>
  </r>
  <r>
    <x v="30"/>
    <x v="2"/>
    <x v="127"/>
    <x v="0"/>
    <x v="2"/>
    <x v="3"/>
    <x v="9"/>
    <x v="2"/>
    <n v="0"/>
    <x v="0"/>
  </r>
  <r>
    <x v="30"/>
    <x v="2"/>
    <x v="127"/>
    <x v="0"/>
    <x v="2"/>
    <x v="3"/>
    <x v="9"/>
    <x v="3"/>
    <n v="0"/>
    <x v="0"/>
  </r>
  <r>
    <x v="30"/>
    <x v="2"/>
    <x v="127"/>
    <x v="0"/>
    <x v="2"/>
    <x v="3"/>
    <x v="9"/>
    <x v="4"/>
    <n v="0"/>
    <x v="0"/>
  </r>
  <r>
    <x v="30"/>
    <x v="2"/>
    <x v="127"/>
    <x v="0"/>
    <x v="2"/>
    <x v="3"/>
    <x v="9"/>
    <x v="5"/>
    <n v="0"/>
    <x v="0"/>
  </r>
  <r>
    <x v="30"/>
    <x v="2"/>
    <x v="127"/>
    <x v="0"/>
    <x v="2"/>
    <x v="3"/>
    <x v="9"/>
    <x v="6"/>
    <n v="0"/>
    <x v="0"/>
  </r>
  <r>
    <x v="30"/>
    <x v="2"/>
    <x v="127"/>
    <x v="0"/>
    <x v="2"/>
    <x v="3"/>
    <x v="9"/>
    <x v="7"/>
    <n v="0"/>
    <x v="0"/>
  </r>
  <r>
    <x v="30"/>
    <x v="2"/>
    <x v="127"/>
    <x v="0"/>
    <x v="2"/>
    <x v="3"/>
    <x v="9"/>
    <x v="8"/>
    <n v="0"/>
    <x v="0"/>
  </r>
  <r>
    <x v="30"/>
    <x v="2"/>
    <x v="127"/>
    <x v="0"/>
    <x v="2"/>
    <x v="3"/>
    <x v="9"/>
    <x v="9"/>
    <n v="0"/>
    <x v="0"/>
  </r>
  <r>
    <x v="30"/>
    <x v="2"/>
    <x v="127"/>
    <x v="0"/>
    <x v="2"/>
    <x v="3"/>
    <x v="9"/>
    <x v="10"/>
    <n v="0"/>
    <x v="0"/>
  </r>
  <r>
    <x v="30"/>
    <x v="2"/>
    <x v="127"/>
    <x v="0"/>
    <x v="2"/>
    <x v="3"/>
    <x v="9"/>
    <x v="11"/>
    <n v="0"/>
    <x v="0"/>
  </r>
  <r>
    <x v="30"/>
    <x v="2"/>
    <x v="128"/>
    <x v="0"/>
    <x v="2"/>
    <x v="3"/>
    <x v="9"/>
    <x v="0"/>
    <n v="0"/>
    <x v="0"/>
  </r>
  <r>
    <x v="30"/>
    <x v="2"/>
    <x v="128"/>
    <x v="0"/>
    <x v="2"/>
    <x v="3"/>
    <x v="9"/>
    <x v="1"/>
    <n v="0"/>
    <x v="0"/>
  </r>
  <r>
    <x v="30"/>
    <x v="2"/>
    <x v="128"/>
    <x v="0"/>
    <x v="2"/>
    <x v="3"/>
    <x v="9"/>
    <x v="2"/>
    <n v="0"/>
    <x v="0"/>
  </r>
  <r>
    <x v="30"/>
    <x v="2"/>
    <x v="128"/>
    <x v="0"/>
    <x v="2"/>
    <x v="3"/>
    <x v="9"/>
    <x v="3"/>
    <n v="0"/>
    <x v="0"/>
  </r>
  <r>
    <x v="30"/>
    <x v="2"/>
    <x v="128"/>
    <x v="0"/>
    <x v="2"/>
    <x v="3"/>
    <x v="9"/>
    <x v="4"/>
    <n v="0"/>
    <x v="0"/>
  </r>
  <r>
    <x v="30"/>
    <x v="2"/>
    <x v="128"/>
    <x v="0"/>
    <x v="2"/>
    <x v="3"/>
    <x v="9"/>
    <x v="5"/>
    <n v="18250.565825846577"/>
    <x v="0"/>
  </r>
  <r>
    <x v="30"/>
    <x v="2"/>
    <x v="128"/>
    <x v="0"/>
    <x v="2"/>
    <x v="3"/>
    <x v="9"/>
    <x v="6"/>
    <n v="17011.652587567729"/>
    <x v="0"/>
  </r>
  <r>
    <x v="30"/>
    <x v="2"/>
    <x v="128"/>
    <x v="0"/>
    <x v="2"/>
    <x v="3"/>
    <x v="9"/>
    <x v="7"/>
    <n v="0"/>
    <x v="0"/>
  </r>
  <r>
    <x v="30"/>
    <x v="2"/>
    <x v="128"/>
    <x v="0"/>
    <x v="2"/>
    <x v="3"/>
    <x v="9"/>
    <x v="8"/>
    <n v="0"/>
    <x v="0"/>
  </r>
  <r>
    <x v="30"/>
    <x v="2"/>
    <x v="128"/>
    <x v="0"/>
    <x v="2"/>
    <x v="3"/>
    <x v="9"/>
    <x v="9"/>
    <n v="0"/>
    <x v="0"/>
  </r>
  <r>
    <x v="30"/>
    <x v="2"/>
    <x v="128"/>
    <x v="0"/>
    <x v="2"/>
    <x v="3"/>
    <x v="9"/>
    <x v="10"/>
    <n v="0"/>
    <x v="0"/>
  </r>
  <r>
    <x v="30"/>
    <x v="2"/>
    <x v="128"/>
    <x v="0"/>
    <x v="2"/>
    <x v="3"/>
    <x v="9"/>
    <x v="11"/>
    <n v="0"/>
    <x v="0"/>
  </r>
  <r>
    <x v="30"/>
    <x v="2"/>
    <x v="129"/>
    <x v="0"/>
    <x v="2"/>
    <x v="3"/>
    <x v="9"/>
    <x v="0"/>
    <n v="0"/>
    <x v="0"/>
  </r>
  <r>
    <x v="30"/>
    <x v="2"/>
    <x v="129"/>
    <x v="0"/>
    <x v="2"/>
    <x v="3"/>
    <x v="9"/>
    <x v="1"/>
    <n v="0"/>
    <x v="0"/>
  </r>
  <r>
    <x v="30"/>
    <x v="2"/>
    <x v="129"/>
    <x v="0"/>
    <x v="2"/>
    <x v="3"/>
    <x v="9"/>
    <x v="2"/>
    <n v="0"/>
    <x v="0"/>
  </r>
  <r>
    <x v="30"/>
    <x v="2"/>
    <x v="129"/>
    <x v="0"/>
    <x v="2"/>
    <x v="3"/>
    <x v="9"/>
    <x v="3"/>
    <n v="0"/>
    <x v="0"/>
  </r>
  <r>
    <x v="30"/>
    <x v="2"/>
    <x v="129"/>
    <x v="0"/>
    <x v="2"/>
    <x v="3"/>
    <x v="9"/>
    <x v="4"/>
    <n v="0"/>
    <x v="0"/>
  </r>
  <r>
    <x v="30"/>
    <x v="2"/>
    <x v="129"/>
    <x v="0"/>
    <x v="2"/>
    <x v="3"/>
    <x v="9"/>
    <x v="5"/>
    <n v="49866.925103662747"/>
    <x v="0"/>
  </r>
  <r>
    <x v="30"/>
    <x v="2"/>
    <x v="129"/>
    <x v="0"/>
    <x v="2"/>
    <x v="3"/>
    <x v="9"/>
    <x v="6"/>
    <n v="847.49562694654219"/>
    <x v="0"/>
  </r>
  <r>
    <x v="30"/>
    <x v="2"/>
    <x v="129"/>
    <x v="0"/>
    <x v="2"/>
    <x v="3"/>
    <x v="9"/>
    <x v="7"/>
    <n v="0"/>
    <x v="0"/>
  </r>
  <r>
    <x v="30"/>
    <x v="2"/>
    <x v="129"/>
    <x v="0"/>
    <x v="2"/>
    <x v="3"/>
    <x v="9"/>
    <x v="8"/>
    <n v="0"/>
    <x v="0"/>
  </r>
  <r>
    <x v="30"/>
    <x v="2"/>
    <x v="129"/>
    <x v="0"/>
    <x v="2"/>
    <x v="3"/>
    <x v="9"/>
    <x v="9"/>
    <n v="0"/>
    <x v="0"/>
  </r>
  <r>
    <x v="30"/>
    <x v="2"/>
    <x v="129"/>
    <x v="0"/>
    <x v="2"/>
    <x v="3"/>
    <x v="9"/>
    <x v="10"/>
    <n v="0"/>
    <x v="0"/>
  </r>
  <r>
    <x v="30"/>
    <x v="2"/>
    <x v="129"/>
    <x v="0"/>
    <x v="2"/>
    <x v="3"/>
    <x v="9"/>
    <x v="11"/>
    <n v="0"/>
    <x v="0"/>
  </r>
  <r>
    <x v="30"/>
    <x v="1"/>
    <x v="130"/>
    <x v="2"/>
    <x v="2"/>
    <x v="3"/>
    <x v="0"/>
    <x v="0"/>
    <n v="0"/>
    <x v="0"/>
  </r>
  <r>
    <x v="30"/>
    <x v="1"/>
    <x v="130"/>
    <x v="2"/>
    <x v="2"/>
    <x v="3"/>
    <x v="0"/>
    <x v="1"/>
    <n v="0"/>
    <x v="0"/>
  </r>
  <r>
    <x v="30"/>
    <x v="1"/>
    <x v="130"/>
    <x v="2"/>
    <x v="2"/>
    <x v="3"/>
    <x v="0"/>
    <x v="2"/>
    <n v="0"/>
    <x v="0"/>
  </r>
  <r>
    <x v="30"/>
    <x v="1"/>
    <x v="130"/>
    <x v="2"/>
    <x v="2"/>
    <x v="3"/>
    <x v="0"/>
    <x v="3"/>
    <n v="0"/>
    <x v="0"/>
  </r>
  <r>
    <x v="30"/>
    <x v="1"/>
    <x v="130"/>
    <x v="2"/>
    <x v="2"/>
    <x v="3"/>
    <x v="0"/>
    <x v="4"/>
    <n v="914.87231446376438"/>
    <x v="0"/>
  </r>
  <r>
    <x v="30"/>
    <x v="1"/>
    <x v="130"/>
    <x v="2"/>
    <x v="2"/>
    <x v="3"/>
    <x v="0"/>
    <x v="5"/>
    <n v="0"/>
    <x v="0"/>
  </r>
  <r>
    <x v="30"/>
    <x v="1"/>
    <x v="130"/>
    <x v="2"/>
    <x v="2"/>
    <x v="3"/>
    <x v="0"/>
    <x v="6"/>
    <n v="0"/>
    <x v="0"/>
  </r>
  <r>
    <x v="30"/>
    <x v="1"/>
    <x v="130"/>
    <x v="2"/>
    <x v="2"/>
    <x v="3"/>
    <x v="0"/>
    <x v="7"/>
    <n v="0"/>
    <x v="0"/>
  </r>
  <r>
    <x v="30"/>
    <x v="1"/>
    <x v="130"/>
    <x v="2"/>
    <x v="2"/>
    <x v="3"/>
    <x v="0"/>
    <x v="8"/>
    <n v="0"/>
    <x v="0"/>
  </r>
  <r>
    <x v="30"/>
    <x v="1"/>
    <x v="130"/>
    <x v="2"/>
    <x v="2"/>
    <x v="3"/>
    <x v="0"/>
    <x v="9"/>
    <n v="0"/>
    <x v="0"/>
  </r>
  <r>
    <x v="30"/>
    <x v="1"/>
    <x v="130"/>
    <x v="2"/>
    <x v="2"/>
    <x v="3"/>
    <x v="0"/>
    <x v="10"/>
    <n v="0"/>
    <x v="0"/>
  </r>
  <r>
    <x v="30"/>
    <x v="1"/>
    <x v="130"/>
    <x v="2"/>
    <x v="2"/>
    <x v="3"/>
    <x v="0"/>
    <x v="11"/>
    <n v="0"/>
    <x v="0"/>
  </r>
  <r>
    <x v="30"/>
    <x v="2"/>
    <x v="131"/>
    <x v="2"/>
    <x v="2"/>
    <x v="3"/>
    <x v="0"/>
    <x v="0"/>
    <n v="0"/>
    <x v="0"/>
  </r>
  <r>
    <x v="30"/>
    <x v="2"/>
    <x v="131"/>
    <x v="2"/>
    <x v="2"/>
    <x v="3"/>
    <x v="0"/>
    <x v="1"/>
    <n v="0"/>
    <x v="0"/>
  </r>
  <r>
    <x v="30"/>
    <x v="2"/>
    <x v="131"/>
    <x v="2"/>
    <x v="2"/>
    <x v="3"/>
    <x v="0"/>
    <x v="2"/>
    <n v="0"/>
    <x v="0"/>
  </r>
  <r>
    <x v="30"/>
    <x v="2"/>
    <x v="131"/>
    <x v="2"/>
    <x v="2"/>
    <x v="3"/>
    <x v="0"/>
    <x v="3"/>
    <n v="0"/>
    <x v="0"/>
  </r>
  <r>
    <x v="30"/>
    <x v="2"/>
    <x v="131"/>
    <x v="2"/>
    <x v="2"/>
    <x v="3"/>
    <x v="0"/>
    <x v="4"/>
    <n v="22490.980302436048"/>
    <x v="0"/>
  </r>
  <r>
    <x v="30"/>
    <x v="2"/>
    <x v="131"/>
    <x v="2"/>
    <x v="2"/>
    <x v="3"/>
    <x v="0"/>
    <x v="5"/>
    <n v="0"/>
    <x v="0"/>
  </r>
  <r>
    <x v="30"/>
    <x v="2"/>
    <x v="131"/>
    <x v="2"/>
    <x v="2"/>
    <x v="3"/>
    <x v="0"/>
    <x v="6"/>
    <n v="0"/>
    <x v="0"/>
  </r>
  <r>
    <x v="30"/>
    <x v="2"/>
    <x v="131"/>
    <x v="2"/>
    <x v="2"/>
    <x v="3"/>
    <x v="0"/>
    <x v="7"/>
    <n v="0"/>
    <x v="0"/>
  </r>
  <r>
    <x v="30"/>
    <x v="2"/>
    <x v="131"/>
    <x v="2"/>
    <x v="2"/>
    <x v="3"/>
    <x v="0"/>
    <x v="8"/>
    <n v="0"/>
    <x v="0"/>
  </r>
  <r>
    <x v="30"/>
    <x v="2"/>
    <x v="131"/>
    <x v="2"/>
    <x v="2"/>
    <x v="3"/>
    <x v="0"/>
    <x v="9"/>
    <n v="0"/>
    <x v="0"/>
  </r>
  <r>
    <x v="30"/>
    <x v="2"/>
    <x v="131"/>
    <x v="2"/>
    <x v="2"/>
    <x v="3"/>
    <x v="0"/>
    <x v="10"/>
    <n v="26815.758542610129"/>
    <x v="0"/>
  </r>
  <r>
    <x v="30"/>
    <x v="2"/>
    <x v="131"/>
    <x v="2"/>
    <x v="2"/>
    <x v="3"/>
    <x v="0"/>
    <x v="11"/>
    <n v="13359.635989570601"/>
    <x v="0"/>
  </r>
  <r>
    <x v="30"/>
    <x v="0"/>
    <x v="132"/>
    <x v="1"/>
    <x v="3"/>
    <x v="12"/>
    <x v="0"/>
    <x v="0"/>
    <n v="0"/>
    <x v="0"/>
  </r>
  <r>
    <x v="30"/>
    <x v="0"/>
    <x v="132"/>
    <x v="1"/>
    <x v="3"/>
    <x v="12"/>
    <x v="0"/>
    <x v="1"/>
    <n v="0"/>
    <x v="0"/>
  </r>
  <r>
    <x v="30"/>
    <x v="0"/>
    <x v="132"/>
    <x v="1"/>
    <x v="3"/>
    <x v="12"/>
    <x v="0"/>
    <x v="2"/>
    <n v="0"/>
    <x v="0"/>
  </r>
  <r>
    <x v="30"/>
    <x v="0"/>
    <x v="132"/>
    <x v="1"/>
    <x v="3"/>
    <x v="12"/>
    <x v="0"/>
    <x v="3"/>
    <n v="225.01718499385507"/>
    <x v="0"/>
  </r>
  <r>
    <x v="30"/>
    <x v="0"/>
    <x v="132"/>
    <x v="1"/>
    <x v="3"/>
    <x v="12"/>
    <x v="0"/>
    <x v="4"/>
    <n v="0"/>
    <x v="0"/>
  </r>
  <r>
    <x v="30"/>
    <x v="0"/>
    <x v="132"/>
    <x v="1"/>
    <x v="3"/>
    <x v="12"/>
    <x v="0"/>
    <x v="5"/>
    <n v="0"/>
    <x v="0"/>
  </r>
  <r>
    <x v="30"/>
    <x v="0"/>
    <x v="132"/>
    <x v="1"/>
    <x v="3"/>
    <x v="12"/>
    <x v="0"/>
    <x v="6"/>
    <n v="0"/>
    <x v="0"/>
  </r>
  <r>
    <x v="30"/>
    <x v="0"/>
    <x v="132"/>
    <x v="1"/>
    <x v="3"/>
    <x v="12"/>
    <x v="0"/>
    <x v="7"/>
    <n v="0"/>
    <x v="0"/>
  </r>
  <r>
    <x v="30"/>
    <x v="0"/>
    <x v="132"/>
    <x v="1"/>
    <x v="3"/>
    <x v="12"/>
    <x v="0"/>
    <x v="8"/>
    <n v="0"/>
    <x v="0"/>
  </r>
  <r>
    <x v="30"/>
    <x v="0"/>
    <x v="132"/>
    <x v="1"/>
    <x v="3"/>
    <x v="12"/>
    <x v="0"/>
    <x v="9"/>
    <n v="0"/>
    <x v="0"/>
  </r>
  <r>
    <x v="30"/>
    <x v="0"/>
    <x v="132"/>
    <x v="1"/>
    <x v="3"/>
    <x v="12"/>
    <x v="0"/>
    <x v="10"/>
    <n v="0"/>
    <x v="0"/>
  </r>
  <r>
    <x v="30"/>
    <x v="0"/>
    <x v="132"/>
    <x v="1"/>
    <x v="3"/>
    <x v="12"/>
    <x v="0"/>
    <x v="11"/>
    <n v="186.31141530188216"/>
    <x v="0"/>
  </r>
  <r>
    <x v="30"/>
    <x v="0"/>
    <x v="133"/>
    <x v="1"/>
    <x v="3"/>
    <x v="12"/>
    <x v="0"/>
    <x v="0"/>
    <n v="225.20512340444279"/>
    <x v="0"/>
  </r>
  <r>
    <x v="30"/>
    <x v="0"/>
    <x v="133"/>
    <x v="1"/>
    <x v="3"/>
    <x v="12"/>
    <x v="0"/>
    <x v="1"/>
    <n v="0"/>
    <x v="0"/>
  </r>
  <r>
    <x v="30"/>
    <x v="0"/>
    <x v="133"/>
    <x v="1"/>
    <x v="3"/>
    <x v="12"/>
    <x v="0"/>
    <x v="2"/>
    <n v="0"/>
    <x v="0"/>
  </r>
  <r>
    <x v="30"/>
    <x v="0"/>
    <x v="133"/>
    <x v="1"/>
    <x v="3"/>
    <x v="12"/>
    <x v="0"/>
    <x v="3"/>
    <n v="55.773116420522008"/>
    <x v="0"/>
  </r>
  <r>
    <x v="30"/>
    <x v="0"/>
    <x v="133"/>
    <x v="1"/>
    <x v="3"/>
    <x v="12"/>
    <x v="0"/>
    <x v="4"/>
    <n v="0"/>
    <x v="0"/>
  </r>
  <r>
    <x v="30"/>
    <x v="0"/>
    <x v="133"/>
    <x v="1"/>
    <x v="3"/>
    <x v="12"/>
    <x v="0"/>
    <x v="5"/>
    <n v="141.96505701451278"/>
    <x v="0"/>
  </r>
  <r>
    <x v="30"/>
    <x v="0"/>
    <x v="133"/>
    <x v="1"/>
    <x v="3"/>
    <x v="12"/>
    <x v="0"/>
    <x v="6"/>
    <n v="0"/>
    <x v="0"/>
  </r>
  <r>
    <x v="30"/>
    <x v="0"/>
    <x v="133"/>
    <x v="1"/>
    <x v="3"/>
    <x v="12"/>
    <x v="0"/>
    <x v="7"/>
    <n v="0"/>
    <x v="0"/>
  </r>
  <r>
    <x v="30"/>
    <x v="0"/>
    <x v="133"/>
    <x v="1"/>
    <x v="3"/>
    <x v="12"/>
    <x v="0"/>
    <x v="8"/>
    <n v="0"/>
    <x v="0"/>
  </r>
  <r>
    <x v="30"/>
    <x v="0"/>
    <x v="133"/>
    <x v="1"/>
    <x v="3"/>
    <x v="12"/>
    <x v="0"/>
    <x v="9"/>
    <n v="0"/>
    <x v="0"/>
  </r>
  <r>
    <x v="30"/>
    <x v="0"/>
    <x v="133"/>
    <x v="1"/>
    <x v="3"/>
    <x v="12"/>
    <x v="0"/>
    <x v="10"/>
    <n v="0"/>
    <x v="0"/>
  </r>
  <r>
    <x v="30"/>
    <x v="0"/>
    <x v="133"/>
    <x v="1"/>
    <x v="3"/>
    <x v="12"/>
    <x v="0"/>
    <x v="11"/>
    <n v="0"/>
    <x v="0"/>
  </r>
  <r>
    <x v="30"/>
    <x v="0"/>
    <x v="134"/>
    <x v="1"/>
    <x v="3"/>
    <x v="12"/>
    <x v="0"/>
    <x v="0"/>
    <n v="0"/>
    <x v="0"/>
  </r>
  <r>
    <x v="30"/>
    <x v="0"/>
    <x v="134"/>
    <x v="1"/>
    <x v="3"/>
    <x v="12"/>
    <x v="0"/>
    <x v="1"/>
    <n v="0"/>
    <x v="0"/>
  </r>
  <r>
    <x v="30"/>
    <x v="0"/>
    <x v="134"/>
    <x v="1"/>
    <x v="3"/>
    <x v="12"/>
    <x v="0"/>
    <x v="2"/>
    <n v="0"/>
    <x v="0"/>
  </r>
  <r>
    <x v="30"/>
    <x v="0"/>
    <x v="134"/>
    <x v="1"/>
    <x v="3"/>
    <x v="12"/>
    <x v="0"/>
    <x v="3"/>
    <n v="630.85591684546"/>
    <x v="0"/>
  </r>
  <r>
    <x v="30"/>
    <x v="0"/>
    <x v="134"/>
    <x v="1"/>
    <x v="3"/>
    <x v="12"/>
    <x v="0"/>
    <x v="4"/>
    <n v="0"/>
    <x v="0"/>
  </r>
  <r>
    <x v="30"/>
    <x v="0"/>
    <x v="134"/>
    <x v="1"/>
    <x v="3"/>
    <x v="12"/>
    <x v="0"/>
    <x v="5"/>
    <n v="0"/>
    <x v="0"/>
  </r>
  <r>
    <x v="30"/>
    <x v="0"/>
    <x v="134"/>
    <x v="1"/>
    <x v="3"/>
    <x v="12"/>
    <x v="0"/>
    <x v="6"/>
    <n v="0"/>
    <x v="0"/>
  </r>
  <r>
    <x v="30"/>
    <x v="0"/>
    <x v="134"/>
    <x v="1"/>
    <x v="3"/>
    <x v="12"/>
    <x v="0"/>
    <x v="7"/>
    <n v="0"/>
    <x v="0"/>
  </r>
  <r>
    <x v="30"/>
    <x v="0"/>
    <x v="134"/>
    <x v="1"/>
    <x v="3"/>
    <x v="12"/>
    <x v="0"/>
    <x v="8"/>
    <n v="0"/>
    <x v="0"/>
  </r>
  <r>
    <x v="30"/>
    <x v="0"/>
    <x v="134"/>
    <x v="1"/>
    <x v="3"/>
    <x v="12"/>
    <x v="0"/>
    <x v="9"/>
    <n v="0"/>
    <x v="0"/>
  </r>
  <r>
    <x v="30"/>
    <x v="0"/>
    <x v="134"/>
    <x v="1"/>
    <x v="3"/>
    <x v="12"/>
    <x v="0"/>
    <x v="10"/>
    <n v="0"/>
    <x v="0"/>
  </r>
  <r>
    <x v="30"/>
    <x v="0"/>
    <x v="134"/>
    <x v="1"/>
    <x v="3"/>
    <x v="12"/>
    <x v="0"/>
    <x v="11"/>
    <n v="0"/>
    <x v="0"/>
  </r>
  <r>
    <x v="30"/>
    <x v="0"/>
    <x v="135"/>
    <x v="1"/>
    <x v="3"/>
    <x v="12"/>
    <x v="0"/>
    <x v="0"/>
    <n v="0"/>
    <x v="0"/>
  </r>
  <r>
    <x v="30"/>
    <x v="0"/>
    <x v="135"/>
    <x v="1"/>
    <x v="3"/>
    <x v="12"/>
    <x v="0"/>
    <x v="1"/>
    <n v="0"/>
    <x v="0"/>
  </r>
  <r>
    <x v="30"/>
    <x v="0"/>
    <x v="135"/>
    <x v="1"/>
    <x v="3"/>
    <x v="12"/>
    <x v="0"/>
    <x v="2"/>
    <n v="0"/>
    <x v="0"/>
  </r>
  <r>
    <x v="30"/>
    <x v="0"/>
    <x v="135"/>
    <x v="1"/>
    <x v="3"/>
    <x v="12"/>
    <x v="0"/>
    <x v="3"/>
    <n v="457.79261357718667"/>
    <x v="0"/>
  </r>
  <r>
    <x v="30"/>
    <x v="0"/>
    <x v="135"/>
    <x v="1"/>
    <x v="3"/>
    <x v="12"/>
    <x v="0"/>
    <x v="4"/>
    <n v="0"/>
    <x v="0"/>
  </r>
  <r>
    <x v="30"/>
    <x v="0"/>
    <x v="135"/>
    <x v="1"/>
    <x v="3"/>
    <x v="12"/>
    <x v="0"/>
    <x v="5"/>
    <n v="0"/>
    <x v="0"/>
  </r>
  <r>
    <x v="30"/>
    <x v="0"/>
    <x v="135"/>
    <x v="1"/>
    <x v="3"/>
    <x v="12"/>
    <x v="0"/>
    <x v="6"/>
    <n v="0"/>
    <x v="0"/>
  </r>
  <r>
    <x v="30"/>
    <x v="0"/>
    <x v="135"/>
    <x v="1"/>
    <x v="3"/>
    <x v="12"/>
    <x v="0"/>
    <x v="7"/>
    <n v="0"/>
    <x v="0"/>
  </r>
  <r>
    <x v="30"/>
    <x v="0"/>
    <x v="135"/>
    <x v="1"/>
    <x v="3"/>
    <x v="12"/>
    <x v="0"/>
    <x v="8"/>
    <n v="0"/>
    <x v="0"/>
  </r>
  <r>
    <x v="30"/>
    <x v="0"/>
    <x v="135"/>
    <x v="1"/>
    <x v="3"/>
    <x v="12"/>
    <x v="0"/>
    <x v="9"/>
    <n v="0"/>
    <x v="0"/>
  </r>
  <r>
    <x v="30"/>
    <x v="0"/>
    <x v="135"/>
    <x v="1"/>
    <x v="3"/>
    <x v="12"/>
    <x v="0"/>
    <x v="10"/>
    <n v="0"/>
    <x v="0"/>
  </r>
  <r>
    <x v="30"/>
    <x v="0"/>
    <x v="135"/>
    <x v="1"/>
    <x v="3"/>
    <x v="12"/>
    <x v="0"/>
    <x v="11"/>
    <n v="0"/>
    <x v="0"/>
  </r>
  <r>
    <x v="30"/>
    <x v="0"/>
    <x v="136"/>
    <x v="1"/>
    <x v="3"/>
    <x v="12"/>
    <x v="0"/>
    <x v="0"/>
    <n v="0"/>
    <x v="0"/>
  </r>
  <r>
    <x v="30"/>
    <x v="0"/>
    <x v="136"/>
    <x v="1"/>
    <x v="3"/>
    <x v="12"/>
    <x v="0"/>
    <x v="1"/>
    <n v="0"/>
    <x v="0"/>
  </r>
  <r>
    <x v="30"/>
    <x v="0"/>
    <x v="136"/>
    <x v="1"/>
    <x v="3"/>
    <x v="12"/>
    <x v="0"/>
    <x v="2"/>
    <n v="0"/>
    <x v="0"/>
  </r>
  <r>
    <x v="30"/>
    <x v="0"/>
    <x v="136"/>
    <x v="1"/>
    <x v="3"/>
    <x v="12"/>
    <x v="0"/>
    <x v="3"/>
    <n v="0"/>
    <x v="0"/>
  </r>
  <r>
    <x v="30"/>
    <x v="0"/>
    <x v="136"/>
    <x v="1"/>
    <x v="3"/>
    <x v="12"/>
    <x v="0"/>
    <x v="4"/>
    <n v="0"/>
    <x v="0"/>
  </r>
  <r>
    <x v="30"/>
    <x v="0"/>
    <x v="136"/>
    <x v="1"/>
    <x v="3"/>
    <x v="12"/>
    <x v="0"/>
    <x v="5"/>
    <n v="0"/>
    <x v="0"/>
  </r>
  <r>
    <x v="30"/>
    <x v="0"/>
    <x v="136"/>
    <x v="1"/>
    <x v="3"/>
    <x v="12"/>
    <x v="0"/>
    <x v="6"/>
    <n v="0"/>
    <x v="0"/>
  </r>
  <r>
    <x v="30"/>
    <x v="0"/>
    <x v="136"/>
    <x v="1"/>
    <x v="3"/>
    <x v="12"/>
    <x v="0"/>
    <x v="7"/>
    <n v="0"/>
    <x v="0"/>
  </r>
  <r>
    <x v="30"/>
    <x v="0"/>
    <x v="136"/>
    <x v="1"/>
    <x v="3"/>
    <x v="12"/>
    <x v="0"/>
    <x v="8"/>
    <n v="0"/>
    <x v="0"/>
  </r>
  <r>
    <x v="30"/>
    <x v="0"/>
    <x v="136"/>
    <x v="1"/>
    <x v="3"/>
    <x v="12"/>
    <x v="0"/>
    <x v="9"/>
    <n v="0"/>
    <x v="0"/>
  </r>
  <r>
    <x v="30"/>
    <x v="0"/>
    <x v="136"/>
    <x v="1"/>
    <x v="3"/>
    <x v="12"/>
    <x v="0"/>
    <x v="10"/>
    <n v="0"/>
    <x v="0"/>
  </r>
  <r>
    <x v="30"/>
    <x v="0"/>
    <x v="136"/>
    <x v="1"/>
    <x v="3"/>
    <x v="12"/>
    <x v="0"/>
    <x v="11"/>
    <n v="0"/>
    <x v="0"/>
  </r>
  <r>
    <x v="30"/>
    <x v="0"/>
    <x v="137"/>
    <x v="1"/>
    <x v="3"/>
    <x v="12"/>
    <x v="0"/>
    <x v="0"/>
    <n v="561.68019471580078"/>
    <x v="0"/>
  </r>
  <r>
    <x v="30"/>
    <x v="0"/>
    <x v="137"/>
    <x v="1"/>
    <x v="3"/>
    <x v="12"/>
    <x v="0"/>
    <x v="1"/>
    <n v="0"/>
    <x v="0"/>
  </r>
  <r>
    <x v="30"/>
    <x v="0"/>
    <x v="137"/>
    <x v="1"/>
    <x v="3"/>
    <x v="12"/>
    <x v="0"/>
    <x v="2"/>
    <n v="0"/>
    <x v="0"/>
  </r>
  <r>
    <x v="30"/>
    <x v="0"/>
    <x v="137"/>
    <x v="1"/>
    <x v="3"/>
    <x v="12"/>
    <x v="0"/>
    <x v="3"/>
    <n v="0"/>
    <x v="0"/>
  </r>
  <r>
    <x v="30"/>
    <x v="0"/>
    <x v="137"/>
    <x v="1"/>
    <x v="3"/>
    <x v="12"/>
    <x v="0"/>
    <x v="4"/>
    <n v="0"/>
    <x v="0"/>
  </r>
  <r>
    <x v="30"/>
    <x v="0"/>
    <x v="137"/>
    <x v="1"/>
    <x v="3"/>
    <x v="12"/>
    <x v="0"/>
    <x v="5"/>
    <n v="0"/>
    <x v="0"/>
  </r>
  <r>
    <x v="30"/>
    <x v="0"/>
    <x v="137"/>
    <x v="1"/>
    <x v="3"/>
    <x v="12"/>
    <x v="0"/>
    <x v="6"/>
    <n v="0"/>
    <x v="0"/>
  </r>
  <r>
    <x v="30"/>
    <x v="0"/>
    <x v="137"/>
    <x v="1"/>
    <x v="3"/>
    <x v="12"/>
    <x v="0"/>
    <x v="7"/>
    <n v="0"/>
    <x v="0"/>
  </r>
  <r>
    <x v="30"/>
    <x v="0"/>
    <x v="137"/>
    <x v="1"/>
    <x v="3"/>
    <x v="12"/>
    <x v="0"/>
    <x v="8"/>
    <n v="0"/>
    <x v="0"/>
  </r>
  <r>
    <x v="30"/>
    <x v="0"/>
    <x v="137"/>
    <x v="1"/>
    <x v="3"/>
    <x v="12"/>
    <x v="0"/>
    <x v="9"/>
    <n v="0"/>
    <x v="0"/>
  </r>
  <r>
    <x v="30"/>
    <x v="0"/>
    <x v="137"/>
    <x v="1"/>
    <x v="3"/>
    <x v="12"/>
    <x v="0"/>
    <x v="10"/>
    <n v="0"/>
    <x v="0"/>
  </r>
  <r>
    <x v="30"/>
    <x v="0"/>
    <x v="137"/>
    <x v="1"/>
    <x v="3"/>
    <x v="12"/>
    <x v="0"/>
    <x v="11"/>
    <n v="0"/>
    <x v="0"/>
  </r>
  <r>
    <x v="30"/>
    <x v="0"/>
    <x v="138"/>
    <x v="0"/>
    <x v="3"/>
    <x v="11"/>
    <x v="0"/>
    <x v="0"/>
    <n v="1408.330488221236"/>
    <x v="0"/>
  </r>
  <r>
    <x v="30"/>
    <x v="0"/>
    <x v="138"/>
    <x v="0"/>
    <x v="3"/>
    <x v="11"/>
    <x v="0"/>
    <x v="1"/>
    <n v="0"/>
    <x v="0"/>
  </r>
  <r>
    <x v="30"/>
    <x v="0"/>
    <x v="138"/>
    <x v="0"/>
    <x v="3"/>
    <x v="11"/>
    <x v="0"/>
    <x v="2"/>
    <n v="0"/>
    <x v="0"/>
  </r>
  <r>
    <x v="30"/>
    <x v="0"/>
    <x v="138"/>
    <x v="0"/>
    <x v="3"/>
    <x v="11"/>
    <x v="0"/>
    <x v="3"/>
    <n v="0"/>
    <x v="0"/>
  </r>
  <r>
    <x v="30"/>
    <x v="0"/>
    <x v="138"/>
    <x v="0"/>
    <x v="3"/>
    <x v="11"/>
    <x v="0"/>
    <x v="4"/>
    <n v="0"/>
    <x v="0"/>
  </r>
  <r>
    <x v="30"/>
    <x v="0"/>
    <x v="138"/>
    <x v="0"/>
    <x v="3"/>
    <x v="11"/>
    <x v="0"/>
    <x v="5"/>
    <n v="0"/>
    <x v="0"/>
  </r>
  <r>
    <x v="30"/>
    <x v="0"/>
    <x v="138"/>
    <x v="0"/>
    <x v="3"/>
    <x v="11"/>
    <x v="0"/>
    <x v="6"/>
    <n v="1459.0863518068177"/>
    <x v="0"/>
  </r>
  <r>
    <x v="30"/>
    <x v="0"/>
    <x v="138"/>
    <x v="0"/>
    <x v="3"/>
    <x v="11"/>
    <x v="0"/>
    <x v="7"/>
    <n v="0"/>
    <x v="0"/>
  </r>
  <r>
    <x v="30"/>
    <x v="0"/>
    <x v="138"/>
    <x v="0"/>
    <x v="3"/>
    <x v="11"/>
    <x v="0"/>
    <x v="8"/>
    <n v="0"/>
    <x v="0"/>
  </r>
  <r>
    <x v="30"/>
    <x v="0"/>
    <x v="138"/>
    <x v="0"/>
    <x v="3"/>
    <x v="11"/>
    <x v="0"/>
    <x v="9"/>
    <n v="1398.8391642839551"/>
    <x v="0"/>
  </r>
  <r>
    <x v="30"/>
    <x v="0"/>
    <x v="138"/>
    <x v="0"/>
    <x v="3"/>
    <x v="11"/>
    <x v="0"/>
    <x v="10"/>
    <n v="0"/>
    <x v="0"/>
  </r>
  <r>
    <x v="30"/>
    <x v="0"/>
    <x v="138"/>
    <x v="0"/>
    <x v="3"/>
    <x v="11"/>
    <x v="0"/>
    <x v="11"/>
    <n v="6000.9777560498651"/>
    <x v="0"/>
  </r>
  <r>
    <x v="30"/>
    <x v="1"/>
    <x v="139"/>
    <x v="1"/>
    <x v="3"/>
    <x v="13"/>
    <x v="0"/>
    <x v="0"/>
    <n v="0"/>
    <x v="0"/>
  </r>
  <r>
    <x v="30"/>
    <x v="1"/>
    <x v="139"/>
    <x v="1"/>
    <x v="3"/>
    <x v="13"/>
    <x v="0"/>
    <x v="1"/>
    <n v="648.98800132857252"/>
    <x v="0"/>
  </r>
  <r>
    <x v="30"/>
    <x v="1"/>
    <x v="139"/>
    <x v="1"/>
    <x v="3"/>
    <x v="13"/>
    <x v="0"/>
    <x v="2"/>
    <n v="0"/>
    <x v="0"/>
  </r>
  <r>
    <x v="30"/>
    <x v="1"/>
    <x v="139"/>
    <x v="1"/>
    <x v="3"/>
    <x v="13"/>
    <x v="0"/>
    <x v="3"/>
    <n v="0"/>
    <x v="0"/>
  </r>
  <r>
    <x v="30"/>
    <x v="1"/>
    <x v="139"/>
    <x v="1"/>
    <x v="3"/>
    <x v="13"/>
    <x v="0"/>
    <x v="4"/>
    <n v="0"/>
    <x v="0"/>
  </r>
  <r>
    <x v="30"/>
    <x v="1"/>
    <x v="139"/>
    <x v="1"/>
    <x v="3"/>
    <x v="13"/>
    <x v="0"/>
    <x v="5"/>
    <n v="0"/>
    <x v="0"/>
  </r>
  <r>
    <x v="30"/>
    <x v="1"/>
    <x v="139"/>
    <x v="1"/>
    <x v="3"/>
    <x v="13"/>
    <x v="0"/>
    <x v="6"/>
    <n v="0"/>
    <x v="0"/>
  </r>
  <r>
    <x v="30"/>
    <x v="1"/>
    <x v="139"/>
    <x v="1"/>
    <x v="3"/>
    <x v="13"/>
    <x v="0"/>
    <x v="7"/>
    <n v="0"/>
    <x v="0"/>
  </r>
  <r>
    <x v="30"/>
    <x v="1"/>
    <x v="139"/>
    <x v="1"/>
    <x v="3"/>
    <x v="13"/>
    <x v="0"/>
    <x v="8"/>
    <n v="0"/>
    <x v="0"/>
  </r>
  <r>
    <x v="30"/>
    <x v="1"/>
    <x v="139"/>
    <x v="1"/>
    <x v="3"/>
    <x v="13"/>
    <x v="0"/>
    <x v="9"/>
    <n v="0"/>
    <x v="0"/>
  </r>
  <r>
    <x v="30"/>
    <x v="1"/>
    <x v="139"/>
    <x v="1"/>
    <x v="3"/>
    <x v="13"/>
    <x v="0"/>
    <x v="10"/>
    <n v="0"/>
    <x v="0"/>
  </r>
  <r>
    <x v="30"/>
    <x v="1"/>
    <x v="139"/>
    <x v="1"/>
    <x v="3"/>
    <x v="13"/>
    <x v="0"/>
    <x v="11"/>
    <n v="0"/>
    <x v="0"/>
  </r>
  <r>
    <x v="30"/>
    <x v="1"/>
    <x v="140"/>
    <x v="0"/>
    <x v="4"/>
    <x v="14"/>
    <x v="1"/>
    <x v="0"/>
    <n v="759.28038855053467"/>
    <x v="0"/>
  </r>
  <r>
    <x v="30"/>
    <x v="1"/>
    <x v="140"/>
    <x v="0"/>
    <x v="4"/>
    <x v="14"/>
    <x v="1"/>
    <x v="1"/>
    <n v="0"/>
    <x v="0"/>
  </r>
  <r>
    <x v="30"/>
    <x v="1"/>
    <x v="140"/>
    <x v="0"/>
    <x v="4"/>
    <x v="14"/>
    <x v="1"/>
    <x v="2"/>
    <n v="0"/>
    <x v="0"/>
  </r>
  <r>
    <x v="30"/>
    <x v="1"/>
    <x v="140"/>
    <x v="0"/>
    <x v="4"/>
    <x v="14"/>
    <x v="1"/>
    <x v="3"/>
    <n v="0"/>
    <x v="0"/>
  </r>
  <r>
    <x v="30"/>
    <x v="1"/>
    <x v="140"/>
    <x v="0"/>
    <x v="4"/>
    <x v="14"/>
    <x v="1"/>
    <x v="4"/>
    <n v="0"/>
    <x v="0"/>
  </r>
  <r>
    <x v="30"/>
    <x v="1"/>
    <x v="140"/>
    <x v="0"/>
    <x v="4"/>
    <x v="14"/>
    <x v="1"/>
    <x v="5"/>
    <n v="1344.3385020732549"/>
    <x v="0"/>
  </r>
  <r>
    <x v="30"/>
    <x v="1"/>
    <x v="140"/>
    <x v="0"/>
    <x v="4"/>
    <x v="14"/>
    <x v="1"/>
    <x v="6"/>
    <n v="0"/>
    <x v="0"/>
  </r>
  <r>
    <x v="30"/>
    <x v="1"/>
    <x v="140"/>
    <x v="0"/>
    <x v="4"/>
    <x v="14"/>
    <x v="1"/>
    <x v="7"/>
    <n v="0"/>
    <x v="0"/>
  </r>
  <r>
    <x v="30"/>
    <x v="1"/>
    <x v="140"/>
    <x v="0"/>
    <x v="4"/>
    <x v="14"/>
    <x v="1"/>
    <x v="8"/>
    <n v="0"/>
    <x v="0"/>
  </r>
  <r>
    <x v="30"/>
    <x v="1"/>
    <x v="140"/>
    <x v="0"/>
    <x v="4"/>
    <x v="14"/>
    <x v="1"/>
    <x v="9"/>
    <n v="230.94419635686063"/>
    <x v="0"/>
  </r>
  <r>
    <x v="30"/>
    <x v="1"/>
    <x v="140"/>
    <x v="0"/>
    <x v="4"/>
    <x v="14"/>
    <x v="1"/>
    <x v="10"/>
    <n v="106.59633594071634"/>
    <x v="0"/>
  </r>
  <r>
    <x v="30"/>
    <x v="1"/>
    <x v="140"/>
    <x v="0"/>
    <x v="4"/>
    <x v="14"/>
    <x v="1"/>
    <x v="11"/>
    <n v="0"/>
    <x v="0"/>
  </r>
  <r>
    <x v="30"/>
    <x v="1"/>
    <x v="141"/>
    <x v="1"/>
    <x v="4"/>
    <x v="5"/>
    <x v="0"/>
    <x v="0"/>
    <n v="0"/>
    <x v="0"/>
  </r>
  <r>
    <x v="30"/>
    <x v="1"/>
    <x v="141"/>
    <x v="1"/>
    <x v="4"/>
    <x v="5"/>
    <x v="0"/>
    <x v="1"/>
    <n v="0"/>
    <x v="0"/>
  </r>
  <r>
    <x v="30"/>
    <x v="1"/>
    <x v="141"/>
    <x v="1"/>
    <x v="4"/>
    <x v="5"/>
    <x v="0"/>
    <x v="2"/>
    <n v="0"/>
    <x v="0"/>
  </r>
  <r>
    <x v="30"/>
    <x v="1"/>
    <x v="141"/>
    <x v="1"/>
    <x v="4"/>
    <x v="5"/>
    <x v="0"/>
    <x v="3"/>
    <n v="0"/>
    <x v="0"/>
  </r>
  <r>
    <x v="30"/>
    <x v="1"/>
    <x v="141"/>
    <x v="1"/>
    <x v="4"/>
    <x v="5"/>
    <x v="0"/>
    <x v="4"/>
    <n v="0"/>
    <x v="0"/>
  </r>
  <r>
    <x v="30"/>
    <x v="1"/>
    <x v="141"/>
    <x v="1"/>
    <x v="4"/>
    <x v="5"/>
    <x v="0"/>
    <x v="5"/>
    <n v="0"/>
    <x v="0"/>
  </r>
  <r>
    <x v="30"/>
    <x v="1"/>
    <x v="141"/>
    <x v="1"/>
    <x v="4"/>
    <x v="5"/>
    <x v="0"/>
    <x v="6"/>
    <n v="7784.4351294850467"/>
    <x v="0"/>
  </r>
  <r>
    <x v="30"/>
    <x v="1"/>
    <x v="141"/>
    <x v="1"/>
    <x v="4"/>
    <x v="5"/>
    <x v="0"/>
    <x v="7"/>
    <n v="0"/>
    <x v="0"/>
  </r>
  <r>
    <x v="30"/>
    <x v="1"/>
    <x v="141"/>
    <x v="1"/>
    <x v="4"/>
    <x v="5"/>
    <x v="0"/>
    <x v="8"/>
    <n v="0"/>
    <x v="0"/>
  </r>
  <r>
    <x v="30"/>
    <x v="1"/>
    <x v="141"/>
    <x v="1"/>
    <x v="4"/>
    <x v="5"/>
    <x v="0"/>
    <x v="9"/>
    <n v="3080.564568809501"/>
    <x v="0"/>
  </r>
  <r>
    <x v="30"/>
    <x v="1"/>
    <x v="141"/>
    <x v="1"/>
    <x v="4"/>
    <x v="5"/>
    <x v="0"/>
    <x v="10"/>
    <n v="0"/>
    <x v="0"/>
  </r>
  <r>
    <x v="30"/>
    <x v="1"/>
    <x v="141"/>
    <x v="1"/>
    <x v="4"/>
    <x v="5"/>
    <x v="0"/>
    <x v="11"/>
    <n v="0"/>
    <x v="0"/>
  </r>
  <r>
    <x v="30"/>
    <x v="1"/>
    <x v="142"/>
    <x v="1"/>
    <x v="6"/>
    <x v="14"/>
    <x v="0"/>
    <x v="0"/>
    <n v="228.87697001068292"/>
    <x v="0"/>
  </r>
  <r>
    <x v="30"/>
    <x v="1"/>
    <x v="142"/>
    <x v="1"/>
    <x v="6"/>
    <x v="14"/>
    <x v="0"/>
    <x v="1"/>
    <n v="0"/>
    <x v="0"/>
  </r>
  <r>
    <x v="30"/>
    <x v="1"/>
    <x v="142"/>
    <x v="1"/>
    <x v="6"/>
    <x v="14"/>
    <x v="0"/>
    <x v="2"/>
    <n v="0"/>
    <x v="0"/>
  </r>
  <r>
    <x v="30"/>
    <x v="1"/>
    <x v="142"/>
    <x v="1"/>
    <x v="6"/>
    <x v="14"/>
    <x v="0"/>
    <x v="3"/>
    <n v="0"/>
    <x v="0"/>
  </r>
  <r>
    <x v="30"/>
    <x v="1"/>
    <x v="142"/>
    <x v="1"/>
    <x v="6"/>
    <x v="14"/>
    <x v="0"/>
    <x v="4"/>
    <n v="0"/>
    <x v="0"/>
  </r>
  <r>
    <x v="30"/>
    <x v="1"/>
    <x v="142"/>
    <x v="1"/>
    <x v="6"/>
    <x v="14"/>
    <x v="0"/>
    <x v="5"/>
    <n v="0"/>
    <x v="0"/>
  </r>
  <r>
    <x v="30"/>
    <x v="1"/>
    <x v="142"/>
    <x v="1"/>
    <x v="6"/>
    <x v="14"/>
    <x v="0"/>
    <x v="6"/>
    <n v="0"/>
    <x v="0"/>
  </r>
  <r>
    <x v="30"/>
    <x v="1"/>
    <x v="142"/>
    <x v="1"/>
    <x v="6"/>
    <x v="14"/>
    <x v="0"/>
    <x v="7"/>
    <n v="0"/>
    <x v="0"/>
  </r>
  <r>
    <x v="30"/>
    <x v="1"/>
    <x v="142"/>
    <x v="1"/>
    <x v="6"/>
    <x v="14"/>
    <x v="0"/>
    <x v="8"/>
    <n v="0"/>
    <x v="0"/>
  </r>
  <r>
    <x v="30"/>
    <x v="1"/>
    <x v="142"/>
    <x v="1"/>
    <x v="6"/>
    <x v="14"/>
    <x v="0"/>
    <x v="9"/>
    <n v="0"/>
    <x v="0"/>
  </r>
  <r>
    <x v="30"/>
    <x v="1"/>
    <x v="142"/>
    <x v="1"/>
    <x v="6"/>
    <x v="14"/>
    <x v="0"/>
    <x v="10"/>
    <n v="0"/>
    <x v="0"/>
  </r>
  <r>
    <x v="30"/>
    <x v="1"/>
    <x v="142"/>
    <x v="1"/>
    <x v="6"/>
    <x v="14"/>
    <x v="0"/>
    <x v="11"/>
    <n v="167.54664711154567"/>
    <x v="0"/>
  </r>
  <r>
    <x v="30"/>
    <x v="1"/>
    <x v="143"/>
    <x v="1"/>
    <x v="4"/>
    <x v="14"/>
    <x v="0"/>
    <x v="0"/>
    <n v="251.01708168592165"/>
    <x v="0"/>
  </r>
  <r>
    <x v="30"/>
    <x v="1"/>
    <x v="143"/>
    <x v="1"/>
    <x v="4"/>
    <x v="14"/>
    <x v="0"/>
    <x v="1"/>
    <n v="0"/>
    <x v="0"/>
  </r>
  <r>
    <x v="30"/>
    <x v="1"/>
    <x v="143"/>
    <x v="1"/>
    <x v="4"/>
    <x v="14"/>
    <x v="0"/>
    <x v="2"/>
    <n v="0"/>
    <x v="0"/>
  </r>
  <r>
    <x v="30"/>
    <x v="1"/>
    <x v="143"/>
    <x v="1"/>
    <x v="4"/>
    <x v="14"/>
    <x v="0"/>
    <x v="3"/>
    <n v="2195.1569562772097"/>
    <x v="0"/>
  </r>
  <r>
    <x v="30"/>
    <x v="1"/>
    <x v="143"/>
    <x v="1"/>
    <x v="4"/>
    <x v="14"/>
    <x v="0"/>
    <x v="4"/>
    <n v="0"/>
    <x v="0"/>
  </r>
  <r>
    <x v="30"/>
    <x v="1"/>
    <x v="143"/>
    <x v="1"/>
    <x v="4"/>
    <x v="14"/>
    <x v="0"/>
    <x v="5"/>
    <n v="0"/>
    <x v="0"/>
  </r>
  <r>
    <x v="30"/>
    <x v="1"/>
    <x v="143"/>
    <x v="1"/>
    <x v="4"/>
    <x v="14"/>
    <x v="0"/>
    <x v="6"/>
    <n v="0"/>
    <x v="0"/>
  </r>
  <r>
    <x v="30"/>
    <x v="1"/>
    <x v="143"/>
    <x v="1"/>
    <x v="4"/>
    <x v="14"/>
    <x v="0"/>
    <x v="7"/>
    <n v="0"/>
    <x v="0"/>
  </r>
  <r>
    <x v="30"/>
    <x v="1"/>
    <x v="143"/>
    <x v="1"/>
    <x v="4"/>
    <x v="14"/>
    <x v="0"/>
    <x v="8"/>
    <n v="0"/>
    <x v="0"/>
  </r>
  <r>
    <x v="30"/>
    <x v="1"/>
    <x v="143"/>
    <x v="1"/>
    <x v="4"/>
    <x v="14"/>
    <x v="0"/>
    <x v="9"/>
    <n v="0"/>
    <x v="0"/>
  </r>
  <r>
    <x v="30"/>
    <x v="1"/>
    <x v="143"/>
    <x v="1"/>
    <x v="4"/>
    <x v="14"/>
    <x v="0"/>
    <x v="10"/>
    <n v="0"/>
    <x v="0"/>
  </r>
  <r>
    <x v="30"/>
    <x v="1"/>
    <x v="143"/>
    <x v="1"/>
    <x v="4"/>
    <x v="14"/>
    <x v="0"/>
    <x v="11"/>
    <n v="0"/>
    <x v="0"/>
  </r>
  <r>
    <x v="30"/>
    <x v="1"/>
    <x v="144"/>
    <x v="0"/>
    <x v="4"/>
    <x v="14"/>
    <x v="10"/>
    <x v="0"/>
    <n v="71.040429960682388"/>
    <x v="0"/>
  </r>
  <r>
    <x v="30"/>
    <x v="1"/>
    <x v="144"/>
    <x v="0"/>
    <x v="4"/>
    <x v="14"/>
    <x v="10"/>
    <x v="1"/>
    <n v="0"/>
    <x v="0"/>
  </r>
  <r>
    <x v="30"/>
    <x v="1"/>
    <x v="144"/>
    <x v="0"/>
    <x v="4"/>
    <x v="14"/>
    <x v="10"/>
    <x v="2"/>
    <n v="0"/>
    <x v="0"/>
  </r>
  <r>
    <x v="30"/>
    <x v="1"/>
    <x v="144"/>
    <x v="0"/>
    <x v="4"/>
    <x v="14"/>
    <x v="10"/>
    <x v="3"/>
    <n v="0"/>
    <x v="0"/>
  </r>
  <r>
    <x v="30"/>
    <x v="1"/>
    <x v="144"/>
    <x v="0"/>
    <x v="4"/>
    <x v="14"/>
    <x v="10"/>
    <x v="4"/>
    <n v="0"/>
    <x v="0"/>
  </r>
  <r>
    <x v="30"/>
    <x v="1"/>
    <x v="144"/>
    <x v="0"/>
    <x v="4"/>
    <x v="14"/>
    <x v="10"/>
    <x v="5"/>
    <n v="0"/>
    <x v="0"/>
  </r>
  <r>
    <x v="30"/>
    <x v="1"/>
    <x v="144"/>
    <x v="0"/>
    <x v="4"/>
    <x v="14"/>
    <x v="10"/>
    <x v="6"/>
    <n v="0"/>
    <x v="0"/>
  </r>
  <r>
    <x v="30"/>
    <x v="1"/>
    <x v="144"/>
    <x v="0"/>
    <x v="4"/>
    <x v="14"/>
    <x v="10"/>
    <x v="7"/>
    <n v="0"/>
    <x v="0"/>
  </r>
  <r>
    <x v="30"/>
    <x v="1"/>
    <x v="144"/>
    <x v="0"/>
    <x v="4"/>
    <x v="14"/>
    <x v="10"/>
    <x v="8"/>
    <n v="0"/>
    <x v="0"/>
  </r>
  <r>
    <x v="30"/>
    <x v="1"/>
    <x v="144"/>
    <x v="0"/>
    <x v="4"/>
    <x v="14"/>
    <x v="10"/>
    <x v="9"/>
    <n v="0"/>
    <x v="0"/>
  </r>
  <r>
    <x v="30"/>
    <x v="1"/>
    <x v="144"/>
    <x v="0"/>
    <x v="4"/>
    <x v="14"/>
    <x v="10"/>
    <x v="10"/>
    <n v="0"/>
    <x v="0"/>
  </r>
  <r>
    <x v="30"/>
    <x v="1"/>
    <x v="144"/>
    <x v="0"/>
    <x v="4"/>
    <x v="14"/>
    <x v="10"/>
    <x v="11"/>
    <n v="0"/>
    <x v="0"/>
  </r>
  <r>
    <x v="30"/>
    <x v="1"/>
    <x v="145"/>
    <x v="1"/>
    <x v="1"/>
    <x v="14"/>
    <x v="0"/>
    <x v="0"/>
    <n v="91.344618332801019"/>
    <x v="0"/>
  </r>
  <r>
    <x v="30"/>
    <x v="1"/>
    <x v="145"/>
    <x v="1"/>
    <x v="1"/>
    <x v="14"/>
    <x v="0"/>
    <x v="1"/>
    <n v="0"/>
    <x v="0"/>
  </r>
  <r>
    <x v="30"/>
    <x v="1"/>
    <x v="145"/>
    <x v="1"/>
    <x v="1"/>
    <x v="14"/>
    <x v="0"/>
    <x v="2"/>
    <n v="0"/>
    <x v="0"/>
  </r>
  <r>
    <x v="30"/>
    <x v="1"/>
    <x v="145"/>
    <x v="1"/>
    <x v="1"/>
    <x v="14"/>
    <x v="0"/>
    <x v="3"/>
    <n v="0"/>
    <x v="0"/>
  </r>
  <r>
    <x v="30"/>
    <x v="1"/>
    <x v="145"/>
    <x v="1"/>
    <x v="1"/>
    <x v="14"/>
    <x v="0"/>
    <x v="4"/>
    <n v="0"/>
    <x v="0"/>
  </r>
  <r>
    <x v="30"/>
    <x v="1"/>
    <x v="145"/>
    <x v="1"/>
    <x v="1"/>
    <x v="14"/>
    <x v="0"/>
    <x v="5"/>
    <n v="0"/>
    <x v="0"/>
  </r>
  <r>
    <x v="30"/>
    <x v="1"/>
    <x v="145"/>
    <x v="1"/>
    <x v="1"/>
    <x v="14"/>
    <x v="0"/>
    <x v="6"/>
    <n v="0"/>
    <x v="0"/>
  </r>
  <r>
    <x v="30"/>
    <x v="1"/>
    <x v="145"/>
    <x v="1"/>
    <x v="1"/>
    <x v="14"/>
    <x v="0"/>
    <x v="7"/>
    <n v="0"/>
    <x v="0"/>
  </r>
  <r>
    <x v="30"/>
    <x v="1"/>
    <x v="145"/>
    <x v="1"/>
    <x v="1"/>
    <x v="14"/>
    <x v="0"/>
    <x v="8"/>
    <n v="0"/>
    <x v="0"/>
  </r>
  <r>
    <x v="30"/>
    <x v="1"/>
    <x v="145"/>
    <x v="1"/>
    <x v="1"/>
    <x v="14"/>
    <x v="0"/>
    <x v="9"/>
    <n v="0"/>
    <x v="0"/>
  </r>
  <r>
    <x v="30"/>
    <x v="1"/>
    <x v="145"/>
    <x v="1"/>
    <x v="1"/>
    <x v="14"/>
    <x v="0"/>
    <x v="10"/>
    <n v="0"/>
    <x v="0"/>
  </r>
  <r>
    <x v="30"/>
    <x v="1"/>
    <x v="145"/>
    <x v="1"/>
    <x v="1"/>
    <x v="14"/>
    <x v="0"/>
    <x v="11"/>
    <n v="0"/>
    <x v="0"/>
  </r>
  <r>
    <x v="30"/>
    <x v="1"/>
    <x v="146"/>
    <x v="0"/>
    <x v="4"/>
    <x v="14"/>
    <x v="10"/>
    <x v="0"/>
    <n v="0"/>
    <x v="0"/>
  </r>
  <r>
    <x v="30"/>
    <x v="1"/>
    <x v="146"/>
    <x v="0"/>
    <x v="4"/>
    <x v="14"/>
    <x v="10"/>
    <x v="1"/>
    <n v="86.540936643693428"/>
    <x v="0"/>
  </r>
  <r>
    <x v="30"/>
    <x v="1"/>
    <x v="146"/>
    <x v="0"/>
    <x v="4"/>
    <x v="14"/>
    <x v="10"/>
    <x v="2"/>
    <n v="171.902926864546"/>
    <x v="0"/>
  </r>
  <r>
    <x v="30"/>
    <x v="1"/>
    <x v="146"/>
    <x v="0"/>
    <x v="4"/>
    <x v="14"/>
    <x v="10"/>
    <x v="3"/>
    <n v="0"/>
    <x v="0"/>
  </r>
  <r>
    <x v="30"/>
    <x v="1"/>
    <x v="146"/>
    <x v="0"/>
    <x v="4"/>
    <x v="14"/>
    <x v="10"/>
    <x v="4"/>
    <n v="0"/>
    <x v="0"/>
  </r>
  <r>
    <x v="30"/>
    <x v="1"/>
    <x v="146"/>
    <x v="0"/>
    <x v="4"/>
    <x v="14"/>
    <x v="10"/>
    <x v="5"/>
    <n v="0"/>
    <x v="0"/>
  </r>
  <r>
    <x v="30"/>
    <x v="1"/>
    <x v="146"/>
    <x v="0"/>
    <x v="4"/>
    <x v="14"/>
    <x v="10"/>
    <x v="6"/>
    <n v="0"/>
    <x v="0"/>
  </r>
  <r>
    <x v="30"/>
    <x v="1"/>
    <x v="146"/>
    <x v="0"/>
    <x v="4"/>
    <x v="14"/>
    <x v="10"/>
    <x v="7"/>
    <n v="0"/>
    <x v="0"/>
  </r>
  <r>
    <x v="30"/>
    <x v="1"/>
    <x v="146"/>
    <x v="0"/>
    <x v="4"/>
    <x v="14"/>
    <x v="10"/>
    <x v="8"/>
    <n v="0"/>
    <x v="0"/>
  </r>
  <r>
    <x v="30"/>
    <x v="1"/>
    <x v="146"/>
    <x v="0"/>
    <x v="4"/>
    <x v="14"/>
    <x v="10"/>
    <x v="9"/>
    <n v="0"/>
    <x v="0"/>
  </r>
  <r>
    <x v="30"/>
    <x v="1"/>
    <x v="146"/>
    <x v="0"/>
    <x v="4"/>
    <x v="14"/>
    <x v="10"/>
    <x v="10"/>
    <n v="0"/>
    <x v="0"/>
  </r>
  <r>
    <x v="30"/>
    <x v="1"/>
    <x v="146"/>
    <x v="0"/>
    <x v="4"/>
    <x v="14"/>
    <x v="10"/>
    <x v="11"/>
    <n v="0"/>
    <x v="0"/>
  </r>
  <r>
    <x v="30"/>
    <x v="1"/>
    <x v="147"/>
    <x v="0"/>
    <x v="4"/>
    <x v="14"/>
    <x v="14"/>
    <x v="0"/>
    <n v="0"/>
    <x v="0"/>
  </r>
  <r>
    <x v="30"/>
    <x v="1"/>
    <x v="147"/>
    <x v="0"/>
    <x v="4"/>
    <x v="14"/>
    <x v="14"/>
    <x v="1"/>
    <n v="0"/>
    <x v="0"/>
  </r>
  <r>
    <x v="30"/>
    <x v="1"/>
    <x v="147"/>
    <x v="0"/>
    <x v="4"/>
    <x v="14"/>
    <x v="14"/>
    <x v="2"/>
    <n v="0"/>
    <x v="0"/>
  </r>
  <r>
    <x v="30"/>
    <x v="1"/>
    <x v="147"/>
    <x v="0"/>
    <x v="4"/>
    <x v="14"/>
    <x v="14"/>
    <x v="3"/>
    <n v="0"/>
    <x v="0"/>
  </r>
  <r>
    <x v="30"/>
    <x v="1"/>
    <x v="147"/>
    <x v="0"/>
    <x v="4"/>
    <x v="14"/>
    <x v="14"/>
    <x v="4"/>
    <n v="1392.4913932104414"/>
    <x v="0"/>
  </r>
  <r>
    <x v="30"/>
    <x v="1"/>
    <x v="147"/>
    <x v="0"/>
    <x v="4"/>
    <x v="14"/>
    <x v="14"/>
    <x v="5"/>
    <n v="0"/>
    <x v="0"/>
  </r>
  <r>
    <x v="30"/>
    <x v="1"/>
    <x v="147"/>
    <x v="0"/>
    <x v="4"/>
    <x v="14"/>
    <x v="14"/>
    <x v="6"/>
    <n v="0"/>
    <x v="0"/>
  </r>
  <r>
    <x v="30"/>
    <x v="1"/>
    <x v="147"/>
    <x v="0"/>
    <x v="4"/>
    <x v="14"/>
    <x v="14"/>
    <x v="7"/>
    <n v="598.11270029035381"/>
    <x v="0"/>
  </r>
  <r>
    <x v="30"/>
    <x v="1"/>
    <x v="147"/>
    <x v="0"/>
    <x v="4"/>
    <x v="14"/>
    <x v="14"/>
    <x v="8"/>
    <n v="0"/>
    <x v="0"/>
  </r>
  <r>
    <x v="30"/>
    <x v="1"/>
    <x v="147"/>
    <x v="0"/>
    <x v="4"/>
    <x v="14"/>
    <x v="14"/>
    <x v="9"/>
    <n v="564.89435752454995"/>
    <x v="0"/>
  </r>
  <r>
    <x v="30"/>
    <x v="1"/>
    <x v="147"/>
    <x v="0"/>
    <x v="4"/>
    <x v="14"/>
    <x v="14"/>
    <x v="10"/>
    <n v="0"/>
    <x v="0"/>
  </r>
  <r>
    <x v="30"/>
    <x v="1"/>
    <x v="147"/>
    <x v="0"/>
    <x v="4"/>
    <x v="14"/>
    <x v="14"/>
    <x v="11"/>
    <n v="0"/>
    <x v="0"/>
  </r>
  <r>
    <x v="23"/>
    <x v="1"/>
    <x v="148"/>
    <x v="0"/>
    <x v="4"/>
    <x v="15"/>
    <x v="0"/>
    <x v="0"/>
    <n v="0"/>
    <x v="0"/>
  </r>
  <r>
    <x v="23"/>
    <x v="1"/>
    <x v="148"/>
    <x v="0"/>
    <x v="4"/>
    <x v="15"/>
    <x v="0"/>
    <x v="1"/>
    <n v="0"/>
    <x v="0"/>
  </r>
  <r>
    <x v="23"/>
    <x v="1"/>
    <x v="148"/>
    <x v="0"/>
    <x v="4"/>
    <x v="15"/>
    <x v="0"/>
    <x v="2"/>
    <n v="0"/>
    <x v="0"/>
  </r>
  <r>
    <x v="23"/>
    <x v="1"/>
    <x v="148"/>
    <x v="0"/>
    <x v="4"/>
    <x v="15"/>
    <x v="0"/>
    <x v="3"/>
    <n v="0"/>
    <x v="0"/>
  </r>
  <r>
    <x v="23"/>
    <x v="1"/>
    <x v="148"/>
    <x v="0"/>
    <x v="4"/>
    <x v="15"/>
    <x v="0"/>
    <x v="4"/>
    <n v="0"/>
    <x v="0"/>
  </r>
  <r>
    <x v="23"/>
    <x v="1"/>
    <x v="148"/>
    <x v="0"/>
    <x v="4"/>
    <x v="15"/>
    <x v="0"/>
    <x v="5"/>
    <n v="0"/>
    <x v="0"/>
  </r>
  <r>
    <x v="23"/>
    <x v="1"/>
    <x v="148"/>
    <x v="0"/>
    <x v="4"/>
    <x v="15"/>
    <x v="0"/>
    <x v="6"/>
    <n v="245.85093220700543"/>
    <x v="0"/>
  </r>
  <r>
    <x v="23"/>
    <x v="1"/>
    <x v="148"/>
    <x v="0"/>
    <x v="4"/>
    <x v="15"/>
    <x v="0"/>
    <x v="7"/>
    <n v="0"/>
    <x v="0"/>
  </r>
  <r>
    <x v="23"/>
    <x v="1"/>
    <x v="148"/>
    <x v="0"/>
    <x v="4"/>
    <x v="15"/>
    <x v="0"/>
    <x v="8"/>
    <n v="0"/>
    <x v="0"/>
  </r>
  <r>
    <x v="23"/>
    <x v="1"/>
    <x v="148"/>
    <x v="0"/>
    <x v="4"/>
    <x v="15"/>
    <x v="0"/>
    <x v="9"/>
    <n v="12.850579882417195"/>
    <x v="0"/>
  </r>
  <r>
    <x v="23"/>
    <x v="1"/>
    <x v="148"/>
    <x v="0"/>
    <x v="4"/>
    <x v="15"/>
    <x v="0"/>
    <x v="10"/>
    <n v="0"/>
    <x v="0"/>
  </r>
  <r>
    <x v="23"/>
    <x v="1"/>
    <x v="148"/>
    <x v="0"/>
    <x v="4"/>
    <x v="15"/>
    <x v="0"/>
    <x v="11"/>
    <n v="0"/>
    <x v="0"/>
  </r>
  <r>
    <x v="30"/>
    <x v="1"/>
    <x v="146"/>
    <x v="0"/>
    <x v="4"/>
    <x v="14"/>
    <x v="10"/>
    <x v="0"/>
    <n v="0"/>
    <x v="0"/>
  </r>
  <r>
    <x v="30"/>
    <x v="1"/>
    <x v="146"/>
    <x v="0"/>
    <x v="4"/>
    <x v="14"/>
    <x v="10"/>
    <x v="1"/>
    <n v="0"/>
    <x v="0"/>
  </r>
  <r>
    <x v="30"/>
    <x v="1"/>
    <x v="146"/>
    <x v="0"/>
    <x v="4"/>
    <x v="14"/>
    <x v="10"/>
    <x v="2"/>
    <n v="0"/>
    <x v="0"/>
  </r>
  <r>
    <x v="30"/>
    <x v="1"/>
    <x v="146"/>
    <x v="0"/>
    <x v="4"/>
    <x v="14"/>
    <x v="10"/>
    <x v="3"/>
    <n v="0"/>
    <x v="0"/>
  </r>
  <r>
    <x v="30"/>
    <x v="1"/>
    <x v="146"/>
    <x v="0"/>
    <x v="4"/>
    <x v="14"/>
    <x v="10"/>
    <x v="4"/>
    <n v="0"/>
    <x v="0"/>
  </r>
  <r>
    <x v="30"/>
    <x v="1"/>
    <x v="146"/>
    <x v="0"/>
    <x v="4"/>
    <x v="14"/>
    <x v="10"/>
    <x v="5"/>
    <n v="0"/>
    <x v="0"/>
  </r>
  <r>
    <x v="30"/>
    <x v="1"/>
    <x v="146"/>
    <x v="0"/>
    <x v="4"/>
    <x v="14"/>
    <x v="10"/>
    <x v="6"/>
    <n v="0"/>
    <x v="0"/>
  </r>
  <r>
    <x v="30"/>
    <x v="1"/>
    <x v="146"/>
    <x v="0"/>
    <x v="4"/>
    <x v="14"/>
    <x v="10"/>
    <x v="7"/>
    <n v="0"/>
    <x v="0"/>
  </r>
  <r>
    <x v="30"/>
    <x v="1"/>
    <x v="146"/>
    <x v="0"/>
    <x v="4"/>
    <x v="14"/>
    <x v="10"/>
    <x v="8"/>
    <n v="0"/>
    <x v="0"/>
  </r>
  <r>
    <x v="30"/>
    <x v="1"/>
    <x v="146"/>
    <x v="0"/>
    <x v="4"/>
    <x v="14"/>
    <x v="10"/>
    <x v="9"/>
    <n v="0"/>
    <x v="0"/>
  </r>
  <r>
    <x v="30"/>
    <x v="1"/>
    <x v="146"/>
    <x v="0"/>
    <x v="4"/>
    <x v="14"/>
    <x v="10"/>
    <x v="10"/>
    <n v="0"/>
    <x v="0"/>
  </r>
  <r>
    <x v="30"/>
    <x v="1"/>
    <x v="146"/>
    <x v="0"/>
    <x v="4"/>
    <x v="14"/>
    <x v="10"/>
    <x v="11"/>
    <n v="0"/>
    <x v="0"/>
  </r>
  <r>
    <x v="30"/>
    <x v="1"/>
    <x v="149"/>
    <x v="0"/>
    <x v="4"/>
    <x v="14"/>
    <x v="15"/>
    <x v="0"/>
    <n v="0"/>
    <x v="0"/>
  </r>
  <r>
    <x v="30"/>
    <x v="1"/>
    <x v="149"/>
    <x v="0"/>
    <x v="4"/>
    <x v="14"/>
    <x v="15"/>
    <x v="1"/>
    <n v="0"/>
    <x v="0"/>
  </r>
  <r>
    <x v="30"/>
    <x v="1"/>
    <x v="149"/>
    <x v="0"/>
    <x v="4"/>
    <x v="14"/>
    <x v="15"/>
    <x v="2"/>
    <n v="0"/>
    <x v="0"/>
  </r>
  <r>
    <x v="30"/>
    <x v="1"/>
    <x v="149"/>
    <x v="0"/>
    <x v="4"/>
    <x v="14"/>
    <x v="15"/>
    <x v="3"/>
    <n v="2083.0295581894306"/>
    <x v="0"/>
  </r>
  <r>
    <x v="30"/>
    <x v="1"/>
    <x v="149"/>
    <x v="0"/>
    <x v="4"/>
    <x v="14"/>
    <x v="15"/>
    <x v="4"/>
    <n v="0"/>
    <x v="0"/>
  </r>
  <r>
    <x v="30"/>
    <x v="1"/>
    <x v="149"/>
    <x v="0"/>
    <x v="4"/>
    <x v="14"/>
    <x v="15"/>
    <x v="5"/>
    <n v="0"/>
    <x v="0"/>
  </r>
  <r>
    <x v="30"/>
    <x v="1"/>
    <x v="149"/>
    <x v="0"/>
    <x v="4"/>
    <x v="14"/>
    <x v="15"/>
    <x v="6"/>
    <n v="0"/>
    <x v="0"/>
  </r>
  <r>
    <x v="30"/>
    <x v="1"/>
    <x v="149"/>
    <x v="0"/>
    <x v="4"/>
    <x v="14"/>
    <x v="15"/>
    <x v="7"/>
    <n v="0"/>
    <x v="0"/>
  </r>
  <r>
    <x v="30"/>
    <x v="1"/>
    <x v="149"/>
    <x v="0"/>
    <x v="4"/>
    <x v="14"/>
    <x v="15"/>
    <x v="8"/>
    <n v="0"/>
    <x v="0"/>
  </r>
  <r>
    <x v="30"/>
    <x v="1"/>
    <x v="149"/>
    <x v="0"/>
    <x v="4"/>
    <x v="14"/>
    <x v="15"/>
    <x v="9"/>
    <n v="0"/>
    <x v="0"/>
  </r>
  <r>
    <x v="30"/>
    <x v="1"/>
    <x v="149"/>
    <x v="0"/>
    <x v="4"/>
    <x v="14"/>
    <x v="15"/>
    <x v="10"/>
    <n v="34.076780568135035"/>
    <x v="0"/>
  </r>
  <r>
    <x v="30"/>
    <x v="1"/>
    <x v="149"/>
    <x v="0"/>
    <x v="4"/>
    <x v="14"/>
    <x v="15"/>
    <x v="11"/>
    <n v="0"/>
    <x v="0"/>
  </r>
  <r>
    <x v="30"/>
    <x v="1"/>
    <x v="150"/>
    <x v="0"/>
    <x v="4"/>
    <x v="14"/>
    <x v="10"/>
    <x v="0"/>
    <n v="0"/>
    <x v="0"/>
  </r>
  <r>
    <x v="30"/>
    <x v="1"/>
    <x v="150"/>
    <x v="0"/>
    <x v="4"/>
    <x v="14"/>
    <x v="10"/>
    <x v="1"/>
    <n v="0"/>
    <x v="0"/>
  </r>
  <r>
    <x v="30"/>
    <x v="1"/>
    <x v="150"/>
    <x v="0"/>
    <x v="4"/>
    <x v="14"/>
    <x v="10"/>
    <x v="2"/>
    <n v="0"/>
    <x v="0"/>
  </r>
  <r>
    <x v="30"/>
    <x v="1"/>
    <x v="150"/>
    <x v="0"/>
    <x v="4"/>
    <x v="14"/>
    <x v="10"/>
    <x v="3"/>
    <n v="802.06532380694478"/>
    <x v="0"/>
  </r>
  <r>
    <x v="30"/>
    <x v="1"/>
    <x v="150"/>
    <x v="0"/>
    <x v="4"/>
    <x v="14"/>
    <x v="10"/>
    <x v="4"/>
    <n v="436.76297555235976"/>
    <x v="0"/>
  </r>
  <r>
    <x v="30"/>
    <x v="1"/>
    <x v="150"/>
    <x v="0"/>
    <x v="4"/>
    <x v="14"/>
    <x v="10"/>
    <x v="5"/>
    <n v="0"/>
    <x v="0"/>
  </r>
  <r>
    <x v="30"/>
    <x v="1"/>
    <x v="150"/>
    <x v="0"/>
    <x v="4"/>
    <x v="14"/>
    <x v="10"/>
    <x v="6"/>
    <n v="0"/>
    <x v="0"/>
  </r>
  <r>
    <x v="30"/>
    <x v="1"/>
    <x v="150"/>
    <x v="0"/>
    <x v="4"/>
    <x v="14"/>
    <x v="10"/>
    <x v="7"/>
    <n v="0"/>
    <x v="0"/>
  </r>
  <r>
    <x v="30"/>
    <x v="1"/>
    <x v="150"/>
    <x v="0"/>
    <x v="4"/>
    <x v="14"/>
    <x v="10"/>
    <x v="8"/>
    <n v="0"/>
    <x v="0"/>
  </r>
  <r>
    <x v="30"/>
    <x v="1"/>
    <x v="150"/>
    <x v="0"/>
    <x v="4"/>
    <x v="14"/>
    <x v="10"/>
    <x v="9"/>
    <n v="0"/>
    <x v="0"/>
  </r>
  <r>
    <x v="30"/>
    <x v="1"/>
    <x v="150"/>
    <x v="0"/>
    <x v="4"/>
    <x v="14"/>
    <x v="10"/>
    <x v="10"/>
    <n v="0"/>
    <x v="0"/>
  </r>
  <r>
    <x v="30"/>
    <x v="1"/>
    <x v="150"/>
    <x v="0"/>
    <x v="4"/>
    <x v="14"/>
    <x v="10"/>
    <x v="11"/>
    <n v="0"/>
    <x v="0"/>
  </r>
  <r>
    <x v="30"/>
    <x v="1"/>
    <x v="151"/>
    <x v="0"/>
    <x v="4"/>
    <x v="14"/>
    <x v="13"/>
    <x v="0"/>
    <n v="0"/>
    <x v="0"/>
  </r>
  <r>
    <x v="30"/>
    <x v="1"/>
    <x v="151"/>
    <x v="0"/>
    <x v="4"/>
    <x v="14"/>
    <x v="13"/>
    <x v="1"/>
    <n v="0"/>
    <x v="0"/>
  </r>
  <r>
    <x v="30"/>
    <x v="1"/>
    <x v="151"/>
    <x v="0"/>
    <x v="4"/>
    <x v="14"/>
    <x v="13"/>
    <x v="2"/>
    <n v="0"/>
    <x v="0"/>
  </r>
  <r>
    <x v="30"/>
    <x v="1"/>
    <x v="151"/>
    <x v="0"/>
    <x v="4"/>
    <x v="14"/>
    <x v="13"/>
    <x v="3"/>
    <n v="1704.4274793259317"/>
    <x v="0"/>
  </r>
  <r>
    <x v="30"/>
    <x v="1"/>
    <x v="151"/>
    <x v="0"/>
    <x v="4"/>
    <x v="14"/>
    <x v="13"/>
    <x v="4"/>
    <n v="0"/>
    <x v="0"/>
  </r>
  <r>
    <x v="30"/>
    <x v="1"/>
    <x v="151"/>
    <x v="0"/>
    <x v="4"/>
    <x v="14"/>
    <x v="13"/>
    <x v="5"/>
    <n v="0"/>
    <x v="0"/>
  </r>
  <r>
    <x v="30"/>
    <x v="1"/>
    <x v="151"/>
    <x v="0"/>
    <x v="4"/>
    <x v="14"/>
    <x v="13"/>
    <x v="6"/>
    <n v="0"/>
    <x v="0"/>
  </r>
  <r>
    <x v="30"/>
    <x v="1"/>
    <x v="151"/>
    <x v="0"/>
    <x v="4"/>
    <x v="14"/>
    <x v="13"/>
    <x v="7"/>
    <n v="0"/>
    <x v="0"/>
  </r>
  <r>
    <x v="30"/>
    <x v="1"/>
    <x v="151"/>
    <x v="0"/>
    <x v="4"/>
    <x v="14"/>
    <x v="13"/>
    <x v="8"/>
    <n v="0"/>
    <x v="0"/>
  </r>
  <r>
    <x v="30"/>
    <x v="1"/>
    <x v="151"/>
    <x v="0"/>
    <x v="4"/>
    <x v="14"/>
    <x v="13"/>
    <x v="9"/>
    <n v="0"/>
    <x v="0"/>
  </r>
  <r>
    <x v="30"/>
    <x v="1"/>
    <x v="151"/>
    <x v="0"/>
    <x v="4"/>
    <x v="14"/>
    <x v="13"/>
    <x v="10"/>
    <n v="0"/>
    <x v="0"/>
  </r>
  <r>
    <x v="30"/>
    <x v="1"/>
    <x v="151"/>
    <x v="0"/>
    <x v="4"/>
    <x v="14"/>
    <x v="13"/>
    <x v="11"/>
    <n v="0"/>
    <x v="0"/>
  </r>
  <r>
    <x v="30"/>
    <x v="1"/>
    <x v="152"/>
    <x v="0"/>
    <x v="4"/>
    <x v="14"/>
    <x v="14"/>
    <x v="0"/>
    <n v="0"/>
    <x v="0"/>
  </r>
  <r>
    <x v="30"/>
    <x v="1"/>
    <x v="152"/>
    <x v="0"/>
    <x v="4"/>
    <x v="14"/>
    <x v="14"/>
    <x v="1"/>
    <n v="0"/>
    <x v="0"/>
  </r>
  <r>
    <x v="30"/>
    <x v="1"/>
    <x v="152"/>
    <x v="0"/>
    <x v="4"/>
    <x v="14"/>
    <x v="14"/>
    <x v="2"/>
    <n v="0"/>
    <x v="0"/>
  </r>
  <r>
    <x v="30"/>
    <x v="1"/>
    <x v="152"/>
    <x v="0"/>
    <x v="4"/>
    <x v="14"/>
    <x v="14"/>
    <x v="3"/>
    <n v="934.21063594892416"/>
    <x v="0"/>
  </r>
  <r>
    <x v="30"/>
    <x v="1"/>
    <x v="152"/>
    <x v="0"/>
    <x v="4"/>
    <x v="14"/>
    <x v="14"/>
    <x v="4"/>
    <n v="0"/>
    <x v="0"/>
  </r>
  <r>
    <x v="30"/>
    <x v="1"/>
    <x v="152"/>
    <x v="0"/>
    <x v="4"/>
    <x v="14"/>
    <x v="14"/>
    <x v="5"/>
    <n v="0"/>
    <x v="0"/>
  </r>
  <r>
    <x v="30"/>
    <x v="1"/>
    <x v="152"/>
    <x v="0"/>
    <x v="4"/>
    <x v="14"/>
    <x v="14"/>
    <x v="6"/>
    <n v="0"/>
    <x v="0"/>
  </r>
  <r>
    <x v="30"/>
    <x v="1"/>
    <x v="152"/>
    <x v="0"/>
    <x v="4"/>
    <x v="14"/>
    <x v="14"/>
    <x v="7"/>
    <n v="0"/>
    <x v="0"/>
  </r>
  <r>
    <x v="30"/>
    <x v="1"/>
    <x v="152"/>
    <x v="0"/>
    <x v="4"/>
    <x v="14"/>
    <x v="14"/>
    <x v="8"/>
    <n v="0"/>
    <x v="0"/>
  </r>
  <r>
    <x v="30"/>
    <x v="1"/>
    <x v="152"/>
    <x v="0"/>
    <x v="4"/>
    <x v="14"/>
    <x v="14"/>
    <x v="9"/>
    <n v="0"/>
    <x v="0"/>
  </r>
  <r>
    <x v="30"/>
    <x v="1"/>
    <x v="152"/>
    <x v="0"/>
    <x v="4"/>
    <x v="14"/>
    <x v="14"/>
    <x v="10"/>
    <n v="0"/>
    <x v="0"/>
  </r>
  <r>
    <x v="30"/>
    <x v="1"/>
    <x v="152"/>
    <x v="0"/>
    <x v="4"/>
    <x v="14"/>
    <x v="14"/>
    <x v="11"/>
    <n v="0"/>
    <x v="0"/>
  </r>
  <r>
    <x v="30"/>
    <x v="1"/>
    <x v="153"/>
    <x v="0"/>
    <x v="4"/>
    <x v="14"/>
    <x v="0"/>
    <x v="0"/>
    <n v="0"/>
    <x v="0"/>
  </r>
  <r>
    <x v="30"/>
    <x v="1"/>
    <x v="153"/>
    <x v="0"/>
    <x v="4"/>
    <x v="14"/>
    <x v="0"/>
    <x v="1"/>
    <n v="0"/>
    <x v="0"/>
  </r>
  <r>
    <x v="30"/>
    <x v="1"/>
    <x v="153"/>
    <x v="0"/>
    <x v="4"/>
    <x v="14"/>
    <x v="0"/>
    <x v="2"/>
    <n v="0"/>
    <x v="0"/>
  </r>
  <r>
    <x v="30"/>
    <x v="1"/>
    <x v="153"/>
    <x v="0"/>
    <x v="4"/>
    <x v="14"/>
    <x v="0"/>
    <x v="3"/>
    <n v="0"/>
    <x v="0"/>
  </r>
  <r>
    <x v="30"/>
    <x v="1"/>
    <x v="153"/>
    <x v="0"/>
    <x v="4"/>
    <x v="14"/>
    <x v="0"/>
    <x v="4"/>
    <n v="0"/>
    <x v="0"/>
  </r>
  <r>
    <x v="30"/>
    <x v="1"/>
    <x v="153"/>
    <x v="0"/>
    <x v="4"/>
    <x v="14"/>
    <x v="0"/>
    <x v="5"/>
    <n v="0"/>
    <x v="0"/>
  </r>
  <r>
    <x v="30"/>
    <x v="1"/>
    <x v="153"/>
    <x v="0"/>
    <x v="4"/>
    <x v="14"/>
    <x v="0"/>
    <x v="6"/>
    <n v="0"/>
    <x v="0"/>
  </r>
  <r>
    <x v="30"/>
    <x v="1"/>
    <x v="153"/>
    <x v="0"/>
    <x v="4"/>
    <x v="14"/>
    <x v="0"/>
    <x v="7"/>
    <n v="1277.2018496612538"/>
    <x v="0"/>
  </r>
  <r>
    <x v="30"/>
    <x v="1"/>
    <x v="153"/>
    <x v="0"/>
    <x v="4"/>
    <x v="14"/>
    <x v="0"/>
    <x v="8"/>
    <n v="39.500761166474128"/>
    <x v="0"/>
  </r>
  <r>
    <x v="30"/>
    <x v="1"/>
    <x v="153"/>
    <x v="0"/>
    <x v="4"/>
    <x v="14"/>
    <x v="0"/>
    <x v="9"/>
    <n v="92.194343603088427"/>
    <x v="0"/>
  </r>
  <r>
    <x v="30"/>
    <x v="1"/>
    <x v="153"/>
    <x v="0"/>
    <x v="4"/>
    <x v="14"/>
    <x v="0"/>
    <x v="10"/>
    <n v="0"/>
    <x v="0"/>
  </r>
  <r>
    <x v="30"/>
    <x v="1"/>
    <x v="153"/>
    <x v="0"/>
    <x v="4"/>
    <x v="14"/>
    <x v="0"/>
    <x v="11"/>
    <n v="0"/>
    <x v="0"/>
  </r>
  <r>
    <x v="30"/>
    <x v="1"/>
    <x v="154"/>
    <x v="0"/>
    <x v="4"/>
    <x v="14"/>
    <x v="16"/>
    <x v="0"/>
    <n v="0"/>
    <x v="0"/>
  </r>
  <r>
    <x v="30"/>
    <x v="1"/>
    <x v="154"/>
    <x v="0"/>
    <x v="4"/>
    <x v="14"/>
    <x v="16"/>
    <x v="1"/>
    <n v="0"/>
    <x v="0"/>
  </r>
  <r>
    <x v="30"/>
    <x v="1"/>
    <x v="154"/>
    <x v="0"/>
    <x v="4"/>
    <x v="14"/>
    <x v="16"/>
    <x v="2"/>
    <n v="0"/>
    <x v="0"/>
  </r>
  <r>
    <x v="30"/>
    <x v="1"/>
    <x v="154"/>
    <x v="0"/>
    <x v="4"/>
    <x v="14"/>
    <x v="16"/>
    <x v="3"/>
    <n v="0"/>
    <x v="0"/>
  </r>
  <r>
    <x v="30"/>
    <x v="1"/>
    <x v="154"/>
    <x v="0"/>
    <x v="4"/>
    <x v="14"/>
    <x v="16"/>
    <x v="4"/>
    <n v="0"/>
    <x v="0"/>
  </r>
  <r>
    <x v="30"/>
    <x v="1"/>
    <x v="154"/>
    <x v="0"/>
    <x v="4"/>
    <x v="14"/>
    <x v="16"/>
    <x v="5"/>
    <n v="0"/>
    <x v="0"/>
  </r>
  <r>
    <x v="30"/>
    <x v="1"/>
    <x v="154"/>
    <x v="0"/>
    <x v="4"/>
    <x v="14"/>
    <x v="16"/>
    <x v="6"/>
    <n v="0"/>
    <x v="0"/>
  </r>
  <r>
    <x v="30"/>
    <x v="1"/>
    <x v="154"/>
    <x v="0"/>
    <x v="4"/>
    <x v="14"/>
    <x v="16"/>
    <x v="7"/>
    <n v="0"/>
    <x v="0"/>
  </r>
  <r>
    <x v="30"/>
    <x v="1"/>
    <x v="154"/>
    <x v="0"/>
    <x v="4"/>
    <x v="14"/>
    <x v="16"/>
    <x v="8"/>
    <n v="0"/>
    <x v="0"/>
  </r>
  <r>
    <x v="30"/>
    <x v="1"/>
    <x v="154"/>
    <x v="0"/>
    <x v="4"/>
    <x v="14"/>
    <x v="16"/>
    <x v="9"/>
    <n v="0"/>
    <x v="0"/>
  </r>
  <r>
    <x v="30"/>
    <x v="1"/>
    <x v="154"/>
    <x v="0"/>
    <x v="4"/>
    <x v="14"/>
    <x v="16"/>
    <x v="10"/>
    <n v="0"/>
    <x v="0"/>
  </r>
  <r>
    <x v="30"/>
    <x v="1"/>
    <x v="154"/>
    <x v="0"/>
    <x v="4"/>
    <x v="14"/>
    <x v="16"/>
    <x v="11"/>
    <n v="0"/>
    <x v="0"/>
  </r>
  <r>
    <x v="30"/>
    <x v="1"/>
    <x v="155"/>
    <x v="0"/>
    <x v="4"/>
    <x v="16"/>
    <x v="3"/>
    <x v="0"/>
    <n v="0"/>
    <x v="0"/>
  </r>
  <r>
    <x v="30"/>
    <x v="1"/>
    <x v="155"/>
    <x v="0"/>
    <x v="4"/>
    <x v="16"/>
    <x v="3"/>
    <x v="1"/>
    <n v="0"/>
    <x v="0"/>
  </r>
  <r>
    <x v="30"/>
    <x v="1"/>
    <x v="155"/>
    <x v="0"/>
    <x v="4"/>
    <x v="16"/>
    <x v="3"/>
    <x v="2"/>
    <n v="0"/>
    <x v="0"/>
  </r>
  <r>
    <x v="30"/>
    <x v="1"/>
    <x v="155"/>
    <x v="0"/>
    <x v="4"/>
    <x v="16"/>
    <x v="3"/>
    <x v="3"/>
    <n v="225.23590309746496"/>
    <x v="0"/>
  </r>
  <r>
    <x v="30"/>
    <x v="1"/>
    <x v="155"/>
    <x v="0"/>
    <x v="4"/>
    <x v="16"/>
    <x v="3"/>
    <x v="4"/>
    <n v="0"/>
    <x v="0"/>
  </r>
  <r>
    <x v="30"/>
    <x v="1"/>
    <x v="155"/>
    <x v="0"/>
    <x v="4"/>
    <x v="16"/>
    <x v="3"/>
    <x v="5"/>
    <n v="0"/>
    <x v="0"/>
  </r>
  <r>
    <x v="30"/>
    <x v="1"/>
    <x v="155"/>
    <x v="0"/>
    <x v="4"/>
    <x v="16"/>
    <x v="3"/>
    <x v="6"/>
    <n v="0"/>
    <x v="0"/>
  </r>
  <r>
    <x v="30"/>
    <x v="1"/>
    <x v="155"/>
    <x v="0"/>
    <x v="4"/>
    <x v="16"/>
    <x v="3"/>
    <x v="7"/>
    <n v="0"/>
    <x v="0"/>
  </r>
  <r>
    <x v="30"/>
    <x v="1"/>
    <x v="155"/>
    <x v="0"/>
    <x v="4"/>
    <x v="16"/>
    <x v="3"/>
    <x v="8"/>
    <n v="0"/>
    <x v="0"/>
  </r>
  <r>
    <x v="30"/>
    <x v="1"/>
    <x v="155"/>
    <x v="0"/>
    <x v="4"/>
    <x v="16"/>
    <x v="3"/>
    <x v="9"/>
    <n v="0"/>
    <x v="0"/>
  </r>
  <r>
    <x v="30"/>
    <x v="1"/>
    <x v="155"/>
    <x v="0"/>
    <x v="4"/>
    <x v="16"/>
    <x v="3"/>
    <x v="10"/>
    <n v="0"/>
    <x v="0"/>
  </r>
  <r>
    <x v="30"/>
    <x v="1"/>
    <x v="155"/>
    <x v="0"/>
    <x v="4"/>
    <x v="16"/>
    <x v="3"/>
    <x v="11"/>
    <n v="0"/>
    <x v="0"/>
  </r>
  <r>
    <x v="30"/>
    <x v="1"/>
    <x v="156"/>
    <x v="0"/>
    <x v="4"/>
    <x v="14"/>
    <x v="16"/>
    <x v="0"/>
    <n v="0"/>
    <x v="0"/>
  </r>
  <r>
    <x v="30"/>
    <x v="1"/>
    <x v="156"/>
    <x v="0"/>
    <x v="4"/>
    <x v="14"/>
    <x v="16"/>
    <x v="1"/>
    <n v="0"/>
    <x v="0"/>
  </r>
  <r>
    <x v="30"/>
    <x v="1"/>
    <x v="156"/>
    <x v="0"/>
    <x v="4"/>
    <x v="14"/>
    <x v="16"/>
    <x v="2"/>
    <n v="0"/>
    <x v="0"/>
  </r>
  <r>
    <x v="30"/>
    <x v="1"/>
    <x v="156"/>
    <x v="0"/>
    <x v="4"/>
    <x v="14"/>
    <x v="16"/>
    <x v="3"/>
    <n v="0"/>
    <x v="0"/>
  </r>
  <r>
    <x v="30"/>
    <x v="1"/>
    <x v="156"/>
    <x v="0"/>
    <x v="4"/>
    <x v="14"/>
    <x v="16"/>
    <x v="4"/>
    <n v="0"/>
    <x v="0"/>
  </r>
  <r>
    <x v="30"/>
    <x v="1"/>
    <x v="156"/>
    <x v="0"/>
    <x v="4"/>
    <x v="14"/>
    <x v="16"/>
    <x v="5"/>
    <n v="0"/>
    <x v="0"/>
  </r>
  <r>
    <x v="30"/>
    <x v="1"/>
    <x v="156"/>
    <x v="0"/>
    <x v="4"/>
    <x v="14"/>
    <x v="16"/>
    <x v="6"/>
    <n v="244.17637271214645"/>
    <x v="0"/>
  </r>
  <r>
    <x v="30"/>
    <x v="1"/>
    <x v="156"/>
    <x v="0"/>
    <x v="4"/>
    <x v="14"/>
    <x v="16"/>
    <x v="7"/>
    <n v="0"/>
    <x v="0"/>
  </r>
  <r>
    <x v="30"/>
    <x v="1"/>
    <x v="156"/>
    <x v="0"/>
    <x v="4"/>
    <x v="14"/>
    <x v="16"/>
    <x v="8"/>
    <n v="0"/>
    <x v="0"/>
  </r>
  <r>
    <x v="30"/>
    <x v="1"/>
    <x v="156"/>
    <x v="0"/>
    <x v="4"/>
    <x v="14"/>
    <x v="16"/>
    <x v="9"/>
    <n v="0"/>
    <x v="0"/>
  </r>
  <r>
    <x v="30"/>
    <x v="1"/>
    <x v="156"/>
    <x v="0"/>
    <x v="4"/>
    <x v="14"/>
    <x v="16"/>
    <x v="10"/>
    <n v="0"/>
    <x v="0"/>
  </r>
  <r>
    <x v="30"/>
    <x v="1"/>
    <x v="156"/>
    <x v="0"/>
    <x v="4"/>
    <x v="14"/>
    <x v="16"/>
    <x v="11"/>
    <n v="0"/>
    <x v="0"/>
  </r>
  <r>
    <x v="30"/>
    <x v="1"/>
    <x v="157"/>
    <x v="0"/>
    <x v="4"/>
    <x v="14"/>
    <x v="17"/>
    <x v="0"/>
    <n v="0"/>
    <x v="0"/>
  </r>
  <r>
    <x v="30"/>
    <x v="1"/>
    <x v="157"/>
    <x v="0"/>
    <x v="4"/>
    <x v="14"/>
    <x v="17"/>
    <x v="1"/>
    <n v="0"/>
    <x v="0"/>
  </r>
  <r>
    <x v="30"/>
    <x v="1"/>
    <x v="157"/>
    <x v="0"/>
    <x v="4"/>
    <x v="14"/>
    <x v="17"/>
    <x v="2"/>
    <n v="0"/>
    <x v="0"/>
  </r>
  <r>
    <x v="30"/>
    <x v="1"/>
    <x v="157"/>
    <x v="0"/>
    <x v="4"/>
    <x v="14"/>
    <x v="17"/>
    <x v="3"/>
    <n v="318.82537963213696"/>
    <x v="0"/>
  </r>
  <r>
    <x v="30"/>
    <x v="1"/>
    <x v="157"/>
    <x v="0"/>
    <x v="4"/>
    <x v="14"/>
    <x v="17"/>
    <x v="4"/>
    <n v="0"/>
    <x v="0"/>
  </r>
  <r>
    <x v="30"/>
    <x v="1"/>
    <x v="157"/>
    <x v="0"/>
    <x v="4"/>
    <x v="14"/>
    <x v="17"/>
    <x v="5"/>
    <n v="0"/>
    <x v="0"/>
  </r>
  <r>
    <x v="30"/>
    <x v="1"/>
    <x v="157"/>
    <x v="0"/>
    <x v="4"/>
    <x v="14"/>
    <x v="17"/>
    <x v="6"/>
    <n v="0"/>
    <x v="0"/>
  </r>
  <r>
    <x v="30"/>
    <x v="1"/>
    <x v="157"/>
    <x v="0"/>
    <x v="4"/>
    <x v="14"/>
    <x v="17"/>
    <x v="7"/>
    <n v="0"/>
    <x v="0"/>
  </r>
  <r>
    <x v="30"/>
    <x v="1"/>
    <x v="157"/>
    <x v="0"/>
    <x v="4"/>
    <x v="14"/>
    <x v="17"/>
    <x v="8"/>
    <n v="0"/>
    <x v="0"/>
  </r>
  <r>
    <x v="30"/>
    <x v="1"/>
    <x v="157"/>
    <x v="0"/>
    <x v="4"/>
    <x v="14"/>
    <x v="17"/>
    <x v="9"/>
    <n v="0"/>
    <x v="0"/>
  </r>
  <r>
    <x v="30"/>
    <x v="1"/>
    <x v="157"/>
    <x v="0"/>
    <x v="4"/>
    <x v="14"/>
    <x v="17"/>
    <x v="10"/>
    <n v="0"/>
    <x v="0"/>
  </r>
  <r>
    <x v="30"/>
    <x v="1"/>
    <x v="157"/>
    <x v="0"/>
    <x v="4"/>
    <x v="14"/>
    <x v="17"/>
    <x v="11"/>
    <n v="0"/>
    <x v="0"/>
  </r>
  <r>
    <x v="30"/>
    <x v="0"/>
    <x v="158"/>
    <x v="1"/>
    <x v="6"/>
    <x v="17"/>
    <x v="0"/>
    <x v="0"/>
    <n v="917.41098470247471"/>
    <x v="0"/>
  </r>
  <r>
    <x v="30"/>
    <x v="0"/>
    <x v="158"/>
    <x v="1"/>
    <x v="6"/>
    <x v="17"/>
    <x v="0"/>
    <x v="1"/>
    <n v="864.61014697334542"/>
    <x v="0"/>
  </r>
  <r>
    <x v="30"/>
    <x v="0"/>
    <x v="158"/>
    <x v="1"/>
    <x v="6"/>
    <x v="17"/>
    <x v="0"/>
    <x v="2"/>
    <n v="860.59942351203085"/>
    <x v="0"/>
  </r>
  <r>
    <x v="30"/>
    <x v="0"/>
    <x v="158"/>
    <x v="1"/>
    <x v="6"/>
    <x v="17"/>
    <x v="0"/>
    <x v="3"/>
    <n v="0"/>
    <x v="0"/>
  </r>
  <r>
    <x v="30"/>
    <x v="0"/>
    <x v="158"/>
    <x v="1"/>
    <x v="6"/>
    <x v="17"/>
    <x v="0"/>
    <x v="4"/>
    <n v="907.52603826208224"/>
    <x v="0"/>
  </r>
  <r>
    <x v="30"/>
    <x v="0"/>
    <x v="158"/>
    <x v="1"/>
    <x v="6"/>
    <x v="17"/>
    <x v="0"/>
    <x v="5"/>
    <n v="899.49032480995163"/>
    <x v="0"/>
  </r>
  <r>
    <x v="30"/>
    <x v="0"/>
    <x v="158"/>
    <x v="1"/>
    <x v="6"/>
    <x v="17"/>
    <x v="0"/>
    <x v="6"/>
    <n v="888.47647083919969"/>
    <x v="0"/>
  </r>
  <r>
    <x v="30"/>
    <x v="0"/>
    <x v="158"/>
    <x v="1"/>
    <x v="6"/>
    <x v="17"/>
    <x v="0"/>
    <x v="7"/>
    <n v="0"/>
    <x v="0"/>
  </r>
  <r>
    <x v="30"/>
    <x v="0"/>
    <x v="158"/>
    <x v="1"/>
    <x v="6"/>
    <x v="17"/>
    <x v="0"/>
    <x v="8"/>
    <n v="0"/>
    <x v="0"/>
  </r>
  <r>
    <x v="30"/>
    <x v="0"/>
    <x v="158"/>
    <x v="1"/>
    <x v="6"/>
    <x v="17"/>
    <x v="0"/>
    <x v="9"/>
    <n v="0"/>
    <x v="0"/>
  </r>
  <r>
    <x v="30"/>
    <x v="0"/>
    <x v="158"/>
    <x v="1"/>
    <x v="6"/>
    <x v="17"/>
    <x v="0"/>
    <x v="10"/>
    <n v="0"/>
    <x v="0"/>
  </r>
  <r>
    <x v="30"/>
    <x v="0"/>
    <x v="158"/>
    <x v="1"/>
    <x v="6"/>
    <x v="17"/>
    <x v="0"/>
    <x v="11"/>
    <n v="0"/>
    <x v="0"/>
  </r>
  <r>
    <x v="30"/>
    <x v="0"/>
    <x v="159"/>
    <x v="1"/>
    <x v="6"/>
    <x v="17"/>
    <x v="0"/>
    <x v="0"/>
    <n v="0"/>
    <x v="0"/>
  </r>
  <r>
    <x v="30"/>
    <x v="0"/>
    <x v="159"/>
    <x v="1"/>
    <x v="6"/>
    <x v="17"/>
    <x v="0"/>
    <x v="1"/>
    <n v="0"/>
    <x v="0"/>
  </r>
  <r>
    <x v="30"/>
    <x v="0"/>
    <x v="159"/>
    <x v="1"/>
    <x v="6"/>
    <x v="17"/>
    <x v="0"/>
    <x v="2"/>
    <n v="0"/>
    <x v="0"/>
  </r>
  <r>
    <x v="30"/>
    <x v="0"/>
    <x v="159"/>
    <x v="1"/>
    <x v="6"/>
    <x v="17"/>
    <x v="0"/>
    <x v="3"/>
    <n v="0"/>
    <x v="0"/>
  </r>
  <r>
    <x v="30"/>
    <x v="0"/>
    <x v="159"/>
    <x v="1"/>
    <x v="6"/>
    <x v="17"/>
    <x v="0"/>
    <x v="4"/>
    <n v="907.52603826208224"/>
    <x v="0"/>
  </r>
  <r>
    <x v="30"/>
    <x v="0"/>
    <x v="159"/>
    <x v="1"/>
    <x v="6"/>
    <x v="17"/>
    <x v="0"/>
    <x v="5"/>
    <n v="0"/>
    <x v="0"/>
  </r>
  <r>
    <x v="30"/>
    <x v="0"/>
    <x v="159"/>
    <x v="1"/>
    <x v="6"/>
    <x v="17"/>
    <x v="0"/>
    <x v="6"/>
    <n v="0"/>
    <x v="0"/>
  </r>
  <r>
    <x v="30"/>
    <x v="0"/>
    <x v="159"/>
    <x v="1"/>
    <x v="6"/>
    <x v="17"/>
    <x v="0"/>
    <x v="7"/>
    <n v="895.79524680073132"/>
    <x v="0"/>
  </r>
  <r>
    <x v="30"/>
    <x v="0"/>
    <x v="159"/>
    <x v="1"/>
    <x v="6"/>
    <x v="17"/>
    <x v="0"/>
    <x v="8"/>
    <n v="1130.6291229850681"/>
    <x v="0"/>
  </r>
  <r>
    <x v="30"/>
    <x v="0"/>
    <x v="159"/>
    <x v="1"/>
    <x v="6"/>
    <x v="17"/>
    <x v="0"/>
    <x v="9"/>
    <n v="892.04442017112694"/>
    <x v="0"/>
  </r>
  <r>
    <x v="30"/>
    <x v="0"/>
    <x v="159"/>
    <x v="1"/>
    <x v="6"/>
    <x v="17"/>
    <x v="0"/>
    <x v="10"/>
    <n v="2363.8328530259364"/>
    <x v="0"/>
  </r>
  <r>
    <x v="30"/>
    <x v="0"/>
    <x v="159"/>
    <x v="1"/>
    <x v="6"/>
    <x v="17"/>
    <x v="0"/>
    <x v="11"/>
    <n v="1026.5725576468672"/>
    <x v="0"/>
  </r>
  <r>
    <x v="30"/>
    <x v="0"/>
    <x v="160"/>
    <x v="1"/>
    <x v="6"/>
    <x v="17"/>
    <x v="0"/>
    <x v="0"/>
    <n v="0"/>
    <x v="0"/>
  </r>
  <r>
    <x v="30"/>
    <x v="0"/>
    <x v="160"/>
    <x v="1"/>
    <x v="6"/>
    <x v="17"/>
    <x v="0"/>
    <x v="1"/>
    <n v="0"/>
    <x v="0"/>
  </r>
  <r>
    <x v="30"/>
    <x v="0"/>
    <x v="160"/>
    <x v="1"/>
    <x v="6"/>
    <x v="17"/>
    <x v="0"/>
    <x v="2"/>
    <n v="860.59942351203085"/>
    <x v="0"/>
  </r>
  <r>
    <x v="30"/>
    <x v="0"/>
    <x v="160"/>
    <x v="1"/>
    <x v="6"/>
    <x v="17"/>
    <x v="0"/>
    <x v="3"/>
    <n v="0"/>
    <x v="0"/>
  </r>
  <r>
    <x v="30"/>
    <x v="0"/>
    <x v="160"/>
    <x v="1"/>
    <x v="6"/>
    <x v="17"/>
    <x v="0"/>
    <x v="4"/>
    <n v="0"/>
    <x v="0"/>
  </r>
  <r>
    <x v="30"/>
    <x v="0"/>
    <x v="160"/>
    <x v="1"/>
    <x v="6"/>
    <x v="17"/>
    <x v="0"/>
    <x v="5"/>
    <n v="0"/>
    <x v="0"/>
  </r>
  <r>
    <x v="30"/>
    <x v="0"/>
    <x v="160"/>
    <x v="1"/>
    <x v="6"/>
    <x v="17"/>
    <x v="0"/>
    <x v="6"/>
    <n v="0"/>
    <x v="0"/>
  </r>
  <r>
    <x v="30"/>
    <x v="0"/>
    <x v="160"/>
    <x v="1"/>
    <x v="6"/>
    <x v="17"/>
    <x v="0"/>
    <x v="7"/>
    <n v="0"/>
    <x v="0"/>
  </r>
  <r>
    <x v="30"/>
    <x v="0"/>
    <x v="160"/>
    <x v="1"/>
    <x v="6"/>
    <x v="17"/>
    <x v="0"/>
    <x v="8"/>
    <n v="0"/>
    <x v="0"/>
  </r>
  <r>
    <x v="30"/>
    <x v="0"/>
    <x v="160"/>
    <x v="1"/>
    <x v="6"/>
    <x v="17"/>
    <x v="0"/>
    <x v="9"/>
    <n v="0"/>
    <x v="0"/>
  </r>
  <r>
    <x v="30"/>
    <x v="0"/>
    <x v="160"/>
    <x v="1"/>
    <x v="6"/>
    <x v="17"/>
    <x v="0"/>
    <x v="10"/>
    <n v="0"/>
    <x v="0"/>
  </r>
  <r>
    <x v="30"/>
    <x v="0"/>
    <x v="160"/>
    <x v="1"/>
    <x v="6"/>
    <x v="17"/>
    <x v="0"/>
    <x v="11"/>
    <n v="0"/>
    <x v="0"/>
  </r>
  <r>
    <x v="30"/>
    <x v="1"/>
    <x v="161"/>
    <x v="1"/>
    <x v="6"/>
    <x v="17"/>
    <x v="0"/>
    <x v="0"/>
    <n v="0"/>
    <x v="0"/>
  </r>
  <r>
    <x v="30"/>
    <x v="1"/>
    <x v="161"/>
    <x v="1"/>
    <x v="6"/>
    <x v="17"/>
    <x v="0"/>
    <x v="1"/>
    <n v="0"/>
    <x v="0"/>
  </r>
  <r>
    <x v="30"/>
    <x v="1"/>
    <x v="161"/>
    <x v="1"/>
    <x v="6"/>
    <x v="17"/>
    <x v="0"/>
    <x v="2"/>
    <n v="0"/>
    <x v="0"/>
  </r>
  <r>
    <x v="30"/>
    <x v="1"/>
    <x v="161"/>
    <x v="1"/>
    <x v="6"/>
    <x v="17"/>
    <x v="0"/>
    <x v="3"/>
    <n v="0"/>
    <x v="0"/>
  </r>
  <r>
    <x v="30"/>
    <x v="1"/>
    <x v="161"/>
    <x v="1"/>
    <x v="6"/>
    <x v="17"/>
    <x v="0"/>
    <x v="4"/>
    <n v="559.42497930012632"/>
    <x v="0"/>
  </r>
  <r>
    <x v="30"/>
    <x v="1"/>
    <x v="161"/>
    <x v="1"/>
    <x v="6"/>
    <x v="17"/>
    <x v="0"/>
    <x v="5"/>
    <n v="0"/>
    <x v="0"/>
  </r>
  <r>
    <x v="30"/>
    <x v="1"/>
    <x v="161"/>
    <x v="1"/>
    <x v="6"/>
    <x v="17"/>
    <x v="0"/>
    <x v="6"/>
    <n v="0"/>
    <x v="0"/>
  </r>
  <r>
    <x v="30"/>
    <x v="1"/>
    <x v="161"/>
    <x v="1"/>
    <x v="6"/>
    <x v="17"/>
    <x v="0"/>
    <x v="7"/>
    <n v="0"/>
    <x v="0"/>
  </r>
  <r>
    <x v="30"/>
    <x v="1"/>
    <x v="161"/>
    <x v="1"/>
    <x v="6"/>
    <x v="17"/>
    <x v="0"/>
    <x v="8"/>
    <n v="0"/>
    <x v="0"/>
  </r>
  <r>
    <x v="30"/>
    <x v="1"/>
    <x v="161"/>
    <x v="1"/>
    <x v="6"/>
    <x v="17"/>
    <x v="0"/>
    <x v="9"/>
    <n v="0"/>
    <x v="0"/>
  </r>
  <r>
    <x v="30"/>
    <x v="1"/>
    <x v="161"/>
    <x v="1"/>
    <x v="6"/>
    <x v="17"/>
    <x v="0"/>
    <x v="10"/>
    <n v="0"/>
    <x v="0"/>
  </r>
  <r>
    <x v="30"/>
    <x v="1"/>
    <x v="161"/>
    <x v="1"/>
    <x v="6"/>
    <x v="17"/>
    <x v="0"/>
    <x v="11"/>
    <n v="0"/>
    <x v="0"/>
  </r>
  <r>
    <x v="30"/>
    <x v="1"/>
    <x v="162"/>
    <x v="0"/>
    <x v="4"/>
    <x v="15"/>
    <x v="9"/>
    <x v="0"/>
    <n v="0"/>
    <x v="0"/>
  </r>
  <r>
    <x v="30"/>
    <x v="1"/>
    <x v="162"/>
    <x v="0"/>
    <x v="4"/>
    <x v="15"/>
    <x v="9"/>
    <x v="1"/>
    <n v="0"/>
    <x v="0"/>
  </r>
  <r>
    <x v="30"/>
    <x v="1"/>
    <x v="162"/>
    <x v="0"/>
    <x v="4"/>
    <x v="15"/>
    <x v="9"/>
    <x v="2"/>
    <n v="0"/>
    <x v="0"/>
  </r>
  <r>
    <x v="30"/>
    <x v="1"/>
    <x v="162"/>
    <x v="0"/>
    <x v="4"/>
    <x v="15"/>
    <x v="9"/>
    <x v="3"/>
    <n v="80.654904493094762"/>
    <x v="0"/>
  </r>
  <r>
    <x v="30"/>
    <x v="1"/>
    <x v="162"/>
    <x v="0"/>
    <x v="4"/>
    <x v="15"/>
    <x v="9"/>
    <x v="4"/>
    <n v="438.2631716564257"/>
    <x v="0"/>
  </r>
  <r>
    <x v="30"/>
    <x v="1"/>
    <x v="162"/>
    <x v="0"/>
    <x v="4"/>
    <x v="15"/>
    <x v="9"/>
    <x v="5"/>
    <n v="49.883379405666894"/>
    <x v="0"/>
  </r>
  <r>
    <x v="30"/>
    <x v="1"/>
    <x v="162"/>
    <x v="0"/>
    <x v="4"/>
    <x v="15"/>
    <x v="9"/>
    <x v="6"/>
    <n v="0"/>
    <x v="0"/>
  </r>
  <r>
    <x v="30"/>
    <x v="1"/>
    <x v="162"/>
    <x v="0"/>
    <x v="4"/>
    <x v="15"/>
    <x v="9"/>
    <x v="7"/>
    <n v="0"/>
    <x v="0"/>
  </r>
  <r>
    <x v="30"/>
    <x v="1"/>
    <x v="162"/>
    <x v="0"/>
    <x v="4"/>
    <x v="15"/>
    <x v="9"/>
    <x v="8"/>
    <n v="0"/>
    <x v="0"/>
  </r>
  <r>
    <x v="30"/>
    <x v="1"/>
    <x v="162"/>
    <x v="0"/>
    <x v="4"/>
    <x v="15"/>
    <x v="9"/>
    <x v="9"/>
    <n v="0"/>
    <x v="0"/>
  </r>
  <r>
    <x v="30"/>
    <x v="1"/>
    <x v="162"/>
    <x v="0"/>
    <x v="4"/>
    <x v="15"/>
    <x v="9"/>
    <x v="10"/>
    <n v="0"/>
    <x v="0"/>
  </r>
  <r>
    <x v="30"/>
    <x v="1"/>
    <x v="162"/>
    <x v="0"/>
    <x v="4"/>
    <x v="15"/>
    <x v="9"/>
    <x v="11"/>
    <n v="0"/>
    <x v="0"/>
  </r>
  <r>
    <x v="30"/>
    <x v="1"/>
    <x v="163"/>
    <x v="0"/>
    <x v="3"/>
    <x v="18"/>
    <x v="0"/>
    <x v="0"/>
    <n v="0"/>
    <x v="0"/>
  </r>
  <r>
    <x v="30"/>
    <x v="1"/>
    <x v="163"/>
    <x v="0"/>
    <x v="3"/>
    <x v="18"/>
    <x v="0"/>
    <x v="1"/>
    <n v="0"/>
    <x v="0"/>
  </r>
  <r>
    <x v="30"/>
    <x v="1"/>
    <x v="163"/>
    <x v="0"/>
    <x v="3"/>
    <x v="18"/>
    <x v="0"/>
    <x v="2"/>
    <n v="135.84143481450104"/>
    <x v="0"/>
  </r>
  <r>
    <x v="30"/>
    <x v="1"/>
    <x v="163"/>
    <x v="0"/>
    <x v="3"/>
    <x v="18"/>
    <x v="0"/>
    <x v="3"/>
    <n v="0"/>
    <x v="0"/>
  </r>
  <r>
    <x v="30"/>
    <x v="1"/>
    <x v="163"/>
    <x v="0"/>
    <x v="3"/>
    <x v="18"/>
    <x v="0"/>
    <x v="4"/>
    <n v="0"/>
    <x v="0"/>
  </r>
  <r>
    <x v="30"/>
    <x v="1"/>
    <x v="163"/>
    <x v="0"/>
    <x v="3"/>
    <x v="18"/>
    <x v="0"/>
    <x v="5"/>
    <n v="0"/>
    <x v="0"/>
  </r>
  <r>
    <x v="30"/>
    <x v="1"/>
    <x v="163"/>
    <x v="0"/>
    <x v="3"/>
    <x v="18"/>
    <x v="0"/>
    <x v="6"/>
    <n v="139.97930799095525"/>
    <x v="0"/>
  </r>
  <r>
    <x v="30"/>
    <x v="1"/>
    <x v="163"/>
    <x v="0"/>
    <x v="3"/>
    <x v="18"/>
    <x v="0"/>
    <x v="7"/>
    <n v="0"/>
    <x v="0"/>
  </r>
  <r>
    <x v="30"/>
    <x v="1"/>
    <x v="163"/>
    <x v="0"/>
    <x v="3"/>
    <x v="18"/>
    <x v="0"/>
    <x v="8"/>
    <n v="0"/>
    <x v="0"/>
  </r>
  <r>
    <x v="30"/>
    <x v="1"/>
    <x v="163"/>
    <x v="0"/>
    <x v="3"/>
    <x v="18"/>
    <x v="0"/>
    <x v="9"/>
    <n v="198.56930210642423"/>
    <x v="0"/>
  </r>
  <r>
    <x v="30"/>
    <x v="1"/>
    <x v="163"/>
    <x v="0"/>
    <x v="3"/>
    <x v="18"/>
    <x v="0"/>
    <x v="10"/>
    <n v="0"/>
    <x v="0"/>
  </r>
  <r>
    <x v="30"/>
    <x v="1"/>
    <x v="163"/>
    <x v="0"/>
    <x v="3"/>
    <x v="18"/>
    <x v="0"/>
    <x v="11"/>
    <n v="0"/>
    <x v="0"/>
  </r>
  <r>
    <x v="30"/>
    <x v="0"/>
    <x v="164"/>
    <x v="0"/>
    <x v="3"/>
    <x v="19"/>
    <x v="0"/>
    <x v="0"/>
    <n v="0"/>
    <x v="0"/>
  </r>
  <r>
    <x v="30"/>
    <x v="0"/>
    <x v="164"/>
    <x v="0"/>
    <x v="3"/>
    <x v="19"/>
    <x v="0"/>
    <x v="1"/>
    <n v="0"/>
    <x v="0"/>
  </r>
  <r>
    <x v="30"/>
    <x v="0"/>
    <x v="164"/>
    <x v="0"/>
    <x v="3"/>
    <x v="19"/>
    <x v="0"/>
    <x v="2"/>
    <n v="0"/>
    <x v="0"/>
  </r>
  <r>
    <x v="30"/>
    <x v="0"/>
    <x v="164"/>
    <x v="0"/>
    <x v="3"/>
    <x v="19"/>
    <x v="0"/>
    <x v="3"/>
    <n v="0"/>
    <x v="0"/>
  </r>
  <r>
    <x v="30"/>
    <x v="0"/>
    <x v="164"/>
    <x v="0"/>
    <x v="3"/>
    <x v="19"/>
    <x v="0"/>
    <x v="4"/>
    <n v="0"/>
    <x v="0"/>
  </r>
  <r>
    <x v="30"/>
    <x v="0"/>
    <x v="164"/>
    <x v="0"/>
    <x v="3"/>
    <x v="19"/>
    <x v="0"/>
    <x v="5"/>
    <n v="0"/>
    <x v="0"/>
  </r>
  <r>
    <x v="30"/>
    <x v="0"/>
    <x v="164"/>
    <x v="0"/>
    <x v="3"/>
    <x v="19"/>
    <x v="0"/>
    <x v="6"/>
    <n v="0"/>
    <x v="0"/>
  </r>
  <r>
    <x v="30"/>
    <x v="0"/>
    <x v="164"/>
    <x v="0"/>
    <x v="3"/>
    <x v="19"/>
    <x v="0"/>
    <x v="7"/>
    <n v="0"/>
    <x v="0"/>
  </r>
  <r>
    <x v="30"/>
    <x v="0"/>
    <x v="164"/>
    <x v="0"/>
    <x v="3"/>
    <x v="19"/>
    <x v="0"/>
    <x v="8"/>
    <n v="0"/>
    <x v="0"/>
  </r>
  <r>
    <x v="30"/>
    <x v="0"/>
    <x v="164"/>
    <x v="0"/>
    <x v="3"/>
    <x v="19"/>
    <x v="0"/>
    <x v="9"/>
    <n v="0"/>
    <x v="0"/>
  </r>
  <r>
    <x v="30"/>
    <x v="0"/>
    <x v="164"/>
    <x v="0"/>
    <x v="3"/>
    <x v="19"/>
    <x v="0"/>
    <x v="10"/>
    <n v="0"/>
    <x v="0"/>
  </r>
  <r>
    <x v="30"/>
    <x v="0"/>
    <x v="164"/>
    <x v="0"/>
    <x v="3"/>
    <x v="19"/>
    <x v="0"/>
    <x v="11"/>
    <n v="3325.6019310681982"/>
    <x v="0"/>
  </r>
  <r>
    <x v="30"/>
    <x v="0"/>
    <x v="165"/>
    <x v="2"/>
    <x v="1"/>
    <x v="19"/>
    <x v="0"/>
    <x v="0"/>
    <n v="2009.014416458331"/>
    <x v="0"/>
  </r>
  <r>
    <x v="30"/>
    <x v="0"/>
    <x v="165"/>
    <x v="2"/>
    <x v="1"/>
    <x v="19"/>
    <x v="0"/>
    <x v="1"/>
    <n v="0"/>
    <x v="0"/>
  </r>
  <r>
    <x v="30"/>
    <x v="0"/>
    <x v="165"/>
    <x v="2"/>
    <x v="1"/>
    <x v="19"/>
    <x v="0"/>
    <x v="2"/>
    <n v="1272.8575413511307"/>
    <x v="0"/>
  </r>
  <r>
    <x v="30"/>
    <x v="0"/>
    <x v="165"/>
    <x v="2"/>
    <x v="1"/>
    <x v="19"/>
    <x v="0"/>
    <x v="3"/>
    <n v="134.27208532089071"/>
    <x v="0"/>
  </r>
  <r>
    <x v="30"/>
    <x v="0"/>
    <x v="165"/>
    <x v="2"/>
    <x v="1"/>
    <x v="19"/>
    <x v="0"/>
    <x v="4"/>
    <n v="1355.8090382185035"/>
    <x v="0"/>
  </r>
  <r>
    <x v="30"/>
    <x v="0"/>
    <x v="165"/>
    <x v="2"/>
    <x v="1"/>
    <x v="19"/>
    <x v="0"/>
    <x v="5"/>
    <n v="1348.3068417415341"/>
    <x v="0"/>
  </r>
  <r>
    <x v="30"/>
    <x v="0"/>
    <x v="165"/>
    <x v="2"/>
    <x v="1"/>
    <x v="19"/>
    <x v="0"/>
    <x v="6"/>
    <n v="1332.4000597295108"/>
    <x v="0"/>
  </r>
  <r>
    <x v="30"/>
    <x v="0"/>
    <x v="165"/>
    <x v="2"/>
    <x v="1"/>
    <x v="19"/>
    <x v="0"/>
    <x v="7"/>
    <n v="1348.6525432842241"/>
    <x v="0"/>
  </r>
  <r>
    <x v="30"/>
    <x v="0"/>
    <x v="165"/>
    <x v="2"/>
    <x v="1"/>
    <x v="19"/>
    <x v="0"/>
    <x v="8"/>
    <n v="1360.5359475712851"/>
    <x v="0"/>
  </r>
  <r>
    <x v="30"/>
    <x v="0"/>
    <x v="165"/>
    <x v="2"/>
    <x v="1"/>
    <x v="19"/>
    <x v="0"/>
    <x v="9"/>
    <n v="974.65437294524588"/>
    <x v="0"/>
  </r>
  <r>
    <x v="30"/>
    <x v="0"/>
    <x v="165"/>
    <x v="2"/>
    <x v="1"/>
    <x v="19"/>
    <x v="0"/>
    <x v="10"/>
    <n v="-936.7455743104158"/>
    <x v="0"/>
  </r>
  <r>
    <x v="30"/>
    <x v="0"/>
    <x v="165"/>
    <x v="2"/>
    <x v="1"/>
    <x v="19"/>
    <x v="0"/>
    <x v="11"/>
    <n v="0"/>
    <x v="0"/>
  </r>
  <r>
    <x v="30"/>
    <x v="0"/>
    <x v="166"/>
    <x v="2"/>
    <x v="1"/>
    <x v="19"/>
    <x v="0"/>
    <x v="0"/>
    <n v="0"/>
    <x v="0"/>
  </r>
  <r>
    <x v="30"/>
    <x v="0"/>
    <x v="166"/>
    <x v="2"/>
    <x v="1"/>
    <x v="19"/>
    <x v="0"/>
    <x v="1"/>
    <n v="0"/>
    <x v="0"/>
  </r>
  <r>
    <x v="30"/>
    <x v="0"/>
    <x v="166"/>
    <x v="2"/>
    <x v="1"/>
    <x v="19"/>
    <x v="0"/>
    <x v="2"/>
    <n v="0"/>
    <x v="0"/>
  </r>
  <r>
    <x v="30"/>
    <x v="0"/>
    <x v="166"/>
    <x v="2"/>
    <x v="1"/>
    <x v="19"/>
    <x v="0"/>
    <x v="3"/>
    <n v="0"/>
    <x v="0"/>
  </r>
  <r>
    <x v="30"/>
    <x v="0"/>
    <x v="166"/>
    <x v="2"/>
    <x v="1"/>
    <x v="19"/>
    <x v="0"/>
    <x v="4"/>
    <n v="1349.4007931319998"/>
    <x v="0"/>
  </r>
  <r>
    <x v="30"/>
    <x v="0"/>
    <x v="166"/>
    <x v="2"/>
    <x v="1"/>
    <x v="19"/>
    <x v="0"/>
    <x v="5"/>
    <n v="671.23034727021422"/>
    <x v="0"/>
  </r>
  <r>
    <x v="30"/>
    <x v="0"/>
    <x v="166"/>
    <x v="2"/>
    <x v="1"/>
    <x v="19"/>
    <x v="0"/>
    <x v="6"/>
    <n v="435.50919407824568"/>
    <x v="0"/>
  </r>
  <r>
    <x v="30"/>
    <x v="0"/>
    <x v="166"/>
    <x v="2"/>
    <x v="1"/>
    <x v="19"/>
    <x v="0"/>
    <x v="7"/>
    <n v="366.03398214861812"/>
    <x v="0"/>
  </r>
  <r>
    <x v="30"/>
    <x v="0"/>
    <x v="166"/>
    <x v="2"/>
    <x v="1"/>
    <x v="19"/>
    <x v="0"/>
    <x v="8"/>
    <n v="433.21277032206518"/>
    <x v="0"/>
  </r>
  <r>
    <x v="30"/>
    <x v="0"/>
    <x v="166"/>
    <x v="2"/>
    <x v="1"/>
    <x v="19"/>
    <x v="0"/>
    <x v="9"/>
    <n v="429.68698129169746"/>
    <x v="0"/>
  </r>
  <r>
    <x v="30"/>
    <x v="0"/>
    <x v="166"/>
    <x v="2"/>
    <x v="1"/>
    <x v="19"/>
    <x v="0"/>
    <x v="10"/>
    <n v="0"/>
    <x v="0"/>
  </r>
  <r>
    <x v="30"/>
    <x v="0"/>
    <x v="166"/>
    <x v="2"/>
    <x v="1"/>
    <x v="19"/>
    <x v="0"/>
    <x v="11"/>
    <n v="0"/>
    <x v="0"/>
  </r>
  <r>
    <x v="30"/>
    <x v="0"/>
    <x v="167"/>
    <x v="2"/>
    <x v="1"/>
    <x v="19"/>
    <x v="0"/>
    <x v="0"/>
    <n v="0"/>
    <x v="0"/>
  </r>
  <r>
    <x v="30"/>
    <x v="0"/>
    <x v="167"/>
    <x v="2"/>
    <x v="1"/>
    <x v="19"/>
    <x v="0"/>
    <x v="1"/>
    <n v="1800.4369758365854"/>
    <x v="0"/>
  </r>
  <r>
    <x v="30"/>
    <x v="0"/>
    <x v="167"/>
    <x v="2"/>
    <x v="1"/>
    <x v="19"/>
    <x v="0"/>
    <x v="2"/>
    <n v="1363.6833242073292"/>
    <x v="0"/>
  </r>
  <r>
    <x v="30"/>
    <x v="0"/>
    <x v="167"/>
    <x v="2"/>
    <x v="1"/>
    <x v="19"/>
    <x v="0"/>
    <x v="3"/>
    <n v="0"/>
    <x v="0"/>
  </r>
  <r>
    <x v="30"/>
    <x v="0"/>
    <x v="167"/>
    <x v="2"/>
    <x v="1"/>
    <x v="19"/>
    <x v="0"/>
    <x v="4"/>
    <n v="864.28291279905875"/>
    <x v="0"/>
  </r>
  <r>
    <x v="30"/>
    <x v="0"/>
    <x v="167"/>
    <x v="2"/>
    <x v="1"/>
    <x v="19"/>
    <x v="0"/>
    <x v="5"/>
    <n v="0"/>
    <x v="0"/>
  </r>
  <r>
    <x v="30"/>
    <x v="0"/>
    <x v="167"/>
    <x v="2"/>
    <x v="1"/>
    <x v="19"/>
    <x v="0"/>
    <x v="6"/>
    <n v="0"/>
    <x v="0"/>
  </r>
  <r>
    <x v="30"/>
    <x v="0"/>
    <x v="167"/>
    <x v="2"/>
    <x v="1"/>
    <x v="19"/>
    <x v="0"/>
    <x v="7"/>
    <n v="0"/>
    <x v="0"/>
  </r>
  <r>
    <x v="30"/>
    <x v="0"/>
    <x v="167"/>
    <x v="2"/>
    <x v="1"/>
    <x v="19"/>
    <x v="0"/>
    <x v="8"/>
    <n v="0"/>
    <x v="0"/>
  </r>
  <r>
    <x v="30"/>
    <x v="0"/>
    <x v="167"/>
    <x v="2"/>
    <x v="1"/>
    <x v="19"/>
    <x v="0"/>
    <x v="9"/>
    <n v="0"/>
    <x v="0"/>
  </r>
  <r>
    <x v="30"/>
    <x v="0"/>
    <x v="167"/>
    <x v="2"/>
    <x v="1"/>
    <x v="19"/>
    <x v="0"/>
    <x v="10"/>
    <n v="0"/>
    <x v="0"/>
  </r>
  <r>
    <x v="30"/>
    <x v="0"/>
    <x v="167"/>
    <x v="2"/>
    <x v="1"/>
    <x v="19"/>
    <x v="0"/>
    <x v="11"/>
    <n v="0"/>
    <x v="0"/>
  </r>
  <r>
    <x v="30"/>
    <x v="1"/>
    <x v="168"/>
    <x v="2"/>
    <x v="3"/>
    <x v="20"/>
    <x v="0"/>
    <x v="0"/>
    <n v="0"/>
    <x v="0"/>
  </r>
  <r>
    <x v="30"/>
    <x v="1"/>
    <x v="168"/>
    <x v="2"/>
    <x v="3"/>
    <x v="20"/>
    <x v="0"/>
    <x v="1"/>
    <n v="0"/>
    <x v="0"/>
  </r>
  <r>
    <x v="30"/>
    <x v="1"/>
    <x v="168"/>
    <x v="2"/>
    <x v="3"/>
    <x v="20"/>
    <x v="0"/>
    <x v="2"/>
    <n v="0"/>
    <x v="0"/>
  </r>
  <r>
    <x v="30"/>
    <x v="1"/>
    <x v="168"/>
    <x v="2"/>
    <x v="3"/>
    <x v="20"/>
    <x v="0"/>
    <x v="3"/>
    <n v="0"/>
    <x v="0"/>
  </r>
  <r>
    <x v="30"/>
    <x v="1"/>
    <x v="168"/>
    <x v="2"/>
    <x v="3"/>
    <x v="20"/>
    <x v="0"/>
    <x v="4"/>
    <n v="0"/>
    <x v="0"/>
  </r>
  <r>
    <x v="30"/>
    <x v="1"/>
    <x v="168"/>
    <x v="2"/>
    <x v="3"/>
    <x v="20"/>
    <x v="0"/>
    <x v="5"/>
    <n v="0"/>
    <x v="0"/>
  </r>
  <r>
    <x v="30"/>
    <x v="1"/>
    <x v="168"/>
    <x v="2"/>
    <x v="3"/>
    <x v="20"/>
    <x v="0"/>
    <x v="6"/>
    <n v="0"/>
    <x v="0"/>
  </r>
  <r>
    <x v="30"/>
    <x v="1"/>
    <x v="168"/>
    <x v="2"/>
    <x v="3"/>
    <x v="20"/>
    <x v="0"/>
    <x v="7"/>
    <n v="0"/>
    <x v="0"/>
  </r>
  <r>
    <x v="30"/>
    <x v="1"/>
    <x v="168"/>
    <x v="2"/>
    <x v="3"/>
    <x v="20"/>
    <x v="0"/>
    <x v="8"/>
    <n v="0"/>
    <x v="0"/>
  </r>
  <r>
    <x v="30"/>
    <x v="1"/>
    <x v="168"/>
    <x v="2"/>
    <x v="3"/>
    <x v="20"/>
    <x v="0"/>
    <x v="9"/>
    <n v="0"/>
    <x v="0"/>
  </r>
  <r>
    <x v="30"/>
    <x v="1"/>
    <x v="168"/>
    <x v="2"/>
    <x v="3"/>
    <x v="20"/>
    <x v="0"/>
    <x v="10"/>
    <n v="0"/>
    <x v="0"/>
  </r>
  <r>
    <x v="30"/>
    <x v="1"/>
    <x v="168"/>
    <x v="2"/>
    <x v="3"/>
    <x v="20"/>
    <x v="0"/>
    <x v="11"/>
    <n v="0"/>
    <x v="0"/>
  </r>
  <r>
    <x v="30"/>
    <x v="1"/>
    <x v="169"/>
    <x v="2"/>
    <x v="1"/>
    <x v="8"/>
    <x v="0"/>
    <x v="0"/>
    <n v="0"/>
    <x v="0"/>
  </r>
  <r>
    <x v="30"/>
    <x v="1"/>
    <x v="169"/>
    <x v="2"/>
    <x v="1"/>
    <x v="8"/>
    <x v="0"/>
    <x v="1"/>
    <n v="0"/>
    <x v="0"/>
  </r>
  <r>
    <x v="30"/>
    <x v="1"/>
    <x v="169"/>
    <x v="2"/>
    <x v="1"/>
    <x v="8"/>
    <x v="0"/>
    <x v="2"/>
    <n v="0"/>
    <x v="0"/>
  </r>
  <r>
    <x v="30"/>
    <x v="1"/>
    <x v="169"/>
    <x v="2"/>
    <x v="1"/>
    <x v="8"/>
    <x v="0"/>
    <x v="3"/>
    <n v="2045.1382090111858"/>
    <x v="0"/>
  </r>
  <r>
    <x v="30"/>
    <x v="1"/>
    <x v="169"/>
    <x v="2"/>
    <x v="1"/>
    <x v="8"/>
    <x v="0"/>
    <x v="4"/>
    <n v="122.23820107203557"/>
    <x v="0"/>
  </r>
  <r>
    <x v="30"/>
    <x v="1"/>
    <x v="169"/>
    <x v="2"/>
    <x v="1"/>
    <x v="8"/>
    <x v="0"/>
    <x v="5"/>
    <n v="0"/>
    <x v="0"/>
  </r>
  <r>
    <x v="30"/>
    <x v="1"/>
    <x v="169"/>
    <x v="2"/>
    <x v="1"/>
    <x v="8"/>
    <x v="0"/>
    <x v="6"/>
    <n v="0"/>
    <x v="0"/>
  </r>
  <r>
    <x v="30"/>
    <x v="1"/>
    <x v="169"/>
    <x v="2"/>
    <x v="1"/>
    <x v="8"/>
    <x v="0"/>
    <x v="7"/>
    <n v="101.83890740939886"/>
    <x v="0"/>
  </r>
  <r>
    <x v="30"/>
    <x v="1"/>
    <x v="169"/>
    <x v="2"/>
    <x v="1"/>
    <x v="8"/>
    <x v="0"/>
    <x v="8"/>
    <n v="0"/>
    <x v="0"/>
  </r>
  <r>
    <x v="30"/>
    <x v="1"/>
    <x v="169"/>
    <x v="2"/>
    <x v="1"/>
    <x v="8"/>
    <x v="0"/>
    <x v="9"/>
    <n v="0"/>
    <x v="0"/>
  </r>
  <r>
    <x v="30"/>
    <x v="1"/>
    <x v="169"/>
    <x v="2"/>
    <x v="1"/>
    <x v="8"/>
    <x v="0"/>
    <x v="10"/>
    <n v="0"/>
    <x v="0"/>
  </r>
  <r>
    <x v="30"/>
    <x v="1"/>
    <x v="169"/>
    <x v="2"/>
    <x v="1"/>
    <x v="8"/>
    <x v="0"/>
    <x v="11"/>
    <n v="0"/>
    <x v="0"/>
  </r>
  <r>
    <x v="30"/>
    <x v="1"/>
    <x v="170"/>
    <x v="2"/>
    <x v="1"/>
    <x v="8"/>
    <x v="0"/>
    <x v="0"/>
    <n v="0"/>
    <x v="0"/>
  </r>
  <r>
    <x v="30"/>
    <x v="1"/>
    <x v="170"/>
    <x v="2"/>
    <x v="1"/>
    <x v="8"/>
    <x v="0"/>
    <x v="1"/>
    <n v="0"/>
    <x v="0"/>
  </r>
  <r>
    <x v="30"/>
    <x v="1"/>
    <x v="170"/>
    <x v="2"/>
    <x v="1"/>
    <x v="8"/>
    <x v="0"/>
    <x v="2"/>
    <n v="0"/>
    <x v="0"/>
  </r>
  <r>
    <x v="30"/>
    <x v="1"/>
    <x v="170"/>
    <x v="2"/>
    <x v="1"/>
    <x v="8"/>
    <x v="0"/>
    <x v="3"/>
    <n v="1264.9342804174391"/>
    <x v="0"/>
  </r>
  <r>
    <x v="30"/>
    <x v="1"/>
    <x v="170"/>
    <x v="2"/>
    <x v="1"/>
    <x v="8"/>
    <x v="0"/>
    <x v="4"/>
    <n v="306.26879330631454"/>
    <x v="0"/>
  </r>
  <r>
    <x v="30"/>
    <x v="1"/>
    <x v="170"/>
    <x v="2"/>
    <x v="1"/>
    <x v="8"/>
    <x v="0"/>
    <x v="5"/>
    <n v="1725.6079388389771"/>
    <x v="0"/>
  </r>
  <r>
    <x v="30"/>
    <x v="1"/>
    <x v="170"/>
    <x v="2"/>
    <x v="1"/>
    <x v="8"/>
    <x v="0"/>
    <x v="6"/>
    <n v="0"/>
    <x v="0"/>
  </r>
  <r>
    <x v="30"/>
    <x v="1"/>
    <x v="170"/>
    <x v="2"/>
    <x v="1"/>
    <x v="8"/>
    <x v="0"/>
    <x v="7"/>
    <n v="0"/>
    <x v="0"/>
  </r>
  <r>
    <x v="30"/>
    <x v="1"/>
    <x v="170"/>
    <x v="2"/>
    <x v="1"/>
    <x v="8"/>
    <x v="0"/>
    <x v="8"/>
    <n v="0"/>
    <x v="0"/>
  </r>
  <r>
    <x v="30"/>
    <x v="1"/>
    <x v="170"/>
    <x v="2"/>
    <x v="1"/>
    <x v="8"/>
    <x v="0"/>
    <x v="9"/>
    <n v="0"/>
    <x v="0"/>
  </r>
  <r>
    <x v="30"/>
    <x v="1"/>
    <x v="170"/>
    <x v="2"/>
    <x v="1"/>
    <x v="8"/>
    <x v="0"/>
    <x v="10"/>
    <n v="1352.6348291477975"/>
    <x v="0"/>
  </r>
  <r>
    <x v="30"/>
    <x v="1"/>
    <x v="170"/>
    <x v="2"/>
    <x v="1"/>
    <x v="8"/>
    <x v="0"/>
    <x v="11"/>
    <n v="0"/>
    <x v="0"/>
  </r>
  <r>
    <x v="30"/>
    <x v="1"/>
    <x v="171"/>
    <x v="2"/>
    <x v="3"/>
    <x v="9"/>
    <x v="0"/>
    <x v="0"/>
    <n v="0"/>
    <x v="0"/>
  </r>
  <r>
    <x v="30"/>
    <x v="1"/>
    <x v="171"/>
    <x v="2"/>
    <x v="3"/>
    <x v="9"/>
    <x v="0"/>
    <x v="1"/>
    <n v="0"/>
    <x v="0"/>
  </r>
  <r>
    <x v="30"/>
    <x v="1"/>
    <x v="171"/>
    <x v="2"/>
    <x v="3"/>
    <x v="9"/>
    <x v="0"/>
    <x v="2"/>
    <n v="0"/>
    <x v="0"/>
  </r>
  <r>
    <x v="30"/>
    <x v="1"/>
    <x v="171"/>
    <x v="2"/>
    <x v="3"/>
    <x v="9"/>
    <x v="0"/>
    <x v="3"/>
    <n v="0"/>
    <x v="0"/>
  </r>
  <r>
    <x v="30"/>
    <x v="1"/>
    <x v="171"/>
    <x v="2"/>
    <x v="3"/>
    <x v="9"/>
    <x v="0"/>
    <x v="4"/>
    <n v="102.70623610929533"/>
    <x v="0"/>
  </r>
  <r>
    <x v="30"/>
    <x v="1"/>
    <x v="171"/>
    <x v="2"/>
    <x v="3"/>
    <x v="9"/>
    <x v="0"/>
    <x v="5"/>
    <n v="0"/>
    <x v="0"/>
  </r>
  <r>
    <x v="30"/>
    <x v="1"/>
    <x v="171"/>
    <x v="2"/>
    <x v="3"/>
    <x v="9"/>
    <x v="0"/>
    <x v="6"/>
    <n v="0"/>
    <x v="0"/>
  </r>
  <r>
    <x v="30"/>
    <x v="1"/>
    <x v="171"/>
    <x v="2"/>
    <x v="3"/>
    <x v="9"/>
    <x v="0"/>
    <x v="7"/>
    <n v="0"/>
    <x v="0"/>
  </r>
  <r>
    <x v="30"/>
    <x v="1"/>
    <x v="171"/>
    <x v="2"/>
    <x v="3"/>
    <x v="9"/>
    <x v="0"/>
    <x v="8"/>
    <n v="0"/>
    <x v="0"/>
  </r>
  <r>
    <x v="30"/>
    <x v="1"/>
    <x v="171"/>
    <x v="2"/>
    <x v="3"/>
    <x v="9"/>
    <x v="0"/>
    <x v="9"/>
    <n v="0"/>
    <x v="0"/>
  </r>
  <r>
    <x v="30"/>
    <x v="1"/>
    <x v="171"/>
    <x v="2"/>
    <x v="3"/>
    <x v="9"/>
    <x v="0"/>
    <x v="10"/>
    <n v="0"/>
    <x v="0"/>
  </r>
  <r>
    <x v="30"/>
    <x v="1"/>
    <x v="171"/>
    <x v="2"/>
    <x v="3"/>
    <x v="9"/>
    <x v="0"/>
    <x v="11"/>
    <n v="0"/>
    <x v="0"/>
  </r>
  <r>
    <x v="30"/>
    <x v="1"/>
    <x v="172"/>
    <x v="2"/>
    <x v="2"/>
    <x v="3"/>
    <x v="0"/>
    <x v="0"/>
    <n v="0"/>
    <x v="0"/>
  </r>
  <r>
    <x v="30"/>
    <x v="1"/>
    <x v="172"/>
    <x v="2"/>
    <x v="2"/>
    <x v="3"/>
    <x v="0"/>
    <x v="1"/>
    <n v="0"/>
    <x v="0"/>
  </r>
  <r>
    <x v="30"/>
    <x v="1"/>
    <x v="172"/>
    <x v="2"/>
    <x v="2"/>
    <x v="3"/>
    <x v="0"/>
    <x v="2"/>
    <n v="0"/>
    <x v="0"/>
  </r>
  <r>
    <x v="30"/>
    <x v="1"/>
    <x v="172"/>
    <x v="2"/>
    <x v="2"/>
    <x v="3"/>
    <x v="0"/>
    <x v="3"/>
    <n v="0"/>
    <x v="0"/>
  </r>
  <r>
    <x v="30"/>
    <x v="1"/>
    <x v="172"/>
    <x v="2"/>
    <x v="2"/>
    <x v="3"/>
    <x v="0"/>
    <x v="4"/>
    <n v="129.64657689458318"/>
    <x v="0"/>
  </r>
  <r>
    <x v="30"/>
    <x v="1"/>
    <x v="172"/>
    <x v="2"/>
    <x v="2"/>
    <x v="3"/>
    <x v="0"/>
    <x v="5"/>
    <n v="0"/>
    <x v="0"/>
  </r>
  <r>
    <x v="30"/>
    <x v="1"/>
    <x v="172"/>
    <x v="2"/>
    <x v="2"/>
    <x v="3"/>
    <x v="0"/>
    <x v="6"/>
    <n v="0"/>
    <x v="0"/>
  </r>
  <r>
    <x v="30"/>
    <x v="1"/>
    <x v="172"/>
    <x v="2"/>
    <x v="2"/>
    <x v="3"/>
    <x v="0"/>
    <x v="7"/>
    <n v="0"/>
    <x v="0"/>
  </r>
  <r>
    <x v="30"/>
    <x v="1"/>
    <x v="172"/>
    <x v="2"/>
    <x v="2"/>
    <x v="3"/>
    <x v="0"/>
    <x v="8"/>
    <n v="0"/>
    <x v="0"/>
  </r>
  <r>
    <x v="30"/>
    <x v="1"/>
    <x v="172"/>
    <x v="2"/>
    <x v="2"/>
    <x v="3"/>
    <x v="0"/>
    <x v="9"/>
    <n v="0"/>
    <x v="0"/>
  </r>
  <r>
    <x v="30"/>
    <x v="1"/>
    <x v="172"/>
    <x v="2"/>
    <x v="2"/>
    <x v="3"/>
    <x v="0"/>
    <x v="10"/>
    <n v="0"/>
    <x v="0"/>
  </r>
  <r>
    <x v="30"/>
    <x v="1"/>
    <x v="172"/>
    <x v="2"/>
    <x v="2"/>
    <x v="3"/>
    <x v="0"/>
    <x v="11"/>
    <n v="0"/>
    <x v="0"/>
  </r>
  <r>
    <x v="30"/>
    <x v="1"/>
    <x v="173"/>
    <x v="0"/>
    <x v="4"/>
    <x v="14"/>
    <x v="0"/>
    <x v="0"/>
    <n v="0"/>
    <x v="0"/>
  </r>
  <r>
    <x v="30"/>
    <x v="1"/>
    <x v="173"/>
    <x v="0"/>
    <x v="4"/>
    <x v="14"/>
    <x v="0"/>
    <x v="1"/>
    <n v="0"/>
    <x v="0"/>
  </r>
  <r>
    <x v="30"/>
    <x v="1"/>
    <x v="173"/>
    <x v="0"/>
    <x v="4"/>
    <x v="14"/>
    <x v="0"/>
    <x v="2"/>
    <n v="0"/>
    <x v="0"/>
  </r>
  <r>
    <x v="30"/>
    <x v="1"/>
    <x v="173"/>
    <x v="0"/>
    <x v="4"/>
    <x v="14"/>
    <x v="0"/>
    <x v="3"/>
    <n v="0"/>
    <x v="0"/>
  </r>
  <r>
    <x v="30"/>
    <x v="1"/>
    <x v="173"/>
    <x v="0"/>
    <x v="4"/>
    <x v="14"/>
    <x v="0"/>
    <x v="4"/>
    <n v="0"/>
    <x v="0"/>
  </r>
  <r>
    <x v="30"/>
    <x v="1"/>
    <x v="173"/>
    <x v="0"/>
    <x v="4"/>
    <x v="14"/>
    <x v="0"/>
    <x v="5"/>
    <n v="0"/>
    <x v="0"/>
  </r>
  <r>
    <x v="30"/>
    <x v="1"/>
    <x v="173"/>
    <x v="0"/>
    <x v="4"/>
    <x v="14"/>
    <x v="0"/>
    <x v="6"/>
    <n v="0"/>
    <x v="0"/>
  </r>
  <r>
    <x v="30"/>
    <x v="1"/>
    <x v="173"/>
    <x v="0"/>
    <x v="4"/>
    <x v="14"/>
    <x v="0"/>
    <x v="7"/>
    <n v="1075.384449940854"/>
    <x v="0"/>
  </r>
  <r>
    <x v="30"/>
    <x v="1"/>
    <x v="173"/>
    <x v="0"/>
    <x v="4"/>
    <x v="14"/>
    <x v="0"/>
    <x v="8"/>
    <n v="0"/>
    <x v="0"/>
  </r>
  <r>
    <x v="30"/>
    <x v="1"/>
    <x v="173"/>
    <x v="0"/>
    <x v="4"/>
    <x v="14"/>
    <x v="0"/>
    <x v="9"/>
    <n v="278.29644146025424"/>
    <x v="0"/>
  </r>
  <r>
    <x v="30"/>
    <x v="1"/>
    <x v="173"/>
    <x v="0"/>
    <x v="4"/>
    <x v="14"/>
    <x v="0"/>
    <x v="10"/>
    <n v="0"/>
    <x v="0"/>
  </r>
  <r>
    <x v="30"/>
    <x v="1"/>
    <x v="173"/>
    <x v="0"/>
    <x v="4"/>
    <x v="14"/>
    <x v="0"/>
    <x v="11"/>
    <n v="0"/>
    <x v="0"/>
  </r>
  <r>
    <x v="30"/>
    <x v="1"/>
    <x v="174"/>
    <x v="0"/>
    <x v="1"/>
    <x v="21"/>
    <x v="0"/>
    <x v="0"/>
    <n v="0"/>
    <x v="0"/>
  </r>
  <r>
    <x v="30"/>
    <x v="1"/>
    <x v="174"/>
    <x v="0"/>
    <x v="1"/>
    <x v="21"/>
    <x v="0"/>
    <x v="1"/>
    <n v="0"/>
    <x v="0"/>
  </r>
  <r>
    <x v="30"/>
    <x v="1"/>
    <x v="174"/>
    <x v="0"/>
    <x v="1"/>
    <x v="21"/>
    <x v="0"/>
    <x v="2"/>
    <n v="0"/>
    <x v="0"/>
  </r>
  <r>
    <x v="30"/>
    <x v="1"/>
    <x v="174"/>
    <x v="0"/>
    <x v="1"/>
    <x v="21"/>
    <x v="0"/>
    <x v="3"/>
    <n v="0"/>
    <x v="0"/>
  </r>
  <r>
    <x v="30"/>
    <x v="1"/>
    <x v="174"/>
    <x v="0"/>
    <x v="1"/>
    <x v="21"/>
    <x v="0"/>
    <x v="4"/>
    <n v="0"/>
    <x v="0"/>
  </r>
  <r>
    <x v="30"/>
    <x v="1"/>
    <x v="174"/>
    <x v="0"/>
    <x v="1"/>
    <x v="21"/>
    <x v="0"/>
    <x v="5"/>
    <n v="0"/>
    <x v="0"/>
  </r>
  <r>
    <x v="30"/>
    <x v="1"/>
    <x v="174"/>
    <x v="0"/>
    <x v="1"/>
    <x v="21"/>
    <x v="0"/>
    <x v="6"/>
    <n v="0"/>
    <x v="0"/>
  </r>
  <r>
    <x v="30"/>
    <x v="1"/>
    <x v="174"/>
    <x v="0"/>
    <x v="1"/>
    <x v="21"/>
    <x v="0"/>
    <x v="7"/>
    <n v="0"/>
    <x v="0"/>
  </r>
  <r>
    <x v="30"/>
    <x v="1"/>
    <x v="174"/>
    <x v="0"/>
    <x v="1"/>
    <x v="21"/>
    <x v="0"/>
    <x v="8"/>
    <n v="0"/>
    <x v="0"/>
  </r>
  <r>
    <x v="30"/>
    <x v="1"/>
    <x v="174"/>
    <x v="0"/>
    <x v="1"/>
    <x v="21"/>
    <x v="0"/>
    <x v="9"/>
    <n v="0"/>
    <x v="0"/>
  </r>
  <r>
    <x v="30"/>
    <x v="1"/>
    <x v="174"/>
    <x v="0"/>
    <x v="1"/>
    <x v="21"/>
    <x v="0"/>
    <x v="10"/>
    <n v="0"/>
    <x v="0"/>
  </r>
  <r>
    <x v="30"/>
    <x v="1"/>
    <x v="174"/>
    <x v="0"/>
    <x v="1"/>
    <x v="21"/>
    <x v="0"/>
    <x v="11"/>
    <n v="0"/>
    <x v="0"/>
  </r>
  <r>
    <x v="53"/>
    <x v="0"/>
    <x v="175"/>
    <x v="2"/>
    <x v="0"/>
    <x v="0"/>
    <x v="0"/>
    <x v="0"/>
    <n v="799.46254914701706"/>
    <x v="0"/>
  </r>
  <r>
    <x v="53"/>
    <x v="0"/>
    <x v="175"/>
    <x v="2"/>
    <x v="0"/>
    <x v="0"/>
    <x v="0"/>
    <x v="1"/>
    <n v="753.45013700905088"/>
    <x v="0"/>
  </r>
  <r>
    <x v="53"/>
    <x v="0"/>
    <x v="175"/>
    <x v="2"/>
    <x v="0"/>
    <x v="0"/>
    <x v="0"/>
    <x v="2"/>
    <n v="727.3997086566178"/>
    <x v="0"/>
  </r>
  <r>
    <x v="53"/>
    <x v="0"/>
    <x v="175"/>
    <x v="2"/>
    <x v="0"/>
    <x v="0"/>
    <x v="0"/>
    <x v="3"/>
    <n v="733.30139354677442"/>
    <x v="0"/>
  </r>
  <r>
    <x v="53"/>
    <x v="0"/>
    <x v="175"/>
    <x v="2"/>
    <x v="0"/>
    <x v="0"/>
    <x v="0"/>
    <x v="4"/>
    <n v="3490.7308144855538"/>
    <x v="0"/>
  </r>
  <r>
    <x v="53"/>
    <x v="0"/>
    <x v="175"/>
    <x v="2"/>
    <x v="0"/>
    <x v="0"/>
    <x v="0"/>
    <x v="5"/>
    <n v="807.42052522460256"/>
    <x v="0"/>
  </r>
  <r>
    <x v="53"/>
    <x v="0"/>
    <x v="175"/>
    <x v="2"/>
    <x v="0"/>
    <x v="0"/>
    <x v="0"/>
    <x v="6"/>
    <n v="774.24804812492005"/>
    <x v="0"/>
  </r>
  <r>
    <x v="53"/>
    <x v="0"/>
    <x v="175"/>
    <x v="2"/>
    <x v="0"/>
    <x v="0"/>
    <x v="0"/>
    <x v="7"/>
    <n v="851.05925368319174"/>
    <x v="0"/>
  </r>
  <r>
    <x v="53"/>
    <x v="0"/>
    <x v="175"/>
    <x v="2"/>
    <x v="0"/>
    <x v="0"/>
    <x v="0"/>
    <x v="8"/>
    <n v="1238.6737348981333"/>
    <x v="0"/>
  </r>
  <r>
    <x v="53"/>
    <x v="0"/>
    <x v="175"/>
    <x v="2"/>
    <x v="0"/>
    <x v="0"/>
    <x v="0"/>
    <x v="9"/>
    <n v="699.62090789346871"/>
    <x v="0"/>
  </r>
  <r>
    <x v="53"/>
    <x v="0"/>
    <x v="175"/>
    <x v="2"/>
    <x v="0"/>
    <x v="0"/>
    <x v="0"/>
    <x v="10"/>
    <n v="747.12227254013999"/>
    <x v="0"/>
  </r>
  <r>
    <x v="53"/>
    <x v="0"/>
    <x v="175"/>
    <x v="2"/>
    <x v="0"/>
    <x v="0"/>
    <x v="0"/>
    <x v="11"/>
    <n v="1528.6645481952253"/>
    <x v="0"/>
  </r>
  <r>
    <x v="30"/>
    <x v="1"/>
    <x v="176"/>
    <x v="2"/>
    <x v="2"/>
    <x v="3"/>
    <x v="0"/>
    <x v="0"/>
    <n v="0"/>
    <x v="0"/>
  </r>
  <r>
    <x v="30"/>
    <x v="1"/>
    <x v="176"/>
    <x v="2"/>
    <x v="2"/>
    <x v="3"/>
    <x v="0"/>
    <x v="1"/>
    <n v="0"/>
    <x v="0"/>
  </r>
  <r>
    <x v="30"/>
    <x v="1"/>
    <x v="176"/>
    <x v="2"/>
    <x v="2"/>
    <x v="3"/>
    <x v="0"/>
    <x v="2"/>
    <n v="0"/>
    <x v="0"/>
  </r>
  <r>
    <x v="30"/>
    <x v="1"/>
    <x v="176"/>
    <x v="2"/>
    <x v="2"/>
    <x v="3"/>
    <x v="0"/>
    <x v="3"/>
    <n v="0"/>
    <x v="0"/>
  </r>
  <r>
    <x v="30"/>
    <x v="1"/>
    <x v="176"/>
    <x v="2"/>
    <x v="2"/>
    <x v="3"/>
    <x v="0"/>
    <x v="4"/>
    <n v="0"/>
    <x v="0"/>
  </r>
  <r>
    <x v="30"/>
    <x v="1"/>
    <x v="176"/>
    <x v="2"/>
    <x v="2"/>
    <x v="3"/>
    <x v="0"/>
    <x v="5"/>
    <n v="0"/>
    <x v="0"/>
  </r>
  <r>
    <x v="30"/>
    <x v="1"/>
    <x v="176"/>
    <x v="2"/>
    <x v="2"/>
    <x v="3"/>
    <x v="0"/>
    <x v="6"/>
    <n v="0"/>
    <x v="0"/>
  </r>
  <r>
    <x v="30"/>
    <x v="1"/>
    <x v="176"/>
    <x v="2"/>
    <x v="2"/>
    <x v="3"/>
    <x v="0"/>
    <x v="7"/>
    <n v="0"/>
    <x v="0"/>
  </r>
  <r>
    <x v="30"/>
    <x v="1"/>
    <x v="176"/>
    <x v="2"/>
    <x v="2"/>
    <x v="3"/>
    <x v="0"/>
    <x v="8"/>
    <n v="0"/>
    <x v="0"/>
  </r>
  <r>
    <x v="30"/>
    <x v="1"/>
    <x v="176"/>
    <x v="2"/>
    <x v="2"/>
    <x v="3"/>
    <x v="0"/>
    <x v="9"/>
    <n v="4137.2238463927351"/>
    <x v="0"/>
  </r>
  <r>
    <x v="30"/>
    <x v="1"/>
    <x v="176"/>
    <x v="2"/>
    <x v="2"/>
    <x v="3"/>
    <x v="0"/>
    <x v="10"/>
    <n v="0"/>
    <x v="0"/>
  </r>
  <r>
    <x v="30"/>
    <x v="1"/>
    <x v="176"/>
    <x v="2"/>
    <x v="2"/>
    <x v="3"/>
    <x v="0"/>
    <x v="11"/>
    <n v="1134.1593334962927"/>
    <x v="0"/>
  </r>
  <r>
    <x v="54"/>
    <x v="0"/>
    <x v="177"/>
    <x v="2"/>
    <x v="0"/>
    <x v="0"/>
    <x v="0"/>
    <x v="0"/>
    <n v="0"/>
    <x v="0"/>
  </r>
  <r>
    <x v="54"/>
    <x v="0"/>
    <x v="177"/>
    <x v="2"/>
    <x v="0"/>
    <x v="0"/>
    <x v="0"/>
    <x v="1"/>
    <n v="0"/>
    <x v="0"/>
  </r>
  <r>
    <x v="54"/>
    <x v="0"/>
    <x v="177"/>
    <x v="2"/>
    <x v="0"/>
    <x v="0"/>
    <x v="0"/>
    <x v="2"/>
    <n v="0"/>
    <x v="0"/>
  </r>
  <r>
    <x v="54"/>
    <x v="0"/>
    <x v="177"/>
    <x v="2"/>
    <x v="0"/>
    <x v="0"/>
    <x v="0"/>
    <x v="3"/>
    <n v="0"/>
    <x v="0"/>
  </r>
  <r>
    <x v="54"/>
    <x v="0"/>
    <x v="177"/>
    <x v="2"/>
    <x v="0"/>
    <x v="0"/>
    <x v="0"/>
    <x v="4"/>
    <n v="0"/>
    <x v="0"/>
  </r>
  <r>
    <x v="54"/>
    <x v="0"/>
    <x v="177"/>
    <x v="2"/>
    <x v="0"/>
    <x v="0"/>
    <x v="0"/>
    <x v="5"/>
    <n v="0"/>
    <x v="0"/>
  </r>
  <r>
    <x v="54"/>
    <x v="0"/>
    <x v="177"/>
    <x v="2"/>
    <x v="0"/>
    <x v="0"/>
    <x v="0"/>
    <x v="6"/>
    <n v="0"/>
    <x v="0"/>
  </r>
  <r>
    <x v="54"/>
    <x v="0"/>
    <x v="177"/>
    <x v="2"/>
    <x v="0"/>
    <x v="0"/>
    <x v="0"/>
    <x v="7"/>
    <n v="0"/>
    <x v="0"/>
  </r>
  <r>
    <x v="54"/>
    <x v="0"/>
    <x v="177"/>
    <x v="2"/>
    <x v="0"/>
    <x v="0"/>
    <x v="0"/>
    <x v="8"/>
    <n v="0"/>
    <x v="0"/>
  </r>
  <r>
    <x v="54"/>
    <x v="0"/>
    <x v="177"/>
    <x v="2"/>
    <x v="0"/>
    <x v="0"/>
    <x v="0"/>
    <x v="9"/>
    <n v="5354.4082843404976"/>
    <x v="0"/>
  </r>
  <r>
    <x v="54"/>
    <x v="0"/>
    <x v="177"/>
    <x v="2"/>
    <x v="0"/>
    <x v="0"/>
    <x v="0"/>
    <x v="10"/>
    <n v="2573.075339645945"/>
    <x v="0"/>
  </r>
  <r>
    <x v="54"/>
    <x v="0"/>
    <x v="177"/>
    <x v="2"/>
    <x v="0"/>
    <x v="0"/>
    <x v="0"/>
    <x v="11"/>
    <n v="2800.8636845107144"/>
    <x v="0"/>
  </r>
  <r>
    <x v="30"/>
    <x v="1"/>
    <x v="178"/>
    <x v="2"/>
    <x v="3"/>
    <x v="22"/>
    <x v="0"/>
    <x v="0"/>
    <n v="0"/>
    <x v="0"/>
  </r>
  <r>
    <x v="30"/>
    <x v="1"/>
    <x v="178"/>
    <x v="2"/>
    <x v="3"/>
    <x v="22"/>
    <x v="0"/>
    <x v="1"/>
    <n v="0"/>
    <x v="0"/>
  </r>
  <r>
    <x v="30"/>
    <x v="1"/>
    <x v="178"/>
    <x v="2"/>
    <x v="3"/>
    <x v="22"/>
    <x v="0"/>
    <x v="2"/>
    <n v="0"/>
    <x v="0"/>
  </r>
  <r>
    <x v="30"/>
    <x v="1"/>
    <x v="178"/>
    <x v="2"/>
    <x v="3"/>
    <x v="22"/>
    <x v="0"/>
    <x v="3"/>
    <n v="0"/>
    <x v="0"/>
  </r>
  <r>
    <x v="30"/>
    <x v="1"/>
    <x v="178"/>
    <x v="2"/>
    <x v="3"/>
    <x v="22"/>
    <x v="0"/>
    <x v="4"/>
    <n v="0"/>
    <x v="0"/>
  </r>
  <r>
    <x v="30"/>
    <x v="1"/>
    <x v="178"/>
    <x v="2"/>
    <x v="3"/>
    <x v="22"/>
    <x v="0"/>
    <x v="5"/>
    <n v="215.9640635798203"/>
    <x v="0"/>
  </r>
  <r>
    <x v="30"/>
    <x v="1"/>
    <x v="178"/>
    <x v="2"/>
    <x v="3"/>
    <x v="22"/>
    <x v="0"/>
    <x v="6"/>
    <n v="281.007082213405"/>
    <x v="0"/>
  </r>
  <r>
    <x v="30"/>
    <x v="1"/>
    <x v="178"/>
    <x v="2"/>
    <x v="3"/>
    <x v="22"/>
    <x v="0"/>
    <x v="7"/>
    <n v="120.70975373696096"/>
    <x v="0"/>
  </r>
  <r>
    <x v="30"/>
    <x v="1"/>
    <x v="178"/>
    <x v="2"/>
    <x v="3"/>
    <x v="22"/>
    <x v="0"/>
    <x v="8"/>
    <n v="124.32385744053724"/>
    <x v="0"/>
  </r>
  <r>
    <x v="30"/>
    <x v="1"/>
    <x v="178"/>
    <x v="2"/>
    <x v="3"/>
    <x v="22"/>
    <x v="0"/>
    <x v="9"/>
    <n v="145.84551461218021"/>
    <x v="0"/>
  </r>
  <r>
    <x v="30"/>
    <x v="1"/>
    <x v="178"/>
    <x v="2"/>
    <x v="3"/>
    <x v="22"/>
    <x v="0"/>
    <x v="10"/>
    <n v="444.8507616303005"/>
    <x v="0"/>
  </r>
  <r>
    <x v="30"/>
    <x v="1"/>
    <x v="178"/>
    <x v="2"/>
    <x v="3"/>
    <x v="22"/>
    <x v="0"/>
    <x v="11"/>
    <n v="113.93913468589587"/>
    <x v="0"/>
  </r>
  <r>
    <x v="30"/>
    <x v="1"/>
    <x v="179"/>
    <x v="2"/>
    <x v="0"/>
    <x v="0"/>
    <x v="0"/>
    <x v="0"/>
    <n v="0"/>
    <x v="0"/>
  </r>
  <r>
    <x v="30"/>
    <x v="1"/>
    <x v="179"/>
    <x v="2"/>
    <x v="0"/>
    <x v="0"/>
    <x v="0"/>
    <x v="1"/>
    <n v="72.656314871709696"/>
    <x v="0"/>
  </r>
  <r>
    <x v="30"/>
    <x v="1"/>
    <x v="179"/>
    <x v="2"/>
    <x v="0"/>
    <x v="0"/>
    <x v="0"/>
    <x v="2"/>
    <n v="118.81024454247725"/>
    <x v="0"/>
  </r>
  <r>
    <x v="30"/>
    <x v="1"/>
    <x v="179"/>
    <x v="2"/>
    <x v="0"/>
    <x v="0"/>
    <x v="0"/>
    <x v="3"/>
    <n v="0"/>
    <x v="0"/>
  </r>
  <r>
    <x v="30"/>
    <x v="1"/>
    <x v="179"/>
    <x v="2"/>
    <x v="0"/>
    <x v="0"/>
    <x v="0"/>
    <x v="4"/>
    <n v="0"/>
    <x v="0"/>
  </r>
  <r>
    <x v="30"/>
    <x v="1"/>
    <x v="179"/>
    <x v="2"/>
    <x v="0"/>
    <x v="0"/>
    <x v="0"/>
    <x v="5"/>
    <n v="0"/>
    <x v="0"/>
  </r>
  <r>
    <x v="30"/>
    <x v="1"/>
    <x v="179"/>
    <x v="2"/>
    <x v="0"/>
    <x v="0"/>
    <x v="0"/>
    <x v="6"/>
    <n v="0"/>
    <x v="0"/>
  </r>
  <r>
    <x v="30"/>
    <x v="1"/>
    <x v="179"/>
    <x v="2"/>
    <x v="0"/>
    <x v="0"/>
    <x v="0"/>
    <x v="7"/>
    <n v="0"/>
    <x v="0"/>
  </r>
  <r>
    <x v="30"/>
    <x v="1"/>
    <x v="179"/>
    <x v="2"/>
    <x v="0"/>
    <x v="0"/>
    <x v="0"/>
    <x v="8"/>
    <n v="0"/>
    <x v="0"/>
  </r>
  <r>
    <x v="30"/>
    <x v="1"/>
    <x v="179"/>
    <x v="2"/>
    <x v="0"/>
    <x v="0"/>
    <x v="0"/>
    <x v="9"/>
    <n v="0"/>
    <x v="0"/>
  </r>
  <r>
    <x v="30"/>
    <x v="1"/>
    <x v="179"/>
    <x v="2"/>
    <x v="0"/>
    <x v="0"/>
    <x v="0"/>
    <x v="10"/>
    <n v="0"/>
    <x v="0"/>
  </r>
  <r>
    <x v="30"/>
    <x v="1"/>
    <x v="179"/>
    <x v="2"/>
    <x v="0"/>
    <x v="0"/>
    <x v="0"/>
    <x v="11"/>
    <n v="0"/>
    <x v="0"/>
  </r>
  <r>
    <x v="30"/>
    <x v="1"/>
    <x v="180"/>
    <x v="2"/>
    <x v="0"/>
    <x v="0"/>
    <x v="0"/>
    <x v="0"/>
    <n v="275.33342878225528"/>
    <x v="0"/>
  </r>
  <r>
    <x v="30"/>
    <x v="1"/>
    <x v="180"/>
    <x v="2"/>
    <x v="0"/>
    <x v="0"/>
    <x v="0"/>
    <x v="1"/>
    <n v="0"/>
    <x v="0"/>
  </r>
  <r>
    <x v="30"/>
    <x v="1"/>
    <x v="180"/>
    <x v="2"/>
    <x v="0"/>
    <x v="0"/>
    <x v="0"/>
    <x v="2"/>
    <n v="0"/>
    <x v="0"/>
  </r>
  <r>
    <x v="30"/>
    <x v="1"/>
    <x v="180"/>
    <x v="2"/>
    <x v="0"/>
    <x v="0"/>
    <x v="0"/>
    <x v="3"/>
    <n v="0"/>
    <x v="0"/>
  </r>
  <r>
    <x v="30"/>
    <x v="1"/>
    <x v="180"/>
    <x v="2"/>
    <x v="0"/>
    <x v="0"/>
    <x v="0"/>
    <x v="4"/>
    <n v="0"/>
    <x v="0"/>
  </r>
  <r>
    <x v="30"/>
    <x v="1"/>
    <x v="180"/>
    <x v="2"/>
    <x v="0"/>
    <x v="0"/>
    <x v="0"/>
    <x v="5"/>
    <n v="314.94795266067723"/>
    <x v="0"/>
  </r>
  <r>
    <x v="30"/>
    <x v="1"/>
    <x v="180"/>
    <x v="2"/>
    <x v="0"/>
    <x v="0"/>
    <x v="0"/>
    <x v="6"/>
    <n v="266.6496010921968"/>
    <x v="0"/>
  </r>
  <r>
    <x v="30"/>
    <x v="1"/>
    <x v="180"/>
    <x v="2"/>
    <x v="0"/>
    <x v="0"/>
    <x v="0"/>
    <x v="7"/>
    <n v="376.38455747929885"/>
    <x v="0"/>
  </r>
  <r>
    <x v="30"/>
    <x v="1"/>
    <x v="180"/>
    <x v="2"/>
    <x v="0"/>
    <x v="0"/>
    <x v="0"/>
    <x v="8"/>
    <n v="465.60715172585049"/>
    <x v="0"/>
  </r>
  <r>
    <x v="30"/>
    <x v="1"/>
    <x v="180"/>
    <x v="2"/>
    <x v="0"/>
    <x v="0"/>
    <x v="0"/>
    <x v="9"/>
    <n v="461.81771452436794"/>
    <x v="0"/>
  </r>
  <r>
    <x v="30"/>
    <x v="1"/>
    <x v="180"/>
    <x v="2"/>
    <x v="0"/>
    <x v="0"/>
    <x v="0"/>
    <x v="10"/>
    <n v="443.85549608892546"/>
    <x v="0"/>
  </r>
  <r>
    <x v="30"/>
    <x v="1"/>
    <x v="180"/>
    <x v="2"/>
    <x v="0"/>
    <x v="0"/>
    <x v="0"/>
    <x v="11"/>
    <n v="592.00073331703743"/>
    <x v="0"/>
  </r>
  <r>
    <x v="30"/>
    <x v="1"/>
    <x v="181"/>
    <x v="2"/>
    <x v="1"/>
    <x v="1"/>
    <x v="0"/>
    <x v="0"/>
    <n v="1872.267315719336"/>
    <x v="0"/>
  </r>
  <r>
    <x v="30"/>
    <x v="1"/>
    <x v="181"/>
    <x v="2"/>
    <x v="1"/>
    <x v="1"/>
    <x v="0"/>
    <x v="1"/>
    <n v="0"/>
    <x v="0"/>
  </r>
  <r>
    <x v="30"/>
    <x v="1"/>
    <x v="181"/>
    <x v="2"/>
    <x v="1"/>
    <x v="1"/>
    <x v="0"/>
    <x v="2"/>
    <n v="0"/>
    <x v="0"/>
  </r>
  <r>
    <x v="30"/>
    <x v="1"/>
    <x v="181"/>
    <x v="2"/>
    <x v="1"/>
    <x v="1"/>
    <x v="0"/>
    <x v="3"/>
    <n v="0"/>
    <x v="0"/>
  </r>
  <r>
    <x v="30"/>
    <x v="1"/>
    <x v="181"/>
    <x v="2"/>
    <x v="1"/>
    <x v="1"/>
    <x v="0"/>
    <x v="4"/>
    <n v="0"/>
    <x v="0"/>
  </r>
  <r>
    <x v="30"/>
    <x v="1"/>
    <x v="181"/>
    <x v="2"/>
    <x v="1"/>
    <x v="1"/>
    <x v="0"/>
    <x v="5"/>
    <n v="0"/>
    <x v="0"/>
  </r>
  <r>
    <x v="30"/>
    <x v="1"/>
    <x v="181"/>
    <x v="2"/>
    <x v="1"/>
    <x v="1"/>
    <x v="0"/>
    <x v="6"/>
    <n v="0"/>
    <x v="0"/>
  </r>
  <r>
    <x v="30"/>
    <x v="1"/>
    <x v="181"/>
    <x v="2"/>
    <x v="1"/>
    <x v="1"/>
    <x v="0"/>
    <x v="7"/>
    <n v="0"/>
    <x v="0"/>
  </r>
  <r>
    <x v="30"/>
    <x v="1"/>
    <x v="181"/>
    <x v="2"/>
    <x v="1"/>
    <x v="1"/>
    <x v="0"/>
    <x v="8"/>
    <n v="0"/>
    <x v="0"/>
  </r>
  <r>
    <x v="30"/>
    <x v="1"/>
    <x v="181"/>
    <x v="2"/>
    <x v="1"/>
    <x v="1"/>
    <x v="0"/>
    <x v="9"/>
    <n v="0"/>
    <x v="0"/>
  </r>
  <r>
    <x v="30"/>
    <x v="1"/>
    <x v="181"/>
    <x v="2"/>
    <x v="1"/>
    <x v="1"/>
    <x v="0"/>
    <x v="10"/>
    <n v="0"/>
    <x v="0"/>
  </r>
  <r>
    <x v="30"/>
    <x v="1"/>
    <x v="181"/>
    <x v="2"/>
    <x v="1"/>
    <x v="1"/>
    <x v="0"/>
    <x v="11"/>
    <n v="0"/>
    <x v="0"/>
  </r>
  <r>
    <x v="30"/>
    <x v="1"/>
    <x v="182"/>
    <x v="2"/>
    <x v="1"/>
    <x v="1"/>
    <x v="0"/>
    <x v="0"/>
    <n v="0"/>
    <x v="0"/>
  </r>
  <r>
    <x v="30"/>
    <x v="1"/>
    <x v="182"/>
    <x v="2"/>
    <x v="1"/>
    <x v="1"/>
    <x v="0"/>
    <x v="1"/>
    <n v="0"/>
    <x v="0"/>
  </r>
  <r>
    <x v="30"/>
    <x v="1"/>
    <x v="182"/>
    <x v="2"/>
    <x v="1"/>
    <x v="1"/>
    <x v="0"/>
    <x v="2"/>
    <n v="0"/>
    <x v="0"/>
  </r>
  <r>
    <x v="30"/>
    <x v="1"/>
    <x v="182"/>
    <x v="2"/>
    <x v="1"/>
    <x v="1"/>
    <x v="0"/>
    <x v="3"/>
    <n v="0"/>
    <x v="0"/>
  </r>
  <r>
    <x v="30"/>
    <x v="1"/>
    <x v="182"/>
    <x v="2"/>
    <x v="1"/>
    <x v="1"/>
    <x v="0"/>
    <x v="4"/>
    <n v="0"/>
    <x v="0"/>
  </r>
  <r>
    <x v="30"/>
    <x v="1"/>
    <x v="182"/>
    <x v="2"/>
    <x v="1"/>
    <x v="1"/>
    <x v="0"/>
    <x v="5"/>
    <n v="0"/>
    <x v="0"/>
  </r>
  <r>
    <x v="30"/>
    <x v="1"/>
    <x v="182"/>
    <x v="2"/>
    <x v="1"/>
    <x v="1"/>
    <x v="0"/>
    <x v="6"/>
    <n v="0"/>
    <x v="0"/>
  </r>
  <r>
    <x v="30"/>
    <x v="1"/>
    <x v="182"/>
    <x v="2"/>
    <x v="1"/>
    <x v="1"/>
    <x v="0"/>
    <x v="7"/>
    <n v="0"/>
    <x v="0"/>
  </r>
  <r>
    <x v="30"/>
    <x v="1"/>
    <x v="182"/>
    <x v="2"/>
    <x v="1"/>
    <x v="1"/>
    <x v="0"/>
    <x v="8"/>
    <n v="0"/>
    <x v="0"/>
  </r>
  <r>
    <x v="30"/>
    <x v="1"/>
    <x v="182"/>
    <x v="2"/>
    <x v="1"/>
    <x v="1"/>
    <x v="0"/>
    <x v="9"/>
    <n v="0"/>
    <x v="0"/>
  </r>
  <r>
    <x v="30"/>
    <x v="1"/>
    <x v="182"/>
    <x v="2"/>
    <x v="1"/>
    <x v="1"/>
    <x v="0"/>
    <x v="10"/>
    <n v="20584.60271716756"/>
    <x v="0"/>
  </r>
  <r>
    <x v="30"/>
    <x v="1"/>
    <x v="182"/>
    <x v="2"/>
    <x v="1"/>
    <x v="1"/>
    <x v="0"/>
    <x v="11"/>
    <n v="0"/>
    <x v="0"/>
  </r>
  <r>
    <x v="30"/>
    <x v="1"/>
    <x v="183"/>
    <x v="3"/>
    <x v="2"/>
    <x v="3"/>
    <x v="0"/>
    <x v="0"/>
    <n v="0"/>
    <x v="0"/>
  </r>
  <r>
    <x v="30"/>
    <x v="1"/>
    <x v="183"/>
    <x v="3"/>
    <x v="2"/>
    <x v="3"/>
    <x v="0"/>
    <x v="1"/>
    <n v="0"/>
    <x v="0"/>
  </r>
  <r>
    <x v="30"/>
    <x v="1"/>
    <x v="183"/>
    <x v="3"/>
    <x v="2"/>
    <x v="3"/>
    <x v="0"/>
    <x v="2"/>
    <n v="0"/>
    <x v="0"/>
  </r>
  <r>
    <x v="30"/>
    <x v="1"/>
    <x v="183"/>
    <x v="3"/>
    <x v="2"/>
    <x v="3"/>
    <x v="0"/>
    <x v="3"/>
    <n v="0"/>
    <x v="0"/>
  </r>
  <r>
    <x v="30"/>
    <x v="1"/>
    <x v="183"/>
    <x v="3"/>
    <x v="2"/>
    <x v="3"/>
    <x v="0"/>
    <x v="4"/>
    <n v="0"/>
    <x v="0"/>
  </r>
  <r>
    <x v="30"/>
    <x v="1"/>
    <x v="183"/>
    <x v="3"/>
    <x v="2"/>
    <x v="3"/>
    <x v="0"/>
    <x v="5"/>
    <n v="0"/>
    <x v="0"/>
  </r>
  <r>
    <x v="30"/>
    <x v="1"/>
    <x v="183"/>
    <x v="3"/>
    <x v="2"/>
    <x v="3"/>
    <x v="0"/>
    <x v="6"/>
    <n v="0"/>
    <x v="0"/>
  </r>
  <r>
    <x v="30"/>
    <x v="1"/>
    <x v="183"/>
    <x v="3"/>
    <x v="2"/>
    <x v="3"/>
    <x v="0"/>
    <x v="7"/>
    <n v="0"/>
    <x v="0"/>
  </r>
  <r>
    <x v="30"/>
    <x v="1"/>
    <x v="183"/>
    <x v="3"/>
    <x v="2"/>
    <x v="3"/>
    <x v="0"/>
    <x v="8"/>
    <n v="0"/>
    <x v="0"/>
  </r>
  <r>
    <x v="30"/>
    <x v="1"/>
    <x v="183"/>
    <x v="3"/>
    <x v="2"/>
    <x v="3"/>
    <x v="0"/>
    <x v="9"/>
    <n v="0"/>
    <x v="0"/>
  </r>
  <r>
    <x v="30"/>
    <x v="1"/>
    <x v="183"/>
    <x v="3"/>
    <x v="2"/>
    <x v="3"/>
    <x v="0"/>
    <x v="10"/>
    <n v="41169.205434335119"/>
    <x v="0"/>
  </r>
  <r>
    <x v="30"/>
    <x v="1"/>
    <x v="183"/>
    <x v="3"/>
    <x v="2"/>
    <x v="3"/>
    <x v="0"/>
    <x v="11"/>
    <n v="0"/>
    <x v="0"/>
  </r>
  <r>
    <x v="30"/>
    <x v="0"/>
    <x v="184"/>
    <x v="2"/>
    <x v="5"/>
    <x v="23"/>
    <x v="0"/>
    <x v="0"/>
    <n v="1186.4580006387735"/>
    <x v="0"/>
  </r>
  <r>
    <x v="30"/>
    <x v="0"/>
    <x v="184"/>
    <x v="2"/>
    <x v="5"/>
    <x v="23"/>
    <x v="0"/>
    <x v="1"/>
    <n v="2675.093415261978"/>
    <x v="0"/>
  </r>
  <r>
    <x v="30"/>
    <x v="0"/>
    <x v="184"/>
    <x v="2"/>
    <x v="5"/>
    <x v="23"/>
    <x v="0"/>
    <x v="2"/>
    <n v="2662.6842850206112"/>
    <x v="0"/>
  </r>
  <r>
    <x v="30"/>
    <x v="0"/>
    <x v="184"/>
    <x v="2"/>
    <x v="5"/>
    <x v="23"/>
    <x v="0"/>
    <x v="3"/>
    <n v="2684.2877080425774"/>
    <x v="0"/>
  </r>
  <r>
    <x v="30"/>
    <x v="0"/>
    <x v="184"/>
    <x v="2"/>
    <x v="5"/>
    <x v="23"/>
    <x v="0"/>
    <x v="4"/>
    <n v="2807.874667712555"/>
    <x v="0"/>
  </r>
  <r>
    <x v="30"/>
    <x v="0"/>
    <x v="184"/>
    <x v="2"/>
    <x v="5"/>
    <x v="23"/>
    <x v="0"/>
    <x v="5"/>
    <n v="0"/>
    <x v="0"/>
  </r>
  <r>
    <x v="30"/>
    <x v="0"/>
    <x v="184"/>
    <x v="2"/>
    <x v="5"/>
    <x v="23"/>
    <x v="0"/>
    <x v="6"/>
    <n v="2748.9355347924402"/>
    <x v="0"/>
  </r>
  <r>
    <x v="30"/>
    <x v="0"/>
    <x v="184"/>
    <x v="2"/>
    <x v="5"/>
    <x v="23"/>
    <x v="0"/>
    <x v="7"/>
    <n v="5543.1594795139263"/>
    <x v="0"/>
  </r>
  <r>
    <x v="30"/>
    <x v="0"/>
    <x v="184"/>
    <x v="2"/>
    <x v="5"/>
    <x v="23"/>
    <x v="0"/>
    <x v="8"/>
    <n v="2782.6216516772652"/>
    <x v="0"/>
  </r>
  <r>
    <x v="30"/>
    <x v="0"/>
    <x v="184"/>
    <x v="2"/>
    <x v="5"/>
    <x v="23"/>
    <x v="0"/>
    <x v="9"/>
    <n v="5519.9494543857963"/>
    <x v="0"/>
  </r>
  <r>
    <x v="30"/>
    <x v="0"/>
    <x v="184"/>
    <x v="2"/>
    <x v="5"/>
    <x v="23"/>
    <x v="0"/>
    <x v="10"/>
    <n v="2652.6265953067104"/>
    <x v="0"/>
  </r>
  <r>
    <x v="30"/>
    <x v="0"/>
    <x v="184"/>
    <x v="2"/>
    <x v="5"/>
    <x v="23"/>
    <x v="0"/>
    <x v="11"/>
    <n v="2624.9612971563593"/>
    <x v="0"/>
  </r>
  <r>
    <x v="30"/>
    <x v="0"/>
    <x v="185"/>
    <x v="2"/>
    <x v="0"/>
    <x v="24"/>
    <x v="0"/>
    <x v="0"/>
    <n v="874.87196995561624"/>
    <x v="0"/>
  </r>
  <r>
    <x v="30"/>
    <x v="0"/>
    <x v="185"/>
    <x v="2"/>
    <x v="0"/>
    <x v="24"/>
    <x v="0"/>
    <x v="1"/>
    <n v="824.51943037449132"/>
    <x v="0"/>
  </r>
  <r>
    <x v="30"/>
    <x v="0"/>
    <x v="185"/>
    <x v="2"/>
    <x v="0"/>
    <x v="24"/>
    <x v="0"/>
    <x v="2"/>
    <n v="820.69467833417707"/>
    <x v="0"/>
  </r>
  <r>
    <x v="30"/>
    <x v="0"/>
    <x v="185"/>
    <x v="2"/>
    <x v="0"/>
    <x v="24"/>
    <x v="0"/>
    <x v="3"/>
    <n v="827.35330264336449"/>
    <x v="0"/>
  </r>
  <r>
    <x v="30"/>
    <x v="0"/>
    <x v="185"/>
    <x v="2"/>
    <x v="0"/>
    <x v="24"/>
    <x v="0"/>
    <x v="4"/>
    <n v="865.44537412297905"/>
    <x v="0"/>
  </r>
  <r>
    <x v="30"/>
    <x v="0"/>
    <x v="185"/>
    <x v="2"/>
    <x v="0"/>
    <x v="24"/>
    <x v="0"/>
    <x v="5"/>
    <n v="0"/>
    <x v="0"/>
  </r>
  <r>
    <x v="30"/>
    <x v="0"/>
    <x v="185"/>
    <x v="2"/>
    <x v="0"/>
    <x v="24"/>
    <x v="0"/>
    <x v="6"/>
    <n v="847.2791074704553"/>
    <x v="0"/>
  </r>
  <r>
    <x v="30"/>
    <x v="0"/>
    <x v="185"/>
    <x v="2"/>
    <x v="0"/>
    <x v="24"/>
    <x v="0"/>
    <x v="7"/>
    <n v="1708.5170448435315"/>
    <x v="0"/>
  </r>
  <r>
    <x v="30"/>
    <x v="0"/>
    <x v="185"/>
    <x v="2"/>
    <x v="0"/>
    <x v="24"/>
    <x v="0"/>
    <x v="8"/>
    <n v="857.66186933848689"/>
    <x v="0"/>
  </r>
  <r>
    <x v="30"/>
    <x v="0"/>
    <x v="185"/>
    <x v="2"/>
    <x v="0"/>
    <x v="24"/>
    <x v="0"/>
    <x v="9"/>
    <n v="1701.3632323491931"/>
    <x v="0"/>
  </r>
  <r>
    <x v="30"/>
    <x v="0"/>
    <x v="185"/>
    <x v="2"/>
    <x v="0"/>
    <x v="24"/>
    <x v="0"/>
    <x v="10"/>
    <n v="817.59468917249899"/>
    <x v="0"/>
  </r>
  <r>
    <x v="30"/>
    <x v="0"/>
    <x v="185"/>
    <x v="2"/>
    <x v="0"/>
    <x v="24"/>
    <x v="0"/>
    <x v="11"/>
    <n v="809.06766886661774"/>
    <x v="0"/>
  </r>
  <r>
    <x v="55"/>
    <x v="0"/>
    <x v="186"/>
    <x v="2"/>
    <x v="0"/>
    <x v="24"/>
    <x v="0"/>
    <x v="0"/>
    <n v="15418.672011806297"/>
    <x v="0"/>
  </r>
  <r>
    <x v="55"/>
    <x v="0"/>
    <x v="186"/>
    <x v="2"/>
    <x v="0"/>
    <x v="24"/>
    <x v="0"/>
    <x v="1"/>
    <n v="14531.26297434194"/>
    <x v="0"/>
  </r>
  <r>
    <x v="55"/>
    <x v="0"/>
    <x v="186"/>
    <x v="2"/>
    <x v="0"/>
    <x v="24"/>
    <x v="0"/>
    <x v="2"/>
    <n v="14463.855857345057"/>
    <x v="0"/>
  </r>
  <r>
    <x v="55"/>
    <x v="0"/>
    <x v="186"/>
    <x v="2"/>
    <x v="0"/>
    <x v="24"/>
    <x v="0"/>
    <x v="3"/>
    <n v="14581.206907326015"/>
    <x v="0"/>
  </r>
  <r>
    <x v="55"/>
    <x v="0"/>
    <x v="186"/>
    <x v="2"/>
    <x v="0"/>
    <x v="24"/>
    <x v="0"/>
    <x v="4"/>
    <n v="15252.538458186255"/>
    <x v="0"/>
  </r>
  <r>
    <x v="55"/>
    <x v="0"/>
    <x v="186"/>
    <x v="2"/>
    <x v="0"/>
    <x v="24"/>
    <x v="0"/>
    <x v="5"/>
    <n v="0"/>
    <x v="0"/>
  </r>
  <r>
    <x v="55"/>
    <x v="0"/>
    <x v="186"/>
    <x v="2"/>
    <x v="0"/>
    <x v="24"/>
    <x v="0"/>
    <x v="6"/>
    <n v="14932.37766116302"/>
    <x v="0"/>
  </r>
  <r>
    <x v="55"/>
    <x v="0"/>
    <x v="186"/>
    <x v="2"/>
    <x v="0"/>
    <x v="24"/>
    <x v="0"/>
    <x v="7"/>
    <n v="30110.764598343907"/>
    <x v="0"/>
  </r>
  <r>
    <x v="55"/>
    <x v="0"/>
    <x v="186"/>
    <x v="2"/>
    <x v="0"/>
    <x v="24"/>
    <x v="0"/>
    <x v="8"/>
    <n v="15115.362606752247"/>
    <x v="0"/>
  </r>
  <r>
    <x v="55"/>
    <x v="0"/>
    <x v="186"/>
    <x v="2"/>
    <x v="0"/>
    <x v="24"/>
    <x v="0"/>
    <x v="9"/>
    <n v="29984.686392306787"/>
    <x v="0"/>
  </r>
  <r>
    <x v="55"/>
    <x v="0"/>
    <x v="186"/>
    <x v="2"/>
    <x v="0"/>
    <x v="24"/>
    <x v="0"/>
    <x v="10"/>
    <n v="14409.221902017291"/>
    <x v="0"/>
  </r>
  <r>
    <x v="55"/>
    <x v="0"/>
    <x v="186"/>
    <x v="2"/>
    <x v="0"/>
    <x v="24"/>
    <x v="0"/>
    <x v="11"/>
    <n v="14258.942393872729"/>
    <x v="0"/>
  </r>
  <r>
    <x v="30"/>
    <x v="0"/>
    <x v="187"/>
    <x v="2"/>
    <x v="0"/>
    <x v="24"/>
    <x v="0"/>
    <x v="0"/>
    <n v="7645.5500611240213"/>
    <x v="0"/>
  </r>
  <r>
    <x v="30"/>
    <x v="0"/>
    <x v="187"/>
    <x v="2"/>
    <x v="0"/>
    <x v="24"/>
    <x v="0"/>
    <x v="1"/>
    <n v="7205.5166901934726"/>
    <x v="0"/>
  </r>
  <r>
    <x v="30"/>
    <x v="0"/>
    <x v="187"/>
    <x v="2"/>
    <x v="0"/>
    <x v="24"/>
    <x v="0"/>
    <x v="2"/>
    <n v="7172.0919901232528"/>
    <x v="0"/>
  </r>
  <r>
    <x v="30"/>
    <x v="0"/>
    <x v="187"/>
    <x v="2"/>
    <x v="0"/>
    <x v="24"/>
    <x v="0"/>
    <x v="3"/>
    <n v="7230.2820422021787"/>
    <x v="0"/>
  </r>
  <r>
    <x v="30"/>
    <x v="0"/>
    <x v="187"/>
    <x v="2"/>
    <x v="0"/>
    <x v="24"/>
    <x v="0"/>
    <x v="4"/>
    <n v="7563.1705669586436"/>
    <x v="0"/>
  </r>
  <r>
    <x v="30"/>
    <x v="0"/>
    <x v="187"/>
    <x v="2"/>
    <x v="0"/>
    <x v="24"/>
    <x v="0"/>
    <x v="5"/>
    <n v="0"/>
    <x v="0"/>
  </r>
  <r>
    <x v="30"/>
    <x v="0"/>
    <x v="187"/>
    <x v="2"/>
    <x v="0"/>
    <x v="24"/>
    <x v="0"/>
    <x v="6"/>
    <n v="7404.414650795683"/>
    <x v="0"/>
  </r>
  <r>
    <x v="30"/>
    <x v="0"/>
    <x v="187"/>
    <x v="2"/>
    <x v="0"/>
    <x v="24"/>
    <x v="0"/>
    <x v="7"/>
    <n v="14930.816216797506"/>
    <x v="0"/>
  </r>
  <r>
    <x v="30"/>
    <x v="0"/>
    <x v="187"/>
    <x v="2"/>
    <x v="0"/>
    <x v="24"/>
    <x v="0"/>
    <x v="8"/>
    <n v="7495.1501279407476"/>
    <x v="0"/>
  </r>
  <r>
    <x v="30"/>
    <x v="0"/>
    <x v="187"/>
    <x v="2"/>
    <x v="0"/>
    <x v="24"/>
    <x v="0"/>
    <x v="9"/>
    <n v="14868.298690311734"/>
    <x v="0"/>
  </r>
  <r>
    <x v="30"/>
    <x v="0"/>
    <x v="187"/>
    <x v="2"/>
    <x v="0"/>
    <x v="24"/>
    <x v="0"/>
    <x v="10"/>
    <n v="7145.0010292301358"/>
    <x v="0"/>
  </r>
  <r>
    <x v="30"/>
    <x v="0"/>
    <x v="187"/>
    <x v="2"/>
    <x v="0"/>
    <x v="24"/>
    <x v="0"/>
    <x v="11"/>
    <n v="7070.4829707487979"/>
    <x v="0"/>
  </r>
  <r>
    <x v="56"/>
    <x v="0"/>
    <x v="188"/>
    <x v="2"/>
    <x v="0"/>
    <x v="24"/>
    <x v="0"/>
    <x v="0"/>
    <n v="2505.2060044714149"/>
    <x v="0"/>
  </r>
  <r>
    <x v="56"/>
    <x v="0"/>
    <x v="188"/>
    <x v="2"/>
    <x v="0"/>
    <x v="24"/>
    <x v="0"/>
    <x v="1"/>
    <n v="2361.0209250186831"/>
    <x v="0"/>
  </r>
  <r>
    <x v="56"/>
    <x v="0"/>
    <x v="188"/>
    <x v="2"/>
    <x v="0"/>
    <x v="24"/>
    <x v="0"/>
    <x v="2"/>
    <n v="2350.0687033153226"/>
    <x v="0"/>
  </r>
  <r>
    <x v="56"/>
    <x v="0"/>
    <x v="188"/>
    <x v="2"/>
    <x v="0"/>
    <x v="24"/>
    <x v="0"/>
    <x v="3"/>
    <n v="2369.1357510363073"/>
    <x v="0"/>
  </r>
  <r>
    <x v="56"/>
    <x v="0"/>
    <x v="188"/>
    <x v="2"/>
    <x v="0"/>
    <x v="24"/>
    <x v="0"/>
    <x v="4"/>
    <n v="2478.2128382795136"/>
    <x v="0"/>
  </r>
  <r>
    <x v="56"/>
    <x v="0"/>
    <x v="188"/>
    <x v="2"/>
    <x v="0"/>
    <x v="24"/>
    <x v="0"/>
    <x v="5"/>
    <n v="0"/>
    <x v="0"/>
  </r>
  <r>
    <x v="56"/>
    <x v="0"/>
    <x v="188"/>
    <x v="2"/>
    <x v="0"/>
    <x v="24"/>
    <x v="0"/>
    <x v="6"/>
    <n v="2426.1935236144886"/>
    <x v="0"/>
  </r>
  <r>
    <x v="56"/>
    <x v="0"/>
    <x v="188"/>
    <x v="2"/>
    <x v="0"/>
    <x v="24"/>
    <x v="0"/>
    <x v="7"/>
    <n v="4892.3583180987207"/>
    <x v="0"/>
  </r>
  <r>
    <x v="56"/>
    <x v="0"/>
    <x v="188"/>
    <x v="2"/>
    <x v="0"/>
    <x v="24"/>
    <x v="0"/>
    <x v="8"/>
    <n v="2455.9246823074682"/>
    <x v="0"/>
  </r>
  <r>
    <x v="56"/>
    <x v="0"/>
    <x v="188"/>
    <x v="2"/>
    <x v="0"/>
    <x v="24"/>
    <x v="0"/>
    <x v="9"/>
    <n v="4871.8732932823596"/>
    <x v="0"/>
  </r>
  <r>
    <x v="56"/>
    <x v="0"/>
    <x v="188"/>
    <x v="2"/>
    <x v="0"/>
    <x v="24"/>
    <x v="0"/>
    <x v="10"/>
    <n v="2341.1918484973239"/>
    <x v="0"/>
  </r>
  <r>
    <x v="56"/>
    <x v="0"/>
    <x v="188"/>
    <x v="2"/>
    <x v="0"/>
    <x v="24"/>
    <x v="0"/>
    <x v="11"/>
    <n v="2316.7746272305058"/>
    <x v="0"/>
  </r>
  <r>
    <x v="30"/>
    <x v="0"/>
    <x v="189"/>
    <x v="2"/>
    <x v="1"/>
    <x v="1"/>
    <x v="0"/>
    <x v="0"/>
    <n v="453.25168779391845"/>
    <x v="0"/>
  </r>
  <r>
    <x v="30"/>
    <x v="0"/>
    <x v="189"/>
    <x v="2"/>
    <x v="1"/>
    <x v="1"/>
    <x v="0"/>
    <x v="1"/>
    <n v="427.16515818317691"/>
    <x v="0"/>
  </r>
  <r>
    <x v="30"/>
    <x v="0"/>
    <x v="189"/>
    <x v="2"/>
    <x v="1"/>
    <x v="1"/>
    <x v="0"/>
    <x v="2"/>
    <n v="425.18363931276025"/>
    <x v="0"/>
  </r>
  <r>
    <x v="30"/>
    <x v="0"/>
    <x v="189"/>
    <x v="2"/>
    <x v="1"/>
    <x v="1"/>
    <x v="0"/>
    <x v="3"/>
    <n v="428.63332430687194"/>
    <x v="0"/>
  </r>
  <r>
    <x v="30"/>
    <x v="0"/>
    <x v="189"/>
    <x v="2"/>
    <x v="1"/>
    <x v="1"/>
    <x v="0"/>
    <x v="4"/>
    <n v="448.36797838497409"/>
    <x v="0"/>
  </r>
  <r>
    <x v="30"/>
    <x v="0"/>
    <x v="189"/>
    <x v="2"/>
    <x v="1"/>
    <x v="1"/>
    <x v="0"/>
    <x v="5"/>
    <n v="0"/>
    <x v="0"/>
  </r>
  <r>
    <x v="30"/>
    <x v="0"/>
    <x v="189"/>
    <x v="2"/>
    <x v="1"/>
    <x v="1"/>
    <x v="0"/>
    <x v="6"/>
    <n v="438.9564401211656"/>
    <x v="0"/>
  </r>
  <r>
    <x v="30"/>
    <x v="0"/>
    <x v="189"/>
    <x v="2"/>
    <x v="1"/>
    <x v="1"/>
    <x v="0"/>
    <x v="7"/>
    <n v="885.14463920851711"/>
    <x v="0"/>
  </r>
  <r>
    <x v="30"/>
    <x v="0"/>
    <x v="189"/>
    <x v="2"/>
    <x v="1"/>
    <x v="1"/>
    <x v="0"/>
    <x v="8"/>
    <n v="444.33551786311961"/>
    <x v="0"/>
  </r>
  <r>
    <x v="30"/>
    <x v="0"/>
    <x v="189"/>
    <x v="2"/>
    <x v="1"/>
    <x v="1"/>
    <x v="0"/>
    <x v="9"/>
    <n v="881.43840824150527"/>
    <x v="0"/>
  </r>
  <r>
    <x v="30"/>
    <x v="0"/>
    <x v="189"/>
    <x v="2"/>
    <x v="1"/>
    <x v="1"/>
    <x v="0"/>
    <x v="10"/>
    <n v="423.57760395224369"/>
    <x v="0"/>
  </r>
  <r>
    <x v="30"/>
    <x v="0"/>
    <x v="189"/>
    <x v="2"/>
    <x v="1"/>
    <x v="1"/>
    <x v="0"/>
    <x v="11"/>
    <n v="419.15994459382381"/>
    <x v="0"/>
  </r>
  <r>
    <x v="30"/>
    <x v="0"/>
    <x v="190"/>
    <x v="2"/>
    <x v="7"/>
    <x v="25"/>
    <x v="0"/>
    <x v="0"/>
    <n v="702.15641141422259"/>
    <x v="0"/>
  </r>
  <r>
    <x v="30"/>
    <x v="0"/>
    <x v="190"/>
    <x v="2"/>
    <x v="7"/>
    <x v="25"/>
    <x v="0"/>
    <x v="1"/>
    <n v="185.02345761023"/>
    <x v="0"/>
  </r>
  <r>
    <x v="30"/>
    <x v="0"/>
    <x v="190"/>
    <x v="2"/>
    <x v="7"/>
    <x v="25"/>
    <x v="0"/>
    <x v="2"/>
    <n v="224.98217846331863"/>
    <x v="0"/>
  </r>
  <r>
    <x v="30"/>
    <x v="0"/>
    <x v="190"/>
    <x v="2"/>
    <x v="7"/>
    <x v="25"/>
    <x v="0"/>
    <x v="3"/>
    <n v="139.82023454912826"/>
    <x v="0"/>
  </r>
  <r>
    <x v="30"/>
    <x v="0"/>
    <x v="190"/>
    <x v="2"/>
    <x v="7"/>
    <x v="25"/>
    <x v="0"/>
    <x v="4"/>
    <n v="553.76955593323748"/>
    <x v="0"/>
  </r>
  <r>
    <x v="30"/>
    <x v="0"/>
    <x v="190"/>
    <x v="2"/>
    <x v="7"/>
    <x v="25"/>
    <x v="0"/>
    <x v="5"/>
    <n v="343.97460262612299"/>
    <x v="0"/>
  </r>
  <r>
    <x v="30"/>
    <x v="0"/>
    <x v="190"/>
    <x v="2"/>
    <x v="7"/>
    <x v="25"/>
    <x v="0"/>
    <x v="6"/>
    <n v="456.20013652459579"/>
    <x v="0"/>
  </r>
  <r>
    <x v="30"/>
    <x v="0"/>
    <x v="190"/>
    <x v="2"/>
    <x v="7"/>
    <x v="25"/>
    <x v="0"/>
    <x v="7"/>
    <n v="203.91439939778471"/>
    <x v="0"/>
  </r>
  <r>
    <x v="30"/>
    <x v="0"/>
    <x v="190"/>
    <x v="2"/>
    <x v="7"/>
    <x v="25"/>
    <x v="0"/>
    <x v="8"/>
    <n v="420.0278554539467"/>
    <x v="0"/>
  </r>
  <r>
    <x v="30"/>
    <x v="0"/>
    <x v="190"/>
    <x v="2"/>
    <x v="7"/>
    <x v="25"/>
    <x v="0"/>
    <x v="9"/>
    <n v="280.12443644852812"/>
    <x v="0"/>
  </r>
  <r>
    <x v="30"/>
    <x v="0"/>
    <x v="190"/>
    <x v="2"/>
    <x v="7"/>
    <x v="25"/>
    <x v="0"/>
    <x v="10"/>
    <n v="1209.8836969946481"/>
    <x v="0"/>
  </r>
  <r>
    <x v="30"/>
    <x v="0"/>
    <x v="190"/>
    <x v="2"/>
    <x v="7"/>
    <x v="25"/>
    <x v="0"/>
    <x v="11"/>
    <n v="408.12454167685161"/>
    <x v="0"/>
  </r>
  <r>
    <x v="30"/>
    <x v="0"/>
    <x v="191"/>
    <x v="2"/>
    <x v="3"/>
    <x v="22"/>
    <x v="0"/>
    <x v="0"/>
    <n v="727.30977213405436"/>
    <x v="0"/>
  </r>
  <r>
    <x v="30"/>
    <x v="0"/>
    <x v="191"/>
    <x v="2"/>
    <x v="3"/>
    <x v="22"/>
    <x v="0"/>
    <x v="1"/>
    <n v="344.58295275263634"/>
    <x v="0"/>
  </r>
  <r>
    <x v="30"/>
    <x v="0"/>
    <x v="191"/>
    <x v="2"/>
    <x v="3"/>
    <x v="22"/>
    <x v="0"/>
    <x v="2"/>
    <n v="0"/>
    <x v="0"/>
  </r>
  <r>
    <x v="30"/>
    <x v="0"/>
    <x v="191"/>
    <x v="2"/>
    <x v="3"/>
    <x v="22"/>
    <x v="0"/>
    <x v="3"/>
    <n v="533.34617868227554"/>
    <x v="0"/>
  </r>
  <r>
    <x v="30"/>
    <x v="0"/>
    <x v="191"/>
    <x v="2"/>
    <x v="3"/>
    <x v="22"/>
    <x v="0"/>
    <x v="4"/>
    <n v="431.11082058656905"/>
    <x v="0"/>
  </r>
  <r>
    <x v="30"/>
    <x v="0"/>
    <x v="191"/>
    <x v="2"/>
    <x v="3"/>
    <x v="22"/>
    <x v="0"/>
    <x v="5"/>
    <n v="399.46980822391151"/>
    <x v="0"/>
  </r>
  <r>
    <x v="30"/>
    <x v="0"/>
    <x v="191"/>
    <x v="2"/>
    <x v="3"/>
    <x v="22"/>
    <x v="0"/>
    <x v="6"/>
    <n v="0"/>
    <x v="0"/>
  </r>
  <r>
    <x v="30"/>
    <x v="0"/>
    <x v="191"/>
    <x v="2"/>
    <x v="3"/>
    <x v="22"/>
    <x v="0"/>
    <x v="7"/>
    <n v="0"/>
    <x v="0"/>
  </r>
  <r>
    <x v="30"/>
    <x v="0"/>
    <x v="191"/>
    <x v="2"/>
    <x v="3"/>
    <x v="22"/>
    <x v="0"/>
    <x v="8"/>
    <n v="0"/>
    <x v="0"/>
  </r>
  <r>
    <x v="30"/>
    <x v="0"/>
    <x v="191"/>
    <x v="2"/>
    <x v="3"/>
    <x v="22"/>
    <x v="0"/>
    <x v="9"/>
    <n v="0"/>
    <x v="0"/>
  </r>
  <r>
    <x v="30"/>
    <x v="0"/>
    <x v="191"/>
    <x v="2"/>
    <x v="3"/>
    <x v="22"/>
    <x v="0"/>
    <x v="10"/>
    <n v="0"/>
    <x v="0"/>
  </r>
  <r>
    <x v="30"/>
    <x v="0"/>
    <x v="191"/>
    <x v="2"/>
    <x v="3"/>
    <x v="22"/>
    <x v="0"/>
    <x v="11"/>
    <n v="0"/>
    <x v="0"/>
  </r>
  <r>
    <x v="30"/>
    <x v="0"/>
    <x v="192"/>
    <x v="2"/>
    <x v="3"/>
    <x v="22"/>
    <x v="0"/>
    <x v="0"/>
    <n v="0"/>
    <x v="0"/>
  </r>
  <r>
    <x v="30"/>
    <x v="0"/>
    <x v="192"/>
    <x v="2"/>
    <x v="3"/>
    <x v="22"/>
    <x v="0"/>
    <x v="1"/>
    <n v="0"/>
    <x v="0"/>
  </r>
  <r>
    <x v="30"/>
    <x v="0"/>
    <x v="192"/>
    <x v="2"/>
    <x v="3"/>
    <x v="22"/>
    <x v="0"/>
    <x v="2"/>
    <n v="0"/>
    <x v="0"/>
  </r>
  <r>
    <x v="30"/>
    <x v="0"/>
    <x v="192"/>
    <x v="2"/>
    <x v="3"/>
    <x v="22"/>
    <x v="0"/>
    <x v="3"/>
    <n v="0"/>
    <x v="0"/>
  </r>
  <r>
    <x v="30"/>
    <x v="0"/>
    <x v="192"/>
    <x v="2"/>
    <x v="3"/>
    <x v="22"/>
    <x v="0"/>
    <x v="4"/>
    <n v="0"/>
    <x v="0"/>
  </r>
  <r>
    <x v="30"/>
    <x v="0"/>
    <x v="192"/>
    <x v="2"/>
    <x v="3"/>
    <x v="22"/>
    <x v="0"/>
    <x v="5"/>
    <n v="0"/>
    <x v="0"/>
  </r>
  <r>
    <x v="30"/>
    <x v="0"/>
    <x v="192"/>
    <x v="2"/>
    <x v="3"/>
    <x v="22"/>
    <x v="0"/>
    <x v="6"/>
    <n v="0"/>
    <x v="0"/>
  </r>
  <r>
    <x v="30"/>
    <x v="0"/>
    <x v="192"/>
    <x v="2"/>
    <x v="3"/>
    <x v="22"/>
    <x v="0"/>
    <x v="7"/>
    <n v="0"/>
    <x v="0"/>
  </r>
  <r>
    <x v="30"/>
    <x v="0"/>
    <x v="192"/>
    <x v="2"/>
    <x v="3"/>
    <x v="22"/>
    <x v="0"/>
    <x v="8"/>
    <n v="0"/>
    <x v="0"/>
  </r>
  <r>
    <x v="30"/>
    <x v="0"/>
    <x v="192"/>
    <x v="2"/>
    <x v="3"/>
    <x v="22"/>
    <x v="0"/>
    <x v="9"/>
    <n v="0"/>
    <x v="0"/>
  </r>
  <r>
    <x v="30"/>
    <x v="0"/>
    <x v="192"/>
    <x v="2"/>
    <x v="3"/>
    <x v="22"/>
    <x v="0"/>
    <x v="10"/>
    <n v="0"/>
    <x v="0"/>
  </r>
  <r>
    <x v="30"/>
    <x v="0"/>
    <x v="192"/>
    <x v="2"/>
    <x v="3"/>
    <x v="22"/>
    <x v="0"/>
    <x v="11"/>
    <n v="0"/>
    <x v="0"/>
  </r>
  <r>
    <x v="30"/>
    <x v="0"/>
    <x v="193"/>
    <x v="2"/>
    <x v="3"/>
    <x v="22"/>
    <x v="0"/>
    <x v="0"/>
    <n v="0"/>
    <x v="0"/>
  </r>
  <r>
    <x v="30"/>
    <x v="0"/>
    <x v="193"/>
    <x v="2"/>
    <x v="3"/>
    <x v="22"/>
    <x v="0"/>
    <x v="1"/>
    <n v="496.14298762766748"/>
    <x v="0"/>
  </r>
  <r>
    <x v="30"/>
    <x v="0"/>
    <x v="193"/>
    <x v="2"/>
    <x v="3"/>
    <x v="22"/>
    <x v="0"/>
    <x v="2"/>
    <n v="0"/>
    <x v="0"/>
  </r>
  <r>
    <x v="30"/>
    <x v="0"/>
    <x v="193"/>
    <x v="2"/>
    <x v="3"/>
    <x v="22"/>
    <x v="0"/>
    <x v="3"/>
    <n v="0"/>
    <x v="0"/>
  </r>
  <r>
    <x v="30"/>
    <x v="0"/>
    <x v="193"/>
    <x v="2"/>
    <x v="3"/>
    <x v="22"/>
    <x v="0"/>
    <x v="4"/>
    <n v="0"/>
    <x v="0"/>
  </r>
  <r>
    <x v="30"/>
    <x v="0"/>
    <x v="193"/>
    <x v="2"/>
    <x v="3"/>
    <x v="22"/>
    <x v="0"/>
    <x v="5"/>
    <n v="0"/>
    <x v="0"/>
  </r>
  <r>
    <x v="30"/>
    <x v="0"/>
    <x v="193"/>
    <x v="2"/>
    <x v="3"/>
    <x v="22"/>
    <x v="0"/>
    <x v="6"/>
    <n v="0"/>
    <x v="0"/>
  </r>
  <r>
    <x v="30"/>
    <x v="0"/>
    <x v="193"/>
    <x v="2"/>
    <x v="3"/>
    <x v="22"/>
    <x v="0"/>
    <x v="7"/>
    <n v="0"/>
    <x v="0"/>
  </r>
  <r>
    <x v="30"/>
    <x v="0"/>
    <x v="193"/>
    <x v="2"/>
    <x v="3"/>
    <x v="22"/>
    <x v="0"/>
    <x v="8"/>
    <n v="0"/>
    <x v="0"/>
  </r>
  <r>
    <x v="30"/>
    <x v="0"/>
    <x v="193"/>
    <x v="2"/>
    <x v="3"/>
    <x v="22"/>
    <x v="0"/>
    <x v="9"/>
    <n v="0"/>
    <x v="0"/>
  </r>
  <r>
    <x v="30"/>
    <x v="0"/>
    <x v="193"/>
    <x v="2"/>
    <x v="3"/>
    <x v="22"/>
    <x v="0"/>
    <x v="10"/>
    <n v="0"/>
    <x v="0"/>
  </r>
  <r>
    <x v="30"/>
    <x v="0"/>
    <x v="193"/>
    <x v="2"/>
    <x v="3"/>
    <x v="22"/>
    <x v="0"/>
    <x v="11"/>
    <n v="0"/>
    <x v="0"/>
  </r>
  <r>
    <x v="30"/>
    <x v="0"/>
    <x v="194"/>
    <x v="2"/>
    <x v="3"/>
    <x v="26"/>
    <x v="0"/>
    <x v="0"/>
    <n v="1631.7195123294309"/>
    <x v="0"/>
  </r>
  <r>
    <x v="30"/>
    <x v="0"/>
    <x v="194"/>
    <x v="2"/>
    <x v="3"/>
    <x v="26"/>
    <x v="0"/>
    <x v="1"/>
    <n v="1630.766835506103"/>
    <x v="0"/>
  </r>
  <r>
    <x v="30"/>
    <x v="0"/>
    <x v="194"/>
    <x v="2"/>
    <x v="3"/>
    <x v="26"/>
    <x v="0"/>
    <x v="2"/>
    <n v="1703.7420061368075"/>
    <x v="0"/>
  </r>
  <r>
    <x v="30"/>
    <x v="0"/>
    <x v="194"/>
    <x v="2"/>
    <x v="3"/>
    <x v="26"/>
    <x v="0"/>
    <x v="3"/>
    <n v="0"/>
    <x v="0"/>
  </r>
  <r>
    <x v="30"/>
    <x v="0"/>
    <x v="194"/>
    <x v="2"/>
    <x v="3"/>
    <x v="26"/>
    <x v="0"/>
    <x v="4"/>
    <n v="1728.803329411252"/>
    <x v="0"/>
  </r>
  <r>
    <x v="30"/>
    <x v="0"/>
    <x v="194"/>
    <x v="2"/>
    <x v="3"/>
    <x v="26"/>
    <x v="0"/>
    <x v="5"/>
    <n v="1594.0512698686937"/>
    <x v="0"/>
  </r>
  <r>
    <x v="30"/>
    <x v="0"/>
    <x v="194"/>
    <x v="2"/>
    <x v="3"/>
    <x v="26"/>
    <x v="0"/>
    <x v="6"/>
    <n v="1829.9532829898887"/>
    <x v="0"/>
  </r>
  <r>
    <x v="30"/>
    <x v="0"/>
    <x v="194"/>
    <x v="2"/>
    <x v="3"/>
    <x v="26"/>
    <x v="0"/>
    <x v="7"/>
    <n v="1829.6451231315195"/>
    <x v="0"/>
  </r>
  <r>
    <x v="30"/>
    <x v="0"/>
    <x v="194"/>
    <x v="2"/>
    <x v="3"/>
    <x v="26"/>
    <x v="0"/>
    <x v="8"/>
    <n v="1943.7060709774241"/>
    <x v="0"/>
  </r>
  <r>
    <x v="30"/>
    <x v="0"/>
    <x v="194"/>
    <x v="2"/>
    <x v="3"/>
    <x v="26"/>
    <x v="0"/>
    <x v="9"/>
    <n v="1931.1230335935577"/>
    <x v="0"/>
  </r>
  <r>
    <x v="30"/>
    <x v="0"/>
    <x v="194"/>
    <x v="2"/>
    <x v="3"/>
    <x v="26"/>
    <x v="0"/>
    <x v="10"/>
    <n v="1730.6195965417867"/>
    <x v="0"/>
  </r>
  <r>
    <x v="30"/>
    <x v="0"/>
    <x v="194"/>
    <x v="2"/>
    <x v="3"/>
    <x v="26"/>
    <x v="0"/>
    <x v="11"/>
    <n v="1692.5466471115456"/>
    <x v="0"/>
  </r>
  <r>
    <x v="30"/>
    <x v="0"/>
    <x v="195"/>
    <x v="2"/>
    <x v="3"/>
    <x v="26"/>
    <x v="0"/>
    <x v="0"/>
    <n v="0"/>
    <x v="0"/>
  </r>
  <r>
    <x v="30"/>
    <x v="0"/>
    <x v="195"/>
    <x v="2"/>
    <x v="3"/>
    <x v="26"/>
    <x v="0"/>
    <x v="1"/>
    <n v="0"/>
    <x v="0"/>
  </r>
  <r>
    <x v="30"/>
    <x v="0"/>
    <x v="195"/>
    <x v="2"/>
    <x v="3"/>
    <x v="26"/>
    <x v="0"/>
    <x v="2"/>
    <n v="0"/>
    <x v="0"/>
  </r>
  <r>
    <x v="30"/>
    <x v="0"/>
    <x v="195"/>
    <x v="2"/>
    <x v="3"/>
    <x v="26"/>
    <x v="0"/>
    <x v="3"/>
    <n v="0"/>
    <x v="0"/>
  </r>
  <r>
    <x v="30"/>
    <x v="0"/>
    <x v="195"/>
    <x v="2"/>
    <x v="3"/>
    <x v="26"/>
    <x v="0"/>
    <x v="4"/>
    <n v="1735.9927223602215"/>
    <x v="0"/>
  </r>
  <r>
    <x v="30"/>
    <x v="0"/>
    <x v="195"/>
    <x v="2"/>
    <x v="3"/>
    <x v="26"/>
    <x v="0"/>
    <x v="5"/>
    <n v="0"/>
    <x v="0"/>
  </r>
  <r>
    <x v="30"/>
    <x v="0"/>
    <x v="195"/>
    <x v="2"/>
    <x v="3"/>
    <x v="26"/>
    <x v="0"/>
    <x v="6"/>
    <n v="0"/>
    <x v="0"/>
  </r>
  <r>
    <x v="30"/>
    <x v="0"/>
    <x v="195"/>
    <x v="2"/>
    <x v="3"/>
    <x v="26"/>
    <x v="0"/>
    <x v="7"/>
    <n v="0"/>
    <x v="0"/>
  </r>
  <r>
    <x v="30"/>
    <x v="0"/>
    <x v="195"/>
    <x v="2"/>
    <x v="3"/>
    <x v="26"/>
    <x v="0"/>
    <x v="8"/>
    <n v="0"/>
    <x v="0"/>
  </r>
  <r>
    <x v="30"/>
    <x v="0"/>
    <x v="195"/>
    <x v="2"/>
    <x v="3"/>
    <x v="26"/>
    <x v="0"/>
    <x v="9"/>
    <n v="0"/>
    <x v="0"/>
  </r>
  <r>
    <x v="30"/>
    <x v="0"/>
    <x v="195"/>
    <x v="2"/>
    <x v="3"/>
    <x v="26"/>
    <x v="0"/>
    <x v="10"/>
    <n v="0"/>
    <x v="0"/>
  </r>
  <r>
    <x v="30"/>
    <x v="0"/>
    <x v="195"/>
    <x v="2"/>
    <x v="3"/>
    <x v="26"/>
    <x v="0"/>
    <x v="11"/>
    <n v="0"/>
    <x v="0"/>
  </r>
  <r>
    <x v="30"/>
    <x v="0"/>
    <x v="196"/>
    <x v="2"/>
    <x v="3"/>
    <x v="26"/>
    <x v="0"/>
    <x v="0"/>
    <n v="0"/>
    <x v="0"/>
  </r>
  <r>
    <x v="30"/>
    <x v="0"/>
    <x v="196"/>
    <x v="2"/>
    <x v="3"/>
    <x v="26"/>
    <x v="0"/>
    <x v="1"/>
    <n v="1522.4860915054387"/>
    <x v="0"/>
  </r>
  <r>
    <x v="30"/>
    <x v="0"/>
    <x v="196"/>
    <x v="2"/>
    <x v="3"/>
    <x v="26"/>
    <x v="0"/>
    <x v="2"/>
    <n v="0"/>
    <x v="0"/>
  </r>
  <r>
    <x v="30"/>
    <x v="0"/>
    <x v="196"/>
    <x v="2"/>
    <x v="3"/>
    <x v="26"/>
    <x v="0"/>
    <x v="3"/>
    <n v="0"/>
    <x v="0"/>
  </r>
  <r>
    <x v="30"/>
    <x v="0"/>
    <x v="196"/>
    <x v="2"/>
    <x v="3"/>
    <x v="26"/>
    <x v="0"/>
    <x v="4"/>
    <n v="0"/>
    <x v="0"/>
  </r>
  <r>
    <x v="30"/>
    <x v="0"/>
    <x v="196"/>
    <x v="2"/>
    <x v="3"/>
    <x v="26"/>
    <x v="0"/>
    <x v="5"/>
    <n v="0"/>
    <x v="0"/>
  </r>
  <r>
    <x v="30"/>
    <x v="0"/>
    <x v="196"/>
    <x v="2"/>
    <x v="3"/>
    <x v="26"/>
    <x v="0"/>
    <x v="6"/>
    <n v="0"/>
    <x v="0"/>
  </r>
  <r>
    <x v="30"/>
    <x v="0"/>
    <x v="196"/>
    <x v="2"/>
    <x v="3"/>
    <x v="26"/>
    <x v="0"/>
    <x v="7"/>
    <n v="0"/>
    <x v="0"/>
  </r>
  <r>
    <x v="30"/>
    <x v="0"/>
    <x v="196"/>
    <x v="2"/>
    <x v="3"/>
    <x v="26"/>
    <x v="0"/>
    <x v="8"/>
    <n v="0"/>
    <x v="0"/>
  </r>
  <r>
    <x v="30"/>
    <x v="0"/>
    <x v="196"/>
    <x v="2"/>
    <x v="3"/>
    <x v="26"/>
    <x v="0"/>
    <x v="9"/>
    <n v="0"/>
    <x v="0"/>
  </r>
  <r>
    <x v="30"/>
    <x v="0"/>
    <x v="196"/>
    <x v="2"/>
    <x v="3"/>
    <x v="26"/>
    <x v="0"/>
    <x v="10"/>
    <n v="0"/>
    <x v="0"/>
  </r>
  <r>
    <x v="30"/>
    <x v="0"/>
    <x v="196"/>
    <x v="2"/>
    <x v="3"/>
    <x v="26"/>
    <x v="0"/>
    <x v="11"/>
    <n v="0"/>
    <x v="0"/>
  </r>
  <r>
    <x v="30"/>
    <x v="0"/>
    <x v="197"/>
    <x v="2"/>
    <x v="3"/>
    <x v="27"/>
    <x v="0"/>
    <x v="0"/>
    <n v="348.22960605293008"/>
    <x v="0"/>
  </r>
  <r>
    <x v="30"/>
    <x v="0"/>
    <x v="197"/>
    <x v="2"/>
    <x v="3"/>
    <x v="27"/>
    <x v="0"/>
    <x v="1"/>
    <n v="315.22149796562314"/>
    <x v="0"/>
  </r>
  <r>
    <x v="30"/>
    <x v="0"/>
    <x v="197"/>
    <x v="2"/>
    <x v="3"/>
    <x v="27"/>
    <x v="0"/>
    <x v="2"/>
    <n v="339.74874216110669"/>
    <x v="0"/>
  </r>
  <r>
    <x v="30"/>
    <x v="0"/>
    <x v="197"/>
    <x v="2"/>
    <x v="3"/>
    <x v="27"/>
    <x v="0"/>
    <x v="3"/>
    <n v="0"/>
    <x v="0"/>
  </r>
  <r>
    <x v="30"/>
    <x v="0"/>
    <x v="197"/>
    <x v="2"/>
    <x v="3"/>
    <x v="27"/>
    <x v="0"/>
    <x v="4"/>
    <n v="678.87741316947745"/>
    <x v="0"/>
  </r>
  <r>
    <x v="30"/>
    <x v="0"/>
    <x v="197"/>
    <x v="2"/>
    <x v="3"/>
    <x v="27"/>
    <x v="0"/>
    <x v="5"/>
    <n v="0"/>
    <x v="0"/>
  </r>
  <r>
    <x v="30"/>
    <x v="0"/>
    <x v="197"/>
    <x v="2"/>
    <x v="3"/>
    <x v="27"/>
    <x v="0"/>
    <x v="6"/>
    <n v="991.98771278638173"/>
    <x v="0"/>
  </r>
  <r>
    <x v="30"/>
    <x v="0"/>
    <x v="197"/>
    <x v="2"/>
    <x v="3"/>
    <x v="27"/>
    <x v="0"/>
    <x v="7"/>
    <n v="586.59855898483704"/>
    <x v="0"/>
  </r>
  <r>
    <x v="30"/>
    <x v="0"/>
    <x v="197"/>
    <x v="2"/>
    <x v="3"/>
    <x v="27"/>
    <x v="0"/>
    <x v="8"/>
    <n v="0"/>
    <x v="0"/>
  </r>
  <r>
    <x v="30"/>
    <x v="0"/>
    <x v="197"/>
    <x v="2"/>
    <x v="3"/>
    <x v="27"/>
    <x v="0"/>
    <x v="9"/>
    <n v="550.63449738169436"/>
    <x v="0"/>
  </r>
  <r>
    <x v="30"/>
    <x v="0"/>
    <x v="197"/>
    <x v="2"/>
    <x v="3"/>
    <x v="27"/>
    <x v="0"/>
    <x v="10"/>
    <n v="550.67826265953067"/>
    <x v="0"/>
  </r>
  <r>
    <x v="30"/>
    <x v="0"/>
    <x v="197"/>
    <x v="2"/>
    <x v="3"/>
    <x v="27"/>
    <x v="0"/>
    <x v="11"/>
    <n v="964.68467367391838"/>
    <x v="0"/>
  </r>
  <r>
    <x v="30"/>
    <x v="0"/>
    <x v="198"/>
    <x v="2"/>
    <x v="3"/>
    <x v="27"/>
    <x v="0"/>
    <x v="0"/>
    <n v="0"/>
    <x v="0"/>
  </r>
  <r>
    <x v="30"/>
    <x v="0"/>
    <x v="198"/>
    <x v="2"/>
    <x v="3"/>
    <x v="27"/>
    <x v="0"/>
    <x v="1"/>
    <n v="0"/>
    <x v="0"/>
  </r>
  <r>
    <x v="30"/>
    <x v="0"/>
    <x v="198"/>
    <x v="2"/>
    <x v="3"/>
    <x v="27"/>
    <x v="0"/>
    <x v="2"/>
    <n v="0"/>
    <x v="0"/>
  </r>
  <r>
    <x v="30"/>
    <x v="0"/>
    <x v="198"/>
    <x v="2"/>
    <x v="3"/>
    <x v="27"/>
    <x v="0"/>
    <x v="3"/>
    <n v="0"/>
    <x v="0"/>
  </r>
  <r>
    <x v="30"/>
    <x v="0"/>
    <x v="198"/>
    <x v="2"/>
    <x v="3"/>
    <x v="27"/>
    <x v="0"/>
    <x v="4"/>
    <n v="485.67241905259948"/>
    <x v="0"/>
  </r>
  <r>
    <x v="30"/>
    <x v="0"/>
    <x v="198"/>
    <x v="2"/>
    <x v="3"/>
    <x v="27"/>
    <x v="0"/>
    <x v="5"/>
    <n v="0"/>
    <x v="0"/>
  </r>
  <r>
    <x v="30"/>
    <x v="0"/>
    <x v="198"/>
    <x v="2"/>
    <x v="3"/>
    <x v="27"/>
    <x v="0"/>
    <x v="6"/>
    <n v="0"/>
    <x v="0"/>
  </r>
  <r>
    <x v="30"/>
    <x v="0"/>
    <x v="198"/>
    <x v="2"/>
    <x v="3"/>
    <x v="27"/>
    <x v="0"/>
    <x v="7"/>
    <n v="0"/>
    <x v="0"/>
  </r>
  <r>
    <x v="30"/>
    <x v="0"/>
    <x v="198"/>
    <x v="2"/>
    <x v="3"/>
    <x v="27"/>
    <x v="0"/>
    <x v="8"/>
    <n v="0"/>
    <x v="0"/>
  </r>
  <r>
    <x v="30"/>
    <x v="0"/>
    <x v="198"/>
    <x v="2"/>
    <x v="3"/>
    <x v="27"/>
    <x v="0"/>
    <x v="9"/>
    <n v="0"/>
    <x v="0"/>
  </r>
  <r>
    <x v="30"/>
    <x v="0"/>
    <x v="198"/>
    <x v="2"/>
    <x v="3"/>
    <x v="27"/>
    <x v="0"/>
    <x v="10"/>
    <n v="0"/>
    <x v="0"/>
  </r>
  <r>
    <x v="30"/>
    <x v="0"/>
    <x v="198"/>
    <x v="2"/>
    <x v="3"/>
    <x v="27"/>
    <x v="0"/>
    <x v="11"/>
    <n v="0"/>
    <x v="0"/>
  </r>
  <r>
    <x v="30"/>
    <x v="0"/>
    <x v="199"/>
    <x v="2"/>
    <x v="3"/>
    <x v="27"/>
    <x v="0"/>
    <x v="0"/>
    <n v="201.57490721263449"/>
    <x v="0"/>
  </r>
  <r>
    <x v="30"/>
    <x v="0"/>
    <x v="199"/>
    <x v="2"/>
    <x v="3"/>
    <x v="27"/>
    <x v="0"/>
    <x v="1"/>
    <n v="166.87183426056629"/>
    <x v="0"/>
  </r>
  <r>
    <x v="30"/>
    <x v="0"/>
    <x v="199"/>
    <x v="2"/>
    <x v="3"/>
    <x v="27"/>
    <x v="0"/>
    <x v="2"/>
    <n v="166.88396888204727"/>
    <x v="0"/>
  </r>
  <r>
    <x v="30"/>
    <x v="0"/>
    <x v="199"/>
    <x v="2"/>
    <x v="3"/>
    <x v="27"/>
    <x v="0"/>
    <x v="3"/>
    <n v="0"/>
    <x v="0"/>
  </r>
  <r>
    <x v="30"/>
    <x v="0"/>
    <x v="199"/>
    <x v="2"/>
    <x v="3"/>
    <x v="27"/>
    <x v="0"/>
    <x v="4"/>
    <n v="175.15579378568003"/>
    <x v="0"/>
  </r>
  <r>
    <x v="30"/>
    <x v="0"/>
    <x v="199"/>
    <x v="2"/>
    <x v="3"/>
    <x v="27"/>
    <x v="0"/>
    <x v="5"/>
    <n v="0"/>
    <x v="0"/>
  </r>
  <r>
    <x v="30"/>
    <x v="0"/>
    <x v="199"/>
    <x v="2"/>
    <x v="3"/>
    <x v="27"/>
    <x v="0"/>
    <x v="6"/>
    <n v="342.95831733435728"/>
    <x v="0"/>
  </r>
  <r>
    <x v="30"/>
    <x v="0"/>
    <x v="199"/>
    <x v="2"/>
    <x v="3"/>
    <x v="27"/>
    <x v="0"/>
    <x v="7"/>
    <n v="172.89170878589096"/>
    <x v="0"/>
  </r>
  <r>
    <x v="30"/>
    <x v="0"/>
    <x v="199"/>
    <x v="2"/>
    <x v="3"/>
    <x v="27"/>
    <x v="0"/>
    <x v="8"/>
    <n v="173.74245581455608"/>
    <x v="0"/>
  </r>
  <r>
    <x v="30"/>
    <x v="0"/>
    <x v="199"/>
    <x v="2"/>
    <x v="3"/>
    <x v="27"/>
    <x v="0"/>
    <x v="9"/>
    <n v="0"/>
    <x v="0"/>
  </r>
  <r>
    <x v="30"/>
    <x v="0"/>
    <x v="199"/>
    <x v="2"/>
    <x v="3"/>
    <x v="27"/>
    <x v="0"/>
    <x v="10"/>
    <n v="165.47138740222314"/>
    <x v="0"/>
  </r>
  <r>
    <x v="30"/>
    <x v="0"/>
    <x v="199"/>
    <x v="2"/>
    <x v="3"/>
    <x v="27"/>
    <x v="0"/>
    <x v="11"/>
    <n v="292.63321926179418"/>
    <x v="0"/>
  </r>
  <r>
    <x v="30"/>
    <x v="0"/>
    <x v="200"/>
    <x v="2"/>
    <x v="3"/>
    <x v="27"/>
    <x v="0"/>
    <x v="0"/>
    <n v="0"/>
    <x v="0"/>
  </r>
  <r>
    <x v="30"/>
    <x v="0"/>
    <x v="200"/>
    <x v="2"/>
    <x v="3"/>
    <x v="27"/>
    <x v="0"/>
    <x v="1"/>
    <n v="316.52412189653739"/>
    <x v="0"/>
  </r>
  <r>
    <x v="30"/>
    <x v="0"/>
    <x v="200"/>
    <x v="2"/>
    <x v="3"/>
    <x v="27"/>
    <x v="0"/>
    <x v="2"/>
    <n v="0"/>
    <x v="0"/>
  </r>
  <r>
    <x v="30"/>
    <x v="0"/>
    <x v="200"/>
    <x v="2"/>
    <x v="3"/>
    <x v="27"/>
    <x v="0"/>
    <x v="3"/>
    <n v="0"/>
    <x v="0"/>
  </r>
  <r>
    <x v="30"/>
    <x v="0"/>
    <x v="200"/>
    <x v="2"/>
    <x v="3"/>
    <x v="27"/>
    <x v="0"/>
    <x v="4"/>
    <n v="175.15579378568003"/>
    <x v="0"/>
  </r>
  <r>
    <x v="30"/>
    <x v="0"/>
    <x v="200"/>
    <x v="2"/>
    <x v="3"/>
    <x v="27"/>
    <x v="0"/>
    <x v="5"/>
    <n v="0"/>
    <x v="0"/>
  </r>
  <r>
    <x v="30"/>
    <x v="0"/>
    <x v="200"/>
    <x v="2"/>
    <x v="3"/>
    <x v="27"/>
    <x v="0"/>
    <x v="6"/>
    <n v="0"/>
    <x v="0"/>
  </r>
  <r>
    <x v="30"/>
    <x v="0"/>
    <x v="200"/>
    <x v="2"/>
    <x v="3"/>
    <x v="27"/>
    <x v="0"/>
    <x v="7"/>
    <n v="0"/>
    <x v="0"/>
  </r>
  <r>
    <x v="30"/>
    <x v="0"/>
    <x v="200"/>
    <x v="2"/>
    <x v="3"/>
    <x v="27"/>
    <x v="0"/>
    <x v="8"/>
    <n v="0"/>
    <x v="0"/>
  </r>
  <r>
    <x v="30"/>
    <x v="0"/>
    <x v="200"/>
    <x v="2"/>
    <x v="3"/>
    <x v="27"/>
    <x v="0"/>
    <x v="9"/>
    <n v="0"/>
    <x v="0"/>
  </r>
  <r>
    <x v="30"/>
    <x v="0"/>
    <x v="200"/>
    <x v="2"/>
    <x v="3"/>
    <x v="27"/>
    <x v="0"/>
    <x v="10"/>
    <n v="0"/>
    <x v="0"/>
  </r>
  <r>
    <x v="30"/>
    <x v="0"/>
    <x v="200"/>
    <x v="2"/>
    <x v="3"/>
    <x v="27"/>
    <x v="0"/>
    <x v="11"/>
    <n v="0"/>
    <x v="0"/>
  </r>
  <r>
    <x v="30"/>
    <x v="0"/>
    <x v="201"/>
    <x v="2"/>
    <x v="3"/>
    <x v="27"/>
    <x v="0"/>
    <x v="0"/>
    <n v="167.13510060683487"/>
    <x v="0"/>
  </r>
  <r>
    <x v="30"/>
    <x v="0"/>
    <x v="201"/>
    <x v="2"/>
    <x v="3"/>
    <x v="27"/>
    <x v="0"/>
    <x v="1"/>
    <n v="149.27655069334884"/>
    <x v="0"/>
  </r>
  <r>
    <x v="30"/>
    <x v="0"/>
    <x v="201"/>
    <x v="2"/>
    <x v="3"/>
    <x v="27"/>
    <x v="0"/>
    <x v="2"/>
    <n v="52.12257084706539"/>
    <x v="0"/>
  </r>
  <r>
    <x v="30"/>
    <x v="0"/>
    <x v="201"/>
    <x v="2"/>
    <x v="3"/>
    <x v="27"/>
    <x v="0"/>
    <x v="3"/>
    <n v="0"/>
    <x v="0"/>
  </r>
  <r>
    <x v="30"/>
    <x v="0"/>
    <x v="201"/>
    <x v="2"/>
    <x v="3"/>
    <x v="27"/>
    <x v="0"/>
    <x v="4"/>
    <n v="299.66226521985448"/>
    <x v="0"/>
  </r>
  <r>
    <x v="30"/>
    <x v="0"/>
    <x v="201"/>
    <x v="2"/>
    <x v="3"/>
    <x v="27"/>
    <x v="0"/>
    <x v="5"/>
    <n v="0"/>
    <x v="0"/>
  </r>
  <r>
    <x v="30"/>
    <x v="0"/>
    <x v="201"/>
    <x v="2"/>
    <x v="3"/>
    <x v="27"/>
    <x v="0"/>
    <x v="6"/>
    <n v="211.22701480438587"/>
    <x v="0"/>
  </r>
  <r>
    <x v="30"/>
    <x v="0"/>
    <x v="201"/>
    <x v="2"/>
    <x v="3"/>
    <x v="27"/>
    <x v="0"/>
    <x v="7"/>
    <n v="261.13130444133776"/>
    <x v="0"/>
  </r>
  <r>
    <x v="30"/>
    <x v="0"/>
    <x v="201"/>
    <x v="2"/>
    <x v="3"/>
    <x v="27"/>
    <x v="0"/>
    <x v="8"/>
    <n v="159.6257868086071"/>
    <x v="0"/>
  </r>
  <r>
    <x v="30"/>
    <x v="0"/>
    <x v="201"/>
    <x v="2"/>
    <x v="3"/>
    <x v="27"/>
    <x v="0"/>
    <x v="9"/>
    <n v="118.16001113716923"/>
    <x v="0"/>
  </r>
  <r>
    <x v="30"/>
    <x v="0"/>
    <x v="201"/>
    <x v="2"/>
    <x v="3"/>
    <x v="27"/>
    <x v="0"/>
    <x v="10"/>
    <n v="203.68361465623713"/>
    <x v="0"/>
  </r>
  <r>
    <x v="30"/>
    <x v="0"/>
    <x v="201"/>
    <x v="2"/>
    <x v="3"/>
    <x v="27"/>
    <x v="0"/>
    <x v="11"/>
    <n v="320.58380184144056"/>
    <x v="0"/>
  </r>
  <r>
    <x v="30"/>
    <x v="0"/>
    <x v="202"/>
    <x v="2"/>
    <x v="3"/>
    <x v="27"/>
    <x v="0"/>
    <x v="0"/>
    <n v="0"/>
    <x v="0"/>
  </r>
  <r>
    <x v="30"/>
    <x v="0"/>
    <x v="202"/>
    <x v="2"/>
    <x v="3"/>
    <x v="27"/>
    <x v="0"/>
    <x v="1"/>
    <n v="0"/>
    <x v="0"/>
  </r>
  <r>
    <x v="30"/>
    <x v="0"/>
    <x v="202"/>
    <x v="2"/>
    <x v="3"/>
    <x v="27"/>
    <x v="0"/>
    <x v="2"/>
    <n v="0"/>
    <x v="0"/>
  </r>
  <r>
    <x v="30"/>
    <x v="0"/>
    <x v="202"/>
    <x v="2"/>
    <x v="3"/>
    <x v="27"/>
    <x v="0"/>
    <x v="3"/>
    <n v="0"/>
    <x v="0"/>
  </r>
  <r>
    <x v="30"/>
    <x v="0"/>
    <x v="202"/>
    <x v="2"/>
    <x v="3"/>
    <x v="27"/>
    <x v="0"/>
    <x v="4"/>
    <n v="260.52534100318127"/>
    <x v="0"/>
  </r>
  <r>
    <x v="30"/>
    <x v="0"/>
    <x v="202"/>
    <x v="2"/>
    <x v="3"/>
    <x v="27"/>
    <x v="0"/>
    <x v="5"/>
    <n v="0"/>
    <x v="0"/>
  </r>
  <r>
    <x v="30"/>
    <x v="0"/>
    <x v="202"/>
    <x v="2"/>
    <x v="3"/>
    <x v="27"/>
    <x v="0"/>
    <x v="6"/>
    <n v="0"/>
    <x v="0"/>
  </r>
  <r>
    <x v="30"/>
    <x v="0"/>
    <x v="202"/>
    <x v="2"/>
    <x v="3"/>
    <x v="27"/>
    <x v="0"/>
    <x v="7"/>
    <n v="0"/>
    <x v="0"/>
  </r>
  <r>
    <x v="30"/>
    <x v="0"/>
    <x v="202"/>
    <x v="2"/>
    <x v="3"/>
    <x v="27"/>
    <x v="0"/>
    <x v="8"/>
    <n v="0"/>
    <x v="0"/>
  </r>
  <r>
    <x v="30"/>
    <x v="0"/>
    <x v="202"/>
    <x v="2"/>
    <x v="3"/>
    <x v="27"/>
    <x v="0"/>
    <x v="9"/>
    <n v="0"/>
    <x v="0"/>
  </r>
  <r>
    <x v="30"/>
    <x v="0"/>
    <x v="202"/>
    <x v="2"/>
    <x v="3"/>
    <x v="27"/>
    <x v="0"/>
    <x v="10"/>
    <n v="0"/>
    <x v="0"/>
  </r>
  <r>
    <x v="30"/>
    <x v="0"/>
    <x v="202"/>
    <x v="2"/>
    <x v="3"/>
    <x v="27"/>
    <x v="0"/>
    <x v="11"/>
    <n v="0"/>
    <x v="0"/>
  </r>
  <r>
    <x v="30"/>
    <x v="0"/>
    <x v="203"/>
    <x v="2"/>
    <x v="3"/>
    <x v="28"/>
    <x v="0"/>
    <x v="0"/>
    <n v="563.77933677683677"/>
    <x v="0"/>
  </r>
  <r>
    <x v="30"/>
    <x v="0"/>
    <x v="203"/>
    <x v="2"/>
    <x v="3"/>
    <x v="28"/>
    <x v="0"/>
    <x v="1"/>
    <n v="417.27248193971599"/>
    <x v="0"/>
  </r>
  <r>
    <x v="30"/>
    <x v="0"/>
    <x v="203"/>
    <x v="2"/>
    <x v="3"/>
    <x v="28"/>
    <x v="0"/>
    <x v="2"/>
    <n v="186.48559296643353"/>
    <x v="0"/>
  </r>
  <r>
    <x v="30"/>
    <x v="0"/>
    <x v="203"/>
    <x v="2"/>
    <x v="3"/>
    <x v="28"/>
    <x v="0"/>
    <x v="3"/>
    <n v="231.62247172287374"/>
    <x v="0"/>
  </r>
  <r>
    <x v="30"/>
    <x v="0"/>
    <x v="203"/>
    <x v="2"/>
    <x v="3"/>
    <x v="28"/>
    <x v="0"/>
    <x v="4"/>
    <n v="441.34527389201202"/>
    <x v="0"/>
  </r>
  <r>
    <x v="30"/>
    <x v="0"/>
    <x v="203"/>
    <x v="2"/>
    <x v="3"/>
    <x v="28"/>
    <x v="0"/>
    <x v="5"/>
    <n v="438.28934865238421"/>
    <x v="0"/>
  </r>
  <r>
    <x v="30"/>
    <x v="0"/>
    <x v="203"/>
    <x v="2"/>
    <x v="3"/>
    <x v="28"/>
    <x v="0"/>
    <x v="6"/>
    <n v="336.76884679380521"/>
    <x v="0"/>
  </r>
  <r>
    <x v="30"/>
    <x v="0"/>
    <x v="203"/>
    <x v="2"/>
    <x v="3"/>
    <x v="28"/>
    <x v="0"/>
    <x v="7"/>
    <n v="437.55242499193463"/>
    <x v="0"/>
  </r>
  <r>
    <x v="30"/>
    <x v="0"/>
    <x v="203"/>
    <x v="2"/>
    <x v="3"/>
    <x v="28"/>
    <x v="0"/>
    <x v="8"/>
    <n v="440.47138337957915"/>
    <x v="0"/>
  </r>
  <r>
    <x v="30"/>
    <x v="0"/>
    <x v="203"/>
    <x v="2"/>
    <x v="3"/>
    <x v="28"/>
    <x v="0"/>
    <x v="9"/>
    <n v="437.26239813238243"/>
    <x v="0"/>
  </r>
  <r>
    <x v="30"/>
    <x v="0"/>
    <x v="203"/>
    <x v="2"/>
    <x v="3"/>
    <x v="28"/>
    <x v="0"/>
    <x v="10"/>
    <n v="236.0384932070811"/>
    <x v="0"/>
  </r>
  <r>
    <x v="30"/>
    <x v="0"/>
    <x v="203"/>
    <x v="2"/>
    <x v="3"/>
    <x v="28"/>
    <x v="0"/>
    <x v="11"/>
    <n v="0"/>
    <x v="0"/>
  </r>
  <r>
    <x v="30"/>
    <x v="0"/>
    <x v="204"/>
    <x v="2"/>
    <x v="3"/>
    <x v="28"/>
    <x v="0"/>
    <x v="0"/>
    <n v="0"/>
    <x v="0"/>
  </r>
  <r>
    <x v="30"/>
    <x v="0"/>
    <x v="204"/>
    <x v="2"/>
    <x v="3"/>
    <x v="28"/>
    <x v="0"/>
    <x v="1"/>
    <n v="416.11413269118987"/>
    <x v="0"/>
  </r>
  <r>
    <x v="30"/>
    <x v="0"/>
    <x v="204"/>
    <x v="2"/>
    <x v="3"/>
    <x v="28"/>
    <x v="0"/>
    <x v="2"/>
    <n v="0"/>
    <x v="0"/>
  </r>
  <r>
    <x v="30"/>
    <x v="0"/>
    <x v="204"/>
    <x v="2"/>
    <x v="3"/>
    <x v="28"/>
    <x v="0"/>
    <x v="3"/>
    <n v="0"/>
    <x v="0"/>
  </r>
  <r>
    <x v="30"/>
    <x v="0"/>
    <x v="204"/>
    <x v="2"/>
    <x v="3"/>
    <x v="28"/>
    <x v="0"/>
    <x v="4"/>
    <n v="440.22857018346627"/>
    <x v="0"/>
  </r>
  <r>
    <x v="30"/>
    <x v="0"/>
    <x v="204"/>
    <x v="2"/>
    <x v="3"/>
    <x v="28"/>
    <x v="0"/>
    <x v="5"/>
    <n v="0"/>
    <x v="0"/>
  </r>
  <r>
    <x v="30"/>
    <x v="0"/>
    <x v="204"/>
    <x v="2"/>
    <x v="3"/>
    <x v="28"/>
    <x v="0"/>
    <x v="6"/>
    <n v="0"/>
    <x v="0"/>
  </r>
  <r>
    <x v="30"/>
    <x v="0"/>
    <x v="204"/>
    <x v="2"/>
    <x v="3"/>
    <x v="28"/>
    <x v="0"/>
    <x v="7"/>
    <n v="0"/>
    <x v="0"/>
  </r>
  <r>
    <x v="30"/>
    <x v="0"/>
    <x v="204"/>
    <x v="2"/>
    <x v="3"/>
    <x v="28"/>
    <x v="0"/>
    <x v="8"/>
    <n v="0"/>
    <x v="0"/>
  </r>
  <r>
    <x v="30"/>
    <x v="0"/>
    <x v="204"/>
    <x v="2"/>
    <x v="3"/>
    <x v="28"/>
    <x v="0"/>
    <x v="9"/>
    <n v="0"/>
    <x v="0"/>
  </r>
  <r>
    <x v="30"/>
    <x v="0"/>
    <x v="204"/>
    <x v="2"/>
    <x v="3"/>
    <x v="28"/>
    <x v="0"/>
    <x v="10"/>
    <n v="0"/>
    <x v="0"/>
  </r>
  <r>
    <x v="30"/>
    <x v="0"/>
    <x v="204"/>
    <x v="2"/>
    <x v="3"/>
    <x v="28"/>
    <x v="0"/>
    <x v="11"/>
    <n v="0"/>
    <x v="0"/>
  </r>
  <r>
    <x v="30"/>
    <x v="0"/>
    <x v="205"/>
    <x v="2"/>
    <x v="2"/>
    <x v="3"/>
    <x v="0"/>
    <x v="0"/>
    <n v="562.26720558596458"/>
    <x v="0"/>
  </r>
  <r>
    <x v="30"/>
    <x v="0"/>
    <x v="205"/>
    <x v="2"/>
    <x v="2"/>
    <x v="3"/>
    <x v="0"/>
    <x v="1"/>
    <n v="326.20298098480441"/>
    <x v="0"/>
  </r>
  <r>
    <x v="30"/>
    <x v="0"/>
    <x v="205"/>
    <x v="2"/>
    <x v="2"/>
    <x v="3"/>
    <x v="0"/>
    <x v="2"/>
    <n v="606.07688572520749"/>
    <x v="0"/>
  </r>
  <r>
    <x v="30"/>
    <x v="0"/>
    <x v="205"/>
    <x v="2"/>
    <x v="2"/>
    <x v="3"/>
    <x v="0"/>
    <x v="3"/>
    <n v="0"/>
    <x v="0"/>
  </r>
  <r>
    <x v="30"/>
    <x v="0"/>
    <x v="205"/>
    <x v="2"/>
    <x v="2"/>
    <x v="3"/>
    <x v="0"/>
    <x v="4"/>
    <n v="962.63999651370546"/>
    <x v="0"/>
  </r>
  <r>
    <x v="30"/>
    <x v="0"/>
    <x v="205"/>
    <x v="2"/>
    <x v="2"/>
    <x v="3"/>
    <x v="0"/>
    <x v="5"/>
    <n v="396.47870594333102"/>
    <x v="0"/>
  </r>
  <r>
    <x v="30"/>
    <x v="0"/>
    <x v="205"/>
    <x v="2"/>
    <x v="2"/>
    <x v="3"/>
    <x v="0"/>
    <x v="6"/>
    <n v="581.36119288365546"/>
    <x v="0"/>
  </r>
  <r>
    <x v="30"/>
    <x v="0"/>
    <x v="205"/>
    <x v="2"/>
    <x v="2"/>
    <x v="3"/>
    <x v="0"/>
    <x v="7"/>
    <n v="429.14829551564685"/>
    <x v="0"/>
  </r>
  <r>
    <x v="30"/>
    <x v="0"/>
    <x v="205"/>
    <x v="2"/>
    <x v="2"/>
    <x v="3"/>
    <x v="0"/>
    <x v="8"/>
    <n v="449.21346131007004"/>
    <x v="0"/>
  </r>
  <r>
    <x v="30"/>
    <x v="0"/>
    <x v="205"/>
    <x v="2"/>
    <x v="2"/>
    <x v="3"/>
    <x v="0"/>
    <x v="9"/>
    <n v="872.42693909896025"/>
    <x v="0"/>
  </r>
  <r>
    <x v="30"/>
    <x v="0"/>
    <x v="205"/>
    <x v="2"/>
    <x v="2"/>
    <x v="3"/>
    <x v="0"/>
    <x v="10"/>
    <n v="201.39357760395225"/>
    <x v="0"/>
  </r>
  <r>
    <x v="30"/>
    <x v="0"/>
    <x v="205"/>
    <x v="2"/>
    <x v="2"/>
    <x v="3"/>
    <x v="0"/>
    <x v="11"/>
    <n v="399.30844129389715"/>
    <x v="0"/>
  </r>
  <r>
    <x v="30"/>
    <x v="0"/>
    <x v="206"/>
    <x v="2"/>
    <x v="2"/>
    <x v="3"/>
    <x v="0"/>
    <x v="0"/>
    <n v="0"/>
    <x v="0"/>
  </r>
  <r>
    <x v="30"/>
    <x v="0"/>
    <x v="206"/>
    <x v="2"/>
    <x v="2"/>
    <x v="3"/>
    <x v="0"/>
    <x v="1"/>
    <n v="607.48982811591793"/>
    <x v="0"/>
  </r>
  <r>
    <x v="30"/>
    <x v="0"/>
    <x v="206"/>
    <x v="2"/>
    <x v="2"/>
    <x v="3"/>
    <x v="0"/>
    <x v="2"/>
    <n v="0"/>
    <x v="0"/>
  </r>
  <r>
    <x v="30"/>
    <x v="0"/>
    <x v="206"/>
    <x v="2"/>
    <x v="2"/>
    <x v="3"/>
    <x v="0"/>
    <x v="3"/>
    <n v="0"/>
    <x v="0"/>
  </r>
  <r>
    <x v="30"/>
    <x v="0"/>
    <x v="206"/>
    <x v="2"/>
    <x v="2"/>
    <x v="3"/>
    <x v="0"/>
    <x v="4"/>
    <n v="549.58164465943264"/>
    <x v="0"/>
  </r>
  <r>
    <x v="30"/>
    <x v="0"/>
    <x v="206"/>
    <x v="2"/>
    <x v="2"/>
    <x v="3"/>
    <x v="0"/>
    <x v="5"/>
    <n v="0"/>
    <x v="0"/>
  </r>
  <r>
    <x v="30"/>
    <x v="0"/>
    <x v="206"/>
    <x v="2"/>
    <x v="2"/>
    <x v="3"/>
    <x v="0"/>
    <x v="6"/>
    <n v="0"/>
    <x v="0"/>
  </r>
  <r>
    <x v="30"/>
    <x v="0"/>
    <x v="206"/>
    <x v="2"/>
    <x v="2"/>
    <x v="3"/>
    <x v="0"/>
    <x v="7"/>
    <n v="0"/>
    <x v="0"/>
  </r>
  <r>
    <x v="30"/>
    <x v="0"/>
    <x v="206"/>
    <x v="2"/>
    <x v="2"/>
    <x v="3"/>
    <x v="0"/>
    <x v="8"/>
    <n v="0"/>
    <x v="0"/>
  </r>
  <r>
    <x v="30"/>
    <x v="0"/>
    <x v="206"/>
    <x v="2"/>
    <x v="2"/>
    <x v="3"/>
    <x v="0"/>
    <x v="9"/>
    <n v="0"/>
    <x v="0"/>
  </r>
  <r>
    <x v="30"/>
    <x v="0"/>
    <x v="206"/>
    <x v="2"/>
    <x v="2"/>
    <x v="3"/>
    <x v="0"/>
    <x v="10"/>
    <n v="0"/>
    <x v="0"/>
  </r>
  <r>
    <x v="30"/>
    <x v="0"/>
    <x v="206"/>
    <x v="2"/>
    <x v="2"/>
    <x v="3"/>
    <x v="0"/>
    <x v="11"/>
    <n v="0"/>
    <x v="0"/>
  </r>
  <r>
    <x v="30"/>
    <x v="0"/>
    <x v="207"/>
    <x v="2"/>
    <x v="2"/>
    <x v="3"/>
    <x v="0"/>
    <x v="0"/>
    <n v="805.48794590248792"/>
    <x v="0"/>
  </r>
  <r>
    <x v="30"/>
    <x v="0"/>
    <x v="207"/>
    <x v="2"/>
    <x v="2"/>
    <x v="3"/>
    <x v="0"/>
    <x v="1"/>
    <n v="762.41592626421982"/>
    <x v="0"/>
  </r>
  <r>
    <x v="30"/>
    <x v="0"/>
    <x v="207"/>
    <x v="2"/>
    <x v="2"/>
    <x v="3"/>
    <x v="0"/>
    <x v="2"/>
    <n v="761.73586932939372"/>
    <x v="0"/>
  </r>
  <r>
    <x v="30"/>
    <x v="0"/>
    <x v="207"/>
    <x v="2"/>
    <x v="2"/>
    <x v="3"/>
    <x v="0"/>
    <x v="3"/>
    <n v="0"/>
    <x v="0"/>
  </r>
  <r>
    <x v="30"/>
    <x v="0"/>
    <x v="207"/>
    <x v="2"/>
    <x v="2"/>
    <x v="3"/>
    <x v="0"/>
    <x v="4"/>
    <n v="812.02226870614891"/>
    <x v="0"/>
  </r>
  <r>
    <x v="30"/>
    <x v="0"/>
    <x v="207"/>
    <x v="2"/>
    <x v="2"/>
    <x v="3"/>
    <x v="0"/>
    <x v="5"/>
    <n v="808.67635625431922"/>
    <x v="0"/>
  </r>
  <r>
    <x v="30"/>
    <x v="0"/>
    <x v="207"/>
    <x v="2"/>
    <x v="2"/>
    <x v="3"/>
    <x v="0"/>
    <x v="6"/>
    <n v="801.56150006399594"/>
    <x v="0"/>
  </r>
  <r>
    <x v="30"/>
    <x v="0"/>
    <x v="207"/>
    <x v="2"/>
    <x v="2"/>
    <x v="3"/>
    <x v="0"/>
    <x v="7"/>
    <n v="808.21056027529846"/>
    <x v="0"/>
  </r>
  <r>
    <x v="30"/>
    <x v="0"/>
    <x v="207"/>
    <x v="2"/>
    <x v="2"/>
    <x v="3"/>
    <x v="0"/>
    <x v="8"/>
    <n v="815.42954621522119"/>
    <x v="0"/>
  </r>
  <r>
    <x v="30"/>
    <x v="0"/>
    <x v="207"/>
    <x v="2"/>
    <x v="2"/>
    <x v="3"/>
    <x v="0"/>
    <x v="9"/>
    <n v="812.03242629657007"/>
    <x v="0"/>
  </r>
  <r>
    <x v="30"/>
    <x v="0"/>
    <x v="207"/>
    <x v="2"/>
    <x v="2"/>
    <x v="3"/>
    <x v="0"/>
    <x v="10"/>
    <n v="781.65191436805264"/>
    <x v="0"/>
  </r>
  <r>
    <x v="30"/>
    <x v="0"/>
    <x v="207"/>
    <x v="2"/>
    <x v="2"/>
    <x v="3"/>
    <x v="0"/>
    <x v="11"/>
    <n v="779.3652733642956"/>
    <x v="0"/>
  </r>
  <r>
    <x v="30"/>
    <x v="0"/>
    <x v="208"/>
    <x v="2"/>
    <x v="2"/>
    <x v="3"/>
    <x v="0"/>
    <x v="0"/>
    <n v="0"/>
    <x v="0"/>
  </r>
  <r>
    <x v="30"/>
    <x v="0"/>
    <x v="208"/>
    <x v="2"/>
    <x v="2"/>
    <x v="3"/>
    <x v="0"/>
    <x v="1"/>
    <n v="763.88046998256243"/>
    <x v="0"/>
  </r>
  <r>
    <x v="30"/>
    <x v="0"/>
    <x v="208"/>
    <x v="2"/>
    <x v="2"/>
    <x v="3"/>
    <x v="0"/>
    <x v="2"/>
    <n v="0"/>
    <x v="0"/>
  </r>
  <r>
    <x v="30"/>
    <x v="0"/>
    <x v="208"/>
    <x v="2"/>
    <x v="2"/>
    <x v="3"/>
    <x v="0"/>
    <x v="3"/>
    <n v="0"/>
    <x v="0"/>
  </r>
  <r>
    <x v="30"/>
    <x v="0"/>
    <x v="208"/>
    <x v="2"/>
    <x v="2"/>
    <x v="3"/>
    <x v="0"/>
    <x v="4"/>
    <n v="1593.8336165947619"/>
    <x v="0"/>
  </r>
  <r>
    <x v="30"/>
    <x v="0"/>
    <x v="208"/>
    <x v="2"/>
    <x v="2"/>
    <x v="3"/>
    <x v="0"/>
    <x v="5"/>
    <n v="0"/>
    <x v="0"/>
  </r>
  <r>
    <x v="30"/>
    <x v="0"/>
    <x v="208"/>
    <x v="2"/>
    <x v="2"/>
    <x v="3"/>
    <x v="0"/>
    <x v="6"/>
    <n v="0"/>
    <x v="0"/>
  </r>
  <r>
    <x v="30"/>
    <x v="0"/>
    <x v="208"/>
    <x v="2"/>
    <x v="2"/>
    <x v="3"/>
    <x v="0"/>
    <x v="7"/>
    <n v="0"/>
    <x v="0"/>
  </r>
  <r>
    <x v="30"/>
    <x v="0"/>
    <x v="208"/>
    <x v="2"/>
    <x v="2"/>
    <x v="3"/>
    <x v="0"/>
    <x v="8"/>
    <n v="0"/>
    <x v="0"/>
  </r>
  <r>
    <x v="30"/>
    <x v="0"/>
    <x v="208"/>
    <x v="2"/>
    <x v="2"/>
    <x v="3"/>
    <x v="0"/>
    <x v="9"/>
    <n v="0"/>
    <x v="0"/>
  </r>
  <r>
    <x v="30"/>
    <x v="0"/>
    <x v="208"/>
    <x v="2"/>
    <x v="2"/>
    <x v="3"/>
    <x v="0"/>
    <x v="10"/>
    <n v="0"/>
    <x v="0"/>
  </r>
  <r>
    <x v="30"/>
    <x v="0"/>
    <x v="208"/>
    <x v="2"/>
    <x v="2"/>
    <x v="3"/>
    <x v="0"/>
    <x v="11"/>
    <n v="0"/>
    <x v="0"/>
  </r>
  <r>
    <x v="30"/>
    <x v="1"/>
    <x v="209"/>
    <x v="3"/>
    <x v="8"/>
    <x v="29"/>
    <x v="0"/>
    <x v="0"/>
    <n v="0"/>
    <x v="0"/>
  </r>
  <r>
    <x v="30"/>
    <x v="1"/>
    <x v="209"/>
    <x v="3"/>
    <x v="8"/>
    <x v="29"/>
    <x v="0"/>
    <x v="1"/>
    <n v="0"/>
    <x v="0"/>
  </r>
  <r>
    <x v="30"/>
    <x v="1"/>
    <x v="209"/>
    <x v="3"/>
    <x v="8"/>
    <x v="29"/>
    <x v="0"/>
    <x v="2"/>
    <n v="0"/>
    <x v="0"/>
  </r>
  <r>
    <x v="30"/>
    <x v="1"/>
    <x v="209"/>
    <x v="3"/>
    <x v="8"/>
    <x v="29"/>
    <x v="0"/>
    <x v="3"/>
    <n v="0"/>
    <x v="0"/>
  </r>
  <r>
    <x v="30"/>
    <x v="1"/>
    <x v="209"/>
    <x v="3"/>
    <x v="8"/>
    <x v="29"/>
    <x v="0"/>
    <x v="4"/>
    <n v="59.489257855057303"/>
    <x v="0"/>
  </r>
  <r>
    <x v="30"/>
    <x v="1"/>
    <x v="209"/>
    <x v="3"/>
    <x v="8"/>
    <x v="29"/>
    <x v="0"/>
    <x v="5"/>
    <n v="11.287361782999309"/>
    <x v="0"/>
  </r>
  <r>
    <x v="30"/>
    <x v="1"/>
    <x v="209"/>
    <x v="3"/>
    <x v="8"/>
    <x v="29"/>
    <x v="0"/>
    <x v="6"/>
    <n v="55.21673279576774"/>
    <x v="0"/>
  </r>
  <r>
    <x v="30"/>
    <x v="1"/>
    <x v="209"/>
    <x v="3"/>
    <x v="8"/>
    <x v="29"/>
    <x v="0"/>
    <x v="7"/>
    <n v="106.44908054629531"/>
    <x v="0"/>
  </r>
  <r>
    <x v="30"/>
    <x v="1"/>
    <x v="209"/>
    <x v="3"/>
    <x v="8"/>
    <x v="29"/>
    <x v="0"/>
    <x v="8"/>
    <n v="84.94941751870526"/>
    <x v="0"/>
  </r>
  <r>
    <x v="30"/>
    <x v="1"/>
    <x v="209"/>
    <x v="3"/>
    <x v="8"/>
    <x v="29"/>
    <x v="0"/>
    <x v="9"/>
    <n v="71.211488418414888"/>
    <x v="0"/>
  </r>
  <r>
    <x v="30"/>
    <x v="1"/>
    <x v="209"/>
    <x v="3"/>
    <x v="8"/>
    <x v="29"/>
    <x v="0"/>
    <x v="10"/>
    <n v="10.214079868258542"/>
    <x v="0"/>
  </r>
  <r>
    <x v="30"/>
    <x v="1"/>
    <x v="209"/>
    <x v="3"/>
    <x v="8"/>
    <x v="29"/>
    <x v="0"/>
    <x v="11"/>
    <n v="211.80131182270023"/>
    <x v="0"/>
  </r>
  <r>
    <x v="30"/>
    <x v="1"/>
    <x v="210"/>
    <x v="2"/>
    <x v="2"/>
    <x v="3"/>
    <x v="0"/>
    <x v="0"/>
    <n v="1989.0648575424839"/>
    <x v="0"/>
  </r>
  <r>
    <x v="30"/>
    <x v="1"/>
    <x v="210"/>
    <x v="2"/>
    <x v="2"/>
    <x v="3"/>
    <x v="0"/>
    <x v="1"/>
    <n v="0"/>
    <x v="0"/>
  </r>
  <r>
    <x v="30"/>
    <x v="1"/>
    <x v="210"/>
    <x v="2"/>
    <x v="2"/>
    <x v="3"/>
    <x v="0"/>
    <x v="2"/>
    <n v="0"/>
    <x v="0"/>
  </r>
  <r>
    <x v="30"/>
    <x v="1"/>
    <x v="210"/>
    <x v="2"/>
    <x v="2"/>
    <x v="3"/>
    <x v="0"/>
    <x v="3"/>
    <n v="0"/>
    <x v="0"/>
  </r>
  <r>
    <x v="30"/>
    <x v="1"/>
    <x v="210"/>
    <x v="2"/>
    <x v="2"/>
    <x v="3"/>
    <x v="0"/>
    <x v="4"/>
    <n v="81.353771734867308"/>
    <x v="0"/>
  </r>
  <r>
    <x v="30"/>
    <x v="1"/>
    <x v="210"/>
    <x v="2"/>
    <x v="2"/>
    <x v="3"/>
    <x v="0"/>
    <x v="5"/>
    <n v="0"/>
    <x v="0"/>
  </r>
  <r>
    <x v="30"/>
    <x v="1"/>
    <x v="210"/>
    <x v="2"/>
    <x v="2"/>
    <x v="3"/>
    <x v="0"/>
    <x v="6"/>
    <n v="0"/>
    <x v="0"/>
  </r>
  <r>
    <x v="30"/>
    <x v="1"/>
    <x v="210"/>
    <x v="2"/>
    <x v="2"/>
    <x v="3"/>
    <x v="0"/>
    <x v="7"/>
    <n v="0"/>
    <x v="0"/>
  </r>
  <r>
    <x v="30"/>
    <x v="1"/>
    <x v="210"/>
    <x v="2"/>
    <x v="2"/>
    <x v="3"/>
    <x v="0"/>
    <x v="8"/>
    <n v="0"/>
    <x v="0"/>
  </r>
  <r>
    <x v="30"/>
    <x v="1"/>
    <x v="210"/>
    <x v="2"/>
    <x v="2"/>
    <x v="3"/>
    <x v="0"/>
    <x v="9"/>
    <n v="0"/>
    <x v="0"/>
  </r>
  <r>
    <x v="30"/>
    <x v="1"/>
    <x v="210"/>
    <x v="2"/>
    <x v="2"/>
    <x v="3"/>
    <x v="0"/>
    <x v="10"/>
    <n v="0"/>
    <x v="0"/>
  </r>
  <r>
    <x v="30"/>
    <x v="1"/>
    <x v="210"/>
    <x v="2"/>
    <x v="2"/>
    <x v="3"/>
    <x v="0"/>
    <x v="11"/>
    <n v="341.58824248350038"/>
    <x v="0"/>
  </r>
  <r>
    <x v="30"/>
    <x v="1"/>
    <x v="211"/>
    <x v="2"/>
    <x v="2"/>
    <x v="2"/>
    <x v="0"/>
    <x v="0"/>
    <n v="0"/>
    <x v="0"/>
  </r>
  <r>
    <x v="30"/>
    <x v="1"/>
    <x v="211"/>
    <x v="2"/>
    <x v="2"/>
    <x v="2"/>
    <x v="0"/>
    <x v="1"/>
    <n v="81.834883334717262"/>
    <x v="0"/>
  </r>
  <r>
    <x v="30"/>
    <x v="1"/>
    <x v="211"/>
    <x v="2"/>
    <x v="2"/>
    <x v="2"/>
    <x v="0"/>
    <x v="2"/>
    <n v="0"/>
    <x v="0"/>
  </r>
  <r>
    <x v="30"/>
    <x v="1"/>
    <x v="211"/>
    <x v="2"/>
    <x v="2"/>
    <x v="2"/>
    <x v="0"/>
    <x v="3"/>
    <n v="0"/>
    <x v="0"/>
  </r>
  <r>
    <x v="30"/>
    <x v="1"/>
    <x v="211"/>
    <x v="2"/>
    <x v="2"/>
    <x v="2"/>
    <x v="0"/>
    <x v="4"/>
    <n v="0"/>
    <x v="0"/>
  </r>
  <r>
    <x v="30"/>
    <x v="1"/>
    <x v="211"/>
    <x v="2"/>
    <x v="2"/>
    <x v="2"/>
    <x v="0"/>
    <x v="5"/>
    <n v="323.94609536973047"/>
    <x v="0"/>
  </r>
  <r>
    <x v="30"/>
    <x v="1"/>
    <x v="211"/>
    <x v="2"/>
    <x v="2"/>
    <x v="2"/>
    <x v="0"/>
    <x v="6"/>
    <n v="0"/>
    <x v="0"/>
  </r>
  <r>
    <x v="30"/>
    <x v="1"/>
    <x v="211"/>
    <x v="2"/>
    <x v="2"/>
    <x v="2"/>
    <x v="0"/>
    <x v="7"/>
    <n v="1075.384449940854"/>
    <x v="0"/>
  </r>
  <r>
    <x v="30"/>
    <x v="1"/>
    <x v="211"/>
    <x v="2"/>
    <x v="2"/>
    <x v="2"/>
    <x v="0"/>
    <x v="8"/>
    <n v="0"/>
    <x v="0"/>
  </r>
  <r>
    <x v="30"/>
    <x v="1"/>
    <x v="211"/>
    <x v="2"/>
    <x v="2"/>
    <x v="2"/>
    <x v="0"/>
    <x v="9"/>
    <n v="0"/>
    <x v="0"/>
  </r>
  <r>
    <x v="30"/>
    <x v="1"/>
    <x v="211"/>
    <x v="2"/>
    <x v="2"/>
    <x v="2"/>
    <x v="0"/>
    <x v="10"/>
    <n v="0"/>
    <x v="0"/>
  </r>
  <r>
    <x v="30"/>
    <x v="1"/>
    <x v="211"/>
    <x v="2"/>
    <x v="2"/>
    <x v="2"/>
    <x v="0"/>
    <x v="11"/>
    <n v="0"/>
    <x v="0"/>
  </r>
  <r>
    <x v="30"/>
    <x v="0"/>
    <x v="212"/>
    <x v="2"/>
    <x v="1"/>
    <x v="16"/>
    <x v="0"/>
    <x v="0"/>
    <n v="1897.0142842982852"/>
    <x v="0"/>
  </r>
  <r>
    <x v="30"/>
    <x v="0"/>
    <x v="212"/>
    <x v="2"/>
    <x v="1"/>
    <x v="16"/>
    <x v="0"/>
    <x v="1"/>
    <n v="1795.1102300091338"/>
    <x v="0"/>
  </r>
  <r>
    <x v="30"/>
    <x v="0"/>
    <x v="212"/>
    <x v="2"/>
    <x v="1"/>
    <x v="16"/>
    <x v="0"/>
    <x v="2"/>
    <n v="1804.5561145950637"/>
    <x v="0"/>
  </r>
  <r>
    <x v="30"/>
    <x v="0"/>
    <x v="212"/>
    <x v="2"/>
    <x v="1"/>
    <x v="16"/>
    <x v="0"/>
    <x v="3"/>
    <n v="1841.7532859791281"/>
    <x v="0"/>
  </r>
  <r>
    <x v="30"/>
    <x v="0"/>
    <x v="212"/>
    <x v="2"/>
    <x v="1"/>
    <x v="16"/>
    <x v="0"/>
    <x v="4"/>
    <n v="1374.4977556979127"/>
    <x v="0"/>
  </r>
  <r>
    <x v="30"/>
    <x v="0"/>
    <x v="212"/>
    <x v="2"/>
    <x v="1"/>
    <x v="16"/>
    <x v="0"/>
    <x v="5"/>
    <n v="1599.5486351071181"/>
    <x v="0"/>
  </r>
  <r>
    <x v="30"/>
    <x v="0"/>
    <x v="212"/>
    <x v="2"/>
    <x v="1"/>
    <x v="16"/>
    <x v="0"/>
    <x v="6"/>
    <n v="1563.6300610094288"/>
    <x v="0"/>
  </r>
  <r>
    <x v="30"/>
    <x v="0"/>
    <x v="212"/>
    <x v="2"/>
    <x v="1"/>
    <x v="16"/>
    <x v="0"/>
    <x v="7"/>
    <n v="1543.9326809334336"/>
    <x v="0"/>
  </r>
  <r>
    <x v="30"/>
    <x v="0"/>
    <x v="212"/>
    <x v="2"/>
    <x v="1"/>
    <x v="16"/>
    <x v="0"/>
    <x v="8"/>
    <n v="1792.5384092160525"/>
    <x v="0"/>
  </r>
  <r>
    <x v="30"/>
    <x v="0"/>
    <x v="212"/>
    <x v="2"/>
    <x v="1"/>
    <x v="16"/>
    <x v="0"/>
    <x v="9"/>
    <n v="1667.8649832407023"/>
    <x v="0"/>
  </r>
  <r>
    <x v="30"/>
    <x v="0"/>
    <x v="212"/>
    <x v="2"/>
    <x v="1"/>
    <x v="16"/>
    <x v="0"/>
    <x v="10"/>
    <n v="1068.1720872787155"/>
    <x v="0"/>
  </r>
  <r>
    <x v="30"/>
    <x v="0"/>
    <x v="212"/>
    <x v="2"/>
    <x v="1"/>
    <x v="16"/>
    <x v="0"/>
    <x v="11"/>
    <n v="1258.4565713354518"/>
    <x v="0"/>
  </r>
  <r>
    <x v="30"/>
    <x v="0"/>
    <x v="213"/>
    <x v="2"/>
    <x v="1"/>
    <x v="16"/>
    <x v="0"/>
    <x v="0"/>
    <n v="214.76007445015915"/>
    <x v="0"/>
  </r>
  <r>
    <x v="30"/>
    <x v="0"/>
    <x v="213"/>
    <x v="2"/>
    <x v="1"/>
    <x v="16"/>
    <x v="0"/>
    <x v="1"/>
    <n v="202.39973428547702"/>
    <x v="0"/>
  </r>
  <r>
    <x v="30"/>
    <x v="0"/>
    <x v="213"/>
    <x v="2"/>
    <x v="1"/>
    <x v="16"/>
    <x v="0"/>
    <x v="2"/>
    <n v="201.46084944159185"/>
    <x v="0"/>
  </r>
  <r>
    <x v="30"/>
    <x v="0"/>
    <x v="213"/>
    <x v="2"/>
    <x v="1"/>
    <x v="16"/>
    <x v="0"/>
    <x v="3"/>
    <n v="0"/>
    <x v="0"/>
  </r>
  <r>
    <x v="30"/>
    <x v="0"/>
    <x v="213"/>
    <x v="2"/>
    <x v="1"/>
    <x v="16"/>
    <x v="0"/>
    <x v="4"/>
    <n v="239.68274720006974"/>
    <x v="0"/>
  </r>
  <r>
    <x v="30"/>
    <x v="0"/>
    <x v="213"/>
    <x v="2"/>
    <x v="1"/>
    <x v="16"/>
    <x v="0"/>
    <x v="5"/>
    <n v="237.56046993780234"/>
    <x v="0"/>
  </r>
  <r>
    <x v="30"/>
    <x v="0"/>
    <x v="213"/>
    <x v="2"/>
    <x v="1"/>
    <x v="16"/>
    <x v="0"/>
    <x v="6"/>
    <n v="234.65164896113316"/>
    <x v="0"/>
  </r>
  <r>
    <x v="30"/>
    <x v="0"/>
    <x v="213"/>
    <x v="2"/>
    <x v="1"/>
    <x v="16"/>
    <x v="0"/>
    <x v="7"/>
    <n v="236.58457898698785"/>
    <x v="0"/>
  </r>
  <r>
    <x v="30"/>
    <x v="0"/>
    <x v="213"/>
    <x v="2"/>
    <x v="1"/>
    <x v="16"/>
    <x v="0"/>
    <x v="8"/>
    <n v="237.52712667753534"/>
    <x v="0"/>
  </r>
  <r>
    <x v="30"/>
    <x v="0"/>
    <x v="213"/>
    <x v="2"/>
    <x v="1"/>
    <x v="16"/>
    <x v="0"/>
    <x v="9"/>
    <n v="235.59396451098189"/>
    <x v="0"/>
  </r>
  <r>
    <x v="30"/>
    <x v="0"/>
    <x v="213"/>
    <x v="2"/>
    <x v="1"/>
    <x v="16"/>
    <x v="0"/>
    <x v="10"/>
    <n v="190.20172910662825"/>
    <x v="0"/>
  </r>
  <r>
    <x v="30"/>
    <x v="0"/>
    <x v="213"/>
    <x v="2"/>
    <x v="1"/>
    <x v="16"/>
    <x v="0"/>
    <x v="11"/>
    <n v="188.21803959912"/>
    <x v="0"/>
  </r>
  <r>
    <x v="30"/>
    <x v="0"/>
    <x v="214"/>
    <x v="2"/>
    <x v="1"/>
    <x v="16"/>
    <x v="0"/>
    <x v="0"/>
    <n v="0"/>
    <x v="0"/>
  </r>
  <r>
    <x v="30"/>
    <x v="0"/>
    <x v="214"/>
    <x v="2"/>
    <x v="1"/>
    <x v="16"/>
    <x v="0"/>
    <x v="1"/>
    <n v="202.39973428547702"/>
    <x v="0"/>
  </r>
  <r>
    <x v="30"/>
    <x v="0"/>
    <x v="214"/>
    <x v="2"/>
    <x v="1"/>
    <x v="16"/>
    <x v="0"/>
    <x v="2"/>
    <n v="0"/>
    <x v="0"/>
  </r>
  <r>
    <x v="30"/>
    <x v="0"/>
    <x v="214"/>
    <x v="2"/>
    <x v="1"/>
    <x v="16"/>
    <x v="0"/>
    <x v="3"/>
    <n v="0"/>
    <x v="0"/>
  </r>
  <r>
    <x v="30"/>
    <x v="0"/>
    <x v="214"/>
    <x v="2"/>
    <x v="1"/>
    <x v="16"/>
    <x v="0"/>
    <x v="4"/>
    <n v="212.44607138187999"/>
    <x v="0"/>
  </r>
  <r>
    <x v="30"/>
    <x v="0"/>
    <x v="214"/>
    <x v="2"/>
    <x v="1"/>
    <x v="16"/>
    <x v="0"/>
    <x v="5"/>
    <n v="0"/>
    <x v="0"/>
  </r>
  <r>
    <x v="30"/>
    <x v="0"/>
    <x v="214"/>
    <x v="2"/>
    <x v="1"/>
    <x v="16"/>
    <x v="0"/>
    <x v="6"/>
    <n v="0"/>
    <x v="0"/>
  </r>
  <r>
    <x v="30"/>
    <x v="0"/>
    <x v="214"/>
    <x v="2"/>
    <x v="1"/>
    <x v="16"/>
    <x v="0"/>
    <x v="7"/>
    <n v="0"/>
    <x v="0"/>
  </r>
  <r>
    <x v="30"/>
    <x v="0"/>
    <x v="214"/>
    <x v="2"/>
    <x v="1"/>
    <x v="16"/>
    <x v="0"/>
    <x v="8"/>
    <n v="0"/>
    <x v="0"/>
  </r>
  <r>
    <x v="30"/>
    <x v="0"/>
    <x v="214"/>
    <x v="2"/>
    <x v="1"/>
    <x v="16"/>
    <x v="0"/>
    <x v="9"/>
    <n v="0"/>
    <x v="0"/>
  </r>
  <r>
    <x v="30"/>
    <x v="0"/>
    <x v="214"/>
    <x v="2"/>
    <x v="1"/>
    <x v="16"/>
    <x v="0"/>
    <x v="10"/>
    <n v="0"/>
    <x v="0"/>
  </r>
  <r>
    <x v="30"/>
    <x v="0"/>
    <x v="214"/>
    <x v="2"/>
    <x v="1"/>
    <x v="16"/>
    <x v="0"/>
    <x v="11"/>
    <n v="0"/>
    <x v="0"/>
  </r>
  <r>
    <x v="30"/>
    <x v="0"/>
    <x v="215"/>
    <x v="2"/>
    <x v="2"/>
    <x v="3"/>
    <x v="0"/>
    <x v="0"/>
    <n v="135.91228978292713"/>
    <x v="0"/>
  </r>
  <r>
    <x v="30"/>
    <x v="0"/>
    <x v="215"/>
    <x v="2"/>
    <x v="2"/>
    <x v="3"/>
    <x v="0"/>
    <x v="1"/>
    <n v="129.00751473885245"/>
    <x v="0"/>
  </r>
  <r>
    <x v="30"/>
    <x v="0"/>
    <x v="215"/>
    <x v="2"/>
    <x v="2"/>
    <x v="3"/>
    <x v="0"/>
    <x v="2"/>
    <n v="128.10637132850516"/>
    <x v="0"/>
  </r>
  <r>
    <x v="30"/>
    <x v="0"/>
    <x v="215"/>
    <x v="2"/>
    <x v="2"/>
    <x v="3"/>
    <x v="0"/>
    <x v="3"/>
    <n v="0"/>
    <x v="0"/>
  </r>
  <r>
    <x v="30"/>
    <x v="0"/>
    <x v="215"/>
    <x v="2"/>
    <x v="2"/>
    <x v="3"/>
    <x v="0"/>
    <x v="4"/>
    <n v="138.55188042009848"/>
    <x v="0"/>
  </r>
  <r>
    <x v="30"/>
    <x v="0"/>
    <x v="215"/>
    <x v="2"/>
    <x v="2"/>
    <x v="3"/>
    <x v="0"/>
    <x v="5"/>
    <n v="136.38562543192813"/>
    <x v="0"/>
  </r>
  <r>
    <x v="30"/>
    <x v="0"/>
    <x v="215"/>
    <x v="2"/>
    <x v="2"/>
    <x v="3"/>
    <x v="0"/>
    <x v="6"/>
    <n v="0"/>
    <x v="0"/>
  </r>
  <r>
    <x v="30"/>
    <x v="0"/>
    <x v="215"/>
    <x v="2"/>
    <x v="2"/>
    <x v="3"/>
    <x v="0"/>
    <x v="7"/>
    <n v="0"/>
    <x v="0"/>
  </r>
  <r>
    <x v="30"/>
    <x v="0"/>
    <x v="215"/>
    <x v="2"/>
    <x v="2"/>
    <x v="3"/>
    <x v="0"/>
    <x v="8"/>
    <n v="0"/>
    <x v="0"/>
  </r>
  <r>
    <x v="30"/>
    <x v="0"/>
    <x v="215"/>
    <x v="2"/>
    <x v="2"/>
    <x v="3"/>
    <x v="0"/>
    <x v="9"/>
    <n v="0"/>
    <x v="0"/>
  </r>
  <r>
    <x v="30"/>
    <x v="0"/>
    <x v="215"/>
    <x v="2"/>
    <x v="2"/>
    <x v="3"/>
    <x v="0"/>
    <x v="10"/>
    <n v="0"/>
    <x v="0"/>
  </r>
  <r>
    <x v="30"/>
    <x v="0"/>
    <x v="215"/>
    <x v="2"/>
    <x v="2"/>
    <x v="3"/>
    <x v="0"/>
    <x v="11"/>
    <n v="0"/>
    <x v="0"/>
  </r>
  <r>
    <x v="30"/>
    <x v="0"/>
    <x v="216"/>
    <x v="2"/>
    <x v="2"/>
    <x v="3"/>
    <x v="0"/>
    <x v="0"/>
    <n v="0"/>
    <x v="0"/>
  </r>
  <r>
    <x v="30"/>
    <x v="0"/>
    <x v="216"/>
    <x v="2"/>
    <x v="2"/>
    <x v="3"/>
    <x v="0"/>
    <x v="1"/>
    <n v="129.0843228431454"/>
    <x v="0"/>
  </r>
  <r>
    <x v="30"/>
    <x v="0"/>
    <x v="216"/>
    <x v="2"/>
    <x v="2"/>
    <x v="3"/>
    <x v="0"/>
    <x v="2"/>
    <n v="0"/>
    <x v="0"/>
  </r>
  <r>
    <x v="30"/>
    <x v="0"/>
    <x v="216"/>
    <x v="2"/>
    <x v="2"/>
    <x v="3"/>
    <x v="0"/>
    <x v="3"/>
    <n v="0"/>
    <x v="0"/>
  </r>
  <r>
    <x v="30"/>
    <x v="0"/>
    <x v="216"/>
    <x v="2"/>
    <x v="2"/>
    <x v="3"/>
    <x v="0"/>
    <x v="4"/>
    <n v="134.70824072863556"/>
    <x v="0"/>
  </r>
  <r>
    <x v="30"/>
    <x v="0"/>
    <x v="216"/>
    <x v="2"/>
    <x v="2"/>
    <x v="3"/>
    <x v="0"/>
    <x v="5"/>
    <n v="0"/>
    <x v="0"/>
  </r>
  <r>
    <x v="30"/>
    <x v="0"/>
    <x v="216"/>
    <x v="2"/>
    <x v="2"/>
    <x v="3"/>
    <x v="0"/>
    <x v="6"/>
    <n v="0"/>
    <x v="0"/>
  </r>
  <r>
    <x v="30"/>
    <x v="0"/>
    <x v="216"/>
    <x v="2"/>
    <x v="2"/>
    <x v="3"/>
    <x v="0"/>
    <x v="7"/>
    <n v="0"/>
    <x v="0"/>
  </r>
  <r>
    <x v="30"/>
    <x v="0"/>
    <x v="216"/>
    <x v="2"/>
    <x v="2"/>
    <x v="3"/>
    <x v="0"/>
    <x v="8"/>
    <n v="0"/>
    <x v="0"/>
  </r>
  <r>
    <x v="30"/>
    <x v="0"/>
    <x v="216"/>
    <x v="2"/>
    <x v="2"/>
    <x v="3"/>
    <x v="0"/>
    <x v="9"/>
    <n v="0"/>
    <x v="0"/>
  </r>
  <r>
    <x v="30"/>
    <x v="0"/>
    <x v="216"/>
    <x v="2"/>
    <x v="2"/>
    <x v="3"/>
    <x v="0"/>
    <x v="10"/>
    <n v="0"/>
    <x v="0"/>
  </r>
  <r>
    <x v="30"/>
    <x v="0"/>
    <x v="216"/>
    <x v="2"/>
    <x v="2"/>
    <x v="3"/>
    <x v="0"/>
    <x v="11"/>
    <n v="0"/>
    <x v="0"/>
  </r>
  <r>
    <x v="30"/>
    <x v="1"/>
    <x v="217"/>
    <x v="2"/>
    <x v="2"/>
    <x v="3"/>
    <x v="0"/>
    <x v="0"/>
    <n v="176.2133944206434"/>
    <x v="0"/>
  </r>
  <r>
    <x v="30"/>
    <x v="1"/>
    <x v="217"/>
    <x v="2"/>
    <x v="2"/>
    <x v="3"/>
    <x v="0"/>
    <x v="1"/>
    <n v="0"/>
    <x v="0"/>
  </r>
  <r>
    <x v="30"/>
    <x v="1"/>
    <x v="217"/>
    <x v="2"/>
    <x v="2"/>
    <x v="3"/>
    <x v="0"/>
    <x v="2"/>
    <n v="0"/>
    <x v="0"/>
  </r>
  <r>
    <x v="30"/>
    <x v="1"/>
    <x v="217"/>
    <x v="2"/>
    <x v="2"/>
    <x v="3"/>
    <x v="0"/>
    <x v="3"/>
    <n v="0"/>
    <x v="0"/>
  </r>
  <r>
    <x v="30"/>
    <x v="1"/>
    <x v="217"/>
    <x v="2"/>
    <x v="2"/>
    <x v="3"/>
    <x v="0"/>
    <x v="4"/>
    <n v="0"/>
    <x v="0"/>
  </r>
  <r>
    <x v="30"/>
    <x v="1"/>
    <x v="217"/>
    <x v="2"/>
    <x v="2"/>
    <x v="3"/>
    <x v="0"/>
    <x v="5"/>
    <n v="0"/>
    <x v="0"/>
  </r>
  <r>
    <x v="30"/>
    <x v="1"/>
    <x v="217"/>
    <x v="2"/>
    <x v="2"/>
    <x v="3"/>
    <x v="0"/>
    <x v="6"/>
    <n v="0"/>
    <x v="0"/>
  </r>
  <r>
    <x v="30"/>
    <x v="1"/>
    <x v="217"/>
    <x v="2"/>
    <x v="2"/>
    <x v="3"/>
    <x v="0"/>
    <x v="7"/>
    <n v="0"/>
    <x v="0"/>
  </r>
  <r>
    <x v="30"/>
    <x v="1"/>
    <x v="217"/>
    <x v="2"/>
    <x v="2"/>
    <x v="3"/>
    <x v="0"/>
    <x v="8"/>
    <n v="0"/>
    <x v="0"/>
  </r>
  <r>
    <x v="30"/>
    <x v="1"/>
    <x v="217"/>
    <x v="2"/>
    <x v="2"/>
    <x v="3"/>
    <x v="0"/>
    <x v="9"/>
    <n v="0"/>
    <x v="0"/>
  </r>
  <r>
    <x v="30"/>
    <x v="1"/>
    <x v="217"/>
    <x v="2"/>
    <x v="2"/>
    <x v="3"/>
    <x v="0"/>
    <x v="10"/>
    <n v="0"/>
    <x v="0"/>
  </r>
  <r>
    <x v="30"/>
    <x v="1"/>
    <x v="217"/>
    <x v="2"/>
    <x v="2"/>
    <x v="3"/>
    <x v="0"/>
    <x v="11"/>
    <n v="0"/>
    <x v="0"/>
  </r>
  <r>
    <x v="30"/>
    <x v="1"/>
    <x v="218"/>
    <x v="2"/>
    <x v="3"/>
    <x v="30"/>
    <x v="0"/>
    <x v="0"/>
    <n v="0"/>
    <x v="0"/>
  </r>
  <r>
    <x v="30"/>
    <x v="1"/>
    <x v="218"/>
    <x v="2"/>
    <x v="3"/>
    <x v="30"/>
    <x v="0"/>
    <x v="1"/>
    <n v="0"/>
    <x v="0"/>
  </r>
  <r>
    <x v="30"/>
    <x v="1"/>
    <x v="218"/>
    <x v="2"/>
    <x v="3"/>
    <x v="30"/>
    <x v="0"/>
    <x v="2"/>
    <n v="0"/>
    <x v="0"/>
  </r>
  <r>
    <x v="30"/>
    <x v="1"/>
    <x v="218"/>
    <x v="2"/>
    <x v="3"/>
    <x v="30"/>
    <x v="0"/>
    <x v="3"/>
    <n v="0"/>
    <x v="0"/>
  </r>
  <r>
    <x v="30"/>
    <x v="1"/>
    <x v="218"/>
    <x v="2"/>
    <x v="3"/>
    <x v="30"/>
    <x v="0"/>
    <x v="4"/>
    <n v="0"/>
    <x v="0"/>
  </r>
  <r>
    <x v="30"/>
    <x v="1"/>
    <x v="218"/>
    <x v="2"/>
    <x v="3"/>
    <x v="30"/>
    <x v="0"/>
    <x v="5"/>
    <n v="0"/>
    <x v="0"/>
  </r>
  <r>
    <x v="30"/>
    <x v="1"/>
    <x v="218"/>
    <x v="2"/>
    <x v="3"/>
    <x v="30"/>
    <x v="0"/>
    <x v="6"/>
    <n v="0"/>
    <x v="0"/>
  </r>
  <r>
    <x v="30"/>
    <x v="1"/>
    <x v="218"/>
    <x v="2"/>
    <x v="3"/>
    <x v="30"/>
    <x v="0"/>
    <x v="7"/>
    <n v="0"/>
    <x v="0"/>
  </r>
  <r>
    <x v="30"/>
    <x v="1"/>
    <x v="218"/>
    <x v="2"/>
    <x v="3"/>
    <x v="30"/>
    <x v="0"/>
    <x v="8"/>
    <n v="0"/>
    <x v="0"/>
  </r>
  <r>
    <x v="30"/>
    <x v="1"/>
    <x v="218"/>
    <x v="2"/>
    <x v="3"/>
    <x v="30"/>
    <x v="0"/>
    <x v="9"/>
    <n v="0"/>
    <x v="0"/>
  </r>
  <r>
    <x v="30"/>
    <x v="1"/>
    <x v="218"/>
    <x v="2"/>
    <x v="3"/>
    <x v="30"/>
    <x v="0"/>
    <x v="10"/>
    <n v="0"/>
    <x v="0"/>
  </r>
  <r>
    <x v="30"/>
    <x v="1"/>
    <x v="218"/>
    <x v="2"/>
    <x v="3"/>
    <x v="30"/>
    <x v="0"/>
    <x v="11"/>
    <n v="0"/>
    <x v="0"/>
  </r>
  <r>
    <x v="30"/>
    <x v="1"/>
    <x v="219"/>
    <x v="2"/>
    <x v="2"/>
    <x v="3"/>
    <x v="0"/>
    <x v="0"/>
    <n v="8634.1479531712903"/>
    <x v="0"/>
  </r>
  <r>
    <x v="30"/>
    <x v="1"/>
    <x v="219"/>
    <x v="2"/>
    <x v="2"/>
    <x v="3"/>
    <x v="0"/>
    <x v="1"/>
    <n v="0"/>
    <x v="0"/>
  </r>
  <r>
    <x v="30"/>
    <x v="1"/>
    <x v="219"/>
    <x v="2"/>
    <x v="2"/>
    <x v="3"/>
    <x v="0"/>
    <x v="2"/>
    <n v="172.01657144628228"/>
    <x v="0"/>
  </r>
  <r>
    <x v="30"/>
    <x v="1"/>
    <x v="219"/>
    <x v="2"/>
    <x v="2"/>
    <x v="3"/>
    <x v="0"/>
    <x v="3"/>
    <n v="0"/>
    <x v="0"/>
  </r>
  <r>
    <x v="30"/>
    <x v="1"/>
    <x v="219"/>
    <x v="2"/>
    <x v="2"/>
    <x v="3"/>
    <x v="0"/>
    <x v="4"/>
    <n v="0"/>
    <x v="0"/>
  </r>
  <r>
    <x v="30"/>
    <x v="1"/>
    <x v="219"/>
    <x v="2"/>
    <x v="2"/>
    <x v="3"/>
    <x v="0"/>
    <x v="5"/>
    <n v="0"/>
    <x v="0"/>
  </r>
  <r>
    <x v="30"/>
    <x v="1"/>
    <x v="219"/>
    <x v="2"/>
    <x v="2"/>
    <x v="3"/>
    <x v="0"/>
    <x v="6"/>
    <n v="0"/>
    <x v="0"/>
  </r>
  <r>
    <x v="30"/>
    <x v="1"/>
    <x v="219"/>
    <x v="2"/>
    <x v="2"/>
    <x v="3"/>
    <x v="0"/>
    <x v="7"/>
    <n v="0"/>
    <x v="0"/>
  </r>
  <r>
    <x v="30"/>
    <x v="1"/>
    <x v="219"/>
    <x v="2"/>
    <x v="2"/>
    <x v="3"/>
    <x v="0"/>
    <x v="8"/>
    <n v="0"/>
    <x v="0"/>
  </r>
  <r>
    <x v="30"/>
    <x v="1"/>
    <x v="219"/>
    <x v="2"/>
    <x v="2"/>
    <x v="3"/>
    <x v="0"/>
    <x v="9"/>
    <n v="0"/>
    <x v="0"/>
  </r>
  <r>
    <x v="30"/>
    <x v="1"/>
    <x v="219"/>
    <x v="2"/>
    <x v="2"/>
    <x v="3"/>
    <x v="0"/>
    <x v="10"/>
    <n v="0"/>
    <x v="0"/>
  </r>
  <r>
    <x v="30"/>
    <x v="1"/>
    <x v="219"/>
    <x v="2"/>
    <x v="2"/>
    <x v="3"/>
    <x v="0"/>
    <x v="11"/>
    <n v="0"/>
    <x v="0"/>
  </r>
  <r>
    <x v="30"/>
    <x v="1"/>
    <x v="220"/>
    <x v="2"/>
    <x v="2"/>
    <x v="3"/>
    <x v="0"/>
    <x v="0"/>
    <n v="72.737585215696214"/>
    <x v="0"/>
  </r>
  <r>
    <x v="30"/>
    <x v="1"/>
    <x v="220"/>
    <x v="2"/>
    <x v="2"/>
    <x v="3"/>
    <x v="0"/>
    <x v="1"/>
    <n v="168.21597608569292"/>
    <x v="0"/>
  </r>
  <r>
    <x v="30"/>
    <x v="1"/>
    <x v="220"/>
    <x v="2"/>
    <x v="2"/>
    <x v="3"/>
    <x v="0"/>
    <x v="2"/>
    <n v="0"/>
    <x v="0"/>
  </r>
  <r>
    <x v="30"/>
    <x v="1"/>
    <x v="220"/>
    <x v="2"/>
    <x v="2"/>
    <x v="3"/>
    <x v="0"/>
    <x v="3"/>
    <n v="0"/>
    <x v="0"/>
  </r>
  <r>
    <x v="30"/>
    <x v="1"/>
    <x v="220"/>
    <x v="2"/>
    <x v="2"/>
    <x v="3"/>
    <x v="0"/>
    <x v="4"/>
    <n v="58.340959602562428"/>
    <x v="0"/>
  </r>
  <r>
    <x v="30"/>
    <x v="1"/>
    <x v="220"/>
    <x v="2"/>
    <x v="2"/>
    <x v="3"/>
    <x v="0"/>
    <x v="5"/>
    <n v="0"/>
    <x v="0"/>
  </r>
  <r>
    <x v="30"/>
    <x v="1"/>
    <x v="220"/>
    <x v="2"/>
    <x v="2"/>
    <x v="3"/>
    <x v="0"/>
    <x v="6"/>
    <n v="0"/>
    <x v="0"/>
  </r>
  <r>
    <x v="30"/>
    <x v="1"/>
    <x v="220"/>
    <x v="2"/>
    <x v="2"/>
    <x v="3"/>
    <x v="0"/>
    <x v="7"/>
    <n v="0"/>
    <x v="0"/>
  </r>
  <r>
    <x v="30"/>
    <x v="1"/>
    <x v="220"/>
    <x v="2"/>
    <x v="2"/>
    <x v="3"/>
    <x v="0"/>
    <x v="8"/>
    <n v="0"/>
    <x v="0"/>
  </r>
  <r>
    <x v="30"/>
    <x v="1"/>
    <x v="220"/>
    <x v="2"/>
    <x v="2"/>
    <x v="3"/>
    <x v="0"/>
    <x v="9"/>
    <n v="0"/>
    <x v="0"/>
  </r>
  <r>
    <x v="30"/>
    <x v="1"/>
    <x v="220"/>
    <x v="2"/>
    <x v="2"/>
    <x v="3"/>
    <x v="0"/>
    <x v="10"/>
    <n v="71.037463976945247"/>
    <x v="0"/>
  </r>
  <r>
    <x v="30"/>
    <x v="1"/>
    <x v="220"/>
    <x v="2"/>
    <x v="2"/>
    <x v="3"/>
    <x v="0"/>
    <x v="11"/>
    <n v="0"/>
    <x v="0"/>
  </r>
  <r>
    <x v="30"/>
    <x v="0"/>
    <x v="221"/>
    <x v="2"/>
    <x v="3"/>
    <x v="3"/>
    <x v="0"/>
    <x v="0"/>
    <n v="0"/>
    <x v="0"/>
  </r>
  <r>
    <x v="30"/>
    <x v="0"/>
    <x v="221"/>
    <x v="2"/>
    <x v="3"/>
    <x v="3"/>
    <x v="0"/>
    <x v="1"/>
    <n v="0"/>
    <x v="0"/>
  </r>
  <r>
    <x v="30"/>
    <x v="0"/>
    <x v="221"/>
    <x v="2"/>
    <x v="3"/>
    <x v="3"/>
    <x v="0"/>
    <x v="2"/>
    <n v="0"/>
    <x v="0"/>
  </r>
  <r>
    <x v="30"/>
    <x v="0"/>
    <x v="221"/>
    <x v="2"/>
    <x v="3"/>
    <x v="3"/>
    <x v="0"/>
    <x v="3"/>
    <n v="0"/>
    <x v="0"/>
  </r>
  <r>
    <x v="30"/>
    <x v="0"/>
    <x v="221"/>
    <x v="2"/>
    <x v="3"/>
    <x v="3"/>
    <x v="0"/>
    <x v="4"/>
    <n v="0"/>
    <x v="0"/>
  </r>
  <r>
    <x v="30"/>
    <x v="0"/>
    <x v="221"/>
    <x v="2"/>
    <x v="3"/>
    <x v="3"/>
    <x v="0"/>
    <x v="5"/>
    <n v="0"/>
    <x v="0"/>
  </r>
  <r>
    <x v="30"/>
    <x v="0"/>
    <x v="221"/>
    <x v="2"/>
    <x v="3"/>
    <x v="3"/>
    <x v="0"/>
    <x v="6"/>
    <n v="270.24937070694142"/>
    <x v="0"/>
  </r>
  <r>
    <x v="30"/>
    <x v="0"/>
    <x v="221"/>
    <x v="2"/>
    <x v="3"/>
    <x v="3"/>
    <x v="0"/>
    <x v="7"/>
    <n v="354.15958705237125"/>
    <x v="0"/>
  </r>
  <r>
    <x v="30"/>
    <x v="0"/>
    <x v="221"/>
    <x v="2"/>
    <x v="3"/>
    <x v="3"/>
    <x v="0"/>
    <x v="8"/>
    <n v="248.09168547089752"/>
    <x v="0"/>
  </r>
  <r>
    <x v="30"/>
    <x v="0"/>
    <x v="221"/>
    <x v="2"/>
    <x v="3"/>
    <x v="3"/>
    <x v="0"/>
    <x v="9"/>
    <n v="319.03385056917364"/>
    <x v="0"/>
  </r>
  <r>
    <x v="30"/>
    <x v="0"/>
    <x v="221"/>
    <x v="2"/>
    <x v="3"/>
    <x v="3"/>
    <x v="0"/>
    <x v="10"/>
    <n v="283.28015644298063"/>
    <x v="0"/>
  </r>
  <r>
    <x v="30"/>
    <x v="0"/>
    <x v="221"/>
    <x v="2"/>
    <x v="3"/>
    <x v="3"/>
    <x v="0"/>
    <x v="11"/>
    <n v="320.23547624867592"/>
    <x v="0"/>
  </r>
  <r>
    <x v="30"/>
    <x v="1"/>
    <x v="222"/>
    <x v="2"/>
    <x v="2"/>
    <x v="3"/>
    <x v="0"/>
    <x v="0"/>
    <n v="0"/>
    <x v="0"/>
  </r>
  <r>
    <x v="30"/>
    <x v="1"/>
    <x v="222"/>
    <x v="2"/>
    <x v="2"/>
    <x v="3"/>
    <x v="0"/>
    <x v="1"/>
    <n v="0"/>
    <x v="0"/>
  </r>
  <r>
    <x v="30"/>
    <x v="1"/>
    <x v="222"/>
    <x v="2"/>
    <x v="2"/>
    <x v="3"/>
    <x v="0"/>
    <x v="2"/>
    <n v="0"/>
    <x v="0"/>
  </r>
  <r>
    <x v="30"/>
    <x v="1"/>
    <x v="222"/>
    <x v="2"/>
    <x v="2"/>
    <x v="3"/>
    <x v="0"/>
    <x v="3"/>
    <n v="0"/>
    <x v="0"/>
  </r>
  <r>
    <x v="30"/>
    <x v="1"/>
    <x v="222"/>
    <x v="2"/>
    <x v="2"/>
    <x v="3"/>
    <x v="0"/>
    <x v="4"/>
    <n v="174.91937943957817"/>
    <x v="0"/>
  </r>
  <r>
    <x v="30"/>
    <x v="1"/>
    <x v="222"/>
    <x v="2"/>
    <x v="2"/>
    <x v="3"/>
    <x v="0"/>
    <x v="5"/>
    <n v="0"/>
    <x v="0"/>
  </r>
  <r>
    <x v="30"/>
    <x v="1"/>
    <x v="222"/>
    <x v="2"/>
    <x v="2"/>
    <x v="3"/>
    <x v="0"/>
    <x v="6"/>
    <n v="114.13136225948206"/>
    <x v="0"/>
  </r>
  <r>
    <x v="30"/>
    <x v="1"/>
    <x v="222"/>
    <x v="2"/>
    <x v="2"/>
    <x v="3"/>
    <x v="0"/>
    <x v="7"/>
    <n v="0"/>
    <x v="0"/>
  </r>
  <r>
    <x v="30"/>
    <x v="1"/>
    <x v="222"/>
    <x v="2"/>
    <x v="2"/>
    <x v="3"/>
    <x v="0"/>
    <x v="8"/>
    <n v="115.52995540968031"/>
    <x v="0"/>
  </r>
  <r>
    <x v="30"/>
    <x v="1"/>
    <x v="222"/>
    <x v="2"/>
    <x v="2"/>
    <x v="3"/>
    <x v="0"/>
    <x v="9"/>
    <n v="57.294310405757066"/>
    <x v="0"/>
  </r>
  <r>
    <x v="30"/>
    <x v="1"/>
    <x v="222"/>
    <x v="2"/>
    <x v="2"/>
    <x v="3"/>
    <x v="0"/>
    <x v="10"/>
    <n v="0"/>
    <x v="0"/>
  </r>
  <r>
    <x v="30"/>
    <x v="1"/>
    <x v="222"/>
    <x v="2"/>
    <x v="2"/>
    <x v="3"/>
    <x v="0"/>
    <x v="11"/>
    <n v="0"/>
    <x v="0"/>
  </r>
  <r>
    <x v="30"/>
    <x v="1"/>
    <x v="223"/>
    <x v="2"/>
    <x v="3"/>
    <x v="31"/>
    <x v="0"/>
    <x v="0"/>
    <n v="0"/>
    <x v="0"/>
  </r>
  <r>
    <x v="30"/>
    <x v="1"/>
    <x v="223"/>
    <x v="2"/>
    <x v="3"/>
    <x v="31"/>
    <x v="0"/>
    <x v="1"/>
    <n v="0"/>
    <x v="0"/>
  </r>
  <r>
    <x v="30"/>
    <x v="1"/>
    <x v="223"/>
    <x v="2"/>
    <x v="3"/>
    <x v="31"/>
    <x v="0"/>
    <x v="2"/>
    <n v="127.58153998739579"/>
    <x v="0"/>
  </r>
  <r>
    <x v="30"/>
    <x v="1"/>
    <x v="223"/>
    <x v="2"/>
    <x v="3"/>
    <x v="31"/>
    <x v="0"/>
    <x v="3"/>
    <n v="0"/>
    <x v="0"/>
  </r>
  <r>
    <x v="30"/>
    <x v="1"/>
    <x v="223"/>
    <x v="2"/>
    <x v="3"/>
    <x v="31"/>
    <x v="0"/>
    <x v="4"/>
    <n v="0"/>
    <x v="0"/>
  </r>
  <r>
    <x v="30"/>
    <x v="1"/>
    <x v="223"/>
    <x v="2"/>
    <x v="3"/>
    <x v="31"/>
    <x v="0"/>
    <x v="5"/>
    <n v="0"/>
    <x v="0"/>
  </r>
  <r>
    <x v="30"/>
    <x v="1"/>
    <x v="223"/>
    <x v="2"/>
    <x v="3"/>
    <x v="31"/>
    <x v="0"/>
    <x v="6"/>
    <n v="0"/>
    <x v="0"/>
  </r>
  <r>
    <x v="30"/>
    <x v="1"/>
    <x v="223"/>
    <x v="2"/>
    <x v="3"/>
    <x v="31"/>
    <x v="0"/>
    <x v="7"/>
    <n v="0"/>
    <x v="0"/>
  </r>
  <r>
    <x v="30"/>
    <x v="1"/>
    <x v="223"/>
    <x v="2"/>
    <x v="3"/>
    <x v="31"/>
    <x v="0"/>
    <x v="8"/>
    <n v="0"/>
    <x v="0"/>
  </r>
  <r>
    <x v="30"/>
    <x v="1"/>
    <x v="223"/>
    <x v="2"/>
    <x v="3"/>
    <x v="31"/>
    <x v="0"/>
    <x v="9"/>
    <n v="0"/>
    <x v="0"/>
  </r>
  <r>
    <x v="30"/>
    <x v="1"/>
    <x v="223"/>
    <x v="2"/>
    <x v="3"/>
    <x v="31"/>
    <x v="0"/>
    <x v="10"/>
    <n v="0"/>
    <x v="0"/>
  </r>
  <r>
    <x v="30"/>
    <x v="1"/>
    <x v="223"/>
    <x v="2"/>
    <x v="3"/>
    <x v="31"/>
    <x v="0"/>
    <x v="11"/>
    <n v="0"/>
    <x v="0"/>
  </r>
  <r>
    <x v="30"/>
    <x v="1"/>
    <x v="224"/>
    <x v="3"/>
    <x v="8"/>
    <x v="32"/>
    <x v="0"/>
    <x v="0"/>
    <n v="0"/>
    <x v="0"/>
  </r>
  <r>
    <x v="30"/>
    <x v="1"/>
    <x v="224"/>
    <x v="3"/>
    <x v="8"/>
    <x v="32"/>
    <x v="0"/>
    <x v="1"/>
    <n v="0"/>
    <x v="0"/>
  </r>
  <r>
    <x v="30"/>
    <x v="1"/>
    <x v="224"/>
    <x v="3"/>
    <x v="8"/>
    <x v="32"/>
    <x v="0"/>
    <x v="2"/>
    <n v="0"/>
    <x v="0"/>
  </r>
  <r>
    <x v="30"/>
    <x v="1"/>
    <x v="224"/>
    <x v="3"/>
    <x v="8"/>
    <x v="32"/>
    <x v="0"/>
    <x v="3"/>
    <n v="0"/>
    <x v="0"/>
  </r>
  <r>
    <x v="30"/>
    <x v="1"/>
    <x v="224"/>
    <x v="3"/>
    <x v="8"/>
    <x v="32"/>
    <x v="0"/>
    <x v="4"/>
    <n v="435.78681309103587"/>
    <x v="0"/>
  </r>
  <r>
    <x v="30"/>
    <x v="1"/>
    <x v="224"/>
    <x v="3"/>
    <x v="8"/>
    <x v="32"/>
    <x v="0"/>
    <x v="5"/>
    <n v="0"/>
    <x v="0"/>
  </r>
  <r>
    <x v="30"/>
    <x v="1"/>
    <x v="224"/>
    <x v="3"/>
    <x v="8"/>
    <x v="32"/>
    <x v="0"/>
    <x v="6"/>
    <n v="0"/>
    <x v="0"/>
  </r>
  <r>
    <x v="30"/>
    <x v="1"/>
    <x v="224"/>
    <x v="3"/>
    <x v="8"/>
    <x v="32"/>
    <x v="0"/>
    <x v="7"/>
    <n v="0"/>
    <x v="0"/>
  </r>
  <r>
    <x v="30"/>
    <x v="1"/>
    <x v="224"/>
    <x v="3"/>
    <x v="8"/>
    <x v="32"/>
    <x v="0"/>
    <x v="8"/>
    <n v="0"/>
    <x v="0"/>
  </r>
  <r>
    <x v="30"/>
    <x v="1"/>
    <x v="224"/>
    <x v="3"/>
    <x v="8"/>
    <x v="32"/>
    <x v="0"/>
    <x v="9"/>
    <n v="0"/>
    <x v="0"/>
  </r>
  <r>
    <x v="30"/>
    <x v="1"/>
    <x v="224"/>
    <x v="3"/>
    <x v="8"/>
    <x v="32"/>
    <x v="0"/>
    <x v="10"/>
    <n v="0"/>
    <x v="0"/>
  </r>
  <r>
    <x v="30"/>
    <x v="1"/>
    <x v="224"/>
    <x v="3"/>
    <x v="8"/>
    <x v="32"/>
    <x v="0"/>
    <x v="11"/>
    <n v="0"/>
    <x v="0"/>
  </r>
  <r>
    <x v="30"/>
    <x v="1"/>
    <x v="225"/>
    <x v="2"/>
    <x v="2"/>
    <x v="3"/>
    <x v="0"/>
    <x v="0"/>
    <n v="0"/>
    <x v="0"/>
  </r>
  <r>
    <x v="30"/>
    <x v="1"/>
    <x v="225"/>
    <x v="2"/>
    <x v="2"/>
    <x v="3"/>
    <x v="0"/>
    <x v="1"/>
    <n v="0"/>
    <x v="0"/>
  </r>
  <r>
    <x v="30"/>
    <x v="1"/>
    <x v="225"/>
    <x v="2"/>
    <x v="2"/>
    <x v="3"/>
    <x v="0"/>
    <x v="2"/>
    <n v="363.24940853160871"/>
    <x v="0"/>
  </r>
  <r>
    <x v="30"/>
    <x v="1"/>
    <x v="225"/>
    <x v="2"/>
    <x v="2"/>
    <x v="3"/>
    <x v="0"/>
    <x v="3"/>
    <n v="0"/>
    <x v="0"/>
  </r>
  <r>
    <x v="30"/>
    <x v="1"/>
    <x v="225"/>
    <x v="2"/>
    <x v="2"/>
    <x v="3"/>
    <x v="0"/>
    <x v="4"/>
    <n v="0"/>
    <x v="0"/>
  </r>
  <r>
    <x v="30"/>
    <x v="1"/>
    <x v="225"/>
    <x v="2"/>
    <x v="2"/>
    <x v="3"/>
    <x v="0"/>
    <x v="5"/>
    <n v="0"/>
    <x v="0"/>
  </r>
  <r>
    <x v="30"/>
    <x v="1"/>
    <x v="225"/>
    <x v="2"/>
    <x v="2"/>
    <x v="3"/>
    <x v="0"/>
    <x v="6"/>
    <n v="0"/>
    <x v="0"/>
  </r>
  <r>
    <x v="30"/>
    <x v="1"/>
    <x v="225"/>
    <x v="2"/>
    <x v="2"/>
    <x v="3"/>
    <x v="0"/>
    <x v="7"/>
    <n v="0"/>
    <x v="0"/>
  </r>
  <r>
    <x v="30"/>
    <x v="1"/>
    <x v="225"/>
    <x v="2"/>
    <x v="2"/>
    <x v="3"/>
    <x v="0"/>
    <x v="8"/>
    <n v="0"/>
    <x v="0"/>
  </r>
  <r>
    <x v="30"/>
    <x v="1"/>
    <x v="225"/>
    <x v="2"/>
    <x v="2"/>
    <x v="3"/>
    <x v="0"/>
    <x v="9"/>
    <n v="0"/>
    <x v="0"/>
  </r>
  <r>
    <x v="30"/>
    <x v="1"/>
    <x v="225"/>
    <x v="2"/>
    <x v="2"/>
    <x v="3"/>
    <x v="0"/>
    <x v="10"/>
    <n v="0"/>
    <x v="0"/>
  </r>
  <r>
    <x v="30"/>
    <x v="1"/>
    <x v="225"/>
    <x v="2"/>
    <x v="2"/>
    <x v="3"/>
    <x v="0"/>
    <x v="11"/>
    <n v="0"/>
    <x v="0"/>
  </r>
  <r>
    <x v="30"/>
    <x v="1"/>
    <x v="226"/>
    <x v="2"/>
    <x v="3"/>
    <x v="14"/>
    <x v="0"/>
    <x v="0"/>
    <n v="0"/>
    <x v="0"/>
  </r>
  <r>
    <x v="30"/>
    <x v="1"/>
    <x v="226"/>
    <x v="2"/>
    <x v="3"/>
    <x v="14"/>
    <x v="0"/>
    <x v="1"/>
    <n v="0"/>
    <x v="0"/>
  </r>
  <r>
    <x v="30"/>
    <x v="1"/>
    <x v="226"/>
    <x v="2"/>
    <x v="3"/>
    <x v="14"/>
    <x v="0"/>
    <x v="2"/>
    <n v="35.095513105286543"/>
    <x v="0"/>
  </r>
  <r>
    <x v="30"/>
    <x v="1"/>
    <x v="226"/>
    <x v="2"/>
    <x v="3"/>
    <x v="14"/>
    <x v="0"/>
    <x v="3"/>
    <n v="0"/>
    <x v="0"/>
  </r>
  <r>
    <x v="30"/>
    <x v="1"/>
    <x v="226"/>
    <x v="2"/>
    <x v="3"/>
    <x v="14"/>
    <x v="0"/>
    <x v="4"/>
    <n v="0"/>
    <x v="0"/>
  </r>
  <r>
    <x v="30"/>
    <x v="1"/>
    <x v="226"/>
    <x v="2"/>
    <x v="3"/>
    <x v="14"/>
    <x v="0"/>
    <x v="5"/>
    <n v="0"/>
    <x v="0"/>
  </r>
  <r>
    <x v="30"/>
    <x v="1"/>
    <x v="226"/>
    <x v="2"/>
    <x v="3"/>
    <x v="14"/>
    <x v="0"/>
    <x v="6"/>
    <n v="0"/>
    <x v="0"/>
  </r>
  <r>
    <x v="30"/>
    <x v="1"/>
    <x v="226"/>
    <x v="2"/>
    <x v="3"/>
    <x v="14"/>
    <x v="0"/>
    <x v="7"/>
    <n v="0"/>
    <x v="0"/>
  </r>
  <r>
    <x v="30"/>
    <x v="1"/>
    <x v="226"/>
    <x v="2"/>
    <x v="3"/>
    <x v="14"/>
    <x v="0"/>
    <x v="8"/>
    <n v="0"/>
    <x v="0"/>
  </r>
  <r>
    <x v="30"/>
    <x v="1"/>
    <x v="226"/>
    <x v="2"/>
    <x v="3"/>
    <x v="14"/>
    <x v="0"/>
    <x v="9"/>
    <n v="0"/>
    <x v="0"/>
  </r>
  <r>
    <x v="30"/>
    <x v="1"/>
    <x v="226"/>
    <x v="2"/>
    <x v="3"/>
    <x v="14"/>
    <x v="0"/>
    <x v="10"/>
    <n v="0"/>
    <x v="0"/>
  </r>
  <r>
    <x v="30"/>
    <x v="1"/>
    <x v="226"/>
    <x v="2"/>
    <x v="3"/>
    <x v="14"/>
    <x v="0"/>
    <x v="11"/>
    <n v="0"/>
    <x v="0"/>
  </r>
  <r>
    <x v="30"/>
    <x v="1"/>
    <x v="227"/>
    <x v="2"/>
    <x v="3"/>
    <x v="14"/>
    <x v="0"/>
    <x v="0"/>
    <n v="0"/>
    <x v="0"/>
  </r>
  <r>
    <x v="30"/>
    <x v="1"/>
    <x v="227"/>
    <x v="2"/>
    <x v="3"/>
    <x v="14"/>
    <x v="0"/>
    <x v="1"/>
    <n v="0"/>
    <x v="0"/>
  </r>
  <r>
    <x v="30"/>
    <x v="1"/>
    <x v="227"/>
    <x v="2"/>
    <x v="3"/>
    <x v="14"/>
    <x v="0"/>
    <x v="2"/>
    <n v="0"/>
    <x v="0"/>
  </r>
  <r>
    <x v="30"/>
    <x v="1"/>
    <x v="227"/>
    <x v="2"/>
    <x v="3"/>
    <x v="14"/>
    <x v="0"/>
    <x v="3"/>
    <n v="44.045660007915515"/>
    <x v="0"/>
  </r>
  <r>
    <x v="30"/>
    <x v="1"/>
    <x v="227"/>
    <x v="2"/>
    <x v="3"/>
    <x v="14"/>
    <x v="0"/>
    <x v="4"/>
    <n v="0"/>
    <x v="0"/>
  </r>
  <r>
    <x v="30"/>
    <x v="1"/>
    <x v="227"/>
    <x v="2"/>
    <x v="3"/>
    <x v="14"/>
    <x v="0"/>
    <x v="5"/>
    <n v="0"/>
    <x v="0"/>
  </r>
  <r>
    <x v="30"/>
    <x v="1"/>
    <x v="227"/>
    <x v="2"/>
    <x v="3"/>
    <x v="14"/>
    <x v="0"/>
    <x v="6"/>
    <n v="0"/>
    <x v="0"/>
  </r>
  <r>
    <x v="30"/>
    <x v="1"/>
    <x v="227"/>
    <x v="2"/>
    <x v="3"/>
    <x v="14"/>
    <x v="0"/>
    <x v="7"/>
    <n v="0"/>
    <x v="0"/>
  </r>
  <r>
    <x v="30"/>
    <x v="1"/>
    <x v="227"/>
    <x v="2"/>
    <x v="3"/>
    <x v="14"/>
    <x v="0"/>
    <x v="8"/>
    <n v="0"/>
    <x v="0"/>
  </r>
  <r>
    <x v="30"/>
    <x v="1"/>
    <x v="227"/>
    <x v="2"/>
    <x v="3"/>
    <x v="14"/>
    <x v="0"/>
    <x v="9"/>
    <n v="0"/>
    <x v="0"/>
  </r>
  <r>
    <x v="30"/>
    <x v="1"/>
    <x v="227"/>
    <x v="2"/>
    <x v="3"/>
    <x v="14"/>
    <x v="0"/>
    <x v="10"/>
    <n v="0"/>
    <x v="0"/>
  </r>
  <r>
    <x v="30"/>
    <x v="1"/>
    <x v="227"/>
    <x v="2"/>
    <x v="3"/>
    <x v="14"/>
    <x v="0"/>
    <x v="11"/>
    <n v="0"/>
    <x v="0"/>
  </r>
  <r>
    <x v="30"/>
    <x v="1"/>
    <x v="228"/>
    <x v="2"/>
    <x v="2"/>
    <x v="3"/>
    <x v="0"/>
    <x v="0"/>
    <n v="0"/>
    <x v="0"/>
  </r>
  <r>
    <x v="30"/>
    <x v="1"/>
    <x v="228"/>
    <x v="2"/>
    <x v="2"/>
    <x v="3"/>
    <x v="0"/>
    <x v="1"/>
    <n v="0"/>
    <x v="0"/>
  </r>
  <r>
    <x v="30"/>
    <x v="1"/>
    <x v="228"/>
    <x v="2"/>
    <x v="2"/>
    <x v="3"/>
    <x v="0"/>
    <x v="2"/>
    <n v="0"/>
    <x v="0"/>
  </r>
  <r>
    <x v="30"/>
    <x v="1"/>
    <x v="228"/>
    <x v="2"/>
    <x v="2"/>
    <x v="3"/>
    <x v="0"/>
    <x v="3"/>
    <n v="0"/>
    <x v="0"/>
  </r>
  <r>
    <x v="30"/>
    <x v="1"/>
    <x v="228"/>
    <x v="2"/>
    <x v="2"/>
    <x v="3"/>
    <x v="0"/>
    <x v="4"/>
    <n v="0"/>
    <x v="0"/>
  </r>
  <r>
    <x v="30"/>
    <x v="1"/>
    <x v="228"/>
    <x v="2"/>
    <x v="2"/>
    <x v="3"/>
    <x v="0"/>
    <x v="5"/>
    <n v="0"/>
    <x v="0"/>
  </r>
  <r>
    <x v="30"/>
    <x v="1"/>
    <x v="228"/>
    <x v="2"/>
    <x v="2"/>
    <x v="3"/>
    <x v="0"/>
    <x v="6"/>
    <n v="0"/>
    <x v="0"/>
  </r>
  <r>
    <x v="30"/>
    <x v="1"/>
    <x v="228"/>
    <x v="2"/>
    <x v="2"/>
    <x v="3"/>
    <x v="0"/>
    <x v="7"/>
    <n v="0"/>
    <x v="0"/>
  </r>
  <r>
    <x v="30"/>
    <x v="1"/>
    <x v="228"/>
    <x v="2"/>
    <x v="2"/>
    <x v="3"/>
    <x v="0"/>
    <x v="8"/>
    <n v="0"/>
    <x v="0"/>
  </r>
  <r>
    <x v="30"/>
    <x v="1"/>
    <x v="228"/>
    <x v="2"/>
    <x v="2"/>
    <x v="3"/>
    <x v="0"/>
    <x v="9"/>
    <n v="0"/>
    <x v="0"/>
  </r>
  <r>
    <x v="30"/>
    <x v="1"/>
    <x v="228"/>
    <x v="2"/>
    <x v="2"/>
    <x v="3"/>
    <x v="0"/>
    <x v="10"/>
    <n v="2449.5677233429396"/>
    <x v="0"/>
  </r>
  <r>
    <x v="30"/>
    <x v="1"/>
    <x v="228"/>
    <x v="2"/>
    <x v="2"/>
    <x v="3"/>
    <x v="0"/>
    <x v="11"/>
    <n v="0"/>
    <x v="0"/>
  </r>
  <r>
    <x v="30"/>
    <x v="1"/>
    <x v="229"/>
    <x v="2"/>
    <x v="4"/>
    <x v="33"/>
    <x v="0"/>
    <x v="0"/>
    <n v="0"/>
    <x v="0"/>
  </r>
  <r>
    <x v="30"/>
    <x v="1"/>
    <x v="229"/>
    <x v="2"/>
    <x v="4"/>
    <x v="33"/>
    <x v="0"/>
    <x v="1"/>
    <n v="0"/>
    <x v="0"/>
  </r>
  <r>
    <x v="30"/>
    <x v="1"/>
    <x v="229"/>
    <x v="2"/>
    <x v="4"/>
    <x v="33"/>
    <x v="0"/>
    <x v="2"/>
    <n v="0"/>
    <x v="0"/>
  </r>
  <r>
    <x v="30"/>
    <x v="1"/>
    <x v="229"/>
    <x v="2"/>
    <x v="4"/>
    <x v="33"/>
    <x v="0"/>
    <x v="3"/>
    <n v="0"/>
    <x v="0"/>
  </r>
  <r>
    <x v="30"/>
    <x v="1"/>
    <x v="229"/>
    <x v="2"/>
    <x v="4"/>
    <x v="33"/>
    <x v="0"/>
    <x v="4"/>
    <n v="1601.3531180546477"/>
    <x v="0"/>
  </r>
  <r>
    <x v="30"/>
    <x v="1"/>
    <x v="229"/>
    <x v="2"/>
    <x v="4"/>
    <x v="33"/>
    <x v="0"/>
    <x v="5"/>
    <n v="0"/>
    <x v="0"/>
  </r>
  <r>
    <x v="30"/>
    <x v="1"/>
    <x v="229"/>
    <x v="2"/>
    <x v="4"/>
    <x v="33"/>
    <x v="0"/>
    <x v="6"/>
    <n v="0"/>
    <x v="0"/>
  </r>
  <r>
    <x v="30"/>
    <x v="1"/>
    <x v="229"/>
    <x v="2"/>
    <x v="4"/>
    <x v="33"/>
    <x v="0"/>
    <x v="7"/>
    <n v="90.332293795031731"/>
    <x v="0"/>
  </r>
  <r>
    <x v="30"/>
    <x v="1"/>
    <x v="229"/>
    <x v="2"/>
    <x v="4"/>
    <x v="33"/>
    <x v="0"/>
    <x v="8"/>
    <n v="0"/>
    <x v="0"/>
  </r>
  <r>
    <x v="30"/>
    <x v="1"/>
    <x v="229"/>
    <x v="2"/>
    <x v="4"/>
    <x v="33"/>
    <x v="0"/>
    <x v="9"/>
    <n v="0"/>
    <x v="0"/>
  </r>
  <r>
    <x v="30"/>
    <x v="1"/>
    <x v="229"/>
    <x v="2"/>
    <x v="4"/>
    <x v="33"/>
    <x v="0"/>
    <x v="10"/>
    <n v="0"/>
    <x v="0"/>
  </r>
  <r>
    <x v="30"/>
    <x v="1"/>
    <x v="229"/>
    <x v="2"/>
    <x v="4"/>
    <x v="33"/>
    <x v="0"/>
    <x v="11"/>
    <n v="0"/>
    <x v="0"/>
  </r>
  <r>
    <x v="30"/>
    <x v="1"/>
    <x v="230"/>
    <x v="2"/>
    <x v="3"/>
    <x v="3"/>
    <x v="0"/>
    <x v="0"/>
    <n v="0"/>
    <x v="0"/>
  </r>
  <r>
    <x v="30"/>
    <x v="1"/>
    <x v="230"/>
    <x v="2"/>
    <x v="3"/>
    <x v="3"/>
    <x v="0"/>
    <x v="1"/>
    <n v="0"/>
    <x v="0"/>
  </r>
  <r>
    <x v="30"/>
    <x v="1"/>
    <x v="230"/>
    <x v="2"/>
    <x v="3"/>
    <x v="3"/>
    <x v="0"/>
    <x v="2"/>
    <n v="0"/>
    <x v="0"/>
  </r>
  <r>
    <x v="30"/>
    <x v="1"/>
    <x v="230"/>
    <x v="2"/>
    <x v="3"/>
    <x v="3"/>
    <x v="0"/>
    <x v="3"/>
    <n v="0"/>
    <x v="0"/>
  </r>
  <r>
    <x v="30"/>
    <x v="1"/>
    <x v="230"/>
    <x v="2"/>
    <x v="3"/>
    <x v="3"/>
    <x v="0"/>
    <x v="4"/>
    <n v="0"/>
    <x v="0"/>
  </r>
  <r>
    <x v="30"/>
    <x v="1"/>
    <x v="230"/>
    <x v="2"/>
    <x v="3"/>
    <x v="3"/>
    <x v="0"/>
    <x v="5"/>
    <n v="584.56504837595025"/>
    <x v="0"/>
  </r>
  <r>
    <x v="30"/>
    <x v="1"/>
    <x v="230"/>
    <x v="2"/>
    <x v="3"/>
    <x v="3"/>
    <x v="0"/>
    <x v="6"/>
    <n v="0"/>
    <x v="0"/>
  </r>
  <r>
    <x v="30"/>
    <x v="1"/>
    <x v="230"/>
    <x v="2"/>
    <x v="3"/>
    <x v="3"/>
    <x v="0"/>
    <x v="7"/>
    <n v="0"/>
    <x v="0"/>
  </r>
  <r>
    <x v="30"/>
    <x v="1"/>
    <x v="230"/>
    <x v="2"/>
    <x v="3"/>
    <x v="3"/>
    <x v="0"/>
    <x v="8"/>
    <n v="0"/>
    <x v="0"/>
  </r>
  <r>
    <x v="30"/>
    <x v="1"/>
    <x v="230"/>
    <x v="2"/>
    <x v="3"/>
    <x v="3"/>
    <x v="0"/>
    <x v="9"/>
    <n v="0"/>
    <x v="0"/>
  </r>
  <r>
    <x v="30"/>
    <x v="1"/>
    <x v="230"/>
    <x v="2"/>
    <x v="3"/>
    <x v="3"/>
    <x v="0"/>
    <x v="10"/>
    <n v="0"/>
    <x v="0"/>
  </r>
  <r>
    <x v="30"/>
    <x v="1"/>
    <x v="230"/>
    <x v="2"/>
    <x v="3"/>
    <x v="3"/>
    <x v="0"/>
    <x v="11"/>
    <n v="0"/>
    <x v="0"/>
  </r>
  <r>
    <x v="30"/>
    <x v="1"/>
    <x v="231"/>
    <x v="2"/>
    <x v="3"/>
    <x v="3"/>
    <x v="0"/>
    <x v="0"/>
    <n v="0"/>
    <x v="0"/>
  </r>
  <r>
    <x v="30"/>
    <x v="1"/>
    <x v="231"/>
    <x v="2"/>
    <x v="3"/>
    <x v="3"/>
    <x v="0"/>
    <x v="1"/>
    <n v="0"/>
    <x v="0"/>
  </r>
  <r>
    <x v="30"/>
    <x v="1"/>
    <x v="231"/>
    <x v="2"/>
    <x v="3"/>
    <x v="3"/>
    <x v="0"/>
    <x v="2"/>
    <n v="0"/>
    <x v="0"/>
  </r>
  <r>
    <x v="30"/>
    <x v="1"/>
    <x v="231"/>
    <x v="2"/>
    <x v="3"/>
    <x v="3"/>
    <x v="0"/>
    <x v="3"/>
    <n v="0"/>
    <x v="0"/>
  </r>
  <r>
    <x v="30"/>
    <x v="1"/>
    <x v="231"/>
    <x v="2"/>
    <x v="3"/>
    <x v="3"/>
    <x v="0"/>
    <x v="4"/>
    <n v="0"/>
    <x v="0"/>
  </r>
  <r>
    <x v="30"/>
    <x v="1"/>
    <x v="231"/>
    <x v="2"/>
    <x v="3"/>
    <x v="3"/>
    <x v="0"/>
    <x v="5"/>
    <n v="0"/>
    <x v="0"/>
  </r>
  <r>
    <x v="30"/>
    <x v="1"/>
    <x v="231"/>
    <x v="2"/>
    <x v="3"/>
    <x v="3"/>
    <x v="0"/>
    <x v="6"/>
    <n v="495.37096292503952"/>
    <x v="0"/>
  </r>
  <r>
    <x v="30"/>
    <x v="1"/>
    <x v="231"/>
    <x v="2"/>
    <x v="3"/>
    <x v="3"/>
    <x v="0"/>
    <x v="7"/>
    <n v="0"/>
    <x v="0"/>
  </r>
  <r>
    <x v="30"/>
    <x v="1"/>
    <x v="231"/>
    <x v="2"/>
    <x v="3"/>
    <x v="3"/>
    <x v="0"/>
    <x v="8"/>
    <n v="0"/>
    <x v="0"/>
  </r>
  <r>
    <x v="30"/>
    <x v="1"/>
    <x v="231"/>
    <x v="2"/>
    <x v="3"/>
    <x v="3"/>
    <x v="0"/>
    <x v="9"/>
    <n v="0"/>
    <x v="0"/>
  </r>
  <r>
    <x v="30"/>
    <x v="1"/>
    <x v="231"/>
    <x v="2"/>
    <x v="3"/>
    <x v="3"/>
    <x v="0"/>
    <x v="10"/>
    <n v="0"/>
    <x v="0"/>
  </r>
  <r>
    <x v="30"/>
    <x v="1"/>
    <x v="231"/>
    <x v="2"/>
    <x v="3"/>
    <x v="3"/>
    <x v="0"/>
    <x v="11"/>
    <n v="1040.5575246476003"/>
    <x v="0"/>
  </r>
  <r>
    <x v="30"/>
    <x v="1"/>
    <x v="232"/>
    <x v="2"/>
    <x v="1"/>
    <x v="3"/>
    <x v="0"/>
    <x v="0"/>
    <n v="503.42845185519661"/>
    <x v="0"/>
  </r>
  <r>
    <x v="30"/>
    <x v="1"/>
    <x v="232"/>
    <x v="2"/>
    <x v="1"/>
    <x v="3"/>
    <x v="0"/>
    <x v="1"/>
    <n v="0"/>
    <x v="0"/>
  </r>
  <r>
    <x v="30"/>
    <x v="1"/>
    <x v="232"/>
    <x v="2"/>
    <x v="1"/>
    <x v="3"/>
    <x v="0"/>
    <x v="2"/>
    <n v="0"/>
    <x v="0"/>
  </r>
  <r>
    <x v="30"/>
    <x v="1"/>
    <x v="232"/>
    <x v="2"/>
    <x v="1"/>
    <x v="3"/>
    <x v="0"/>
    <x v="3"/>
    <n v="0"/>
    <x v="0"/>
  </r>
  <r>
    <x v="30"/>
    <x v="1"/>
    <x v="232"/>
    <x v="2"/>
    <x v="1"/>
    <x v="3"/>
    <x v="0"/>
    <x v="4"/>
    <n v="0"/>
    <x v="0"/>
  </r>
  <r>
    <x v="30"/>
    <x v="1"/>
    <x v="232"/>
    <x v="2"/>
    <x v="1"/>
    <x v="3"/>
    <x v="0"/>
    <x v="5"/>
    <n v="0"/>
    <x v="0"/>
  </r>
  <r>
    <x v="30"/>
    <x v="1"/>
    <x v="232"/>
    <x v="2"/>
    <x v="1"/>
    <x v="3"/>
    <x v="0"/>
    <x v="6"/>
    <n v="0"/>
    <x v="0"/>
  </r>
  <r>
    <x v="30"/>
    <x v="1"/>
    <x v="232"/>
    <x v="2"/>
    <x v="1"/>
    <x v="3"/>
    <x v="0"/>
    <x v="7"/>
    <n v="0"/>
    <x v="0"/>
  </r>
  <r>
    <x v="30"/>
    <x v="1"/>
    <x v="232"/>
    <x v="2"/>
    <x v="1"/>
    <x v="3"/>
    <x v="0"/>
    <x v="8"/>
    <n v="0"/>
    <x v="0"/>
  </r>
  <r>
    <x v="30"/>
    <x v="1"/>
    <x v="232"/>
    <x v="2"/>
    <x v="1"/>
    <x v="3"/>
    <x v="0"/>
    <x v="9"/>
    <n v="0"/>
    <x v="0"/>
  </r>
  <r>
    <x v="30"/>
    <x v="1"/>
    <x v="232"/>
    <x v="2"/>
    <x v="1"/>
    <x v="3"/>
    <x v="0"/>
    <x v="10"/>
    <n v="0"/>
    <x v="0"/>
  </r>
  <r>
    <x v="30"/>
    <x v="1"/>
    <x v="232"/>
    <x v="2"/>
    <x v="1"/>
    <x v="3"/>
    <x v="0"/>
    <x v="11"/>
    <n v="0"/>
    <x v="0"/>
  </r>
  <r>
    <x v="30"/>
    <x v="1"/>
    <x v="233"/>
    <x v="2"/>
    <x v="1"/>
    <x v="3"/>
    <x v="0"/>
    <x v="0"/>
    <n v="345.99499994493328"/>
    <x v="0"/>
  </r>
  <r>
    <x v="30"/>
    <x v="1"/>
    <x v="233"/>
    <x v="2"/>
    <x v="1"/>
    <x v="3"/>
    <x v="0"/>
    <x v="1"/>
    <n v="81.520385286058286"/>
    <x v="0"/>
  </r>
  <r>
    <x v="30"/>
    <x v="1"/>
    <x v="233"/>
    <x v="2"/>
    <x v="1"/>
    <x v="3"/>
    <x v="0"/>
    <x v="2"/>
    <n v="0"/>
    <x v="0"/>
  </r>
  <r>
    <x v="30"/>
    <x v="1"/>
    <x v="233"/>
    <x v="2"/>
    <x v="1"/>
    <x v="3"/>
    <x v="0"/>
    <x v="3"/>
    <n v="0"/>
    <x v="0"/>
  </r>
  <r>
    <x v="30"/>
    <x v="1"/>
    <x v="233"/>
    <x v="2"/>
    <x v="1"/>
    <x v="3"/>
    <x v="0"/>
    <x v="4"/>
    <n v="0"/>
    <x v="0"/>
  </r>
  <r>
    <x v="30"/>
    <x v="1"/>
    <x v="233"/>
    <x v="2"/>
    <x v="1"/>
    <x v="3"/>
    <x v="0"/>
    <x v="5"/>
    <n v="0"/>
    <x v="0"/>
  </r>
  <r>
    <x v="30"/>
    <x v="1"/>
    <x v="233"/>
    <x v="2"/>
    <x v="1"/>
    <x v="3"/>
    <x v="0"/>
    <x v="6"/>
    <n v="0"/>
    <x v="0"/>
  </r>
  <r>
    <x v="30"/>
    <x v="1"/>
    <x v="233"/>
    <x v="2"/>
    <x v="1"/>
    <x v="3"/>
    <x v="0"/>
    <x v="7"/>
    <n v="0"/>
    <x v="0"/>
  </r>
  <r>
    <x v="30"/>
    <x v="1"/>
    <x v="233"/>
    <x v="2"/>
    <x v="1"/>
    <x v="3"/>
    <x v="0"/>
    <x v="8"/>
    <n v="0"/>
    <x v="0"/>
  </r>
  <r>
    <x v="30"/>
    <x v="1"/>
    <x v="233"/>
    <x v="2"/>
    <x v="1"/>
    <x v="3"/>
    <x v="0"/>
    <x v="9"/>
    <n v="0"/>
    <x v="0"/>
  </r>
  <r>
    <x v="30"/>
    <x v="1"/>
    <x v="233"/>
    <x v="2"/>
    <x v="1"/>
    <x v="3"/>
    <x v="0"/>
    <x v="10"/>
    <n v="0"/>
    <x v="0"/>
  </r>
  <r>
    <x v="30"/>
    <x v="1"/>
    <x v="233"/>
    <x v="2"/>
    <x v="1"/>
    <x v="3"/>
    <x v="0"/>
    <x v="11"/>
    <n v="0"/>
    <x v="0"/>
  </r>
  <r>
    <x v="30"/>
    <x v="2"/>
    <x v="234"/>
    <x v="2"/>
    <x v="2"/>
    <x v="3"/>
    <x v="0"/>
    <x v="0"/>
    <n v="0"/>
    <x v="0"/>
  </r>
  <r>
    <x v="30"/>
    <x v="2"/>
    <x v="234"/>
    <x v="2"/>
    <x v="2"/>
    <x v="3"/>
    <x v="0"/>
    <x v="1"/>
    <n v="0"/>
    <x v="0"/>
  </r>
  <r>
    <x v="30"/>
    <x v="2"/>
    <x v="234"/>
    <x v="2"/>
    <x v="2"/>
    <x v="3"/>
    <x v="0"/>
    <x v="2"/>
    <n v="0"/>
    <x v="0"/>
  </r>
  <r>
    <x v="30"/>
    <x v="2"/>
    <x v="234"/>
    <x v="2"/>
    <x v="2"/>
    <x v="3"/>
    <x v="0"/>
    <x v="3"/>
    <n v="0"/>
    <x v="0"/>
  </r>
  <r>
    <x v="30"/>
    <x v="2"/>
    <x v="234"/>
    <x v="2"/>
    <x v="2"/>
    <x v="3"/>
    <x v="0"/>
    <x v="4"/>
    <n v="0"/>
    <x v="0"/>
  </r>
  <r>
    <x v="30"/>
    <x v="2"/>
    <x v="234"/>
    <x v="2"/>
    <x v="2"/>
    <x v="3"/>
    <x v="0"/>
    <x v="5"/>
    <n v="0"/>
    <x v="0"/>
  </r>
  <r>
    <x v="30"/>
    <x v="2"/>
    <x v="234"/>
    <x v="2"/>
    <x v="2"/>
    <x v="3"/>
    <x v="0"/>
    <x v="6"/>
    <n v="0"/>
    <x v="0"/>
  </r>
  <r>
    <x v="30"/>
    <x v="2"/>
    <x v="234"/>
    <x v="2"/>
    <x v="2"/>
    <x v="3"/>
    <x v="0"/>
    <x v="7"/>
    <n v="0"/>
    <x v="0"/>
  </r>
  <r>
    <x v="30"/>
    <x v="2"/>
    <x v="234"/>
    <x v="2"/>
    <x v="2"/>
    <x v="3"/>
    <x v="0"/>
    <x v="8"/>
    <n v="0"/>
    <x v="0"/>
  </r>
  <r>
    <x v="30"/>
    <x v="2"/>
    <x v="234"/>
    <x v="2"/>
    <x v="2"/>
    <x v="3"/>
    <x v="0"/>
    <x v="9"/>
    <n v="1070.8816568680995"/>
    <x v="0"/>
  </r>
  <r>
    <x v="30"/>
    <x v="2"/>
    <x v="234"/>
    <x v="2"/>
    <x v="2"/>
    <x v="3"/>
    <x v="0"/>
    <x v="10"/>
    <n v="0"/>
    <x v="0"/>
  </r>
  <r>
    <x v="30"/>
    <x v="2"/>
    <x v="234"/>
    <x v="2"/>
    <x v="2"/>
    <x v="3"/>
    <x v="0"/>
    <x v="11"/>
    <n v="1018.4958852766234"/>
    <x v="0"/>
  </r>
  <r>
    <x v="30"/>
    <x v="0"/>
    <x v="235"/>
    <x v="2"/>
    <x v="3"/>
    <x v="11"/>
    <x v="0"/>
    <x v="0"/>
    <n v="0"/>
    <x v="0"/>
  </r>
  <r>
    <x v="30"/>
    <x v="0"/>
    <x v="235"/>
    <x v="2"/>
    <x v="3"/>
    <x v="11"/>
    <x v="0"/>
    <x v="1"/>
    <n v="0"/>
    <x v="0"/>
  </r>
  <r>
    <x v="30"/>
    <x v="0"/>
    <x v="235"/>
    <x v="2"/>
    <x v="3"/>
    <x v="11"/>
    <x v="0"/>
    <x v="2"/>
    <n v="0"/>
    <x v="0"/>
  </r>
  <r>
    <x v="30"/>
    <x v="0"/>
    <x v="235"/>
    <x v="2"/>
    <x v="3"/>
    <x v="11"/>
    <x v="0"/>
    <x v="3"/>
    <n v="2485.0698856416775"/>
    <x v="0"/>
  </r>
  <r>
    <x v="30"/>
    <x v="0"/>
    <x v="235"/>
    <x v="2"/>
    <x v="3"/>
    <x v="11"/>
    <x v="0"/>
    <x v="4"/>
    <n v="0"/>
    <x v="0"/>
  </r>
  <r>
    <x v="30"/>
    <x v="0"/>
    <x v="235"/>
    <x v="2"/>
    <x v="3"/>
    <x v="11"/>
    <x v="0"/>
    <x v="5"/>
    <n v="0"/>
    <x v="0"/>
  </r>
  <r>
    <x v="30"/>
    <x v="0"/>
    <x v="235"/>
    <x v="2"/>
    <x v="3"/>
    <x v="11"/>
    <x v="0"/>
    <x v="6"/>
    <n v="0"/>
    <x v="0"/>
  </r>
  <r>
    <x v="30"/>
    <x v="0"/>
    <x v="235"/>
    <x v="2"/>
    <x v="3"/>
    <x v="11"/>
    <x v="0"/>
    <x v="7"/>
    <n v="492.34648886977095"/>
    <x v="0"/>
  </r>
  <r>
    <x v="30"/>
    <x v="0"/>
    <x v="235"/>
    <x v="2"/>
    <x v="3"/>
    <x v="11"/>
    <x v="0"/>
    <x v="8"/>
    <n v="496.14990121030866"/>
    <x v="0"/>
  </r>
  <r>
    <x v="30"/>
    <x v="0"/>
    <x v="235"/>
    <x v="2"/>
    <x v="3"/>
    <x v="11"/>
    <x v="0"/>
    <x v="9"/>
    <n v="493.64967177477217"/>
    <x v="0"/>
  </r>
  <r>
    <x v="30"/>
    <x v="0"/>
    <x v="235"/>
    <x v="2"/>
    <x v="3"/>
    <x v="11"/>
    <x v="0"/>
    <x v="10"/>
    <n v="475.4446274186908"/>
    <x v="0"/>
  </r>
  <r>
    <x v="30"/>
    <x v="0"/>
    <x v="235"/>
    <x v="2"/>
    <x v="3"/>
    <x v="11"/>
    <x v="0"/>
    <x v="11"/>
    <n v="474.78000488878024"/>
    <x v="0"/>
  </r>
  <r>
    <x v="30"/>
    <x v="1"/>
    <x v="236"/>
    <x v="2"/>
    <x v="3"/>
    <x v="3"/>
    <x v="0"/>
    <x v="0"/>
    <n v="0"/>
    <x v="0"/>
  </r>
  <r>
    <x v="30"/>
    <x v="1"/>
    <x v="236"/>
    <x v="2"/>
    <x v="3"/>
    <x v="3"/>
    <x v="0"/>
    <x v="1"/>
    <n v="0"/>
    <x v="0"/>
  </r>
  <r>
    <x v="30"/>
    <x v="1"/>
    <x v="236"/>
    <x v="2"/>
    <x v="3"/>
    <x v="3"/>
    <x v="0"/>
    <x v="2"/>
    <n v="0"/>
    <x v="0"/>
  </r>
  <r>
    <x v="30"/>
    <x v="1"/>
    <x v="236"/>
    <x v="2"/>
    <x v="3"/>
    <x v="3"/>
    <x v="0"/>
    <x v="3"/>
    <n v="0"/>
    <x v="0"/>
  </r>
  <r>
    <x v="30"/>
    <x v="1"/>
    <x v="236"/>
    <x v="2"/>
    <x v="3"/>
    <x v="3"/>
    <x v="0"/>
    <x v="4"/>
    <n v="0"/>
    <x v="0"/>
  </r>
  <r>
    <x v="30"/>
    <x v="1"/>
    <x v="236"/>
    <x v="2"/>
    <x v="3"/>
    <x v="3"/>
    <x v="0"/>
    <x v="5"/>
    <n v="276.8119384934347"/>
    <x v="0"/>
  </r>
  <r>
    <x v="30"/>
    <x v="1"/>
    <x v="236"/>
    <x v="2"/>
    <x v="3"/>
    <x v="3"/>
    <x v="0"/>
    <x v="6"/>
    <n v="266.65066769060115"/>
    <x v="0"/>
  </r>
  <r>
    <x v="30"/>
    <x v="1"/>
    <x v="236"/>
    <x v="2"/>
    <x v="3"/>
    <x v="3"/>
    <x v="0"/>
    <x v="7"/>
    <n v="0"/>
    <x v="0"/>
  </r>
  <r>
    <x v="30"/>
    <x v="1"/>
    <x v="236"/>
    <x v="2"/>
    <x v="3"/>
    <x v="3"/>
    <x v="0"/>
    <x v="8"/>
    <n v="0"/>
    <x v="0"/>
  </r>
  <r>
    <x v="30"/>
    <x v="1"/>
    <x v="236"/>
    <x v="2"/>
    <x v="3"/>
    <x v="3"/>
    <x v="0"/>
    <x v="9"/>
    <n v="0"/>
    <x v="0"/>
  </r>
  <r>
    <x v="30"/>
    <x v="1"/>
    <x v="236"/>
    <x v="2"/>
    <x v="3"/>
    <x v="3"/>
    <x v="0"/>
    <x v="10"/>
    <n v="98.428365582544259"/>
    <x v="0"/>
  </r>
  <r>
    <x v="30"/>
    <x v="1"/>
    <x v="236"/>
    <x v="2"/>
    <x v="3"/>
    <x v="3"/>
    <x v="0"/>
    <x v="11"/>
    <n v="0"/>
    <x v="0"/>
  </r>
  <r>
    <x v="30"/>
    <x v="0"/>
    <x v="237"/>
    <x v="2"/>
    <x v="2"/>
    <x v="3"/>
    <x v="0"/>
    <x v="0"/>
    <n v="566.17363627352722"/>
    <x v="0"/>
  </r>
  <r>
    <x v="30"/>
    <x v="0"/>
    <x v="237"/>
    <x v="2"/>
    <x v="2"/>
    <x v="3"/>
    <x v="0"/>
    <x v="1"/>
    <n v="533.5879764178361"/>
    <x v="0"/>
  </r>
  <r>
    <x v="30"/>
    <x v="0"/>
    <x v="237"/>
    <x v="2"/>
    <x v="2"/>
    <x v="3"/>
    <x v="0"/>
    <x v="2"/>
    <n v="1120.0086783135146"/>
    <x v="0"/>
  </r>
  <r>
    <x v="30"/>
    <x v="0"/>
    <x v="237"/>
    <x v="2"/>
    <x v="2"/>
    <x v="3"/>
    <x v="0"/>
    <x v="3"/>
    <n v="0"/>
    <x v="0"/>
  </r>
  <r>
    <x v="30"/>
    <x v="0"/>
    <x v="237"/>
    <x v="2"/>
    <x v="2"/>
    <x v="3"/>
    <x v="0"/>
    <x v="4"/>
    <n v="292.02945918856494"/>
    <x v="0"/>
  </r>
  <r>
    <x v="30"/>
    <x v="0"/>
    <x v="237"/>
    <x v="2"/>
    <x v="2"/>
    <x v="3"/>
    <x v="0"/>
    <x v="5"/>
    <n v="292.65614201796819"/>
    <x v="0"/>
  </r>
  <r>
    <x v="30"/>
    <x v="0"/>
    <x v="237"/>
    <x v="2"/>
    <x v="2"/>
    <x v="3"/>
    <x v="0"/>
    <x v="6"/>
    <n v="283.99569094244634"/>
    <x v="0"/>
  </r>
  <r>
    <x v="30"/>
    <x v="0"/>
    <x v="237"/>
    <x v="2"/>
    <x v="2"/>
    <x v="3"/>
    <x v="0"/>
    <x v="7"/>
    <n v="574.58974083234762"/>
    <x v="0"/>
  </r>
  <r>
    <x v="30"/>
    <x v="0"/>
    <x v="237"/>
    <x v="2"/>
    <x v="2"/>
    <x v="3"/>
    <x v="0"/>
    <x v="8"/>
    <n v="291.65200116604223"/>
    <x v="0"/>
  </r>
  <r>
    <x v="30"/>
    <x v="0"/>
    <x v="237"/>
    <x v="2"/>
    <x v="2"/>
    <x v="3"/>
    <x v="0"/>
    <x v="9"/>
    <n v="289.27833285143663"/>
    <x v="0"/>
  </r>
  <r>
    <x v="30"/>
    <x v="0"/>
    <x v="237"/>
    <x v="2"/>
    <x v="2"/>
    <x v="3"/>
    <x v="0"/>
    <x v="10"/>
    <n v="277.10786331823795"/>
    <x v="0"/>
  </r>
  <r>
    <x v="30"/>
    <x v="0"/>
    <x v="237"/>
    <x v="2"/>
    <x v="2"/>
    <x v="3"/>
    <x v="0"/>
    <x v="11"/>
    <n v="274.21779516010753"/>
    <x v="0"/>
  </r>
  <r>
    <x v="30"/>
    <x v="0"/>
    <x v="238"/>
    <x v="2"/>
    <x v="2"/>
    <x v="3"/>
    <x v="0"/>
    <x v="0"/>
    <n v="0"/>
    <x v="0"/>
  </r>
  <r>
    <x v="30"/>
    <x v="0"/>
    <x v="238"/>
    <x v="2"/>
    <x v="2"/>
    <x v="3"/>
    <x v="0"/>
    <x v="1"/>
    <n v="0"/>
    <x v="0"/>
  </r>
  <r>
    <x v="30"/>
    <x v="0"/>
    <x v="238"/>
    <x v="2"/>
    <x v="2"/>
    <x v="3"/>
    <x v="0"/>
    <x v="2"/>
    <n v="0"/>
    <x v="0"/>
  </r>
  <r>
    <x v="30"/>
    <x v="0"/>
    <x v="238"/>
    <x v="2"/>
    <x v="2"/>
    <x v="3"/>
    <x v="0"/>
    <x v="3"/>
    <n v="0"/>
    <x v="0"/>
  </r>
  <r>
    <x v="30"/>
    <x v="0"/>
    <x v="238"/>
    <x v="2"/>
    <x v="2"/>
    <x v="3"/>
    <x v="0"/>
    <x v="4"/>
    <n v="590.54124722185907"/>
    <x v="0"/>
  </r>
  <r>
    <x v="30"/>
    <x v="0"/>
    <x v="238"/>
    <x v="2"/>
    <x v="2"/>
    <x v="3"/>
    <x v="0"/>
    <x v="5"/>
    <n v="0"/>
    <x v="0"/>
  </r>
  <r>
    <x v="30"/>
    <x v="0"/>
    <x v="238"/>
    <x v="2"/>
    <x v="2"/>
    <x v="3"/>
    <x v="0"/>
    <x v="6"/>
    <n v="0"/>
    <x v="0"/>
  </r>
  <r>
    <x v="30"/>
    <x v="0"/>
    <x v="238"/>
    <x v="2"/>
    <x v="2"/>
    <x v="3"/>
    <x v="0"/>
    <x v="7"/>
    <n v="0"/>
    <x v="0"/>
  </r>
  <r>
    <x v="30"/>
    <x v="0"/>
    <x v="238"/>
    <x v="2"/>
    <x v="2"/>
    <x v="3"/>
    <x v="0"/>
    <x v="8"/>
    <n v="0"/>
    <x v="0"/>
  </r>
  <r>
    <x v="30"/>
    <x v="0"/>
    <x v="238"/>
    <x v="2"/>
    <x v="2"/>
    <x v="3"/>
    <x v="0"/>
    <x v="9"/>
    <n v="0"/>
    <x v="0"/>
  </r>
  <r>
    <x v="30"/>
    <x v="0"/>
    <x v="238"/>
    <x v="2"/>
    <x v="2"/>
    <x v="3"/>
    <x v="0"/>
    <x v="10"/>
    <n v="0"/>
    <x v="0"/>
  </r>
  <r>
    <x v="30"/>
    <x v="0"/>
    <x v="238"/>
    <x v="2"/>
    <x v="2"/>
    <x v="3"/>
    <x v="0"/>
    <x v="11"/>
    <n v="0"/>
    <x v="0"/>
  </r>
  <r>
    <x v="30"/>
    <x v="1"/>
    <x v="239"/>
    <x v="2"/>
    <x v="1"/>
    <x v="3"/>
    <x v="0"/>
    <x v="0"/>
    <n v="0"/>
    <x v="0"/>
  </r>
  <r>
    <x v="30"/>
    <x v="1"/>
    <x v="239"/>
    <x v="2"/>
    <x v="1"/>
    <x v="3"/>
    <x v="0"/>
    <x v="1"/>
    <n v="0"/>
    <x v="0"/>
  </r>
  <r>
    <x v="30"/>
    <x v="1"/>
    <x v="239"/>
    <x v="2"/>
    <x v="1"/>
    <x v="3"/>
    <x v="0"/>
    <x v="2"/>
    <n v="0"/>
    <x v="0"/>
  </r>
  <r>
    <x v="30"/>
    <x v="1"/>
    <x v="239"/>
    <x v="2"/>
    <x v="1"/>
    <x v="3"/>
    <x v="0"/>
    <x v="3"/>
    <n v="0"/>
    <x v="0"/>
  </r>
  <r>
    <x v="30"/>
    <x v="1"/>
    <x v="239"/>
    <x v="2"/>
    <x v="1"/>
    <x v="3"/>
    <x v="0"/>
    <x v="4"/>
    <n v="0"/>
    <x v="0"/>
  </r>
  <r>
    <x v="30"/>
    <x v="1"/>
    <x v="239"/>
    <x v="2"/>
    <x v="1"/>
    <x v="3"/>
    <x v="0"/>
    <x v="5"/>
    <n v="0"/>
    <x v="0"/>
  </r>
  <r>
    <x v="30"/>
    <x v="1"/>
    <x v="239"/>
    <x v="2"/>
    <x v="1"/>
    <x v="3"/>
    <x v="0"/>
    <x v="6"/>
    <n v="0"/>
    <x v="0"/>
  </r>
  <r>
    <x v="30"/>
    <x v="1"/>
    <x v="239"/>
    <x v="2"/>
    <x v="1"/>
    <x v="3"/>
    <x v="0"/>
    <x v="7"/>
    <n v="0"/>
    <x v="0"/>
  </r>
  <r>
    <x v="30"/>
    <x v="1"/>
    <x v="239"/>
    <x v="2"/>
    <x v="1"/>
    <x v="3"/>
    <x v="0"/>
    <x v="8"/>
    <n v="0"/>
    <x v="0"/>
  </r>
  <r>
    <x v="30"/>
    <x v="1"/>
    <x v="239"/>
    <x v="2"/>
    <x v="1"/>
    <x v="3"/>
    <x v="0"/>
    <x v="9"/>
    <n v="0"/>
    <x v="0"/>
  </r>
  <r>
    <x v="30"/>
    <x v="1"/>
    <x v="239"/>
    <x v="2"/>
    <x v="1"/>
    <x v="3"/>
    <x v="0"/>
    <x v="10"/>
    <n v="4517.0028818443807"/>
    <x v="0"/>
  </r>
  <r>
    <x v="30"/>
    <x v="1"/>
    <x v="239"/>
    <x v="2"/>
    <x v="1"/>
    <x v="3"/>
    <x v="0"/>
    <x v="11"/>
    <n v="315.12262690458732"/>
    <x v="0"/>
  </r>
  <r>
    <x v="30"/>
    <x v="1"/>
    <x v="240"/>
    <x v="2"/>
    <x v="1"/>
    <x v="34"/>
    <x v="0"/>
    <x v="0"/>
    <n v="0"/>
    <x v="0"/>
  </r>
  <r>
    <x v="30"/>
    <x v="1"/>
    <x v="240"/>
    <x v="2"/>
    <x v="1"/>
    <x v="34"/>
    <x v="0"/>
    <x v="1"/>
    <n v="0"/>
    <x v="0"/>
  </r>
  <r>
    <x v="30"/>
    <x v="1"/>
    <x v="240"/>
    <x v="2"/>
    <x v="1"/>
    <x v="34"/>
    <x v="0"/>
    <x v="2"/>
    <n v="0"/>
    <x v="0"/>
  </r>
  <r>
    <x v="30"/>
    <x v="1"/>
    <x v="240"/>
    <x v="2"/>
    <x v="1"/>
    <x v="34"/>
    <x v="0"/>
    <x v="3"/>
    <n v="0"/>
    <x v="0"/>
  </r>
  <r>
    <x v="30"/>
    <x v="1"/>
    <x v="240"/>
    <x v="2"/>
    <x v="1"/>
    <x v="34"/>
    <x v="0"/>
    <x v="4"/>
    <n v="0"/>
    <x v="0"/>
  </r>
  <r>
    <x v="30"/>
    <x v="1"/>
    <x v="240"/>
    <x v="2"/>
    <x v="1"/>
    <x v="34"/>
    <x v="0"/>
    <x v="5"/>
    <n v="0"/>
    <x v="0"/>
  </r>
  <r>
    <x v="30"/>
    <x v="1"/>
    <x v="240"/>
    <x v="2"/>
    <x v="1"/>
    <x v="34"/>
    <x v="0"/>
    <x v="6"/>
    <n v="0"/>
    <x v="0"/>
  </r>
  <r>
    <x v="30"/>
    <x v="1"/>
    <x v="240"/>
    <x v="2"/>
    <x v="1"/>
    <x v="34"/>
    <x v="0"/>
    <x v="7"/>
    <n v="0"/>
    <x v="0"/>
  </r>
  <r>
    <x v="30"/>
    <x v="1"/>
    <x v="240"/>
    <x v="2"/>
    <x v="1"/>
    <x v="34"/>
    <x v="0"/>
    <x v="8"/>
    <n v="0"/>
    <x v="0"/>
  </r>
  <r>
    <x v="30"/>
    <x v="1"/>
    <x v="240"/>
    <x v="2"/>
    <x v="1"/>
    <x v="34"/>
    <x v="0"/>
    <x v="9"/>
    <n v="0"/>
    <x v="0"/>
  </r>
  <r>
    <x v="30"/>
    <x v="1"/>
    <x v="240"/>
    <x v="2"/>
    <x v="1"/>
    <x v="34"/>
    <x v="0"/>
    <x v="10"/>
    <n v="295.17291066282422"/>
    <x v="0"/>
  </r>
  <r>
    <x v="30"/>
    <x v="1"/>
    <x v="240"/>
    <x v="2"/>
    <x v="1"/>
    <x v="34"/>
    <x v="0"/>
    <x v="11"/>
    <n v="0"/>
    <x v="0"/>
  </r>
  <r>
    <x v="30"/>
    <x v="1"/>
    <x v="241"/>
    <x v="2"/>
    <x v="1"/>
    <x v="35"/>
    <x v="0"/>
    <x v="0"/>
    <n v="0"/>
    <x v="0"/>
  </r>
  <r>
    <x v="30"/>
    <x v="1"/>
    <x v="241"/>
    <x v="2"/>
    <x v="1"/>
    <x v="35"/>
    <x v="0"/>
    <x v="1"/>
    <n v="0"/>
    <x v="0"/>
  </r>
  <r>
    <x v="30"/>
    <x v="1"/>
    <x v="241"/>
    <x v="2"/>
    <x v="1"/>
    <x v="35"/>
    <x v="0"/>
    <x v="2"/>
    <n v="0"/>
    <x v="0"/>
  </r>
  <r>
    <x v="30"/>
    <x v="1"/>
    <x v="241"/>
    <x v="2"/>
    <x v="1"/>
    <x v="35"/>
    <x v="0"/>
    <x v="3"/>
    <n v="0"/>
    <x v="0"/>
  </r>
  <r>
    <x v="30"/>
    <x v="1"/>
    <x v="241"/>
    <x v="2"/>
    <x v="1"/>
    <x v="35"/>
    <x v="0"/>
    <x v="4"/>
    <n v="0"/>
    <x v="0"/>
  </r>
  <r>
    <x v="30"/>
    <x v="1"/>
    <x v="241"/>
    <x v="2"/>
    <x v="1"/>
    <x v="35"/>
    <x v="0"/>
    <x v="5"/>
    <n v="0"/>
    <x v="0"/>
  </r>
  <r>
    <x v="30"/>
    <x v="1"/>
    <x v="241"/>
    <x v="2"/>
    <x v="1"/>
    <x v="35"/>
    <x v="0"/>
    <x v="6"/>
    <n v="0"/>
    <x v="0"/>
  </r>
  <r>
    <x v="30"/>
    <x v="1"/>
    <x v="241"/>
    <x v="2"/>
    <x v="1"/>
    <x v="35"/>
    <x v="0"/>
    <x v="7"/>
    <n v="0"/>
    <x v="0"/>
  </r>
  <r>
    <x v="30"/>
    <x v="1"/>
    <x v="241"/>
    <x v="2"/>
    <x v="1"/>
    <x v="35"/>
    <x v="0"/>
    <x v="8"/>
    <n v="0"/>
    <x v="0"/>
  </r>
  <r>
    <x v="30"/>
    <x v="1"/>
    <x v="241"/>
    <x v="2"/>
    <x v="1"/>
    <x v="35"/>
    <x v="0"/>
    <x v="9"/>
    <n v="0"/>
    <x v="0"/>
  </r>
  <r>
    <x v="30"/>
    <x v="1"/>
    <x v="241"/>
    <x v="2"/>
    <x v="1"/>
    <x v="35"/>
    <x v="0"/>
    <x v="10"/>
    <n v="981.19905310827494"/>
    <x v="0"/>
  </r>
  <r>
    <x v="30"/>
    <x v="1"/>
    <x v="241"/>
    <x v="2"/>
    <x v="1"/>
    <x v="35"/>
    <x v="0"/>
    <x v="11"/>
    <n v="3145.512507129471"/>
    <x v="0"/>
  </r>
  <r>
    <x v="30"/>
    <x v="0"/>
    <x v="242"/>
    <x v="2"/>
    <x v="3"/>
    <x v="36"/>
    <x v="0"/>
    <x v="0"/>
    <n v="234.19751318847125"/>
    <x v="0"/>
  </r>
  <r>
    <x v="30"/>
    <x v="0"/>
    <x v="242"/>
    <x v="2"/>
    <x v="3"/>
    <x v="36"/>
    <x v="0"/>
    <x v="1"/>
    <n v="0"/>
    <x v="0"/>
  </r>
  <r>
    <x v="30"/>
    <x v="0"/>
    <x v="242"/>
    <x v="2"/>
    <x v="3"/>
    <x v="36"/>
    <x v="0"/>
    <x v="2"/>
    <n v="0"/>
    <x v="0"/>
  </r>
  <r>
    <x v="30"/>
    <x v="0"/>
    <x v="242"/>
    <x v="2"/>
    <x v="3"/>
    <x v="36"/>
    <x v="0"/>
    <x v="3"/>
    <n v="0"/>
    <x v="0"/>
  </r>
  <r>
    <x v="30"/>
    <x v="0"/>
    <x v="242"/>
    <x v="2"/>
    <x v="3"/>
    <x v="36"/>
    <x v="0"/>
    <x v="4"/>
    <n v="0"/>
    <x v="0"/>
  </r>
  <r>
    <x v="30"/>
    <x v="0"/>
    <x v="242"/>
    <x v="2"/>
    <x v="3"/>
    <x v="36"/>
    <x v="0"/>
    <x v="5"/>
    <n v="0"/>
    <x v="0"/>
  </r>
  <r>
    <x v="30"/>
    <x v="0"/>
    <x v="242"/>
    <x v="2"/>
    <x v="3"/>
    <x v="36"/>
    <x v="0"/>
    <x v="6"/>
    <n v="444.74273646486625"/>
    <x v="0"/>
  </r>
  <r>
    <x v="30"/>
    <x v="0"/>
    <x v="242"/>
    <x v="2"/>
    <x v="3"/>
    <x v="36"/>
    <x v="0"/>
    <x v="7"/>
    <n v="0"/>
    <x v="0"/>
  </r>
  <r>
    <x v="30"/>
    <x v="0"/>
    <x v="242"/>
    <x v="2"/>
    <x v="3"/>
    <x v="36"/>
    <x v="0"/>
    <x v="8"/>
    <n v="0"/>
    <x v="0"/>
  </r>
  <r>
    <x v="30"/>
    <x v="0"/>
    <x v="242"/>
    <x v="2"/>
    <x v="3"/>
    <x v="36"/>
    <x v="0"/>
    <x v="9"/>
    <n v="0"/>
    <x v="0"/>
  </r>
  <r>
    <x v="30"/>
    <x v="0"/>
    <x v="242"/>
    <x v="2"/>
    <x v="3"/>
    <x v="36"/>
    <x v="0"/>
    <x v="10"/>
    <n v="0"/>
    <x v="0"/>
  </r>
  <r>
    <x v="30"/>
    <x v="0"/>
    <x v="242"/>
    <x v="2"/>
    <x v="3"/>
    <x v="36"/>
    <x v="0"/>
    <x v="11"/>
    <n v="0"/>
    <x v="0"/>
  </r>
  <r>
    <x v="30"/>
    <x v="1"/>
    <x v="243"/>
    <x v="2"/>
    <x v="3"/>
    <x v="20"/>
    <x v="0"/>
    <x v="0"/>
    <n v="0"/>
    <x v="0"/>
  </r>
  <r>
    <x v="30"/>
    <x v="1"/>
    <x v="243"/>
    <x v="2"/>
    <x v="3"/>
    <x v="20"/>
    <x v="0"/>
    <x v="1"/>
    <n v="0"/>
    <x v="0"/>
  </r>
  <r>
    <x v="30"/>
    <x v="1"/>
    <x v="243"/>
    <x v="2"/>
    <x v="3"/>
    <x v="20"/>
    <x v="0"/>
    <x v="2"/>
    <n v="0"/>
    <x v="0"/>
  </r>
  <r>
    <x v="30"/>
    <x v="1"/>
    <x v="243"/>
    <x v="2"/>
    <x v="3"/>
    <x v="20"/>
    <x v="0"/>
    <x v="3"/>
    <n v="51.355010727602227"/>
    <x v="0"/>
  </r>
  <r>
    <x v="30"/>
    <x v="1"/>
    <x v="243"/>
    <x v="2"/>
    <x v="3"/>
    <x v="20"/>
    <x v="0"/>
    <x v="4"/>
    <n v="2309.8542293110208"/>
    <x v="0"/>
  </r>
  <r>
    <x v="30"/>
    <x v="1"/>
    <x v="243"/>
    <x v="2"/>
    <x v="3"/>
    <x v="20"/>
    <x v="0"/>
    <x v="5"/>
    <n v="0"/>
    <x v="0"/>
  </r>
  <r>
    <x v="30"/>
    <x v="1"/>
    <x v="243"/>
    <x v="2"/>
    <x v="3"/>
    <x v="20"/>
    <x v="0"/>
    <x v="6"/>
    <n v="2278.3597849737616"/>
    <x v="0"/>
  </r>
  <r>
    <x v="30"/>
    <x v="1"/>
    <x v="243"/>
    <x v="2"/>
    <x v="3"/>
    <x v="20"/>
    <x v="0"/>
    <x v="7"/>
    <n v="0"/>
    <x v="0"/>
  </r>
  <r>
    <x v="30"/>
    <x v="1"/>
    <x v="243"/>
    <x v="2"/>
    <x v="3"/>
    <x v="20"/>
    <x v="0"/>
    <x v="8"/>
    <n v="2344.01701557962"/>
    <x v="0"/>
  </r>
  <r>
    <x v="30"/>
    <x v="1"/>
    <x v="243"/>
    <x v="2"/>
    <x v="3"/>
    <x v="20"/>
    <x v="0"/>
    <x v="9"/>
    <n v="0"/>
    <x v="0"/>
  </r>
  <r>
    <x v="30"/>
    <x v="1"/>
    <x v="243"/>
    <x v="2"/>
    <x v="3"/>
    <x v="20"/>
    <x v="0"/>
    <x v="10"/>
    <n v="0"/>
    <x v="0"/>
  </r>
  <r>
    <x v="30"/>
    <x v="1"/>
    <x v="243"/>
    <x v="2"/>
    <x v="3"/>
    <x v="20"/>
    <x v="0"/>
    <x v="11"/>
    <n v="2211.2075287215839"/>
    <x v="0"/>
  </r>
  <r>
    <x v="30"/>
    <x v="1"/>
    <x v="244"/>
    <x v="2"/>
    <x v="2"/>
    <x v="3"/>
    <x v="0"/>
    <x v="0"/>
    <n v="0"/>
    <x v="0"/>
  </r>
  <r>
    <x v="30"/>
    <x v="1"/>
    <x v="244"/>
    <x v="2"/>
    <x v="2"/>
    <x v="3"/>
    <x v="0"/>
    <x v="1"/>
    <n v="0"/>
    <x v="0"/>
  </r>
  <r>
    <x v="30"/>
    <x v="1"/>
    <x v="244"/>
    <x v="2"/>
    <x v="2"/>
    <x v="3"/>
    <x v="0"/>
    <x v="2"/>
    <n v="0"/>
    <x v="0"/>
  </r>
  <r>
    <x v="30"/>
    <x v="1"/>
    <x v="244"/>
    <x v="2"/>
    <x v="2"/>
    <x v="3"/>
    <x v="0"/>
    <x v="3"/>
    <n v="0"/>
    <x v="0"/>
  </r>
  <r>
    <x v="30"/>
    <x v="1"/>
    <x v="244"/>
    <x v="2"/>
    <x v="2"/>
    <x v="3"/>
    <x v="0"/>
    <x v="4"/>
    <n v="0"/>
    <x v="0"/>
  </r>
  <r>
    <x v="30"/>
    <x v="1"/>
    <x v="244"/>
    <x v="2"/>
    <x v="2"/>
    <x v="3"/>
    <x v="0"/>
    <x v="5"/>
    <n v="0"/>
    <x v="0"/>
  </r>
  <r>
    <x v="30"/>
    <x v="1"/>
    <x v="244"/>
    <x v="2"/>
    <x v="2"/>
    <x v="3"/>
    <x v="0"/>
    <x v="6"/>
    <n v="0"/>
    <x v="0"/>
  </r>
  <r>
    <x v="30"/>
    <x v="1"/>
    <x v="244"/>
    <x v="2"/>
    <x v="2"/>
    <x v="3"/>
    <x v="0"/>
    <x v="7"/>
    <n v="865.67587912678789"/>
    <x v="0"/>
  </r>
  <r>
    <x v="30"/>
    <x v="1"/>
    <x v="244"/>
    <x v="2"/>
    <x v="2"/>
    <x v="3"/>
    <x v="0"/>
    <x v="8"/>
    <n v="75.57681303376124"/>
    <x v="0"/>
  </r>
  <r>
    <x v="30"/>
    <x v="1"/>
    <x v="244"/>
    <x v="2"/>
    <x v="2"/>
    <x v="3"/>
    <x v="0"/>
    <x v="9"/>
    <n v="0"/>
    <x v="0"/>
  </r>
  <r>
    <x v="30"/>
    <x v="1"/>
    <x v="244"/>
    <x v="2"/>
    <x v="2"/>
    <x v="3"/>
    <x v="0"/>
    <x v="10"/>
    <n v="1113.9234252778922"/>
    <x v="0"/>
  </r>
  <r>
    <x v="30"/>
    <x v="1"/>
    <x v="244"/>
    <x v="2"/>
    <x v="2"/>
    <x v="3"/>
    <x v="0"/>
    <x v="11"/>
    <n v="0"/>
    <x v="0"/>
  </r>
  <r>
    <x v="30"/>
    <x v="1"/>
    <x v="245"/>
    <x v="0"/>
    <x v="9"/>
    <x v="37"/>
    <x v="0"/>
    <x v="0"/>
    <n v="0"/>
    <x v="0"/>
  </r>
  <r>
    <x v="30"/>
    <x v="1"/>
    <x v="245"/>
    <x v="0"/>
    <x v="9"/>
    <x v="37"/>
    <x v="0"/>
    <x v="1"/>
    <n v="0"/>
    <x v="0"/>
  </r>
  <r>
    <x v="30"/>
    <x v="1"/>
    <x v="245"/>
    <x v="0"/>
    <x v="9"/>
    <x v="37"/>
    <x v="0"/>
    <x v="2"/>
    <n v="0"/>
    <x v="0"/>
  </r>
  <r>
    <x v="30"/>
    <x v="1"/>
    <x v="245"/>
    <x v="0"/>
    <x v="9"/>
    <x v="37"/>
    <x v="0"/>
    <x v="3"/>
    <n v="0"/>
    <x v="0"/>
  </r>
  <r>
    <x v="30"/>
    <x v="1"/>
    <x v="245"/>
    <x v="0"/>
    <x v="9"/>
    <x v="37"/>
    <x v="0"/>
    <x v="4"/>
    <n v="0"/>
    <x v="0"/>
  </r>
  <r>
    <x v="30"/>
    <x v="1"/>
    <x v="245"/>
    <x v="0"/>
    <x v="9"/>
    <x v="37"/>
    <x v="0"/>
    <x v="5"/>
    <n v="0"/>
    <x v="0"/>
  </r>
  <r>
    <x v="30"/>
    <x v="1"/>
    <x v="245"/>
    <x v="0"/>
    <x v="9"/>
    <x v="37"/>
    <x v="0"/>
    <x v="6"/>
    <n v="0"/>
    <x v="0"/>
  </r>
  <r>
    <x v="30"/>
    <x v="1"/>
    <x v="245"/>
    <x v="0"/>
    <x v="9"/>
    <x v="37"/>
    <x v="0"/>
    <x v="7"/>
    <n v="0"/>
    <x v="0"/>
  </r>
  <r>
    <x v="30"/>
    <x v="1"/>
    <x v="245"/>
    <x v="0"/>
    <x v="9"/>
    <x v="37"/>
    <x v="0"/>
    <x v="8"/>
    <n v="0"/>
    <x v="0"/>
  </r>
  <r>
    <x v="30"/>
    <x v="1"/>
    <x v="245"/>
    <x v="0"/>
    <x v="9"/>
    <x v="37"/>
    <x v="0"/>
    <x v="9"/>
    <n v="0"/>
    <x v="0"/>
  </r>
  <r>
    <x v="30"/>
    <x v="1"/>
    <x v="245"/>
    <x v="0"/>
    <x v="9"/>
    <x v="37"/>
    <x v="0"/>
    <x v="10"/>
    <n v="0"/>
    <x v="0"/>
  </r>
  <r>
    <x v="30"/>
    <x v="1"/>
    <x v="245"/>
    <x v="0"/>
    <x v="9"/>
    <x v="37"/>
    <x v="0"/>
    <x v="11"/>
    <n v="0"/>
    <x v="0"/>
  </r>
  <r>
    <x v="30"/>
    <x v="1"/>
    <x v="246"/>
    <x v="0"/>
    <x v="9"/>
    <x v="37"/>
    <x v="0"/>
    <x v="0"/>
    <n v="87861.647154704347"/>
    <x v="0"/>
  </r>
  <r>
    <x v="30"/>
    <x v="1"/>
    <x v="246"/>
    <x v="0"/>
    <x v="9"/>
    <x v="37"/>
    <x v="0"/>
    <x v="1"/>
    <n v="75662.111807689114"/>
    <x v="0"/>
  </r>
  <r>
    <x v="30"/>
    <x v="1"/>
    <x v="246"/>
    <x v="0"/>
    <x v="9"/>
    <x v="37"/>
    <x v="0"/>
    <x v="2"/>
    <n v="16948.437387001126"/>
    <x v="0"/>
  </r>
  <r>
    <x v="30"/>
    <x v="1"/>
    <x v="246"/>
    <x v="0"/>
    <x v="9"/>
    <x v="37"/>
    <x v="0"/>
    <x v="3"/>
    <n v="41207.305184660574"/>
    <x v="0"/>
  </r>
  <r>
    <x v="30"/>
    <x v="1"/>
    <x v="246"/>
    <x v="0"/>
    <x v="9"/>
    <x v="37"/>
    <x v="0"/>
    <x v="4"/>
    <n v="18324.099010763934"/>
    <x v="0"/>
  </r>
  <r>
    <x v="30"/>
    <x v="1"/>
    <x v="246"/>
    <x v="0"/>
    <x v="9"/>
    <x v="37"/>
    <x v="0"/>
    <x v="5"/>
    <n v="25946.446311333792"/>
    <x v="0"/>
  </r>
  <r>
    <x v="30"/>
    <x v="1"/>
    <x v="246"/>
    <x v="0"/>
    <x v="9"/>
    <x v="37"/>
    <x v="0"/>
    <x v="6"/>
    <n v="25109.217543410556"/>
    <x v="0"/>
  </r>
  <r>
    <x v="30"/>
    <x v="1"/>
    <x v="246"/>
    <x v="0"/>
    <x v="9"/>
    <x v="37"/>
    <x v="0"/>
    <x v="7"/>
    <n v="0"/>
    <x v="0"/>
  </r>
  <r>
    <x v="30"/>
    <x v="1"/>
    <x v="246"/>
    <x v="0"/>
    <x v="9"/>
    <x v="37"/>
    <x v="0"/>
    <x v="8"/>
    <n v="100217.1041124583"/>
    <x v="0"/>
  </r>
  <r>
    <x v="30"/>
    <x v="1"/>
    <x v="246"/>
    <x v="0"/>
    <x v="9"/>
    <x v="37"/>
    <x v="0"/>
    <x v="9"/>
    <n v="82725.581221019267"/>
    <x v="0"/>
  </r>
  <r>
    <x v="30"/>
    <x v="1"/>
    <x v="246"/>
    <x v="0"/>
    <x v="9"/>
    <x v="37"/>
    <x v="0"/>
    <x v="10"/>
    <n v="69233.677439275416"/>
    <x v="0"/>
  </r>
  <r>
    <x v="30"/>
    <x v="1"/>
    <x v="246"/>
    <x v="0"/>
    <x v="9"/>
    <x v="37"/>
    <x v="0"/>
    <x v="11"/>
    <n v="11568.044691599445"/>
    <x v="0"/>
  </r>
  <r>
    <x v="30"/>
    <x v="1"/>
    <x v="247"/>
    <x v="0"/>
    <x v="9"/>
    <x v="37"/>
    <x v="0"/>
    <x v="0"/>
    <n v="2122.5409971475456"/>
    <x v="0"/>
  </r>
  <r>
    <x v="30"/>
    <x v="1"/>
    <x v="247"/>
    <x v="0"/>
    <x v="9"/>
    <x v="37"/>
    <x v="0"/>
    <x v="1"/>
    <n v="380.23644440753964"/>
    <x v="0"/>
  </r>
  <r>
    <x v="30"/>
    <x v="1"/>
    <x v="247"/>
    <x v="0"/>
    <x v="9"/>
    <x v="37"/>
    <x v="0"/>
    <x v="2"/>
    <n v="718.38769332493052"/>
    <x v="0"/>
  </r>
  <r>
    <x v="30"/>
    <x v="1"/>
    <x v="247"/>
    <x v="0"/>
    <x v="9"/>
    <x v="37"/>
    <x v="0"/>
    <x v="3"/>
    <n v="416.78088612077408"/>
    <x v="0"/>
  </r>
  <r>
    <x v="30"/>
    <x v="1"/>
    <x v="247"/>
    <x v="0"/>
    <x v="9"/>
    <x v="37"/>
    <x v="0"/>
    <x v="4"/>
    <n v="398.32439970366499"/>
    <x v="0"/>
  </r>
  <r>
    <x v="30"/>
    <x v="1"/>
    <x v="247"/>
    <x v="0"/>
    <x v="9"/>
    <x v="37"/>
    <x v="0"/>
    <x v="5"/>
    <n v="438.25587422252937"/>
    <x v="0"/>
  </r>
  <r>
    <x v="30"/>
    <x v="1"/>
    <x v="247"/>
    <x v="0"/>
    <x v="9"/>
    <x v="37"/>
    <x v="0"/>
    <x v="6"/>
    <n v="472.24604291991983"/>
    <x v="0"/>
  </r>
  <r>
    <x v="30"/>
    <x v="1"/>
    <x v="247"/>
    <x v="0"/>
    <x v="9"/>
    <x v="37"/>
    <x v="0"/>
    <x v="7"/>
    <n v="0"/>
    <x v="0"/>
  </r>
  <r>
    <x v="30"/>
    <x v="1"/>
    <x v="247"/>
    <x v="0"/>
    <x v="9"/>
    <x v="37"/>
    <x v="0"/>
    <x v="8"/>
    <n v="447.51082367929519"/>
    <x v="0"/>
  </r>
  <r>
    <x v="30"/>
    <x v="1"/>
    <x v="247"/>
    <x v="0"/>
    <x v="9"/>
    <x v="37"/>
    <x v="0"/>
    <x v="9"/>
    <n v="0"/>
    <x v="0"/>
  </r>
  <r>
    <x v="30"/>
    <x v="1"/>
    <x v="247"/>
    <x v="0"/>
    <x v="9"/>
    <x v="37"/>
    <x v="0"/>
    <x v="10"/>
    <n v="714.69226018937832"/>
    <x v="0"/>
  </r>
  <r>
    <x v="30"/>
    <x v="1"/>
    <x v="247"/>
    <x v="0"/>
    <x v="9"/>
    <x v="37"/>
    <x v="0"/>
    <x v="11"/>
    <n v="140.52696977104213"/>
    <x v="0"/>
  </r>
  <r>
    <x v="30"/>
    <x v="1"/>
    <x v="248"/>
    <x v="0"/>
    <x v="9"/>
    <x v="37"/>
    <x v="0"/>
    <x v="0"/>
    <n v="0"/>
    <x v="0"/>
  </r>
  <r>
    <x v="30"/>
    <x v="1"/>
    <x v="248"/>
    <x v="0"/>
    <x v="9"/>
    <x v="37"/>
    <x v="0"/>
    <x v="1"/>
    <n v="0"/>
    <x v="0"/>
  </r>
  <r>
    <x v="30"/>
    <x v="1"/>
    <x v="248"/>
    <x v="0"/>
    <x v="9"/>
    <x v="37"/>
    <x v="0"/>
    <x v="2"/>
    <n v="0"/>
    <x v="0"/>
  </r>
  <r>
    <x v="30"/>
    <x v="1"/>
    <x v="248"/>
    <x v="0"/>
    <x v="9"/>
    <x v="37"/>
    <x v="0"/>
    <x v="3"/>
    <n v="0"/>
    <x v="0"/>
  </r>
  <r>
    <x v="30"/>
    <x v="1"/>
    <x v="248"/>
    <x v="0"/>
    <x v="9"/>
    <x v="37"/>
    <x v="0"/>
    <x v="4"/>
    <n v="0"/>
    <x v="0"/>
  </r>
  <r>
    <x v="30"/>
    <x v="1"/>
    <x v="248"/>
    <x v="0"/>
    <x v="9"/>
    <x v="37"/>
    <x v="0"/>
    <x v="5"/>
    <n v="126.3249395300622"/>
    <x v="0"/>
  </r>
  <r>
    <x v="30"/>
    <x v="1"/>
    <x v="248"/>
    <x v="0"/>
    <x v="9"/>
    <x v="37"/>
    <x v="0"/>
    <x v="6"/>
    <n v="0"/>
    <x v="0"/>
  </r>
  <r>
    <x v="30"/>
    <x v="1"/>
    <x v="248"/>
    <x v="0"/>
    <x v="9"/>
    <x v="37"/>
    <x v="0"/>
    <x v="7"/>
    <n v="0"/>
    <x v="0"/>
  </r>
  <r>
    <x v="30"/>
    <x v="1"/>
    <x v="248"/>
    <x v="0"/>
    <x v="9"/>
    <x v="37"/>
    <x v="0"/>
    <x v="8"/>
    <n v="0"/>
    <x v="0"/>
  </r>
  <r>
    <x v="30"/>
    <x v="1"/>
    <x v="248"/>
    <x v="0"/>
    <x v="9"/>
    <x v="37"/>
    <x v="0"/>
    <x v="9"/>
    <n v="0"/>
    <x v="0"/>
  </r>
  <r>
    <x v="30"/>
    <x v="1"/>
    <x v="248"/>
    <x v="0"/>
    <x v="9"/>
    <x v="37"/>
    <x v="0"/>
    <x v="10"/>
    <n v="0"/>
    <x v="0"/>
  </r>
  <r>
    <x v="30"/>
    <x v="1"/>
    <x v="248"/>
    <x v="0"/>
    <x v="9"/>
    <x v="37"/>
    <x v="0"/>
    <x v="11"/>
    <n v="0"/>
    <x v="0"/>
  </r>
  <r>
    <x v="30"/>
    <x v="0"/>
    <x v="249"/>
    <x v="2"/>
    <x v="3"/>
    <x v="38"/>
    <x v="0"/>
    <x v="0"/>
    <n v="7385.6936750404739"/>
    <x v="0"/>
  </r>
  <r>
    <x v="30"/>
    <x v="0"/>
    <x v="249"/>
    <x v="2"/>
    <x v="3"/>
    <x v="38"/>
    <x v="0"/>
    <x v="1"/>
    <n v="6926.5942871377556"/>
    <x v="0"/>
  </r>
  <r>
    <x v="30"/>
    <x v="0"/>
    <x v="249"/>
    <x v="2"/>
    <x v="3"/>
    <x v="38"/>
    <x v="0"/>
    <x v="2"/>
    <n v="6940.7147211058655"/>
    <x v="0"/>
  </r>
  <r>
    <x v="30"/>
    <x v="0"/>
    <x v="249"/>
    <x v="2"/>
    <x v="3"/>
    <x v="38"/>
    <x v="0"/>
    <x v="3"/>
    <n v="7041.2960609911052"/>
    <x v="0"/>
  </r>
  <r>
    <x v="30"/>
    <x v="0"/>
    <x v="249"/>
    <x v="2"/>
    <x v="3"/>
    <x v="38"/>
    <x v="0"/>
    <x v="4"/>
    <n v="7394.7890791824639"/>
    <x v="0"/>
  </r>
  <r>
    <x v="30"/>
    <x v="0"/>
    <x v="249"/>
    <x v="2"/>
    <x v="3"/>
    <x v="38"/>
    <x v="0"/>
    <x v="5"/>
    <n v="7365.1434001382167"/>
    <x v="0"/>
  </r>
  <r>
    <x v="30"/>
    <x v="0"/>
    <x v="249"/>
    <x v="2"/>
    <x v="3"/>
    <x v="38"/>
    <x v="0"/>
    <x v="6"/>
    <n v="7257.571782072614"/>
    <x v="0"/>
  </r>
  <r>
    <x v="30"/>
    <x v="0"/>
    <x v="249"/>
    <x v="2"/>
    <x v="3"/>
    <x v="38"/>
    <x v="0"/>
    <x v="7"/>
    <n v="7309.868803097107"/>
    <x v="0"/>
  </r>
  <r>
    <x v="30"/>
    <x v="0"/>
    <x v="249"/>
    <x v="2"/>
    <x v="3"/>
    <x v="38"/>
    <x v="0"/>
    <x v="8"/>
    <n v="7390.6943349780286"/>
    <x v="0"/>
  </r>
  <r>
    <x v="30"/>
    <x v="0"/>
    <x v="249"/>
    <x v="2"/>
    <x v="3"/>
    <x v="38"/>
    <x v="0"/>
    <x v="9"/>
    <n v="7351.626133795955"/>
    <x v="0"/>
  </r>
  <r>
    <x v="30"/>
    <x v="0"/>
    <x v="249"/>
    <x v="2"/>
    <x v="3"/>
    <x v="38"/>
    <x v="0"/>
    <x v="10"/>
    <n v="7071.9030465212018"/>
    <x v="0"/>
  </r>
  <r>
    <x v="30"/>
    <x v="0"/>
    <x v="249"/>
    <x v="2"/>
    <x v="3"/>
    <x v="38"/>
    <x v="0"/>
    <x v="11"/>
    <n v="7068.4154241016868"/>
    <x v="0"/>
  </r>
  <r>
    <x v="30"/>
    <x v="0"/>
    <x v="250"/>
    <x v="2"/>
    <x v="3"/>
    <x v="39"/>
    <x v="0"/>
    <x v="0"/>
    <n v="0"/>
    <x v="0"/>
  </r>
  <r>
    <x v="30"/>
    <x v="0"/>
    <x v="250"/>
    <x v="2"/>
    <x v="3"/>
    <x v="39"/>
    <x v="0"/>
    <x v="1"/>
    <n v="0"/>
    <x v="0"/>
  </r>
  <r>
    <x v="30"/>
    <x v="0"/>
    <x v="250"/>
    <x v="2"/>
    <x v="3"/>
    <x v="39"/>
    <x v="0"/>
    <x v="2"/>
    <n v="0"/>
    <x v="0"/>
  </r>
  <r>
    <x v="30"/>
    <x v="0"/>
    <x v="250"/>
    <x v="2"/>
    <x v="3"/>
    <x v="39"/>
    <x v="0"/>
    <x v="3"/>
    <n v="0"/>
    <x v="0"/>
  </r>
  <r>
    <x v="30"/>
    <x v="0"/>
    <x v="250"/>
    <x v="2"/>
    <x v="3"/>
    <x v="39"/>
    <x v="0"/>
    <x v="4"/>
    <n v="0"/>
    <x v="0"/>
  </r>
  <r>
    <x v="30"/>
    <x v="0"/>
    <x v="250"/>
    <x v="2"/>
    <x v="3"/>
    <x v="39"/>
    <x v="0"/>
    <x v="5"/>
    <n v="5658.2314702833446"/>
    <x v="0"/>
  </r>
  <r>
    <x v="30"/>
    <x v="0"/>
    <x v="250"/>
    <x v="2"/>
    <x v="3"/>
    <x v="39"/>
    <x v="0"/>
    <x v="6"/>
    <n v="5585.8718375357312"/>
    <x v="0"/>
  </r>
  <r>
    <x v="30"/>
    <x v="0"/>
    <x v="250"/>
    <x v="2"/>
    <x v="3"/>
    <x v="39"/>
    <x v="0"/>
    <x v="7"/>
    <n v="5630.5688783740188"/>
    <x v="0"/>
  </r>
  <r>
    <x v="30"/>
    <x v="0"/>
    <x v="250"/>
    <x v="2"/>
    <x v="3"/>
    <x v="39"/>
    <x v="0"/>
    <x v="8"/>
    <n v="5649.6021420628149"/>
    <x v="0"/>
  </r>
  <r>
    <x v="30"/>
    <x v="0"/>
    <x v="250"/>
    <x v="2"/>
    <x v="3"/>
    <x v="39"/>
    <x v="0"/>
    <x v="9"/>
    <n v="5601.5838339705078"/>
    <x v="0"/>
  </r>
  <r>
    <x v="30"/>
    <x v="0"/>
    <x v="250"/>
    <x v="2"/>
    <x v="3"/>
    <x v="39"/>
    <x v="0"/>
    <x v="10"/>
    <n v="5381.6622066694108"/>
    <x v="0"/>
  </r>
  <r>
    <x v="30"/>
    <x v="0"/>
    <x v="250"/>
    <x v="2"/>
    <x v="3"/>
    <x v="39"/>
    <x v="0"/>
    <x v="11"/>
    <n v="0"/>
    <x v="0"/>
  </r>
  <r>
    <x v="30"/>
    <x v="0"/>
    <x v="251"/>
    <x v="2"/>
    <x v="3"/>
    <x v="40"/>
    <x v="0"/>
    <x v="0"/>
    <n v="0"/>
    <x v="0"/>
  </r>
  <r>
    <x v="30"/>
    <x v="0"/>
    <x v="251"/>
    <x v="2"/>
    <x v="3"/>
    <x v="40"/>
    <x v="0"/>
    <x v="1"/>
    <n v="0"/>
    <x v="0"/>
  </r>
  <r>
    <x v="30"/>
    <x v="0"/>
    <x v="251"/>
    <x v="2"/>
    <x v="3"/>
    <x v="40"/>
    <x v="0"/>
    <x v="2"/>
    <n v="0"/>
    <x v="0"/>
  </r>
  <r>
    <x v="30"/>
    <x v="0"/>
    <x v="251"/>
    <x v="2"/>
    <x v="3"/>
    <x v="40"/>
    <x v="0"/>
    <x v="3"/>
    <n v="0"/>
    <x v="0"/>
  </r>
  <r>
    <x v="30"/>
    <x v="0"/>
    <x v="251"/>
    <x v="2"/>
    <x v="3"/>
    <x v="40"/>
    <x v="0"/>
    <x v="4"/>
    <n v="0"/>
    <x v="0"/>
  </r>
  <r>
    <x v="30"/>
    <x v="0"/>
    <x v="251"/>
    <x v="2"/>
    <x v="3"/>
    <x v="40"/>
    <x v="0"/>
    <x v="5"/>
    <n v="0"/>
    <x v="0"/>
  </r>
  <r>
    <x v="30"/>
    <x v="0"/>
    <x v="251"/>
    <x v="2"/>
    <x v="3"/>
    <x v="40"/>
    <x v="0"/>
    <x v="6"/>
    <n v="20056.596911131022"/>
    <x v="0"/>
  </r>
  <r>
    <x v="30"/>
    <x v="0"/>
    <x v="251"/>
    <x v="2"/>
    <x v="3"/>
    <x v="40"/>
    <x v="0"/>
    <x v="7"/>
    <n v="20219.139692440047"/>
    <x v="0"/>
  </r>
  <r>
    <x v="30"/>
    <x v="0"/>
    <x v="251"/>
    <x v="2"/>
    <x v="3"/>
    <x v="40"/>
    <x v="0"/>
    <x v="8"/>
    <n v="20292.391574265013"/>
    <x v="0"/>
  </r>
  <r>
    <x v="30"/>
    <x v="0"/>
    <x v="251"/>
    <x v="2"/>
    <x v="3"/>
    <x v="40"/>
    <x v="0"/>
    <x v="9"/>
    <n v="20123.772501900818"/>
    <x v="0"/>
  </r>
  <r>
    <x v="30"/>
    <x v="0"/>
    <x v="251"/>
    <x v="2"/>
    <x v="3"/>
    <x v="40"/>
    <x v="0"/>
    <x v="10"/>
    <n v="19323.355290242896"/>
    <x v="0"/>
  </r>
  <r>
    <x v="30"/>
    <x v="0"/>
    <x v="251"/>
    <x v="2"/>
    <x v="3"/>
    <x v="40"/>
    <x v="0"/>
    <x v="11"/>
    <n v="19118.321722480239"/>
    <x v="0"/>
  </r>
  <r>
    <x v="30"/>
    <x v="0"/>
    <x v="252"/>
    <x v="2"/>
    <x v="3"/>
    <x v="40"/>
    <x v="0"/>
    <x v="0"/>
    <n v="5434.0036784546082"/>
    <x v="0"/>
  </r>
  <r>
    <x v="30"/>
    <x v="0"/>
    <x v="252"/>
    <x v="2"/>
    <x v="3"/>
    <x v="40"/>
    <x v="0"/>
    <x v="1"/>
    <n v="5121.2540479946856"/>
    <x v="0"/>
  </r>
  <r>
    <x v="30"/>
    <x v="0"/>
    <x v="252"/>
    <x v="2"/>
    <x v="3"/>
    <x v="40"/>
    <x v="0"/>
    <x v="2"/>
    <n v="5097.4925872738731"/>
    <x v="0"/>
  </r>
  <r>
    <x v="30"/>
    <x v="0"/>
    <x v="252"/>
    <x v="2"/>
    <x v="3"/>
    <x v="40"/>
    <x v="0"/>
    <x v="3"/>
    <n v="0"/>
    <x v="0"/>
  </r>
  <r>
    <x v="30"/>
    <x v="0"/>
    <x v="252"/>
    <x v="2"/>
    <x v="3"/>
    <x v="40"/>
    <x v="0"/>
    <x v="4"/>
    <n v="0"/>
    <x v="0"/>
  </r>
  <r>
    <x v="30"/>
    <x v="0"/>
    <x v="252"/>
    <x v="2"/>
    <x v="3"/>
    <x v="40"/>
    <x v="0"/>
    <x v="5"/>
    <n v="0"/>
    <x v="0"/>
  </r>
  <r>
    <x v="30"/>
    <x v="0"/>
    <x v="252"/>
    <x v="2"/>
    <x v="3"/>
    <x v="40"/>
    <x v="0"/>
    <x v="6"/>
    <n v="0"/>
    <x v="0"/>
  </r>
  <r>
    <x v="30"/>
    <x v="0"/>
    <x v="252"/>
    <x v="2"/>
    <x v="3"/>
    <x v="40"/>
    <x v="0"/>
    <x v="7"/>
    <n v="0"/>
    <x v="0"/>
  </r>
  <r>
    <x v="30"/>
    <x v="0"/>
    <x v="252"/>
    <x v="2"/>
    <x v="3"/>
    <x v="40"/>
    <x v="0"/>
    <x v="8"/>
    <n v="0"/>
    <x v="0"/>
  </r>
  <r>
    <x v="30"/>
    <x v="0"/>
    <x v="252"/>
    <x v="2"/>
    <x v="3"/>
    <x v="40"/>
    <x v="0"/>
    <x v="9"/>
    <n v="0"/>
    <x v="0"/>
  </r>
  <r>
    <x v="30"/>
    <x v="0"/>
    <x v="252"/>
    <x v="2"/>
    <x v="3"/>
    <x v="40"/>
    <x v="0"/>
    <x v="10"/>
    <n v="0"/>
    <x v="0"/>
  </r>
  <r>
    <x v="30"/>
    <x v="0"/>
    <x v="252"/>
    <x v="2"/>
    <x v="3"/>
    <x v="40"/>
    <x v="0"/>
    <x v="11"/>
    <n v="0"/>
    <x v="0"/>
  </r>
  <r>
    <x v="30"/>
    <x v="1"/>
    <x v="253"/>
    <x v="3"/>
    <x v="8"/>
    <x v="32"/>
    <x v="0"/>
    <x v="0"/>
    <n v="0"/>
    <x v="0"/>
  </r>
  <r>
    <x v="30"/>
    <x v="1"/>
    <x v="253"/>
    <x v="3"/>
    <x v="8"/>
    <x v="32"/>
    <x v="0"/>
    <x v="1"/>
    <n v="1037.9473553101386"/>
    <x v="0"/>
  </r>
  <r>
    <x v="30"/>
    <x v="1"/>
    <x v="253"/>
    <x v="3"/>
    <x v="8"/>
    <x v="32"/>
    <x v="0"/>
    <x v="2"/>
    <n v="0"/>
    <x v="0"/>
  </r>
  <r>
    <x v="30"/>
    <x v="1"/>
    <x v="253"/>
    <x v="3"/>
    <x v="8"/>
    <x v="32"/>
    <x v="0"/>
    <x v="3"/>
    <n v="0"/>
    <x v="0"/>
  </r>
  <r>
    <x v="30"/>
    <x v="1"/>
    <x v="253"/>
    <x v="3"/>
    <x v="8"/>
    <x v="32"/>
    <x v="0"/>
    <x v="4"/>
    <n v="0"/>
    <x v="0"/>
  </r>
  <r>
    <x v="30"/>
    <x v="1"/>
    <x v="253"/>
    <x v="3"/>
    <x v="8"/>
    <x v="32"/>
    <x v="0"/>
    <x v="5"/>
    <n v="0"/>
    <x v="0"/>
  </r>
  <r>
    <x v="30"/>
    <x v="1"/>
    <x v="253"/>
    <x v="3"/>
    <x v="8"/>
    <x v="32"/>
    <x v="0"/>
    <x v="6"/>
    <n v="0"/>
    <x v="0"/>
  </r>
  <r>
    <x v="30"/>
    <x v="1"/>
    <x v="253"/>
    <x v="3"/>
    <x v="8"/>
    <x v="32"/>
    <x v="0"/>
    <x v="7"/>
    <n v="0"/>
    <x v="0"/>
  </r>
  <r>
    <x v="30"/>
    <x v="1"/>
    <x v="253"/>
    <x v="3"/>
    <x v="8"/>
    <x v="32"/>
    <x v="0"/>
    <x v="8"/>
    <n v="0"/>
    <x v="0"/>
  </r>
  <r>
    <x v="30"/>
    <x v="1"/>
    <x v="253"/>
    <x v="3"/>
    <x v="8"/>
    <x v="32"/>
    <x v="0"/>
    <x v="9"/>
    <n v="0"/>
    <x v="0"/>
  </r>
  <r>
    <x v="30"/>
    <x v="1"/>
    <x v="253"/>
    <x v="3"/>
    <x v="8"/>
    <x v="32"/>
    <x v="0"/>
    <x v="10"/>
    <n v="0"/>
    <x v="0"/>
  </r>
  <r>
    <x v="30"/>
    <x v="1"/>
    <x v="253"/>
    <x v="3"/>
    <x v="8"/>
    <x v="32"/>
    <x v="0"/>
    <x v="11"/>
    <n v="0"/>
    <x v="0"/>
  </r>
  <r>
    <x v="30"/>
    <x v="1"/>
    <x v="254"/>
    <x v="3"/>
    <x v="8"/>
    <x v="32"/>
    <x v="0"/>
    <x v="0"/>
    <n v="0"/>
    <x v="0"/>
  </r>
  <r>
    <x v="30"/>
    <x v="1"/>
    <x v="254"/>
    <x v="3"/>
    <x v="8"/>
    <x v="32"/>
    <x v="0"/>
    <x v="1"/>
    <n v="0"/>
    <x v="0"/>
  </r>
  <r>
    <x v="30"/>
    <x v="1"/>
    <x v="254"/>
    <x v="3"/>
    <x v="8"/>
    <x v="32"/>
    <x v="0"/>
    <x v="2"/>
    <n v="0"/>
    <x v="0"/>
  </r>
  <r>
    <x v="30"/>
    <x v="1"/>
    <x v="254"/>
    <x v="3"/>
    <x v="8"/>
    <x v="32"/>
    <x v="0"/>
    <x v="3"/>
    <n v="0"/>
    <x v="0"/>
  </r>
  <r>
    <x v="30"/>
    <x v="1"/>
    <x v="254"/>
    <x v="3"/>
    <x v="8"/>
    <x v="32"/>
    <x v="0"/>
    <x v="4"/>
    <n v="0"/>
    <x v="0"/>
  </r>
  <r>
    <x v="30"/>
    <x v="1"/>
    <x v="254"/>
    <x v="3"/>
    <x v="8"/>
    <x v="32"/>
    <x v="0"/>
    <x v="5"/>
    <n v="0"/>
    <x v="0"/>
  </r>
  <r>
    <x v="30"/>
    <x v="1"/>
    <x v="254"/>
    <x v="3"/>
    <x v="8"/>
    <x v="32"/>
    <x v="0"/>
    <x v="6"/>
    <n v="0"/>
    <x v="0"/>
  </r>
  <r>
    <x v="30"/>
    <x v="1"/>
    <x v="254"/>
    <x v="3"/>
    <x v="8"/>
    <x v="32"/>
    <x v="0"/>
    <x v="7"/>
    <n v="0"/>
    <x v="0"/>
  </r>
  <r>
    <x v="30"/>
    <x v="1"/>
    <x v="254"/>
    <x v="3"/>
    <x v="8"/>
    <x v="32"/>
    <x v="0"/>
    <x v="8"/>
    <n v="0"/>
    <x v="0"/>
  </r>
  <r>
    <x v="30"/>
    <x v="1"/>
    <x v="254"/>
    <x v="3"/>
    <x v="8"/>
    <x v="32"/>
    <x v="0"/>
    <x v="9"/>
    <n v="0"/>
    <x v="0"/>
  </r>
  <r>
    <x v="30"/>
    <x v="1"/>
    <x v="254"/>
    <x v="3"/>
    <x v="8"/>
    <x v="32"/>
    <x v="0"/>
    <x v="10"/>
    <n v="0"/>
    <x v="0"/>
  </r>
  <r>
    <x v="30"/>
    <x v="1"/>
    <x v="254"/>
    <x v="3"/>
    <x v="8"/>
    <x v="32"/>
    <x v="0"/>
    <x v="11"/>
    <n v="3127.5584616638148"/>
    <x v="0"/>
  </r>
  <r>
    <x v="30"/>
    <x v="1"/>
    <x v="255"/>
    <x v="3"/>
    <x v="8"/>
    <x v="32"/>
    <x v="0"/>
    <x v="0"/>
    <n v="0"/>
    <x v="0"/>
  </r>
  <r>
    <x v="30"/>
    <x v="1"/>
    <x v="255"/>
    <x v="3"/>
    <x v="8"/>
    <x v="32"/>
    <x v="0"/>
    <x v="1"/>
    <n v="0"/>
    <x v="0"/>
  </r>
  <r>
    <x v="30"/>
    <x v="1"/>
    <x v="255"/>
    <x v="3"/>
    <x v="8"/>
    <x v="32"/>
    <x v="0"/>
    <x v="2"/>
    <n v="0"/>
    <x v="0"/>
  </r>
  <r>
    <x v="30"/>
    <x v="1"/>
    <x v="255"/>
    <x v="3"/>
    <x v="8"/>
    <x v="32"/>
    <x v="0"/>
    <x v="3"/>
    <n v="0"/>
    <x v="0"/>
  </r>
  <r>
    <x v="30"/>
    <x v="1"/>
    <x v="255"/>
    <x v="3"/>
    <x v="8"/>
    <x v="32"/>
    <x v="0"/>
    <x v="4"/>
    <n v="0"/>
    <x v="0"/>
  </r>
  <r>
    <x v="30"/>
    <x v="1"/>
    <x v="255"/>
    <x v="3"/>
    <x v="8"/>
    <x v="32"/>
    <x v="0"/>
    <x v="5"/>
    <n v="0"/>
    <x v="0"/>
  </r>
  <r>
    <x v="30"/>
    <x v="1"/>
    <x v="255"/>
    <x v="3"/>
    <x v="8"/>
    <x v="32"/>
    <x v="0"/>
    <x v="6"/>
    <n v="0"/>
    <x v="0"/>
  </r>
  <r>
    <x v="30"/>
    <x v="1"/>
    <x v="255"/>
    <x v="3"/>
    <x v="8"/>
    <x v="32"/>
    <x v="0"/>
    <x v="7"/>
    <n v="19356.92009893537"/>
    <x v="0"/>
  </r>
  <r>
    <x v="30"/>
    <x v="1"/>
    <x v="255"/>
    <x v="3"/>
    <x v="8"/>
    <x v="32"/>
    <x v="0"/>
    <x v="8"/>
    <n v="0"/>
    <x v="0"/>
  </r>
  <r>
    <x v="30"/>
    <x v="1"/>
    <x v="255"/>
    <x v="3"/>
    <x v="8"/>
    <x v="32"/>
    <x v="0"/>
    <x v="9"/>
    <n v="0"/>
    <x v="0"/>
  </r>
  <r>
    <x v="30"/>
    <x v="1"/>
    <x v="255"/>
    <x v="3"/>
    <x v="8"/>
    <x v="32"/>
    <x v="0"/>
    <x v="10"/>
    <n v="0"/>
    <x v="0"/>
  </r>
  <r>
    <x v="30"/>
    <x v="1"/>
    <x v="255"/>
    <x v="3"/>
    <x v="8"/>
    <x v="32"/>
    <x v="0"/>
    <x v="11"/>
    <n v="17314.430049702598"/>
    <x v="0"/>
  </r>
  <r>
    <x v="30"/>
    <x v="0"/>
    <x v="256"/>
    <x v="3"/>
    <x v="8"/>
    <x v="16"/>
    <x v="0"/>
    <x v="0"/>
    <n v="257.16472648377186"/>
    <x v="0"/>
  </r>
  <r>
    <x v="30"/>
    <x v="0"/>
    <x v="256"/>
    <x v="3"/>
    <x v="8"/>
    <x v="16"/>
    <x v="0"/>
    <x v="1"/>
    <n v="190.80690027401809"/>
    <x v="0"/>
  </r>
  <r>
    <x v="30"/>
    <x v="0"/>
    <x v="256"/>
    <x v="3"/>
    <x v="8"/>
    <x v="16"/>
    <x v="0"/>
    <x v="2"/>
    <n v="132.13662144989826"/>
    <x v="0"/>
  </r>
  <r>
    <x v="30"/>
    <x v="0"/>
    <x v="256"/>
    <x v="3"/>
    <x v="8"/>
    <x v="16"/>
    <x v="0"/>
    <x v="3"/>
    <n v="134.06482387985085"/>
    <x v="0"/>
  </r>
  <r>
    <x v="30"/>
    <x v="0"/>
    <x v="256"/>
    <x v="3"/>
    <x v="8"/>
    <x v="16"/>
    <x v="0"/>
    <x v="4"/>
    <n v="0"/>
    <x v="0"/>
  </r>
  <r>
    <x v="30"/>
    <x v="0"/>
    <x v="256"/>
    <x v="3"/>
    <x v="8"/>
    <x v="16"/>
    <x v="0"/>
    <x v="5"/>
    <n v="0"/>
    <x v="0"/>
  </r>
  <r>
    <x v="30"/>
    <x v="0"/>
    <x v="256"/>
    <x v="3"/>
    <x v="8"/>
    <x v="16"/>
    <x v="0"/>
    <x v="6"/>
    <n v="277.38278083535988"/>
    <x v="0"/>
  </r>
  <r>
    <x v="30"/>
    <x v="0"/>
    <x v="256"/>
    <x v="3"/>
    <x v="8"/>
    <x v="16"/>
    <x v="0"/>
    <x v="7"/>
    <n v="0"/>
    <x v="0"/>
  </r>
  <r>
    <x v="30"/>
    <x v="0"/>
    <x v="256"/>
    <x v="3"/>
    <x v="8"/>
    <x v="16"/>
    <x v="0"/>
    <x v="8"/>
    <n v="283.12801632459161"/>
    <x v="0"/>
  </r>
  <r>
    <x v="30"/>
    <x v="0"/>
    <x v="256"/>
    <x v="3"/>
    <x v="8"/>
    <x v="16"/>
    <x v="0"/>
    <x v="9"/>
    <n v="0"/>
    <x v="0"/>
  </r>
  <r>
    <x v="30"/>
    <x v="0"/>
    <x v="256"/>
    <x v="3"/>
    <x v="8"/>
    <x v="16"/>
    <x v="0"/>
    <x v="10"/>
    <n v="136.41827912721286"/>
    <x v="0"/>
  </r>
  <r>
    <x v="30"/>
    <x v="0"/>
    <x v="256"/>
    <x v="3"/>
    <x v="8"/>
    <x v="16"/>
    <x v="0"/>
    <x v="11"/>
    <n v="0"/>
    <x v="0"/>
  </r>
  <r>
    <x v="30"/>
    <x v="1"/>
    <x v="257"/>
    <x v="3"/>
    <x v="8"/>
    <x v="37"/>
    <x v="0"/>
    <x v="0"/>
    <n v="0"/>
    <x v="0"/>
  </r>
  <r>
    <x v="30"/>
    <x v="1"/>
    <x v="257"/>
    <x v="3"/>
    <x v="8"/>
    <x v="37"/>
    <x v="0"/>
    <x v="1"/>
    <n v="0"/>
    <x v="0"/>
  </r>
  <r>
    <x v="30"/>
    <x v="1"/>
    <x v="257"/>
    <x v="3"/>
    <x v="8"/>
    <x v="37"/>
    <x v="0"/>
    <x v="2"/>
    <n v="0"/>
    <x v="0"/>
  </r>
  <r>
    <x v="30"/>
    <x v="1"/>
    <x v="257"/>
    <x v="3"/>
    <x v="8"/>
    <x v="37"/>
    <x v="0"/>
    <x v="3"/>
    <n v="17895.681879725875"/>
    <x v="0"/>
  </r>
  <r>
    <x v="30"/>
    <x v="1"/>
    <x v="257"/>
    <x v="3"/>
    <x v="8"/>
    <x v="37"/>
    <x v="0"/>
    <x v="4"/>
    <n v="0"/>
    <x v="0"/>
  </r>
  <r>
    <x v="30"/>
    <x v="1"/>
    <x v="257"/>
    <x v="3"/>
    <x v="8"/>
    <x v="37"/>
    <x v="0"/>
    <x v="5"/>
    <n v="1535.0520473393226"/>
    <x v="0"/>
  </r>
  <r>
    <x v="30"/>
    <x v="1"/>
    <x v="257"/>
    <x v="3"/>
    <x v="8"/>
    <x v="37"/>
    <x v="0"/>
    <x v="6"/>
    <n v="0"/>
    <x v="0"/>
  </r>
  <r>
    <x v="30"/>
    <x v="1"/>
    <x v="257"/>
    <x v="3"/>
    <x v="8"/>
    <x v="37"/>
    <x v="0"/>
    <x v="7"/>
    <n v="3382.0840950639854"/>
    <x v="0"/>
  </r>
  <r>
    <x v="30"/>
    <x v="1"/>
    <x v="257"/>
    <x v="3"/>
    <x v="8"/>
    <x v="37"/>
    <x v="0"/>
    <x v="8"/>
    <n v="0"/>
    <x v="0"/>
  </r>
  <r>
    <x v="30"/>
    <x v="1"/>
    <x v="257"/>
    <x v="3"/>
    <x v="8"/>
    <x v="37"/>
    <x v="0"/>
    <x v="9"/>
    <n v="0"/>
    <x v="0"/>
  </r>
  <r>
    <x v="30"/>
    <x v="1"/>
    <x v="257"/>
    <x v="3"/>
    <x v="8"/>
    <x v="37"/>
    <x v="0"/>
    <x v="10"/>
    <n v="0"/>
    <x v="0"/>
  </r>
  <r>
    <x v="30"/>
    <x v="1"/>
    <x v="257"/>
    <x v="3"/>
    <x v="8"/>
    <x v="37"/>
    <x v="0"/>
    <x v="11"/>
    <n v="13.404424346125641"/>
    <x v="0"/>
  </r>
  <r>
    <x v="30"/>
    <x v="0"/>
    <x v="258"/>
    <x v="3"/>
    <x v="8"/>
    <x v="16"/>
    <x v="0"/>
    <x v="0"/>
    <n v="41.672265113051907"/>
    <x v="0"/>
  </r>
  <r>
    <x v="30"/>
    <x v="0"/>
    <x v="258"/>
    <x v="3"/>
    <x v="8"/>
    <x v="16"/>
    <x v="0"/>
    <x v="1"/>
    <n v="39.519845553433527"/>
    <x v="0"/>
  </r>
  <r>
    <x v="30"/>
    <x v="0"/>
    <x v="258"/>
    <x v="3"/>
    <x v="8"/>
    <x v="16"/>
    <x v="0"/>
    <x v="2"/>
    <n v="39.26007045964068"/>
    <x v="0"/>
  </r>
  <r>
    <x v="30"/>
    <x v="0"/>
    <x v="258"/>
    <x v="3"/>
    <x v="8"/>
    <x v="16"/>
    <x v="0"/>
    <x v="3"/>
    <n v="39.72858124856792"/>
    <x v="0"/>
  </r>
  <r>
    <x v="30"/>
    <x v="0"/>
    <x v="258"/>
    <x v="3"/>
    <x v="8"/>
    <x v="16"/>
    <x v="0"/>
    <x v="4"/>
    <n v="41.822460452346711"/>
    <x v="0"/>
  </r>
  <r>
    <x v="30"/>
    <x v="0"/>
    <x v="258"/>
    <x v="3"/>
    <x v="8"/>
    <x v="16"/>
    <x v="0"/>
    <x v="5"/>
    <n v="41.637871458189359"/>
    <x v="0"/>
  </r>
  <r>
    <x v="30"/>
    <x v="0"/>
    <x v="258"/>
    <x v="3"/>
    <x v="8"/>
    <x v="16"/>
    <x v="0"/>
    <x v="6"/>
    <n v="41.324288578864291"/>
    <x v="0"/>
  </r>
  <r>
    <x v="30"/>
    <x v="0"/>
    <x v="258"/>
    <x v="3"/>
    <x v="8"/>
    <x v="16"/>
    <x v="0"/>
    <x v="7"/>
    <n v="41.809872029250457"/>
    <x v="0"/>
  </r>
  <r>
    <x v="30"/>
    <x v="0"/>
    <x v="258"/>
    <x v="3"/>
    <x v="8"/>
    <x v="16"/>
    <x v="0"/>
    <x v="8"/>
    <n v="41.978600965223869"/>
    <x v="0"/>
  </r>
  <r>
    <x v="30"/>
    <x v="0"/>
    <x v="258"/>
    <x v="3"/>
    <x v="8"/>
    <x v="16"/>
    <x v="0"/>
    <x v="9"/>
    <n v="41.843629860464119"/>
    <x v="0"/>
  </r>
  <r>
    <x v="30"/>
    <x v="0"/>
    <x v="258"/>
    <x v="3"/>
    <x v="8"/>
    <x v="16"/>
    <x v="0"/>
    <x v="10"/>
    <n v="40.376698229724163"/>
    <x v="0"/>
  </r>
  <r>
    <x v="30"/>
    <x v="0"/>
    <x v="258"/>
    <x v="3"/>
    <x v="8"/>
    <x v="16"/>
    <x v="0"/>
    <x v="11"/>
    <n v="40.017721828403815"/>
    <x v="0"/>
  </r>
  <r>
    <x v="30"/>
    <x v="0"/>
    <x v="259"/>
    <x v="3"/>
    <x v="8"/>
    <x v="40"/>
    <x v="0"/>
    <x v="0"/>
    <n v="0"/>
    <x v="0"/>
  </r>
  <r>
    <x v="30"/>
    <x v="0"/>
    <x v="259"/>
    <x v="3"/>
    <x v="8"/>
    <x v="40"/>
    <x v="0"/>
    <x v="1"/>
    <n v="2174.0077223283233"/>
    <x v="0"/>
  </r>
  <r>
    <x v="30"/>
    <x v="0"/>
    <x v="259"/>
    <x v="3"/>
    <x v="8"/>
    <x v="40"/>
    <x v="0"/>
    <x v="2"/>
    <n v="1084.7912555660018"/>
    <x v="0"/>
  </r>
  <r>
    <x v="30"/>
    <x v="0"/>
    <x v="259"/>
    <x v="3"/>
    <x v="8"/>
    <x v="40"/>
    <x v="0"/>
    <x v="3"/>
    <n v="1093.5926010790092"/>
    <x v="0"/>
  </r>
  <r>
    <x v="30"/>
    <x v="0"/>
    <x v="259"/>
    <x v="3"/>
    <x v="8"/>
    <x v="40"/>
    <x v="0"/>
    <x v="4"/>
    <n v="1140.9585130953938"/>
    <x v="0"/>
  </r>
  <r>
    <x v="30"/>
    <x v="0"/>
    <x v="259"/>
    <x v="3"/>
    <x v="8"/>
    <x v="40"/>
    <x v="0"/>
    <x v="5"/>
    <n v="1130.8558655839668"/>
    <x v="0"/>
  </r>
  <r>
    <x v="30"/>
    <x v="0"/>
    <x v="259"/>
    <x v="3"/>
    <x v="8"/>
    <x v="40"/>
    <x v="0"/>
    <x v="6"/>
    <n v="2234.0180895089384"/>
    <x v="0"/>
  </r>
  <r>
    <x v="30"/>
    <x v="0"/>
    <x v="259"/>
    <x v="3"/>
    <x v="8"/>
    <x v="40"/>
    <x v="0"/>
    <x v="7"/>
    <n v="1126.2103451984085"/>
    <x v="0"/>
  </r>
  <r>
    <x v="30"/>
    <x v="0"/>
    <x v="259"/>
    <x v="3"/>
    <x v="8"/>
    <x v="40"/>
    <x v="0"/>
    <x v="8"/>
    <n v="1130.6971421167984"/>
    <x v="0"/>
  </r>
  <r>
    <x v="30"/>
    <x v="0"/>
    <x v="259"/>
    <x v="3"/>
    <x v="8"/>
    <x v="40"/>
    <x v="0"/>
    <x v="9"/>
    <n v="0"/>
    <x v="0"/>
  </r>
  <r>
    <x v="30"/>
    <x v="0"/>
    <x v="259"/>
    <x v="3"/>
    <x v="8"/>
    <x v="40"/>
    <x v="0"/>
    <x v="10"/>
    <n v="1077.8746397694524"/>
    <x v="0"/>
  </r>
  <r>
    <x v="30"/>
    <x v="0"/>
    <x v="259"/>
    <x v="3"/>
    <x v="8"/>
    <x v="40"/>
    <x v="0"/>
    <x v="11"/>
    <n v="1066.6330563024526"/>
    <x v="0"/>
  </r>
  <r>
    <x v="30"/>
    <x v="1"/>
    <x v="260"/>
    <x v="3"/>
    <x v="8"/>
    <x v="23"/>
    <x v="0"/>
    <x v="0"/>
    <n v="0"/>
    <x v="0"/>
  </r>
  <r>
    <x v="30"/>
    <x v="1"/>
    <x v="260"/>
    <x v="3"/>
    <x v="8"/>
    <x v="23"/>
    <x v="0"/>
    <x v="1"/>
    <n v="0"/>
    <x v="0"/>
  </r>
  <r>
    <x v="30"/>
    <x v="1"/>
    <x v="260"/>
    <x v="3"/>
    <x v="8"/>
    <x v="23"/>
    <x v="0"/>
    <x v="2"/>
    <n v="0"/>
    <x v="0"/>
  </r>
  <r>
    <x v="30"/>
    <x v="1"/>
    <x v="260"/>
    <x v="3"/>
    <x v="8"/>
    <x v="23"/>
    <x v="0"/>
    <x v="3"/>
    <n v="0"/>
    <x v="0"/>
  </r>
  <r>
    <x v="30"/>
    <x v="1"/>
    <x v="260"/>
    <x v="3"/>
    <x v="8"/>
    <x v="23"/>
    <x v="0"/>
    <x v="4"/>
    <n v="0"/>
    <x v="0"/>
  </r>
  <r>
    <x v="30"/>
    <x v="1"/>
    <x v="260"/>
    <x v="3"/>
    <x v="8"/>
    <x v="23"/>
    <x v="0"/>
    <x v="5"/>
    <n v="0"/>
    <x v="0"/>
  </r>
  <r>
    <x v="30"/>
    <x v="1"/>
    <x v="260"/>
    <x v="3"/>
    <x v="8"/>
    <x v="23"/>
    <x v="0"/>
    <x v="6"/>
    <n v="0"/>
    <x v="0"/>
  </r>
  <r>
    <x v="30"/>
    <x v="1"/>
    <x v="260"/>
    <x v="3"/>
    <x v="8"/>
    <x v="23"/>
    <x v="0"/>
    <x v="7"/>
    <n v="865.67587912678789"/>
    <x v="0"/>
  </r>
  <r>
    <x v="30"/>
    <x v="1"/>
    <x v="260"/>
    <x v="3"/>
    <x v="8"/>
    <x v="23"/>
    <x v="0"/>
    <x v="8"/>
    <n v="0"/>
    <x v="0"/>
  </r>
  <r>
    <x v="30"/>
    <x v="1"/>
    <x v="260"/>
    <x v="3"/>
    <x v="8"/>
    <x v="23"/>
    <x v="0"/>
    <x v="9"/>
    <n v="0"/>
    <x v="0"/>
  </r>
  <r>
    <x v="30"/>
    <x v="1"/>
    <x v="260"/>
    <x v="3"/>
    <x v="8"/>
    <x v="23"/>
    <x v="0"/>
    <x v="10"/>
    <n v="0"/>
    <x v="0"/>
  </r>
  <r>
    <x v="30"/>
    <x v="1"/>
    <x v="260"/>
    <x v="3"/>
    <x v="8"/>
    <x v="23"/>
    <x v="0"/>
    <x v="11"/>
    <n v="0"/>
    <x v="0"/>
  </r>
  <r>
    <x v="30"/>
    <x v="1"/>
    <x v="261"/>
    <x v="3"/>
    <x v="8"/>
    <x v="23"/>
    <x v="0"/>
    <x v="0"/>
    <n v="0"/>
    <x v="0"/>
  </r>
  <r>
    <x v="30"/>
    <x v="1"/>
    <x v="261"/>
    <x v="3"/>
    <x v="8"/>
    <x v="23"/>
    <x v="0"/>
    <x v="1"/>
    <n v="0"/>
    <x v="0"/>
  </r>
  <r>
    <x v="30"/>
    <x v="1"/>
    <x v="261"/>
    <x v="3"/>
    <x v="8"/>
    <x v="23"/>
    <x v="0"/>
    <x v="2"/>
    <n v="0"/>
    <x v="0"/>
  </r>
  <r>
    <x v="30"/>
    <x v="1"/>
    <x v="261"/>
    <x v="3"/>
    <x v="8"/>
    <x v="23"/>
    <x v="0"/>
    <x v="3"/>
    <n v="0"/>
    <x v="0"/>
  </r>
  <r>
    <x v="30"/>
    <x v="1"/>
    <x v="261"/>
    <x v="3"/>
    <x v="8"/>
    <x v="23"/>
    <x v="0"/>
    <x v="4"/>
    <n v="32677.977513400445"/>
    <x v="0"/>
  </r>
  <r>
    <x v="30"/>
    <x v="1"/>
    <x v="261"/>
    <x v="3"/>
    <x v="8"/>
    <x v="23"/>
    <x v="0"/>
    <x v="5"/>
    <n v="0"/>
    <x v="0"/>
  </r>
  <r>
    <x v="30"/>
    <x v="1"/>
    <x v="261"/>
    <x v="3"/>
    <x v="8"/>
    <x v="23"/>
    <x v="0"/>
    <x v="6"/>
    <n v="0"/>
    <x v="0"/>
  </r>
  <r>
    <x v="30"/>
    <x v="1"/>
    <x v="261"/>
    <x v="3"/>
    <x v="8"/>
    <x v="23"/>
    <x v="0"/>
    <x v="7"/>
    <n v="0"/>
    <x v="0"/>
  </r>
  <r>
    <x v="30"/>
    <x v="1"/>
    <x v="261"/>
    <x v="3"/>
    <x v="8"/>
    <x v="23"/>
    <x v="0"/>
    <x v="8"/>
    <n v="0"/>
    <x v="0"/>
  </r>
  <r>
    <x v="30"/>
    <x v="1"/>
    <x v="261"/>
    <x v="3"/>
    <x v="8"/>
    <x v="23"/>
    <x v="0"/>
    <x v="9"/>
    <n v="0"/>
    <x v="0"/>
  </r>
  <r>
    <x v="30"/>
    <x v="1"/>
    <x v="261"/>
    <x v="3"/>
    <x v="8"/>
    <x v="23"/>
    <x v="0"/>
    <x v="10"/>
    <n v="0"/>
    <x v="0"/>
  </r>
  <r>
    <x v="30"/>
    <x v="1"/>
    <x v="261"/>
    <x v="3"/>
    <x v="8"/>
    <x v="23"/>
    <x v="0"/>
    <x v="11"/>
    <n v="0"/>
    <x v="0"/>
  </r>
  <r>
    <x v="30"/>
    <x v="1"/>
    <x v="262"/>
    <x v="0"/>
    <x v="5"/>
    <x v="23"/>
    <x v="0"/>
    <x v="0"/>
    <n v="0"/>
    <x v="0"/>
  </r>
  <r>
    <x v="30"/>
    <x v="1"/>
    <x v="262"/>
    <x v="0"/>
    <x v="5"/>
    <x v="23"/>
    <x v="0"/>
    <x v="1"/>
    <n v="2085.6410362866395"/>
    <x v="0"/>
  </r>
  <r>
    <x v="30"/>
    <x v="1"/>
    <x v="262"/>
    <x v="0"/>
    <x v="5"/>
    <x v="23"/>
    <x v="0"/>
    <x v="2"/>
    <n v="0"/>
    <x v="0"/>
  </r>
  <r>
    <x v="30"/>
    <x v="1"/>
    <x v="262"/>
    <x v="0"/>
    <x v="5"/>
    <x v="23"/>
    <x v="0"/>
    <x v="3"/>
    <n v="0"/>
    <x v="0"/>
  </r>
  <r>
    <x v="30"/>
    <x v="1"/>
    <x v="262"/>
    <x v="0"/>
    <x v="5"/>
    <x v="23"/>
    <x v="0"/>
    <x v="4"/>
    <n v="0"/>
    <x v="0"/>
  </r>
  <r>
    <x v="30"/>
    <x v="1"/>
    <x v="262"/>
    <x v="0"/>
    <x v="5"/>
    <x v="23"/>
    <x v="0"/>
    <x v="5"/>
    <n v="0"/>
    <x v="0"/>
  </r>
  <r>
    <x v="30"/>
    <x v="1"/>
    <x v="262"/>
    <x v="0"/>
    <x v="5"/>
    <x v="23"/>
    <x v="0"/>
    <x v="6"/>
    <n v="0"/>
    <x v="0"/>
  </r>
  <r>
    <x v="30"/>
    <x v="1"/>
    <x v="262"/>
    <x v="0"/>
    <x v="5"/>
    <x v="23"/>
    <x v="0"/>
    <x v="7"/>
    <n v="0"/>
    <x v="0"/>
  </r>
  <r>
    <x v="30"/>
    <x v="1"/>
    <x v="262"/>
    <x v="0"/>
    <x v="5"/>
    <x v="23"/>
    <x v="0"/>
    <x v="8"/>
    <n v="0"/>
    <x v="0"/>
  </r>
  <r>
    <x v="30"/>
    <x v="1"/>
    <x v="262"/>
    <x v="0"/>
    <x v="5"/>
    <x v="23"/>
    <x v="0"/>
    <x v="9"/>
    <n v="0"/>
    <x v="0"/>
  </r>
  <r>
    <x v="30"/>
    <x v="1"/>
    <x v="262"/>
    <x v="0"/>
    <x v="5"/>
    <x v="23"/>
    <x v="0"/>
    <x v="10"/>
    <n v="0"/>
    <x v="0"/>
  </r>
  <r>
    <x v="30"/>
    <x v="1"/>
    <x v="262"/>
    <x v="0"/>
    <x v="5"/>
    <x v="23"/>
    <x v="0"/>
    <x v="11"/>
    <n v="0"/>
    <x v="0"/>
  </r>
  <r>
    <x v="30"/>
    <x v="1"/>
    <x v="263"/>
    <x v="0"/>
    <x v="5"/>
    <x v="2"/>
    <x v="0"/>
    <x v="0"/>
    <n v="35.49708697232348"/>
    <x v="0"/>
  </r>
  <r>
    <x v="30"/>
    <x v="1"/>
    <x v="263"/>
    <x v="0"/>
    <x v="5"/>
    <x v="2"/>
    <x v="0"/>
    <x v="1"/>
    <n v="0"/>
    <x v="0"/>
  </r>
  <r>
    <x v="30"/>
    <x v="1"/>
    <x v="263"/>
    <x v="0"/>
    <x v="5"/>
    <x v="2"/>
    <x v="0"/>
    <x v="2"/>
    <n v="0"/>
    <x v="0"/>
  </r>
  <r>
    <x v="30"/>
    <x v="1"/>
    <x v="263"/>
    <x v="0"/>
    <x v="5"/>
    <x v="2"/>
    <x v="0"/>
    <x v="3"/>
    <n v="0"/>
    <x v="0"/>
  </r>
  <r>
    <x v="30"/>
    <x v="1"/>
    <x v="263"/>
    <x v="0"/>
    <x v="5"/>
    <x v="2"/>
    <x v="0"/>
    <x v="4"/>
    <n v="0"/>
    <x v="0"/>
  </r>
  <r>
    <x v="30"/>
    <x v="1"/>
    <x v="263"/>
    <x v="0"/>
    <x v="5"/>
    <x v="2"/>
    <x v="0"/>
    <x v="5"/>
    <n v="0"/>
    <x v="0"/>
  </r>
  <r>
    <x v="30"/>
    <x v="1"/>
    <x v="263"/>
    <x v="0"/>
    <x v="5"/>
    <x v="2"/>
    <x v="0"/>
    <x v="6"/>
    <n v="34.377533171210381"/>
    <x v="0"/>
  </r>
  <r>
    <x v="30"/>
    <x v="1"/>
    <x v="263"/>
    <x v="0"/>
    <x v="5"/>
    <x v="2"/>
    <x v="0"/>
    <x v="7"/>
    <n v="0"/>
    <x v="0"/>
  </r>
  <r>
    <x v="30"/>
    <x v="1"/>
    <x v="263"/>
    <x v="0"/>
    <x v="5"/>
    <x v="2"/>
    <x v="0"/>
    <x v="8"/>
    <n v="0"/>
    <x v="0"/>
  </r>
  <r>
    <x v="30"/>
    <x v="1"/>
    <x v="263"/>
    <x v="0"/>
    <x v="5"/>
    <x v="2"/>
    <x v="0"/>
    <x v="9"/>
    <n v="0"/>
    <x v="0"/>
  </r>
  <r>
    <x v="30"/>
    <x v="1"/>
    <x v="263"/>
    <x v="0"/>
    <x v="5"/>
    <x v="2"/>
    <x v="0"/>
    <x v="10"/>
    <n v="0"/>
    <x v="0"/>
  </r>
  <r>
    <x v="30"/>
    <x v="1"/>
    <x v="263"/>
    <x v="0"/>
    <x v="5"/>
    <x v="2"/>
    <x v="0"/>
    <x v="11"/>
    <n v="0"/>
    <x v="0"/>
  </r>
  <r>
    <x v="42"/>
    <x v="0"/>
    <x v="43"/>
    <x v="1"/>
    <x v="0"/>
    <x v="2"/>
    <x v="0"/>
    <x v="0"/>
    <n v="0"/>
    <x v="0"/>
  </r>
  <r>
    <x v="42"/>
    <x v="0"/>
    <x v="43"/>
    <x v="1"/>
    <x v="0"/>
    <x v="2"/>
    <x v="0"/>
    <x v="1"/>
    <n v="0"/>
    <x v="0"/>
  </r>
  <r>
    <x v="42"/>
    <x v="0"/>
    <x v="43"/>
    <x v="1"/>
    <x v="0"/>
    <x v="2"/>
    <x v="0"/>
    <x v="2"/>
    <n v="0"/>
    <x v="0"/>
  </r>
  <r>
    <x v="42"/>
    <x v="0"/>
    <x v="43"/>
    <x v="1"/>
    <x v="0"/>
    <x v="2"/>
    <x v="0"/>
    <x v="3"/>
    <n v="0"/>
    <x v="0"/>
  </r>
  <r>
    <x v="42"/>
    <x v="0"/>
    <x v="43"/>
    <x v="1"/>
    <x v="0"/>
    <x v="2"/>
    <x v="0"/>
    <x v="4"/>
    <n v="0"/>
    <x v="0"/>
  </r>
  <r>
    <x v="42"/>
    <x v="0"/>
    <x v="43"/>
    <x v="1"/>
    <x v="0"/>
    <x v="2"/>
    <x v="0"/>
    <x v="5"/>
    <n v="0"/>
    <x v="0"/>
  </r>
  <r>
    <x v="42"/>
    <x v="0"/>
    <x v="43"/>
    <x v="1"/>
    <x v="0"/>
    <x v="2"/>
    <x v="0"/>
    <x v="6"/>
    <n v="2133.7663722855073"/>
    <x v="0"/>
  </r>
  <r>
    <x v="42"/>
    <x v="0"/>
    <x v="43"/>
    <x v="1"/>
    <x v="0"/>
    <x v="2"/>
    <x v="0"/>
    <x v="7"/>
    <n v="2201.3184213356276"/>
    <x v="0"/>
  </r>
  <r>
    <x v="42"/>
    <x v="0"/>
    <x v="43"/>
    <x v="1"/>
    <x v="0"/>
    <x v="2"/>
    <x v="0"/>
    <x v="8"/>
    <n v="2843.4696235195042"/>
    <x v="0"/>
  </r>
  <r>
    <x v="42"/>
    <x v="0"/>
    <x v="43"/>
    <x v="1"/>
    <x v="0"/>
    <x v="2"/>
    <x v="0"/>
    <x v="9"/>
    <n v="2824.8540923742521"/>
    <x v="0"/>
  </r>
  <r>
    <x v="42"/>
    <x v="0"/>
    <x v="43"/>
    <x v="1"/>
    <x v="0"/>
    <x v="2"/>
    <x v="0"/>
    <x v="10"/>
    <n v="603.87093454096339"/>
    <x v="0"/>
  </r>
  <r>
    <x v="42"/>
    <x v="0"/>
    <x v="43"/>
    <x v="1"/>
    <x v="0"/>
    <x v="2"/>
    <x v="0"/>
    <x v="11"/>
    <n v="0"/>
    <x v="0"/>
  </r>
  <r>
    <x v="30"/>
    <x v="1"/>
    <x v="264"/>
    <x v="0"/>
    <x v="9"/>
    <x v="2"/>
    <x v="0"/>
    <x v="0"/>
    <n v="0"/>
    <x v="0"/>
  </r>
  <r>
    <x v="30"/>
    <x v="1"/>
    <x v="264"/>
    <x v="0"/>
    <x v="9"/>
    <x v="2"/>
    <x v="0"/>
    <x v="1"/>
    <n v="0"/>
    <x v="0"/>
  </r>
  <r>
    <x v="30"/>
    <x v="1"/>
    <x v="264"/>
    <x v="0"/>
    <x v="9"/>
    <x v="2"/>
    <x v="0"/>
    <x v="2"/>
    <n v="0"/>
    <x v="0"/>
  </r>
  <r>
    <x v="30"/>
    <x v="1"/>
    <x v="264"/>
    <x v="0"/>
    <x v="9"/>
    <x v="2"/>
    <x v="0"/>
    <x v="3"/>
    <n v="0"/>
    <x v="0"/>
  </r>
  <r>
    <x v="30"/>
    <x v="1"/>
    <x v="264"/>
    <x v="0"/>
    <x v="9"/>
    <x v="2"/>
    <x v="0"/>
    <x v="4"/>
    <n v="0"/>
    <x v="0"/>
  </r>
  <r>
    <x v="30"/>
    <x v="1"/>
    <x v="264"/>
    <x v="0"/>
    <x v="9"/>
    <x v="2"/>
    <x v="0"/>
    <x v="5"/>
    <n v="0"/>
    <x v="0"/>
  </r>
  <r>
    <x v="30"/>
    <x v="1"/>
    <x v="264"/>
    <x v="0"/>
    <x v="9"/>
    <x v="2"/>
    <x v="0"/>
    <x v="6"/>
    <n v="0"/>
    <x v="0"/>
  </r>
  <r>
    <x v="30"/>
    <x v="1"/>
    <x v="264"/>
    <x v="0"/>
    <x v="9"/>
    <x v="2"/>
    <x v="0"/>
    <x v="7"/>
    <n v="0"/>
    <x v="0"/>
  </r>
  <r>
    <x v="30"/>
    <x v="1"/>
    <x v="264"/>
    <x v="0"/>
    <x v="9"/>
    <x v="2"/>
    <x v="0"/>
    <x v="8"/>
    <n v="0"/>
    <x v="0"/>
  </r>
  <r>
    <x v="30"/>
    <x v="1"/>
    <x v="264"/>
    <x v="0"/>
    <x v="9"/>
    <x v="2"/>
    <x v="0"/>
    <x v="9"/>
    <n v="8002.0732268876973"/>
    <x v="0"/>
  </r>
  <r>
    <x v="30"/>
    <x v="1"/>
    <x v="264"/>
    <x v="0"/>
    <x v="9"/>
    <x v="2"/>
    <x v="0"/>
    <x v="10"/>
    <n v="0"/>
    <x v="0"/>
  </r>
  <r>
    <x v="30"/>
    <x v="1"/>
    <x v="264"/>
    <x v="0"/>
    <x v="9"/>
    <x v="2"/>
    <x v="0"/>
    <x v="11"/>
    <n v="0"/>
    <x v="0"/>
  </r>
  <r>
    <x v="30"/>
    <x v="0"/>
    <x v="265"/>
    <x v="1"/>
    <x v="0"/>
    <x v="2"/>
    <x v="0"/>
    <x v="0"/>
    <n v="0"/>
    <x v="0"/>
  </r>
  <r>
    <x v="30"/>
    <x v="0"/>
    <x v="265"/>
    <x v="1"/>
    <x v="0"/>
    <x v="2"/>
    <x v="0"/>
    <x v="1"/>
    <n v="0"/>
    <x v="0"/>
  </r>
  <r>
    <x v="30"/>
    <x v="0"/>
    <x v="265"/>
    <x v="1"/>
    <x v="0"/>
    <x v="2"/>
    <x v="0"/>
    <x v="2"/>
    <n v="0"/>
    <x v="0"/>
  </r>
  <r>
    <x v="30"/>
    <x v="0"/>
    <x v="265"/>
    <x v="1"/>
    <x v="0"/>
    <x v="2"/>
    <x v="0"/>
    <x v="3"/>
    <n v="0"/>
    <x v="0"/>
  </r>
  <r>
    <x v="30"/>
    <x v="0"/>
    <x v="265"/>
    <x v="1"/>
    <x v="0"/>
    <x v="2"/>
    <x v="0"/>
    <x v="4"/>
    <n v="0"/>
    <x v="0"/>
  </r>
  <r>
    <x v="30"/>
    <x v="0"/>
    <x v="265"/>
    <x v="1"/>
    <x v="0"/>
    <x v="2"/>
    <x v="0"/>
    <x v="5"/>
    <n v="0"/>
    <x v="0"/>
  </r>
  <r>
    <x v="30"/>
    <x v="0"/>
    <x v="265"/>
    <x v="1"/>
    <x v="0"/>
    <x v="2"/>
    <x v="0"/>
    <x v="6"/>
    <n v="0"/>
    <x v="0"/>
  </r>
  <r>
    <x v="30"/>
    <x v="0"/>
    <x v="265"/>
    <x v="1"/>
    <x v="0"/>
    <x v="2"/>
    <x v="0"/>
    <x v="7"/>
    <n v="0"/>
    <x v="0"/>
  </r>
  <r>
    <x v="30"/>
    <x v="0"/>
    <x v="265"/>
    <x v="1"/>
    <x v="0"/>
    <x v="2"/>
    <x v="0"/>
    <x v="8"/>
    <n v="0"/>
    <x v="0"/>
  </r>
  <r>
    <x v="30"/>
    <x v="0"/>
    <x v="265"/>
    <x v="1"/>
    <x v="0"/>
    <x v="2"/>
    <x v="0"/>
    <x v="9"/>
    <n v="1847.2708580974718"/>
    <x v="0"/>
  </r>
  <r>
    <x v="30"/>
    <x v="0"/>
    <x v="265"/>
    <x v="1"/>
    <x v="0"/>
    <x v="2"/>
    <x v="0"/>
    <x v="10"/>
    <n v="0"/>
    <x v="0"/>
  </r>
  <r>
    <x v="30"/>
    <x v="0"/>
    <x v="265"/>
    <x v="1"/>
    <x v="0"/>
    <x v="2"/>
    <x v="0"/>
    <x v="11"/>
    <n v="0"/>
    <x v="0"/>
  </r>
  <r>
    <x v="30"/>
    <x v="1"/>
    <x v="266"/>
    <x v="0"/>
    <x v="3"/>
    <x v="2"/>
    <x v="0"/>
    <x v="0"/>
    <n v="0"/>
    <x v="0"/>
  </r>
  <r>
    <x v="30"/>
    <x v="1"/>
    <x v="266"/>
    <x v="0"/>
    <x v="3"/>
    <x v="2"/>
    <x v="0"/>
    <x v="1"/>
    <n v="0"/>
    <x v="0"/>
  </r>
  <r>
    <x v="30"/>
    <x v="1"/>
    <x v="266"/>
    <x v="0"/>
    <x v="3"/>
    <x v="2"/>
    <x v="0"/>
    <x v="2"/>
    <n v="0"/>
    <x v="0"/>
  </r>
  <r>
    <x v="30"/>
    <x v="1"/>
    <x v="266"/>
    <x v="0"/>
    <x v="3"/>
    <x v="2"/>
    <x v="0"/>
    <x v="3"/>
    <n v="0"/>
    <x v="0"/>
  </r>
  <r>
    <x v="30"/>
    <x v="1"/>
    <x v="266"/>
    <x v="0"/>
    <x v="3"/>
    <x v="2"/>
    <x v="0"/>
    <x v="4"/>
    <n v="0"/>
    <x v="0"/>
  </r>
  <r>
    <x v="30"/>
    <x v="1"/>
    <x v="266"/>
    <x v="0"/>
    <x v="3"/>
    <x v="2"/>
    <x v="0"/>
    <x v="5"/>
    <n v="0"/>
    <x v="0"/>
  </r>
  <r>
    <x v="30"/>
    <x v="1"/>
    <x v="266"/>
    <x v="0"/>
    <x v="3"/>
    <x v="2"/>
    <x v="0"/>
    <x v="6"/>
    <n v="0"/>
    <x v="0"/>
  </r>
  <r>
    <x v="30"/>
    <x v="1"/>
    <x v="266"/>
    <x v="0"/>
    <x v="3"/>
    <x v="2"/>
    <x v="0"/>
    <x v="7"/>
    <n v="0"/>
    <x v="0"/>
  </r>
  <r>
    <x v="30"/>
    <x v="1"/>
    <x v="266"/>
    <x v="0"/>
    <x v="3"/>
    <x v="2"/>
    <x v="0"/>
    <x v="8"/>
    <n v="0"/>
    <x v="0"/>
  </r>
  <r>
    <x v="30"/>
    <x v="1"/>
    <x v="266"/>
    <x v="0"/>
    <x v="3"/>
    <x v="2"/>
    <x v="0"/>
    <x v="9"/>
    <n v="1381.4202032533385"/>
    <x v="0"/>
  </r>
  <r>
    <x v="30"/>
    <x v="1"/>
    <x v="266"/>
    <x v="0"/>
    <x v="3"/>
    <x v="2"/>
    <x v="0"/>
    <x v="10"/>
    <n v="0"/>
    <x v="0"/>
  </r>
  <r>
    <x v="30"/>
    <x v="1"/>
    <x v="266"/>
    <x v="0"/>
    <x v="3"/>
    <x v="2"/>
    <x v="0"/>
    <x v="11"/>
    <n v="0"/>
    <x v="0"/>
  </r>
  <r>
    <x v="30"/>
    <x v="2"/>
    <x v="267"/>
    <x v="3"/>
    <x v="8"/>
    <x v="23"/>
    <x v="0"/>
    <x v="0"/>
    <n v="0"/>
    <x v="0"/>
  </r>
  <r>
    <x v="30"/>
    <x v="2"/>
    <x v="267"/>
    <x v="3"/>
    <x v="8"/>
    <x v="23"/>
    <x v="0"/>
    <x v="1"/>
    <n v="0"/>
    <x v="0"/>
  </r>
  <r>
    <x v="30"/>
    <x v="2"/>
    <x v="267"/>
    <x v="3"/>
    <x v="8"/>
    <x v="23"/>
    <x v="0"/>
    <x v="2"/>
    <n v="0"/>
    <x v="0"/>
  </r>
  <r>
    <x v="30"/>
    <x v="2"/>
    <x v="267"/>
    <x v="3"/>
    <x v="8"/>
    <x v="23"/>
    <x v="0"/>
    <x v="3"/>
    <n v="0"/>
    <x v="0"/>
  </r>
  <r>
    <x v="30"/>
    <x v="2"/>
    <x v="267"/>
    <x v="3"/>
    <x v="8"/>
    <x v="23"/>
    <x v="0"/>
    <x v="4"/>
    <n v="0"/>
    <x v="0"/>
  </r>
  <r>
    <x v="30"/>
    <x v="2"/>
    <x v="267"/>
    <x v="3"/>
    <x v="8"/>
    <x v="23"/>
    <x v="0"/>
    <x v="5"/>
    <n v="0"/>
    <x v="0"/>
  </r>
  <r>
    <x v="30"/>
    <x v="2"/>
    <x v="267"/>
    <x v="3"/>
    <x v="8"/>
    <x v="23"/>
    <x v="0"/>
    <x v="6"/>
    <n v="0"/>
    <x v="0"/>
  </r>
  <r>
    <x v="30"/>
    <x v="2"/>
    <x v="267"/>
    <x v="3"/>
    <x v="8"/>
    <x v="23"/>
    <x v="0"/>
    <x v="7"/>
    <n v="0"/>
    <x v="0"/>
  </r>
  <r>
    <x v="30"/>
    <x v="2"/>
    <x v="267"/>
    <x v="3"/>
    <x v="8"/>
    <x v="23"/>
    <x v="0"/>
    <x v="8"/>
    <n v="0"/>
    <x v="0"/>
  </r>
  <r>
    <x v="30"/>
    <x v="2"/>
    <x v="267"/>
    <x v="3"/>
    <x v="8"/>
    <x v="23"/>
    <x v="0"/>
    <x v="9"/>
    <n v="0"/>
    <x v="0"/>
  </r>
  <r>
    <x v="30"/>
    <x v="2"/>
    <x v="267"/>
    <x v="3"/>
    <x v="8"/>
    <x v="23"/>
    <x v="0"/>
    <x v="10"/>
    <n v="0"/>
    <x v="0"/>
  </r>
  <r>
    <x v="30"/>
    <x v="2"/>
    <x v="267"/>
    <x v="3"/>
    <x v="8"/>
    <x v="23"/>
    <x v="0"/>
    <x v="11"/>
    <n v="6643.4918112930818"/>
    <x v="0"/>
  </r>
  <r>
    <x v="30"/>
    <x v="2"/>
    <x v="268"/>
    <x v="3"/>
    <x v="8"/>
    <x v="23"/>
    <x v="0"/>
    <x v="0"/>
    <n v="0"/>
    <x v="0"/>
  </r>
  <r>
    <x v="30"/>
    <x v="2"/>
    <x v="268"/>
    <x v="3"/>
    <x v="8"/>
    <x v="23"/>
    <x v="0"/>
    <x v="1"/>
    <n v="0"/>
    <x v="0"/>
  </r>
  <r>
    <x v="30"/>
    <x v="2"/>
    <x v="268"/>
    <x v="3"/>
    <x v="8"/>
    <x v="23"/>
    <x v="0"/>
    <x v="2"/>
    <n v="0"/>
    <x v="0"/>
  </r>
  <r>
    <x v="30"/>
    <x v="2"/>
    <x v="268"/>
    <x v="3"/>
    <x v="8"/>
    <x v="23"/>
    <x v="0"/>
    <x v="3"/>
    <n v="0"/>
    <x v="0"/>
  </r>
  <r>
    <x v="30"/>
    <x v="2"/>
    <x v="268"/>
    <x v="3"/>
    <x v="8"/>
    <x v="23"/>
    <x v="0"/>
    <x v="4"/>
    <n v="0"/>
    <x v="0"/>
  </r>
  <r>
    <x v="30"/>
    <x v="2"/>
    <x v="268"/>
    <x v="3"/>
    <x v="8"/>
    <x v="23"/>
    <x v="0"/>
    <x v="5"/>
    <n v="0"/>
    <x v="0"/>
  </r>
  <r>
    <x v="30"/>
    <x v="2"/>
    <x v="268"/>
    <x v="3"/>
    <x v="8"/>
    <x v="23"/>
    <x v="0"/>
    <x v="6"/>
    <n v="0"/>
    <x v="0"/>
  </r>
  <r>
    <x v="30"/>
    <x v="2"/>
    <x v="268"/>
    <x v="3"/>
    <x v="8"/>
    <x v="23"/>
    <x v="0"/>
    <x v="7"/>
    <n v="0"/>
    <x v="0"/>
  </r>
  <r>
    <x v="30"/>
    <x v="2"/>
    <x v="268"/>
    <x v="3"/>
    <x v="8"/>
    <x v="23"/>
    <x v="0"/>
    <x v="8"/>
    <n v="0"/>
    <x v="0"/>
  </r>
  <r>
    <x v="30"/>
    <x v="2"/>
    <x v="268"/>
    <x v="3"/>
    <x v="8"/>
    <x v="23"/>
    <x v="0"/>
    <x v="9"/>
    <n v="0"/>
    <x v="0"/>
  </r>
  <r>
    <x v="30"/>
    <x v="2"/>
    <x v="268"/>
    <x v="3"/>
    <x v="8"/>
    <x v="23"/>
    <x v="0"/>
    <x v="10"/>
    <n v="0"/>
    <x v="0"/>
  </r>
  <r>
    <x v="30"/>
    <x v="2"/>
    <x v="268"/>
    <x v="3"/>
    <x v="8"/>
    <x v="23"/>
    <x v="0"/>
    <x v="11"/>
    <n v="24258.540087998044"/>
    <x v="0"/>
  </r>
  <r>
    <x v="30"/>
    <x v="2"/>
    <x v="269"/>
    <x v="3"/>
    <x v="2"/>
    <x v="3"/>
    <x v="0"/>
    <x v="0"/>
    <n v="0"/>
    <x v="0"/>
  </r>
  <r>
    <x v="30"/>
    <x v="2"/>
    <x v="269"/>
    <x v="3"/>
    <x v="2"/>
    <x v="3"/>
    <x v="0"/>
    <x v="1"/>
    <n v="0"/>
    <x v="0"/>
  </r>
  <r>
    <x v="30"/>
    <x v="2"/>
    <x v="269"/>
    <x v="3"/>
    <x v="2"/>
    <x v="3"/>
    <x v="0"/>
    <x v="2"/>
    <n v="0"/>
    <x v="0"/>
  </r>
  <r>
    <x v="30"/>
    <x v="2"/>
    <x v="269"/>
    <x v="3"/>
    <x v="2"/>
    <x v="3"/>
    <x v="0"/>
    <x v="3"/>
    <n v="0"/>
    <x v="0"/>
  </r>
  <r>
    <x v="30"/>
    <x v="2"/>
    <x v="269"/>
    <x v="3"/>
    <x v="2"/>
    <x v="3"/>
    <x v="0"/>
    <x v="4"/>
    <n v="0"/>
    <x v="0"/>
  </r>
  <r>
    <x v="30"/>
    <x v="2"/>
    <x v="269"/>
    <x v="3"/>
    <x v="2"/>
    <x v="3"/>
    <x v="0"/>
    <x v="5"/>
    <n v="0"/>
    <x v="0"/>
  </r>
  <r>
    <x v="30"/>
    <x v="2"/>
    <x v="269"/>
    <x v="3"/>
    <x v="2"/>
    <x v="3"/>
    <x v="0"/>
    <x v="6"/>
    <n v="0"/>
    <x v="0"/>
  </r>
  <r>
    <x v="30"/>
    <x v="2"/>
    <x v="269"/>
    <x v="3"/>
    <x v="2"/>
    <x v="3"/>
    <x v="0"/>
    <x v="7"/>
    <n v="0"/>
    <x v="0"/>
  </r>
  <r>
    <x v="30"/>
    <x v="2"/>
    <x v="269"/>
    <x v="3"/>
    <x v="2"/>
    <x v="3"/>
    <x v="0"/>
    <x v="8"/>
    <n v="0"/>
    <x v="0"/>
  </r>
  <r>
    <x v="30"/>
    <x v="2"/>
    <x v="269"/>
    <x v="3"/>
    <x v="2"/>
    <x v="3"/>
    <x v="0"/>
    <x v="9"/>
    <n v="0"/>
    <x v="0"/>
  </r>
  <r>
    <x v="30"/>
    <x v="2"/>
    <x v="269"/>
    <x v="3"/>
    <x v="2"/>
    <x v="3"/>
    <x v="0"/>
    <x v="10"/>
    <n v="11223.674351585014"/>
    <x v="0"/>
  </r>
  <r>
    <x v="30"/>
    <x v="2"/>
    <x v="269"/>
    <x v="3"/>
    <x v="2"/>
    <x v="3"/>
    <x v="0"/>
    <x v="11"/>
    <n v="0"/>
    <x v="0"/>
  </r>
  <r>
    <x v="57"/>
    <x v="0"/>
    <x v="270"/>
    <x v="0"/>
    <x v="0"/>
    <x v="0"/>
    <x v="0"/>
    <x v="0"/>
    <n v="6027.8688000577549"/>
    <x v="1"/>
  </r>
  <r>
    <x v="57"/>
    <x v="0"/>
    <x v="270"/>
    <x v="0"/>
    <x v="0"/>
    <x v="0"/>
    <x v="0"/>
    <x v="1"/>
    <n v="4765.1720407872153"/>
    <x v="1"/>
  </r>
  <r>
    <x v="57"/>
    <x v="0"/>
    <x v="270"/>
    <x v="0"/>
    <x v="0"/>
    <x v="0"/>
    <x v="0"/>
    <x v="2"/>
    <n v="4843.1166624766502"/>
    <x v="1"/>
  </r>
  <r>
    <x v="57"/>
    <x v="0"/>
    <x v="270"/>
    <x v="0"/>
    <x v="0"/>
    <x v="0"/>
    <x v="0"/>
    <x v="3"/>
    <n v="4943.5176742754747"/>
    <x v="1"/>
  </r>
  <r>
    <x v="57"/>
    <x v="0"/>
    <x v="270"/>
    <x v="0"/>
    <x v="0"/>
    <x v="0"/>
    <x v="0"/>
    <x v="4"/>
    <n v="6814.6612360734989"/>
    <x v="1"/>
  </r>
  <r>
    <x v="57"/>
    <x v="0"/>
    <x v="270"/>
    <x v="0"/>
    <x v="0"/>
    <x v="0"/>
    <x v="0"/>
    <x v="5"/>
    <n v="4669.0712344488766"/>
    <x v="1"/>
  </r>
  <r>
    <x v="57"/>
    <x v="0"/>
    <x v="270"/>
    <x v="0"/>
    <x v="0"/>
    <x v="0"/>
    <x v="0"/>
    <x v="6"/>
    <n v="9309.3617127707475"/>
    <x v="1"/>
  </r>
  <r>
    <x v="57"/>
    <x v="0"/>
    <x v="270"/>
    <x v="0"/>
    <x v="0"/>
    <x v="0"/>
    <x v="0"/>
    <x v="7"/>
    <n v="8030.1640457359272"/>
    <x v="1"/>
  </r>
  <r>
    <x v="57"/>
    <x v="0"/>
    <x v="270"/>
    <x v="0"/>
    <x v="0"/>
    <x v="0"/>
    <x v="0"/>
    <x v="8"/>
    <n v="4772.2884091682736"/>
    <x v="1"/>
  </r>
  <r>
    <x v="57"/>
    <x v="0"/>
    <x v="270"/>
    <x v="0"/>
    <x v="0"/>
    <x v="0"/>
    <x v="0"/>
    <x v="9"/>
    <n v="7342.6562490114829"/>
    <x v="1"/>
  </r>
  <r>
    <x v="57"/>
    <x v="0"/>
    <x v="270"/>
    <x v="0"/>
    <x v="0"/>
    <x v="0"/>
    <x v="0"/>
    <x v="10"/>
    <n v="8455.314407614047"/>
    <x v="1"/>
  </r>
  <r>
    <x v="57"/>
    <x v="0"/>
    <x v="270"/>
    <x v="0"/>
    <x v="0"/>
    <x v="0"/>
    <x v="0"/>
    <x v="12"/>
    <n v="9106.7725349629818"/>
    <x v="1"/>
  </r>
  <r>
    <x v="57"/>
    <x v="1"/>
    <x v="270"/>
    <x v="0"/>
    <x v="1"/>
    <x v="1"/>
    <x v="0"/>
    <x v="0"/>
    <n v="0"/>
    <x v="1"/>
  </r>
  <r>
    <x v="57"/>
    <x v="1"/>
    <x v="270"/>
    <x v="0"/>
    <x v="1"/>
    <x v="1"/>
    <x v="0"/>
    <x v="1"/>
    <n v="3756.3899174846024"/>
    <x v="1"/>
  </r>
  <r>
    <x v="57"/>
    <x v="1"/>
    <x v="270"/>
    <x v="0"/>
    <x v="1"/>
    <x v="1"/>
    <x v="0"/>
    <x v="2"/>
    <n v="0"/>
    <x v="1"/>
  </r>
  <r>
    <x v="57"/>
    <x v="1"/>
    <x v="270"/>
    <x v="0"/>
    <x v="1"/>
    <x v="1"/>
    <x v="0"/>
    <x v="3"/>
    <n v="2318.4023484596974"/>
    <x v="1"/>
  </r>
  <r>
    <x v="57"/>
    <x v="1"/>
    <x v="270"/>
    <x v="0"/>
    <x v="1"/>
    <x v="1"/>
    <x v="0"/>
    <x v="4"/>
    <n v="0"/>
    <x v="1"/>
  </r>
  <r>
    <x v="57"/>
    <x v="1"/>
    <x v="270"/>
    <x v="0"/>
    <x v="1"/>
    <x v="1"/>
    <x v="0"/>
    <x v="5"/>
    <n v="0"/>
    <x v="1"/>
  </r>
  <r>
    <x v="57"/>
    <x v="1"/>
    <x v="270"/>
    <x v="0"/>
    <x v="1"/>
    <x v="1"/>
    <x v="0"/>
    <x v="6"/>
    <n v="0"/>
    <x v="1"/>
  </r>
  <r>
    <x v="57"/>
    <x v="1"/>
    <x v="270"/>
    <x v="0"/>
    <x v="1"/>
    <x v="1"/>
    <x v="0"/>
    <x v="7"/>
    <n v="0"/>
    <x v="1"/>
  </r>
  <r>
    <x v="57"/>
    <x v="1"/>
    <x v="270"/>
    <x v="0"/>
    <x v="1"/>
    <x v="1"/>
    <x v="0"/>
    <x v="8"/>
    <n v="0"/>
    <x v="1"/>
  </r>
  <r>
    <x v="57"/>
    <x v="1"/>
    <x v="270"/>
    <x v="0"/>
    <x v="1"/>
    <x v="1"/>
    <x v="0"/>
    <x v="9"/>
    <n v="0"/>
    <x v="1"/>
  </r>
  <r>
    <x v="57"/>
    <x v="1"/>
    <x v="270"/>
    <x v="0"/>
    <x v="1"/>
    <x v="1"/>
    <x v="0"/>
    <x v="10"/>
    <n v="0"/>
    <x v="1"/>
  </r>
  <r>
    <x v="57"/>
    <x v="1"/>
    <x v="270"/>
    <x v="0"/>
    <x v="1"/>
    <x v="1"/>
    <x v="0"/>
    <x v="12"/>
    <n v="0"/>
    <x v="1"/>
  </r>
  <r>
    <x v="58"/>
    <x v="0"/>
    <x v="271"/>
    <x v="0"/>
    <x v="0"/>
    <x v="0"/>
    <x v="0"/>
    <x v="0"/>
    <n v="3582.3951204651084"/>
    <x v="1"/>
  </r>
  <r>
    <x v="58"/>
    <x v="0"/>
    <x v="271"/>
    <x v="0"/>
    <x v="0"/>
    <x v="0"/>
    <x v="0"/>
    <x v="1"/>
    <n v="2930.0909805447809"/>
    <x v="1"/>
  </r>
  <r>
    <x v="58"/>
    <x v="0"/>
    <x v="271"/>
    <x v="0"/>
    <x v="0"/>
    <x v="0"/>
    <x v="0"/>
    <x v="2"/>
    <n v="2960.0890684355845"/>
    <x v="1"/>
  </r>
  <r>
    <x v="58"/>
    <x v="0"/>
    <x v="271"/>
    <x v="0"/>
    <x v="0"/>
    <x v="0"/>
    <x v="0"/>
    <x v="3"/>
    <n v="3022.2490614315589"/>
    <x v="1"/>
  </r>
  <r>
    <x v="58"/>
    <x v="0"/>
    <x v="271"/>
    <x v="0"/>
    <x v="0"/>
    <x v="0"/>
    <x v="0"/>
    <x v="4"/>
    <n v="4166.199426885315"/>
    <x v="1"/>
  </r>
  <r>
    <x v="58"/>
    <x v="0"/>
    <x v="271"/>
    <x v="0"/>
    <x v="0"/>
    <x v="0"/>
    <x v="0"/>
    <x v="5"/>
    <n v="2854.4677994772505"/>
    <x v="1"/>
  </r>
  <r>
    <x v="58"/>
    <x v="0"/>
    <x v="271"/>
    <x v="0"/>
    <x v="0"/>
    <x v="0"/>
    <x v="0"/>
    <x v="6"/>
    <n v="6129.0730828872993"/>
    <x v="1"/>
  </r>
  <r>
    <x v="58"/>
    <x v="0"/>
    <x v="271"/>
    <x v="0"/>
    <x v="0"/>
    <x v="0"/>
    <x v="0"/>
    <x v="7"/>
    <n v="5367.0214991792436"/>
    <x v="1"/>
  </r>
  <r>
    <x v="58"/>
    <x v="0"/>
    <x v="271"/>
    <x v="0"/>
    <x v="0"/>
    <x v="0"/>
    <x v="0"/>
    <x v="8"/>
    <n v="2946.226313400658"/>
    <x v="1"/>
  </r>
  <r>
    <x v="58"/>
    <x v="0"/>
    <x v="271"/>
    <x v="0"/>
    <x v="0"/>
    <x v="0"/>
    <x v="0"/>
    <x v="9"/>
    <n v="5676.5791288394012"/>
    <x v="1"/>
  </r>
  <r>
    <x v="58"/>
    <x v="0"/>
    <x v="271"/>
    <x v="0"/>
    <x v="0"/>
    <x v="0"/>
    <x v="0"/>
    <x v="10"/>
    <n v="6661.5991467016738"/>
    <x v="1"/>
  </r>
  <r>
    <x v="58"/>
    <x v="0"/>
    <x v="271"/>
    <x v="0"/>
    <x v="0"/>
    <x v="0"/>
    <x v="0"/>
    <x v="12"/>
    <n v="7066.0391937948061"/>
    <x v="1"/>
  </r>
  <r>
    <x v="58"/>
    <x v="1"/>
    <x v="271"/>
    <x v="0"/>
    <x v="1"/>
    <x v="1"/>
    <x v="0"/>
    <x v="0"/>
    <n v="3676.9762456078397"/>
    <x v="1"/>
  </r>
  <r>
    <x v="58"/>
    <x v="1"/>
    <x v="271"/>
    <x v="0"/>
    <x v="1"/>
    <x v="1"/>
    <x v="0"/>
    <x v="1"/>
    <n v="0"/>
    <x v="1"/>
  </r>
  <r>
    <x v="58"/>
    <x v="1"/>
    <x v="271"/>
    <x v="0"/>
    <x v="1"/>
    <x v="1"/>
    <x v="0"/>
    <x v="2"/>
    <n v="0"/>
    <x v="1"/>
  </r>
  <r>
    <x v="58"/>
    <x v="1"/>
    <x v="271"/>
    <x v="0"/>
    <x v="1"/>
    <x v="1"/>
    <x v="0"/>
    <x v="3"/>
    <n v="0"/>
    <x v="1"/>
  </r>
  <r>
    <x v="58"/>
    <x v="1"/>
    <x v="271"/>
    <x v="0"/>
    <x v="1"/>
    <x v="1"/>
    <x v="0"/>
    <x v="4"/>
    <n v="0"/>
    <x v="1"/>
  </r>
  <r>
    <x v="58"/>
    <x v="1"/>
    <x v="271"/>
    <x v="0"/>
    <x v="1"/>
    <x v="1"/>
    <x v="0"/>
    <x v="5"/>
    <n v="0"/>
    <x v="1"/>
  </r>
  <r>
    <x v="58"/>
    <x v="1"/>
    <x v="271"/>
    <x v="0"/>
    <x v="1"/>
    <x v="1"/>
    <x v="0"/>
    <x v="6"/>
    <n v="0"/>
    <x v="1"/>
  </r>
  <r>
    <x v="58"/>
    <x v="1"/>
    <x v="271"/>
    <x v="0"/>
    <x v="1"/>
    <x v="1"/>
    <x v="0"/>
    <x v="7"/>
    <n v="0"/>
    <x v="1"/>
  </r>
  <r>
    <x v="58"/>
    <x v="1"/>
    <x v="271"/>
    <x v="0"/>
    <x v="1"/>
    <x v="1"/>
    <x v="0"/>
    <x v="8"/>
    <n v="0"/>
    <x v="1"/>
  </r>
  <r>
    <x v="58"/>
    <x v="1"/>
    <x v="271"/>
    <x v="0"/>
    <x v="1"/>
    <x v="1"/>
    <x v="0"/>
    <x v="9"/>
    <n v="0"/>
    <x v="1"/>
  </r>
  <r>
    <x v="58"/>
    <x v="1"/>
    <x v="271"/>
    <x v="0"/>
    <x v="1"/>
    <x v="1"/>
    <x v="0"/>
    <x v="10"/>
    <n v="0"/>
    <x v="1"/>
  </r>
  <r>
    <x v="58"/>
    <x v="1"/>
    <x v="271"/>
    <x v="0"/>
    <x v="1"/>
    <x v="1"/>
    <x v="0"/>
    <x v="12"/>
    <n v="0"/>
    <x v="1"/>
  </r>
  <r>
    <x v="59"/>
    <x v="0"/>
    <x v="272"/>
    <x v="0"/>
    <x v="0"/>
    <x v="0"/>
    <x v="0"/>
    <x v="0"/>
    <n v="3867.8791048949511"/>
    <x v="1"/>
  </r>
  <r>
    <x v="59"/>
    <x v="0"/>
    <x v="272"/>
    <x v="0"/>
    <x v="0"/>
    <x v="0"/>
    <x v="0"/>
    <x v="1"/>
    <n v="3174.4531968150914"/>
    <x v="1"/>
  </r>
  <r>
    <x v="59"/>
    <x v="0"/>
    <x v="272"/>
    <x v="0"/>
    <x v="0"/>
    <x v="0"/>
    <x v="0"/>
    <x v="2"/>
    <n v="3226.3781958242944"/>
    <x v="1"/>
  </r>
  <r>
    <x v="59"/>
    <x v="0"/>
    <x v="272"/>
    <x v="0"/>
    <x v="0"/>
    <x v="0"/>
    <x v="0"/>
    <x v="3"/>
    <n v="3294.1400035141469"/>
    <x v="1"/>
  </r>
  <r>
    <x v="59"/>
    <x v="0"/>
    <x v="272"/>
    <x v="0"/>
    <x v="0"/>
    <x v="0"/>
    <x v="0"/>
    <x v="4"/>
    <n v="4540.9759461640915"/>
    <x v="1"/>
  </r>
  <r>
    <x v="59"/>
    <x v="0"/>
    <x v="272"/>
    <x v="0"/>
    <x v="0"/>
    <x v="0"/>
    <x v="0"/>
    <x v="5"/>
    <n v="3111.2584271176165"/>
    <x v="1"/>
  </r>
  <r>
    <x v="59"/>
    <x v="0"/>
    <x v="272"/>
    <x v="0"/>
    <x v="0"/>
    <x v="0"/>
    <x v="0"/>
    <x v="6"/>
    <n v="0"/>
    <x v="1"/>
  </r>
  <r>
    <x v="59"/>
    <x v="0"/>
    <x v="272"/>
    <x v="0"/>
    <x v="0"/>
    <x v="0"/>
    <x v="0"/>
    <x v="7"/>
    <n v="0"/>
    <x v="1"/>
  </r>
  <r>
    <x v="59"/>
    <x v="0"/>
    <x v="272"/>
    <x v="0"/>
    <x v="0"/>
    <x v="0"/>
    <x v="0"/>
    <x v="8"/>
    <n v="0"/>
    <x v="1"/>
  </r>
  <r>
    <x v="59"/>
    <x v="0"/>
    <x v="272"/>
    <x v="0"/>
    <x v="0"/>
    <x v="0"/>
    <x v="0"/>
    <x v="9"/>
    <n v="0"/>
    <x v="1"/>
  </r>
  <r>
    <x v="59"/>
    <x v="0"/>
    <x v="272"/>
    <x v="0"/>
    <x v="0"/>
    <x v="0"/>
    <x v="0"/>
    <x v="10"/>
    <n v="0"/>
    <x v="1"/>
  </r>
  <r>
    <x v="59"/>
    <x v="0"/>
    <x v="272"/>
    <x v="0"/>
    <x v="0"/>
    <x v="0"/>
    <x v="0"/>
    <x v="12"/>
    <n v="0"/>
    <x v="1"/>
  </r>
  <r>
    <x v="59"/>
    <x v="1"/>
    <x v="272"/>
    <x v="0"/>
    <x v="1"/>
    <x v="1"/>
    <x v="0"/>
    <x v="0"/>
    <n v="0"/>
    <x v="1"/>
  </r>
  <r>
    <x v="59"/>
    <x v="1"/>
    <x v="272"/>
    <x v="0"/>
    <x v="1"/>
    <x v="1"/>
    <x v="0"/>
    <x v="1"/>
    <n v="3786.4410368244789"/>
    <x v="1"/>
  </r>
  <r>
    <x v="59"/>
    <x v="1"/>
    <x v="272"/>
    <x v="0"/>
    <x v="1"/>
    <x v="1"/>
    <x v="0"/>
    <x v="2"/>
    <n v="0"/>
    <x v="1"/>
  </r>
  <r>
    <x v="59"/>
    <x v="1"/>
    <x v="272"/>
    <x v="0"/>
    <x v="1"/>
    <x v="1"/>
    <x v="0"/>
    <x v="3"/>
    <n v="3853.2705698936629"/>
    <x v="1"/>
  </r>
  <r>
    <x v="59"/>
    <x v="1"/>
    <x v="272"/>
    <x v="0"/>
    <x v="1"/>
    <x v="1"/>
    <x v="0"/>
    <x v="4"/>
    <n v="0"/>
    <x v="1"/>
  </r>
  <r>
    <x v="59"/>
    <x v="1"/>
    <x v="272"/>
    <x v="0"/>
    <x v="1"/>
    <x v="1"/>
    <x v="0"/>
    <x v="5"/>
    <n v="0"/>
    <x v="1"/>
  </r>
  <r>
    <x v="59"/>
    <x v="1"/>
    <x v="272"/>
    <x v="0"/>
    <x v="1"/>
    <x v="1"/>
    <x v="0"/>
    <x v="6"/>
    <n v="0"/>
    <x v="1"/>
  </r>
  <r>
    <x v="59"/>
    <x v="1"/>
    <x v="272"/>
    <x v="0"/>
    <x v="1"/>
    <x v="1"/>
    <x v="0"/>
    <x v="7"/>
    <n v="0"/>
    <x v="1"/>
  </r>
  <r>
    <x v="59"/>
    <x v="1"/>
    <x v="272"/>
    <x v="0"/>
    <x v="1"/>
    <x v="1"/>
    <x v="0"/>
    <x v="8"/>
    <n v="0"/>
    <x v="1"/>
  </r>
  <r>
    <x v="59"/>
    <x v="1"/>
    <x v="272"/>
    <x v="0"/>
    <x v="1"/>
    <x v="1"/>
    <x v="0"/>
    <x v="9"/>
    <n v="0"/>
    <x v="1"/>
  </r>
  <r>
    <x v="59"/>
    <x v="1"/>
    <x v="272"/>
    <x v="0"/>
    <x v="1"/>
    <x v="1"/>
    <x v="0"/>
    <x v="10"/>
    <n v="0"/>
    <x v="1"/>
  </r>
  <r>
    <x v="59"/>
    <x v="1"/>
    <x v="272"/>
    <x v="0"/>
    <x v="1"/>
    <x v="1"/>
    <x v="0"/>
    <x v="12"/>
    <n v="0"/>
    <x v="1"/>
  </r>
  <r>
    <x v="60"/>
    <x v="0"/>
    <x v="273"/>
    <x v="0"/>
    <x v="0"/>
    <x v="0"/>
    <x v="0"/>
    <x v="0"/>
    <n v="9029.0692710744734"/>
    <x v="1"/>
  </r>
  <r>
    <x v="60"/>
    <x v="0"/>
    <x v="273"/>
    <x v="0"/>
    <x v="0"/>
    <x v="0"/>
    <x v="0"/>
    <x v="1"/>
    <n v="6945.5797969994155"/>
    <x v="1"/>
  </r>
  <r>
    <x v="60"/>
    <x v="0"/>
    <x v="273"/>
    <x v="0"/>
    <x v="0"/>
    <x v="0"/>
    <x v="0"/>
    <x v="2"/>
    <n v="7059.189669855431"/>
    <x v="1"/>
  </r>
  <r>
    <x v="60"/>
    <x v="0"/>
    <x v="273"/>
    <x v="0"/>
    <x v="0"/>
    <x v="0"/>
    <x v="0"/>
    <x v="3"/>
    <n v="7206.1372995625761"/>
    <x v="1"/>
  </r>
  <r>
    <x v="60"/>
    <x v="0"/>
    <x v="273"/>
    <x v="0"/>
    <x v="0"/>
    <x v="0"/>
    <x v="0"/>
    <x v="4"/>
    <n v="9933.6703569506808"/>
    <x v="1"/>
  </r>
  <r>
    <x v="60"/>
    <x v="0"/>
    <x v="273"/>
    <x v="0"/>
    <x v="0"/>
    <x v="0"/>
    <x v="0"/>
    <x v="5"/>
    <n v="6806.0767384134624"/>
    <x v="1"/>
  </r>
  <r>
    <x v="60"/>
    <x v="0"/>
    <x v="273"/>
    <x v="0"/>
    <x v="0"/>
    <x v="0"/>
    <x v="0"/>
    <x v="6"/>
    <n v="13571.932369566304"/>
    <x v="1"/>
  </r>
  <r>
    <x v="60"/>
    <x v="0"/>
    <x v="273"/>
    <x v="0"/>
    <x v="0"/>
    <x v="0"/>
    <x v="0"/>
    <x v="7"/>
    <n v="11704.078667802174"/>
    <x v="1"/>
  </r>
  <r>
    <x v="60"/>
    <x v="0"/>
    <x v="273"/>
    <x v="0"/>
    <x v="0"/>
    <x v="0"/>
    <x v="0"/>
    <x v="8"/>
    <n v="6955.7860830591171"/>
    <x v="1"/>
  </r>
  <r>
    <x v="60"/>
    <x v="0"/>
    <x v="273"/>
    <x v="0"/>
    <x v="0"/>
    <x v="0"/>
    <x v="0"/>
    <x v="9"/>
    <n v="13704.458292474616"/>
    <x v="1"/>
  </r>
  <r>
    <x v="60"/>
    <x v="0"/>
    <x v="273"/>
    <x v="0"/>
    <x v="0"/>
    <x v="0"/>
    <x v="0"/>
    <x v="10"/>
    <n v="13633.856809977027"/>
    <x v="1"/>
  </r>
  <r>
    <x v="60"/>
    <x v="0"/>
    <x v="273"/>
    <x v="0"/>
    <x v="0"/>
    <x v="0"/>
    <x v="0"/>
    <x v="12"/>
    <n v="14460.863203666706"/>
    <x v="1"/>
  </r>
  <r>
    <x v="60"/>
    <x v="1"/>
    <x v="273"/>
    <x v="0"/>
    <x v="1"/>
    <x v="1"/>
    <x v="0"/>
    <x v="0"/>
    <n v="24819.589657852914"/>
    <x v="1"/>
  </r>
  <r>
    <x v="60"/>
    <x v="1"/>
    <x v="273"/>
    <x v="0"/>
    <x v="1"/>
    <x v="1"/>
    <x v="0"/>
    <x v="1"/>
    <n v="0"/>
    <x v="1"/>
  </r>
  <r>
    <x v="60"/>
    <x v="1"/>
    <x v="273"/>
    <x v="0"/>
    <x v="1"/>
    <x v="1"/>
    <x v="0"/>
    <x v="2"/>
    <n v="0"/>
    <x v="1"/>
  </r>
  <r>
    <x v="60"/>
    <x v="1"/>
    <x v="273"/>
    <x v="0"/>
    <x v="1"/>
    <x v="1"/>
    <x v="0"/>
    <x v="3"/>
    <n v="0"/>
    <x v="1"/>
  </r>
  <r>
    <x v="60"/>
    <x v="1"/>
    <x v="273"/>
    <x v="0"/>
    <x v="1"/>
    <x v="1"/>
    <x v="0"/>
    <x v="4"/>
    <n v="0"/>
    <x v="1"/>
  </r>
  <r>
    <x v="60"/>
    <x v="1"/>
    <x v="273"/>
    <x v="0"/>
    <x v="1"/>
    <x v="1"/>
    <x v="0"/>
    <x v="5"/>
    <n v="0"/>
    <x v="1"/>
  </r>
  <r>
    <x v="60"/>
    <x v="1"/>
    <x v="273"/>
    <x v="0"/>
    <x v="1"/>
    <x v="1"/>
    <x v="0"/>
    <x v="6"/>
    <n v="0"/>
    <x v="1"/>
  </r>
  <r>
    <x v="60"/>
    <x v="1"/>
    <x v="273"/>
    <x v="0"/>
    <x v="1"/>
    <x v="1"/>
    <x v="0"/>
    <x v="7"/>
    <n v="0"/>
    <x v="1"/>
  </r>
  <r>
    <x v="60"/>
    <x v="1"/>
    <x v="273"/>
    <x v="0"/>
    <x v="1"/>
    <x v="1"/>
    <x v="0"/>
    <x v="8"/>
    <n v="0"/>
    <x v="1"/>
  </r>
  <r>
    <x v="60"/>
    <x v="1"/>
    <x v="273"/>
    <x v="0"/>
    <x v="1"/>
    <x v="1"/>
    <x v="0"/>
    <x v="9"/>
    <n v="0"/>
    <x v="1"/>
  </r>
  <r>
    <x v="60"/>
    <x v="1"/>
    <x v="273"/>
    <x v="0"/>
    <x v="1"/>
    <x v="1"/>
    <x v="0"/>
    <x v="10"/>
    <n v="0"/>
    <x v="1"/>
  </r>
  <r>
    <x v="60"/>
    <x v="1"/>
    <x v="273"/>
    <x v="0"/>
    <x v="1"/>
    <x v="1"/>
    <x v="0"/>
    <x v="12"/>
    <n v="0"/>
    <x v="1"/>
  </r>
  <r>
    <x v="61"/>
    <x v="0"/>
    <x v="274"/>
    <x v="0"/>
    <x v="0"/>
    <x v="0"/>
    <x v="0"/>
    <x v="0"/>
    <n v="2466.5056365600449"/>
    <x v="1"/>
  </r>
  <r>
    <x v="61"/>
    <x v="0"/>
    <x v="274"/>
    <x v="0"/>
    <x v="0"/>
    <x v="0"/>
    <x v="0"/>
    <x v="1"/>
    <n v="2024.3152618269664"/>
    <x v="1"/>
  </r>
  <r>
    <x v="61"/>
    <x v="0"/>
    <x v="274"/>
    <x v="0"/>
    <x v="0"/>
    <x v="0"/>
    <x v="0"/>
    <x v="2"/>
    <n v="2057.4272850472616"/>
    <x v="1"/>
  </r>
  <r>
    <x v="61"/>
    <x v="0"/>
    <x v="274"/>
    <x v="0"/>
    <x v="0"/>
    <x v="0"/>
    <x v="0"/>
    <x v="3"/>
    <n v="2100.6381278722329"/>
    <x v="1"/>
  </r>
  <r>
    <x v="61"/>
    <x v="0"/>
    <x v="274"/>
    <x v="0"/>
    <x v="0"/>
    <x v="0"/>
    <x v="0"/>
    <x v="4"/>
    <n v="2895.7280587140422"/>
    <x v="1"/>
  </r>
  <r>
    <x v="61"/>
    <x v="0"/>
    <x v="274"/>
    <x v="0"/>
    <x v="0"/>
    <x v="0"/>
    <x v="0"/>
    <x v="5"/>
    <n v="1984.0207036627564"/>
    <x v="1"/>
  </r>
  <r>
    <x v="61"/>
    <x v="0"/>
    <x v="274"/>
    <x v="0"/>
    <x v="0"/>
    <x v="0"/>
    <x v="0"/>
    <x v="6"/>
    <n v="3955.8276224300935"/>
    <x v="1"/>
  </r>
  <r>
    <x v="61"/>
    <x v="0"/>
    <x v="274"/>
    <x v="0"/>
    <x v="0"/>
    <x v="0"/>
    <x v="0"/>
    <x v="7"/>
    <n v="3411.6740080171658"/>
    <x v="1"/>
  </r>
  <r>
    <x v="61"/>
    <x v="0"/>
    <x v="274"/>
    <x v="0"/>
    <x v="0"/>
    <x v="0"/>
    <x v="0"/>
    <x v="8"/>
    <n v="2027.9608532849199"/>
    <x v="1"/>
  </r>
  <r>
    <x v="61"/>
    <x v="0"/>
    <x v="274"/>
    <x v="0"/>
    <x v="0"/>
    <x v="0"/>
    <x v="0"/>
    <x v="9"/>
    <n v="3121.316420459937"/>
    <x v="1"/>
  </r>
  <r>
    <x v="61"/>
    <x v="0"/>
    <x v="274"/>
    <x v="0"/>
    <x v="0"/>
    <x v="0"/>
    <x v="0"/>
    <x v="10"/>
    <n v="3663.0691171644244"/>
    <x v="1"/>
  </r>
  <r>
    <x v="61"/>
    <x v="0"/>
    <x v="274"/>
    <x v="0"/>
    <x v="0"/>
    <x v="0"/>
    <x v="0"/>
    <x v="12"/>
    <n v="4359.2331648842392"/>
    <x v="1"/>
  </r>
  <r>
    <x v="62"/>
    <x v="0"/>
    <x v="275"/>
    <x v="0"/>
    <x v="0"/>
    <x v="0"/>
    <x v="0"/>
    <x v="0"/>
    <n v="3790.2845878210364"/>
    <x v="1"/>
  </r>
  <r>
    <x v="62"/>
    <x v="0"/>
    <x v="275"/>
    <x v="0"/>
    <x v="0"/>
    <x v="0"/>
    <x v="0"/>
    <x v="1"/>
    <n v="4848.6060413352752"/>
    <x v="1"/>
  </r>
  <r>
    <x v="62"/>
    <x v="0"/>
    <x v="275"/>
    <x v="0"/>
    <x v="0"/>
    <x v="0"/>
    <x v="0"/>
    <x v="2"/>
    <n v="3161.6529934036794"/>
    <x v="1"/>
  </r>
  <r>
    <x v="62"/>
    <x v="0"/>
    <x v="275"/>
    <x v="0"/>
    <x v="0"/>
    <x v="0"/>
    <x v="0"/>
    <x v="3"/>
    <n v="3228.0532699039536"/>
    <x v="1"/>
  </r>
  <r>
    <x v="62"/>
    <x v="0"/>
    <x v="275"/>
    <x v="0"/>
    <x v="0"/>
    <x v="0"/>
    <x v="0"/>
    <x v="4"/>
    <n v="5143.8773032647332"/>
    <x v="1"/>
  </r>
  <r>
    <x v="62"/>
    <x v="0"/>
    <x v="275"/>
    <x v="0"/>
    <x v="0"/>
    <x v="0"/>
    <x v="0"/>
    <x v="5"/>
    <n v="3524.3499567888243"/>
    <x v="1"/>
  </r>
  <r>
    <x v="62"/>
    <x v="0"/>
    <x v="275"/>
    <x v="0"/>
    <x v="0"/>
    <x v="0"/>
    <x v="0"/>
    <x v="6"/>
    <n v="7026.1517682957328"/>
    <x v="1"/>
  </r>
  <r>
    <x v="62"/>
    <x v="0"/>
    <x v="275"/>
    <x v="0"/>
    <x v="0"/>
    <x v="0"/>
    <x v="0"/>
    <x v="7"/>
    <n v="6061.2462393031547"/>
    <x v="1"/>
  </r>
  <r>
    <x v="62"/>
    <x v="0"/>
    <x v="275"/>
    <x v="0"/>
    <x v="0"/>
    <x v="0"/>
    <x v="0"/>
    <x v="8"/>
    <n v="3601.2756155679108"/>
    <x v="1"/>
  </r>
  <r>
    <x v="62"/>
    <x v="0"/>
    <x v="275"/>
    <x v="0"/>
    <x v="0"/>
    <x v="0"/>
    <x v="0"/>
    <x v="9"/>
    <n v="5543.6596336949988"/>
    <x v="1"/>
  </r>
  <r>
    <x v="62"/>
    <x v="0"/>
    <x v="275"/>
    <x v="0"/>
    <x v="0"/>
    <x v="0"/>
    <x v="0"/>
    <x v="10"/>
    <n v="6504.9191992123397"/>
    <x v="1"/>
  </r>
  <r>
    <x v="62"/>
    <x v="0"/>
    <x v="275"/>
    <x v="0"/>
    <x v="0"/>
    <x v="0"/>
    <x v="0"/>
    <x v="12"/>
    <n v="6901.6467857562566"/>
    <x v="1"/>
  </r>
  <r>
    <x v="62"/>
    <x v="1"/>
    <x v="275"/>
    <x v="0"/>
    <x v="1"/>
    <x v="1"/>
    <x v="0"/>
    <x v="0"/>
    <n v="0"/>
    <x v="1"/>
  </r>
  <r>
    <x v="62"/>
    <x v="1"/>
    <x v="275"/>
    <x v="0"/>
    <x v="1"/>
    <x v="1"/>
    <x v="0"/>
    <x v="1"/>
    <n v="3363.6217877124122"/>
    <x v="1"/>
  </r>
  <r>
    <x v="62"/>
    <x v="1"/>
    <x v="275"/>
    <x v="0"/>
    <x v="1"/>
    <x v="1"/>
    <x v="0"/>
    <x v="2"/>
    <n v="0"/>
    <x v="1"/>
  </r>
  <r>
    <x v="62"/>
    <x v="1"/>
    <x v="275"/>
    <x v="0"/>
    <x v="1"/>
    <x v="1"/>
    <x v="0"/>
    <x v="3"/>
    <n v="0"/>
    <x v="1"/>
  </r>
  <r>
    <x v="62"/>
    <x v="1"/>
    <x v="275"/>
    <x v="0"/>
    <x v="1"/>
    <x v="1"/>
    <x v="0"/>
    <x v="4"/>
    <n v="0"/>
    <x v="1"/>
  </r>
  <r>
    <x v="62"/>
    <x v="1"/>
    <x v="275"/>
    <x v="0"/>
    <x v="1"/>
    <x v="1"/>
    <x v="0"/>
    <x v="5"/>
    <n v="0"/>
    <x v="1"/>
  </r>
  <r>
    <x v="62"/>
    <x v="1"/>
    <x v="275"/>
    <x v="0"/>
    <x v="1"/>
    <x v="1"/>
    <x v="0"/>
    <x v="6"/>
    <n v="0"/>
    <x v="1"/>
  </r>
  <r>
    <x v="62"/>
    <x v="1"/>
    <x v="275"/>
    <x v="0"/>
    <x v="1"/>
    <x v="1"/>
    <x v="0"/>
    <x v="7"/>
    <n v="0"/>
    <x v="1"/>
  </r>
  <r>
    <x v="62"/>
    <x v="1"/>
    <x v="275"/>
    <x v="0"/>
    <x v="1"/>
    <x v="1"/>
    <x v="0"/>
    <x v="8"/>
    <n v="0"/>
    <x v="1"/>
  </r>
  <r>
    <x v="62"/>
    <x v="1"/>
    <x v="275"/>
    <x v="0"/>
    <x v="1"/>
    <x v="1"/>
    <x v="0"/>
    <x v="9"/>
    <n v="0"/>
    <x v="1"/>
  </r>
  <r>
    <x v="62"/>
    <x v="1"/>
    <x v="275"/>
    <x v="0"/>
    <x v="1"/>
    <x v="1"/>
    <x v="0"/>
    <x v="10"/>
    <n v="0"/>
    <x v="1"/>
  </r>
  <r>
    <x v="62"/>
    <x v="1"/>
    <x v="275"/>
    <x v="0"/>
    <x v="1"/>
    <x v="1"/>
    <x v="0"/>
    <x v="12"/>
    <n v="2834.3518627335761"/>
    <x v="1"/>
  </r>
  <r>
    <x v="63"/>
    <x v="0"/>
    <x v="276"/>
    <x v="0"/>
    <x v="0"/>
    <x v="0"/>
    <x v="0"/>
    <x v="0"/>
    <n v="1683.1014017611665"/>
    <x v="1"/>
  </r>
  <r>
    <x v="63"/>
    <x v="0"/>
    <x v="276"/>
    <x v="0"/>
    <x v="0"/>
    <x v="0"/>
    <x v="0"/>
    <x v="1"/>
    <n v="1381.3582277230471"/>
    <x v="1"/>
  </r>
  <r>
    <x v="63"/>
    <x v="0"/>
    <x v="276"/>
    <x v="0"/>
    <x v="0"/>
    <x v="0"/>
    <x v="0"/>
    <x v="2"/>
    <n v="1403.9533079333448"/>
    <x v="1"/>
  </r>
  <r>
    <x v="63"/>
    <x v="0"/>
    <x v="276"/>
    <x v="0"/>
    <x v="0"/>
    <x v="0"/>
    <x v="0"/>
    <x v="3"/>
    <n v="1433.4381186888545"/>
    <x v="1"/>
  </r>
  <r>
    <x v="63"/>
    <x v="0"/>
    <x v="276"/>
    <x v="0"/>
    <x v="0"/>
    <x v="0"/>
    <x v="0"/>
    <x v="4"/>
    <n v="1976.0055331986628"/>
    <x v="1"/>
  </r>
  <r>
    <x v="63"/>
    <x v="0"/>
    <x v="276"/>
    <x v="0"/>
    <x v="0"/>
    <x v="0"/>
    <x v="0"/>
    <x v="5"/>
    <n v="1353.8577469714473"/>
    <x v="1"/>
  </r>
  <r>
    <x v="63"/>
    <x v="0"/>
    <x v="276"/>
    <x v="0"/>
    <x v="0"/>
    <x v="0"/>
    <x v="0"/>
    <x v="6"/>
    <n v="2699.9174628582859"/>
    <x v="1"/>
  </r>
  <r>
    <x v="63"/>
    <x v="0"/>
    <x v="276"/>
    <x v="0"/>
    <x v="0"/>
    <x v="0"/>
    <x v="0"/>
    <x v="7"/>
    <n v="2328.3911297103423"/>
    <x v="1"/>
  </r>
  <r>
    <x v="63"/>
    <x v="0"/>
    <x v="276"/>
    <x v="0"/>
    <x v="0"/>
    <x v="0"/>
    <x v="0"/>
    <x v="8"/>
    <n v="1383.3803755815272"/>
    <x v="1"/>
  </r>
  <r>
    <x v="63"/>
    <x v="0"/>
    <x v="276"/>
    <x v="0"/>
    <x v="0"/>
    <x v="0"/>
    <x v="0"/>
    <x v="9"/>
    <n v="2129.0036377439665"/>
    <x v="1"/>
  </r>
  <r>
    <x v="63"/>
    <x v="0"/>
    <x v="276"/>
    <x v="0"/>
    <x v="0"/>
    <x v="0"/>
    <x v="0"/>
    <x v="10"/>
    <n v="2498.7750246143746"/>
    <x v="1"/>
  </r>
  <r>
    <x v="63"/>
    <x v="0"/>
    <x v="276"/>
    <x v="0"/>
    <x v="0"/>
    <x v="0"/>
    <x v="0"/>
    <x v="12"/>
    <n v="2650.1189916558933"/>
    <x v="1"/>
  </r>
  <r>
    <x v="63"/>
    <x v="1"/>
    <x v="276"/>
    <x v="0"/>
    <x v="1"/>
    <x v="1"/>
    <x v="0"/>
    <x v="0"/>
    <n v="0"/>
    <x v="1"/>
  </r>
  <r>
    <x v="63"/>
    <x v="1"/>
    <x v="276"/>
    <x v="0"/>
    <x v="1"/>
    <x v="1"/>
    <x v="0"/>
    <x v="1"/>
    <n v="0"/>
    <x v="1"/>
  </r>
  <r>
    <x v="63"/>
    <x v="1"/>
    <x v="276"/>
    <x v="0"/>
    <x v="1"/>
    <x v="1"/>
    <x v="0"/>
    <x v="2"/>
    <n v="0"/>
    <x v="1"/>
  </r>
  <r>
    <x v="63"/>
    <x v="1"/>
    <x v="276"/>
    <x v="0"/>
    <x v="1"/>
    <x v="1"/>
    <x v="0"/>
    <x v="3"/>
    <n v="0"/>
    <x v="1"/>
  </r>
  <r>
    <x v="63"/>
    <x v="1"/>
    <x v="276"/>
    <x v="0"/>
    <x v="1"/>
    <x v="1"/>
    <x v="0"/>
    <x v="4"/>
    <n v="0"/>
    <x v="1"/>
  </r>
  <r>
    <x v="63"/>
    <x v="1"/>
    <x v="276"/>
    <x v="0"/>
    <x v="1"/>
    <x v="1"/>
    <x v="0"/>
    <x v="5"/>
    <n v="0"/>
    <x v="1"/>
  </r>
  <r>
    <x v="63"/>
    <x v="1"/>
    <x v="276"/>
    <x v="0"/>
    <x v="1"/>
    <x v="1"/>
    <x v="0"/>
    <x v="6"/>
    <n v="0"/>
    <x v="1"/>
  </r>
  <r>
    <x v="63"/>
    <x v="1"/>
    <x v="276"/>
    <x v="0"/>
    <x v="1"/>
    <x v="1"/>
    <x v="0"/>
    <x v="7"/>
    <n v="0"/>
    <x v="1"/>
  </r>
  <r>
    <x v="63"/>
    <x v="1"/>
    <x v="276"/>
    <x v="0"/>
    <x v="1"/>
    <x v="1"/>
    <x v="0"/>
    <x v="8"/>
    <n v="0"/>
    <x v="1"/>
  </r>
  <r>
    <x v="63"/>
    <x v="1"/>
    <x v="276"/>
    <x v="0"/>
    <x v="1"/>
    <x v="1"/>
    <x v="0"/>
    <x v="9"/>
    <n v="0"/>
    <x v="1"/>
  </r>
  <r>
    <x v="63"/>
    <x v="1"/>
    <x v="276"/>
    <x v="0"/>
    <x v="1"/>
    <x v="1"/>
    <x v="0"/>
    <x v="10"/>
    <n v="0"/>
    <x v="1"/>
  </r>
  <r>
    <x v="63"/>
    <x v="1"/>
    <x v="276"/>
    <x v="0"/>
    <x v="1"/>
    <x v="1"/>
    <x v="0"/>
    <x v="12"/>
    <n v="2834.3518627335761"/>
    <x v="1"/>
  </r>
  <r>
    <x v="64"/>
    <x v="0"/>
    <x v="277"/>
    <x v="0"/>
    <x v="0"/>
    <x v="0"/>
    <x v="0"/>
    <x v="0"/>
    <n v="2066.9563137583937"/>
    <x v="1"/>
  </r>
  <r>
    <x v="64"/>
    <x v="0"/>
    <x v="277"/>
    <x v="0"/>
    <x v="0"/>
    <x v="0"/>
    <x v="0"/>
    <x v="1"/>
    <n v="1696.3963712267253"/>
    <x v="1"/>
  </r>
  <r>
    <x v="64"/>
    <x v="0"/>
    <x v="277"/>
    <x v="0"/>
    <x v="0"/>
    <x v="0"/>
    <x v="0"/>
    <x v="2"/>
    <n v="1724.1445768022677"/>
    <x v="1"/>
  </r>
  <r>
    <x v="64"/>
    <x v="0"/>
    <x v="277"/>
    <x v="0"/>
    <x v="0"/>
    <x v="0"/>
    <x v="0"/>
    <x v="3"/>
    <n v="1859.9352173820189"/>
    <x v="1"/>
  </r>
  <r>
    <x v="64"/>
    <x v="0"/>
    <x v="277"/>
    <x v="0"/>
    <x v="0"/>
    <x v="0"/>
    <x v="0"/>
    <x v="4"/>
    <n v="2563.9294260914053"/>
    <x v="1"/>
  </r>
  <r>
    <x v="64"/>
    <x v="0"/>
    <x v="277"/>
    <x v="0"/>
    <x v="0"/>
    <x v="0"/>
    <x v="0"/>
    <x v="5"/>
    <n v="1756.6900869185242"/>
    <x v="1"/>
  </r>
  <r>
    <x v="64"/>
    <x v="0"/>
    <x v="277"/>
    <x v="0"/>
    <x v="0"/>
    <x v="0"/>
    <x v="0"/>
    <x v="6"/>
    <n v="3501.500675303887"/>
    <x v="1"/>
  </r>
  <r>
    <x v="64"/>
    <x v="0"/>
    <x v="277"/>
    <x v="0"/>
    <x v="0"/>
    <x v="0"/>
    <x v="0"/>
    <x v="7"/>
    <n v="3021.1900956219479"/>
    <x v="1"/>
  </r>
  <r>
    <x v="64"/>
    <x v="0"/>
    <x v="277"/>
    <x v="0"/>
    <x v="0"/>
    <x v="0"/>
    <x v="0"/>
    <x v="8"/>
    <n v="1794.6556223760354"/>
    <x v="1"/>
  </r>
  <r>
    <x v="64"/>
    <x v="0"/>
    <x v="277"/>
    <x v="0"/>
    <x v="0"/>
    <x v="0"/>
    <x v="0"/>
    <x v="9"/>
    <n v="2763.8088128301642"/>
    <x v="1"/>
  </r>
  <r>
    <x v="64"/>
    <x v="0"/>
    <x v="277"/>
    <x v="0"/>
    <x v="0"/>
    <x v="0"/>
    <x v="0"/>
    <x v="10"/>
    <n v="3241.6540859862157"/>
    <x v="1"/>
  </r>
  <r>
    <x v="64"/>
    <x v="0"/>
    <x v="277"/>
    <x v="0"/>
    <x v="0"/>
    <x v="0"/>
    <x v="0"/>
    <x v="12"/>
    <n v="3440.9031613585616"/>
    <x v="1"/>
  </r>
  <r>
    <x v="65"/>
    <x v="0"/>
    <x v="278"/>
    <x v="0"/>
    <x v="0"/>
    <x v="0"/>
    <x v="0"/>
    <x v="0"/>
    <n v="3413.9610643572992"/>
    <x v="1"/>
  </r>
  <r>
    <x v="65"/>
    <x v="0"/>
    <x v="278"/>
    <x v="0"/>
    <x v="0"/>
    <x v="0"/>
    <x v="0"/>
    <x v="1"/>
    <n v="2801.9127073635923"/>
    <x v="1"/>
  </r>
  <r>
    <x v="65"/>
    <x v="0"/>
    <x v="278"/>
    <x v="0"/>
    <x v="0"/>
    <x v="0"/>
    <x v="0"/>
    <x v="2"/>
    <n v="2847.7440066562372"/>
    <x v="1"/>
  </r>
  <r>
    <x v="65"/>
    <x v="0"/>
    <x v="278"/>
    <x v="0"/>
    <x v="0"/>
    <x v="0"/>
    <x v="0"/>
    <x v="3"/>
    <n v="2907.5556119178118"/>
    <x v="1"/>
  </r>
  <r>
    <x v="65"/>
    <x v="0"/>
    <x v="278"/>
    <x v="0"/>
    <x v="0"/>
    <x v="0"/>
    <x v="0"/>
    <x v="4"/>
    <n v="4008.0756451840552"/>
    <x v="1"/>
  </r>
  <r>
    <x v="65"/>
    <x v="0"/>
    <x v="278"/>
    <x v="0"/>
    <x v="0"/>
    <x v="0"/>
    <x v="0"/>
    <x v="5"/>
    <n v="2746.1319403124753"/>
    <x v="1"/>
  </r>
  <r>
    <x v="65"/>
    <x v="0"/>
    <x v="278"/>
    <x v="0"/>
    <x v="0"/>
    <x v="0"/>
    <x v="0"/>
    <x v="6"/>
    <n v="5475.0737832024406"/>
    <x v="1"/>
  </r>
  <r>
    <x v="65"/>
    <x v="0"/>
    <x v="278"/>
    <x v="0"/>
    <x v="0"/>
    <x v="0"/>
    <x v="0"/>
    <x v="7"/>
    <n v="4722.851618008779"/>
    <x v="1"/>
  </r>
  <r>
    <x v="65"/>
    <x v="0"/>
    <x v="278"/>
    <x v="0"/>
    <x v="0"/>
    <x v="0"/>
    <x v="0"/>
    <x v="8"/>
    <n v="2807.1405026665157"/>
    <x v="1"/>
  </r>
  <r>
    <x v="65"/>
    <x v="0"/>
    <x v="278"/>
    <x v="0"/>
    <x v="0"/>
    <x v="0"/>
    <x v="0"/>
    <x v="9"/>
    <n v="5348.8638218454435"/>
    <x v="1"/>
  </r>
  <r>
    <x v="65"/>
    <x v="0"/>
    <x v="278"/>
    <x v="0"/>
    <x v="0"/>
    <x v="0"/>
    <x v="0"/>
    <x v="10"/>
    <n v="6278.0034131933053"/>
    <x v="1"/>
  </r>
  <r>
    <x v="65"/>
    <x v="0"/>
    <x v="278"/>
    <x v="0"/>
    <x v="0"/>
    <x v="0"/>
    <x v="0"/>
    <x v="12"/>
    <n v="6723.0826184040434"/>
    <x v="1"/>
  </r>
  <r>
    <x v="66"/>
    <x v="0"/>
    <x v="279"/>
    <x v="2"/>
    <x v="0"/>
    <x v="0"/>
    <x v="0"/>
    <x v="0"/>
    <n v="3478.5661059451559"/>
    <x v="1"/>
  </r>
  <r>
    <x v="66"/>
    <x v="0"/>
    <x v="279"/>
    <x v="2"/>
    <x v="0"/>
    <x v="0"/>
    <x v="0"/>
    <x v="1"/>
    <n v="2854.9354816636987"/>
    <x v="1"/>
  </r>
  <r>
    <x v="66"/>
    <x v="0"/>
    <x v="279"/>
    <x v="2"/>
    <x v="0"/>
    <x v="0"/>
    <x v="0"/>
    <x v="2"/>
    <n v="2901.6340822937086"/>
    <x v="1"/>
  </r>
  <r>
    <x v="66"/>
    <x v="0"/>
    <x v="279"/>
    <x v="2"/>
    <x v="0"/>
    <x v="0"/>
    <x v="0"/>
    <x v="3"/>
    <n v="2962.5716676471325"/>
    <x v="1"/>
  </r>
  <r>
    <x v="66"/>
    <x v="0"/>
    <x v="279"/>
    <x v="2"/>
    <x v="0"/>
    <x v="0"/>
    <x v="0"/>
    <x v="4"/>
    <n v="4083.9189745772428"/>
    <x v="1"/>
  </r>
  <r>
    <x v="66"/>
    <x v="0"/>
    <x v="279"/>
    <x v="2"/>
    <x v="0"/>
    <x v="0"/>
    <x v="0"/>
    <x v="5"/>
    <n v="2798.1088741096232"/>
    <x v="1"/>
  </r>
  <r>
    <x v="66"/>
    <x v="0"/>
    <x v="279"/>
    <x v="2"/>
    <x v="0"/>
    <x v="0"/>
    <x v="0"/>
    <x v="6"/>
    <n v="5587.9320694312446"/>
    <x v="1"/>
  </r>
  <r>
    <x v="66"/>
    <x v="0"/>
    <x v="279"/>
    <x v="2"/>
    <x v="0"/>
    <x v="0"/>
    <x v="0"/>
    <x v="7"/>
    <n v="4820.2370887600155"/>
    <x v="1"/>
  </r>
  <r>
    <x v="66"/>
    <x v="0"/>
    <x v="279"/>
    <x v="2"/>
    <x v="0"/>
    <x v="0"/>
    <x v="0"/>
    <x v="8"/>
    <n v="2863.9712640417565"/>
    <x v="1"/>
  </r>
  <r>
    <x v="66"/>
    <x v="0"/>
    <x v="279"/>
    <x v="2"/>
    <x v="0"/>
    <x v="0"/>
    <x v="0"/>
    <x v="9"/>
    <n v="4406.9687786670038"/>
    <x v="1"/>
  </r>
  <r>
    <x v="66"/>
    <x v="0"/>
    <x v="279"/>
    <x v="2"/>
    <x v="0"/>
    <x v="0"/>
    <x v="0"/>
    <x v="10"/>
    <n v="5173.139645553003"/>
    <x v="1"/>
  </r>
  <r>
    <x v="66"/>
    <x v="0"/>
    <x v="279"/>
    <x v="2"/>
    <x v="0"/>
    <x v="0"/>
    <x v="0"/>
    <x v="12"/>
    <n v="5490.1395581149363"/>
    <x v="1"/>
  </r>
  <r>
    <x v="67"/>
    <x v="0"/>
    <x v="280"/>
    <x v="2"/>
    <x v="0"/>
    <x v="0"/>
    <x v="0"/>
    <x v="0"/>
    <n v="3345.9326643451286"/>
    <x v="1"/>
  </r>
  <r>
    <x v="67"/>
    <x v="0"/>
    <x v="280"/>
    <x v="2"/>
    <x v="0"/>
    <x v="0"/>
    <x v="0"/>
    <x v="1"/>
    <n v="2746.0803077367391"/>
    <x v="1"/>
  </r>
  <r>
    <x v="67"/>
    <x v="0"/>
    <x v="280"/>
    <x v="2"/>
    <x v="0"/>
    <x v="0"/>
    <x v="0"/>
    <x v="2"/>
    <n v="2790.998348236275"/>
    <x v="1"/>
  </r>
  <r>
    <x v="67"/>
    <x v="0"/>
    <x v="280"/>
    <x v="2"/>
    <x v="0"/>
    <x v="0"/>
    <x v="0"/>
    <x v="3"/>
    <n v="2849.6108865551851"/>
    <x v="1"/>
  </r>
  <r>
    <x v="67"/>
    <x v="0"/>
    <x v="280"/>
    <x v="2"/>
    <x v="0"/>
    <x v="0"/>
    <x v="0"/>
    <x v="4"/>
    <n v="3928.1958360752624"/>
    <x v="1"/>
  </r>
  <r>
    <x v="67"/>
    <x v="0"/>
    <x v="280"/>
    <x v="2"/>
    <x v="0"/>
    <x v="0"/>
    <x v="0"/>
    <x v="5"/>
    <n v="2691.4162617837774"/>
    <x v="1"/>
  </r>
  <r>
    <x v="67"/>
    <x v="0"/>
    <x v="280"/>
    <x v="2"/>
    <x v="0"/>
    <x v="0"/>
    <x v="0"/>
    <x v="6"/>
    <n v="0"/>
    <x v="1"/>
  </r>
  <r>
    <x v="67"/>
    <x v="0"/>
    <x v="280"/>
    <x v="2"/>
    <x v="0"/>
    <x v="0"/>
    <x v="0"/>
    <x v="7"/>
    <n v="0"/>
    <x v="1"/>
  </r>
  <r>
    <x v="67"/>
    <x v="0"/>
    <x v="280"/>
    <x v="2"/>
    <x v="0"/>
    <x v="0"/>
    <x v="0"/>
    <x v="8"/>
    <n v="0"/>
    <x v="1"/>
  </r>
  <r>
    <x v="67"/>
    <x v="0"/>
    <x v="280"/>
    <x v="2"/>
    <x v="0"/>
    <x v="0"/>
    <x v="0"/>
    <x v="9"/>
    <n v="0"/>
    <x v="1"/>
  </r>
  <r>
    <x v="67"/>
    <x v="0"/>
    <x v="280"/>
    <x v="2"/>
    <x v="0"/>
    <x v="0"/>
    <x v="0"/>
    <x v="10"/>
    <n v="0"/>
    <x v="1"/>
  </r>
  <r>
    <x v="67"/>
    <x v="0"/>
    <x v="280"/>
    <x v="2"/>
    <x v="0"/>
    <x v="0"/>
    <x v="0"/>
    <x v="12"/>
    <n v="0"/>
    <x v="1"/>
  </r>
  <r>
    <x v="68"/>
    <x v="0"/>
    <x v="281"/>
    <x v="0"/>
    <x v="0"/>
    <x v="0"/>
    <x v="0"/>
    <x v="0"/>
    <n v="1294.2705659697251"/>
    <x v="1"/>
  </r>
  <r>
    <x v="68"/>
    <x v="0"/>
    <x v="281"/>
    <x v="0"/>
    <x v="0"/>
    <x v="0"/>
    <x v="0"/>
    <x v="1"/>
    <n v="1062.2362344486614"/>
    <x v="1"/>
  </r>
  <r>
    <x v="68"/>
    <x v="0"/>
    <x v="281"/>
    <x v="0"/>
    <x v="0"/>
    <x v="0"/>
    <x v="0"/>
    <x v="2"/>
    <n v="1079.611389160857"/>
    <x v="1"/>
  </r>
  <r>
    <x v="68"/>
    <x v="0"/>
    <x v="281"/>
    <x v="0"/>
    <x v="0"/>
    <x v="0"/>
    <x v="0"/>
    <x v="3"/>
    <n v="0"/>
    <x v="1"/>
  </r>
  <r>
    <x v="68"/>
    <x v="0"/>
    <x v="281"/>
    <x v="0"/>
    <x v="0"/>
    <x v="0"/>
    <x v="0"/>
    <x v="4"/>
    <n v="0"/>
    <x v="1"/>
  </r>
  <r>
    <x v="68"/>
    <x v="0"/>
    <x v="281"/>
    <x v="0"/>
    <x v="0"/>
    <x v="0"/>
    <x v="0"/>
    <x v="5"/>
    <n v="0"/>
    <x v="1"/>
  </r>
  <r>
    <x v="68"/>
    <x v="0"/>
    <x v="281"/>
    <x v="0"/>
    <x v="0"/>
    <x v="0"/>
    <x v="0"/>
    <x v="6"/>
    <n v="0"/>
    <x v="1"/>
  </r>
  <r>
    <x v="68"/>
    <x v="0"/>
    <x v="281"/>
    <x v="0"/>
    <x v="0"/>
    <x v="0"/>
    <x v="0"/>
    <x v="7"/>
    <n v="0"/>
    <x v="1"/>
  </r>
  <r>
    <x v="68"/>
    <x v="0"/>
    <x v="281"/>
    <x v="0"/>
    <x v="0"/>
    <x v="0"/>
    <x v="0"/>
    <x v="8"/>
    <n v="0"/>
    <x v="1"/>
  </r>
  <r>
    <x v="68"/>
    <x v="0"/>
    <x v="281"/>
    <x v="0"/>
    <x v="0"/>
    <x v="0"/>
    <x v="0"/>
    <x v="9"/>
    <n v="0"/>
    <x v="1"/>
  </r>
  <r>
    <x v="68"/>
    <x v="0"/>
    <x v="281"/>
    <x v="0"/>
    <x v="0"/>
    <x v="0"/>
    <x v="0"/>
    <x v="10"/>
    <n v="0"/>
    <x v="1"/>
  </r>
  <r>
    <x v="68"/>
    <x v="0"/>
    <x v="281"/>
    <x v="0"/>
    <x v="0"/>
    <x v="0"/>
    <x v="0"/>
    <x v="12"/>
    <n v="0"/>
    <x v="1"/>
  </r>
  <r>
    <x v="69"/>
    <x v="0"/>
    <x v="282"/>
    <x v="0"/>
    <x v="0"/>
    <x v="0"/>
    <x v="0"/>
    <x v="0"/>
    <n v="7859.4716329603789"/>
    <x v="1"/>
  </r>
  <r>
    <x v="69"/>
    <x v="0"/>
    <x v="282"/>
    <x v="0"/>
    <x v="0"/>
    <x v="0"/>
    <x v="0"/>
    <x v="1"/>
    <n v="6450.4407128325201"/>
    <x v="1"/>
  </r>
  <r>
    <x v="69"/>
    <x v="0"/>
    <x v="282"/>
    <x v="0"/>
    <x v="0"/>
    <x v="0"/>
    <x v="0"/>
    <x v="2"/>
    <n v="6555.95152268122"/>
    <x v="1"/>
  </r>
  <r>
    <x v="69"/>
    <x v="0"/>
    <x v="282"/>
    <x v="0"/>
    <x v="0"/>
    <x v="0"/>
    <x v="0"/>
    <x v="3"/>
    <n v="6693.4514468965817"/>
    <x v="1"/>
  </r>
  <r>
    <x v="69"/>
    <x v="0"/>
    <x v="282"/>
    <x v="0"/>
    <x v="0"/>
    <x v="0"/>
    <x v="0"/>
    <x v="4"/>
    <n v="9226.9464926386918"/>
    <x v="1"/>
  </r>
  <r>
    <x v="69"/>
    <x v="0"/>
    <x v="282"/>
    <x v="0"/>
    <x v="0"/>
    <x v="0"/>
    <x v="0"/>
    <x v="5"/>
    <n v="6321.8666698754096"/>
    <x v="1"/>
  </r>
  <r>
    <x v="69"/>
    <x v="0"/>
    <x v="282"/>
    <x v="0"/>
    <x v="0"/>
    <x v="0"/>
    <x v="0"/>
    <x v="6"/>
    <n v="12605.402431093993"/>
    <x v="1"/>
  </r>
  <r>
    <x v="69"/>
    <x v="0"/>
    <x v="282"/>
    <x v="0"/>
    <x v="0"/>
    <x v="0"/>
    <x v="0"/>
    <x v="7"/>
    <n v="0"/>
    <x v="1"/>
  </r>
  <r>
    <x v="69"/>
    <x v="0"/>
    <x v="282"/>
    <x v="0"/>
    <x v="0"/>
    <x v="0"/>
    <x v="0"/>
    <x v="8"/>
    <n v="0"/>
    <x v="1"/>
  </r>
  <r>
    <x v="69"/>
    <x v="0"/>
    <x v="282"/>
    <x v="0"/>
    <x v="0"/>
    <x v="0"/>
    <x v="0"/>
    <x v="9"/>
    <n v="0"/>
    <x v="1"/>
  </r>
  <r>
    <x v="69"/>
    <x v="0"/>
    <x v="282"/>
    <x v="0"/>
    <x v="0"/>
    <x v="0"/>
    <x v="0"/>
    <x v="10"/>
    <n v="0"/>
    <x v="1"/>
  </r>
  <r>
    <x v="69"/>
    <x v="0"/>
    <x v="282"/>
    <x v="0"/>
    <x v="0"/>
    <x v="0"/>
    <x v="0"/>
    <x v="12"/>
    <n v="0"/>
    <x v="1"/>
  </r>
  <r>
    <x v="70"/>
    <x v="0"/>
    <x v="283"/>
    <x v="0"/>
    <x v="0"/>
    <x v="0"/>
    <x v="0"/>
    <x v="0"/>
    <n v="1994.7089861106258"/>
    <x v="1"/>
  </r>
  <r>
    <x v="70"/>
    <x v="0"/>
    <x v="283"/>
    <x v="0"/>
    <x v="0"/>
    <x v="0"/>
    <x v="0"/>
    <x v="1"/>
    <n v="1637.1014051760651"/>
    <x v="1"/>
  </r>
  <r>
    <x v="70"/>
    <x v="0"/>
    <x v="283"/>
    <x v="0"/>
    <x v="0"/>
    <x v="0"/>
    <x v="0"/>
    <x v="2"/>
    <n v="1663.8797142489532"/>
    <x v="1"/>
  </r>
  <r>
    <x v="70"/>
    <x v="0"/>
    <x v="283"/>
    <x v="0"/>
    <x v="0"/>
    <x v="0"/>
    <x v="0"/>
    <x v="3"/>
    <n v="1698.8277208524814"/>
    <x v="1"/>
  </r>
  <r>
    <x v="70"/>
    <x v="0"/>
    <x v="283"/>
    <x v="0"/>
    <x v="0"/>
    <x v="0"/>
    <x v="0"/>
    <x v="4"/>
    <n v="6991.7564724380973"/>
    <x v="1"/>
  </r>
  <r>
    <x v="70"/>
    <x v="0"/>
    <x v="283"/>
    <x v="0"/>
    <x v="0"/>
    <x v="0"/>
    <x v="0"/>
    <x v="5"/>
    <n v="0"/>
    <x v="1"/>
  </r>
  <r>
    <x v="70"/>
    <x v="0"/>
    <x v="283"/>
    <x v="0"/>
    <x v="0"/>
    <x v="0"/>
    <x v="0"/>
    <x v="6"/>
    <n v="0"/>
    <x v="1"/>
  </r>
  <r>
    <x v="70"/>
    <x v="0"/>
    <x v="283"/>
    <x v="0"/>
    <x v="0"/>
    <x v="0"/>
    <x v="0"/>
    <x v="7"/>
    <n v="0"/>
    <x v="1"/>
  </r>
  <r>
    <x v="70"/>
    <x v="0"/>
    <x v="283"/>
    <x v="0"/>
    <x v="0"/>
    <x v="0"/>
    <x v="0"/>
    <x v="8"/>
    <n v="0"/>
    <x v="1"/>
  </r>
  <r>
    <x v="70"/>
    <x v="0"/>
    <x v="283"/>
    <x v="0"/>
    <x v="0"/>
    <x v="0"/>
    <x v="0"/>
    <x v="9"/>
    <n v="0"/>
    <x v="1"/>
  </r>
  <r>
    <x v="70"/>
    <x v="0"/>
    <x v="283"/>
    <x v="0"/>
    <x v="0"/>
    <x v="0"/>
    <x v="0"/>
    <x v="10"/>
    <n v="0"/>
    <x v="1"/>
  </r>
  <r>
    <x v="70"/>
    <x v="0"/>
    <x v="283"/>
    <x v="0"/>
    <x v="0"/>
    <x v="0"/>
    <x v="0"/>
    <x v="12"/>
    <n v="0"/>
    <x v="1"/>
  </r>
  <r>
    <x v="71"/>
    <x v="0"/>
    <x v="284"/>
    <x v="0"/>
    <x v="0"/>
    <x v="0"/>
    <x v="0"/>
    <x v="0"/>
    <n v="675.02842169564315"/>
    <x v="1"/>
  </r>
  <r>
    <x v="71"/>
    <x v="0"/>
    <x v="284"/>
    <x v="0"/>
    <x v="0"/>
    <x v="0"/>
    <x v="0"/>
    <x v="1"/>
    <n v="554.01062780915913"/>
    <x v="1"/>
  </r>
  <r>
    <x v="71"/>
    <x v="0"/>
    <x v="284"/>
    <x v="0"/>
    <x v="0"/>
    <x v="0"/>
    <x v="0"/>
    <x v="2"/>
    <n v="563.06825328181446"/>
    <x v="1"/>
  </r>
  <r>
    <x v="71"/>
    <x v="0"/>
    <x v="284"/>
    <x v="0"/>
    <x v="0"/>
    <x v="0"/>
    <x v="0"/>
    <x v="3"/>
    <n v="574.89324901322368"/>
    <x v="1"/>
  </r>
  <r>
    <x v="71"/>
    <x v="0"/>
    <x v="284"/>
    <x v="0"/>
    <x v="0"/>
    <x v="0"/>
    <x v="0"/>
    <x v="4"/>
    <n v="2217.0895953706236"/>
    <x v="1"/>
  </r>
  <r>
    <x v="71"/>
    <x v="0"/>
    <x v="284"/>
    <x v="0"/>
    <x v="0"/>
    <x v="0"/>
    <x v="0"/>
    <x v="5"/>
    <n v="0"/>
    <x v="1"/>
  </r>
  <r>
    <x v="71"/>
    <x v="0"/>
    <x v="284"/>
    <x v="0"/>
    <x v="0"/>
    <x v="0"/>
    <x v="0"/>
    <x v="6"/>
    <n v="0"/>
    <x v="1"/>
  </r>
  <r>
    <x v="71"/>
    <x v="0"/>
    <x v="284"/>
    <x v="0"/>
    <x v="0"/>
    <x v="0"/>
    <x v="0"/>
    <x v="7"/>
    <n v="0"/>
    <x v="1"/>
  </r>
  <r>
    <x v="71"/>
    <x v="0"/>
    <x v="284"/>
    <x v="0"/>
    <x v="0"/>
    <x v="0"/>
    <x v="0"/>
    <x v="8"/>
    <n v="0"/>
    <x v="1"/>
  </r>
  <r>
    <x v="71"/>
    <x v="0"/>
    <x v="284"/>
    <x v="0"/>
    <x v="0"/>
    <x v="0"/>
    <x v="0"/>
    <x v="9"/>
    <n v="0"/>
    <x v="1"/>
  </r>
  <r>
    <x v="71"/>
    <x v="0"/>
    <x v="284"/>
    <x v="0"/>
    <x v="0"/>
    <x v="0"/>
    <x v="0"/>
    <x v="10"/>
    <n v="0"/>
    <x v="1"/>
  </r>
  <r>
    <x v="71"/>
    <x v="0"/>
    <x v="284"/>
    <x v="0"/>
    <x v="0"/>
    <x v="0"/>
    <x v="0"/>
    <x v="12"/>
    <n v="0"/>
    <x v="1"/>
  </r>
  <r>
    <x v="30"/>
    <x v="0"/>
    <x v="285"/>
    <x v="0"/>
    <x v="0"/>
    <x v="0"/>
    <x v="0"/>
    <x v="0"/>
    <n v="1192.3894906095184"/>
    <x v="1"/>
  </r>
  <r>
    <x v="30"/>
    <x v="0"/>
    <x v="285"/>
    <x v="0"/>
    <x v="0"/>
    <x v="0"/>
    <x v="0"/>
    <x v="1"/>
    <n v="978.62020183717868"/>
    <x v="1"/>
  </r>
  <r>
    <x v="30"/>
    <x v="0"/>
    <x v="285"/>
    <x v="0"/>
    <x v="0"/>
    <x v="0"/>
    <x v="0"/>
    <x v="2"/>
    <n v="0"/>
    <x v="1"/>
  </r>
  <r>
    <x v="30"/>
    <x v="0"/>
    <x v="285"/>
    <x v="0"/>
    <x v="0"/>
    <x v="0"/>
    <x v="0"/>
    <x v="3"/>
    <n v="0"/>
    <x v="1"/>
  </r>
  <r>
    <x v="30"/>
    <x v="0"/>
    <x v="285"/>
    <x v="0"/>
    <x v="0"/>
    <x v="0"/>
    <x v="0"/>
    <x v="4"/>
    <n v="0"/>
    <x v="1"/>
  </r>
  <r>
    <x v="30"/>
    <x v="0"/>
    <x v="285"/>
    <x v="0"/>
    <x v="0"/>
    <x v="0"/>
    <x v="0"/>
    <x v="5"/>
    <n v="0"/>
    <x v="1"/>
  </r>
  <r>
    <x v="30"/>
    <x v="0"/>
    <x v="285"/>
    <x v="0"/>
    <x v="0"/>
    <x v="0"/>
    <x v="0"/>
    <x v="6"/>
    <n v="0"/>
    <x v="1"/>
  </r>
  <r>
    <x v="30"/>
    <x v="0"/>
    <x v="285"/>
    <x v="0"/>
    <x v="0"/>
    <x v="0"/>
    <x v="0"/>
    <x v="7"/>
    <n v="0"/>
    <x v="1"/>
  </r>
  <r>
    <x v="30"/>
    <x v="0"/>
    <x v="285"/>
    <x v="0"/>
    <x v="0"/>
    <x v="0"/>
    <x v="0"/>
    <x v="8"/>
    <n v="0"/>
    <x v="1"/>
  </r>
  <r>
    <x v="30"/>
    <x v="0"/>
    <x v="285"/>
    <x v="0"/>
    <x v="0"/>
    <x v="0"/>
    <x v="0"/>
    <x v="9"/>
    <n v="0"/>
    <x v="1"/>
  </r>
  <r>
    <x v="30"/>
    <x v="0"/>
    <x v="285"/>
    <x v="0"/>
    <x v="0"/>
    <x v="0"/>
    <x v="0"/>
    <x v="10"/>
    <n v="0"/>
    <x v="1"/>
  </r>
  <r>
    <x v="30"/>
    <x v="0"/>
    <x v="285"/>
    <x v="0"/>
    <x v="0"/>
    <x v="0"/>
    <x v="0"/>
    <x v="12"/>
    <n v="0"/>
    <x v="1"/>
  </r>
  <r>
    <x v="52"/>
    <x v="0"/>
    <x v="97"/>
    <x v="2"/>
    <x v="0"/>
    <x v="0"/>
    <x v="0"/>
    <x v="0"/>
    <n v="15627.149043833319"/>
    <x v="1"/>
  </r>
  <r>
    <x v="52"/>
    <x v="0"/>
    <x v="97"/>
    <x v="2"/>
    <x v="0"/>
    <x v="0"/>
    <x v="0"/>
    <x v="1"/>
    <n v="12771.725719447648"/>
    <x v="1"/>
  </r>
  <r>
    <x v="52"/>
    <x v="0"/>
    <x v="97"/>
    <x v="2"/>
    <x v="0"/>
    <x v="0"/>
    <x v="0"/>
    <x v="2"/>
    <n v="12720.816906483687"/>
    <x v="1"/>
  </r>
  <r>
    <x v="52"/>
    <x v="0"/>
    <x v="97"/>
    <x v="2"/>
    <x v="0"/>
    <x v="0"/>
    <x v="0"/>
    <x v="3"/>
    <n v="13033.346535653058"/>
    <x v="1"/>
  </r>
  <r>
    <x v="52"/>
    <x v="0"/>
    <x v="97"/>
    <x v="2"/>
    <x v="0"/>
    <x v="0"/>
    <x v="0"/>
    <x v="4"/>
    <n v="18057.935569806727"/>
    <x v="1"/>
  </r>
  <r>
    <x v="52"/>
    <x v="0"/>
    <x v="97"/>
    <x v="2"/>
    <x v="0"/>
    <x v="0"/>
    <x v="0"/>
    <x v="5"/>
    <n v="12583.421739554415"/>
    <x v="1"/>
  </r>
  <r>
    <x v="52"/>
    <x v="0"/>
    <x v="97"/>
    <x v="2"/>
    <x v="0"/>
    <x v="0"/>
    <x v="0"/>
    <x v="6"/>
    <n v="24597.318793457056"/>
    <x v="1"/>
  </r>
  <r>
    <x v="52"/>
    <x v="0"/>
    <x v="97"/>
    <x v="2"/>
    <x v="0"/>
    <x v="0"/>
    <x v="0"/>
    <x v="7"/>
    <n v="21641.215722496949"/>
    <x v="1"/>
  </r>
  <r>
    <x v="52"/>
    <x v="0"/>
    <x v="97"/>
    <x v="2"/>
    <x v="0"/>
    <x v="0"/>
    <x v="0"/>
    <x v="8"/>
    <n v="12712.143991830251"/>
    <x v="1"/>
  </r>
  <r>
    <x v="52"/>
    <x v="0"/>
    <x v="97"/>
    <x v="2"/>
    <x v="0"/>
    <x v="0"/>
    <x v="0"/>
    <x v="9"/>
    <n v="0"/>
    <x v="1"/>
  </r>
  <r>
    <x v="52"/>
    <x v="0"/>
    <x v="97"/>
    <x v="2"/>
    <x v="0"/>
    <x v="0"/>
    <x v="0"/>
    <x v="10"/>
    <n v="0"/>
    <x v="1"/>
  </r>
  <r>
    <x v="52"/>
    <x v="0"/>
    <x v="97"/>
    <x v="2"/>
    <x v="0"/>
    <x v="0"/>
    <x v="0"/>
    <x v="12"/>
    <n v="0"/>
    <x v="1"/>
  </r>
  <r>
    <x v="52"/>
    <x v="1"/>
    <x v="97"/>
    <x v="2"/>
    <x v="1"/>
    <x v="1"/>
    <x v="0"/>
    <x v="0"/>
    <n v="11766.323985945086"/>
    <x v="1"/>
  </r>
  <r>
    <x v="52"/>
    <x v="1"/>
    <x v="97"/>
    <x v="2"/>
    <x v="1"/>
    <x v="1"/>
    <x v="0"/>
    <x v="1"/>
    <n v="0"/>
    <x v="1"/>
  </r>
  <r>
    <x v="52"/>
    <x v="1"/>
    <x v="97"/>
    <x v="2"/>
    <x v="1"/>
    <x v="1"/>
    <x v="0"/>
    <x v="2"/>
    <n v="0"/>
    <x v="1"/>
  </r>
  <r>
    <x v="52"/>
    <x v="1"/>
    <x v="97"/>
    <x v="2"/>
    <x v="1"/>
    <x v="1"/>
    <x v="0"/>
    <x v="3"/>
    <n v="0"/>
    <x v="1"/>
  </r>
  <r>
    <x v="52"/>
    <x v="1"/>
    <x v="97"/>
    <x v="2"/>
    <x v="1"/>
    <x v="1"/>
    <x v="0"/>
    <x v="4"/>
    <n v="0"/>
    <x v="1"/>
  </r>
  <r>
    <x v="52"/>
    <x v="1"/>
    <x v="97"/>
    <x v="2"/>
    <x v="1"/>
    <x v="1"/>
    <x v="0"/>
    <x v="5"/>
    <n v="0"/>
    <x v="1"/>
  </r>
  <r>
    <x v="52"/>
    <x v="1"/>
    <x v="97"/>
    <x v="2"/>
    <x v="1"/>
    <x v="1"/>
    <x v="0"/>
    <x v="6"/>
    <n v="0"/>
    <x v="1"/>
  </r>
  <r>
    <x v="52"/>
    <x v="1"/>
    <x v="97"/>
    <x v="2"/>
    <x v="1"/>
    <x v="1"/>
    <x v="0"/>
    <x v="7"/>
    <n v="0"/>
    <x v="1"/>
  </r>
  <r>
    <x v="52"/>
    <x v="1"/>
    <x v="97"/>
    <x v="2"/>
    <x v="1"/>
    <x v="1"/>
    <x v="0"/>
    <x v="8"/>
    <n v="0"/>
    <x v="1"/>
  </r>
  <r>
    <x v="52"/>
    <x v="1"/>
    <x v="97"/>
    <x v="2"/>
    <x v="1"/>
    <x v="1"/>
    <x v="0"/>
    <x v="9"/>
    <n v="0"/>
    <x v="1"/>
  </r>
  <r>
    <x v="52"/>
    <x v="1"/>
    <x v="97"/>
    <x v="2"/>
    <x v="1"/>
    <x v="1"/>
    <x v="0"/>
    <x v="10"/>
    <n v="0"/>
    <x v="1"/>
  </r>
  <r>
    <x v="52"/>
    <x v="1"/>
    <x v="97"/>
    <x v="2"/>
    <x v="1"/>
    <x v="1"/>
    <x v="0"/>
    <x v="12"/>
    <n v="0"/>
    <x v="1"/>
  </r>
  <r>
    <x v="72"/>
    <x v="0"/>
    <x v="286"/>
    <x v="0"/>
    <x v="0"/>
    <x v="0"/>
    <x v="0"/>
    <x v="0"/>
    <n v="3378.517250586694"/>
    <x v="1"/>
  </r>
  <r>
    <x v="72"/>
    <x v="0"/>
    <x v="286"/>
    <x v="0"/>
    <x v="0"/>
    <x v="0"/>
    <x v="0"/>
    <x v="1"/>
    <n v="2772.823192184841"/>
    <x v="1"/>
  </r>
  <r>
    <x v="72"/>
    <x v="0"/>
    <x v="286"/>
    <x v="0"/>
    <x v="0"/>
    <x v="0"/>
    <x v="0"/>
    <x v="2"/>
    <n v="2818.1786699884974"/>
    <x v="1"/>
  </r>
  <r>
    <x v="72"/>
    <x v="0"/>
    <x v="286"/>
    <x v="0"/>
    <x v="0"/>
    <x v="0"/>
    <x v="0"/>
    <x v="3"/>
    <n v="2877.3642480016933"/>
    <x v="1"/>
  </r>
  <r>
    <x v="72"/>
    <x v="0"/>
    <x v="286"/>
    <x v="0"/>
    <x v="0"/>
    <x v="0"/>
    <x v="0"/>
    <x v="4"/>
    <n v="3966.4574148531701"/>
    <x v="1"/>
  </r>
  <r>
    <x v="72"/>
    <x v="0"/>
    <x v="286"/>
    <x v="0"/>
    <x v="0"/>
    <x v="0"/>
    <x v="0"/>
    <x v="5"/>
    <n v="3082.1981249120336"/>
    <x v="1"/>
  </r>
  <r>
    <x v="72"/>
    <x v="0"/>
    <x v="286"/>
    <x v="0"/>
    <x v="0"/>
    <x v="0"/>
    <x v="0"/>
    <x v="6"/>
    <n v="13291.233555099796"/>
    <x v="1"/>
  </r>
  <r>
    <x v="72"/>
    <x v="0"/>
    <x v="286"/>
    <x v="0"/>
    <x v="0"/>
    <x v="0"/>
    <x v="0"/>
    <x v="7"/>
    <n v="0"/>
    <x v="1"/>
  </r>
  <r>
    <x v="72"/>
    <x v="0"/>
    <x v="286"/>
    <x v="0"/>
    <x v="0"/>
    <x v="0"/>
    <x v="0"/>
    <x v="8"/>
    <n v="0"/>
    <x v="1"/>
  </r>
  <r>
    <x v="72"/>
    <x v="0"/>
    <x v="286"/>
    <x v="0"/>
    <x v="0"/>
    <x v="0"/>
    <x v="0"/>
    <x v="9"/>
    <n v="0"/>
    <x v="1"/>
  </r>
  <r>
    <x v="72"/>
    <x v="0"/>
    <x v="286"/>
    <x v="0"/>
    <x v="0"/>
    <x v="0"/>
    <x v="0"/>
    <x v="10"/>
    <n v="0"/>
    <x v="1"/>
  </r>
  <r>
    <x v="72"/>
    <x v="0"/>
    <x v="286"/>
    <x v="0"/>
    <x v="0"/>
    <x v="0"/>
    <x v="0"/>
    <x v="12"/>
    <n v="0"/>
    <x v="1"/>
  </r>
  <r>
    <x v="73"/>
    <x v="0"/>
    <x v="287"/>
    <x v="0"/>
    <x v="0"/>
    <x v="0"/>
    <x v="0"/>
    <x v="0"/>
    <n v="1821.8534938407056"/>
    <x v="1"/>
  </r>
  <r>
    <x v="73"/>
    <x v="0"/>
    <x v="287"/>
    <x v="0"/>
    <x v="0"/>
    <x v="0"/>
    <x v="0"/>
    <x v="1"/>
    <n v="1495.2351122692198"/>
    <x v="1"/>
  </r>
  <r>
    <x v="73"/>
    <x v="0"/>
    <x v="287"/>
    <x v="0"/>
    <x v="0"/>
    <x v="0"/>
    <x v="0"/>
    <x v="2"/>
    <n v="1519.6928934710345"/>
    <x v="1"/>
  </r>
  <r>
    <x v="73"/>
    <x v="0"/>
    <x v="287"/>
    <x v="0"/>
    <x v="0"/>
    <x v="0"/>
    <x v="0"/>
    <x v="3"/>
    <n v="1551.6122383950637"/>
    <x v="1"/>
  </r>
  <r>
    <x v="73"/>
    <x v="0"/>
    <x v="287"/>
    <x v="0"/>
    <x v="0"/>
    <x v="0"/>
    <x v="0"/>
    <x v="4"/>
    <n v="2138.8881120383189"/>
    <x v="1"/>
  </r>
  <r>
    <x v="73"/>
    <x v="0"/>
    <x v="287"/>
    <x v="0"/>
    <x v="0"/>
    <x v="0"/>
    <x v="0"/>
    <x v="5"/>
    <n v="1465.4652957885069"/>
    <x v="1"/>
  </r>
  <r>
    <x v="73"/>
    <x v="0"/>
    <x v="287"/>
    <x v="0"/>
    <x v="0"/>
    <x v="0"/>
    <x v="0"/>
    <x v="6"/>
    <n v="2922.740233104897"/>
    <x v="1"/>
  </r>
  <r>
    <x v="73"/>
    <x v="0"/>
    <x v="287"/>
    <x v="0"/>
    <x v="0"/>
    <x v="0"/>
    <x v="0"/>
    <x v="7"/>
    <n v="2520.3359830419945"/>
    <x v="1"/>
  </r>
  <r>
    <x v="73"/>
    <x v="0"/>
    <x v="287"/>
    <x v="0"/>
    <x v="0"/>
    <x v="0"/>
    <x v="0"/>
    <x v="8"/>
    <n v="1497.0418983320094"/>
    <x v="1"/>
  </r>
  <r>
    <x v="73"/>
    <x v="0"/>
    <x v="287"/>
    <x v="0"/>
    <x v="0"/>
    <x v="0"/>
    <x v="0"/>
    <x v="9"/>
    <n v="2305.4657261253283"/>
    <x v="1"/>
  </r>
  <r>
    <x v="73"/>
    <x v="0"/>
    <x v="287"/>
    <x v="0"/>
    <x v="0"/>
    <x v="0"/>
    <x v="0"/>
    <x v="10"/>
    <n v="2706.7811617984903"/>
    <x v="1"/>
  </r>
  <r>
    <x v="73"/>
    <x v="0"/>
    <x v="287"/>
    <x v="0"/>
    <x v="0"/>
    <x v="0"/>
    <x v="0"/>
    <x v="12"/>
    <n v="2868.3640850863794"/>
    <x v="1"/>
  </r>
  <r>
    <x v="73"/>
    <x v="1"/>
    <x v="287"/>
    <x v="0"/>
    <x v="1"/>
    <x v="1"/>
    <x v="0"/>
    <x v="0"/>
    <n v="0"/>
    <x v="1"/>
  </r>
  <r>
    <x v="73"/>
    <x v="1"/>
    <x v="287"/>
    <x v="0"/>
    <x v="1"/>
    <x v="1"/>
    <x v="0"/>
    <x v="1"/>
    <n v="0"/>
    <x v="1"/>
  </r>
  <r>
    <x v="73"/>
    <x v="1"/>
    <x v="287"/>
    <x v="0"/>
    <x v="1"/>
    <x v="1"/>
    <x v="0"/>
    <x v="2"/>
    <n v="0"/>
    <x v="1"/>
  </r>
  <r>
    <x v="73"/>
    <x v="1"/>
    <x v="287"/>
    <x v="0"/>
    <x v="1"/>
    <x v="1"/>
    <x v="0"/>
    <x v="3"/>
    <n v="0"/>
    <x v="1"/>
  </r>
  <r>
    <x v="73"/>
    <x v="1"/>
    <x v="287"/>
    <x v="0"/>
    <x v="1"/>
    <x v="1"/>
    <x v="0"/>
    <x v="4"/>
    <n v="0"/>
    <x v="1"/>
  </r>
  <r>
    <x v="73"/>
    <x v="1"/>
    <x v="287"/>
    <x v="0"/>
    <x v="1"/>
    <x v="1"/>
    <x v="0"/>
    <x v="5"/>
    <n v="0"/>
    <x v="1"/>
  </r>
  <r>
    <x v="73"/>
    <x v="1"/>
    <x v="287"/>
    <x v="0"/>
    <x v="1"/>
    <x v="1"/>
    <x v="0"/>
    <x v="6"/>
    <n v="0"/>
    <x v="1"/>
  </r>
  <r>
    <x v="73"/>
    <x v="1"/>
    <x v="287"/>
    <x v="0"/>
    <x v="1"/>
    <x v="1"/>
    <x v="0"/>
    <x v="7"/>
    <n v="0"/>
    <x v="1"/>
  </r>
  <r>
    <x v="73"/>
    <x v="1"/>
    <x v="287"/>
    <x v="0"/>
    <x v="1"/>
    <x v="1"/>
    <x v="0"/>
    <x v="8"/>
    <n v="0"/>
    <x v="1"/>
  </r>
  <r>
    <x v="73"/>
    <x v="1"/>
    <x v="287"/>
    <x v="0"/>
    <x v="1"/>
    <x v="1"/>
    <x v="0"/>
    <x v="9"/>
    <n v="0"/>
    <x v="1"/>
  </r>
  <r>
    <x v="73"/>
    <x v="1"/>
    <x v="287"/>
    <x v="0"/>
    <x v="1"/>
    <x v="1"/>
    <x v="0"/>
    <x v="10"/>
    <n v="0"/>
    <x v="1"/>
  </r>
  <r>
    <x v="73"/>
    <x v="1"/>
    <x v="287"/>
    <x v="0"/>
    <x v="1"/>
    <x v="1"/>
    <x v="0"/>
    <x v="12"/>
    <n v="2834.3518627335761"/>
    <x v="1"/>
  </r>
  <r>
    <x v="74"/>
    <x v="0"/>
    <x v="288"/>
    <x v="0"/>
    <x v="0"/>
    <x v="0"/>
    <x v="0"/>
    <x v="0"/>
    <n v="0"/>
    <x v="1"/>
  </r>
  <r>
    <x v="74"/>
    <x v="0"/>
    <x v="288"/>
    <x v="0"/>
    <x v="0"/>
    <x v="0"/>
    <x v="0"/>
    <x v="1"/>
    <n v="1514.2693345532346"/>
    <x v="1"/>
  </r>
  <r>
    <x v="74"/>
    <x v="0"/>
    <x v="288"/>
    <x v="0"/>
    <x v="0"/>
    <x v="0"/>
    <x v="0"/>
    <x v="2"/>
    <n v="2605.5226157868351"/>
    <x v="1"/>
  </r>
  <r>
    <x v="74"/>
    <x v="0"/>
    <x v="288"/>
    <x v="0"/>
    <x v="0"/>
    <x v="0"/>
    <x v="0"/>
    <x v="3"/>
    <n v="2669.4747040835937"/>
    <x v="1"/>
  </r>
  <r>
    <x v="74"/>
    <x v="0"/>
    <x v="288"/>
    <x v="0"/>
    <x v="0"/>
    <x v="0"/>
    <x v="0"/>
    <x v="4"/>
    <n v="3679.8885996753793"/>
    <x v="1"/>
  </r>
  <r>
    <x v="74"/>
    <x v="0"/>
    <x v="288"/>
    <x v="0"/>
    <x v="0"/>
    <x v="0"/>
    <x v="0"/>
    <x v="5"/>
    <n v="2521.2883998650018"/>
    <x v="1"/>
  </r>
  <r>
    <x v="74"/>
    <x v="0"/>
    <x v="288"/>
    <x v="0"/>
    <x v="0"/>
    <x v="0"/>
    <x v="0"/>
    <x v="6"/>
    <n v="5026.5344404982252"/>
    <x v="1"/>
  </r>
  <r>
    <x v="74"/>
    <x v="0"/>
    <x v="288"/>
    <x v="0"/>
    <x v="0"/>
    <x v="0"/>
    <x v="0"/>
    <x v="7"/>
    <n v="4336.1612834284451"/>
    <x v="1"/>
  </r>
  <r>
    <x v="74"/>
    <x v="0"/>
    <x v="288"/>
    <x v="0"/>
    <x v="0"/>
    <x v="0"/>
    <x v="0"/>
    <x v="8"/>
    <n v="2576.8263644615909"/>
    <x v="1"/>
  </r>
  <r>
    <x v="74"/>
    <x v="0"/>
    <x v="288"/>
    <x v="0"/>
    <x v="0"/>
    <x v="0"/>
    <x v="0"/>
    <x v="9"/>
    <n v="3964.6676999968367"/>
    <x v="1"/>
  </r>
  <r>
    <x v="74"/>
    <x v="0"/>
    <x v="288"/>
    <x v="0"/>
    <x v="0"/>
    <x v="0"/>
    <x v="0"/>
    <x v="10"/>
    <n v="4651.7736133902199"/>
    <x v="1"/>
  </r>
  <r>
    <x v="74"/>
    <x v="0"/>
    <x v="288"/>
    <x v="0"/>
    <x v="0"/>
    <x v="0"/>
    <x v="0"/>
    <x v="12"/>
    <n v="4818.39816664708"/>
    <x v="1"/>
  </r>
  <r>
    <x v="74"/>
    <x v="1"/>
    <x v="288"/>
    <x v="0"/>
    <x v="1"/>
    <x v="1"/>
    <x v="0"/>
    <x v="0"/>
    <n v="0"/>
    <x v="1"/>
  </r>
  <r>
    <x v="74"/>
    <x v="1"/>
    <x v="288"/>
    <x v="0"/>
    <x v="1"/>
    <x v="1"/>
    <x v="0"/>
    <x v="1"/>
    <n v="0"/>
    <x v="1"/>
  </r>
  <r>
    <x v="74"/>
    <x v="1"/>
    <x v="288"/>
    <x v="0"/>
    <x v="1"/>
    <x v="1"/>
    <x v="0"/>
    <x v="2"/>
    <n v="1085.0108537883145"/>
    <x v="1"/>
  </r>
  <r>
    <x v="74"/>
    <x v="1"/>
    <x v="288"/>
    <x v="0"/>
    <x v="1"/>
    <x v="1"/>
    <x v="0"/>
    <x v="3"/>
    <n v="0"/>
    <x v="1"/>
  </r>
  <r>
    <x v="74"/>
    <x v="1"/>
    <x v="288"/>
    <x v="0"/>
    <x v="1"/>
    <x v="1"/>
    <x v="0"/>
    <x v="4"/>
    <n v="0"/>
    <x v="1"/>
  </r>
  <r>
    <x v="74"/>
    <x v="1"/>
    <x v="288"/>
    <x v="0"/>
    <x v="1"/>
    <x v="1"/>
    <x v="0"/>
    <x v="5"/>
    <n v="0"/>
    <x v="1"/>
  </r>
  <r>
    <x v="74"/>
    <x v="1"/>
    <x v="288"/>
    <x v="0"/>
    <x v="1"/>
    <x v="1"/>
    <x v="0"/>
    <x v="6"/>
    <n v="0"/>
    <x v="1"/>
  </r>
  <r>
    <x v="74"/>
    <x v="1"/>
    <x v="288"/>
    <x v="0"/>
    <x v="1"/>
    <x v="1"/>
    <x v="0"/>
    <x v="7"/>
    <n v="0"/>
    <x v="1"/>
  </r>
  <r>
    <x v="74"/>
    <x v="1"/>
    <x v="288"/>
    <x v="0"/>
    <x v="1"/>
    <x v="1"/>
    <x v="0"/>
    <x v="8"/>
    <n v="0"/>
    <x v="1"/>
  </r>
  <r>
    <x v="74"/>
    <x v="1"/>
    <x v="288"/>
    <x v="0"/>
    <x v="1"/>
    <x v="1"/>
    <x v="0"/>
    <x v="9"/>
    <n v="0"/>
    <x v="1"/>
  </r>
  <r>
    <x v="74"/>
    <x v="1"/>
    <x v="288"/>
    <x v="0"/>
    <x v="1"/>
    <x v="1"/>
    <x v="0"/>
    <x v="10"/>
    <n v="0"/>
    <x v="1"/>
  </r>
  <r>
    <x v="74"/>
    <x v="1"/>
    <x v="288"/>
    <x v="0"/>
    <x v="1"/>
    <x v="1"/>
    <x v="0"/>
    <x v="12"/>
    <n v="0"/>
    <x v="1"/>
  </r>
  <r>
    <x v="75"/>
    <x v="0"/>
    <x v="289"/>
    <x v="0"/>
    <x v="0"/>
    <x v="0"/>
    <x v="0"/>
    <x v="0"/>
    <n v="0"/>
    <x v="1"/>
  </r>
  <r>
    <x v="75"/>
    <x v="0"/>
    <x v="289"/>
    <x v="0"/>
    <x v="0"/>
    <x v="0"/>
    <x v="0"/>
    <x v="1"/>
    <n v="0"/>
    <x v="1"/>
  </r>
  <r>
    <x v="75"/>
    <x v="0"/>
    <x v="289"/>
    <x v="0"/>
    <x v="0"/>
    <x v="0"/>
    <x v="0"/>
    <x v="2"/>
    <n v="0"/>
    <x v="1"/>
  </r>
  <r>
    <x v="75"/>
    <x v="0"/>
    <x v="289"/>
    <x v="0"/>
    <x v="0"/>
    <x v="0"/>
    <x v="0"/>
    <x v="3"/>
    <n v="0"/>
    <x v="1"/>
  </r>
  <r>
    <x v="75"/>
    <x v="0"/>
    <x v="289"/>
    <x v="0"/>
    <x v="0"/>
    <x v="0"/>
    <x v="0"/>
    <x v="4"/>
    <n v="0"/>
    <x v="1"/>
  </r>
  <r>
    <x v="75"/>
    <x v="0"/>
    <x v="289"/>
    <x v="0"/>
    <x v="0"/>
    <x v="0"/>
    <x v="0"/>
    <x v="5"/>
    <n v="0"/>
    <x v="1"/>
  </r>
  <r>
    <x v="75"/>
    <x v="0"/>
    <x v="289"/>
    <x v="0"/>
    <x v="0"/>
    <x v="0"/>
    <x v="0"/>
    <x v="6"/>
    <n v="0"/>
    <x v="1"/>
  </r>
  <r>
    <x v="75"/>
    <x v="0"/>
    <x v="289"/>
    <x v="0"/>
    <x v="0"/>
    <x v="0"/>
    <x v="0"/>
    <x v="7"/>
    <n v="1199.7126188938573"/>
    <x v="1"/>
  </r>
  <r>
    <x v="75"/>
    <x v="0"/>
    <x v="289"/>
    <x v="0"/>
    <x v="0"/>
    <x v="0"/>
    <x v="0"/>
    <x v="8"/>
    <n v="5141.6883581073416"/>
    <x v="1"/>
  </r>
  <r>
    <x v="75"/>
    <x v="0"/>
    <x v="289"/>
    <x v="0"/>
    <x v="0"/>
    <x v="0"/>
    <x v="0"/>
    <x v="9"/>
    <n v="7819.3330591845124"/>
    <x v="1"/>
  </r>
  <r>
    <x v="75"/>
    <x v="0"/>
    <x v="289"/>
    <x v="0"/>
    <x v="0"/>
    <x v="0"/>
    <x v="0"/>
    <x v="10"/>
    <n v="9071.2286839514272"/>
    <x v="1"/>
  </r>
  <r>
    <x v="75"/>
    <x v="0"/>
    <x v="289"/>
    <x v="0"/>
    <x v="0"/>
    <x v="0"/>
    <x v="0"/>
    <x v="12"/>
    <n v="9716.1581854506985"/>
    <x v="1"/>
  </r>
  <r>
    <x v="76"/>
    <x v="0"/>
    <x v="290"/>
    <x v="0"/>
    <x v="0"/>
    <x v="0"/>
    <x v="0"/>
    <x v="0"/>
    <n v="0"/>
    <x v="1"/>
  </r>
  <r>
    <x v="76"/>
    <x v="0"/>
    <x v="290"/>
    <x v="0"/>
    <x v="0"/>
    <x v="0"/>
    <x v="0"/>
    <x v="1"/>
    <n v="0"/>
    <x v="1"/>
  </r>
  <r>
    <x v="76"/>
    <x v="0"/>
    <x v="290"/>
    <x v="0"/>
    <x v="0"/>
    <x v="0"/>
    <x v="0"/>
    <x v="2"/>
    <n v="0"/>
    <x v="1"/>
  </r>
  <r>
    <x v="76"/>
    <x v="0"/>
    <x v="290"/>
    <x v="0"/>
    <x v="0"/>
    <x v="0"/>
    <x v="0"/>
    <x v="3"/>
    <n v="0"/>
    <x v="1"/>
  </r>
  <r>
    <x v="76"/>
    <x v="0"/>
    <x v="290"/>
    <x v="0"/>
    <x v="0"/>
    <x v="0"/>
    <x v="0"/>
    <x v="4"/>
    <n v="0"/>
    <x v="1"/>
  </r>
  <r>
    <x v="76"/>
    <x v="0"/>
    <x v="290"/>
    <x v="0"/>
    <x v="0"/>
    <x v="0"/>
    <x v="0"/>
    <x v="5"/>
    <n v="0"/>
    <x v="1"/>
  </r>
  <r>
    <x v="76"/>
    <x v="0"/>
    <x v="290"/>
    <x v="0"/>
    <x v="0"/>
    <x v="0"/>
    <x v="0"/>
    <x v="6"/>
    <n v="0"/>
    <x v="1"/>
  </r>
  <r>
    <x v="76"/>
    <x v="0"/>
    <x v="290"/>
    <x v="0"/>
    <x v="0"/>
    <x v="0"/>
    <x v="0"/>
    <x v="7"/>
    <n v="0"/>
    <x v="1"/>
  </r>
  <r>
    <x v="76"/>
    <x v="0"/>
    <x v="290"/>
    <x v="0"/>
    <x v="0"/>
    <x v="0"/>
    <x v="0"/>
    <x v="8"/>
    <n v="1640.6143481220925"/>
    <x v="1"/>
  </r>
  <r>
    <x v="76"/>
    <x v="0"/>
    <x v="290"/>
    <x v="0"/>
    <x v="0"/>
    <x v="0"/>
    <x v="0"/>
    <x v="9"/>
    <n v="2523.1786923101258"/>
    <x v="1"/>
  </r>
  <r>
    <x v="76"/>
    <x v="0"/>
    <x v="290"/>
    <x v="0"/>
    <x v="0"/>
    <x v="0"/>
    <x v="0"/>
    <x v="10"/>
    <n v="2963.4121102723993"/>
    <x v="1"/>
  </r>
  <r>
    <x v="76"/>
    <x v="0"/>
    <x v="290"/>
    <x v="0"/>
    <x v="0"/>
    <x v="0"/>
    <x v="0"/>
    <x v="12"/>
    <n v="3143.296215771536"/>
    <x v="1"/>
  </r>
  <r>
    <x v="77"/>
    <x v="0"/>
    <x v="291"/>
    <x v="2"/>
    <x v="0"/>
    <x v="0"/>
    <x v="0"/>
    <x v="0"/>
    <n v="0"/>
    <x v="1"/>
  </r>
  <r>
    <x v="77"/>
    <x v="0"/>
    <x v="291"/>
    <x v="2"/>
    <x v="0"/>
    <x v="0"/>
    <x v="0"/>
    <x v="1"/>
    <n v="0"/>
    <x v="1"/>
  </r>
  <r>
    <x v="77"/>
    <x v="0"/>
    <x v="291"/>
    <x v="2"/>
    <x v="0"/>
    <x v="0"/>
    <x v="0"/>
    <x v="2"/>
    <n v="0"/>
    <x v="1"/>
  </r>
  <r>
    <x v="77"/>
    <x v="0"/>
    <x v="291"/>
    <x v="2"/>
    <x v="0"/>
    <x v="0"/>
    <x v="0"/>
    <x v="3"/>
    <n v="0"/>
    <x v="1"/>
  </r>
  <r>
    <x v="77"/>
    <x v="0"/>
    <x v="291"/>
    <x v="2"/>
    <x v="0"/>
    <x v="0"/>
    <x v="0"/>
    <x v="4"/>
    <n v="0"/>
    <x v="1"/>
  </r>
  <r>
    <x v="77"/>
    <x v="0"/>
    <x v="291"/>
    <x v="2"/>
    <x v="0"/>
    <x v="0"/>
    <x v="0"/>
    <x v="5"/>
    <n v="0"/>
    <x v="1"/>
  </r>
  <r>
    <x v="77"/>
    <x v="0"/>
    <x v="291"/>
    <x v="2"/>
    <x v="0"/>
    <x v="0"/>
    <x v="0"/>
    <x v="6"/>
    <n v="0"/>
    <x v="1"/>
  </r>
  <r>
    <x v="77"/>
    <x v="0"/>
    <x v="291"/>
    <x v="2"/>
    <x v="0"/>
    <x v="0"/>
    <x v="0"/>
    <x v="7"/>
    <n v="0"/>
    <x v="1"/>
  </r>
  <r>
    <x v="77"/>
    <x v="0"/>
    <x v="291"/>
    <x v="2"/>
    <x v="0"/>
    <x v="0"/>
    <x v="0"/>
    <x v="8"/>
    <n v="0"/>
    <x v="1"/>
  </r>
  <r>
    <x v="77"/>
    <x v="0"/>
    <x v="291"/>
    <x v="2"/>
    <x v="0"/>
    <x v="0"/>
    <x v="0"/>
    <x v="9"/>
    <n v="5798.0400468161824"/>
    <x v="1"/>
  </r>
  <r>
    <x v="77"/>
    <x v="0"/>
    <x v="291"/>
    <x v="2"/>
    <x v="0"/>
    <x v="0"/>
    <x v="0"/>
    <x v="10"/>
    <n v="6807.4735805710543"/>
    <x v="1"/>
  </r>
  <r>
    <x v="77"/>
    <x v="0"/>
    <x v="291"/>
    <x v="2"/>
    <x v="0"/>
    <x v="0"/>
    <x v="0"/>
    <x v="12"/>
    <n v="7221.9285462451517"/>
    <x v="1"/>
  </r>
  <r>
    <x v="78"/>
    <x v="0"/>
    <x v="292"/>
    <x v="0"/>
    <x v="0"/>
    <x v="0"/>
    <x v="0"/>
    <x v="0"/>
    <n v="813.01"/>
    <x v="1"/>
  </r>
  <r>
    <x v="78"/>
    <x v="0"/>
    <x v="292"/>
    <x v="0"/>
    <x v="0"/>
    <x v="0"/>
    <x v="0"/>
    <x v="1"/>
    <n v="816.4"/>
    <x v="1"/>
  </r>
  <r>
    <x v="78"/>
    <x v="0"/>
    <x v="292"/>
    <x v="0"/>
    <x v="0"/>
    <x v="0"/>
    <x v="0"/>
    <x v="2"/>
    <n v="833.10937919913999"/>
    <x v="1"/>
  </r>
  <r>
    <x v="78"/>
    <x v="0"/>
    <x v="292"/>
    <x v="0"/>
    <x v="0"/>
    <x v="0"/>
    <x v="0"/>
    <x v="3"/>
    <n v="207.55"/>
    <x v="1"/>
  </r>
  <r>
    <x v="78"/>
    <x v="0"/>
    <x v="292"/>
    <x v="0"/>
    <x v="0"/>
    <x v="0"/>
    <x v="0"/>
    <x v="4"/>
    <n v="0"/>
    <x v="1"/>
  </r>
  <r>
    <x v="78"/>
    <x v="0"/>
    <x v="292"/>
    <x v="0"/>
    <x v="0"/>
    <x v="0"/>
    <x v="0"/>
    <x v="5"/>
    <n v="0"/>
    <x v="1"/>
  </r>
  <r>
    <x v="78"/>
    <x v="0"/>
    <x v="292"/>
    <x v="0"/>
    <x v="0"/>
    <x v="0"/>
    <x v="0"/>
    <x v="6"/>
    <n v="0"/>
    <x v="1"/>
  </r>
  <r>
    <x v="78"/>
    <x v="0"/>
    <x v="292"/>
    <x v="0"/>
    <x v="0"/>
    <x v="0"/>
    <x v="0"/>
    <x v="7"/>
    <n v="0"/>
    <x v="1"/>
  </r>
  <r>
    <x v="78"/>
    <x v="0"/>
    <x v="292"/>
    <x v="0"/>
    <x v="0"/>
    <x v="0"/>
    <x v="0"/>
    <x v="8"/>
    <n v="0"/>
    <x v="1"/>
  </r>
  <r>
    <x v="78"/>
    <x v="0"/>
    <x v="292"/>
    <x v="0"/>
    <x v="0"/>
    <x v="0"/>
    <x v="0"/>
    <x v="9"/>
    <n v="0"/>
    <x v="1"/>
  </r>
  <r>
    <x v="78"/>
    <x v="0"/>
    <x v="292"/>
    <x v="0"/>
    <x v="0"/>
    <x v="0"/>
    <x v="0"/>
    <x v="10"/>
    <n v="0"/>
    <x v="1"/>
  </r>
  <r>
    <x v="78"/>
    <x v="0"/>
    <x v="292"/>
    <x v="0"/>
    <x v="0"/>
    <x v="0"/>
    <x v="0"/>
    <x v="12"/>
    <n v="0"/>
    <x v="1"/>
  </r>
  <r>
    <x v="79"/>
    <x v="0"/>
    <x v="293"/>
    <x v="0"/>
    <x v="0"/>
    <x v="0"/>
    <x v="0"/>
    <x v="0"/>
    <n v="1835.82"/>
    <x v="1"/>
  </r>
  <r>
    <x v="79"/>
    <x v="0"/>
    <x v="293"/>
    <x v="0"/>
    <x v="0"/>
    <x v="0"/>
    <x v="0"/>
    <x v="1"/>
    <n v="1843.6"/>
    <x v="1"/>
  </r>
  <r>
    <x v="79"/>
    <x v="0"/>
    <x v="293"/>
    <x v="0"/>
    <x v="0"/>
    <x v="0"/>
    <x v="0"/>
    <x v="2"/>
    <n v="1881.2147272238644"/>
    <x v="1"/>
  </r>
  <r>
    <x v="79"/>
    <x v="0"/>
    <x v="293"/>
    <x v="0"/>
    <x v="0"/>
    <x v="0"/>
    <x v="0"/>
    <x v="3"/>
    <n v="0"/>
    <x v="1"/>
  </r>
  <r>
    <x v="79"/>
    <x v="0"/>
    <x v="293"/>
    <x v="0"/>
    <x v="0"/>
    <x v="0"/>
    <x v="0"/>
    <x v="4"/>
    <n v="0"/>
    <x v="1"/>
  </r>
  <r>
    <x v="79"/>
    <x v="0"/>
    <x v="293"/>
    <x v="0"/>
    <x v="0"/>
    <x v="0"/>
    <x v="0"/>
    <x v="5"/>
    <n v="0"/>
    <x v="1"/>
  </r>
  <r>
    <x v="79"/>
    <x v="0"/>
    <x v="293"/>
    <x v="0"/>
    <x v="0"/>
    <x v="0"/>
    <x v="0"/>
    <x v="6"/>
    <n v="0"/>
    <x v="1"/>
  </r>
  <r>
    <x v="79"/>
    <x v="0"/>
    <x v="293"/>
    <x v="0"/>
    <x v="0"/>
    <x v="0"/>
    <x v="0"/>
    <x v="7"/>
    <n v="0"/>
    <x v="1"/>
  </r>
  <r>
    <x v="79"/>
    <x v="0"/>
    <x v="293"/>
    <x v="0"/>
    <x v="0"/>
    <x v="0"/>
    <x v="0"/>
    <x v="8"/>
    <n v="0"/>
    <x v="1"/>
  </r>
  <r>
    <x v="79"/>
    <x v="0"/>
    <x v="293"/>
    <x v="0"/>
    <x v="0"/>
    <x v="0"/>
    <x v="0"/>
    <x v="9"/>
    <n v="0"/>
    <x v="1"/>
  </r>
  <r>
    <x v="79"/>
    <x v="0"/>
    <x v="293"/>
    <x v="0"/>
    <x v="0"/>
    <x v="0"/>
    <x v="0"/>
    <x v="10"/>
    <n v="0"/>
    <x v="1"/>
  </r>
  <r>
    <x v="79"/>
    <x v="0"/>
    <x v="293"/>
    <x v="0"/>
    <x v="0"/>
    <x v="0"/>
    <x v="0"/>
    <x v="12"/>
    <n v="0"/>
    <x v="1"/>
  </r>
  <r>
    <x v="80"/>
    <x v="0"/>
    <x v="294"/>
    <x v="0"/>
    <x v="0"/>
    <x v="0"/>
    <x v="0"/>
    <x v="0"/>
    <n v="655.65171780750063"/>
    <x v="1"/>
  </r>
  <r>
    <x v="80"/>
    <x v="0"/>
    <x v="294"/>
    <x v="0"/>
    <x v="0"/>
    <x v="0"/>
    <x v="0"/>
    <x v="1"/>
    <n v="658.4"/>
    <x v="1"/>
  </r>
  <r>
    <x v="80"/>
    <x v="0"/>
    <x v="294"/>
    <x v="0"/>
    <x v="0"/>
    <x v="0"/>
    <x v="0"/>
    <x v="2"/>
    <n v="671.86240257995166"/>
    <x v="1"/>
  </r>
  <r>
    <x v="80"/>
    <x v="0"/>
    <x v="294"/>
    <x v="0"/>
    <x v="0"/>
    <x v="0"/>
    <x v="0"/>
    <x v="3"/>
    <n v="334.76"/>
    <x v="1"/>
  </r>
  <r>
    <x v="80"/>
    <x v="0"/>
    <x v="294"/>
    <x v="0"/>
    <x v="0"/>
    <x v="0"/>
    <x v="0"/>
    <x v="4"/>
    <n v="0"/>
    <x v="1"/>
  </r>
  <r>
    <x v="80"/>
    <x v="0"/>
    <x v="294"/>
    <x v="0"/>
    <x v="0"/>
    <x v="0"/>
    <x v="0"/>
    <x v="5"/>
    <n v="0"/>
    <x v="1"/>
  </r>
  <r>
    <x v="80"/>
    <x v="0"/>
    <x v="294"/>
    <x v="0"/>
    <x v="0"/>
    <x v="0"/>
    <x v="0"/>
    <x v="6"/>
    <n v="0"/>
    <x v="1"/>
  </r>
  <r>
    <x v="80"/>
    <x v="0"/>
    <x v="294"/>
    <x v="0"/>
    <x v="0"/>
    <x v="0"/>
    <x v="0"/>
    <x v="7"/>
    <n v="0"/>
    <x v="1"/>
  </r>
  <r>
    <x v="80"/>
    <x v="0"/>
    <x v="294"/>
    <x v="0"/>
    <x v="0"/>
    <x v="0"/>
    <x v="0"/>
    <x v="8"/>
    <n v="0"/>
    <x v="1"/>
  </r>
  <r>
    <x v="80"/>
    <x v="0"/>
    <x v="294"/>
    <x v="0"/>
    <x v="0"/>
    <x v="0"/>
    <x v="0"/>
    <x v="9"/>
    <n v="0"/>
    <x v="1"/>
  </r>
  <r>
    <x v="80"/>
    <x v="0"/>
    <x v="294"/>
    <x v="0"/>
    <x v="0"/>
    <x v="0"/>
    <x v="0"/>
    <x v="10"/>
    <n v="0"/>
    <x v="1"/>
  </r>
  <r>
    <x v="80"/>
    <x v="0"/>
    <x v="294"/>
    <x v="0"/>
    <x v="0"/>
    <x v="0"/>
    <x v="0"/>
    <x v="12"/>
    <n v="0"/>
    <x v="1"/>
  </r>
  <r>
    <x v="76"/>
    <x v="0"/>
    <x v="290"/>
    <x v="0"/>
    <x v="0"/>
    <x v="0"/>
    <x v="0"/>
    <x v="0"/>
    <n v="1442.4337791765013"/>
    <x v="1"/>
  </r>
  <r>
    <x v="76"/>
    <x v="0"/>
    <x v="290"/>
    <x v="0"/>
    <x v="0"/>
    <x v="0"/>
    <x v="0"/>
    <x v="1"/>
    <n v="1448.5"/>
    <x v="1"/>
  </r>
  <r>
    <x v="76"/>
    <x v="0"/>
    <x v="290"/>
    <x v="0"/>
    <x v="0"/>
    <x v="0"/>
    <x v="0"/>
    <x v="2"/>
    <n v="1478.0972856758935"/>
    <x v="1"/>
  </r>
  <r>
    <x v="76"/>
    <x v="0"/>
    <x v="290"/>
    <x v="0"/>
    <x v="0"/>
    <x v="0"/>
    <x v="0"/>
    <x v="3"/>
    <n v="1472.95"/>
    <x v="1"/>
  </r>
  <r>
    <x v="76"/>
    <x v="0"/>
    <x v="290"/>
    <x v="0"/>
    <x v="0"/>
    <x v="0"/>
    <x v="0"/>
    <x v="4"/>
    <n v="1465.49"/>
    <x v="1"/>
  </r>
  <r>
    <x v="76"/>
    <x v="0"/>
    <x v="290"/>
    <x v="0"/>
    <x v="0"/>
    <x v="0"/>
    <x v="0"/>
    <x v="5"/>
    <n v="1440.92"/>
    <x v="1"/>
  </r>
  <r>
    <x v="76"/>
    <x v="0"/>
    <x v="290"/>
    <x v="0"/>
    <x v="0"/>
    <x v="0"/>
    <x v="0"/>
    <x v="6"/>
    <n v="1470"/>
    <x v="1"/>
  </r>
  <r>
    <x v="76"/>
    <x v="0"/>
    <x v="290"/>
    <x v="0"/>
    <x v="0"/>
    <x v="0"/>
    <x v="0"/>
    <x v="7"/>
    <n v="1440.92"/>
    <x v="1"/>
  </r>
  <r>
    <x v="76"/>
    <x v="0"/>
    <x v="290"/>
    <x v="0"/>
    <x v="0"/>
    <x v="0"/>
    <x v="0"/>
    <x v="8"/>
    <n v="0"/>
    <x v="1"/>
  </r>
  <r>
    <x v="76"/>
    <x v="0"/>
    <x v="290"/>
    <x v="0"/>
    <x v="0"/>
    <x v="0"/>
    <x v="0"/>
    <x v="9"/>
    <n v="0"/>
    <x v="1"/>
  </r>
  <r>
    <x v="76"/>
    <x v="0"/>
    <x v="290"/>
    <x v="0"/>
    <x v="0"/>
    <x v="0"/>
    <x v="0"/>
    <x v="10"/>
    <n v="0"/>
    <x v="1"/>
  </r>
  <r>
    <x v="76"/>
    <x v="0"/>
    <x v="290"/>
    <x v="0"/>
    <x v="0"/>
    <x v="0"/>
    <x v="0"/>
    <x v="12"/>
    <n v="0"/>
    <x v="1"/>
  </r>
  <r>
    <x v="81"/>
    <x v="0"/>
    <x v="295"/>
    <x v="0"/>
    <x v="0"/>
    <x v="0"/>
    <x v="0"/>
    <x v="0"/>
    <n v="367.16496197220033"/>
    <x v="1"/>
  </r>
  <r>
    <x v="81"/>
    <x v="0"/>
    <x v="295"/>
    <x v="0"/>
    <x v="0"/>
    <x v="0"/>
    <x v="0"/>
    <x v="1"/>
    <n v="368.7"/>
    <x v="1"/>
  </r>
  <r>
    <x v="81"/>
    <x v="0"/>
    <x v="295"/>
    <x v="0"/>
    <x v="0"/>
    <x v="0"/>
    <x v="0"/>
    <x v="2"/>
    <n v="376.24294544477289"/>
    <x v="1"/>
  </r>
  <r>
    <x v="81"/>
    <x v="0"/>
    <x v="295"/>
    <x v="0"/>
    <x v="0"/>
    <x v="0"/>
    <x v="0"/>
    <x v="3"/>
    <n v="374.93"/>
    <x v="1"/>
  </r>
  <r>
    <x v="81"/>
    <x v="0"/>
    <x v="295"/>
    <x v="0"/>
    <x v="0"/>
    <x v="0"/>
    <x v="0"/>
    <x v="4"/>
    <n v="373.03"/>
    <x v="1"/>
  </r>
  <r>
    <x v="81"/>
    <x v="0"/>
    <x v="295"/>
    <x v="0"/>
    <x v="0"/>
    <x v="0"/>
    <x v="0"/>
    <x v="5"/>
    <n v="366.78"/>
    <x v="1"/>
  </r>
  <r>
    <x v="81"/>
    <x v="0"/>
    <x v="295"/>
    <x v="0"/>
    <x v="0"/>
    <x v="0"/>
    <x v="0"/>
    <x v="6"/>
    <n v="855"/>
    <x v="1"/>
  </r>
  <r>
    <x v="81"/>
    <x v="0"/>
    <x v="295"/>
    <x v="0"/>
    <x v="0"/>
    <x v="0"/>
    <x v="0"/>
    <x v="7"/>
    <n v="838.35"/>
    <x v="1"/>
  </r>
  <r>
    <x v="81"/>
    <x v="0"/>
    <x v="295"/>
    <x v="0"/>
    <x v="0"/>
    <x v="0"/>
    <x v="0"/>
    <x v="8"/>
    <n v="848"/>
    <x v="1"/>
  </r>
  <r>
    <x v="81"/>
    <x v="0"/>
    <x v="295"/>
    <x v="0"/>
    <x v="0"/>
    <x v="0"/>
    <x v="0"/>
    <x v="9"/>
    <n v="852"/>
    <x v="1"/>
  </r>
  <r>
    <x v="81"/>
    <x v="0"/>
    <x v="295"/>
    <x v="0"/>
    <x v="0"/>
    <x v="0"/>
    <x v="0"/>
    <x v="10"/>
    <n v="849"/>
    <x v="1"/>
  </r>
  <r>
    <x v="81"/>
    <x v="0"/>
    <x v="295"/>
    <x v="0"/>
    <x v="0"/>
    <x v="0"/>
    <x v="0"/>
    <x v="12"/>
    <n v="1179"/>
    <x v="1"/>
  </r>
  <r>
    <x v="77"/>
    <x v="0"/>
    <x v="291"/>
    <x v="1"/>
    <x v="0"/>
    <x v="0"/>
    <x v="0"/>
    <x v="0"/>
    <n v="2045.6333595594019"/>
    <x v="1"/>
  </r>
  <r>
    <x v="77"/>
    <x v="0"/>
    <x v="291"/>
    <x v="1"/>
    <x v="0"/>
    <x v="0"/>
    <x v="0"/>
    <x v="1"/>
    <n v="2054.3000000000002"/>
    <x v="1"/>
  </r>
  <r>
    <x v="77"/>
    <x v="0"/>
    <x v="291"/>
    <x v="1"/>
    <x v="0"/>
    <x v="0"/>
    <x v="0"/>
    <x v="2"/>
    <n v="2096.2106960494489"/>
    <x v="1"/>
  </r>
  <r>
    <x v="77"/>
    <x v="0"/>
    <x v="291"/>
    <x v="1"/>
    <x v="0"/>
    <x v="0"/>
    <x v="0"/>
    <x v="3"/>
    <n v="2088.91"/>
    <x v="1"/>
  </r>
  <r>
    <x v="77"/>
    <x v="0"/>
    <x v="291"/>
    <x v="1"/>
    <x v="0"/>
    <x v="0"/>
    <x v="0"/>
    <x v="4"/>
    <n v="2078.34"/>
    <x v="1"/>
  </r>
  <r>
    <x v="77"/>
    <x v="0"/>
    <x v="291"/>
    <x v="1"/>
    <x v="0"/>
    <x v="0"/>
    <x v="0"/>
    <x v="5"/>
    <n v="2043.49"/>
    <x v="1"/>
  </r>
  <r>
    <x v="77"/>
    <x v="0"/>
    <x v="291"/>
    <x v="1"/>
    <x v="0"/>
    <x v="0"/>
    <x v="0"/>
    <x v="6"/>
    <n v="2084"/>
    <x v="1"/>
  </r>
  <r>
    <x v="77"/>
    <x v="0"/>
    <x v="291"/>
    <x v="1"/>
    <x v="0"/>
    <x v="0"/>
    <x v="0"/>
    <x v="7"/>
    <n v="2043.49"/>
    <x v="1"/>
  </r>
  <r>
    <x v="77"/>
    <x v="0"/>
    <x v="291"/>
    <x v="1"/>
    <x v="0"/>
    <x v="0"/>
    <x v="0"/>
    <x v="8"/>
    <n v="2518"/>
    <x v="1"/>
  </r>
  <r>
    <x v="77"/>
    <x v="0"/>
    <x v="291"/>
    <x v="1"/>
    <x v="0"/>
    <x v="0"/>
    <x v="0"/>
    <x v="9"/>
    <n v="0"/>
    <x v="1"/>
  </r>
  <r>
    <x v="77"/>
    <x v="0"/>
    <x v="291"/>
    <x v="1"/>
    <x v="0"/>
    <x v="0"/>
    <x v="0"/>
    <x v="10"/>
    <n v="0"/>
    <x v="1"/>
  </r>
  <r>
    <x v="77"/>
    <x v="0"/>
    <x v="291"/>
    <x v="1"/>
    <x v="0"/>
    <x v="0"/>
    <x v="0"/>
    <x v="12"/>
    <n v="0"/>
    <x v="1"/>
  </r>
  <r>
    <x v="50"/>
    <x v="0"/>
    <x v="296"/>
    <x v="0"/>
    <x v="0"/>
    <x v="0"/>
    <x v="0"/>
    <x v="0"/>
    <n v="655.65171780750063"/>
    <x v="1"/>
  </r>
  <r>
    <x v="50"/>
    <x v="0"/>
    <x v="296"/>
    <x v="0"/>
    <x v="0"/>
    <x v="0"/>
    <x v="0"/>
    <x v="1"/>
    <n v="658.4"/>
    <x v="1"/>
  </r>
  <r>
    <x v="50"/>
    <x v="0"/>
    <x v="296"/>
    <x v="0"/>
    <x v="0"/>
    <x v="0"/>
    <x v="0"/>
    <x v="2"/>
    <n v="1084.1171728030099"/>
    <x v="1"/>
  </r>
  <r>
    <x v="50"/>
    <x v="0"/>
    <x v="296"/>
    <x v="0"/>
    <x v="0"/>
    <x v="0"/>
    <x v="0"/>
    <x v="3"/>
    <n v="1080.3399999999999"/>
    <x v="1"/>
  </r>
  <r>
    <x v="50"/>
    <x v="0"/>
    <x v="296"/>
    <x v="0"/>
    <x v="0"/>
    <x v="0"/>
    <x v="0"/>
    <x v="4"/>
    <n v="1074.8699999999999"/>
    <x v="1"/>
  </r>
  <r>
    <x v="50"/>
    <x v="0"/>
    <x v="296"/>
    <x v="0"/>
    <x v="0"/>
    <x v="0"/>
    <x v="0"/>
    <x v="5"/>
    <n v="1056.8499999999999"/>
    <x v="1"/>
  </r>
  <r>
    <x v="50"/>
    <x v="0"/>
    <x v="296"/>
    <x v="0"/>
    <x v="0"/>
    <x v="0"/>
    <x v="0"/>
    <x v="6"/>
    <n v="1078"/>
    <x v="1"/>
  </r>
  <r>
    <x v="50"/>
    <x v="0"/>
    <x v="296"/>
    <x v="0"/>
    <x v="0"/>
    <x v="0"/>
    <x v="0"/>
    <x v="7"/>
    <n v="2062.35"/>
    <x v="1"/>
  </r>
  <r>
    <x v="50"/>
    <x v="0"/>
    <x v="296"/>
    <x v="0"/>
    <x v="0"/>
    <x v="0"/>
    <x v="0"/>
    <x v="8"/>
    <n v="0"/>
    <x v="1"/>
  </r>
  <r>
    <x v="50"/>
    <x v="0"/>
    <x v="296"/>
    <x v="0"/>
    <x v="0"/>
    <x v="0"/>
    <x v="0"/>
    <x v="9"/>
    <n v="0"/>
    <x v="1"/>
  </r>
  <r>
    <x v="50"/>
    <x v="0"/>
    <x v="296"/>
    <x v="0"/>
    <x v="0"/>
    <x v="0"/>
    <x v="0"/>
    <x v="10"/>
    <n v="0"/>
    <x v="1"/>
  </r>
  <r>
    <x v="50"/>
    <x v="0"/>
    <x v="296"/>
    <x v="0"/>
    <x v="0"/>
    <x v="0"/>
    <x v="0"/>
    <x v="12"/>
    <n v="0"/>
    <x v="1"/>
  </r>
  <r>
    <x v="82"/>
    <x v="0"/>
    <x v="297"/>
    <x v="0"/>
    <x v="0"/>
    <x v="0"/>
    <x v="0"/>
    <x v="0"/>
    <n v="655.65171780750063"/>
    <x v="1"/>
  </r>
  <r>
    <x v="82"/>
    <x v="0"/>
    <x v="297"/>
    <x v="0"/>
    <x v="0"/>
    <x v="0"/>
    <x v="0"/>
    <x v="1"/>
    <n v="658.4"/>
    <x v="1"/>
  </r>
  <r>
    <x v="82"/>
    <x v="0"/>
    <x v="297"/>
    <x v="0"/>
    <x v="0"/>
    <x v="0"/>
    <x v="0"/>
    <x v="2"/>
    <n v="671.86240257995166"/>
    <x v="1"/>
  </r>
  <r>
    <x v="82"/>
    <x v="0"/>
    <x v="297"/>
    <x v="0"/>
    <x v="0"/>
    <x v="0"/>
    <x v="0"/>
    <x v="3"/>
    <n v="669.52"/>
    <x v="1"/>
  </r>
  <r>
    <x v="82"/>
    <x v="0"/>
    <x v="297"/>
    <x v="0"/>
    <x v="0"/>
    <x v="0"/>
    <x v="0"/>
    <x v="4"/>
    <n v="666.13"/>
    <x v="1"/>
  </r>
  <r>
    <x v="82"/>
    <x v="0"/>
    <x v="297"/>
    <x v="0"/>
    <x v="0"/>
    <x v="0"/>
    <x v="0"/>
    <x v="5"/>
    <n v="654.96"/>
    <x v="1"/>
  </r>
  <r>
    <x v="82"/>
    <x v="0"/>
    <x v="297"/>
    <x v="0"/>
    <x v="0"/>
    <x v="0"/>
    <x v="0"/>
    <x v="6"/>
    <n v="0"/>
    <x v="1"/>
  </r>
  <r>
    <x v="82"/>
    <x v="0"/>
    <x v="297"/>
    <x v="0"/>
    <x v="0"/>
    <x v="0"/>
    <x v="0"/>
    <x v="7"/>
    <n v="0"/>
    <x v="1"/>
  </r>
  <r>
    <x v="82"/>
    <x v="0"/>
    <x v="297"/>
    <x v="0"/>
    <x v="0"/>
    <x v="0"/>
    <x v="0"/>
    <x v="8"/>
    <n v="0"/>
    <x v="1"/>
  </r>
  <r>
    <x v="82"/>
    <x v="0"/>
    <x v="297"/>
    <x v="0"/>
    <x v="0"/>
    <x v="0"/>
    <x v="0"/>
    <x v="9"/>
    <n v="0"/>
    <x v="1"/>
  </r>
  <r>
    <x v="82"/>
    <x v="0"/>
    <x v="297"/>
    <x v="0"/>
    <x v="0"/>
    <x v="0"/>
    <x v="0"/>
    <x v="10"/>
    <n v="0"/>
    <x v="1"/>
  </r>
  <r>
    <x v="82"/>
    <x v="0"/>
    <x v="297"/>
    <x v="0"/>
    <x v="0"/>
    <x v="0"/>
    <x v="0"/>
    <x v="12"/>
    <n v="0"/>
    <x v="1"/>
  </r>
  <r>
    <x v="83"/>
    <x v="0"/>
    <x v="298"/>
    <x v="0"/>
    <x v="0"/>
    <x v="0"/>
    <x v="0"/>
    <x v="0"/>
    <n v="655.65171780750063"/>
    <x v="1"/>
  </r>
  <r>
    <x v="83"/>
    <x v="0"/>
    <x v="298"/>
    <x v="0"/>
    <x v="0"/>
    <x v="0"/>
    <x v="0"/>
    <x v="1"/>
    <n v="658.4"/>
    <x v="1"/>
  </r>
  <r>
    <x v="83"/>
    <x v="0"/>
    <x v="298"/>
    <x v="0"/>
    <x v="0"/>
    <x v="0"/>
    <x v="0"/>
    <x v="2"/>
    <n v="671.86240257995166"/>
    <x v="1"/>
  </r>
  <r>
    <x v="83"/>
    <x v="0"/>
    <x v="298"/>
    <x v="0"/>
    <x v="0"/>
    <x v="0"/>
    <x v="0"/>
    <x v="3"/>
    <n v="167.38"/>
    <x v="1"/>
  </r>
  <r>
    <x v="83"/>
    <x v="0"/>
    <x v="298"/>
    <x v="0"/>
    <x v="0"/>
    <x v="0"/>
    <x v="0"/>
    <x v="4"/>
    <n v="0"/>
    <x v="1"/>
  </r>
  <r>
    <x v="83"/>
    <x v="0"/>
    <x v="298"/>
    <x v="0"/>
    <x v="0"/>
    <x v="0"/>
    <x v="0"/>
    <x v="5"/>
    <n v="0"/>
    <x v="1"/>
  </r>
  <r>
    <x v="83"/>
    <x v="0"/>
    <x v="298"/>
    <x v="0"/>
    <x v="0"/>
    <x v="0"/>
    <x v="0"/>
    <x v="6"/>
    <n v="0"/>
    <x v="1"/>
  </r>
  <r>
    <x v="83"/>
    <x v="0"/>
    <x v="298"/>
    <x v="0"/>
    <x v="0"/>
    <x v="0"/>
    <x v="0"/>
    <x v="7"/>
    <n v="0"/>
    <x v="1"/>
  </r>
  <r>
    <x v="83"/>
    <x v="0"/>
    <x v="298"/>
    <x v="0"/>
    <x v="0"/>
    <x v="0"/>
    <x v="0"/>
    <x v="8"/>
    <n v="0"/>
    <x v="1"/>
  </r>
  <r>
    <x v="83"/>
    <x v="0"/>
    <x v="298"/>
    <x v="0"/>
    <x v="0"/>
    <x v="0"/>
    <x v="0"/>
    <x v="9"/>
    <n v="0"/>
    <x v="1"/>
  </r>
  <r>
    <x v="83"/>
    <x v="0"/>
    <x v="298"/>
    <x v="0"/>
    <x v="0"/>
    <x v="0"/>
    <x v="0"/>
    <x v="10"/>
    <n v="0"/>
    <x v="1"/>
  </r>
  <r>
    <x v="83"/>
    <x v="0"/>
    <x v="298"/>
    <x v="0"/>
    <x v="0"/>
    <x v="0"/>
    <x v="0"/>
    <x v="12"/>
    <n v="0"/>
    <x v="1"/>
  </r>
  <r>
    <x v="84"/>
    <x v="0"/>
    <x v="299"/>
    <x v="0"/>
    <x v="0"/>
    <x v="0"/>
    <x v="0"/>
    <x v="0"/>
    <n v="1180.173092053501"/>
    <x v="1"/>
  </r>
  <r>
    <x v="84"/>
    <x v="0"/>
    <x v="299"/>
    <x v="0"/>
    <x v="0"/>
    <x v="0"/>
    <x v="0"/>
    <x v="1"/>
    <n v="1185.0999999999999"/>
    <x v="1"/>
  </r>
  <r>
    <x v="84"/>
    <x v="0"/>
    <x v="299"/>
    <x v="0"/>
    <x v="0"/>
    <x v="0"/>
    <x v="0"/>
    <x v="2"/>
    <n v="1209.3523246439129"/>
    <x v="1"/>
  </r>
  <r>
    <x v="84"/>
    <x v="0"/>
    <x v="299"/>
    <x v="0"/>
    <x v="0"/>
    <x v="0"/>
    <x v="0"/>
    <x v="3"/>
    <n v="0"/>
    <x v="1"/>
  </r>
  <r>
    <x v="84"/>
    <x v="0"/>
    <x v="299"/>
    <x v="0"/>
    <x v="0"/>
    <x v="0"/>
    <x v="0"/>
    <x v="4"/>
    <n v="0"/>
    <x v="1"/>
  </r>
  <r>
    <x v="84"/>
    <x v="0"/>
    <x v="299"/>
    <x v="0"/>
    <x v="0"/>
    <x v="0"/>
    <x v="0"/>
    <x v="5"/>
    <n v="0"/>
    <x v="1"/>
  </r>
  <r>
    <x v="84"/>
    <x v="0"/>
    <x v="299"/>
    <x v="0"/>
    <x v="0"/>
    <x v="0"/>
    <x v="0"/>
    <x v="6"/>
    <n v="0"/>
    <x v="1"/>
  </r>
  <r>
    <x v="84"/>
    <x v="0"/>
    <x v="299"/>
    <x v="0"/>
    <x v="0"/>
    <x v="0"/>
    <x v="0"/>
    <x v="7"/>
    <n v="0"/>
    <x v="1"/>
  </r>
  <r>
    <x v="84"/>
    <x v="0"/>
    <x v="299"/>
    <x v="0"/>
    <x v="0"/>
    <x v="0"/>
    <x v="0"/>
    <x v="8"/>
    <n v="0"/>
    <x v="1"/>
  </r>
  <r>
    <x v="84"/>
    <x v="0"/>
    <x v="299"/>
    <x v="0"/>
    <x v="0"/>
    <x v="0"/>
    <x v="0"/>
    <x v="9"/>
    <n v="0"/>
    <x v="1"/>
  </r>
  <r>
    <x v="84"/>
    <x v="0"/>
    <x v="299"/>
    <x v="0"/>
    <x v="0"/>
    <x v="0"/>
    <x v="0"/>
    <x v="10"/>
    <n v="0"/>
    <x v="1"/>
  </r>
  <r>
    <x v="84"/>
    <x v="0"/>
    <x v="299"/>
    <x v="0"/>
    <x v="0"/>
    <x v="0"/>
    <x v="0"/>
    <x v="12"/>
    <n v="0"/>
    <x v="1"/>
  </r>
  <r>
    <x v="51"/>
    <x v="0"/>
    <x v="300"/>
    <x v="0"/>
    <x v="0"/>
    <x v="0"/>
    <x v="0"/>
    <x v="0"/>
    <n v="655.65171780750063"/>
    <x v="1"/>
  </r>
  <r>
    <x v="51"/>
    <x v="0"/>
    <x v="300"/>
    <x v="0"/>
    <x v="0"/>
    <x v="0"/>
    <x v="0"/>
    <x v="1"/>
    <n v="658.4"/>
    <x v="1"/>
  </r>
  <r>
    <x v="51"/>
    <x v="0"/>
    <x v="300"/>
    <x v="0"/>
    <x v="0"/>
    <x v="0"/>
    <x v="0"/>
    <x v="2"/>
    <n v="671.86240257995166"/>
    <x v="1"/>
  </r>
  <r>
    <x v="51"/>
    <x v="0"/>
    <x v="300"/>
    <x v="0"/>
    <x v="0"/>
    <x v="0"/>
    <x v="0"/>
    <x v="3"/>
    <n v="669.52"/>
    <x v="1"/>
  </r>
  <r>
    <x v="51"/>
    <x v="0"/>
    <x v="300"/>
    <x v="0"/>
    <x v="0"/>
    <x v="0"/>
    <x v="0"/>
    <x v="4"/>
    <n v="666.13"/>
    <x v="1"/>
  </r>
  <r>
    <x v="51"/>
    <x v="0"/>
    <x v="300"/>
    <x v="0"/>
    <x v="0"/>
    <x v="0"/>
    <x v="0"/>
    <x v="5"/>
    <n v="654.96"/>
    <x v="1"/>
  </r>
  <r>
    <x v="51"/>
    <x v="0"/>
    <x v="300"/>
    <x v="0"/>
    <x v="0"/>
    <x v="0"/>
    <x v="0"/>
    <x v="6"/>
    <n v="668"/>
    <x v="1"/>
  </r>
  <r>
    <x v="51"/>
    <x v="0"/>
    <x v="300"/>
    <x v="0"/>
    <x v="0"/>
    <x v="0"/>
    <x v="0"/>
    <x v="7"/>
    <n v="654.96"/>
    <x v="1"/>
  </r>
  <r>
    <x v="51"/>
    <x v="0"/>
    <x v="300"/>
    <x v="0"/>
    <x v="0"/>
    <x v="0"/>
    <x v="0"/>
    <x v="8"/>
    <n v="0"/>
    <x v="1"/>
  </r>
  <r>
    <x v="51"/>
    <x v="0"/>
    <x v="300"/>
    <x v="0"/>
    <x v="0"/>
    <x v="0"/>
    <x v="0"/>
    <x v="9"/>
    <n v="0"/>
    <x v="1"/>
  </r>
  <r>
    <x v="51"/>
    <x v="0"/>
    <x v="300"/>
    <x v="0"/>
    <x v="0"/>
    <x v="0"/>
    <x v="0"/>
    <x v="10"/>
    <n v="0"/>
    <x v="1"/>
  </r>
  <r>
    <x v="51"/>
    <x v="0"/>
    <x v="300"/>
    <x v="0"/>
    <x v="0"/>
    <x v="0"/>
    <x v="0"/>
    <x v="12"/>
    <n v="0"/>
    <x v="1"/>
  </r>
  <r>
    <x v="85"/>
    <x v="0"/>
    <x v="301"/>
    <x v="0"/>
    <x v="0"/>
    <x v="0"/>
    <x v="0"/>
    <x v="0"/>
    <n v="1966.9551534225018"/>
    <x v="1"/>
  </r>
  <r>
    <x v="85"/>
    <x v="0"/>
    <x v="301"/>
    <x v="0"/>
    <x v="0"/>
    <x v="0"/>
    <x v="0"/>
    <x v="1"/>
    <n v="1975.2"/>
    <x v="1"/>
  </r>
  <r>
    <x v="85"/>
    <x v="0"/>
    <x v="301"/>
    <x v="0"/>
    <x v="0"/>
    <x v="0"/>
    <x v="0"/>
    <x v="2"/>
    <n v="2015.5872077398549"/>
    <x v="1"/>
  </r>
  <r>
    <x v="85"/>
    <x v="0"/>
    <x v="301"/>
    <x v="0"/>
    <x v="0"/>
    <x v="0"/>
    <x v="0"/>
    <x v="3"/>
    <n v="0"/>
    <x v="1"/>
  </r>
  <r>
    <x v="85"/>
    <x v="0"/>
    <x v="301"/>
    <x v="0"/>
    <x v="0"/>
    <x v="0"/>
    <x v="0"/>
    <x v="4"/>
    <n v="0"/>
    <x v="1"/>
  </r>
  <r>
    <x v="85"/>
    <x v="0"/>
    <x v="301"/>
    <x v="0"/>
    <x v="0"/>
    <x v="0"/>
    <x v="0"/>
    <x v="5"/>
    <n v="0"/>
    <x v="1"/>
  </r>
  <r>
    <x v="85"/>
    <x v="0"/>
    <x v="301"/>
    <x v="0"/>
    <x v="0"/>
    <x v="0"/>
    <x v="0"/>
    <x v="6"/>
    <n v="0"/>
    <x v="1"/>
  </r>
  <r>
    <x v="85"/>
    <x v="0"/>
    <x v="301"/>
    <x v="0"/>
    <x v="0"/>
    <x v="0"/>
    <x v="0"/>
    <x v="7"/>
    <n v="0"/>
    <x v="1"/>
  </r>
  <r>
    <x v="85"/>
    <x v="0"/>
    <x v="301"/>
    <x v="0"/>
    <x v="0"/>
    <x v="0"/>
    <x v="0"/>
    <x v="8"/>
    <n v="0"/>
    <x v="1"/>
  </r>
  <r>
    <x v="85"/>
    <x v="0"/>
    <x v="301"/>
    <x v="0"/>
    <x v="0"/>
    <x v="0"/>
    <x v="0"/>
    <x v="9"/>
    <n v="0"/>
    <x v="1"/>
  </r>
  <r>
    <x v="85"/>
    <x v="0"/>
    <x v="301"/>
    <x v="0"/>
    <x v="0"/>
    <x v="0"/>
    <x v="0"/>
    <x v="10"/>
    <n v="0"/>
    <x v="1"/>
  </r>
  <r>
    <x v="85"/>
    <x v="0"/>
    <x v="301"/>
    <x v="0"/>
    <x v="0"/>
    <x v="0"/>
    <x v="0"/>
    <x v="12"/>
    <n v="0"/>
    <x v="1"/>
  </r>
  <r>
    <x v="30"/>
    <x v="0"/>
    <x v="302"/>
    <x v="0"/>
    <x v="0"/>
    <x v="0"/>
    <x v="0"/>
    <x v="0"/>
    <n v="4101.7571466037243"/>
    <x v="1"/>
  </r>
  <r>
    <x v="30"/>
    <x v="0"/>
    <x v="302"/>
    <x v="0"/>
    <x v="0"/>
    <x v="0"/>
    <x v="0"/>
    <x v="1"/>
    <n v="0"/>
    <x v="1"/>
  </r>
  <r>
    <x v="30"/>
    <x v="0"/>
    <x v="302"/>
    <x v="0"/>
    <x v="0"/>
    <x v="0"/>
    <x v="0"/>
    <x v="2"/>
    <n v="0"/>
    <x v="1"/>
  </r>
  <r>
    <x v="30"/>
    <x v="0"/>
    <x v="302"/>
    <x v="0"/>
    <x v="0"/>
    <x v="0"/>
    <x v="0"/>
    <x v="3"/>
    <n v="0"/>
    <x v="1"/>
  </r>
  <r>
    <x v="30"/>
    <x v="0"/>
    <x v="302"/>
    <x v="0"/>
    <x v="0"/>
    <x v="0"/>
    <x v="0"/>
    <x v="4"/>
    <n v="0"/>
    <x v="1"/>
  </r>
  <r>
    <x v="30"/>
    <x v="0"/>
    <x v="302"/>
    <x v="0"/>
    <x v="0"/>
    <x v="0"/>
    <x v="0"/>
    <x v="5"/>
    <n v="0"/>
    <x v="1"/>
  </r>
  <r>
    <x v="30"/>
    <x v="0"/>
    <x v="302"/>
    <x v="0"/>
    <x v="0"/>
    <x v="0"/>
    <x v="0"/>
    <x v="6"/>
    <n v="0"/>
    <x v="1"/>
  </r>
  <r>
    <x v="30"/>
    <x v="0"/>
    <x v="302"/>
    <x v="0"/>
    <x v="0"/>
    <x v="0"/>
    <x v="0"/>
    <x v="7"/>
    <n v="0"/>
    <x v="1"/>
  </r>
  <r>
    <x v="30"/>
    <x v="0"/>
    <x v="302"/>
    <x v="0"/>
    <x v="0"/>
    <x v="0"/>
    <x v="0"/>
    <x v="8"/>
    <n v="0"/>
    <x v="1"/>
  </r>
  <r>
    <x v="30"/>
    <x v="0"/>
    <x v="302"/>
    <x v="0"/>
    <x v="0"/>
    <x v="0"/>
    <x v="0"/>
    <x v="9"/>
    <n v="0"/>
    <x v="1"/>
  </r>
  <r>
    <x v="30"/>
    <x v="0"/>
    <x v="302"/>
    <x v="0"/>
    <x v="0"/>
    <x v="0"/>
    <x v="0"/>
    <x v="10"/>
    <n v="0"/>
    <x v="1"/>
  </r>
  <r>
    <x v="30"/>
    <x v="0"/>
    <x v="302"/>
    <x v="0"/>
    <x v="0"/>
    <x v="0"/>
    <x v="0"/>
    <x v="12"/>
    <n v="0"/>
    <x v="1"/>
  </r>
  <r>
    <x v="74"/>
    <x v="0"/>
    <x v="288"/>
    <x v="0"/>
    <x v="0"/>
    <x v="0"/>
    <x v="0"/>
    <x v="0"/>
    <n v="1704.6944662995015"/>
    <x v="1"/>
  </r>
  <r>
    <x v="74"/>
    <x v="0"/>
    <x v="288"/>
    <x v="0"/>
    <x v="0"/>
    <x v="0"/>
    <x v="0"/>
    <x v="1"/>
    <n v="0"/>
    <x v="1"/>
  </r>
  <r>
    <x v="74"/>
    <x v="0"/>
    <x v="288"/>
    <x v="0"/>
    <x v="0"/>
    <x v="0"/>
    <x v="0"/>
    <x v="2"/>
    <n v="0"/>
    <x v="1"/>
  </r>
  <r>
    <x v="74"/>
    <x v="0"/>
    <x v="288"/>
    <x v="0"/>
    <x v="0"/>
    <x v="0"/>
    <x v="0"/>
    <x v="3"/>
    <n v="0"/>
    <x v="1"/>
  </r>
  <r>
    <x v="74"/>
    <x v="0"/>
    <x v="288"/>
    <x v="0"/>
    <x v="0"/>
    <x v="0"/>
    <x v="0"/>
    <x v="4"/>
    <n v="0"/>
    <x v="1"/>
  </r>
  <r>
    <x v="74"/>
    <x v="0"/>
    <x v="288"/>
    <x v="0"/>
    <x v="0"/>
    <x v="0"/>
    <x v="0"/>
    <x v="5"/>
    <n v="0"/>
    <x v="1"/>
  </r>
  <r>
    <x v="74"/>
    <x v="0"/>
    <x v="288"/>
    <x v="0"/>
    <x v="0"/>
    <x v="0"/>
    <x v="0"/>
    <x v="6"/>
    <n v="0"/>
    <x v="1"/>
  </r>
  <r>
    <x v="74"/>
    <x v="0"/>
    <x v="288"/>
    <x v="0"/>
    <x v="0"/>
    <x v="0"/>
    <x v="0"/>
    <x v="7"/>
    <n v="0"/>
    <x v="1"/>
  </r>
  <r>
    <x v="74"/>
    <x v="0"/>
    <x v="288"/>
    <x v="0"/>
    <x v="0"/>
    <x v="0"/>
    <x v="0"/>
    <x v="8"/>
    <n v="0"/>
    <x v="1"/>
  </r>
  <r>
    <x v="74"/>
    <x v="0"/>
    <x v="288"/>
    <x v="0"/>
    <x v="0"/>
    <x v="0"/>
    <x v="0"/>
    <x v="9"/>
    <n v="0"/>
    <x v="1"/>
  </r>
  <r>
    <x v="74"/>
    <x v="0"/>
    <x v="288"/>
    <x v="0"/>
    <x v="0"/>
    <x v="0"/>
    <x v="0"/>
    <x v="10"/>
    <n v="0"/>
    <x v="1"/>
  </r>
  <r>
    <x v="74"/>
    <x v="0"/>
    <x v="288"/>
    <x v="0"/>
    <x v="0"/>
    <x v="0"/>
    <x v="0"/>
    <x v="12"/>
    <n v="0"/>
    <x v="1"/>
  </r>
  <r>
    <x v="86"/>
    <x v="0"/>
    <x v="303"/>
    <x v="0"/>
    <x v="0"/>
    <x v="0"/>
    <x v="0"/>
    <x v="0"/>
    <n v="472.06923682140047"/>
    <x v="1"/>
  </r>
  <r>
    <x v="86"/>
    <x v="0"/>
    <x v="303"/>
    <x v="0"/>
    <x v="0"/>
    <x v="0"/>
    <x v="0"/>
    <x v="1"/>
    <n v="474.1"/>
    <x v="1"/>
  </r>
  <r>
    <x v="86"/>
    <x v="0"/>
    <x v="303"/>
    <x v="0"/>
    <x v="0"/>
    <x v="0"/>
    <x v="0"/>
    <x v="2"/>
    <n v="483.74092985756516"/>
    <x v="1"/>
  </r>
  <r>
    <x v="86"/>
    <x v="0"/>
    <x v="303"/>
    <x v="0"/>
    <x v="0"/>
    <x v="0"/>
    <x v="0"/>
    <x v="3"/>
    <n v="482.06"/>
    <x v="1"/>
  </r>
  <r>
    <x v="86"/>
    <x v="0"/>
    <x v="303"/>
    <x v="0"/>
    <x v="0"/>
    <x v="0"/>
    <x v="0"/>
    <x v="4"/>
    <n v="479.62"/>
    <x v="1"/>
  </r>
  <r>
    <x v="86"/>
    <x v="0"/>
    <x v="303"/>
    <x v="0"/>
    <x v="0"/>
    <x v="0"/>
    <x v="0"/>
    <x v="5"/>
    <n v="0"/>
    <x v="1"/>
  </r>
  <r>
    <x v="86"/>
    <x v="0"/>
    <x v="303"/>
    <x v="0"/>
    <x v="0"/>
    <x v="0"/>
    <x v="0"/>
    <x v="6"/>
    <n v="0"/>
    <x v="1"/>
  </r>
  <r>
    <x v="86"/>
    <x v="0"/>
    <x v="303"/>
    <x v="0"/>
    <x v="0"/>
    <x v="0"/>
    <x v="0"/>
    <x v="7"/>
    <n v="0"/>
    <x v="1"/>
  </r>
  <r>
    <x v="86"/>
    <x v="0"/>
    <x v="303"/>
    <x v="0"/>
    <x v="0"/>
    <x v="0"/>
    <x v="0"/>
    <x v="8"/>
    <n v="0"/>
    <x v="1"/>
  </r>
  <r>
    <x v="86"/>
    <x v="0"/>
    <x v="303"/>
    <x v="0"/>
    <x v="0"/>
    <x v="0"/>
    <x v="0"/>
    <x v="9"/>
    <n v="0"/>
    <x v="1"/>
  </r>
  <r>
    <x v="86"/>
    <x v="0"/>
    <x v="303"/>
    <x v="0"/>
    <x v="0"/>
    <x v="0"/>
    <x v="0"/>
    <x v="10"/>
    <n v="0"/>
    <x v="1"/>
  </r>
  <r>
    <x v="86"/>
    <x v="0"/>
    <x v="303"/>
    <x v="0"/>
    <x v="0"/>
    <x v="0"/>
    <x v="0"/>
    <x v="12"/>
    <n v="0"/>
    <x v="1"/>
  </r>
  <r>
    <x v="73"/>
    <x v="0"/>
    <x v="287"/>
    <x v="0"/>
    <x v="0"/>
    <x v="0"/>
    <x v="0"/>
    <x v="0"/>
    <n v="1180.17"/>
    <x v="1"/>
  </r>
  <r>
    <x v="73"/>
    <x v="0"/>
    <x v="287"/>
    <x v="0"/>
    <x v="0"/>
    <x v="0"/>
    <x v="0"/>
    <x v="1"/>
    <n v="0"/>
    <x v="1"/>
  </r>
  <r>
    <x v="73"/>
    <x v="0"/>
    <x v="287"/>
    <x v="0"/>
    <x v="0"/>
    <x v="0"/>
    <x v="0"/>
    <x v="2"/>
    <n v="0"/>
    <x v="1"/>
  </r>
  <r>
    <x v="73"/>
    <x v="0"/>
    <x v="287"/>
    <x v="0"/>
    <x v="0"/>
    <x v="0"/>
    <x v="0"/>
    <x v="3"/>
    <n v="0"/>
    <x v="1"/>
  </r>
  <r>
    <x v="73"/>
    <x v="0"/>
    <x v="287"/>
    <x v="0"/>
    <x v="0"/>
    <x v="0"/>
    <x v="0"/>
    <x v="4"/>
    <n v="0"/>
    <x v="1"/>
  </r>
  <r>
    <x v="73"/>
    <x v="0"/>
    <x v="287"/>
    <x v="0"/>
    <x v="0"/>
    <x v="0"/>
    <x v="0"/>
    <x v="5"/>
    <n v="0"/>
    <x v="1"/>
  </r>
  <r>
    <x v="73"/>
    <x v="0"/>
    <x v="287"/>
    <x v="0"/>
    <x v="0"/>
    <x v="0"/>
    <x v="0"/>
    <x v="6"/>
    <n v="0"/>
    <x v="1"/>
  </r>
  <r>
    <x v="73"/>
    <x v="0"/>
    <x v="287"/>
    <x v="0"/>
    <x v="0"/>
    <x v="0"/>
    <x v="0"/>
    <x v="7"/>
    <n v="0"/>
    <x v="1"/>
  </r>
  <r>
    <x v="73"/>
    <x v="0"/>
    <x v="287"/>
    <x v="0"/>
    <x v="0"/>
    <x v="0"/>
    <x v="0"/>
    <x v="8"/>
    <n v="0"/>
    <x v="1"/>
  </r>
  <r>
    <x v="73"/>
    <x v="0"/>
    <x v="287"/>
    <x v="0"/>
    <x v="0"/>
    <x v="0"/>
    <x v="0"/>
    <x v="9"/>
    <n v="0"/>
    <x v="1"/>
  </r>
  <r>
    <x v="73"/>
    <x v="0"/>
    <x v="287"/>
    <x v="0"/>
    <x v="0"/>
    <x v="0"/>
    <x v="0"/>
    <x v="10"/>
    <n v="0"/>
    <x v="1"/>
  </r>
  <r>
    <x v="73"/>
    <x v="0"/>
    <x v="287"/>
    <x v="0"/>
    <x v="0"/>
    <x v="0"/>
    <x v="0"/>
    <x v="12"/>
    <n v="0"/>
    <x v="1"/>
  </r>
  <r>
    <x v="30"/>
    <x v="2"/>
    <x v="304"/>
    <x v="0"/>
    <x v="2"/>
    <x v="3"/>
    <x v="9"/>
    <x v="0"/>
    <n v="0"/>
    <x v="1"/>
  </r>
  <r>
    <x v="30"/>
    <x v="2"/>
    <x v="304"/>
    <x v="0"/>
    <x v="2"/>
    <x v="3"/>
    <x v="9"/>
    <x v="1"/>
    <n v="0"/>
    <x v="1"/>
  </r>
  <r>
    <x v="30"/>
    <x v="2"/>
    <x v="304"/>
    <x v="0"/>
    <x v="2"/>
    <x v="3"/>
    <x v="9"/>
    <x v="2"/>
    <n v="0"/>
    <x v="1"/>
  </r>
  <r>
    <x v="30"/>
    <x v="2"/>
    <x v="304"/>
    <x v="0"/>
    <x v="2"/>
    <x v="3"/>
    <x v="9"/>
    <x v="3"/>
    <n v="1836"/>
    <x v="1"/>
  </r>
  <r>
    <x v="30"/>
    <x v="2"/>
    <x v="304"/>
    <x v="0"/>
    <x v="2"/>
    <x v="3"/>
    <x v="9"/>
    <x v="4"/>
    <n v="0"/>
    <x v="1"/>
  </r>
  <r>
    <x v="30"/>
    <x v="2"/>
    <x v="304"/>
    <x v="0"/>
    <x v="2"/>
    <x v="3"/>
    <x v="9"/>
    <x v="5"/>
    <n v="0"/>
    <x v="1"/>
  </r>
  <r>
    <x v="30"/>
    <x v="2"/>
    <x v="304"/>
    <x v="0"/>
    <x v="2"/>
    <x v="3"/>
    <x v="9"/>
    <x v="6"/>
    <n v="0"/>
    <x v="1"/>
  </r>
  <r>
    <x v="30"/>
    <x v="2"/>
    <x v="304"/>
    <x v="0"/>
    <x v="2"/>
    <x v="3"/>
    <x v="9"/>
    <x v="7"/>
    <n v="9909"/>
    <x v="1"/>
  </r>
  <r>
    <x v="30"/>
    <x v="2"/>
    <x v="304"/>
    <x v="0"/>
    <x v="2"/>
    <x v="3"/>
    <x v="9"/>
    <x v="8"/>
    <n v="0"/>
    <x v="1"/>
  </r>
  <r>
    <x v="30"/>
    <x v="2"/>
    <x v="304"/>
    <x v="0"/>
    <x v="2"/>
    <x v="3"/>
    <x v="9"/>
    <x v="9"/>
    <n v="0"/>
    <x v="1"/>
  </r>
  <r>
    <x v="30"/>
    <x v="2"/>
    <x v="304"/>
    <x v="0"/>
    <x v="2"/>
    <x v="3"/>
    <x v="9"/>
    <x v="10"/>
    <n v="0"/>
    <x v="1"/>
  </r>
  <r>
    <x v="30"/>
    <x v="2"/>
    <x v="304"/>
    <x v="0"/>
    <x v="2"/>
    <x v="3"/>
    <x v="9"/>
    <x v="12"/>
    <n v="0"/>
    <x v="1"/>
  </r>
  <r>
    <x v="87"/>
    <x v="0"/>
    <x v="305"/>
    <x v="0"/>
    <x v="0"/>
    <x v="0"/>
    <x v="0"/>
    <x v="0"/>
    <n v="0"/>
    <x v="1"/>
  </r>
  <r>
    <x v="87"/>
    <x v="0"/>
    <x v="305"/>
    <x v="0"/>
    <x v="0"/>
    <x v="0"/>
    <x v="0"/>
    <x v="1"/>
    <n v="0"/>
    <x v="1"/>
  </r>
  <r>
    <x v="87"/>
    <x v="0"/>
    <x v="305"/>
    <x v="0"/>
    <x v="0"/>
    <x v="0"/>
    <x v="0"/>
    <x v="2"/>
    <n v="0"/>
    <x v="1"/>
  </r>
  <r>
    <x v="87"/>
    <x v="0"/>
    <x v="305"/>
    <x v="0"/>
    <x v="0"/>
    <x v="0"/>
    <x v="0"/>
    <x v="3"/>
    <n v="0"/>
    <x v="1"/>
  </r>
  <r>
    <x v="87"/>
    <x v="0"/>
    <x v="305"/>
    <x v="0"/>
    <x v="0"/>
    <x v="0"/>
    <x v="0"/>
    <x v="4"/>
    <n v="0"/>
    <x v="1"/>
  </r>
  <r>
    <x v="87"/>
    <x v="0"/>
    <x v="305"/>
    <x v="0"/>
    <x v="0"/>
    <x v="0"/>
    <x v="0"/>
    <x v="5"/>
    <n v="0"/>
    <x v="1"/>
  </r>
  <r>
    <x v="87"/>
    <x v="0"/>
    <x v="305"/>
    <x v="0"/>
    <x v="0"/>
    <x v="0"/>
    <x v="0"/>
    <x v="6"/>
    <n v="0"/>
    <x v="1"/>
  </r>
  <r>
    <x v="87"/>
    <x v="0"/>
    <x v="305"/>
    <x v="0"/>
    <x v="0"/>
    <x v="0"/>
    <x v="0"/>
    <x v="7"/>
    <n v="838.3"/>
    <x v="1"/>
  </r>
  <r>
    <x v="87"/>
    <x v="0"/>
    <x v="305"/>
    <x v="0"/>
    <x v="0"/>
    <x v="0"/>
    <x v="0"/>
    <x v="8"/>
    <n v="848"/>
    <x v="1"/>
  </r>
  <r>
    <x v="87"/>
    <x v="0"/>
    <x v="305"/>
    <x v="0"/>
    <x v="0"/>
    <x v="0"/>
    <x v="0"/>
    <x v="9"/>
    <n v="852"/>
    <x v="1"/>
  </r>
  <r>
    <x v="87"/>
    <x v="0"/>
    <x v="305"/>
    <x v="0"/>
    <x v="0"/>
    <x v="0"/>
    <x v="0"/>
    <x v="10"/>
    <n v="848"/>
    <x v="1"/>
  </r>
  <r>
    <x v="87"/>
    <x v="0"/>
    <x v="305"/>
    <x v="0"/>
    <x v="0"/>
    <x v="0"/>
    <x v="0"/>
    <x v="12"/>
    <n v="858"/>
    <x v="1"/>
  </r>
  <r>
    <x v="71"/>
    <x v="1"/>
    <x v="284"/>
    <x v="0"/>
    <x v="2"/>
    <x v="3"/>
    <x v="18"/>
    <x v="0"/>
    <n v="0"/>
    <x v="1"/>
  </r>
  <r>
    <x v="71"/>
    <x v="1"/>
    <x v="284"/>
    <x v="0"/>
    <x v="2"/>
    <x v="3"/>
    <x v="18"/>
    <x v="1"/>
    <n v="0"/>
    <x v="1"/>
  </r>
  <r>
    <x v="71"/>
    <x v="1"/>
    <x v="284"/>
    <x v="0"/>
    <x v="2"/>
    <x v="3"/>
    <x v="18"/>
    <x v="2"/>
    <n v="0"/>
    <x v="1"/>
  </r>
  <r>
    <x v="71"/>
    <x v="1"/>
    <x v="284"/>
    <x v="0"/>
    <x v="2"/>
    <x v="3"/>
    <x v="18"/>
    <x v="3"/>
    <n v="0"/>
    <x v="1"/>
  </r>
  <r>
    <x v="71"/>
    <x v="1"/>
    <x v="284"/>
    <x v="0"/>
    <x v="2"/>
    <x v="3"/>
    <x v="18"/>
    <x v="4"/>
    <n v="0"/>
    <x v="1"/>
  </r>
  <r>
    <x v="71"/>
    <x v="1"/>
    <x v="284"/>
    <x v="0"/>
    <x v="2"/>
    <x v="3"/>
    <x v="18"/>
    <x v="5"/>
    <n v="654.96"/>
    <x v="1"/>
  </r>
  <r>
    <x v="71"/>
    <x v="1"/>
    <x v="284"/>
    <x v="0"/>
    <x v="2"/>
    <x v="3"/>
    <x v="18"/>
    <x v="6"/>
    <n v="0"/>
    <x v="1"/>
  </r>
  <r>
    <x v="71"/>
    <x v="1"/>
    <x v="284"/>
    <x v="0"/>
    <x v="2"/>
    <x v="3"/>
    <x v="18"/>
    <x v="7"/>
    <n v="0"/>
    <x v="1"/>
  </r>
  <r>
    <x v="71"/>
    <x v="1"/>
    <x v="284"/>
    <x v="0"/>
    <x v="2"/>
    <x v="3"/>
    <x v="18"/>
    <x v="8"/>
    <n v="0"/>
    <x v="1"/>
  </r>
  <r>
    <x v="71"/>
    <x v="1"/>
    <x v="284"/>
    <x v="0"/>
    <x v="2"/>
    <x v="3"/>
    <x v="18"/>
    <x v="9"/>
    <n v="0"/>
    <x v="1"/>
  </r>
  <r>
    <x v="71"/>
    <x v="1"/>
    <x v="284"/>
    <x v="0"/>
    <x v="2"/>
    <x v="3"/>
    <x v="18"/>
    <x v="10"/>
    <n v="0"/>
    <x v="1"/>
  </r>
  <r>
    <x v="71"/>
    <x v="1"/>
    <x v="284"/>
    <x v="0"/>
    <x v="2"/>
    <x v="3"/>
    <x v="18"/>
    <x v="12"/>
    <n v="0"/>
    <x v="1"/>
  </r>
  <r>
    <x v="88"/>
    <x v="0"/>
    <x v="306"/>
    <x v="0"/>
    <x v="0"/>
    <x v="0"/>
    <x v="0"/>
    <x v="0"/>
    <n v="0"/>
    <x v="1"/>
  </r>
  <r>
    <x v="88"/>
    <x v="0"/>
    <x v="306"/>
    <x v="0"/>
    <x v="0"/>
    <x v="0"/>
    <x v="0"/>
    <x v="1"/>
    <n v="0"/>
    <x v="1"/>
  </r>
  <r>
    <x v="88"/>
    <x v="0"/>
    <x v="306"/>
    <x v="0"/>
    <x v="0"/>
    <x v="0"/>
    <x v="0"/>
    <x v="2"/>
    <n v="0"/>
    <x v="1"/>
  </r>
  <r>
    <x v="88"/>
    <x v="0"/>
    <x v="306"/>
    <x v="0"/>
    <x v="0"/>
    <x v="0"/>
    <x v="0"/>
    <x v="3"/>
    <n v="0"/>
    <x v="1"/>
  </r>
  <r>
    <x v="88"/>
    <x v="0"/>
    <x v="306"/>
    <x v="0"/>
    <x v="0"/>
    <x v="0"/>
    <x v="0"/>
    <x v="4"/>
    <n v="0"/>
    <x v="1"/>
  </r>
  <r>
    <x v="88"/>
    <x v="0"/>
    <x v="306"/>
    <x v="0"/>
    <x v="0"/>
    <x v="0"/>
    <x v="0"/>
    <x v="5"/>
    <n v="196.49"/>
    <x v="1"/>
  </r>
  <r>
    <x v="88"/>
    <x v="0"/>
    <x v="306"/>
    <x v="0"/>
    <x v="0"/>
    <x v="0"/>
    <x v="0"/>
    <x v="6"/>
    <n v="481"/>
    <x v="1"/>
  </r>
  <r>
    <x v="88"/>
    <x v="0"/>
    <x v="306"/>
    <x v="0"/>
    <x v="0"/>
    <x v="0"/>
    <x v="0"/>
    <x v="7"/>
    <n v="471.57"/>
    <x v="1"/>
  </r>
  <r>
    <x v="88"/>
    <x v="0"/>
    <x v="306"/>
    <x v="0"/>
    <x v="0"/>
    <x v="0"/>
    <x v="0"/>
    <x v="8"/>
    <n v="477"/>
    <x v="1"/>
  </r>
  <r>
    <x v="88"/>
    <x v="0"/>
    <x v="306"/>
    <x v="0"/>
    <x v="0"/>
    <x v="0"/>
    <x v="0"/>
    <x v="9"/>
    <n v="479"/>
    <x v="1"/>
  </r>
  <r>
    <x v="88"/>
    <x v="0"/>
    <x v="306"/>
    <x v="0"/>
    <x v="0"/>
    <x v="0"/>
    <x v="0"/>
    <x v="10"/>
    <n v="0"/>
    <x v="1"/>
  </r>
  <r>
    <x v="88"/>
    <x v="0"/>
    <x v="306"/>
    <x v="0"/>
    <x v="0"/>
    <x v="0"/>
    <x v="0"/>
    <x v="12"/>
    <n v="0"/>
    <x v="1"/>
  </r>
  <r>
    <x v="30"/>
    <x v="1"/>
    <x v="307"/>
    <x v="0"/>
    <x v="2"/>
    <x v="3"/>
    <x v="0"/>
    <x v="0"/>
    <n v="0"/>
    <x v="1"/>
  </r>
  <r>
    <x v="30"/>
    <x v="1"/>
    <x v="307"/>
    <x v="0"/>
    <x v="2"/>
    <x v="3"/>
    <x v="0"/>
    <x v="1"/>
    <n v="0"/>
    <x v="1"/>
  </r>
  <r>
    <x v="30"/>
    <x v="1"/>
    <x v="307"/>
    <x v="0"/>
    <x v="2"/>
    <x v="3"/>
    <x v="0"/>
    <x v="2"/>
    <n v="604.67616232195644"/>
    <x v="1"/>
  </r>
  <r>
    <x v="30"/>
    <x v="1"/>
    <x v="307"/>
    <x v="0"/>
    <x v="2"/>
    <x v="3"/>
    <x v="0"/>
    <x v="3"/>
    <n v="0"/>
    <x v="1"/>
  </r>
  <r>
    <x v="30"/>
    <x v="1"/>
    <x v="307"/>
    <x v="0"/>
    <x v="2"/>
    <x v="3"/>
    <x v="0"/>
    <x v="4"/>
    <n v="0"/>
    <x v="1"/>
  </r>
  <r>
    <x v="30"/>
    <x v="1"/>
    <x v="307"/>
    <x v="0"/>
    <x v="2"/>
    <x v="3"/>
    <x v="0"/>
    <x v="5"/>
    <n v="0"/>
    <x v="1"/>
  </r>
  <r>
    <x v="30"/>
    <x v="1"/>
    <x v="307"/>
    <x v="0"/>
    <x v="2"/>
    <x v="3"/>
    <x v="0"/>
    <x v="6"/>
    <n v="0"/>
    <x v="1"/>
  </r>
  <r>
    <x v="30"/>
    <x v="1"/>
    <x v="307"/>
    <x v="0"/>
    <x v="2"/>
    <x v="3"/>
    <x v="0"/>
    <x v="7"/>
    <n v="0"/>
    <x v="1"/>
  </r>
  <r>
    <x v="30"/>
    <x v="1"/>
    <x v="307"/>
    <x v="0"/>
    <x v="2"/>
    <x v="3"/>
    <x v="0"/>
    <x v="8"/>
    <n v="0"/>
    <x v="1"/>
  </r>
  <r>
    <x v="30"/>
    <x v="1"/>
    <x v="307"/>
    <x v="0"/>
    <x v="2"/>
    <x v="3"/>
    <x v="0"/>
    <x v="9"/>
    <n v="0"/>
    <x v="1"/>
  </r>
  <r>
    <x v="30"/>
    <x v="1"/>
    <x v="307"/>
    <x v="0"/>
    <x v="2"/>
    <x v="3"/>
    <x v="0"/>
    <x v="10"/>
    <n v="0"/>
    <x v="1"/>
  </r>
  <r>
    <x v="30"/>
    <x v="1"/>
    <x v="307"/>
    <x v="0"/>
    <x v="2"/>
    <x v="3"/>
    <x v="0"/>
    <x v="12"/>
    <n v="0"/>
    <x v="1"/>
  </r>
  <r>
    <x v="30"/>
    <x v="2"/>
    <x v="308"/>
    <x v="0"/>
    <x v="2"/>
    <x v="3"/>
    <x v="19"/>
    <x v="0"/>
    <n v="0"/>
    <x v="1"/>
  </r>
  <r>
    <x v="30"/>
    <x v="2"/>
    <x v="308"/>
    <x v="0"/>
    <x v="2"/>
    <x v="3"/>
    <x v="19"/>
    <x v="1"/>
    <n v="0"/>
    <x v="1"/>
  </r>
  <r>
    <x v="30"/>
    <x v="2"/>
    <x v="308"/>
    <x v="0"/>
    <x v="2"/>
    <x v="3"/>
    <x v="19"/>
    <x v="2"/>
    <n v="0"/>
    <x v="1"/>
  </r>
  <r>
    <x v="30"/>
    <x v="2"/>
    <x v="308"/>
    <x v="0"/>
    <x v="2"/>
    <x v="3"/>
    <x v="19"/>
    <x v="3"/>
    <n v="0"/>
    <x v="1"/>
  </r>
  <r>
    <x v="30"/>
    <x v="2"/>
    <x v="308"/>
    <x v="0"/>
    <x v="2"/>
    <x v="3"/>
    <x v="19"/>
    <x v="4"/>
    <n v="0"/>
    <x v="1"/>
  </r>
  <r>
    <x v="30"/>
    <x v="2"/>
    <x v="308"/>
    <x v="0"/>
    <x v="2"/>
    <x v="3"/>
    <x v="19"/>
    <x v="5"/>
    <n v="0"/>
    <x v="1"/>
  </r>
  <r>
    <x v="30"/>
    <x v="2"/>
    <x v="308"/>
    <x v="0"/>
    <x v="2"/>
    <x v="3"/>
    <x v="19"/>
    <x v="6"/>
    <n v="3550"/>
    <x v="1"/>
  </r>
  <r>
    <x v="30"/>
    <x v="2"/>
    <x v="308"/>
    <x v="0"/>
    <x v="2"/>
    <x v="3"/>
    <x v="19"/>
    <x v="7"/>
    <n v="0"/>
    <x v="1"/>
  </r>
  <r>
    <x v="30"/>
    <x v="2"/>
    <x v="308"/>
    <x v="0"/>
    <x v="2"/>
    <x v="3"/>
    <x v="19"/>
    <x v="8"/>
    <n v="0"/>
    <x v="1"/>
  </r>
  <r>
    <x v="30"/>
    <x v="2"/>
    <x v="308"/>
    <x v="0"/>
    <x v="2"/>
    <x v="3"/>
    <x v="19"/>
    <x v="9"/>
    <n v="0"/>
    <x v="1"/>
  </r>
  <r>
    <x v="30"/>
    <x v="2"/>
    <x v="308"/>
    <x v="0"/>
    <x v="2"/>
    <x v="3"/>
    <x v="19"/>
    <x v="10"/>
    <n v="0"/>
    <x v="1"/>
  </r>
  <r>
    <x v="30"/>
    <x v="2"/>
    <x v="308"/>
    <x v="0"/>
    <x v="2"/>
    <x v="3"/>
    <x v="19"/>
    <x v="12"/>
    <n v="0"/>
    <x v="1"/>
  </r>
  <r>
    <x v="30"/>
    <x v="1"/>
    <x v="309"/>
    <x v="0"/>
    <x v="2"/>
    <x v="3"/>
    <x v="0"/>
    <x v="0"/>
    <n v="0"/>
    <x v="1"/>
  </r>
  <r>
    <x v="30"/>
    <x v="1"/>
    <x v="309"/>
    <x v="0"/>
    <x v="2"/>
    <x v="3"/>
    <x v="0"/>
    <x v="1"/>
    <n v="0"/>
    <x v="1"/>
  </r>
  <r>
    <x v="30"/>
    <x v="1"/>
    <x v="309"/>
    <x v="0"/>
    <x v="2"/>
    <x v="3"/>
    <x v="0"/>
    <x v="2"/>
    <n v="0"/>
    <x v="1"/>
  </r>
  <r>
    <x v="30"/>
    <x v="1"/>
    <x v="309"/>
    <x v="0"/>
    <x v="2"/>
    <x v="3"/>
    <x v="0"/>
    <x v="3"/>
    <n v="0"/>
    <x v="1"/>
  </r>
  <r>
    <x v="30"/>
    <x v="1"/>
    <x v="309"/>
    <x v="0"/>
    <x v="2"/>
    <x v="3"/>
    <x v="0"/>
    <x v="4"/>
    <n v="0"/>
    <x v="1"/>
  </r>
  <r>
    <x v="30"/>
    <x v="1"/>
    <x v="309"/>
    <x v="0"/>
    <x v="2"/>
    <x v="3"/>
    <x v="0"/>
    <x v="5"/>
    <n v="0"/>
    <x v="1"/>
  </r>
  <r>
    <x v="30"/>
    <x v="1"/>
    <x v="309"/>
    <x v="0"/>
    <x v="2"/>
    <x v="3"/>
    <x v="0"/>
    <x v="6"/>
    <n v="94"/>
    <x v="1"/>
  </r>
  <r>
    <x v="30"/>
    <x v="1"/>
    <x v="309"/>
    <x v="0"/>
    <x v="2"/>
    <x v="3"/>
    <x v="0"/>
    <x v="7"/>
    <n v="0"/>
    <x v="1"/>
  </r>
  <r>
    <x v="30"/>
    <x v="1"/>
    <x v="309"/>
    <x v="0"/>
    <x v="2"/>
    <x v="3"/>
    <x v="0"/>
    <x v="8"/>
    <n v="93"/>
    <x v="1"/>
  </r>
  <r>
    <x v="30"/>
    <x v="1"/>
    <x v="309"/>
    <x v="0"/>
    <x v="2"/>
    <x v="3"/>
    <x v="0"/>
    <x v="9"/>
    <n v="93"/>
    <x v="1"/>
  </r>
  <r>
    <x v="30"/>
    <x v="1"/>
    <x v="309"/>
    <x v="0"/>
    <x v="2"/>
    <x v="3"/>
    <x v="0"/>
    <x v="10"/>
    <n v="93"/>
    <x v="1"/>
  </r>
  <r>
    <x v="30"/>
    <x v="1"/>
    <x v="309"/>
    <x v="0"/>
    <x v="2"/>
    <x v="3"/>
    <x v="0"/>
    <x v="12"/>
    <n v="0"/>
    <x v="1"/>
  </r>
  <r>
    <x v="30"/>
    <x v="0"/>
    <x v="310"/>
    <x v="0"/>
    <x v="0"/>
    <x v="2"/>
    <x v="0"/>
    <x v="0"/>
    <n v="0"/>
    <x v="1"/>
  </r>
  <r>
    <x v="30"/>
    <x v="0"/>
    <x v="310"/>
    <x v="0"/>
    <x v="0"/>
    <x v="2"/>
    <x v="0"/>
    <x v="1"/>
    <n v="0"/>
    <x v="1"/>
  </r>
  <r>
    <x v="30"/>
    <x v="0"/>
    <x v="310"/>
    <x v="0"/>
    <x v="0"/>
    <x v="2"/>
    <x v="0"/>
    <x v="2"/>
    <n v="2418.7046492878258"/>
    <x v="1"/>
  </r>
  <r>
    <x v="30"/>
    <x v="0"/>
    <x v="310"/>
    <x v="0"/>
    <x v="0"/>
    <x v="2"/>
    <x v="0"/>
    <x v="3"/>
    <n v="0"/>
    <x v="1"/>
  </r>
  <r>
    <x v="30"/>
    <x v="0"/>
    <x v="310"/>
    <x v="0"/>
    <x v="0"/>
    <x v="2"/>
    <x v="0"/>
    <x v="4"/>
    <n v="0"/>
    <x v="1"/>
  </r>
  <r>
    <x v="30"/>
    <x v="0"/>
    <x v="310"/>
    <x v="0"/>
    <x v="0"/>
    <x v="2"/>
    <x v="0"/>
    <x v="5"/>
    <n v="0"/>
    <x v="1"/>
  </r>
  <r>
    <x v="30"/>
    <x v="0"/>
    <x v="310"/>
    <x v="0"/>
    <x v="0"/>
    <x v="2"/>
    <x v="0"/>
    <x v="6"/>
    <n v="0"/>
    <x v="1"/>
  </r>
  <r>
    <x v="30"/>
    <x v="0"/>
    <x v="310"/>
    <x v="0"/>
    <x v="0"/>
    <x v="2"/>
    <x v="0"/>
    <x v="7"/>
    <n v="0"/>
    <x v="1"/>
  </r>
  <r>
    <x v="30"/>
    <x v="0"/>
    <x v="310"/>
    <x v="0"/>
    <x v="0"/>
    <x v="2"/>
    <x v="0"/>
    <x v="8"/>
    <n v="0"/>
    <x v="1"/>
  </r>
  <r>
    <x v="30"/>
    <x v="0"/>
    <x v="310"/>
    <x v="0"/>
    <x v="0"/>
    <x v="2"/>
    <x v="0"/>
    <x v="9"/>
    <n v="0"/>
    <x v="1"/>
  </r>
  <r>
    <x v="30"/>
    <x v="0"/>
    <x v="310"/>
    <x v="0"/>
    <x v="0"/>
    <x v="2"/>
    <x v="0"/>
    <x v="10"/>
    <n v="0"/>
    <x v="1"/>
  </r>
  <r>
    <x v="30"/>
    <x v="0"/>
    <x v="310"/>
    <x v="0"/>
    <x v="0"/>
    <x v="2"/>
    <x v="0"/>
    <x v="12"/>
    <n v="0"/>
    <x v="1"/>
  </r>
  <r>
    <x v="30"/>
    <x v="1"/>
    <x v="311"/>
    <x v="0"/>
    <x v="2"/>
    <x v="3"/>
    <x v="0"/>
    <x v="0"/>
    <n v="0"/>
    <x v="1"/>
  </r>
  <r>
    <x v="30"/>
    <x v="1"/>
    <x v="311"/>
    <x v="0"/>
    <x v="2"/>
    <x v="3"/>
    <x v="0"/>
    <x v="1"/>
    <n v="0"/>
    <x v="1"/>
  </r>
  <r>
    <x v="30"/>
    <x v="1"/>
    <x v="311"/>
    <x v="0"/>
    <x v="2"/>
    <x v="3"/>
    <x v="0"/>
    <x v="2"/>
    <n v="0"/>
    <x v="1"/>
  </r>
  <r>
    <x v="30"/>
    <x v="1"/>
    <x v="311"/>
    <x v="0"/>
    <x v="2"/>
    <x v="3"/>
    <x v="0"/>
    <x v="3"/>
    <n v="0"/>
    <x v="1"/>
  </r>
  <r>
    <x v="30"/>
    <x v="1"/>
    <x v="311"/>
    <x v="0"/>
    <x v="2"/>
    <x v="3"/>
    <x v="0"/>
    <x v="4"/>
    <n v="0"/>
    <x v="1"/>
  </r>
  <r>
    <x v="30"/>
    <x v="1"/>
    <x v="311"/>
    <x v="0"/>
    <x v="2"/>
    <x v="3"/>
    <x v="0"/>
    <x v="5"/>
    <n v="0"/>
    <x v="1"/>
  </r>
  <r>
    <x v="30"/>
    <x v="1"/>
    <x v="311"/>
    <x v="0"/>
    <x v="2"/>
    <x v="3"/>
    <x v="0"/>
    <x v="6"/>
    <n v="0"/>
    <x v="1"/>
  </r>
  <r>
    <x v="30"/>
    <x v="1"/>
    <x v="311"/>
    <x v="0"/>
    <x v="2"/>
    <x v="3"/>
    <x v="0"/>
    <x v="7"/>
    <n v="0"/>
    <x v="1"/>
  </r>
  <r>
    <x v="30"/>
    <x v="1"/>
    <x v="311"/>
    <x v="0"/>
    <x v="2"/>
    <x v="3"/>
    <x v="0"/>
    <x v="8"/>
    <n v="0"/>
    <x v="1"/>
  </r>
  <r>
    <x v="30"/>
    <x v="1"/>
    <x v="311"/>
    <x v="0"/>
    <x v="2"/>
    <x v="3"/>
    <x v="0"/>
    <x v="9"/>
    <n v="147"/>
    <x v="1"/>
  </r>
  <r>
    <x v="30"/>
    <x v="1"/>
    <x v="311"/>
    <x v="0"/>
    <x v="2"/>
    <x v="3"/>
    <x v="0"/>
    <x v="10"/>
    <n v="1097"/>
    <x v="1"/>
  </r>
  <r>
    <x v="30"/>
    <x v="1"/>
    <x v="311"/>
    <x v="0"/>
    <x v="2"/>
    <x v="3"/>
    <x v="0"/>
    <x v="12"/>
    <n v="1109.6199999999999"/>
    <x v="1"/>
  </r>
  <r>
    <x v="30"/>
    <x v="0"/>
    <x v="312"/>
    <x v="0"/>
    <x v="0"/>
    <x v="0"/>
    <x v="0"/>
    <x v="0"/>
    <n v="0"/>
    <x v="1"/>
  </r>
  <r>
    <x v="30"/>
    <x v="0"/>
    <x v="312"/>
    <x v="0"/>
    <x v="0"/>
    <x v="0"/>
    <x v="0"/>
    <x v="1"/>
    <n v="0"/>
    <x v="1"/>
  </r>
  <r>
    <x v="30"/>
    <x v="0"/>
    <x v="312"/>
    <x v="0"/>
    <x v="0"/>
    <x v="0"/>
    <x v="0"/>
    <x v="2"/>
    <n v="0"/>
    <x v="1"/>
  </r>
  <r>
    <x v="30"/>
    <x v="0"/>
    <x v="312"/>
    <x v="0"/>
    <x v="0"/>
    <x v="0"/>
    <x v="0"/>
    <x v="3"/>
    <n v="0"/>
    <x v="1"/>
  </r>
  <r>
    <x v="30"/>
    <x v="0"/>
    <x v="312"/>
    <x v="0"/>
    <x v="0"/>
    <x v="0"/>
    <x v="0"/>
    <x v="4"/>
    <n v="0"/>
    <x v="1"/>
  </r>
  <r>
    <x v="30"/>
    <x v="0"/>
    <x v="312"/>
    <x v="0"/>
    <x v="0"/>
    <x v="0"/>
    <x v="0"/>
    <x v="5"/>
    <n v="0"/>
    <x v="1"/>
  </r>
  <r>
    <x v="30"/>
    <x v="0"/>
    <x v="312"/>
    <x v="0"/>
    <x v="0"/>
    <x v="0"/>
    <x v="0"/>
    <x v="6"/>
    <n v="0"/>
    <x v="1"/>
  </r>
  <r>
    <x v="30"/>
    <x v="0"/>
    <x v="312"/>
    <x v="0"/>
    <x v="0"/>
    <x v="0"/>
    <x v="0"/>
    <x v="7"/>
    <n v="0"/>
    <x v="1"/>
  </r>
  <r>
    <x v="30"/>
    <x v="0"/>
    <x v="312"/>
    <x v="0"/>
    <x v="0"/>
    <x v="0"/>
    <x v="0"/>
    <x v="8"/>
    <n v="0"/>
    <x v="1"/>
  </r>
  <r>
    <x v="30"/>
    <x v="0"/>
    <x v="312"/>
    <x v="0"/>
    <x v="0"/>
    <x v="0"/>
    <x v="0"/>
    <x v="9"/>
    <n v="0"/>
    <x v="1"/>
  </r>
  <r>
    <x v="30"/>
    <x v="0"/>
    <x v="312"/>
    <x v="0"/>
    <x v="0"/>
    <x v="0"/>
    <x v="0"/>
    <x v="10"/>
    <n v="1458"/>
    <x v="1"/>
  </r>
  <r>
    <x v="30"/>
    <x v="0"/>
    <x v="312"/>
    <x v="0"/>
    <x v="0"/>
    <x v="0"/>
    <x v="0"/>
    <x v="12"/>
    <n v="1474"/>
    <x v="1"/>
  </r>
  <r>
    <x v="70"/>
    <x v="0"/>
    <x v="283"/>
    <x v="0"/>
    <x v="0"/>
    <x v="0"/>
    <x v="0"/>
    <x v="0"/>
    <n v="0"/>
    <x v="1"/>
  </r>
  <r>
    <x v="70"/>
    <x v="0"/>
    <x v="283"/>
    <x v="0"/>
    <x v="0"/>
    <x v="0"/>
    <x v="0"/>
    <x v="1"/>
    <n v="0"/>
    <x v="1"/>
  </r>
  <r>
    <x v="70"/>
    <x v="0"/>
    <x v="283"/>
    <x v="0"/>
    <x v="0"/>
    <x v="0"/>
    <x v="0"/>
    <x v="2"/>
    <n v="0"/>
    <x v="1"/>
  </r>
  <r>
    <x v="70"/>
    <x v="0"/>
    <x v="283"/>
    <x v="0"/>
    <x v="0"/>
    <x v="0"/>
    <x v="0"/>
    <x v="3"/>
    <n v="0"/>
    <x v="1"/>
  </r>
  <r>
    <x v="70"/>
    <x v="0"/>
    <x v="283"/>
    <x v="0"/>
    <x v="0"/>
    <x v="0"/>
    <x v="0"/>
    <x v="4"/>
    <n v="0"/>
    <x v="1"/>
  </r>
  <r>
    <x v="70"/>
    <x v="0"/>
    <x v="283"/>
    <x v="0"/>
    <x v="0"/>
    <x v="0"/>
    <x v="0"/>
    <x v="5"/>
    <n v="0"/>
    <x v="1"/>
  </r>
  <r>
    <x v="70"/>
    <x v="0"/>
    <x v="283"/>
    <x v="0"/>
    <x v="0"/>
    <x v="0"/>
    <x v="0"/>
    <x v="6"/>
    <n v="0"/>
    <x v="1"/>
  </r>
  <r>
    <x v="70"/>
    <x v="0"/>
    <x v="283"/>
    <x v="0"/>
    <x v="0"/>
    <x v="0"/>
    <x v="0"/>
    <x v="7"/>
    <n v="0"/>
    <x v="1"/>
  </r>
  <r>
    <x v="70"/>
    <x v="0"/>
    <x v="283"/>
    <x v="0"/>
    <x v="0"/>
    <x v="0"/>
    <x v="0"/>
    <x v="8"/>
    <n v="0"/>
    <x v="1"/>
  </r>
  <r>
    <x v="70"/>
    <x v="0"/>
    <x v="283"/>
    <x v="0"/>
    <x v="0"/>
    <x v="0"/>
    <x v="0"/>
    <x v="9"/>
    <n v="0"/>
    <x v="1"/>
  </r>
  <r>
    <x v="70"/>
    <x v="0"/>
    <x v="283"/>
    <x v="0"/>
    <x v="0"/>
    <x v="0"/>
    <x v="0"/>
    <x v="10"/>
    <n v="274"/>
    <x v="1"/>
  </r>
  <r>
    <x v="70"/>
    <x v="0"/>
    <x v="283"/>
    <x v="0"/>
    <x v="0"/>
    <x v="0"/>
    <x v="0"/>
    <x v="12"/>
    <n v="0"/>
    <x v="1"/>
  </r>
  <r>
    <x v="59"/>
    <x v="1"/>
    <x v="272"/>
    <x v="0"/>
    <x v="2"/>
    <x v="3"/>
    <x v="0"/>
    <x v="0"/>
    <n v="0"/>
    <x v="1"/>
  </r>
  <r>
    <x v="59"/>
    <x v="1"/>
    <x v="272"/>
    <x v="0"/>
    <x v="2"/>
    <x v="3"/>
    <x v="0"/>
    <x v="1"/>
    <n v="0"/>
    <x v="1"/>
  </r>
  <r>
    <x v="59"/>
    <x v="1"/>
    <x v="272"/>
    <x v="0"/>
    <x v="2"/>
    <x v="3"/>
    <x v="0"/>
    <x v="2"/>
    <n v="0"/>
    <x v="1"/>
  </r>
  <r>
    <x v="59"/>
    <x v="1"/>
    <x v="272"/>
    <x v="0"/>
    <x v="2"/>
    <x v="3"/>
    <x v="0"/>
    <x v="3"/>
    <n v="0"/>
    <x v="1"/>
  </r>
  <r>
    <x v="59"/>
    <x v="1"/>
    <x v="272"/>
    <x v="0"/>
    <x v="2"/>
    <x v="3"/>
    <x v="0"/>
    <x v="4"/>
    <n v="0"/>
    <x v="1"/>
  </r>
  <r>
    <x v="59"/>
    <x v="1"/>
    <x v="272"/>
    <x v="0"/>
    <x v="2"/>
    <x v="3"/>
    <x v="0"/>
    <x v="5"/>
    <n v="0"/>
    <x v="1"/>
  </r>
  <r>
    <x v="59"/>
    <x v="1"/>
    <x v="272"/>
    <x v="0"/>
    <x v="2"/>
    <x v="3"/>
    <x v="0"/>
    <x v="6"/>
    <n v="0"/>
    <x v="1"/>
  </r>
  <r>
    <x v="59"/>
    <x v="1"/>
    <x v="272"/>
    <x v="0"/>
    <x v="2"/>
    <x v="3"/>
    <x v="0"/>
    <x v="7"/>
    <n v="0"/>
    <x v="1"/>
  </r>
  <r>
    <x v="59"/>
    <x v="1"/>
    <x v="272"/>
    <x v="0"/>
    <x v="2"/>
    <x v="3"/>
    <x v="0"/>
    <x v="8"/>
    <n v="0"/>
    <x v="1"/>
  </r>
  <r>
    <x v="59"/>
    <x v="1"/>
    <x v="272"/>
    <x v="0"/>
    <x v="2"/>
    <x v="3"/>
    <x v="0"/>
    <x v="9"/>
    <n v="0"/>
    <x v="1"/>
  </r>
  <r>
    <x v="59"/>
    <x v="1"/>
    <x v="272"/>
    <x v="0"/>
    <x v="2"/>
    <x v="3"/>
    <x v="0"/>
    <x v="10"/>
    <n v="252"/>
    <x v="1"/>
  </r>
  <r>
    <x v="59"/>
    <x v="1"/>
    <x v="272"/>
    <x v="0"/>
    <x v="2"/>
    <x v="3"/>
    <x v="0"/>
    <x v="12"/>
    <n v="0"/>
    <x v="1"/>
  </r>
  <r>
    <x v="30"/>
    <x v="1"/>
    <x v="313"/>
    <x v="0"/>
    <x v="2"/>
    <x v="3"/>
    <x v="0"/>
    <x v="0"/>
    <n v="0"/>
    <x v="1"/>
  </r>
  <r>
    <x v="30"/>
    <x v="1"/>
    <x v="313"/>
    <x v="0"/>
    <x v="2"/>
    <x v="3"/>
    <x v="0"/>
    <x v="1"/>
    <n v="0"/>
    <x v="1"/>
  </r>
  <r>
    <x v="30"/>
    <x v="1"/>
    <x v="313"/>
    <x v="0"/>
    <x v="2"/>
    <x v="3"/>
    <x v="0"/>
    <x v="2"/>
    <n v="0"/>
    <x v="1"/>
  </r>
  <r>
    <x v="30"/>
    <x v="1"/>
    <x v="313"/>
    <x v="0"/>
    <x v="2"/>
    <x v="3"/>
    <x v="0"/>
    <x v="3"/>
    <n v="0"/>
    <x v="1"/>
  </r>
  <r>
    <x v="30"/>
    <x v="1"/>
    <x v="313"/>
    <x v="0"/>
    <x v="2"/>
    <x v="3"/>
    <x v="0"/>
    <x v="4"/>
    <n v="0"/>
    <x v="1"/>
  </r>
  <r>
    <x v="30"/>
    <x v="1"/>
    <x v="313"/>
    <x v="0"/>
    <x v="2"/>
    <x v="3"/>
    <x v="0"/>
    <x v="5"/>
    <n v="0"/>
    <x v="1"/>
  </r>
  <r>
    <x v="30"/>
    <x v="1"/>
    <x v="313"/>
    <x v="0"/>
    <x v="2"/>
    <x v="3"/>
    <x v="0"/>
    <x v="6"/>
    <n v="0"/>
    <x v="1"/>
  </r>
  <r>
    <x v="30"/>
    <x v="1"/>
    <x v="313"/>
    <x v="0"/>
    <x v="2"/>
    <x v="3"/>
    <x v="0"/>
    <x v="7"/>
    <n v="0"/>
    <x v="1"/>
  </r>
  <r>
    <x v="30"/>
    <x v="1"/>
    <x v="313"/>
    <x v="0"/>
    <x v="2"/>
    <x v="3"/>
    <x v="0"/>
    <x v="8"/>
    <n v="0"/>
    <x v="1"/>
  </r>
  <r>
    <x v="30"/>
    <x v="1"/>
    <x v="313"/>
    <x v="0"/>
    <x v="2"/>
    <x v="3"/>
    <x v="0"/>
    <x v="9"/>
    <n v="0"/>
    <x v="1"/>
  </r>
  <r>
    <x v="30"/>
    <x v="1"/>
    <x v="313"/>
    <x v="0"/>
    <x v="2"/>
    <x v="3"/>
    <x v="0"/>
    <x v="10"/>
    <n v="0"/>
    <x v="1"/>
  </r>
  <r>
    <x v="30"/>
    <x v="1"/>
    <x v="313"/>
    <x v="0"/>
    <x v="2"/>
    <x v="3"/>
    <x v="0"/>
    <x v="12"/>
    <n v="509"/>
    <x v="1"/>
  </r>
  <r>
    <x v="30"/>
    <x v="0"/>
    <x v="314"/>
    <x v="2"/>
    <x v="2"/>
    <x v="3"/>
    <x v="0"/>
    <x v="0"/>
    <n v="1117.0858221872541"/>
    <x v="1"/>
  </r>
  <r>
    <x v="30"/>
    <x v="0"/>
    <x v="314"/>
    <x v="2"/>
    <x v="2"/>
    <x v="3"/>
    <x v="0"/>
    <x v="1"/>
    <n v="0"/>
    <x v="1"/>
  </r>
  <r>
    <x v="30"/>
    <x v="0"/>
    <x v="314"/>
    <x v="2"/>
    <x v="2"/>
    <x v="3"/>
    <x v="0"/>
    <x v="2"/>
    <n v="2110.5574200483743"/>
    <x v="1"/>
  </r>
  <r>
    <x v="30"/>
    <x v="0"/>
    <x v="314"/>
    <x v="2"/>
    <x v="2"/>
    <x v="3"/>
    <x v="0"/>
    <x v="3"/>
    <n v="1120"/>
    <x v="1"/>
  </r>
  <r>
    <x v="30"/>
    <x v="0"/>
    <x v="314"/>
    <x v="2"/>
    <x v="2"/>
    <x v="3"/>
    <x v="0"/>
    <x v="4"/>
    <n v="1119"/>
    <x v="1"/>
  </r>
  <r>
    <x v="30"/>
    <x v="0"/>
    <x v="314"/>
    <x v="2"/>
    <x v="2"/>
    <x v="3"/>
    <x v="0"/>
    <x v="5"/>
    <n v="1118"/>
    <x v="1"/>
  </r>
  <r>
    <x v="30"/>
    <x v="0"/>
    <x v="314"/>
    <x v="2"/>
    <x v="2"/>
    <x v="3"/>
    <x v="0"/>
    <x v="6"/>
    <n v="1124"/>
    <x v="1"/>
  </r>
  <r>
    <x v="30"/>
    <x v="0"/>
    <x v="314"/>
    <x v="2"/>
    <x v="2"/>
    <x v="3"/>
    <x v="0"/>
    <x v="7"/>
    <n v="1119"/>
    <x v="1"/>
  </r>
  <r>
    <x v="30"/>
    <x v="0"/>
    <x v="314"/>
    <x v="2"/>
    <x v="2"/>
    <x v="3"/>
    <x v="0"/>
    <x v="8"/>
    <n v="1120"/>
    <x v="1"/>
  </r>
  <r>
    <x v="30"/>
    <x v="0"/>
    <x v="314"/>
    <x v="2"/>
    <x v="2"/>
    <x v="3"/>
    <x v="0"/>
    <x v="9"/>
    <n v="1120"/>
    <x v="1"/>
  </r>
  <r>
    <x v="30"/>
    <x v="0"/>
    <x v="314"/>
    <x v="2"/>
    <x v="2"/>
    <x v="3"/>
    <x v="0"/>
    <x v="10"/>
    <n v="1121"/>
    <x v="1"/>
  </r>
  <r>
    <x v="30"/>
    <x v="0"/>
    <x v="314"/>
    <x v="2"/>
    <x v="2"/>
    <x v="3"/>
    <x v="0"/>
    <x v="12"/>
    <n v="1123"/>
    <x v="1"/>
  </r>
  <r>
    <x v="30"/>
    <x v="0"/>
    <x v="315"/>
    <x v="2"/>
    <x v="2"/>
    <x v="3"/>
    <x v="0"/>
    <x v="0"/>
    <n v="650"/>
    <x v="1"/>
  </r>
  <r>
    <x v="30"/>
    <x v="0"/>
    <x v="315"/>
    <x v="2"/>
    <x v="2"/>
    <x v="3"/>
    <x v="0"/>
    <x v="1"/>
    <n v="0"/>
    <x v="1"/>
  </r>
  <r>
    <x v="30"/>
    <x v="0"/>
    <x v="315"/>
    <x v="2"/>
    <x v="2"/>
    <x v="3"/>
    <x v="0"/>
    <x v="2"/>
    <n v="1300"/>
    <x v="1"/>
  </r>
  <r>
    <x v="30"/>
    <x v="0"/>
    <x v="315"/>
    <x v="2"/>
    <x v="2"/>
    <x v="3"/>
    <x v="0"/>
    <x v="3"/>
    <n v="1300"/>
    <x v="1"/>
  </r>
  <r>
    <x v="30"/>
    <x v="0"/>
    <x v="315"/>
    <x v="2"/>
    <x v="2"/>
    <x v="3"/>
    <x v="0"/>
    <x v="4"/>
    <n v="650"/>
    <x v="1"/>
  </r>
  <r>
    <x v="30"/>
    <x v="0"/>
    <x v="315"/>
    <x v="2"/>
    <x v="2"/>
    <x v="3"/>
    <x v="0"/>
    <x v="5"/>
    <n v="650"/>
    <x v="1"/>
  </r>
  <r>
    <x v="30"/>
    <x v="0"/>
    <x v="315"/>
    <x v="2"/>
    <x v="2"/>
    <x v="3"/>
    <x v="0"/>
    <x v="6"/>
    <n v="650"/>
    <x v="1"/>
  </r>
  <r>
    <x v="30"/>
    <x v="0"/>
    <x v="315"/>
    <x v="2"/>
    <x v="2"/>
    <x v="3"/>
    <x v="0"/>
    <x v="7"/>
    <n v="650"/>
    <x v="1"/>
  </r>
  <r>
    <x v="30"/>
    <x v="0"/>
    <x v="315"/>
    <x v="2"/>
    <x v="2"/>
    <x v="3"/>
    <x v="0"/>
    <x v="8"/>
    <n v="650"/>
    <x v="1"/>
  </r>
  <r>
    <x v="30"/>
    <x v="0"/>
    <x v="315"/>
    <x v="2"/>
    <x v="2"/>
    <x v="3"/>
    <x v="0"/>
    <x v="9"/>
    <n v="650"/>
    <x v="1"/>
  </r>
  <r>
    <x v="30"/>
    <x v="0"/>
    <x v="315"/>
    <x v="2"/>
    <x v="2"/>
    <x v="3"/>
    <x v="0"/>
    <x v="10"/>
    <n v="650"/>
    <x v="1"/>
  </r>
  <r>
    <x v="30"/>
    <x v="0"/>
    <x v="315"/>
    <x v="2"/>
    <x v="2"/>
    <x v="3"/>
    <x v="0"/>
    <x v="12"/>
    <n v="650"/>
    <x v="1"/>
  </r>
  <r>
    <x v="30"/>
    <x v="2"/>
    <x v="316"/>
    <x v="0"/>
    <x v="2"/>
    <x v="3"/>
    <x v="20"/>
    <x v="0"/>
    <n v="954.89116181484394"/>
    <x v="1"/>
  </r>
  <r>
    <x v="30"/>
    <x v="2"/>
    <x v="316"/>
    <x v="0"/>
    <x v="2"/>
    <x v="3"/>
    <x v="20"/>
    <x v="1"/>
    <n v="0"/>
    <x v="1"/>
  </r>
  <r>
    <x v="30"/>
    <x v="2"/>
    <x v="316"/>
    <x v="0"/>
    <x v="2"/>
    <x v="3"/>
    <x v="20"/>
    <x v="2"/>
    <n v="20942.010000000002"/>
    <x v="1"/>
  </r>
  <r>
    <x v="30"/>
    <x v="2"/>
    <x v="316"/>
    <x v="0"/>
    <x v="2"/>
    <x v="3"/>
    <x v="20"/>
    <x v="3"/>
    <n v="2912"/>
    <x v="1"/>
  </r>
  <r>
    <x v="30"/>
    <x v="2"/>
    <x v="316"/>
    <x v="0"/>
    <x v="2"/>
    <x v="3"/>
    <x v="20"/>
    <x v="4"/>
    <n v="0"/>
    <x v="1"/>
  </r>
  <r>
    <x v="30"/>
    <x v="2"/>
    <x v="316"/>
    <x v="0"/>
    <x v="2"/>
    <x v="3"/>
    <x v="20"/>
    <x v="5"/>
    <n v="0"/>
    <x v="1"/>
  </r>
  <r>
    <x v="30"/>
    <x v="2"/>
    <x v="316"/>
    <x v="0"/>
    <x v="2"/>
    <x v="3"/>
    <x v="20"/>
    <x v="6"/>
    <n v="0"/>
    <x v="1"/>
  </r>
  <r>
    <x v="30"/>
    <x v="2"/>
    <x v="316"/>
    <x v="0"/>
    <x v="2"/>
    <x v="3"/>
    <x v="20"/>
    <x v="7"/>
    <n v="36628"/>
    <x v="1"/>
  </r>
  <r>
    <x v="30"/>
    <x v="2"/>
    <x v="316"/>
    <x v="0"/>
    <x v="2"/>
    <x v="3"/>
    <x v="20"/>
    <x v="8"/>
    <n v="4768"/>
    <x v="1"/>
  </r>
  <r>
    <x v="30"/>
    <x v="2"/>
    <x v="316"/>
    <x v="0"/>
    <x v="2"/>
    <x v="3"/>
    <x v="20"/>
    <x v="9"/>
    <n v="0"/>
    <x v="1"/>
  </r>
  <r>
    <x v="30"/>
    <x v="2"/>
    <x v="316"/>
    <x v="0"/>
    <x v="2"/>
    <x v="3"/>
    <x v="20"/>
    <x v="10"/>
    <n v="7600"/>
    <x v="1"/>
  </r>
  <r>
    <x v="30"/>
    <x v="2"/>
    <x v="316"/>
    <x v="0"/>
    <x v="2"/>
    <x v="3"/>
    <x v="20"/>
    <x v="12"/>
    <n v="27872"/>
    <x v="1"/>
  </r>
  <r>
    <x v="30"/>
    <x v="2"/>
    <x v="317"/>
    <x v="0"/>
    <x v="2"/>
    <x v="3"/>
    <x v="20"/>
    <x v="0"/>
    <n v="7139"/>
    <x v="1"/>
  </r>
  <r>
    <x v="30"/>
    <x v="2"/>
    <x v="317"/>
    <x v="0"/>
    <x v="2"/>
    <x v="3"/>
    <x v="20"/>
    <x v="1"/>
    <n v="0"/>
    <x v="1"/>
  </r>
  <r>
    <x v="30"/>
    <x v="2"/>
    <x v="317"/>
    <x v="0"/>
    <x v="2"/>
    <x v="3"/>
    <x v="20"/>
    <x v="2"/>
    <n v="0"/>
    <x v="1"/>
  </r>
  <r>
    <x v="30"/>
    <x v="2"/>
    <x v="317"/>
    <x v="0"/>
    <x v="2"/>
    <x v="3"/>
    <x v="20"/>
    <x v="3"/>
    <n v="0"/>
    <x v="1"/>
  </r>
  <r>
    <x v="30"/>
    <x v="2"/>
    <x v="317"/>
    <x v="0"/>
    <x v="2"/>
    <x v="3"/>
    <x v="20"/>
    <x v="4"/>
    <n v="0"/>
    <x v="1"/>
  </r>
  <r>
    <x v="30"/>
    <x v="2"/>
    <x v="317"/>
    <x v="0"/>
    <x v="2"/>
    <x v="3"/>
    <x v="20"/>
    <x v="5"/>
    <n v="0"/>
    <x v="1"/>
  </r>
  <r>
    <x v="30"/>
    <x v="2"/>
    <x v="317"/>
    <x v="0"/>
    <x v="2"/>
    <x v="3"/>
    <x v="20"/>
    <x v="6"/>
    <n v="0"/>
    <x v="1"/>
  </r>
  <r>
    <x v="30"/>
    <x v="2"/>
    <x v="317"/>
    <x v="0"/>
    <x v="2"/>
    <x v="3"/>
    <x v="20"/>
    <x v="7"/>
    <n v="0"/>
    <x v="1"/>
  </r>
  <r>
    <x v="30"/>
    <x v="2"/>
    <x v="317"/>
    <x v="0"/>
    <x v="2"/>
    <x v="3"/>
    <x v="20"/>
    <x v="8"/>
    <n v="0"/>
    <x v="1"/>
  </r>
  <r>
    <x v="30"/>
    <x v="2"/>
    <x v="317"/>
    <x v="0"/>
    <x v="2"/>
    <x v="3"/>
    <x v="20"/>
    <x v="9"/>
    <n v="0"/>
    <x v="1"/>
  </r>
  <r>
    <x v="30"/>
    <x v="2"/>
    <x v="317"/>
    <x v="0"/>
    <x v="2"/>
    <x v="3"/>
    <x v="20"/>
    <x v="10"/>
    <n v="0"/>
    <x v="1"/>
  </r>
  <r>
    <x v="30"/>
    <x v="2"/>
    <x v="317"/>
    <x v="0"/>
    <x v="2"/>
    <x v="3"/>
    <x v="20"/>
    <x v="12"/>
    <n v="0"/>
    <x v="1"/>
  </r>
  <r>
    <x v="30"/>
    <x v="1"/>
    <x v="318"/>
    <x v="1"/>
    <x v="4"/>
    <x v="41"/>
    <x v="0"/>
    <x v="0"/>
    <n v="242"/>
    <x v="1"/>
  </r>
  <r>
    <x v="30"/>
    <x v="1"/>
    <x v="318"/>
    <x v="1"/>
    <x v="4"/>
    <x v="41"/>
    <x v="0"/>
    <x v="1"/>
    <n v="0"/>
    <x v="1"/>
  </r>
  <r>
    <x v="30"/>
    <x v="1"/>
    <x v="318"/>
    <x v="1"/>
    <x v="4"/>
    <x v="41"/>
    <x v="0"/>
    <x v="2"/>
    <n v="0"/>
    <x v="1"/>
  </r>
  <r>
    <x v="30"/>
    <x v="1"/>
    <x v="318"/>
    <x v="1"/>
    <x v="4"/>
    <x v="41"/>
    <x v="0"/>
    <x v="3"/>
    <n v="0"/>
    <x v="1"/>
  </r>
  <r>
    <x v="30"/>
    <x v="1"/>
    <x v="318"/>
    <x v="1"/>
    <x v="4"/>
    <x v="41"/>
    <x v="0"/>
    <x v="4"/>
    <n v="0"/>
    <x v="1"/>
  </r>
  <r>
    <x v="30"/>
    <x v="1"/>
    <x v="318"/>
    <x v="1"/>
    <x v="4"/>
    <x v="41"/>
    <x v="0"/>
    <x v="5"/>
    <n v="0"/>
    <x v="1"/>
  </r>
  <r>
    <x v="30"/>
    <x v="1"/>
    <x v="318"/>
    <x v="1"/>
    <x v="4"/>
    <x v="41"/>
    <x v="0"/>
    <x v="6"/>
    <n v="0"/>
    <x v="1"/>
  </r>
  <r>
    <x v="30"/>
    <x v="1"/>
    <x v="318"/>
    <x v="1"/>
    <x v="4"/>
    <x v="41"/>
    <x v="0"/>
    <x v="7"/>
    <n v="0"/>
    <x v="1"/>
  </r>
  <r>
    <x v="30"/>
    <x v="1"/>
    <x v="318"/>
    <x v="1"/>
    <x v="4"/>
    <x v="41"/>
    <x v="0"/>
    <x v="8"/>
    <n v="0"/>
    <x v="1"/>
  </r>
  <r>
    <x v="30"/>
    <x v="1"/>
    <x v="318"/>
    <x v="1"/>
    <x v="4"/>
    <x v="41"/>
    <x v="0"/>
    <x v="9"/>
    <n v="0"/>
    <x v="1"/>
  </r>
  <r>
    <x v="30"/>
    <x v="1"/>
    <x v="318"/>
    <x v="1"/>
    <x v="4"/>
    <x v="41"/>
    <x v="0"/>
    <x v="10"/>
    <n v="0"/>
    <x v="1"/>
  </r>
  <r>
    <x v="30"/>
    <x v="1"/>
    <x v="318"/>
    <x v="1"/>
    <x v="4"/>
    <x v="41"/>
    <x v="0"/>
    <x v="12"/>
    <n v="0"/>
    <x v="1"/>
  </r>
  <r>
    <x v="30"/>
    <x v="1"/>
    <x v="319"/>
    <x v="0"/>
    <x v="4"/>
    <x v="33"/>
    <x v="1"/>
    <x v="0"/>
    <n v="884.05"/>
    <x v="1"/>
  </r>
  <r>
    <x v="30"/>
    <x v="1"/>
    <x v="319"/>
    <x v="0"/>
    <x v="4"/>
    <x v="33"/>
    <x v="1"/>
    <x v="1"/>
    <n v="0"/>
    <x v="1"/>
  </r>
  <r>
    <x v="30"/>
    <x v="1"/>
    <x v="319"/>
    <x v="0"/>
    <x v="4"/>
    <x v="33"/>
    <x v="1"/>
    <x v="2"/>
    <n v="0"/>
    <x v="1"/>
  </r>
  <r>
    <x v="30"/>
    <x v="1"/>
    <x v="319"/>
    <x v="0"/>
    <x v="4"/>
    <x v="33"/>
    <x v="1"/>
    <x v="3"/>
    <n v="0"/>
    <x v="1"/>
  </r>
  <r>
    <x v="30"/>
    <x v="1"/>
    <x v="319"/>
    <x v="0"/>
    <x v="4"/>
    <x v="33"/>
    <x v="1"/>
    <x v="4"/>
    <n v="0"/>
    <x v="1"/>
  </r>
  <r>
    <x v="30"/>
    <x v="1"/>
    <x v="319"/>
    <x v="0"/>
    <x v="4"/>
    <x v="33"/>
    <x v="1"/>
    <x v="5"/>
    <n v="0"/>
    <x v="1"/>
  </r>
  <r>
    <x v="30"/>
    <x v="1"/>
    <x v="319"/>
    <x v="0"/>
    <x v="4"/>
    <x v="33"/>
    <x v="1"/>
    <x v="6"/>
    <n v="0"/>
    <x v="1"/>
  </r>
  <r>
    <x v="30"/>
    <x v="1"/>
    <x v="319"/>
    <x v="0"/>
    <x v="4"/>
    <x v="33"/>
    <x v="1"/>
    <x v="7"/>
    <n v="0"/>
    <x v="1"/>
  </r>
  <r>
    <x v="30"/>
    <x v="1"/>
    <x v="319"/>
    <x v="0"/>
    <x v="4"/>
    <x v="33"/>
    <x v="1"/>
    <x v="8"/>
    <n v="0"/>
    <x v="1"/>
  </r>
  <r>
    <x v="30"/>
    <x v="1"/>
    <x v="319"/>
    <x v="0"/>
    <x v="4"/>
    <x v="33"/>
    <x v="1"/>
    <x v="9"/>
    <n v="0"/>
    <x v="1"/>
  </r>
  <r>
    <x v="30"/>
    <x v="1"/>
    <x v="319"/>
    <x v="0"/>
    <x v="4"/>
    <x v="33"/>
    <x v="1"/>
    <x v="10"/>
    <n v="0"/>
    <x v="1"/>
  </r>
  <r>
    <x v="30"/>
    <x v="1"/>
    <x v="319"/>
    <x v="0"/>
    <x v="4"/>
    <x v="33"/>
    <x v="1"/>
    <x v="12"/>
    <n v="0"/>
    <x v="1"/>
  </r>
  <r>
    <x v="61"/>
    <x v="1"/>
    <x v="320"/>
    <x v="0"/>
    <x v="4"/>
    <x v="41"/>
    <x v="0"/>
    <x v="0"/>
    <n v="0"/>
    <x v="1"/>
  </r>
  <r>
    <x v="61"/>
    <x v="1"/>
    <x v="320"/>
    <x v="0"/>
    <x v="4"/>
    <x v="41"/>
    <x v="0"/>
    <x v="1"/>
    <n v="0"/>
    <x v="1"/>
  </r>
  <r>
    <x v="61"/>
    <x v="1"/>
    <x v="320"/>
    <x v="0"/>
    <x v="4"/>
    <x v="41"/>
    <x v="0"/>
    <x v="2"/>
    <n v="388"/>
    <x v="1"/>
  </r>
  <r>
    <x v="61"/>
    <x v="1"/>
    <x v="320"/>
    <x v="0"/>
    <x v="4"/>
    <x v="41"/>
    <x v="0"/>
    <x v="3"/>
    <n v="0"/>
    <x v="1"/>
  </r>
  <r>
    <x v="61"/>
    <x v="1"/>
    <x v="320"/>
    <x v="0"/>
    <x v="4"/>
    <x v="41"/>
    <x v="0"/>
    <x v="4"/>
    <n v="0"/>
    <x v="1"/>
  </r>
  <r>
    <x v="61"/>
    <x v="1"/>
    <x v="320"/>
    <x v="0"/>
    <x v="4"/>
    <x v="41"/>
    <x v="0"/>
    <x v="5"/>
    <n v="0"/>
    <x v="1"/>
  </r>
  <r>
    <x v="61"/>
    <x v="1"/>
    <x v="320"/>
    <x v="0"/>
    <x v="4"/>
    <x v="41"/>
    <x v="0"/>
    <x v="6"/>
    <n v="0"/>
    <x v="1"/>
  </r>
  <r>
    <x v="61"/>
    <x v="1"/>
    <x v="320"/>
    <x v="0"/>
    <x v="4"/>
    <x v="41"/>
    <x v="0"/>
    <x v="7"/>
    <n v="0"/>
    <x v="1"/>
  </r>
  <r>
    <x v="61"/>
    <x v="1"/>
    <x v="320"/>
    <x v="0"/>
    <x v="4"/>
    <x v="41"/>
    <x v="0"/>
    <x v="8"/>
    <n v="0"/>
    <x v="1"/>
  </r>
  <r>
    <x v="61"/>
    <x v="1"/>
    <x v="320"/>
    <x v="0"/>
    <x v="4"/>
    <x v="41"/>
    <x v="0"/>
    <x v="9"/>
    <n v="0"/>
    <x v="1"/>
  </r>
  <r>
    <x v="61"/>
    <x v="1"/>
    <x v="320"/>
    <x v="0"/>
    <x v="4"/>
    <x v="41"/>
    <x v="0"/>
    <x v="10"/>
    <n v="0"/>
    <x v="1"/>
  </r>
  <r>
    <x v="61"/>
    <x v="1"/>
    <x v="320"/>
    <x v="0"/>
    <x v="4"/>
    <x v="41"/>
    <x v="0"/>
    <x v="12"/>
    <n v="0"/>
    <x v="1"/>
  </r>
  <r>
    <x v="30"/>
    <x v="1"/>
    <x v="321"/>
    <x v="0"/>
    <x v="4"/>
    <x v="41"/>
    <x v="9"/>
    <x v="0"/>
    <n v="0"/>
    <x v="1"/>
  </r>
  <r>
    <x v="30"/>
    <x v="1"/>
    <x v="321"/>
    <x v="0"/>
    <x v="4"/>
    <x v="41"/>
    <x v="9"/>
    <x v="1"/>
    <n v="0"/>
    <x v="1"/>
  </r>
  <r>
    <x v="30"/>
    <x v="1"/>
    <x v="321"/>
    <x v="0"/>
    <x v="4"/>
    <x v="41"/>
    <x v="9"/>
    <x v="2"/>
    <n v="0"/>
    <x v="1"/>
  </r>
  <r>
    <x v="30"/>
    <x v="1"/>
    <x v="321"/>
    <x v="0"/>
    <x v="4"/>
    <x v="41"/>
    <x v="9"/>
    <x v="3"/>
    <n v="0"/>
    <x v="1"/>
  </r>
  <r>
    <x v="30"/>
    <x v="1"/>
    <x v="321"/>
    <x v="0"/>
    <x v="4"/>
    <x v="41"/>
    <x v="9"/>
    <x v="4"/>
    <n v="974"/>
    <x v="1"/>
  </r>
  <r>
    <x v="30"/>
    <x v="1"/>
    <x v="321"/>
    <x v="0"/>
    <x v="4"/>
    <x v="41"/>
    <x v="9"/>
    <x v="5"/>
    <n v="0"/>
    <x v="1"/>
  </r>
  <r>
    <x v="30"/>
    <x v="1"/>
    <x v="321"/>
    <x v="0"/>
    <x v="4"/>
    <x v="41"/>
    <x v="9"/>
    <x v="6"/>
    <n v="0"/>
    <x v="1"/>
  </r>
  <r>
    <x v="30"/>
    <x v="1"/>
    <x v="321"/>
    <x v="0"/>
    <x v="4"/>
    <x v="41"/>
    <x v="9"/>
    <x v="7"/>
    <n v="0"/>
    <x v="1"/>
  </r>
  <r>
    <x v="30"/>
    <x v="1"/>
    <x v="321"/>
    <x v="0"/>
    <x v="4"/>
    <x v="41"/>
    <x v="9"/>
    <x v="8"/>
    <n v="0"/>
    <x v="1"/>
  </r>
  <r>
    <x v="30"/>
    <x v="1"/>
    <x v="321"/>
    <x v="0"/>
    <x v="4"/>
    <x v="41"/>
    <x v="9"/>
    <x v="9"/>
    <n v="0"/>
    <x v="1"/>
  </r>
  <r>
    <x v="30"/>
    <x v="1"/>
    <x v="321"/>
    <x v="0"/>
    <x v="4"/>
    <x v="41"/>
    <x v="9"/>
    <x v="10"/>
    <n v="0"/>
    <x v="1"/>
  </r>
  <r>
    <x v="30"/>
    <x v="1"/>
    <x v="321"/>
    <x v="0"/>
    <x v="4"/>
    <x v="41"/>
    <x v="9"/>
    <x v="12"/>
    <n v="0"/>
    <x v="1"/>
  </r>
  <r>
    <x v="30"/>
    <x v="1"/>
    <x v="322"/>
    <x v="0"/>
    <x v="4"/>
    <x v="41"/>
    <x v="21"/>
    <x v="0"/>
    <n v="0"/>
    <x v="1"/>
  </r>
  <r>
    <x v="30"/>
    <x v="1"/>
    <x v="322"/>
    <x v="0"/>
    <x v="4"/>
    <x v="41"/>
    <x v="21"/>
    <x v="1"/>
    <n v="0"/>
    <x v="1"/>
  </r>
  <r>
    <x v="30"/>
    <x v="1"/>
    <x v="322"/>
    <x v="0"/>
    <x v="4"/>
    <x v="41"/>
    <x v="21"/>
    <x v="2"/>
    <n v="0"/>
    <x v="1"/>
  </r>
  <r>
    <x v="30"/>
    <x v="1"/>
    <x v="322"/>
    <x v="0"/>
    <x v="4"/>
    <x v="41"/>
    <x v="21"/>
    <x v="3"/>
    <n v="0"/>
    <x v="1"/>
  </r>
  <r>
    <x v="30"/>
    <x v="1"/>
    <x v="322"/>
    <x v="0"/>
    <x v="4"/>
    <x v="41"/>
    <x v="21"/>
    <x v="4"/>
    <n v="598"/>
    <x v="1"/>
  </r>
  <r>
    <x v="30"/>
    <x v="1"/>
    <x v="322"/>
    <x v="0"/>
    <x v="4"/>
    <x v="41"/>
    <x v="21"/>
    <x v="5"/>
    <n v="0"/>
    <x v="1"/>
  </r>
  <r>
    <x v="30"/>
    <x v="1"/>
    <x v="322"/>
    <x v="0"/>
    <x v="4"/>
    <x v="41"/>
    <x v="21"/>
    <x v="6"/>
    <n v="0"/>
    <x v="1"/>
  </r>
  <r>
    <x v="30"/>
    <x v="1"/>
    <x v="322"/>
    <x v="0"/>
    <x v="4"/>
    <x v="41"/>
    <x v="21"/>
    <x v="7"/>
    <n v="0"/>
    <x v="1"/>
  </r>
  <r>
    <x v="30"/>
    <x v="1"/>
    <x v="322"/>
    <x v="0"/>
    <x v="4"/>
    <x v="41"/>
    <x v="21"/>
    <x v="8"/>
    <n v="0"/>
    <x v="1"/>
  </r>
  <r>
    <x v="30"/>
    <x v="1"/>
    <x v="322"/>
    <x v="0"/>
    <x v="4"/>
    <x v="41"/>
    <x v="21"/>
    <x v="9"/>
    <n v="0"/>
    <x v="1"/>
  </r>
  <r>
    <x v="30"/>
    <x v="1"/>
    <x v="322"/>
    <x v="0"/>
    <x v="4"/>
    <x v="41"/>
    <x v="21"/>
    <x v="10"/>
    <n v="0"/>
    <x v="1"/>
  </r>
  <r>
    <x v="30"/>
    <x v="1"/>
    <x v="322"/>
    <x v="0"/>
    <x v="4"/>
    <x v="41"/>
    <x v="21"/>
    <x v="12"/>
    <n v="0"/>
    <x v="1"/>
  </r>
  <r>
    <x v="30"/>
    <x v="1"/>
    <x v="323"/>
    <x v="0"/>
    <x v="4"/>
    <x v="41"/>
    <x v="21"/>
    <x v="0"/>
    <n v="0"/>
    <x v="1"/>
  </r>
  <r>
    <x v="30"/>
    <x v="1"/>
    <x v="323"/>
    <x v="0"/>
    <x v="4"/>
    <x v="41"/>
    <x v="21"/>
    <x v="1"/>
    <n v="0"/>
    <x v="1"/>
  </r>
  <r>
    <x v="30"/>
    <x v="1"/>
    <x v="323"/>
    <x v="0"/>
    <x v="4"/>
    <x v="41"/>
    <x v="21"/>
    <x v="2"/>
    <n v="0"/>
    <x v="1"/>
  </r>
  <r>
    <x v="30"/>
    <x v="1"/>
    <x v="323"/>
    <x v="0"/>
    <x v="4"/>
    <x v="41"/>
    <x v="21"/>
    <x v="3"/>
    <n v="0"/>
    <x v="1"/>
  </r>
  <r>
    <x v="30"/>
    <x v="1"/>
    <x v="323"/>
    <x v="0"/>
    <x v="4"/>
    <x v="41"/>
    <x v="21"/>
    <x v="4"/>
    <n v="699"/>
    <x v="1"/>
  </r>
  <r>
    <x v="30"/>
    <x v="1"/>
    <x v="323"/>
    <x v="0"/>
    <x v="4"/>
    <x v="41"/>
    <x v="21"/>
    <x v="5"/>
    <n v="0"/>
    <x v="1"/>
  </r>
  <r>
    <x v="30"/>
    <x v="1"/>
    <x v="323"/>
    <x v="0"/>
    <x v="4"/>
    <x v="41"/>
    <x v="21"/>
    <x v="6"/>
    <n v="0"/>
    <x v="1"/>
  </r>
  <r>
    <x v="30"/>
    <x v="1"/>
    <x v="323"/>
    <x v="0"/>
    <x v="4"/>
    <x v="41"/>
    <x v="21"/>
    <x v="7"/>
    <n v="0"/>
    <x v="1"/>
  </r>
  <r>
    <x v="30"/>
    <x v="1"/>
    <x v="323"/>
    <x v="0"/>
    <x v="4"/>
    <x v="41"/>
    <x v="21"/>
    <x v="8"/>
    <n v="0"/>
    <x v="1"/>
  </r>
  <r>
    <x v="30"/>
    <x v="1"/>
    <x v="323"/>
    <x v="0"/>
    <x v="4"/>
    <x v="41"/>
    <x v="21"/>
    <x v="9"/>
    <n v="0"/>
    <x v="1"/>
  </r>
  <r>
    <x v="30"/>
    <x v="1"/>
    <x v="323"/>
    <x v="0"/>
    <x v="4"/>
    <x v="41"/>
    <x v="21"/>
    <x v="10"/>
    <n v="0"/>
    <x v="1"/>
  </r>
  <r>
    <x v="30"/>
    <x v="1"/>
    <x v="323"/>
    <x v="0"/>
    <x v="4"/>
    <x v="41"/>
    <x v="21"/>
    <x v="12"/>
    <n v="0"/>
    <x v="1"/>
  </r>
  <r>
    <x v="30"/>
    <x v="1"/>
    <x v="324"/>
    <x v="0"/>
    <x v="4"/>
    <x v="41"/>
    <x v="9"/>
    <x v="0"/>
    <n v="0"/>
    <x v="1"/>
  </r>
  <r>
    <x v="30"/>
    <x v="1"/>
    <x v="324"/>
    <x v="0"/>
    <x v="4"/>
    <x v="41"/>
    <x v="9"/>
    <x v="1"/>
    <n v="0"/>
    <x v="1"/>
  </r>
  <r>
    <x v="30"/>
    <x v="1"/>
    <x v="324"/>
    <x v="0"/>
    <x v="4"/>
    <x v="41"/>
    <x v="9"/>
    <x v="2"/>
    <n v="0"/>
    <x v="1"/>
  </r>
  <r>
    <x v="30"/>
    <x v="1"/>
    <x v="324"/>
    <x v="0"/>
    <x v="4"/>
    <x v="41"/>
    <x v="9"/>
    <x v="3"/>
    <n v="0"/>
    <x v="1"/>
  </r>
  <r>
    <x v="30"/>
    <x v="1"/>
    <x v="324"/>
    <x v="0"/>
    <x v="4"/>
    <x v="41"/>
    <x v="9"/>
    <x v="4"/>
    <n v="1905"/>
    <x v="1"/>
  </r>
  <r>
    <x v="30"/>
    <x v="1"/>
    <x v="324"/>
    <x v="0"/>
    <x v="4"/>
    <x v="41"/>
    <x v="9"/>
    <x v="5"/>
    <n v="0"/>
    <x v="1"/>
  </r>
  <r>
    <x v="30"/>
    <x v="1"/>
    <x v="324"/>
    <x v="0"/>
    <x v="4"/>
    <x v="41"/>
    <x v="9"/>
    <x v="6"/>
    <n v="0"/>
    <x v="1"/>
  </r>
  <r>
    <x v="30"/>
    <x v="1"/>
    <x v="324"/>
    <x v="0"/>
    <x v="4"/>
    <x v="41"/>
    <x v="9"/>
    <x v="7"/>
    <n v="0"/>
    <x v="1"/>
  </r>
  <r>
    <x v="30"/>
    <x v="1"/>
    <x v="324"/>
    <x v="0"/>
    <x v="4"/>
    <x v="41"/>
    <x v="9"/>
    <x v="8"/>
    <n v="0"/>
    <x v="1"/>
  </r>
  <r>
    <x v="30"/>
    <x v="1"/>
    <x v="324"/>
    <x v="0"/>
    <x v="4"/>
    <x v="41"/>
    <x v="9"/>
    <x v="9"/>
    <n v="0"/>
    <x v="1"/>
  </r>
  <r>
    <x v="30"/>
    <x v="1"/>
    <x v="324"/>
    <x v="0"/>
    <x v="4"/>
    <x v="41"/>
    <x v="9"/>
    <x v="10"/>
    <n v="0"/>
    <x v="1"/>
  </r>
  <r>
    <x v="30"/>
    <x v="1"/>
    <x v="324"/>
    <x v="0"/>
    <x v="4"/>
    <x v="41"/>
    <x v="9"/>
    <x v="12"/>
    <n v="0"/>
    <x v="1"/>
  </r>
  <r>
    <x v="30"/>
    <x v="1"/>
    <x v="325"/>
    <x v="0"/>
    <x v="4"/>
    <x v="41"/>
    <x v="0"/>
    <x v="0"/>
    <n v="0"/>
    <x v="1"/>
  </r>
  <r>
    <x v="30"/>
    <x v="1"/>
    <x v="325"/>
    <x v="0"/>
    <x v="4"/>
    <x v="41"/>
    <x v="0"/>
    <x v="1"/>
    <n v="0"/>
    <x v="1"/>
  </r>
  <r>
    <x v="30"/>
    <x v="1"/>
    <x v="325"/>
    <x v="0"/>
    <x v="4"/>
    <x v="41"/>
    <x v="0"/>
    <x v="2"/>
    <n v="0"/>
    <x v="1"/>
  </r>
  <r>
    <x v="30"/>
    <x v="1"/>
    <x v="325"/>
    <x v="0"/>
    <x v="4"/>
    <x v="41"/>
    <x v="0"/>
    <x v="3"/>
    <n v="0"/>
    <x v="1"/>
  </r>
  <r>
    <x v="30"/>
    <x v="1"/>
    <x v="325"/>
    <x v="0"/>
    <x v="4"/>
    <x v="41"/>
    <x v="0"/>
    <x v="4"/>
    <n v="0"/>
    <x v="1"/>
  </r>
  <r>
    <x v="30"/>
    <x v="1"/>
    <x v="325"/>
    <x v="0"/>
    <x v="4"/>
    <x v="41"/>
    <x v="0"/>
    <x v="5"/>
    <n v="634"/>
    <x v="1"/>
  </r>
  <r>
    <x v="30"/>
    <x v="1"/>
    <x v="325"/>
    <x v="0"/>
    <x v="4"/>
    <x v="41"/>
    <x v="0"/>
    <x v="6"/>
    <n v="0"/>
    <x v="1"/>
  </r>
  <r>
    <x v="30"/>
    <x v="1"/>
    <x v="325"/>
    <x v="0"/>
    <x v="4"/>
    <x v="41"/>
    <x v="0"/>
    <x v="7"/>
    <n v="0"/>
    <x v="1"/>
  </r>
  <r>
    <x v="30"/>
    <x v="1"/>
    <x v="325"/>
    <x v="0"/>
    <x v="4"/>
    <x v="41"/>
    <x v="0"/>
    <x v="8"/>
    <n v="0"/>
    <x v="1"/>
  </r>
  <r>
    <x v="30"/>
    <x v="1"/>
    <x v="325"/>
    <x v="0"/>
    <x v="4"/>
    <x v="41"/>
    <x v="0"/>
    <x v="9"/>
    <n v="0"/>
    <x v="1"/>
  </r>
  <r>
    <x v="30"/>
    <x v="1"/>
    <x v="325"/>
    <x v="0"/>
    <x v="4"/>
    <x v="41"/>
    <x v="0"/>
    <x v="10"/>
    <n v="0"/>
    <x v="1"/>
  </r>
  <r>
    <x v="30"/>
    <x v="1"/>
    <x v="325"/>
    <x v="0"/>
    <x v="4"/>
    <x v="41"/>
    <x v="0"/>
    <x v="12"/>
    <n v="0"/>
    <x v="1"/>
  </r>
  <r>
    <x v="30"/>
    <x v="1"/>
    <x v="326"/>
    <x v="0"/>
    <x v="4"/>
    <x v="41"/>
    <x v="9"/>
    <x v="0"/>
    <n v="0"/>
    <x v="1"/>
  </r>
  <r>
    <x v="30"/>
    <x v="1"/>
    <x v="326"/>
    <x v="0"/>
    <x v="4"/>
    <x v="41"/>
    <x v="9"/>
    <x v="1"/>
    <n v="0"/>
    <x v="1"/>
  </r>
  <r>
    <x v="30"/>
    <x v="1"/>
    <x v="326"/>
    <x v="0"/>
    <x v="4"/>
    <x v="41"/>
    <x v="9"/>
    <x v="2"/>
    <n v="0"/>
    <x v="1"/>
  </r>
  <r>
    <x v="30"/>
    <x v="1"/>
    <x v="326"/>
    <x v="0"/>
    <x v="4"/>
    <x v="41"/>
    <x v="9"/>
    <x v="3"/>
    <n v="0"/>
    <x v="1"/>
  </r>
  <r>
    <x v="30"/>
    <x v="1"/>
    <x v="326"/>
    <x v="0"/>
    <x v="4"/>
    <x v="41"/>
    <x v="9"/>
    <x v="4"/>
    <n v="0"/>
    <x v="1"/>
  </r>
  <r>
    <x v="30"/>
    <x v="1"/>
    <x v="326"/>
    <x v="0"/>
    <x v="4"/>
    <x v="41"/>
    <x v="9"/>
    <x v="5"/>
    <n v="335.28"/>
    <x v="1"/>
  </r>
  <r>
    <x v="30"/>
    <x v="1"/>
    <x v="326"/>
    <x v="0"/>
    <x v="4"/>
    <x v="41"/>
    <x v="9"/>
    <x v="6"/>
    <n v="0"/>
    <x v="1"/>
  </r>
  <r>
    <x v="30"/>
    <x v="1"/>
    <x v="326"/>
    <x v="0"/>
    <x v="4"/>
    <x v="41"/>
    <x v="9"/>
    <x v="7"/>
    <n v="0"/>
    <x v="1"/>
  </r>
  <r>
    <x v="30"/>
    <x v="1"/>
    <x v="326"/>
    <x v="0"/>
    <x v="4"/>
    <x v="41"/>
    <x v="9"/>
    <x v="8"/>
    <n v="0"/>
    <x v="1"/>
  </r>
  <r>
    <x v="30"/>
    <x v="1"/>
    <x v="326"/>
    <x v="0"/>
    <x v="4"/>
    <x v="41"/>
    <x v="9"/>
    <x v="9"/>
    <n v="0"/>
    <x v="1"/>
  </r>
  <r>
    <x v="30"/>
    <x v="1"/>
    <x v="326"/>
    <x v="0"/>
    <x v="4"/>
    <x v="41"/>
    <x v="9"/>
    <x v="10"/>
    <n v="0"/>
    <x v="1"/>
  </r>
  <r>
    <x v="30"/>
    <x v="1"/>
    <x v="326"/>
    <x v="0"/>
    <x v="4"/>
    <x v="41"/>
    <x v="9"/>
    <x v="12"/>
    <n v="0"/>
    <x v="1"/>
  </r>
  <r>
    <x v="30"/>
    <x v="1"/>
    <x v="325"/>
    <x v="0"/>
    <x v="4"/>
    <x v="41"/>
    <x v="0"/>
    <x v="0"/>
    <n v="0"/>
    <x v="1"/>
  </r>
  <r>
    <x v="30"/>
    <x v="1"/>
    <x v="325"/>
    <x v="0"/>
    <x v="4"/>
    <x v="41"/>
    <x v="0"/>
    <x v="1"/>
    <n v="0"/>
    <x v="1"/>
  </r>
  <r>
    <x v="30"/>
    <x v="1"/>
    <x v="325"/>
    <x v="0"/>
    <x v="4"/>
    <x v="41"/>
    <x v="0"/>
    <x v="2"/>
    <n v="0"/>
    <x v="1"/>
  </r>
  <r>
    <x v="30"/>
    <x v="1"/>
    <x v="325"/>
    <x v="0"/>
    <x v="4"/>
    <x v="41"/>
    <x v="0"/>
    <x v="3"/>
    <n v="0"/>
    <x v="1"/>
  </r>
  <r>
    <x v="30"/>
    <x v="1"/>
    <x v="325"/>
    <x v="0"/>
    <x v="4"/>
    <x v="41"/>
    <x v="0"/>
    <x v="4"/>
    <n v="0"/>
    <x v="1"/>
  </r>
  <r>
    <x v="30"/>
    <x v="1"/>
    <x v="325"/>
    <x v="0"/>
    <x v="4"/>
    <x v="41"/>
    <x v="0"/>
    <x v="5"/>
    <n v="235"/>
    <x v="1"/>
  </r>
  <r>
    <x v="30"/>
    <x v="1"/>
    <x v="325"/>
    <x v="0"/>
    <x v="4"/>
    <x v="41"/>
    <x v="0"/>
    <x v="6"/>
    <n v="0"/>
    <x v="1"/>
  </r>
  <r>
    <x v="30"/>
    <x v="1"/>
    <x v="325"/>
    <x v="0"/>
    <x v="4"/>
    <x v="41"/>
    <x v="0"/>
    <x v="7"/>
    <n v="0"/>
    <x v="1"/>
  </r>
  <r>
    <x v="30"/>
    <x v="1"/>
    <x v="325"/>
    <x v="0"/>
    <x v="4"/>
    <x v="41"/>
    <x v="0"/>
    <x v="8"/>
    <n v="0"/>
    <x v="1"/>
  </r>
  <r>
    <x v="30"/>
    <x v="1"/>
    <x v="325"/>
    <x v="0"/>
    <x v="4"/>
    <x v="41"/>
    <x v="0"/>
    <x v="9"/>
    <n v="0"/>
    <x v="1"/>
  </r>
  <r>
    <x v="30"/>
    <x v="1"/>
    <x v="325"/>
    <x v="0"/>
    <x v="4"/>
    <x v="41"/>
    <x v="0"/>
    <x v="10"/>
    <n v="0"/>
    <x v="1"/>
  </r>
  <r>
    <x v="30"/>
    <x v="1"/>
    <x v="325"/>
    <x v="0"/>
    <x v="4"/>
    <x v="41"/>
    <x v="0"/>
    <x v="12"/>
    <n v="0"/>
    <x v="1"/>
  </r>
  <r>
    <x v="30"/>
    <x v="1"/>
    <x v="327"/>
    <x v="0"/>
    <x v="4"/>
    <x v="41"/>
    <x v="0"/>
    <x v="0"/>
    <n v="0"/>
    <x v="1"/>
  </r>
  <r>
    <x v="30"/>
    <x v="1"/>
    <x v="327"/>
    <x v="0"/>
    <x v="4"/>
    <x v="41"/>
    <x v="0"/>
    <x v="1"/>
    <n v="0"/>
    <x v="1"/>
  </r>
  <r>
    <x v="30"/>
    <x v="1"/>
    <x v="327"/>
    <x v="0"/>
    <x v="4"/>
    <x v="41"/>
    <x v="0"/>
    <x v="2"/>
    <n v="0"/>
    <x v="1"/>
  </r>
  <r>
    <x v="30"/>
    <x v="1"/>
    <x v="327"/>
    <x v="0"/>
    <x v="4"/>
    <x v="41"/>
    <x v="0"/>
    <x v="3"/>
    <n v="0"/>
    <x v="1"/>
  </r>
  <r>
    <x v="30"/>
    <x v="1"/>
    <x v="327"/>
    <x v="0"/>
    <x v="4"/>
    <x v="41"/>
    <x v="0"/>
    <x v="4"/>
    <n v="0"/>
    <x v="1"/>
  </r>
  <r>
    <x v="30"/>
    <x v="1"/>
    <x v="327"/>
    <x v="0"/>
    <x v="4"/>
    <x v="41"/>
    <x v="0"/>
    <x v="5"/>
    <n v="328"/>
    <x v="1"/>
  </r>
  <r>
    <x v="30"/>
    <x v="1"/>
    <x v="327"/>
    <x v="0"/>
    <x v="4"/>
    <x v="41"/>
    <x v="0"/>
    <x v="6"/>
    <n v="0"/>
    <x v="1"/>
  </r>
  <r>
    <x v="30"/>
    <x v="1"/>
    <x v="327"/>
    <x v="0"/>
    <x v="4"/>
    <x v="41"/>
    <x v="0"/>
    <x v="7"/>
    <n v="0"/>
    <x v="1"/>
  </r>
  <r>
    <x v="30"/>
    <x v="1"/>
    <x v="327"/>
    <x v="0"/>
    <x v="4"/>
    <x v="41"/>
    <x v="0"/>
    <x v="8"/>
    <n v="0"/>
    <x v="1"/>
  </r>
  <r>
    <x v="30"/>
    <x v="1"/>
    <x v="327"/>
    <x v="0"/>
    <x v="4"/>
    <x v="41"/>
    <x v="0"/>
    <x v="9"/>
    <n v="0"/>
    <x v="1"/>
  </r>
  <r>
    <x v="30"/>
    <x v="1"/>
    <x v="327"/>
    <x v="0"/>
    <x v="4"/>
    <x v="41"/>
    <x v="0"/>
    <x v="10"/>
    <n v="0"/>
    <x v="1"/>
  </r>
  <r>
    <x v="30"/>
    <x v="1"/>
    <x v="327"/>
    <x v="0"/>
    <x v="4"/>
    <x v="41"/>
    <x v="0"/>
    <x v="12"/>
    <n v="0"/>
    <x v="1"/>
  </r>
  <r>
    <x v="30"/>
    <x v="1"/>
    <x v="328"/>
    <x v="0"/>
    <x v="4"/>
    <x v="41"/>
    <x v="9"/>
    <x v="0"/>
    <n v="0"/>
    <x v="1"/>
  </r>
  <r>
    <x v="30"/>
    <x v="1"/>
    <x v="328"/>
    <x v="0"/>
    <x v="4"/>
    <x v="41"/>
    <x v="9"/>
    <x v="1"/>
    <n v="0"/>
    <x v="1"/>
  </r>
  <r>
    <x v="30"/>
    <x v="1"/>
    <x v="328"/>
    <x v="0"/>
    <x v="4"/>
    <x v="41"/>
    <x v="9"/>
    <x v="2"/>
    <n v="0"/>
    <x v="1"/>
  </r>
  <r>
    <x v="30"/>
    <x v="1"/>
    <x v="328"/>
    <x v="0"/>
    <x v="4"/>
    <x v="41"/>
    <x v="9"/>
    <x v="3"/>
    <n v="0"/>
    <x v="1"/>
  </r>
  <r>
    <x v="30"/>
    <x v="1"/>
    <x v="328"/>
    <x v="0"/>
    <x v="4"/>
    <x v="41"/>
    <x v="9"/>
    <x v="4"/>
    <n v="0"/>
    <x v="1"/>
  </r>
  <r>
    <x v="30"/>
    <x v="1"/>
    <x v="328"/>
    <x v="0"/>
    <x v="4"/>
    <x v="41"/>
    <x v="9"/>
    <x v="5"/>
    <n v="555"/>
    <x v="1"/>
  </r>
  <r>
    <x v="30"/>
    <x v="1"/>
    <x v="328"/>
    <x v="0"/>
    <x v="4"/>
    <x v="41"/>
    <x v="9"/>
    <x v="6"/>
    <n v="0"/>
    <x v="1"/>
  </r>
  <r>
    <x v="30"/>
    <x v="1"/>
    <x v="328"/>
    <x v="0"/>
    <x v="4"/>
    <x v="41"/>
    <x v="9"/>
    <x v="7"/>
    <n v="0"/>
    <x v="1"/>
  </r>
  <r>
    <x v="30"/>
    <x v="1"/>
    <x v="328"/>
    <x v="0"/>
    <x v="4"/>
    <x v="41"/>
    <x v="9"/>
    <x v="8"/>
    <n v="0"/>
    <x v="1"/>
  </r>
  <r>
    <x v="30"/>
    <x v="1"/>
    <x v="328"/>
    <x v="0"/>
    <x v="4"/>
    <x v="41"/>
    <x v="9"/>
    <x v="9"/>
    <n v="0"/>
    <x v="1"/>
  </r>
  <r>
    <x v="30"/>
    <x v="1"/>
    <x v="328"/>
    <x v="0"/>
    <x v="4"/>
    <x v="41"/>
    <x v="9"/>
    <x v="10"/>
    <n v="0"/>
    <x v="1"/>
  </r>
  <r>
    <x v="30"/>
    <x v="1"/>
    <x v="328"/>
    <x v="0"/>
    <x v="4"/>
    <x v="41"/>
    <x v="9"/>
    <x v="12"/>
    <n v="0"/>
    <x v="1"/>
  </r>
  <r>
    <x v="30"/>
    <x v="1"/>
    <x v="329"/>
    <x v="0"/>
    <x v="4"/>
    <x v="41"/>
    <x v="0"/>
    <x v="0"/>
    <n v="0"/>
    <x v="1"/>
  </r>
  <r>
    <x v="30"/>
    <x v="1"/>
    <x v="329"/>
    <x v="0"/>
    <x v="4"/>
    <x v="41"/>
    <x v="0"/>
    <x v="1"/>
    <n v="0"/>
    <x v="1"/>
  </r>
  <r>
    <x v="30"/>
    <x v="1"/>
    <x v="329"/>
    <x v="0"/>
    <x v="4"/>
    <x v="41"/>
    <x v="0"/>
    <x v="2"/>
    <n v="0"/>
    <x v="1"/>
  </r>
  <r>
    <x v="30"/>
    <x v="1"/>
    <x v="329"/>
    <x v="0"/>
    <x v="4"/>
    <x v="41"/>
    <x v="0"/>
    <x v="3"/>
    <n v="0"/>
    <x v="1"/>
  </r>
  <r>
    <x v="30"/>
    <x v="1"/>
    <x v="329"/>
    <x v="0"/>
    <x v="4"/>
    <x v="41"/>
    <x v="0"/>
    <x v="4"/>
    <n v="0"/>
    <x v="1"/>
  </r>
  <r>
    <x v="30"/>
    <x v="1"/>
    <x v="329"/>
    <x v="0"/>
    <x v="4"/>
    <x v="41"/>
    <x v="0"/>
    <x v="5"/>
    <n v="179"/>
    <x v="1"/>
  </r>
  <r>
    <x v="30"/>
    <x v="1"/>
    <x v="329"/>
    <x v="0"/>
    <x v="4"/>
    <x v="41"/>
    <x v="0"/>
    <x v="6"/>
    <n v="0"/>
    <x v="1"/>
  </r>
  <r>
    <x v="30"/>
    <x v="1"/>
    <x v="329"/>
    <x v="0"/>
    <x v="4"/>
    <x v="41"/>
    <x v="0"/>
    <x v="7"/>
    <n v="0"/>
    <x v="1"/>
  </r>
  <r>
    <x v="30"/>
    <x v="1"/>
    <x v="329"/>
    <x v="0"/>
    <x v="4"/>
    <x v="41"/>
    <x v="0"/>
    <x v="8"/>
    <n v="0"/>
    <x v="1"/>
  </r>
  <r>
    <x v="30"/>
    <x v="1"/>
    <x v="329"/>
    <x v="0"/>
    <x v="4"/>
    <x v="41"/>
    <x v="0"/>
    <x v="9"/>
    <n v="0"/>
    <x v="1"/>
  </r>
  <r>
    <x v="30"/>
    <x v="1"/>
    <x v="329"/>
    <x v="0"/>
    <x v="4"/>
    <x v="41"/>
    <x v="0"/>
    <x v="10"/>
    <n v="0"/>
    <x v="1"/>
  </r>
  <r>
    <x v="30"/>
    <x v="1"/>
    <x v="329"/>
    <x v="0"/>
    <x v="4"/>
    <x v="41"/>
    <x v="0"/>
    <x v="12"/>
    <n v="0"/>
    <x v="1"/>
  </r>
  <r>
    <x v="30"/>
    <x v="1"/>
    <x v="330"/>
    <x v="0"/>
    <x v="4"/>
    <x v="41"/>
    <x v="0"/>
    <x v="0"/>
    <n v="0"/>
    <x v="1"/>
  </r>
  <r>
    <x v="30"/>
    <x v="1"/>
    <x v="330"/>
    <x v="0"/>
    <x v="4"/>
    <x v="41"/>
    <x v="0"/>
    <x v="1"/>
    <n v="0"/>
    <x v="1"/>
  </r>
  <r>
    <x v="30"/>
    <x v="1"/>
    <x v="330"/>
    <x v="0"/>
    <x v="4"/>
    <x v="41"/>
    <x v="0"/>
    <x v="2"/>
    <n v="0"/>
    <x v="1"/>
  </r>
  <r>
    <x v="30"/>
    <x v="1"/>
    <x v="330"/>
    <x v="0"/>
    <x v="4"/>
    <x v="41"/>
    <x v="0"/>
    <x v="3"/>
    <n v="0"/>
    <x v="1"/>
  </r>
  <r>
    <x v="30"/>
    <x v="1"/>
    <x v="330"/>
    <x v="0"/>
    <x v="4"/>
    <x v="41"/>
    <x v="0"/>
    <x v="4"/>
    <n v="0"/>
    <x v="1"/>
  </r>
  <r>
    <x v="30"/>
    <x v="1"/>
    <x v="330"/>
    <x v="0"/>
    <x v="4"/>
    <x v="41"/>
    <x v="0"/>
    <x v="5"/>
    <n v="0"/>
    <x v="1"/>
  </r>
  <r>
    <x v="30"/>
    <x v="1"/>
    <x v="330"/>
    <x v="0"/>
    <x v="4"/>
    <x v="41"/>
    <x v="0"/>
    <x v="6"/>
    <n v="0"/>
    <x v="1"/>
  </r>
  <r>
    <x v="30"/>
    <x v="1"/>
    <x v="330"/>
    <x v="0"/>
    <x v="4"/>
    <x v="41"/>
    <x v="0"/>
    <x v="7"/>
    <n v="386"/>
    <x v="1"/>
  </r>
  <r>
    <x v="30"/>
    <x v="1"/>
    <x v="330"/>
    <x v="0"/>
    <x v="4"/>
    <x v="41"/>
    <x v="0"/>
    <x v="8"/>
    <n v="0"/>
    <x v="1"/>
  </r>
  <r>
    <x v="30"/>
    <x v="1"/>
    <x v="330"/>
    <x v="0"/>
    <x v="4"/>
    <x v="41"/>
    <x v="0"/>
    <x v="9"/>
    <n v="0"/>
    <x v="1"/>
  </r>
  <r>
    <x v="30"/>
    <x v="1"/>
    <x v="330"/>
    <x v="0"/>
    <x v="4"/>
    <x v="41"/>
    <x v="0"/>
    <x v="10"/>
    <n v="0"/>
    <x v="1"/>
  </r>
  <r>
    <x v="30"/>
    <x v="1"/>
    <x v="330"/>
    <x v="0"/>
    <x v="4"/>
    <x v="41"/>
    <x v="0"/>
    <x v="12"/>
    <n v="0"/>
    <x v="1"/>
  </r>
  <r>
    <x v="30"/>
    <x v="1"/>
    <x v="331"/>
    <x v="0"/>
    <x v="4"/>
    <x v="41"/>
    <x v="0"/>
    <x v="0"/>
    <n v="0"/>
    <x v="1"/>
  </r>
  <r>
    <x v="30"/>
    <x v="1"/>
    <x v="331"/>
    <x v="0"/>
    <x v="4"/>
    <x v="41"/>
    <x v="0"/>
    <x v="1"/>
    <n v="0"/>
    <x v="1"/>
  </r>
  <r>
    <x v="30"/>
    <x v="1"/>
    <x v="331"/>
    <x v="0"/>
    <x v="4"/>
    <x v="41"/>
    <x v="0"/>
    <x v="2"/>
    <n v="0"/>
    <x v="1"/>
  </r>
  <r>
    <x v="30"/>
    <x v="1"/>
    <x v="331"/>
    <x v="0"/>
    <x v="4"/>
    <x v="41"/>
    <x v="0"/>
    <x v="3"/>
    <n v="0"/>
    <x v="1"/>
  </r>
  <r>
    <x v="30"/>
    <x v="1"/>
    <x v="331"/>
    <x v="0"/>
    <x v="4"/>
    <x v="41"/>
    <x v="0"/>
    <x v="4"/>
    <n v="0"/>
    <x v="1"/>
  </r>
  <r>
    <x v="30"/>
    <x v="1"/>
    <x v="331"/>
    <x v="0"/>
    <x v="4"/>
    <x v="41"/>
    <x v="0"/>
    <x v="5"/>
    <n v="0"/>
    <x v="1"/>
  </r>
  <r>
    <x v="30"/>
    <x v="1"/>
    <x v="331"/>
    <x v="0"/>
    <x v="4"/>
    <x v="41"/>
    <x v="0"/>
    <x v="6"/>
    <n v="0"/>
    <x v="1"/>
  </r>
  <r>
    <x v="30"/>
    <x v="1"/>
    <x v="331"/>
    <x v="0"/>
    <x v="4"/>
    <x v="41"/>
    <x v="0"/>
    <x v="7"/>
    <n v="723"/>
    <x v="1"/>
  </r>
  <r>
    <x v="30"/>
    <x v="1"/>
    <x v="331"/>
    <x v="0"/>
    <x v="4"/>
    <x v="41"/>
    <x v="0"/>
    <x v="8"/>
    <n v="0"/>
    <x v="1"/>
  </r>
  <r>
    <x v="30"/>
    <x v="1"/>
    <x v="331"/>
    <x v="0"/>
    <x v="4"/>
    <x v="41"/>
    <x v="0"/>
    <x v="9"/>
    <n v="0"/>
    <x v="1"/>
  </r>
  <r>
    <x v="30"/>
    <x v="1"/>
    <x v="331"/>
    <x v="0"/>
    <x v="4"/>
    <x v="41"/>
    <x v="0"/>
    <x v="10"/>
    <n v="0"/>
    <x v="1"/>
  </r>
  <r>
    <x v="30"/>
    <x v="1"/>
    <x v="331"/>
    <x v="0"/>
    <x v="4"/>
    <x v="41"/>
    <x v="0"/>
    <x v="12"/>
    <n v="0"/>
    <x v="1"/>
  </r>
  <r>
    <x v="30"/>
    <x v="1"/>
    <x v="332"/>
    <x v="0"/>
    <x v="4"/>
    <x v="41"/>
    <x v="0"/>
    <x v="0"/>
    <n v="0"/>
    <x v="1"/>
  </r>
  <r>
    <x v="30"/>
    <x v="1"/>
    <x v="332"/>
    <x v="0"/>
    <x v="4"/>
    <x v="41"/>
    <x v="0"/>
    <x v="1"/>
    <n v="0"/>
    <x v="1"/>
  </r>
  <r>
    <x v="30"/>
    <x v="1"/>
    <x v="332"/>
    <x v="0"/>
    <x v="4"/>
    <x v="41"/>
    <x v="0"/>
    <x v="2"/>
    <n v="0"/>
    <x v="1"/>
  </r>
  <r>
    <x v="30"/>
    <x v="1"/>
    <x v="332"/>
    <x v="0"/>
    <x v="4"/>
    <x v="41"/>
    <x v="0"/>
    <x v="3"/>
    <n v="0"/>
    <x v="1"/>
  </r>
  <r>
    <x v="30"/>
    <x v="1"/>
    <x v="332"/>
    <x v="0"/>
    <x v="4"/>
    <x v="41"/>
    <x v="0"/>
    <x v="4"/>
    <n v="0"/>
    <x v="1"/>
  </r>
  <r>
    <x v="30"/>
    <x v="1"/>
    <x v="332"/>
    <x v="0"/>
    <x v="4"/>
    <x v="41"/>
    <x v="0"/>
    <x v="5"/>
    <n v="0"/>
    <x v="1"/>
  </r>
  <r>
    <x v="30"/>
    <x v="1"/>
    <x v="332"/>
    <x v="0"/>
    <x v="4"/>
    <x v="41"/>
    <x v="0"/>
    <x v="6"/>
    <n v="0"/>
    <x v="1"/>
  </r>
  <r>
    <x v="30"/>
    <x v="1"/>
    <x v="332"/>
    <x v="0"/>
    <x v="4"/>
    <x v="41"/>
    <x v="0"/>
    <x v="7"/>
    <n v="899"/>
    <x v="1"/>
  </r>
  <r>
    <x v="30"/>
    <x v="1"/>
    <x v="332"/>
    <x v="0"/>
    <x v="4"/>
    <x v="41"/>
    <x v="0"/>
    <x v="8"/>
    <n v="0"/>
    <x v="1"/>
  </r>
  <r>
    <x v="30"/>
    <x v="1"/>
    <x v="332"/>
    <x v="0"/>
    <x v="4"/>
    <x v="41"/>
    <x v="0"/>
    <x v="9"/>
    <n v="0"/>
    <x v="1"/>
  </r>
  <r>
    <x v="30"/>
    <x v="1"/>
    <x v="332"/>
    <x v="0"/>
    <x v="4"/>
    <x v="41"/>
    <x v="0"/>
    <x v="10"/>
    <n v="0"/>
    <x v="1"/>
  </r>
  <r>
    <x v="30"/>
    <x v="1"/>
    <x v="332"/>
    <x v="0"/>
    <x v="4"/>
    <x v="41"/>
    <x v="0"/>
    <x v="12"/>
    <n v="0"/>
    <x v="1"/>
  </r>
  <r>
    <x v="30"/>
    <x v="1"/>
    <x v="326"/>
    <x v="0"/>
    <x v="4"/>
    <x v="41"/>
    <x v="0"/>
    <x v="0"/>
    <n v="0"/>
    <x v="1"/>
  </r>
  <r>
    <x v="30"/>
    <x v="1"/>
    <x v="326"/>
    <x v="0"/>
    <x v="4"/>
    <x v="41"/>
    <x v="0"/>
    <x v="1"/>
    <n v="0"/>
    <x v="1"/>
  </r>
  <r>
    <x v="30"/>
    <x v="1"/>
    <x v="326"/>
    <x v="0"/>
    <x v="4"/>
    <x v="41"/>
    <x v="0"/>
    <x v="2"/>
    <n v="0"/>
    <x v="1"/>
  </r>
  <r>
    <x v="30"/>
    <x v="1"/>
    <x v="326"/>
    <x v="0"/>
    <x v="4"/>
    <x v="41"/>
    <x v="0"/>
    <x v="3"/>
    <n v="0"/>
    <x v="1"/>
  </r>
  <r>
    <x v="30"/>
    <x v="1"/>
    <x v="326"/>
    <x v="0"/>
    <x v="4"/>
    <x v="41"/>
    <x v="0"/>
    <x v="4"/>
    <n v="0"/>
    <x v="1"/>
  </r>
  <r>
    <x v="30"/>
    <x v="1"/>
    <x v="326"/>
    <x v="0"/>
    <x v="4"/>
    <x v="41"/>
    <x v="0"/>
    <x v="5"/>
    <n v="0"/>
    <x v="1"/>
  </r>
  <r>
    <x v="30"/>
    <x v="1"/>
    <x v="326"/>
    <x v="0"/>
    <x v="4"/>
    <x v="41"/>
    <x v="0"/>
    <x v="6"/>
    <n v="0"/>
    <x v="1"/>
  </r>
  <r>
    <x v="30"/>
    <x v="1"/>
    <x v="326"/>
    <x v="0"/>
    <x v="4"/>
    <x v="41"/>
    <x v="0"/>
    <x v="7"/>
    <n v="1796"/>
    <x v="1"/>
  </r>
  <r>
    <x v="30"/>
    <x v="1"/>
    <x v="326"/>
    <x v="0"/>
    <x v="4"/>
    <x v="41"/>
    <x v="0"/>
    <x v="8"/>
    <n v="0"/>
    <x v="1"/>
  </r>
  <r>
    <x v="30"/>
    <x v="1"/>
    <x v="326"/>
    <x v="0"/>
    <x v="4"/>
    <x v="41"/>
    <x v="0"/>
    <x v="9"/>
    <n v="0"/>
    <x v="1"/>
  </r>
  <r>
    <x v="30"/>
    <x v="1"/>
    <x v="326"/>
    <x v="0"/>
    <x v="4"/>
    <x v="41"/>
    <x v="0"/>
    <x v="10"/>
    <n v="0"/>
    <x v="1"/>
  </r>
  <r>
    <x v="30"/>
    <x v="1"/>
    <x v="326"/>
    <x v="0"/>
    <x v="4"/>
    <x v="41"/>
    <x v="0"/>
    <x v="12"/>
    <n v="0"/>
    <x v="1"/>
  </r>
  <r>
    <x v="30"/>
    <x v="1"/>
    <x v="333"/>
    <x v="0"/>
    <x v="4"/>
    <x v="41"/>
    <x v="0"/>
    <x v="0"/>
    <n v="0"/>
    <x v="1"/>
  </r>
  <r>
    <x v="30"/>
    <x v="1"/>
    <x v="333"/>
    <x v="0"/>
    <x v="4"/>
    <x v="41"/>
    <x v="0"/>
    <x v="1"/>
    <n v="0"/>
    <x v="1"/>
  </r>
  <r>
    <x v="30"/>
    <x v="1"/>
    <x v="333"/>
    <x v="0"/>
    <x v="4"/>
    <x v="41"/>
    <x v="0"/>
    <x v="2"/>
    <n v="0"/>
    <x v="1"/>
  </r>
  <r>
    <x v="30"/>
    <x v="1"/>
    <x v="333"/>
    <x v="0"/>
    <x v="4"/>
    <x v="41"/>
    <x v="0"/>
    <x v="3"/>
    <n v="0"/>
    <x v="1"/>
  </r>
  <r>
    <x v="30"/>
    <x v="1"/>
    <x v="333"/>
    <x v="0"/>
    <x v="4"/>
    <x v="41"/>
    <x v="0"/>
    <x v="4"/>
    <n v="0"/>
    <x v="1"/>
  </r>
  <r>
    <x v="30"/>
    <x v="1"/>
    <x v="333"/>
    <x v="0"/>
    <x v="4"/>
    <x v="41"/>
    <x v="0"/>
    <x v="5"/>
    <n v="0"/>
    <x v="1"/>
  </r>
  <r>
    <x v="30"/>
    <x v="1"/>
    <x v="333"/>
    <x v="0"/>
    <x v="4"/>
    <x v="41"/>
    <x v="0"/>
    <x v="6"/>
    <n v="0"/>
    <x v="1"/>
  </r>
  <r>
    <x v="30"/>
    <x v="1"/>
    <x v="333"/>
    <x v="0"/>
    <x v="4"/>
    <x v="41"/>
    <x v="0"/>
    <x v="7"/>
    <n v="0"/>
    <x v="1"/>
  </r>
  <r>
    <x v="30"/>
    <x v="1"/>
    <x v="333"/>
    <x v="0"/>
    <x v="4"/>
    <x v="41"/>
    <x v="0"/>
    <x v="8"/>
    <n v="375"/>
    <x v="1"/>
  </r>
  <r>
    <x v="30"/>
    <x v="1"/>
    <x v="333"/>
    <x v="0"/>
    <x v="4"/>
    <x v="41"/>
    <x v="0"/>
    <x v="9"/>
    <n v="0"/>
    <x v="1"/>
  </r>
  <r>
    <x v="30"/>
    <x v="1"/>
    <x v="333"/>
    <x v="0"/>
    <x v="4"/>
    <x v="41"/>
    <x v="0"/>
    <x v="10"/>
    <n v="0"/>
    <x v="1"/>
  </r>
  <r>
    <x v="30"/>
    <x v="1"/>
    <x v="333"/>
    <x v="0"/>
    <x v="4"/>
    <x v="41"/>
    <x v="0"/>
    <x v="12"/>
    <n v="0"/>
    <x v="1"/>
  </r>
  <r>
    <x v="30"/>
    <x v="1"/>
    <x v="334"/>
    <x v="1"/>
    <x v="4"/>
    <x v="6"/>
    <x v="0"/>
    <x v="0"/>
    <n v="240"/>
    <x v="1"/>
  </r>
  <r>
    <x v="30"/>
    <x v="1"/>
    <x v="334"/>
    <x v="1"/>
    <x v="4"/>
    <x v="6"/>
    <x v="0"/>
    <x v="1"/>
    <n v="0"/>
    <x v="1"/>
  </r>
  <r>
    <x v="30"/>
    <x v="1"/>
    <x v="334"/>
    <x v="1"/>
    <x v="4"/>
    <x v="6"/>
    <x v="0"/>
    <x v="2"/>
    <n v="0"/>
    <x v="1"/>
  </r>
  <r>
    <x v="30"/>
    <x v="1"/>
    <x v="334"/>
    <x v="1"/>
    <x v="4"/>
    <x v="6"/>
    <x v="0"/>
    <x v="3"/>
    <n v="0"/>
    <x v="1"/>
  </r>
  <r>
    <x v="30"/>
    <x v="1"/>
    <x v="334"/>
    <x v="1"/>
    <x v="4"/>
    <x v="6"/>
    <x v="0"/>
    <x v="4"/>
    <n v="0"/>
    <x v="1"/>
  </r>
  <r>
    <x v="30"/>
    <x v="1"/>
    <x v="334"/>
    <x v="1"/>
    <x v="4"/>
    <x v="6"/>
    <x v="0"/>
    <x v="5"/>
    <n v="0"/>
    <x v="1"/>
  </r>
  <r>
    <x v="30"/>
    <x v="1"/>
    <x v="334"/>
    <x v="1"/>
    <x v="4"/>
    <x v="6"/>
    <x v="0"/>
    <x v="6"/>
    <n v="0"/>
    <x v="1"/>
  </r>
  <r>
    <x v="30"/>
    <x v="1"/>
    <x v="334"/>
    <x v="1"/>
    <x v="4"/>
    <x v="6"/>
    <x v="0"/>
    <x v="7"/>
    <n v="0"/>
    <x v="1"/>
  </r>
  <r>
    <x v="30"/>
    <x v="1"/>
    <x v="334"/>
    <x v="1"/>
    <x v="4"/>
    <x v="6"/>
    <x v="0"/>
    <x v="8"/>
    <n v="0"/>
    <x v="1"/>
  </r>
  <r>
    <x v="30"/>
    <x v="1"/>
    <x v="334"/>
    <x v="1"/>
    <x v="4"/>
    <x v="6"/>
    <x v="0"/>
    <x v="9"/>
    <n v="0"/>
    <x v="1"/>
  </r>
  <r>
    <x v="30"/>
    <x v="1"/>
    <x v="334"/>
    <x v="1"/>
    <x v="4"/>
    <x v="6"/>
    <x v="0"/>
    <x v="10"/>
    <n v="0"/>
    <x v="1"/>
  </r>
  <r>
    <x v="30"/>
    <x v="1"/>
    <x v="334"/>
    <x v="1"/>
    <x v="4"/>
    <x v="6"/>
    <x v="0"/>
    <x v="12"/>
    <n v="0"/>
    <x v="1"/>
  </r>
  <r>
    <x v="30"/>
    <x v="1"/>
    <x v="335"/>
    <x v="0"/>
    <x v="4"/>
    <x v="42"/>
    <x v="1"/>
    <x v="0"/>
    <n v="200"/>
    <x v="1"/>
  </r>
  <r>
    <x v="30"/>
    <x v="1"/>
    <x v="335"/>
    <x v="0"/>
    <x v="4"/>
    <x v="42"/>
    <x v="1"/>
    <x v="1"/>
    <n v="0"/>
    <x v="1"/>
  </r>
  <r>
    <x v="30"/>
    <x v="1"/>
    <x v="335"/>
    <x v="0"/>
    <x v="4"/>
    <x v="42"/>
    <x v="1"/>
    <x v="2"/>
    <n v="0"/>
    <x v="1"/>
  </r>
  <r>
    <x v="30"/>
    <x v="1"/>
    <x v="335"/>
    <x v="0"/>
    <x v="4"/>
    <x v="42"/>
    <x v="1"/>
    <x v="3"/>
    <n v="0"/>
    <x v="1"/>
  </r>
  <r>
    <x v="30"/>
    <x v="1"/>
    <x v="335"/>
    <x v="0"/>
    <x v="4"/>
    <x v="42"/>
    <x v="1"/>
    <x v="4"/>
    <n v="0"/>
    <x v="1"/>
  </r>
  <r>
    <x v="30"/>
    <x v="1"/>
    <x v="335"/>
    <x v="0"/>
    <x v="4"/>
    <x v="42"/>
    <x v="1"/>
    <x v="5"/>
    <n v="0"/>
    <x v="1"/>
  </r>
  <r>
    <x v="30"/>
    <x v="1"/>
    <x v="335"/>
    <x v="0"/>
    <x v="4"/>
    <x v="42"/>
    <x v="1"/>
    <x v="6"/>
    <n v="0"/>
    <x v="1"/>
  </r>
  <r>
    <x v="30"/>
    <x v="1"/>
    <x v="335"/>
    <x v="0"/>
    <x v="4"/>
    <x v="42"/>
    <x v="1"/>
    <x v="7"/>
    <n v="0"/>
    <x v="1"/>
  </r>
  <r>
    <x v="30"/>
    <x v="1"/>
    <x v="335"/>
    <x v="0"/>
    <x v="4"/>
    <x v="42"/>
    <x v="1"/>
    <x v="8"/>
    <n v="0"/>
    <x v="1"/>
  </r>
  <r>
    <x v="30"/>
    <x v="1"/>
    <x v="335"/>
    <x v="0"/>
    <x v="4"/>
    <x v="42"/>
    <x v="1"/>
    <x v="9"/>
    <n v="0"/>
    <x v="1"/>
  </r>
  <r>
    <x v="30"/>
    <x v="1"/>
    <x v="335"/>
    <x v="0"/>
    <x v="4"/>
    <x v="42"/>
    <x v="1"/>
    <x v="10"/>
    <n v="0"/>
    <x v="1"/>
  </r>
  <r>
    <x v="30"/>
    <x v="1"/>
    <x v="335"/>
    <x v="0"/>
    <x v="4"/>
    <x v="42"/>
    <x v="1"/>
    <x v="12"/>
    <n v="0"/>
    <x v="1"/>
  </r>
  <r>
    <x v="32"/>
    <x v="1"/>
    <x v="336"/>
    <x v="0"/>
    <x v="4"/>
    <x v="6"/>
    <x v="12"/>
    <x v="0"/>
    <n v="142.54000000000002"/>
    <x v="1"/>
  </r>
  <r>
    <x v="32"/>
    <x v="1"/>
    <x v="336"/>
    <x v="0"/>
    <x v="4"/>
    <x v="6"/>
    <x v="12"/>
    <x v="1"/>
    <n v="0"/>
    <x v="1"/>
  </r>
  <r>
    <x v="32"/>
    <x v="1"/>
    <x v="336"/>
    <x v="0"/>
    <x v="4"/>
    <x v="6"/>
    <x v="12"/>
    <x v="2"/>
    <n v="0"/>
    <x v="1"/>
  </r>
  <r>
    <x v="32"/>
    <x v="1"/>
    <x v="336"/>
    <x v="0"/>
    <x v="4"/>
    <x v="6"/>
    <x v="12"/>
    <x v="3"/>
    <n v="0"/>
    <x v="1"/>
  </r>
  <r>
    <x v="32"/>
    <x v="1"/>
    <x v="336"/>
    <x v="0"/>
    <x v="4"/>
    <x v="6"/>
    <x v="12"/>
    <x v="4"/>
    <n v="0"/>
    <x v="1"/>
  </r>
  <r>
    <x v="32"/>
    <x v="1"/>
    <x v="336"/>
    <x v="0"/>
    <x v="4"/>
    <x v="6"/>
    <x v="12"/>
    <x v="5"/>
    <n v="0"/>
    <x v="1"/>
  </r>
  <r>
    <x v="32"/>
    <x v="1"/>
    <x v="336"/>
    <x v="0"/>
    <x v="4"/>
    <x v="6"/>
    <x v="12"/>
    <x v="6"/>
    <n v="0"/>
    <x v="1"/>
  </r>
  <r>
    <x v="32"/>
    <x v="1"/>
    <x v="336"/>
    <x v="0"/>
    <x v="4"/>
    <x v="6"/>
    <x v="12"/>
    <x v="7"/>
    <n v="0"/>
    <x v="1"/>
  </r>
  <r>
    <x v="32"/>
    <x v="1"/>
    <x v="336"/>
    <x v="0"/>
    <x v="4"/>
    <x v="6"/>
    <x v="12"/>
    <x v="8"/>
    <n v="0"/>
    <x v="1"/>
  </r>
  <r>
    <x v="32"/>
    <x v="1"/>
    <x v="336"/>
    <x v="0"/>
    <x v="4"/>
    <x v="6"/>
    <x v="12"/>
    <x v="9"/>
    <n v="0"/>
    <x v="1"/>
  </r>
  <r>
    <x v="32"/>
    <x v="1"/>
    <x v="336"/>
    <x v="0"/>
    <x v="4"/>
    <x v="6"/>
    <x v="12"/>
    <x v="10"/>
    <n v="0"/>
    <x v="1"/>
  </r>
  <r>
    <x v="32"/>
    <x v="1"/>
    <x v="336"/>
    <x v="0"/>
    <x v="4"/>
    <x v="6"/>
    <x v="12"/>
    <x v="12"/>
    <n v="0"/>
    <x v="1"/>
  </r>
  <r>
    <x v="30"/>
    <x v="1"/>
    <x v="337"/>
    <x v="0"/>
    <x v="4"/>
    <x v="42"/>
    <x v="0"/>
    <x v="0"/>
    <n v="200"/>
    <x v="1"/>
  </r>
  <r>
    <x v="30"/>
    <x v="1"/>
    <x v="337"/>
    <x v="0"/>
    <x v="4"/>
    <x v="42"/>
    <x v="0"/>
    <x v="1"/>
    <n v="0"/>
    <x v="1"/>
  </r>
  <r>
    <x v="30"/>
    <x v="1"/>
    <x v="337"/>
    <x v="0"/>
    <x v="4"/>
    <x v="42"/>
    <x v="0"/>
    <x v="2"/>
    <n v="0"/>
    <x v="1"/>
  </r>
  <r>
    <x v="30"/>
    <x v="1"/>
    <x v="337"/>
    <x v="0"/>
    <x v="4"/>
    <x v="42"/>
    <x v="0"/>
    <x v="3"/>
    <n v="0"/>
    <x v="1"/>
  </r>
  <r>
    <x v="30"/>
    <x v="1"/>
    <x v="337"/>
    <x v="0"/>
    <x v="4"/>
    <x v="42"/>
    <x v="0"/>
    <x v="4"/>
    <n v="0"/>
    <x v="1"/>
  </r>
  <r>
    <x v="30"/>
    <x v="1"/>
    <x v="337"/>
    <x v="0"/>
    <x v="4"/>
    <x v="42"/>
    <x v="0"/>
    <x v="5"/>
    <n v="0"/>
    <x v="1"/>
  </r>
  <r>
    <x v="30"/>
    <x v="1"/>
    <x v="337"/>
    <x v="0"/>
    <x v="4"/>
    <x v="42"/>
    <x v="0"/>
    <x v="6"/>
    <n v="0"/>
    <x v="1"/>
  </r>
  <r>
    <x v="30"/>
    <x v="1"/>
    <x v="337"/>
    <x v="0"/>
    <x v="4"/>
    <x v="42"/>
    <x v="0"/>
    <x v="7"/>
    <n v="0"/>
    <x v="1"/>
  </r>
  <r>
    <x v="30"/>
    <x v="1"/>
    <x v="337"/>
    <x v="0"/>
    <x v="4"/>
    <x v="42"/>
    <x v="0"/>
    <x v="8"/>
    <n v="0"/>
    <x v="1"/>
  </r>
  <r>
    <x v="30"/>
    <x v="1"/>
    <x v="337"/>
    <x v="0"/>
    <x v="4"/>
    <x v="42"/>
    <x v="0"/>
    <x v="9"/>
    <n v="0"/>
    <x v="1"/>
  </r>
  <r>
    <x v="30"/>
    <x v="1"/>
    <x v="337"/>
    <x v="0"/>
    <x v="4"/>
    <x v="42"/>
    <x v="0"/>
    <x v="10"/>
    <n v="0"/>
    <x v="1"/>
  </r>
  <r>
    <x v="30"/>
    <x v="1"/>
    <x v="337"/>
    <x v="0"/>
    <x v="4"/>
    <x v="42"/>
    <x v="0"/>
    <x v="12"/>
    <n v="0"/>
    <x v="1"/>
  </r>
  <r>
    <x v="30"/>
    <x v="1"/>
    <x v="338"/>
    <x v="0"/>
    <x v="4"/>
    <x v="33"/>
    <x v="9"/>
    <x v="0"/>
    <n v="0"/>
    <x v="1"/>
  </r>
  <r>
    <x v="30"/>
    <x v="1"/>
    <x v="338"/>
    <x v="0"/>
    <x v="4"/>
    <x v="33"/>
    <x v="9"/>
    <x v="1"/>
    <n v="565.03"/>
    <x v="1"/>
  </r>
  <r>
    <x v="30"/>
    <x v="1"/>
    <x v="338"/>
    <x v="0"/>
    <x v="4"/>
    <x v="33"/>
    <x v="9"/>
    <x v="2"/>
    <n v="0"/>
    <x v="1"/>
  </r>
  <r>
    <x v="30"/>
    <x v="1"/>
    <x v="338"/>
    <x v="0"/>
    <x v="4"/>
    <x v="33"/>
    <x v="9"/>
    <x v="3"/>
    <n v="0"/>
    <x v="1"/>
  </r>
  <r>
    <x v="30"/>
    <x v="1"/>
    <x v="338"/>
    <x v="0"/>
    <x v="4"/>
    <x v="33"/>
    <x v="9"/>
    <x v="4"/>
    <n v="0"/>
    <x v="1"/>
  </r>
  <r>
    <x v="30"/>
    <x v="1"/>
    <x v="338"/>
    <x v="0"/>
    <x v="4"/>
    <x v="33"/>
    <x v="9"/>
    <x v="5"/>
    <n v="0"/>
    <x v="1"/>
  </r>
  <r>
    <x v="30"/>
    <x v="1"/>
    <x v="338"/>
    <x v="0"/>
    <x v="4"/>
    <x v="33"/>
    <x v="9"/>
    <x v="6"/>
    <n v="0"/>
    <x v="1"/>
  </r>
  <r>
    <x v="30"/>
    <x v="1"/>
    <x v="338"/>
    <x v="0"/>
    <x v="4"/>
    <x v="33"/>
    <x v="9"/>
    <x v="7"/>
    <n v="0"/>
    <x v="1"/>
  </r>
  <r>
    <x v="30"/>
    <x v="1"/>
    <x v="338"/>
    <x v="0"/>
    <x v="4"/>
    <x v="33"/>
    <x v="9"/>
    <x v="8"/>
    <n v="0"/>
    <x v="1"/>
  </r>
  <r>
    <x v="30"/>
    <x v="1"/>
    <x v="338"/>
    <x v="0"/>
    <x v="4"/>
    <x v="33"/>
    <x v="9"/>
    <x v="9"/>
    <n v="0"/>
    <x v="1"/>
  </r>
  <r>
    <x v="30"/>
    <x v="1"/>
    <x v="338"/>
    <x v="0"/>
    <x v="4"/>
    <x v="33"/>
    <x v="9"/>
    <x v="10"/>
    <n v="0"/>
    <x v="1"/>
  </r>
  <r>
    <x v="30"/>
    <x v="1"/>
    <x v="338"/>
    <x v="0"/>
    <x v="4"/>
    <x v="33"/>
    <x v="9"/>
    <x v="12"/>
    <n v="0"/>
    <x v="1"/>
  </r>
  <r>
    <x v="30"/>
    <x v="1"/>
    <x v="339"/>
    <x v="1"/>
    <x v="4"/>
    <x v="6"/>
    <x v="0"/>
    <x v="0"/>
    <n v="0"/>
    <x v="1"/>
  </r>
  <r>
    <x v="30"/>
    <x v="1"/>
    <x v="339"/>
    <x v="1"/>
    <x v="4"/>
    <x v="6"/>
    <x v="0"/>
    <x v="1"/>
    <n v="0"/>
    <x v="1"/>
  </r>
  <r>
    <x v="30"/>
    <x v="1"/>
    <x v="339"/>
    <x v="1"/>
    <x v="4"/>
    <x v="6"/>
    <x v="0"/>
    <x v="2"/>
    <n v="266.04000000000002"/>
    <x v="1"/>
  </r>
  <r>
    <x v="30"/>
    <x v="1"/>
    <x v="339"/>
    <x v="1"/>
    <x v="4"/>
    <x v="6"/>
    <x v="0"/>
    <x v="3"/>
    <n v="0"/>
    <x v="1"/>
  </r>
  <r>
    <x v="30"/>
    <x v="1"/>
    <x v="339"/>
    <x v="1"/>
    <x v="4"/>
    <x v="6"/>
    <x v="0"/>
    <x v="4"/>
    <n v="0"/>
    <x v="1"/>
  </r>
  <r>
    <x v="30"/>
    <x v="1"/>
    <x v="339"/>
    <x v="1"/>
    <x v="4"/>
    <x v="6"/>
    <x v="0"/>
    <x v="5"/>
    <n v="0"/>
    <x v="1"/>
  </r>
  <r>
    <x v="30"/>
    <x v="1"/>
    <x v="339"/>
    <x v="1"/>
    <x v="4"/>
    <x v="6"/>
    <x v="0"/>
    <x v="6"/>
    <n v="0"/>
    <x v="1"/>
  </r>
  <r>
    <x v="30"/>
    <x v="1"/>
    <x v="339"/>
    <x v="1"/>
    <x v="4"/>
    <x v="6"/>
    <x v="0"/>
    <x v="7"/>
    <n v="0"/>
    <x v="1"/>
  </r>
  <r>
    <x v="30"/>
    <x v="1"/>
    <x v="339"/>
    <x v="1"/>
    <x v="4"/>
    <x v="6"/>
    <x v="0"/>
    <x v="8"/>
    <n v="0"/>
    <x v="1"/>
  </r>
  <r>
    <x v="30"/>
    <x v="1"/>
    <x v="339"/>
    <x v="1"/>
    <x v="4"/>
    <x v="6"/>
    <x v="0"/>
    <x v="9"/>
    <n v="0"/>
    <x v="1"/>
  </r>
  <r>
    <x v="30"/>
    <x v="1"/>
    <x v="339"/>
    <x v="1"/>
    <x v="4"/>
    <x v="6"/>
    <x v="0"/>
    <x v="10"/>
    <n v="0"/>
    <x v="1"/>
  </r>
  <r>
    <x v="30"/>
    <x v="1"/>
    <x v="339"/>
    <x v="1"/>
    <x v="4"/>
    <x v="6"/>
    <x v="0"/>
    <x v="12"/>
    <n v="0"/>
    <x v="1"/>
  </r>
  <r>
    <x v="30"/>
    <x v="1"/>
    <x v="340"/>
    <x v="0"/>
    <x v="4"/>
    <x v="33"/>
    <x v="13"/>
    <x v="0"/>
    <n v="0"/>
    <x v="1"/>
  </r>
  <r>
    <x v="30"/>
    <x v="1"/>
    <x v="340"/>
    <x v="0"/>
    <x v="4"/>
    <x v="33"/>
    <x v="13"/>
    <x v="1"/>
    <n v="0"/>
    <x v="1"/>
  </r>
  <r>
    <x v="30"/>
    <x v="1"/>
    <x v="340"/>
    <x v="0"/>
    <x v="4"/>
    <x v="33"/>
    <x v="13"/>
    <x v="2"/>
    <n v="85.93"/>
    <x v="1"/>
  </r>
  <r>
    <x v="30"/>
    <x v="1"/>
    <x v="340"/>
    <x v="0"/>
    <x v="4"/>
    <x v="33"/>
    <x v="13"/>
    <x v="3"/>
    <n v="0"/>
    <x v="1"/>
  </r>
  <r>
    <x v="30"/>
    <x v="1"/>
    <x v="340"/>
    <x v="0"/>
    <x v="4"/>
    <x v="33"/>
    <x v="13"/>
    <x v="4"/>
    <n v="0"/>
    <x v="1"/>
  </r>
  <r>
    <x v="30"/>
    <x v="1"/>
    <x v="340"/>
    <x v="0"/>
    <x v="4"/>
    <x v="33"/>
    <x v="13"/>
    <x v="5"/>
    <n v="0"/>
    <x v="1"/>
  </r>
  <r>
    <x v="30"/>
    <x v="1"/>
    <x v="340"/>
    <x v="0"/>
    <x v="4"/>
    <x v="33"/>
    <x v="13"/>
    <x v="6"/>
    <n v="0"/>
    <x v="1"/>
  </r>
  <r>
    <x v="30"/>
    <x v="1"/>
    <x v="340"/>
    <x v="0"/>
    <x v="4"/>
    <x v="33"/>
    <x v="13"/>
    <x v="7"/>
    <n v="0"/>
    <x v="1"/>
  </r>
  <r>
    <x v="30"/>
    <x v="1"/>
    <x v="340"/>
    <x v="0"/>
    <x v="4"/>
    <x v="33"/>
    <x v="13"/>
    <x v="8"/>
    <n v="0"/>
    <x v="1"/>
  </r>
  <r>
    <x v="30"/>
    <x v="1"/>
    <x v="340"/>
    <x v="0"/>
    <x v="4"/>
    <x v="33"/>
    <x v="13"/>
    <x v="9"/>
    <n v="0"/>
    <x v="1"/>
  </r>
  <r>
    <x v="30"/>
    <x v="1"/>
    <x v="340"/>
    <x v="0"/>
    <x v="4"/>
    <x v="33"/>
    <x v="13"/>
    <x v="10"/>
    <n v="0"/>
    <x v="1"/>
  </r>
  <r>
    <x v="30"/>
    <x v="1"/>
    <x v="340"/>
    <x v="0"/>
    <x v="4"/>
    <x v="33"/>
    <x v="13"/>
    <x v="12"/>
    <n v="0"/>
    <x v="1"/>
  </r>
  <r>
    <x v="30"/>
    <x v="1"/>
    <x v="341"/>
    <x v="0"/>
    <x v="4"/>
    <x v="33"/>
    <x v="1"/>
    <x v="0"/>
    <n v="0"/>
    <x v="1"/>
  </r>
  <r>
    <x v="30"/>
    <x v="1"/>
    <x v="341"/>
    <x v="0"/>
    <x v="4"/>
    <x v="33"/>
    <x v="1"/>
    <x v="1"/>
    <n v="0"/>
    <x v="1"/>
  </r>
  <r>
    <x v="30"/>
    <x v="1"/>
    <x v="341"/>
    <x v="0"/>
    <x v="4"/>
    <x v="33"/>
    <x v="1"/>
    <x v="2"/>
    <n v="79.930000000000007"/>
    <x v="1"/>
  </r>
  <r>
    <x v="30"/>
    <x v="1"/>
    <x v="341"/>
    <x v="0"/>
    <x v="4"/>
    <x v="33"/>
    <x v="1"/>
    <x v="3"/>
    <n v="0"/>
    <x v="1"/>
  </r>
  <r>
    <x v="30"/>
    <x v="1"/>
    <x v="341"/>
    <x v="0"/>
    <x v="4"/>
    <x v="33"/>
    <x v="1"/>
    <x v="4"/>
    <n v="0"/>
    <x v="1"/>
  </r>
  <r>
    <x v="30"/>
    <x v="1"/>
    <x v="341"/>
    <x v="0"/>
    <x v="4"/>
    <x v="33"/>
    <x v="1"/>
    <x v="5"/>
    <n v="0"/>
    <x v="1"/>
  </r>
  <r>
    <x v="30"/>
    <x v="1"/>
    <x v="341"/>
    <x v="0"/>
    <x v="4"/>
    <x v="33"/>
    <x v="1"/>
    <x v="6"/>
    <n v="0"/>
    <x v="1"/>
  </r>
  <r>
    <x v="30"/>
    <x v="1"/>
    <x v="341"/>
    <x v="0"/>
    <x v="4"/>
    <x v="33"/>
    <x v="1"/>
    <x v="7"/>
    <n v="0"/>
    <x v="1"/>
  </r>
  <r>
    <x v="30"/>
    <x v="1"/>
    <x v="341"/>
    <x v="0"/>
    <x v="4"/>
    <x v="33"/>
    <x v="1"/>
    <x v="8"/>
    <n v="0"/>
    <x v="1"/>
  </r>
  <r>
    <x v="30"/>
    <x v="1"/>
    <x v="341"/>
    <x v="0"/>
    <x v="4"/>
    <x v="33"/>
    <x v="1"/>
    <x v="9"/>
    <n v="0"/>
    <x v="1"/>
  </r>
  <r>
    <x v="30"/>
    <x v="1"/>
    <x v="341"/>
    <x v="0"/>
    <x v="4"/>
    <x v="33"/>
    <x v="1"/>
    <x v="10"/>
    <n v="0"/>
    <x v="1"/>
  </r>
  <r>
    <x v="30"/>
    <x v="1"/>
    <x v="341"/>
    <x v="0"/>
    <x v="4"/>
    <x v="33"/>
    <x v="1"/>
    <x v="12"/>
    <n v="0"/>
    <x v="1"/>
  </r>
  <r>
    <x v="30"/>
    <x v="1"/>
    <x v="342"/>
    <x v="2"/>
    <x v="4"/>
    <x v="41"/>
    <x v="0"/>
    <x v="0"/>
    <n v="0"/>
    <x v="1"/>
  </r>
  <r>
    <x v="30"/>
    <x v="1"/>
    <x v="342"/>
    <x v="2"/>
    <x v="4"/>
    <x v="41"/>
    <x v="0"/>
    <x v="1"/>
    <n v="0"/>
    <x v="1"/>
  </r>
  <r>
    <x v="30"/>
    <x v="1"/>
    <x v="342"/>
    <x v="2"/>
    <x v="4"/>
    <x v="41"/>
    <x v="0"/>
    <x v="2"/>
    <n v="0"/>
    <x v="1"/>
  </r>
  <r>
    <x v="30"/>
    <x v="1"/>
    <x v="342"/>
    <x v="2"/>
    <x v="4"/>
    <x v="41"/>
    <x v="0"/>
    <x v="3"/>
    <n v="0"/>
    <x v="1"/>
  </r>
  <r>
    <x v="30"/>
    <x v="1"/>
    <x v="342"/>
    <x v="2"/>
    <x v="4"/>
    <x v="41"/>
    <x v="0"/>
    <x v="4"/>
    <n v="807.26"/>
    <x v="1"/>
  </r>
  <r>
    <x v="30"/>
    <x v="1"/>
    <x v="342"/>
    <x v="2"/>
    <x v="4"/>
    <x v="41"/>
    <x v="0"/>
    <x v="5"/>
    <n v="0"/>
    <x v="1"/>
  </r>
  <r>
    <x v="30"/>
    <x v="1"/>
    <x v="342"/>
    <x v="2"/>
    <x v="4"/>
    <x v="41"/>
    <x v="0"/>
    <x v="6"/>
    <n v="0"/>
    <x v="1"/>
  </r>
  <r>
    <x v="30"/>
    <x v="1"/>
    <x v="342"/>
    <x v="2"/>
    <x v="4"/>
    <x v="41"/>
    <x v="0"/>
    <x v="7"/>
    <n v="0"/>
    <x v="1"/>
  </r>
  <r>
    <x v="30"/>
    <x v="1"/>
    <x v="342"/>
    <x v="2"/>
    <x v="4"/>
    <x v="41"/>
    <x v="0"/>
    <x v="8"/>
    <n v="0"/>
    <x v="1"/>
  </r>
  <r>
    <x v="30"/>
    <x v="1"/>
    <x v="342"/>
    <x v="2"/>
    <x v="4"/>
    <x v="41"/>
    <x v="0"/>
    <x v="9"/>
    <n v="0"/>
    <x v="1"/>
  </r>
  <r>
    <x v="30"/>
    <x v="1"/>
    <x v="342"/>
    <x v="2"/>
    <x v="4"/>
    <x v="41"/>
    <x v="0"/>
    <x v="10"/>
    <n v="0"/>
    <x v="1"/>
  </r>
  <r>
    <x v="30"/>
    <x v="1"/>
    <x v="342"/>
    <x v="2"/>
    <x v="4"/>
    <x v="41"/>
    <x v="0"/>
    <x v="12"/>
    <n v="0"/>
    <x v="1"/>
  </r>
  <r>
    <x v="30"/>
    <x v="1"/>
    <x v="343"/>
    <x v="0"/>
    <x v="4"/>
    <x v="6"/>
    <x v="9"/>
    <x v="0"/>
    <n v="0"/>
    <x v="1"/>
  </r>
  <r>
    <x v="30"/>
    <x v="1"/>
    <x v="343"/>
    <x v="0"/>
    <x v="4"/>
    <x v="6"/>
    <x v="9"/>
    <x v="1"/>
    <n v="0"/>
    <x v="1"/>
  </r>
  <r>
    <x v="30"/>
    <x v="1"/>
    <x v="343"/>
    <x v="0"/>
    <x v="4"/>
    <x v="6"/>
    <x v="9"/>
    <x v="2"/>
    <n v="0"/>
    <x v="1"/>
  </r>
  <r>
    <x v="30"/>
    <x v="1"/>
    <x v="343"/>
    <x v="0"/>
    <x v="4"/>
    <x v="6"/>
    <x v="9"/>
    <x v="3"/>
    <n v="0"/>
    <x v="1"/>
  </r>
  <r>
    <x v="30"/>
    <x v="1"/>
    <x v="343"/>
    <x v="0"/>
    <x v="4"/>
    <x v="6"/>
    <x v="9"/>
    <x v="4"/>
    <n v="424"/>
    <x v="1"/>
  </r>
  <r>
    <x v="30"/>
    <x v="1"/>
    <x v="343"/>
    <x v="0"/>
    <x v="4"/>
    <x v="6"/>
    <x v="9"/>
    <x v="5"/>
    <n v="0"/>
    <x v="1"/>
  </r>
  <r>
    <x v="30"/>
    <x v="1"/>
    <x v="343"/>
    <x v="0"/>
    <x v="4"/>
    <x v="6"/>
    <x v="9"/>
    <x v="6"/>
    <n v="0"/>
    <x v="1"/>
  </r>
  <r>
    <x v="30"/>
    <x v="1"/>
    <x v="343"/>
    <x v="0"/>
    <x v="4"/>
    <x v="6"/>
    <x v="9"/>
    <x v="7"/>
    <n v="0"/>
    <x v="1"/>
  </r>
  <r>
    <x v="30"/>
    <x v="1"/>
    <x v="343"/>
    <x v="0"/>
    <x v="4"/>
    <x v="6"/>
    <x v="9"/>
    <x v="8"/>
    <n v="0"/>
    <x v="1"/>
  </r>
  <r>
    <x v="30"/>
    <x v="1"/>
    <x v="343"/>
    <x v="0"/>
    <x v="4"/>
    <x v="6"/>
    <x v="9"/>
    <x v="9"/>
    <n v="0"/>
    <x v="1"/>
  </r>
  <r>
    <x v="30"/>
    <x v="1"/>
    <x v="343"/>
    <x v="0"/>
    <x v="4"/>
    <x v="6"/>
    <x v="9"/>
    <x v="10"/>
    <n v="0"/>
    <x v="1"/>
  </r>
  <r>
    <x v="30"/>
    <x v="1"/>
    <x v="343"/>
    <x v="0"/>
    <x v="4"/>
    <x v="6"/>
    <x v="9"/>
    <x v="12"/>
    <n v="0"/>
    <x v="1"/>
  </r>
  <r>
    <x v="34"/>
    <x v="1"/>
    <x v="344"/>
    <x v="0"/>
    <x v="4"/>
    <x v="6"/>
    <x v="21"/>
    <x v="0"/>
    <n v="0"/>
    <x v="1"/>
  </r>
  <r>
    <x v="34"/>
    <x v="1"/>
    <x v="344"/>
    <x v="0"/>
    <x v="4"/>
    <x v="6"/>
    <x v="21"/>
    <x v="1"/>
    <n v="0"/>
    <x v="1"/>
  </r>
  <r>
    <x v="34"/>
    <x v="1"/>
    <x v="344"/>
    <x v="0"/>
    <x v="4"/>
    <x v="6"/>
    <x v="21"/>
    <x v="2"/>
    <n v="0"/>
    <x v="1"/>
  </r>
  <r>
    <x v="34"/>
    <x v="1"/>
    <x v="344"/>
    <x v="0"/>
    <x v="4"/>
    <x v="6"/>
    <x v="21"/>
    <x v="3"/>
    <n v="0"/>
    <x v="1"/>
  </r>
  <r>
    <x v="34"/>
    <x v="1"/>
    <x v="344"/>
    <x v="0"/>
    <x v="4"/>
    <x v="6"/>
    <x v="21"/>
    <x v="4"/>
    <n v="306.04000000000002"/>
    <x v="1"/>
  </r>
  <r>
    <x v="34"/>
    <x v="1"/>
    <x v="344"/>
    <x v="0"/>
    <x v="4"/>
    <x v="6"/>
    <x v="21"/>
    <x v="5"/>
    <n v="0"/>
    <x v="1"/>
  </r>
  <r>
    <x v="34"/>
    <x v="1"/>
    <x v="344"/>
    <x v="0"/>
    <x v="4"/>
    <x v="6"/>
    <x v="21"/>
    <x v="6"/>
    <n v="0"/>
    <x v="1"/>
  </r>
  <r>
    <x v="34"/>
    <x v="1"/>
    <x v="344"/>
    <x v="0"/>
    <x v="4"/>
    <x v="6"/>
    <x v="21"/>
    <x v="7"/>
    <n v="0"/>
    <x v="1"/>
  </r>
  <r>
    <x v="34"/>
    <x v="1"/>
    <x v="344"/>
    <x v="0"/>
    <x v="4"/>
    <x v="6"/>
    <x v="21"/>
    <x v="8"/>
    <n v="0"/>
    <x v="1"/>
  </r>
  <r>
    <x v="34"/>
    <x v="1"/>
    <x v="344"/>
    <x v="0"/>
    <x v="4"/>
    <x v="6"/>
    <x v="21"/>
    <x v="9"/>
    <n v="0"/>
    <x v="1"/>
  </r>
  <r>
    <x v="34"/>
    <x v="1"/>
    <x v="344"/>
    <x v="0"/>
    <x v="4"/>
    <x v="6"/>
    <x v="21"/>
    <x v="10"/>
    <n v="0"/>
    <x v="1"/>
  </r>
  <r>
    <x v="34"/>
    <x v="1"/>
    <x v="344"/>
    <x v="0"/>
    <x v="4"/>
    <x v="6"/>
    <x v="21"/>
    <x v="12"/>
    <n v="0"/>
    <x v="1"/>
  </r>
  <r>
    <x v="30"/>
    <x v="1"/>
    <x v="345"/>
    <x v="0"/>
    <x v="4"/>
    <x v="43"/>
    <x v="0"/>
    <x v="0"/>
    <n v="0"/>
    <x v="1"/>
  </r>
  <r>
    <x v="30"/>
    <x v="1"/>
    <x v="345"/>
    <x v="0"/>
    <x v="4"/>
    <x v="43"/>
    <x v="0"/>
    <x v="1"/>
    <n v="0"/>
    <x v="1"/>
  </r>
  <r>
    <x v="30"/>
    <x v="1"/>
    <x v="345"/>
    <x v="0"/>
    <x v="4"/>
    <x v="43"/>
    <x v="0"/>
    <x v="2"/>
    <n v="0"/>
    <x v="1"/>
  </r>
  <r>
    <x v="30"/>
    <x v="1"/>
    <x v="345"/>
    <x v="0"/>
    <x v="4"/>
    <x v="43"/>
    <x v="0"/>
    <x v="3"/>
    <n v="0"/>
    <x v="1"/>
  </r>
  <r>
    <x v="30"/>
    <x v="1"/>
    <x v="345"/>
    <x v="0"/>
    <x v="4"/>
    <x v="43"/>
    <x v="0"/>
    <x v="4"/>
    <n v="350.46"/>
    <x v="1"/>
  </r>
  <r>
    <x v="30"/>
    <x v="1"/>
    <x v="345"/>
    <x v="0"/>
    <x v="4"/>
    <x v="43"/>
    <x v="0"/>
    <x v="5"/>
    <n v="0"/>
    <x v="1"/>
  </r>
  <r>
    <x v="30"/>
    <x v="1"/>
    <x v="345"/>
    <x v="0"/>
    <x v="4"/>
    <x v="43"/>
    <x v="0"/>
    <x v="6"/>
    <n v="0"/>
    <x v="1"/>
  </r>
  <r>
    <x v="30"/>
    <x v="1"/>
    <x v="345"/>
    <x v="0"/>
    <x v="4"/>
    <x v="43"/>
    <x v="0"/>
    <x v="7"/>
    <n v="0"/>
    <x v="1"/>
  </r>
  <r>
    <x v="30"/>
    <x v="1"/>
    <x v="345"/>
    <x v="0"/>
    <x v="4"/>
    <x v="43"/>
    <x v="0"/>
    <x v="8"/>
    <n v="0"/>
    <x v="1"/>
  </r>
  <r>
    <x v="30"/>
    <x v="1"/>
    <x v="345"/>
    <x v="0"/>
    <x v="4"/>
    <x v="43"/>
    <x v="0"/>
    <x v="9"/>
    <n v="0"/>
    <x v="1"/>
  </r>
  <r>
    <x v="30"/>
    <x v="1"/>
    <x v="345"/>
    <x v="0"/>
    <x v="4"/>
    <x v="43"/>
    <x v="0"/>
    <x v="10"/>
    <n v="0"/>
    <x v="1"/>
  </r>
  <r>
    <x v="30"/>
    <x v="1"/>
    <x v="345"/>
    <x v="0"/>
    <x v="4"/>
    <x v="43"/>
    <x v="0"/>
    <x v="12"/>
    <n v="0"/>
    <x v="1"/>
  </r>
  <r>
    <x v="30"/>
    <x v="1"/>
    <x v="346"/>
    <x v="0"/>
    <x v="4"/>
    <x v="33"/>
    <x v="9"/>
    <x v="0"/>
    <n v="0"/>
    <x v="1"/>
  </r>
  <r>
    <x v="30"/>
    <x v="1"/>
    <x v="346"/>
    <x v="0"/>
    <x v="4"/>
    <x v="33"/>
    <x v="9"/>
    <x v="1"/>
    <n v="0"/>
    <x v="1"/>
  </r>
  <r>
    <x v="30"/>
    <x v="1"/>
    <x v="346"/>
    <x v="0"/>
    <x v="4"/>
    <x v="33"/>
    <x v="9"/>
    <x v="2"/>
    <n v="0"/>
    <x v="1"/>
  </r>
  <r>
    <x v="30"/>
    <x v="1"/>
    <x v="346"/>
    <x v="0"/>
    <x v="4"/>
    <x v="33"/>
    <x v="9"/>
    <x v="3"/>
    <n v="0"/>
    <x v="1"/>
  </r>
  <r>
    <x v="30"/>
    <x v="1"/>
    <x v="346"/>
    <x v="0"/>
    <x v="4"/>
    <x v="33"/>
    <x v="9"/>
    <x v="4"/>
    <n v="388.06"/>
    <x v="1"/>
  </r>
  <r>
    <x v="30"/>
    <x v="1"/>
    <x v="346"/>
    <x v="0"/>
    <x v="4"/>
    <x v="33"/>
    <x v="9"/>
    <x v="5"/>
    <n v="0"/>
    <x v="1"/>
  </r>
  <r>
    <x v="30"/>
    <x v="1"/>
    <x v="346"/>
    <x v="0"/>
    <x v="4"/>
    <x v="33"/>
    <x v="9"/>
    <x v="6"/>
    <n v="0"/>
    <x v="1"/>
  </r>
  <r>
    <x v="30"/>
    <x v="1"/>
    <x v="346"/>
    <x v="0"/>
    <x v="4"/>
    <x v="33"/>
    <x v="9"/>
    <x v="7"/>
    <n v="0"/>
    <x v="1"/>
  </r>
  <r>
    <x v="30"/>
    <x v="1"/>
    <x v="346"/>
    <x v="0"/>
    <x v="4"/>
    <x v="33"/>
    <x v="9"/>
    <x v="8"/>
    <n v="0"/>
    <x v="1"/>
  </r>
  <r>
    <x v="30"/>
    <x v="1"/>
    <x v="346"/>
    <x v="0"/>
    <x v="4"/>
    <x v="33"/>
    <x v="9"/>
    <x v="9"/>
    <n v="0"/>
    <x v="1"/>
  </r>
  <r>
    <x v="30"/>
    <x v="1"/>
    <x v="346"/>
    <x v="0"/>
    <x v="4"/>
    <x v="33"/>
    <x v="9"/>
    <x v="10"/>
    <n v="0"/>
    <x v="1"/>
  </r>
  <r>
    <x v="30"/>
    <x v="1"/>
    <x v="346"/>
    <x v="0"/>
    <x v="4"/>
    <x v="33"/>
    <x v="9"/>
    <x v="12"/>
    <n v="0"/>
    <x v="1"/>
  </r>
  <r>
    <x v="30"/>
    <x v="1"/>
    <x v="347"/>
    <x v="0"/>
    <x v="4"/>
    <x v="33"/>
    <x v="21"/>
    <x v="0"/>
    <n v="0"/>
    <x v="1"/>
  </r>
  <r>
    <x v="30"/>
    <x v="1"/>
    <x v="347"/>
    <x v="0"/>
    <x v="4"/>
    <x v="33"/>
    <x v="21"/>
    <x v="1"/>
    <n v="0"/>
    <x v="1"/>
  </r>
  <r>
    <x v="30"/>
    <x v="1"/>
    <x v="347"/>
    <x v="0"/>
    <x v="4"/>
    <x v="33"/>
    <x v="21"/>
    <x v="2"/>
    <n v="0"/>
    <x v="1"/>
  </r>
  <r>
    <x v="30"/>
    <x v="1"/>
    <x v="347"/>
    <x v="0"/>
    <x v="4"/>
    <x v="33"/>
    <x v="21"/>
    <x v="3"/>
    <n v="0"/>
    <x v="1"/>
  </r>
  <r>
    <x v="30"/>
    <x v="1"/>
    <x v="347"/>
    <x v="0"/>
    <x v="4"/>
    <x v="33"/>
    <x v="21"/>
    <x v="4"/>
    <n v="43"/>
    <x v="1"/>
  </r>
  <r>
    <x v="30"/>
    <x v="1"/>
    <x v="347"/>
    <x v="0"/>
    <x v="4"/>
    <x v="33"/>
    <x v="21"/>
    <x v="5"/>
    <n v="0"/>
    <x v="1"/>
  </r>
  <r>
    <x v="30"/>
    <x v="1"/>
    <x v="347"/>
    <x v="0"/>
    <x v="4"/>
    <x v="33"/>
    <x v="21"/>
    <x v="6"/>
    <n v="0"/>
    <x v="1"/>
  </r>
  <r>
    <x v="30"/>
    <x v="1"/>
    <x v="347"/>
    <x v="0"/>
    <x v="4"/>
    <x v="33"/>
    <x v="21"/>
    <x v="7"/>
    <n v="0"/>
    <x v="1"/>
  </r>
  <r>
    <x v="30"/>
    <x v="1"/>
    <x v="347"/>
    <x v="0"/>
    <x v="4"/>
    <x v="33"/>
    <x v="21"/>
    <x v="8"/>
    <n v="0"/>
    <x v="1"/>
  </r>
  <r>
    <x v="30"/>
    <x v="1"/>
    <x v="347"/>
    <x v="0"/>
    <x v="4"/>
    <x v="33"/>
    <x v="21"/>
    <x v="9"/>
    <n v="0"/>
    <x v="1"/>
  </r>
  <r>
    <x v="30"/>
    <x v="1"/>
    <x v="347"/>
    <x v="0"/>
    <x v="4"/>
    <x v="33"/>
    <x v="21"/>
    <x v="10"/>
    <n v="0"/>
    <x v="1"/>
  </r>
  <r>
    <x v="30"/>
    <x v="1"/>
    <x v="347"/>
    <x v="0"/>
    <x v="4"/>
    <x v="33"/>
    <x v="21"/>
    <x v="12"/>
    <n v="0"/>
    <x v="1"/>
  </r>
  <r>
    <x v="30"/>
    <x v="1"/>
    <x v="348"/>
    <x v="0"/>
    <x v="4"/>
    <x v="6"/>
    <x v="11"/>
    <x v="0"/>
    <n v="0"/>
    <x v="1"/>
  </r>
  <r>
    <x v="30"/>
    <x v="1"/>
    <x v="348"/>
    <x v="0"/>
    <x v="4"/>
    <x v="6"/>
    <x v="11"/>
    <x v="1"/>
    <n v="0"/>
    <x v="1"/>
  </r>
  <r>
    <x v="30"/>
    <x v="1"/>
    <x v="348"/>
    <x v="0"/>
    <x v="4"/>
    <x v="6"/>
    <x v="11"/>
    <x v="2"/>
    <n v="0"/>
    <x v="1"/>
  </r>
  <r>
    <x v="30"/>
    <x v="1"/>
    <x v="348"/>
    <x v="0"/>
    <x v="4"/>
    <x v="6"/>
    <x v="11"/>
    <x v="3"/>
    <n v="0"/>
    <x v="1"/>
  </r>
  <r>
    <x v="30"/>
    <x v="1"/>
    <x v="348"/>
    <x v="0"/>
    <x v="4"/>
    <x v="6"/>
    <x v="11"/>
    <x v="4"/>
    <n v="0"/>
    <x v="1"/>
  </r>
  <r>
    <x v="30"/>
    <x v="1"/>
    <x v="348"/>
    <x v="0"/>
    <x v="4"/>
    <x v="6"/>
    <x v="11"/>
    <x v="5"/>
    <n v="199.75"/>
    <x v="1"/>
  </r>
  <r>
    <x v="30"/>
    <x v="1"/>
    <x v="348"/>
    <x v="0"/>
    <x v="4"/>
    <x v="6"/>
    <x v="11"/>
    <x v="6"/>
    <n v="0"/>
    <x v="1"/>
  </r>
  <r>
    <x v="30"/>
    <x v="1"/>
    <x v="348"/>
    <x v="0"/>
    <x v="4"/>
    <x v="6"/>
    <x v="11"/>
    <x v="7"/>
    <n v="0"/>
    <x v="1"/>
  </r>
  <r>
    <x v="30"/>
    <x v="1"/>
    <x v="348"/>
    <x v="0"/>
    <x v="4"/>
    <x v="6"/>
    <x v="11"/>
    <x v="8"/>
    <n v="0"/>
    <x v="1"/>
  </r>
  <r>
    <x v="30"/>
    <x v="1"/>
    <x v="348"/>
    <x v="0"/>
    <x v="4"/>
    <x v="6"/>
    <x v="11"/>
    <x v="9"/>
    <n v="0"/>
    <x v="1"/>
  </r>
  <r>
    <x v="30"/>
    <x v="1"/>
    <x v="348"/>
    <x v="0"/>
    <x v="4"/>
    <x v="6"/>
    <x v="11"/>
    <x v="10"/>
    <n v="0"/>
    <x v="1"/>
  </r>
  <r>
    <x v="30"/>
    <x v="1"/>
    <x v="348"/>
    <x v="0"/>
    <x v="4"/>
    <x v="6"/>
    <x v="11"/>
    <x v="12"/>
    <n v="0"/>
    <x v="1"/>
  </r>
  <r>
    <x v="30"/>
    <x v="1"/>
    <x v="349"/>
    <x v="0"/>
    <x v="4"/>
    <x v="33"/>
    <x v="9"/>
    <x v="0"/>
    <n v="0"/>
    <x v="1"/>
  </r>
  <r>
    <x v="30"/>
    <x v="1"/>
    <x v="349"/>
    <x v="0"/>
    <x v="4"/>
    <x v="33"/>
    <x v="9"/>
    <x v="1"/>
    <n v="0"/>
    <x v="1"/>
  </r>
  <r>
    <x v="30"/>
    <x v="1"/>
    <x v="349"/>
    <x v="0"/>
    <x v="4"/>
    <x v="33"/>
    <x v="9"/>
    <x v="2"/>
    <n v="0"/>
    <x v="1"/>
  </r>
  <r>
    <x v="30"/>
    <x v="1"/>
    <x v="349"/>
    <x v="0"/>
    <x v="4"/>
    <x v="33"/>
    <x v="9"/>
    <x v="3"/>
    <n v="0"/>
    <x v="1"/>
  </r>
  <r>
    <x v="30"/>
    <x v="1"/>
    <x v="349"/>
    <x v="0"/>
    <x v="4"/>
    <x v="33"/>
    <x v="9"/>
    <x v="4"/>
    <n v="0"/>
    <x v="1"/>
  </r>
  <r>
    <x v="30"/>
    <x v="1"/>
    <x v="349"/>
    <x v="0"/>
    <x v="4"/>
    <x v="33"/>
    <x v="9"/>
    <x v="5"/>
    <n v="360.4"/>
    <x v="1"/>
  </r>
  <r>
    <x v="30"/>
    <x v="1"/>
    <x v="349"/>
    <x v="0"/>
    <x v="4"/>
    <x v="33"/>
    <x v="9"/>
    <x v="6"/>
    <n v="0"/>
    <x v="1"/>
  </r>
  <r>
    <x v="30"/>
    <x v="1"/>
    <x v="349"/>
    <x v="0"/>
    <x v="4"/>
    <x v="33"/>
    <x v="9"/>
    <x v="7"/>
    <n v="0"/>
    <x v="1"/>
  </r>
  <r>
    <x v="30"/>
    <x v="1"/>
    <x v="349"/>
    <x v="0"/>
    <x v="4"/>
    <x v="33"/>
    <x v="9"/>
    <x v="8"/>
    <n v="0"/>
    <x v="1"/>
  </r>
  <r>
    <x v="30"/>
    <x v="1"/>
    <x v="349"/>
    <x v="0"/>
    <x v="4"/>
    <x v="33"/>
    <x v="9"/>
    <x v="9"/>
    <n v="0"/>
    <x v="1"/>
  </r>
  <r>
    <x v="30"/>
    <x v="1"/>
    <x v="349"/>
    <x v="0"/>
    <x v="4"/>
    <x v="33"/>
    <x v="9"/>
    <x v="10"/>
    <n v="0"/>
    <x v="1"/>
  </r>
  <r>
    <x v="30"/>
    <x v="1"/>
    <x v="349"/>
    <x v="0"/>
    <x v="4"/>
    <x v="33"/>
    <x v="9"/>
    <x v="12"/>
    <n v="0"/>
    <x v="1"/>
  </r>
  <r>
    <x v="32"/>
    <x v="1"/>
    <x v="336"/>
    <x v="0"/>
    <x v="4"/>
    <x v="6"/>
    <x v="0"/>
    <x v="0"/>
    <n v="0"/>
    <x v="1"/>
  </r>
  <r>
    <x v="32"/>
    <x v="1"/>
    <x v="336"/>
    <x v="0"/>
    <x v="4"/>
    <x v="6"/>
    <x v="0"/>
    <x v="1"/>
    <n v="0"/>
    <x v="1"/>
  </r>
  <r>
    <x v="32"/>
    <x v="1"/>
    <x v="336"/>
    <x v="0"/>
    <x v="4"/>
    <x v="6"/>
    <x v="0"/>
    <x v="2"/>
    <n v="0"/>
    <x v="1"/>
  </r>
  <r>
    <x v="32"/>
    <x v="1"/>
    <x v="336"/>
    <x v="0"/>
    <x v="4"/>
    <x v="6"/>
    <x v="0"/>
    <x v="3"/>
    <n v="0"/>
    <x v="1"/>
  </r>
  <r>
    <x v="32"/>
    <x v="1"/>
    <x v="336"/>
    <x v="0"/>
    <x v="4"/>
    <x v="6"/>
    <x v="0"/>
    <x v="4"/>
    <n v="0"/>
    <x v="1"/>
  </r>
  <r>
    <x v="32"/>
    <x v="1"/>
    <x v="336"/>
    <x v="0"/>
    <x v="4"/>
    <x v="6"/>
    <x v="0"/>
    <x v="5"/>
    <n v="94.24"/>
    <x v="1"/>
  </r>
  <r>
    <x v="32"/>
    <x v="1"/>
    <x v="336"/>
    <x v="0"/>
    <x v="4"/>
    <x v="6"/>
    <x v="0"/>
    <x v="6"/>
    <n v="0"/>
    <x v="1"/>
  </r>
  <r>
    <x v="32"/>
    <x v="1"/>
    <x v="336"/>
    <x v="0"/>
    <x v="4"/>
    <x v="6"/>
    <x v="0"/>
    <x v="7"/>
    <n v="0"/>
    <x v="1"/>
  </r>
  <r>
    <x v="32"/>
    <x v="1"/>
    <x v="336"/>
    <x v="0"/>
    <x v="4"/>
    <x v="6"/>
    <x v="0"/>
    <x v="8"/>
    <n v="0"/>
    <x v="1"/>
  </r>
  <r>
    <x v="32"/>
    <x v="1"/>
    <x v="336"/>
    <x v="0"/>
    <x v="4"/>
    <x v="6"/>
    <x v="0"/>
    <x v="9"/>
    <n v="0"/>
    <x v="1"/>
  </r>
  <r>
    <x v="32"/>
    <x v="1"/>
    <x v="336"/>
    <x v="0"/>
    <x v="4"/>
    <x v="6"/>
    <x v="0"/>
    <x v="10"/>
    <n v="0"/>
    <x v="1"/>
  </r>
  <r>
    <x v="32"/>
    <x v="1"/>
    <x v="336"/>
    <x v="0"/>
    <x v="4"/>
    <x v="6"/>
    <x v="0"/>
    <x v="12"/>
    <n v="0"/>
    <x v="1"/>
  </r>
  <r>
    <x v="3"/>
    <x v="1"/>
    <x v="350"/>
    <x v="0"/>
    <x v="4"/>
    <x v="6"/>
    <x v="11"/>
    <x v="0"/>
    <n v="0"/>
    <x v="1"/>
  </r>
  <r>
    <x v="3"/>
    <x v="1"/>
    <x v="350"/>
    <x v="0"/>
    <x v="4"/>
    <x v="6"/>
    <x v="11"/>
    <x v="1"/>
    <n v="0"/>
    <x v="1"/>
  </r>
  <r>
    <x v="3"/>
    <x v="1"/>
    <x v="350"/>
    <x v="0"/>
    <x v="4"/>
    <x v="6"/>
    <x v="11"/>
    <x v="2"/>
    <n v="0"/>
    <x v="1"/>
  </r>
  <r>
    <x v="3"/>
    <x v="1"/>
    <x v="350"/>
    <x v="0"/>
    <x v="4"/>
    <x v="6"/>
    <x v="11"/>
    <x v="3"/>
    <n v="0"/>
    <x v="1"/>
  </r>
  <r>
    <x v="3"/>
    <x v="1"/>
    <x v="350"/>
    <x v="0"/>
    <x v="4"/>
    <x v="6"/>
    <x v="11"/>
    <x v="4"/>
    <n v="0"/>
    <x v="1"/>
  </r>
  <r>
    <x v="3"/>
    <x v="1"/>
    <x v="350"/>
    <x v="0"/>
    <x v="4"/>
    <x v="6"/>
    <x v="11"/>
    <x v="5"/>
    <n v="305.76"/>
    <x v="1"/>
  </r>
  <r>
    <x v="3"/>
    <x v="1"/>
    <x v="350"/>
    <x v="0"/>
    <x v="4"/>
    <x v="6"/>
    <x v="11"/>
    <x v="6"/>
    <n v="0"/>
    <x v="1"/>
  </r>
  <r>
    <x v="3"/>
    <x v="1"/>
    <x v="350"/>
    <x v="0"/>
    <x v="4"/>
    <x v="6"/>
    <x v="11"/>
    <x v="7"/>
    <n v="0"/>
    <x v="1"/>
  </r>
  <r>
    <x v="3"/>
    <x v="1"/>
    <x v="350"/>
    <x v="0"/>
    <x v="4"/>
    <x v="6"/>
    <x v="11"/>
    <x v="8"/>
    <n v="0"/>
    <x v="1"/>
  </r>
  <r>
    <x v="3"/>
    <x v="1"/>
    <x v="350"/>
    <x v="0"/>
    <x v="4"/>
    <x v="6"/>
    <x v="11"/>
    <x v="9"/>
    <n v="0"/>
    <x v="1"/>
  </r>
  <r>
    <x v="3"/>
    <x v="1"/>
    <x v="350"/>
    <x v="0"/>
    <x v="4"/>
    <x v="6"/>
    <x v="11"/>
    <x v="10"/>
    <n v="0"/>
    <x v="1"/>
  </r>
  <r>
    <x v="3"/>
    <x v="1"/>
    <x v="350"/>
    <x v="0"/>
    <x v="4"/>
    <x v="6"/>
    <x v="11"/>
    <x v="12"/>
    <n v="0"/>
    <x v="1"/>
  </r>
  <r>
    <x v="30"/>
    <x v="1"/>
    <x v="351"/>
    <x v="0"/>
    <x v="4"/>
    <x v="6"/>
    <x v="11"/>
    <x v="0"/>
    <n v="0"/>
    <x v="1"/>
  </r>
  <r>
    <x v="30"/>
    <x v="1"/>
    <x v="351"/>
    <x v="0"/>
    <x v="4"/>
    <x v="6"/>
    <x v="11"/>
    <x v="1"/>
    <n v="0"/>
    <x v="1"/>
  </r>
  <r>
    <x v="30"/>
    <x v="1"/>
    <x v="351"/>
    <x v="0"/>
    <x v="4"/>
    <x v="6"/>
    <x v="11"/>
    <x v="2"/>
    <n v="0"/>
    <x v="1"/>
  </r>
  <r>
    <x v="30"/>
    <x v="1"/>
    <x v="351"/>
    <x v="0"/>
    <x v="4"/>
    <x v="6"/>
    <x v="11"/>
    <x v="3"/>
    <n v="0"/>
    <x v="1"/>
  </r>
  <r>
    <x v="30"/>
    <x v="1"/>
    <x v="351"/>
    <x v="0"/>
    <x v="4"/>
    <x v="6"/>
    <x v="11"/>
    <x v="4"/>
    <n v="0"/>
    <x v="1"/>
  </r>
  <r>
    <x v="30"/>
    <x v="1"/>
    <x v="351"/>
    <x v="0"/>
    <x v="4"/>
    <x v="6"/>
    <x v="11"/>
    <x v="5"/>
    <n v="141.15797746921666"/>
    <x v="1"/>
  </r>
  <r>
    <x v="30"/>
    <x v="1"/>
    <x v="351"/>
    <x v="0"/>
    <x v="4"/>
    <x v="6"/>
    <x v="11"/>
    <x v="6"/>
    <n v="0"/>
    <x v="1"/>
  </r>
  <r>
    <x v="30"/>
    <x v="1"/>
    <x v="351"/>
    <x v="0"/>
    <x v="4"/>
    <x v="6"/>
    <x v="11"/>
    <x v="7"/>
    <n v="0"/>
    <x v="1"/>
  </r>
  <r>
    <x v="30"/>
    <x v="1"/>
    <x v="351"/>
    <x v="0"/>
    <x v="4"/>
    <x v="6"/>
    <x v="11"/>
    <x v="8"/>
    <n v="0"/>
    <x v="1"/>
  </r>
  <r>
    <x v="30"/>
    <x v="1"/>
    <x v="351"/>
    <x v="0"/>
    <x v="4"/>
    <x v="6"/>
    <x v="11"/>
    <x v="9"/>
    <n v="0"/>
    <x v="1"/>
  </r>
  <r>
    <x v="30"/>
    <x v="1"/>
    <x v="351"/>
    <x v="0"/>
    <x v="4"/>
    <x v="6"/>
    <x v="11"/>
    <x v="10"/>
    <n v="0"/>
    <x v="1"/>
  </r>
  <r>
    <x v="30"/>
    <x v="1"/>
    <x v="351"/>
    <x v="0"/>
    <x v="4"/>
    <x v="6"/>
    <x v="11"/>
    <x v="12"/>
    <n v="0"/>
    <x v="1"/>
  </r>
  <r>
    <x v="30"/>
    <x v="1"/>
    <x v="352"/>
    <x v="0"/>
    <x v="4"/>
    <x v="33"/>
    <x v="9"/>
    <x v="0"/>
    <n v="0"/>
    <x v="1"/>
  </r>
  <r>
    <x v="30"/>
    <x v="1"/>
    <x v="352"/>
    <x v="0"/>
    <x v="4"/>
    <x v="33"/>
    <x v="9"/>
    <x v="1"/>
    <n v="0"/>
    <x v="1"/>
  </r>
  <r>
    <x v="30"/>
    <x v="1"/>
    <x v="352"/>
    <x v="0"/>
    <x v="4"/>
    <x v="33"/>
    <x v="9"/>
    <x v="2"/>
    <n v="0"/>
    <x v="1"/>
  </r>
  <r>
    <x v="30"/>
    <x v="1"/>
    <x v="352"/>
    <x v="0"/>
    <x v="4"/>
    <x v="33"/>
    <x v="9"/>
    <x v="3"/>
    <n v="0"/>
    <x v="1"/>
  </r>
  <r>
    <x v="30"/>
    <x v="1"/>
    <x v="352"/>
    <x v="0"/>
    <x v="4"/>
    <x v="33"/>
    <x v="9"/>
    <x v="4"/>
    <n v="0"/>
    <x v="1"/>
  </r>
  <r>
    <x v="30"/>
    <x v="1"/>
    <x v="352"/>
    <x v="0"/>
    <x v="4"/>
    <x v="33"/>
    <x v="9"/>
    <x v="5"/>
    <n v="88.998166099030655"/>
    <x v="1"/>
  </r>
  <r>
    <x v="30"/>
    <x v="1"/>
    <x v="352"/>
    <x v="0"/>
    <x v="4"/>
    <x v="33"/>
    <x v="9"/>
    <x v="6"/>
    <n v="0"/>
    <x v="1"/>
  </r>
  <r>
    <x v="30"/>
    <x v="1"/>
    <x v="352"/>
    <x v="0"/>
    <x v="4"/>
    <x v="33"/>
    <x v="9"/>
    <x v="7"/>
    <n v="0"/>
    <x v="1"/>
  </r>
  <r>
    <x v="30"/>
    <x v="1"/>
    <x v="352"/>
    <x v="0"/>
    <x v="4"/>
    <x v="33"/>
    <x v="9"/>
    <x v="8"/>
    <n v="0"/>
    <x v="1"/>
  </r>
  <r>
    <x v="30"/>
    <x v="1"/>
    <x v="352"/>
    <x v="0"/>
    <x v="4"/>
    <x v="33"/>
    <x v="9"/>
    <x v="9"/>
    <n v="0"/>
    <x v="1"/>
  </r>
  <r>
    <x v="30"/>
    <x v="1"/>
    <x v="352"/>
    <x v="0"/>
    <x v="4"/>
    <x v="33"/>
    <x v="9"/>
    <x v="10"/>
    <n v="0"/>
    <x v="1"/>
  </r>
  <r>
    <x v="30"/>
    <x v="1"/>
    <x v="352"/>
    <x v="0"/>
    <x v="4"/>
    <x v="33"/>
    <x v="9"/>
    <x v="12"/>
    <n v="0"/>
    <x v="1"/>
  </r>
  <r>
    <x v="30"/>
    <x v="1"/>
    <x v="353"/>
    <x v="0"/>
    <x v="4"/>
    <x v="33"/>
    <x v="11"/>
    <x v="0"/>
    <n v="0"/>
    <x v="1"/>
  </r>
  <r>
    <x v="30"/>
    <x v="1"/>
    <x v="353"/>
    <x v="0"/>
    <x v="4"/>
    <x v="33"/>
    <x v="11"/>
    <x v="1"/>
    <n v="0"/>
    <x v="1"/>
  </r>
  <r>
    <x v="30"/>
    <x v="1"/>
    <x v="353"/>
    <x v="0"/>
    <x v="4"/>
    <x v="33"/>
    <x v="11"/>
    <x v="2"/>
    <n v="0"/>
    <x v="1"/>
  </r>
  <r>
    <x v="30"/>
    <x v="1"/>
    <x v="353"/>
    <x v="0"/>
    <x v="4"/>
    <x v="33"/>
    <x v="11"/>
    <x v="3"/>
    <n v="0"/>
    <x v="1"/>
  </r>
  <r>
    <x v="30"/>
    <x v="1"/>
    <x v="353"/>
    <x v="0"/>
    <x v="4"/>
    <x v="33"/>
    <x v="11"/>
    <x v="4"/>
    <n v="0"/>
    <x v="1"/>
  </r>
  <r>
    <x v="30"/>
    <x v="1"/>
    <x v="353"/>
    <x v="0"/>
    <x v="4"/>
    <x v="33"/>
    <x v="11"/>
    <x v="5"/>
    <n v="66.12"/>
    <x v="1"/>
  </r>
  <r>
    <x v="30"/>
    <x v="1"/>
    <x v="353"/>
    <x v="0"/>
    <x v="4"/>
    <x v="33"/>
    <x v="11"/>
    <x v="6"/>
    <n v="0"/>
    <x v="1"/>
  </r>
  <r>
    <x v="30"/>
    <x v="1"/>
    <x v="353"/>
    <x v="0"/>
    <x v="4"/>
    <x v="33"/>
    <x v="11"/>
    <x v="7"/>
    <n v="0"/>
    <x v="1"/>
  </r>
  <r>
    <x v="30"/>
    <x v="1"/>
    <x v="353"/>
    <x v="0"/>
    <x v="4"/>
    <x v="33"/>
    <x v="11"/>
    <x v="8"/>
    <n v="0"/>
    <x v="1"/>
  </r>
  <r>
    <x v="30"/>
    <x v="1"/>
    <x v="353"/>
    <x v="0"/>
    <x v="4"/>
    <x v="33"/>
    <x v="11"/>
    <x v="9"/>
    <n v="0"/>
    <x v="1"/>
  </r>
  <r>
    <x v="30"/>
    <x v="1"/>
    <x v="353"/>
    <x v="0"/>
    <x v="4"/>
    <x v="33"/>
    <x v="11"/>
    <x v="10"/>
    <n v="0"/>
    <x v="1"/>
  </r>
  <r>
    <x v="30"/>
    <x v="1"/>
    <x v="353"/>
    <x v="0"/>
    <x v="4"/>
    <x v="33"/>
    <x v="11"/>
    <x v="12"/>
    <n v="0"/>
    <x v="1"/>
  </r>
  <r>
    <x v="30"/>
    <x v="1"/>
    <x v="346"/>
    <x v="0"/>
    <x v="4"/>
    <x v="33"/>
    <x v="0"/>
    <x v="0"/>
    <n v="0"/>
    <x v="1"/>
  </r>
  <r>
    <x v="30"/>
    <x v="1"/>
    <x v="346"/>
    <x v="0"/>
    <x v="4"/>
    <x v="33"/>
    <x v="0"/>
    <x v="1"/>
    <n v="0"/>
    <x v="1"/>
  </r>
  <r>
    <x v="30"/>
    <x v="1"/>
    <x v="346"/>
    <x v="0"/>
    <x v="4"/>
    <x v="33"/>
    <x v="0"/>
    <x v="2"/>
    <n v="0"/>
    <x v="1"/>
  </r>
  <r>
    <x v="30"/>
    <x v="1"/>
    <x v="346"/>
    <x v="0"/>
    <x v="4"/>
    <x v="33"/>
    <x v="0"/>
    <x v="3"/>
    <n v="0"/>
    <x v="1"/>
  </r>
  <r>
    <x v="30"/>
    <x v="1"/>
    <x v="346"/>
    <x v="0"/>
    <x v="4"/>
    <x v="33"/>
    <x v="0"/>
    <x v="4"/>
    <n v="0"/>
    <x v="1"/>
  </r>
  <r>
    <x v="30"/>
    <x v="1"/>
    <x v="346"/>
    <x v="0"/>
    <x v="4"/>
    <x v="33"/>
    <x v="0"/>
    <x v="5"/>
    <n v="0"/>
    <x v="1"/>
  </r>
  <r>
    <x v="30"/>
    <x v="1"/>
    <x v="346"/>
    <x v="0"/>
    <x v="4"/>
    <x v="33"/>
    <x v="0"/>
    <x v="6"/>
    <n v="2195"/>
    <x v="1"/>
  </r>
  <r>
    <x v="30"/>
    <x v="1"/>
    <x v="346"/>
    <x v="0"/>
    <x v="4"/>
    <x v="33"/>
    <x v="0"/>
    <x v="7"/>
    <n v="0"/>
    <x v="1"/>
  </r>
  <r>
    <x v="30"/>
    <x v="1"/>
    <x v="346"/>
    <x v="0"/>
    <x v="4"/>
    <x v="33"/>
    <x v="0"/>
    <x v="8"/>
    <n v="0"/>
    <x v="1"/>
  </r>
  <r>
    <x v="30"/>
    <x v="1"/>
    <x v="346"/>
    <x v="0"/>
    <x v="4"/>
    <x v="33"/>
    <x v="0"/>
    <x v="9"/>
    <n v="0"/>
    <x v="1"/>
  </r>
  <r>
    <x v="30"/>
    <x v="1"/>
    <x v="346"/>
    <x v="0"/>
    <x v="4"/>
    <x v="33"/>
    <x v="0"/>
    <x v="10"/>
    <n v="0"/>
    <x v="1"/>
  </r>
  <r>
    <x v="30"/>
    <x v="1"/>
    <x v="346"/>
    <x v="0"/>
    <x v="4"/>
    <x v="33"/>
    <x v="0"/>
    <x v="12"/>
    <n v="0"/>
    <x v="1"/>
  </r>
  <r>
    <x v="30"/>
    <x v="1"/>
    <x v="354"/>
    <x v="0"/>
    <x v="4"/>
    <x v="33"/>
    <x v="0"/>
    <x v="0"/>
    <n v="0"/>
    <x v="1"/>
  </r>
  <r>
    <x v="30"/>
    <x v="1"/>
    <x v="354"/>
    <x v="0"/>
    <x v="4"/>
    <x v="33"/>
    <x v="0"/>
    <x v="1"/>
    <n v="0"/>
    <x v="1"/>
  </r>
  <r>
    <x v="30"/>
    <x v="1"/>
    <x v="354"/>
    <x v="0"/>
    <x v="4"/>
    <x v="33"/>
    <x v="0"/>
    <x v="2"/>
    <n v="0"/>
    <x v="1"/>
  </r>
  <r>
    <x v="30"/>
    <x v="1"/>
    <x v="354"/>
    <x v="0"/>
    <x v="4"/>
    <x v="33"/>
    <x v="0"/>
    <x v="3"/>
    <n v="0"/>
    <x v="1"/>
  </r>
  <r>
    <x v="30"/>
    <x v="1"/>
    <x v="354"/>
    <x v="0"/>
    <x v="4"/>
    <x v="33"/>
    <x v="0"/>
    <x v="4"/>
    <n v="0"/>
    <x v="1"/>
  </r>
  <r>
    <x v="30"/>
    <x v="1"/>
    <x v="354"/>
    <x v="0"/>
    <x v="4"/>
    <x v="33"/>
    <x v="0"/>
    <x v="5"/>
    <n v="0"/>
    <x v="1"/>
  </r>
  <r>
    <x v="30"/>
    <x v="1"/>
    <x v="354"/>
    <x v="0"/>
    <x v="4"/>
    <x v="33"/>
    <x v="0"/>
    <x v="6"/>
    <n v="0"/>
    <x v="1"/>
  </r>
  <r>
    <x v="30"/>
    <x v="1"/>
    <x v="354"/>
    <x v="0"/>
    <x v="4"/>
    <x v="33"/>
    <x v="0"/>
    <x v="7"/>
    <n v="87"/>
    <x v="1"/>
  </r>
  <r>
    <x v="30"/>
    <x v="1"/>
    <x v="354"/>
    <x v="0"/>
    <x v="4"/>
    <x v="33"/>
    <x v="0"/>
    <x v="8"/>
    <n v="0"/>
    <x v="1"/>
  </r>
  <r>
    <x v="30"/>
    <x v="1"/>
    <x v="354"/>
    <x v="0"/>
    <x v="4"/>
    <x v="33"/>
    <x v="0"/>
    <x v="9"/>
    <n v="0"/>
    <x v="1"/>
  </r>
  <r>
    <x v="30"/>
    <x v="1"/>
    <x v="354"/>
    <x v="0"/>
    <x v="4"/>
    <x v="33"/>
    <x v="0"/>
    <x v="10"/>
    <n v="0"/>
    <x v="1"/>
  </r>
  <r>
    <x v="30"/>
    <x v="1"/>
    <x v="354"/>
    <x v="0"/>
    <x v="4"/>
    <x v="33"/>
    <x v="0"/>
    <x v="12"/>
    <n v="0"/>
    <x v="1"/>
  </r>
  <r>
    <x v="30"/>
    <x v="1"/>
    <x v="355"/>
    <x v="0"/>
    <x v="4"/>
    <x v="33"/>
    <x v="0"/>
    <x v="0"/>
    <n v="0"/>
    <x v="1"/>
  </r>
  <r>
    <x v="30"/>
    <x v="1"/>
    <x v="355"/>
    <x v="0"/>
    <x v="4"/>
    <x v="33"/>
    <x v="0"/>
    <x v="1"/>
    <n v="0"/>
    <x v="1"/>
  </r>
  <r>
    <x v="30"/>
    <x v="1"/>
    <x v="355"/>
    <x v="0"/>
    <x v="4"/>
    <x v="33"/>
    <x v="0"/>
    <x v="2"/>
    <n v="0"/>
    <x v="1"/>
  </r>
  <r>
    <x v="30"/>
    <x v="1"/>
    <x v="355"/>
    <x v="0"/>
    <x v="4"/>
    <x v="33"/>
    <x v="0"/>
    <x v="3"/>
    <n v="0"/>
    <x v="1"/>
  </r>
  <r>
    <x v="30"/>
    <x v="1"/>
    <x v="355"/>
    <x v="0"/>
    <x v="4"/>
    <x v="33"/>
    <x v="0"/>
    <x v="4"/>
    <n v="0"/>
    <x v="1"/>
  </r>
  <r>
    <x v="30"/>
    <x v="1"/>
    <x v="355"/>
    <x v="0"/>
    <x v="4"/>
    <x v="33"/>
    <x v="0"/>
    <x v="5"/>
    <n v="0"/>
    <x v="1"/>
  </r>
  <r>
    <x v="30"/>
    <x v="1"/>
    <x v="355"/>
    <x v="0"/>
    <x v="4"/>
    <x v="33"/>
    <x v="0"/>
    <x v="6"/>
    <n v="0"/>
    <x v="1"/>
  </r>
  <r>
    <x v="30"/>
    <x v="1"/>
    <x v="355"/>
    <x v="0"/>
    <x v="4"/>
    <x v="33"/>
    <x v="0"/>
    <x v="7"/>
    <n v="112"/>
    <x v="1"/>
  </r>
  <r>
    <x v="30"/>
    <x v="1"/>
    <x v="355"/>
    <x v="0"/>
    <x v="4"/>
    <x v="33"/>
    <x v="0"/>
    <x v="8"/>
    <n v="0"/>
    <x v="1"/>
  </r>
  <r>
    <x v="30"/>
    <x v="1"/>
    <x v="355"/>
    <x v="0"/>
    <x v="4"/>
    <x v="33"/>
    <x v="0"/>
    <x v="9"/>
    <n v="0"/>
    <x v="1"/>
  </r>
  <r>
    <x v="30"/>
    <x v="1"/>
    <x v="355"/>
    <x v="0"/>
    <x v="4"/>
    <x v="33"/>
    <x v="0"/>
    <x v="10"/>
    <n v="0"/>
    <x v="1"/>
  </r>
  <r>
    <x v="30"/>
    <x v="1"/>
    <x v="355"/>
    <x v="0"/>
    <x v="4"/>
    <x v="33"/>
    <x v="0"/>
    <x v="12"/>
    <n v="0"/>
    <x v="1"/>
  </r>
  <r>
    <x v="74"/>
    <x v="1"/>
    <x v="356"/>
    <x v="0"/>
    <x v="4"/>
    <x v="42"/>
    <x v="0"/>
    <x v="0"/>
    <n v="0"/>
    <x v="1"/>
  </r>
  <r>
    <x v="74"/>
    <x v="1"/>
    <x v="356"/>
    <x v="0"/>
    <x v="4"/>
    <x v="42"/>
    <x v="0"/>
    <x v="1"/>
    <n v="0"/>
    <x v="1"/>
  </r>
  <r>
    <x v="74"/>
    <x v="1"/>
    <x v="356"/>
    <x v="0"/>
    <x v="4"/>
    <x v="42"/>
    <x v="0"/>
    <x v="2"/>
    <n v="0"/>
    <x v="1"/>
  </r>
  <r>
    <x v="74"/>
    <x v="1"/>
    <x v="356"/>
    <x v="0"/>
    <x v="4"/>
    <x v="42"/>
    <x v="0"/>
    <x v="3"/>
    <n v="0"/>
    <x v="1"/>
  </r>
  <r>
    <x v="74"/>
    <x v="1"/>
    <x v="356"/>
    <x v="0"/>
    <x v="4"/>
    <x v="42"/>
    <x v="0"/>
    <x v="4"/>
    <n v="0"/>
    <x v="1"/>
  </r>
  <r>
    <x v="74"/>
    <x v="1"/>
    <x v="356"/>
    <x v="0"/>
    <x v="4"/>
    <x v="42"/>
    <x v="0"/>
    <x v="5"/>
    <n v="0"/>
    <x v="1"/>
  </r>
  <r>
    <x v="74"/>
    <x v="1"/>
    <x v="356"/>
    <x v="0"/>
    <x v="4"/>
    <x v="42"/>
    <x v="0"/>
    <x v="6"/>
    <n v="0"/>
    <x v="1"/>
  </r>
  <r>
    <x v="74"/>
    <x v="1"/>
    <x v="356"/>
    <x v="0"/>
    <x v="4"/>
    <x v="42"/>
    <x v="0"/>
    <x v="7"/>
    <n v="0"/>
    <x v="1"/>
  </r>
  <r>
    <x v="74"/>
    <x v="1"/>
    <x v="356"/>
    <x v="0"/>
    <x v="4"/>
    <x v="42"/>
    <x v="0"/>
    <x v="8"/>
    <n v="200"/>
    <x v="1"/>
  </r>
  <r>
    <x v="74"/>
    <x v="1"/>
    <x v="356"/>
    <x v="0"/>
    <x v="4"/>
    <x v="42"/>
    <x v="0"/>
    <x v="9"/>
    <n v="0"/>
    <x v="1"/>
  </r>
  <r>
    <x v="74"/>
    <x v="1"/>
    <x v="356"/>
    <x v="0"/>
    <x v="4"/>
    <x v="42"/>
    <x v="0"/>
    <x v="10"/>
    <n v="0"/>
    <x v="1"/>
  </r>
  <r>
    <x v="74"/>
    <x v="1"/>
    <x v="356"/>
    <x v="0"/>
    <x v="4"/>
    <x v="42"/>
    <x v="0"/>
    <x v="12"/>
    <n v="0"/>
    <x v="1"/>
  </r>
  <r>
    <x v="30"/>
    <x v="1"/>
    <x v="357"/>
    <x v="0"/>
    <x v="4"/>
    <x v="42"/>
    <x v="0"/>
    <x v="0"/>
    <n v="0"/>
    <x v="1"/>
  </r>
  <r>
    <x v="30"/>
    <x v="1"/>
    <x v="357"/>
    <x v="0"/>
    <x v="4"/>
    <x v="42"/>
    <x v="0"/>
    <x v="1"/>
    <n v="0"/>
    <x v="1"/>
  </r>
  <r>
    <x v="30"/>
    <x v="1"/>
    <x v="357"/>
    <x v="0"/>
    <x v="4"/>
    <x v="42"/>
    <x v="0"/>
    <x v="2"/>
    <n v="0"/>
    <x v="1"/>
  </r>
  <r>
    <x v="30"/>
    <x v="1"/>
    <x v="357"/>
    <x v="0"/>
    <x v="4"/>
    <x v="42"/>
    <x v="0"/>
    <x v="3"/>
    <n v="0"/>
    <x v="1"/>
  </r>
  <r>
    <x v="30"/>
    <x v="1"/>
    <x v="357"/>
    <x v="0"/>
    <x v="4"/>
    <x v="42"/>
    <x v="0"/>
    <x v="4"/>
    <n v="0"/>
    <x v="1"/>
  </r>
  <r>
    <x v="30"/>
    <x v="1"/>
    <x v="357"/>
    <x v="0"/>
    <x v="4"/>
    <x v="42"/>
    <x v="0"/>
    <x v="5"/>
    <n v="0"/>
    <x v="1"/>
  </r>
  <r>
    <x v="30"/>
    <x v="1"/>
    <x v="357"/>
    <x v="0"/>
    <x v="4"/>
    <x v="42"/>
    <x v="0"/>
    <x v="6"/>
    <n v="0"/>
    <x v="1"/>
  </r>
  <r>
    <x v="30"/>
    <x v="1"/>
    <x v="357"/>
    <x v="0"/>
    <x v="4"/>
    <x v="42"/>
    <x v="0"/>
    <x v="7"/>
    <n v="0"/>
    <x v="1"/>
  </r>
  <r>
    <x v="30"/>
    <x v="1"/>
    <x v="357"/>
    <x v="0"/>
    <x v="4"/>
    <x v="42"/>
    <x v="0"/>
    <x v="8"/>
    <n v="0"/>
    <x v="1"/>
  </r>
  <r>
    <x v="30"/>
    <x v="1"/>
    <x v="357"/>
    <x v="0"/>
    <x v="4"/>
    <x v="42"/>
    <x v="0"/>
    <x v="9"/>
    <n v="139.85"/>
    <x v="1"/>
  </r>
  <r>
    <x v="30"/>
    <x v="1"/>
    <x v="357"/>
    <x v="0"/>
    <x v="4"/>
    <x v="42"/>
    <x v="0"/>
    <x v="10"/>
    <n v="0"/>
    <x v="1"/>
  </r>
  <r>
    <x v="30"/>
    <x v="1"/>
    <x v="357"/>
    <x v="0"/>
    <x v="4"/>
    <x v="42"/>
    <x v="0"/>
    <x v="12"/>
    <n v="0"/>
    <x v="1"/>
  </r>
  <r>
    <x v="44"/>
    <x v="1"/>
    <x v="358"/>
    <x v="0"/>
    <x v="4"/>
    <x v="6"/>
    <x v="0"/>
    <x v="0"/>
    <n v="0"/>
    <x v="1"/>
  </r>
  <r>
    <x v="44"/>
    <x v="1"/>
    <x v="358"/>
    <x v="0"/>
    <x v="4"/>
    <x v="6"/>
    <x v="0"/>
    <x v="1"/>
    <n v="0"/>
    <x v="1"/>
  </r>
  <r>
    <x v="44"/>
    <x v="1"/>
    <x v="358"/>
    <x v="0"/>
    <x v="4"/>
    <x v="6"/>
    <x v="0"/>
    <x v="2"/>
    <n v="0"/>
    <x v="1"/>
  </r>
  <r>
    <x v="44"/>
    <x v="1"/>
    <x v="358"/>
    <x v="0"/>
    <x v="4"/>
    <x v="6"/>
    <x v="0"/>
    <x v="3"/>
    <n v="0"/>
    <x v="1"/>
  </r>
  <r>
    <x v="44"/>
    <x v="1"/>
    <x v="358"/>
    <x v="0"/>
    <x v="4"/>
    <x v="6"/>
    <x v="0"/>
    <x v="4"/>
    <n v="0"/>
    <x v="1"/>
  </r>
  <r>
    <x v="44"/>
    <x v="1"/>
    <x v="358"/>
    <x v="0"/>
    <x v="4"/>
    <x v="6"/>
    <x v="0"/>
    <x v="5"/>
    <n v="0"/>
    <x v="1"/>
  </r>
  <r>
    <x v="44"/>
    <x v="1"/>
    <x v="358"/>
    <x v="0"/>
    <x v="4"/>
    <x v="6"/>
    <x v="0"/>
    <x v="6"/>
    <n v="0"/>
    <x v="1"/>
  </r>
  <r>
    <x v="44"/>
    <x v="1"/>
    <x v="358"/>
    <x v="0"/>
    <x v="4"/>
    <x v="6"/>
    <x v="0"/>
    <x v="7"/>
    <n v="0"/>
    <x v="1"/>
  </r>
  <r>
    <x v="44"/>
    <x v="1"/>
    <x v="358"/>
    <x v="0"/>
    <x v="4"/>
    <x v="6"/>
    <x v="0"/>
    <x v="8"/>
    <n v="0"/>
    <x v="1"/>
  </r>
  <r>
    <x v="44"/>
    <x v="1"/>
    <x v="358"/>
    <x v="0"/>
    <x v="4"/>
    <x v="6"/>
    <x v="0"/>
    <x v="9"/>
    <n v="585.6"/>
    <x v="1"/>
  </r>
  <r>
    <x v="44"/>
    <x v="1"/>
    <x v="358"/>
    <x v="0"/>
    <x v="4"/>
    <x v="6"/>
    <x v="0"/>
    <x v="10"/>
    <n v="0"/>
    <x v="1"/>
  </r>
  <r>
    <x v="44"/>
    <x v="1"/>
    <x v="358"/>
    <x v="0"/>
    <x v="4"/>
    <x v="6"/>
    <x v="0"/>
    <x v="12"/>
    <n v="0"/>
    <x v="1"/>
  </r>
  <r>
    <x v="32"/>
    <x v="1"/>
    <x v="359"/>
    <x v="0"/>
    <x v="4"/>
    <x v="6"/>
    <x v="0"/>
    <x v="0"/>
    <n v="0"/>
    <x v="1"/>
  </r>
  <r>
    <x v="32"/>
    <x v="1"/>
    <x v="359"/>
    <x v="0"/>
    <x v="4"/>
    <x v="6"/>
    <x v="0"/>
    <x v="1"/>
    <n v="0"/>
    <x v="1"/>
  </r>
  <r>
    <x v="32"/>
    <x v="1"/>
    <x v="359"/>
    <x v="0"/>
    <x v="4"/>
    <x v="6"/>
    <x v="0"/>
    <x v="2"/>
    <n v="0"/>
    <x v="1"/>
  </r>
  <r>
    <x v="32"/>
    <x v="1"/>
    <x v="359"/>
    <x v="0"/>
    <x v="4"/>
    <x v="6"/>
    <x v="0"/>
    <x v="3"/>
    <n v="0"/>
    <x v="1"/>
  </r>
  <r>
    <x v="32"/>
    <x v="1"/>
    <x v="359"/>
    <x v="0"/>
    <x v="4"/>
    <x v="6"/>
    <x v="0"/>
    <x v="4"/>
    <n v="0"/>
    <x v="1"/>
  </r>
  <r>
    <x v="32"/>
    <x v="1"/>
    <x v="359"/>
    <x v="0"/>
    <x v="4"/>
    <x v="6"/>
    <x v="0"/>
    <x v="5"/>
    <n v="0"/>
    <x v="1"/>
  </r>
  <r>
    <x v="32"/>
    <x v="1"/>
    <x v="359"/>
    <x v="0"/>
    <x v="4"/>
    <x v="6"/>
    <x v="0"/>
    <x v="6"/>
    <n v="0"/>
    <x v="1"/>
  </r>
  <r>
    <x v="32"/>
    <x v="1"/>
    <x v="359"/>
    <x v="0"/>
    <x v="4"/>
    <x v="6"/>
    <x v="0"/>
    <x v="7"/>
    <n v="0"/>
    <x v="1"/>
  </r>
  <r>
    <x v="32"/>
    <x v="1"/>
    <x v="359"/>
    <x v="0"/>
    <x v="4"/>
    <x v="6"/>
    <x v="0"/>
    <x v="8"/>
    <n v="0"/>
    <x v="1"/>
  </r>
  <r>
    <x v="32"/>
    <x v="1"/>
    <x v="359"/>
    <x v="0"/>
    <x v="4"/>
    <x v="6"/>
    <x v="0"/>
    <x v="9"/>
    <n v="0"/>
    <x v="1"/>
  </r>
  <r>
    <x v="32"/>
    <x v="1"/>
    <x v="359"/>
    <x v="0"/>
    <x v="4"/>
    <x v="6"/>
    <x v="0"/>
    <x v="10"/>
    <n v="328"/>
    <x v="1"/>
  </r>
  <r>
    <x v="32"/>
    <x v="1"/>
    <x v="359"/>
    <x v="0"/>
    <x v="4"/>
    <x v="6"/>
    <x v="0"/>
    <x v="12"/>
    <n v="0"/>
    <x v="1"/>
  </r>
  <r>
    <x v="30"/>
    <x v="1"/>
    <x v="360"/>
    <x v="0"/>
    <x v="4"/>
    <x v="6"/>
    <x v="0"/>
    <x v="0"/>
    <n v="0"/>
    <x v="1"/>
  </r>
  <r>
    <x v="30"/>
    <x v="1"/>
    <x v="360"/>
    <x v="0"/>
    <x v="4"/>
    <x v="6"/>
    <x v="0"/>
    <x v="1"/>
    <n v="0"/>
    <x v="1"/>
  </r>
  <r>
    <x v="30"/>
    <x v="1"/>
    <x v="360"/>
    <x v="0"/>
    <x v="4"/>
    <x v="6"/>
    <x v="0"/>
    <x v="2"/>
    <n v="0"/>
    <x v="1"/>
  </r>
  <r>
    <x v="30"/>
    <x v="1"/>
    <x v="360"/>
    <x v="0"/>
    <x v="4"/>
    <x v="6"/>
    <x v="0"/>
    <x v="3"/>
    <n v="0"/>
    <x v="1"/>
  </r>
  <r>
    <x v="30"/>
    <x v="1"/>
    <x v="360"/>
    <x v="0"/>
    <x v="4"/>
    <x v="6"/>
    <x v="0"/>
    <x v="4"/>
    <n v="0"/>
    <x v="1"/>
  </r>
  <r>
    <x v="30"/>
    <x v="1"/>
    <x v="360"/>
    <x v="0"/>
    <x v="4"/>
    <x v="6"/>
    <x v="0"/>
    <x v="5"/>
    <n v="0"/>
    <x v="1"/>
  </r>
  <r>
    <x v="30"/>
    <x v="1"/>
    <x v="360"/>
    <x v="0"/>
    <x v="4"/>
    <x v="6"/>
    <x v="0"/>
    <x v="6"/>
    <n v="0"/>
    <x v="1"/>
  </r>
  <r>
    <x v="30"/>
    <x v="1"/>
    <x v="360"/>
    <x v="0"/>
    <x v="4"/>
    <x v="6"/>
    <x v="0"/>
    <x v="7"/>
    <n v="0"/>
    <x v="1"/>
  </r>
  <r>
    <x v="30"/>
    <x v="1"/>
    <x v="360"/>
    <x v="0"/>
    <x v="4"/>
    <x v="6"/>
    <x v="0"/>
    <x v="8"/>
    <n v="0"/>
    <x v="1"/>
  </r>
  <r>
    <x v="30"/>
    <x v="1"/>
    <x v="360"/>
    <x v="0"/>
    <x v="4"/>
    <x v="6"/>
    <x v="0"/>
    <x v="9"/>
    <n v="0"/>
    <x v="1"/>
  </r>
  <r>
    <x v="30"/>
    <x v="1"/>
    <x v="360"/>
    <x v="0"/>
    <x v="4"/>
    <x v="6"/>
    <x v="0"/>
    <x v="10"/>
    <n v="0"/>
    <x v="1"/>
  </r>
  <r>
    <x v="30"/>
    <x v="1"/>
    <x v="360"/>
    <x v="0"/>
    <x v="4"/>
    <x v="6"/>
    <x v="0"/>
    <x v="12"/>
    <n v="200"/>
    <x v="1"/>
  </r>
  <r>
    <x v="30"/>
    <x v="1"/>
    <x v="361"/>
    <x v="2"/>
    <x v="3"/>
    <x v="44"/>
    <x v="0"/>
    <x v="0"/>
    <n v="0"/>
    <x v="1"/>
  </r>
  <r>
    <x v="30"/>
    <x v="1"/>
    <x v="361"/>
    <x v="2"/>
    <x v="3"/>
    <x v="44"/>
    <x v="0"/>
    <x v="1"/>
    <n v="0"/>
    <x v="1"/>
  </r>
  <r>
    <x v="30"/>
    <x v="1"/>
    <x v="361"/>
    <x v="2"/>
    <x v="3"/>
    <x v="44"/>
    <x v="0"/>
    <x v="2"/>
    <n v="0"/>
    <x v="1"/>
  </r>
  <r>
    <x v="30"/>
    <x v="1"/>
    <x v="361"/>
    <x v="2"/>
    <x v="3"/>
    <x v="44"/>
    <x v="0"/>
    <x v="3"/>
    <n v="0"/>
    <x v="1"/>
  </r>
  <r>
    <x v="30"/>
    <x v="1"/>
    <x v="361"/>
    <x v="2"/>
    <x v="3"/>
    <x v="44"/>
    <x v="0"/>
    <x v="4"/>
    <n v="0"/>
    <x v="1"/>
  </r>
  <r>
    <x v="30"/>
    <x v="1"/>
    <x v="361"/>
    <x v="2"/>
    <x v="3"/>
    <x v="44"/>
    <x v="0"/>
    <x v="5"/>
    <n v="0"/>
    <x v="1"/>
  </r>
  <r>
    <x v="30"/>
    <x v="1"/>
    <x v="361"/>
    <x v="2"/>
    <x v="3"/>
    <x v="44"/>
    <x v="0"/>
    <x v="6"/>
    <n v="0"/>
    <x v="1"/>
  </r>
  <r>
    <x v="30"/>
    <x v="1"/>
    <x v="361"/>
    <x v="2"/>
    <x v="3"/>
    <x v="44"/>
    <x v="0"/>
    <x v="7"/>
    <n v="0"/>
    <x v="1"/>
  </r>
  <r>
    <x v="30"/>
    <x v="1"/>
    <x v="361"/>
    <x v="2"/>
    <x v="3"/>
    <x v="44"/>
    <x v="0"/>
    <x v="8"/>
    <n v="0"/>
    <x v="1"/>
  </r>
  <r>
    <x v="30"/>
    <x v="1"/>
    <x v="361"/>
    <x v="2"/>
    <x v="3"/>
    <x v="44"/>
    <x v="0"/>
    <x v="9"/>
    <n v="0"/>
    <x v="1"/>
  </r>
  <r>
    <x v="30"/>
    <x v="1"/>
    <x v="361"/>
    <x v="2"/>
    <x v="3"/>
    <x v="44"/>
    <x v="0"/>
    <x v="10"/>
    <n v="0"/>
    <x v="1"/>
  </r>
  <r>
    <x v="30"/>
    <x v="1"/>
    <x v="361"/>
    <x v="2"/>
    <x v="3"/>
    <x v="44"/>
    <x v="0"/>
    <x v="12"/>
    <n v="0"/>
    <x v="1"/>
  </r>
  <r>
    <x v="30"/>
    <x v="1"/>
    <x v="362"/>
    <x v="2"/>
    <x v="3"/>
    <x v="45"/>
    <x v="0"/>
    <x v="0"/>
    <n v="0"/>
    <x v="1"/>
  </r>
  <r>
    <x v="30"/>
    <x v="1"/>
    <x v="362"/>
    <x v="2"/>
    <x v="3"/>
    <x v="45"/>
    <x v="0"/>
    <x v="1"/>
    <n v="0"/>
    <x v="1"/>
  </r>
  <r>
    <x v="30"/>
    <x v="1"/>
    <x v="362"/>
    <x v="2"/>
    <x v="3"/>
    <x v="45"/>
    <x v="0"/>
    <x v="2"/>
    <n v="0"/>
    <x v="1"/>
  </r>
  <r>
    <x v="30"/>
    <x v="1"/>
    <x v="362"/>
    <x v="2"/>
    <x v="3"/>
    <x v="45"/>
    <x v="0"/>
    <x v="3"/>
    <n v="0"/>
    <x v="1"/>
  </r>
  <r>
    <x v="30"/>
    <x v="1"/>
    <x v="362"/>
    <x v="2"/>
    <x v="3"/>
    <x v="45"/>
    <x v="0"/>
    <x v="4"/>
    <n v="591"/>
    <x v="1"/>
  </r>
  <r>
    <x v="30"/>
    <x v="1"/>
    <x v="362"/>
    <x v="2"/>
    <x v="3"/>
    <x v="45"/>
    <x v="0"/>
    <x v="5"/>
    <n v="0"/>
    <x v="1"/>
  </r>
  <r>
    <x v="30"/>
    <x v="1"/>
    <x v="362"/>
    <x v="2"/>
    <x v="3"/>
    <x v="45"/>
    <x v="0"/>
    <x v="6"/>
    <n v="0"/>
    <x v="1"/>
  </r>
  <r>
    <x v="30"/>
    <x v="1"/>
    <x v="362"/>
    <x v="2"/>
    <x v="3"/>
    <x v="45"/>
    <x v="0"/>
    <x v="7"/>
    <n v="0"/>
    <x v="1"/>
  </r>
  <r>
    <x v="30"/>
    <x v="1"/>
    <x v="362"/>
    <x v="2"/>
    <x v="3"/>
    <x v="45"/>
    <x v="0"/>
    <x v="8"/>
    <n v="0"/>
    <x v="1"/>
  </r>
  <r>
    <x v="30"/>
    <x v="1"/>
    <x v="362"/>
    <x v="2"/>
    <x v="3"/>
    <x v="45"/>
    <x v="0"/>
    <x v="9"/>
    <n v="0"/>
    <x v="1"/>
  </r>
  <r>
    <x v="30"/>
    <x v="1"/>
    <x v="362"/>
    <x v="2"/>
    <x v="3"/>
    <x v="45"/>
    <x v="0"/>
    <x v="10"/>
    <n v="0"/>
    <x v="1"/>
  </r>
  <r>
    <x v="30"/>
    <x v="1"/>
    <x v="362"/>
    <x v="2"/>
    <x v="3"/>
    <x v="45"/>
    <x v="0"/>
    <x v="12"/>
    <n v="0"/>
    <x v="1"/>
  </r>
  <r>
    <x v="30"/>
    <x v="1"/>
    <x v="363"/>
    <x v="2"/>
    <x v="3"/>
    <x v="44"/>
    <x v="0"/>
    <x v="0"/>
    <n v="0"/>
    <x v="1"/>
  </r>
  <r>
    <x v="30"/>
    <x v="1"/>
    <x v="363"/>
    <x v="2"/>
    <x v="3"/>
    <x v="44"/>
    <x v="0"/>
    <x v="1"/>
    <n v="0"/>
    <x v="1"/>
  </r>
  <r>
    <x v="30"/>
    <x v="1"/>
    <x v="363"/>
    <x v="2"/>
    <x v="3"/>
    <x v="44"/>
    <x v="0"/>
    <x v="2"/>
    <n v="-556.87"/>
    <x v="1"/>
  </r>
  <r>
    <x v="30"/>
    <x v="1"/>
    <x v="363"/>
    <x v="2"/>
    <x v="3"/>
    <x v="44"/>
    <x v="0"/>
    <x v="3"/>
    <n v="0"/>
    <x v="1"/>
  </r>
  <r>
    <x v="30"/>
    <x v="1"/>
    <x v="363"/>
    <x v="2"/>
    <x v="3"/>
    <x v="44"/>
    <x v="0"/>
    <x v="4"/>
    <n v="0"/>
    <x v="1"/>
  </r>
  <r>
    <x v="30"/>
    <x v="1"/>
    <x v="363"/>
    <x v="2"/>
    <x v="3"/>
    <x v="44"/>
    <x v="0"/>
    <x v="5"/>
    <n v="0"/>
    <x v="1"/>
  </r>
  <r>
    <x v="30"/>
    <x v="1"/>
    <x v="363"/>
    <x v="2"/>
    <x v="3"/>
    <x v="44"/>
    <x v="0"/>
    <x v="6"/>
    <n v="0"/>
    <x v="1"/>
  </r>
  <r>
    <x v="30"/>
    <x v="1"/>
    <x v="363"/>
    <x v="2"/>
    <x v="3"/>
    <x v="44"/>
    <x v="0"/>
    <x v="7"/>
    <n v="0"/>
    <x v="1"/>
  </r>
  <r>
    <x v="30"/>
    <x v="1"/>
    <x v="363"/>
    <x v="2"/>
    <x v="3"/>
    <x v="44"/>
    <x v="0"/>
    <x v="8"/>
    <n v="0"/>
    <x v="1"/>
  </r>
  <r>
    <x v="30"/>
    <x v="1"/>
    <x v="363"/>
    <x v="2"/>
    <x v="3"/>
    <x v="44"/>
    <x v="0"/>
    <x v="9"/>
    <n v="0"/>
    <x v="1"/>
  </r>
  <r>
    <x v="30"/>
    <x v="1"/>
    <x v="363"/>
    <x v="2"/>
    <x v="3"/>
    <x v="44"/>
    <x v="0"/>
    <x v="10"/>
    <n v="0"/>
    <x v="1"/>
  </r>
  <r>
    <x v="30"/>
    <x v="1"/>
    <x v="363"/>
    <x v="2"/>
    <x v="3"/>
    <x v="44"/>
    <x v="0"/>
    <x v="12"/>
    <n v="0"/>
    <x v="1"/>
  </r>
  <r>
    <x v="30"/>
    <x v="1"/>
    <x v="364"/>
    <x v="0"/>
    <x v="1"/>
    <x v="35"/>
    <x v="0"/>
    <x v="0"/>
    <n v="0"/>
    <x v="1"/>
  </r>
  <r>
    <x v="30"/>
    <x v="1"/>
    <x v="364"/>
    <x v="0"/>
    <x v="1"/>
    <x v="35"/>
    <x v="0"/>
    <x v="1"/>
    <n v="447.72188569923622"/>
    <x v="1"/>
  </r>
  <r>
    <x v="30"/>
    <x v="1"/>
    <x v="364"/>
    <x v="0"/>
    <x v="1"/>
    <x v="35"/>
    <x v="0"/>
    <x v="2"/>
    <n v="1056.4364418167158"/>
    <x v="1"/>
  </r>
  <r>
    <x v="30"/>
    <x v="1"/>
    <x v="364"/>
    <x v="0"/>
    <x v="1"/>
    <x v="35"/>
    <x v="0"/>
    <x v="3"/>
    <n v="455"/>
    <x v="1"/>
  </r>
  <r>
    <x v="30"/>
    <x v="1"/>
    <x v="364"/>
    <x v="0"/>
    <x v="1"/>
    <x v="35"/>
    <x v="0"/>
    <x v="4"/>
    <n v="453"/>
    <x v="1"/>
  </r>
  <r>
    <x v="30"/>
    <x v="1"/>
    <x v="364"/>
    <x v="0"/>
    <x v="1"/>
    <x v="35"/>
    <x v="0"/>
    <x v="5"/>
    <n v="445"/>
    <x v="1"/>
  </r>
  <r>
    <x v="30"/>
    <x v="1"/>
    <x v="364"/>
    <x v="0"/>
    <x v="1"/>
    <x v="35"/>
    <x v="0"/>
    <x v="6"/>
    <n v="454"/>
    <x v="1"/>
  </r>
  <r>
    <x v="30"/>
    <x v="1"/>
    <x v="364"/>
    <x v="0"/>
    <x v="1"/>
    <x v="35"/>
    <x v="0"/>
    <x v="7"/>
    <n v="445"/>
    <x v="1"/>
  </r>
  <r>
    <x v="30"/>
    <x v="1"/>
    <x v="364"/>
    <x v="0"/>
    <x v="1"/>
    <x v="35"/>
    <x v="0"/>
    <x v="8"/>
    <n v="451"/>
    <x v="1"/>
  </r>
  <r>
    <x v="30"/>
    <x v="1"/>
    <x v="364"/>
    <x v="0"/>
    <x v="1"/>
    <x v="35"/>
    <x v="0"/>
    <x v="9"/>
    <n v="452"/>
    <x v="1"/>
  </r>
  <r>
    <x v="30"/>
    <x v="1"/>
    <x v="364"/>
    <x v="0"/>
    <x v="1"/>
    <x v="35"/>
    <x v="0"/>
    <x v="10"/>
    <n v="451"/>
    <x v="1"/>
  </r>
  <r>
    <x v="30"/>
    <x v="1"/>
    <x v="364"/>
    <x v="0"/>
    <x v="1"/>
    <x v="35"/>
    <x v="0"/>
    <x v="12"/>
    <n v="0"/>
    <x v="1"/>
  </r>
  <r>
    <x v="30"/>
    <x v="1"/>
    <x v="365"/>
    <x v="2"/>
    <x v="3"/>
    <x v="45"/>
    <x v="0"/>
    <x v="0"/>
    <n v="0"/>
    <x v="1"/>
  </r>
  <r>
    <x v="30"/>
    <x v="1"/>
    <x v="365"/>
    <x v="2"/>
    <x v="3"/>
    <x v="45"/>
    <x v="0"/>
    <x v="1"/>
    <n v="0"/>
    <x v="1"/>
  </r>
  <r>
    <x v="30"/>
    <x v="1"/>
    <x v="365"/>
    <x v="2"/>
    <x v="3"/>
    <x v="45"/>
    <x v="0"/>
    <x v="2"/>
    <n v="0"/>
    <x v="1"/>
  </r>
  <r>
    <x v="30"/>
    <x v="1"/>
    <x v="365"/>
    <x v="2"/>
    <x v="3"/>
    <x v="45"/>
    <x v="0"/>
    <x v="3"/>
    <n v="0"/>
    <x v="1"/>
  </r>
  <r>
    <x v="30"/>
    <x v="1"/>
    <x v="365"/>
    <x v="2"/>
    <x v="3"/>
    <x v="45"/>
    <x v="0"/>
    <x v="4"/>
    <n v="0"/>
    <x v="1"/>
  </r>
  <r>
    <x v="30"/>
    <x v="1"/>
    <x v="365"/>
    <x v="2"/>
    <x v="3"/>
    <x v="45"/>
    <x v="0"/>
    <x v="5"/>
    <n v="0"/>
    <x v="1"/>
  </r>
  <r>
    <x v="30"/>
    <x v="1"/>
    <x v="365"/>
    <x v="2"/>
    <x v="3"/>
    <x v="45"/>
    <x v="0"/>
    <x v="6"/>
    <n v="0"/>
    <x v="1"/>
  </r>
  <r>
    <x v="30"/>
    <x v="1"/>
    <x v="365"/>
    <x v="2"/>
    <x v="3"/>
    <x v="45"/>
    <x v="0"/>
    <x v="7"/>
    <n v="0"/>
    <x v="1"/>
  </r>
  <r>
    <x v="30"/>
    <x v="1"/>
    <x v="365"/>
    <x v="2"/>
    <x v="3"/>
    <x v="45"/>
    <x v="0"/>
    <x v="8"/>
    <n v="0"/>
    <x v="1"/>
  </r>
  <r>
    <x v="30"/>
    <x v="1"/>
    <x v="365"/>
    <x v="2"/>
    <x v="3"/>
    <x v="45"/>
    <x v="0"/>
    <x v="9"/>
    <n v="0"/>
    <x v="1"/>
  </r>
  <r>
    <x v="30"/>
    <x v="1"/>
    <x v="365"/>
    <x v="2"/>
    <x v="3"/>
    <x v="45"/>
    <x v="0"/>
    <x v="10"/>
    <n v="0"/>
    <x v="1"/>
  </r>
  <r>
    <x v="30"/>
    <x v="1"/>
    <x v="365"/>
    <x v="2"/>
    <x v="3"/>
    <x v="45"/>
    <x v="0"/>
    <x v="12"/>
    <n v="0"/>
    <x v="1"/>
  </r>
  <r>
    <x v="30"/>
    <x v="0"/>
    <x v="366"/>
    <x v="2"/>
    <x v="3"/>
    <x v="4"/>
    <x v="0"/>
    <x v="0"/>
    <n v="1417"/>
    <x v="1"/>
  </r>
  <r>
    <x v="30"/>
    <x v="0"/>
    <x v="366"/>
    <x v="2"/>
    <x v="3"/>
    <x v="4"/>
    <x v="0"/>
    <x v="1"/>
    <n v="58"/>
    <x v="1"/>
  </r>
  <r>
    <x v="30"/>
    <x v="0"/>
    <x v="366"/>
    <x v="2"/>
    <x v="3"/>
    <x v="4"/>
    <x v="0"/>
    <x v="2"/>
    <n v="1495.43"/>
    <x v="1"/>
  </r>
  <r>
    <x v="30"/>
    <x v="0"/>
    <x v="366"/>
    <x v="2"/>
    <x v="3"/>
    <x v="4"/>
    <x v="0"/>
    <x v="3"/>
    <n v="2058"/>
    <x v="1"/>
  </r>
  <r>
    <x v="30"/>
    <x v="0"/>
    <x v="366"/>
    <x v="2"/>
    <x v="3"/>
    <x v="4"/>
    <x v="0"/>
    <x v="4"/>
    <n v="2339"/>
    <x v="1"/>
  </r>
  <r>
    <x v="30"/>
    <x v="0"/>
    <x v="366"/>
    <x v="2"/>
    <x v="3"/>
    <x v="4"/>
    <x v="0"/>
    <x v="5"/>
    <n v="2255"/>
    <x v="1"/>
  </r>
  <r>
    <x v="30"/>
    <x v="0"/>
    <x v="366"/>
    <x v="2"/>
    <x v="3"/>
    <x v="4"/>
    <x v="0"/>
    <x v="6"/>
    <n v="2250"/>
    <x v="1"/>
  </r>
  <r>
    <x v="30"/>
    <x v="0"/>
    <x v="366"/>
    <x v="2"/>
    <x v="3"/>
    <x v="4"/>
    <x v="0"/>
    <x v="7"/>
    <n v="2244"/>
    <x v="1"/>
  </r>
  <r>
    <x v="30"/>
    <x v="0"/>
    <x v="366"/>
    <x v="2"/>
    <x v="3"/>
    <x v="4"/>
    <x v="0"/>
    <x v="8"/>
    <n v="2208"/>
    <x v="1"/>
  </r>
  <r>
    <x v="30"/>
    <x v="0"/>
    <x v="366"/>
    <x v="2"/>
    <x v="3"/>
    <x v="4"/>
    <x v="0"/>
    <x v="9"/>
    <n v="1628"/>
    <x v="1"/>
  </r>
  <r>
    <x v="30"/>
    <x v="0"/>
    <x v="366"/>
    <x v="2"/>
    <x v="3"/>
    <x v="4"/>
    <x v="0"/>
    <x v="10"/>
    <n v="2945"/>
    <x v="1"/>
  </r>
  <r>
    <x v="30"/>
    <x v="0"/>
    <x v="366"/>
    <x v="2"/>
    <x v="3"/>
    <x v="4"/>
    <x v="0"/>
    <x v="12"/>
    <n v="3760"/>
    <x v="1"/>
  </r>
  <r>
    <x v="30"/>
    <x v="0"/>
    <x v="190"/>
    <x v="2"/>
    <x v="7"/>
    <x v="25"/>
    <x v="0"/>
    <x v="0"/>
    <n v="241.48557828481506"/>
    <x v="1"/>
  </r>
  <r>
    <x v="30"/>
    <x v="0"/>
    <x v="190"/>
    <x v="2"/>
    <x v="7"/>
    <x v="25"/>
    <x v="0"/>
    <x v="1"/>
    <n v="285.41634974980246"/>
    <x v="1"/>
  </r>
  <r>
    <x v="30"/>
    <x v="0"/>
    <x v="190"/>
    <x v="2"/>
    <x v="7"/>
    <x v="25"/>
    <x v="0"/>
    <x v="2"/>
    <n v="234.09939263638807"/>
    <x v="1"/>
  </r>
  <r>
    <x v="30"/>
    <x v="0"/>
    <x v="190"/>
    <x v="2"/>
    <x v="7"/>
    <x v="25"/>
    <x v="0"/>
    <x v="3"/>
    <n v="208"/>
    <x v="1"/>
  </r>
  <r>
    <x v="30"/>
    <x v="0"/>
    <x v="190"/>
    <x v="2"/>
    <x v="7"/>
    <x v="25"/>
    <x v="0"/>
    <x v="4"/>
    <n v="243"/>
    <x v="1"/>
  </r>
  <r>
    <x v="30"/>
    <x v="0"/>
    <x v="190"/>
    <x v="2"/>
    <x v="7"/>
    <x v="25"/>
    <x v="0"/>
    <x v="5"/>
    <n v="524"/>
    <x v="1"/>
  </r>
  <r>
    <x v="30"/>
    <x v="0"/>
    <x v="190"/>
    <x v="2"/>
    <x v="7"/>
    <x v="25"/>
    <x v="0"/>
    <x v="6"/>
    <n v="805"/>
    <x v="1"/>
  </r>
  <r>
    <x v="30"/>
    <x v="0"/>
    <x v="190"/>
    <x v="2"/>
    <x v="7"/>
    <x v="25"/>
    <x v="0"/>
    <x v="7"/>
    <n v="953"/>
    <x v="1"/>
  </r>
  <r>
    <x v="30"/>
    <x v="0"/>
    <x v="190"/>
    <x v="2"/>
    <x v="7"/>
    <x v="25"/>
    <x v="0"/>
    <x v="8"/>
    <n v="271"/>
    <x v="1"/>
  </r>
  <r>
    <x v="30"/>
    <x v="0"/>
    <x v="190"/>
    <x v="2"/>
    <x v="7"/>
    <x v="25"/>
    <x v="0"/>
    <x v="9"/>
    <n v="521"/>
    <x v="1"/>
  </r>
  <r>
    <x v="30"/>
    <x v="0"/>
    <x v="190"/>
    <x v="2"/>
    <x v="7"/>
    <x v="25"/>
    <x v="0"/>
    <x v="10"/>
    <n v="297"/>
    <x v="1"/>
  </r>
  <r>
    <x v="30"/>
    <x v="0"/>
    <x v="190"/>
    <x v="2"/>
    <x v="7"/>
    <x v="25"/>
    <x v="0"/>
    <x v="12"/>
    <n v="892"/>
    <x v="1"/>
  </r>
  <r>
    <x v="30"/>
    <x v="0"/>
    <x v="367"/>
    <x v="2"/>
    <x v="3"/>
    <x v="19"/>
    <x v="0"/>
    <x v="0"/>
    <n v="7533.601223708366"/>
    <x v="1"/>
  </r>
  <r>
    <x v="30"/>
    <x v="0"/>
    <x v="367"/>
    <x v="2"/>
    <x v="3"/>
    <x v="19"/>
    <x v="0"/>
    <x v="1"/>
    <n v="6447.8746378720034"/>
    <x v="1"/>
  </r>
  <r>
    <x v="30"/>
    <x v="0"/>
    <x v="367"/>
    <x v="2"/>
    <x v="3"/>
    <x v="19"/>
    <x v="0"/>
    <x v="2"/>
    <n v="9290.6826122010207"/>
    <x v="1"/>
  </r>
  <r>
    <x v="30"/>
    <x v="0"/>
    <x v="367"/>
    <x v="2"/>
    <x v="3"/>
    <x v="19"/>
    <x v="0"/>
    <x v="3"/>
    <n v="7372"/>
    <x v="1"/>
  </r>
  <r>
    <x v="30"/>
    <x v="0"/>
    <x v="367"/>
    <x v="2"/>
    <x v="3"/>
    <x v="19"/>
    <x v="0"/>
    <x v="4"/>
    <n v="4341"/>
    <x v="1"/>
  </r>
  <r>
    <x v="30"/>
    <x v="0"/>
    <x v="367"/>
    <x v="2"/>
    <x v="3"/>
    <x v="19"/>
    <x v="0"/>
    <x v="5"/>
    <n v="4658"/>
    <x v="1"/>
  </r>
  <r>
    <x v="30"/>
    <x v="0"/>
    <x v="367"/>
    <x v="2"/>
    <x v="3"/>
    <x v="19"/>
    <x v="0"/>
    <x v="6"/>
    <n v="4025"/>
    <x v="1"/>
  </r>
  <r>
    <x v="30"/>
    <x v="0"/>
    <x v="367"/>
    <x v="2"/>
    <x v="3"/>
    <x v="19"/>
    <x v="0"/>
    <x v="7"/>
    <n v="4770"/>
    <x v="1"/>
  </r>
  <r>
    <x v="30"/>
    <x v="0"/>
    <x v="367"/>
    <x v="2"/>
    <x v="3"/>
    <x v="19"/>
    <x v="0"/>
    <x v="8"/>
    <n v="4122"/>
    <x v="1"/>
  </r>
  <r>
    <x v="30"/>
    <x v="0"/>
    <x v="367"/>
    <x v="2"/>
    <x v="3"/>
    <x v="19"/>
    <x v="0"/>
    <x v="9"/>
    <n v="5081"/>
    <x v="1"/>
  </r>
  <r>
    <x v="30"/>
    <x v="0"/>
    <x v="367"/>
    <x v="2"/>
    <x v="3"/>
    <x v="19"/>
    <x v="0"/>
    <x v="10"/>
    <n v="4443"/>
    <x v="1"/>
  </r>
  <r>
    <x v="30"/>
    <x v="0"/>
    <x v="367"/>
    <x v="2"/>
    <x v="3"/>
    <x v="19"/>
    <x v="0"/>
    <x v="12"/>
    <n v="4681"/>
    <x v="1"/>
  </r>
  <r>
    <x v="30"/>
    <x v="0"/>
    <x v="368"/>
    <x v="2"/>
    <x v="3"/>
    <x v="16"/>
    <x v="0"/>
    <x v="0"/>
    <n v="1065.827432467873"/>
    <x v="1"/>
  </r>
  <r>
    <x v="30"/>
    <x v="0"/>
    <x v="368"/>
    <x v="2"/>
    <x v="3"/>
    <x v="16"/>
    <x v="0"/>
    <x v="1"/>
    <n v="2175.3489597050302"/>
    <x v="1"/>
  </r>
  <r>
    <x v="30"/>
    <x v="0"/>
    <x v="368"/>
    <x v="2"/>
    <x v="3"/>
    <x v="16"/>
    <x v="0"/>
    <x v="2"/>
    <n v="1734.7621607094868"/>
    <x v="1"/>
  </r>
  <r>
    <x v="30"/>
    <x v="0"/>
    <x v="368"/>
    <x v="2"/>
    <x v="3"/>
    <x v="16"/>
    <x v="0"/>
    <x v="3"/>
    <n v="64"/>
    <x v="1"/>
  </r>
  <r>
    <x v="30"/>
    <x v="0"/>
    <x v="368"/>
    <x v="2"/>
    <x v="3"/>
    <x v="16"/>
    <x v="0"/>
    <x v="4"/>
    <n v="3154"/>
    <x v="1"/>
  </r>
  <r>
    <x v="30"/>
    <x v="0"/>
    <x v="368"/>
    <x v="2"/>
    <x v="3"/>
    <x v="16"/>
    <x v="0"/>
    <x v="5"/>
    <n v="1397"/>
    <x v="1"/>
  </r>
  <r>
    <x v="30"/>
    <x v="0"/>
    <x v="368"/>
    <x v="2"/>
    <x v="3"/>
    <x v="16"/>
    <x v="0"/>
    <x v="6"/>
    <n v="1334"/>
    <x v="1"/>
  </r>
  <r>
    <x v="30"/>
    <x v="0"/>
    <x v="368"/>
    <x v="2"/>
    <x v="3"/>
    <x v="16"/>
    <x v="0"/>
    <x v="7"/>
    <n v="1611"/>
    <x v="1"/>
  </r>
  <r>
    <x v="30"/>
    <x v="0"/>
    <x v="368"/>
    <x v="2"/>
    <x v="3"/>
    <x v="16"/>
    <x v="0"/>
    <x v="8"/>
    <n v="1466"/>
    <x v="1"/>
  </r>
  <r>
    <x v="30"/>
    <x v="0"/>
    <x v="368"/>
    <x v="2"/>
    <x v="3"/>
    <x v="16"/>
    <x v="0"/>
    <x v="9"/>
    <n v="1231"/>
    <x v="1"/>
  </r>
  <r>
    <x v="30"/>
    <x v="0"/>
    <x v="368"/>
    <x v="2"/>
    <x v="3"/>
    <x v="16"/>
    <x v="0"/>
    <x v="10"/>
    <n v="0"/>
    <x v="1"/>
  </r>
  <r>
    <x v="30"/>
    <x v="0"/>
    <x v="368"/>
    <x v="2"/>
    <x v="3"/>
    <x v="16"/>
    <x v="0"/>
    <x v="12"/>
    <n v="2721"/>
    <x v="1"/>
  </r>
  <r>
    <x v="30"/>
    <x v="1"/>
    <x v="369"/>
    <x v="2"/>
    <x v="3"/>
    <x v="46"/>
    <x v="0"/>
    <x v="0"/>
    <n v="7865.7445580907415"/>
    <x v="1"/>
  </r>
  <r>
    <x v="30"/>
    <x v="1"/>
    <x v="369"/>
    <x v="2"/>
    <x v="3"/>
    <x v="46"/>
    <x v="0"/>
    <x v="1"/>
    <n v="9920.6742217540159"/>
    <x v="1"/>
  </r>
  <r>
    <x v="30"/>
    <x v="1"/>
    <x v="369"/>
    <x v="2"/>
    <x v="3"/>
    <x v="46"/>
    <x v="0"/>
    <x v="2"/>
    <n v="1138.9062080085998"/>
    <x v="1"/>
  </r>
  <r>
    <x v="30"/>
    <x v="1"/>
    <x v="369"/>
    <x v="2"/>
    <x v="3"/>
    <x v="46"/>
    <x v="0"/>
    <x v="3"/>
    <n v="2056"/>
    <x v="1"/>
  </r>
  <r>
    <x v="30"/>
    <x v="1"/>
    <x v="369"/>
    <x v="2"/>
    <x v="3"/>
    <x v="46"/>
    <x v="0"/>
    <x v="4"/>
    <n v="2039"/>
    <x v="1"/>
  </r>
  <r>
    <x v="30"/>
    <x v="1"/>
    <x v="369"/>
    <x v="2"/>
    <x v="3"/>
    <x v="46"/>
    <x v="0"/>
    <x v="5"/>
    <n v="916"/>
    <x v="1"/>
  </r>
  <r>
    <x v="30"/>
    <x v="1"/>
    <x v="369"/>
    <x v="2"/>
    <x v="3"/>
    <x v="46"/>
    <x v="0"/>
    <x v="6"/>
    <n v="857"/>
    <x v="1"/>
  </r>
  <r>
    <x v="30"/>
    <x v="1"/>
    <x v="369"/>
    <x v="2"/>
    <x v="3"/>
    <x v="46"/>
    <x v="0"/>
    <x v="7"/>
    <n v="2248"/>
    <x v="1"/>
  </r>
  <r>
    <x v="30"/>
    <x v="1"/>
    <x v="369"/>
    <x v="2"/>
    <x v="3"/>
    <x v="46"/>
    <x v="0"/>
    <x v="8"/>
    <n v="458"/>
    <x v="1"/>
  </r>
  <r>
    <x v="30"/>
    <x v="1"/>
    <x v="369"/>
    <x v="2"/>
    <x v="3"/>
    <x v="46"/>
    <x v="0"/>
    <x v="9"/>
    <n v="1869"/>
    <x v="1"/>
  </r>
  <r>
    <x v="30"/>
    <x v="1"/>
    <x v="369"/>
    <x v="2"/>
    <x v="3"/>
    <x v="46"/>
    <x v="0"/>
    <x v="10"/>
    <n v="7771"/>
    <x v="1"/>
  </r>
  <r>
    <x v="30"/>
    <x v="1"/>
    <x v="369"/>
    <x v="2"/>
    <x v="3"/>
    <x v="46"/>
    <x v="0"/>
    <x v="12"/>
    <n v="14372"/>
    <x v="1"/>
  </r>
  <r>
    <x v="30"/>
    <x v="1"/>
    <x v="370"/>
    <x v="0"/>
    <x v="3"/>
    <x v="21"/>
    <x v="0"/>
    <x v="0"/>
    <n v="0"/>
    <x v="1"/>
  </r>
  <r>
    <x v="30"/>
    <x v="1"/>
    <x v="370"/>
    <x v="0"/>
    <x v="3"/>
    <x v="21"/>
    <x v="0"/>
    <x v="1"/>
    <n v="0"/>
    <x v="1"/>
  </r>
  <r>
    <x v="30"/>
    <x v="1"/>
    <x v="370"/>
    <x v="0"/>
    <x v="3"/>
    <x v="21"/>
    <x v="0"/>
    <x v="2"/>
    <n v="0"/>
    <x v="1"/>
  </r>
  <r>
    <x v="30"/>
    <x v="1"/>
    <x v="370"/>
    <x v="0"/>
    <x v="3"/>
    <x v="21"/>
    <x v="0"/>
    <x v="3"/>
    <n v="125"/>
    <x v="1"/>
  </r>
  <r>
    <x v="30"/>
    <x v="1"/>
    <x v="370"/>
    <x v="0"/>
    <x v="3"/>
    <x v="21"/>
    <x v="0"/>
    <x v="4"/>
    <n v="697"/>
    <x v="1"/>
  </r>
  <r>
    <x v="30"/>
    <x v="1"/>
    <x v="370"/>
    <x v="0"/>
    <x v="3"/>
    <x v="21"/>
    <x v="0"/>
    <x v="5"/>
    <n v="0"/>
    <x v="1"/>
  </r>
  <r>
    <x v="30"/>
    <x v="1"/>
    <x v="370"/>
    <x v="0"/>
    <x v="3"/>
    <x v="21"/>
    <x v="0"/>
    <x v="6"/>
    <n v="0"/>
    <x v="1"/>
  </r>
  <r>
    <x v="30"/>
    <x v="1"/>
    <x v="370"/>
    <x v="0"/>
    <x v="3"/>
    <x v="21"/>
    <x v="0"/>
    <x v="7"/>
    <n v="0"/>
    <x v="1"/>
  </r>
  <r>
    <x v="30"/>
    <x v="1"/>
    <x v="370"/>
    <x v="0"/>
    <x v="3"/>
    <x v="21"/>
    <x v="0"/>
    <x v="8"/>
    <n v="0"/>
    <x v="1"/>
  </r>
  <r>
    <x v="30"/>
    <x v="1"/>
    <x v="370"/>
    <x v="0"/>
    <x v="3"/>
    <x v="21"/>
    <x v="0"/>
    <x v="9"/>
    <n v="0"/>
    <x v="1"/>
  </r>
  <r>
    <x v="30"/>
    <x v="1"/>
    <x v="370"/>
    <x v="0"/>
    <x v="3"/>
    <x v="21"/>
    <x v="0"/>
    <x v="10"/>
    <n v="0"/>
    <x v="1"/>
  </r>
  <r>
    <x v="30"/>
    <x v="1"/>
    <x v="370"/>
    <x v="0"/>
    <x v="3"/>
    <x v="21"/>
    <x v="0"/>
    <x v="12"/>
    <n v="1312"/>
    <x v="1"/>
  </r>
  <r>
    <x v="30"/>
    <x v="1"/>
    <x v="371"/>
    <x v="0"/>
    <x v="3"/>
    <x v="2"/>
    <x v="0"/>
    <x v="0"/>
    <n v="1024.8275268817204"/>
    <x v="1"/>
  </r>
  <r>
    <x v="30"/>
    <x v="1"/>
    <x v="371"/>
    <x v="0"/>
    <x v="3"/>
    <x v="2"/>
    <x v="0"/>
    <x v="1"/>
    <n v="70547.163423755599"/>
    <x v="1"/>
  </r>
  <r>
    <x v="30"/>
    <x v="1"/>
    <x v="371"/>
    <x v="0"/>
    <x v="3"/>
    <x v="2"/>
    <x v="0"/>
    <x v="2"/>
    <n v="6141.8243294813201"/>
    <x v="1"/>
  </r>
  <r>
    <x v="30"/>
    <x v="1"/>
    <x v="371"/>
    <x v="0"/>
    <x v="3"/>
    <x v="2"/>
    <x v="0"/>
    <x v="3"/>
    <n v="6450"/>
    <x v="1"/>
  </r>
  <r>
    <x v="30"/>
    <x v="1"/>
    <x v="371"/>
    <x v="0"/>
    <x v="3"/>
    <x v="2"/>
    <x v="0"/>
    <x v="4"/>
    <n v="12531"/>
    <x v="1"/>
  </r>
  <r>
    <x v="30"/>
    <x v="1"/>
    <x v="371"/>
    <x v="0"/>
    <x v="3"/>
    <x v="2"/>
    <x v="0"/>
    <x v="5"/>
    <n v="8367"/>
    <x v="1"/>
  </r>
  <r>
    <x v="30"/>
    <x v="1"/>
    <x v="371"/>
    <x v="0"/>
    <x v="3"/>
    <x v="2"/>
    <x v="0"/>
    <x v="6"/>
    <n v="8543"/>
    <x v="1"/>
  </r>
  <r>
    <x v="30"/>
    <x v="1"/>
    <x v="371"/>
    <x v="0"/>
    <x v="3"/>
    <x v="2"/>
    <x v="0"/>
    <x v="7"/>
    <n v="6887"/>
    <x v="1"/>
  </r>
  <r>
    <x v="30"/>
    <x v="1"/>
    <x v="371"/>
    <x v="0"/>
    <x v="3"/>
    <x v="2"/>
    <x v="0"/>
    <x v="8"/>
    <n v="7012"/>
    <x v="1"/>
  </r>
  <r>
    <x v="30"/>
    <x v="1"/>
    <x v="371"/>
    <x v="0"/>
    <x v="3"/>
    <x v="2"/>
    <x v="0"/>
    <x v="9"/>
    <n v="12199"/>
    <x v="1"/>
  </r>
  <r>
    <x v="30"/>
    <x v="1"/>
    <x v="371"/>
    <x v="0"/>
    <x v="3"/>
    <x v="2"/>
    <x v="0"/>
    <x v="10"/>
    <n v="3164"/>
    <x v="1"/>
  </r>
  <r>
    <x v="30"/>
    <x v="1"/>
    <x v="371"/>
    <x v="0"/>
    <x v="3"/>
    <x v="2"/>
    <x v="0"/>
    <x v="12"/>
    <n v="6886"/>
    <x v="1"/>
  </r>
  <r>
    <x v="30"/>
    <x v="1"/>
    <x v="372"/>
    <x v="0"/>
    <x v="9"/>
    <x v="37"/>
    <x v="0"/>
    <x v="0"/>
    <n v="68490.427484920001"/>
    <x v="1"/>
  </r>
  <r>
    <x v="30"/>
    <x v="1"/>
    <x v="372"/>
    <x v="0"/>
    <x v="9"/>
    <x v="37"/>
    <x v="0"/>
    <x v="1"/>
    <n v="25772.715301553857"/>
    <x v="1"/>
  </r>
  <r>
    <x v="30"/>
    <x v="1"/>
    <x v="372"/>
    <x v="0"/>
    <x v="9"/>
    <x v="37"/>
    <x v="0"/>
    <x v="2"/>
    <n v="671.86240257995166"/>
    <x v="1"/>
  </r>
  <r>
    <x v="30"/>
    <x v="1"/>
    <x v="372"/>
    <x v="0"/>
    <x v="9"/>
    <x v="37"/>
    <x v="0"/>
    <x v="3"/>
    <n v="12133"/>
    <x v="1"/>
  </r>
  <r>
    <x v="30"/>
    <x v="1"/>
    <x v="372"/>
    <x v="0"/>
    <x v="9"/>
    <x v="37"/>
    <x v="0"/>
    <x v="4"/>
    <n v="4707"/>
    <x v="1"/>
  </r>
  <r>
    <x v="30"/>
    <x v="1"/>
    <x v="372"/>
    <x v="0"/>
    <x v="9"/>
    <x v="37"/>
    <x v="0"/>
    <x v="5"/>
    <n v="0"/>
    <x v="1"/>
  </r>
  <r>
    <x v="30"/>
    <x v="1"/>
    <x v="372"/>
    <x v="0"/>
    <x v="9"/>
    <x v="37"/>
    <x v="0"/>
    <x v="6"/>
    <n v="38504"/>
    <x v="1"/>
  </r>
  <r>
    <x v="30"/>
    <x v="1"/>
    <x v="372"/>
    <x v="0"/>
    <x v="9"/>
    <x v="37"/>
    <x v="0"/>
    <x v="7"/>
    <n v="49397"/>
    <x v="1"/>
  </r>
  <r>
    <x v="30"/>
    <x v="1"/>
    <x v="372"/>
    <x v="0"/>
    <x v="9"/>
    <x v="37"/>
    <x v="0"/>
    <x v="8"/>
    <n v="62034"/>
    <x v="1"/>
  </r>
  <r>
    <x v="30"/>
    <x v="1"/>
    <x v="372"/>
    <x v="0"/>
    <x v="9"/>
    <x v="37"/>
    <x v="0"/>
    <x v="9"/>
    <n v="43549"/>
    <x v="1"/>
  </r>
  <r>
    <x v="30"/>
    <x v="1"/>
    <x v="372"/>
    <x v="0"/>
    <x v="9"/>
    <x v="37"/>
    <x v="0"/>
    <x v="10"/>
    <n v="8096"/>
    <x v="1"/>
  </r>
  <r>
    <x v="30"/>
    <x v="1"/>
    <x v="372"/>
    <x v="0"/>
    <x v="9"/>
    <x v="37"/>
    <x v="0"/>
    <x v="12"/>
    <n v="12813"/>
    <x v="1"/>
  </r>
  <r>
    <x v="30"/>
    <x v="1"/>
    <x v="373"/>
    <x v="0"/>
    <x v="9"/>
    <x v="37"/>
    <x v="0"/>
    <x v="0"/>
    <n v="0"/>
    <x v="1"/>
  </r>
  <r>
    <x v="30"/>
    <x v="1"/>
    <x v="373"/>
    <x v="0"/>
    <x v="9"/>
    <x v="37"/>
    <x v="0"/>
    <x v="1"/>
    <n v="0"/>
    <x v="1"/>
  </r>
  <r>
    <x v="30"/>
    <x v="1"/>
    <x v="373"/>
    <x v="0"/>
    <x v="9"/>
    <x v="37"/>
    <x v="0"/>
    <x v="2"/>
    <n v="0"/>
    <x v="1"/>
  </r>
  <r>
    <x v="30"/>
    <x v="1"/>
    <x v="373"/>
    <x v="0"/>
    <x v="9"/>
    <x v="37"/>
    <x v="0"/>
    <x v="3"/>
    <m/>
    <x v="1"/>
  </r>
  <r>
    <x v="30"/>
    <x v="1"/>
    <x v="373"/>
    <x v="0"/>
    <x v="9"/>
    <x v="37"/>
    <x v="0"/>
    <x v="4"/>
    <n v="0"/>
    <x v="1"/>
  </r>
  <r>
    <x v="30"/>
    <x v="1"/>
    <x v="373"/>
    <x v="0"/>
    <x v="9"/>
    <x v="37"/>
    <x v="0"/>
    <x v="5"/>
    <n v="0"/>
    <x v="1"/>
  </r>
  <r>
    <x v="30"/>
    <x v="1"/>
    <x v="373"/>
    <x v="0"/>
    <x v="9"/>
    <x v="37"/>
    <x v="0"/>
    <x v="6"/>
    <m/>
    <x v="1"/>
  </r>
  <r>
    <x v="30"/>
    <x v="1"/>
    <x v="373"/>
    <x v="0"/>
    <x v="9"/>
    <x v="37"/>
    <x v="0"/>
    <x v="7"/>
    <n v="20149"/>
    <x v="1"/>
  </r>
  <r>
    <x v="30"/>
    <x v="1"/>
    <x v="373"/>
    <x v="0"/>
    <x v="9"/>
    <x v="37"/>
    <x v="0"/>
    <x v="8"/>
    <n v="0"/>
    <x v="1"/>
  </r>
  <r>
    <x v="30"/>
    <x v="1"/>
    <x v="373"/>
    <x v="0"/>
    <x v="9"/>
    <x v="37"/>
    <x v="0"/>
    <x v="9"/>
    <n v="34018"/>
    <x v="1"/>
  </r>
  <r>
    <x v="30"/>
    <x v="1"/>
    <x v="373"/>
    <x v="0"/>
    <x v="9"/>
    <x v="37"/>
    <x v="0"/>
    <x v="10"/>
    <n v="0"/>
    <x v="1"/>
  </r>
  <r>
    <x v="30"/>
    <x v="1"/>
    <x v="373"/>
    <x v="0"/>
    <x v="9"/>
    <x v="37"/>
    <x v="0"/>
    <x v="12"/>
    <m/>
    <x v="1"/>
  </r>
  <r>
    <x v="30"/>
    <x v="1"/>
    <x v="374"/>
    <x v="3"/>
    <x v="8"/>
    <x v="23"/>
    <x v="0"/>
    <x v="0"/>
    <n v="0"/>
    <x v="1"/>
  </r>
  <r>
    <x v="30"/>
    <x v="1"/>
    <x v="374"/>
    <x v="3"/>
    <x v="8"/>
    <x v="23"/>
    <x v="0"/>
    <x v="1"/>
    <n v="0"/>
    <x v="1"/>
  </r>
  <r>
    <x v="30"/>
    <x v="1"/>
    <x v="374"/>
    <x v="3"/>
    <x v="8"/>
    <x v="23"/>
    <x v="0"/>
    <x v="2"/>
    <n v="0"/>
    <x v="1"/>
  </r>
  <r>
    <x v="30"/>
    <x v="1"/>
    <x v="374"/>
    <x v="3"/>
    <x v="8"/>
    <x v="23"/>
    <x v="0"/>
    <x v="3"/>
    <n v="0"/>
    <x v="1"/>
  </r>
  <r>
    <x v="30"/>
    <x v="1"/>
    <x v="374"/>
    <x v="3"/>
    <x v="8"/>
    <x v="23"/>
    <x v="0"/>
    <x v="4"/>
    <n v="0"/>
    <x v="1"/>
  </r>
  <r>
    <x v="30"/>
    <x v="1"/>
    <x v="374"/>
    <x v="3"/>
    <x v="8"/>
    <x v="23"/>
    <x v="0"/>
    <x v="5"/>
    <n v="5600.4"/>
    <x v="1"/>
  </r>
  <r>
    <x v="30"/>
    <x v="1"/>
    <x v="374"/>
    <x v="3"/>
    <x v="8"/>
    <x v="23"/>
    <x v="0"/>
    <x v="6"/>
    <n v="0"/>
    <x v="1"/>
  </r>
  <r>
    <x v="30"/>
    <x v="1"/>
    <x v="374"/>
    <x v="3"/>
    <x v="8"/>
    <x v="23"/>
    <x v="0"/>
    <x v="7"/>
    <n v="100000"/>
    <x v="1"/>
  </r>
  <r>
    <x v="30"/>
    <x v="1"/>
    <x v="374"/>
    <x v="3"/>
    <x v="8"/>
    <x v="23"/>
    <x v="0"/>
    <x v="8"/>
    <n v="0"/>
    <x v="1"/>
  </r>
  <r>
    <x v="30"/>
    <x v="1"/>
    <x v="374"/>
    <x v="3"/>
    <x v="8"/>
    <x v="23"/>
    <x v="0"/>
    <x v="9"/>
    <n v="100000"/>
    <x v="1"/>
  </r>
  <r>
    <x v="30"/>
    <x v="1"/>
    <x v="374"/>
    <x v="3"/>
    <x v="8"/>
    <x v="23"/>
    <x v="0"/>
    <x v="10"/>
    <n v="0"/>
    <x v="1"/>
  </r>
  <r>
    <x v="30"/>
    <x v="1"/>
    <x v="374"/>
    <x v="3"/>
    <x v="8"/>
    <x v="23"/>
    <x v="0"/>
    <x v="12"/>
    <n v="125000"/>
    <x v="1"/>
  </r>
  <r>
    <x v="30"/>
    <x v="1"/>
    <x v="375"/>
    <x v="3"/>
    <x v="8"/>
    <x v="23"/>
    <x v="0"/>
    <x v="0"/>
    <n v="0"/>
    <x v="1"/>
  </r>
  <r>
    <x v="30"/>
    <x v="1"/>
    <x v="375"/>
    <x v="3"/>
    <x v="8"/>
    <x v="23"/>
    <x v="0"/>
    <x v="1"/>
    <n v="50000"/>
    <x v="1"/>
  </r>
  <r>
    <x v="30"/>
    <x v="1"/>
    <x v="375"/>
    <x v="3"/>
    <x v="8"/>
    <x v="23"/>
    <x v="0"/>
    <x v="2"/>
    <n v="0"/>
    <x v="1"/>
  </r>
  <r>
    <x v="30"/>
    <x v="1"/>
    <x v="375"/>
    <x v="3"/>
    <x v="8"/>
    <x v="23"/>
    <x v="0"/>
    <x v="3"/>
    <n v="0"/>
    <x v="1"/>
  </r>
  <r>
    <x v="30"/>
    <x v="1"/>
    <x v="375"/>
    <x v="3"/>
    <x v="8"/>
    <x v="23"/>
    <x v="0"/>
    <x v="4"/>
    <n v="0"/>
    <x v="1"/>
  </r>
  <r>
    <x v="30"/>
    <x v="1"/>
    <x v="375"/>
    <x v="3"/>
    <x v="8"/>
    <x v="23"/>
    <x v="0"/>
    <x v="5"/>
    <n v="0"/>
    <x v="1"/>
  </r>
  <r>
    <x v="30"/>
    <x v="1"/>
    <x v="375"/>
    <x v="3"/>
    <x v="8"/>
    <x v="23"/>
    <x v="0"/>
    <x v="6"/>
    <n v="0"/>
    <x v="1"/>
  </r>
  <r>
    <x v="30"/>
    <x v="1"/>
    <x v="375"/>
    <x v="3"/>
    <x v="8"/>
    <x v="23"/>
    <x v="0"/>
    <x v="7"/>
    <n v="0"/>
    <x v="1"/>
  </r>
  <r>
    <x v="30"/>
    <x v="1"/>
    <x v="375"/>
    <x v="3"/>
    <x v="8"/>
    <x v="23"/>
    <x v="0"/>
    <x v="8"/>
    <n v="0"/>
    <x v="1"/>
  </r>
  <r>
    <x v="30"/>
    <x v="1"/>
    <x v="375"/>
    <x v="3"/>
    <x v="8"/>
    <x v="23"/>
    <x v="0"/>
    <x v="9"/>
    <n v="0"/>
    <x v="1"/>
  </r>
  <r>
    <x v="30"/>
    <x v="1"/>
    <x v="375"/>
    <x v="3"/>
    <x v="8"/>
    <x v="23"/>
    <x v="0"/>
    <x v="10"/>
    <n v="0"/>
    <x v="1"/>
  </r>
  <r>
    <x v="30"/>
    <x v="1"/>
    <x v="375"/>
    <x v="3"/>
    <x v="8"/>
    <x v="23"/>
    <x v="0"/>
    <x v="12"/>
    <n v="180000"/>
    <x v="1"/>
  </r>
  <r>
    <x v="30"/>
    <x v="1"/>
    <x v="376"/>
    <x v="3"/>
    <x v="8"/>
    <x v="23"/>
    <x v="0"/>
    <x v="0"/>
    <n v="0"/>
    <x v="1"/>
  </r>
  <r>
    <x v="30"/>
    <x v="1"/>
    <x v="376"/>
    <x v="3"/>
    <x v="8"/>
    <x v="23"/>
    <x v="0"/>
    <x v="1"/>
    <n v="0"/>
    <x v="1"/>
  </r>
  <r>
    <x v="30"/>
    <x v="1"/>
    <x v="376"/>
    <x v="3"/>
    <x v="8"/>
    <x v="23"/>
    <x v="0"/>
    <x v="2"/>
    <n v="0"/>
    <x v="1"/>
  </r>
  <r>
    <x v="30"/>
    <x v="1"/>
    <x v="376"/>
    <x v="3"/>
    <x v="8"/>
    <x v="23"/>
    <x v="0"/>
    <x v="3"/>
    <n v="0"/>
    <x v="1"/>
  </r>
  <r>
    <x v="30"/>
    <x v="1"/>
    <x v="376"/>
    <x v="3"/>
    <x v="8"/>
    <x v="23"/>
    <x v="0"/>
    <x v="4"/>
    <n v="0"/>
    <x v="1"/>
  </r>
  <r>
    <x v="30"/>
    <x v="1"/>
    <x v="376"/>
    <x v="3"/>
    <x v="8"/>
    <x v="23"/>
    <x v="0"/>
    <x v="5"/>
    <n v="44000"/>
    <x v="1"/>
  </r>
  <r>
    <x v="30"/>
    <x v="1"/>
    <x v="376"/>
    <x v="3"/>
    <x v="8"/>
    <x v="23"/>
    <x v="0"/>
    <x v="6"/>
    <n v="0"/>
    <x v="1"/>
  </r>
  <r>
    <x v="30"/>
    <x v="1"/>
    <x v="376"/>
    <x v="3"/>
    <x v="8"/>
    <x v="23"/>
    <x v="0"/>
    <x v="7"/>
    <n v="14000"/>
    <x v="1"/>
  </r>
  <r>
    <x v="30"/>
    <x v="1"/>
    <x v="376"/>
    <x v="3"/>
    <x v="8"/>
    <x v="23"/>
    <x v="0"/>
    <x v="8"/>
    <n v="0"/>
    <x v="1"/>
  </r>
  <r>
    <x v="30"/>
    <x v="1"/>
    <x v="376"/>
    <x v="3"/>
    <x v="8"/>
    <x v="23"/>
    <x v="0"/>
    <x v="9"/>
    <n v="90000"/>
    <x v="1"/>
  </r>
  <r>
    <x v="30"/>
    <x v="1"/>
    <x v="376"/>
    <x v="3"/>
    <x v="8"/>
    <x v="23"/>
    <x v="0"/>
    <x v="10"/>
    <n v="0"/>
    <x v="1"/>
  </r>
  <r>
    <x v="30"/>
    <x v="1"/>
    <x v="376"/>
    <x v="3"/>
    <x v="8"/>
    <x v="23"/>
    <x v="0"/>
    <x v="12"/>
    <n v="28000"/>
    <x v="1"/>
  </r>
  <r>
    <x v="89"/>
    <x v="0"/>
    <x v="377"/>
    <x v="2"/>
    <x v="0"/>
    <x v="0"/>
    <x v="0"/>
    <x v="0"/>
    <n v="2829.3040493293315"/>
    <x v="2"/>
  </r>
  <r>
    <x v="89"/>
    <x v="0"/>
    <x v="377"/>
    <x v="2"/>
    <x v="0"/>
    <x v="0"/>
    <x v="0"/>
    <x v="1"/>
    <n v="2609.6521313614617"/>
    <x v="2"/>
  </r>
  <r>
    <x v="89"/>
    <x v="0"/>
    <x v="377"/>
    <x v="2"/>
    <x v="0"/>
    <x v="0"/>
    <x v="0"/>
    <x v="2"/>
    <n v="3831.9995754187171"/>
    <x v="2"/>
  </r>
  <r>
    <x v="89"/>
    <x v="0"/>
    <x v="377"/>
    <x v="2"/>
    <x v="0"/>
    <x v="0"/>
    <x v="0"/>
    <x v="3"/>
    <n v="2879.8682273358572"/>
    <x v="2"/>
  </r>
  <r>
    <x v="89"/>
    <x v="0"/>
    <x v="377"/>
    <x v="2"/>
    <x v="0"/>
    <x v="0"/>
    <x v="0"/>
    <x v="4"/>
    <n v="1881.46"/>
    <x v="2"/>
  </r>
  <r>
    <x v="89"/>
    <x v="0"/>
    <x v="377"/>
    <x v="2"/>
    <x v="0"/>
    <x v="0"/>
    <x v="0"/>
    <x v="5"/>
    <n v="3098.099976352838"/>
    <x v="2"/>
  </r>
  <r>
    <x v="89"/>
    <x v="0"/>
    <x v="377"/>
    <x v="2"/>
    <x v="0"/>
    <x v="0"/>
    <x v="0"/>
    <x v="6"/>
    <n v="4489.221970787904"/>
    <x v="2"/>
  </r>
  <r>
    <x v="89"/>
    <x v="0"/>
    <x v="377"/>
    <x v="2"/>
    <x v="0"/>
    <x v="0"/>
    <x v="0"/>
    <x v="7"/>
    <n v="2622.9914249360531"/>
    <x v="2"/>
  </r>
  <r>
    <x v="89"/>
    <x v="0"/>
    <x v="377"/>
    <x v="2"/>
    <x v="0"/>
    <x v="0"/>
    <x v="0"/>
    <x v="8"/>
    <n v="2724.3547400611619"/>
    <x v="2"/>
  </r>
  <r>
    <x v="89"/>
    <x v="0"/>
    <x v="377"/>
    <x v="2"/>
    <x v="0"/>
    <x v="0"/>
    <x v="0"/>
    <x v="9"/>
    <n v="2292.389118676424"/>
    <x v="2"/>
  </r>
  <r>
    <x v="89"/>
    <x v="0"/>
    <x v="377"/>
    <x v="2"/>
    <x v="0"/>
    <x v="0"/>
    <x v="0"/>
    <x v="10"/>
    <n v="4295.2801072180737"/>
    <x v="2"/>
  </r>
  <r>
    <x v="89"/>
    <x v="0"/>
    <x v="377"/>
    <x v="2"/>
    <x v="0"/>
    <x v="0"/>
    <x v="0"/>
    <x v="12"/>
    <n v="3585.5581061692969"/>
    <x v="2"/>
  </r>
  <r>
    <x v="90"/>
    <x v="0"/>
    <x v="378"/>
    <x v="2"/>
    <x v="0"/>
    <x v="0"/>
    <x v="0"/>
    <x v="0"/>
    <n v="1531.8459506706686"/>
    <x v="2"/>
  </r>
  <r>
    <x v="90"/>
    <x v="0"/>
    <x v="378"/>
    <x v="2"/>
    <x v="0"/>
    <x v="0"/>
    <x v="0"/>
    <x v="1"/>
    <n v="1546.9078686385385"/>
    <x v="2"/>
  </r>
  <r>
    <x v="90"/>
    <x v="0"/>
    <x v="378"/>
    <x v="2"/>
    <x v="0"/>
    <x v="0"/>
    <x v="0"/>
    <x v="2"/>
    <n v="2115.5404245812829"/>
    <x v="2"/>
  </r>
  <r>
    <x v="90"/>
    <x v="0"/>
    <x v="378"/>
    <x v="2"/>
    <x v="0"/>
    <x v="0"/>
    <x v="0"/>
    <x v="3"/>
    <n v="1599.2617726641422"/>
    <x v="2"/>
  </r>
  <r>
    <x v="90"/>
    <x v="0"/>
    <x v="378"/>
    <x v="2"/>
    <x v="0"/>
    <x v="0"/>
    <x v="0"/>
    <x v="4"/>
    <n v="1060.3599999999999"/>
    <x v="2"/>
  </r>
  <r>
    <x v="90"/>
    <x v="0"/>
    <x v="378"/>
    <x v="2"/>
    <x v="0"/>
    <x v="0"/>
    <x v="0"/>
    <x v="5"/>
    <n v="1558.9100236471625"/>
    <x v="2"/>
  </r>
  <r>
    <x v="90"/>
    <x v="0"/>
    <x v="378"/>
    <x v="2"/>
    <x v="0"/>
    <x v="0"/>
    <x v="0"/>
    <x v="6"/>
    <n v="1362.7780292120963"/>
    <x v="2"/>
  </r>
  <r>
    <x v="90"/>
    <x v="0"/>
    <x v="378"/>
    <x v="2"/>
    <x v="0"/>
    <x v="0"/>
    <x v="0"/>
    <x v="7"/>
    <n v="1463.2385750639471"/>
    <x v="2"/>
  </r>
  <r>
    <x v="90"/>
    <x v="0"/>
    <x v="378"/>
    <x v="2"/>
    <x v="0"/>
    <x v="0"/>
    <x v="0"/>
    <x v="8"/>
    <n v="1558.6452599388379"/>
    <x v="2"/>
  </r>
  <r>
    <x v="90"/>
    <x v="0"/>
    <x v="378"/>
    <x v="2"/>
    <x v="0"/>
    <x v="0"/>
    <x v="0"/>
    <x v="9"/>
    <n v="1258.6108813235762"/>
    <x v="2"/>
  </r>
  <r>
    <x v="90"/>
    <x v="0"/>
    <x v="378"/>
    <x v="2"/>
    <x v="0"/>
    <x v="0"/>
    <x v="0"/>
    <x v="10"/>
    <n v="2365.7198927819263"/>
    <x v="2"/>
  </r>
  <r>
    <x v="90"/>
    <x v="0"/>
    <x v="378"/>
    <x v="2"/>
    <x v="0"/>
    <x v="0"/>
    <x v="0"/>
    <x v="12"/>
    <n v="1980.4418938307031"/>
    <x v="2"/>
  </r>
  <r>
    <x v="30"/>
    <x v="0"/>
    <x v="379"/>
    <x v="2"/>
    <x v="0"/>
    <x v="0"/>
    <x v="0"/>
    <x v="0"/>
    <n v="2802.86"/>
    <x v="2"/>
  </r>
  <r>
    <x v="30"/>
    <x v="0"/>
    <x v="379"/>
    <x v="2"/>
    <x v="0"/>
    <x v="0"/>
    <x v="0"/>
    <x v="1"/>
    <n v="2844.04"/>
    <x v="2"/>
  </r>
  <r>
    <x v="30"/>
    <x v="0"/>
    <x v="379"/>
    <x v="2"/>
    <x v="0"/>
    <x v="0"/>
    <x v="0"/>
    <x v="2"/>
    <n v="2846.91"/>
    <x v="2"/>
  </r>
  <r>
    <x v="30"/>
    <x v="0"/>
    <x v="379"/>
    <x v="2"/>
    <x v="0"/>
    <x v="0"/>
    <x v="0"/>
    <x v="3"/>
    <n v="2881.39"/>
    <x v="2"/>
  </r>
  <r>
    <x v="30"/>
    <x v="0"/>
    <x v="379"/>
    <x v="2"/>
    <x v="0"/>
    <x v="0"/>
    <x v="0"/>
    <x v="4"/>
    <n v="2950.14"/>
    <x v="2"/>
  </r>
  <r>
    <x v="30"/>
    <x v="0"/>
    <x v="379"/>
    <x v="2"/>
    <x v="0"/>
    <x v="0"/>
    <x v="0"/>
    <x v="5"/>
    <n v="2720.9"/>
    <x v="2"/>
  </r>
  <r>
    <x v="30"/>
    <x v="0"/>
    <x v="379"/>
    <x v="2"/>
    <x v="0"/>
    <x v="0"/>
    <x v="0"/>
    <x v="6"/>
    <n v="2788"/>
    <x v="2"/>
  </r>
  <r>
    <x v="30"/>
    <x v="0"/>
    <x v="379"/>
    <x v="2"/>
    <x v="0"/>
    <x v="0"/>
    <x v="0"/>
    <x v="7"/>
    <n v="2956.01"/>
    <x v="2"/>
  </r>
  <r>
    <x v="30"/>
    <x v="0"/>
    <x v="379"/>
    <x v="2"/>
    <x v="0"/>
    <x v="0"/>
    <x v="0"/>
    <x v="8"/>
    <n v="2946"/>
    <x v="2"/>
  </r>
  <r>
    <x v="30"/>
    <x v="0"/>
    <x v="379"/>
    <x v="2"/>
    <x v="0"/>
    <x v="0"/>
    <x v="0"/>
    <x v="9"/>
    <n v="2695"/>
    <x v="2"/>
  </r>
  <r>
    <x v="30"/>
    <x v="0"/>
    <x v="379"/>
    <x v="2"/>
    <x v="0"/>
    <x v="0"/>
    <x v="0"/>
    <x v="10"/>
    <n v="2806"/>
    <x v="2"/>
  </r>
  <r>
    <x v="30"/>
    <x v="0"/>
    <x v="379"/>
    <x v="2"/>
    <x v="0"/>
    <x v="0"/>
    <x v="0"/>
    <x v="12"/>
    <n v="3034"/>
    <x v="2"/>
  </r>
  <r>
    <x v="30"/>
    <x v="0"/>
    <x v="314"/>
    <x v="2"/>
    <x v="2"/>
    <x v="3"/>
    <x v="0"/>
    <x v="0"/>
    <n v="0"/>
    <x v="2"/>
  </r>
  <r>
    <x v="30"/>
    <x v="0"/>
    <x v="314"/>
    <x v="2"/>
    <x v="2"/>
    <x v="3"/>
    <x v="0"/>
    <x v="1"/>
    <n v="0"/>
    <x v="2"/>
  </r>
  <r>
    <x v="30"/>
    <x v="0"/>
    <x v="314"/>
    <x v="2"/>
    <x v="2"/>
    <x v="3"/>
    <x v="0"/>
    <x v="2"/>
    <n v="305.01"/>
    <x v="2"/>
  </r>
  <r>
    <x v="30"/>
    <x v="0"/>
    <x v="314"/>
    <x v="2"/>
    <x v="2"/>
    <x v="3"/>
    <x v="0"/>
    <x v="3"/>
    <n v="0"/>
    <x v="2"/>
  </r>
  <r>
    <x v="30"/>
    <x v="0"/>
    <x v="314"/>
    <x v="2"/>
    <x v="2"/>
    <x v="3"/>
    <x v="0"/>
    <x v="4"/>
    <n v="126.48"/>
    <x v="2"/>
  </r>
  <r>
    <x v="30"/>
    <x v="0"/>
    <x v="314"/>
    <x v="2"/>
    <x v="2"/>
    <x v="3"/>
    <x v="0"/>
    <x v="5"/>
    <n v="477.99"/>
    <x v="2"/>
  </r>
  <r>
    <x v="30"/>
    <x v="0"/>
    <x v="314"/>
    <x v="2"/>
    <x v="2"/>
    <x v="3"/>
    <x v="0"/>
    <x v="6"/>
    <n v="0"/>
    <x v="2"/>
  </r>
  <r>
    <x v="30"/>
    <x v="0"/>
    <x v="314"/>
    <x v="2"/>
    <x v="2"/>
    <x v="3"/>
    <x v="0"/>
    <x v="7"/>
    <n v="0"/>
    <x v="2"/>
  </r>
  <r>
    <x v="30"/>
    <x v="0"/>
    <x v="314"/>
    <x v="2"/>
    <x v="2"/>
    <x v="3"/>
    <x v="0"/>
    <x v="8"/>
    <n v="0"/>
    <x v="2"/>
  </r>
  <r>
    <x v="30"/>
    <x v="0"/>
    <x v="314"/>
    <x v="2"/>
    <x v="2"/>
    <x v="3"/>
    <x v="0"/>
    <x v="9"/>
    <n v="0"/>
    <x v="2"/>
  </r>
  <r>
    <x v="30"/>
    <x v="0"/>
    <x v="314"/>
    <x v="2"/>
    <x v="2"/>
    <x v="3"/>
    <x v="0"/>
    <x v="10"/>
    <n v="0"/>
    <x v="2"/>
  </r>
  <r>
    <x v="30"/>
    <x v="0"/>
    <x v="314"/>
    <x v="2"/>
    <x v="2"/>
    <x v="3"/>
    <x v="0"/>
    <x v="12"/>
    <n v="305"/>
    <x v="2"/>
  </r>
  <r>
    <x v="30"/>
    <x v="0"/>
    <x v="380"/>
    <x v="2"/>
    <x v="2"/>
    <x v="3"/>
    <x v="0"/>
    <x v="0"/>
    <n v="538.78"/>
    <x v="2"/>
  </r>
  <r>
    <x v="30"/>
    <x v="0"/>
    <x v="380"/>
    <x v="2"/>
    <x v="2"/>
    <x v="3"/>
    <x v="0"/>
    <x v="1"/>
    <n v="648.37"/>
    <x v="2"/>
  </r>
  <r>
    <x v="30"/>
    <x v="0"/>
    <x v="380"/>
    <x v="2"/>
    <x v="2"/>
    <x v="3"/>
    <x v="0"/>
    <x v="2"/>
    <n v="706"/>
    <x v="2"/>
  </r>
  <r>
    <x v="30"/>
    <x v="0"/>
    <x v="380"/>
    <x v="2"/>
    <x v="2"/>
    <x v="3"/>
    <x v="0"/>
    <x v="3"/>
    <n v="576.32653061224482"/>
    <x v="2"/>
  </r>
  <r>
    <x v="30"/>
    <x v="0"/>
    <x v="380"/>
    <x v="2"/>
    <x v="2"/>
    <x v="3"/>
    <x v="0"/>
    <x v="4"/>
    <n v="576.33000000000004"/>
    <x v="2"/>
  </r>
  <r>
    <x v="30"/>
    <x v="0"/>
    <x v="380"/>
    <x v="2"/>
    <x v="2"/>
    <x v="3"/>
    <x v="0"/>
    <x v="5"/>
    <n v="1096.99"/>
    <x v="2"/>
  </r>
  <r>
    <x v="30"/>
    <x v="0"/>
    <x v="380"/>
    <x v="2"/>
    <x v="2"/>
    <x v="3"/>
    <x v="0"/>
    <x v="6"/>
    <n v="11694"/>
    <x v="2"/>
  </r>
  <r>
    <x v="30"/>
    <x v="0"/>
    <x v="380"/>
    <x v="2"/>
    <x v="2"/>
    <x v="3"/>
    <x v="0"/>
    <x v="7"/>
    <n v="522.96"/>
    <x v="2"/>
  </r>
  <r>
    <x v="30"/>
    <x v="0"/>
    <x v="380"/>
    <x v="2"/>
    <x v="2"/>
    <x v="3"/>
    <x v="0"/>
    <x v="8"/>
    <n v="523"/>
    <x v="2"/>
  </r>
  <r>
    <x v="30"/>
    <x v="0"/>
    <x v="380"/>
    <x v="2"/>
    <x v="2"/>
    <x v="3"/>
    <x v="0"/>
    <x v="9"/>
    <n v="618"/>
    <x v="2"/>
  </r>
  <r>
    <x v="30"/>
    <x v="0"/>
    <x v="380"/>
    <x v="2"/>
    <x v="2"/>
    <x v="3"/>
    <x v="0"/>
    <x v="10"/>
    <n v="486"/>
    <x v="2"/>
  </r>
  <r>
    <x v="30"/>
    <x v="0"/>
    <x v="380"/>
    <x v="2"/>
    <x v="2"/>
    <x v="3"/>
    <x v="0"/>
    <x v="12"/>
    <n v="941"/>
    <x v="2"/>
  </r>
  <r>
    <x v="30"/>
    <x v="1"/>
    <x v="381"/>
    <x v="2"/>
    <x v="2"/>
    <x v="3"/>
    <x v="0"/>
    <x v="0"/>
    <n v="0"/>
    <x v="2"/>
  </r>
  <r>
    <x v="30"/>
    <x v="1"/>
    <x v="381"/>
    <x v="2"/>
    <x v="2"/>
    <x v="3"/>
    <x v="0"/>
    <x v="1"/>
    <n v="35366.730000000003"/>
    <x v="2"/>
  </r>
  <r>
    <x v="30"/>
    <x v="1"/>
    <x v="381"/>
    <x v="2"/>
    <x v="2"/>
    <x v="3"/>
    <x v="0"/>
    <x v="2"/>
    <n v="0"/>
    <x v="2"/>
  </r>
  <r>
    <x v="30"/>
    <x v="1"/>
    <x v="381"/>
    <x v="2"/>
    <x v="2"/>
    <x v="3"/>
    <x v="0"/>
    <x v="3"/>
    <n v="0"/>
    <x v="2"/>
  </r>
  <r>
    <x v="30"/>
    <x v="1"/>
    <x v="381"/>
    <x v="2"/>
    <x v="2"/>
    <x v="3"/>
    <x v="0"/>
    <x v="4"/>
    <n v="35577.58"/>
    <x v="2"/>
  </r>
  <r>
    <x v="30"/>
    <x v="1"/>
    <x v="381"/>
    <x v="2"/>
    <x v="2"/>
    <x v="3"/>
    <x v="0"/>
    <x v="5"/>
    <n v="2106.23"/>
    <x v="2"/>
  </r>
  <r>
    <x v="30"/>
    <x v="1"/>
    <x v="381"/>
    <x v="2"/>
    <x v="2"/>
    <x v="3"/>
    <x v="0"/>
    <x v="6"/>
    <n v="0"/>
    <x v="2"/>
  </r>
  <r>
    <x v="30"/>
    <x v="1"/>
    <x v="381"/>
    <x v="2"/>
    <x v="2"/>
    <x v="3"/>
    <x v="0"/>
    <x v="7"/>
    <n v="0"/>
    <x v="2"/>
  </r>
  <r>
    <x v="30"/>
    <x v="1"/>
    <x v="381"/>
    <x v="2"/>
    <x v="2"/>
    <x v="3"/>
    <x v="0"/>
    <x v="8"/>
    <n v="0"/>
    <x v="2"/>
  </r>
  <r>
    <x v="30"/>
    <x v="1"/>
    <x v="381"/>
    <x v="2"/>
    <x v="2"/>
    <x v="3"/>
    <x v="0"/>
    <x v="9"/>
    <n v="28516"/>
    <x v="2"/>
  </r>
  <r>
    <x v="30"/>
    <x v="1"/>
    <x v="381"/>
    <x v="2"/>
    <x v="2"/>
    <x v="3"/>
    <x v="0"/>
    <x v="10"/>
    <n v="0"/>
    <x v="2"/>
  </r>
  <r>
    <x v="30"/>
    <x v="1"/>
    <x v="381"/>
    <x v="2"/>
    <x v="2"/>
    <x v="3"/>
    <x v="0"/>
    <x v="12"/>
    <n v="6115"/>
    <x v="2"/>
  </r>
  <r>
    <x v="30"/>
    <x v="2"/>
    <x v="382"/>
    <x v="0"/>
    <x v="2"/>
    <x v="3"/>
    <x v="8"/>
    <x v="0"/>
    <n v="0"/>
    <x v="2"/>
  </r>
  <r>
    <x v="30"/>
    <x v="2"/>
    <x v="382"/>
    <x v="0"/>
    <x v="2"/>
    <x v="3"/>
    <x v="8"/>
    <x v="1"/>
    <n v="0"/>
    <x v="2"/>
  </r>
  <r>
    <x v="30"/>
    <x v="2"/>
    <x v="382"/>
    <x v="0"/>
    <x v="2"/>
    <x v="3"/>
    <x v="8"/>
    <x v="2"/>
    <n v="0"/>
    <x v="2"/>
  </r>
  <r>
    <x v="30"/>
    <x v="2"/>
    <x v="382"/>
    <x v="0"/>
    <x v="2"/>
    <x v="3"/>
    <x v="8"/>
    <x v="3"/>
    <n v="0"/>
    <x v="2"/>
  </r>
  <r>
    <x v="30"/>
    <x v="2"/>
    <x v="382"/>
    <x v="0"/>
    <x v="2"/>
    <x v="3"/>
    <x v="8"/>
    <x v="4"/>
    <n v="0"/>
    <x v="2"/>
  </r>
  <r>
    <x v="30"/>
    <x v="2"/>
    <x v="382"/>
    <x v="0"/>
    <x v="2"/>
    <x v="3"/>
    <x v="8"/>
    <x v="5"/>
    <n v="0"/>
    <x v="2"/>
  </r>
  <r>
    <x v="30"/>
    <x v="2"/>
    <x v="382"/>
    <x v="0"/>
    <x v="2"/>
    <x v="3"/>
    <x v="8"/>
    <x v="6"/>
    <n v="0"/>
    <x v="2"/>
  </r>
  <r>
    <x v="30"/>
    <x v="2"/>
    <x v="382"/>
    <x v="0"/>
    <x v="2"/>
    <x v="3"/>
    <x v="8"/>
    <x v="7"/>
    <n v="7419.75"/>
    <x v="2"/>
  </r>
  <r>
    <x v="30"/>
    <x v="2"/>
    <x v="382"/>
    <x v="0"/>
    <x v="2"/>
    <x v="3"/>
    <x v="8"/>
    <x v="8"/>
    <n v="0"/>
    <x v="2"/>
  </r>
  <r>
    <x v="30"/>
    <x v="2"/>
    <x v="382"/>
    <x v="0"/>
    <x v="2"/>
    <x v="3"/>
    <x v="8"/>
    <x v="9"/>
    <n v="0"/>
    <x v="2"/>
  </r>
  <r>
    <x v="30"/>
    <x v="2"/>
    <x v="382"/>
    <x v="0"/>
    <x v="2"/>
    <x v="3"/>
    <x v="8"/>
    <x v="10"/>
    <n v="0"/>
    <x v="2"/>
  </r>
  <r>
    <x v="30"/>
    <x v="2"/>
    <x v="382"/>
    <x v="0"/>
    <x v="2"/>
    <x v="3"/>
    <x v="8"/>
    <x v="12"/>
    <n v="0"/>
    <x v="2"/>
  </r>
  <r>
    <x v="30"/>
    <x v="1"/>
    <x v="317"/>
    <x v="0"/>
    <x v="2"/>
    <x v="3"/>
    <x v="0"/>
    <x v="0"/>
    <n v="0"/>
    <x v="2"/>
  </r>
  <r>
    <x v="30"/>
    <x v="1"/>
    <x v="317"/>
    <x v="0"/>
    <x v="2"/>
    <x v="3"/>
    <x v="0"/>
    <x v="1"/>
    <n v="0"/>
    <x v="2"/>
  </r>
  <r>
    <x v="30"/>
    <x v="1"/>
    <x v="317"/>
    <x v="0"/>
    <x v="2"/>
    <x v="3"/>
    <x v="0"/>
    <x v="2"/>
    <n v="0"/>
    <x v="2"/>
  </r>
  <r>
    <x v="30"/>
    <x v="1"/>
    <x v="317"/>
    <x v="0"/>
    <x v="2"/>
    <x v="3"/>
    <x v="0"/>
    <x v="3"/>
    <n v="0"/>
    <x v="2"/>
  </r>
  <r>
    <x v="30"/>
    <x v="1"/>
    <x v="317"/>
    <x v="0"/>
    <x v="2"/>
    <x v="3"/>
    <x v="0"/>
    <x v="4"/>
    <n v="0"/>
    <x v="2"/>
  </r>
  <r>
    <x v="30"/>
    <x v="1"/>
    <x v="317"/>
    <x v="0"/>
    <x v="2"/>
    <x v="3"/>
    <x v="0"/>
    <x v="5"/>
    <n v="0"/>
    <x v="2"/>
  </r>
  <r>
    <x v="30"/>
    <x v="1"/>
    <x v="317"/>
    <x v="0"/>
    <x v="2"/>
    <x v="3"/>
    <x v="0"/>
    <x v="6"/>
    <n v="0"/>
    <x v="2"/>
  </r>
  <r>
    <x v="30"/>
    <x v="1"/>
    <x v="317"/>
    <x v="0"/>
    <x v="2"/>
    <x v="3"/>
    <x v="0"/>
    <x v="7"/>
    <n v="0"/>
    <x v="2"/>
  </r>
  <r>
    <x v="30"/>
    <x v="1"/>
    <x v="317"/>
    <x v="0"/>
    <x v="2"/>
    <x v="3"/>
    <x v="0"/>
    <x v="8"/>
    <n v="0"/>
    <x v="2"/>
  </r>
  <r>
    <x v="30"/>
    <x v="1"/>
    <x v="317"/>
    <x v="0"/>
    <x v="2"/>
    <x v="3"/>
    <x v="0"/>
    <x v="9"/>
    <n v="0"/>
    <x v="2"/>
  </r>
  <r>
    <x v="30"/>
    <x v="1"/>
    <x v="317"/>
    <x v="0"/>
    <x v="2"/>
    <x v="3"/>
    <x v="0"/>
    <x v="10"/>
    <n v="0"/>
    <x v="2"/>
  </r>
  <r>
    <x v="30"/>
    <x v="1"/>
    <x v="317"/>
    <x v="0"/>
    <x v="2"/>
    <x v="3"/>
    <x v="0"/>
    <x v="12"/>
    <n v="2581"/>
    <x v="2"/>
  </r>
  <r>
    <x v="30"/>
    <x v="1"/>
    <x v="383"/>
    <x v="0"/>
    <x v="4"/>
    <x v="41"/>
    <x v="22"/>
    <x v="0"/>
    <n v="0"/>
    <x v="2"/>
  </r>
  <r>
    <x v="30"/>
    <x v="1"/>
    <x v="383"/>
    <x v="0"/>
    <x v="4"/>
    <x v="41"/>
    <x v="22"/>
    <x v="1"/>
    <n v="0"/>
    <x v="2"/>
  </r>
  <r>
    <x v="30"/>
    <x v="1"/>
    <x v="383"/>
    <x v="0"/>
    <x v="4"/>
    <x v="41"/>
    <x v="22"/>
    <x v="2"/>
    <n v="0"/>
    <x v="2"/>
  </r>
  <r>
    <x v="30"/>
    <x v="1"/>
    <x v="383"/>
    <x v="0"/>
    <x v="4"/>
    <x v="41"/>
    <x v="22"/>
    <x v="3"/>
    <n v="0"/>
    <x v="2"/>
  </r>
  <r>
    <x v="30"/>
    <x v="1"/>
    <x v="383"/>
    <x v="0"/>
    <x v="4"/>
    <x v="41"/>
    <x v="22"/>
    <x v="4"/>
    <n v="0"/>
    <x v="2"/>
  </r>
  <r>
    <x v="30"/>
    <x v="1"/>
    <x v="383"/>
    <x v="0"/>
    <x v="4"/>
    <x v="41"/>
    <x v="22"/>
    <x v="5"/>
    <n v="0"/>
    <x v="2"/>
  </r>
  <r>
    <x v="30"/>
    <x v="1"/>
    <x v="383"/>
    <x v="0"/>
    <x v="4"/>
    <x v="41"/>
    <x v="22"/>
    <x v="6"/>
    <n v="0"/>
    <x v="2"/>
  </r>
  <r>
    <x v="30"/>
    <x v="1"/>
    <x v="383"/>
    <x v="0"/>
    <x v="4"/>
    <x v="41"/>
    <x v="22"/>
    <x v="7"/>
    <n v="0"/>
    <x v="2"/>
  </r>
  <r>
    <x v="30"/>
    <x v="1"/>
    <x v="383"/>
    <x v="0"/>
    <x v="4"/>
    <x v="41"/>
    <x v="22"/>
    <x v="8"/>
    <n v="0"/>
    <x v="2"/>
  </r>
  <r>
    <x v="30"/>
    <x v="1"/>
    <x v="383"/>
    <x v="0"/>
    <x v="4"/>
    <x v="41"/>
    <x v="22"/>
    <x v="9"/>
    <n v="0"/>
    <x v="2"/>
  </r>
  <r>
    <x v="30"/>
    <x v="1"/>
    <x v="383"/>
    <x v="0"/>
    <x v="4"/>
    <x v="41"/>
    <x v="22"/>
    <x v="10"/>
    <n v="0"/>
    <x v="2"/>
  </r>
  <r>
    <x v="30"/>
    <x v="1"/>
    <x v="383"/>
    <x v="0"/>
    <x v="4"/>
    <x v="41"/>
    <x v="22"/>
    <x v="12"/>
    <n v="0"/>
    <x v="2"/>
  </r>
  <r>
    <x v="30"/>
    <x v="1"/>
    <x v="384"/>
    <x v="1"/>
    <x v="4"/>
    <x v="41"/>
    <x v="0"/>
    <x v="0"/>
    <n v="0"/>
    <x v="2"/>
  </r>
  <r>
    <x v="30"/>
    <x v="1"/>
    <x v="384"/>
    <x v="1"/>
    <x v="4"/>
    <x v="41"/>
    <x v="0"/>
    <x v="1"/>
    <n v="0"/>
    <x v="2"/>
  </r>
  <r>
    <x v="30"/>
    <x v="1"/>
    <x v="384"/>
    <x v="1"/>
    <x v="4"/>
    <x v="41"/>
    <x v="0"/>
    <x v="2"/>
    <n v="0"/>
    <x v="2"/>
  </r>
  <r>
    <x v="30"/>
    <x v="1"/>
    <x v="384"/>
    <x v="1"/>
    <x v="4"/>
    <x v="41"/>
    <x v="0"/>
    <x v="3"/>
    <n v="0"/>
    <x v="2"/>
  </r>
  <r>
    <x v="30"/>
    <x v="1"/>
    <x v="384"/>
    <x v="1"/>
    <x v="4"/>
    <x v="41"/>
    <x v="0"/>
    <x v="4"/>
    <n v="0"/>
    <x v="2"/>
  </r>
  <r>
    <x v="30"/>
    <x v="1"/>
    <x v="384"/>
    <x v="1"/>
    <x v="4"/>
    <x v="41"/>
    <x v="0"/>
    <x v="5"/>
    <n v="0"/>
    <x v="2"/>
  </r>
  <r>
    <x v="30"/>
    <x v="1"/>
    <x v="384"/>
    <x v="1"/>
    <x v="4"/>
    <x v="41"/>
    <x v="0"/>
    <x v="6"/>
    <n v="0"/>
    <x v="2"/>
  </r>
  <r>
    <x v="30"/>
    <x v="1"/>
    <x v="384"/>
    <x v="1"/>
    <x v="4"/>
    <x v="41"/>
    <x v="0"/>
    <x v="7"/>
    <n v="0"/>
    <x v="2"/>
  </r>
  <r>
    <x v="30"/>
    <x v="1"/>
    <x v="384"/>
    <x v="1"/>
    <x v="4"/>
    <x v="41"/>
    <x v="0"/>
    <x v="8"/>
    <n v="0"/>
    <x v="2"/>
  </r>
  <r>
    <x v="30"/>
    <x v="1"/>
    <x v="384"/>
    <x v="1"/>
    <x v="4"/>
    <x v="41"/>
    <x v="0"/>
    <x v="9"/>
    <n v="0"/>
    <x v="2"/>
  </r>
  <r>
    <x v="30"/>
    <x v="1"/>
    <x v="384"/>
    <x v="1"/>
    <x v="4"/>
    <x v="41"/>
    <x v="0"/>
    <x v="10"/>
    <n v="0"/>
    <x v="2"/>
  </r>
  <r>
    <x v="30"/>
    <x v="1"/>
    <x v="384"/>
    <x v="1"/>
    <x v="4"/>
    <x v="41"/>
    <x v="0"/>
    <x v="12"/>
    <n v="0"/>
    <x v="2"/>
  </r>
  <r>
    <x v="30"/>
    <x v="1"/>
    <x v="385"/>
    <x v="0"/>
    <x v="4"/>
    <x v="41"/>
    <x v="23"/>
    <x v="0"/>
    <n v="0"/>
    <x v="2"/>
  </r>
  <r>
    <x v="30"/>
    <x v="1"/>
    <x v="385"/>
    <x v="0"/>
    <x v="4"/>
    <x v="41"/>
    <x v="23"/>
    <x v="1"/>
    <n v="0"/>
    <x v="2"/>
  </r>
  <r>
    <x v="30"/>
    <x v="1"/>
    <x v="385"/>
    <x v="0"/>
    <x v="4"/>
    <x v="41"/>
    <x v="23"/>
    <x v="2"/>
    <n v="0"/>
    <x v="2"/>
  </r>
  <r>
    <x v="30"/>
    <x v="1"/>
    <x v="385"/>
    <x v="0"/>
    <x v="4"/>
    <x v="41"/>
    <x v="23"/>
    <x v="3"/>
    <n v="0"/>
    <x v="2"/>
  </r>
  <r>
    <x v="30"/>
    <x v="1"/>
    <x v="385"/>
    <x v="0"/>
    <x v="4"/>
    <x v="41"/>
    <x v="23"/>
    <x v="4"/>
    <n v="0"/>
    <x v="2"/>
  </r>
  <r>
    <x v="30"/>
    <x v="1"/>
    <x v="385"/>
    <x v="0"/>
    <x v="4"/>
    <x v="41"/>
    <x v="23"/>
    <x v="5"/>
    <n v="0"/>
    <x v="2"/>
  </r>
  <r>
    <x v="30"/>
    <x v="1"/>
    <x v="385"/>
    <x v="0"/>
    <x v="4"/>
    <x v="41"/>
    <x v="23"/>
    <x v="6"/>
    <n v="0"/>
    <x v="2"/>
  </r>
  <r>
    <x v="30"/>
    <x v="1"/>
    <x v="385"/>
    <x v="0"/>
    <x v="4"/>
    <x v="41"/>
    <x v="23"/>
    <x v="7"/>
    <n v="0"/>
    <x v="2"/>
  </r>
  <r>
    <x v="30"/>
    <x v="1"/>
    <x v="385"/>
    <x v="0"/>
    <x v="4"/>
    <x v="41"/>
    <x v="23"/>
    <x v="8"/>
    <n v="0"/>
    <x v="2"/>
  </r>
  <r>
    <x v="30"/>
    <x v="1"/>
    <x v="385"/>
    <x v="0"/>
    <x v="4"/>
    <x v="41"/>
    <x v="23"/>
    <x v="9"/>
    <n v="0"/>
    <x v="2"/>
  </r>
  <r>
    <x v="30"/>
    <x v="1"/>
    <x v="385"/>
    <x v="0"/>
    <x v="4"/>
    <x v="41"/>
    <x v="23"/>
    <x v="10"/>
    <n v="0"/>
    <x v="2"/>
  </r>
  <r>
    <x v="30"/>
    <x v="1"/>
    <x v="385"/>
    <x v="0"/>
    <x v="4"/>
    <x v="41"/>
    <x v="23"/>
    <x v="12"/>
    <n v="0"/>
    <x v="2"/>
  </r>
  <r>
    <x v="30"/>
    <x v="1"/>
    <x v="386"/>
    <x v="1"/>
    <x v="4"/>
    <x v="41"/>
    <x v="0"/>
    <x v="0"/>
    <n v="0"/>
    <x v="2"/>
  </r>
  <r>
    <x v="30"/>
    <x v="1"/>
    <x v="386"/>
    <x v="1"/>
    <x v="4"/>
    <x v="41"/>
    <x v="0"/>
    <x v="1"/>
    <n v="0"/>
    <x v="2"/>
  </r>
  <r>
    <x v="30"/>
    <x v="1"/>
    <x v="386"/>
    <x v="1"/>
    <x v="4"/>
    <x v="41"/>
    <x v="0"/>
    <x v="2"/>
    <n v="0"/>
    <x v="2"/>
  </r>
  <r>
    <x v="30"/>
    <x v="1"/>
    <x v="386"/>
    <x v="1"/>
    <x v="4"/>
    <x v="41"/>
    <x v="0"/>
    <x v="3"/>
    <n v="0"/>
    <x v="2"/>
  </r>
  <r>
    <x v="30"/>
    <x v="1"/>
    <x v="386"/>
    <x v="1"/>
    <x v="4"/>
    <x v="41"/>
    <x v="0"/>
    <x v="4"/>
    <n v="0"/>
    <x v="2"/>
  </r>
  <r>
    <x v="30"/>
    <x v="1"/>
    <x v="386"/>
    <x v="1"/>
    <x v="4"/>
    <x v="41"/>
    <x v="0"/>
    <x v="5"/>
    <n v="0"/>
    <x v="2"/>
  </r>
  <r>
    <x v="30"/>
    <x v="1"/>
    <x v="386"/>
    <x v="1"/>
    <x v="4"/>
    <x v="41"/>
    <x v="0"/>
    <x v="6"/>
    <n v="0"/>
    <x v="2"/>
  </r>
  <r>
    <x v="30"/>
    <x v="1"/>
    <x v="386"/>
    <x v="1"/>
    <x v="4"/>
    <x v="41"/>
    <x v="0"/>
    <x v="7"/>
    <n v="0"/>
    <x v="2"/>
  </r>
  <r>
    <x v="30"/>
    <x v="1"/>
    <x v="386"/>
    <x v="1"/>
    <x v="4"/>
    <x v="41"/>
    <x v="0"/>
    <x v="8"/>
    <n v="0"/>
    <x v="2"/>
  </r>
  <r>
    <x v="30"/>
    <x v="1"/>
    <x v="386"/>
    <x v="1"/>
    <x v="4"/>
    <x v="41"/>
    <x v="0"/>
    <x v="9"/>
    <n v="0"/>
    <x v="2"/>
  </r>
  <r>
    <x v="30"/>
    <x v="1"/>
    <x v="386"/>
    <x v="1"/>
    <x v="4"/>
    <x v="41"/>
    <x v="0"/>
    <x v="10"/>
    <n v="0"/>
    <x v="2"/>
  </r>
  <r>
    <x v="30"/>
    <x v="1"/>
    <x v="386"/>
    <x v="1"/>
    <x v="4"/>
    <x v="41"/>
    <x v="0"/>
    <x v="12"/>
    <n v="0"/>
    <x v="2"/>
  </r>
  <r>
    <x v="30"/>
    <x v="1"/>
    <x v="387"/>
    <x v="1"/>
    <x v="4"/>
    <x v="41"/>
    <x v="0"/>
    <x v="0"/>
    <n v="2054.67"/>
    <x v="2"/>
  </r>
  <r>
    <x v="30"/>
    <x v="1"/>
    <x v="387"/>
    <x v="1"/>
    <x v="4"/>
    <x v="41"/>
    <x v="0"/>
    <x v="1"/>
    <n v="0"/>
    <x v="2"/>
  </r>
  <r>
    <x v="30"/>
    <x v="1"/>
    <x v="387"/>
    <x v="1"/>
    <x v="4"/>
    <x v="41"/>
    <x v="0"/>
    <x v="2"/>
    <n v="0"/>
    <x v="2"/>
  </r>
  <r>
    <x v="30"/>
    <x v="1"/>
    <x v="387"/>
    <x v="1"/>
    <x v="4"/>
    <x v="41"/>
    <x v="0"/>
    <x v="3"/>
    <n v="0"/>
    <x v="2"/>
  </r>
  <r>
    <x v="30"/>
    <x v="1"/>
    <x v="387"/>
    <x v="1"/>
    <x v="4"/>
    <x v="41"/>
    <x v="0"/>
    <x v="4"/>
    <n v="0"/>
    <x v="2"/>
  </r>
  <r>
    <x v="30"/>
    <x v="1"/>
    <x v="387"/>
    <x v="1"/>
    <x v="4"/>
    <x v="41"/>
    <x v="0"/>
    <x v="5"/>
    <n v="0"/>
    <x v="2"/>
  </r>
  <r>
    <x v="30"/>
    <x v="1"/>
    <x v="387"/>
    <x v="1"/>
    <x v="4"/>
    <x v="41"/>
    <x v="0"/>
    <x v="6"/>
    <n v="0"/>
    <x v="2"/>
  </r>
  <r>
    <x v="30"/>
    <x v="1"/>
    <x v="387"/>
    <x v="1"/>
    <x v="4"/>
    <x v="41"/>
    <x v="0"/>
    <x v="7"/>
    <n v="0"/>
    <x v="2"/>
  </r>
  <r>
    <x v="30"/>
    <x v="1"/>
    <x v="387"/>
    <x v="1"/>
    <x v="4"/>
    <x v="41"/>
    <x v="0"/>
    <x v="8"/>
    <n v="0"/>
    <x v="2"/>
  </r>
  <r>
    <x v="30"/>
    <x v="1"/>
    <x v="387"/>
    <x v="1"/>
    <x v="4"/>
    <x v="41"/>
    <x v="0"/>
    <x v="9"/>
    <n v="0"/>
    <x v="2"/>
  </r>
  <r>
    <x v="30"/>
    <x v="1"/>
    <x v="387"/>
    <x v="1"/>
    <x v="4"/>
    <x v="41"/>
    <x v="0"/>
    <x v="10"/>
    <n v="0"/>
    <x v="2"/>
  </r>
  <r>
    <x v="30"/>
    <x v="1"/>
    <x v="387"/>
    <x v="1"/>
    <x v="4"/>
    <x v="41"/>
    <x v="0"/>
    <x v="12"/>
    <n v="0"/>
    <x v="2"/>
  </r>
  <r>
    <x v="30"/>
    <x v="1"/>
    <x v="388"/>
    <x v="1"/>
    <x v="4"/>
    <x v="41"/>
    <x v="0"/>
    <x v="0"/>
    <n v="0"/>
    <x v="2"/>
  </r>
  <r>
    <x v="30"/>
    <x v="1"/>
    <x v="388"/>
    <x v="1"/>
    <x v="4"/>
    <x v="41"/>
    <x v="0"/>
    <x v="1"/>
    <n v="0"/>
    <x v="2"/>
  </r>
  <r>
    <x v="30"/>
    <x v="1"/>
    <x v="388"/>
    <x v="1"/>
    <x v="4"/>
    <x v="41"/>
    <x v="0"/>
    <x v="2"/>
    <n v="0"/>
    <x v="2"/>
  </r>
  <r>
    <x v="30"/>
    <x v="1"/>
    <x v="388"/>
    <x v="1"/>
    <x v="4"/>
    <x v="41"/>
    <x v="0"/>
    <x v="3"/>
    <n v="0"/>
    <x v="2"/>
  </r>
  <r>
    <x v="30"/>
    <x v="1"/>
    <x v="388"/>
    <x v="1"/>
    <x v="4"/>
    <x v="41"/>
    <x v="0"/>
    <x v="4"/>
    <n v="0"/>
    <x v="2"/>
  </r>
  <r>
    <x v="30"/>
    <x v="1"/>
    <x v="388"/>
    <x v="1"/>
    <x v="4"/>
    <x v="41"/>
    <x v="0"/>
    <x v="5"/>
    <n v="0"/>
    <x v="2"/>
  </r>
  <r>
    <x v="30"/>
    <x v="1"/>
    <x v="388"/>
    <x v="1"/>
    <x v="4"/>
    <x v="41"/>
    <x v="0"/>
    <x v="6"/>
    <n v="0"/>
    <x v="2"/>
  </r>
  <r>
    <x v="30"/>
    <x v="1"/>
    <x v="388"/>
    <x v="1"/>
    <x v="4"/>
    <x v="41"/>
    <x v="0"/>
    <x v="7"/>
    <n v="0"/>
    <x v="2"/>
  </r>
  <r>
    <x v="30"/>
    <x v="1"/>
    <x v="388"/>
    <x v="1"/>
    <x v="4"/>
    <x v="41"/>
    <x v="0"/>
    <x v="8"/>
    <n v="0"/>
    <x v="2"/>
  </r>
  <r>
    <x v="30"/>
    <x v="1"/>
    <x v="388"/>
    <x v="1"/>
    <x v="4"/>
    <x v="41"/>
    <x v="0"/>
    <x v="9"/>
    <n v="0"/>
    <x v="2"/>
  </r>
  <r>
    <x v="30"/>
    <x v="1"/>
    <x v="388"/>
    <x v="1"/>
    <x v="4"/>
    <x v="41"/>
    <x v="0"/>
    <x v="10"/>
    <n v="0"/>
    <x v="2"/>
  </r>
  <r>
    <x v="30"/>
    <x v="1"/>
    <x v="388"/>
    <x v="1"/>
    <x v="4"/>
    <x v="41"/>
    <x v="0"/>
    <x v="12"/>
    <n v="0"/>
    <x v="2"/>
  </r>
  <r>
    <x v="30"/>
    <x v="1"/>
    <x v="389"/>
    <x v="0"/>
    <x v="4"/>
    <x v="41"/>
    <x v="22"/>
    <x v="0"/>
    <n v="5460.18"/>
    <x v="2"/>
  </r>
  <r>
    <x v="30"/>
    <x v="1"/>
    <x v="389"/>
    <x v="0"/>
    <x v="4"/>
    <x v="41"/>
    <x v="22"/>
    <x v="1"/>
    <n v="0"/>
    <x v="2"/>
  </r>
  <r>
    <x v="30"/>
    <x v="1"/>
    <x v="389"/>
    <x v="0"/>
    <x v="4"/>
    <x v="41"/>
    <x v="22"/>
    <x v="2"/>
    <n v="0"/>
    <x v="2"/>
  </r>
  <r>
    <x v="30"/>
    <x v="1"/>
    <x v="389"/>
    <x v="0"/>
    <x v="4"/>
    <x v="41"/>
    <x v="22"/>
    <x v="3"/>
    <n v="0"/>
    <x v="2"/>
  </r>
  <r>
    <x v="30"/>
    <x v="1"/>
    <x v="389"/>
    <x v="0"/>
    <x v="4"/>
    <x v="41"/>
    <x v="22"/>
    <x v="4"/>
    <n v="0"/>
    <x v="2"/>
  </r>
  <r>
    <x v="30"/>
    <x v="1"/>
    <x v="389"/>
    <x v="0"/>
    <x v="4"/>
    <x v="41"/>
    <x v="22"/>
    <x v="5"/>
    <n v="0"/>
    <x v="2"/>
  </r>
  <r>
    <x v="30"/>
    <x v="1"/>
    <x v="389"/>
    <x v="0"/>
    <x v="4"/>
    <x v="41"/>
    <x v="22"/>
    <x v="6"/>
    <n v="0"/>
    <x v="2"/>
  </r>
  <r>
    <x v="30"/>
    <x v="1"/>
    <x v="389"/>
    <x v="0"/>
    <x v="4"/>
    <x v="41"/>
    <x v="22"/>
    <x v="7"/>
    <n v="0"/>
    <x v="2"/>
  </r>
  <r>
    <x v="30"/>
    <x v="1"/>
    <x v="389"/>
    <x v="0"/>
    <x v="4"/>
    <x v="41"/>
    <x v="22"/>
    <x v="8"/>
    <n v="0"/>
    <x v="2"/>
  </r>
  <r>
    <x v="30"/>
    <x v="1"/>
    <x v="389"/>
    <x v="0"/>
    <x v="4"/>
    <x v="41"/>
    <x v="22"/>
    <x v="9"/>
    <n v="834"/>
    <x v="2"/>
  </r>
  <r>
    <x v="30"/>
    <x v="1"/>
    <x v="389"/>
    <x v="0"/>
    <x v="4"/>
    <x v="41"/>
    <x v="22"/>
    <x v="10"/>
    <n v="0"/>
    <x v="2"/>
  </r>
  <r>
    <x v="30"/>
    <x v="1"/>
    <x v="389"/>
    <x v="0"/>
    <x v="4"/>
    <x v="41"/>
    <x v="22"/>
    <x v="12"/>
    <n v="0"/>
    <x v="2"/>
  </r>
  <r>
    <x v="30"/>
    <x v="1"/>
    <x v="390"/>
    <x v="1"/>
    <x v="4"/>
    <x v="41"/>
    <x v="0"/>
    <x v="0"/>
    <n v="1867.32"/>
    <x v="2"/>
  </r>
  <r>
    <x v="30"/>
    <x v="1"/>
    <x v="390"/>
    <x v="1"/>
    <x v="4"/>
    <x v="41"/>
    <x v="0"/>
    <x v="1"/>
    <n v="0"/>
    <x v="2"/>
  </r>
  <r>
    <x v="30"/>
    <x v="1"/>
    <x v="390"/>
    <x v="1"/>
    <x v="4"/>
    <x v="41"/>
    <x v="0"/>
    <x v="2"/>
    <n v="0"/>
    <x v="2"/>
  </r>
  <r>
    <x v="30"/>
    <x v="1"/>
    <x v="390"/>
    <x v="1"/>
    <x v="4"/>
    <x v="41"/>
    <x v="0"/>
    <x v="3"/>
    <n v="0"/>
    <x v="2"/>
  </r>
  <r>
    <x v="30"/>
    <x v="1"/>
    <x v="390"/>
    <x v="1"/>
    <x v="4"/>
    <x v="41"/>
    <x v="0"/>
    <x v="4"/>
    <n v="0"/>
    <x v="2"/>
  </r>
  <r>
    <x v="30"/>
    <x v="1"/>
    <x v="390"/>
    <x v="1"/>
    <x v="4"/>
    <x v="41"/>
    <x v="0"/>
    <x v="5"/>
    <n v="0"/>
    <x v="2"/>
  </r>
  <r>
    <x v="30"/>
    <x v="1"/>
    <x v="390"/>
    <x v="1"/>
    <x v="4"/>
    <x v="41"/>
    <x v="0"/>
    <x v="6"/>
    <n v="0"/>
    <x v="2"/>
  </r>
  <r>
    <x v="30"/>
    <x v="1"/>
    <x v="390"/>
    <x v="1"/>
    <x v="4"/>
    <x v="41"/>
    <x v="0"/>
    <x v="7"/>
    <n v="0"/>
    <x v="2"/>
  </r>
  <r>
    <x v="30"/>
    <x v="1"/>
    <x v="390"/>
    <x v="1"/>
    <x v="4"/>
    <x v="41"/>
    <x v="0"/>
    <x v="8"/>
    <n v="0"/>
    <x v="2"/>
  </r>
  <r>
    <x v="30"/>
    <x v="1"/>
    <x v="390"/>
    <x v="1"/>
    <x v="4"/>
    <x v="41"/>
    <x v="0"/>
    <x v="9"/>
    <n v="0"/>
    <x v="2"/>
  </r>
  <r>
    <x v="30"/>
    <x v="1"/>
    <x v="390"/>
    <x v="1"/>
    <x v="4"/>
    <x v="41"/>
    <x v="0"/>
    <x v="10"/>
    <n v="0"/>
    <x v="2"/>
  </r>
  <r>
    <x v="30"/>
    <x v="1"/>
    <x v="390"/>
    <x v="1"/>
    <x v="4"/>
    <x v="41"/>
    <x v="0"/>
    <x v="12"/>
    <n v="0"/>
    <x v="2"/>
  </r>
  <r>
    <x v="30"/>
    <x v="1"/>
    <x v="391"/>
    <x v="0"/>
    <x v="4"/>
    <x v="41"/>
    <x v="23"/>
    <x v="0"/>
    <n v="2720.02"/>
    <x v="2"/>
  </r>
  <r>
    <x v="30"/>
    <x v="1"/>
    <x v="391"/>
    <x v="0"/>
    <x v="4"/>
    <x v="41"/>
    <x v="23"/>
    <x v="1"/>
    <n v="2102"/>
    <x v="2"/>
  </r>
  <r>
    <x v="30"/>
    <x v="1"/>
    <x v="391"/>
    <x v="0"/>
    <x v="4"/>
    <x v="41"/>
    <x v="23"/>
    <x v="2"/>
    <n v="0"/>
    <x v="2"/>
  </r>
  <r>
    <x v="30"/>
    <x v="1"/>
    <x v="391"/>
    <x v="0"/>
    <x v="4"/>
    <x v="41"/>
    <x v="23"/>
    <x v="3"/>
    <n v="0"/>
    <x v="2"/>
  </r>
  <r>
    <x v="30"/>
    <x v="1"/>
    <x v="391"/>
    <x v="0"/>
    <x v="4"/>
    <x v="41"/>
    <x v="23"/>
    <x v="4"/>
    <n v="0"/>
    <x v="2"/>
  </r>
  <r>
    <x v="30"/>
    <x v="1"/>
    <x v="391"/>
    <x v="0"/>
    <x v="4"/>
    <x v="41"/>
    <x v="23"/>
    <x v="5"/>
    <n v="0"/>
    <x v="2"/>
  </r>
  <r>
    <x v="30"/>
    <x v="1"/>
    <x v="391"/>
    <x v="0"/>
    <x v="4"/>
    <x v="41"/>
    <x v="23"/>
    <x v="6"/>
    <n v="0"/>
    <x v="2"/>
  </r>
  <r>
    <x v="30"/>
    <x v="1"/>
    <x v="391"/>
    <x v="0"/>
    <x v="4"/>
    <x v="41"/>
    <x v="23"/>
    <x v="7"/>
    <n v="0"/>
    <x v="2"/>
  </r>
  <r>
    <x v="30"/>
    <x v="1"/>
    <x v="391"/>
    <x v="0"/>
    <x v="4"/>
    <x v="41"/>
    <x v="23"/>
    <x v="8"/>
    <n v="0"/>
    <x v="2"/>
  </r>
  <r>
    <x v="30"/>
    <x v="1"/>
    <x v="391"/>
    <x v="0"/>
    <x v="4"/>
    <x v="41"/>
    <x v="23"/>
    <x v="9"/>
    <n v="0"/>
    <x v="2"/>
  </r>
  <r>
    <x v="30"/>
    <x v="1"/>
    <x v="391"/>
    <x v="0"/>
    <x v="4"/>
    <x v="41"/>
    <x v="23"/>
    <x v="10"/>
    <n v="0"/>
    <x v="2"/>
  </r>
  <r>
    <x v="30"/>
    <x v="1"/>
    <x v="391"/>
    <x v="0"/>
    <x v="4"/>
    <x v="41"/>
    <x v="23"/>
    <x v="12"/>
    <n v="3518"/>
    <x v="2"/>
  </r>
  <r>
    <x v="30"/>
    <x v="1"/>
    <x v="392"/>
    <x v="1"/>
    <x v="4"/>
    <x v="41"/>
    <x v="0"/>
    <x v="0"/>
    <n v="8577.5499999999993"/>
    <x v="2"/>
  </r>
  <r>
    <x v="30"/>
    <x v="1"/>
    <x v="392"/>
    <x v="1"/>
    <x v="4"/>
    <x v="41"/>
    <x v="0"/>
    <x v="1"/>
    <n v="0"/>
    <x v="2"/>
  </r>
  <r>
    <x v="30"/>
    <x v="1"/>
    <x v="392"/>
    <x v="1"/>
    <x v="4"/>
    <x v="41"/>
    <x v="0"/>
    <x v="2"/>
    <n v="0"/>
    <x v="2"/>
  </r>
  <r>
    <x v="30"/>
    <x v="1"/>
    <x v="392"/>
    <x v="1"/>
    <x v="4"/>
    <x v="41"/>
    <x v="0"/>
    <x v="3"/>
    <n v="0"/>
    <x v="2"/>
  </r>
  <r>
    <x v="30"/>
    <x v="1"/>
    <x v="392"/>
    <x v="1"/>
    <x v="4"/>
    <x v="41"/>
    <x v="0"/>
    <x v="4"/>
    <n v="0"/>
    <x v="2"/>
  </r>
  <r>
    <x v="30"/>
    <x v="1"/>
    <x v="392"/>
    <x v="1"/>
    <x v="4"/>
    <x v="41"/>
    <x v="0"/>
    <x v="5"/>
    <n v="559.01"/>
    <x v="2"/>
  </r>
  <r>
    <x v="30"/>
    <x v="1"/>
    <x v="392"/>
    <x v="1"/>
    <x v="4"/>
    <x v="41"/>
    <x v="0"/>
    <x v="6"/>
    <n v="0"/>
    <x v="2"/>
  </r>
  <r>
    <x v="30"/>
    <x v="1"/>
    <x v="392"/>
    <x v="1"/>
    <x v="4"/>
    <x v="41"/>
    <x v="0"/>
    <x v="7"/>
    <n v="0"/>
    <x v="2"/>
  </r>
  <r>
    <x v="30"/>
    <x v="1"/>
    <x v="392"/>
    <x v="1"/>
    <x v="4"/>
    <x v="41"/>
    <x v="0"/>
    <x v="8"/>
    <n v="0"/>
    <x v="2"/>
  </r>
  <r>
    <x v="30"/>
    <x v="1"/>
    <x v="392"/>
    <x v="1"/>
    <x v="4"/>
    <x v="41"/>
    <x v="0"/>
    <x v="9"/>
    <n v="304"/>
    <x v="2"/>
  </r>
  <r>
    <x v="30"/>
    <x v="1"/>
    <x v="392"/>
    <x v="1"/>
    <x v="4"/>
    <x v="41"/>
    <x v="0"/>
    <x v="10"/>
    <n v="0"/>
    <x v="2"/>
  </r>
  <r>
    <x v="30"/>
    <x v="1"/>
    <x v="392"/>
    <x v="1"/>
    <x v="4"/>
    <x v="41"/>
    <x v="0"/>
    <x v="12"/>
    <n v="982"/>
    <x v="2"/>
  </r>
  <r>
    <x v="30"/>
    <x v="1"/>
    <x v="393"/>
    <x v="1"/>
    <x v="4"/>
    <x v="41"/>
    <x v="0"/>
    <x v="0"/>
    <n v="2019.77"/>
    <x v="2"/>
  </r>
  <r>
    <x v="30"/>
    <x v="1"/>
    <x v="393"/>
    <x v="1"/>
    <x v="4"/>
    <x v="41"/>
    <x v="0"/>
    <x v="1"/>
    <n v="0"/>
    <x v="2"/>
  </r>
  <r>
    <x v="30"/>
    <x v="1"/>
    <x v="393"/>
    <x v="1"/>
    <x v="4"/>
    <x v="41"/>
    <x v="0"/>
    <x v="2"/>
    <n v="0"/>
    <x v="2"/>
  </r>
  <r>
    <x v="30"/>
    <x v="1"/>
    <x v="393"/>
    <x v="1"/>
    <x v="4"/>
    <x v="41"/>
    <x v="0"/>
    <x v="3"/>
    <n v="0"/>
    <x v="2"/>
  </r>
  <r>
    <x v="30"/>
    <x v="1"/>
    <x v="393"/>
    <x v="1"/>
    <x v="4"/>
    <x v="41"/>
    <x v="0"/>
    <x v="4"/>
    <n v="0"/>
    <x v="2"/>
  </r>
  <r>
    <x v="30"/>
    <x v="1"/>
    <x v="393"/>
    <x v="1"/>
    <x v="4"/>
    <x v="41"/>
    <x v="0"/>
    <x v="5"/>
    <n v="0"/>
    <x v="2"/>
  </r>
  <r>
    <x v="30"/>
    <x v="1"/>
    <x v="393"/>
    <x v="1"/>
    <x v="4"/>
    <x v="41"/>
    <x v="0"/>
    <x v="6"/>
    <n v="0"/>
    <x v="2"/>
  </r>
  <r>
    <x v="30"/>
    <x v="1"/>
    <x v="393"/>
    <x v="1"/>
    <x v="4"/>
    <x v="41"/>
    <x v="0"/>
    <x v="7"/>
    <n v="0"/>
    <x v="2"/>
  </r>
  <r>
    <x v="30"/>
    <x v="1"/>
    <x v="393"/>
    <x v="1"/>
    <x v="4"/>
    <x v="41"/>
    <x v="0"/>
    <x v="8"/>
    <n v="0"/>
    <x v="2"/>
  </r>
  <r>
    <x v="30"/>
    <x v="1"/>
    <x v="393"/>
    <x v="1"/>
    <x v="4"/>
    <x v="41"/>
    <x v="0"/>
    <x v="9"/>
    <n v="0"/>
    <x v="2"/>
  </r>
  <r>
    <x v="30"/>
    <x v="1"/>
    <x v="393"/>
    <x v="1"/>
    <x v="4"/>
    <x v="41"/>
    <x v="0"/>
    <x v="10"/>
    <n v="0"/>
    <x v="2"/>
  </r>
  <r>
    <x v="30"/>
    <x v="1"/>
    <x v="393"/>
    <x v="1"/>
    <x v="4"/>
    <x v="41"/>
    <x v="0"/>
    <x v="12"/>
    <n v="0"/>
    <x v="2"/>
  </r>
  <r>
    <x v="30"/>
    <x v="1"/>
    <x v="394"/>
    <x v="1"/>
    <x v="4"/>
    <x v="41"/>
    <x v="0"/>
    <x v="0"/>
    <n v="3235.66"/>
    <x v="2"/>
  </r>
  <r>
    <x v="30"/>
    <x v="1"/>
    <x v="394"/>
    <x v="1"/>
    <x v="4"/>
    <x v="41"/>
    <x v="0"/>
    <x v="1"/>
    <n v="0"/>
    <x v="2"/>
  </r>
  <r>
    <x v="30"/>
    <x v="1"/>
    <x v="394"/>
    <x v="1"/>
    <x v="4"/>
    <x v="41"/>
    <x v="0"/>
    <x v="2"/>
    <n v="0"/>
    <x v="2"/>
  </r>
  <r>
    <x v="30"/>
    <x v="1"/>
    <x v="394"/>
    <x v="1"/>
    <x v="4"/>
    <x v="41"/>
    <x v="0"/>
    <x v="3"/>
    <n v="0"/>
    <x v="2"/>
  </r>
  <r>
    <x v="30"/>
    <x v="1"/>
    <x v="394"/>
    <x v="1"/>
    <x v="4"/>
    <x v="41"/>
    <x v="0"/>
    <x v="4"/>
    <n v="0"/>
    <x v="2"/>
  </r>
  <r>
    <x v="30"/>
    <x v="1"/>
    <x v="394"/>
    <x v="1"/>
    <x v="4"/>
    <x v="41"/>
    <x v="0"/>
    <x v="5"/>
    <n v="0"/>
    <x v="2"/>
  </r>
  <r>
    <x v="30"/>
    <x v="1"/>
    <x v="394"/>
    <x v="1"/>
    <x v="4"/>
    <x v="41"/>
    <x v="0"/>
    <x v="6"/>
    <n v="0"/>
    <x v="2"/>
  </r>
  <r>
    <x v="30"/>
    <x v="1"/>
    <x v="394"/>
    <x v="1"/>
    <x v="4"/>
    <x v="41"/>
    <x v="0"/>
    <x v="7"/>
    <n v="0"/>
    <x v="2"/>
  </r>
  <r>
    <x v="30"/>
    <x v="1"/>
    <x v="394"/>
    <x v="1"/>
    <x v="4"/>
    <x v="41"/>
    <x v="0"/>
    <x v="8"/>
    <n v="0"/>
    <x v="2"/>
  </r>
  <r>
    <x v="30"/>
    <x v="1"/>
    <x v="394"/>
    <x v="1"/>
    <x v="4"/>
    <x v="41"/>
    <x v="0"/>
    <x v="9"/>
    <n v="0"/>
    <x v="2"/>
  </r>
  <r>
    <x v="30"/>
    <x v="1"/>
    <x v="394"/>
    <x v="1"/>
    <x v="4"/>
    <x v="41"/>
    <x v="0"/>
    <x v="10"/>
    <n v="0"/>
    <x v="2"/>
  </r>
  <r>
    <x v="30"/>
    <x v="1"/>
    <x v="394"/>
    <x v="1"/>
    <x v="4"/>
    <x v="41"/>
    <x v="0"/>
    <x v="12"/>
    <n v="0"/>
    <x v="2"/>
  </r>
  <r>
    <x v="30"/>
    <x v="1"/>
    <x v="395"/>
    <x v="1"/>
    <x v="4"/>
    <x v="41"/>
    <x v="0"/>
    <x v="0"/>
    <n v="0"/>
    <x v="2"/>
  </r>
  <r>
    <x v="30"/>
    <x v="1"/>
    <x v="395"/>
    <x v="1"/>
    <x v="4"/>
    <x v="41"/>
    <x v="0"/>
    <x v="1"/>
    <n v="1699.59"/>
    <x v="2"/>
  </r>
  <r>
    <x v="30"/>
    <x v="1"/>
    <x v="395"/>
    <x v="1"/>
    <x v="4"/>
    <x v="41"/>
    <x v="0"/>
    <x v="2"/>
    <n v="0"/>
    <x v="2"/>
  </r>
  <r>
    <x v="30"/>
    <x v="1"/>
    <x v="395"/>
    <x v="1"/>
    <x v="4"/>
    <x v="41"/>
    <x v="0"/>
    <x v="3"/>
    <n v="0"/>
    <x v="2"/>
  </r>
  <r>
    <x v="30"/>
    <x v="1"/>
    <x v="395"/>
    <x v="1"/>
    <x v="4"/>
    <x v="41"/>
    <x v="0"/>
    <x v="4"/>
    <n v="0"/>
    <x v="2"/>
  </r>
  <r>
    <x v="30"/>
    <x v="1"/>
    <x v="395"/>
    <x v="1"/>
    <x v="4"/>
    <x v="41"/>
    <x v="0"/>
    <x v="5"/>
    <n v="0"/>
    <x v="2"/>
  </r>
  <r>
    <x v="30"/>
    <x v="1"/>
    <x v="395"/>
    <x v="1"/>
    <x v="4"/>
    <x v="41"/>
    <x v="0"/>
    <x v="6"/>
    <n v="0"/>
    <x v="2"/>
  </r>
  <r>
    <x v="30"/>
    <x v="1"/>
    <x v="395"/>
    <x v="1"/>
    <x v="4"/>
    <x v="41"/>
    <x v="0"/>
    <x v="7"/>
    <n v="0"/>
    <x v="2"/>
  </r>
  <r>
    <x v="30"/>
    <x v="1"/>
    <x v="395"/>
    <x v="1"/>
    <x v="4"/>
    <x v="41"/>
    <x v="0"/>
    <x v="8"/>
    <n v="0"/>
    <x v="2"/>
  </r>
  <r>
    <x v="30"/>
    <x v="1"/>
    <x v="395"/>
    <x v="1"/>
    <x v="4"/>
    <x v="41"/>
    <x v="0"/>
    <x v="9"/>
    <n v="0"/>
    <x v="2"/>
  </r>
  <r>
    <x v="30"/>
    <x v="1"/>
    <x v="395"/>
    <x v="1"/>
    <x v="4"/>
    <x v="41"/>
    <x v="0"/>
    <x v="10"/>
    <n v="0"/>
    <x v="2"/>
  </r>
  <r>
    <x v="30"/>
    <x v="1"/>
    <x v="395"/>
    <x v="1"/>
    <x v="4"/>
    <x v="41"/>
    <x v="0"/>
    <x v="12"/>
    <n v="0"/>
    <x v="2"/>
  </r>
  <r>
    <x v="30"/>
    <x v="1"/>
    <x v="396"/>
    <x v="0"/>
    <x v="4"/>
    <x v="41"/>
    <x v="17"/>
    <x v="0"/>
    <n v="0"/>
    <x v="2"/>
  </r>
  <r>
    <x v="30"/>
    <x v="1"/>
    <x v="396"/>
    <x v="0"/>
    <x v="4"/>
    <x v="41"/>
    <x v="17"/>
    <x v="1"/>
    <n v="0"/>
    <x v="2"/>
  </r>
  <r>
    <x v="30"/>
    <x v="1"/>
    <x v="396"/>
    <x v="0"/>
    <x v="4"/>
    <x v="41"/>
    <x v="17"/>
    <x v="2"/>
    <n v="0"/>
    <x v="2"/>
  </r>
  <r>
    <x v="30"/>
    <x v="1"/>
    <x v="396"/>
    <x v="0"/>
    <x v="4"/>
    <x v="41"/>
    <x v="17"/>
    <x v="3"/>
    <n v="8804.18"/>
    <x v="2"/>
  </r>
  <r>
    <x v="30"/>
    <x v="1"/>
    <x v="396"/>
    <x v="0"/>
    <x v="4"/>
    <x v="41"/>
    <x v="17"/>
    <x v="4"/>
    <n v="0"/>
    <x v="2"/>
  </r>
  <r>
    <x v="30"/>
    <x v="1"/>
    <x v="396"/>
    <x v="0"/>
    <x v="4"/>
    <x v="41"/>
    <x v="17"/>
    <x v="5"/>
    <n v="0"/>
    <x v="2"/>
  </r>
  <r>
    <x v="30"/>
    <x v="1"/>
    <x v="396"/>
    <x v="0"/>
    <x v="4"/>
    <x v="41"/>
    <x v="17"/>
    <x v="6"/>
    <n v="0"/>
    <x v="2"/>
  </r>
  <r>
    <x v="30"/>
    <x v="1"/>
    <x v="396"/>
    <x v="0"/>
    <x v="4"/>
    <x v="41"/>
    <x v="17"/>
    <x v="7"/>
    <n v="1290.19"/>
    <x v="2"/>
  </r>
  <r>
    <x v="30"/>
    <x v="1"/>
    <x v="396"/>
    <x v="0"/>
    <x v="4"/>
    <x v="41"/>
    <x v="17"/>
    <x v="8"/>
    <n v="0"/>
    <x v="2"/>
  </r>
  <r>
    <x v="30"/>
    <x v="1"/>
    <x v="396"/>
    <x v="0"/>
    <x v="4"/>
    <x v="41"/>
    <x v="17"/>
    <x v="9"/>
    <n v="0"/>
    <x v="2"/>
  </r>
  <r>
    <x v="30"/>
    <x v="1"/>
    <x v="396"/>
    <x v="0"/>
    <x v="4"/>
    <x v="41"/>
    <x v="17"/>
    <x v="10"/>
    <n v="0"/>
    <x v="2"/>
  </r>
  <r>
    <x v="30"/>
    <x v="1"/>
    <x v="396"/>
    <x v="0"/>
    <x v="4"/>
    <x v="41"/>
    <x v="17"/>
    <x v="12"/>
    <n v="0"/>
    <x v="2"/>
  </r>
  <r>
    <x v="30"/>
    <x v="1"/>
    <x v="397"/>
    <x v="0"/>
    <x v="4"/>
    <x v="41"/>
    <x v="17"/>
    <x v="0"/>
    <n v="0"/>
    <x v="2"/>
  </r>
  <r>
    <x v="30"/>
    <x v="1"/>
    <x v="397"/>
    <x v="0"/>
    <x v="4"/>
    <x v="41"/>
    <x v="17"/>
    <x v="1"/>
    <n v="0"/>
    <x v="2"/>
  </r>
  <r>
    <x v="30"/>
    <x v="1"/>
    <x v="397"/>
    <x v="0"/>
    <x v="4"/>
    <x v="41"/>
    <x v="17"/>
    <x v="2"/>
    <n v="0"/>
    <x v="2"/>
  </r>
  <r>
    <x v="30"/>
    <x v="1"/>
    <x v="397"/>
    <x v="0"/>
    <x v="4"/>
    <x v="41"/>
    <x v="17"/>
    <x v="3"/>
    <n v="0"/>
    <x v="2"/>
  </r>
  <r>
    <x v="30"/>
    <x v="1"/>
    <x v="397"/>
    <x v="0"/>
    <x v="4"/>
    <x v="41"/>
    <x v="17"/>
    <x v="4"/>
    <n v="0"/>
    <x v="2"/>
  </r>
  <r>
    <x v="30"/>
    <x v="1"/>
    <x v="397"/>
    <x v="0"/>
    <x v="4"/>
    <x v="41"/>
    <x v="17"/>
    <x v="5"/>
    <n v="0"/>
    <x v="2"/>
  </r>
  <r>
    <x v="30"/>
    <x v="1"/>
    <x v="397"/>
    <x v="0"/>
    <x v="4"/>
    <x v="41"/>
    <x v="17"/>
    <x v="6"/>
    <n v="0"/>
    <x v="2"/>
  </r>
  <r>
    <x v="30"/>
    <x v="1"/>
    <x v="397"/>
    <x v="0"/>
    <x v="4"/>
    <x v="41"/>
    <x v="17"/>
    <x v="7"/>
    <n v="1627.41"/>
    <x v="2"/>
  </r>
  <r>
    <x v="30"/>
    <x v="1"/>
    <x v="397"/>
    <x v="0"/>
    <x v="4"/>
    <x v="41"/>
    <x v="17"/>
    <x v="8"/>
    <n v="0"/>
    <x v="2"/>
  </r>
  <r>
    <x v="30"/>
    <x v="1"/>
    <x v="397"/>
    <x v="0"/>
    <x v="4"/>
    <x v="41"/>
    <x v="17"/>
    <x v="9"/>
    <n v="0"/>
    <x v="2"/>
  </r>
  <r>
    <x v="30"/>
    <x v="1"/>
    <x v="397"/>
    <x v="0"/>
    <x v="4"/>
    <x v="41"/>
    <x v="17"/>
    <x v="10"/>
    <n v="0"/>
    <x v="2"/>
  </r>
  <r>
    <x v="30"/>
    <x v="1"/>
    <x v="397"/>
    <x v="0"/>
    <x v="4"/>
    <x v="41"/>
    <x v="17"/>
    <x v="12"/>
    <n v="4082"/>
    <x v="2"/>
  </r>
  <r>
    <x v="30"/>
    <x v="1"/>
    <x v="398"/>
    <x v="1"/>
    <x v="4"/>
    <x v="41"/>
    <x v="0"/>
    <x v="0"/>
    <n v="0"/>
    <x v="2"/>
  </r>
  <r>
    <x v="30"/>
    <x v="1"/>
    <x v="398"/>
    <x v="1"/>
    <x v="4"/>
    <x v="41"/>
    <x v="0"/>
    <x v="1"/>
    <n v="0"/>
    <x v="2"/>
  </r>
  <r>
    <x v="30"/>
    <x v="1"/>
    <x v="398"/>
    <x v="1"/>
    <x v="4"/>
    <x v="41"/>
    <x v="0"/>
    <x v="2"/>
    <n v="0"/>
    <x v="2"/>
  </r>
  <r>
    <x v="30"/>
    <x v="1"/>
    <x v="398"/>
    <x v="1"/>
    <x v="4"/>
    <x v="41"/>
    <x v="0"/>
    <x v="3"/>
    <n v="0"/>
    <x v="2"/>
  </r>
  <r>
    <x v="30"/>
    <x v="1"/>
    <x v="398"/>
    <x v="1"/>
    <x v="4"/>
    <x v="41"/>
    <x v="0"/>
    <x v="4"/>
    <n v="0"/>
    <x v="2"/>
  </r>
  <r>
    <x v="30"/>
    <x v="1"/>
    <x v="398"/>
    <x v="1"/>
    <x v="4"/>
    <x v="41"/>
    <x v="0"/>
    <x v="5"/>
    <n v="719.41"/>
    <x v="2"/>
  </r>
  <r>
    <x v="30"/>
    <x v="1"/>
    <x v="398"/>
    <x v="1"/>
    <x v="4"/>
    <x v="41"/>
    <x v="0"/>
    <x v="6"/>
    <n v="0"/>
    <x v="2"/>
  </r>
  <r>
    <x v="30"/>
    <x v="1"/>
    <x v="398"/>
    <x v="1"/>
    <x v="4"/>
    <x v="41"/>
    <x v="0"/>
    <x v="7"/>
    <n v="0"/>
    <x v="2"/>
  </r>
  <r>
    <x v="30"/>
    <x v="1"/>
    <x v="398"/>
    <x v="1"/>
    <x v="4"/>
    <x v="41"/>
    <x v="0"/>
    <x v="8"/>
    <n v="0"/>
    <x v="2"/>
  </r>
  <r>
    <x v="30"/>
    <x v="1"/>
    <x v="398"/>
    <x v="1"/>
    <x v="4"/>
    <x v="41"/>
    <x v="0"/>
    <x v="9"/>
    <n v="0"/>
    <x v="2"/>
  </r>
  <r>
    <x v="30"/>
    <x v="1"/>
    <x v="398"/>
    <x v="1"/>
    <x v="4"/>
    <x v="41"/>
    <x v="0"/>
    <x v="10"/>
    <n v="0"/>
    <x v="2"/>
  </r>
  <r>
    <x v="30"/>
    <x v="1"/>
    <x v="398"/>
    <x v="1"/>
    <x v="4"/>
    <x v="41"/>
    <x v="0"/>
    <x v="12"/>
    <n v="4201"/>
    <x v="2"/>
  </r>
  <r>
    <x v="30"/>
    <x v="1"/>
    <x v="383"/>
    <x v="0"/>
    <x v="4"/>
    <x v="6"/>
    <x v="22"/>
    <x v="0"/>
    <n v="0"/>
    <x v="2"/>
  </r>
  <r>
    <x v="30"/>
    <x v="1"/>
    <x v="383"/>
    <x v="0"/>
    <x v="4"/>
    <x v="6"/>
    <x v="22"/>
    <x v="1"/>
    <n v="0"/>
    <x v="2"/>
  </r>
  <r>
    <x v="30"/>
    <x v="1"/>
    <x v="383"/>
    <x v="0"/>
    <x v="4"/>
    <x v="6"/>
    <x v="22"/>
    <x v="2"/>
    <n v="0"/>
    <x v="2"/>
  </r>
  <r>
    <x v="30"/>
    <x v="1"/>
    <x v="383"/>
    <x v="0"/>
    <x v="4"/>
    <x v="6"/>
    <x v="22"/>
    <x v="3"/>
    <n v="0"/>
    <x v="2"/>
  </r>
  <r>
    <x v="30"/>
    <x v="1"/>
    <x v="383"/>
    <x v="0"/>
    <x v="4"/>
    <x v="6"/>
    <x v="22"/>
    <x v="4"/>
    <n v="0"/>
    <x v="2"/>
  </r>
  <r>
    <x v="30"/>
    <x v="1"/>
    <x v="383"/>
    <x v="0"/>
    <x v="4"/>
    <x v="6"/>
    <x v="22"/>
    <x v="5"/>
    <n v="0"/>
    <x v="2"/>
  </r>
  <r>
    <x v="30"/>
    <x v="1"/>
    <x v="383"/>
    <x v="0"/>
    <x v="4"/>
    <x v="6"/>
    <x v="22"/>
    <x v="6"/>
    <n v="0"/>
    <x v="2"/>
  </r>
  <r>
    <x v="30"/>
    <x v="1"/>
    <x v="383"/>
    <x v="0"/>
    <x v="4"/>
    <x v="6"/>
    <x v="22"/>
    <x v="7"/>
    <n v="0"/>
    <x v="2"/>
  </r>
  <r>
    <x v="30"/>
    <x v="1"/>
    <x v="383"/>
    <x v="0"/>
    <x v="4"/>
    <x v="6"/>
    <x v="22"/>
    <x v="8"/>
    <n v="0"/>
    <x v="2"/>
  </r>
  <r>
    <x v="30"/>
    <x v="1"/>
    <x v="383"/>
    <x v="0"/>
    <x v="4"/>
    <x v="6"/>
    <x v="22"/>
    <x v="9"/>
    <n v="0"/>
    <x v="2"/>
  </r>
  <r>
    <x v="30"/>
    <x v="1"/>
    <x v="383"/>
    <x v="0"/>
    <x v="4"/>
    <x v="6"/>
    <x v="22"/>
    <x v="10"/>
    <n v="0"/>
    <x v="2"/>
  </r>
  <r>
    <x v="30"/>
    <x v="1"/>
    <x v="383"/>
    <x v="0"/>
    <x v="4"/>
    <x v="6"/>
    <x v="22"/>
    <x v="12"/>
    <n v="0"/>
    <x v="2"/>
  </r>
  <r>
    <x v="30"/>
    <x v="1"/>
    <x v="384"/>
    <x v="1"/>
    <x v="4"/>
    <x v="6"/>
    <x v="0"/>
    <x v="0"/>
    <n v="86.1"/>
    <x v="2"/>
  </r>
  <r>
    <x v="30"/>
    <x v="1"/>
    <x v="384"/>
    <x v="1"/>
    <x v="4"/>
    <x v="6"/>
    <x v="0"/>
    <x v="1"/>
    <n v="0"/>
    <x v="2"/>
  </r>
  <r>
    <x v="30"/>
    <x v="1"/>
    <x v="384"/>
    <x v="1"/>
    <x v="4"/>
    <x v="6"/>
    <x v="0"/>
    <x v="2"/>
    <n v="0"/>
    <x v="2"/>
  </r>
  <r>
    <x v="30"/>
    <x v="1"/>
    <x v="384"/>
    <x v="1"/>
    <x v="4"/>
    <x v="6"/>
    <x v="0"/>
    <x v="3"/>
    <n v="0"/>
    <x v="2"/>
  </r>
  <r>
    <x v="30"/>
    <x v="1"/>
    <x v="384"/>
    <x v="1"/>
    <x v="4"/>
    <x v="6"/>
    <x v="0"/>
    <x v="4"/>
    <n v="0"/>
    <x v="2"/>
  </r>
  <r>
    <x v="30"/>
    <x v="1"/>
    <x v="384"/>
    <x v="1"/>
    <x v="4"/>
    <x v="6"/>
    <x v="0"/>
    <x v="5"/>
    <n v="0"/>
    <x v="2"/>
  </r>
  <r>
    <x v="30"/>
    <x v="1"/>
    <x v="384"/>
    <x v="1"/>
    <x v="4"/>
    <x v="6"/>
    <x v="0"/>
    <x v="6"/>
    <n v="0"/>
    <x v="2"/>
  </r>
  <r>
    <x v="30"/>
    <x v="1"/>
    <x v="384"/>
    <x v="1"/>
    <x v="4"/>
    <x v="6"/>
    <x v="0"/>
    <x v="7"/>
    <n v="0"/>
    <x v="2"/>
  </r>
  <r>
    <x v="30"/>
    <x v="1"/>
    <x v="384"/>
    <x v="1"/>
    <x v="4"/>
    <x v="6"/>
    <x v="0"/>
    <x v="8"/>
    <n v="0"/>
    <x v="2"/>
  </r>
  <r>
    <x v="30"/>
    <x v="1"/>
    <x v="384"/>
    <x v="1"/>
    <x v="4"/>
    <x v="6"/>
    <x v="0"/>
    <x v="9"/>
    <n v="0"/>
    <x v="2"/>
  </r>
  <r>
    <x v="30"/>
    <x v="1"/>
    <x v="384"/>
    <x v="1"/>
    <x v="4"/>
    <x v="6"/>
    <x v="0"/>
    <x v="10"/>
    <n v="0"/>
    <x v="2"/>
  </r>
  <r>
    <x v="30"/>
    <x v="1"/>
    <x v="384"/>
    <x v="1"/>
    <x v="4"/>
    <x v="6"/>
    <x v="0"/>
    <x v="12"/>
    <n v="0"/>
    <x v="2"/>
  </r>
  <r>
    <x v="30"/>
    <x v="1"/>
    <x v="384"/>
    <x v="1"/>
    <x v="4"/>
    <x v="6"/>
    <x v="0"/>
    <x v="0"/>
    <n v="0"/>
    <x v="2"/>
  </r>
  <r>
    <x v="30"/>
    <x v="1"/>
    <x v="384"/>
    <x v="1"/>
    <x v="4"/>
    <x v="6"/>
    <x v="0"/>
    <x v="1"/>
    <n v="0"/>
    <x v="2"/>
  </r>
  <r>
    <x v="30"/>
    <x v="1"/>
    <x v="384"/>
    <x v="1"/>
    <x v="4"/>
    <x v="6"/>
    <x v="0"/>
    <x v="2"/>
    <n v="0"/>
    <x v="2"/>
  </r>
  <r>
    <x v="30"/>
    <x v="1"/>
    <x v="384"/>
    <x v="1"/>
    <x v="4"/>
    <x v="6"/>
    <x v="0"/>
    <x v="3"/>
    <n v="0"/>
    <x v="2"/>
  </r>
  <r>
    <x v="30"/>
    <x v="1"/>
    <x v="384"/>
    <x v="1"/>
    <x v="4"/>
    <x v="6"/>
    <x v="0"/>
    <x v="4"/>
    <n v="0"/>
    <x v="2"/>
  </r>
  <r>
    <x v="30"/>
    <x v="1"/>
    <x v="384"/>
    <x v="1"/>
    <x v="4"/>
    <x v="6"/>
    <x v="0"/>
    <x v="5"/>
    <n v="0"/>
    <x v="2"/>
  </r>
  <r>
    <x v="30"/>
    <x v="1"/>
    <x v="384"/>
    <x v="1"/>
    <x v="4"/>
    <x v="6"/>
    <x v="0"/>
    <x v="6"/>
    <n v="0"/>
    <x v="2"/>
  </r>
  <r>
    <x v="30"/>
    <x v="1"/>
    <x v="384"/>
    <x v="1"/>
    <x v="4"/>
    <x v="6"/>
    <x v="0"/>
    <x v="7"/>
    <n v="0"/>
    <x v="2"/>
  </r>
  <r>
    <x v="30"/>
    <x v="1"/>
    <x v="384"/>
    <x v="1"/>
    <x v="4"/>
    <x v="6"/>
    <x v="0"/>
    <x v="8"/>
    <n v="0"/>
    <x v="2"/>
  </r>
  <r>
    <x v="30"/>
    <x v="1"/>
    <x v="384"/>
    <x v="1"/>
    <x v="4"/>
    <x v="6"/>
    <x v="0"/>
    <x v="9"/>
    <n v="0"/>
    <x v="2"/>
  </r>
  <r>
    <x v="30"/>
    <x v="1"/>
    <x v="384"/>
    <x v="1"/>
    <x v="4"/>
    <x v="6"/>
    <x v="0"/>
    <x v="10"/>
    <n v="0"/>
    <x v="2"/>
  </r>
  <r>
    <x v="30"/>
    <x v="1"/>
    <x v="384"/>
    <x v="1"/>
    <x v="4"/>
    <x v="6"/>
    <x v="0"/>
    <x v="12"/>
    <n v="0"/>
    <x v="2"/>
  </r>
  <r>
    <x v="30"/>
    <x v="1"/>
    <x v="385"/>
    <x v="0"/>
    <x v="4"/>
    <x v="6"/>
    <x v="23"/>
    <x v="0"/>
    <n v="3040.43"/>
    <x v="2"/>
  </r>
  <r>
    <x v="30"/>
    <x v="1"/>
    <x v="385"/>
    <x v="0"/>
    <x v="4"/>
    <x v="6"/>
    <x v="23"/>
    <x v="1"/>
    <n v="0"/>
    <x v="2"/>
  </r>
  <r>
    <x v="30"/>
    <x v="1"/>
    <x v="385"/>
    <x v="0"/>
    <x v="4"/>
    <x v="6"/>
    <x v="23"/>
    <x v="2"/>
    <n v="0"/>
    <x v="2"/>
  </r>
  <r>
    <x v="30"/>
    <x v="1"/>
    <x v="385"/>
    <x v="0"/>
    <x v="4"/>
    <x v="6"/>
    <x v="23"/>
    <x v="3"/>
    <n v="0"/>
    <x v="2"/>
  </r>
  <r>
    <x v="30"/>
    <x v="1"/>
    <x v="385"/>
    <x v="0"/>
    <x v="4"/>
    <x v="6"/>
    <x v="23"/>
    <x v="4"/>
    <n v="0"/>
    <x v="2"/>
  </r>
  <r>
    <x v="30"/>
    <x v="1"/>
    <x v="385"/>
    <x v="0"/>
    <x v="4"/>
    <x v="6"/>
    <x v="23"/>
    <x v="5"/>
    <n v="0"/>
    <x v="2"/>
  </r>
  <r>
    <x v="30"/>
    <x v="1"/>
    <x v="385"/>
    <x v="0"/>
    <x v="4"/>
    <x v="6"/>
    <x v="23"/>
    <x v="6"/>
    <n v="0"/>
    <x v="2"/>
  </r>
  <r>
    <x v="30"/>
    <x v="1"/>
    <x v="385"/>
    <x v="0"/>
    <x v="4"/>
    <x v="6"/>
    <x v="23"/>
    <x v="7"/>
    <n v="0"/>
    <x v="2"/>
  </r>
  <r>
    <x v="30"/>
    <x v="1"/>
    <x v="385"/>
    <x v="0"/>
    <x v="4"/>
    <x v="6"/>
    <x v="23"/>
    <x v="8"/>
    <n v="0"/>
    <x v="2"/>
  </r>
  <r>
    <x v="30"/>
    <x v="1"/>
    <x v="385"/>
    <x v="0"/>
    <x v="4"/>
    <x v="6"/>
    <x v="23"/>
    <x v="9"/>
    <n v="0"/>
    <x v="2"/>
  </r>
  <r>
    <x v="30"/>
    <x v="1"/>
    <x v="385"/>
    <x v="0"/>
    <x v="4"/>
    <x v="6"/>
    <x v="23"/>
    <x v="10"/>
    <n v="0"/>
    <x v="2"/>
  </r>
  <r>
    <x v="30"/>
    <x v="1"/>
    <x v="385"/>
    <x v="0"/>
    <x v="4"/>
    <x v="6"/>
    <x v="23"/>
    <x v="12"/>
    <n v="0"/>
    <x v="2"/>
  </r>
  <r>
    <x v="30"/>
    <x v="1"/>
    <x v="386"/>
    <x v="1"/>
    <x v="4"/>
    <x v="6"/>
    <x v="0"/>
    <x v="0"/>
    <n v="368"/>
    <x v="2"/>
  </r>
  <r>
    <x v="30"/>
    <x v="1"/>
    <x v="386"/>
    <x v="1"/>
    <x v="4"/>
    <x v="6"/>
    <x v="0"/>
    <x v="1"/>
    <n v="0"/>
    <x v="2"/>
  </r>
  <r>
    <x v="30"/>
    <x v="1"/>
    <x v="386"/>
    <x v="1"/>
    <x v="4"/>
    <x v="6"/>
    <x v="0"/>
    <x v="2"/>
    <n v="0"/>
    <x v="2"/>
  </r>
  <r>
    <x v="30"/>
    <x v="1"/>
    <x v="386"/>
    <x v="1"/>
    <x v="4"/>
    <x v="6"/>
    <x v="0"/>
    <x v="3"/>
    <n v="0"/>
    <x v="2"/>
  </r>
  <r>
    <x v="30"/>
    <x v="1"/>
    <x v="386"/>
    <x v="1"/>
    <x v="4"/>
    <x v="6"/>
    <x v="0"/>
    <x v="4"/>
    <n v="0"/>
    <x v="2"/>
  </r>
  <r>
    <x v="30"/>
    <x v="1"/>
    <x v="386"/>
    <x v="1"/>
    <x v="4"/>
    <x v="6"/>
    <x v="0"/>
    <x v="5"/>
    <n v="0"/>
    <x v="2"/>
  </r>
  <r>
    <x v="30"/>
    <x v="1"/>
    <x v="386"/>
    <x v="1"/>
    <x v="4"/>
    <x v="6"/>
    <x v="0"/>
    <x v="6"/>
    <n v="0"/>
    <x v="2"/>
  </r>
  <r>
    <x v="30"/>
    <x v="1"/>
    <x v="386"/>
    <x v="1"/>
    <x v="4"/>
    <x v="6"/>
    <x v="0"/>
    <x v="7"/>
    <n v="0"/>
    <x v="2"/>
  </r>
  <r>
    <x v="30"/>
    <x v="1"/>
    <x v="386"/>
    <x v="1"/>
    <x v="4"/>
    <x v="6"/>
    <x v="0"/>
    <x v="8"/>
    <n v="0"/>
    <x v="2"/>
  </r>
  <r>
    <x v="30"/>
    <x v="1"/>
    <x v="386"/>
    <x v="1"/>
    <x v="4"/>
    <x v="6"/>
    <x v="0"/>
    <x v="9"/>
    <n v="0"/>
    <x v="2"/>
  </r>
  <r>
    <x v="30"/>
    <x v="1"/>
    <x v="386"/>
    <x v="1"/>
    <x v="4"/>
    <x v="6"/>
    <x v="0"/>
    <x v="10"/>
    <n v="0"/>
    <x v="2"/>
  </r>
  <r>
    <x v="30"/>
    <x v="1"/>
    <x v="386"/>
    <x v="1"/>
    <x v="4"/>
    <x v="6"/>
    <x v="0"/>
    <x v="12"/>
    <n v="0"/>
    <x v="2"/>
  </r>
  <r>
    <x v="30"/>
    <x v="1"/>
    <x v="387"/>
    <x v="1"/>
    <x v="4"/>
    <x v="6"/>
    <x v="0"/>
    <x v="0"/>
    <n v="0"/>
    <x v="2"/>
  </r>
  <r>
    <x v="30"/>
    <x v="1"/>
    <x v="387"/>
    <x v="1"/>
    <x v="4"/>
    <x v="6"/>
    <x v="0"/>
    <x v="1"/>
    <n v="0"/>
    <x v="2"/>
  </r>
  <r>
    <x v="30"/>
    <x v="1"/>
    <x v="387"/>
    <x v="1"/>
    <x v="4"/>
    <x v="6"/>
    <x v="0"/>
    <x v="2"/>
    <n v="0"/>
    <x v="2"/>
  </r>
  <r>
    <x v="30"/>
    <x v="1"/>
    <x v="387"/>
    <x v="1"/>
    <x v="4"/>
    <x v="6"/>
    <x v="0"/>
    <x v="3"/>
    <n v="0"/>
    <x v="2"/>
  </r>
  <r>
    <x v="30"/>
    <x v="1"/>
    <x v="387"/>
    <x v="1"/>
    <x v="4"/>
    <x v="6"/>
    <x v="0"/>
    <x v="4"/>
    <n v="0"/>
    <x v="2"/>
  </r>
  <r>
    <x v="30"/>
    <x v="1"/>
    <x v="387"/>
    <x v="1"/>
    <x v="4"/>
    <x v="6"/>
    <x v="0"/>
    <x v="5"/>
    <n v="0"/>
    <x v="2"/>
  </r>
  <r>
    <x v="30"/>
    <x v="1"/>
    <x v="387"/>
    <x v="1"/>
    <x v="4"/>
    <x v="6"/>
    <x v="0"/>
    <x v="6"/>
    <n v="0"/>
    <x v="2"/>
  </r>
  <r>
    <x v="30"/>
    <x v="1"/>
    <x v="387"/>
    <x v="1"/>
    <x v="4"/>
    <x v="6"/>
    <x v="0"/>
    <x v="7"/>
    <n v="0"/>
    <x v="2"/>
  </r>
  <r>
    <x v="30"/>
    <x v="1"/>
    <x v="387"/>
    <x v="1"/>
    <x v="4"/>
    <x v="6"/>
    <x v="0"/>
    <x v="8"/>
    <n v="0"/>
    <x v="2"/>
  </r>
  <r>
    <x v="30"/>
    <x v="1"/>
    <x v="387"/>
    <x v="1"/>
    <x v="4"/>
    <x v="6"/>
    <x v="0"/>
    <x v="9"/>
    <n v="0"/>
    <x v="2"/>
  </r>
  <r>
    <x v="30"/>
    <x v="1"/>
    <x v="387"/>
    <x v="1"/>
    <x v="4"/>
    <x v="6"/>
    <x v="0"/>
    <x v="10"/>
    <n v="0"/>
    <x v="2"/>
  </r>
  <r>
    <x v="30"/>
    <x v="1"/>
    <x v="387"/>
    <x v="1"/>
    <x v="4"/>
    <x v="6"/>
    <x v="0"/>
    <x v="12"/>
    <n v="0"/>
    <x v="2"/>
  </r>
  <r>
    <x v="30"/>
    <x v="1"/>
    <x v="388"/>
    <x v="1"/>
    <x v="4"/>
    <x v="6"/>
    <x v="0"/>
    <x v="0"/>
    <n v="317.83"/>
    <x v="2"/>
  </r>
  <r>
    <x v="30"/>
    <x v="1"/>
    <x v="388"/>
    <x v="1"/>
    <x v="4"/>
    <x v="6"/>
    <x v="0"/>
    <x v="1"/>
    <n v="0"/>
    <x v="2"/>
  </r>
  <r>
    <x v="30"/>
    <x v="1"/>
    <x v="388"/>
    <x v="1"/>
    <x v="4"/>
    <x v="6"/>
    <x v="0"/>
    <x v="2"/>
    <n v="0"/>
    <x v="2"/>
  </r>
  <r>
    <x v="30"/>
    <x v="1"/>
    <x v="388"/>
    <x v="1"/>
    <x v="4"/>
    <x v="6"/>
    <x v="0"/>
    <x v="3"/>
    <n v="0"/>
    <x v="2"/>
  </r>
  <r>
    <x v="30"/>
    <x v="1"/>
    <x v="388"/>
    <x v="1"/>
    <x v="4"/>
    <x v="6"/>
    <x v="0"/>
    <x v="4"/>
    <n v="0"/>
    <x v="2"/>
  </r>
  <r>
    <x v="30"/>
    <x v="1"/>
    <x v="388"/>
    <x v="1"/>
    <x v="4"/>
    <x v="6"/>
    <x v="0"/>
    <x v="5"/>
    <n v="0"/>
    <x v="2"/>
  </r>
  <r>
    <x v="30"/>
    <x v="1"/>
    <x v="388"/>
    <x v="1"/>
    <x v="4"/>
    <x v="6"/>
    <x v="0"/>
    <x v="6"/>
    <n v="0"/>
    <x v="2"/>
  </r>
  <r>
    <x v="30"/>
    <x v="1"/>
    <x v="388"/>
    <x v="1"/>
    <x v="4"/>
    <x v="6"/>
    <x v="0"/>
    <x v="7"/>
    <n v="0"/>
    <x v="2"/>
  </r>
  <r>
    <x v="30"/>
    <x v="1"/>
    <x v="388"/>
    <x v="1"/>
    <x v="4"/>
    <x v="6"/>
    <x v="0"/>
    <x v="8"/>
    <n v="0"/>
    <x v="2"/>
  </r>
  <r>
    <x v="30"/>
    <x v="1"/>
    <x v="388"/>
    <x v="1"/>
    <x v="4"/>
    <x v="6"/>
    <x v="0"/>
    <x v="9"/>
    <n v="0"/>
    <x v="2"/>
  </r>
  <r>
    <x v="30"/>
    <x v="1"/>
    <x v="388"/>
    <x v="1"/>
    <x v="4"/>
    <x v="6"/>
    <x v="0"/>
    <x v="10"/>
    <n v="0"/>
    <x v="2"/>
  </r>
  <r>
    <x v="30"/>
    <x v="1"/>
    <x v="388"/>
    <x v="1"/>
    <x v="4"/>
    <x v="6"/>
    <x v="0"/>
    <x v="12"/>
    <n v="0"/>
    <x v="2"/>
  </r>
  <r>
    <x v="30"/>
    <x v="1"/>
    <x v="390"/>
    <x v="1"/>
    <x v="4"/>
    <x v="6"/>
    <x v="0"/>
    <x v="0"/>
    <n v="0"/>
    <x v="2"/>
  </r>
  <r>
    <x v="30"/>
    <x v="1"/>
    <x v="390"/>
    <x v="1"/>
    <x v="4"/>
    <x v="6"/>
    <x v="0"/>
    <x v="1"/>
    <n v="0"/>
    <x v="2"/>
  </r>
  <r>
    <x v="30"/>
    <x v="1"/>
    <x v="390"/>
    <x v="1"/>
    <x v="4"/>
    <x v="6"/>
    <x v="0"/>
    <x v="2"/>
    <n v="0"/>
    <x v="2"/>
  </r>
  <r>
    <x v="30"/>
    <x v="1"/>
    <x v="390"/>
    <x v="1"/>
    <x v="4"/>
    <x v="6"/>
    <x v="0"/>
    <x v="3"/>
    <n v="176.94"/>
    <x v="2"/>
  </r>
  <r>
    <x v="30"/>
    <x v="1"/>
    <x v="390"/>
    <x v="1"/>
    <x v="4"/>
    <x v="6"/>
    <x v="0"/>
    <x v="4"/>
    <n v="0"/>
    <x v="2"/>
  </r>
  <r>
    <x v="30"/>
    <x v="1"/>
    <x v="390"/>
    <x v="1"/>
    <x v="4"/>
    <x v="6"/>
    <x v="0"/>
    <x v="5"/>
    <n v="0"/>
    <x v="2"/>
  </r>
  <r>
    <x v="30"/>
    <x v="1"/>
    <x v="390"/>
    <x v="1"/>
    <x v="4"/>
    <x v="6"/>
    <x v="0"/>
    <x v="6"/>
    <n v="0"/>
    <x v="2"/>
  </r>
  <r>
    <x v="30"/>
    <x v="1"/>
    <x v="390"/>
    <x v="1"/>
    <x v="4"/>
    <x v="6"/>
    <x v="0"/>
    <x v="7"/>
    <n v="103.15"/>
    <x v="2"/>
  </r>
  <r>
    <x v="30"/>
    <x v="1"/>
    <x v="390"/>
    <x v="1"/>
    <x v="4"/>
    <x v="6"/>
    <x v="0"/>
    <x v="8"/>
    <n v="0"/>
    <x v="2"/>
  </r>
  <r>
    <x v="30"/>
    <x v="1"/>
    <x v="390"/>
    <x v="1"/>
    <x v="4"/>
    <x v="6"/>
    <x v="0"/>
    <x v="9"/>
    <n v="0"/>
    <x v="2"/>
  </r>
  <r>
    <x v="30"/>
    <x v="1"/>
    <x v="390"/>
    <x v="1"/>
    <x v="4"/>
    <x v="6"/>
    <x v="0"/>
    <x v="10"/>
    <n v="0"/>
    <x v="2"/>
  </r>
  <r>
    <x v="30"/>
    <x v="1"/>
    <x v="390"/>
    <x v="1"/>
    <x v="4"/>
    <x v="6"/>
    <x v="0"/>
    <x v="12"/>
    <n v="0"/>
    <x v="2"/>
  </r>
  <r>
    <x v="30"/>
    <x v="1"/>
    <x v="391"/>
    <x v="0"/>
    <x v="4"/>
    <x v="6"/>
    <x v="23"/>
    <x v="0"/>
    <n v="0"/>
    <x v="2"/>
  </r>
  <r>
    <x v="30"/>
    <x v="1"/>
    <x v="391"/>
    <x v="0"/>
    <x v="4"/>
    <x v="6"/>
    <x v="23"/>
    <x v="1"/>
    <n v="289.89999999999998"/>
    <x v="2"/>
  </r>
  <r>
    <x v="30"/>
    <x v="1"/>
    <x v="391"/>
    <x v="0"/>
    <x v="4"/>
    <x v="6"/>
    <x v="23"/>
    <x v="2"/>
    <n v="0"/>
    <x v="2"/>
  </r>
  <r>
    <x v="30"/>
    <x v="1"/>
    <x v="391"/>
    <x v="0"/>
    <x v="4"/>
    <x v="6"/>
    <x v="23"/>
    <x v="3"/>
    <n v="0"/>
    <x v="2"/>
  </r>
  <r>
    <x v="30"/>
    <x v="1"/>
    <x v="391"/>
    <x v="0"/>
    <x v="4"/>
    <x v="6"/>
    <x v="23"/>
    <x v="4"/>
    <n v="0"/>
    <x v="2"/>
  </r>
  <r>
    <x v="30"/>
    <x v="1"/>
    <x v="391"/>
    <x v="0"/>
    <x v="4"/>
    <x v="6"/>
    <x v="23"/>
    <x v="5"/>
    <n v="0"/>
    <x v="2"/>
  </r>
  <r>
    <x v="30"/>
    <x v="1"/>
    <x v="391"/>
    <x v="0"/>
    <x v="4"/>
    <x v="6"/>
    <x v="23"/>
    <x v="6"/>
    <n v="0"/>
    <x v="2"/>
  </r>
  <r>
    <x v="30"/>
    <x v="1"/>
    <x v="391"/>
    <x v="0"/>
    <x v="4"/>
    <x v="6"/>
    <x v="23"/>
    <x v="7"/>
    <n v="0"/>
    <x v="2"/>
  </r>
  <r>
    <x v="30"/>
    <x v="1"/>
    <x v="391"/>
    <x v="0"/>
    <x v="4"/>
    <x v="6"/>
    <x v="23"/>
    <x v="8"/>
    <n v="0"/>
    <x v="2"/>
  </r>
  <r>
    <x v="30"/>
    <x v="1"/>
    <x v="391"/>
    <x v="0"/>
    <x v="4"/>
    <x v="6"/>
    <x v="23"/>
    <x v="9"/>
    <n v="0"/>
    <x v="2"/>
  </r>
  <r>
    <x v="30"/>
    <x v="1"/>
    <x v="391"/>
    <x v="0"/>
    <x v="4"/>
    <x v="6"/>
    <x v="23"/>
    <x v="10"/>
    <n v="0"/>
    <x v="2"/>
  </r>
  <r>
    <x v="30"/>
    <x v="1"/>
    <x v="391"/>
    <x v="0"/>
    <x v="4"/>
    <x v="6"/>
    <x v="23"/>
    <x v="12"/>
    <n v="0"/>
    <x v="2"/>
  </r>
  <r>
    <x v="30"/>
    <x v="1"/>
    <x v="392"/>
    <x v="1"/>
    <x v="4"/>
    <x v="6"/>
    <x v="0"/>
    <x v="0"/>
    <n v="0"/>
    <x v="2"/>
  </r>
  <r>
    <x v="30"/>
    <x v="1"/>
    <x v="392"/>
    <x v="1"/>
    <x v="4"/>
    <x v="6"/>
    <x v="0"/>
    <x v="1"/>
    <n v="0"/>
    <x v="2"/>
  </r>
  <r>
    <x v="30"/>
    <x v="1"/>
    <x v="392"/>
    <x v="1"/>
    <x v="4"/>
    <x v="6"/>
    <x v="0"/>
    <x v="2"/>
    <n v="0"/>
    <x v="2"/>
  </r>
  <r>
    <x v="30"/>
    <x v="1"/>
    <x v="392"/>
    <x v="1"/>
    <x v="4"/>
    <x v="6"/>
    <x v="0"/>
    <x v="3"/>
    <n v="0"/>
    <x v="2"/>
  </r>
  <r>
    <x v="30"/>
    <x v="1"/>
    <x v="392"/>
    <x v="1"/>
    <x v="4"/>
    <x v="6"/>
    <x v="0"/>
    <x v="4"/>
    <n v="0"/>
    <x v="2"/>
  </r>
  <r>
    <x v="30"/>
    <x v="1"/>
    <x v="392"/>
    <x v="1"/>
    <x v="4"/>
    <x v="6"/>
    <x v="0"/>
    <x v="5"/>
    <n v="0"/>
    <x v="2"/>
  </r>
  <r>
    <x v="30"/>
    <x v="1"/>
    <x v="392"/>
    <x v="1"/>
    <x v="4"/>
    <x v="6"/>
    <x v="0"/>
    <x v="6"/>
    <n v="0"/>
    <x v="2"/>
  </r>
  <r>
    <x v="30"/>
    <x v="1"/>
    <x v="392"/>
    <x v="1"/>
    <x v="4"/>
    <x v="6"/>
    <x v="0"/>
    <x v="7"/>
    <n v="0"/>
    <x v="2"/>
  </r>
  <r>
    <x v="30"/>
    <x v="1"/>
    <x v="392"/>
    <x v="1"/>
    <x v="4"/>
    <x v="6"/>
    <x v="0"/>
    <x v="8"/>
    <n v="0"/>
    <x v="2"/>
  </r>
  <r>
    <x v="30"/>
    <x v="1"/>
    <x v="392"/>
    <x v="1"/>
    <x v="4"/>
    <x v="6"/>
    <x v="0"/>
    <x v="9"/>
    <n v="400"/>
    <x v="2"/>
  </r>
  <r>
    <x v="30"/>
    <x v="1"/>
    <x v="392"/>
    <x v="1"/>
    <x v="4"/>
    <x v="6"/>
    <x v="0"/>
    <x v="10"/>
    <n v="0"/>
    <x v="2"/>
  </r>
  <r>
    <x v="30"/>
    <x v="1"/>
    <x v="392"/>
    <x v="1"/>
    <x v="4"/>
    <x v="6"/>
    <x v="0"/>
    <x v="12"/>
    <n v="0"/>
    <x v="2"/>
  </r>
  <r>
    <x v="30"/>
    <x v="1"/>
    <x v="393"/>
    <x v="1"/>
    <x v="4"/>
    <x v="6"/>
    <x v="0"/>
    <x v="0"/>
    <n v="868.35"/>
    <x v="2"/>
  </r>
  <r>
    <x v="30"/>
    <x v="1"/>
    <x v="393"/>
    <x v="1"/>
    <x v="4"/>
    <x v="6"/>
    <x v="0"/>
    <x v="1"/>
    <n v="0"/>
    <x v="2"/>
  </r>
  <r>
    <x v="30"/>
    <x v="1"/>
    <x v="393"/>
    <x v="1"/>
    <x v="4"/>
    <x v="6"/>
    <x v="0"/>
    <x v="2"/>
    <n v="0"/>
    <x v="2"/>
  </r>
  <r>
    <x v="30"/>
    <x v="1"/>
    <x v="393"/>
    <x v="1"/>
    <x v="4"/>
    <x v="6"/>
    <x v="0"/>
    <x v="3"/>
    <n v="0"/>
    <x v="2"/>
  </r>
  <r>
    <x v="30"/>
    <x v="1"/>
    <x v="393"/>
    <x v="1"/>
    <x v="4"/>
    <x v="6"/>
    <x v="0"/>
    <x v="4"/>
    <n v="0"/>
    <x v="2"/>
  </r>
  <r>
    <x v="30"/>
    <x v="1"/>
    <x v="393"/>
    <x v="1"/>
    <x v="4"/>
    <x v="6"/>
    <x v="0"/>
    <x v="5"/>
    <n v="0"/>
    <x v="2"/>
  </r>
  <r>
    <x v="30"/>
    <x v="1"/>
    <x v="393"/>
    <x v="1"/>
    <x v="4"/>
    <x v="6"/>
    <x v="0"/>
    <x v="6"/>
    <n v="0"/>
    <x v="2"/>
  </r>
  <r>
    <x v="30"/>
    <x v="1"/>
    <x v="393"/>
    <x v="1"/>
    <x v="4"/>
    <x v="6"/>
    <x v="0"/>
    <x v="7"/>
    <n v="0"/>
    <x v="2"/>
  </r>
  <r>
    <x v="30"/>
    <x v="1"/>
    <x v="393"/>
    <x v="1"/>
    <x v="4"/>
    <x v="6"/>
    <x v="0"/>
    <x v="8"/>
    <n v="0"/>
    <x v="2"/>
  </r>
  <r>
    <x v="30"/>
    <x v="1"/>
    <x v="393"/>
    <x v="1"/>
    <x v="4"/>
    <x v="6"/>
    <x v="0"/>
    <x v="9"/>
    <n v="0"/>
    <x v="2"/>
  </r>
  <r>
    <x v="30"/>
    <x v="1"/>
    <x v="393"/>
    <x v="1"/>
    <x v="4"/>
    <x v="6"/>
    <x v="0"/>
    <x v="10"/>
    <n v="0"/>
    <x v="2"/>
  </r>
  <r>
    <x v="30"/>
    <x v="1"/>
    <x v="393"/>
    <x v="1"/>
    <x v="4"/>
    <x v="6"/>
    <x v="0"/>
    <x v="12"/>
    <n v="0"/>
    <x v="2"/>
  </r>
  <r>
    <x v="30"/>
    <x v="1"/>
    <x v="394"/>
    <x v="1"/>
    <x v="4"/>
    <x v="6"/>
    <x v="0"/>
    <x v="0"/>
    <n v="0"/>
    <x v="2"/>
  </r>
  <r>
    <x v="30"/>
    <x v="1"/>
    <x v="394"/>
    <x v="1"/>
    <x v="4"/>
    <x v="6"/>
    <x v="0"/>
    <x v="1"/>
    <n v="0"/>
    <x v="2"/>
  </r>
  <r>
    <x v="30"/>
    <x v="1"/>
    <x v="394"/>
    <x v="1"/>
    <x v="4"/>
    <x v="6"/>
    <x v="0"/>
    <x v="2"/>
    <n v="0"/>
    <x v="2"/>
  </r>
  <r>
    <x v="30"/>
    <x v="1"/>
    <x v="394"/>
    <x v="1"/>
    <x v="4"/>
    <x v="6"/>
    <x v="0"/>
    <x v="3"/>
    <n v="0"/>
    <x v="2"/>
  </r>
  <r>
    <x v="30"/>
    <x v="1"/>
    <x v="394"/>
    <x v="1"/>
    <x v="4"/>
    <x v="6"/>
    <x v="0"/>
    <x v="4"/>
    <n v="0"/>
    <x v="2"/>
  </r>
  <r>
    <x v="30"/>
    <x v="1"/>
    <x v="394"/>
    <x v="1"/>
    <x v="4"/>
    <x v="6"/>
    <x v="0"/>
    <x v="5"/>
    <n v="0"/>
    <x v="2"/>
  </r>
  <r>
    <x v="30"/>
    <x v="1"/>
    <x v="394"/>
    <x v="1"/>
    <x v="4"/>
    <x v="6"/>
    <x v="0"/>
    <x v="6"/>
    <n v="0"/>
    <x v="2"/>
  </r>
  <r>
    <x v="30"/>
    <x v="1"/>
    <x v="394"/>
    <x v="1"/>
    <x v="4"/>
    <x v="6"/>
    <x v="0"/>
    <x v="7"/>
    <n v="0"/>
    <x v="2"/>
  </r>
  <r>
    <x v="30"/>
    <x v="1"/>
    <x v="394"/>
    <x v="1"/>
    <x v="4"/>
    <x v="6"/>
    <x v="0"/>
    <x v="8"/>
    <n v="0"/>
    <x v="2"/>
  </r>
  <r>
    <x v="30"/>
    <x v="1"/>
    <x v="394"/>
    <x v="1"/>
    <x v="4"/>
    <x v="6"/>
    <x v="0"/>
    <x v="9"/>
    <n v="0"/>
    <x v="2"/>
  </r>
  <r>
    <x v="30"/>
    <x v="1"/>
    <x v="394"/>
    <x v="1"/>
    <x v="4"/>
    <x v="6"/>
    <x v="0"/>
    <x v="10"/>
    <n v="0"/>
    <x v="2"/>
  </r>
  <r>
    <x v="30"/>
    <x v="1"/>
    <x v="394"/>
    <x v="1"/>
    <x v="4"/>
    <x v="6"/>
    <x v="0"/>
    <x v="12"/>
    <n v="0"/>
    <x v="2"/>
  </r>
  <r>
    <x v="30"/>
    <x v="1"/>
    <x v="399"/>
    <x v="0"/>
    <x v="4"/>
    <x v="6"/>
    <x v="17"/>
    <x v="0"/>
    <n v="0"/>
    <x v="2"/>
  </r>
  <r>
    <x v="30"/>
    <x v="1"/>
    <x v="399"/>
    <x v="0"/>
    <x v="4"/>
    <x v="6"/>
    <x v="17"/>
    <x v="1"/>
    <n v="0"/>
    <x v="2"/>
  </r>
  <r>
    <x v="30"/>
    <x v="1"/>
    <x v="399"/>
    <x v="0"/>
    <x v="4"/>
    <x v="6"/>
    <x v="17"/>
    <x v="2"/>
    <n v="0"/>
    <x v="2"/>
  </r>
  <r>
    <x v="30"/>
    <x v="1"/>
    <x v="399"/>
    <x v="0"/>
    <x v="4"/>
    <x v="6"/>
    <x v="17"/>
    <x v="3"/>
    <n v="348.47"/>
    <x v="2"/>
  </r>
  <r>
    <x v="30"/>
    <x v="1"/>
    <x v="399"/>
    <x v="0"/>
    <x v="4"/>
    <x v="6"/>
    <x v="17"/>
    <x v="4"/>
    <n v="664.29"/>
    <x v="2"/>
  </r>
  <r>
    <x v="30"/>
    <x v="1"/>
    <x v="399"/>
    <x v="0"/>
    <x v="4"/>
    <x v="6"/>
    <x v="17"/>
    <x v="5"/>
    <n v="0"/>
    <x v="2"/>
  </r>
  <r>
    <x v="30"/>
    <x v="1"/>
    <x v="399"/>
    <x v="0"/>
    <x v="4"/>
    <x v="6"/>
    <x v="17"/>
    <x v="6"/>
    <n v="0"/>
    <x v="2"/>
  </r>
  <r>
    <x v="30"/>
    <x v="1"/>
    <x v="399"/>
    <x v="0"/>
    <x v="4"/>
    <x v="6"/>
    <x v="17"/>
    <x v="7"/>
    <n v="1172.5"/>
    <x v="2"/>
  </r>
  <r>
    <x v="30"/>
    <x v="1"/>
    <x v="399"/>
    <x v="0"/>
    <x v="4"/>
    <x v="6"/>
    <x v="17"/>
    <x v="8"/>
    <n v="1110"/>
    <x v="2"/>
  </r>
  <r>
    <x v="30"/>
    <x v="1"/>
    <x v="399"/>
    <x v="0"/>
    <x v="4"/>
    <x v="6"/>
    <x v="17"/>
    <x v="9"/>
    <n v="937"/>
    <x v="2"/>
  </r>
  <r>
    <x v="30"/>
    <x v="1"/>
    <x v="399"/>
    <x v="0"/>
    <x v="4"/>
    <x v="6"/>
    <x v="17"/>
    <x v="10"/>
    <n v="0"/>
    <x v="2"/>
  </r>
  <r>
    <x v="30"/>
    <x v="1"/>
    <x v="399"/>
    <x v="0"/>
    <x v="4"/>
    <x v="6"/>
    <x v="17"/>
    <x v="12"/>
    <n v="146"/>
    <x v="2"/>
  </r>
  <r>
    <x v="30"/>
    <x v="1"/>
    <x v="400"/>
    <x v="1"/>
    <x v="4"/>
    <x v="6"/>
    <x v="0"/>
    <x v="0"/>
    <n v="0"/>
    <x v="2"/>
  </r>
  <r>
    <x v="30"/>
    <x v="1"/>
    <x v="400"/>
    <x v="1"/>
    <x v="4"/>
    <x v="6"/>
    <x v="0"/>
    <x v="1"/>
    <n v="0"/>
    <x v="2"/>
  </r>
  <r>
    <x v="30"/>
    <x v="1"/>
    <x v="400"/>
    <x v="1"/>
    <x v="4"/>
    <x v="6"/>
    <x v="0"/>
    <x v="2"/>
    <n v="0"/>
    <x v="2"/>
  </r>
  <r>
    <x v="30"/>
    <x v="1"/>
    <x v="400"/>
    <x v="1"/>
    <x v="4"/>
    <x v="6"/>
    <x v="0"/>
    <x v="3"/>
    <n v="0"/>
    <x v="2"/>
  </r>
  <r>
    <x v="30"/>
    <x v="1"/>
    <x v="400"/>
    <x v="1"/>
    <x v="4"/>
    <x v="6"/>
    <x v="0"/>
    <x v="4"/>
    <n v="0"/>
    <x v="2"/>
  </r>
  <r>
    <x v="30"/>
    <x v="1"/>
    <x v="400"/>
    <x v="1"/>
    <x v="4"/>
    <x v="6"/>
    <x v="0"/>
    <x v="5"/>
    <n v="411.7"/>
    <x v="2"/>
  </r>
  <r>
    <x v="30"/>
    <x v="1"/>
    <x v="400"/>
    <x v="1"/>
    <x v="4"/>
    <x v="6"/>
    <x v="0"/>
    <x v="6"/>
    <n v="0"/>
    <x v="2"/>
  </r>
  <r>
    <x v="30"/>
    <x v="1"/>
    <x v="400"/>
    <x v="1"/>
    <x v="4"/>
    <x v="6"/>
    <x v="0"/>
    <x v="7"/>
    <n v="0"/>
    <x v="2"/>
  </r>
  <r>
    <x v="30"/>
    <x v="1"/>
    <x v="400"/>
    <x v="1"/>
    <x v="4"/>
    <x v="6"/>
    <x v="0"/>
    <x v="8"/>
    <n v="0"/>
    <x v="2"/>
  </r>
  <r>
    <x v="30"/>
    <x v="1"/>
    <x v="400"/>
    <x v="1"/>
    <x v="4"/>
    <x v="6"/>
    <x v="0"/>
    <x v="9"/>
    <n v="0"/>
    <x v="2"/>
  </r>
  <r>
    <x v="30"/>
    <x v="1"/>
    <x v="400"/>
    <x v="1"/>
    <x v="4"/>
    <x v="6"/>
    <x v="0"/>
    <x v="10"/>
    <n v="0"/>
    <x v="2"/>
  </r>
  <r>
    <x v="30"/>
    <x v="1"/>
    <x v="400"/>
    <x v="1"/>
    <x v="4"/>
    <x v="6"/>
    <x v="0"/>
    <x v="12"/>
    <n v="0"/>
    <x v="2"/>
  </r>
  <r>
    <x v="30"/>
    <x v="1"/>
    <x v="401"/>
    <x v="1"/>
    <x v="4"/>
    <x v="6"/>
    <x v="0"/>
    <x v="0"/>
    <n v="0"/>
    <x v="2"/>
  </r>
  <r>
    <x v="30"/>
    <x v="1"/>
    <x v="401"/>
    <x v="1"/>
    <x v="4"/>
    <x v="6"/>
    <x v="0"/>
    <x v="1"/>
    <n v="0"/>
    <x v="2"/>
  </r>
  <r>
    <x v="30"/>
    <x v="1"/>
    <x v="401"/>
    <x v="1"/>
    <x v="4"/>
    <x v="6"/>
    <x v="0"/>
    <x v="2"/>
    <n v="0"/>
    <x v="2"/>
  </r>
  <r>
    <x v="30"/>
    <x v="1"/>
    <x v="401"/>
    <x v="1"/>
    <x v="4"/>
    <x v="6"/>
    <x v="0"/>
    <x v="3"/>
    <n v="0"/>
    <x v="2"/>
  </r>
  <r>
    <x v="30"/>
    <x v="1"/>
    <x v="401"/>
    <x v="1"/>
    <x v="4"/>
    <x v="6"/>
    <x v="0"/>
    <x v="4"/>
    <n v="0"/>
    <x v="2"/>
  </r>
  <r>
    <x v="30"/>
    <x v="1"/>
    <x v="401"/>
    <x v="1"/>
    <x v="4"/>
    <x v="6"/>
    <x v="0"/>
    <x v="5"/>
    <n v="0"/>
    <x v="2"/>
  </r>
  <r>
    <x v="30"/>
    <x v="1"/>
    <x v="401"/>
    <x v="1"/>
    <x v="4"/>
    <x v="6"/>
    <x v="0"/>
    <x v="6"/>
    <n v="0"/>
    <x v="2"/>
  </r>
  <r>
    <x v="30"/>
    <x v="1"/>
    <x v="401"/>
    <x v="1"/>
    <x v="4"/>
    <x v="6"/>
    <x v="0"/>
    <x v="7"/>
    <n v="0"/>
    <x v="2"/>
  </r>
  <r>
    <x v="30"/>
    <x v="1"/>
    <x v="401"/>
    <x v="1"/>
    <x v="4"/>
    <x v="6"/>
    <x v="0"/>
    <x v="8"/>
    <n v="0"/>
    <x v="2"/>
  </r>
  <r>
    <x v="30"/>
    <x v="1"/>
    <x v="401"/>
    <x v="1"/>
    <x v="4"/>
    <x v="6"/>
    <x v="0"/>
    <x v="9"/>
    <n v="0"/>
    <x v="2"/>
  </r>
  <r>
    <x v="30"/>
    <x v="1"/>
    <x v="401"/>
    <x v="1"/>
    <x v="4"/>
    <x v="6"/>
    <x v="0"/>
    <x v="10"/>
    <n v="0"/>
    <x v="2"/>
  </r>
  <r>
    <x v="30"/>
    <x v="1"/>
    <x v="401"/>
    <x v="1"/>
    <x v="4"/>
    <x v="6"/>
    <x v="0"/>
    <x v="12"/>
    <n v="48"/>
    <x v="2"/>
  </r>
  <r>
    <x v="30"/>
    <x v="1"/>
    <x v="402"/>
    <x v="1"/>
    <x v="4"/>
    <x v="6"/>
    <x v="0"/>
    <x v="0"/>
    <n v="0"/>
    <x v="2"/>
  </r>
  <r>
    <x v="30"/>
    <x v="1"/>
    <x v="402"/>
    <x v="1"/>
    <x v="4"/>
    <x v="6"/>
    <x v="0"/>
    <x v="1"/>
    <n v="0"/>
    <x v="2"/>
  </r>
  <r>
    <x v="30"/>
    <x v="1"/>
    <x v="402"/>
    <x v="1"/>
    <x v="4"/>
    <x v="6"/>
    <x v="0"/>
    <x v="2"/>
    <n v="0"/>
    <x v="2"/>
  </r>
  <r>
    <x v="30"/>
    <x v="1"/>
    <x v="402"/>
    <x v="1"/>
    <x v="4"/>
    <x v="6"/>
    <x v="0"/>
    <x v="3"/>
    <n v="0"/>
    <x v="2"/>
  </r>
  <r>
    <x v="30"/>
    <x v="1"/>
    <x v="402"/>
    <x v="1"/>
    <x v="4"/>
    <x v="6"/>
    <x v="0"/>
    <x v="4"/>
    <n v="0"/>
    <x v="2"/>
  </r>
  <r>
    <x v="30"/>
    <x v="1"/>
    <x v="402"/>
    <x v="1"/>
    <x v="4"/>
    <x v="6"/>
    <x v="0"/>
    <x v="5"/>
    <n v="0"/>
    <x v="2"/>
  </r>
  <r>
    <x v="30"/>
    <x v="1"/>
    <x v="402"/>
    <x v="1"/>
    <x v="4"/>
    <x v="6"/>
    <x v="0"/>
    <x v="6"/>
    <n v="237"/>
    <x v="2"/>
  </r>
  <r>
    <x v="30"/>
    <x v="1"/>
    <x v="402"/>
    <x v="1"/>
    <x v="4"/>
    <x v="6"/>
    <x v="0"/>
    <x v="7"/>
    <n v="0"/>
    <x v="2"/>
  </r>
  <r>
    <x v="30"/>
    <x v="1"/>
    <x v="402"/>
    <x v="1"/>
    <x v="4"/>
    <x v="6"/>
    <x v="0"/>
    <x v="8"/>
    <n v="0"/>
    <x v="2"/>
  </r>
  <r>
    <x v="30"/>
    <x v="1"/>
    <x v="402"/>
    <x v="1"/>
    <x v="4"/>
    <x v="6"/>
    <x v="0"/>
    <x v="9"/>
    <n v="0"/>
    <x v="2"/>
  </r>
  <r>
    <x v="30"/>
    <x v="1"/>
    <x v="402"/>
    <x v="1"/>
    <x v="4"/>
    <x v="6"/>
    <x v="0"/>
    <x v="10"/>
    <n v="0"/>
    <x v="2"/>
  </r>
  <r>
    <x v="30"/>
    <x v="1"/>
    <x v="402"/>
    <x v="1"/>
    <x v="4"/>
    <x v="6"/>
    <x v="0"/>
    <x v="12"/>
    <n v="0"/>
    <x v="2"/>
  </r>
  <r>
    <x v="30"/>
    <x v="1"/>
    <x v="403"/>
    <x v="1"/>
    <x v="4"/>
    <x v="6"/>
    <x v="0"/>
    <x v="0"/>
    <n v="0"/>
    <x v="2"/>
  </r>
  <r>
    <x v="30"/>
    <x v="1"/>
    <x v="403"/>
    <x v="1"/>
    <x v="4"/>
    <x v="6"/>
    <x v="0"/>
    <x v="1"/>
    <n v="0"/>
    <x v="2"/>
  </r>
  <r>
    <x v="30"/>
    <x v="1"/>
    <x v="403"/>
    <x v="1"/>
    <x v="4"/>
    <x v="6"/>
    <x v="0"/>
    <x v="2"/>
    <n v="0"/>
    <x v="2"/>
  </r>
  <r>
    <x v="30"/>
    <x v="1"/>
    <x v="403"/>
    <x v="1"/>
    <x v="4"/>
    <x v="6"/>
    <x v="0"/>
    <x v="3"/>
    <n v="0"/>
    <x v="2"/>
  </r>
  <r>
    <x v="30"/>
    <x v="1"/>
    <x v="403"/>
    <x v="1"/>
    <x v="4"/>
    <x v="6"/>
    <x v="0"/>
    <x v="4"/>
    <n v="0"/>
    <x v="2"/>
  </r>
  <r>
    <x v="30"/>
    <x v="1"/>
    <x v="403"/>
    <x v="1"/>
    <x v="4"/>
    <x v="6"/>
    <x v="0"/>
    <x v="5"/>
    <n v="0"/>
    <x v="2"/>
  </r>
  <r>
    <x v="30"/>
    <x v="1"/>
    <x v="403"/>
    <x v="1"/>
    <x v="4"/>
    <x v="6"/>
    <x v="0"/>
    <x v="6"/>
    <n v="0"/>
    <x v="2"/>
  </r>
  <r>
    <x v="30"/>
    <x v="1"/>
    <x v="403"/>
    <x v="1"/>
    <x v="4"/>
    <x v="6"/>
    <x v="0"/>
    <x v="7"/>
    <n v="0"/>
    <x v="2"/>
  </r>
  <r>
    <x v="30"/>
    <x v="1"/>
    <x v="403"/>
    <x v="1"/>
    <x v="4"/>
    <x v="6"/>
    <x v="0"/>
    <x v="8"/>
    <n v="987"/>
    <x v="2"/>
  </r>
  <r>
    <x v="30"/>
    <x v="1"/>
    <x v="403"/>
    <x v="1"/>
    <x v="4"/>
    <x v="6"/>
    <x v="0"/>
    <x v="9"/>
    <n v="0"/>
    <x v="2"/>
  </r>
  <r>
    <x v="30"/>
    <x v="1"/>
    <x v="403"/>
    <x v="1"/>
    <x v="4"/>
    <x v="6"/>
    <x v="0"/>
    <x v="10"/>
    <n v="0"/>
    <x v="2"/>
  </r>
  <r>
    <x v="30"/>
    <x v="1"/>
    <x v="403"/>
    <x v="1"/>
    <x v="4"/>
    <x v="6"/>
    <x v="0"/>
    <x v="12"/>
    <n v="0"/>
    <x v="2"/>
  </r>
  <r>
    <x v="30"/>
    <x v="1"/>
    <x v="404"/>
    <x v="1"/>
    <x v="4"/>
    <x v="6"/>
    <x v="0"/>
    <x v="0"/>
    <n v="0"/>
    <x v="2"/>
  </r>
  <r>
    <x v="30"/>
    <x v="1"/>
    <x v="404"/>
    <x v="1"/>
    <x v="4"/>
    <x v="6"/>
    <x v="0"/>
    <x v="1"/>
    <n v="0"/>
    <x v="2"/>
  </r>
  <r>
    <x v="30"/>
    <x v="1"/>
    <x v="404"/>
    <x v="1"/>
    <x v="4"/>
    <x v="6"/>
    <x v="0"/>
    <x v="2"/>
    <n v="0"/>
    <x v="2"/>
  </r>
  <r>
    <x v="30"/>
    <x v="1"/>
    <x v="404"/>
    <x v="1"/>
    <x v="4"/>
    <x v="6"/>
    <x v="0"/>
    <x v="3"/>
    <n v="0"/>
    <x v="2"/>
  </r>
  <r>
    <x v="30"/>
    <x v="1"/>
    <x v="404"/>
    <x v="1"/>
    <x v="4"/>
    <x v="6"/>
    <x v="0"/>
    <x v="4"/>
    <n v="0"/>
    <x v="2"/>
  </r>
  <r>
    <x v="30"/>
    <x v="1"/>
    <x v="404"/>
    <x v="1"/>
    <x v="4"/>
    <x v="6"/>
    <x v="0"/>
    <x v="5"/>
    <n v="0"/>
    <x v="2"/>
  </r>
  <r>
    <x v="30"/>
    <x v="1"/>
    <x v="404"/>
    <x v="1"/>
    <x v="4"/>
    <x v="6"/>
    <x v="0"/>
    <x v="6"/>
    <n v="0"/>
    <x v="2"/>
  </r>
  <r>
    <x v="30"/>
    <x v="1"/>
    <x v="404"/>
    <x v="1"/>
    <x v="4"/>
    <x v="6"/>
    <x v="0"/>
    <x v="7"/>
    <n v="0"/>
    <x v="2"/>
  </r>
  <r>
    <x v="30"/>
    <x v="1"/>
    <x v="404"/>
    <x v="1"/>
    <x v="4"/>
    <x v="6"/>
    <x v="0"/>
    <x v="8"/>
    <n v="0"/>
    <x v="2"/>
  </r>
  <r>
    <x v="30"/>
    <x v="1"/>
    <x v="404"/>
    <x v="1"/>
    <x v="4"/>
    <x v="6"/>
    <x v="0"/>
    <x v="9"/>
    <n v="0"/>
    <x v="2"/>
  </r>
  <r>
    <x v="30"/>
    <x v="1"/>
    <x v="404"/>
    <x v="1"/>
    <x v="4"/>
    <x v="6"/>
    <x v="0"/>
    <x v="10"/>
    <n v="0"/>
    <x v="2"/>
  </r>
  <r>
    <x v="30"/>
    <x v="1"/>
    <x v="404"/>
    <x v="1"/>
    <x v="4"/>
    <x v="6"/>
    <x v="0"/>
    <x v="12"/>
    <n v="1760.8"/>
    <x v="2"/>
  </r>
  <r>
    <x v="30"/>
    <x v="1"/>
    <x v="389"/>
    <x v="1"/>
    <x v="4"/>
    <x v="6"/>
    <x v="0"/>
    <x v="0"/>
    <n v="0"/>
    <x v="2"/>
  </r>
  <r>
    <x v="30"/>
    <x v="1"/>
    <x v="389"/>
    <x v="1"/>
    <x v="4"/>
    <x v="6"/>
    <x v="0"/>
    <x v="1"/>
    <n v="0"/>
    <x v="2"/>
  </r>
  <r>
    <x v="30"/>
    <x v="1"/>
    <x v="389"/>
    <x v="1"/>
    <x v="4"/>
    <x v="6"/>
    <x v="0"/>
    <x v="2"/>
    <n v="0"/>
    <x v="2"/>
  </r>
  <r>
    <x v="30"/>
    <x v="1"/>
    <x v="389"/>
    <x v="1"/>
    <x v="4"/>
    <x v="6"/>
    <x v="0"/>
    <x v="3"/>
    <n v="0"/>
    <x v="2"/>
  </r>
  <r>
    <x v="30"/>
    <x v="1"/>
    <x v="389"/>
    <x v="1"/>
    <x v="4"/>
    <x v="6"/>
    <x v="0"/>
    <x v="4"/>
    <n v="0"/>
    <x v="2"/>
  </r>
  <r>
    <x v="30"/>
    <x v="1"/>
    <x v="389"/>
    <x v="1"/>
    <x v="4"/>
    <x v="6"/>
    <x v="0"/>
    <x v="5"/>
    <n v="0"/>
    <x v="2"/>
  </r>
  <r>
    <x v="30"/>
    <x v="1"/>
    <x v="389"/>
    <x v="1"/>
    <x v="4"/>
    <x v="6"/>
    <x v="0"/>
    <x v="6"/>
    <n v="0"/>
    <x v="2"/>
  </r>
  <r>
    <x v="30"/>
    <x v="1"/>
    <x v="389"/>
    <x v="1"/>
    <x v="4"/>
    <x v="6"/>
    <x v="0"/>
    <x v="7"/>
    <n v="0"/>
    <x v="2"/>
  </r>
  <r>
    <x v="30"/>
    <x v="1"/>
    <x v="389"/>
    <x v="1"/>
    <x v="4"/>
    <x v="6"/>
    <x v="0"/>
    <x v="8"/>
    <n v="0"/>
    <x v="2"/>
  </r>
  <r>
    <x v="30"/>
    <x v="1"/>
    <x v="389"/>
    <x v="1"/>
    <x v="4"/>
    <x v="6"/>
    <x v="0"/>
    <x v="9"/>
    <n v="123"/>
    <x v="2"/>
  </r>
  <r>
    <x v="30"/>
    <x v="1"/>
    <x v="389"/>
    <x v="1"/>
    <x v="4"/>
    <x v="6"/>
    <x v="0"/>
    <x v="10"/>
    <n v="0"/>
    <x v="2"/>
  </r>
  <r>
    <x v="30"/>
    <x v="1"/>
    <x v="389"/>
    <x v="1"/>
    <x v="4"/>
    <x v="6"/>
    <x v="0"/>
    <x v="12"/>
    <n v="0"/>
    <x v="2"/>
  </r>
  <r>
    <x v="30"/>
    <x v="1"/>
    <x v="383"/>
    <x v="0"/>
    <x v="4"/>
    <x v="47"/>
    <x v="22"/>
    <x v="0"/>
    <n v="66.680000000000007"/>
    <x v="2"/>
  </r>
  <r>
    <x v="30"/>
    <x v="1"/>
    <x v="383"/>
    <x v="0"/>
    <x v="4"/>
    <x v="47"/>
    <x v="22"/>
    <x v="1"/>
    <n v="0"/>
    <x v="2"/>
  </r>
  <r>
    <x v="30"/>
    <x v="1"/>
    <x v="383"/>
    <x v="0"/>
    <x v="4"/>
    <x v="47"/>
    <x v="22"/>
    <x v="2"/>
    <n v="0"/>
    <x v="2"/>
  </r>
  <r>
    <x v="30"/>
    <x v="1"/>
    <x v="383"/>
    <x v="0"/>
    <x v="4"/>
    <x v="47"/>
    <x v="22"/>
    <x v="3"/>
    <n v="0"/>
    <x v="2"/>
  </r>
  <r>
    <x v="30"/>
    <x v="1"/>
    <x v="383"/>
    <x v="0"/>
    <x v="4"/>
    <x v="47"/>
    <x v="22"/>
    <x v="4"/>
    <n v="0"/>
    <x v="2"/>
  </r>
  <r>
    <x v="30"/>
    <x v="1"/>
    <x v="383"/>
    <x v="0"/>
    <x v="4"/>
    <x v="47"/>
    <x v="22"/>
    <x v="5"/>
    <n v="0"/>
    <x v="2"/>
  </r>
  <r>
    <x v="30"/>
    <x v="1"/>
    <x v="383"/>
    <x v="0"/>
    <x v="4"/>
    <x v="47"/>
    <x v="22"/>
    <x v="6"/>
    <n v="0"/>
    <x v="2"/>
  </r>
  <r>
    <x v="30"/>
    <x v="1"/>
    <x v="383"/>
    <x v="0"/>
    <x v="4"/>
    <x v="47"/>
    <x v="22"/>
    <x v="7"/>
    <n v="0"/>
    <x v="2"/>
  </r>
  <r>
    <x v="30"/>
    <x v="1"/>
    <x v="383"/>
    <x v="0"/>
    <x v="4"/>
    <x v="47"/>
    <x v="22"/>
    <x v="8"/>
    <n v="0"/>
    <x v="2"/>
  </r>
  <r>
    <x v="30"/>
    <x v="1"/>
    <x v="383"/>
    <x v="0"/>
    <x v="4"/>
    <x v="47"/>
    <x v="22"/>
    <x v="9"/>
    <n v="0"/>
    <x v="2"/>
  </r>
  <r>
    <x v="30"/>
    <x v="1"/>
    <x v="383"/>
    <x v="0"/>
    <x v="4"/>
    <x v="47"/>
    <x v="22"/>
    <x v="10"/>
    <n v="0"/>
    <x v="2"/>
  </r>
  <r>
    <x v="30"/>
    <x v="1"/>
    <x v="383"/>
    <x v="0"/>
    <x v="4"/>
    <x v="47"/>
    <x v="22"/>
    <x v="12"/>
    <n v="0"/>
    <x v="2"/>
  </r>
  <r>
    <x v="30"/>
    <x v="1"/>
    <x v="384"/>
    <x v="1"/>
    <x v="4"/>
    <x v="47"/>
    <x v="0"/>
    <x v="0"/>
    <n v="0"/>
    <x v="2"/>
  </r>
  <r>
    <x v="30"/>
    <x v="1"/>
    <x v="384"/>
    <x v="1"/>
    <x v="4"/>
    <x v="47"/>
    <x v="0"/>
    <x v="1"/>
    <n v="0"/>
    <x v="2"/>
  </r>
  <r>
    <x v="30"/>
    <x v="1"/>
    <x v="384"/>
    <x v="1"/>
    <x v="4"/>
    <x v="47"/>
    <x v="0"/>
    <x v="2"/>
    <n v="0"/>
    <x v="2"/>
  </r>
  <r>
    <x v="30"/>
    <x v="1"/>
    <x v="384"/>
    <x v="1"/>
    <x v="4"/>
    <x v="47"/>
    <x v="0"/>
    <x v="3"/>
    <n v="0"/>
    <x v="2"/>
  </r>
  <r>
    <x v="30"/>
    <x v="1"/>
    <x v="384"/>
    <x v="1"/>
    <x v="4"/>
    <x v="47"/>
    <x v="0"/>
    <x v="4"/>
    <n v="0"/>
    <x v="2"/>
  </r>
  <r>
    <x v="30"/>
    <x v="1"/>
    <x v="384"/>
    <x v="1"/>
    <x v="4"/>
    <x v="47"/>
    <x v="0"/>
    <x v="5"/>
    <n v="0"/>
    <x v="2"/>
  </r>
  <r>
    <x v="30"/>
    <x v="1"/>
    <x v="384"/>
    <x v="1"/>
    <x v="4"/>
    <x v="47"/>
    <x v="0"/>
    <x v="6"/>
    <n v="0"/>
    <x v="2"/>
  </r>
  <r>
    <x v="30"/>
    <x v="1"/>
    <x v="384"/>
    <x v="1"/>
    <x v="4"/>
    <x v="47"/>
    <x v="0"/>
    <x v="7"/>
    <n v="0"/>
    <x v="2"/>
  </r>
  <r>
    <x v="30"/>
    <x v="1"/>
    <x v="384"/>
    <x v="1"/>
    <x v="4"/>
    <x v="47"/>
    <x v="0"/>
    <x v="8"/>
    <n v="0"/>
    <x v="2"/>
  </r>
  <r>
    <x v="30"/>
    <x v="1"/>
    <x v="384"/>
    <x v="1"/>
    <x v="4"/>
    <x v="47"/>
    <x v="0"/>
    <x v="9"/>
    <n v="0"/>
    <x v="2"/>
  </r>
  <r>
    <x v="30"/>
    <x v="1"/>
    <x v="384"/>
    <x v="1"/>
    <x v="4"/>
    <x v="47"/>
    <x v="0"/>
    <x v="10"/>
    <n v="0"/>
    <x v="2"/>
  </r>
  <r>
    <x v="30"/>
    <x v="1"/>
    <x v="384"/>
    <x v="1"/>
    <x v="4"/>
    <x v="47"/>
    <x v="0"/>
    <x v="12"/>
    <n v="0"/>
    <x v="2"/>
  </r>
  <r>
    <x v="30"/>
    <x v="1"/>
    <x v="385"/>
    <x v="0"/>
    <x v="4"/>
    <x v="47"/>
    <x v="23"/>
    <x v="0"/>
    <n v="0"/>
    <x v="2"/>
  </r>
  <r>
    <x v="30"/>
    <x v="1"/>
    <x v="385"/>
    <x v="0"/>
    <x v="4"/>
    <x v="47"/>
    <x v="23"/>
    <x v="1"/>
    <n v="0"/>
    <x v="2"/>
  </r>
  <r>
    <x v="30"/>
    <x v="1"/>
    <x v="385"/>
    <x v="0"/>
    <x v="4"/>
    <x v="47"/>
    <x v="23"/>
    <x v="2"/>
    <n v="0"/>
    <x v="2"/>
  </r>
  <r>
    <x v="30"/>
    <x v="1"/>
    <x v="385"/>
    <x v="0"/>
    <x v="4"/>
    <x v="47"/>
    <x v="23"/>
    <x v="3"/>
    <n v="0"/>
    <x v="2"/>
  </r>
  <r>
    <x v="30"/>
    <x v="1"/>
    <x v="385"/>
    <x v="0"/>
    <x v="4"/>
    <x v="47"/>
    <x v="23"/>
    <x v="4"/>
    <n v="0"/>
    <x v="2"/>
  </r>
  <r>
    <x v="30"/>
    <x v="1"/>
    <x v="385"/>
    <x v="0"/>
    <x v="4"/>
    <x v="47"/>
    <x v="23"/>
    <x v="5"/>
    <n v="0"/>
    <x v="2"/>
  </r>
  <r>
    <x v="30"/>
    <x v="1"/>
    <x v="385"/>
    <x v="0"/>
    <x v="4"/>
    <x v="47"/>
    <x v="23"/>
    <x v="6"/>
    <n v="0"/>
    <x v="2"/>
  </r>
  <r>
    <x v="30"/>
    <x v="1"/>
    <x v="385"/>
    <x v="0"/>
    <x v="4"/>
    <x v="47"/>
    <x v="23"/>
    <x v="7"/>
    <n v="0"/>
    <x v="2"/>
  </r>
  <r>
    <x v="30"/>
    <x v="1"/>
    <x v="385"/>
    <x v="0"/>
    <x v="4"/>
    <x v="47"/>
    <x v="23"/>
    <x v="8"/>
    <n v="0"/>
    <x v="2"/>
  </r>
  <r>
    <x v="30"/>
    <x v="1"/>
    <x v="385"/>
    <x v="0"/>
    <x v="4"/>
    <x v="47"/>
    <x v="23"/>
    <x v="9"/>
    <n v="0"/>
    <x v="2"/>
  </r>
  <r>
    <x v="30"/>
    <x v="1"/>
    <x v="385"/>
    <x v="0"/>
    <x v="4"/>
    <x v="47"/>
    <x v="23"/>
    <x v="10"/>
    <n v="0"/>
    <x v="2"/>
  </r>
  <r>
    <x v="30"/>
    <x v="1"/>
    <x v="385"/>
    <x v="0"/>
    <x v="4"/>
    <x v="47"/>
    <x v="23"/>
    <x v="12"/>
    <n v="0"/>
    <x v="2"/>
  </r>
  <r>
    <x v="30"/>
    <x v="1"/>
    <x v="405"/>
    <x v="0"/>
    <x v="4"/>
    <x v="47"/>
    <x v="23"/>
    <x v="0"/>
    <n v="408.16"/>
    <x v="2"/>
  </r>
  <r>
    <x v="30"/>
    <x v="1"/>
    <x v="405"/>
    <x v="0"/>
    <x v="4"/>
    <x v="47"/>
    <x v="23"/>
    <x v="1"/>
    <n v="0"/>
    <x v="2"/>
  </r>
  <r>
    <x v="30"/>
    <x v="1"/>
    <x v="405"/>
    <x v="0"/>
    <x v="4"/>
    <x v="47"/>
    <x v="23"/>
    <x v="2"/>
    <n v="0"/>
    <x v="2"/>
  </r>
  <r>
    <x v="30"/>
    <x v="1"/>
    <x v="405"/>
    <x v="0"/>
    <x v="4"/>
    <x v="47"/>
    <x v="23"/>
    <x v="3"/>
    <n v="0"/>
    <x v="2"/>
  </r>
  <r>
    <x v="30"/>
    <x v="1"/>
    <x v="405"/>
    <x v="0"/>
    <x v="4"/>
    <x v="47"/>
    <x v="23"/>
    <x v="4"/>
    <n v="0"/>
    <x v="2"/>
  </r>
  <r>
    <x v="30"/>
    <x v="1"/>
    <x v="405"/>
    <x v="0"/>
    <x v="4"/>
    <x v="47"/>
    <x v="23"/>
    <x v="5"/>
    <n v="0"/>
    <x v="2"/>
  </r>
  <r>
    <x v="30"/>
    <x v="1"/>
    <x v="405"/>
    <x v="0"/>
    <x v="4"/>
    <x v="47"/>
    <x v="23"/>
    <x v="6"/>
    <n v="0"/>
    <x v="2"/>
  </r>
  <r>
    <x v="30"/>
    <x v="1"/>
    <x v="405"/>
    <x v="0"/>
    <x v="4"/>
    <x v="47"/>
    <x v="23"/>
    <x v="7"/>
    <n v="0"/>
    <x v="2"/>
  </r>
  <r>
    <x v="30"/>
    <x v="1"/>
    <x v="405"/>
    <x v="0"/>
    <x v="4"/>
    <x v="47"/>
    <x v="23"/>
    <x v="8"/>
    <n v="0"/>
    <x v="2"/>
  </r>
  <r>
    <x v="30"/>
    <x v="1"/>
    <x v="405"/>
    <x v="0"/>
    <x v="4"/>
    <x v="47"/>
    <x v="23"/>
    <x v="9"/>
    <n v="0"/>
    <x v="2"/>
  </r>
  <r>
    <x v="30"/>
    <x v="1"/>
    <x v="405"/>
    <x v="0"/>
    <x v="4"/>
    <x v="47"/>
    <x v="23"/>
    <x v="10"/>
    <n v="0"/>
    <x v="2"/>
  </r>
  <r>
    <x v="30"/>
    <x v="1"/>
    <x v="405"/>
    <x v="0"/>
    <x v="4"/>
    <x v="47"/>
    <x v="23"/>
    <x v="12"/>
    <n v="0"/>
    <x v="2"/>
  </r>
  <r>
    <x v="30"/>
    <x v="1"/>
    <x v="386"/>
    <x v="1"/>
    <x v="4"/>
    <x v="47"/>
    <x v="0"/>
    <x v="0"/>
    <n v="29.93"/>
    <x v="2"/>
  </r>
  <r>
    <x v="30"/>
    <x v="1"/>
    <x v="386"/>
    <x v="1"/>
    <x v="4"/>
    <x v="47"/>
    <x v="0"/>
    <x v="1"/>
    <n v="0"/>
    <x v="2"/>
  </r>
  <r>
    <x v="30"/>
    <x v="1"/>
    <x v="386"/>
    <x v="1"/>
    <x v="4"/>
    <x v="47"/>
    <x v="0"/>
    <x v="2"/>
    <n v="0"/>
    <x v="2"/>
  </r>
  <r>
    <x v="30"/>
    <x v="1"/>
    <x v="386"/>
    <x v="1"/>
    <x v="4"/>
    <x v="47"/>
    <x v="0"/>
    <x v="3"/>
    <n v="0"/>
    <x v="2"/>
  </r>
  <r>
    <x v="30"/>
    <x v="1"/>
    <x v="386"/>
    <x v="1"/>
    <x v="4"/>
    <x v="47"/>
    <x v="0"/>
    <x v="4"/>
    <n v="0"/>
    <x v="2"/>
  </r>
  <r>
    <x v="30"/>
    <x v="1"/>
    <x v="386"/>
    <x v="1"/>
    <x v="4"/>
    <x v="47"/>
    <x v="0"/>
    <x v="5"/>
    <n v="0"/>
    <x v="2"/>
  </r>
  <r>
    <x v="30"/>
    <x v="1"/>
    <x v="386"/>
    <x v="1"/>
    <x v="4"/>
    <x v="47"/>
    <x v="0"/>
    <x v="6"/>
    <n v="0"/>
    <x v="2"/>
  </r>
  <r>
    <x v="30"/>
    <x v="1"/>
    <x v="386"/>
    <x v="1"/>
    <x v="4"/>
    <x v="47"/>
    <x v="0"/>
    <x v="7"/>
    <n v="0"/>
    <x v="2"/>
  </r>
  <r>
    <x v="30"/>
    <x v="1"/>
    <x v="386"/>
    <x v="1"/>
    <x v="4"/>
    <x v="47"/>
    <x v="0"/>
    <x v="8"/>
    <n v="0"/>
    <x v="2"/>
  </r>
  <r>
    <x v="30"/>
    <x v="1"/>
    <x v="386"/>
    <x v="1"/>
    <x v="4"/>
    <x v="47"/>
    <x v="0"/>
    <x v="9"/>
    <n v="0"/>
    <x v="2"/>
  </r>
  <r>
    <x v="30"/>
    <x v="1"/>
    <x v="386"/>
    <x v="1"/>
    <x v="4"/>
    <x v="47"/>
    <x v="0"/>
    <x v="10"/>
    <n v="0"/>
    <x v="2"/>
  </r>
  <r>
    <x v="30"/>
    <x v="1"/>
    <x v="386"/>
    <x v="1"/>
    <x v="4"/>
    <x v="47"/>
    <x v="0"/>
    <x v="12"/>
    <n v="0"/>
    <x v="2"/>
  </r>
  <r>
    <x v="30"/>
    <x v="1"/>
    <x v="406"/>
    <x v="1"/>
    <x v="4"/>
    <x v="47"/>
    <x v="0"/>
    <x v="0"/>
    <n v="123.12"/>
    <x v="2"/>
  </r>
  <r>
    <x v="30"/>
    <x v="1"/>
    <x v="406"/>
    <x v="1"/>
    <x v="4"/>
    <x v="47"/>
    <x v="0"/>
    <x v="1"/>
    <n v="0"/>
    <x v="2"/>
  </r>
  <r>
    <x v="30"/>
    <x v="1"/>
    <x v="406"/>
    <x v="1"/>
    <x v="4"/>
    <x v="47"/>
    <x v="0"/>
    <x v="2"/>
    <n v="0"/>
    <x v="2"/>
  </r>
  <r>
    <x v="30"/>
    <x v="1"/>
    <x v="406"/>
    <x v="1"/>
    <x v="4"/>
    <x v="47"/>
    <x v="0"/>
    <x v="3"/>
    <n v="0"/>
    <x v="2"/>
  </r>
  <r>
    <x v="30"/>
    <x v="1"/>
    <x v="406"/>
    <x v="1"/>
    <x v="4"/>
    <x v="47"/>
    <x v="0"/>
    <x v="4"/>
    <n v="0"/>
    <x v="2"/>
  </r>
  <r>
    <x v="30"/>
    <x v="1"/>
    <x v="406"/>
    <x v="1"/>
    <x v="4"/>
    <x v="47"/>
    <x v="0"/>
    <x v="5"/>
    <n v="0"/>
    <x v="2"/>
  </r>
  <r>
    <x v="30"/>
    <x v="1"/>
    <x v="406"/>
    <x v="1"/>
    <x v="4"/>
    <x v="47"/>
    <x v="0"/>
    <x v="6"/>
    <n v="0"/>
    <x v="2"/>
  </r>
  <r>
    <x v="30"/>
    <x v="1"/>
    <x v="406"/>
    <x v="1"/>
    <x v="4"/>
    <x v="47"/>
    <x v="0"/>
    <x v="7"/>
    <n v="0"/>
    <x v="2"/>
  </r>
  <r>
    <x v="30"/>
    <x v="1"/>
    <x v="406"/>
    <x v="1"/>
    <x v="4"/>
    <x v="47"/>
    <x v="0"/>
    <x v="8"/>
    <n v="0"/>
    <x v="2"/>
  </r>
  <r>
    <x v="30"/>
    <x v="1"/>
    <x v="406"/>
    <x v="1"/>
    <x v="4"/>
    <x v="47"/>
    <x v="0"/>
    <x v="9"/>
    <n v="0"/>
    <x v="2"/>
  </r>
  <r>
    <x v="30"/>
    <x v="1"/>
    <x v="406"/>
    <x v="1"/>
    <x v="4"/>
    <x v="47"/>
    <x v="0"/>
    <x v="10"/>
    <n v="0"/>
    <x v="2"/>
  </r>
  <r>
    <x v="30"/>
    <x v="1"/>
    <x v="406"/>
    <x v="1"/>
    <x v="4"/>
    <x v="47"/>
    <x v="0"/>
    <x v="12"/>
    <n v="0"/>
    <x v="2"/>
  </r>
  <r>
    <x v="30"/>
    <x v="1"/>
    <x v="388"/>
    <x v="1"/>
    <x v="4"/>
    <x v="47"/>
    <x v="0"/>
    <x v="0"/>
    <n v="0"/>
    <x v="2"/>
  </r>
  <r>
    <x v="30"/>
    <x v="1"/>
    <x v="388"/>
    <x v="1"/>
    <x v="4"/>
    <x v="47"/>
    <x v="0"/>
    <x v="1"/>
    <n v="0"/>
    <x v="2"/>
  </r>
  <r>
    <x v="30"/>
    <x v="1"/>
    <x v="388"/>
    <x v="1"/>
    <x v="4"/>
    <x v="47"/>
    <x v="0"/>
    <x v="2"/>
    <n v="0"/>
    <x v="2"/>
  </r>
  <r>
    <x v="30"/>
    <x v="1"/>
    <x v="388"/>
    <x v="1"/>
    <x v="4"/>
    <x v="47"/>
    <x v="0"/>
    <x v="3"/>
    <n v="0"/>
    <x v="2"/>
  </r>
  <r>
    <x v="30"/>
    <x v="1"/>
    <x v="388"/>
    <x v="1"/>
    <x v="4"/>
    <x v="47"/>
    <x v="0"/>
    <x v="4"/>
    <n v="0"/>
    <x v="2"/>
  </r>
  <r>
    <x v="30"/>
    <x v="1"/>
    <x v="388"/>
    <x v="1"/>
    <x v="4"/>
    <x v="47"/>
    <x v="0"/>
    <x v="5"/>
    <n v="0"/>
    <x v="2"/>
  </r>
  <r>
    <x v="30"/>
    <x v="1"/>
    <x v="388"/>
    <x v="1"/>
    <x v="4"/>
    <x v="47"/>
    <x v="0"/>
    <x v="6"/>
    <n v="0"/>
    <x v="2"/>
  </r>
  <r>
    <x v="30"/>
    <x v="1"/>
    <x v="388"/>
    <x v="1"/>
    <x v="4"/>
    <x v="47"/>
    <x v="0"/>
    <x v="7"/>
    <n v="0"/>
    <x v="2"/>
  </r>
  <r>
    <x v="30"/>
    <x v="1"/>
    <x v="388"/>
    <x v="1"/>
    <x v="4"/>
    <x v="47"/>
    <x v="0"/>
    <x v="8"/>
    <n v="0"/>
    <x v="2"/>
  </r>
  <r>
    <x v="30"/>
    <x v="1"/>
    <x v="388"/>
    <x v="1"/>
    <x v="4"/>
    <x v="47"/>
    <x v="0"/>
    <x v="9"/>
    <n v="0"/>
    <x v="2"/>
  </r>
  <r>
    <x v="30"/>
    <x v="1"/>
    <x v="388"/>
    <x v="1"/>
    <x v="4"/>
    <x v="47"/>
    <x v="0"/>
    <x v="10"/>
    <n v="0"/>
    <x v="2"/>
  </r>
  <r>
    <x v="30"/>
    <x v="1"/>
    <x v="388"/>
    <x v="1"/>
    <x v="4"/>
    <x v="47"/>
    <x v="0"/>
    <x v="12"/>
    <n v="0"/>
    <x v="2"/>
  </r>
  <r>
    <x v="30"/>
    <x v="1"/>
    <x v="389"/>
    <x v="0"/>
    <x v="4"/>
    <x v="47"/>
    <x v="22"/>
    <x v="0"/>
    <n v="280.27999999999997"/>
    <x v="2"/>
  </r>
  <r>
    <x v="30"/>
    <x v="1"/>
    <x v="389"/>
    <x v="0"/>
    <x v="4"/>
    <x v="47"/>
    <x v="22"/>
    <x v="1"/>
    <n v="0"/>
    <x v="2"/>
  </r>
  <r>
    <x v="30"/>
    <x v="1"/>
    <x v="389"/>
    <x v="0"/>
    <x v="4"/>
    <x v="47"/>
    <x v="22"/>
    <x v="2"/>
    <n v="0"/>
    <x v="2"/>
  </r>
  <r>
    <x v="30"/>
    <x v="1"/>
    <x v="389"/>
    <x v="0"/>
    <x v="4"/>
    <x v="47"/>
    <x v="22"/>
    <x v="3"/>
    <n v="0"/>
    <x v="2"/>
  </r>
  <r>
    <x v="30"/>
    <x v="1"/>
    <x v="389"/>
    <x v="0"/>
    <x v="4"/>
    <x v="47"/>
    <x v="22"/>
    <x v="4"/>
    <n v="0"/>
    <x v="2"/>
  </r>
  <r>
    <x v="30"/>
    <x v="1"/>
    <x v="389"/>
    <x v="0"/>
    <x v="4"/>
    <x v="47"/>
    <x v="22"/>
    <x v="5"/>
    <n v="0"/>
    <x v="2"/>
  </r>
  <r>
    <x v="30"/>
    <x v="1"/>
    <x v="389"/>
    <x v="0"/>
    <x v="4"/>
    <x v="47"/>
    <x v="22"/>
    <x v="6"/>
    <n v="0"/>
    <x v="2"/>
  </r>
  <r>
    <x v="30"/>
    <x v="1"/>
    <x v="389"/>
    <x v="0"/>
    <x v="4"/>
    <x v="47"/>
    <x v="22"/>
    <x v="7"/>
    <n v="0"/>
    <x v="2"/>
  </r>
  <r>
    <x v="30"/>
    <x v="1"/>
    <x v="389"/>
    <x v="0"/>
    <x v="4"/>
    <x v="47"/>
    <x v="22"/>
    <x v="8"/>
    <n v="0"/>
    <x v="2"/>
  </r>
  <r>
    <x v="30"/>
    <x v="1"/>
    <x v="389"/>
    <x v="0"/>
    <x v="4"/>
    <x v="47"/>
    <x v="22"/>
    <x v="9"/>
    <n v="0"/>
    <x v="2"/>
  </r>
  <r>
    <x v="30"/>
    <x v="1"/>
    <x v="389"/>
    <x v="0"/>
    <x v="4"/>
    <x v="47"/>
    <x v="22"/>
    <x v="10"/>
    <n v="0"/>
    <x v="2"/>
  </r>
  <r>
    <x v="30"/>
    <x v="1"/>
    <x v="389"/>
    <x v="0"/>
    <x v="4"/>
    <x v="47"/>
    <x v="22"/>
    <x v="12"/>
    <n v="0"/>
    <x v="2"/>
  </r>
  <r>
    <x v="30"/>
    <x v="1"/>
    <x v="390"/>
    <x v="1"/>
    <x v="4"/>
    <x v="47"/>
    <x v="0"/>
    <x v="0"/>
    <n v="0"/>
    <x v="2"/>
  </r>
  <r>
    <x v="30"/>
    <x v="1"/>
    <x v="390"/>
    <x v="1"/>
    <x v="4"/>
    <x v="47"/>
    <x v="0"/>
    <x v="1"/>
    <n v="0"/>
    <x v="2"/>
  </r>
  <r>
    <x v="30"/>
    <x v="1"/>
    <x v="390"/>
    <x v="1"/>
    <x v="4"/>
    <x v="47"/>
    <x v="0"/>
    <x v="2"/>
    <n v="0"/>
    <x v="2"/>
  </r>
  <r>
    <x v="30"/>
    <x v="1"/>
    <x v="390"/>
    <x v="1"/>
    <x v="4"/>
    <x v="47"/>
    <x v="0"/>
    <x v="3"/>
    <n v="49"/>
    <x v="2"/>
  </r>
  <r>
    <x v="30"/>
    <x v="1"/>
    <x v="390"/>
    <x v="1"/>
    <x v="4"/>
    <x v="47"/>
    <x v="0"/>
    <x v="4"/>
    <n v="0"/>
    <x v="2"/>
  </r>
  <r>
    <x v="30"/>
    <x v="1"/>
    <x v="390"/>
    <x v="1"/>
    <x v="4"/>
    <x v="47"/>
    <x v="0"/>
    <x v="5"/>
    <n v="0"/>
    <x v="2"/>
  </r>
  <r>
    <x v="30"/>
    <x v="1"/>
    <x v="390"/>
    <x v="1"/>
    <x v="4"/>
    <x v="47"/>
    <x v="0"/>
    <x v="6"/>
    <n v="0"/>
    <x v="2"/>
  </r>
  <r>
    <x v="30"/>
    <x v="1"/>
    <x v="390"/>
    <x v="1"/>
    <x v="4"/>
    <x v="47"/>
    <x v="0"/>
    <x v="7"/>
    <n v="52.1"/>
    <x v="2"/>
  </r>
  <r>
    <x v="30"/>
    <x v="1"/>
    <x v="390"/>
    <x v="1"/>
    <x v="4"/>
    <x v="47"/>
    <x v="0"/>
    <x v="8"/>
    <n v="0"/>
    <x v="2"/>
  </r>
  <r>
    <x v="30"/>
    <x v="1"/>
    <x v="390"/>
    <x v="1"/>
    <x v="4"/>
    <x v="47"/>
    <x v="0"/>
    <x v="9"/>
    <n v="0"/>
    <x v="2"/>
  </r>
  <r>
    <x v="30"/>
    <x v="1"/>
    <x v="390"/>
    <x v="1"/>
    <x v="4"/>
    <x v="47"/>
    <x v="0"/>
    <x v="10"/>
    <n v="57"/>
    <x v="2"/>
  </r>
  <r>
    <x v="30"/>
    <x v="1"/>
    <x v="390"/>
    <x v="1"/>
    <x v="4"/>
    <x v="47"/>
    <x v="0"/>
    <x v="12"/>
    <n v="0"/>
    <x v="2"/>
  </r>
  <r>
    <x v="30"/>
    <x v="1"/>
    <x v="391"/>
    <x v="0"/>
    <x v="4"/>
    <x v="47"/>
    <x v="23"/>
    <x v="0"/>
    <n v="0"/>
    <x v="2"/>
  </r>
  <r>
    <x v="30"/>
    <x v="1"/>
    <x v="391"/>
    <x v="0"/>
    <x v="4"/>
    <x v="47"/>
    <x v="23"/>
    <x v="1"/>
    <n v="0"/>
    <x v="2"/>
  </r>
  <r>
    <x v="30"/>
    <x v="1"/>
    <x v="391"/>
    <x v="0"/>
    <x v="4"/>
    <x v="47"/>
    <x v="23"/>
    <x v="2"/>
    <n v="91.74"/>
    <x v="2"/>
  </r>
  <r>
    <x v="30"/>
    <x v="1"/>
    <x v="391"/>
    <x v="0"/>
    <x v="4"/>
    <x v="47"/>
    <x v="23"/>
    <x v="3"/>
    <n v="0"/>
    <x v="2"/>
  </r>
  <r>
    <x v="30"/>
    <x v="1"/>
    <x v="391"/>
    <x v="0"/>
    <x v="4"/>
    <x v="47"/>
    <x v="23"/>
    <x v="4"/>
    <n v="0"/>
    <x v="2"/>
  </r>
  <r>
    <x v="30"/>
    <x v="1"/>
    <x v="391"/>
    <x v="0"/>
    <x v="4"/>
    <x v="47"/>
    <x v="23"/>
    <x v="5"/>
    <n v="0"/>
    <x v="2"/>
  </r>
  <r>
    <x v="30"/>
    <x v="1"/>
    <x v="391"/>
    <x v="0"/>
    <x v="4"/>
    <x v="47"/>
    <x v="23"/>
    <x v="6"/>
    <n v="0"/>
    <x v="2"/>
  </r>
  <r>
    <x v="30"/>
    <x v="1"/>
    <x v="391"/>
    <x v="0"/>
    <x v="4"/>
    <x v="47"/>
    <x v="23"/>
    <x v="7"/>
    <n v="0"/>
    <x v="2"/>
  </r>
  <r>
    <x v="30"/>
    <x v="1"/>
    <x v="391"/>
    <x v="0"/>
    <x v="4"/>
    <x v="47"/>
    <x v="23"/>
    <x v="8"/>
    <n v="0"/>
    <x v="2"/>
  </r>
  <r>
    <x v="30"/>
    <x v="1"/>
    <x v="391"/>
    <x v="0"/>
    <x v="4"/>
    <x v="47"/>
    <x v="23"/>
    <x v="9"/>
    <n v="0"/>
    <x v="2"/>
  </r>
  <r>
    <x v="30"/>
    <x v="1"/>
    <x v="391"/>
    <x v="0"/>
    <x v="4"/>
    <x v="47"/>
    <x v="23"/>
    <x v="10"/>
    <n v="0"/>
    <x v="2"/>
  </r>
  <r>
    <x v="30"/>
    <x v="1"/>
    <x v="391"/>
    <x v="0"/>
    <x v="4"/>
    <x v="47"/>
    <x v="23"/>
    <x v="12"/>
    <n v="47"/>
    <x v="2"/>
  </r>
  <r>
    <x v="30"/>
    <x v="1"/>
    <x v="392"/>
    <x v="1"/>
    <x v="4"/>
    <x v="47"/>
    <x v="0"/>
    <x v="0"/>
    <n v="0"/>
    <x v="2"/>
  </r>
  <r>
    <x v="30"/>
    <x v="1"/>
    <x v="392"/>
    <x v="1"/>
    <x v="4"/>
    <x v="47"/>
    <x v="0"/>
    <x v="1"/>
    <n v="0"/>
    <x v="2"/>
  </r>
  <r>
    <x v="30"/>
    <x v="1"/>
    <x v="392"/>
    <x v="1"/>
    <x v="4"/>
    <x v="47"/>
    <x v="0"/>
    <x v="2"/>
    <n v="0"/>
    <x v="2"/>
  </r>
  <r>
    <x v="30"/>
    <x v="1"/>
    <x v="392"/>
    <x v="1"/>
    <x v="4"/>
    <x v="47"/>
    <x v="0"/>
    <x v="3"/>
    <n v="0"/>
    <x v="2"/>
  </r>
  <r>
    <x v="30"/>
    <x v="1"/>
    <x v="392"/>
    <x v="1"/>
    <x v="4"/>
    <x v="47"/>
    <x v="0"/>
    <x v="4"/>
    <n v="0"/>
    <x v="2"/>
  </r>
  <r>
    <x v="30"/>
    <x v="1"/>
    <x v="392"/>
    <x v="1"/>
    <x v="4"/>
    <x v="47"/>
    <x v="0"/>
    <x v="5"/>
    <n v="0"/>
    <x v="2"/>
  </r>
  <r>
    <x v="30"/>
    <x v="1"/>
    <x v="392"/>
    <x v="1"/>
    <x v="4"/>
    <x v="47"/>
    <x v="0"/>
    <x v="6"/>
    <n v="0"/>
    <x v="2"/>
  </r>
  <r>
    <x v="30"/>
    <x v="1"/>
    <x v="392"/>
    <x v="1"/>
    <x v="4"/>
    <x v="47"/>
    <x v="0"/>
    <x v="7"/>
    <n v="0"/>
    <x v="2"/>
  </r>
  <r>
    <x v="30"/>
    <x v="1"/>
    <x v="392"/>
    <x v="1"/>
    <x v="4"/>
    <x v="47"/>
    <x v="0"/>
    <x v="8"/>
    <n v="0"/>
    <x v="2"/>
  </r>
  <r>
    <x v="30"/>
    <x v="1"/>
    <x v="392"/>
    <x v="1"/>
    <x v="4"/>
    <x v="47"/>
    <x v="0"/>
    <x v="9"/>
    <n v="0"/>
    <x v="2"/>
  </r>
  <r>
    <x v="30"/>
    <x v="1"/>
    <x v="392"/>
    <x v="1"/>
    <x v="4"/>
    <x v="47"/>
    <x v="0"/>
    <x v="10"/>
    <n v="0"/>
    <x v="2"/>
  </r>
  <r>
    <x v="30"/>
    <x v="1"/>
    <x v="392"/>
    <x v="1"/>
    <x v="4"/>
    <x v="47"/>
    <x v="0"/>
    <x v="12"/>
    <n v="0"/>
    <x v="2"/>
  </r>
  <r>
    <x v="30"/>
    <x v="1"/>
    <x v="393"/>
    <x v="1"/>
    <x v="4"/>
    <x v="47"/>
    <x v="0"/>
    <x v="0"/>
    <n v="425.57"/>
    <x v="2"/>
  </r>
  <r>
    <x v="30"/>
    <x v="1"/>
    <x v="393"/>
    <x v="1"/>
    <x v="4"/>
    <x v="47"/>
    <x v="0"/>
    <x v="1"/>
    <n v="0"/>
    <x v="2"/>
  </r>
  <r>
    <x v="30"/>
    <x v="1"/>
    <x v="393"/>
    <x v="1"/>
    <x v="4"/>
    <x v="47"/>
    <x v="0"/>
    <x v="2"/>
    <n v="0"/>
    <x v="2"/>
  </r>
  <r>
    <x v="30"/>
    <x v="1"/>
    <x v="393"/>
    <x v="1"/>
    <x v="4"/>
    <x v="47"/>
    <x v="0"/>
    <x v="3"/>
    <n v="0"/>
    <x v="2"/>
  </r>
  <r>
    <x v="30"/>
    <x v="1"/>
    <x v="393"/>
    <x v="1"/>
    <x v="4"/>
    <x v="47"/>
    <x v="0"/>
    <x v="4"/>
    <n v="0"/>
    <x v="2"/>
  </r>
  <r>
    <x v="30"/>
    <x v="1"/>
    <x v="393"/>
    <x v="1"/>
    <x v="4"/>
    <x v="47"/>
    <x v="0"/>
    <x v="5"/>
    <n v="0"/>
    <x v="2"/>
  </r>
  <r>
    <x v="30"/>
    <x v="1"/>
    <x v="393"/>
    <x v="1"/>
    <x v="4"/>
    <x v="47"/>
    <x v="0"/>
    <x v="6"/>
    <n v="0"/>
    <x v="2"/>
  </r>
  <r>
    <x v="30"/>
    <x v="1"/>
    <x v="393"/>
    <x v="1"/>
    <x v="4"/>
    <x v="47"/>
    <x v="0"/>
    <x v="7"/>
    <n v="0"/>
    <x v="2"/>
  </r>
  <r>
    <x v="30"/>
    <x v="1"/>
    <x v="393"/>
    <x v="1"/>
    <x v="4"/>
    <x v="47"/>
    <x v="0"/>
    <x v="8"/>
    <n v="0"/>
    <x v="2"/>
  </r>
  <r>
    <x v="30"/>
    <x v="1"/>
    <x v="393"/>
    <x v="1"/>
    <x v="4"/>
    <x v="47"/>
    <x v="0"/>
    <x v="9"/>
    <n v="0"/>
    <x v="2"/>
  </r>
  <r>
    <x v="30"/>
    <x v="1"/>
    <x v="393"/>
    <x v="1"/>
    <x v="4"/>
    <x v="47"/>
    <x v="0"/>
    <x v="10"/>
    <n v="0"/>
    <x v="2"/>
  </r>
  <r>
    <x v="30"/>
    <x v="1"/>
    <x v="393"/>
    <x v="1"/>
    <x v="4"/>
    <x v="47"/>
    <x v="0"/>
    <x v="12"/>
    <n v="0"/>
    <x v="2"/>
  </r>
  <r>
    <x v="30"/>
    <x v="1"/>
    <x v="394"/>
    <x v="1"/>
    <x v="4"/>
    <x v="47"/>
    <x v="0"/>
    <x v="0"/>
    <n v="0"/>
    <x v="2"/>
  </r>
  <r>
    <x v="30"/>
    <x v="1"/>
    <x v="394"/>
    <x v="1"/>
    <x v="4"/>
    <x v="47"/>
    <x v="0"/>
    <x v="1"/>
    <n v="0"/>
    <x v="2"/>
  </r>
  <r>
    <x v="30"/>
    <x v="1"/>
    <x v="394"/>
    <x v="1"/>
    <x v="4"/>
    <x v="47"/>
    <x v="0"/>
    <x v="2"/>
    <n v="0"/>
    <x v="2"/>
  </r>
  <r>
    <x v="30"/>
    <x v="1"/>
    <x v="394"/>
    <x v="1"/>
    <x v="4"/>
    <x v="47"/>
    <x v="0"/>
    <x v="3"/>
    <n v="0"/>
    <x v="2"/>
  </r>
  <r>
    <x v="30"/>
    <x v="1"/>
    <x v="394"/>
    <x v="1"/>
    <x v="4"/>
    <x v="47"/>
    <x v="0"/>
    <x v="4"/>
    <n v="0"/>
    <x v="2"/>
  </r>
  <r>
    <x v="30"/>
    <x v="1"/>
    <x v="394"/>
    <x v="1"/>
    <x v="4"/>
    <x v="47"/>
    <x v="0"/>
    <x v="5"/>
    <n v="0"/>
    <x v="2"/>
  </r>
  <r>
    <x v="30"/>
    <x v="1"/>
    <x v="394"/>
    <x v="1"/>
    <x v="4"/>
    <x v="47"/>
    <x v="0"/>
    <x v="6"/>
    <n v="0"/>
    <x v="2"/>
  </r>
  <r>
    <x v="30"/>
    <x v="1"/>
    <x v="394"/>
    <x v="1"/>
    <x v="4"/>
    <x v="47"/>
    <x v="0"/>
    <x v="7"/>
    <n v="0"/>
    <x v="2"/>
  </r>
  <r>
    <x v="30"/>
    <x v="1"/>
    <x v="394"/>
    <x v="1"/>
    <x v="4"/>
    <x v="47"/>
    <x v="0"/>
    <x v="8"/>
    <n v="0"/>
    <x v="2"/>
  </r>
  <r>
    <x v="30"/>
    <x v="1"/>
    <x v="394"/>
    <x v="1"/>
    <x v="4"/>
    <x v="47"/>
    <x v="0"/>
    <x v="9"/>
    <n v="0"/>
    <x v="2"/>
  </r>
  <r>
    <x v="30"/>
    <x v="1"/>
    <x v="394"/>
    <x v="1"/>
    <x v="4"/>
    <x v="47"/>
    <x v="0"/>
    <x v="10"/>
    <n v="0"/>
    <x v="2"/>
  </r>
  <r>
    <x v="30"/>
    <x v="1"/>
    <x v="394"/>
    <x v="1"/>
    <x v="4"/>
    <x v="47"/>
    <x v="0"/>
    <x v="12"/>
    <n v="0"/>
    <x v="2"/>
  </r>
  <r>
    <x v="30"/>
    <x v="1"/>
    <x v="407"/>
    <x v="0"/>
    <x v="4"/>
    <x v="47"/>
    <x v="17"/>
    <x v="0"/>
    <n v="0"/>
    <x v="2"/>
  </r>
  <r>
    <x v="30"/>
    <x v="1"/>
    <x v="407"/>
    <x v="0"/>
    <x v="4"/>
    <x v="47"/>
    <x v="17"/>
    <x v="1"/>
    <n v="0"/>
    <x v="2"/>
  </r>
  <r>
    <x v="30"/>
    <x v="1"/>
    <x v="407"/>
    <x v="0"/>
    <x v="4"/>
    <x v="47"/>
    <x v="17"/>
    <x v="2"/>
    <n v="0"/>
    <x v="2"/>
  </r>
  <r>
    <x v="30"/>
    <x v="1"/>
    <x v="407"/>
    <x v="0"/>
    <x v="4"/>
    <x v="47"/>
    <x v="17"/>
    <x v="3"/>
    <n v="0"/>
    <x v="2"/>
  </r>
  <r>
    <x v="30"/>
    <x v="1"/>
    <x v="407"/>
    <x v="0"/>
    <x v="4"/>
    <x v="47"/>
    <x v="17"/>
    <x v="4"/>
    <n v="189.33"/>
    <x v="2"/>
  </r>
  <r>
    <x v="30"/>
    <x v="1"/>
    <x v="407"/>
    <x v="0"/>
    <x v="4"/>
    <x v="47"/>
    <x v="17"/>
    <x v="5"/>
    <n v="0"/>
    <x v="2"/>
  </r>
  <r>
    <x v="30"/>
    <x v="1"/>
    <x v="407"/>
    <x v="0"/>
    <x v="4"/>
    <x v="47"/>
    <x v="17"/>
    <x v="6"/>
    <n v="0"/>
    <x v="2"/>
  </r>
  <r>
    <x v="30"/>
    <x v="1"/>
    <x v="407"/>
    <x v="0"/>
    <x v="4"/>
    <x v="47"/>
    <x v="17"/>
    <x v="7"/>
    <n v="1235.79"/>
    <x v="2"/>
  </r>
  <r>
    <x v="30"/>
    <x v="1"/>
    <x v="407"/>
    <x v="0"/>
    <x v="4"/>
    <x v="47"/>
    <x v="17"/>
    <x v="8"/>
    <n v="0"/>
    <x v="2"/>
  </r>
  <r>
    <x v="30"/>
    <x v="1"/>
    <x v="407"/>
    <x v="0"/>
    <x v="4"/>
    <x v="47"/>
    <x v="17"/>
    <x v="9"/>
    <n v="0"/>
    <x v="2"/>
  </r>
  <r>
    <x v="30"/>
    <x v="1"/>
    <x v="407"/>
    <x v="0"/>
    <x v="4"/>
    <x v="47"/>
    <x v="17"/>
    <x v="10"/>
    <n v="0"/>
    <x v="2"/>
  </r>
  <r>
    <x v="30"/>
    <x v="1"/>
    <x v="407"/>
    <x v="0"/>
    <x v="4"/>
    <x v="47"/>
    <x v="17"/>
    <x v="12"/>
    <n v="175"/>
    <x v="2"/>
  </r>
  <r>
    <x v="30"/>
    <x v="1"/>
    <x v="383"/>
    <x v="0"/>
    <x v="4"/>
    <x v="43"/>
    <x v="22"/>
    <x v="0"/>
    <n v="350.74"/>
    <x v="2"/>
  </r>
  <r>
    <x v="30"/>
    <x v="1"/>
    <x v="383"/>
    <x v="0"/>
    <x v="4"/>
    <x v="43"/>
    <x v="22"/>
    <x v="1"/>
    <n v="0"/>
    <x v="2"/>
  </r>
  <r>
    <x v="30"/>
    <x v="1"/>
    <x v="383"/>
    <x v="0"/>
    <x v="4"/>
    <x v="43"/>
    <x v="22"/>
    <x v="2"/>
    <n v="0"/>
    <x v="2"/>
  </r>
  <r>
    <x v="30"/>
    <x v="1"/>
    <x v="383"/>
    <x v="0"/>
    <x v="4"/>
    <x v="43"/>
    <x v="22"/>
    <x v="3"/>
    <n v="0"/>
    <x v="2"/>
  </r>
  <r>
    <x v="30"/>
    <x v="1"/>
    <x v="383"/>
    <x v="0"/>
    <x v="4"/>
    <x v="43"/>
    <x v="22"/>
    <x v="4"/>
    <n v="0"/>
    <x v="2"/>
  </r>
  <r>
    <x v="30"/>
    <x v="1"/>
    <x v="383"/>
    <x v="0"/>
    <x v="4"/>
    <x v="43"/>
    <x v="22"/>
    <x v="5"/>
    <n v="0"/>
    <x v="2"/>
  </r>
  <r>
    <x v="30"/>
    <x v="1"/>
    <x v="383"/>
    <x v="0"/>
    <x v="4"/>
    <x v="43"/>
    <x v="22"/>
    <x v="6"/>
    <n v="0"/>
    <x v="2"/>
  </r>
  <r>
    <x v="30"/>
    <x v="1"/>
    <x v="383"/>
    <x v="0"/>
    <x v="4"/>
    <x v="43"/>
    <x v="22"/>
    <x v="7"/>
    <n v="0"/>
    <x v="2"/>
  </r>
  <r>
    <x v="30"/>
    <x v="1"/>
    <x v="383"/>
    <x v="0"/>
    <x v="4"/>
    <x v="43"/>
    <x v="22"/>
    <x v="8"/>
    <n v="0"/>
    <x v="2"/>
  </r>
  <r>
    <x v="30"/>
    <x v="1"/>
    <x v="383"/>
    <x v="0"/>
    <x v="4"/>
    <x v="43"/>
    <x v="22"/>
    <x v="9"/>
    <n v="0"/>
    <x v="2"/>
  </r>
  <r>
    <x v="30"/>
    <x v="1"/>
    <x v="383"/>
    <x v="0"/>
    <x v="4"/>
    <x v="43"/>
    <x v="22"/>
    <x v="10"/>
    <n v="0"/>
    <x v="2"/>
  </r>
  <r>
    <x v="30"/>
    <x v="1"/>
    <x v="383"/>
    <x v="0"/>
    <x v="4"/>
    <x v="43"/>
    <x v="22"/>
    <x v="12"/>
    <n v="0"/>
    <x v="2"/>
  </r>
  <r>
    <x v="30"/>
    <x v="1"/>
    <x v="384"/>
    <x v="1"/>
    <x v="4"/>
    <x v="43"/>
    <x v="0"/>
    <x v="0"/>
    <n v="0"/>
    <x v="2"/>
  </r>
  <r>
    <x v="30"/>
    <x v="1"/>
    <x v="384"/>
    <x v="1"/>
    <x v="4"/>
    <x v="43"/>
    <x v="0"/>
    <x v="1"/>
    <n v="0"/>
    <x v="2"/>
  </r>
  <r>
    <x v="30"/>
    <x v="1"/>
    <x v="384"/>
    <x v="1"/>
    <x v="4"/>
    <x v="43"/>
    <x v="0"/>
    <x v="2"/>
    <n v="0"/>
    <x v="2"/>
  </r>
  <r>
    <x v="30"/>
    <x v="1"/>
    <x v="384"/>
    <x v="1"/>
    <x v="4"/>
    <x v="43"/>
    <x v="0"/>
    <x v="3"/>
    <n v="0"/>
    <x v="2"/>
  </r>
  <r>
    <x v="30"/>
    <x v="1"/>
    <x v="384"/>
    <x v="1"/>
    <x v="4"/>
    <x v="43"/>
    <x v="0"/>
    <x v="4"/>
    <n v="0"/>
    <x v="2"/>
  </r>
  <r>
    <x v="30"/>
    <x v="1"/>
    <x v="384"/>
    <x v="1"/>
    <x v="4"/>
    <x v="43"/>
    <x v="0"/>
    <x v="5"/>
    <n v="0"/>
    <x v="2"/>
  </r>
  <r>
    <x v="30"/>
    <x v="1"/>
    <x v="384"/>
    <x v="1"/>
    <x v="4"/>
    <x v="43"/>
    <x v="0"/>
    <x v="6"/>
    <n v="0"/>
    <x v="2"/>
  </r>
  <r>
    <x v="30"/>
    <x v="1"/>
    <x v="384"/>
    <x v="1"/>
    <x v="4"/>
    <x v="43"/>
    <x v="0"/>
    <x v="7"/>
    <n v="0"/>
    <x v="2"/>
  </r>
  <r>
    <x v="30"/>
    <x v="1"/>
    <x v="384"/>
    <x v="1"/>
    <x v="4"/>
    <x v="43"/>
    <x v="0"/>
    <x v="8"/>
    <n v="0"/>
    <x v="2"/>
  </r>
  <r>
    <x v="30"/>
    <x v="1"/>
    <x v="384"/>
    <x v="1"/>
    <x v="4"/>
    <x v="43"/>
    <x v="0"/>
    <x v="9"/>
    <n v="0"/>
    <x v="2"/>
  </r>
  <r>
    <x v="30"/>
    <x v="1"/>
    <x v="384"/>
    <x v="1"/>
    <x v="4"/>
    <x v="43"/>
    <x v="0"/>
    <x v="10"/>
    <n v="0"/>
    <x v="2"/>
  </r>
  <r>
    <x v="30"/>
    <x v="1"/>
    <x v="384"/>
    <x v="1"/>
    <x v="4"/>
    <x v="43"/>
    <x v="0"/>
    <x v="12"/>
    <n v="0"/>
    <x v="2"/>
  </r>
  <r>
    <x v="30"/>
    <x v="1"/>
    <x v="385"/>
    <x v="0"/>
    <x v="4"/>
    <x v="43"/>
    <x v="23"/>
    <x v="0"/>
    <n v="0"/>
    <x v="2"/>
  </r>
  <r>
    <x v="30"/>
    <x v="1"/>
    <x v="385"/>
    <x v="0"/>
    <x v="4"/>
    <x v="43"/>
    <x v="23"/>
    <x v="1"/>
    <n v="0"/>
    <x v="2"/>
  </r>
  <r>
    <x v="30"/>
    <x v="1"/>
    <x v="385"/>
    <x v="0"/>
    <x v="4"/>
    <x v="43"/>
    <x v="23"/>
    <x v="2"/>
    <n v="0"/>
    <x v="2"/>
  </r>
  <r>
    <x v="30"/>
    <x v="1"/>
    <x v="385"/>
    <x v="0"/>
    <x v="4"/>
    <x v="43"/>
    <x v="23"/>
    <x v="3"/>
    <n v="0"/>
    <x v="2"/>
  </r>
  <r>
    <x v="30"/>
    <x v="1"/>
    <x v="385"/>
    <x v="0"/>
    <x v="4"/>
    <x v="43"/>
    <x v="23"/>
    <x v="4"/>
    <n v="0"/>
    <x v="2"/>
  </r>
  <r>
    <x v="30"/>
    <x v="1"/>
    <x v="385"/>
    <x v="0"/>
    <x v="4"/>
    <x v="43"/>
    <x v="23"/>
    <x v="5"/>
    <n v="0"/>
    <x v="2"/>
  </r>
  <r>
    <x v="30"/>
    <x v="1"/>
    <x v="385"/>
    <x v="0"/>
    <x v="4"/>
    <x v="43"/>
    <x v="23"/>
    <x v="6"/>
    <n v="0"/>
    <x v="2"/>
  </r>
  <r>
    <x v="30"/>
    <x v="1"/>
    <x v="385"/>
    <x v="0"/>
    <x v="4"/>
    <x v="43"/>
    <x v="23"/>
    <x v="7"/>
    <n v="0"/>
    <x v="2"/>
  </r>
  <r>
    <x v="30"/>
    <x v="1"/>
    <x v="385"/>
    <x v="0"/>
    <x v="4"/>
    <x v="43"/>
    <x v="23"/>
    <x v="8"/>
    <n v="0"/>
    <x v="2"/>
  </r>
  <r>
    <x v="30"/>
    <x v="1"/>
    <x v="385"/>
    <x v="0"/>
    <x v="4"/>
    <x v="43"/>
    <x v="23"/>
    <x v="9"/>
    <n v="0"/>
    <x v="2"/>
  </r>
  <r>
    <x v="30"/>
    <x v="1"/>
    <x v="385"/>
    <x v="0"/>
    <x v="4"/>
    <x v="43"/>
    <x v="23"/>
    <x v="10"/>
    <n v="0"/>
    <x v="2"/>
  </r>
  <r>
    <x v="30"/>
    <x v="1"/>
    <x v="385"/>
    <x v="0"/>
    <x v="4"/>
    <x v="43"/>
    <x v="23"/>
    <x v="12"/>
    <n v="0"/>
    <x v="2"/>
  </r>
  <r>
    <x v="30"/>
    <x v="1"/>
    <x v="386"/>
    <x v="1"/>
    <x v="4"/>
    <x v="43"/>
    <x v="0"/>
    <x v="0"/>
    <n v="30.36"/>
    <x v="2"/>
  </r>
  <r>
    <x v="30"/>
    <x v="1"/>
    <x v="386"/>
    <x v="1"/>
    <x v="4"/>
    <x v="43"/>
    <x v="0"/>
    <x v="1"/>
    <n v="0"/>
    <x v="2"/>
  </r>
  <r>
    <x v="30"/>
    <x v="1"/>
    <x v="386"/>
    <x v="1"/>
    <x v="4"/>
    <x v="43"/>
    <x v="0"/>
    <x v="2"/>
    <n v="0"/>
    <x v="2"/>
  </r>
  <r>
    <x v="30"/>
    <x v="1"/>
    <x v="386"/>
    <x v="1"/>
    <x v="4"/>
    <x v="43"/>
    <x v="0"/>
    <x v="3"/>
    <n v="0"/>
    <x v="2"/>
  </r>
  <r>
    <x v="30"/>
    <x v="1"/>
    <x v="386"/>
    <x v="1"/>
    <x v="4"/>
    <x v="43"/>
    <x v="0"/>
    <x v="4"/>
    <n v="0"/>
    <x v="2"/>
  </r>
  <r>
    <x v="30"/>
    <x v="1"/>
    <x v="386"/>
    <x v="1"/>
    <x v="4"/>
    <x v="43"/>
    <x v="0"/>
    <x v="5"/>
    <n v="0"/>
    <x v="2"/>
  </r>
  <r>
    <x v="30"/>
    <x v="1"/>
    <x v="386"/>
    <x v="1"/>
    <x v="4"/>
    <x v="43"/>
    <x v="0"/>
    <x v="6"/>
    <n v="0"/>
    <x v="2"/>
  </r>
  <r>
    <x v="30"/>
    <x v="1"/>
    <x v="386"/>
    <x v="1"/>
    <x v="4"/>
    <x v="43"/>
    <x v="0"/>
    <x v="7"/>
    <n v="0"/>
    <x v="2"/>
  </r>
  <r>
    <x v="30"/>
    <x v="1"/>
    <x v="386"/>
    <x v="1"/>
    <x v="4"/>
    <x v="43"/>
    <x v="0"/>
    <x v="8"/>
    <n v="0"/>
    <x v="2"/>
  </r>
  <r>
    <x v="30"/>
    <x v="1"/>
    <x v="386"/>
    <x v="1"/>
    <x v="4"/>
    <x v="43"/>
    <x v="0"/>
    <x v="9"/>
    <n v="0"/>
    <x v="2"/>
  </r>
  <r>
    <x v="30"/>
    <x v="1"/>
    <x v="386"/>
    <x v="1"/>
    <x v="4"/>
    <x v="43"/>
    <x v="0"/>
    <x v="10"/>
    <n v="0"/>
    <x v="2"/>
  </r>
  <r>
    <x v="30"/>
    <x v="1"/>
    <x v="386"/>
    <x v="1"/>
    <x v="4"/>
    <x v="43"/>
    <x v="0"/>
    <x v="12"/>
    <n v="0"/>
    <x v="2"/>
  </r>
  <r>
    <x v="30"/>
    <x v="1"/>
    <x v="387"/>
    <x v="1"/>
    <x v="4"/>
    <x v="43"/>
    <x v="0"/>
    <x v="0"/>
    <n v="537.14"/>
    <x v="2"/>
  </r>
  <r>
    <x v="30"/>
    <x v="1"/>
    <x v="387"/>
    <x v="1"/>
    <x v="4"/>
    <x v="43"/>
    <x v="0"/>
    <x v="1"/>
    <n v="0"/>
    <x v="2"/>
  </r>
  <r>
    <x v="30"/>
    <x v="1"/>
    <x v="387"/>
    <x v="1"/>
    <x v="4"/>
    <x v="43"/>
    <x v="0"/>
    <x v="2"/>
    <n v="0"/>
    <x v="2"/>
  </r>
  <r>
    <x v="30"/>
    <x v="1"/>
    <x v="387"/>
    <x v="1"/>
    <x v="4"/>
    <x v="43"/>
    <x v="0"/>
    <x v="3"/>
    <n v="0"/>
    <x v="2"/>
  </r>
  <r>
    <x v="30"/>
    <x v="1"/>
    <x v="387"/>
    <x v="1"/>
    <x v="4"/>
    <x v="43"/>
    <x v="0"/>
    <x v="4"/>
    <n v="0"/>
    <x v="2"/>
  </r>
  <r>
    <x v="30"/>
    <x v="1"/>
    <x v="387"/>
    <x v="1"/>
    <x v="4"/>
    <x v="43"/>
    <x v="0"/>
    <x v="5"/>
    <n v="0"/>
    <x v="2"/>
  </r>
  <r>
    <x v="30"/>
    <x v="1"/>
    <x v="387"/>
    <x v="1"/>
    <x v="4"/>
    <x v="43"/>
    <x v="0"/>
    <x v="6"/>
    <n v="60"/>
    <x v="2"/>
  </r>
  <r>
    <x v="30"/>
    <x v="1"/>
    <x v="387"/>
    <x v="1"/>
    <x v="4"/>
    <x v="43"/>
    <x v="0"/>
    <x v="7"/>
    <n v="0"/>
    <x v="2"/>
  </r>
  <r>
    <x v="30"/>
    <x v="1"/>
    <x v="387"/>
    <x v="1"/>
    <x v="4"/>
    <x v="43"/>
    <x v="0"/>
    <x v="8"/>
    <n v="0"/>
    <x v="2"/>
  </r>
  <r>
    <x v="30"/>
    <x v="1"/>
    <x v="387"/>
    <x v="1"/>
    <x v="4"/>
    <x v="43"/>
    <x v="0"/>
    <x v="9"/>
    <n v="0"/>
    <x v="2"/>
  </r>
  <r>
    <x v="30"/>
    <x v="1"/>
    <x v="387"/>
    <x v="1"/>
    <x v="4"/>
    <x v="43"/>
    <x v="0"/>
    <x v="10"/>
    <n v="0"/>
    <x v="2"/>
  </r>
  <r>
    <x v="30"/>
    <x v="1"/>
    <x v="387"/>
    <x v="1"/>
    <x v="4"/>
    <x v="43"/>
    <x v="0"/>
    <x v="12"/>
    <n v="0"/>
    <x v="2"/>
  </r>
  <r>
    <x v="30"/>
    <x v="1"/>
    <x v="388"/>
    <x v="1"/>
    <x v="4"/>
    <x v="43"/>
    <x v="0"/>
    <x v="0"/>
    <n v="0"/>
    <x v="2"/>
  </r>
  <r>
    <x v="30"/>
    <x v="1"/>
    <x v="388"/>
    <x v="1"/>
    <x v="4"/>
    <x v="43"/>
    <x v="0"/>
    <x v="1"/>
    <n v="0"/>
    <x v="2"/>
  </r>
  <r>
    <x v="30"/>
    <x v="1"/>
    <x v="388"/>
    <x v="1"/>
    <x v="4"/>
    <x v="43"/>
    <x v="0"/>
    <x v="2"/>
    <n v="0"/>
    <x v="2"/>
  </r>
  <r>
    <x v="30"/>
    <x v="1"/>
    <x v="388"/>
    <x v="1"/>
    <x v="4"/>
    <x v="43"/>
    <x v="0"/>
    <x v="3"/>
    <n v="0"/>
    <x v="2"/>
  </r>
  <r>
    <x v="30"/>
    <x v="1"/>
    <x v="388"/>
    <x v="1"/>
    <x v="4"/>
    <x v="43"/>
    <x v="0"/>
    <x v="4"/>
    <n v="0"/>
    <x v="2"/>
  </r>
  <r>
    <x v="30"/>
    <x v="1"/>
    <x v="388"/>
    <x v="1"/>
    <x v="4"/>
    <x v="43"/>
    <x v="0"/>
    <x v="5"/>
    <n v="0"/>
    <x v="2"/>
  </r>
  <r>
    <x v="30"/>
    <x v="1"/>
    <x v="388"/>
    <x v="1"/>
    <x v="4"/>
    <x v="43"/>
    <x v="0"/>
    <x v="6"/>
    <n v="0"/>
    <x v="2"/>
  </r>
  <r>
    <x v="30"/>
    <x v="1"/>
    <x v="388"/>
    <x v="1"/>
    <x v="4"/>
    <x v="43"/>
    <x v="0"/>
    <x v="7"/>
    <n v="0"/>
    <x v="2"/>
  </r>
  <r>
    <x v="30"/>
    <x v="1"/>
    <x v="388"/>
    <x v="1"/>
    <x v="4"/>
    <x v="43"/>
    <x v="0"/>
    <x v="8"/>
    <n v="0"/>
    <x v="2"/>
  </r>
  <r>
    <x v="30"/>
    <x v="1"/>
    <x v="388"/>
    <x v="1"/>
    <x v="4"/>
    <x v="43"/>
    <x v="0"/>
    <x v="9"/>
    <n v="0"/>
    <x v="2"/>
  </r>
  <r>
    <x v="30"/>
    <x v="1"/>
    <x v="388"/>
    <x v="1"/>
    <x v="4"/>
    <x v="43"/>
    <x v="0"/>
    <x v="10"/>
    <n v="0"/>
    <x v="2"/>
  </r>
  <r>
    <x v="30"/>
    <x v="1"/>
    <x v="388"/>
    <x v="1"/>
    <x v="4"/>
    <x v="43"/>
    <x v="0"/>
    <x v="12"/>
    <n v="0"/>
    <x v="2"/>
  </r>
  <r>
    <x v="30"/>
    <x v="1"/>
    <x v="408"/>
    <x v="1"/>
    <x v="4"/>
    <x v="43"/>
    <x v="0"/>
    <x v="0"/>
    <n v="0"/>
    <x v="2"/>
  </r>
  <r>
    <x v="30"/>
    <x v="1"/>
    <x v="408"/>
    <x v="1"/>
    <x v="4"/>
    <x v="43"/>
    <x v="0"/>
    <x v="1"/>
    <n v="0"/>
    <x v="2"/>
  </r>
  <r>
    <x v="30"/>
    <x v="1"/>
    <x v="408"/>
    <x v="1"/>
    <x v="4"/>
    <x v="43"/>
    <x v="0"/>
    <x v="2"/>
    <n v="0"/>
    <x v="2"/>
  </r>
  <r>
    <x v="30"/>
    <x v="1"/>
    <x v="408"/>
    <x v="1"/>
    <x v="4"/>
    <x v="43"/>
    <x v="0"/>
    <x v="3"/>
    <n v="0"/>
    <x v="2"/>
  </r>
  <r>
    <x v="30"/>
    <x v="1"/>
    <x v="408"/>
    <x v="1"/>
    <x v="4"/>
    <x v="43"/>
    <x v="0"/>
    <x v="4"/>
    <n v="0"/>
    <x v="2"/>
  </r>
  <r>
    <x v="30"/>
    <x v="1"/>
    <x v="408"/>
    <x v="1"/>
    <x v="4"/>
    <x v="43"/>
    <x v="0"/>
    <x v="5"/>
    <n v="0"/>
    <x v="2"/>
  </r>
  <r>
    <x v="30"/>
    <x v="1"/>
    <x v="408"/>
    <x v="1"/>
    <x v="4"/>
    <x v="43"/>
    <x v="0"/>
    <x v="6"/>
    <n v="0"/>
    <x v="2"/>
  </r>
  <r>
    <x v="30"/>
    <x v="1"/>
    <x v="408"/>
    <x v="1"/>
    <x v="4"/>
    <x v="43"/>
    <x v="0"/>
    <x v="7"/>
    <n v="0"/>
    <x v="2"/>
  </r>
  <r>
    <x v="30"/>
    <x v="1"/>
    <x v="408"/>
    <x v="1"/>
    <x v="4"/>
    <x v="43"/>
    <x v="0"/>
    <x v="8"/>
    <n v="616"/>
    <x v="2"/>
  </r>
  <r>
    <x v="30"/>
    <x v="1"/>
    <x v="408"/>
    <x v="1"/>
    <x v="4"/>
    <x v="43"/>
    <x v="0"/>
    <x v="9"/>
    <n v="0"/>
    <x v="2"/>
  </r>
  <r>
    <x v="30"/>
    <x v="1"/>
    <x v="408"/>
    <x v="1"/>
    <x v="4"/>
    <x v="43"/>
    <x v="0"/>
    <x v="10"/>
    <n v="0"/>
    <x v="2"/>
  </r>
  <r>
    <x v="30"/>
    <x v="1"/>
    <x v="408"/>
    <x v="1"/>
    <x v="4"/>
    <x v="43"/>
    <x v="0"/>
    <x v="12"/>
    <n v="0"/>
    <x v="2"/>
  </r>
  <r>
    <x v="30"/>
    <x v="1"/>
    <x v="389"/>
    <x v="0"/>
    <x v="4"/>
    <x v="43"/>
    <x v="22"/>
    <x v="0"/>
    <n v="62.8"/>
    <x v="2"/>
  </r>
  <r>
    <x v="30"/>
    <x v="1"/>
    <x v="389"/>
    <x v="0"/>
    <x v="4"/>
    <x v="43"/>
    <x v="22"/>
    <x v="1"/>
    <n v="0"/>
    <x v="2"/>
  </r>
  <r>
    <x v="30"/>
    <x v="1"/>
    <x v="389"/>
    <x v="0"/>
    <x v="4"/>
    <x v="43"/>
    <x v="22"/>
    <x v="2"/>
    <n v="0"/>
    <x v="2"/>
  </r>
  <r>
    <x v="30"/>
    <x v="1"/>
    <x v="389"/>
    <x v="0"/>
    <x v="4"/>
    <x v="43"/>
    <x v="22"/>
    <x v="3"/>
    <n v="0"/>
    <x v="2"/>
  </r>
  <r>
    <x v="30"/>
    <x v="1"/>
    <x v="389"/>
    <x v="0"/>
    <x v="4"/>
    <x v="43"/>
    <x v="22"/>
    <x v="4"/>
    <n v="0"/>
    <x v="2"/>
  </r>
  <r>
    <x v="30"/>
    <x v="1"/>
    <x v="389"/>
    <x v="0"/>
    <x v="4"/>
    <x v="43"/>
    <x v="22"/>
    <x v="5"/>
    <n v="0"/>
    <x v="2"/>
  </r>
  <r>
    <x v="30"/>
    <x v="1"/>
    <x v="389"/>
    <x v="0"/>
    <x v="4"/>
    <x v="43"/>
    <x v="22"/>
    <x v="6"/>
    <n v="0"/>
    <x v="2"/>
  </r>
  <r>
    <x v="30"/>
    <x v="1"/>
    <x v="389"/>
    <x v="0"/>
    <x v="4"/>
    <x v="43"/>
    <x v="22"/>
    <x v="7"/>
    <n v="0"/>
    <x v="2"/>
  </r>
  <r>
    <x v="30"/>
    <x v="1"/>
    <x v="389"/>
    <x v="0"/>
    <x v="4"/>
    <x v="43"/>
    <x v="22"/>
    <x v="8"/>
    <n v="2141"/>
    <x v="2"/>
  </r>
  <r>
    <x v="30"/>
    <x v="1"/>
    <x v="389"/>
    <x v="0"/>
    <x v="4"/>
    <x v="43"/>
    <x v="22"/>
    <x v="9"/>
    <n v="116"/>
    <x v="2"/>
  </r>
  <r>
    <x v="30"/>
    <x v="1"/>
    <x v="389"/>
    <x v="0"/>
    <x v="4"/>
    <x v="43"/>
    <x v="22"/>
    <x v="10"/>
    <n v="183"/>
    <x v="2"/>
  </r>
  <r>
    <x v="30"/>
    <x v="1"/>
    <x v="389"/>
    <x v="0"/>
    <x v="4"/>
    <x v="43"/>
    <x v="22"/>
    <x v="12"/>
    <n v="0"/>
    <x v="2"/>
  </r>
  <r>
    <x v="30"/>
    <x v="1"/>
    <x v="390"/>
    <x v="1"/>
    <x v="4"/>
    <x v="43"/>
    <x v="0"/>
    <x v="0"/>
    <n v="0"/>
    <x v="2"/>
  </r>
  <r>
    <x v="30"/>
    <x v="1"/>
    <x v="390"/>
    <x v="1"/>
    <x v="4"/>
    <x v="43"/>
    <x v="0"/>
    <x v="1"/>
    <n v="0"/>
    <x v="2"/>
  </r>
  <r>
    <x v="30"/>
    <x v="1"/>
    <x v="390"/>
    <x v="1"/>
    <x v="4"/>
    <x v="43"/>
    <x v="0"/>
    <x v="2"/>
    <n v="0"/>
    <x v="2"/>
  </r>
  <r>
    <x v="30"/>
    <x v="1"/>
    <x v="390"/>
    <x v="1"/>
    <x v="4"/>
    <x v="43"/>
    <x v="0"/>
    <x v="3"/>
    <n v="56.97"/>
    <x v="2"/>
  </r>
  <r>
    <x v="30"/>
    <x v="1"/>
    <x v="390"/>
    <x v="1"/>
    <x v="4"/>
    <x v="43"/>
    <x v="0"/>
    <x v="4"/>
    <n v="0"/>
    <x v="2"/>
  </r>
  <r>
    <x v="30"/>
    <x v="1"/>
    <x v="390"/>
    <x v="1"/>
    <x v="4"/>
    <x v="43"/>
    <x v="0"/>
    <x v="5"/>
    <n v="0"/>
    <x v="2"/>
  </r>
  <r>
    <x v="30"/>
    <x v="1"/>
    <x v="390"/>
    <x v="1"/>
    <x v="4"/>
    <x v="43"/>
    <x v="0"/>
    <x v="6"/>
    <n v="0"/>
    <x v="2"/>
  </r>
  <r>
    <x v="30"/>
    <x v="1"/>
    <x v="390"/>
    <x v="1"/>
    <x v="4"/>
    <x v="43"/>
    <x v="0"/>
    <x v="7"/>
    <n v="100.14"/>
    <x v="2"/>
  </r>
  <r>
    <x v="30"/>
    <x v="1"/>
    <x v="390"/>
    <x v="1"/>
    <x v="4"/>
    <x v="43"/>
    <x v="0"/>
    <x v="8"/>
    <n v="0"/>
    <x v="2"/>
  </r>
  <r>
    <x v="30"/>
    <x v="1"/>
    <x v="390"/>
    <x v="1"/>
    <x v="4"/>
    <x v="43"/>
    <x v="0"/>
    <x v="9"/>
    <n v="0"/>
    <x v="2"/>
  </r>
  <r>
    <x v="30"/>
    <x v="1"/>
    <x v="390"/>
    <x v="1"/>
    <x v="4"/>
    <x v="43"/>
    <x v="0"/>
    <x v="10"/>
    <n v="21"/>
    <x v="2"/>
  </r>
  <r>
    <x v="30"/>
    <x v="1"/>
    <x v="390"/>
    <x v="1"/>
    <x v="4"/>
    <x v="43"/>
    <x v="0"/>
    <x v="12"/>
    <n v="62"/>
    <x v="2"/>
  </r>
  <r>
    <x v="30"/>
    <x v="1"/>
    <x v="391"/>
    <x v="0"/>
    <x v="4"/>
    <x v="43"/>
    <x v="23"/>
    <x v="0"/>
    <n v="1530.61"/>
    <x v="2"/>
  </r>
  <r>
    <x v="30"/>
    <x v="1"/>
    <x v="391"/>
    <x v="0"/>
    <x v="4"/>
    <x v="43"/>
    <x v="23"/>
    <x v="1"/>
    <n v="0"/>
    <x v="2"/>
  </r>
  <r>
    <x v="30"/>
    <x v="1"/>
    <x v="391"/>
    <x v="0"/>
    <x v="4"/>
    <x v="43"/>
    <x v="23"/>
    <x v="2"/>
    <n v="231.78"/>
    <x v="2"/>
  </r>
  <r>
    <x v="30"/>
    <x v="1"/>
    <x v="391"/>
    <x v="0"/>
    <x v="4"/>
    <x v="43"/>
    <x v="23"/>
    <x v="3"/>
    <n v="0"/>
    <x v="2"/>
  </r>
  <r>
    <x v="30"/>
    <x v="1"/>
    <x v="391"/>
    <x v="0"/>
    <x v="4"/>
    <x v="43"/>
    <x v="23"/>
    <x v="4"/>
    <n v="0"/>
    <x v="2"/>
  </r>
  <r>
    <x v="30"/>
    <x v="1"/>
    <x v="391"/>
    <x v="0"/>
    <x v="4"/>
    <x v="43"/>
    <x v="23"/>
    <x v="5"/>
    <n v="0"/>
    <x v="2"/>
  </r>
  <r>
    <x v="30"/>
    <x v="1"/>
    <x v="391"/>
    <x v="0"/>
    <x v="4"/>
    <x v="43"/>
    <x v="23"/>
    <x v="6"/>
    <n v="0"/>
    <x v="2"/>
  </r>
  <r>
    <x v="30"/>
    <x v="1"/>
    <x v="391"/>
    <x v="0"/>
    <x v="4"/>
    <x v="43"/>
    <x v="23"/>
    <x v="7"/>
    <n v="0"/>
    <x v="2"/>
  </r>
  <r>
    <x v="30"/>
    <x v="1"/>
    <x v="391"/>
    <x v="0"/>
    <x v="4"/>
    <x v="43"/>
    <x v="23"/>
    <x v="8"/>
    <n v="0"/>
    <x v="2"/>
  </r>
  <r>
    <x v="30"/>
    <x v="1"/>
    <x v="391"/>
    <x v="0"/>
    <x v="4"/>
    <x v="43"/>
    <x v="23"/>
    <x v="9"/>
    <n v="0"/>
    <x v="2"/>
  </r>
  <r>
    <x v="30"/>
    <x v="1"/>
    <x v="391"/>
    <x v="0"/>
    <x v="4"/>
    <x v="43"/>
    <x v="23"/>
    <x v="10"/>
    <n v="711"/>
    <x v="2"/>
  </r>
  <r>
    <x v="30"/>
    <x v="1"/>
    <x v="391"/>
    <x v="0"/>
    <x v="4"/>
    <x v="43"/>
    <x v="23"/>
    <x v="12"/>
    <n v="698"/>
    <x v="2"/>
  </r>
  <r>
    <x v="30"/>
    <x v="1"/>
    <x v="392"/>
    <x v="1"/>
    <x v="4"/>
    <x v="43"/>
    <x v="0"/>
    <x v="0"/>
    <n v="0"/>
    <x v="2"/>
  </r>
  <r>
    <x v="30"/>
    <x v="1"/>
    <x v="392"/>
    <x v="1"/>
    <x v="4"/>
    <x v="43"/>
    <x v="0"/>
    <x v="1"/>
    <n v="0"/>
    <x v="2"/>
  </r>
  <r>
    <x v="30"/>
    <x v="1"/>
    <x v="392"/>
    <x v="1"/>
    <x v="4"/>
    <x v="43"/>
    <x v="0"/>
    <x v="2"/>
    <n v="0"/>
    <x v="2"/>
  </r>
  <r>
    <x v="30"/>
    <x v="1"/>
    <x v="392"/>
    <x v="1"/>
    <x v="4"/>
    <x v="43"/>
    <x v="0"/>
    <x v="3"/>
    <n v="0"/>
    <x v="2"/>
  </r>
  <r>
    <x v="30"/>
    <x v="1"/>
    <x v="392"/>
    <x v="1"/>
    <x v="4"/>
    <x v="43"/>
    <x v="0"/>
    <x v="4"/>
    <n v="0"/>
    <x v="2"/>
  </r>
  <r>
    <x v="30"/>
    <x v="1"/>
    <x v="392"/>
    <x v="1"/>
    <x v="4"/>
    <x v="43"/>
    <x v="0"/>
    <x v="5"/>
    <n v="36.869999999999997"/>
    <x v="2"/>
  </r>
  <r>
    <x v="30"/>
    <x v="1"/>
    <x v="392"/>
    <x v="1"/>
    <x v="4"/>
    <x v="43"/>
    <x v="0"/>
    <x v="6"/>
    <n v="0"/>
    <x v="2"/>
  </r>
  <r>
    <x v="30"/>
    <x v="1"/>
    <x v="392"/>
    <x v="1"/>
    <x v="4"/>
    <x v="43"/>
    <x v="0"/>
    <x v="7"/>
    <n v="0"/>
    <x v="2"/>
  </r>
  <r>
    <x v="30"/>
    <x v="1"/>
    <x v="392"/>
    <x v="1"/>
    <x v="4"/>
    <x v="43"/>
    <x v="0"/>
    <x v="8"/>
    <n v="0"/>
    <x v="2"/>
  </r>
  <r>
    <x v="30"/>
    <x v="1"/>
    <x v="392"/>
    <x v="1"/>
    <x v="4"/>
    <x v="43"/>
    <x v="0"/>
    <x v="9"/>
    <n v="0"/>
    <x v="2"/>
  </r>
  <r>
    <x v="30"/>
    <x v="1"/>
    <x v="392"/>
    <x v="1"/>
    <x v="4"/>
    <x v="43"/>
    <x v="0"/>
    <x v="10"/>
    <n v="0"/>
    <x v="2"/>
  </r>
  <r>
    <x v="30"/>
    <x v="1"/>
    <x v="392"/>
    <x v="1"/>
    <x v="4"/>
    <x v="43"/>
    <x v="0"/>
    <x v="12"/>
    <n v="0"/>
    <x v="2"/>
  </r>
  <r>
    <x v="30"/>
    <x v="1"/>
    <x v="393"/>
    <x v="1"/>
    <x v="4"/>
    <x v="43"/>
    <x v="0"/>
    <x v="0"/>
    <n v="293.88"/>
    <x v="2"/>
  </r>
  <r>
    <x v="30"/>
    <x v="1"/>
    <x v="393"/>
    <x v="1"/>
    <x v="4"/>
    <x v="43"/>
    <x v="0"/>
    <x v="1"/>
    <n v="0"/>
    <x v="2"/>
  </r>
  <r>
    <x v="30"/>
    <x v="1"/>
    <x v="393"/>
    <x v="1"/>
    <x v="4"/>
    <x v="43"/>
    <x v="0"/>
    <x v="2"/>
    <n v="0"/>
    <x v="2"/>
  </r>
  <r>
    <x v="30"/>
    <x v="1"/>
    <x v="393"/>
    <x v="1"/>
    <x v="4"/>
    <x v="43"/>
    <x v="0"/>
    <x v="3"/>
    <n v="0"/>
    <x v="2"/>
  </r>
  <r>
    <x v="30"/>
    <x v="1"/>
    <x v="393"/>
    <x v="1"/>
    <x v="4"/>
    <x v="43"/>
    <x v="0"/>
    <x v="4"/>
    <n v="0"/>
    <x v="2"/>
  </r>
  <r>
    <x v="30"/>
    <x v="1"/>
    <x v="393"/>
    <x v="1"/>
    <x v="4"/>
    <x v="43"/>
    <x v="0"/>
    <x v="5"/>
    <n v="0"/>
    <x v="2"/>
  </r>
  <r>
    <x v="30"/>
    <x v="1"/>
    <x v="393"/>
    <x v="1"/>
    <x v="4"/>
    <x v="43"/>
    <x v="0"/>
    <x v="6"/>
    <n v="0"/>
    <x v="2"/>
  </r>
  <r>
    <x v="30"/>
    <x v="1"/>
    <x v="393"/>
    <x v="1"/>
    <x v="4"/>
    <x v="43"/>
    <x v="0"/>
    <x v="7"/>
    <n v="0"/>
    <x v="2"/>
  </r>
  <r>
    <x v="30"/>
    <x v="1"/>
    <x v="393"/>
    <x v="1"/>
    <x v="4"/>
    <x v="43"/>
    <x v="0"/>
    <x v="8"/>
    <n v="0"/>
    <x v="2"/>
  </r>
  <r>
    <x v="30"/>
    <x v="1"/>
    <x v="393"/>
    <x v="1"/>
    <x v="4"/>
    <x v="43"/>
    <x v="0"/>
    <x v="9"/>
    <n v="0"/>
    <x v="2"/>
  </r>
  <r>
    <x v="30"/>
    <x v="1"/>
    <x v="393"/>
    <x v="1"/>
    <x v="4"/>
    <x v="43"/>
    <x v="0"/>
    <x v="10"/>
    <n v="0"/>
    <x v="2"/>
  </r>
  <r>
    <x v="30"/>
    <x v="1"/>
    <x v="393"/>
    <x v="1"/>
    <x v="4"/>
    <x v="43"/>
    <x v="0"/>
    <x v="12"/>
    <n v="0"/>
    <x v="2"/>
  </r>
  <r>
    <x v="30"/>
    <x v="1"/>
    <x v="394"/>
    <x v="1"/>
    <x v="4"/>
    <x v="43"/>
    <x v="0"/>
    <x v="0"/>
    <n v="0"/>
    <x v="2"/>
  </r>
  <r>
    <x v="30"/>
    <x v="1"/>
    <x v="394"/>
    <x v="1"/>
    <x v="4"/>
    <x v="43"/>
    <x v="0"/>
    <x v="1"/>
    <n v="0"/>
    <x v="2"/>
  </r>
  <r>
    <x v="30"/>
    <x v="1"/>
    <x v="394"/>
    <x v="1"/>
    <x v="4"/>
    <x v="43"/>
    <x v="0"/>
    <x v="2"/>
    <n v="0"/>
    <x v="2"/>
  </r>
  <r>
    <x v="30"/>
    <x v="1"/>
    <x v="394"/>
    <x v="1"/>
    <x v="4"/>
    <x v="43"/>
    <x v="0"/>
    <x v="3"/>
    <n v="0"/>
    <x v="2"/>
  </r>
  <r>
    <x v="30"/>
    <x v="1"/>
    <x v="394"/>
    <x v="1"/>
    <x v="4"/>
    <x v="43"/>
    <x v="0"/>
    <x v="4"/>
    <n v="0"/>
    <x v="2"/>
  </r>
  <r>
    <x v="30"/>
    <x v="1"/>
    <x v="394"/>
    <x v="1"/>
    <x v="4"/>
    <x v="43"/>
    <x v="0"/>
    <x v="5"/>
    <n v="0"/>
    <x v="2"/>
  </r>
  <r>
    <x v="30"/>
    <x v="1"/>
    <x v="394"/>
    <x v="1"/>
    <x v="4"/>
    <x v="43"/>
    <x v="0"/>
    <x v="6"/>
    <n v="0"/>
    <x v="2"/>
  </r>
  <r>
    <x v="30"/>
    <x v="1"/>
    <x v="394"/>
    <x v="1"/>
    <x v="4"/>
    <x v="43"/>
    <x v="0"/>
    <x v="7"/>
    <n v="0"/>
    <x v="2"/>
  </r>
  <r>
    <x v="30"/>
    <x v="1"/>
    <x v="394"/>
    <x v="1"/>
    <x v="4"/>
    <x v="43"/>
    <x v="0"/>
    <x v="8"/>
    <n v="0"/>
    <x v="2"/>
  </r>
  <r>
    <x v="30"/>
    <x v="1"/>
    <x v="394"/>
    <x v="1"/>
    <x v="4"/>
    <x v="43"/>
    <x v="0"/>
    <x v="9"/>
    <n v="0"/>
    <x v="2"/>
  </r>
  <r>
    <x v="30"/>
    <x v="1"/>
    <x v="394"/>
    <x v="1"/>
    <x v="4"/>
    <x v="43"/>
    <x v="0"/>
    <x v="10"/>
    <n v="0"/>
    <x v="2"/>
  </r>
  <r>
    <x v="30"/>
    <x v="1"/>
    <x v="394"/>
    <x v="1"/>
    <x v="4"/>
    <x v="43"/>
    <x v="0"/>
    <x v="12"/>
    <n v="0"/>
    <x v="2"/>
  </r>
  <r>
    <x v="30"/>
    <x v="1"/>
    <x v="409"/>
    <x v="1"/>
    <x v="4"/>
    <x v="43"/>
    <x v="0"/>
    <x v="0"/>
    <n v="0"/>
    <x v="2"/>
  </r>
  <r>
    <x v="30"/>
    <x v="1"/>
    <x v="409"/>
    <x v="1"/>
    <x v="4"/>
    <x v="43"/>
    <x v="0"/>
    <x v="1"/>
    <n v="40.82"/>
    <x v="2"/>
  </r>
  <r>
    <x v="30"/>
    <x v="1"/>
    <x v="409"/>
    <x v="1"/>
    <x v="4"/>
    <x v="43"/>
    <x v="0"/>
    <x v="2"/>
    <n v="0"/>
    <x v="2"/>
  </r>
  <r>
    <x v="30"/>
    <x v="1"/>
    <x v="409"/>
    <x v="1"/>
    <x v="4"/>
    <x v="43"/>
    <x v="0"/>
    <x v="3"/>
    <n v="0"/>
    <x v="2"/>
  </r>
  <r>
    <x v="30"/>
    <x v="1"/>
    <x v="409"/>
    <x v="1"/>
    <x v="4"/>
    <x v="43"/>
    <x v="0"/>
    <x v="4"/>
    <n v="0"/>
    <x v="2"/>
  </r>
  <r>
    <x v="30"/>
    <x v="1"/>
    <x v="409"/>
    <x v="1"/>
    <x v="4"/>
    <x v="43"/>
    <x v="0"/>
    <x v="5"/>
    <n v="0"/>
    <x v="2"/>
  </r>
  <r>
    <x v="30"/>
    <x v="1"/>
    <x v="409"/>
    <x v="1"/>
    <x v="4"/>
    <x v="43"/>
    <x v="0"/>
    <x v="6"/>
    <n v="0"/>
    <x v="2"/>
  </r>
  <r>
    <x v="30"/>
    <x v="1"/>
    <x v="409"/>
    <x v="1"/>
    <x v="4"/>
    <x v="43"/>
    <x v="0"/>
    <x v="7"/>
    <n v="0"/>
    <x v="2"/>
  </r>
  <r>
    <x v="30"/>
    <x v="1"/>
    <x v="409"/>
    <x v="1"/>
    <x v="4"/>
    <x v="43"/>
    <x v="0"/>
    <x v="8"/>
    <n v="0"/>
    <x v="2"/>
  </r>
  <r>
    <x v="30"/>
    <x v="1"/>
    <x v="409"/>
    <x v="1"/>
    <x v="4"/>
    <x v="43"/>
    <x v="0"/>
    <x v="9"/>
    <n v="0"/>
    <x v="2"/>
  </r>
  <r>
    <x v="30"/>
    <x v="1"/>
    <x v="409"/>
    <x v="1"/>
    <x v="4"/>
    <x v="43"/>
    <x v="0"/>
    <x v="10"/>
    <n v="0"/>
    <x v="2"/>
  </r>
  <r>
    <x v="30"/>
    <x v="1"/>
    <x v="409"/>
    <x v="1"/>
    <x v="4"/>
    <x v="43"/>
    <x v="0"/>
    <x v="12"/>
    <n v="0"/>
    <x v="2"/>
  </r>
  <r>
    <x v="30"/>
    <x v="1"/>
    <x v="399"/>
    <x v="0"/>
    <x v="4"/>
    <x v="43"/>
    <x v="17"/>
    <x v="0"/>
    <n v="0"/>
    <x v="2"/>
  </r>
  <r>
    <x v="30"/>
    <x v="1"/>
    <x v="399"/>
    <x v="0"/>
    <x v="4"/>
    <x v="43"/>
    <x v="17"/>
    <x v="1"/>
    <n v="0"/>
    <x v="2"/>
  </r>
  <r>
    <x v="30"/>
    <x v="1"/>
    <x v="399"/>
    <x v="0"/>
    <x v="4"/>
    <x v="43"/>
    <x v="17"/>
    <x v="2"/>
    <n v="0"/>
    <x v="2"/>
  </r>
  <r>
    <x v="30"/>
    <x v="1"/>
    <x v="399"/>
    <x v="0"/>
    <x v="4"/>
    <x v="43"/>
    <x v="17"/>
    <x v="3"/>
    <n v="402.04"/>
    <x v="2"/>
  </r>
  <r>
    <x v="30"/>
    <x v="1"/>
    <x v="399"/>
    <x v="0"/>
    <x v="4"/>
    <x v="43"/>
    <x v="17"/>
    <x v="4"/>
    <n v="0"/>
    <x v="2"/>
  </r>
  <r>
    <x v="30"/>
    <x v="1"/>
    <x v="399"/>
    <x v="0"/>
    <x v="4"/>
    <x v="43"/>
    <x v="17"/>
    <x v="5"/>
    <n v="0"/>
    <x v="2"/>
  </r>
  <r>
    <x v="30"/>
    <x v="1"/>
    <x v="399"/>
    <x v="0"/>
    <x v="4"/>
    <x v="43"/>
    <x v="17"/>
    <x v="6"/>
    <n v="0"/>
    <x v="2"/>
  </r>
  <r>
    <x v="30"/>
    <x v="1"/>
    <x v="399"/>
    <x v="0"/>
    <x v="4"/>
    <x v="43"/>
    <x v="17"/>
    <x v="7"/>
    <n v="140.13999999999999"/>
    <x v="2"/>
  </r>
  <r>
    <x v="30"/>
    <x v="1"/>
    <x v="399"/>
    <x v="0"/>
    <x v="4"/>
    <x v="43"/>
    <x v="17"/>
    <x v="8"/>
    <n v="0"/>
    <x v="2"/>
  </r>
  <r>
    <x v="30"/>
    <x v="1"/>
    <x v="399"/>
    <x v="0"/>
    <x v="4"/>
    <x v="43"/>
    <x v="17"/>
    <x v="9"/>
    <n v="0"/>
    <x v="2"/>
  </r>
  <r>
    <x v="30"/>
    <x v="1"/>
    <x v="399"/>
    <x v="0"/>
    <x v="4"/>
    <x v="43"/>
    <x v="17"/>
    <x v="10"/>
    <n v="0"/>
    <x v="2"/>
  </r>
  <r>
    <x v="30"/>
    <x v="1"/>
    <x v="399"/>
    <x v="0"/>
    <x v="4"/>
    <x v="43"/>
    <x v="17"/>
    <x v="12"/>
    <n v="24"/>
    <x v="2"/>
  </r>
  <r>
    <x v="30"/>
    <x v="1"/>
    <x v="410"/>
    <x v="1"/>
    <x v="4"/>
    <x v="43"/>
    <x v="0"/>
    <x v="0"/>
    <n v="0"/>
    <x v="2"/>
  </r>
  <r>
    <x v="30"/>
    <x v="1"/>
    <x v="410"/>
    <x v="1"/>
    <x v="4"/>
    <x v="43"/>
    <x v="0"/>
    <x v="1"/>
    <n v="0"/>
    <x v="2"/>
  </r>
  <r>
    <x v="30"/>
    <x v="1"/>
    <x v="410"/>
    <x v="1"/>
    <x v="4"/>
    <x v="43"/>
    <x v="0"/>
    <x v="2"/>
    <n v="0"/>
    <x v="2"/>
  </r>
  <r>
    <x v="30"/>
    <x v="1"/>
    <x v="410"/>
    <x v="1"/>
    <x v="4"/>
    <x v="43"/>
    <x v="0"/>
    <x v="3"/>
    <n v="0"/>
    <x v="2"/>
  </r>
  <r>
    <x v="30"/>
    <x v="1"/>
    <x v="410"/>
    <x v="1"/>
    <x v="4"/>
    <x v="43"/>
    <x v="0"/>
    <x v="4"/>
    <n v="0"/>
    <x v="2"/>
  </r>
  <r>
    <x v="30"/>
    <x v="1"/>
    <x v="410"/>
    <x v="1"/>
    <x v="4"/>
    <x v="43"/>
    <x v="0"/>
    <x v="5"/>
    <n v="0"/>
    <x v="2"/>
  </r>
  <r>
    <x v="30"/>
    <x v="1"/>
    <x v="410"/>
    <x v="1"/>
    <x v="4"/>
    <x v="43"/>
    <x v="0"/>
    <x v="6"/>
    <n v="0"/>
    <x v="2"/>
  </r>
  <r>
    <x v="30"/>
    <x v="1"/>
    <x v="410"/>
    <x v="1"/>
    <x v="4"/>
    <x v="43"/>
    <x v="0"/>
    <x v="7"/>
    <n v="0"/>
    <x v="2"/>
  </r>
  <r>
    <x v="30"/>
    <x v="1"/>
    <x v="410"/>
    <x v="1"/>
    <x v="4"/>
    <x v="43"/>
    <x v="0"/>
    <x v="8"/>
    <n v="0"/>
    <x v="2"/>
  </r>
  <r>
    <x v="30"/>
    <x v="1"/>
    <x v="410"/>
    <x v="1"/>
    <x v="4"/>
    <x v="43"/>
    <x v="0"/>
    <x v="9"/>
    <n v="0"/>
    <x v="2"/>
  </r>
  <r>
    <x v="30"/>
    <x v="1"/>
    <x v="410"/>
    <x v="1"/>
    <x v="4"/>
    <x v="43"/>
    <x v="0"/>
    <x v="10"/>
    <n v="0"/>
    <x v="2"/>
  </r>
  <r>
    <x v="30"/>
    <x v="1"/>
    <x v="410"/>
    <x v="1"/>
    <x v="4"/>
    <x v="43"/>
    <x v="0"/>
    <x v="12"/>
    <n v="0"/>
    <x v="2"/>
  </r>
  <r>
    <x v="30"/>
    <x v="1"/>
    <x v="411"/>
    <x v="1"/>
    <x v="4"/>
    <x v="33"/>
    <x v="0"/>
    <x v="0"/>
    <n v="0"/>
    <x v="2"/>
  </r>
  <r>
    <x v="30"/>
    <x v="1"/>
    <x v="411"/>
    <x v="1"/>
    <x v="4"/>
    <x v="33"/>
    <x v="0"/>
    <x v="1"/>
    <n v="0"/>
    <x v="2"/>
  </r>
  <r>
    <x v="30"/>
    <x v="1"/>
    <x v="411"/>
    <x v="1"/>
    <x v="4"/>
    <x v="33"/>
    <x v="0"/>
    <x v="2"/>
    <n v="0"/>
    <x v="2"/>
  </r>
  <r>
    <x v="30"/>
    <x v="1"/>
    <x v="411"/>
    <x v="1"/>
    <x v="4"/>
    <x v="33"/>
    <x v="0"/>
    <x v="3"/>
    <n v="0"/>
    <x v="2"/>
  </r>
  <r>
    <x v="30"/>
    <x v="1"/>
    <x v="411"/>
    <x v="1"/>
    <x v="4"/>
    <x v="33"/>
    <x v="0"/>
    <x v="4"/>
    <n v="0"/>
    <x v="2"/>
  </r>
  <r>
    <x v="30"/>
    <x v="1"/>
    <x v="411"/>
    <x v="1"/>
    <x v="4"/>
    <x v="33"/>
    <x v="0"/>
    <x v="5"/>
    <n v="0"/>
    <x v="2"/>
  </r>
  <r>
    <x v="30"/>
    <x v="1"/>
    <x v="411"/>
    <x v="1"/>
    <x v="4"/>
    <x v="33"/>
    <x v="0"/>
    <x v="6"/>
    <n v="0"/>
    <x v="2"/>
  </r>
  <r>
    <x v="30"/>
    <x v="1"/>
    <x v="411"/>
    <x v="1"/>
    <x v="4"/>
    <x v="33"/>
    <x v="0"/>
    <x v="7"/>
    <n v="0"/>
    <x v="2"/>
  </r>
  <r>
    <x v="30"/>
    <x v="1"/>
    <x v="411"/>
    <x v="1"/>
    <x v="4"/>
    <x v="33"/>
    <x v="0"/>
    <x v="8"/>
    <n v="0"/>
    <x v="2"/>
  </r>
  <r>
    <x v="30"/>
    <x v="1"/>
    <x v="411"/>
    <x v="1"/>
    <x v="4"/>
    <x v="33"/>
    <x v="0"/>
    <x v="9"/>
    <n v="0"/>
    <x v="2"/>
  </r>
  <r>
    <x v="30"/>
    <x v="1"/>
    <x v="411"/>
    <x v="1"/>
    <x v="4"/>
    <x v="33"/>
    <x v="0"/>
    <x v="10"/>
    <n v="0"/>
    <x v="2"/>
  </r>
  <r>
    <x v="30"/>
    <x v="1"/>
    <x v="411"/>
    <x v="1"/>
    <x v="4"/>
    <x v="33"/>
    <x v="0"/>
    <x v="12"/>
    <n v="0"/>
    <x v="2"/>
  </r>
  <r>
    <x v="30"/>
    <x v="1"/>
    <x v="412"/>
    <x v="1"/>
    <x v="4"/>
    <x v="43"/>
    <x v="0"/>
    <x v="0"/>
    <n v="0"/>
    <x v="2"/>
  </r>
  <r>
    <x v="30"/>
    <x v="1"/>
    <x v="412"/>
    <x v="1"/>
    <x v="4"/>
    <x v="43"/>
    <x v="0"/>
    <x v="1"/>
    <n v="0"/>
    <x v="2"/>
  </r>
  <r>
    <x v="30"/>
    <x v="1"/>
    <x v="412"/>
    <x v="1"/>
    <x v="4"/>
    <x v="43"/>
    <x v="0"/>
    <x v="2"/>
    <n v="0"/>
    <x v="2"/>
  </r>
  <r>
    <x v="30"/>
    <x v="1"/>
    <x v="412"/>
    <x v="1"/>
    <x v="4"/>
    <x v="43"/>
    <x v="0"/>
    <x v="3"/>
    <n v="0"/>
    <x v="2"/>
  </r>
  <r>
    <x v="30"/>
    <x v="1"/>
    <x v="412"/>
    <x v="1"/>
    <x v="4"/>
    <x v="43"/>
    <x v="0"/>
    <x v="4"/>
    <n v="0"/>
    <x v="2"/>
  </r>
  <r>
    <x v="30"/>
    <x v="1"/>
    <x v="412"/>
    <x v="1"/>
    <x v="4"/>
    <x v="43"/>
    <x v="0"/>
    <x v="5"/>
    <n v="0"/>
    <x v="2"/>
  </r>
  <r>
    <x v="30"/>
    <x v="1"/>
    <x v="412"/>
    <x v="1"/>
    <x v="4"/>
    <x v="43"/>
    <x v="0"/>
    <x v="6"/>
    <n v="0"/>
    <x v="2"/>
  </r>
  <r>
    <x v="30"/>
    <x v="1"/>
    <x v="412"/>
    <x v="1"/>
    <x v="4"/>
    <x v="43"/>
    <x v="0"/>
    <x v="7"/>
    <n v="0"/>
    <x v="2"/>
  </r>
  <r>
    <x v="30"/>
    <x v="1"/>
    <x v="412"/>
    <x v="1"/>
    <x v="4"/>
    <x v="43"/>
    <x v="0"/>
    <x v="8"/>
    <n v="444"/>
    <x v="2"/>
  </r>
  <r>
    <x v="30"/>
    <x v="1"/>
    <x v="412"/>
    <x v="1"/>
    <x v="4"/>
    <x v="43"/>
    <x v="0"/>
    <x v="9"/>
    <n v="0"/>
    <x v="2"/>
  </r>
  <r>
    <x v="30"/>
    <x v="1"/>
    <x v="412"/>
    <x v="1"/>
    <x v="4"/>
    <x v="43"/>
    <x v="0"/>
    <x v="10"/>
    <n v="0"/>
    <x v="2"/>
  </r>
  <r>
    <x v="30"/>
    <x v="1"/>
    <x v="412"/>
    <x v="1"/>
    <x v="4"/>
    <x v="43"/>
    <x v="0"/>
    <x v="12"/>
    <n v="0"/>
    <x v="2"/>
  </r>
  <r>
    <x v="30"/>
    <x v="1"/>
    <x v="403"/>
    <x v="1"/>
    <x v="4"/>
    <x v="43"/>
    <x v="0"/>
    <x v="0"/>
    <n v="0"/>
    <x v="2"/>
  </r>
  <r>
    <x v="30"/>
    <x v="1"/>
    <x v="403"/>
    <x v="1"/>
    <x v="4"/>
    <x v="43"/>
    <x v="0"/>
    <x v="1"/>
    <n v="0"/>
    <x v="2"/>
  </r>
  <r>
    <x v="30"/>
    <x v="1"/>
    <x v="403"/>
    <x v="1"/>
    <x v="4"/>
    <x v="43"/>
    <x v="0"/>
    <x v="2"/>
    <n v="0"/>
    <x v="2"/>
  </r>
  <r>
    <x v="30"/>
    <x v="1"/>
    <x v="403"/>
    <x v="1"/>
    <x v="4"/>
    <x v="43"/>
    <x v="0"/>
    <x v="3"/>
    <n v="0"/>
    <x v="2"/>
  </r>
  <r>
    <x v="30"/>
    <x v="1"/>
    <x v="403"/>
    <x v="1"/>
    <x v="4"/>
    <x v="43"/>
    <x v="0"/>
    <x v="4"/>
    <n v="0"/>
    <x v="2"/>
  </r>
  <r>
    <x v="30"/>
    <x v="1"/>
    <x v="403"/>
    <x v="1"/>
    <x v="4"/>
    <x v="43"/>
    <x v="0"/>
    <x v="5"/>
    <n v="0"/>
    <x v="2"/>
  </r>
  <r>
    <x v="30"/>
    <x v="1"/>
    <x v="403"/>
    <x v="1"/>
    <x v="4"/>
    <x v="43"/>
    <x v="0"/>
    <x v="6"/>
    <n v="0"/>
    <x v="2"/>
  </r>
  <r>
    <x v="30"/>
    <x v="1"/>
    <x v="403"/>
    <x v="1"/>
    <x v="4"/>
    <x v="43"/>
    <x v="0"/>
    <x v="7"/>
    <n v="0"/>
    <x v="2"/>
  </r>
  <r>
    <x v="30"/>
    <x v="1"/>
    <x v="403"/>
    <x v="1"/>
    <x v="4"/>
    <x v="43"/>
    <x v="0"/>
    <x v="8"/>
    <n v="1217"/>
    <x v="2"/>
  </r>
  <r>
    <x v="30"/>
    <x v="1"/>
    <x v="403"/>
    <x v="1"/>
    <x v="4"/>
    <x v="43"/>
    <x v="0"/>
    <x v="9"/>
    <n v="0"/>
    <x v="2"/>
  </r>
  <r>
    <x v="30"/>
    <x v="1"/>
    <x v="403"/>
    <x v="1"/>
    <x v="4"/>
    <x v="43"/>
    <x v="0"/>
    <x v="10"/>
    <n v="0"/>
    <x v="2"/>
  </r>
  <r>
    <x v="30"/>
    <x v="1"/>
    <x v="403"/>
    <x v="1"/>
    <x v="4"/>
    <x v="43"/>
    <x v="0"/>
    <x v="12"/>
    <n v="0"/>
    <x v="2"/>
  </r>
  <r>
    <x v="30"/>
    <x v="1"/>
    <x v="413"/>
    <x v="2"/>
    <x v="3"/>
    <x v="43"/>
    <x v="0"/>
    <x v="0"/>
    <n v="0"/>
    <x v="2"/>
  </r>
  <r>
    <x v="30"/>
    <x v="1"/>
    <x v="413"/>
    <x v="2"/>
    <x v="3"/>
    <x v="43"/>
    <x v="0"/>
    <x v="1"/>
    <n v="11.29"/>
    <x v="2"/>
  </r>
  <r>
    <x v="30"/>
    <x v="1"/>
    <x v="413"/>
    <x v="2"/>
    <x v="3"/>
    <x v="43"/>
    <x v="0"/>
    <x v="2"/>
    <n v="0"/>
    <x v="2"/>
  </r>
  <r>
    <x v="30"/>
    <x v="1"/>
    <x v="413"/>
    <x v="2"/>
    <x v="3"/>
    <x v="43"/>
    <x v="0"/>
    <x v="3"/>
    <n v="0"/>
    <x v="2"/>
  </r>
  <r>
    <x v="30"/>
    <x v="1"/>
    <x v="413"/>
    <x v="2"/>
    <x v="3"/>
    <x v="43"/>
    <x v="0"/>
    <x v="4"/>
    <n v="0"/>
    <x v="2"/>
  </r>
  <r>
    <x v="30"/>
    <x v="1"/>
    <x v="413"/>
    <x v="2"/>
    <x v="3"/>
    <x v="43"/>
    <x v="0"/>
    <x v="5"/>
    <n v="0"/>
    <x v="2"/>
  </r>
  <r>
    <x v="30"/>
    <x v="1"/>
    <x v="413"/>
    <x v="2"/>
    <x v="3"/>
    <x v="43"/>
    <x v="0"/>
    <x v="6"/>
    <n v="36"/>
    <x v="2"/>
  </r>
  <r>
    <x v="30"/>
    <x v="1"/>
    <x v="413"/>
    <x v="2"/>
    <x v="3"/>
    <x v="43"/>
    <x v="0"/>
    <x v="7"/>
    <n v="0"/>
    <x v="2"/>
  </r>
  <r>
    <x v="30"/>
    <x v="1"/>
    <x v="413"/>
    <x v="2"/>
    <x v="3"/>
    <x v="43"/>
    <x v="0"/>
    <x v="8"/>
    <n v="0"/>
    <x v="2"/>
  </r>
  <r>
    <x v="30"/>
    <x v="1"/>
    <x v="413"/>
    <x v="2"/>
    <x v="3"/>
    <x v="43"/>
    <x v="0"/>
    <x v="9"/>
    <n v="0"/>
    <x v="2"/>
  </r>
  <r>
    <x v="30"/>
    <x v="1"/>
    <x v="413"/>
    <x v="2"/>
    <x v="3"/>
    <x v="43"/>
    <x v="0"/>
    <x v="10"/>
    <n v="134"/>
    <x v="2"/>
  </r>
  <r>
    <x v="30"/>
    <x v="1"/>
    <x v="413"/>
    <x v="2"/>
    <x v="3"/>
    <x v="43"/>
    <x v="0"/>
    <x v="12"/>
    <n v="0"/>
    <x v="2"/>
  </r>
  <r>
    <x v="30"/>
    <x v="1"/>
    <x v="401"/>
    <x v="1"/>
    <x v="4"/>
    <x v="43"/>
    <x v="0"/>
    <x v="0"/>
    <n v="0"/>
    <x v="2"/>
  </r>
  <r>
    <x v="30"/>
    <x v="1"/>
    <x v="401"/>
    <x v="1"/>
    <x v="4"/>
    <x v="43"/>
    <x v="0"/>
    <x v="1"/>
    <n v="0"/>
    <x v="2"/>
  </r>
  <r>
    <x v="30"/>
    <x v="1"/>
    <x v="401"/>
    <x v="1"/>
    <x v="4"/>
    <x v="43"/>
    <x v="0"/>
    <x v="2"/>
    <n v="0"/>
    <x v="2"/>
  </r>
  <r>
    <x v="30"/>
    <x v="1"/>
    <x v="401"/>
    <x v="1"/>
    <x v="4"/>
    <x v="43"/>
    <x v="0"/>
    <x v="3"/>
    <n v="0"/>
    <x v="2"/>
  </r>
  <r>
    <x v="30"/>
    <x v="1"/>
    <x v="401"/>
    <x v="1"/>
    <x v="4"/>
    <x v="43"/>
    <x v="0"/>
    <x v="4"/>
    <n v="0"/>
    <x v="2"/>
  </r>
  <r>
    <x v="30"/>
    <x v="1"/>
    <x v="401"/>
    <x v="1"/>
    <x v="4"/>
    <x v="43"/>
    <x v="0"/>
    <x v="5"/>
    <n v="0"/>
    <x v="2"/>
  </r>
  <r>
    <x v="30"/>
    <x v="1"/>
    <x v="401"/>
    <x v="1"/>
    <x v="4"/>
    <x v="43"/>
    <x v="0"/>
    <x v="6"/>
    <n v="0"/>
    <x v="2"/>
  </r>
  <r>
    <x v="30"/>
    <x v="1"/>
    <x v="401"/>
    <x v="1"/>
    <x v="4"/>
    <x v="43"/>
    <x v="0"/>
    <x v="7"/>
    <n v="0"/>
    <x v="2"/>
  </r>
  <r>
    <x v="30"/>
    <x v="1"/>
    <x v="401"/>
    <x v="1"/>
    <x v="4"/>
    <x v="43"/>
    <x v="0"/>
    <x v="8"/>
    <n v="0"/>
    <x v="2"/>
  </r>
  <r>
    <x v="30"/>
    <x v="1"/>
    <x v="401"/>
    <x v="1"/>
    <x v="4"/>
    <x v="43"/>
    <x v="0"/>
    <x v="9"/>
    <n v="0"/>
    <x v="2"/>
  </r>
  <r>
    <x v="30"/>
    <x v="1"/>
    <x v="401"/>
    <x v="1"/>
    <x v="4"/>
    <x v="43"/>
    <x v="0"/>
    <x v="10"/>
    <n v="0"/>
    <x v="2"/>
  </r>
  <r>
    <x v="30"/>
    <x v="1"/>
    <x v="401"/>
    <x v="1"/>
    <x v="4"/>
    <x v="43"/>
    <x v="0"/>
    <x v="12"/>
    <n v="90"/>
    <x v="2"/>
  </r>
  <r>
    <x v="30"/>
    <x v="1"/>
    <x v="361"/>
    <x v="2"/>
    <x v="3"/>
    <x v="44"/>
    <x v="0"/>
    <x v="0"/>
    <n v="0"/>
    <x v="2"/>
  </r>
  <r>
    <x v="30"/>
    <x v="1"/>
    <x v="361"/>
    <x v="2"/>
    <x v="3"/>
    <x v="44"/>
    <x v="0"/>
    <x v="1"/>
    <n v="0"/>
    <x v="2"/>
  </r>
  <r>
    <x v="30"/>
    <x v="1"/>
    <x v="361"/>
    <x v="2"/>
    <x v="3"/>
    <x v="44"/>
    <x v="0"/>
    <x v="2"/>
    <n v="0"/>
    <x v="2"/>
  </r>
  <r>
    <x v="30"/>
    <x v="1"/>
    <x v="361"/>
    <x v="2"/>
    <x v="3"/>
    <x v="44"/>
    <x v="0"/>
    <x v="3"/>
    <n v="0"/>
    <x v="2"/>
  </r>
  <r>
    <x v="30"/>
    <x v="1"/>
    <x v="361"/>
    <x v="2"/>
    <x v="3"/>
    <x v="44"/>
    <x v="0"/>
    <x v="4"/>
    <n v="0"/>
    <x v="2"/>
  </r>
  <r>
    <x v="30"/>
    <x v="1"/>
    <x v="361"/>
    <x v="2"/>
    <x v="3"/>
    <x v="44"/>
    <x v="0"/>
    <x v="5"/>
    <n v="0"/>
    <x v="2"/>
  </r>
  <r>
    <x v="30"/>
    <x v="1"/>
    <x v="361"/>
    <x v="2"/>
    <x v="3"/>
    <x v="44"/>
    <x v="0"/>
    <x v="6"/>
    <n v="0"/>
    <x v="2"/>
  </r>
  <r>
    <x v="30"/>
    <x v="1"/>
    <x v="361"/>
    <x v="2"/>
    <x v="3"/>
    <x v="44"/>
    <x v="0"/>
    <x v="7"/>
    <n v="0"/>
    <x v="2"/>
  </r>
  <r>
    <x v="30"/>
    <x v="1"/>
    <x v="361"/>
    <x v="2"/>
    <x v="3"/>
    <x v="44"/>
    <x v="0"/>
    <x v="8"/>
    <n v="0"/>
    <x v="2"/>
  </r>
  <r>
    <x v="30"/>
    <x v="1"/>
    <x v="361"/>
    <x v="2"/>
    <x v="3"/>
    <x v="44"/>
    <x v="0"/>
    <x v="9"/>
    <n v="0"/>
    <x v="2"/>
  </r>
  <r>
    <x v="30"/>
    <x v="1"/>
    <x v="361"/>
    <x v="2"/>
    <x v="3"/>
    <x v="44"/>
    <x v="0"/>
    <x v="10"/>
    <n v="0"/>
    <x v="2"/>
  </r>
  <r>
    <x v="30"/>
    <x v="1"/>
    <x v="361"/>
    <x v="2"/>
    <x v="3"/>
    <x v="44"/>
    <x v="0"/>
    <x v="12"/>
    <n v="0"/>
    <x v="2"/>
  </r>
  <r>
    <x v="30"/>
    <x v="1"/>
    <x v="362"/>
    <x v="2"/>
    <x v="3"/>
    <x v="45"/>
    <x v="0"/>
    <x v="0"/>
    <n v="0"/>
    <x v="2"/>
  </r>
  <r>
    <x v="30"/>
    <x v="1"/>
    <x v="362"/>
    <x v="2"/>
    <x v="3"/>
    <x v="45"/>
    <x v="0"/>
    <x v="1"/>
    <n v="0"/>
    <x v="2"/>
  </r>
  <r>
    <x v="30"/>
    <x v="1"/>
    <x v="362"/>
    <x v="2"/>
    <x v="3"/>
    <x v="45"/>
    <x v="0"/>
    <x v="2"/>
    <n v="0"/>
    <x v="2"/>
  </r>
  <r>
    <x v="30"/>
    <x v="1"/>
    <x v="362"/>
    <x v="2"/>
    <x v="3"/>
    <x v="45"/>
    <x v="0"/>
    <x v="3"/>
    <n v="0"/>
    <x v="2"/>
  </r>
  <r>
    <x v="30"/>
    <x v="1"/>
    <x v="362"/>
    <x v="2"/>
    <x v="3"/>
    <x v="45"/>
    <x v="0"/>
    <x v="4"/>
    <n v="0"/>
    <x v="2"/>
  </r>
  <r>
    <x v="30"/>
    <x v="1"/>
    <x v="362"/>
    <x v="2"/>
    <x v="3"/>
    <x v="45"/>
    <x v="0"/>
    <x v="5"/>
    <n v="0"/>
    <x v="2"/>
  </r>
  <r>
    <x v="30"/>
    <x v="1"/>
    <x v="362"/>
    <x v="2"/>
    <x v="3"/>
    <x v="45"/>
    <x v="0"/>
    <x v="6"/>
    <n v="0"/>
    <x v="2"/>
  </r>
  <r>
    <x v="30"/>
    <x v="1"/>
    <x v="362"/>
    <x v="2"/>
    <x v="3"/>
    <x v="45"/>
    <x v="0"/>
    <x v="7"/>
    <n v="0"/>
    <x v="2"/>
  </r>
  <r>
    <x v="30"/>
    <x v="1"/>
    <x v="362"/>
    <x v="2"/>
    <x v="3"/>
    <x v="45"/>
    <x v="0"/>
    <x v="8"/>
    <n v="0"/>
    <x v="2"/>
  </r>
  <r>
    <x v="30"/>
    <x v="1"/>
    <x v="362"/>
    <x v="2"/>
    <x v="3"/>
    <x v="45"/>
    <x v="0"/>
    <x v="9"/>
    <n v="0"/>
    <x v="2"/>
  </r>
  <r>
    <x v="30"/>
    <x v="1"/>
    <x v="362"/>
    <x v="2"/>
    <x v="3"/>
    <x v="45"/>
    <x v="0"/>
    <x v="10"/>
    <n v="0"/>
    <x v="2"/>
  </r>
  <r>
    <x v="30"/>
    <x v="1"/>
    <x v="362"/>
    <x v="2"/>
    <x v="3"/>
    <x v="45"/>
    <x v="0"/>
    <x v="12"/>
    <n v="0"/>
    <x v="2"/>
  </r>
  <r>
    <x v="30"/>
    <x v="1"/>
    <x v="363"/>
    <x v="2"/>
    <x v="3"/>
    <x v="44"/>
    <x v="0"/>
    <x v="0"/>
    <n v="0"/>
    <x v="2"/>
  </r>
  <r>
    <x v="30"/>
    <x v="1"/>
    <x v="363"/>
    <x v="2"/>
    <x v="3"/>
    <x v="44"/>
    <x v="0"/>
    <x v="1"/>
    <n v="0"/>
    <x v="2"/>
  </r>
  <r>
    <x v="30"/>
    <x v="1"/>
    <x v="363"/>
    <x v="2"/>
    <x v="3"/>
    <x v="44"/>
    <x v="0"/>
    <x v="2"/>
    <n v="0"/>
    <x v="2"/>
  </r>
  <r>
    <x v="30"/>
    <x v="1"/>
    <x v="363"/>
    <x v="2"/>
    <x v="3"/>
    <x v="44"/>
    <x v="0"/>
    <x v="3"/>
    <n v="0"/>
    <x v="2"/>
  </r>
  <r>
    <x v="30"/>
    <x v="1"/>
    <x v="363"/>
    <x v="2"/>
    <x v="3"/>
    <x v="44"/>
    <x v="0"/>
    <x v="4"/>
    <n v="0"/>
    <x v="2"/>
  </r>
  <r>
    <x v="30"/>
    <x v="1"/>
    <x v="363"/>
    <x v="2"/>
    <x v="3"/>
    <x v="44"/>
    <x v="0"/>
    <x v="5"/>
    <n v="0"/>
    <x v="2"/>
  </r>
  <r>
    <x v="30"/>
    <x v="1"/>
    <x v="363"/>
    <x v="2"/>
    <x v="3"/>
    <x v="44"/>
    <x v="0"/>
    <x v="6"/>
    <n v="0"/>
    <x v="2"/>
  </r>
  <r>
    <x v="30"/>
    <x v="1"/>
    <x v="363"/>
    <x v="2"/>
    <x v="3"/>
    <x v="44"/>
    <x v="0"/>
    <x v="7"/>
    <n v="0"/>
    <x v="2"/>
  </r>
  <r>
    <x v="30"/>
    <x v="1"/>
    <x v="363"/>
    <x v="2"/>
    <x v="3"/>
    <x v="44"/>
    <x v="0"/>
    <x v="8"/>
    <n v="0"/>
    <x v="2"/>
  </r>
  <r>
    <x v="30"/>
    <x v="1"/>
    <x v="363"/>
    <x v="2"/>
    <x v="3"/>
    <x v="44"/>
    <x v="0"/>
    <x v="9"/>
    <n v="0"/>
    <x v="2"/>
  </r>
  <r>
    <x v="30"/>
    <x v="1"/>
    <x v="363"/>
    <x v="2"/>
    <x v="3"/>
    <x v="44"/>
    <x v="0"/>
    <x v="10"/>
    <n v="0"/>
    <x v="2"/>
  </r>
  <r>
    <x v="30"/>
    <x v="1"/>
    <x v="363"/>
    <x v="2"/>
    <x v="3"/>
    <x v="44"/>
    <x v="0"/>
    <x v="12"/>
    <n v="0"/>
    <x v="2"/>
  </r>
  <r>
    <x v="30"/>
    <x v="1"/>
    <x v="364"/>
    <x v="0"/>
    <x v="1"/>
    <x v="35"/>
    <x v="0"/>
    <x v="0"/>
    <n v="0"/>
    <x v="2"/>
  </r>
  <r>
    <x v="30"/>
    <x v="1"/>
    <x v="364"/>
    <x v="0"/>
    <x v="1"/>
    <x v="35"/>
    <x v="0"/>
    <x v="1"/>
    <n v="0"/>
    <x v="2"/>
  </r>
  <r>
    <x v="30"/>
    <x v="1"/>
    <x v="364"/>
    <x v="0"/>
    <x v="1"/>
    <x v="35"/>
    <x v="0"/>
    <x v="2"/>
    <n v="0"/>
    <x v="2"/>
  </r>
  <r>
    <x v="30"/>
    <x v="1"/>
    <x v="364"/>
    <x v="0"/>
    <x v="1"/>
    <x v="35"/>
    <x v="0"/>
    <x v="3"/>
    <n v="0"/>
    <x v="2"/>
  </r>
  <r>
    <x v="30"/>
    <x v="1"/>
    <x v="364"/>
    <x v="0"/>
    <x v="1"/>
    <x v="35"/>
    <x v="0"/>
    <x v="4"/>
    <n v="0"/>
    <x v="2"/>
  </r>
  <r>
    <x v="30"/>
    <x v="1"/>
    <x v="364"/>
    <x v="0"/>
    <x v="1"/>
    <x v="35"/>
    <x v="0"/>
    <x v="5"/>
    <n v="0"/>
    <x v="2"/>
  </r>
  <r>
    <x v="30"/>
    <x v="1"/>
    <x v="364"/>
    <x v="0"/>
    <x v="1"/>
    <x v="35"/>
    <x v="0"/>
    <x v="6"/>
    <n v="0"/>
    <x v="2"/>
  </r>
  <r>
    <x v="30"/>
    <x v="1"/>
    <x v="364"/>
    <x v="0"/>
    <x v="1"/>
    <x v="35"/>
    <x v="0"/>
    <x v="7"/>
    <n v="0"/>
    <x v="2"/>
  </r>
  <r>
    <x v="30"/>
    <x v="1"/>
    <x v="364"/>
    <x v="0"/>
    <x v="1"/>
    <x v="35"/>
    <x v="0"/>
    <x v="8"/>
    <n v="0"/>
    <x v="2"/>
  </r>
  <r>
    <x v="30"/>
    <x v="1"/>
    <x v="364"/>
    <x v="0"/>
    <x v="1"/>
    <x v="35"/>
    <x v="0"/>
    <x v="9"/>
    <n v="0"/>
    <x v="2"/>
  </r>
  <r>
    <x v="30"/>
    <x v="1"/>
    <x v="364"/>
    <x v="0"/>
    <x v="1"/>
    <x v="35"/>
    <x v="0"/>
    <x v="10"/>
    <n v="0"/>
    <x v="2"/>
  </r>
  <r>
    <x v="30"/>
    <x v="1"/>
    <x v="364"/>
    <x v="0"/>
    <x v="1"/>
    <x v="35"/>
    <x v="0"/>
    <x v="12"/>
    <n v="0"/>
    <x v="2"/>
  </r>
  <r>
    <x v="30"/>
    <x v="1"/>
    <x v="365"/>
    <x v="2"/>
    <x v="3"/>
    <x v="45"/>
    <x v="0"/>
    <x v="0"/>
    <n v="0"/>
    <x v="2"/>
  </r>
  <r>
    <x v="30"/>
    <x v="1"/>
    <x v="365"/>
    <x v="2"/>
    <x v="3"/>
    <x v="45"/>
    <x v="0"/>
    <x v="1"/>
    <n v="0"/>
    <x v="2"/>
  </r>
  <r>
    <x v="30"/>
    <x v="1"/>
    <x v="365"/>
    <x v="2"/>
    <x v="3"/>
    <x v="45"/>
    <x v="0"/>
    <x v="2"/>
    <n v="0"/>
    <x v="2"/>
  </r>
  <r>
    <x v="30"/>
    <x v="1"/>
    <x v="365"/>
    <x v="2"/>
    <x v="3"/>
    <x v="45"/>
    <x v="0"/>
    <x v="3"/>
    <n v="0"/>
    <x v="2"/>
  </r>
  <r>
    <x v="30"/>
    <x v="1"/>
    <x v="365"/>
    <x v="2"/>
    <x v="3"/>
    <x v="45"/>
    <x v="0"/>
    <x v="4"/>
    <n v="0"/>
    <x v="2"/>
  </r>
  <r>
    <x v="30"/>
    <x v="1"/>
    <x v="365"/>
    <x v="2"/>
    <x v="3"/>
    <x v="45"/>
    <x v="0"/>
    <x v="5"/>
    <n v="0"/>
    <x v="2"/>
  </r>
  <r>
    <x v="30"/>
    <x v="1"/>
    <x v="365"/>
    <x v="2"/>
    <x v="3"/>
    <x v="45"/>
    <x v="0"/>
    <x v="6"/>
    <n v="0"/>
    <x v="2"/>
  </r>
  <r>
    <x v="30"/>
    <x v="1"/>
    <x v="365"/>
    <x v="2"/>
    <x v="3"/>
    <x v="45"/>
    <x v="0"/>
    <x v="7"/>
    <n v="0"/>
    <x v="2"/>
  </r>
  <r>
    <x v="30"/>
    <x v="1"/>
    <x v="365"/>
    <x v="2"/>
    <x v="3"/>
    <x v="45"/>
    <x v="0"/>
    <x v="8"/>
    <n v="0"/>
    <x v="2"/>
  </r>
  <r>
    <x v="30"/>
    <x v="1"/>
    <x v="365"/>
    <x v="2"/>
    <x v="3"/>
    <x v="45"/>
    <x v="0"/>
    <x v="9"/>
    <n v="0"/>
    <x v="2"/>
  </r>
  <r>
    <x v="30"/>
    <x v="1"/>
    <x v="365"/>
    <x v="2"/>
    <x v="3"/>
    <x v="45"/>
    <x v="0"/>
    <x v="10"/>
    <n v="0"/>
    <x v="2"/>
  </r>
  <r>
    <x v="30"/>
    <x v="1"/>
    <x v="365"/>
    <x v="2"/>
    <x v="3"/>
    <x v="45"/>
    <x v="0"/>
    <x v="12"/>
    <n v="0"/>
    <x v="2"/>
  </r>
  <r>
    <x v="30"/>
    <x v="0"/>
    <x v="366"/>
    <x v="2"/>
    <x v="3"/>
    <x v="4"/>
    <x v="0"/>
    <x v="0"/>
    <n v="0"/>
    <x v="2"/>
  </r>
  <r>
    <x v="30"/>
    <x v="0"/>
    <x v="366"/>
    <x v="2"/>
    <x v="3"/>
    <x v="4"/>
    <x v="0"/>
    <x v="1"/>
    <n v="0"/>
    <x v="2"/>
  </r>
  <r>
    <x v="30"/>
    <x v="0"/>
    <x v="366"/>
    <x v="2"/>
    <x v="3"/>
    <x v="4"/>
    <x v="0"/>
    <x v="2"/>
    <n v="0"/>
    <x v="2"/>
  </r>
  <r>
    <x v="30"/>
    <x v="0"/>
    <x v="366"/>
    <x v="2"/>
    <x v="3"/>
    <x v="4"/>
    <x v="0"/>
    <x v="3"/>
    <n v="0"/>
    <x v="2"/>
  </r>
  <r>
    <x v="30"/>
    <x v="0"/>
    <x v="366"/>
    <x v="2"/>
    <x v="3"/>
    <x v="4"/>
    <x v="0"/>
    <x v="4"/>
    <n v="0"/>
    <x v="2"/>
  </r>
  <r>
    <x v="30"/>
    <x v="0"/>
    <x v="366"/>
    <x v="2"/>
    <x v="3"/>
    <x v="4"/>
    <x v="0"/>
    <x v="5"/>
    <n v="0"/>
    <x v="2"/>
  </r>
  <r>
    <x v="30"/>
    <x v="0"/>
    <x v="366"/>
    <x v="2"/>
    <x v="3"/>
    <x v="4"/>
    <x v="0"/>
    <x v="6"/>
    <n v="0"/>
    <x v="2"/>
  </r>
  <r>
    <x v="30"/>
    <x v="0"/>
    <x v="366"/>
    <x v="2"/>
    <x v="3"/>
    <x v="4"/>
    <x v="0"/>
    <x v="7"/>
    <n v="0"/>
    <x v="2"/>
  </r>
  <r>
    <x v="30"/>
    <x v="0"/>
    <x v="366"/>
    <x v="2"/>
    <x v="3"/>
    <x v="4"/>
    <x v="0"/>
    <x v="8"/>
    <n v="535"/>
    <x v="2"/>
  </r>
  <r>
    <x v="30"/>
    <x v="0"/>
    <x v="366"/>
    <x v="2"/>
    <x v="3"/>
    <x v="4"/>
    <x v="0"/>
    <x v="9"/>
    <n v="1200"/>
    <x v="2"/>
  </r>
  <r>
    <x v="30"/>
    <x v="0"/>
    <x v="366"/>
    <x v="2"/>
    <x v="3"/>
    <x v="4"/>
    <x v="0"/>
    <x v="10"/>
    <n v="0"/>
    <x v="2"/>
  </r>
  <r>
    <x v="30"/>
    <x v="0"/>
    <x v="366"/>
    <x v="2"/>
    <x v="3"/>
    <x v="4"/>
    <x v="0"/>
    <x v="12"/>
    <n v="0"/>
    <x v="2"/>
  </r>
  <r>
    <x v="30"/>
    <x v="0"/>
    <x v="190"/>
    <x v="2"/>
    <x v="7"/>
    <x v="25"/>
    <x v="0"/>
    <x v="0"/>
    <n v="66.86"/>
    <x v="2"/>
  </r>
  <r>
    <x v="30"/>
    <x v="0"/>
    <x v="190"/>
    <x v="2"/>
    <x v="7"/>
    <x v="25"/>
    <x v="0"/>
    <x v="1"/>
    <n v="248.68"/>
    <x v="2"/>
  </r>
  <r>
    <x v="30"/>
    <x v="0"/>
    <x v="190"/>
    <x v="2"/>
    <x v="7"/>
    <x v="25"/>
    <x v="0"/>
    <x v="2"/>
    <n v="13.2"/>
    <x v="2"/>
  </r>
  <r>
    <x v="30"/>
    <x v="0"/>
    <x v="190"/>
    <x v="2"/>
    <x v="7"/>
    <x v="25"/>
    <x v="0"/>
    <x v="3"/>
    <n v="16.62"/>
    <x v="2"/>
  </r>
  <r>
    <x v="30"/>
    <x v="0"/>
    <x v="190"/>
    <x v="2"/>
    <x v="7"/>
    <x v="25"/>
    <x v="0"/>
    <x v="4"/>
    <n v="17.09"/>
    <x v="2"/>
  </r>
  <r>
    <x v="30"/>
    <x v="0"/>
    <x v="190"/>
    <x v="2"/>
    <x v="7"/>
    <x v="25"/>
    <x v="0"/>
    <x v="5"/>
    <n v="774.1"/>
    <x v="2"/>
  </r>
  <r>
    <x v="30"/>
    <x v="0"/>
    <x v="190"/>
    <x v="2"/>
    <x v="7"/>
    <x v="25"/>
    <x v="0"/>
    <x v="6"/>
    <n v="908"/>
    <x v="2"/>
  </r>
  <r>
    <x v="30"/>
    <x v="0"/>
    <x v="190"/>
    <x v="2"/>
    <x v="7"/>
    <x v="25"/>
    <x v="0"/>
    <x v="7"/>
    <n v="37.1"/>
    <x v="2"/>
  </r>
  <r>
    <x v="30"/>
    <x v="0"/>
    <x v="190"/>
    <x v="2"/>
    <x v="7"/>
    <x v="25"/>
    <x v="0"/>
    <x v="8"/>
    <n v="437"/>
    <x v="2"/>
  </r>
  <r>
    <x v="30"/>
    <x v="0"/>
    <x v="190"/>
    <x v="2"/>
    <x v="7"/>
    <x v="25"/>
    <x v="0"/>
    <x v="9"/>
    <n v="63"/>
    <x v="2"/>
  </r>
  <r>
    <x v="30"/>
    <x v="0"/>
    <x v="190"/>
    <x v="2"/>
    <x v="7"/>
    <x v="25"/>
    <x v="0"/>
    <x v="10"/>
    <n v="47"/>
    <x v="2"/>
  </r>
  <r>
    <x v="30"/>
    <x v="0"/>
    <x v="190"/>
    <x v="2"/>
    <x v="7"/>
    <x v="25"/>
    <x v="0"/>
    <x v="12"/>
    <n v="270"/>
    <x v="2"/>
  </r>
  <r>
    <x v="30"/>
    <x v="0"/>
    <x v="367"/>
    <x v="2"/>
    <x v="3"/>
    <x v="19"/>
    <x v="0"/>
    <x v="0"/>
    <n v="1114.71"/>
    <x v="2"/>
  </r>
  <r>
    <x v="30"/>
    <x v="0"/>
    <x v="367"/>
    <x v="2"/>
    <x v="3"/>
    <x v="19"/>
    <x v="0"/>
    <x v="1"/>
    <n v="1114.71"/>
    <x v="2"/>
  </r>
  <r>
    <x v="30"/>
    <x v="0"/>
    <x v="367"/>
    <x v="2"/>
    <x v="3"/>
    <x v="19"/>
    <x v="0"/>
    <x v="2"/>
    <n v="1365.52"/>
    <x v="2"/>
  </r>
  <r>
    <x v="30"/>
    <x v="0"/>
    <x v="367"/>
    <x v="2"/>
    <x v="3"/>
    <x v="19"/>
    <x v="0"/>
    <x v="3"/>
    <n v="1114.708163265306"/>
    <x v="2"/>
  </r>
  <r>
    <x v="30"/>
    <x v="0"/>
    <x v="367"/>
    <x v="2"/>
    <x v="3"/>
    <x v="19"/>
    <x v="0"/>
    <x v="4"/>
    <n v="1185.24"/>
    <x v="2"/>
  </r>
  <r>
    <x v="30"/>
    <x v="0"/>
    <x v="367"/>
    <x v="2"/>
    <x v="3"/>
    <x v="19"/>
    <x v="0"/>
    <x v="5"/>
    <n v="1085.83"/>
    <x v="2"/>
  </r>
  <r>
    <x v="30"/>
    <x v="0"/>
    <x v="367"/>
    <x v="2"/>
    <x v="3"/>
    <x v="19"/>
    <x v="0"/>
    <x v="6"/>
    <n v="1042"/>
    <x v="2"/>
  </r>
  <r>
    <x v="30"/>
    <x v="0"/>
    <x v="367"/>
    <x v="2"/>
    <x v="3"/>
    <x v="19"/>
    <x v="0"/>
    <x v="7"/>
    <n v="1090.74"/>
    <x v="2"/>
  </r>
  <r>
    <x v="30"/>
    <x v="0"/>
    <x v="367"/>
    <x v="2"/>
    <x v="3"/>
    <x v="19"/>
    <x v="0"/>
    <x v="8"/>
    <n v="1108"/>
    <x v="2"/>
  </r>
  <r>
    <x v="30"/>
    <x v="0"/>
    <x v="367"/>
    <x v="2"/>
    <x v="3"/>
    <x v="19"/>
    <x v="0"/>
    <x v="9"/>
    <n v="1032"/>
    <x v="2"/>
  </r>
  <r>
    <x v="30"/>
    <x v="0"/>
    <x v="367"/>
    <x v="2"/>
    <x v="3"/>
    <x v="19"/>
    <x v="0"/>
    <x v="10"/>
    <n v="1057"/>
    <x v="2"/>
  </r>
  <r>
    <x v="30"/>
    <x v="0"/>
    <x v="367"/>
    <x v="2"/>
    <x v="3"/>
    <x v="19"/>
    <x v="0"/>
    <x v="12"/>
    <n v="1023"/>
    <x v="2"/>
  </r>
  <r>
    <x v="30"/>
    <x v="0"/>
    <x v="368"/>
    <x v="2"/>
    <x v="3"/>
    <x v="48"/>
    <x v="0"/>
    <x v="0"/>
    <n v="0"/>
    <x v="2"/>
  </r>
  <r>
    <x v="30"/>
    <x v="0"/>
    <x v="368"/>
    <x v="2"/>
    <x v="3"/>
    <x v="48"/>
    <x v="0"/>
    <x v="1"/>
    <n v="0"/>
    <x v="2"/>
  </r>
  <r>
    <x v="30"/>
    <x v="0"/>
    <x v="368"/>
    <x v="2"/>
    <x v="3"/>
    <x v="48"/>
    <x v="0"/>
    <x v="2"/>
    <n v="0"/>
    <x v="2"/>
  </r>
  <r>
    <x v="30"/>
    <x v="0"/>
    <x v="368"/>
    <x v="2"/>
    <x v="3"/>
    <x v="48"/>
    <x v="0"/>
    <x v="3"/>
    <n v="0"/>
    <x v="2"/>
  </r>
  <r>
    <x v="30"/>
    <x v="0"/>
    <x v="368"/>
    <x v="2"/>
    <x v="3"/>
    <x v="48"/>
    <x v="0"/>
    <x v="4"/>
    <n v="0"/>
    <x v="2"/>
  </r>
  <r>
    <x v="30"/>
    <x v="0"/>
    <x v="368"/>
    <x v="2"/>
    <x v="3"/>
    <x v="48"/>
    <x v="0"/>
    <x v="5"/>
    <n v="0"/>
    <x v="2"/>
  </r>
  <r>
    <x v="30"/>
    <x v="0"/>
    <x v="368"/>
    <x v="2"/>
    <x v="3"/>
    <x v="48"/>
    <x v="0"/>
    <x v="6"/>
    <n v="0"/>
    <x v="2"/>
  </r>
  <r>
    <x v="30"/>
    <x v="0"/>
    <x v="368"/>
    <x v="2"/>
    <x v="3"/>
    <x v="48"/>
    <x v="0"/>
    <x v="7"/>
    <n v="0"/>
    <x v="2"/>
  </r>
  <r>
    <x v="30"/>
    <x v="0"/>
    <x v="368"/>
    <x v="2"/>
    <x v="3"/>
    <x v="48"/>
    <x v="0"/>
    <x v="8"/>
    <n v="0"/>
    <x v="2"/>
  </r>
  <r>
    <x v="30"/>
    <x v="0"/>
    <x v="368"/>
    <x v="2"/>
    <x v="3"/>
    <x v="48"/>
    <x v="0"/>
    <x v="9"/>
    <n v="0"/>
    <x v="2"/>
  </r>
  <r>
    <x v="30"/>
    <x v="0"/>
    <x v="368"/>
    <x v="2"/>
    <x v="3"/>
    <x v="48"/>
    <x v="0"/>
    <x v="10"/>
    <n v="0"/>
    <x v="2"/>
  </r>
  <r>
    <x v="30"/>
    <x v="0"/>
    <x v="368"/>
    <x v="2"/>
    <x v="3"/>
    <x v="48"/>
    <x v="0"/>
    <x v="12"/>
    <n v="0"/>
    <x v="2"/>
  </r>
  <r>
    <x v="30"/>
    <x v="1"/>
    <x v="369"/>
    <x v="2"/>
    <x v="3"/>
    <x v="46"/>
    <x v="0"/>
    <x v="0"/>
    <n v="959.98"/>
    <x v="2"/>
  </r>
  <r>
    <x v="30"/>
    <x v="1"/>
    <x v="369"/>
    <x v="2"/>
    <x v="3"/>
    <x v="46"/>
    <x v="0"/>
    <x v="1"/>
    <n v="747.65"/>
    <x v="2"/>
  </r>
  <r>
    <x v="30"/>
    <x v="1"/>
    <x v="369"/>
    <x v="2"/>
    <x v="3"/>
    <x v="46"/>
    <x v="0"/>
    <x v="2"/>
    <n v="871.88"/>
    <x v="2"/>
  </r>
  <r>
    <x v="30"/>
    <x v="1"/>
    <x v="369"/>
    <x v="2"/>
    <x v="3"/>
    <x v="46"/>
    <x v="0"/>
    <x v="3"/>
    <n v="835.68"/>
    <x v="2"/>
  </r>
  <r>
    <x v="30"/>
    <x v="1"/>
    <x v="369"/>
    <x v="2"/>
    <x v="3"/>
    <x v="46"/>
    <x v="0"/>
    <x v="4"/>
    <n v="2697.45"/>
    <x v="2"/>
  </r>
  <r>
    <x v="30"/>
    <x v="1"/>
    <x v="369"/>
    <x v="2"/>
    <x v="3"/>
    <x v="46"/>
    <x v="0"/>
    <x v="5"/>
    <n v="708.7"/>
    <x v="2"/>
  </r>
  <r>
    <x v="30"/>
    <x v="1"/>
    <x v="369"/>
    <x v="2"/>
    <x v="3"/>
    <x v="46"/>
    <x v="0"/>
    <x v="6"/>
    <n v="734"/>
    <x v="2"/>
  </r>
  <r>
    <x v="30"/>
    <x v="1"/>
    <x v="369"/>
    <x v="2"/>
    <x v="3"/>
    <x v="46"/>
    <x v="0"/>
    <x v="7"/>
    <n v="3200.86"/>
    <x v="2"/>
  </r>
  <r>
    <x v="30"/>
    <x v="1"/>
    <x v="369"/>
    <x v="2"/>
    <x v="3"/>
    <x v="46"/>
    <x v="0"/>
    <x v="8"/>
    <n v="11336"/>
    <x v="2"/>
  </r>
  <r>
    <x v="30"/>
    <x v="1"/>
    <x v="369"/>
    <x v="2"/>
    <x v="3"/>
    <x v="46"/>
    <x v="0"/>
    <x v="9"/>
    <n v="2066"/>
    <x v="2"/>
  </r>
  <r>
    <x v="30"/>
    <x v="1"/>
    <x v="369"/>
    <x v="2"/>
    <x v="3"/>
    <x v="46"/>
    <x v="0"/>
    <x v="10"/>
    <n v="1478"/>
    <x v="2"/>
  </r>
  <r>
    <x v="30"/>
    <x v="1"/>
    <x v="369"/>
    <x v="2"/>
    <x v="3"/>
    <x v="46"/>
    <x v="0"/>
    <x v="12"/>
    <n v="668"/>
    <x v="2"/>
  </r>
  <r>
    <x v="30"/>
    <x v="1"/>
    <x v="370"/>
    <x v="2"/>
    <x v="3"/>
    <x v="49"/>
    <x v="0"/>
    <x v="0"/>
    <n v="0"/>
    <x v="2"/>
  </r>
  <r>
    <x v="30"/>
    <x v="1"/>
    <x v="370"/>
    <x v="2"/>
    <x v="3"/>
    <x v="49"/>
    <x v="0"/>
    <x v="1"/>
    <n v="0"/>
    <x v="2"/>
  </r>
  <r>
    <x v="30"/>
    <x v="1"/>
    <x v="370"/>
    <x v="2"/>
    <x v="3"/>
    <x v="49"/>
    <x v="0"/>
    <x v="2"/>
    <n v="0"/>
    <x v="2"/>
  </r>
  <r>
    <x v="30"/>
    <x v="1"/>
    <x v="370"/>
    <x v="2"/>
    <x v="3"/>
    <x v="49"/>
    <x v="0"/>
    <x v="3"/>
    <n v="0"/>
    <x v="2"/>
  </r>
  <r>
    <x v="30"/>
    <x v="1"/>
    <x v="370"/>
    <x v="2"/>
    <x v="3"/>
    <x v="49"/>
    <x v="0"/>
    <x v="4"/>
    <n v="0"/>
    <x v="2"/>
  </r>
  <r>
    <x v="30"/>
    <x v="1"/>
    <x v="370"/>
    <x v="2"/>
    <x v="3"/>
    <x v="49"/>
    <x v="0"/>
    <x v="5"/>
    <n v="0"/>
    <x v="2"/>
  </r>
  <r>
    <x v="30"/>
    <x v="1"/>
    <x v="370"/>
    <x v="2"/>
    <x v="3"/>
    <x v="49"/>
    <x v="0"/>
    <x v="6"/>
    <n v="0"/>
    <x v="2"/>
  </r>
  <r>
    <x v="30"/>
    <x v="1"/>
    <x v="370"/>
    <x v="2"/>
    <x v="3"/>
    <x v="49"/>
    <x v="0"/>
    <x v="7"/>
    <n v="0"/>
    <x v="2"/>
  </r>
  <r>
    <x v="30"/>
    <x v="1"/>
    <x v="370"/>
    <x v="2"/>
    <x v="3"/>
    <x v="49"/>
    <x v="0"/>
    <x v="8"/>
    <n v="0"/>
    <x v="2"/>
  </r>
  <r>
    <x v="30"/>
    <x v="1"/>
    <x v="370"/>
    <x v="2"/>
    <x v="3"/>
    <x v="49"/>
    <x v="0"/>
    <x v="9"/>
    <n v="0"/>
    <x v="2"/>
  </r>
  <r>
    <x v="30"/>
    <x v="1"/>
    <x v="370"/>
    <x v="2"/>
    <x v="3"/>
    <x v="49"/>
    <x v="0"/>
    <x v="10"/>
    <n v="0"/>
    <x v="2"/>
  </r>
  <r>
    <x v="30"/>
    <x v="1"/>
    <x v="370"/>
    <x v="2"/>
    <x v="3"/>
    <x v="49"/>
    <x v="0"/>
    <x v="12"/>
    <n v="0"/>
    <x v="2"/>
  </r>
  <r>
    <x v="30"/>
    <x v="1"/>
    <x v="414"/>
    <x v="0"/>
    <x v="3"/>
    <x v="11"/>
    <x v="0"/>
    <x v="0"/>
    <n v="0"/>
    <x v="2"/>
  </r>
  <r>
    <x v="30"/>
    <x v="1"/>
    <x v="414"/>
    <x v="0"/>
    <x v="3"/>
    <x v="11"/>
    <x v="0"/>
    <x v="1"/>
    <n v="0"/>
    <x v="2"/>
  </r>
  <r>
    <x v="30"/>
    <x v="1"/>
    <x v="414"/>
    <x v="0"/>
    <x v="3"/>
    <x v="11"/>
    <x v="0"/>
    <x v="2"/>
    <n v="0"/>
    <x v="2"/>
  </r>
  <r>
    <x v="30"/>
    <x v="1"/>
    <x v="414"/>
    <x v="0"/>
    <x v="3"/>
    <x v="11"/>
    <x v="0"/>
    <x v="3"/>
    <n v="1614.26"/>
    <x v="2"/>
  </r>
  <r>
    <x v="30"/>
    <x v="1"/>
    <x v="414"/>
    <x v="0"/>
    <x v="3"/>
    <x v="11"/>
    <x v="0"/>
    <x v="4"/>
    <n v="0"/>
    <x v="2"/>
  </r>
  <r>
    <x v="30"/>
    <x v="1"/>
    <x v="414"/>
    <x v="0"/>
    <x v="3"/>
    <x v="11"/>
    <x v="0"/>
    <x v="5"/>
    <n v="0"/>
    <x v="2"/>
  </r>
  <r>
    <x v="30"/>
    <x v="1"/>
    <x v="414"/>
    <x v="0"/>
    <x v="3"/>
    <x v="11"/>
    <x v="0"/>
    <x v="6"/>
    <n v="0"/>
    <x v="2"/>
  </r>
  <r>
    <x v="30"/>
    <x v="1"/>
    <x v="414"/>
    <x v="0"/>
    <x v="3"/>
    <x v="11"/>
    <x v="0"/>
    <x v="7"/>
    <n v="0"/>
    <x v="2"/>
  </r>
  <r>
    <x v="30"/>
    <x v="1"/>
    <x v="414"/>
    <x v="0"/>
    <x v="3"/>
    <x v="11"/>
    <x v="0"/>
    <x v="8"/>
    <n v="0"/>
    <x v="2"/>
  </r>
  <r>
    <x v="30"/>
    <x v="1"/>
    <x v="414"/>
    <x v="0"/>
    <x v="3"/>
    <x v="11"/>
    <x v="0"/>
    <x v="9"/>
    <n v="0"/>
    <x v="2"/>
  </r>
  <r>
    <x v="30"/>
    <x v="1"/>
    <x v="414"/>
    <x v="0"/>
    <x v="3"/>
    <x v="11"/>
    <x v="0"/>
    <x v="10"/>
    <n v="0"/>
    <x v="2"/>
  </r>
  <r>
    <x v="30"/>
    <x v="1"/>
    <x v="414"/>
    <x v="0"/>
    <x v="3"/>
    <x v="11"/>
    <x v="0"/>
    <x v="12"/>
    <n v="0"/>
    <x v="2"/>
  </r>
  <r>
    <x v="30"/>
    <x v="1"/>
    <x v="415"/>
    <x v="0"/>
    <x v="9"/>
    <x v="37"/>
    <x v="0"/>
    <x v="0"/>
    <n v="519.1"/>
    <x v="2"/>
  </r>
  <r>
    <x v="30"/>
    <x v="1"/>
    <x v="415"/>
    <x v="0"/>
    <x v="9"/>
    <x v="37"/>
    <x v="0"/>
    <x v="1"/>
    <n v="733.06"/>
    <x v="2"/>
  </r>
  <r>
    <x v="30"/>
    <x v="1"/>
    <x v="415"/>
    <x v="0"/>
    <x v="9"/>
    <x v="37"/>
    <x v="0"/>
    <x v="2"/>
    <n v="449"/>
    <x v="2"/>
  </r>
  <r>
    <x v="30"/>
    <x v="1"/>
    <x v="415"/>
    <x v="0"/>
    <x v="9"/>
    <x v="37"/>
    <x v="0"/>
    <x v="3"/>
    <n v="366.53"/>
    <x v="2"/>
  </r>
  <r>
    <x v="30"/>
    <x v="1"/>
    <x v="415"/>
    <x v="0"/>
    <x v="9"/>
    <x v="37"/>
    <x v="0"/>
    <x v="4"/>
    <n v="366.55"/>
    <x v="2"/>
  </r>
  <r>
    <x v="30"/>
    <x v="1"/>
    <x v="415"/>
    <x v="0"/>
    <x v="9"/>
    <x v="37"/>
    <x v="0"/>
    <x v="5"/>
    <n v="766.77"/>
    <x v="2"/>
  </r>
  <r>
    <x v="30"/>
    <x v="1"/>
    <x v="415"/>
    <x v="0"/>
    <x v="9"/>
    <x v="37"/>
    <x v="0"/>
    <x v="6"/>
    <n v="0"/>
    <x v="2"/>
  </r>
  <r>
    <x v="30"/>
    <x v="1"/>
    <x v="415"/>
    <x v="0"/>
    <x v="9"/>
    <x v="37"/>
    <x v="0"/>
    <x v="7"/>
    <n v="364.9"/>
    <x v="2"/>
  </r>
  <r>
    <x v="30"/>
    <x v="1"/>
    <x v="415"/>
    <x v="0"/>
    <x v="9"/>
    <x v="37"/>
    <x v="0"/>
    <x v="8"/>
    <n v="362"/>
    <x v="2"/>
  </r>
  <r>
    <x v="30"/>
    <x v="1"/>
    <x v="415"/>
    <x v="0"/>
    <x v="9"/>
    <x v="37"/>
    <x v="0"/>
    <x v="9"/>
    <n v="0"/>
    <x v="2"/>
  </r>
  <r>
    <x v="30"/>
    <x v="1"/>
    <x v="415"/>
    <x v="0"/>
    <x v="9"/>
    <x v="37"/>
    <x v="0"/>
    <x v="10"/>
    <n v="367"/>
    <x v="2"/>
  </r>
  <r>
    <x v="30"/>
    <x v="1"/>
    <x v="415"/>
    <x v="0"/>
    <x v="9"/>
    <x v="37"/>
    <x v="0"/>
    <x v="12"/>
    <n v="482"/>
    <x v="2"/>
  </r>
  <r>
    <x v="30"/>
    <x v="1"/>
    <x v="416"/>
    <x v="0"/>
    <x v="9"/>
    <x v="37"/>
    <x v="0"/>
    <x v="0"/>
    <n v="1263.2163265306122"/>
    <x v="2"/>
  </r>
  <r>
    <x v="30"/>
    <x v="1"/>
    <x v="416"/>
    <x v="0"/>
    <x v="9"/>
    <x v="37"/>
    <x v="0"/>
    <x v="1"/>
    <n v="329.77"/>
    <x v="2"/>
  </r>
  <r>
    <x v="30"/>
    <x v="1"/>
    <x v="416"/>
    <x v="0"/>
    <x v="9"/>
    <x v="37"/>
    <x v="0"/>
    <x v="2"/>
    <n v="77.510000000000005"/>
    <x v="2"/>
  </r>
  <r>
    <x v="30"/>
    <x v="1"/>
    <x v="416"/>
    <x v="0"/>
    <x v="9"/>
    <x v="37"/>
    <x v="0"/>
    <x v="3"/>
    <n v="67.3"/>
    <x v="2"/>
  </r>
  <r>
    <x v="30"/>
    <x v="1"/>
    <x v="416"/>
    <x v="0"/>
    <x v="9"/>
    <x v="37"/>
    <x v="0"/>
    <x v="4"/>
    <n v="128.16"/>
    <x v="2"/>
  </r>
  <r>
    <x v="30"/>
    <x v="1"/>
    <x v="416"/>
    <x v="0"/>
    <x v="9"/>
    <x v="37"/>
    <x v="0"/>
    <x v="5"/>
    <n v="49.39"/>
    <x v="2"/>
  </r>
  <r>
    <x v="30"/>
    <x v="1"/>
    <x v="416"/>
    <x v="0"/>
    <x v="9"/>
    <x v="37"/>
    <x v="0"/>
    <x v="6"/>
    <n v="152"/>
    <x v="2"/>
  </r>
  <r>
    <x v="30"/>
    <x v="1"/>
    <x v="416"/>
    <x v="0"/>
    <x v="9"/>
    <x v="37"/>
    <x v="0"/>
    <x v="7"/>
    <n v="750.73"/>
    <x v="2"/>
  </r>
  <r>
    <x v="30"/>
    <x v="1"/>
    <x v="416"/>
    <x v="0"/>
    <x v="9"/>
    <x v="37"/>
    <x v="0"/>
    <x v="8"/>
    <n v="864"/>
    <x v="2"/>
  </r>
  <r>
    <x v="30"/>
    <x v="1"/>
    <x v="416"/>
    <x v="0"/>
    <x v="9"/>
    <x v="37"/>
    <x v="0"/>
    <x v="9"/>
    <n v="149"/>
    <x v="2"/>
  </r>
  <r>
    <x v="30"/>
    <x v="1"/>
    <x v="416"/>
    <x v="0"/>
    <x v="9"/>
    <x v="37"/>
    <x v="0"/>
    <x v="10"/>
    <n v="332"/>
    <x v="2"/>
  </r>
  <r>
    <x v="30"/>
    <x v="1"/>
    <x v="416"/>
    <x v="0"/>
    <x v="9"/>
    <x v="37"/>
    <x v="0"/>
    <x v="12"/>
    <n v="2377"/>
    <x v="2"/>
  </r>
  <r>
    <x v="30"/>
    <x v="1"/>
    <x v="417"/>
    <x v="0"/>
    <x v="9"/>
    <x v="37"/>
    <x v="0"/>
    <x v="0"/>
    <n v="407.50204081632648"/>
    <x v="2"/>
  </r>
  <r>
    <x v="30"/>
    <x v="1"/>
    <x v="417"/>
    <x v="0"/>
    <x v="9"/>
    <x v="37"/>
    <x v="0"/>
    <x v="1"/>
    <n v="54.67"/>
    <x v="2"/>
  </r>
  <r>
    <x v="30"/>
    <x v="1"/>
    <x v="417"/>
    <x v="0"/>
    <x v="9"/>
    <x v="37"/>
    <x v="0"/>
    <x v="2"/>
    <n v="3111.62"/>
    <x v="2"/>
  </r>
  <r>
    <x v="30"/>
    <x v="1"/>
    <x v="417"/>
    <x v="0"/>
    <x v="9"/>
    <x v="37"/>
    <x v="0"/>
    <x v="3"/>
    <n v="2540.1"/>
    <x v="2"/>
  </r>
  <r>
    <x v="30"/>
    <x v="1"/>
    <x v="417"/>
    <x v="0"/>
    <x v="9"/>
    <x v="37"/>
    <x v="0"/>
    <x v="4"/>
    <n v="2540.1"/>
    <x v="2"/>
  </r>
  <r>
    <x v="30"/>
    <x v="1"/>
    <x v="417"/>
    <x v="0"/>
    <x v="9"/>
    <x v="37"/>
    <x v="0"/>
    <x v="5"/>
    <n v="2447.69"/>
    <x v="2"/>
  </r>
  <r>
    <x v="30"/>
    <x v="1"/>
    <x v="417"/>
    <x v="0"/>
    <x v="9"/>
    <x v="37"/>
    <x v="0"/>
    <x v="6"/>
    <n v="2457"/>
    <x v="2"/>
  </r>
  <r>
    <x v="30"/>
    <x v="1"/>
    <x v="417"/>
    <x v="0"/>
    <x v="9"/>
    <x v="37"/>
    <x v="0"/>
    <x v="7"/>
    <n v="2478.54"/>
    <x v="2"/>
  </r>
  <r>
    <x v="30"/>
    <x v="1"/>
    <x v="417"/>
    <x v="0"/>
    <x v="9"/>
    <x v="37"/>
    <x v="0"/>
    <x v="8"/>
    <n v="2438"/>
    <x v="2"/>
  </r>
  <r>
    <x v="30"/>
    <x v="1"/>
    <x v="417"/>
    <x v="0"/>
    <x v="9"/>
    <x v="37"/>
    <x v="0"/>
    <x v="9"/>
    <n v="0"/>
    <x v="2"/>
  </r>
  <r>
    <x v="30"/>
    <x v="1"/>
    <x v="417"/>
    <x v="0"/>
    <x v="9"/>
    <x v="37"/>
    <x v="0"/>
    <x v="10"/>
    <n v="295"/>
    <x v="2"/>
  </r>
  <r>
    <x v="30"/>
    <x v="1"/>
    <x v="417"/>
    <x v="0"/>
    <x v="9"/>
    <x v="37"/>
    <x v="0"/>
    <x v="12"/>
    <n v="236"/>
    <x v="2"/>
  </r>
  <r>
    <x v="30"/>
    <x v="1"/>
    <x v="418"/>
    <x v="0"/>
    <x v="9"/>
    <x v="37"/>
    <x v="0"/>
    <x v="0"/>
    <n v="2973.5122448979587"/>
    <x v="2"/>
  </r>
  <r>
    <x v="30"/>
    <x v="1"/>
    <x v="418"/>
    <x v="0"/>
    <x v="9"/>
    <x v="37"/>
    <x v="0"/>
    <x v="1"/>
    <n v="2548.19"/>
    <x v="2"/>
  </r>
  <r>
    <x v="30"/>
    <x v="1"/>
    <x v="418"/>
    <x v="0"/>
    <x v="9"/>
    <x v="37"/>
    <x v="0"/>
    <x v="2"/>
    <n v="0"/>
    <x v="2"/>
  </r>
  <r>
    <x v="30"/>
    <x v="1"/>
    <x v="418"/>
    <x v="0"/>
    <x v="9"/>
    <x v="37"/>
    <x v="0"/>
    <x v="3"/>
    <n v="208.62"/>
    <x v="2"/>
  </r>
  <r>
    <x v="30"/>
    <x v="1"/>
    <x v="418"/>
    <x v="0"/>
    <x v="9"/>
    <x v="37"/>
    <x v="0"/>
    <x v="4"/>
    <n v="397.32"/>
    <x v="2"/>
  </r>
  <r>
    <x v="30"/>
    <x v="1"/>
    <x v="418"/>
    <x v="0"/>
    <x v="9"/>
    <x v="37"/>
    <x v="0"/>
    <x v="5"/>
    <n v="415.37"/>
    <x v="2"/>
  </r>
  <r>
    <x v="30"/>
    <x v="1"/>
    <x v="418"/>
    <x v="0"/>
    <x v="9"/>
    <x v="37"/>
    <x v="0"/>
    <x v="6"/>
    <n v="96"/>
    <x v="2"/>
  </r>
  <r>
    <x v="30"/>
    <x v="1"/>
    <x v="418"/>
    <x v="0"/>
    <x v="9"/>
    <x v="37"/>
    <x v="0"/>
    <x v="7"/>
    <n v="242.17"/>
    <x v="2"/>
  </r>
  <r>
    <x v="30"/>
    <x v="1"/>
    <x v="418"/>
    <x v="0"/>
    <x v="9"/>
    <x v="37"/>
    <x v="0"/>
    <x v="8"/>
    <n v="0"/>
    <x v="2"/>
  </r>
  <r>
    <x v="30"/>
    <x v="1"/>
    <x v="418"/>
    <x v="0"/>
    <x v="9"/>
    <x v="37"/>
    <x v="0"/>
    <x v="9"/>
    <n v="47"/>
    <x v="2"/>
  </r>
  <r>
    <x v="30"/>
    <x v="1"/>
    <x v="418"/>
    <x v="0"/>
    <x v="9"/>
    <x v="37"/>
    <x v="0"/>
    <x v="10"/>
    <n v="2620"/>
    <x v="2"/>
  </r>
  <r>
    <x v="30"/>
    <x v="1"/>
    <x v="418"/>
    <x v="0"/>
    <x v="9"/>
    <x v="37"/>
    <x v="0"/>
    <x v="12"/>
    <n v="2562"/>
    <x v="2"/>
  </r>
  <r>
    <x v="30"/>
    <x v="1"/>
    <x v="419"/>
    <x v="0"/>
    <x v="9"/>
    <x v="37"/>
    <x v="0"/>
    <x v="0"/>
    <n v="9885.3795918367341"/>
    <x v="2"/>
  </r>
  <r>
    <x v="30"/>
    <x v="1"/>
    <x v="419"/>
    <x v="0"/>
    <x v="9"/>
    <x v="37"/>
    <x v="0"/>
    <x v="1"/>
    <n v="2514"/>
    <x v="2"/>
  </r>
  <r>
    <x v="30"/>
    <x v="1"/>
    <x v="419"/>
    <x v="0"/>
    <x v="9"/>
    <x v="37"/>
    <x v="0"/>
    <x v="2"/>
    <n v="2969.32"/>
    <x v="2"/>
  </r>
  <r>
    <x v="30"/>
    <x v="1"/>
    <x v="419"/>
    <x v="0"/>
    <x v="9"/>
    <x v="37"/>
    <x v="0"/>
    <x v="3"/>
    <n v="2987.78"/>
    <x v="2"/>
  </r>
  <r>
    <x v="30"/>
    <x v="1"/>
    <x v="419"/>
    <x v="0"/>
    <x v="9"/>
    <x v="37"/>
    <x v="0"/>
    <x v="4"/>
    <n v="5731.87"/>
    <x v="2"/>
  </r>
  <r>
    <x v="30"/>
    <x v="1"/>
    <x v="419"/>
    <x v="0"/>
    <x v="9"/>
    <x v="37"/>
    <x v="0"/>
    <x v="5"/>
    <n v="614.37"/>
    <x v="2"/>
  </r>
  <r>
    <x v="30"/>
    <x v="1"/>
    <x v="419"/>
    <x v="0"/>
    <x v="9"/>
    <x v="37"/>
    <x v="0"/>
    <x v="6"/>
    <n v="735"/>
    <x v="2"/>
  </r>
  <r>
    <x v="30"/>
    <x v="1"/>
    <x v="419"/>
    <x v="0"/>
    <x v="9"/>
    <x v="37"/>
    <x v="0"/>
    <x v="7"/>
    <n v="5011.09"/>
    <x v="2"/>
  </r>
  <r>
    <x v="30"/>
    <x v="1"/>
    <x v="419"/>
    <x v="0"/>
    <x v="9"/>
    <x v="37"/>
    <x v="0"/>
    <x v="8"/>
    <n v="2989"/>
    <x v="2"/>
  </r>
  <r>
    <x v="30"/>
    <x v="1"/>
    <x v="419"/>
    <x v="0"/>
    <x v="9"/>
    <x v="37"/>
    <x v="0"/>
    <x v="9"/>
    <n v="1115"/>
    <x v="2"/>
  </r>
  <r>
    <x v="30"/>
    <x v="1"/>
    <x v="419"/>
    <x v="0"/>
    <x v="9"/>
    <x v="37"/>
    <x v="0"/>
    <x v="10"/>
    <n v="3451"/>
    <x v="2"/>
  </r>
  <r>
    <x v="30"/>
    <x v="1"/>
    <x v="419"/>
    <x v="0"/>
    <x v="9"/>
    <x v="37"/>
    <x v="0"/>
    <x v="12"/>
    <n v="2377"/>
    <x v="2"/>
  </r>
  <r>
    <x v="30"/>
    <x v="1"/>
    <x v="420"/>
    <x v="0"/>
    <x v="9"/>
    <x v="37"/>
    <x v="0"/>
    <x v="0"/>
    <n v="9141.2510204081627"/>
    <x v="2"/>
  </r>
  <r>
    <x v="30"/>
    <x v="1"/>
    <x v="420"/>
    <x v="0"/>
    <x v="9"/>
    <x v="37"/>
    <x v="0"/>
    <x v="1"/>
    <n v="0"/>
    <x v="2"/>
  </r>
  <r>
    <x v="30"/>
    <x v="1"/>
    <x v="420"/>
    <x v="0"/>
    <x v="9"/>
    <x v="37"/>
    <x v="0"/>
    <x v="2"/>
    <n v="0"/>
    <x v="2"/>
  </r>
  <r>
    <x v="30"/>
    <x v="1"/>
    <x v="420"/>
    <x v="0"/>
    <x v="9"/>
    <x v="37"/>
    <x v="0"/>
    <x v="3"/>
    <n v="5015.09"/>
    <x v="2"/>
  </r>
  <r>
    <x v="30"/>
    <x v="1"/>
    <x v="420"/>
    <x v="0"/>
    <x v="9"/>
    <x v="37"/>
    <x v="0"/>
    <x v="4"/>
    <n v="0"/>
    <x v="2"/>
  </r>
  <r>
    <x v="30"/>
    <x v="1"/>
    <x v="420"/>
    <x v="0"/>
    <x v="9"/>
    <x v="37"/>
    <x v="0"/>
    <x v="5"/>
    <n v="0"/>
    <x v="2"/>
  </r>
  <r>
    <x v="30"/>
    <x v="1"/>
    <x v="420"/>
    <x v="0"/>
    <x v="9"/>
    <x v="37"/>
    <x v="0"/>
    <x v="6"/>
    <n v="1413"/>
    <x v="2"/>
  </r>
  <r>
    <x v="30"/>
    <x v="1"/>
    <x v="420"/>
    <x v="0"/>
    <x v="9"/>
    <x v="37"/>
    <x v="0"/>
    <x v="7"/>
    <n v="4462.34"/>
    <x v="2"/>
  </r>
  <r>
    <x v="30"/>
    <x v="1"/>
    <x v="420"/>
    <x v="0"/>
    <x v="9"/>
    <x v="37"/>
    <x v="0"/>
    <x v="8"/>
    <n v="4501"/>
    <x v="2"/>
  </r>
  <r>
    <x v="30"/>
    <x v="1"/>
    <x v="420"/>
    <x v="0"/>
    <x v="9"/>
    <x v="37"/>
    <x v="0"/>
    <x v="9"/>
    <n v="5920"/>
    <x v="2"/>
  </r>
  <r>
    <x v="30"/>
    <x v="1"/>
    <x v="420"/>
    <x v="0"/>
    <x v="9"/>
    <x v="37"/>
    <x v="0"/>
    <x v="10"/>
    <n v="5979"/>
    <x v="2"/>
  </r>
  <r>
    <x v="30"/>
    <x v="1"/>
    <x v="420"/>
    <x v="0"/>
    <x v="9"/>
    <x v="37"/>
    <x v="0"/>
    <x v="12"/>
    <n v="2230"/>
    <x v="2"/>
  </r>
  <r>
    <x v="30"/>
    <x v="1"/>
    <x v="421"/>
    <x v="0"/>
    <x v="9"/>
    <x v="37"/>
    <x v="0"/>
    <x v="0"/>
    <n v="30195.593877551019"/>
    <x v="2"/>
  </r>
  <r>
    <x v="30"/>
    <x v="1"/>
    <x v="421"/>
    <x v="0"/>
    <x v="9"/>
    <x v="37"/>
    <x v="0"/>
    <x v="1"/>
    <n v="0"/>
    <x v="2"/>
  </r>
  <r>
    <x v="30"/>
    <x v="1"/>
    <x v="421"/>
    <x v="0"/>
    <x v="9"/>
    <x v="37"/>
    <x v="0"/>
    <x v="2"/>
    <n v="0"/>
    <x v="2"/>
  </r>
  <r>
    <x v="30"/>
    <x v="1"/>
    <x v="421"/>
    <x v="0"/>
    <x v="9"/>
    <x v="37"/>
    <x v="0"/>
    <x v="3"/>
    <n v="15885.86"/>
    <x v="2"/>
  </r>
  <r>
    <x v="30"/>
    <x v="1"/>
    <x v="421"/>
    <x v="0"/>
    <x v="9"/>
    <x v="37"/>
    <x v="0"/>
    <x v="4"/>
    <n v="0"/>
    <x v="2"/>
  </r>
  <r>
    <x v="30"/>
    <x v="1"/>
    <x v="421"/>
    <x v="0"/>
    <x v="9"/>
    <x v="37"/>
    <x v="0"/>
    <x v="5"/>
    <n v="0"/>
    <x v="2"/>
  </r>
  <r>
    <x v="30"/>
    <x v="1"/>
    <x v="421"/>
    <x v="0"/>
    <x v="9"/>
    <x v="37"/>
    <x v="0"/>
    <x v="6"/>
    <n v="4223"/>
    <x v="2"/>
  </r>
  <r>
    <x v="30"/>
    <x v="1"/>
    <x v="421"/>
    <x v="0"/>
    <x v="9"/>
    <x v="37"/>
    <x v="0"/>
    <x v="7"/>
    <n v="1493.44"/>
    <x v="2"/>
  </r>
  <r>
    <x v="30"/>
    <x v="1"/>
    <x v="421"/>
    <x v="0"/>
    <x v="9"/>
    <x v="37"/>
    <x v="0"/>
    <x v="8"/>
    <n v="1506"/>
    <x v="2"/>
  </r>
  <r>
    <x v="30"/>
    <x v="1"/>
    <x v="421"/>
    <x v="0"/>
    <x v="9"/>
    <x v="37"/>
    <x v="0"/>
    <x v="9"/>
    <n v="1815"/>
    <x v="2"/>
  </r>
  <r>
    <x v="30"/>
    <x v="1"/>
    <x v="421"/>
    <x v="0"/>
    <x v="9"/>
    <x v="37"/>
    <x v="0"/>
    <x v="10"/>
    <n v="1833"/>
    <x v="2"/>
  </r>
  <r>
    <x v="30"/>
    <x v="1"/>
    <x v="421"/>
    <x v="0"/>
    <x v="9"/>
    <x v="37"/>
    <x v="0"/>
    <x v="12"/>
    <n v="5796"/>
    <x v="2"/>
  </r>
  <r>
    <x v="30"/>
    <x v="1"/>
    <x v="422"/>
    <x v="0"/>
    <x v="9"/>
    <x v="37"/>
    <x v="0"/>
    <x v="0"/>
    <n v="0"/>
    <x v="2"/>
  </r>
  <r>
    <x v="30"/>
    <x v="1"/>
    <x v="422"/>
    <x v="0"/>
    <x v="9"/>
    <x v="37"/>
    <x v="0"/>
    <x v="1"/>
    <n v="0"/>
    <x v="2"/>
  </r>
  <r>
    <x v="30"/>
    <x v="1"/>
    <x v="422"/>
    <x v="0"/>
    <x v="9"/>
    <x v="37"/>
    <x v="0"/>
    <x v="2"/>
    <n v="0"/>
    <x v="2"/>
  </r>
  <r>
    <x v="30"/>
    <x v="1"/>
    <x v="422"/>
    <x v="0"/>
    <x v="9"/>
    <x v="37"/>
    <x v="0"/>
    <x v="3"/>
    <n v="5.24"/>
    <x v="2"/>
  </r>
  <r>
    <x v="30"/>
    <x v="1"/>
    <x v="422"/>
    <x v="0"/>
    <x v="9"/>
    <x v="37"/>
    <x v="0"/>
    <x v="4"/>
    <n v="0"/>
    <x v="2"/>
  </r>
  <r>
    <x v="30"/>
    <x v="1"/>
    <x v="422"/>
    <x v="0"/>
    <x v="9"/>
    <x v="37"/>
    <x v="0"/>
    <x v="5"/>
    <n v="0"/>
    <x v="2"/>
  </r>
  <r>
    <x v="30"/>
    <x v="1"/>
    <x v="422"/>
    <x v="0"/>
    <x v="9"/>
    <x v="37"/>
    <x v="0"/>
    <x v="6"/>
    <n v="0"/>
    <x v="2"/>
  </r>
  <r>
    <x v="30"/>
    <x v="1"/>
    <x v="422"/>
    <x v="0"/>
    <x v="9"/>
    <x v="37"/>
    <x v="0"/>
    <x v="7"/>
    <n v="0"/>
    <x v="2"/>
  </r>
  <r>
    <x v="30"/>
    <x v="1"/>
    <x v="422"/>
    <x v="0"/>
    <x v="9"/>
    <x v="37"/>
    <x v="0"/>
    <x v="8"/>
    <n v="0"/>
    <x v="2"/>
  </r>
  <r>
    <x v="30"/>
    <x v="1"/>
    <x v="422"/>
    <x v="0"/>
    <x v="9"/>
    <x v="37"/>
    <x v="0"/>
    <x v="9"/>
    <n v="48"/>
    <x v="2"/>
  </r>
  <r>
    <x v="30"/>
    <x v="1"/>
    <x v="422"/>
    <x v="0"/>
    <x v="9"/>
    <x v="37"/>
    <x v="0"/>
    <x v="10"/>
    <n v="2303"/>
    <x v="2"/>
  </r>
  <r>
    <x v="30"/>
    <x v="1"/>
    <x v="422"/>
    <x v="0"/>
    <x v="9"/>
    <x v="37"/>
    <x v="0"/>
    <x v="12"/>
    <n v="1758"/>
    <x v="2"/>
  </r>
  <r>
    <x v="30"/>
    <x v="1"/>
    <x v="374"/>
    <x v="3"/>
    <x v="8"/>
    <x v="23"/>
    <x v="0"/>
    <x v="0"/>
    <n v="0"/>
    <x v="2"/>
  </r>
  <r>
    <x v="30"/>
    <x v="1"/>
    <x v="374"/>
    <x v="3"/>
    <x v="8"/>
    <x v="23"/>
    <x v="0"/>
    <x v="1"/>
    <n v="0"/>
    <x v="2"/>
  </r>
  <r>
    <x v="30"/>
    <x v="1"/>
    <x v="374"/>
    <x v="3"/>
    <x v="8"/>
    <x v="23"/>
    <x v="0"/>
    <x v="2"/>
    <n v="0"/>
    <x v="2"/>
  </r>
  <r>
    <x v="30"/>
    <x v="1"/>
    <x v="374"/>
    <x v="3"/>
    <x v="8"/>
    <x v="23"/>
    <x v="0"/>
    <x v="3"/>
    <n v="0"/>
    <x v="2"/>
  </r>
  <r>
    <x v="30"/>
    <x v="1"/>
    <x v="374"/>
    <x v="3"/>
    <x v="8"/>
    <x v="23"/>
    <x v="0"/>
    <x v="4"/>
    <n v="0"/>
    <x v="2"/>
  </r>
  <r>
    <x v="30"/>
    <x v="1"/>
    <x v="374"/>
    <x v="3"/>
    <x v="8"/>
    <x v="23"/>
    <x v="0"/>
    <x v="5"/>
    <n v="0"/>
    <x v="2"/>
  </r>
  <r>
    <x v="30"/>
    <x v="1"/>
    <x v="374"/>
    <x v="3"/>
    <x v="8"/>
    <x v="23"/>
    <x v="0"/>
    <x v="6"/>
    <n v="0"/>
    <x v="2"/>
  </r>
  <r>
    <x v="30"/>
    <x v="1"/>
    <x v="374"/>
    <x v="3"/>
    <x v="8"/>
    <x v="23"/>
    <x v="0"/>
    <x v="7"/>
    <n v="0"/>
    <x v="2"/>
  </r>
  <r>
    <x v="30"/>
    <x v="1"/>
    <x v="374"/>
    <x v="3"/>
    <x v="8"/>
    <x v="23"/>
    <x v="0"/>
    <x v="8"/>
    <n v="0"/>
    <x v="2"/>
  </r>
  <r>
    <x v="30"/>
    <x v="1"/>
    <x v="374"/>
    <x v="3"/>
    <x v="8"/>
    <x v="23"/>
    <x v="0"/>
    <x v="9"/>
    <n v="0"/>
    <x v="2"/>
  </r>
  <r>
    <x v="30"/>
    <x v="1"/>
    <x v="374"/>
    <x v="3"/>
    <x v="8"/>
    <x v="23"/>
    <x v="0"/>
    <x v="10"/>
    <n v="0"/>
    <x v="2"/>
  </r>
  <r>
    <x v="30"/>
    <x v="1"/>
    <x v="374"/>
    <x v="3"/>
    <x v="8"/>
    <x v="23"/>
    <x v="0"/>
    <x v="12"/>
    <n v="0"/>
    <x v="2"/>
  </r>
  <r>
    <x v="30"/>
    <x v="1"/>
    <x v="375"/>
    <x v="3"/>
    <x v="8"/>
    <x v="23"/>
    <x v="0"/>
    <x v="0"/>
    <n v="0"/>
    <x v="2"/>
  </r>
  <r>
    <x v="30"/>
    <x v="1"/>
    <x v="375"/>
    <x v="3"/>
    <x v="8"/>
    <x v="23"/>
    <x v="0"/>
    <x v="1"/>
    <n v="0"/>
    <x v="2"/>
  </r>
  <r>
    <x v="30"/>
    <x v="1"/>
    <x v="375"/>
    <x v="3"/>
    <x v="8"/>
    <x v="23"/>
    <x v="0"/>
    <x v="2"/>
    <n v="0"/>
    <x v="2"/>
  </r>
  <r>
    <x v="30"/>
    <x v="1"/>
    <x v="375"/>
    <x v="3"/>
    <x v="8"/>
    <x v="23"/>
    <x v="0"/>
    <x v="3"/>
    <n v="0"/>
    <x v="2"/>
  </r>
  <r>
    <x v="30"/>
    <x v="1"/>
    <x v="375"/>
    <x v="3"/>
    <x v="8"/>
    <x v="23"/>
    <x v="0"/>
    <x v="4"/>
    <n v="0"/>
    <x v="2"/>
  </r>
  <r>
    <x v="30"/>
    <x v="1"/>
    <x v="375"/>
    <x v="3"/>
    <x v="8"/>
    <x v="23"/>
    <x v="0"/>
    <x v="5"/>
    <n v="0"/>
    <x v="2"/>
  </r>
  <r>
    <x v="30"/>
    <x v="1"/>
    <x v="375"/>
    <x v="3"/>
    <x v="8"/>
    <x v="23"/>
    <x v="0"/>
    <x v="6"/>
    <n v="0"/>
    <x v="2"/>
  </r>
  <r>
    <x v="30"/>
    <x v="1"/>
    <x v="375"/>
    <x v="3"/>
    <x v="8"/>
    <x v="23"/>
    <x v="0"/>
    <x v="7"/>
    <n v="0"/>
    <x v="2"/>
  </r>
  <r>
    <x v="30"/>
    <x v="1"/>
    <x v="375"/>
    <x v="3"/>
    <x v="8"/>
    <x v="23"/>
    <x v="0"/>
    <x v="8"/>
    <n v="0"/>
    <x v="2"/>
  </r>
  <r>
    <x v="30"/>
    <x v="1"/>
    <x v="375"/>
    <x v="3"/>
    <x v="8"/>
    <x v="23"/>
    <x v="0"/>
    <x v="9"/>
    <n v="0"/>
    <x v="2"/>
  </r>
  <r>
    <x v="30"/>
    <x v="1"/>
    <x v="375"/>
    <x v="3"/>
    <x v="8"/>
    <x v="23"/>
    <x v="0"/>
    <x v="10"/>
    <n v="0"/>
    <x v="2"/>
  </r>
  <r>
    <x v="30"/>
    <x v="1"/>
    <x v="375"/>
    <x v="3"/>
    <x v="8"/>
    <x v="23"/>
    <x v="0"/>
    <x v="12"/>
    <n v="0"/>
    <x v="2"/>
  </r>
  <r>
    <x v="30"/>
    <x v="1"/>
    <x v="376"/>
    <x v="3"/>
    <x v="8"/>
    <x v="23"/>
    <x v="0"/>
    <x v="0"/>
    <n v="0"/>
    <x v="2"/>
  </r>
  <r>
    <x v="30"/>
    <x v="1"/>
    <x v="376"/>
    <x v="3"/>
    <x v="8"/>
    <x v="23"/>
    <x v="0"/>
    <x v="1"/>
    <n v="188253.47"/>
    <x v="2"/>
  </r>
  <r>
    <x v="30"/>
    <x v="1"/>
    <x v="376"/>
    <x v="3"/>
    <x v="8"/>
    <x v="23"/>
    <x v="0"/>
    <x v="2"/>
    <n v="0"/>
    <x v="2"/>
  </r>
  <r>
    <x v="30"/>
    <x v="1"/>
    <x v="376"/>
    <x v="3"/>
    <x v="8"/>
    <x v="23"/>
    <x v="0"/>
    <x v="3"/>
    <n v="0"/>
    <x v="2"/>
  </r>
  <r>
    <x v="30"/>
    <x v="1"/>
    <x v="376"/>
    <x v="3"/>
    <x v="8"/>
    <x v="23"/>
    <x v="0"/>
    <x v="4"/>
    <n v="0"/>
    <x v="2"/>
  </r>
  <r>
    <x v="30"/>
    <x v="1"/>
    <x v="376"/>
    <x v="3"/>
    <x v="8"/>
    <x v="23"/>
    <x v="0"/>
    <x v="5"/>
    <n v="321484.53999999998"/>
    <x v="2"/>
  </r>
  <r>
    <x v="30"/>
    <x v="1"/>
    <x v="376"/>
    <x v="3"/>
    <x v="8"/>
    <x v="23"/>
    <x v="0"/>
    <x v="6"/>
    <n v="0"/>
    <x v="2"/>
  </r>
  <r>
    <x v="30"/>
    <x v="1"/>
    <x v="376"/>
    <x v="3"/>
    <x v="8"/>
    <x v="23"/>
    <x v="0"/>
    <x v="7"/>
    <n v="0"/>
    <x v="2"/>
  </r>
  <r>
    <x v="30"/>
    <x v="1"/>
    <x v="376"/>
    <x v="3"/>
    <x v="8"/>
    <x v="23"/>
    <x v="0"/>
    <x v="8"/>
    <n v="0"/>
    <x v="2"/>
  </r>
  <r>
    <x v="30"/>
    <x v="1"/>
    <x v="376"/>
    <x v="3"/>
    <x v="8"/>
    <x v="23"/>
    <x v="0"/>
    <x v="9"/>
    <n v="0"/>
    <x v="2"/>
  </r>
  <r>
    <x v="30"/>
    <x v="1"/>
    <x v="376"/>
    <x v="3"/>
    <x v="8"/>
    <x v="23"/>
    <x v="0"/>
    <x v="10"/>
    <n v="0"/>
    <x v="2"/>
  </r>
  <r>
    <x v="30"/>
    <x v="1"/>
    <x v="376"/>
    <x v="3"/>
    <x v="8"/>
    <x v="23"/>
    <x v="0"/>
    <x v="12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BDC28-37F1-4F4D-9540-F52EC7D127B3}" name="TablaDinámica4" cacheId="9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5:P126" firstHeaderRow="1" firstDataRow="2" firstDataCol="4" rowPageCount="2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6">
        <item x="103"/>
        <item x="104"/>
        <item x="107"/>
        <item x="162"/>
        <item m="1" x="431"/>
        <item m="1" x="430"/>
        <item sd="0" x="34"/>
        <item x="69"/>
        <item x="6"/>
        <item x="0"/>
        <item x="307"/>
        <item x="339"/>
        <item x="367"/>
        <item x="120"/>
        <item x="97"/>
        <item x="233"/>
        <item m="1" x="454"/>
        <item x="286"/>
        <item x="102"/>
        <item x="12"/>
        <item x="294"/>
        <item x="85"/>
        <item m="1" x="435"/>
        <item x="362"/>
        <item x="134"/>
        <item x="287"/>
        <item m="1" x="425"/>
        <item x="163"/>
        <item x="126"/>
        <item m="1" x="463"/>
        <item m="1" x="438"/>
        <item x="125"/>
        <item x="364"/>
        <item x="302"/>
        <item x="271"/>
        <item x="272"/>
        <item x="136"/>
        <item x="220"/>
        <item x="33"/>
        <item x="100"/>
        <item x="140"/>
        <item x="88"/>
        <item x="300"/>
        <item x="99"/>
        <item x="119"/>
        <item x="414"/>
        <item x="370"/>
        <item m="1" x="443"/>
        <item x="196"/>
        <item x="172"/>
        <item x="168"/>
        <item m="1" x="469"/>
        <item x="10"/>
        <item x="25"/>
        <item x="42"/>
        <item x="56"/>
        <item x="363"/>
        <item x="81"/>
        <item x="101"/>
        <item x="13"/>
        <item x="80"/>
        <item x="171"/>
        <item x="20"/>
        <item x="27"/>
        <item x="249"/>
        <item x="114"/>
        <item x="219"/>
        <item x="110"/>
        <item x="225"/>
        <item x="227"/>
        <item x="226"/>
        <item x="17"/>
        <item x="157"/>
        <item x="291"/>
        <item x="276"/>
        <item x="11"/>
        <item m="1" x="445"/>
        <item x="77"/>
        <item m="1" x="446"/>
        <item m="1" x="479"/>
        <item m="1" x="447"/>
        <item x="109"/>
        <item x="98"/>
        <item x="336"/>
        <item x="146"/>
        <item x="38"/>
        <item x="361"/>
        <item x="222"/>
        <item x="57"/>
        <item x="7"/>
        <item x="3"/>
        <item x="144"/>
        <item x="150"/>
        <item x="151"/>
        <item x="4"/>
        <item x="24"/>
        <item x="82"/>
        <item x="252"/>
        <item x="9"/>
        <item x="68"/>
        <item x="21"/>
        <item m="1" x="455"/>
        <item m="1" x="483"/>
        <item x="190"/>
        <item x="191"/>
        <item x="193"/>
        <item x="365"/>
        <item x="123"/>
        <item x="15"/>
        <item x="274"/>
        <item x="175"/>
        <item x="40"/>
        <item x="303"/>
        <item x="169"/>
        <item x="121"/>
        <item x="112"/>
        <item x="36"/>
        <item m="1" x="472"/>
        <item m="1" x="449"/>
        <item m="1" x="480"/>
        <item x="137"/>
        <item x="181"/>
        <item x="19"/>
        <item x="55"/>
        <item x="288"/>
        <item x="280"/>
        <item x="290"/>
        <item x="277"/>
        <item x="31"/>
        <item x="278"/>
        <item x="22"/>
        <item x="270"/>
        <item x="296"/>
        <item x="86"/>
        <item x="32"/>
        <item x="292"/>
        <item x="16"/>
        <item x="71"/>
        <item x="26"/>
        <item x="275"/>
        <item x="84"/>
        <item x="83"/>
        <item x="298"/>
        <item x="281"/>
        <item x="295"/>
        <item x="152"/>
        <item x="122"/>
        <item x="23"/>
        <item m="1" x="434"/>
        <item x="165"/>
        <item x="166"/>
        <item x="217"/>
        <item x="39"/>
        <item x="1"/>
        <item x="18"/>
        <item x="111"/>
        <item x="282"/>
        <item x="138"/>
        <item x="105"/>
        <item x="37"/>
        <item x="108"/>
        <item m="1" x="459"/>
        <item x="8"/>
        <item x="14"/>
        <item x="377"/>
        <item m="1" x="441"/>
        <item x="232"/>
        <item m="1" x="465"/>
        <item m="1" x="467"/>
        <item m="1" x="464"/>
        <item m="1" x="466"/>
        <item x="2"/>
        <item x="301"/>
        <item x="89"/>
        <item x="66"/>
        <item x="369"/>
        <item x="35"/>
        <item x="149"/>
        <item x="96"/>
        <item x="283"/>
        <item m="1" x="457"/>
        <item m="1" x="484"/>
        <item x="320"/>
        <item m="1" x="440"/>
        <item x="58"/>
        <item x="174"/>
        <item x="5"/>
        <item x="143"/>
        <item x="297"/>
        <item x="132"/>
        <item x="133"/>
        <item x="106"/>
        <item x="135"/>
        <item x="341"/>
        <item x="319"/>
        <item x="338"/>
        <item x="340"/>
        <item x="179"/>
        <item x="223"/>
        <item x="48"/>
        <item x="273"/>
        <item x="70"/>
        <item x="47"/>
        <item x="29"/>
        <item x="207"/>
        <item m="1" x="482"/>
        <item x="30"/>
        <item x="155"/>
        <item m="1" x="485"/>
        <item x="212"/>
        <item x="368"/>
        <item x="316"/>
        <item x="315"/>
        <item x="314"/>
        <item x="317"/>
        <item x="127"/>
        <item x="235"/>
        <item x="366"/>
        <item x="117"/>
        <item x="118"/>
        <item x="284"/>
        <item m="1" x="451"/>
        <item m="1" x="481"/>
        <item m="1" x="436"/>
        <item x="113"/>
        <item x="335"/>
        <item x="337"/>
        <item x="279"/>
        <item x="28"/>
        <item x="285"/>
        <item x="389"/>
        <item x="383"/>
        <item x="391"/>
        <item x="385"/>
        <item x="405"/>
        <item x="293"/>
        <item x="299"/>
        <item m="1" x="473"/>
        <item x="115"/>
        <item x="116"/>
        <item x="139"/>
        <item x="142"/>
        <item x="145"/>
        <item x="158"/>
        <item x="160"/>
        <item x="161"/>
        <item m="1" x="468"/>
        <item x="245"/>
        <item x="246"/>
        <item x="247"/>
        <item x="253"/>
        <item x="256"/>
        <item x="258"/>
        <item x="259"/>
        <item x="260"/>
        <item x="261"/>
        <item x="262"/>
        <item x="318"/>
        <item x="334"/>
        <item x="372"/>
        <item x="373"/>
        <item m="1" x="470"/>
        <item m="1" x="471"/>
        <item x="376"/>
        <item x="384"/>
        <item x="386"/>
        <item x="387"/>
        <item x="388"/>
        <item x="390"/>
        <item x="392"/>
        <item x="393"/>
        <item x="394"/>
        <item x="395"/>
        <item x="406"/>
        <item x="409"/>
        <item x="415"/>
        <item x="416"/>
        <item x="417"/>
        <item x="418"/>
        <item x="419"/>
        <item x="420"/>
        <item x="421"/>
        <item x="374"/>
        <item x="375"/>
        <item x="304"/>
        <item m="1" x="432"/>
        <item m="1" x="476"/>
        <item x="399"/>
        <item x="422"/>
        <item x="41"/>
        <item x="87"/>
        <item x="128"/>
        <item x="129"/>
        <item x="130"/>
        <item x="147"/>
        <item x="170"/>
        <item x="218"/>
        <item x="242"/>
        <item x="243"/>
        <item m="1" x="437"/>
        <item x="131"/>
        <item x="209"/>
        <item x="211"/>
        <item x="224"/>
        <item x="229"/>
        <item x="263"/>
        <item x="310"/>
        <item x="371"/>
        <item m="1" x="474"/>
        <item m="1" x="477"/>
        <item m="1" x="475"/>
        <item m="1" x="478"/>
        <item m="1" x="442"/>
        <item m="1" x="444"/>
        <item m="1" x="448"/>
        <item m="1" x="450"/>
        <item m="1" x="452"/>
        <item m="1" x="453"/>
        <item m="1" x="456"/>
        <item m="1" x="458"/>
        <item x="248"/>
        <item x="257"/>
        <item m="1" x="462"/>
        <item x="230"/>
        <item x="236"/>
        <item x="321"/>
        <item x="322"/>
        <item x="323"/>
        <item x="324"/>
        <item x="342"/>
        <item x="343"/>
        <item x="344"/>
        <item x="345"/>
        <item x="346"/>
        <item x="347"/>
        <item x="184"/>
        <item x="185"/>
        <item x="186"/>
        <item x="187"/>
        <item x="188"/>
        <item x="189"/>
        <item m="1" x="439"/>
        <item x="154"/>
        <item m="1" x="460"/>
        <item x="398"/>
        <item x="400"/>
        <item x="402"/>
        <item x="410"/>
        <item x="411"/>
        <item x="325"/>
        <item x="326"/>
        <item x="327"/>
        <item x="328"/>
        <item m="1" x="461"/>
        <item x="349"/>
        <item x="350"/>
        <item x="351"/>
        <item x="352"/>
        <item x="348"/>
        <item x="43"/>
        <item x="44"/>
        <item x="45"/>
        <item x="124"/>
        <item x="141"/>
        <item x="148"/>
        <item x="156"/>
        <item x="159"/>
        <item x="167"/>
        <item x="178"/>
        <item m="1" x="426"/>
        <item x="192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3"/>
        <item x="214"/>
        <item x="215"/>
        <item x="216"/>
        <item x="221"/>
        <item x="231"/>
        <item x="237"/>
        <item x="238"/>
        <item x="250"/>
        <item x="251"/>
        <item x="255"/>
        <item x="306"/>
        <item x="308"/>
        <item x="309"/>
        <item x="329"/>
        <item x="353"/>
        <item x="289"/>
        <item x="330"/>
        <item x="331"/>
        <item x="332"/>
        <item x="354"/>
        <item x="355"/>
        <item x="382"/>
        <item x="396"/>
        <item x="397"/>
        <item x="59"/>
        <item x="60"/>
        <item x="61"/>
        <item x="62"/>
        <item x="63"/>
        <item m="1" x="428"/>
        <item m="1" x="429"/>
        <item x="78"/>
        <item x="79"/>
        <item x="90"/>
        <item x="91"/>
        <item x="153"/>
        <item x="173"/>
        <item x="67"/>
        <item x="356"/>
        <item x="403"/>
        <item x="408"/>
        <item x="412"/>
        <item x="413"/>
        <item x="46"/>
        <item m="1" x="433"/>
        <item x="378"/>
        <item x="379"/>
        <item x="380"/>
        <item x="381"/>
        <item x="407"/>
        <item x="311"/>
        <item x="333"/>
        <item m="1" x="423"/>
        <item x="357"/>
        <item x="358"/>
        <item m="1" x="424"/>
        <item x="305"/>
        <item m="1" x="427"/>
        <item x="49"/>
        <item x="64"/>
        <item x="65"/>
        <item x="72"/>
        <item x="73"/>
        <item x="74"/>
        <item x="75"/>
        <item x="176"/>
        <item x="177"/>
        <item x="234"/>
        <item x="244"/>
        <item x="264"/>
        <item x="265"/>
        <item x="266"/>
        <item x="50"/>
        <item x="76"/>
        <item x="92"/>
        <item x="182"/>
        <item x="183"/>
        <item x="228"/>
        <item x="239"/>
        <item x="240"/>
        <item x="241"/>
        <item x="269"/>
        <item x="312"/>
        <item x="359"/>
        <item x="51"/>
        <item x="52"/>
        <item x="53"/>
        <item x="54"/>
        <item x="93"/>
        <item x="94"/>
        <item x="95"/>
        <item x="164"/>
        <item x="180"/>
        <item x="254"/>
        <item x="267"/>
        <item x="268"/>
        <item x="313"/>
        <item x="360"/>
        <item x="401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descending" defaultSubtotal="0">
      <items count="15">
        <item sd="0" m="1" x="13"/>
        <item sd="0" x="5"/>
        <item x="2"/>
        <item x="3"/>
        <item sd="0" m="1" x="10"/>
        <item sd="0" m="1" x="12"/>
        <item x="4"/>
        <item x="8"/>
        <item sd="0" m="1" x="14"/>
        <item sd="0" m="1" x="11"/>
        <item x="6"/>
        <item sd="0" x="0"/>
        <item sd="0" x="7"/>
        <item x="9"/>
        <item sd="0" x="1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6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61">
        <item sd="0" x="47"/>
        <item sd="0" x="6"/>
        <item x="19"/>
        <item sd="0" x="18"/>
        <item sd="0" m="1" x="51"/>
        <item x="1"/>
        <item sd="0" x="25"/>
        <item sd="0" m="1" x="58"/>
        <item sd="0" m="1" x="60"/>
        <item sd="0" x="10"/>
        <item sd="0" m="1" x="53"/>
        <item sd="0" x="22"/>
        <item sd="0" x="35"/>
        <item sd="0" x="45"/>
        <item sd="0" m="1" x="56"/>
        <item sd="0" x="21"/>
        <item sd="0" m="1" x="52"/>
        <item sd="0" x="20"/>
        <item sd="0" m="1" x="55"/>
        <item sd="0" x="40"/>
        <item sd="0" x="38"/>
        <item sd="0" x="49"/>
        <item sd="0" x="28"/>
        <item sd="0" x="8"/>
        <item sd="0" x="15"/>
        <item sd="0" x="44"/>
        <item sd="0" x="26"/>
        <item x="37"/>
        <item x="46"/>
        <item x="3"/>
        <item sd="0" x="5"/>
        <item sd="0" x="41"/>
        <item sd="0" x="36"/>
        <item sd="0" x="33"/>
        <item sd="0" x="31"/>
        <item sd="0" x="12"/>
        <item sd="0" x="14"/>
        <item sd="0" x="16"/>
        <item sd="0" x="48"/>
        <item sd="0" x="11"/>
        <item x="0"/>
        <item sd="0" x="4"/>
        <item sd="0" x="27"/>
        <item sd="0" x="43"/>
        <item sd="0" x="7"/>
        <item sd="0" x="9"/>
        <item sd="0" x="42"/>
        <item sd="0" x="13"/>
        <item sd="0" x="17"/>
        <item x="23"/>
        <item sd="0" x="32"/>
        <item sd="0" m="1" x="59"/>
        <item sd="0" m="1" x="54"/>
        <item sd="0" x="30"/>
        <item sd="0" x="29"/>
        <item sd="0" x="2"/>
        <item sd="0" m="1" x="57"/>
        <item m="1" x="50"/>
        <item x="39"/>
        <item x="24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4"/>
    <field x="5"/>
    <field x="2"/>
  </rowFields>
  <rowItems count="120">
    <i>
      <x/>
      <x v="11"/>
    </i>
    <i r="1">
      <x v="3"/>
      <x v="2"/>
      <x v="477"/>
    </i>
    <i r="2">
      <x v="11"/>
    </i>
    <i r="2">
      <x v="19"/>
    </i>
    <i r="2">
      <x v="20"/>
    </i>
    <i r="2">
      <x v="22"/>
    </i>
    <i r="2">
      <x v="26"/>
    </i>
    <i r="2">
      <x v="29"/>
      <x v="389"/>
    </i>
    <i r="2">
      <x v="32"/>
    </i>
    <i r="2">
      <x v="35"/>
    </i>
    <i r="2">
      <x v="39"/>
    </i>
    <i r="2">
      <x v="41"/>
    </i>
    <i r="2">
      <x v="42"/>
    </i>
    <i r="2">
      <x v="58"/>
      <x v="393"/>
    </i>
    <i r="1">
      <x v="14"/>
    </i>
    <i r="1">
      <x v="2"/>
      <x v="29"/>
      <x v="204"/>
    </i>
    <i r="3">
      <x v="381"/>
    </i>
    <i r="3">
      <x v="382"/>
    </i>
    <i r="3">
      <x v="383"/>
    </i>
    <i r="3">
      <x v="387"/>
    </i>
    <i r="3">
      <x v="388"/>
    </i>
    <i r="3">
      <x v="391"/>
    </i>
    <i r="3">
      <x v="392"/>
    </i>
    <i r="1">
      <x v="7"/>
      <x v="19"/>
    </i>
    <i r="2">
      <x v="37"/>
    </i>
    <i r="1">
      <x v="10"/>
      <x v="48"/>
    </i>
    <i r="1">
      <x v="12"/>
    </i>
    <i r="1">
      <x v="1"/>
    </i>
    <i t="default">
      <x/>
    </i>
    <i>
      <x v="1"/>
      <x v="13"/>
      <x v="27"/>
      <x v="247"/>
    </i>
    <i r="3">
      <x v="248"/>
    </i>
    <i r="3">
      <x v="249"/>
    </i>
    <i r="3">
      <x v="320"/>
    </i>
    <i r="2">
      <x v="55"/>
    </i>
    <i r="1">
      <x v="2"/>
      <x v="29"/>
      <x v="37"/>
    </i>
    <i r="3">
      <x v="49"/>
    </i>
    <i r="3">
      <x v="57"/>
    </i>
    <i r="3">
      <x v="66"/>
    </i>
    <i r="3">
      <x v="68"/>
    </i>
    <i r="3">
      <x v="87"/>
    </i>
    <i r="3">
      <x v="151"/>
    </i>
    <i r="3">
      <x v="184"/>
    </i>
    <i r="3">
      <x v="290"/>
    </i>
    <i r="3">
      <x v="293"/>
    </i>
    <i r="3">
      <x v="384"/>
    </i>
    <i r="3">
      <x v="413"/>
    </i>
    <i r="3">
      <x v="451"/>
    </i>
    <i r="3">
      <x v="454"/>
    </i>
    <i r="3">
      <x v="462"/>
    </i>
    <i r="3">
      <x v="463"/>
    </i>
    <i r="2">
      <x v="55"/>
    </i>
    <i r="1">
      <x v="3"/>
      <x v="3"/>
    </i>
    <i r="2">
      <x v="11"/>
    </i>
    <i r="2">
      <x v="17"/>
    </i>
    <i r="2">
      <x v="29"/>
      <x v="323"/>
    </i>
    <i r="3">
      <x v="324"/>
    </i>
    <i r="3">
      <x v="390"/>
    </i>
    <i r="2">
      <x v="34"/>
    </i>
    <i r="2">
      <x v="36"/>
    </i>
    <i r="2">
      <x v="39"/>
    </i>
    <i r="2">
      <x v="45"/>
    </i>
    <i r="2">
      <x v="47"/>
    </i>
    <i r="2">
      <x v="53"/>
    </i>
    <i r="2">
      <x v="55"/>
    </i>
    <i r="1">
      <x v="14"/>
    </i>
    <i r="1">
      <x v="7"/>
      <x v="27"/>
      <x v="321"/>
    </i>
    <i r="2">
      <x v="49"/>
      <x v="254"/>
    </i>
    <i r="3">
      <x v="255"/>
    </i>
    <i r="2">
      <x v="50"/>
    </i>
    <i r="2">
      <x v="54"/>
    </i>
    <i r="1">
      <x v="6"/>
      <x v="1"/>
    </i>
    <i r="2">
      <x v="24"/>
    </i>
    <i r="2">
      <x v="30"/>
    </i>
    <i r="2">
      <x v="33"/>
    </i>
    <i r="2">
      <x v="36"/>
    </i>
    <i r="2">
      <x v="37"/>
    </i>
    <i r="2">
      <x v="41"/>
    </i>
    <i r="2">
      <x v="44"/>
    </i>
    <i r="1">
      <x v="11"/>
    </i>
    <i r="1">
      <x v="1"/>
    </i>
    <i r="1">
      <x v="10"/>
      <x v="36"/>
    </i>
    <i r="2">
      <x v="48"/>
    </i>
    <i t="default">
      <x v="1"/>
    </i>
    <i>
      <x v="3"/>
      <x v="2"/>
      <x v="29"/>
      <x v="7"/>
    </i>
    <i r="3">
      <x v="21"/>
    </i>
    <i r="3">
      <x v="60"/>
    </i>
    <i r="3">
      <x v="77"/>
    </i>
    <i r="3">
      <x v="96"/>
    </i>
    <i r="3">
      <x v="99"/>
    </i>
    <i r="3">
      <x v="137"/>
    </i>
    <i r="3">
      <x v="140"/>
    </i>
    <i r="3">
      <x v="141"/>
    </i>
    <i r="3">
      <x v="201"/>
    </i>
    <i r="3">
      <x v="215"/>
    </i>
    <i r="3">
      <x v="291"/>
    </i>
    <i r="3">
      <x v="292"/>
    </i>
    <i r="3">
      <x v="300"/>
    </i>
    <i r="3">
      <x v="410"/>
    </i>
    <i r="3">
      <x v="411"/>
    </i>
    <i r="3">
      <x v="412"/>
    </i>
    <i r="3">
      <x v="414"/>
    </i>
    <i r="3">
      <x v="417"/>
    </i>
    <i r="3">
      <x v="418"/>
    </i>
    <i r="3">
      <x v="419"/>
    </i>
    <i r="3">
      <x v="420"/>
    </i>
    <i r="3">
      <x v="445"/>
    </i>
    <i r="3">
      <x v="446"/>
    </i>
    <i r="3">
      <x v="447"/>
    </i>
    <i r="3">
      <x v="448"/>
    </i>
    <i r="3">
      <x v="449"/>
    </i>
    <i r="3">
      <x v="450"/>
    </i>
    <i r="3">
      <x v="453"/>
    </i>
    <i r="3">
      <x v="467"/>
    </i>
    <i r="3">
      <x v="474"/>
    </i>
    <i r="3">
      <x v="476"/>
    </i>
    <i r="2">
      <x v="55"/>
    </i>
    <i r="1">
      <x v="7"/>
      <x v="49"/>
      <x v="480"/>
    </i>
    <i r="3">
      <x v="481"/>
    </i>
    <i t="default">
      <x v="3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2">
    <pageField fld="3" hier="-1"/>
    <pageField fld="9" hier="-1"/>
  </pageFields>
  <dataFields count="1">
    <dataField name="Suma de Valor USD" fld="8" baseField="0" baseItem="0" numFmtId="41"/>
  </dataFields>
  <formats count="61">
    <format dxfId="907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906">
      <pivotArea outline="0" collapsedLevelsAreSubtotals="1" fieldPosition="0"/>
    </format>
    <format dxfId="905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904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903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902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901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900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899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98">
      <pivotArea dataOnly="0" labelOnly="1" outline="0" fieldPosition="0">
        <references count="4">
          <reference field="2" count="1">
            <x v="38"/>
          </reference>
          <reference field="4" count="1" selected="0">
            <x v="9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97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96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895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894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893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92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91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90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89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888">
      <pivotArea outline="0" fieldPosition="0">
        <references count="3">
          <reference field="1" count="1" selected="0">
            <x v="1"/>
          </reference>
          <reference field="9" count="1" selected="0">
            <x v="0"/>
          </reference>
          <reference field="11" count="1" selected="0">
            <x v="6"/>
          </reference>
        </references>
      </pivotArea>
    </format>
    <format dxfId="887">
      <pivotArea outline="0" fieldPosition="0">
        <references count="3">
          <reference field="1" count="1" selected="0">
            <x v="1"/>
          </reference>
          <reference field="9" count="1" selected="0">
            <x v="2"/>
          </reference>
          <reference field="11" count="1" selected="0">
            <x v="8"/>
          </reference>
        </references>
      </pivotArea>
    </format>
    <format dxfId="886">
      <pivotArea outline="0" collapsedLevelsAreSubtotals="1" fieldPosition="0"/>
    </format>
    <format dxfId="885">
      <pivotArea outline="0" fieldPosition="0">
        <references count="1">
          <reference field="9" count="1" selected="0" defaultSubtotal="1">
            <x v="0"/>
          </reference>
        </references>
      </pivotArea>
    </format>
    <format dxfId="884">
      <pivotArea outline="0" fieldPosition="0">
        <references count="1">
          <reference field="9" count="1" selected="0" defaultSubtotal="1">
            <x v="1"/>
          </reference>
        </references>
      </pivotArea>
    </format>
    <format dxfId="883">
      <pivotArea outline="0" fieldPosition="0">
        <references count="1">
          <reference field="9" count="1" selected="0" defaultSubtotal="1">
            <x v="2"/>
          </reference>
        </references>
      </pivotArea>
    </format>
    <format dxfId="882">
      <pivotArea dataOnly="0" labelOnly="1" outline="0" fieldPosition="0">
        <references count="5">
          <reference field="1" count="1" selected="0">
            <x v="0"/>
          </reference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81">
      <pivotArea dataOnly="0" labelOnly="1" outline="0" fieldPosition="0">
        <references count="5">
          <reference field="1" count="1" selected="0">
            <x v="0"/>
          </reference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80">
      <pivotArea dataOnly="0" labelOnly="1" outline="0" fieldPosition="0">
        <references count="5">
          <reference field="1" count="1" selected="0">
            <x v="0"/>
          </reference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879">
      <pivotArea dataOnly="0" labelOnly="1" outline="0" fieldPosition="0">
        <references count="5">
          <reference field="1" count="1" selected="0">
            <x v="0"/>
          </reference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878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877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876">
      <pivotArea outline="0" fieldPosition="0">
        <references count="5">
          <reference field="1" count="1" selected="0">
            <x v="0"/>
          </reference>
          <reference field="2" count="6" selected="0">
            <x v="6"/>
            <x v="8"/>
            <x v="9"/>
            <x v="19"/>
            <x v="38"/>
            <x v="5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75">
      <pivotArea outline="0" fieldPosition="0">
        <references count="5">
          <reference field="1" count="1" selected="0">
            <x v="0"/>
          </reference>
          <reference field="2" count="1" selected="0">
            <x v="5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74">
      <pivotArea outline="0" fieldPosition="0">
        <references count="5">
          <reference field="1" count="1" selected="0">
            <x v="0"/>
          </reference>
          <reference field="2" count="2" selected="0">
            <x v="59"/>
            <x v="6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73">
      <pivotArea outline="0" fieldPosition="0">
        <references count="5">
          <reference field="1" count="1" selected="0">
            <x v="0"/>
          </reference>
          <reference field="2" count="2" selected="0">
            <x v="71"/>
            <x v="75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72">
      <pivotArea outline="0" fieldPosition="0">
        <references count="5">
          <reference field="1" count="1" selected="0">
            <x v="0"/>
          </reference>
          <reference field="2" count="3" selected="0">
            <x v="89"/>
            <x v="90"/>
            <x v="9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71">
      <pivotArea outline="0" fieldPosition="0">
        <references count="5">
          <reference field="1" count="1" selected="0">
            <x v="0"/>
          </reference>
          <reference field="2" count="5" selected="0">
            <x v="98"/>
            <x v="100"/>
            <x v="108"/>
            <x v="110"/>
            <x v="11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70">
      <pivotArea outline="0" fieldPosition="0">
        <references count="5">
          <reference field="1" count="1" selected="0">
            <x v="0"/>
          </reference>
          <reference field="2" count="1" selected="0">
            <x v="12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9">
      <pivotArea outline="0" fieldPosition="0">
        <references count="5">
          <reference field="1" count="1" selected="0">
            <x v="0"/>
          </reference>
          <reference field="2" count="3" selected="0">
            <x v="128"/>
            <x v="130"/>
            <x v="13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8">
      <pivotArea outline="0" fieldPosition="0">
        <references count="5">
          <reference field="1" count="1" selected="0">
            <x v="0"/>
          </reference>
          <reference field="2" count="4" selected="0">
            <x v="147"/>
            <x v="152"/>
            <x v="153"/>
            <x v="15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7">
      <pivotArea outline="0" fieldPosition="0">
        <references count="5">
          <reference field="1" count="1" selected="0">
            <x v="0"/>
          </reference>
          <reference field="2" count="3" selected="0">
            <x v="162"/>
            <x v="163"/>
            <x v="17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6">
      <pivotArea outline="0" fieldPosition="0">
        <references count="5">
          <reference field="1" count="1" selected="0">
            <x v="0"/>
          </reference>
          <reference field="2" count="3" selected="0">
            <x v="176"/>
            <x v="186"/>
            <x v="199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5">
      <pivotArea outline="0" fieldPosition="0">
        <references count="5">
          <reference field="1" count="1" selected="0">
            <x v="0"/>
          </reference>
          <reference field="2" count="1" selected="0">
            <x v="203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4">
      <pivotArea outline="0" fieldPosition="0">
        <references count="5">
          <reference field="1" count="1" selected="0">
            <x v="0"/>
          </reference>
          <reference field="2" count="7" selected="0">
            <x v="228"/>
            <x v="289"/>
            <x v="336"/>
            <x v="337"/>
            <x v="338"/>
            <x v="339"/>
            <x v="359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3">
      <pivotArea outline="0" fieldPosition="0">
        <references count="5">
          <reference field="1" count="1" selected="0">
            <x v="0"/>
          </reference>
          <reference field="2" count="1" selected="0">
            <x v="36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2">
      <pivotArea outline="0" fieldPosition="0">
        <references count="5">
          <reference field="1" count="1" selected="0">
            <x v="0"/>
          </reference>
          <reference field="2" count="1" selected="0">
            <x v="90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1">
      <pivotArea outline="0" fieldPosition="0">
        <references count="5">
          <reference field="1" count="1" selected="0">
            <x v="0"/>
          </reference>
          <reference field="2" count="1" selected="0">
            <x v="336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60">
      <pivotArea outline="0" fieldPosition="0">
        <references count="5">
          <reference field="1" count="1" selected="0">
            <x v="0"/>
          </reference>
          <reference field="2" count="1" selected="0">
            <x v="338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59">
      <pivotArea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58">
      <pivotArea outline="0" fieldPosition="0">
        <references count="1">
          <reference field="11" count="1" selected="0">
            <x v="9"/>
          </reference>
        </references>
      </pivotArea>
    </format>
    <format dxfId="857">
      <pivotArea outline="0" fieldPosition="0">
        <references count="1">
          <reference field="11" count="1" selected="0">
            <x v="8"/>
          </reference>
        </references>
      </pivotArea>
    </format>
    <format dxfId="856">
      <pivotArea outline="0" fieldPosition="0">
        <references count="1">
          <reference field="11" count="1" selected="0">
            <x v="10"/>
          </reference>
        </references>
      </pivotArea>
    </format>
    <format dxfId="855">
      <pivotArea outline="0" fieldPosition="0">
        <references count="3">
          <reference field="1" count="1" selected="0">
            <x v="0"/>
          </reference>
          <reference field="4" count="1" selected="0">
            <x v="11"/>
          </reference>
          <reference field="11" count="1" selected="0">
            <x v="11"/>
          </reference>
        </references>
      </pivotArea>
    </format>
    <format dxfId="854">
      <pivotArea outline="0" fieldPosition="0">
        <references count="3">
          <reference field="1" count="1" selected="0">
            <x v="0"/>
          </reference>
          <reference field="4" count="1" selected="0">
            <x v="11"/>
          </reference>
          <reference field="11" count="1" selected="0">
            <x v="12"/>
          </reference>
        </references>
      </pivotArea>
    </format>
    <format dxfId="853">
      <pivotArea dataOnly="0" labelOnly="1" outline="0" fieldPosition="0">
        <references count="4">
          <reference field="1" count="1" selected="0">
            <x v="1"/>
          </reference>
          <reference field="2" count="1">
            <x v="248"/>
          </reference>
          <reference field="4" count="1" selected="0">
            <x v="13"/>
          </reference>
          <reference field="5" count="0" selected="0"/>
        </references>
      </pivotArea>
    </format>
    <format dxfId="852">
      <pivotArea dataOnly="0" labelOnly="1" outline="0" fieldPosition="0">
        <references count="4">
          <reference field="1" count="1" selected="0">
            <x v="1"/>
          </reference>
          <reference field="2" count="1">
            <x v="259"/>
          </reference>
          <reference field="4" count="1" selected="0">
            <x v="13"/>
          </reference>
          <reference field="5" count="0" selected="0"/>
        </references>
      </pivotArea>
    </format>
    <format dxfId="851">
      <pivotArea dataOnly="0" labelOnly="1" outline="0" fieldPosition="0">
        <references count="4">
          <reference field="1" count="1" selected="0">
            <x v="1"/>
          </reference>
          <reference field="2" count="1">
            <x v="281"/>
          </reference>
          <reference field="4" count="1" selected="0">
            <x v="13"/>
          </reference>
          <reference field="5" count="0" selected="0"/>
        </references>
      </pivotArea>
    </format>
    <format dxfId="850">
      <pivotArea outline="0" fieldPosition="0">
        <references count="4">
          <reference field="1" count="1" selected="0">
            <x v="1"/>
          </reference>
          <reference field="2" count="1" selected="0">
            <x v="184"/>
          </reference>
          <reference field="4" count="0" selected="0"/>
          <reference field="5" count="1" selected="0">
            <x v="29"/>
          </reference>
        </references>
      </pivotArea>
    </format>
    <format dxfId="849">
      <pivotArea dataOnly="0" labelOnly="1" outline="0" fieldPosition="0">
        <references count="4">
          <reference field="1" count="1" selected="0">
            <x v="1"/>
          </reference>
          <reference field="2" count="1">
            <x v="184"/>
          </reference>
          <reference field="4" count="0" selected="0"/>
          <reference field="5" count="1" selected="0">
            <x v="29"/>
          </reference>
        </references>
      </pivotArea>
    </format>
    <format dxfId="848">
      <pivotArea outline="0" fieldPosition="0">
        <references count="4">
          <reference field="1" count="1" selected="0">
            <x v="1"/>
          </reference>
          <reference field="2" count="1" selected="0">
            <x v="434"/>
          </reference>
          <reference field="4" count="0" selected="0"/>
          <reference field="5" count="1" selected="0">
            <x v="29"/>
          </reference>
        </references>
      </pivotArea>
    </format>
    <format dxfId="847">
      <pivotArea dataOnly="0" labelOnly="1" outline="0" fieldPosition="0">
        <references count="4">
          <reference field="1" count="1" selected="0">
            <x v="1"/>
          </reference>
          <reference field="2" count="1">
            <x v="434"/>
          </reference>
          <reference field="4" count="0" selected="0"/>
          <reference field="5" count="1" selected="0">
            <x v="29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E2881-62D6-421B-8A06-34886381B36B}" name="TablaDinámica4" cacheId="9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5:P27" firstHeaderRow="1" firstDataRow="2" firstDataCol="4" rowPageCount="2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0">
        <item x="96"/>
        <item x="97"/>
        <item x="100"/>
        <item x="155"/>
        <item m="1" x="415"/>
        <item m="1" x="414"/>
        <item sd="0" x="34"/>
        <item x="65"/>
        <item x="6"/>
        <item x="0"/>
        <item x="297"/>
        <item x="329"/>
        <item x="357"/>
        <item x="113"/>
        <item x="90"/>
        <item x="226"/>
        <item m="1" x="438"/>
        <item x="276"/>
        <item x="95"/>
        <item x="12"/>
        <item x="284"/>
        <item x="81"/>
        <item m="1" x="419"/>
        <item x="352"/>
        <item x="127"/>
        <item x="277"/>
        <item x="157"/>
        <item x="156"/>
        <item x="119"/>
        <item m="1" x="447"/>
        <item m="1" x="422"/>
        <item x="118"/>
        <item x="354"/>
        <item x="292"/>
        <item x="261"/>
        <item x="262"/>
        <item x="129"/>
        <item x="213"/>
        <item x="33"/>
        <item x="93"/>
        <item x="133"/>
        <item x="84"/>
        <item x="290"/>
        <item x="92"/>
        <item x="112"/>
        <item x="402"/>
        <item x="360"/>
        <item m="1" x="427"/>
        <item x="189"/>
        <item x="165"/>
        <item x="161"/>
        <item m="1" x="453"/>
        <item x="10"/>
        <item x="25"/>
        <item x="42"/>
        <item x="52"/>
        <item x="353"/>
        <item x="77"/>
        <item x="94"/>
        <item x="13"/>
        <item x="76"/>
        <item x="164"/>
        <item x="20"/>
        <item x="27"/>
        <item x="242"/>
        <item x="107"/>
        <item x="212"/>
        <item x="103"/>
        <item x="218"/>
        <item x="220"/>
        <item x="219"/>
        <item x="17"/>
        <item x="150"/>
        <item x="281"/>
        <item x="266"/>
        <item x="11"/>
        <item m="1" x="429"/>
        <item x="73"/>
        <item m="1" x="430"/>
        <item m="1" x="463"/>
        <item m="1" x="431"/>
        <item x="102"/>
        <item x="91"/>
        <item x="326"/>
        <item x="139"/>
        <item x="38"/>
        <item x="351"/>
        <item x="215"/>
        <item x="53"/>
        <item x="7"/>
        <item x="3"/>
        <item x="137"/>
        <item x="143"/>
        <item x="144"/>
        <item x="4"/>
        <item x="24"/>
        <item x="78"/>
        <item x="245"/>
        <item x="9"/>
        <item x="64"/>
        <item x="21"/>
        <item m="1" x="439"/>
        <item m="1" x="467"/>
        <item x="183"/>
        <item x="184"/>
        <item x="186"/>
        <item x="355"/>
        <item x="116"/>
        <item x="15"/>
        <item x="264"/>
        <item x="168"/>
        <item x="40"/>
        <item x="293"/>
        <item x="162"/>
        <item x="114"/>
        <item x="105"/>
        <item x="36"/>
        <item m="1" x="456"/>
        <item m="1" x="433"/>
        <item m="1" x="464"/>
        <item x="130"/>
        <item x="174"/>
        <item x="19"/>
        <item x="51"/>
        <item x="278"/>
        <item x="270"/>
        <item x="280"/>
        <item x="267"/>
        <item x="31"/>
        <item x="268"/>
        <item x="22"/>
        <item x="260"/>
        <item x="286"/>
        <item x="82"/>
        <item x="32"/>
        <item x="282"/>
        <item x="16"/>
        <item x="67"/>
        <item x="26"/>
        <item x="265"/>
        <item x="80"/>
        <item x="79"/>
        <item x="288"/>
        <item x="271"/>
        <item x="285"/>
        <item x="145"/>
        <item x="115"/>
        <item x="23"/>
        <item m="1" x="418"/>
        <item x="158"/>
        <item x="159"/>
        <item x="210"/>
        <item x="39"/>
        <item x="1"/>
        <item x="18"/>
        <item x="104"/>
        <item x="272"/>
        <item x="131"/>
        <item x="98"/>
        <item x="37"/>
        <item x="101"/>
        <item m="1" x="443"/>
        <item x="8"/>
        <item x="14"/>
        <item x="367"/>
        <item m="1" x="425"/>
        <item x="225"/>
        <item m="1" x="449"/>
        <item m="1" x="451"/>
        <item m="1" x="448"/>
        <item m="1" x="450"/>
        <item x="2"/>
        <item x="291"/>
        <item x="85"/>
        <item x="62"/>
        <item x="359"/>
        <item x="35"/>
        <item x="142"/>
        <item x="89"/>
        <item x="273"/>
        <item m="1" x="441"/>
        <item m="1" x="468"/>
        <item x="309"/>
        <item m="1" x="424"/>
        <item x="54"/>
        <item x="167"/>
        <item x="5"/>
        <item x="136"/>
        <item x="287"/>
        <item x="125"/>
        <item x="126"/>
        <item x="99"/>
        <item x="128"/>
        <item x="331"/>
        <item x="308"/>
        <item x="328"/>
        <item x="330"/>
        <item x="172"/>
        <item x="216"/>
        <item x="48"/>
        <item x="263"/>
        <item x="66"/>
        <item x="47"/>
        <item x="29"/>
        <item x="200"/>
        <item m="1" x="466"/>
        <item x="30"/>
        <item x="148"/>
        <item m="1" x="469"/>
        <item x="205"/>
        <item x="358"/>
        <item x="305"/>
        <item x="304"/>
        <item x="303"/>
        <item x="306"/>
        <item x="120"/>
        <item x="228"/>
        <item x="356"/>
        <item x="110"/>
        <item x="111"/>
        <item x="274"/>
        <item m="1" x="435"/>
        <item m="1" x="465"/>
        <item m="1" x="420"/>
        <item x="106"/>
        <item x="325"/>
        <item x="327"/>
        <item x="269"/>
        <item x="28"/>
        <item x="275"/>
        <item x="379"/>
        <item x="373"/>
        <item x="381"/>
        <item x="375"/>
        <item x="393"/>
        <item x="283"/>
        <item x="289"/>
        <item m="1" x="457"/>
        <item x="108"/>
        <item x="109"/>
        <item x="132"/>
        <item x="135"/>
        <item x="138"/>
        <item x="151"/>
        <item x="153"/>
        <item x="154"/>
        <item m="1" x="452"/>
        <item x="238"/>
        <item x="239"/>
        <item x="240"/>
        <item x="246"/>
        <item x="248"/>
        <item x="250"/>
        <item x="251"/>
        <item x="252"/>
        <item x="253"/>
        <item x="254"/>
        <item x="307"/>
        <item x="324"/>
        <item x="362"/>
        <item x="363"/>
        <item m="1" x="454"/>
        <item m="1" x="455"/>
        <item x="366"/>
        <item x="374"/>
        <item x="376"/>
        <item x="377"/>
        <item x="378"/>
        <item x="380"/>
        <item x="382"/>
        <item x="383"/>
        <item x="384"/>
        <item x="385"/>
        <item x="394"/>
        <item x="397"/>
        <item x="403"/>
        <item x="404"/>
        <item x="405"/>
        <item x="406"/>
        <item x="407"/>
        <item x="408"/>
        <item x="409"/>
        <item x="364"/>
        <item x="365"/>
        <item x="294"/>
        <item m="1" x="416"/>
        <item m="1" x="460"/>
        <item x="389"/>
        <item x="410"/>
        <item x="41"/>
        <item x="83"/>
        <item x="121"/>
        <item x="122"/>
        <item x="123"/>
        <item x="140"/>
        <item x="163"/>
        <item x="211"/>
        <item x="235"/>
        <item x="236"/>
        <item m="1" x="421"/>
        <item x="124"/>
        <item x="202"/>
        <item x="204"/>
        <item x="217"/>
        <item x="222"/>
        <item x="255"/>
        <item x="300"/>
        <item x="361"/>
        <item m="1" x="458"/>
        <item m="1" x="461"/>
        <item m="1" x="459"/>
        <item m="1" x="462"/>
        <item m="1" x="426"/>
        <item m="1" x="428"/>
        <item m="1" x="432"/>
        <item m="1" x="434"/>
        <item m="1" x="436"/>
        <item m="1" x="437"/>
        <item m="1" x="440"/>
        <item m="1" x="442"/>
        <item x="241"/>
        <item x="249"/>
        <item m="1" x="446"/>
        <item x="223"/>
        <item x="229"/>
        <item x="310"/>
        <item x="311"/>
        <item x="312"/>
        <item x="313"/>
        <item x="332"/>
        <item x="333"/>
        <item x="334"/>
        <item x="335"/>
        <item x="336"/>
        <item x="337"/>
        <item x="177"/>
        <item x="178"/>
        <item x="179"/>
        <item x="180"/>
        <item x="181"/>
        <item x="182"/>
        <item m="1" x="423"/>
        <item x="147"/>
        <item m="1" x="444"/>
        <item x="388"/>
        <item x="390"/>
        <item x="391"/>
        <item x="398"/>
        <item x="399"/>
        <item x="314"/>
        <item x="315"/>
        <item x="316"/>
        <item x="317"/>
        <item m="1" x="445"/>
        <item x="339"/>
        <item x="340"/>
        <item x="341"/>
        <item x="342"/>
        <item x="338"/>
        <item x="43"/>
        <item x="44"/>
        <item x="45"/>
        <item x="117"/>
        <item x="134"/>
        <item x="141"/>
        <item x="149"/>
        <item x="152"/>
        <item x="160"/>
        <item x="171"/>
        <item x="173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3"/>
        <item x="206"/>
        <item x="207"/>
        <item x="208"/>
        <item x="209"/>
        <item x="214"/>
        <item x="224"/>
        <item x="230"/>
        <item x="231"/>
        <item x="243"/>
        <item x="244"/>
        <item x="247"/>
        <item x="296"/>
        <item x="298"/>
        <item x="299"/>
        <item x="318"/>
        <item x="343"/>
        <item x="279"/>
        <item x="319"/>
        <item x="320"/>
        <item x="321"/>
        <item x="344"/>
        <item x="345"/>
        <item x="372"/>
        <item x="386"/>
        <item x="387"/>
        <item x="55"/>
        <item x="56"/>
        <item x="57"/>
        <item x="58"/>
        <item x="59"/>
        <item m="1" x="412"/>
        <item m="1" x="413"/>
        <item x="74"/>
        <item x="75"/>
        <item x="86"/>
        <item x="87"/>
        <item x="146"/>
        <item x="166"/>
        <item x="63"/>
        <item x="346"/>
        <item x="392"/>
        <item x="396"/>
        <item x="400"/>
        <item x="401"/>
        <item x="46"/>
        <item m="1" x="417"/>
        <item x="368"/>
        <item x="369"/>
        <item x="370"/>
        <item x="371"/>
        <item x="395"/>
        <item x="301"/>
        <item x="322"/>
        <item x="323"/>
        <item x="347"/>
        <item x="348"/>
        <item x="350"/>
        <item x="295"/>
        <item m="1" x="411"/>
        <item x="49"/>
        <item x="60"/>
        <item x="61"/>
        <item x="68"/>
        <item x="69"/>
        <item x="70"/>
        <item x="71"/>
        <item x="169"/>
        <item x="170"/>
        <item x="227"/>
        <item x="237"/>
        <item x="256"/>
        <item x="257"/>
        <item x="258"/>
        <item x="50"/>
        <item x="72"/>
        <item x="88"/>
        <item x="175"/>
        <item x="176"/>
        <item x="221"/>
        <item x="232"/>
        <item x="233"/>
        <item x="234"/>
        <item x="259"/>
        <item x="302"/>
        <item x="3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descending" defaultSubtotal="0">
      <items count="15">
        <item sd="0" m="1" x="13"/>
        <item x="5"/>
        <item sd="0" x="2"/>
        <item sd="0" x="3"/>
        <item sd="0" m="1" x="10"/>
        <item sd="0" m="1" x="12"/>
        <item sd="0" x="4"/>
        <item sd="0" x="8"/>
        <item sd="0" m="1" x="14"/>
        <item sd="0" m="1" x="11"/>
        <item sd="0" x="6"/>
        <item sd="0" x="0"/>
        <item sd="0" x="7"/>
        <item h="1" sd="0" x="9"/>
        <item sd="0" x="1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6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61">
        <item sd="0" x="47"/>
        <item sd="0" x="6"/>
        <item sd="0" x="19"/>
        <item sd="0" x="18"/>
        <item sd="0" m="1" x="51"/>
        <item x="1"/>
        <item sd="0" x="25"/>
        <item sd="0" m="1" x="58"/>
        <item sd="0" m="1" x="60"/>
        <item x="10"/>
        <item sd="0" m="1" x="53"/>
        <item sd="0" x="22"/>
        <item sd="0" x="35"/>
        <item sd="0" x="45"/>
        <item sd="0" m="1" x="56"/>
        <item sd="0" x="21"/>
        <item sd="0" m="1" x="52"/>
        <item sd="0" x="20"/>
        <item sd="0" m="1" x="55"/>
        <item h="1" sd="0" x="40"/>
        <item sd="0" x="38"/>
        <item sd="0" x="49"/>
        <item sd="0" x="28"/>
        <item sd="0" x="8"/>
        <item sd="0" x="15"/>
        <item sd="0" x="44"/>
        <item sd="0" x="26"/>
        <item sd="0" x="37"/>
        <item sd="0" x="46"/>
        <item x="3"/>
        <item sd="0" x="5"/>
        <item sd="0" x="41"/>
        <item sd="0" x="36"/>
        <item sd="0" x="33"/>
        <item sd="0" x="31"/>
        <item sd="0" x="12"/>
        <item sd="0" x="14"/>
        <item x="16"/>
        <item sd="0" x="48"/>
        <item sd="0" x="11"/>
        <item x="0"/>
        <item sd="0" x="4"/>
        <item sd="0" x="27"/>
        <item sd="0" x="43"/>
        <item sd="0" x="7"/>
        <item sd="0" x="9"/>
        <item sd="0" x="42"/>
        <item sd="0" x="13"/>
        <item sd="0" x="17"/>
        <item sd="0" x="23"/>
        <item x="32"/>
        <item sd="0" m="1" x="59"/>
        <item sd="0" m="1" x="54"/>
        <item sd="0" x="30"/>
        <item x="29"/>
        <item h="1" sd="0" x="2"/>
        <item sd="0" m="1" x="57"/>
        <item m="1" x="50"/>
        <item x="39"/>
        <item x="24"/>
        <item h="1"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4"/>
    <field x="5"/>
    <field x="2"/>
  </rowFields>
  <rowItems count="21">
    <i>
      <x/>
      <x v="11"/>
    </i>
    <i r="1">
      <x v="3"/>
    </i>
    <i r="1">
      <x v="2"/>
    </i>
    <i r="1">
      <x v="14"/>
    </i>
    <i r="1">
      <x v="12"/>
    </i>
    <i r="1">
      <x v="10"/>
    </i>
    <i r="1">
      <x v="1"/>
      <x v="49"/>
    </i>
    <i t="default">
      <x/>
    </i>
    <i>
      <x v="1"/>
      <x v="2"/>
    </i>
    <i r="1">
      <x v="6"/>
    </i>
    <i r="1">
      <x v="3"/>
    </i>
    <i r="1">
      <x v="14"/>
    </i>
    <i r="1">
      <x v="11"/>
    </i>
    <i r="1">
      <x v="1"/>
      <x v="9"/>
      <x v="31"/>
    </i>
    <i r="3">
      <x v="362"/>
    </i>
    <i r="2">
      <x v="49"/>
    </i>
    <i r="1">
      <x v="10"/>
    </i>
    <i t="default">
      <x v="1"/>
    </i>
    <i>
      <x v="3"/>
      <x v="2"/>
    </i>
    <i t="default">
      <x v="3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2">
    <pageField fld="3" hier="-1"/>
    <pageField fld="9" hier="-1"/>
  </pageFields>
  <dataFields count="1">
    <dataField name="Suma de Valor USD" fld="8" baseField="0" baseItem="0" numFmtId="41"/>
  </dataFields>
  <formats count="53">
    <format dxfId="846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845">
      <pivotArea outline="0" collapsedLevelsAreSubtotals="1" fieldPosition="0"/>
    </format>
    <format dxfId="844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843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842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41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40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839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838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37">
      <pivotArea dataOnly="0" labelOnly="1" outline="0" fieldPosition="0">
        <references count="4">
          <reference field="2" count="1">
            <x v="38"/>
          </reference>
          <reference field="4" count="1" selected="0">
            <x v="9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36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35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834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833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832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31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30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29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828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827">
      <pivotArea outline="0" fieldPosition="0">
        <references count="3">
          <reference field="1" count="1" selected="0">
            <x v="1"/>
          </reference>
          <reference field="9" count="1" selected="0">
            <x v="0"/>
          </reference>
          <reference field="11" count="1" selected="0">
            <x v="6"/>
          </reference>
        </references>
      </pivotArea>
    </format>
    <format dxfId="826">
      <pivotArea outline="0" fieldPosition="0">
        <references count="3">
          <reference field="1" count="1" selected="0">
            <x v="1"/>
          </reference>
          <reference field="9" count="1" selected="0">
            <x v="2"/>
          </reference>
          <reference field="11" count="1" selected="0">
            <x v="8"/>
          </reference>
        </references>
      </pivotArea>
    </format>
    <format dxfId="825">
      <pivotArea outline="0" collapsedLevelsAreSubtotals="1" fieldPosition="0"/>
    </format>
    <format dxfId="824">
      <pivotArea outline="0" fieldPosition="0">
        <references count="1">
          <reference field="9" count="1" selected="0" defaultSubtotal="1">
            <x v="0"/>
          </reference>
        </references>
      </pivotArea>
    </format>
    <format dxfId="823">
      <pivotArea outline="0" fieldPosition="0">
        <references count="1">
          <reference field="9" count="1" selected="0" defaultSubtotal="1">
            <x v="1"/>
          </reference>
        </references>
      </pivotArea>
    </format>
    <format dxfId="822">
      <pivotArea outline="0" fieldPosition="0">
        <references count="1">
          <reference field="9" count="1" selected="0" defaultSubtotal="1">
            <x v="2"/>
          </reference>
        </references>
      </pivotArea>
    </format>
    <format dxfId="821">
      <pivotArea dataOnly="0" labelOnly="1" outline="0" fieldPosition="0">
        <references count="5">
          <reference field="1" count="1" selected="0">
            <x v="0"/>
          </reference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20">
      <pivotArea dataOnly="0" labelOnly="1" outline="0" fieldPosition="0">
        <references count="5">
          <reference field="1" count="1" selected="0">
            <x v="0"/>
          </reference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819">
      <pivotArea dataOnly="0" labelOnly="1" outline="0" fieldPosition="0">
        <references count="5">
          <reference field="1" count="1" selected="0">
            <x v="0"/>
          </reference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818">
      <pivotArea dataOnly="0" labelOnly="1" outline="0" fieldPosition="0">
        <references count="5">
          <reference field="1" count="1" selected="0">
            <x v="0"/>
          </reference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817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816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815">
      <pivotArea outline="0" fieldPosition="0">
        <references count="5">
          <reference field="1" count="1" selected="0">
            <x v="0"/>
          </reference>
          <reference field="2" count="6" selected="0">
            <x v="6"/>
            <x v="8"/>
            <x v="9"/>
            <x v="19"/>
            <x v="38"/>
            <x v="5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14">
      <pivotArea outline="0" fieldPosition="0">
        <references count="5">
          <reference field="1" count="1" selected="0">
            <x v="0"/>
          </reference>
          <reference field="2" count="1" selected="0">
            <x v="5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13">
      <pivotArea outline="0" fieldPosition="0">
        <references count="5">
          <reference field="1" count="1" selected="0">
            <x v="0"/>
          </reference>
          <reference field="2" count="2" selected="0">
            <x v="59"/>
            <x v="6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12">
      <pivotArea outline="0" fieldPosition="0">
        <references count="5">
          <reference field="1" count="1" selected="0">
            <x v="0"/>
          </reference>
          <reference field="2" count="2" selected="0">
            <x v="71"/>
            <x v="75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11">
      <pivotArea outline="0" fieldPosition="0">
        <references count="5">
          <reference field="1" count="1" selected="0">
            <x v="0"/>
          </reference>
          <reference field="2" count="3" selected="0">
            <x v="89"/>
            <x v="90"/>
            <x v="9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10">
      <pivotArea outline="0" fieldPosition="0">
        <references count="5">
          <reference field="1" count="1" selected="0">
            <x v="0"/>
          </reference>
          <reference field="2" count="5" selected="0">
            <x v="98"/>
            <x v="100"/>
            <x v="108"/>
            <x v="110"/>
            <x v="11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9">
      <pivotArea outline="0" fieldPosition="0">
        <references count="5">
          <reference field="1" count="1" selected="0">
            <x v="0"/>
          </reference>
          <reference field="2" count="1" selected="0">
            <x v="12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8">
      <pivotArea outline="0" fieldPosition="0">
        <references count="5">
          <reference field="1" count="1" selected="0">
            <x v="0"/>
          </reference>
          <reference field="2" count="3" selected="0">
            <x v="128"/>
            <x v="130"/>
            <x v="13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7">
      <pivotArea outline="0" fieldPosition="0">
        <references count="5">
          <reference field="1" count="1" selected="0">
            <x v="0"/>
          </reference>
          <reference field="2" count="4" selected="0">
            <x v="147"/>
            <x v="152"/>
            <x v="153"/>
            <x v="15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6">
      <pivotArea outline="0" fieldPosition="0">
        <references count="5">
          <reference field="1" count="1" selected="0">
            <x v="0"/>
          </reference>
          <reference field="2" count="3" selected="0">
            <x v="162"/>
            <x v="163"/>
            <x v="17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5">
      <pivotArea outline="0" fieldPosition="0">
        <references count="5">
          <reference field="1" count="1" selected="0">
            <x v="0"/>
          </reference>
          <reference field="2" count="3" selected="0">
            <x v="176"/>
            <x v="186"/>
            <x v="199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4">
      <pivotArea outline="0" fieldPosition="0">
        <references count="5">
          <reference field="1" count="1" selected="0">
            <x v="0"/>
          </reference>
          <reference field="2" count="1" selected="0">
            <x v="203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3">
      <pivotArea outline="0" fieldPosition="0">
        <references count="5">
          <reference field="1" count="1" selected="0">
            <x v="0"/>
          </reference>
          <reference field="2" count="7" selected="0">
            <x v="228"/>
            <x v="289"/>
            <x v="336"/>
            <x v="337"/>
            <x v="338"/>
            <x v="339"/>
            <x v="359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2">
      <pivotArea outline="0" fieldPosition="0">
        <references count="5">
          <reference field="1" count="1" selected="0">
            <x v="0"/>
          </reference>
          <reference field="2" count="1" selected="0">
            <x v="36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1">
      <pivotArea outline="0" fieldPosition="0">
        <references count="5">
          <reference field="1" count="1" selected="0">
            <x v="0"/>
          </reference>
          <reference field="2" count="1" selected="0">
            <x v="90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800">
      <pivotArea outline="0" fieldPosition="0">
        <references count="5">
          <reference field="1" count="1" selected="0">
            <x v="0"/>
          </reference>
          <reference field="2" count="1" selected="0">
            <x v="336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99">
      <pivotArea outline="0" fieldPosition="0">
        <references count="5">
          <reference field="1" count="1" selected="0">
            <x v="0"/>
          </reference>
          <reference field="2" count="1" selected="0">
            <x v="338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98">
      <pivotArea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97">
      <pivotArea outline="0" fieldPosition="0">
        <references count="1">
          <reference field="11" count="1" selected="0">
            <x v="9"/>
          </reference>
        </references>
      </pivotArea>
    </format>
    <format dxfId="796">
      <pivotArea outline="0" fieldPosition="0">
        <references count="1">
          <reference field="11" count="1" selected="0">
            <x v="8"/>
          </reference>
        </references>
      </pivotArea>
    </format>
    <format dxfId="795">
      <pivotArea outline="0" fieldPosition="0">
        <references count="1">
          <reference field="11" count="1" selected="0">
            <x v="10"/>
          </reference>
        </references>
      </pivotArea>
    </format>
    <format dxfId="794">
      <pivotArea outline="0" fieldPosition="0">
        <references count="3">
          <reference field="1" count="1" selected="0">
            <x v="0"/>
          </reference>
          <reference field="4" count="1" selected="0">
            <x v="11"/>
          </reference>
          <reference field="11" count="1" selected="0">
            <x v="1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B2EC2-6B99-4A61-9FFD-92D283FD3F89}" name="TablaDinámica4" cacheId="9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5:P122" firstHeaderRow="1" firstDataRow="2" firstDataCol="4" rowPageCount="2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6">
        <item x="103"/>
        <item x="104"/>
        <item x="107"/>
        <item x="162"/>
        <item m="1" x="431"/>
        <item m="1" x="430"/>
        <item sd="0" x="34"/>
        <item x="69"/>
        <item x="6"/>
        <item x="0"/>
        <item x="307"/>
        <item x="339"/>
        <item x="367"/>
        <item x="120"/>
        <item x="97"/>
        <item x="233"/>
        <item m="1" x="454"/>
        <item x="286"/>
        <item x="102"/>
        <item x="12"/>
        <item x="294"/>
        <item x="85"/>
        <item m="1" x="435"/>
        <item x="362"/>
        <item x="134"/>
        <item x="287"/>
        <item m="1" x="425"/>
        <item x="163"/>
        <item x="126"/>
        <item m="1" x="463"/>
        <item m="1" x="438"/>
        <item x="125"/>
        <item x="364"/>
        <item x="302"/>
        <item x="271"/>
        <item x="272"/>
        <item x="136"/>
        <item x="220"/>
        <item x="33"/>
        <item x="100"/>
        <item x="140"/>
        <item x="88"/>
        <item x="300"/>
        <item x="99"/>
        <item x="119"/>
        <item x="414"/>
        <item x="370"/>
        <item m="1" x="443"/>
        <item x="196"/>
        <item x="172"/>
        <item x="168"/>
        <item m="1" x="469"/>
        <item x="10"/>
        <item x="25"/>
        <item x="42"/>
        <item x="56"/>
        <item x="363"/>
        <item x="81"/>
        <item x="101"/>
        <item x="13"/>
        <item x="80"/>
        <item x="171"/>
        <item x="20"/>
        <item x="27"/>
        <item x="249"/>
        <item x="114"/>
        <item x="219"/>
        <item x="110"/>
        <item x="225"/>
        <item x="227"/>
        <item x="226"/>
        <item x="17"/>
        <item x="157"/>
        <item x="291"/>
        <item x="276"/>
        <item x="11"/>
        <item m="1" x="445"/>
        <item x="77"/>
        <item m="1" x="446"/>
        <item m="1" x="479"/>
        <item m="1" x="447"/>
        <item x="109"/>
        <item x="98"/>
        <item x="336"/>
        <item x="146"/>
        <item x="38"/>
        <item x="361"/>
        <item x="222"/>
        <item x="57"/>
        <item x="7"/>
        <item x="3"/>
        <item x="144"/>
        <item x="150"/>
        <item x="151"/>
        <item x="4"/>
        <item x="24"/>
        <item x="82"/>
        <item x="252"/>
        <item x="9"/>
        <item x="68"/>
        <item x="21"/>
        <item m="1" x="455"/>
        <item m="1" x="483"/>
        <item x="190"/>
        <item x="191"/>
        <item x="193"/>
        <item x="365"/>
        <item x="123"/>
        <item x="15"/>
        <item x="274"/>
        <item x="175"/>
        <item x="40"/>
        <item x="303"/>
        <item x="169"/>
        <item x="121"/>
        <item x="112"/>
        <item x="36"/>
        <item m="1" x="472"/>
        <item m="1" x="449"/>
        <item m="1" x="480"/>
        <item x="137"/>
        <item x="181"/>
        <item x="19"/>
        <item x="55"/>
        <item x="288"/>
        <item x="280"/>
        <item x="290"/>
        <item x="277"/>
        <item x="31"/>
        <item x="278"/>
        <item x="22"/>
        <item x="270"/>
        <item x="296"/>
        <item x="86"/>
        <item x="32"/>
        <item x="292"/>
        <item x="16"/>
        <item x="71"/>
        <item x="26"/>
        <item x="275"/>
        <item x="84"/>
        <item x="83"/>
        <item x="298"/>
        <item x="281"/>
        <item x="295"/>
        <item x="152"/>
        <item x="122"/>
        <item x="23"/>
        <item m="1" x="434"/>
        <item x="165"/>
        <item x="166"/>
        <item x="217"/>
        <item x="39"/>
        <item x="1"/>
        <item x="18"/>
        <item x="111"/>
        <item x="282"/>
        <item x="138"/>
        <item x="105"/>
        <item x="37"/>
        <item x="108"/>
        <item m="1" x="459"/>
        <item x="8"/>
        <item x="14"/>
        <item x="377"/>
        <item m="1" x="441"/>
        <item x="232"/>
        <item m="1" x="465"/>
        <item m="1" x="467"/>
        <item m="1" x="464"/>
        <item m="1" x="466"/>
        <item x="2"/>
        <item x="301"/>
        <item x="89"/>
        <item x="66"/>
        <item x="369"/>
        <item x="35"/>
        <item x="149"/>
        <item x="96"/>
        <item x="283"/>
        <item m="1" x="457"/>
        <item m="1" x="484"/>
        <item x="320"/>
        <item m="1" x="440"/>
        <item x="58"/>
        <item x="174"/>
        <item x="5"/>
        <item x="143"/>
        <item x="297"/>
        <item x="132"/>
        <item x="133"/>
        <item x="106"/>
        <item x="135"/>
        <item x="341"/>
        <item x="319"/>
        <item x="338"/>
        <item x="340"/>
        <item x="179"/>
        <item x="223"/>
        <item x="48"/>
        <item x="273"/>
        <item x="70"/>
        <item x="47"/>
        <item x="29"/>
        <item x="207"/>
        <item m="1" x="482"/>
        <item x="30"/>
        <item x="155"/>
        <item m="1" x="485"/>
        <item x="212"/>
        <item x="368"/>
        <item x="316"/>
        <item x="315"/>
        <item x="314"/>
        <item x="317"/>
        <item x="127"/>
        <item x="235"/>
        <item x="366"/>
        <item x="117"/>
        <item x="118"/>
        <item x="284"/>
        <item m="1" x="451"/>
        <item m="1" x="481"/>
        <item m="1" x="436"/>
        <item x="113"/>
        <item x="335"/>
        <item x="337"/>
        <item x="279"/>
        <item x="28"/>
        <item x="285"/>
        <item x="389"/>
        <item x="383"/>
        <item x="391"/>
        <item x="385"/>
        <item x="405"/>
        <item x="293"/>
        <item x="299"/>
        <item m="1" x="473"/>
        <item x="115"/>
        <item x="116"/>
        <item x="139"/>
        <item x="142"/>
        <item x="145"/>
        <item x="158"/>
        <item x="160"/>
        <item x="161"/>
        <item m="1" x="468"/>
        <item x="245"/>
        <item x="246"/>
        <item x="247"/>
        <item x="253"/>
        <item x="256"/>
        <item x="258"/>
        <item x="259"/>
        <item x="260"/>
        <item x="261"/>
        <item x="262"/>
        <item x="318"/>
        <item x="334"/>
        <item x="372"/>
        <item x="373"/>
        <item m="1" x="470"/>
        <item m="1" x="471"/>
        <item x="376"/>
        <item x="384"/>
        <item x="386"/>
        <item x="387"/>
        <item x="388"/>
        <item x="390"/>
        <item x="392"/>
        <item x="393"/>
        <item x="394"/>
        <item x="395"/>
        <item x="406"/>
        <item x="409"/>
        <item x="415"/>
        <item x="416"/>
        <item x="417"/>
        <item x="418"/>
        <item x="419"/>
        <item x="420"/>
        <item x="421"/>
        <item x="374"/>
        <item x="375"/>
        <item x="304"/>
        <item m="1" x="432"/>
        <item m="1" x="476"/>
        <item x="399"/>
        <item x="422"/>
        <item x="41"/>
        <item x="87"/>
        <item x="128"/>
        <item x="129"/>
        <item x="130"/>
        <item x="147"/>
        <item x="170"/>
        <item x="218"/>
        <item x="242"/>
        <item x="243"/>
        <item m="1" x="437"/>
        <item x="131"/>
        <item x="209"/>
        <item x="211"/>
        <item x="224"/>
        <item x="229"/>
        <item x="263"/>
        <item x="310"/>
        <item x="371"/>
        <item m="1" x="474"/>
        <item m="1" x="477"/>
        <item m="1" x="475"/>
        <item m="1" x="478"/>
        <item m="1" x="442"/>
        <item m="1" x="444"/>
        <item m="1" x="448"/>
        <item m="1" x="450"/>
        <item m="1" x="452"/>
        <item m="1" x="453"/>
        <item m="1" x="456"/>
        <item m="1" x="458"/>
        <item x="248"/>
        <item x="257"/>
        <item m="1" x="462"/>
        <item x="230"/>
        <item x="236"/>
        <item x="321"/>
        <item x="322"/>
        <item x="323"/>
        <item x="324"/>
        <item x="342"/>
        <item x="343"/>
        <item x="344"/>
        <item x="345"/>
        <item x="346"/>
        <item x="347"/>
        <item x="184"/>
        <item x="185"/>
        <item x="186"/>
        <item x="187"/>
        <item x="188"/>
        <item x="189"/>
        <item m="1" x="439"/>
        <item x="154"/>
        <item m="1" x="460"/>
        <item x="398"/>
        <item x="400"/>
        <item x="402"/>
        <item x="410"/>
        <item x="411"/>
        <item x="325"/>
        <item x="326"/>
        <item x="327"/>
        <item x="328"/>
        <item m="1" x="461"/>
        <item x="349"/>
        <item x="350"/>
        <item x="351"/>
        <item x="352"/>
        <item x="348"/>
        <item x="43"/>
        <item x="44"/>
        <item x="45"/>
        <item x="124"/>
        <item x="141"/>
        <item x="148"/>
        <item x="156"/>
        <item x="159"/>
        <item x="167"/>
        <item x="178"/>
        <item m="1" x="426"/>
        <item x="192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3"/>
        <item x="214"/>
        <item x="215"/>
        <item x="216"/>
        <item x="221"/>
        <item x="231"/>
        <item x="237"/>
        <item x="238"/>
        <item x="250"/>
        <item x="251"/>
        <item x="255"/>
        <item x="306"/>
        <item x="308"/>
        <item x="309"/>
        <item x="329"/>
        <item x="353"/>
        <item x="289"/>
        <item x="330"/>
        <item x="331"/>
        <item x="332"/>
        <item x="354"/>
        <item x="355"/>
        <item x="382"/>
        <item x="396"/>
        <item x="397"/>
        <item x="59"/>
        <item x="60"/>
        <item x="61"/>
        <item x="62"/>
        <item x="63"/>
        <item m="1" x="428"/>
        <item m="1" x="429"/>
        <item x="78"/>
        <item x="79"/>
        <item x="90"/>
        <item x="91"/>
        <item x="153"/>
        <item x="173"/>
        <item x="67"/>
        <item x="356"/>
        <item x="403"/>
        <item x="408"/>
        <item x="412"/>
        <item x="413"/>
        <item x="46"/>
        <item m="1" x="433"/>
        <item x="378"/>
        <item x="379"/>
        <item x="380"/>
        <item x="381"/>
        <item x="407"/>
        <item x="311"/>
        <item x="333"/>
        <item m="1" x="423"/>
        <item x="357"/>
        <item x="358"/>
        <item m="1" x="424"/>
        <item x="305"/>
        <item m="1" x="427"/>
        <item x="49"/>
        <item x="64"/>
        <item x="65"/>
        <item x="72"/>
        <item x="73"/>
        <item x="74"/>
        <item x="75"/>
        <item x="176"/>
        <item x="177"/>
        <item x="234"/>
        <item x="244"/>
        <item x="264"/>
        <item x="265"/>
        <item x="266"/>
        <item x="50"/>
        <item x="76"/>
        <item x="92"/>
        <item x="182"/>
        <item x="183"/>
        <item x="228"/>
        <item x="239"/>
        <item x="240"/>
        <item x="241"/>
        <item x="269"/>
        <item x="312"/>
        <item x="359"/>
        <item x="51"/>
        <item x="52"/>
        <item x="53"/>
        <item x="54"/>
        <item x="93"/>
        <item x="94"/>
        <item x="95"/>
        <item x="164"/>
        <item x="180"/>
        <item x="254"/>
        <item x="267"/>
        <item x="268"/>
        <item x="313"/>
        <item x="360"/>
        <item x="401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descending" defaultSubtotal="0">
      <items count="15">
        <item h="1" sd="0" m="1" x="13"/>
        <item h="1" sd="0" x="5"/>
        <item h="1" x="2"/>
        <item h="1" x="3"/>
        <item h="1" sd="0" m="1" x="10"/>
        <item h="1" sd="0" m="1" x="12"/>
        <item h="1" sd="0" x="4"/>
        <item h="1" x="8"/>
        <item h="1" sd="0" m="1" x="14"/>
        <item h="1" sd="0" m="1" x="11"/>
        <item h="1" sd="0" x="6"/>
        <item x="0"/>
        <item h="1" sd="0" x="7"/>
        <item h="1" x="9"/>
        <item h="1" sd="0" x="1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6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61">
        <item sd="0" x="47"/>
        <item sd="0" x="6"/>
        <item x="19"/>
        <item sd="0" x="18"/>
        <item sd="0" m="1" x="51"/>
        <item x="1"/>
        <item sd="0" x="25"/>
        <item sd="0" m="1" x="58"/>
        <item sd="0" m="1" x="60"/>
        <item sd="0" x="10"/>
        <item sd="0" m="1" x="53"/>
        <item sd="0" x="22"/>
        <item sd="0" x="35"/>
        <item sd="0" x="45"/>
        <item sd="0" m="1" x="56"/>
        <item sd="0" x="21"/>
        <item sd="0" m="1" x="52"/>
        <item sd="0" x="20"/>
        <item sd="0" m="1" x="55"/>
        <item sd="0" x="40"/>
        <item sd="0" x="38"/>
        <item sd="0" x="49"/>
        <item sd="0" x="28"/>
        <item sd="0" x="8"/>
        <item sd="0" x="15"/>
        <item sd="0" x="44"/>
        <item sd="0" x="26"/>
        <item x="37"/>
        <item x="46"/>
        <item x="3"/>
        <item sd="0" x="5"/>
        <item sd="0" x="41"/>
        <item sd="0" x="36"/>
        <item sd="0" x="33"/>
        <item sd="0" x="31"/>
        <item sd="0" x="12"/>
        <item sd="0" x="14"/>
        <item sd="0" x="16"/>
        <item sd="0" x="48"/>
        <item sd="0" x="11"/>
        <item x="0"/>
        <item x="4"/>
        <item sd="0" x="27"/>
        <item sd="0" x="43"/>
        <item sd="0" x="7"/>
        <item sd="0" x="9"/>
        <item sd="0" x="42"/>
        <item sd="0" x="13"/>
        <item sd="0" x="17"/>
        <item x="23"/>
        <item sd="0" x="32"/>
        <item sd="0" m="1" x="59"/>
        <item sd="0" m="1" x="54"/>
        <item sd="0" x="30"/>
        <item sd="0" x="29"/>
        <item sd="0" x="2"/>
        <item sd="0" m="1" x="57"/>
        <item m="1" x="50"/>
        <item x="39"/>
        <item x="24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4"/>
    <field x="5"/>
    <field x="2"/>
  </rowFields>
  <rowItems count="116">
    <i>
      <x/>
      <x v="11"/>
      <x v="5"/>
      <x v="199"/>
    </i>
    <i r="2">
      <x v="40"/>
      <x v="6"/>
    </i>
    <i r="3">
      <x v="8"/>
    </i>
    <i r="3">
      <x v="9"/>
    </i>
    <i r="3">
      <x v="14"/>
    </i>
    <i r="3">
      <x v="17"/>
    </i>
    <i r="3">
      <x v="19"/>
    </i>
    <i r="3">
      <x v="20"/>
    </i>
    <i r="3">
      <x v="25"/>
    </i>
    <i r="3">
      <x v="33"/>
    </i>
    <i r="3">
      <x v="34"/>
    </i>
    <i r="3">
      <x v="35"/>
    </i>
    <i r="3">
      <x v="38"/>
    </i>
    <i r="3">
      <x v="42"/>
    </i>
    <i r="3">
      <x v="52"/>
    </i>
    <i r="3">
      <x v="53"/>
    </i>
    <i r="3">
      <x v="54"/>
    </i>
    <i r="3">
      <x v="55"/>
    </i>
    <i r="3">
      <x v="59"/>
    </i>
    <i r="3">
      <x v="62"/>
    </i>
    <i r="3">
      <x v="63"/>
    </i>
    <i r="3">
      <x v="71"/>
    </i>
    <i r="3">
      <x v="73"/>
    </i>
    <i r="3">
      <x v="74"/>
    </i>
    <i r="3">
      <x v="75"/>
    </i>
    <i r="3">
      <x v="85"/>
    </i>
    <i r="3">
      <x v="88"/>
    </i>
    <i r="3">
      <x v="89"/>
    </i>
    <i r="3">
      <x v="90"/>
    </i>
    <i r="3">
      <x v="94"/>
    </i>
    <i r="3">
      <x v="95"/>
    </i>
    <i r="3">
      <x v="98"/>
    </i>
    <i r="3">
      <x v="100"/>
    </i>
    <i r="3">
      <x v="108"/>
    </i>
    <i r="3">
      <x v="109"/>
    </i>
    <i r="3">
      <x v="110"/>
    </i>
    <i r="3">
      <x v="111"/>
    </i>
    <i r="3">
      <x v="112"/>
    </i>
    <i r="3">
      <x v="116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4"/>
    </i>
    <i r="3">
      <x v="135"/>
    </i>
    <i r="3">
      <x v="136"/>
    </i>
    <i r="3">
      <x v="138"/>
    </i>
    <i r="3">
      <x v="139"/>
    </i>
    <i r="3">
      <x v="142"/>
    </i>
    <i r="3">
      <x v="143"/>
    </i>
    <i r="3">
      <x v="144"/>
    </i>
    <i r="3">
      <x v="147"/>
    </i>
    <i r="3">
      <x v="152"/>
    </i>
    <i r="3">
      <x v="153"/>
    </i>
    <i r="3">
      <x v="154"/>
    </i>
    <i r="3">
      <x v="156"/>
    </i>
    <i r="3">
      <x v="159"/>
    </i>
    <i r="3">
      <x v="162"/>
    </i>
    <i r="3">
      <x v="163"/>
    </i>
    <i r="3">
      <x v="164"/>
    </i>
    <i r="3">
      <x v="171"/>
    </i>
    <i r="3">
      <x v="172"/>
    </i>
    <i r="3">
      <x v="173"/>
    </i>
    <i r="3">
      <x v="174"/>
    </i>
    <i r="3">
      <x v="176"/>
    </i>
    <i r="3">
      <x v="179"/>
    </i>
    <i r="3">
      <x v="186"/>
    </i>
    <i r="3">
      <x v="188"/>
    </i>
    <i r="3">
      <x v="199"/>
    </i>
    <i r="3">
      <x v="200"/>
    </i>
    <i r="3">
      <x v="202"/>
    </i>
    <i r="3">
      <x v="203"/>
    </i>
    <i r="3">
      <x v="206"/>
    </i>
    <i r="3">
      <x v="220"/>
    </i>
    <i r="3">
      <x v="227"/>
    </i>
    <i r="3">
      <x v="228"/>
    </i>
    <i r="3">
      <x v="229"/>
    </i>
    <i r="3">
      <x v="235"/>
    </i>
    <i r="3">
      <x v="236"/>
    </i>
    <i r="3">
      <x v="289"/>
    </i>
    <i r="3">
      <x v="360"/>
    </i>
    <i r="3">
      <x v="361"/>
    </i>
    <i r="3">
      <x v="396"/>
    </i>
    <i r="3">
      <x v="401"/>
    </i>
    <i r="3">
      <x v="423"/>
    </i>
    <i r="3">
      <x v="429"/>
    </i>
    <i r="3">
      <x v="431"/>
    </i>
    <i r="3">
      <x v="432"/>
    </i>
    <i r="3">
      <x v="442"/>
    </i>
    <i r="3">
      <x v="444"/>
    </i>
    <i r="3">
      <x v="452"/>
    </i>
    <i r="3">
      <x v="458"/>
    </i>
    <i r="3">
      <x v="468"/>
    </i>
    <i r="3">
      <x v="470"/>
    </i>
    <i r="3">
      <x v="471"/>
    </i>
    <i r="3">
      <x v="472"/>
    </i>
    <i r="3">
      <x v="473"/>
    </i>
    <i r="2">
      <x v="55"/>
    </i>
    <i r="2">
      <x v="59"/>
      <x v="336"/>
    </i>
    <i r="3">
      <x v="337"/>
    </i>
    <i r="3">
      <x v="338"/>
    </i>
    <i r="3">
      <x v="339"/>
    </i>
    <i t="default">
      <x/>
    </i>
    <i>
      <x v="1"/>
      <x v="11"/>
      <x v="40"/>
      <x v="197"/>
    </i>
    <i r="3">
      <x v="460"/>
    </i>
    <i r="3">
      <x v="475"/>
    </i>
    <i r="3">
      <x v="478"/>
    </i>
    <i t="default">
      <x v="1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2">
    <pageField fld="3" hier="-1"/>
    <pageField fld="9" hier="-1"/>
  </pageFields>
  <dataFields count="1">
    <dataField name="Suma de Valor USD" fld="8" baseField="0" baseItem="0" numFmtId="41"/>
  </dataFields>
  <formats count="61">
    <format dxfId="793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792">
      <pivotArea outline="0" collapsedLevelsAreSubtotals="1" fieldPosition="0"/>
    </format>
    <format dxfId="791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790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789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88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87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786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785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84">
      <pivotArea dataOnly="0" labelOnly="1" outline="0" fieldPosition="0">
        <references count="4">
          <reference field="2" count="1">
            <x v="38"/>
          </reference>
          <reference field="4" count="1" selected="0">
            <x v="9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83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82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781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780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779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78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77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76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75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774">
      <pivotArea outline="0" fieldPosition="0">
        <references count="3">
          <reference field="1" count="1" selected="0">
            <x v="1"/>
          </reference>
          <reference field="9" count="1" selected="0">
            <x v="0"/>
          </reference>
          <reference field="11" count="1" selected="0">
            <x v="6"/>
          </reference>
        </references>
      </pivotArea>
    </format>
    <format dxfId="773">
      <pivotArea outline="0" fieldPosition="0">
        <references count="3">
          <reference field="1" count="1" selected="0">
            <x v="1"/>
          </reference>
          <reference field="9" count="1" selected="0">
            <x v="2"/>
          </reference>
          <reference field="11" count="1" selected="0">
            <x v="8"/>
          </reference>
        </references>
      </pivotArea>
    </format>
    <format dxfId="772">
      <pivotArea outline="0" collapsedLevelsAreSubtotals="1" fieldPosition="0"/>
    </format>
    <format dxfId="771">
      <pivotArea outline="0" fieldPosition="0">
        <references count="1">
          <reference field="9" count="1" selected="0" defaultSubtotal="1">
            <x v="0"/>
          </reference>
        </references>
      </pivotArea>
    </format>
    <format dxfId="770">
      <pivotArea outline="0" fieldPosition="0">
        <references count="1">
          <reference field="9" count="1" selected="0" defaultSubtotal="1">
            <x v="1"/>
          </reference>
        </references>
      </pivotArea>
    </format>
    <format dxfId="769">
      <pivotArea outline="0" fieldPosition="0">
        <references count="1">
          <reference field="9" count="1" selected="0" defaultSubtotal="1">
            <x v="2"/>
          </reference>
        </references>
      </pivotArea>
    </format>
    <format dxfId="768">
      <pivotArea dataOnly="0" labelOnly="1" outline="0" fieldPosition="0">
        <references count="5">
          <reference field="1" count="1" selected="0">
            <x v="0"/>
          </reference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67">
      <pivotArea dataOnly="0" labelOnly="1" outline="0" fieldPosition="0">
        <references count="5">
          <reference field="1" count="1" selected="0">
            <x v="0"/>
          </reference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66">
      <pivotArea dataOnly="0" labelOnly="1" outline="0" fieldPosition="0">
        <references count="5">
          <reference field="1" count="1" selected="0">
            <x v="0"/>
          </reference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765">
      <pivotArea dataOnly="0" labelOnly="1" outline="0" fieldPosition="0">
        <references count="5">
          <reference field="1" count="1" selected="0">
            <x v="0"/>
          </reference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764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763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762">
      <pivotArea outline="0" fieldPosition="0">
        <references count="5">
          <reference field="1" count="1" selected="0">
            <x v="0"/>
          </reference>
          <reference field="2" count="6" selected="0">
            <x v="6"/>
            <x v="8"/>
            <x v="9"/>
            <x v="19"/>
            <x v="38"/>
            <x v="5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61">
      <pivotArea outline="0" fieldPosition="0">
        <references count="5">
          <reference field="1" count="1" selected="0">
            <x v="0"/>
          </reference>
          <reference field="2" count="1" selected="0">
            <x v="5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60">
      <pivotArea outline="0" fieldPosition="0">
        <references count="5">
          <reference field="1" count="1" selected="0">
            <x v="0"/>
          </reference>
          <reference field="2" count="2" selected="0">
            <x v="59"/>
            <x v="6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9">
      <pivotArea outline="0" fieldPosition="0">
        <references count="5">
          <reference field="1" count="1" selected="0">
            <x v="0"/>
          </reference>
          <reference field="2" count="2" selected="0">
            <x v="71"/>
            <x v="75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8">
      <pivotArea outline="0" fieldPosition="0">
        <references count="5">
          <reference field="1" count="1" selected="0">
            <x v="0"/>
          </reference>
          <reference field="2" count="3" selected="0">
            <x v="89"/>
            <x v="90"/>
            <x v="9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7">
      <pivotArea outline="0" fieldPosition="0">
        <references count="5">
          <reference field="1" count="1" selected="0">
            <x v="0"/>
          </reference>
          <reference field="2" count="5" selected="0">
            <x v="98"/>
            <x v="100"/>
            <x v="108"/>
            <x v="110"/>
            <x v="11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6">
      <pivotArea outline="0" fieldPosition="0">
        <references count="5">
          <reference field="1" count="1" selected="0">
            <x v="0"/>
          </reference>
          <reference field="2" count="1" selected="0">
            <x v="12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5">
      <pivotArea outline="0" fieldPosition="0">
        <references count="5">
          <reference field="1" count="1" selected="0">
            <x v="0"/>
          </reference>
          <reference field="2" count="3" selected="0">
            <x v="128"/>
            <x v="130"/>
            <x v="13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4">
      <pivotArea outline="0" fieldPosition="0">
        <references count="5">
          <reference field="1" count="1" selected="0">
            <x v="0"/>
          </reference>
          <reference field="2" count="4" selected="0">
            <x v="147"/>
            <x v="152"/>
            <x v="153"/>
            <x v="15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3">
      <pivotArea outline="0" fieldPosition="0">
        <references count="5">
          <reference field="1" count="1" selected="0">
            <x v="0"/>
          </reference>
          <reference field="2" count="3" selected="0">
            <x v="162"/>
            <x v="163"/>
            <x v="17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2">
      <pivotArea outline="0" fieldPosition="0">
        <references count="5">
          <reference field="1" count="1" selected="0">
            <x v="0"/>
          </reference>
          <reference field="2" count="3" selected="0">
            <x v="176"/>
            <x v="186"/>
            <x v="199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1">
      <pivotArea outline="0" fieldPosition="0">
        <references count="5">
          <reference field="1" count="1" selected="0">
            <x v="0"/>
          </reference>
          <reference field="2" count="1" selected="0">
            <x v="203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50">
      <pivotArea outline="0" fieldPosition="0">
        <references count="5">
          <reference field="1" count="1" selected="0">
            <x v="0"/>
          </reference>
          <reference field="2" count="7" selected="0">
            <x v="228"/>
            <x v="289"/>
            <x v="336"/>
            <x v="337"/>
            <x v="338"/>
            <x v="339"/>
            <x v="359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49">
      <pivotArea outline="0" fieldPosition="0">
        <references count="5">
          <reference field="1" count="1" selected="0">
            <x v="0"/>
          </reference>
          <reference field="2" count="1" selected="0">
            <x v="36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48">
      <pivotArea outline="0" fieldPosition="0">
        <references count="5">
          <reference field="1" count="1" selected="0">
            <x v="0"/>
          </reference>
          <reference field="2" count="1" selected="0">
            <x v="90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47">
      <pivotArea outline="0" fieldPosition="0">
        <references count="5">
          <reference field="1" count="1" selected="0">
            <x v="0"/>
          </reference>
          <reference field="2" count="1" selected="0">
            <x v="336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46">
      <pivotArea outline="0" fieldPosition="0">
        <references count="5">
          <reference field="1" count="1" selected="0">
            <x v="0"/>
          </reference>
          <reference field="2" count="1" selected="0">
            <x v="338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45">
      <pivotArea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44">
      <pivotArea outline="0" fieldPosition="0">
        <references count="1">
          <reference field="11" count="1" selected="0">
            <x v="9"/>
          </reference>
        </references>
      </pivotArea>
    </format>
    <format dxfId="743">
      <pivotArea outline="0" fieldPosition="0">
        <references count="1">
          <reference field="11" count="1" selected="0">
            <x v="8"/>
          </reference>
        </references>
      </pivotArea>
    </format>
    <format dxfId="742">
      <pivotArea outline="0" fieldPosition="0">
        <references count="1">
          <reference field="11" count="1" selected="0">
            <x v="10"/>
          </reference>
        </references>
      </pivotArea>
    </format>
    <format dxfId="741">
      <pivotArea outline="0" fieldPosition="0">
        <references count="3">
          <reference field="1" count="1" selected="0">
            <x v="0"/>
          </reference>
          <reference field="4" count="1" selected="0">
            <x v="11"/>
          </reference>
          <reference field="11" count="1" selected="0">
            <x v="11"/>
          </reference>
        </references>
      </pivotArea>
    </format>
    <format dxfId="740">
      <pivotArea outline="0" fieldPosition="0">
        <references count="3">
          <reference field="1" count="1" selected="0">
            <x v="0"/>
          </reference>
          <reference field="4" count="1" selected="0">
            <x v="11"/>
          </reference>
          <reference field="11" count="1" selected="0">
            <x v="12"/>
          </reference>
        </references>
      </pivotArea>
    </format>
    <format dxfId="739">
      <pivotArea dataOnly="0" labelOnly="1" outline="0" fieldPosition="0">
        <references count="4">
          <reference field="1" count="1" selected="0">
            <x v="1"/>
          </reference>
          <reference field="2" count="1">
            <x v="248"/>
          </reference>
          <reference field="4" count="1" selected="0">
            <x v="13"/>
          </reference>
          <reference field="5" count="0" selected="0"/>
        </references>
      </pivotArea>
    </format>
    <format dxfId="738">
      <pivotArea dataOnly="0" labelOnly="1" outline="0" fieldPosition="0">
        <references count="4">
          <reference field="1" count="1" selected="0">
            <x v="1"/>
          </reference>
          <reference field="2" count="1">
            <x v="259"/>
          </reference>
          <reference field="4" count="1" selected="0">
            <x v="13"/>
          </reference>
          <reference field="5" count="0" selected="0"/>
        </references>
      </pivotArea>
    </format>
    <format dxfId="737">
      <pivotArea dataOnly="0" labelOnly="1" outline="0" fieldPosition="0">
        <references count="4">
          <reference field="1" count="1" selected="0">
            <x v="1"/>
          </reference>
          <reference field="2" count="1">
            <x v="281"/>
          </reference>
          <reference field="4" count="1" selected="0">
            <x v="13"/>
          </reference>
          <reference field="5" count="0" selected="0"/>
        </references>
      </pivotArea>
    </format>
    <format dxfId="736">
      <pivotArea outline="0" fieldPosition="0">
        <references count="4">
          <reference field="1" count="1" selected="0">
            <x v="1"/>
          </reference>
          <reference field="2" count="1" selected="0">
            <x v="184"/>
          </reference>
          <reference field="4" count="0" selected="0"/>
          <reference field="5" count="1" selected="0">
            <x v="29"/>
          </reference>
        </references>
      </pivotArea>
    </format>
    <format dxfId="735">
      <pivotArea dataOnly="0" labelOnly="1" outline="0" fieldPosition="0">
        <references count="4">
          <reference field="1" count="1" selected="0">
            <x v="1"/>
          </reference>
          <reference field="2" count="1">
            <x v="184"/>
          </reference>
          <reference field="4" count="0" selected="0"/>
          <reference field="5" count="1" selected="0">
            <x v="29"/>
          </reference>
        </references>
      </pivotArea>
    </format>
    <format dxfId="734">
      <pivotArea outline="0" fieldPosition="0">
        <references count="4">
          <reference field="1" count="1" selected="0">
            <x v="1"/>
          </reference>
          <reference field="2" count="1" selected="0">
            <x v="434"/>
          </reference>
          <reference field="4" count="0" selected="0"/>
          <reference field="5" count="1" selected="0">
            <x v="29"/>
          </reference>
        </references>
      </pivotArea>
    </format>
    <format dxfId="733">
      <pivotArea dataOnly="0" labelOnly="1" outline="0" fieldPosition="0">
        <references count="4">
          <reference field="1" count="1" selected="0">
            <x v="1"/>
          </reference>
          <reference field="2" count="1">
            <x v="434"/>
          </reference>
          <reference field="4" count="0" selected="0"/>
          <reference field="5" count="1" selected="0">
            <x v="29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51D3F-91A2-4337-9F7D-E5A3FA5A6A57}" name="TablaDinámica4" cacheId="9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5:P121" firstHeaderRow="1" firstDataRow="2" firstDataCol="4" rowPageCount="2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6">
        <item x="103"/>
        <item x="104"/>
        <item x="107"/>
        <item x="162"/>
        <item m="1" x="431"/>
        <item m="1" x="430"/>
        <item sd="0" x="34"/>
        <item x="69"/>
        <item x="6"/>
        <item x="0"/>
        <item x="307"/>
        <item x="339"/>
        <item x="367"/>
        <item x="120"/>
        <item x="97"/>
        <item x="233"/>
        <item m="1" x="454"/>
        <item x="286"/>
        <item x="102"/>
        <item x="12"/>
        <item x="294"/>
        <item x="85"/>
        <item m="1" x="435"/>
        <item x="362"/>
        <item x="134"/>
        <item x="287"/>
        <item m="1" x="425"/>
        <item x="163"/>
        <item x="126"/>
        <item m="1" x="463"/>
        <item m="1" x="438"/>
        <item x="125"/>
        <item x="364"/>
        <item x="302"/>
        <item x="271"/>
        <item x="272"/>
        <item x="136"/>
        <item x="220"/>
        <item x="33"/>
        <item x="100"/>
        <item x="140"/>
        <item x="88"/>
        <item x="300"/>
        <item x="99"/>
        <item x="119"/>
        <item x="414"/>
        <item x="370"/>
        <item m="1" x="443"/>
        <item x="196"/>
        <item x="172"/>
        <item x="168"/>
        <item m="1" x="469"/>
        <item x="10"/>
        <item x="25"/>
        <item x="42"/>
        <item x="56"/>
        <item x="363"/>
        <item x="81"/>
        <item x="101"/>
        <item x="13"/>
        <item x="80"/>
        <item x="171"/>
        <item x="20"/>
        <item x="27"/>
        <item x="249"/>
        <item x="114"/>
        <item x="219"/>
        <item x="110"/>
        <item x="225"/>
        <item x="227"/>
        <item x="226"/>
        <item x="17"/>
        <item x="157"/>
        <item x="291"/>
        <item x="276"/>
        <item x="11"/>
        <item m="1" x="445"/>
        <item x="77"/>
        <item m="1" x="446"/>
        <item m="1" x="479"/>
        <item m="1" x="447"/>
        <item x="109"/>
        <item x="98"/>
        <item x="336"/>
        <item x="146"/>
        <item x="38"/>
        <item x="361"/>
        <item x="222"/>
        <item x="57"/>
        <item x="7"/>
        <item x="3"/>
        <item x="144"/>
        <item x="150"/>
        <item x="151"/>
        <item x="4"/>
        <item x="24"/>
        <item x="82"/>
        <item x="252"/>
        <item x="9"/>
        <item x="68"/>
        <item x="21"/>
        <item m="1" x="455"/>
        <item m="1" x="483"/>
        <item x="190"/>
        <item x="191"/>
        <item x="193"/>
        <item x="365"/>
        <item x="123"/>
        <item x="15"/>
        <item x="274"/>
        <item x="175"/>
        <item x="40"/>
        <item x="303"/>
        <item x="169"/>
        <item x="121"/>
        <item x="112"/>
        <item x="36"/>
        <item m="1" x="472"/>
        <item m="1" x="449"/>
        <item m="1" x="480"/>
        <item x="137"/>
        <item x="181"/>
        <item x="19"/>
        <item x="55"/>
        <item x="288"/>
        <item x="280"/>
        <item x="290"/>
        <item x="277"/>
        <item x="31"/>
        <item x="278"/>
        <item x="22"/>
        <item x="270"/>
        <item x="296"/>
        <item x="86"/>
        <item x="32"/>
        <item x="292"/>
        <item x="16"/>
        <item x="71"/>
        <item x="26"/>
        <item x="275"/>
        <item x="84"/>
        <item x="83"/>
        <item x="298"/>
        <item x="281"/>
        <item x="295"/>
        <item x="152"/>
        <item x="122"/>
        <item x="23"/>
        <item m="1" x="434"/>
        <item x="165"/>
        <item x="166"/>
        <item x="217"/>
        <item x="39"/>
        <item x="1"/>
        <item x="18"/>
        <item x="111"/>
        <item x="282"/>
        <item x="138"/>
        <item x="105"/>
        <item x="37"/>
        <item x="108"/>
        <item m="1" x="459"/>
        <item x="8"/>
        <item x="14"/>
        <item x="377"/>
        <item m="1" x="441"/>
        <item x="232"/>
        <item m="1" x="465"/>
        <item m="1" x="467"/>
        <item m="1" x="464"/>
        <item m="1" x="466"/>
        <item x="2"/>
        <item x="301"/>
        <item x="89"/>
        <item x="66"/>
        <item x="369"/>
        <item x="35"/>
        <item x="149"/>
        <item x="96"/>
        <item x="283"/>
        <item m="1" x="457"/>
        <item m="1" x="484"/>
        <item x="320"/>
        <item m="1" x="440"/>
        <item h="1" x="58"/>
        <item x="174"/>
        <item x="5"/>
        <item x="143"/>
        <item x="297"/>
        <item x="132"/>
        <item x="133"/>
        <item x="106"/>
        <item x="135"/>
        <item x="341"/>
        <item x="319"/>
        <item x="338"/>
        <item x="340"/>
        <item x="179"/>
        <item x="223"/>
        <item x="48"/>
        <item x="273"/>
        <item x="70"/>
        <item x="47"/>
        <item x="29"/>
        <item x="207"/>
        <item m="1" x="482"/>
        <item x="30"/>
        <item x="155"/>
        <item m="1" x="485"/>
        <item x="212"/>
        <item x="368"/>
        <item x="316"/>
        <item x="315"/>
        <item x="314"/>
        <item x="317"/>
        <item x="127"/>
        <item x="235"/>
        <item x="366"/>
        <item x="117"/>
        <item x="118"/>
        <item x="284"/>
        <item m="1" x="451"/>
        <item m="1" x="481"/>
        <item m="1" x="436"/>
        <item x="113"/>
        <item x="335"/>
        <item x="337"/>
        <item x="279"/>
        <item x="28"/>
        <item x="285"/>
        <item x="389"/>
        <item x="383"/>
        <item x="391"/>
        <item x="385"/>
        <item x="405"/>
        <item x="293"/>
        <item x="299"/>
        <item m="1" x="473"/>
        <item x="115"/>
        <item x="116"/>
        <item x="139"/>
        <item x="142"/>
        <item x="145"/>
        <item x="158"/>
        <item x="160"/>
        <item x="161"/>
        <item m="1" x="468"/>
        <item x="245"/>
        <item x="246"/>
        <item x="247"/>
        <item x="253"/>
        <item x="256"/>
        <item x="258"/>
        <item x="259"/>
        <item x="260"/>
        <item x="261"/>
        <item x="262"/>
        <item x="318"/>
        <item x="334"/>
        <item x="372"/>
        <item x="373"/>
        <item m="1" x="470"/>
        <item m="1" x="471"/>
        <item x="376"/>
        <item x="384"/>
        <item x="386"/>
        <item x="387"/>
        <item x="388"/>
        <item x="390"/>
        <item x="392"/>
        <item x="393"/>
        <item x="394"/>
        <item x="395"/>
        <item x="406"/>
        <item x="409"/>
        <item x="415"/>
        <item x="416"/>
        <item x="417"/>
        <item x="418"/>
        <item x="419"/>
        <item x="420"/>
        <item x="421"/>
        <item x="374"/>
        <item x="375"/>
        <item x="304"/>
        <item m="1" x="432"/>
        <item m="1" x="476"/>
        <item x="399"/>
        <item x="422"/>
        <item x="41"/>
        <item x="87"/>
        <item x="128"/>
        <item x="129"/>
        <item x="130"/>
        <item x="147"/>
        <item x="170"/>
        <item x="218"/>
        <item x="242"/>
        <item x="243"/>
        <item m="1" x="437"/>
        <item x="131"/>
        <item x="209"/>
        <item x="211"/>
        <item x="224"/>
        <item x="229"/>
        <item x="263"/>
        <item x="310"/>
        <item x="371"/>
        <item m="1" x="474"/>
        <item m="1" x="477"/>
        <item m="1" x="475"/>
        <item m="1" x="478"/>
        <item m="1" x="442"/>
        <item m="1" x="444"/>
        <item m="1" x="448"/>
        <item m="1" x="450"/>
        <item m="1" x="452"/>
        <item m="1" x="453"/>
        <item m="1" x="456"/>
        <item m="1" x="458"/>
        <item x="248"/>
        <item x="257"/>
        <item m="1" x="462"/>
        <item x="230"/>
        <item x="236"/>
        <item x="321"/>
        <item x="322"/>
        <item x="323"/>
        <item x="324"/>
        <item x="342"/>
        <item x="343"/>
        <item x="344"/>
        <item x="345"/>
        <item x="346"/>
        <item x="347"/>
        <item x="184"/>
        <item x="185"/>
        <item x="186"/>
        <item x="187"/>
        <item x="188"/>
        <item x="189"/>
        <item m="1" x="439"/>
        <item x="154"/>
        <item m="1" x="460"/>
        <item x="398"/>
        <item x="400"/>
        <item x="402"/>
        <item x="410"/>
        <item x="411"/>
        <item x="325"/>
        <item x="326"/>
        <item x="327"/>
        <item x="328"/>
        <item m="1" x="461"/>
        <item x="349"/>
        <item x="350"/>
        <item x="351"/>
        <item x="352"/>
        <item x="348"/>
        <item x="43"/>
        <item x="44"/>
        <item x="45"/>
        <item x="124"/>
        <item x="141"/>
        <item x="148"/>
        <item x="156"/>
        <item x="159"/>
        <item x="167"/>
        <item x="178"/>
        <item m="1" x="426"/>
        <item x="192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3"/>
        <item x="214"/>
        <item x="215"/>
        <item x="216"/>
        <item x="221"/>
        <item x="231"/>
        <item x="237"/>
        <item x="238"/>
        <item x="250"/>
        <item x="251"/>
        <item x="255"/>
        <item x="306"/>
        <item x="308"/>
        <item x="309"/>
        <item x="329"/>
        <item x="353"/>
        <item x="289"/>
        <item x="330"/>
        <item x="331"/>
        <item x="332"/>
        <item x="354"/>
        <item x="355"/>
        <item x="382"/>
        <item x="396"/>
        <item x="397"/>
        <item x="59"/>
        <item x="60"/>
        <item x="61"/>
        <item x="62"/>
        <item x="63"/>
        <item m="1" x="428"/>
        <item m="1" x="429"/>
        <item x="78"/>
        <item x="79"/>
        <item x="90"/>
        <item x="91"/>
        <item x="153"/>
        <item x="173"/>
        <item x="67"/>
        <item x="356"/>
        <item x="403"/>
        <item x="408"/>
        <item x="412"/>
        <item x="413"/>
        <item x="46"/>
        <item m="1" x="433"/>
        <item x="378"/>
        <item x="379"/>
        <item x="380"/>
        <item h="1" x="381"/>
        <item x="407"/>
        <item x="311"/>
        <item x="333"/>
        <item m="1" x="423"/>
        <item x="357"/>
        <item x="358"/>
        <item m="1" x="424"/>
        <item x="305"/>
        <item m="1" x="427"/>
        <item x="49"/>
        <item x="64"/>
        <item x="65"/>
        <item x="72"/>
        <item x="73"/>
        <item x="74"/>
        <item x="75"/>
        <item x="176"/>
        <item x="177"/>
        <item x="234"/>
        <item x="244"/>
        <item x="264"/>
        <item x="265"/>
        <item x="266"/>
        <item x="50"/>
        <item x="76"/>
        <item x="92"/>
        <item x="182"/>
        <item x="183"/>
        <item x="228"/>
        <item x="239"/>
        <item x="240"/>
        <item x="241"/>
        <item x="269"/>
        <item x="312"/>
        <item x="359"/>
        <item x="51"/>
        <item x="52"/>
        <item x="53"/>
        <item x="54"/>
        <item x="93"/>
        <item x="94"/>
        <item x="95"/>
        <item x="164"/>
        <item x="180"/>
        <item x="254"/>
        <item x="267"/>
        <item x="268"/>
        <item x="313"/>
        <item x="360"/>
        <item x="401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descending" defaultSubtotal="0">
      <items count="15">
        <item h="1" sd="0" m="1" x="13"/>
        <item h="1" sd="0" x="5"/>
        <item h="1" x="2"/>
        <item h="1" x="3"/>
        <item h="1" sd="0" m="1" x="10"/>
        <item h="1" sd="0" m="1" x="12"/>
        <item h="1" sd="0" x="4"/>
        <item h="1" x="8"/>
        <item h="1" sd="0" m="1" x="14"/>
        <item h="1" sd="0" m="1" x="11"/>
        <item h="1" sd="0" x="6"/>
        <item x="0"/>
        <item h="1" sd="0" x="7"/>
        <item h="1" x="9"/>
        <item h="1" sd="0" x="1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6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61">
        <item sd="0" x="47"/>
        <item sd="0" x="6"/>
        <item x="19"/>
        <item sd="0" x="18"/>
        <item sd="0" m="1" x="51"/>
        <item x="1"/>
        <item sd="0" x="25"/>
        <item sd="0" m="1" x="58"/>
        <item sd="0" m="1" x="60"/>
        <item sd="0" x="10"/>
        <item sd="0" m="1" x="53"/>
        <item sd="0" x="22"/>
        <item sd="0" x="35"/>
        <item sd="0" x="45"/>
        <item sd="0" m="1" x="56"/>
        <item sd="0" x="21"/>
        <item sd="0" m="1" x="52"/>
        <item sd="0" x="20"/>
        <item sd="0" m="1" x="55"/>
        <item h="1" sd="0" x="40"/>
        <item sd="0" x="38"/>
        <item sd="0" x="49"/>
        <item sd="0" x="28"/>
        <item sd="0" x="8"/>
        <item sd="0" x="15"/>
        <item sd="0" x="44"/>
        <item sd="0" x="26"/>
        <item h="1" x="37"/>
        <item x="46"/>
        <item x="3"/>
        <item sd="0" x="5"/>
        <item sd="0" x="41"/>
        <item sd="0" x="36"/>
        <item sd="0" x="33"/>
        <item sd="0" x="31"/>
        <item sd="0" x="12"/>
        <item sd="0" x="14"/>
        <item sd="0" x="16"/>
        <item sd="0" x="48"/>
        <item sd="0" x="11"/>
        <item x="0"/>
        <item x="4"/>
        <item sd="0" x="27"/>
        <item sd="0" x="43"/>
        <item sd="0" x="7"/>
        <item sd="0" x="9"/>
        <item sd="0" x="42"/>
        <item sd="0" x="13"/>
        <item sd="0" x="17"/>
        <item x="23"/>
        <item sd="0" x="32"/>
        <item sd="0" m="1" x="59"/>
        <item sd="0" m="1" x="54"/>
        <item sd="0" x="30"/>
        <item sd="0" x="29"/>
        <item h="1" sd="0" x="2"/>
        <item sd="0" m="1" x="57"/>
        <item m="1" x="50"/>
        <item x="39"/>
        <item x="24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4"/>
    <field x="5"/>
    <field x="2"/>
  </rowFields>
  <rowItems count="115">
    <i>
      <x/>
      <x v="11"/>
      <x v="5"/>
      <x v="199"/>
    </i>
    <i r="2">
      <x v="40"/>
      <x v="6"/>
    </i>
    <i r="3">
      <x v="8"/>
    </i>
    <i r="3">
      <x v="9"/>
    </i>
    <i r="3">
      <x v="14"/>
    </i>
    <i r="3">
      <x v="17"/>
    </i>
    <i r="3">
      <x v="19"/>
    </i>
    <i r="3">
      <x v="20"/>
    </i>
    <i r="3">
      <x v="25"/>
    </i>
    <i r="3">
      <x v="33"/>
    </i>
    <i r="3">
      <x v="34"/>
    </i>
    <i r="3">
      <x v="35"/>
    </i>
    <i r="3">
      <x v="38"/>
    </i>
    <i r="3">
      <x v="42"/>
    </i>
    <i r="3">
      <x v="52"/>
    </i>
    <i r="3">
      <x v="53"/>
    </i>
    <i r="3">
      <x v="54"/>
    </i>
    <i r="3">
      <x v="55"/>
    </i>
    <i r="3">
      <x v="59"/>
    </i>
    <i r="3">
      <x v="62"/>
    </i>
    <i r="3">
      <x v="63"/>
    </i>
    <i r="3">
      <x v="71"/>
    </i>
    <i r="3">
      <x v="73"/>
    </i>
    <i r="3">
      <x v="74"/>
    </i>
    <i r="3">
      <x v="75"/>
    </i>
    <i r="3">
      <x v="85"/>
    </i>
    <i r="3">
      <x v="88"/>
    </i>
    <i r="3">
      <x v="89"/>
    </i>
    <i r="3">
      <x v="90"/>
    </i>
    <i r="3">
      <x v="94"/>
    </i>
    <i r="3">
      <x v="95"/>
    </i>
    <i r="3">
      <x v="98"/>
    </i>
    <i r="3">
      <x v="100"/>
    </i>
    <i r="3">
      <x v="108"/>
    </i>
    <i r="3">
      <x v="109"/>
    </i>
    <i r="3">
      <x v="110"/>
    </i>
    <i r="3">
      <x v="111"/>
    </i>
    <i r="3">
      <x v="112"/>
    </i>
    <i r="3">
      <x v="116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4"/>
    </i>
    <i r="3">
      <x v="135"/>
    </i>
    <i r="3">
      <x v="136"/>
    </i>
    <i r="3">
      <x v="138"/>
    </i>
    <i r="3">
      <x v="139"/>
    </i>
    <i r="3">
      <x v="142"/>
    </i>
    <i r="3">
      <x v="143"/>
    </i>
    <i r="3">
      <x v="144"/>
    </i>
    <i r="3">
      <x v="147"/>
    </i>
    <i r="3">
      <x v="152"/>
    </i>
    <i r="3">
      <x v="153"/>
    </i>
    <i r="3">
      <x v="154"/>
    </i>
    <i r="3">
      <x v="156"/>
    </i>
    <i r="3">
      <x v="159"/>
    </i>
    <i r="3">
      <x v="162"/>
    </i>
    <i r="3">
      <x v="163"/>
    </i>
    <i r="3">
      <x v="164"/>
    </i>
    <i r="3">
      <x v="171"/>
    </i>
    <i r="3">
      <x v="172"/>
    </i>
    <i r="3">
      <x v="173"/>
    </i>
    <i r="3">
      <x v="174"/>
    </i>
    <i r="3">
      <x v="176"/>
    </i>
    <i r="3">
      <x v="179"/>
    </i>
    <i r="3">
      <x v="186"/>
    </i>
    <i r="3">
      <x v="188"/>
    </i>
    <i r="3">
      <x v="199"/>
    </i>
    <i r="3">
      <x v="200"/>
    </i>
    <i r="3">
      <x v="202"/>
    </i>
    <i r="3">
      <x v="203"/>
    </i>
    <i r="3">
      <x v="206"/>
    </i>
    <i r="3">
      <x v="220"/>
    </i>
    <i r="3">
      <x v="227"/>
    </i>
    <i r="3">
      <x v="228"/>
    </i>
    <i r="3">
      <x v="229"/>
    </i>
    <i r="3">
      <x v="235"/>
    </i>
    <i r="3">
      <x v="236"/>
    </i>
    <i r="3">
      <x v="289"/>
    </i>
    <i r="3">
      <x v="360"/>
    </i>
    <i r="3">
      <x v="361"/>
    </i>
    <i r="3">
      <x v="396"/>
    </i>
    <i r="3">
      <x v="401"/>
    </i>
    <i r="3">
      <x v="423"/>
    </i>
    <i r="3">
      <x v="429"/>
    </i>
    <i r="3">
      <x v="431"/>
    </i>
    <i r="3">
      <x v="432"/>
    </i>
    <i r="3">
      <x v="442"/>
    </i>
    <i r="3">
      <x v="444"/>
    </i>
    <i r="3">
      <x v="452"/>
    </i>
    <i r="3">
      <x v="458"/>
    </i>
    <i r="3">
      <x v="468"/>
    </i>
    <i r="3">
      <x v="470"/>
    </i>
    <i r="3">
      <x v="471"/>
    </i>
    <i r="3">
      <x v="472"/>
    </i>
    <i r="3">
      <x v="473"/>
    </i>
    <i r="2">
      <x v="59"/>
      <x v="336"/>
    </i>
    <i r="3">
      <x v="337"/>
    </i>
    <i r="3">
      <x v="338"/>
    </i>
    <i r="3">
      <x v="339"/>
    </i>
    <i t="default">
      <x/>
    </i>
    <i>
      <x v="1"/>
      <x v="11"/>
      <x v="40"/>
      <x v="197"/>
    </i>
    <i r="3">
      <x v="460"/>
    </i>
    <i r="3">
      <x v="475"/>
    </i>
    <i r="3">
      <x v="478"/>
    </i>
    <i t="default">
      <x v="1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2">
    <pageField fld="3" hier="-1"/>
    <pageField fld="9" hier="-1"/>
  </pageFields>
  <dataFields count="1">
    <dataField name="Suma de Valor USD" fld="8" baseField="0" baseItem="0" numFmtId="41"/>
  </dataFields>
  <formats count="72">
    <format dxfId="732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731">
      <pivotArea outline="0" collapsedLevelsAreSubtotals="1" fieldPosition="0"/>
    </format>
    <format dxfId="730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729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728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27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26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725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724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23">
      <pivotArea dataOnly="0" labelOnly="1" outline="0" fieldPosition="0">
        <references count="4">
          <reference field="2" count="1">
            <x v="38"/>
          </reference>
          <reference field="4" count="1" selected="0">
            <x v="9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22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21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720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719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718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17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16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15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714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713">
      <pivotArea outline="0" fieldPosition="0">
        <references count="3">
          <reference field="1" count="1" selected="0">
            <x v="1"/>
          </reference>
          <reference field="9" count="1" selected="0">
            <x v="0"/>
          </reference>
          <reference field="11" count="1" selected="0">
            <x v="6"/>
          </reference>
        </references>
      </pivotArea>
    </format>
    <format dxfId="712">
      <pivotArea outline="0" fieldPosition="0">
        <references count="3">
          <reference field="1" count="1" selected="0">
            <x v="1"/>
          </reference>
          <reference field="9" count="1" selected="0">
            <x v="2"/>
          </reference>
          <reference field="11" count="1" selected="0">
            <x v="8"/>
          </reference>
        </references>
      </pivotArea>
    </format>
    <format dxfId="711">
      <pivotArea outline="0" collapsedLevelsAreSubtotals="1" fieldPosition="0"/>
    </format>
    <format dxfId="710">
      <pivotArea outline="0" fieldPosition="0">
        <references count="1">
          <reference field="9" count="1" selected="0" defaultSubtotal="1">
            <x v="0"/>
          </reference>
        </references>
      </pivotArea>
    </format>
    <format dxfId="709">
      <pivotArea outline="0" fieldPosition="0">
        <references count="1">
          <reference field="9" count="1" selected="0" defaultSubtotal="1">
            <x v="1"/>
          </reference>
        </references>
      </pivotArea>
    </format>
    <format dxfId="708">
      <pivotArea outline="0" fieldPosition="0">
        <references count="1">
          <reference field="9" count="1" selected="0" defaultSubtotal="1">
            <x v="2"/>
          </reference>
        </references>
      </pivotArea>
    </format>
    <format dxfId="707">
      <pivotArea dataOnly="0" labelOnly="1" outline="0" fieldPosition="0">
        <references count="5">
          <reference field="1" count="1" selected="0">
            <x v="0"/>
          </reference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06">
      <pivotArea dataOnly="0" labelOnly="1" outline="0" fieldPosition="0">
        <references count="5">
          <reference field="1" count="1" selected="0">
            <x v="0"/>
          </reference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705">
      <pivotArea dataOnly="0" labelOnly="1" outline="0" fieldPosition="0">
        <references count="5">
          <reference field="1" count="1" selected="0">
            <x v="0"/>
          </reference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704">
      <pivotArea dataOnly="0" labelOnly="1" outline="0" fieldPosition="0">
        <references count="5">
          <reference field="1" count="1" selected="0">
            <x v="0"/>
          </reference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703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702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701">
      <pivotArea outline="0" fieldPosition="0">
        <references count="5">
          <reference field="1" count="1" selected="0">
            <x v="0"/>
          </reference>
          <reference field="2" count="6" selected="0">
            <x v="6"/>
            <x v="8"/>
            <x v="9"/>
            <x v="19"/>
            <x v="38"/>
            <x v="5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700">
      <pivotArea outline="0" fieldPosition="0">
        <references count="5">
          <reference field="1" count="1" selected="0">
            <x v="0"/>
          </reference>
          <reference field="2" count="1" selected="0">
            <x v="5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9">
      <pivotArea outline="0" fieldPosition="0">
        <references count="5">
          <reference field="1" count="1" selected="0">
            <x v="0"/>
          </reference>
          <reference field="2" count="2" selected="0">
            <x v="59"/>
            <x v="6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8">
      <pivotArea outline="0" fieldPosition="0">
        <references count="5">
          <reference field="1" count="1" selected="0">
            <x v="0"/>
          </reference>
          <reference field="2" count="2" selected="0">
            <x v="71"/>
            <x v="75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7">
      <pivotArea outline="0" fieldPosition="0">
        <references count="5">
          <reference field="1" count="1" selected="0">
            <x v="0"/>
          </reference>
          <reference field="2" count="3" selected="0">
            <x v="89"/>
            <x v="90"/>
            <x v="9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6">
      <pivotArea outline="0" fieldPosition="0">
        <references count="5">
          <reference field="1" count="1" selected="0">
            <x v="0"/>
          </reference>
          <reference field="2" count="5" selected="0">
            <x v="98"/>
            <x v="100"/>
            <x v="108"/>
            <x v="110"/>
            <x v="11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5">
      <pivotArea outline="0" fieldPosition="0">
        <references count="5">
          <reference field="1" count="1" selected="0">
            <x v="0"/>
          </reference>
          <reference field="2" count="1" selected="0">
            <x v="122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4">
      <pivotArea outline="0" fieldPosition="0">
        <references count="5">
          <reference field="1" count="1" selected="0">
            <x v="0"/>
          </reference>
          <reference field="2" count="3" selected="0">
            <x v="128"/>
            <x v="130"/>
            <x v="13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3">
      <pivotArea outline="0" fieldPosition="0">
        <references count="5">
          <reference field="1" count="1" selected="0">
            <x v="0"/>
          </reference>
          <reference field="2" count="4" selected="0">
            <x v="147"/>
            <x v="152"/>
            <x v="153"/>
            <x v="154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2">
      <pivotArea outline="0" fieldPosition="0">
        <references count="5">
          <reference field="1" count="1" selected="0">
            <x v="0"/>
          </reference>
          <reference field="2" count="3" selected="0">
            <x v="162"/>
            <x v="163"/>
            <x v="17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1">
      <pivotArea outline="0" fieldPosition="0">
        <references count="5">
          <reference field="1" count="1" selected="0">
            <x v="0"/>
          </reference>
          <reference field="2" count="3" selected="0">
            <x v="176"/>
            <x v="186"/>
            <x v="199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90">
      <pivotArea outline="0" fieldPosition="0">
        <references count="5">
          <reference field="1" count="1" selected="0">
            <x v="0"/>
          </reference>
          <reference field="2" count="1" selected="0">
            <x v="203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89">
      <pivotArea outline="0" fieldPosition="0">
        <references count="5">
          <reference field="1" count="1" selected="0">
            <x v="0"/>
          </reference>
          <reference field="2" count="7" selected="0">
            <x v="228"/>
            <x v="289"/>
            <x v="336"/>
            <x v="337"/>
            <x v="338"/>
            <x v="339"/>
            <x v="359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88">
      <pivotArea outline="0" fieldPosition="0">
        <references count="5">
          <reference field="1" count="1" selected="0">
            <x v="0"/>
          </reference>
          <reference field="2" count="1" selected="0">
            <x v="361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87">
      <pivotArea outline="0" fieldPosition="0">
        <references count="5">
          <reference field="1" count="1" selected="0">
            <x v="0"/>
          </reference>
          <reference field="2" count="1" selected="0">
            <x v="90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86">
      <pivotArea outline="0" fieldPosition="0">
        <references count="5">
          <reference field="1" count="1" selected="0">
            <x v="0"/>
          </reference>
          <reference field="2" count="1" selected="0">
            <x v="336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85">
      <pivotArea outline="0" fieldPosition="0">
        <references count="5">
          <reference field="1" count="1" selected="0">
            <x v="0"/>
          </reference>
          <reference field="2" count="1" selected="0">
            <x v="338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84">
      <pivotArea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4" count="0" selected="0"/>
          <reference field="5" count="1" selected="0">
            <x v="40"/>
          </reference>
          <reference field="11" count="1" selected="0">
            <x v="7"/>
          </reference>
        </references>
      </pivotArea>
    </format>
    <format dxfId="683">
      <pivotArea outline="0" fieldPosition="0">
        <references count="1">
          <reference field="11" count="1" selected="0">
            <x v="9"/>
          </reference>
        </references>
      </pivotArea>
    </format>
    <format dxfId="682">
      <pivotArea outline="0" fieldPosition="0">
        <references count="1">
          <reference field="11" count="1" selected="0">
            <x v="8"/>
          </reference>
        </references>
      </pivotArea>
    </format>
    <format dxfId="681">
      <pivotArea outline="0" fieldPosition="0">
        <references count="1">
          <reference field="11" count="1" selected="0">
            <x v="10"/>
          </reference>
        </references>
      </pivotArea>
    </format>
    <format dxfId="680">
      <pivotArea outline="0" fieldPosition="0">
        <references count="3">
          <reference field="1" count="1" selected="0">
            <x v="0"/>
          </reference>
          <reference field="4" count="1" selected="0">
            <x v="11"/>
          </reference>
          <reference field="11" count="1" selected="0">
            <x v="11"/>
          </reference>
        </references>
      </pivotArea>
    </format>
    <format dxfId="679">
      <pivotArea outline="0" fieldPosition="0">
        <references count="3">
          <reference field="1" count="1" selected="0">
            <x v="0"/>
          </reference>
          <reference field="4" count="1" selected="0">
            <x v="11"/>
          </reference>
          <reference field="11" count="1" selected="0">
            <x v="12"/>
          </reference>
        </references>
      </pivotArea>
    </format>
    <format dxfId="678">
      <pivotArea dataOnly="0" labelOnly="1" outline="0" fieldPosition="0">
        <references count="4">
          <reference field="1" count="1" selected="0">
            <x v="1"/>
          </reference>
          <reference field="2" count="1">
            <x v="248"/>
          </reference>
          <reference field="4" count="1" selected="0">
            <x v="13"/>
          </reference>
          <reference field="5" count="0" selected="0"/>
        </references>
      </pivotArea>
    </format>
    <format dxfId="677">
      <pivotArea dataOnly="0" labelOnly="1" outline="0" fieldPosition="0">
        <references count="4">
          <reference field="1" count="1" selected="0">
            <x v="1"/>
          </reference>
          <reference field="2" count="1">
            <x v="259"/>
          </reference>
          <reference field="4" count="1" selected="0">
            <x v="13"/>
          </reference>
          <reference field="5" count="0" selected="0"/>
        </references>
      </pivotArea>
    </format>
    <format dxfId="676">
      <pivotArea dataOnly="0" labelOnly="1" outline="0" fieldPosition="0">
        <references count="4">
          <reference field="1" count="1" selected="0">
            <x v="1"/>
          </reference>
          <reference field="2" count="1">
            <x v="281"/>
          </reference>
          <reference field="4" count="1" selected="0">
            <x v="13"/>
          </reference>
          <reference field="5" count="0" selected="0"/>
        </references>
      </pivotArea>
    </format>
    <format dxfId="675">
      <pivotArea outline="0" fieldPosition="0">
        <references count="4">
          <reference field="1" count="1" selected="0">
            <x v="1"/>
          </reference>
          <reference field="2" count="1" selected="0">
            <x v="184"/>
          </reference>
          <reference field="4" count="0" selected="0"/>
          <reference field="5" count="1" selected="0">
            <x v="29"/>
          </reference>
        </references>
      </pivotArea>
    </format>
    <format dxfId="674">
      <pivotArea dataOnly="0" labelOnly="1" outline="0" fieldPosition="0">
        <references count="4">
          <reference field="1" count="1" selected="0">
            <x v="1"/>
          </reference>
          <reference field="2" count="1">
            <x v="184"/>
          </reference>
          <reference field="4" count="0" selected="0"/>
          <reference field="5" count="1" selected="0">
            <x v="29"/>
          </reference>
        </references>
      </pivotArea>
    </format>
    <format dxfId="673">
      <pivotArea outline="0" fieldPosition="0">
        <references count="4">
          <reference field="1" count="1" selected="0">
            <x v="1"/>
          </reference>
          <reference field="2" count="1" selected="0">
            <x v="434"/>
          </reference>
          <reference field="4" count="0" selected="0"/>
          <reference field="5" count="1" selected="0">
            <x v="29"/>
          </reference>
        </references>
      </pivotArea>
    </format>
    <format dxfId="672">
      <pivotArea dataOnly="0" labelOnly="1" outline="0" fieldPosition="0">
        <references count="4">
          <reference field="1" count="1" selected="0">
            <x v="1"/>
          </reference>
          <reference field="2" count="1">
            <x v="434"/>
          </reference>
          <reference field="4" count="0" selected="0"/>
          <reference field="5" count="1" selected="0">
            <x v="29"/>
          </reference>
        </references>
      </pivotArea>
    </format>
    <format dxfId="671">
      <pivotArea dataOnly="0" labelOnly="1" outline="0" fieldPosition="0">
        <references count="4">
          <reference field="1" count="1" selected="0">
            <x v="0"/>
          </reference>
          <reference field="2" count="1">
            <x v="471"/>
          </reference>
          <reference field="4" count="0" selected="0"/>
          <reference field="5" count="1" selected="0">
            <x v="40"/>
          </reference>
        </references>
      </pivotArea>
    </format>
    <format dxfId="670">
      <pivotArea dataOnly="0" labelOnly="1" outline="0" fieldPosition="0">
        <references count="4">
          <reference field="1" count="1" selected="0">
            <x v="0"/>
          </reference>
          <reference field="2" count="1">
            <x v="458"/>
          </reference>
          <reference field="4" count="0" selected="0"/>
          <reference field="5" count="1" selected="0">
            <x v="40"/>
          </reference>
        </references>
      </pivotArea>
    </format>
    <format dxfId="669">
      <pivotArea dataOnly="0" labelOnly="1" outline="0" fieldPosition="0">
        <references count="4">
          <reference field="1" count="1" selected="0">
            <x v="0"/>
          </reference>
          <reference field="2" count="1">
            <x v="444"/>
          </reference>
          <reference field="4" count="0" selected="0"/>
          <reference field="5" count="1" selected="0">
            <x v="40"/>
          </reference>
        </references>
      </pivotArea>
    </format>
    <format dxfId="668">
      <pivotArea dataOnly="0" labelOnly="1" outline="0" fieldPosition="0">
        <references count="4">
          <reference field="1" count="1" selected="0">
            <x v="0"/>
          </reference>
          <reference field="2" count="1">
            <x v="289"/>
          </reference>
          <reference field="4" count="0" selected="0"/>
          <reference field="5" count="1" selected="0">
            <x v="40"/>
          </reference>
        </references>
      </pivotArea>
    </format>
    <format dxfId="667">
      <pivotArea dataOnly="0" labelOnly="1" outline="0" fieldPosition="0">
        <references count="4">
          <reference field="1" count="1" selected="0">
            <x v="0"/>
          </reference>
          <reference field="2" count="1">
            <x v="199"/>
          </reference>
          <reference field="4" count="0" selected="0"/>
          <reference field="5" count="1" selected="0">
            <x v="5"/>
          </reference>
        </references>
      </pivotArea>
    </format>
    <format dxfId="666">
      <pivotArea dataOnly="0" labelOnly="1" outline="0" fieldPosition="0">
        <references count="4">
          <reference field="1" count="1" selected="0">
            <x v="0"/>
          </reference>
          <reference field="2" count="1">
            <x v="147"/>
          </reference>
          <reference field="4" count="0" selected="0"/>
          <reference field="5" count="1" selected="0">
            <x v="40"/>
          </reference>
        </references>
      </pivotArea>
    </format>
    <format dxfId="665">
      <pivotArea dataOnly="0" labelOnly="1" outline="0" fieldPosition="0">
        <references count="4">
          <reference field="1" count="1" selected="0">
            <x v="0"/>
          </reference>
          <reference field="2" count="1">
            <x v="199"/>
          </reference>
          <reference field="4" count="0" selected="0"/>
          <reference field="5" count="1" selected="0">
            <x v="40"/>
          </reference>
        </references>
      </pivotArea>
    </format>
    <format dxfId="664">
      <pivotArea dataOnly="0" labelOnly="1" outline="0" fieldPosition="0">
        <references count="4">
          <reference field="1" count="1" selected="0">
            <x v="0"/>
          </reference>
          <reference field="2" count="1">
            <x v="470"/>
          </reference>
          <reference field="4" count="0" selected="0"/>
          <reference field="5" count="1" selected="0">
            <x v="40"/>
          </reference>
        </references>
      </pivotArea>
    </format>
    <format dxfId="663">
      <pivotArea dataOnly="0" labelOnly="1" outline="0" fieldPosition="0">
        <references count="4">
          <reference field="1" count="1" selected="0">
            <x v="0"/>
          </reference>
          <reference field="2" count="1">
            <x v="472"/>
          </reference>
          <reference field="4" count="0" selected="0"/>
          <reference field="5" count="1" selected="0">
            <x v="40"/>
          </reference>
        </references>
      </pivotArea>
    </format>
    <format dxfId="662">
      <pivotArea dataOnly="0" labelOnly="1" outline="0" fieldPosition="0">
        <references count="4">
          <reference field="1" count="1" selected="0">
            <x v="0"/>
          </reference>
          <reference field="2" count="1">
            <x v="171"/>
          </reference>
          <reference field="4" count="0" selected="0"/>
          <reference field="5" count="1" selected="0">
            <x v="40"/>
          </reference>
        </references>
      </pivotArea>
    </format>
    <format dxfId="661">
      <pivotArea dataOnly="0" labelOnly="1" outline="0" fieldPosition="0">
        <references count="4">
          <reference field="1" count="1" selected="0">
            <x v="0"/>
          </reference>
          <reference field="2" count="1">
            <x v="75"/>
          </reference>
          <reference field="4" count="0" selected="0"/>
          <reference field="5" count="1" selected="0">
            <x v="4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B75F7-BEAD-40E8-B184-802671625287}" name="TablaDinámica4" cacheId="9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6:M16" firstHeaderRow="1" firstDataRow="2" firstDataCol="1" rowPageCount="4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86">
        <item x="103"/>
        <item x="104"/>
        <item x="107"/>
        <item x="162"/>
        <item m="1" x="431"/>
        <item m="1" x="430"/>
        <item sd="0" x="34"/>
        <item x="69"/>
        <item x="6"/>
        <item x="0"/>
        <item x="307"/>
        <item x="339"/>
        <item x="367"/>
        <item x="120"/>
        <item x="97"/>
        <item x="233"/>
        <item m="1" x="454"/>
        <item x="286"/>
        <item x="102"/>
        <item x="12"/>
        <item x="294"/>
        <item x="85"/>
        <item m="1" x="435"/>
        <item x="362"/>
        <item x="134"/>
        <item x="287"/>
        <item m="1" x="425"/>
        <item x="163"/>
        <item x="126"/>
        <item m="1" x="463"/>
        <item m="1" x="438"/>
        <item x="125"/>
        <item x="364"/>
        <item x="302"/>
        <item x="271"/>
        <item x="272"/>
        <item x="136"/>
        <item x="220"/>
        <item x="33"/>
        <item x="100"/>
        <item x="140"/>
        <item x="88"/>
        <item x="300"/>
        <item x="99"/>
        <item x="119"/>
        <item x="414"/>
        <item x="370"/>
        <item m="1" x="443"/>
        <item x="196"/>
        <item x="172"/>
        <item x="168"/>
        <item m="1" x="469"/>
        <item x="10"/>
        <item x="25"/>
        <item x="42"/>
        <item x="56"/>
        <item x="363"/>
        <item x="81"/>
        <item x="101"/>
        <item x="13"/>
        <item x="80"/>
        <item x="171"/>
        <item x="20"/>
        <item x="27"/>
        <item x="249"/>
        <item x="114"/>
        <item x="219"/>
        <item x="110"/>
        <item x="225"/>
        <item x="227"/>
        <item x="226"/>
        <item x="17"/>
        <item x="157"/>
        <item x="291"/>
        <item x="276"/>
        <item x="11"/>
        <item m="1" x="445"/>
        <item x="77"/>
        <item m="1" x="446"/>
        <item m="1" x="479"/>
        <item m="1" x="447"/>
        <item x="109"/>
        <item x="98"/>
        <item x="336"/>
        <item x="146"/>
        <item x="38"/>
        <item x="361"/>
        <item x="222"/>
        <item x="57"/>
        <item x="7"/>
        <item x="3"/>
        <item x="144"/>
        <item x="150"/>
        <item x="151"/>
        <item x="4"/>
        <item x="24"/>
        <item x="82"/>
        <item x="252"/>
        <item x="9"/>
        <item x="68"/>
        <item x="21"/>
        <item m="1" x="455"/>
        <item m="1" x="483"/>
        <item x="190"/>
        <item x="191"/>
        <item x="193"/>
        <item x="365"/>
        <item x="123"/>
        <item x="15"/>
        <item x="274"/>
        <item x="175"/>
        <item x="40"/>
        <item x="303"/>
        <item x="169"/>
        <item x="121"/>
        <item x="112"/>
        <item x="36"/>
        <item m="1" x="472"/>
        <item m="1" x="449"/>
        <item m="1" x="480"/>
        <item x="137"/>
        <item x="181"/>
        <item x="19"/>
        <item x="55"/>
        <item x="288"/>
        <item x="280"/>
        <item x="290"/>
        <item x="277"/>
        <item x="31"/>
        <item x="278"/>
        <item x="22"/>
        <item x="270"/>
        <item x="296"/>
        <item x="86"/>
        <item x="32"/>
        <item x="292"/>
        <item x="16"/>
        <item x="71"/>
        <item x="26"/>
        <item x="275"/>
        <item x="84"/>
        <item x="83"/>
        <item x="298"/>
        <item x="281"/>
        <item x="295"/>
        <item x="152"/>
        <item x="122"/>
        <item x="23"/>
        <item m="1" x="434"/>
        <item x="165"/>
        <item x="166"/>
        <item x="217"/>
        <item x="39"/>
        <item x="1"/>
        <item x="18"/>
        <item x="111"/>
        <item x="282"/>
        <item x="138"/>
        <item x="105"/>
        <item x="37"/>
        <item x="108"/>
        <item m="1" x="459"/>
        <item x="8"/>
        <item x="14"/>
        <item x="377"/>
        <item m="1" x="441"/>
        <item x="232"/>
        <item m="1" x="465"/>
        <item m="1" x="467"/>
        <item m="1" x="464"/>
        <item m="1" x="466"/>
        <item x="2"/>
        <item x="301"/>
        <item x="89"/>
        <item x="66"/>
        <item x="369"/>
        <item x="35"/>
        <item x="149"/>
        <item x="96"/>
        <item x="283"/>
        <item m="1" x="457"/>
        <item m="1" x="484"/>
        <item x="320"/>
        <item m="1" x="440"/>
        <item x="58"/>
        <item x="174"/>
        <item x="5"/>
        <item x="143"/>
        <item x="297"/>
        <item x="132"/>
        <item x="133"/>
        <item x="106"/>
        <item x="135"/>
        <item x="341"/>
        <item x="319"/>
        <item x="338"/>
        <item x="340"/>
        <item x="179"/>
        <item x="223"/>
        <item x="48"/>
        <item x="273"/>
        <item x="70"/>
        <item x="47"/>
        <item x="29"/>
        <item x="207"/>
        <item m="1" x="482"/>
        <item x="30"/>
        <item x="155"/>
        <item m="1" x="485"/>
        <item x="212"/>
        <item x="368"/>
        <item x="316"/>
        <item x="315"/>
        <item x="314"/>
        <item x="317"/>
        <item x="127"/>
        <item x="235"/>
        <item x="366"/>
        <item x="117"/>
        <item x="118"/>
        <item x="284"/>
        <item m="1" x="451"/>
        <item m="1" x="481"/>
        <item m="1" x="436"/>
        <item x="113"/>
        <item x="335"/>
        <item x="337"/>
        <item x="279"/>
        <item x="28"/>
        <item x="285"/>
        <item x="389"/>
        <item x="383"/>
        <item x="391"/>
        <item x="385"/>
        <item x="405"/>
        <item x="293"/>
        <item x="299"/>
        <item m="1" x="473"/>
        <item x="115"/>
        <item x="116"/>
        <item x="139"/>
        <item x="142"/>
        <item x="145"/>
        <item x="158"/>
        <item x="160"/>
        <item x="161"/>
        <item m="1" x="468"/>
        <item x="245"/>
        <item x="246"/>
        <item x="247"/>
        <item x="253"/>
        <item x="256"/>
        <item x="258"/>
        <item x="259"/>
        <item x="260"/>
        <item x="261"/>
        <item x="262"/>
        <item x="318"/>
        <item x="334"/>
        <item x="372"/>
        <item x="373"/>
        <item m="1" x="470"/>
        <item m="1" x="471"/>
        <item x="376"/>
        <item x="384"/>
        <item x="386"/>
        <item x="387"/>
        <item x="388"/>
        <item x="390"/>
        <item x="392"/>
        <item x="393"/>
        <item x="394"/>
        <item x="395"/>
        <item x="406"/>
        <item x="409"/>
        <item x="415"/>
        <item x="416"/>
        <item x="417"/>
        <item x="418"/>
        <item x="419"/>
        <item x="420"/>
        <item x="421"/>
        <item x="374"/>
        <item x="375"/>
        <item x="304"/>
        <item m="1" x="432"/>
        <item m="1" x="476"/>
        <item x="399"/>
        <item x="422"/>
        <item x="41"/>
        <item x="87"/>
        <item x="128"/>
        <item x="129"/>
        <item x="130"/>
        <item x="147"/>
        <item x="170"/>
        <item x="218"/>
        <item x="242"/>
        <item x="243"/>
        <item m="1" x="437"/>
        <item x="131"/>
        <item x="209"/>
        <item x="211"/>
        <item x="224"/>
        <item x="229"/>
        <item x="263"/>
        <item x="310"/>
        <item x="371"/>
        <item m="1" x="474"/>
        <item m="1" x="477"/>
        <item m="1" x="475"/>
        <item m="1" x="478"/>
        <item m="1" x="442"/>
        <item m="1" x="444"/>
        <item m="1" x="448"/>
        <item m="1" x="450"/>
        <item m="1" x="452"/>
        <item m="1" x="453"/>
        <item m="1" x="456"/>
        <item m="1" x="458"/>
        <item x="248"/>
        <item x="257"/>
        <item m="1" x="462"/>
        <item x="230"/>
        <item x="236"/>
        <item x="321"/>
        <item x="322"/>
        <item x="323"/>
        <item x="324"/>
        <item x="342"/>
        <item x="343"/>
        <item x="344"/>
        <item x="345"/>
        <item x="346"/>
        <item x="347"/>
        <item x="184"/>
        <item x="185"/>
        <item x="186"/>
        <item x="187"/>
        <item x="188"/>
        <item x="189"/>
        <item m="1" x="439"/>
        <item x="154"/>
        <item m="1" x="460"/>
        <item x="398"/>
        <item x="400"/>
        <item x="402"/>
        <item x="410"/>
        <item x="411"/>
        <item x="325"/>
        <item x="326"/>
        <item x="327"/>
        <item x="328"/>
        <item m="1" x="461"/>
        <item x="349"/>
        <item x="350"/>
        <item x="351"/>
        <item x="352"/>
        <item x="348"/>
        <item x="43"/>
        <item x="44"/>
        <item x="45"/>
        <item x="124"/>
        <item x="141"/>
        <item x="148"/>
        <item x="156"/>
        <item x="159"/>
        <item x="167"/>
        <item x="178"/>
        <item m="1" x="426"/>
        <item x="192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3"/>
        <item x="214"/>
        <item x="215"/>
        <item x="216"/>
        <item x="221"/>
        <item x="231"/>
        <item x="237"/>
        <item x="238"/>
        <item x="250"/>
        <item x="251"/>
        <item x="255"/>
        <item x="306"/>
        <item x="308"/>
        <item x="309"/>
        <item x="329"/>
        <item x="353"/>
        <item x="289"/>
        <item x="330"/>
        <item x="331"/>
        <item x="332"/>
        <item x="354"/>
        <item x="355"/>
        <item x="382"/>
        <item x="396"/>
        <item x="397"/>
        <item x="59"/>
        <item x="60"/>
        <item x="61"/>
        <item x="62"/>
        <item x="63"/>
        <item m="1" x="428"/>
        <item m="1" x="429"/>
        <item x="78"/>
        <item x="79"/>
        <item x="90"/>
        <item x="91"/>
        <item x="153"/>
        <item x="173"/>
        <item x="67"/>
        <item x="356"/>
        <item x="403"/>
        <item x="408"/>
        <item x="412"/>
        <item x="413"/>
        <item x="46"/>
        <item m="1" x="433"/>
        <item x="378"/>
        <item x="379"/>
        <item x="380"/>
        <item x="381"/>
        <item x="407"/>
        <item x="311"/>
        <item x="333"/>
        <item m="1" x="423"/>
        <item x="357"/>
        <item x="358"/>
        <item m="1" x="424"/>
        <item x="305"/>
        <item m="1" x="427"/>
        <item x="49"/>
        <item x="64"/>
        <item x="65"/>
        <item x="72"/>
        <item x="73"/>
        <item x="74"/>
        <item x="75"/>
        <item x="176"/>
        <item x="177"/>
        <item x="234"/>
        <item x="244"/>
        <item x="264"/>
        <item x="265"/>
        <item x="266"/>
        <item x="50"/>
        <item x="76"/>
        <item x="92"/>
        <item x="182"/>
        <item x="183"/>
        <item x="228"/>
        <item x="239"/>
        <item x="240"/>
        <item x="241"/>
        <item x="269"/>
        <item x="312"/>
        <item x="359"/>
        <item x="51"/>
        <item x="52"/>
        <item x="53"/>
        <item x="54"/>
        <item x="93"/>
        <item x="94"/>
        <item x="95"/>
        <item x="164"/>
        <item x="180"/>
        <item x="254"/>
        <item x="267"/>
        <item x="268"/>
        <item x="313"/>
        <item x="360"/>
        <item x="401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5">
        <item sd="0" m="1" x="13"/>
        <item sd="0" x="0"/>
        <item sd="0" x="2"/>
        <item sd="0" x="3"/>
        <item sd="0" m="1" x="10"/>
        <item sd="0" m="1" x="12"/>
        <item sd="0" x="1"/>
        <item sd="0" x="4"/>
        <item x="8"/>
        <item sd="0" m="1" x="14"/>
        <item sd="0" m="1" x="11"/>
        <item sd="0" x="5"/>
        <item sd="0" x="6"/>
        <item sd="0" x="7"/>
        <item h="1"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1">
        <item sd="0" x="47"/>
        <item sd="0" x="6"/>
        <item sd="0" x="19"/>
        <item sd="0" x="18"/>
        <item sd="0" m="1" x="51"/>
        <item x="1"/>
        <item sd="0" x="25"/>
        <item sd="0" m="1" x="58"/>
        <item sd="0" m="1" x="60"/>
        <item sd="0" x="10"/>
        <item sd="0" m="1" x="53"/>
        <item sd="0" x="22"/>
        <item sd="0" x="35"/>
        <item sd="0" x="45"/>
        <item sd="0" m="1" x="56"/>
        <item sd="0" x="21"/>
        <item sd="0" m="1" x="52"/>
        <item sd="0" x="20"/>
        <item sd="0" m="1" x="55"/>
        <item h="1" sd="0" x="40"/>
        <item sd="0" x="38"/>
        <item sd="0" x="49"/>
        <item sd="0" x="28"/>
        <item sd="0" x="8"/>
        <item sd="0" x="15"/>
        <item sd="0" x="44"/>
        <item sd="0" x="26"/>
        <item sd="0" x="37"/>
        <item sd="0" x="46"/>
        <item sd="0" x="3"/>
        <item sd="0" x="5"/>
        <item sd="0" x="41"/>
        <item sd="0" x="36"/>
        <item sd="0" x="33"/>
        <item sd="0" x="31"/>
        <item sd="0" x="12"/>
        <item sd="0" x="14"/>
        <item sd="0" x="16"/>
        <item sd="0" x="48"/>
        <item sd="0" x="11"/>
        <item x="0"/>
        <item sd="0" x="4"/>
        <item sd="0" x="27"/>
        <item sd="0" x="43"/>
        <item sd="0" x="7"/>
        <item sd="0" x="9"/>
        <item sd="0" x="42"/>
        <item sd="0" x="13"/>
        <item sd="0" x="17"/>
        <item sd="0" x="23"/>
        <item sd="0" x="32"/>
        <item sd="0" m="1" x="59"/>
        <item sd="0" m="1" x="54"/>
        <item sd="0" x="30"/>
        <item sd="0" x="29"/>
        <item h="1" sd="0" x="2"/>
        <item sd="0" m="1" x="57"/>
        <item m="1" x="50"/>
        <item x="39"/>
        <item x="24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9">
    <i>
      <x v="1"/>
    </i>
    <i>
      <x v="2"/>
    </i>
    <i>
      <x v="3"/>
    </i>
    <i>
      <x v="6"/>
    </i>
    <i>
      <x v="7"/>
    </i>
    <i>
      <x v="11"/>
    </i>
    <i>
      <x v="12"/>
    </i>
    <i>
      <x v="13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4">
    <pageField fld="3" hier="-1"/>
    <pageField fld="5" hier="-1"/>
    <pageField fld="2" hier="-1"/>
    <pageField fld="9" hier="-1"/>
  </pageFields>
  <dataFields count="1">
    <dataField name="Suma de Valor USD" fld="8" baseField="0" baseItem="0" numFmtId="41"/>
  </dataFields>
  <formats count="29">
    <format dxfId="630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629">
      <pivotArea outline="0" collapsedLevelsAreSubtotals="1" fieldPosition="0"/>
    </format>
    <format dxfId="628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627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626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625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624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623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622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621">
      <pivotArea dataOnly="0" labelOnly="1" outline="0" fieldPosition="0">
        <references count="4">
          <reference field="2" count="1">
            <x v="38"/>
          </reference>
          <reference field="4" count="1" selected="0">
            <x v="10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620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19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618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617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616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15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14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13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12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611">
      <pivotArea outline="0" collapsedLevelsAreSubtotals="1" fieldPosition="0"/>
    </format>
    <format dxfId="610">
      <pivotArea outline="0" fieldPosition="0">
        <references count="1">
          <reference field="9" count="1" selected="0" defaultSubtotal="1">
            <x v="0"/>
          </reference>
        </references>
      </pivotArea>
    </format>
    <format dxfId="609">
      <pivotArea outline="0" fieldPosition="0">
        <references count="1">
          <reference field="9" count="1" selected="0" defaultSubtotal="1">
            <x v="1"/>
          </reference>
        </references>
      </pivotArea>
    </format>
    <format dxfId="608">
      <pivotArea outline="0" fieldPosition="0">
        <references count="1">
          <reference field="9" count="1" selected="0" defaultSubtotal="1">
            <x v="2"/>
          </reference>
        </references>
      </pivotArea>
    </format>
    <format dxfId="607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606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605">
      <pivotArea outline="0" fieldPosition="0">
        <references count="1">
          <reference field="11" count="1" selected="0">
            <x v="9"/>
          </reference>
        </references>
      </pivotArea>
    </format>
    <format dxfId="604">
      <pivotArea outline="0" fieldPosition="0">
        <references count="1">
          <reference field="11" count="1" selected="0">
            <x v="8"/>
          </reference>
        </references>
      </pivotArea>
    </format>
    <format dxfId="603">
      <pivotArea outline="0" fieldPosition="0">
        <references count="1">
          <reference field="11" count="1" selected="0">
            <x v="10"/>
          </reference>
        </references>
      </pivotArea>
    </format>
    <format dxfId="602">
      <pivotArea outline="0" fieldPosition="0">
        <references count="2">
          <reference field="4" count="1" selected="0">
            <x v="1"/>
          </reference>
          <reference field="11" count="1" selected="0">
            <x v="1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86B8F-8486-46DD-98B7-910FFA45545B}" name="TablaDinámica9" cacheId="9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26:M31" firstHeaderRow="1" firstDataRow="2" firstDataCol="1" rowPageCount="4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86">
        <item x="103"/>
        <item x="104"/>
        <item x="107"/>
        <item x="162"/>
        <item m="1" x="431"/>
        <item m="1" x="430"/>
        <item sd="0" x="34"/>
        <item x="69"/>
        <item x="6"/>
        <item x="0"/>
        <item x="307"/>
        <item x="339"/>
        <item x="367"/>
        <item x="120"/>
        <item x="97"/>
        <item x="233"/>
        <item m="1" x="454"/>
        <item x="286"/>
        <item x="102"/>
        <item x="12"/>
        <item x="294"/>
        <item x="85"/>
        <item m="1" x="435"/>
        <item x="362"/>
        <item x="134"/>
        <item x="287"/>
        <item m="1" x="425"/>
        <item x="163"/>
        <item x="126"/>
        <item m="1" x="463"/>
        <item m="1" x="438"/>
        <item x="125"/>
        <item x="364"/>
        <item x="302"/>
        <item x="271"/>
        <item x="272"/>
        <item x="136"/>
        <item x="220"/>
        <item x="33"/>
        <item x="100"/>
        <item x="140"/>
        <item x="88"/>
        <item x="300"/>
        <item x="99"/>
        <item x="119"/>
        <item x="414"/>
        <item x="370"/>
        <item m="1" x="443"/>
        <item x="196"/>
        <item x="172"/>
        <item x="168"/>
        <item m="1" x="469"/>
        <item x="10"/>
        <item x="25"/>
        <item x="42"/>
        <item x="56"/>
        <item x="363"/>
        <item x="81"/>
        <item x="101"/>
        <item x="13"/>
        <item x="80"/>
        <item x="171"/>
        <item x="20"/>
        <item x="27"/>
        <item x="249"/>
        <item x="114"/>
        <item x="219"/>
        <item x="110"/>
        <item x="225"/>
        <item x="227"/>
        <item x="226"/>
        <item x="17"/>
        <item x="157"/>
        <item x="291"/>
        <item x="276"/>
        <item x="11"/>
        <item m="1" x="445"/>
        <item x="77"/>
        <item m="1" x="446"/>
        <item m="1" x="479"/>
        <item m="1" x="447"/>
        <item x="109"/>
        <item x="98"/>
        <item x="336"/>
        <item x="146"/>
        <item x="38"/>
        <item x="361"/>
        <item x="222"/>
        <item x="57"/>
        <item x="7"/>
        <item x="3"/>
        <item x="144"/>
        <item x="150"/>
        <item x="151"/>
        <item x="4"/>
        <item x="24"/>
        <item x="82"/>
        <item x="252"/>
        <item x="9"/>
        <item x="68"/>
        <item x="21"/>
        <item m="1" x="455"/>
        <item m="1" x="483"/>
        <item x="190"/>
        <item x="191"/>
        <item x="193"/>
        <item x="365"/>
        <item x="123"/>
        <item x="15"/>
        <item x="274"/>
        <item x="175"/>
        <item x="40"/>
        <item x="303"/>
        <item x="169"/>
        <item x="121"/>
        <item x="112"/>
        <item x="36"/>
        <item m="1" x="472"/>
        <item m="1" x="449"/>
        <item m="1" x="480"/>
        <item x="137"/>
        <item x="181"/>
        <item x="19"/>
        <item x="55"/>
        <item x="288"/>
        <item x="280"/>
        <item x="290"/>
        <item x="277"/>
        <item x="31"/>
        <item x="278"/>
        <item x="22"/>
        <item x="270"/>
        <item x="296"/>
        <item x="86"/>
        <item x="32"/>
        <item x="292"/>
        <item x="16"/>
        <item x="71"/>
        <item x="26"/>
        <item x="275"/>
        <item x="84"/>
        <item x="83"/>
        <item x="298"/>
        <item x="281"/>
        <item x="295"/>
        <item x="152"/>
        <item x="122"/>
        <item x="23"/>
        <item m="1" x="434"/>
        <item x="165"/>
        <item x="166"/>
        <item x="217"/>
        <item x="39"/>
        <item x="1"/>
        <item x="18"/>
        <item x="111"/>
        <item x="282"/>
        <item x="138"/>
        <item x="105"/>
        <item x="37"/>
        <item x="108"/>
        <item m="1" x="459"/>
        <item x="8"/>
        <item x="14"/>
        <item x="377"/>
        <item m="1" x="441"/>
        <item x="232"/>
        <item m="1" x="465"/>
        <item m="1" x="467"/>
        <item m="1" x="464"/>
        <item m="1" x="466"/>
        <item x="2"/>
        <item x="301"/>
        <item x="89"/>
        <item x="66"/>
        <item x="369"/>
        <item x="35"/>
        <item x="149"/>
        <item x="96"/>
        <item x="283"/>
        <item m="1" x="457"/>
        <item m="1" x="484"/>
        <item x="320"/>
        <item m="1" x="440"/>
        <item x="58"/>
        <item x="174"/>
        <item x="5"/>
        <item x="143"/>
        <item x="297"/>
        <item x="132"/>
        <item x="133"/>
        <item x="106"/>
        <item x="135"/>
        <item x="341"/>
        <item x="319"/>
        <item x="338"/>
        <item x="340"/>
        <item x="179"/>
        <item x="223"/>
        <item x="48"/>
        <item x="273"/>
        <item x="70"/>
        <item x="47"/>
        <item x="29"/>
        <item x="207"/>
        <item m="1" x="482"/>
        <item x="30"/>
        <item x="155"/>
        <item m="1" x="485"/>
        <item x="212"/>
        <item x="368"/>
        <item x="316"/>
        <item x="315"/>
        <item x="314"/>
        <item x="317"/>
        <item x="127"/>
        <item x="235"/>
        <item x="366"/>
        <item x="117"/>
        <item x="118"/>
        <item x="284"/>
        <item m="1" x="451"/>
        <item m="1" x="481"/>
        <item m="1" x="436"/>
        <item x="113"/>
        <item x="335"/>
        <item x="337"/>
        <item x="279"/>
        <item x="28"/>
        <item x="285"/>
        <item x="389"/>
        <item x="383"/>
        <item x="391"/>
        <item x="385"/>
        <item x="405"/>
        <item x="293"/>
        <item x="299"/>
        <item m="1" x="473"/>
        <item x="115"/>
        <item x="116"/>
        <item x="139"/>
        <item x="142"/>
        <item x="145"/>
        <item x="158"/>
        <item x="160"/>
        <item x="161"/>
        <item m="1" x="468"/>
        <item x="245"/>
        <item x="246"/>
        <item x="247"/>
        <item x="253"/>
        <item x="256"/>
        <item x="258"/>
        <item x="259"/>
        <item x="260"/>
        <item x="261"/>
        <item x="262"/>
        <item x="318"/>
        <item x="334"/>
        <item x="372"/>
        <item x="373"/>
        <item m="1" x="470"/>
        <item m="1" x="471"/>
        <item x="376"/>
        <item x="384"/>
        <item x="386"/>
        <item x="387"/>
        <item x="388"/>
        <item x="390"/>
        <item x="392"/>
        <item x="393"/>
        <item x="394"/>
        <item x="395"/>
        <item x="406"/>
        <item x="409"/>
        <item x="415"/>
        <item x="416"/>
        <item x="417"/>
        <item x="418"/>
        <item x="419"/>
        <item x="420"/>
        <item x="421"/>
        <item x="374"/>
        <item x="375"/>
        <item x="304"/>
        <item m="1" x="432"/>
        <item m="1" x="476"/>
        <item x="399"/>
        <item x="422"/>
        <item x="41"/>
        <item x="87"/>
        <item x="128"/>
        <item x="129"/>
        <item x="130"/>
        <item x="147"/>
        <item x="170"/>
        <item x="218"/>
        <item x="242"/>
        <item x="243"/>
        <item m="1" x="437"/>
        <item x="131"/>
        <item x="209"/>
        <item x="211"/>
        <item x="224"/>
        <item x="229"/>
        <item x="263"/>
        <item x="310"/>
        <item x="371"/>
        <item m="1" x="474"/>
        <item m="1" x="477"/>
        <item m="1" x="475"/>
        <item m="1" x="478"/>
        <item m="1" x="442"/>
        <item m="1" x="444"/>
        <item m="1" x="448"/>
        <item m="1" x="450"/>
        <item m="1" x="452"/>
        <item m="1" x="453"/>
        <item m="1" x="456"/>
        <item m="1" x="458"/>
        <item x="248"/>
        <item x="257"/>
        <item m="1" x="462"/>
        <item x="230"/>
        <item x="236"/>
        <item x="321"/>
        <item x="322"/>
        <item x="323"/>
        <item x="324"/>
        <item x="342"/>
        <item x="343"/>
        <item x="344"/>
        <item x="345"/>
        <item x="346"/>
        <item x="347"/>
        <item x="184"/>
        <item x="185"/>
        <item x="186"/>
        <item x="187"/>
        <item x="188"/>
        <item x="189"/>
        <item m="1" x="439"/>
        <item x="154"/>
        <item m="1" x="460"/>
        <item x="398"/>
        <item x="400"/>
        <item x="402"/>
        <item x="410"/>
        <item x="411"/>
        <item x="325"/>
        <item x="326"/>
        <item x="327"/>
        <item x="328"/>
        <item m="1" x="461"/>
        <item x="349"/>
        <item x="350"/>
        <item x="351"/>
        <item x="352"/>
        <item x="348"/>
        <item x="43"/>
        <item x="44"/>
        <item x="45"/>
        <item x="124"/>
        <item x="141"/>
        <item x="148"/>
        <item x="156"/>
        <item x="159"/>
        <item x="167"/>
        <item x="178"/>
        <item m="1" x="426"/>
        <item x="192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3"/>
        <item x="214"/>
        <item x="215"/>
        <item x="216"/>
        <item x="221"/>
        <item x="231"/>
        <item x="237"/>
        <item x="238"/>
        <item x="250"/>
        <item x="251"/>
        <item x="255"/>
        <item x="306"/>
        <item x="308"/>
        <item x="309"/>
        <item x="329"/>
        <item x="353"/>
        <item x="289"/>
        <item x="330"/>
        <item x="331"/>
        <item x="332"/>
        <item x="354"/>
        <item x="355"/>
        <item x="382"/>
        <item x="396"/>
        <item x="397"/>
        <item x="59"/>
        <item x="60"/>
        <item x="61"/>
        <item x="62"/>
        <item x="63"/>
        <item m="1" x="428"/>
        <item m="1" x="429"/>
        <item x="78"/>
        <item x="79"/>
        <item x="90"/>
        <item x="91"/>
        <item x="153"/>
        <item x="173"/>
        <item x="67"/>
        <item x="356"/>
        <item x="403"/>
        <item x="408"/>
        <item x="412"/>
        <item x="413"/>
        <item x="46"/>
        <item m="1" x="433"/>
        <item x="378"/>
        <item x="379"/>
        <item x="380"/>
        <item x="381"/>
        <item x="407"/>
        <item x="311"/>
        <item x="333"/>
        <item m="1" x="423"/>
        <item x="357"/>
        <item x="358"/>
        <item m="1" x="424"/>
        <item x="305"/>
        <item m="1" x="427"/>
        <item x="49"/>
        <item x="64"/>
        <item x="65"/>
        <item x="72"/>
        <item x="73"/>
        <item x="74"/>
        <item x="75"/>
        <item x="176"/>
        <item x="177"/>
        <item x="234"/>
        <item x="244"/>
        <item x="264"/>
        <item x="265"/>
        <item x="266"/>
        <item x="50"/>
        <item x="76"/>
        <item x="92"/>
        <item x="182"/>
        <item x="183"/>
        <item x="228"/>
        <item x="239"/>
        <item x="240"/>
        <item x="241"/>
        <item x="269"/>
        <item x="312"/>
        <item x="359"/>
        <item x="51"/>
        <item x="52"/>
        <item x="53"/>
        <item x="54"/>
        <item x="93"/>
        <item x="94"/>
        <item x="95"/>
        <item x="164"/>
        <item x="180"/>
        <item x="254"/>
        <item x="267"/>
        <item x="268"/>
        <item x="313"/>
        <item x="360"/>
        <item x="401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5">
        <item sd="0" m="1" x="13"/>
        <item sd="0" x="0"/>
        <item sd="0" x="2"/>
        <item sd="0" x="3"/>
        <item sd="0" m="1" x="10"/>
        <item sd="0" m="1" x="12"/>
        <item sd="0" x="1"/>
        <item sd="0" x="4"/>
        <item x="8"/>
        <item sd="0" m="1" x="14"/>
        <item sd="0" m="1" x="11"/>
        <item sd="0" x="5"/>
        <item sd="0" x="6"/>
        <item sd="0" x="7"/>
        <item h="1"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1">
        <item sd="0" x="47"/>
        <item sd="0" x="6"/>
        <item sd="0" x="19"/>
        <item sd="0" x="18"/>
        <item sd="0" m="1" x="51"/>
        <item x="1"/>
        <item sd="0" x="25"/>
        <item sd="0" m="1" x="58"/>
        <item sd="0" m="1" x="60"/>
        <item sd="0" x="10"/>
        <item sd="0" m="1" x="53"/>
        <item sd="0" x="22"/>
        <item sd="0" x="35"/>
        <item sd="0" x="45"/>
        <item sd="0" m="1" x="56"/>
        <item sd="0" x="21"/>
        <item sd="0" m="1" x="52"/>
        <item sd="0" x="20"/>
        <item sd="0" m="1" x="55"/>
        <item h="1" sd="0" x="40"/>
        <item sd="0" x="38"/>
        <item sd="0" x="49"/>
        <item sd="0" x="28"/>
        <item sd="0" x="8"/>
        <item sd="0" x="15"/>
        <item sd="0" x="44"/>
        <item sd="0" x="26"/>
        <item sd="0" x="37"/>
        <item sd="0" x="46"/>
        <item sd="0" x="3"/>
        <item sd="0" x="5"/>
        <item sd="0" x="41"/>
        <item sd="0" x="36"/>
        <item sd="0" x="33"/>
        <item sd="0" x="31"/>
        <item sd="0" x="12"/>
        <item sd="0" x="14"/>
        <item sd="0" x="16"/>
        <item sd="0" x="48"/>
        <item sd="0" x="11"/>
        <item x="0"/>
        <item sd="0" x="4"/>
        <item sd="0" x="27"/>
        <item sd="0" x="43"/>
        <item sd="0" x="7"/>
        <item sd="0" x="9"/>
        <item sd="0" x="42"/>
        <item sd="0" x="13"/>
        <item sd="0" x="17"/>
        <item sd="0" x="23"/>
        <item sd="0" x="32"/>
        <item sd="0" m="1" x="59"/>
        <item sd="0" m="1" x="54"/>
        <item sd="0" x="30"/>
        <item sd="0" x="29"/>
        <item h="1" sd="0" x="2"/>
        <item sd="0" m="1" x="57"/>
        <item m="1" x="50"/>
        <item x="39"/>
        <item x="24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4">
    <pageField fld="3" hier="-1"/>
    <pageField fld="4" hier="-1"/>
    <pageField fld="5" hier="-1"/>
    <pageField fld="2" hier="-1"/>
  </pageFields>
  <dataFields count="1">
    <dataField name="Suma de Valor USD" fld="8" baseField="0" baseItem="0" numFmtId="41"/>
  </dataFields>
  <formats count="30">
    <format dxfId="660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659">
      <pivotArea outline="0" collapsedLevelsAreSubtotals="1" fieldPosition="0"/>
    </format>
    <format dxfId="658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657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656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655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654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653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652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651">
      <pivotArea dataOnly="0" labelOnly="1" outline="0" fieldPosition="0">
        <references count="4">
          <reference field="2" count="1">
            <x v="38"/>
          </reference>
          <reference field="4" count="1" selected="0">
            <x v="10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650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49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648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647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646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45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44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43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642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641">
      <pivotArea outline="0" collapsedLevelsAreSubtotals="1" fieldPosition="0"/>
    </format>
    <format dxfId="640">
      <pivotArea outline="0" fieldPosition="0">
        <references count="1">
          <reference field="9" count="1" selected="0" defaultSubtotal="1">
            <x v="0"/>
          </reference>
        </references>
      </pivotArea>
    </format>
    <format dxfId="639">
      <pivotArea outline="0" fieldPosition="0">
        <references count="1">
          <reference field="9" count="1" selected="0" defaultSubtotal="1">
            <x v="1"/>
          </reference>
        </references>
      </pivotArea>
    </format>
    <format dxfId="638">
      <pivotArea outline="0" fieldPosition="0">
        <references count="1">
          <reference field="9" count="1" selected="0" defaultSubtotal="1">
            <x v="2"/>
          </reference>
        </references>
      </pivotArea>
    </format>
    <format dxfId="637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636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635">
      <pivotArea outline="0" fieldPosition="0">
        <references count="1">
          <reference field="11" count="1" selected="0">
            <x v="9"/>
          </reference>
        </references>
      </pivotArea>
    </format>
    <format dxfId="634">
      <pivotArea outline="0" fieldPosition="0">
        <references count="1">
          <reference field="11" count="1" selected="0">
            <x v="8"/>
          </reference>
        </references>
      </pivotArea>
    </format>
    <format dxfId="633">
      <pivotArea outline="0" fieldPosition="0">
        <references count="1">
          <reference field="11" count="1" selected="0">
            <x v="10"/>
          </reference>
        </references>
      </pivotArea>
    </format>
    <format dxfId="632">
      <pivotArea outline="0" fieldPosition="0">
        <references count="2">
          <reference field="4" count="1" selected="0">
            <x v="1"/>
          </reference>
          <reference field="11" count="1" selected="0">
            <x v="11"/>
          </reference>
        </references>
      </pivotArea>
    </format>
    <format dxfId="631">
      <pivotArea outline="0" fieldPosition="0">
        <references count="2">
          <reference field="9" count="1" selected="0">
            <x v="0"/>
          </reference>
          <reference field="11" count="1" selected="0">
            <x v="1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E314A-8B64-40E3-BA2D-2C4042873C31}" name="TablaDinámica1" cacheId="9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26:M31" firstHeaderRow="1" firstDataRow="2" firstDataCol="1" rowPageCount="4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70">
        <item x="96"/>
        <item x="97"/>
        <item x="100"/>
        <item x="155"/>
        <item m="1" x="415"/>
        <item m="1" x="414"/>
        <item sd="0" x="34"/>
        <item x="65"/>
        <item x="6"/>
        <item x="0"/>
        <item x="297"/>
        <item x="329"/>
        <item x="357"/>
        <item x="113"/>
        <item x="90"/>
        <item x="226"/>
        <item m="1" x="438"/>
        <item x="276"/>
        <item x="95"/>
        <item x="12"/>
        <item x="284"/>
        <item x="81"/>
        <item m="1" x="419"/>
        <item x="352"/>
        <item x="127"/>
        <item x="277"/>
        <item x="157"/>
        <item x="156"/>
        <item x="119"/>
        <item m="1" x="447"/>
        <item m="1" x="422"/>
        <item x="118"/>
        <item x="354"/>
        <item x="292"/>
        <item x="261"/>
        <item x="262"/>
        <item x="129"/>
        <item x="213"/>
        <item x="33"/>
        <item x="93"/>
        <item x="133"/>
        <item x="84"/>
        <item x="290"/>
        <item x="92"/>
        <item x="112"/>
        <item x="402"/>
        <item x="360"/>
        <item m="1" x="427"/>
        <item x="189"/>
        <item x="165"/>
        <item x="161"/>
        <item m="1" x="453"/>
        <item x="10"/>
        <item x="25"/>
        <item x="42"/>
        <item x="52"/>
        <item x="353"/>
        <item x="77"/>
        <item x="94"/>
        <item x="13"/>
        <item x="76"/>
        <item x="164"/>
        <item x="20"/>
        <item x="27"/>
        <item x="242"/>
        <item x="107"/>
        <item x="212"/>
        <item x="103"/>
        <item x="218"/>
        <item x="220"/>
        <item x="219"/>
        <item x="17"/>
        <item x="150"/>
        <item x="281"/>
        <item x="266"/>
        <item x="11"/>
        <item m="1" x="429"/>
        <item x="73"/>
        <item m="1" x="430"/>
        <item m="1" x="463"/>
        <item m="1" x="431"/>
        <item x="102"/>
        <item x="91"/>
        <item x="326"/>
        <item x="139"/>
        <item x="38"/>
        <item x="351"/>
        <item x="215"/>
        <item x="53"/>
        <item x="7"/>
        <item x="3"/>
        <item x="137"/>
        <item x="143"/>
        <item x="144"/>
        <item x="4"/>
        <item x="24"/>
        <item x="78"/>
        <item x="245"/>
        <item x="9"/>
        <item x="64"/>
        <item x="21"/>
        <item m="1" x="439"/>
        <item m="1" x="467"/>
        <item x="183"/>
        <item x="184"/>
        <item x="186"/>
        <item x="355"/>
        <item x="116"/>
        <item x="15"/>
        <item x="264"/>
        <item x="168"/>
        <item x="40"/>
        <item x="293"/>
        <item x="162"/>
        <item x="114"/>
        <item x="105"/>
        <item x="36"/>
        <item m="1" x="456"/>
        <item m="1" x="433"/>
        <item m="1" x="464"/>
        <item x="130"/>
        <item x="174"/>
        <item x="19"/>
        <item x="51"/>
        <item x="278"/>
        <item x="270"/>
        <item x="280"/>
        <item x="267"/>
        <item x="31"/>
        <item x="268"/>
        <item x="22"/>
        <item x="260"/>
        <item x="286"/>
        <item x="82"/>
        <item x="32"/>
        <item x="282"/>
        <item x="16"/>
        <item x="67"/>
        <item x="26"/>
        <item x="265"/>
        <item x="80"/>
        <item x="79"/>
        <item x="288"/>
        <item x="271"/>
        <item x="285"/>
        <item x="145"/>
        <item x="115"/>
        <item x="23"/>
        <item m="1" x="418"/>
        <item x="158"/>
        <item x="159"/>
        <item x="210"/>
        <item x="39"/>
        <item x="1"/>
        <item x="18"/>
        <item x="104"/>
        <item x="272"/>
        <item x="131"/>
        <item x="98"/>
        <item x="37"/>
        <item x="101"/>
        <item m="1" x="443"/>
        <item x="8"/>
        <item x="14"/>
        <item x="367"/>
        <item m="1" x="425"/>
        <item x="225"/>
        <item m="1" x="449"/>
        <item m="1" x="451"/>
        <item m="1" x="448"/>
        <item m="1" x="450"/>
        <item x="2"/>
        <item x="291"/>
        <item x="85"/>
        <item x="62"/>
        <item x="359"/>
        <item x="35"/>
        <item x="142"/>
        <item x="89"/>
        <item x="273"/>
        <item m="1" x="441"/>
        <item m="1" x="468"/>
        <item x="309"/>
        <item m="1" x="424"/>
        <item x="54"/>
        <item x="167"/>
        <item x="5"/>
        <item x="136"/>
        <item x="287"/>
        <item x="125"/>
        <item x="126"/>
        <item x="99"/>
        <item x="128"/>
        <item x="331"/>
        <item x="308"/>
        <item x="328"/>
        <item x="330"/>
        <item x="172"/>
        <item x="216"/>
        <item x="48"/>
        <item x="263"/>
        <item x="66"/>
        <item x="47"/>
        <item x="29"/>
        <item x="200"/>
        <item m="1" x="466"/>
        <item x="30"/>
        <item x="148"/>
        <item m="1" x="469"/>
        <item x="205"/>
        <item x="358"/>
        <item x="305"/>
        <item x="304"/>
        <item x="303"/>
        <item x="306"/>
        <item x="120"/>
        <item x="228"/>
        <item x="356"/>
        <item x="110"/>
        <item x="111"/>
        <item x="274"/>
        <item m="1" x="435"/>
        <item m="1" x="465"/>
        <item m="1" x="420"/>
        <item x="106"/>
        <item x="325"/>
        <item x="327"/>
        <item x="269"/>
        <item x="28"/>
        <item x="275"/>
        <item x="379"/>
        <item x="373"/>
        <item x="381"/>
        <item x="375"/>
        <item x="393"/>
        <item x="283"/>
        <item x="289"/>
        <item m="1" x="457"/>
        <item x="108"/>
        <item x="109"/>
        <item x="132"/>
        <item x="135"/>
        <item x="138"/>
        <item x="151"/>
        <item x="153"/>
        <item x="154"/>
        <item m="1" x="452"/>
        <item x="238"/>
        <item x="239"/>
        <item x="240"/>
        <item x="246"/>
        <item x="248"/>
        <item x="250"/>
        <item x="251"/>
        <item x="252"/>
        <item x="253"/>
        <item x="254"/>
        <item x="307"/>
        <item x="324"/>
        <item x="362"/>
        <item x="363"/>
        <item m="1" x="454"/>
        <item m="1" x="455"/>
        <item x="366"/>
        <item x="374"/>
        <item x="376"/>
        <item x="377"/>
        <item x="378"/>
        <item x="380"/>
        <item x="382"/>
        <item x="383"/>
        <item x="384"/>
        <item x="385"/>
        <item x="394"/>
        <item x="397"/>
        <item x="403"/>
        <item x="404"/>
        <item x="405"/>
        <item x="406"/>
        <item x="407"/>
        <item x="408"/>
        <item x="409"/>
        <item x="364"/>
        <item x="365"/>
        <item x="294"/>
        <item m="1" x="416"/>
        <item m="1" x="460"/>
        <item x="389"/>
        <item x="410"/>
        <item x="41"/>
        <item x="83"/>
        <item x="121"/>
        <item x="122"/>
        <item x="123"/>
        <item x="140"/>
        <item x="163"/>
        <item x="211"/>
        <item x="235"/>
        <item x="236"/>
        <item m="1" x="421"/>
        <item x="124"/>
        <item x="202"/>
        <item x="204"/>
        <item x="217"/>
        <item x="222"/>
        <item x="255"/>
        <item x="300"/>
        <item x="361"/>
        <item m="1" x="458"/>
        <item m="1" x="461"/>
        <item m="1" x="459"/>
        <item m="1" x="462"/>
        <item m="1" x="426"/>
        <item m="1" x="428"/>
        <item m="1" x="432"/>
        <item m="1" x="434"/>
        <item m="1" x="436"/>
        <item m="1" x="437"/>
        <item m="1" x="440"/>
        <item m="1" x="442"/>
        <item x="241"/>
        <item x="249"/>
        <item m="1" x="446"/>
        <item x="223"/>
        <item x="229"/>
        <item x="310"/>
        <item x="311"/>
        <item x="312"/>
        <item x="313"/>
        <item x="332"/>
        <item x="333"/>
        <item x="334"/>
        <item x="335"/>
        <item x="336"/>
        <item x="337"/>
        <item x="177"/>
        <item x="178"/>
        <item x="179"/>
        <item x="180"/>
        <item x="181"/>
        <item x="182"/>
        <item m="1" x="423"/>
        <item x="147"/>
        <item m="1" x="444"/>
        <item x="388"/>
        <item x="390"/>
        <item x="391"/>
        <item x="398"/>
        <item x="399"/>
        <item x="314"/>
        <item x="315"/>
        <item x="316"/>
        <item x="317"/>
        <item m="1" x="445"/>
        <item x="339"/>
        <item x="340"/>
        <item x="341"/>
        <item x="342"/>
        <item x="338"/>
        <item x="43"/>
        <item x="44"/>
        <item x="45"/>
        <item x="117"/>
        <item x="134"/>
        <item x="141"/>
        <item x="149"/>
        <item x="152"/>
        <item x="160"/>
        <item x="171"/>
        <item x="173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3"/>
        <item x="206"/>
        <item x="207"/>
        <item x="208"/>
        <item x="209"/>
        <item x="214"/>
        <item x="224"/>
        <item x="230"/>
        <item x="231"/>
        <item x="243"/>
        <item x="244"/>
        <item x="247"/>
        <item x="296"/>
        <item x="298"/>
        <item x="299"/>
        <item x="318"/>
        <item x="343"/>
        <item x="279"/>
        <item x="319"/>
        <item x="320"/>
        <item x="321"/>
        <item x="344"/>
        <item x="345"/>
        <item x="372"/>
        <item x="386"/>
        <item x="387"/>
        <item x="55"/>
        <item x="56"/>
        <item x="57"/>
        <item x="58"/>
        <item x="59"/>
        <item m="1" x="412"/>
        <item m="1" x="413"/>
        <item x="74"/>
        <item x="75"/>
        <item x="86"/>
        <item x="87"/>
        <item x="146"/>
        <item x="166"/>
        <item x="63"/>
        <item x="346"/>
        <item x="392"/>
        <item x="396"/>
        <item x="400"/>
        <item x="401"/>
        <item x="46"/>
        <item m="1" x="417"/>
        <item x="368"/>
        <item x="369"/>
        <item x="370"/>
        <item x="371"/>
        <item x="395"/>
        <item x="301"/>
        <item x="322"/>
        <item x="323"/>
        <item x="347"/>
        <item x="348"/>
        <item x="350"/>
        <item x="295"/>
        <item m="1" x="411"/>
        <item x="49"/>
        <item x="60"/>
        <item x="61"/>
        <item x="68"/>
        <item x="69"/>
        <item x="70"/>
        <item x="71"/>
        <item x="169"/>
        <item x="170"/>
        <item x="227"/>
        <item x="237"/>
        <item x="256"/>
        <item x="257"/>
        <item x="258"/>
        <item x="50"/>
        <item x="72"/>
        <item x="88"/>
        <item x="175"/>
        <item x="176"/>
        <item x="221"/>
        <item x="232"/>
        <item x="233"/>
        <item x="234"/>
        <item x="259"/>
        <item x="302"/>
        <item x="3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5">
        <item sd="0" m="1" x="13"/>
        <item sd="0" x="0"/>
        <item sd="0" x="2"/>
        <item sd="0" x="3"/>
        <item sd="0" x="1"/>
        <item sd="0" x="4"/>
        <item sd="0" x="5"/>
        <item sd="0" m="1" x="10"/>
        <item sd="0" m="1" x="12"/>
        <item sd="0" x="8"/>
        <item sd="0" m="1" x="14"/>
        <item sd="0" m="1" x="11"/>
        <item sd="0" x="6"/>
        <item sd="0" x="7"/>
        <item h="1"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1">
        <item sd="0" x="47"/>
        <item sd="0" x="6"/>
        <item sd="0" x="19"/>
        <item sd="0" x="18"/>
        <item sd="0" m="1" x="51"/>
        <item x="1"/>
        <item sd="0" x="25"/>
        <item sd="0" m="1" x="58"/>
        <item sd="0" m="1" x="60"/>
        <item sd="0" x="10"/>
        <item sd="0" m="1" x="53"/>
        <item sd="0" x="22"/>
        <item sd="0" x="35"/>
        <item sd="0" x="45"/>
        <item sd="0" m="1" x="56"/>
        <item sd="0" x="21"/>
        <item sd="0" m="1" x="52"/>
        <item sd="0" x="20"/>
        <item sd="0" m="1" x="55"/>
        <item h="1" sd="0" x="40"/>
        <item sd="0" x="38"/>
        <item sd="0" x="49"/>
        <item sd="0" x="28"/>
        <item sd="0" x="8"/>
        <item sd="0" x="15"/>
        <item sd="0" x="44"/>
        <item sd="0" x="26"/>
        <item sd="0" x="37"/>
        <item sd="0" x="46"/>
        <item x="3"/>
        <item sd="0" x="5"/>
        <item sd="0" x="41"/>
        <item sd="0" x="36"/>
        <item sd="0" x="33"/>
        <item sd="0" x="31"/>
        <item sd="0" x="12"/>
        <item sd="0" x="14"/>
        <item x="16"/>
        <item sd="0" x="48"/>
        <item sd="0" x="11"/>
        <item x="0"/>
        <item sd="0" x="4"/>
        <item sd="0" x="27"/>
        <item sd="0" x="43"/>
        <item sd="0" x="7"/>
        <item sd="0" x="9"/>
        <item sd="0" x="42"/>
        <item sd="0" x="13"/>
        <item sd="0" x="17"/>
        <item sd="0" x="23"/>
        <item x="32"/>
        <item sd="0" m="1" x="59"/>
        <item sd="0" m="1" x="54"/>
        <item sd="0" x="30"/>
        <item x="29"/>
        <item h="1" sd="0" x="2"/>
        <item sd="0" m="1" x="57"/>
        <item m="1" x="50"/>
        <item x="39"/>
        <item x="24"/>
        <item h="1"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4">
    <pageField fld="3" hier="-1"/>
    <pageField fld="4" hier="-1"/>
    <pageField fld="5" hier="-1"/>
    <pageField fld="2" hier="-1"/>
  </pageFields>
  <dataFields count="1">
    <dataField name="Suma de Valor USD" fld="8" baseField="0" baseItem="0" numFmtId="41"/>
  </dataFields>
  <formats count="30">
    <format dxfId="572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571">
      <pivotArea outline="0" collapsedLevelsAreSubtotals="1" fieldPosition="0"/>
    </format>
    <format dxfId="570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569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568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67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66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565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564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63">
      <pivotArea dataOnly="0" labelOnly="1" outline="0" fieldPosition="0">
        <references count="4">
          <reference field="2" count="1">
            <x v="38"/>
          </reference>
          <reference field="4" count="1" selected="0">
            <x v="11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62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61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60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59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58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57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56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55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54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53">
      <pivotArea outline="0" collapsedLevelsAreSubtotals="1" fieldPosition="0"/>
    </format>
    <format dxfId="552">
      <pivotArea outline="0" fieldPosition="0">
        <references count="1">
          <reference field="9" count="1" selected="0" defaultSubtotal="1">
            <x v="0"/>
          </reference>
        </references>
      </pivotArea>
    </format>
    <format dxfId="551">
      <pivotArea outline="0" fieldPosition="0">
        <references count="1">
          <reference field="9" count="1" selected="0" defaultSubtotal="1">
            <x v="1"/>
          </reference>
        </references>
      </pivotArea>
    </format>
    <format dxfId="550">
      <pivotArea outline="0" fieldPosition="0">
        <references count="1">
          <reference field="9" count="1" selected="0" defaultSubtotal="1">
            <x v="2"/>
          </reference>
        </references>
      </pivotArea>
    </format>
    <format dxfId="549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548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547">
      <pivotArea outline="0" fieldPosition="0">
        <references count="1">
          <reference field="11" count="1" selected="0">
            <x v="9"/>
          </reference>
        </references>
      </pivotArea>
    </format>
    <format dxfId="546">
      <pivotArea outline="0" fieldPosition="0">
        <references count="1">
          <reference field="11" count="1" selected="0">
            <x v="8"/>
          </reference>
        </references>
      </pivotArea>
    </format>
    <format dxfId="545">
      <pivotArea outline="0" fieldPosition="0">
        <references count="1">
          <reference field="11" count="1" selected="0">
            <x v="10"/>
          </reference>
        </references>
      </pivotArea>
    </format>
    <format dxfId="544">
      <pivotArea outline="0" fieldPosition="0">
        <references count="2">
          <reference field="4" count="1" selected="0">
            <x v="1"/>
          </reference>
          <reference field="11" count="1" selected="0">
            <x v="11"/>
          </reference>
        </references>
      </pivotArea>
    </format>
    <format dxfId="543">
      <pivotArea outline="0" fieldPosition="0">
        <references count="2">
          <reference field="9" count="1" selected="0">
            <x v="0"/>
          </reference>
          <reference field="11" count="1" selected="0">
            <x v="1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6AB2F-81BA-4E14-BA80-1B6A3C035D7E}" name="TablaDinámica4" cacheId="9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6:M16" firstHeaderRow="1" firstDataRow="2" firstDataCol="1" rowPageCount="4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70">
        <item x="96"/>
        <item x="97"/>
        <item x="100"/>
        <item x="155"/>
        <item m="1" x="415"/>
        <item m="1" x="414"/>
        <item sd="0" x="34"/>
        <item x="65"/>
        <item x="6"/>
        <item x="0"/>
        <item x="297"/>
        <item x="329"/>
        <item x="357"/>
        <item x="113"/>
        <item x="90"/>
        <item x="226"/>
        <item m="1" x="438"/>
        <item x="276"/>
        <item x="95"/>
        <item x="12"/>
        <item x="284"/>
        <item x="81"/>
        <item m="1" x="419"/>
        <item x="352"/>
        <item x="127"/>
        <item x="277"/>
        <item x="157"/>
        <item x="156"/>
        <item x="119"/>
        <item m="1" x="447"/>
        <item m="1" x="422"/>
        <item x="118"/>
        <item x="354"/>
        <item x="292"/>
        <item x="261"/>
        <item x="262"/>
        <item x="129"/>
        <item x="213"/>
        <item x="33"/>
        <item x="93"/>
        <item x="133"/>
        <item x="84"/>
        <item x="290"/>
        <item x="92"/>
        <item x="112"/>
        <item x="402"/>
        <item x="360"/>
        <item m="1" x="427"/>
        <item x="189"/>
        <item x="165"/>
        <item x="161"/>
        <item m="1" x="453"/>
        <item x="10"/>
        <item x="25"/>
        <item x="42"/>
        <item x="52"/>
        <item x="353"/>
        <item x="77"/>
        <item x="94"/>
        <item x="13"/>
        <item x="76"/>
        <item x="164"/>
        <item x="20"/>
        <item x="27"/>
        <item x="242"/>
        <item x="107"/>
        <item x="212"/>
        <item x="103"/>
        <item x="218"/>
        <item x="220"/>
        <item x="219"/>
        <item x="17"/>
        <item x="150"/>
        <item x="281"/>
        <item x="266"/>
        <item x="11"/>
        <item m="1" x="429"/>
        <item x="73"/>
        <item m="1" x="430"/>
        <item m="1" x="463"/>
        <item m="1" x="431"/>
        <item x="102"/>
        <item x="91"/>
        <item x="326"/>
        <item x="139"/>
        <item x="38"/>
        <item x="351"/>
        <item x="215"/>
        <item x="53"/>
        <item x="7"/>
        <item x="3"/>
        <item x="137"/>
        <item x="143"/>
        <item x="144"/>
        <item x="4"/>
        <item x="24"/>
        <item x="78"/>
        <item x="245"/>
        <item x="9"/>
        <item x="64"/>
        <item x="21"/>
        <item m="1" x="439"/>
        <item m="1" x="467"/>
        <item x="183"/>
        <item x="184"/>
        <item x="186"/>
        <item x="355"/>
        <item x="116"/>
        <item x="15"/>
        <item x="264"/>
        <item x="168"/>
        <item x="40"/>
        <item x="293"/>
        <item x="162"/>
        <item x="114"/>
        <item x="105"/>
        <item x="36"/>
        <item m="1" x="456"/>
        <item m="1" x="433"/>
        <item m="1" x="464"/>
        <item x="130"/>
        <item x="174"/>
        <item x="19"/>
        <item x="51"/>
        <item x="278"/>
        <item x="270"/>
        <item x="280"/>
        <item x="267"/>
        <item x="31"/>
        <item x="268"/>
        <item x="22"/>
        <item x="260"/>
        <item x="286"/>
        <item x="82"/>
        <item x="32"/>
        <item x="282"/>
        <item x="16"/>
        <item x="67"/>
        <item x="26"/>
        <item x="265"/>
        <item x="80"/>
        <item x="79"/>
        <item x="288"/>
        <item x="271"/>
        <item x="285"/>
        <item x="145"/>
        <item x="115"/>
        <item x="23"/>
        <item m="1" x="418"/>
        <item x="158"/>
        <item x="159"/>
        <item x="210"/>
        <item x="39"/>
        <item x="1"/>
        <item x="18"/>
        <item x="104"/>
        <item x="272"/>
        <item x="131"/>
        <item x="98"/>
        <item x="37"/>
        <item x="101"/>
        <item m="1" x="443"/>
        <item x="8"/>
        <item x="14"/>
        <item x="367"/>
        <item m="1" x="425"/>
        <item x="225"/>
        <item m="1" x="449"/>
        <item m="1" x="451"/>
        <item m="1" x="448"/>
        <item m="1" x="450"/>
        <item x="2"/>
        <item x="291"/>
        <item x="85"/>
        <item x="62"/>
        <item x="359"/>
        <item x="35"/>
        <item x="142"/>
        <item x="89"/>
        <item x="273"/>
        <item m="1" x="441"/>
        <item m="1" x="468"/>
        <item x="309"/>
        <item m="1" x="424"/>
        <item x="54"/>
        <item x="167"/>
        <item x="5"/>
        <item x="136"/>
        <item x="287"/>
        <item x="125"/>
        <item x="126"/>
        <item x="99"/>
        <item x="128"/>
        <item x="331"/>
        <item x="308"/>
        <item x="328"/>
        <item x="330"/>
        <item x="172"/>
        <item x="216"/>
        <item x="48"/>
        <item x="263"/>
        <item x="66"/>
        <item x="47"/>
        <item x="29"/>
        <item x="200"/>
        <item m="1" x="466"/>
        <item x="30"/>
        <item x="148"/>
        <item m="1" x="469"/>
        <item x="205"/>
        <item x="358"/>
        <item x="305"/>
        <item x="304"/>
        <item x="303"/>
        <item x="306"/>
        <item x="120"/>
        <item x="228"/>
        <item x="356"/>
        <item x="110"/>
        <item x="111"/>
        <item x="274"/>
        <item m="1" x="435"/>
        <item m="1" x="465"/>
        <item m="1" x="420"/>
        <item x="106"/>
        <item x="325"/>
        <item x="327"/>
        <item x="269"/>
        <item x="28"/>
        <item x="275"/>
        <item x="379"/>
        <item x="373"/>
        <item x="381"/>
        <item x="375"/>
        <item x="393"/>
        <item x="283"/>
        <item x="289"/>
        <item m="1" x="457"/>
        <item x="108"/>
        <item x="109"/>
        <item x="132"/>
        <item x="135"/>
        <item x="138"/>
        <item x="151"/>
        <item x="153"/>
        <item x="154"/>
        <item m="1" x="452"/>
        <item x="238"/>
        <item x="239"/>
        <item x="240"/>
        <item x="246"/>
        <item x="248"/>
        <item x="250"/>
        <item x="251"/>
        <item x="252"/>
        <item x="253"/>
        <item x="254"/>
        <item x="307"/>
        <item x="324"/>
        <item x="362"/>
        <item x="363"/>
        <item m="1" x="454"/>
        <item m="1" x="455"/>
        <item x="366"/>
        <item x="374"/>
        <item x="376"/>
        <item x="377"/>
        <item x="378"/>
        <item x="380"/>
        <item x="382"/>
        <item x="383"/>
        <item x="384"/>
        <item x="385"/>
        <item x="394"/>
        <item x="397"/>
        <item x="403"/>
        <item x="404"/>
        <item x="405"/>
        <item x="406"/>
        <item x="407"/>
        <item x="408"/>
        <item x="409"/>
        <item x="364"/>
        <item x="365"/>
        <item x="294"/>
        <item m="1" x="416"/>
        <item m="1" x="460"/>
        <item x="389"/>
        <item x="410"/>
        <item x="41"/>
        <item x="83"/>
        <item x="121"/>
        <item x="122"/>
        <item x="123"/>
        <item x="140"/>
        <item x="163"/>
        <item x="211"/>
        <item x="235"/>
        <item x="236"/>
        <item m="1" x="421"/>
        <item x="124"/>
        <item x="202"/>
        <item x="204"/>
        <item x="217"/>
        <item x="222"/>
        <item x="255"/>
        <item x="300"/>
        <item x="361"/>
        <item m="1" x="458"/>
        <item m="1" x="461"/>
        <item m="1" x="459"/>
        <item m="1" x="462"/>
        <item m="1" x="426"/>
        <item m="1" x="428"/>
        <item m="1" x="432"/>
        <item m="1" x="434"/>
        <item m="1" x="436"/>
        <item m="1" x="437"/>
        <item m="1" x="440"/>
        <item m="1" x="442"/>
        <item x="241"/>
        <item x="249"/>
        <item m="1" x="446"/>
        <item x="223"/>
        <item x="229"/>
        <item x="310"/>
        <item x="311"/>
        <item x="312"/>
        <item x="313"/>
        <item x="332"/>
        <item x="333"/>
        <item x="334"/>
        <item x="335"/>
        <item x="336"/>
        <item x="337"/>
        <item x="177"/>
        <item x="178"/>
        <item x="179"/>
        <item x="180"/>
        <item x="181"/>
        <item x="182"/>
        <item m="1" x="423"/>
        <item x="147"/>
        <item m="1" x="444"/>
        <item x="388"/>
        <item x="390"/>
        <item x="391"/>
        <item x="398"/>
        <item x="399"/>
        <item x="314"/>
        <item x="315"/>
        <item x="316"/>
        <item x="317"/>
        <item m="1" x="445"/>
        <item x="339"/>
        <item x="340"/>
        <item x="341"/>
        <item x="342"/>
        <item x="338"/>
        <item x="43"/>
        <item x="44"/>
        <item x="45"/>
        <item x="117"/>
        <item x="134"/>
        <item x="141"/>
        <item x="149"/>
        <item x="152"/>
        <item x="160"/>
        <item x="171"/>
        <item x="173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3"/>
        <item x="206"/>
        <item x="207"/>
        <item x="208"/>
        <item x="209"/>
        <item x="214"/>
        <item x="224"/>
        <item x="230"/>
        <item x="231"/>
        <item x="243"/>
        <item x="244"/>
        <item x="247"/>
        <item x="296"/>
        <item x="298"/>
        <item x="299"/>
        <item x="318"/>
        <item x="343"/>
        <item x="279"/>
        <item x="319"/>
        <item x="320"/>
        <item x="321"/>
        <item x="344"/>
        <item x="345"/>
        <item x="372"/>
        <item x="386"/>
        <item x="387"/>
        <item x="55"/>
        <item x="56"/>
        <item x="57"/>
        <item x="58"/>
        <item x="59"/>
        <item m="1" x="412"/>
        <item m="1" x="413"/>
        <item x="74"/>
        <item x="75"/>
        <item x="86"/>
        <item x="87"/>
        <item x="146"/>
        <item x="166"/>
        <item x="63"/>
        <item x="346"/>
        <item x="392"/>
        <item x="396"/>
        <item x="400"/>
        <item x="401"/>
        <item x="46"/>
        <item m="1" x="417"/>
        <item x="368"/>
        <item x="369"/>
        <item x="370"/>
        <item x="371"/>
        <item x="395"/>
        <item x="301"/>
        <item x="322"/>
        <item x="323"/>
        <item x="347"/>
        <item x="348"/>
        <item x="350"/>
        <item x="295"/>
        <item m="1" x="411"/>
        <item x="49"/>
        <item x="60"/>
        <item x="61"/>
        <item x="68"/>
        <item x="69"/>
        <item x="70"/>
        <item x="71"/>
        <item x="169"/>
        <item x="170"/>
        <item x="227"/>
        <item x="237"/>
        <item x="256"/>
        <item x="257"/>
        <item x="258"/>
        <item x="50"/>
        <item x="72"/>
        <item x="88"/>
        <item x="175"/>
        <item x="176"/>
        <item x="221"/>
        <item x="232"/>
        <item x="233"/>
        <item x="234"/>
        <item x="259"/>
        <item x="302"/>
        <item x="3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5">
        <item sd="0" m="1" x="13"/>
        <item sd="0" x="0"/>
        <item sd="0" x="2"/>
        <item sd="0" x="3"/>
        <item sd="0" x="1"/>
        <item sd="0" x="4"/>
        <item sd="0" x="5"/>
        <item sd="0" m="1" x="10"/>
        <item sd="0" m="1" x="12"/>
        <item sd="0" x="8"/>
        <item sd="0" m="1" x="14"/>
        <item sd="0" m="1" x="11"/>
        <item sd="0" x="6"/>
        <item sd="0" x="7"/>
        <item h="1"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1">
        <item sd="0" x="47"/>
        <item sd="0" x="6"/>
        <item sd="0" x="19"/>
        <item sd="0" x="18"/>
        <item sd="0" m="1" x="51"/>
        <item x="1"/>
        <item sd="0" x="25"/>
        <item sd="0" m="1" x="58"/>
        <item sd="0" m="1" x="60"/>
        <item sd="0" x="10"/>
        <item sd="0" m="1" x="53"/>
        <item sd="0" x="22"/>
        <item sd="0" x="35"/>
        <item sd="0" x="45"/>
        <item sd="0" m="1" x="56"/>
        <item sd="0" x="21"/>
        <item sd="0" m="1" x="52"/>
        <item sd="0" x="20"/>
        <item sd="0" m="1" x="55"/>
        <item h="1" sd="0" x="40"/>
        <item sd="0" x="38"/>
        <item sd="0" x="49"/>
        <item sd="0" x="28"/>
        <item sd="0" x="8"/>
        <item sd="0" x="15"/>
        <item sd="0" x="44"/>
        <item sd="0" x="26"/>
        <item sd="0" x="37"/>
        <item sd="0" x="46"/>
        <item x="3"/>
        <item sd="0" x="5"/>
        <item sd="0" x="41"/>
        <item sd="0" x="36"/>
        <item sd="0" x="33"/>
        <item sd="0" x="31"/>
        <item sd="0" x="12"/>
        <item sd="0" x="14"/>
        <item x="16"/>
        <item sd="0" x="48"/>
        <item sd="0" x="11"/>
        <item x="0"/>
        <item sd="0" x="4"/>
        <item sd="0" x="27"/>
        <item sd="0" x="43"/>
        <item sd="0" x="7"/>
        <item sd="0" x="9"/>
        <item sd="0" x="42"/>
        <item sd="0" x="13"/>
        <item sd="0" x="17"/>
        <item sd="0" x="23"/>
        <item x="32"/>
        <item sd="0" m="1" x="59"/>
        <item sd="0" m="1" x="54"/>
        <item sd="0" x="30"/>
        <item x="29"/>
        <item h="1" sd="0" x="2"/>
        <item sd="0" m="1" x="57"/>
        <item m="1" x="50"/>
        <item x="39"/>
        <item x="24"/>
        <item h="1"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12"/>
    </i>
    <i>
      <x v="13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4">
    <pageField fld="3" hier="-1"/>
    <pageField fld="5" hier="-1"/>
    <pageField fld="2" hier="-1"/>
    <pageField fld="9" hier="-1"/>
  </pageFields>
  <dataFields count="1">
    <dataField name="Suma de Valor USD" fld="8" baseField="0" baseItem="0" numFmtId="41"/>
  </dataFields>
  <formats count="29">
    <format dxfId="601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600">
      <pivotArea outline="0" collapsedLevelsAreSubtotals="1" fieldPosition="0"/>
    </format>
    <format dxfId="599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598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597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96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95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594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593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92">
      <pivotArea dataOnly="0" labelOnly="1" outline="0" fieldPosition="0">
        <references count="4">
          <reference field="2" count="1">
            <x v="38"/>
          </reference>
          <reference field="4" count="1" selected="0">
            <x v="11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91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90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89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88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87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86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85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84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83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82">
      <pivotArea outline="0" collapsedLevelsAreSubtotals="1" fieldPosition="0"/>
    </format>
    <format dxfId="581">
      <pivotArea outline="0" fieldPosition="0">
        <references count="1">
          <reference field="9" count="1" selected="0" defaultSubtotal="1">
            <x v="0"/>
          </reference>
        </references>
      </pivotArea>
    </format>
    <format dxfId="580">
      <pivotArea outline="0" fieldPosition="0">
        <references count="1">
          <reference field="9" count="1" selected="0" defaultSubtotal="1">
            <x v="1"/>
          </reference>
        </references>
      </pivotArea>
    </format>
    <format dxfId="579">
      <pivotArea outline="0" fieldPosition="0">
        <references count="1">
          <reference field="9" count="1" selected="0" defaultSubtotal="1">
            <x v="2"/>
          </reference>
        </references>
      </pivotArea>
    </format>
    <format dxfId="578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577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576">
      <pivotArea outline="0" fieldPosition="0">
        <references count="1">
          <reference field="11" count="1" selected="0">
            <x v="9"/>
          </reference>
        </references>
      </pivotArea>
    </format>
    <format dxfId="575">
      <pivotArea outline="0" fieldPosition="0">
        <references count="1">
          <reference field="11" count="1" selected="0">
            <x v="8"/>
          </reference>
        </references>
      </pivotArea>
    </format>
    <format dxfId="574">
      <pivotArea outline="0" fieldPosition="0">
        <references count="1">
          <reference field="11" count="1" selected="0">
            <x v="10"/>
          </reference>
        </references>
      </pivotArea>
    </format>
    <format dxfId="573">
      <pivotArea outline="0" fieldPosition="0">
        <references count="2">
          <reference field="4" count="1" selected="0">
            <x v="1"/>
          </reference>
          <reference field="11" count="1" selected="0">
            <x v="1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F820B-1CDC-43FD-B157-C641F88D6B70}" name="TablaDinámica5" cacheId="8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26:M31" firstHeaderRow="1" firstDataRow="2" firstDataCol="1" rowPageCount="4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58">
        <item x="94"/>
        <item x="95"/>
        <item x="98"/>
        <item x="153"/>
        <item m="1" x="403"/>
        <item m="1" x="402"/>
        <item sd="0" x="34"/>
        <item x="65"/>
        <item x="6"/>
        <item x="0"/>
        <item x="288"/>
        <item x="319"/>
        <item x="346"/>
        <item x="111"/>
        <item x="88"/>
        <item x="221"/>
        <item m="1" x="426"/>
        <item x="267"/>
        <item x="93"/>
        <item x="12"/>
        <item x="275"/>
        <item x="80"/>
        <item m="1" x="407"/>
        <item x="341"/>
        <item x="125"/>
        <item x="268"/>
        <item x="155"/>
        <item x="154"/>
        <item x="117"/>
        <item m="1" x="435"/>
        <item m="1" x="410"/>
        <item x="116"/>
        <item x="343"/>
        <item x="283"/>
        <item x="252"/>
        <item x="253"/>
        <item x="127"/>
        <item x="209"/>
        <item x="33"/>
        <item x="91"/>
        <item x="131"/>
        <item x="83"/>
        <item x="281"/>
        <item x="90"/>
        <item x="110"/>
        <item x="391"/>
        <item x="349"/>
        <item m="1" x="415"/>
        <item x="185"/>
        <item x="163"/>
        <item x="159"/>
        <item m="1" x="441"/>
        <item x="10"/>
        <item x="25"/>
        <item x="42"/>
        <item x="51"/>
        <item x="342"/>
        <item x="76"/>
        <item x="92"/>
        <item x="13"/>
        <item x="75"/>
        <item x="162"/>
        <item x="20"/>
        <item x="27"/>
        <item x="234"/>
        <item x="105"/>
        <item x="208"/>
        <item x="101"/>
        <item x="214"/>
        <item x="216"/>
        <item x="215"/>
        <item x="17"/>
        <item x="148"/>
        <item x="272"/>
        <item x="257"/>
        <item x="11"/>
        <item m="1" x="417"/>
        <item x="72"/>
        <item m="1" x="418"/>
        <item m="1" x="451"/>
        <item m="1" x="419"/>
        <item x="100"/>
        <item x="89"/>
        <item x="316"/>
        <item x="137"/>
        <item x="38"/>
        <item x="340"/>
        <item x="211"/>
        <item x="52"/>
        <item x="7"/>
        <item x="3"/>
        <item x="135"/>
        <item x="141"/>
        <item x="142"/>
        <item x="4"/>
        <item x="24"/>
        <item x="77"/>
        <item x="237"/>
        <item x="9"/>
        <item x="64"/>
        <item x="21"/>
        <item m="1" x="427"/>
        <item m="1" x="455"/>
        <item x="179"/>
        <item x="180"/>
        <item x="182"/>
        <item x="344"/>
        <item x="114"/>
        <item x="15"/>
        <item x="255"/>
        <item x="166"/>
        <item x="40"/>
        <item x="284"/>
        <item x="160"/>
        <item x="112"/>
        <item x="103"/>
        <item x="36"/>
        <item m="1" x="444"/>
        <item m="1" x="421"/>
        <item m="1" x="452"/>
        <item x="128"/>
        <item x="172"/>
        <item x="19"/>
        <item x="50"/>
        <item x="269"/>
        <item x="261"/>
        <item x="271"/>
        <item x="258"/>
        <item x="31"/>
        <item x="259"/>
        <item x="22"/>
        <item x="251"/>
        <item x="277"/>
        <item x="81"/>
        <item x="32"/>
        <item x="273"/>
        <item x="16"/>
        <item x="67"/>
        <item x="26"/>
        <item x="256"/>
        <item x="79"/>
        <item x="78"/>
        <item x="279"/>
        <item x="262"/>
        <item x="276"/>
        <item x="143"/>
        <item x="113"/>
        <item x="23"/>
        <item m="1" x="406"/>
        <item x="156"/>
        <item x="157"/>
        <item x="206"/>
        <item x="39"/>
        <item x="1"/>
        <item x="18"/>
        <item x="102"/>
        <item x="263"/>
        <item x="129"/>
        <item x="96"/>
        <item x="37"/>
        <item x="99"/>
        <item m="1" x="431"/>
        <item x="8"/>
        <item x="14"/>
        <item x="356"/>
        <item m="1" x="413"/>
        <item x="220"/>
        <item m="1" x="437"/>
        <item m="1" x="439"/>
        <item m="1" x="436"/>
        <item m="1" x="438"/>
        <item x="2"/>
        <item x="282"/>
        <item x="84"/>
        <item x="61"/>
        <item x="348"/>
        <item x="35"/>
        <item x="140"/>
        <item x="87"/>
        <item x="264"/>
        <item m="1" x="429"/>
        <item m="1" x="456"/>
        <item x="299"/>
        <item m="1" x="412"/>
        <item x="53"/>
        <item x="165"/>
        <item x="5"/>
        <item x="134"/>
        <item x="278"/>
        <item x="123"/>
        <item x="124"/>
        <item x="97"/>
        <item x="126"/>
        <item x="321"/>
        <item x="298"/>
        <item x="318"/>
        <item x="320"/>
        <item x="170"/>
        <item x="212"/>
        <item x="62"/>
        <item x="254"/>
        <item x="66"/>
        <item x="47"/>
        <item x="29"/>
        <item x="196"/>
        <item m="1" x="454"/>
        <item x="30"/>
        <item x="146"/>
        <item m="1" x="457"/>
        <item x="201"/>
        <item x="347"/>
        <item x="295"/>
        <item x="294"/>
        <item x="293"/>
        <item x="296"/>
        <item x="118"/>
        <item x="223"/>
        <item x="345"/>
        <item x="108"/>
        <item x="109"/>
        <item x="265"/>
        <item m="1" x="423"/>
        <item m="1" x="453"/>
        <item m="1" x="408"/>
        <item x="104"/>
        <item x="315"/>
        <item x="317"/>
        <item x="260"/>
        <item x="28"/>
        <item x="266"/>
        <item x="368"/>
        <item x="362"/>
        <item x="370"/>
        <item x="364"/>
        <item x="382"/>
        <item x="274"/>
        <item x="280"/>
        <item m="1" x="445"/>
        <item x="106"/>
        <item x="107"/>
        <item x="130"/>
        <item x="133"/>
        <item x="136"/>
        <item x="149"/>
        <item x="151"/>
        <item x="152"/>
        <item m="1" x="440"/>
        <item x="230"/>
        <item x="231"/>
        <item x="232"/>
        <item x="238"/>
        <item x="240"/>
        <item x="242"/>
        <item x="243"/>
        <item x="244"/>
        <item x="245"/>
        <item x="246"/>
        <item x="297"/>
        <item x="314"/>
        <item x="351"/>
        <item x="352"/>
        <item m="1" x="442"/>
        <item m="1" x="443"/>
        <item x="355"/>
        <item x="363"/>
        <item x="365"/>
        <item x="366"/>
        <item x="367"/>
        <item x="369"/>
        <item x="371"/>
        <item x="372"/>
        <item x="373"/>
        <item x="374"/>
        <item x="383"/>
        <item x="386"/>
        <item x="392"/>
        <item x="393"/>
        <item x="394"/>
        <item x="395"/>
        <item x="396"/>
        <item x="397"/>
        <item x="398"/>
        <item x="353"/>
        <item x="354"/>
        <item x="285"/>
        <item m="1" x="404"/>
        <item m="1" x="448"/>
        <item x="378"/>
        <item x="399"/>
        <item x="41"/>
        <item x="82"/>
        <item x="119"/>
        <item x="120"/>
        <item x="121"/>
        <item x="138"/>
        <item x="161"/>
        <item x="207"/>
        <item x="227"/>
        <item x="228"/>
        <item m="1" x="409"/>
        <item x="122"/>
        <item x="198"/>
        <item x="200"/>
        <item x="213"/>
        <item x="217"/>
        <item x="247"/>
        <item x="291"/>
        <item x="350"/>
        <item m="1" x="446"/>
        <item m="1" x="449"/>
        <item m="1" x="447"/>
        <item m="1" x="450"/>
        <item m="1" x="414"/>
        <item m="1" x="416"/>
        <item m="1" x="420"/>
        <item m="1" x="422"/>
        <item m="1" x="424"/>
        <item m="1" x="425"/>
        <item m="1" x="428"/>
        <item m="1" x="430"/>
        <item x="233"/>
        <item x="241"/>
        <item m="1" x="434"/>
        <item x="218"/>
        <item x="224"/>
        <item x="300"/>
        <item x="301"/>
        <item x="302"/>
        <item x="303"/>
        <item x="322"/>
        <item x="323"/>
        <item x="324"/>
        <item x="325"/>
        <item x="326"/>
        <item x="327"/>
        <item x="173"/>
        <item x="174"/>
        <item x="175"/>
        <item x="176"/>
        <item x="177"/>
        <item x="178"/>
        <item m="1" x="411"/>
        <item x="145"/>
        <item m="1" x="432"/>
        <item x="377"/>
        <item x="379"/>
        <item x="380"/>
        <item x="387"/>
        <item x="388"/>
        <item x="304"/>
        <item x="305"/>
        <item x="306"/>
        <item x="307"/>
        <item m="1" x="433"/>
        <item x="329"/>
        <item x="330"/>
        <item x="331"/>
        <item x="332"/>
        <item x="328"/>
        <item x="43"/>
        <item x="44"/>
        <item x="45"/>
        <item x="115"/>
        <item x="132"/>
        <item x="139"/>
        <item x="147"/>
        <item x="150"/>
        <item x="158"/>
        <item x="169"/>
        <item x="171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9"/>
        <item x="202"/>
        <item x="203"/>
        <item x="204"/>
        <item x="205"/>
        <item x="210"/>
        <item x="219"/>
        <item x="225"/>
        <item x="226"/>
        <item x="235"/>
        <item x="236"/>
        <item x="239"/>
        <item x="287"/>
        <item x="289"/>
        <item x="290"/>
        <item x="308"/>
        <item x="333"/>
        <item x="270"/>
        <item x="309"/>
        <item x="310"/>
        <item x="311"/>
        <item x="334"/>
        <item x="335"/>
        <item x="361"/>
        <item x="375"/>
        <item x="376"/>
        <item x="54"/>
        <item x="55"/>
        <item x="56"/>
        <item x="57"/>
        <item x="58"/>
        <item m="1" x="400"/>
        <item m="1" x="401"/>
        <item x="73"/>
        <item x="74"/>
        <item x="85"/>
        <item x="86"/>
        <item x="144"/>
        <item x="164"/>
        <item x="63"/>
        <item x="336"/>
        <item x="381"/>
        <item x="385"/>
        <item x="389"/>
        <item x="390"/>
        <item x="46"/>
        <item m="1" x="405"/>
        <item x="357"/>
        <item x="358"/>
        <item x="359"/>
        <item x="360"/>
        <item x="384"/>
        <item x="292"/>
        <item x="312"/>
        <item x="313"/>
        <item x="337"/>
        <item x="338"/>
        <item x="339"/>
        <item x="286"/>
        <item x="48"/>
        <item x="49"/>
        <item x="59"/>
        <item x="60"/>
        <item x="68"/>
        <item x="69"/>
        <item x="70"/>
        <item x="71"/>
        <item x="167"/>
        <item x="168"/>
        <item x="222"/>
        <item x="229"/>
        <item x="248"/>
        <item x="249"/>
        <item x="2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5">
        <item sd="0" m="1" x="13"/>
        <item sd="0" x="0"/>
        <item sd="0" x="2"/>
        <item sd="0" x="3"/>
        <item sd="0" m="1" x="10"/>
        <item sd="0" m="1" x="12"/>
        <item sd="0" x="1"/>
        <item sd="0" x="4"/>
        <item sd="0" x="8"/>
        <item sd="0" m="1" x="14"/>
        <item sd="0" m="1" x="11"/>
        <item sd="0" x="5"/>
        <item sd="0" x="6"/>
        <item sd="0" x="7"/>
        <item h="1"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0">
        <item sd="0" x="46"/>
        <item sd="0" x="6"/>
        <item sd="0" x="19"/>
        <item sd="0" x="18"/>
        <item sd="0" m="1" x="50"/>
        <item x="1"/>
        <item sd="0" x="25"/>
        <item sd="0" m="1" x="57"/>
        <item sd="0" m="1" x="59"/>
        <item sd="0" x="10"/>
        <item sd="0" m="1" x="52"/>
        <item sd="0" x="22"/>
        <item sd="0" x="44"/>
        <item sd="0" x="43"/>
        <item sd="0" m="1" x="55"/>
        <item sd="0" x="21"/>
        <item sd="0" m="1" x="51"/>
        <item sd="0" x="20"/>
        <item sd="0" m="1" x="54"/>
        <item h="1" sd="0" x="38"/>
        <item sd="0" x="36"/>
        <item sd="0" x="48"/>
        <item sd="0" x="28"/>
        <item sd="0" x="8"/>
        <item sd="0" x="15"/>
        <item sd="0" x="42"/>
        <item sd="0" x="26"/>
        <item sd="0" x="35"/>
        <item sd="0" x="45"/>
        <item x="3"/>
        <item sd="0" x="5"/>
        <item sd="0" x="39"/>
        <item sd="0" x="34"/>
        <item sd="0" x="33"/>
        <item sd="0" x="31"/>
        <item sd="0" x="12"/>
        <item sd="0" x="14"/>
        <item x="16"/>
        <item sd="0" x="47"/>
        <item sd="0" x="11"/>
        <item x="0"/>
        <item sd="0" x="4"/>
        <item sd="0" x="27"/>
        <item sd="0" x="41"/>
        <item sd="0" x="7"/>
        <item sd="0" x="9"/>
        <item sd="0" x="40"/>
        <item sd="0" x="13"/>
        <item sd="0" x="17"/>
        <item sd="0" x="23"/>
        <item x="32"/>
        <item sd="0" m="1" x="58"/>
        <item sd="0" m="1" x="53"/>
        <item sd="0" x="30"/>
        <item x="29"/>
        <item h="1" sd="0" x="2"/>
        <item sd="0" m="1" x="56"/>
        <item m="1" x="49"/>
        <item x="37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4">
    <pageField fld="3" hier="-1"/>
    <pageField fld="4" hier="-1"/>
    <pageField fld="5" hier="-1"/>
    <pageField fld="2" hier="-1"/>
  </pageFields>
  <dataFields count="1">
    <dataField name="Suma de Valor USD" fld="8" baseField="0" baseItem="0" numFmtId="41"/>
  </dataFields>
  <formats count="28">
    <format dxfId="514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513">
      <pivotArea outline="0" collapsedLevelsAreSubtotals="1" fieldPosition="0"/>
    </format>
    <format dxfId="512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511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510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09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08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507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506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05">
      <pivotArea dataOnly="0" labelOnly="1" outline="0" fieldPosition="0">
        <references count="4">
          <reference field="2" count="1">
            <x v="38"/>
          </reference>
          <reference field="4" count="1" selected="0">
            <x v="10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04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03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02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01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00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99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98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97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96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495">
      <pivotArea outline="0" collapsedLevelsAreSubtotals="1" fieldPosition="0"/>
    </format>
    <format dxfId="494">
      <pivotArea outline="0" fieldPosition="0">
        <references count="1">
          <reference field="9" count="1" selected="0" defaultSubtotal="1">
            <x v="0"/>
          </reference>
        </references>
      </pivotArea>
    </format>
    <format dxfId="493">
      <pivotArea outline="0" fieldPosition="0">
        <references count="1">
          <reference field="9" count="1" selected="0" defaultSubtotal="1">
            <x v="1"/>
          </reference>
        </references>
      </pivotArea>
    </format>
    <format dxfId="492">
      <pivotArea outline="0" fieldPosition="0">
        <references count="1">
          <reference field="9" count="1" selected="0" defaultSubtotal="1">
            <x v="2"/>
          </reference>
        </references>
      </pivotArea>
    </format>
    <format dxfId="491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490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489">
      <pivotArea outline="0" fieldPosition="0">
        <references count="1">
          <reference field="11" count="1" selected="0">
            <x v="9"/>
          </reference>
        </references>
      </pivotArea>
    </format>
    <format dxfId="488">
      <pivotArea outline="0" fieldPosition="0">
        <references count="1">
          <reference field="11" count="1" selected="0">
            <x v="8"/>
          </reference>
        </references>
      </pivotArea>
    </format>
    <format dxfId="487">
      <pivotArea outline="0" fieldPosition="0">
        <references count="1">
          <reference field="11" count="1" selected="0">
            <x v="1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6464A-B538-44FB-84CB-31A25FE84B17}" name="TablaDinámica4" cacheId="8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6:M16" firstHeaderRow="1" firstDataRow="2" firstDataCol="1" rowPageCount="4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58">
        <item x="94"/>
        <item x="95"/>
        <item x="98"/>
        <item x="153"/>
        <item m="1" x="403"/>
        <item m="1" x="402"/>
        <item sd="0" x="34"/>
        <item x="65"/>
        <item x="6"/>
        <item x="0"/>
        <item x="288"/>
        <item x="319"/>
        <item x="346"/>
        <item x="111"/>
        <item x="88"/>
        <item x="221"/>
        <item m="1" x="426"/>
        <item x="267"/>
        <item x="93"/>
        <item x="12"/>
        <item x="275"/>
        <item x="80"/>
        <item m="1" x="407"/>
        <item x="341"/>
        <item x="125"/>
        <item x="268"/>
        <item x="155"/>
        <item x="154"/>
        <item x="117"/>
        <item m="1" x="435"/>
        <item m="1" x="410"/>
        <item x="116"/>
        <item x="343"/>
        <item x="283"/>
        <item x="252"/>
        <item x="253"/>
        <item x="127"/>
        <item x="209"/>
        <item x="33"/>
        <item x="91"/>
        <item x="131"/>
        <item x="83"/>
        <item x="281"/>
        <item x="90"/>
        <item x="110"/>
        <item x="391"/>
        <item x="349"/>
        <item m="1" x="415"/>
        <item x="185"/>
        <item x="163"/>
        <item x="159"/>
        <item m="1" x="441"/>
        <item x="10"/>
        <item x="25"/>
        <item x="42"/>
        <item x="51"/>
        <item x="342"/>
        <item x="76"/>
        <item x="92"/>
        <item x="13"/>
        <item x="75"/>
        <item x="162"/>
        <item x="20"/>
        <item x="27"/>
        <item x="234"/>
        <item x="105"/>
        <item x="208"/>
        <item x="101"/>
        <item x="214"/>
        <item x="216"/>
        <item x="215"/>
        <item x="17"/>
        <item x="148"/>
        <item x="272"/>
        <item x="257"/>
        <item x="11"/>
        <item m="1" x="417"/>
        <item x="72"/>
        <item m="1" x="418"/>
        <item m="1" x="451"/>
        <item m="1" x="419"/>
        <item x="100"/>
        <item x="89"/>
        <item x="316"/>
        <item x="137"/>
        <item x="38"/>
        <item x="340"/>
        <item x="211"/>
        <item x="52"/>
        <item x="7"/>
        <item x="3"/>
        <item x="135"/>
        <item x="141"/>
        <item x="142"/>
        <item x="4"/>
        <item x="24"/>
        <item x="77"/>
        <item x="237"/>
        <item x="9"/>
        <item x="64"/>
        <item x="21"/>
        <item m="1" x="427"/>
        <item m="1" x="455"/>
        <item x="179"/>
        <item x="180"/>
        <item x="182"/>
        <item x="344"/>
        <item x="114"/>
        <item x="15"/>
        <item x="255"/>
        <item x="166"/>
        <item x="40"/>
        <item x="284"/>
        <item x="160"/>
        <item x="112"/>
        <item x="103"/>
        <item x="36"/>
        <item m="1" x="444"/>
        <item m="1" x="421"/>
        <item m="1" x="452"/>
        <item x="128"/>
        <item x="172"/>
        <item x="19"/>
        <item x="50"/>
        <item x="269"/>
        <item x="261"/>
        <item x="271"/>
        <item x="258"/>
        <item x="31"/>
        <item x="259"/>
        <item x="22"/>
        <item x="251"/>
        <item x="277"/>
        <item x="81"/>
        <item x="32"/>
        <item x="273"/>
        <item x="16"/>
        <item x="67"/>
        <item x="26"/>
        <item x="256"/>
        <item x="79"/>
        <item x="78"/>
        <item x="279"/>
        <item x="262"/>
        <item x="276"/>
        <item x="143"/>
        <item x="113"/>
        <item x="23"/>
        <item m="1" x="406"/>
        <item x="156"/>
        <item x="157"/>
        <item x="206"/>
        <item x="39"/>
        <item x="1"/>
        <item x="18"/>
        <item x="102"/>
        <item x="263"/>
        <item x="129"/>
        <item x="96"/>
        <item x="37"/>
        <item x="99"/>
        <item m="1" x="431"/>
        <item x="8"/>
        <item x="14"/>
        <item x="356"/>
        <item m="1" x="413"/>
        <item x="220"/>
        <item m="1" x="437"/>
        <item m="1" x="439"/>
        <item m="1" x="436"/>
        <item m="1" x="438"/>
        <item x="2"/>
        <item x="282"/>
        <item x="84"/>
        <item x="61"/>
        <item x="348"/>
        <item x="35"/>
        <item x="140"/>
        <item x="87"/>
        <item x="264"/>
        <item m="1" x="429"/>
        <item m="1" x="456"/>
        <item x="299"/>
        <item m="1" x="412"/>
        <item x="53"/>
        <item x="165"/>
        <item x="5"/>
        <item x="134"/>
        <item x="278"/>
        <item x="123"/>
        <item x="124"/>
        <item x="97"/>
        <item x="126"/>
        <item x="321"/>
        <item x="298"/>
        <item x="318"/>
        <item x="320"/>
        <item x="170"/>
        <item x="212"/>
        <item x="62"/>
        <item x="254"/>
        <item x="66"/>
        <item x="47"/>
        <item x="29"/>
        <item x="196"/>
        <item m="1" x="454"/>
        <item x="30"/>
        <item x="146"/>
        <item m="1" x="457"/>
        <item x="201"/>
        <item x="347"/>
        <item x="295"/>
        <item x="294"/>
        <item x="293"/>
        <item x="296"/>
        <item x="118"/>
        <item x="223"/>
        <item x="345"/>
        <item x="108"/>
        <item x="109"/>
        <item x="265"/>
        <item m="1" x="423"/>
        <item m="1" x="453"/>
        <item m="1" x="408"/>
        <item x="104"/>
        <item x="315"/>
        <item x="317"/>
        <item x="260"/>
        <item x="28"/>
        <item x="266"/>
        <item x="368"/>
        <item x="362"/>
        <item x="370"/>
        <item x="364"/>
        <item x="382"/>
        <item x="274"/>
        <item x="280"/>
        <item m="1" x="445"/>
        <item x="106"/>
        <item x="107"/>
        <item x="130"/>
        <item x="133"/>
        <item x="136"/>
        <item x="149"/>
        <item x="151"/>
        <item x="152"/>
        <item m="1" x="440"/>
        <item x="230"/>
        <item x="231"/>
        <item x="232"/>
        <item x="238"/>
        <item x="240"/>
        <item x="242"/>
        <item x="243"/>
        <item x="244"/>
        <item x="245"/>
        <item x="246"/>
        <item x="297"/>
        <item x="314"/>
        <item x="351"/>
        <item x="352"/>
        <item m="1" x="442"/>
        <item m="1" x="443"/>
        <item x="355"/>
        <item x="363"/>
        <item x="365"/>
        <item x="366"/>
        <item x="367"/>
        <item x="369"/>
        <item x="371"/>
        <item x="372"/>
        <item x="373"/>
        <item x="374"/>
        <item x="383"/>
        <item x="386"/>
        <item x="392"/>
        <item x="393"/>
        <item x="394"/>
        <item x="395"/>
        <item x="396"/>
        <item x="397"/>
        <item x="398"/>
        <item x="353"/>
        <item x="354"/>
        <item x="285"/>
        <item m="1" x="404"/>
        <item m="1" x="448"/>
        <item x="378"/>
        <item x="399"/>
        <item x="41"/>
        <item x="82"/>
        <item x="119"/>
        <item x="120"/>
        <item x="121"/>
        <item x="138"/>
        <item x="161"/>
        <item x="207"/>
        <item x="227"/>
        <item x="228"/>
        <item m="1" x="409"/>
        <item x="122"/>
        <item x="198"/>
        <item x="200"/>
        <item x="213"/>
        <item x="217"/>
        <item x="247"/>
        <item x="291"/>
        <item x="350"/>
        <item m="1" x="446"/>
        <item m="1" x="449"/>
        <item m="1" x="447"/>
        <item m="1" x="450"/>
        <item m="1" x="414"/>
        <item m="1" x="416"/>
        <item m="1" x="420"/>
        <item m="1" x="422"/>
        <item m="1" x="424"/>
        <item m="1" x="425"/>
        <item m="1" x="428"/>
        <item m="1" x="430"/>
        <item x="233"/>
        <item x="241"/>
        <item m="1" x="434"/>
        <item x="218"/>
        <item x="224"/>
        <item x="300"/>
        <item x="301"/>
        <item x="302"/>
        <item x="303"/>
        <item x="322"/>
        <item x="323"/>
        <item x="324"/>
        <item x="325"/>
        <item x="326"/>
        <item x="327"/>
        <item x="173"/>
        <item x="174"/>
        <item x="175"/>
        <item x="176"/>
        <item x="177"/>
        <item x="178"/>
        <item m="1" x="411"/>
        <item x="145"/>
        <item m="1" x="432"/>
        <item x="377"/>
        <item x="379"/>
        <item x="380"/>
        <item x="387"/>
        <item x="388"/>
        <item x="304"/>
        <item x="305"/>
        <item x="306"/>
        <item x="307"/>
        <item m="1" x="433"/>
        <item x="329"/>
        <item x="330"/>
        <item x="331"/>
        <item x="332"/>
        <item x="328"/>
        <item x="43"/>
        <item x="44"/>
        <item x="45"/>
        <item x="115"/>
        <item x="132"/>
        <item x="139"/>
        <item x="147"/>
        <item x="150"/>
        <item x="158"/>
        <item x="169"/>
        <item x="171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9"/>
        <item x="202"/>
        <item x="203"/>
        <item x="204"/>
        <item x="205"/>
        <item x="210"/>
        <item x="219"/>
        <item x="225"/>
        <item x="226"/>
        <item x="235"/>
        <item x="236"/>
        <item x="239"/>
        <item x="287"/>
        <item x="289"/>
        <item x="290"/>
        <item x="308"/>
        <item x="333"/>
        <item x="270"/>
        <item x="309"/>
        <item x="310"/>
        <item x="311"/>
        <item x="334"/>
        <item x="335"/>
        <item x="361"/>
        <item x="375"/>
        <item x="376"/>
        <item x="54"/>
        <item x="55"/>
        <item x="56"/>
        <item x="57"/>
        <item x="58"/>
        <item m="1" x="400"/>
        <item m="1" x="401"/>
        <item x="73"/>
        <item x="74"/>
        <item x="85"/>
        <item x="86"/>
        <item x="144"/>
        <item x="164"/>
        <item x="63"/>
        <item x="336"/>
        <item x="381"/>
        <item x="385"/>
        <item x="389"/>
        <item x="390"/>
        <item x="46"/>
        <item m="1" x="405"/>
        <item x="357"/>
        <item x="358"/>
        <item x="359"/>
        <item x="360"/>
        <item x="384"/>
        <item x="292"/>
        <item x="312"/>
        <item x="313"/>
        <item x="337"/>
        <item x="338"/>
        <item x="339"/>
        <item x="286"/>
        <item x="48"/>
        <item x="49"/>
        <item x="59"/>
        <item x="60"/>
        <item x="68"/>
        <item x="69"/>
        <item x="70"/>
        <item x="71"/>
        <item x="167"/>
        <item x="168"/>
        <item x="222"/>
        <item x="229"/>
        <item x="248"/>
        <item x="249"/>
        <item x="2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5">
        <item sd="0" m="1" x="13"/>
        <item sd="0" x="0"/>
        <item sd="0" x="2"/>
        <item sd="0" x="3"/>
        <item sd="0" m="1" x="10"/>
        <item sd="0" m="1" x="12"/>
        <item sd="0" x="1"/>
        <item sd="0" x="4"/>
        <item sd="0" x="8"/>
        <item sd="0" m="1" x="14"/>
        <item sd="0" m="1" x="11"/>
        <item sd="0" x="5"/>
        <item sd="0" x="6"/>
        <item sd="0" x="7"/>
        <item h="1"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0">
        <item sd="0" x="46"/>
        <item sd="0" x="6"/>
        <item sd="0" x="19"/>
        <item sd="0" x="18"/>
        <item sd="0" m="1" x="50"/>
        <item x="1"/>
        <item sd="0" x="25"/>
        <item sd="0" m="1" x="57"/>
        <item sd="0" m="1" x="59"/>
        <item sd="0" x="10"/>
        <item sd="0" m="1" x="52"/>
        <item sd="0" x="22"/>
        <item sd="0" x="44"/>
        <item sd="0" x="43"/>
        <item sd="0" m="1" x="55"/>
        <item sd="0" x="21"/>
        <item sd="0" m="1" x="51"/>
        <item sd="0" x="20"/>
        <item sd="0" m="1" x="54"/>
        <item h="1" sd="0" x="38"/>
        <item sd="0" x="36"/>
        <item sd="0" x="48"/>
        <item sd="0" x="28"/>
        <item sd="0" x="8"/>
        <item sd="0" x="15"/>
        <item sd="0" x="42"/>
        <item sd="0" x="26"/>
        <item sd="0" x="35"/>
        <item sd="0" x="45"/>
        <item x="3"/>
        <item sd="0" x="5"/>
        <item sd="0" x="39"/>
        <item sd="0" x="34"/>
        <item sd="0" x="33"/>
        <item sd="0" x="31"/>
        <item sd="0" x="12"/>
        <item sd="0" x="14"/>
        <item x="16"/>
        <item sd="0" x="47"/>
        <item sd="0" x="11"/>
        <item x="0"/>
        <item sd="0" x="4"/>
        <item sd="0" x="27"/>
        <item sd="0" x="41"/>
        <item sd="0" x="7"/>
        <item sd="0" x="9"/>
        <item sd="0" x="40"/>
        <item sd="0" x="13"/>
        <item sd="0" x="17"/>
        <item sd="0" x="23"/>
        <item x="32"/>
        <item sd="0" m="1" x="58"/>
        <item sd="0" m="1" x="53"/>
        <item sd="0" x="30"/>
        <item x="29"/>
        <item h="1" sd="0" x="2"/>
        <item sd="0" m="1" x="56"/>
        <item m="1" x="49"/>
        <item x="37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9">
    <i>
      <x v="1"/>
    </i>
    <i>
      <x v="2"/>
    </i>
    <i>
      <x v="3"/>
    </i>
    <i>
      <x v="6"/>
    </i>
    <i>
      <x v="7"/>
    </i>
    <i>
      <x v="11"/>
    </i>
    <i>
      <x v="12"/>
    </i>
    <i>
      <x v="13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4">
    <pageField fld="3" hier="-1"/>
    <pageField fld="5" hier="-1"/>
    <pageField fld="2" hier="-1"/>
    <pageField fld="9" hier="-1"/>
  </pageFields>
  <dataFields count="1">
    <dataField name="Suma de Valor USD" fld="8" baseField="0" baseItem="0" numFmtId="41"/>
  </dataFields>
  <formats count="28">
    <format dxfId="542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541">
      <pivotArea outline="0" collapsedLevelsAreSubtotals="1" fieldPosition="0"/>
    </format>
    <format dxfId="540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539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538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37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36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535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534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33">
      <pivotArea dataOnly="0" labelOnly="1" outline="0" fieldPosition="0">
        <references count="4">
          <reference field="2" count="1">
            <x v="38"/>
          </reference>
          <reference field="4" count="1" selected="0">
            <x v="10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532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31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30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29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28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27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26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25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524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523">
      <pivotArea outline="0" collapsedLevelsAreSubtotals="1" fieldPosition="0"/>
    </format>
    <format dxfId="522">
      <pivotArea outline="0" fieldPosition="0">
        <references count="1">
          <reference field="9" count="1" selected="0" defaultSubtotal="1">
            <x v="0"/>
          </reference>
        </references>
      </pivotArea>
    </format>
    <format dxfId="521">
      <pivotArea outline="0" fieldPosition="0">
        <references count="1">
          <reference field="9" count="1" selected="0" defaultSubtotal="1">
            <x v="1"/>
          </reference>
        </references>
      </pivotArea>
    </format>
    <format dxfId="520">
      <pivotArea outline="0" fieldPosition="0">
        <references count="1">
          <reference field="9" count="1" selected="0" defaultSubtotal="1">
            <x v="2"/>
          </reference>
        </references>
      </pivotArea>
    </format>
    <format dxfId="519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518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517">
      <pivotArea outline="0" fieldPosition="0">
        <references count="1">
          <reference field="11" count="1" selected="0">
            <x v="9"/>
          </reference>
        </references>
      </pivotArea>
    </format>
    <format dxfId="516">
      <pivotArea outline="0" fieldPosition="0">
        <references count="1">
          <reference field="11" count="1" selected="0">
            <x v="8"/>
          </reference>
        </references>
      </pivotArea>
    </format>
    <format dxfId="515">
      <pivotArea outline="0" fieldPosition="0">
        <references count="1">
          <reference field="11" count="1" selected="0">
            <x v="1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360BE-AC0F-42DF-B800-5E809BCFA91A}" name="TablaDinámica4" cacheId="8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5:O15" firstHeaderRow="1" firstDataRow="2" firstDataCol="3" rowPageCount="3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8">
        <item x="94"/>
        <item x="95"/>
        <item x="98"/>
        <item x="153"/>
        <item m="1" x="403"/>
        <item m="1" x="402"/>
        <item sd="0" x="34"/>
        <item x="65"/>
        <item x="6"/>
        <item x="0"/>
        <item x="288"/>
        <item x="319"/>
        <item x="346"/>
        <item x="111"/>
        <item x="88"/>
        <item x="221"/>
        <item m="1" x="426"/>
        <item x="267"/>
        <item x="93"/>
        <item x="12"/>
        <item x="275"/>
        <item x="80"/>
        <item m="1" x="407"/>
        <item x="341"/>
        <item x="125"/>
        <item x="268"/>
        <item x="155"/>
        <item x="154"/>
        <item x="117"/>
        <item m="1" x="435"/>
        <item m="1" x="410"/>
        <item x="116"/>
        <item x="343"/>
        <item x="283"/>
        <item x="252"/>
        <item x="253"/>
        <item x="127"/>
        <item x="209"/>
        <item x="33"/>
        <item x="91"/>
        <item x="131"/>
        <item x="83"/>
        <item x="281"/>
        <item x="90"/>
        <item x="110"/>
        <item x="391"/>
        <item x="349"/>
        <item m="1" x="415"/>
        <item x="185"/>
        <item x="163"/>
        <item x="159"/>
        <item m="1" x="441"/>
        <item x="10"/>
        <item x="25"/>
        <item x="42"/>
        <item x="51"/>
        <item x="342"/>
        <item x="76"/>
        <item x="92"/>
        <item x="13"/>
        <item x="75"/>
        <item x="162"/>
        <item x="20"/>
        <item x="27"/>
        <item x="234"/>
        <item x="105"/>
        <item x="208"/>
        <item x="101"/>
        <item x="214"/>
        <item x="216"/>
        <item x="215"/>
        <item x="17"/>
        <item x="148"/>
        <item x="272"/>
        <item x="257"/>
        <item x="11"/>
        <item m="1" x="417"/>
        <item x="72"/>
        <item m="1" x="418"/>
        <item m="1" x="451"/>
        <item m="1" x="419"/>
        <item x="100"/>
        <item x="89"/>
        <item x="316"/>
        <item x="137"/>
        <item x="38"/>
        <item x="340"/>
        <item x="211"/>
        <item x="52"/>
        <item x="7"/>
        <item x="3"/>
        <item x="135"/>
        <item x="141"/>
        <item x="142"/>
        <item x="4"/>
        <item x="24"/>
        <item x="77"/>
        <item x="237"/>
        <item x="9"/>
        <item x="64"/>
        <item x="21"/>
        <item m="1" x="427"/>
        <item m="1" x="455"/>
        <item x="179"/>
        <item x="180"/>
        <item x="182"/>
        <item x="344"/>
        <item x="114"/>
        <item x="15"/>
        <item x="255"/>
        <item x="166"/>
        <item x="40"/>
        <item x="284"/>
        <item x="160"/>
        <item x="112"/>
        <item x="103"/>
        <item x="36"/>
        <item m="1" x="444"/>
        <item m="1" x="421"/>
        <item m="1" x="452"/>
        <item x="128"/>
        <item x="172"/>
        <item x="19"/>
        <item x="50"/>
        <item x="269"/>
        <item x="261"/>
        <item x="271"/>
        <item x="258"/>
        <item x="31"/>
        <item x="259"/>
        <item x="22"/>
        <item x="251"/>
        <item x="277"/>
        <item x="81"/>
        <item x="32"/>
        <item x="273"/>
        <item x="16"/>
        <item x="67"/>
        <item x="26"/>
        <item x="256"/>
        <item x="79"/>
        <item x="78"/>
        <item x="279"/>
        <item x="262"/>
        <item x="276"/>
        <item x="143"/>
        <item x="113"/>
        <item x="23"/>
        <item m="1" x="406"/>
        <item x="156"/>
        <item x="157"/>
        <item x="206"/>
        <item x="39"/>
        <item x="1"/>
        <item x="18"/>
        <item x="102"/>
        <item x="263"/>
        <item x="129"/>
        <item x="96"/>
        <item x="37"/>
        <item x="99"/>
        <item m="1" x="431"/>
        <item x="8"/>
        <item x="14"/>
        <item x="356"/>
        <item m="1" x="413"/>
        <item x="220"/>
        <item m="1" x="437"/>
        <item m="1" x="439"/>
        <item m="1" x="436"/>
        <item m="1" x="438"/>
        <item x="2"/>
        <item x="282"/>
        <item x="84"/>
        <item x="61"/>
        <item x="348"/>
        <item x="35"/>
        <item x="140"/>
        <item x="87"/>
        <item x="264"/>
        <item m="1" x="429"/>
        <item m="1" x="456"/>
        <item x="299"/>
        <item m="1" x="412"/>
        <item x="53"/>
        <item x="165"/>
        <item x="5"/>
        <item x="134"/>
        <item x="278"/>
        <item x="123"/>
        <item x="124"/>
        <item x="97"/>
        <item x="126"/>
        <item x="321"/>
        <item x="298"/>
        <item x="318"/>
        <item x="320"/>
        <item x="170"/>
        <item x="212"/>
        <item x="62"/>
        <item x="254"/>
        <item x="66"/>
        <item x="47"/>
        <item x="29"/>
        <item x="196"/>
        <item m="1" x="454"/>
        <item x="30"/>
        <item x="146"/>
        <item m="1" x="457"/>
        <item x="201"/>
        <item x="347"/>
        <item x="295"/>
        <item x="294"/>
        <item x="293"/>
        <item x="296"/>
        <item x="118"/>
        <item x="223"/>
        <item x="345"/>
        <item x="108"/>
        <item x="109"/>
        <item x="265"/>
        <item m="1" x="423"/>
        <item m="1" x="453"/>
        <item m="1" x="408"/>
        <item x="104"/>
        <item x="315"/>
        <item x="317"/>
        <item x="260"/>
        <item x="28"/>
        <item x="266"/>
        <item x="368"/>
        <item x="362"/>
        <item x="370"/>
        <item x="364"/>
        <item x="382"/>
        <item x="274"/>
        <item x="280"/>
        <item m="1" x="445"/>
        <item x="106"/>
        <item x="107"/>
        <item x="130"/>
        <item x="133"/>
        <item x="136"/>
        <item x="149"/>
        <item x="151"/>
        <item x="152"/>
        <item m="1" x="440"/>
        <item x="230"/>
        <item x="231"/>
        <item x="232"/>
        <item x="238"/>
        <item x="240"/>
        <item x="242"/>
        <item x="243"/>
        <item x="244"/>
        <item x="245"/>
        <item x="246"/>
        <item x="297"/>
        <item x="314"/>
        <item x="351"/>
        <item x="352"/>
        <item m="1" x="442"/>
        <item m="1" x="443"/>
        <item x="355"/>
        <item x="363"/>
        <item x="365"/>
        <item x="366"/>
        <item x="367"/>
        <item x="369"/>
        <item x="371"/>
        <item x="372"/>
        <item x="373"/>
        <item x="374"/>
        <item x="383"/>
        <item x="386"/>
        <item x="392"/>
        <item x="393"/>
        <item x="394"/>
        <item x="395"/>
        <item x="396"/>
        <item x="397"/>
        <item x="398"/>
        <item x="353"/>
        <item x="354"/>
        <item x="285"/>
        <item m="1" x="404"/>
        <item m="1" x="448"/>
        <item x="378"/>
        <item x="399"/>
        <item x="41"/>
        <item x="82"/>
        <item x="119"/>
        <item x="120"/>
        <item x="121"/>
        <item x="138"/>
        <item x="161"/>
        <item x="207"/>
        <item x="227"/>
        <item x="228"/>
        <item m="1" x="409"/>
        <item x="122"/>
        <item x="198"/>
        <item x="200"/>
        <item x="213"/>
        <item x="217"/>
        <item x="247"/>
        <item x="291"/>
        <item x="350"/>
        <item m="1" x="446"/>
        <item m="1" x="449"/>
        <item m="1" x="447"/>
        <item m="1" x="450"/>
        <item m="1" x="414"/>
        <item m="1" x="416"/>
        <item m="1" x="420"/>
        <item m="1" x="422"/>
        <item m="1" x="424"/>
        <item m="1" x="425"/>
        <item m="1" x="428"/>
        <item m="1" x="430"/>
        <item x="233"/>
        <item x="241"/>
        <item m="1" x="434"/>
        <item x="218"/>
        <item x="224"/>
        <item x="300"/>
        <item x="301"/>
        <item x="302"/>
        <item x="303"/>
        <item x="322"/>
        <item x="323"/>
        <item x="324"/>
        <item x="325"/>
        <item x="326"/>
        <item x="327"/>
        <item x="173"/>
        <item x="174"/>
        <item x="175"/>
        <item x="176"/>
        <item x="177"/>
        <item x="178"/>
        <item m="1" x="411"/>
        <item x="145"/>
        <item m="1" x="432"/>
        <item x="377"/>
        <item x="379"/>
        <item x="380"/>
        <item x="387"/>
        <item x="388"/>
        <item x="304"/>
        <item x="305"/>
        <item x="306"/>
        <item x="307"/>
        <item m="1" x="433"/>
        <item x="329"/>
        <item x="330"/>
        <item x="331"/>
        <item x="332"/>
        <item x="328"/>
        <item x="43"/>
        <item x="44"/>
        <item x="45"/>
        <item x="115"/>
        <item x="132"/>
        <item x="139"/>
        <item x="147"/>
        <item x="150"/>
        <item x="158"/>
        <item x="169"/>
        <item x="171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9"/>
        <item x="202"/>
        <item x="203"/>
        <item x="204"/>
        <item x="205"/>
        <item x="210"/>
        <item x="219"/>
        <item x="225"/>
        <item x="226"/>
        <item x="235"/>
        <item x="236"/>
        <item x="239"/>
        <item x="287"/>
        <item x="289"/>
        <item x="290"/>
        <item x="308"/>
        <item x="333"/>
        <item x="270"/>
        <item x="309"/>
        <item x="310"/>
        <item x="311"/>
        <item x="334"/>
        <item x="335"/>
        <item x="361"/>
        <item x="375"/>
        <item x="376"/>
        <item x="54"/>
        <item x="55"/>
        <item x="56"/>
        <item x="57"/>
        <item x="58"/>
        <item m="1" x="400"/>
        <item m="1" x="401"/>
        <item x="73"/>
        <item x="74"/>
        <item x="85"/>
        <item x="86"/>
        <item x="144"/>
        <item x="164"/>
        <item x="63"/>
        <item x="336"/>
        <item x="381"/>
        <item x="385"/>
        <item x="389"/>
        <item x="390"/>
        <item x="46"/>
        <item m="1" x="405"/>
        <item x="357"/>
        <item x="358"/>
        <item x="359"/>
        <item x="360"/>
        <item x="384"/>
        <item x="292"/>
        <item x="312"/>
        <item x="313"/>
        <item x="337"/>
        <item x="338"/>
        <item x="339"/>
        <item x="286"/>
        <item x="48"/>
        <item x="49"/>
        <item x="59"/>
        <item x="60"/>
        <item x="68"/>
        <item x="69"/>
        <item x="70"/>
        <item x="71"/>
        <item x="167"/>
        <item x="168"/>
        <item x="222"/>
        <item x="229"/>
        <item x="248"/>
        <item x="249"/>
        <item x="2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5">
        <item sd="0" m="1" x="13"/>
        <item sd="0" x="0"/>
        <item sd="0" x="2"/>
        <item sd="0" x="3"/>
        <item sd="0" m="1" x="10"/>
        <item sd="0" m="1" x="12"/>
        <item sd="0" x="1"/>
        <item sd="0" x="4"/>
        <item sd="0" x="8"/>
        <item sd="0" m="1" x="14"/>
        <item sd="0" m="1" x="11"/>
        <item sd="0" x="5"/>
        <item sd="0" x="6"/>
        <item sd="0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60">
        <item sd="0" x="46"/>
        <item sd="0" x="6"/>
        <item sd="0" x="19"/>
        <item sd="0" x="18"/>
        <item sd="0" m="1" x="50"/>
        <item x="1"/>
        <item sd="0" x="25"/>
        <item sd="0" m="1" x="57"/>
        <item sd="0" m="1" x="59"/>
        <item sd="0" x="10"/>
        <item sd="0" m="1" x="52"/>
        <item sd="0" x="22"/>
        <item sd="0" x="44"/>
        <item sd="0" x="43"/>
        <item sd="0" m="1" x="55"/>
        <item sd="0" x="21"/>
        <item sd="0" m="1" x="51"/>
        <item sd="0" x="20"/>
        <item sd="0" m="1" x="54"/>
        <item h="1" sd="0" x="38"/>
        <item sd="0" x="36"/>
        <item sd="0" x="48"/>
        <item sd="0" x="28"/>
        <item sd="0" x="8"/>
        <item sd="0" x="15"/>
        <item sd="0" x="42"/>
        <item sd="0" x="26"/>
        <item x="35"/>
        <item sd="0" x="45"/>
        <item x="3"/>
        <item sd="0" x="5"/>
        <item sd="0" x="39"/>
        <item sd="0" x="34"/>
        <item sd="0" x="33"/>
        <item sd="0" x="31"/>
        <item sd="0" x="12"/>
        <item sd="0" x="14"/>
        <item x="16"/>
        <item sd="0" x="47"/>
        <item sd="0" x="11"/>
        <item x="0"/>
        <item sd="0" x="4"/>
        <item sd="0" x="27"/>
        <item sd="0" x="41"/>
        <item sd="0" x="7"/>
        <item sd="0" x="9"/>
        <item sd="0" x="40"/>
        <item sd="0" x="13"/>
        <item sd="0" x="17"/>
        <item sd="0" x="23"/>
        <item x="32"/>
        <item sd="0" m="1" x="58"/>
        <item sd="0" m="1" x="53"/>
        <item sd="0" x="30"/>
        <item x="29"/>
        <item h="1" sd="0" x="2"/>
        <item sd="0" m="1" x="56"/>
        <item m="1" x="49"/>
        <item x="37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"/>
    <field x="2"/>
  </rowFields>
  <rowItems count="9">
    <i>
      <x v="1"/>
    </i>
    <i>
      <x v="2"/>
    </i>
    <i>
      <x v="3"/>
    </i>
    <i>
      <x v="6"/>
    </i>
    <i>
      <x v="7"/>
    </i>
    <i>
      <x v="11"/>
    </i>
    <i>
      <x v="12"/>
    </i>
    <i>
      <x v="13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3">
    <pageField fld="1" hier="-1"/>
    <pageField fld="3" hier="-1"/>
    <pageField fld="9" hier="-1"/>
  </pageFields>
  <dataFields count="1">
    <dataField name="Suma de Valor USD" fld="8" baseField="0" baseItem="0" numFmtId="41"/>
  </dataFields>
  <formats count="28">
    <format dxfId="486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485">
      <pivotArea outline="0" collapsedLevelsAreSubtotals="1" fieldPosition="0"/>
    </format>
    <format dxfId="484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483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482">
      <pivotArea dataOnly="0" labelOnly="1" outline="0" fieldPosition="0">
        <references count="4">
          <reference field="2" count="1">
            <x v="38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481">
      <pivotArea dataOnly="0" labelOnly="1" outline="0" fieldPosition="0">
        <references count="4">
          <reference field="2" count="1">
            <x v="18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480">
      <pivotArea dataOnly="0" labelOnly="1" outline="0" fieldPosition="0">
        <references count="4">
          <reference field="2" count="1">
            <x v="14"/>
          </reference>
          <reference field="4" count="0" selected="0"/>
          <reference field="5" count="1" selected="0">
            <x v="40"/>
          </reference>
          <reference field="9" count="1" selected="0">
            <x v="1"/>
          </reference>
        </references>
      </pivotArea>
    </format>
    <format dxfId="479">
      <pivotArea dataOnly="0" labelOnly="1" outline="0" fieldPosition="0">
        <references count="4">
          <reference field="2" count="1">
            <x v="22"/>
          </reference>
          <reference field="4" count="0" selected="0"/>
          <reference field="5" count="1" selected="0">
            <x v="40"/>
          </reference>
          <reference field="9" count="1" selected="0">
            <x v="2"/>
          </reference>
        </references>
      </pivotArea>
    </format>
    <format dxfId="478">
      <pivotArea dataOnly="0" labelOnly="1" outline="0" fieldPosition="0">
        <references count="4">
          <reference field="2" count="1">
            <x v="94"/>
          </reference>
          <reference field="4" count="0" selected="0"/>
          <reference field="5" count="1" selected="0">
            <x v="40"/>
          </reference>
          <reference field="9" count="1" selected="0">
            <x v="0"/>
          </reference>
        </references>
      </pivotArea>
    </format>
    <format dxfId="477">
      <pivotArea dataOnly="0" labelOnly="1" outline="0" fieldPosition="0">
        <references count="4">
          <reference field="2" count="1">
            <x v="38"/>
          </reference>
          <reference field="4" count="1" selected="0">
            <x v="10"/>
          </reference>
          <reference field="5" count="1" selected="0">
            <x v="40"/>
          </reference>
          <reference field="9" count="1" selected="0">
            <x v="0"/>
          </reference>
        </references>
      </pivotArea>
    </format>
    <format dxfId="476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75">
      <pivotArea dataOnly="0" labelOnly="1" outline="0" fieldPosition="0">
        <references count="4">
          <reference field="2" count="1">
            <x v="129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474">
      <pivotArea dataOnly="0" labelOnly="1" outline="0" fieldPosition="0">
        <references count="4">
          <reference field="2" count="1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473">
      <pivotArea dataOnly="0" labelOnly="1" outline="0" fieldPosition="0">
        <references count="4">
          <reference field="2" count="1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472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71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70">
      <pivotArea outline="0" fieldPosition="0">
        <references count="5">
          <reference field="2" count="1" selected="0">
            <x v="125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69">
      <pivotArea outline="0" fieldPosition="0">
        <references count="5">
          <reference field="2" count="1" selected="0">
            <x v="156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  <reference field="11" count="6" selected="0">
            <x v="7"/>
            <x v="8"/>
            <x v="9"/>
            <x v="10"/>
            <x v="11"/>
            <x v="12"/>
          </reference>
        </references>
      </pivotArea>
    </format>
    <format dxfId="468">
      <pivotArea dataOnly="0" labelOnly="1" outline="0" fieldPosition="0">
        <references count="4">
          <reference field="2" count="1">
            <x v="100"/>
          </reference>
          <reference field="3" count="1" selected="0">
            <x v="0"/>
          </reference>
          <reference field="4" count="0" selected="0"/>
          <reference field="5" count="1" selected="0">
            <x v="40"/>
          </reference>
        </references>
      </pivotArea>
    </format>
    <format dxfId="467">
      <pivotArea outline="0" collapsedLevelsAreSubtotals="1" fieldPosition="0"/>
    </format>
    <format dxfId="466">
      <pivotArea outline="0" fieldPosition="0">
        <references count="1">
          <reference field="9" count="1" selected="0" defaultSubtotal="1">
            <x v="0"/>
          </reference>
        </references>
      </pivotArea>
    </format>
    <format dxfId="465">
      <pivotArea outline="0" fieldPosition="0">
        <references count="1">
          <reference field="9" count="1" selected="0" defaultSubtotal="1">
            <x v="1"/>
          </reference>
        </references>
      </pivotArea>
    </format>
    <format dxfId="464">
      <pivotArea outline="0" fieldPosition="0">
        <references count="1">
          <reference field="9" count="1" selected="0" defaultSubtotal="1">
            <x v="2"/>
          </reference>
        </references>
      </pivotArea>
    </format>
    <format dxfId="463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462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461">
      <pivotArea outline="0" fieldPosition="0">
        <references count="1">
          <reference field="11" count="1" selected="0">
            <x v="9"/>
          </reference>
        </references>
      </pivotArea>
    </format>
    <format dxfId="460">
      <pivotArea outline="0" fieldPosition="0">
        <references count="1">
          <reference field="11" count="1" selected="0">
            <x v="8"/>
          </reference>
        </references>
      </pivotArea>
    </format>
    <format dxfId="459">
      <pivotArea outline="0" fieldPosition="0">
        <references count="1">
          <reference field="11" count="1" selected="0">
            <x v="1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7ED37-193D-4314-9BA1-3DB58BE20116}" name="TablaDinámica4" cacheId="8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7:O111" firstHeaderRow="1" firstDataRow="2" firstDataCol="3" rowPageCount="3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0">
        <item x="89"/>
        <item x="90"/>
        <item x="93"/>
        <item x="148"/>
        <item x="172"/>
        <item x="81"/>
        <item sd="0" x="34"/>
        <item x="63"/>
        <item x="6"/>
        <item x="0"/>
        <item x="277"/>
        <item x="305"/>
        <item x="329"/>
        <item x="106"/>
        <item x="83"/>
        <item x="215"/>
        <item m="1" x="398"/>
        <item x="256"/>
        <item x="88"/>
        <item x="12"/>
        <item x="263"/>
        <item x="74"/>
        <item x="341"/>
        <item x="324"/>
        <item x="120"/>
        <item x="257"/>
        <item x="150"/>
        <item x="149"/>
        <item x="112"/>
        <item m="1" x="407"/>
        <item m="1" x="382"/>
        <item x="111"/>
        <item x="326"/>
        <item x="272"/>
        <item x="241"/>
        <item x="242"/>
        <item x="122"/>
        <item x="203"/>
        <item x="33"/>
        <item x="86"/>
        <item x="126"/>
        <item x="77"/>
        <item x="270"/>
        <item x="85"/>
        <item x="105"/>
        <item x="371"/>
        <item x="332"/>
        <item m="1" x="387"/>
        <item x="179"/>
        <item x="158"/>
        <item x="154"/>
        <item m="1" x="413"/>
        <item x="10"/>
        <item x="25"/>
        <item x="42"/>
        <item x="49"/>
        <item x="325"/>
        <item x="70"/>
        <item x="87"/>
        <item x="13"/>
        <item x="69"/>
        <item x="157"/>
        <item x="20"/>
        <item x="27"/>
        <item x="226"/>
        <item x="100"/>
        <item x="202"/>
        <item x="96"/>
        <item x="208"/>
        <item x="210"/>
        <item x="209"/>
        <item x="17"/>
        <item x="143"/>
        <item x="265"/>
        <item x="246"/>
        <item x="11"/>
        <item m="1" x="389"/>
        <item x="66"/>
        <item m="1" x="390"/>
        <item m="1" x="423"/>
        <item m="1" x="391"/>
        <item x="95"/>
        <item x="84"/>
        <item x="302"/>
        <item x="132"/>
        <item x="38"/>
        <item x="323"/>
        <item x="205"/>
        <item x="50"/>
        <item x="7"/>
        <item x="3"/>
        <item x="130"/>
        <item x="136"/>
        <item x="137"/>
        <item x="4"/>
        <item x="24"/>
        <item x="71"/>
        <item x="229"/>
        <item x="9"/>
        <item x="62"/>
        <item x="21"/>
        <item m="1" x="399"/>
        <item m="1" x="427"/>
        <item x="173"/>
        <item x="174"/>
        <item x="176"/>
        <item x="327"/>
        <item x="109"/>
        <item x="15"/>
        <item x="244"/>
        <item x="161"/>
        <item x="40"/>
        <item x="273"/>
        <item x="155"/>
        <item x="107"/>
        <item x="98"/>
        <item x="36"/>
        <item m="1" x="416"/>
        <item m="1" x="393"/>
        <item m="1" x="424"/>
        <item x="123"/>
        <item x="165"/>
        <item x="19"/>
        <item x="48"/>
        <item x="258"/>
        <item x="250"/>
        <item x="260"/>
        <item x="247"/>
        <item x="31"/>
        <item x="248"/>
        <item x="22"/>
        <item x="240"/>
        <item x="266"/>
        <item x="75"/>
        <item x="32"/>
        <item x="261"/>
        <item x="16"/>
        <item x="65"/>
        <item x="26"/>
        <item x="245"/>
        <item x="73"/>
        <item x="72"/>
        <item x="268"/>
        <item x="251"/>
        <item x="264"/>
        <item x="138"/>
        <item x="108"/>
        <item x="23"/>
        <item x="340"/>
        <item x="151"/>
        <item x="152"/>
        <item x="200"/>
        <item x="39"/>
        <item x="1"/>
        <item x="18"/>
        <item x="97"/>
        <item x="252"/>
        <item x="124"/>
        <item x="91"/>
        <item x="37"/>
        <item x="94"/>
        <item m="1" x="403"/>
        <item x="8"/>
        <item x="14"/>
        <item x="339"/>
        <item m="1" x="385"/>
        <item x="214"/>
        <item m="1" x="409"/>
        <item m="1" x="411"/>
        <item m="1" x="408"/>
        <item m="1" x="410"/>
        <item x="2"/>
        <item x="271"/>
        <item x="78"/>
        <item x="59"/>
        <item x="331"/>
        <item x="35"/>
        <item x="135"/>
        <item x="82"/>
        <item x="253"/>
        <item m="1" x="401"/>
        <item m="1" x="428"/>
        <item x="287"/>
        <item m="1" x="384"/>
        <item x="51"/>
        <item x="160"/>
        <item x="5"/>
        <item x="129"/>
        <item x="267"/>
        <item x="118"/>
        <item x="119"/>
        <item x="92"/>
        <item x="121"/>
        <item x="307"/>
        <item x="286"/>
        <item x="304"/>
        <item x="306"/>
        <item x="163"/>
        <item x="206"/>
        <item x="60"/>
        <item x="243"/>
        <item x="64"/>
        <item x="47"/>
        <item x="29"/>
        <item x="190"/>
        <item m="1" x="426"/>
        <item x="30"/>
        <item x="141"/>
        <item m="1" x="429"/>
        <item x="195"/>
        <item x="330"/>
        <item x="283"/>
        <item x="282"/>
        <item x="281"/>
        <item x="284"/>
        <item x="113"/>
        <item x="216"/>
        <item x="328"/>
        <item x="103"/>
        <item x="104"/>
        <item x="254"/>
        <item m="1" x="395"/>
        <item m="1" x="425"/>
        <item m="1" x="380"/>
        <item x="99"/>
        <item x="301"/>
        <item x="303"/>
        <item x="249"/>
        <item x="28"/>
        <item x="255"/>
        <item x="349"/>
        <item x="343"/>
        <item x="351"/>
        <item x="345"/>
        <item x="363"/>
        <item x="262"/>
        <item x="269"/>
        <item m="1" x="417"/>
        <item x="101"/>
        <item x="102"/>
        <item x="125"/>
        <item x="128"/>
        <item x="131"/>
        <item x="144"/>
        <item x="146"/>
        <item x="147"/>
        <item m="1" x="412"/>
        <item x="222"/>
        <item x="223"/>
        <item x="224"/>
        <item x="230"/>
        <item x="232"/>
        <item x="234"/>
        <item x="235"/>
        <item x="236"/>
        <item x="237"/>
        <item x="238"/>
        <item x="285"/>
        <item x="300"/>
        <item x="334"/>
        <item x="335"/>
        <item m="1" x="414"/>
        <item m="1" x="415"/>
        <item x="338"/>
        <item x="344"/>
        <item x="346"/>
        <item x="347"/>
        <item x="348"/>
        <item x="350"/>
        <item x="352"/>
        <item x="353"/>
        <item x="354"/>
        <item x="355"/>
        <item x="364"/>
        <item x="366"/>
        <item x="372"/>
        <item x="373"/>
        <item x="374"/>
        <item x="375"/>
        <item x="376"/>
        <item x="377"/>
        <item x="378"/>
        <item x="336"/>
        <item x="337"/>
        <item x="274"/>
        <item x="275"/>
        <item m="1" x="420"/>
        <item x="359"/>
        <item x="379"/>
        <item x="41"/>
        <item x="76"/>
        <item x="114"/>
        <item x="115"/>
        <item x="116"/>
        <item x="133"/>
        <item x="156"/>
        <item x="201"/>
        <item x="220"/>
        <item x="221"/>
        <item m="1" x="381"/>
        <item x="117"/>
        <item x="192"/>
        <item x="194"/>
        <item x="207"/>
        <item x="211"/>
        <item x="239"/>
        <item x="280"/>
        <item x="333"/>
        <item m="1" x="418"/>
        <item m="1" x="421"/>
        <item m="1" x="419"/>
        <item m="1" x="422"/>
        <item m="1" x="386"/>
        <item m="1" x="388"/>
        <item m="1" x="392"/>
        <item m="1" x="394"/>
        <item m="1" x="396"/>
        <item m="1" x="397"/>
        <item m="1" x="400"/>
        <item m="1" x="402"/>
        <item x="225"/>
        <item x="233"/>
        <item m="1" x="406"/>
        <item x="212"/>
        <item x="217"/>
        <item x="288"/>
        <item x="289"/>
        <item x="290"/>
        <item x="291"/>
        <item x="308"/>
        <item x="309"/>
        <item x="310"/>
        <item x="311"/>
        <item x="312"/>
        <item x="313"/>
        <item x="166"/>
        <item x="167"/>
        <item x="168"/>
        <item x="169"/>
        <item x="170"/>
        <item x="171"/>
        <item m="1" x="383"/>
        <item x="140"/>
        <item m="1" x="404"/>
        <item x="358"/>
        <item x="360"/>
        <item x="361"/>
        <item x="367"/>
        <item x="368"/>
        <item x="292"/>
        <item x="293"/>
        <item x="294"/>
        <item x="295"/>
        <item m="1" x="405"/>
        <item x="315"/>
        <item x="316"/>
        <item x="317"/>
        <item x="318"/>
        <item x="314"/>
        <item x="43"/>
        <item x="44"/>
        <item x="45"/>
        <item x="110"/>
        <item x="127"/>
        <item x="134"/>
        <item x="142"/>
        <item x="145"/>
        <item x="153"/>
        <item x="162"/>
        <item x="164"/>
        <item x="175"/>
        <item x="177"/>
        <item x="178"/>
        <item x="180"/>
        <item x="181"/>
        <item x="182"/>
        <item x="183"/>
        <item x="184"/>
        <item x="185"/>
        <item x="186"/>
        <item x="187"/>
        <item x="188"/>
        <item x="189"/>
        <item x="191"/>
        <item x="193"/>
        <item x="196"/>
        <item x="197"/>
        <item x="198"/>
        <item x="199"/>
        <item x="204"/>
        <item x="213"/>
        <item x="218"/>
        <item x="219"/>
        <item x="227"/>
        <item x="228"/>
        <item x="231"/>
        <item x="276"/>
        <item x="278"/>
        <item x="279"/>
        <item x="296"/>
        <item x="319"/>
        <item x="259"/>
        <item x="297"/>
        <item x="298"/>
        <item x="299"/>
        <item x="320"/>
        <item x="321"/>
        <item x="342"/>
        <item x="356"/>
        <item x="357"/>
        <item x="52"/>
        <item x="53"/>
        <item x="54"/>
        <item x="55"/>
        <item x="56"/>
        <item x="57"/>
        <item x="58"/>
        <item x="67"/>
        <item x="68"/>
        <item x="79"/>
        <item x="80"/>
        <item x="139"/>
        <item x="159"/>
        <item x="61"/>
        <item x="322"/>
        <item x="362"/>
        <item x="365"/>
        <item x="369"/>
        <item x="370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descending" defaultSubtotal="0">
      <items count="15">
        <item h="1" sd="0" m="1" x="13"/>
        <item h="1" sd="0" x="5"/>
        <item h="1" sd="0" x="2"/>
        <item h="1" sd="0" x="3"/>
        <item h="1" sd="0" m="1" x="10"/>
        <item h="1" sd="0" m="1" x="12"/>
        <item h="1" sd="0" x="4"/>
        <item h="1" sd="0" x="8"/>
        <item h="1" sd="0" m="1" x="14"/>
        <item h="1" sd="0" m="1" x="11"/>
        <item h="1" sd="0" x="6"/>
        <item x="0"/>
        <item h="1" sd="0" x="7"/>
        <item h="1" sd="0" x="9"/>
        <item h="1" sd="0" x="1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60">
        <item sd="0" x="47"/>
        <item sd="0" x="6"/>
        <item sd="0" x="19"/>
        <item sd="0" x="18"/>
        <item sd="0" m="1" x="50"/>
        <item x="1"/>
        <item sd="0" x="25"/>
        <item sd="0" m="1" x="57"/>
        <item sd="0" m="1" x="59"/>
        <item sd="0" x="10"/>
        <item sd="0" m="1" x="52"/>
        <item sd="0" x="26"/>
        <item sd="0" x="45"/>
        <item sd="0" x="44"/>
        <item sd="0" m="1" x="55"/>
        <item sd="0" x="21"/>
        <item sd="0" m="1" x="51"/>
        <item sd="0" x="20"/>
        <item sd="0" m="1" x="54"/>
        <item sd="0" x="39"/>
        <item sd="0" x="37"/>
        <item sd="0" x="49"/>
        <item sd="0" x="29"/>
        <item sd="0" x="8"/>
        <item sd="0" x="15"/>
        <item sd="0" x="43"/>
        <item sd="0" x="27"/>
        <item sd="0" x="36"/>
        <item sd="0" x="46"/>
        <item sd="0" x="3"/>
        <item sd="0" x="5"/>
        <item sd="0" x="40"/>
        <item sd="0" x="35"/>
        <item sd="0" x="34"/>
        <item sd="0" x="32"/>
        <item sd="0" x="12"/>
        <item sd="0" x="14"/>
        <item x="16"/>
        <item sd="0" x="48"/>
        <item sd="0" x="11"/>
        <item x="0"/>
        <item sd="0" x="4"/>
        <item sd="0" x="28"/>
        <item sd="0" x="42"/>
        <item sd="0" x="7"/>
        <item sd="0" x="9"/>
        <item sd="0" x="41"/>
        <item sd="0" x="13"/>
        <item sd="0" x="17"/>
        <item sd="0" x="23"/>
        <item x="33"/>
        <item sd="0" m="1" x="58"/>
        <item sd="0" m="1" x="53"/>
        <item sd="0" x="31"/>
        <item x="30"/>
        <item x="2"/>
        <item sd="0" m="1" x="56"/>
        <item x="22"/>
        <item x="38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"/>
    <field x="2"/>
  </rowFields>
  <rowItems count="103">
    <i>
      <x v="11"/>
      <x v="40"/>
      <x v="6"/>
    </i>
    <i r="2">
      <x v="8"/>
    </i>
    <i r="2">
      <x v="9"/>
    </i>
    <i r="2">
      <x v="14"/>
    </i>
    <i r="2">
      <x v="17"/>
    </i>
    <i r="2">
      <x v="19"/>
    </i>
    <i r="2">
      <x v="20"/>
    </i>
    <i r="2">
      <x v="22"/>
    </i>
    <i r="2">
      <x v="25"/>
    </i>
    <i r="2">
      <x v="33"/>
    </i>
    <i r="2">
      <x v="34"/>
    </i>
    <i r="2">
      <x v="35"/>
    </i>
    <i r="2">
      <x v="38"/>
    </i>
    <i r="2">
      <x v="42"/>
    </i>
    <i r="2">
      <x v="52"/>
    </i>
    <i r="2">
      <x v="53"/>
    </i>
    <i r="2">
      <x v="54"/>
    </i>
    <i r="2">
      <x v="55"/>
    </i>
    <i r="2">
      <x v="59"/>
    </i>
    <i r="2">
      <x v="62"/>
    </i>
    <i r="2">
      <x v="63"/>
    </i>
    <i r="2">
      <x v="71"/>
    </i>
    <i r="2">
      <x v="73"/>
    </i>
    <i r="2">
      <x v="74"/>
    </i>
    <i r="2">
      <x v="75"/>
    </i>
    <i r="2">
      <x v="85"/>
    </i>
    <i r="2">
      <x v="88"/>
    </i>
    <i r="2">
      <x v="89"/>
    </i>
    <i r="2">
      <x v="90"/>
    </i>
    <i r="2">
      <x v="94"/>
    </i>
    <i r="2">
      <x v="95"/>
    </i>
    <i r="2">
      <x v="98"/>
    </i>
    <i r="2">
      <x v="100"/>
    </i>
    <i r="2">
      <x v="108"/>
    </i>
    <i r="2">
      <x v="109"/>
    </i>
    <i r="2">
      <x v="110"/>
    </i>
    <i r="2">
      <x v="111"/>
    </i>
    <i r="2">
      <x v="112"/>
    </i>
    <i r="2">
      <x v="116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4"/>
    </i>
    <i r="2">
      <x v="135"/>
    </i>
    <i r="2">
      <x v="136"/>
    </i>
    <i r="2">
      <x v="138"/>
    </i>
    <i r="2">
      <x v="139"/>
    </i>
    <i r="2">
      <x v="142"/>
    </i>
    <i r="2">
      <x v="143"/>
    </i>
    <i r="2">
      <x v="144"/>
    </i>
    <i r="2">
      <x v="147"/>
    </i>
    <i r="2">
      <x v="148"/>
    </i>
    <i r="2">
      <x v="152"/>
    </i>
    <i r="2">
      <x v="153"/>
    </i>
    <i r="2">
      <x v="154"/>
    </i>
    <i r="2">
      <x v="156"/>
    </i>
    <i r="2">
      <x v="159"/>
    </i>
    <i r="2">
      <x v="162"/>
    </i>
    <i r="2">
      <x v="163"/>
    </i>
    <i r="2">
      <x v="164"/>
    </i>
    <i r="2">
      <x v="171"/>
    </i>
    <i r="2">
      <x v="172"/>
    </i>
    <i r="2">
      <x v="173"/>
    </i>
    <i r="2">
      <x v="174"/>
    </i>
    <i r="2">
      <x v="176"/>
    </i>
    <i r="2">
      <x v="179"/>
    </i>
    <i r="2">
      <x v="186"/>
    </i>
    <i r="2">
      <x v="188"/>
    </i>
    <i r="2">
      <x v="197"/>
    </i>
    <i r="2">
      <x v="199"/>
    </i>
    <i r="2">
      <x v="200"/>
    </i>
    <i r="2">
      <x v="202"/>
    </i>
    <i r="2">
      <x v="203"/>
    </i>
    <i r="2">
      <x v="206"/>
    </i>
    <i r="2">
      <x v="220"/>
    </i>
    <i r="2">
      <x v="227"/>
    </i>
    <i r="2">
      <x v="228"/>
    </i>
    <i r="2">
      <x v="229"/>
    </i>
    <i r="2">
      <x v="235"/>
    </i>
    <i r="2">
      <x v="236"/>
    </i>
    <i r="2">
      <x v="289"/>
    </i>
    <i r="2">
      <x v="360"/>
    </i>
    <i r="2">
      <x v="361"/>
    </i>
    <i r="2">
      <x v="369"/>
    </i>
    <i r="2">
      <x v="396"/>
    </i>
    <i r="2">
      <x v="401"/>
    </i>
    <i r="2">
      <x v="423"/>
    </i>
    <i r="2">
      <x v="429"/>
    </i>
    <i r="1">
      <x v="55"/>
      <x v="306"/>
    </i>
    <i r="2">
      <x v="359"/>
    </i>
    <i r="1">
      <x v="59"/>
      <x v="336"/>
    </i>
    <i r="2">
      <x v="337"/>
    </i>
    <i r="2">
      <x v="338"/>
    </i>
    <i r="2">
      <x v="339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3">
    <pageField fld="1" hier="-1"/>
    <pageField fld="3" hier="-1"/>
    <pageField fld="9" hier="-1"/>
  </pageFields>
  <dataFields count="1">
    <dataField name="Suma de Valor USD" fld="8" baseField="0" baseItem="0" numFmtId="41"/>
  </dataFields>
  <formats count="14">
    <format dxfId="458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457">
      <pivotArea outline="0" collapsedLevelsAreSubtotals="1" fieldPosition="0"/>
    </format>
    <format dxfId="456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455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454">
      <pivotArea outline="0" collapsedLevelsAreSubtotals="1" fieldPosition="0"/>
    </format>
    <format dxfId="453">
      <pivotArea outline="0" fieldPosition="0">
        <references count="1">
          <reference field="9" count="1" selected="0" defaultSubtotal="1">
            <x v="0"/>
          </reference>
        </references>
      </pivotArea>
    </format>
    <format dxfId="452">
      <pivotArea outline="0" fieldPosition="0">
        <references count="1">
          <reference field="9" count="1" selected="0" defaultSubtotal="1">
            <x v="1"/>
          </reference>
        </references>
      </pivotArea>
    </format>
    <format dxfId="451">
      <pivotArea outline="0" fieldPosition="0">
        <references count="1">
          <reference field="9" count="1" selected="0" defaultSubtotal="1">
            <x v="2"/>
          </reference>
        </references>
      </pivotArea>
    </format>
    <format dxfId="450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449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448">
      <pivotArea outline="0" fieldPosition="0">
        <references count="1">
          <reference field="11" count="1" selected="0">
            <x v="9"/>
          </reference>
        </references>
      </pivotArea>
    </format>
    <format dxfId="447">
      <pivotArea outline="0" fieldPosition="0">
        <references count="1">
          <reference field="11" count="1" selected="0">
            <x v="8"/>
          </reference>
        </references>
      </pivotArea>
    </format>
    <format dxfId="446">
      <pivotArea field="11" grandRow="1" outline="0" axis="axisCol" fieldPosition="0">
        <references count="1">
          <reference field="11" count="1" selected="0">
            <x v="8"/>
          </reference>
        </references>
      </pivotArea>
    </format>
    <format dxfId="445">
      <pivotArea field="11" grandRow="1" outline="0" axis="axisCol" fieldPosition="0">
        <references count="1">
          <reference field="11" count="1" selected="0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38EE8-3CD4-4812-BE28-FD4C71832C95}" name="TablaDinámica10" cacheId="8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28:M33" firstHeaderRow="1" firstDataRow="2" firstDataCol="1" rowPageCount="5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30">
        <item x="89"/>
        <item x="90"/>
        <item x="93"/>
        <item x="148"/>
        <item x="172"/>
        <item x="81"/>
        <item sd="0" x="34"/>
        <item x="63"/>
        <item x="6"/>
        <item x="0"/>
        <item x="277"/>
        <item x="305"/>
        <item x="329"/>
        <item x="106"/>
        <item x="83"/>
        <item x="215"/>
        <item m="1" x="398"/>
        <item x="256"/>
        <item x="88"/>
        <item x="12"/>
        <item x="263"/>
        <item x="74"/>
        <item x="341"/>
        <item x="324"/>
        <item x="120"/>
        <item x="257"/>
        <item x="150"/>
        <item x="149"/>
        <item x="112"/>
        <item m="1" x="407"/>
        <item m="1" x="382"/>
        <item x="111"/>
        <item x="326"/>
        <item x="272"/>
        <item x="241"/>
        <item x="242"/>
        <item x="122"/>
        <item x="203"/>
        <item x="33"/>
        <item x="86"/>
        <item x="126"/>
        <item x="77"/>
        <item x="270"/>
        <item x="85"/>
        <item x="105"/>
        <item x="371"/>
        <item x="332"/>
        <item m="1" x="387"/>
        <item x="179"/>
        <item x="158"/>
        <item x="154"/>
        <item m="1" x="413"/>
        <item x="10"/>
        <item x="25"/>
        <item x="42"/>
        <item x="49"/>
        <item x="325"/>
        <item x="70"/>
        <item x="87"/>
        <item x="13"/>
        <item x="69"/>
        <item x="157"/>
        <item x="20"/>
        <item x="27"/>
        <item x="226"/>
        <item x="100"/>
        <item x="202"/>
        <item x="96"/>
        <item x="208"/>
        <item x="210"/>
        <item x="209"/>
        <item x="17"/>
        <item x="143"/>
        <item x="265"/>
        <item x="246"/>
        <item x="11"/>
        <item m="1" x="389"/>
        <item x="66"/>
        <item m="1" x="390"/>
        <item m="1" x="423"/>
        <item m="1" x="391"/>
        <item x="95"/>
        <item x="84"/>
        <item x="302"/>
        <item x="132"/>
        <item x="38"/>
        <item x="323"/>
        <item x="205"/>
        <item x="50"/>
        <item x="7"/>
        <item x="3"/>
        <item x="130"/>
        <item x="136"/>
        <item x="137"/>
        <item x="4"/>
        <item x="24"/>
        <item x="71"/>
        <item x="229"/>
        <item x="9"/>
        <item x="62"/>
        <item x="21"/>
        <item m="1" x="399"/>
        <item m="1" x="427"/>
        <item x="173"/>
        <item x="174"/>
        <item x="176"/>
        <item x="327"/>
        <item x="109"/>
        <item x="15"/>
        <item x="244"/>
        <item x="161"/>
        <item x="40"/>
        <item x="273"/>
        <item x="155"/>
        <item x="107"/>
        <item x="98"/>
        <item x="36"/>
        <item m="1" x="416"/>
        <item m="1" x="393"/>
        <item m="1" x="424"/>
        <item x="123"/>
        <item x="165"/>
        <item x="19"/>
        <item x="48"/>
        <item x="258"/>
        <item x="250"/>
        <item x="260"/>
        <item x="247"/>
        <item x="31"/>
        <item x="248"/>
        <item x="22"/>
        <item x="240"/>
        <item x="266"/>
        <item x="75"/>
        <item x="32"/>
        <item x="261"/>
        <item x="16"/>
        <item x="65"/>
        <item x="26"/>
        <item x="245"/>
        <item x="73"/>
        <item x="72"/>
        <item x="268"/>
        <item x="251"/>
        <item x="264"/>
        <item x="138"/>
        <item x="108"/>
        <item x="23"/>
        <item x="340"/>
        <item x="151"/>
        <item x="152"/>
        <item x="200"/>
        <item x="39"/>
        <item x="1"/>
        <item x="18"/>
        <item x="97"/>
        <item x="252"/>
        <item x="124"/>
        <item x="91"/>
        <item x="37"/>
        <item x="94"/>
        <item m="1" x="403"/>
        <item x="8"/>
        <item x="14"/>
        <item x="339"/>
        <item m="1" x="385"/>
        <item x="214"/>
        <item m="1" x="409"/>
        <item m="1" x="411"/>
        <item m="1" x="408"/>
        <item m="1" x="410"/>
        <item x="2"/>
        <item x="271"/>
        <item x="78"/>
        <item x="59"/>
        <item x="331"/>
        <item x="35"/>
        <item x="135"/>
        <item x="82"/>
        <item x="253"/>
        <item m="1" x="401"/>
        <item m="1" x="428"/>
        <item x="287"/>
        <item m="1" x="384"/>
        <item x="51"/>
        <item x="160"/>
        <item x="5"/>
        <item x="129"/>
        <item x="267"/>
        <item x="118"/>
        <item x="119"/>
        <item x="92"/>
        <item x="121"/>
        <item x="307"/>
        <item x="286"/>
        <item x="304"/>
        <item x="306"/>
        <item x="163"/>
        <item x="206"/>
        <item x="60"/>
        <item x="243"/>
        <item x="64"/>
        <item x="47"/>
        <item x="29"/>
        <item x="190"/>
        <item m="1" x="426"/>
        <item x="30"/>
        <item x="141"/>
        <item m="1" x="429"/>
        <item x="195"/>
        <item x="330"/>
        <item x="283"/>
        <item x="282"/>
        <item x="281"/>
        <item x="284"/>
        <item x="113"/>
        <item x="216"/>
        <item x="328"/>
        <item x="103"/>
        <item x="104"/>
        <item x="254"/>
        <item m="1" x="395"/>
        <item m="1" x="425"/>
        <item m="1" x="380"/>
        <item x="99"/>
        <item x="301"/>
        <item x="303"/>
        <item x="249"/>
        <item x="28"/>
        <item x="255"/>
        <item x="349"/>
        <item x="343"/>
        <item x="351"/>
        <item x="345"/>
        <item x="363"/>
        <item x="262"/>
        <item x="269"/>
        <item m="1" x="417"/>
        <item x="101"/>
        <item x="102"/>
        <item x="125"/>
        <item x="128"/>
        <item x="131"/>
        <item x="144"/>
        <item x="146"/>
        <item x="147"/>
        <item m="1" x="412"/>
        <item x="222"/>
        <item x="223"/>
        <item x="224"/>
        <item x="230"/>
        <item x="232"/>
        <item x="234"/>
        <item x="235"/>
        <item x="236"/>
        <item x="237"/>
        <item x="238"/>
        <item x="285"/>
        <item x="300"/>
        <item x="334"/>
        <item x="335"/>
        <item m="1" x="414"/>
        <item m="1" x="415"/>
        <item x="338"/>
        <item x="344"/>
        <item x="346"/>
        <item x="347"/>
        <item x="348"/>
        <item x="350"/>
        <item x="352"/>
        <item x="353"/>
        <item x="354"/>
        <item x="355"/>
        <item x="364"/>
        <item x="366"/>
        <item x="372"/>
        <item x="373"/>
        <item x="374"/>
        <item x="375"/>
        <item x="376"/>
        <item x="377"/>
        <item x="378"/>
        <item x="336"/>
        <item x="337"/>
        <item x="274"/>
        <item x="275"/>
        <item m="1" x="420"/>
        <item x="359"/>
        <item x="379"/>
        <item x="41"/>
        <item x="76"/>
        <item x="114"/>
        <item x="115"/>
        <item x="116"/>
        <item x="133"/>
        <item x="156"/>
        <item x="201"/>
        <item x="220"/>
        <item x="221"/>
        <item m="1" x="381"/>
        <item x="117"/>
        <item x="192"/>
        <item x="194"/>
        <item x="207"/>
        <item x="211"/>
        <item x="239"/>
        <item x="280"/>
        <item x="333"/>
        <item m="1" x="418"/>
        <item m="1" x="421"/>
        <item m="1" x="419"/>
        <item m="1" x="422"/>
        <item m="1" x="386"/>
        <item m="1" x="388"/>
        <item m="1" x="392"/>
        <item m="1" x="394"/>
        <item m="1" x="396"/>
        <item m="1" x="397"/>
        <item m="1" x="400"/>
        <item m="1" x="402"/>
        <item x="225"/>
        <item x="233"/>
        <item m="1" x="406"/>
        <item x="212"/>
        <item x="217"/>
        <item x="288"/>
        <item x="289"/>
        <item x="290"/>
        <item x="291"/>
        <item x="308"/>
        <item x="309"/>
        <item x="310"/>
        <item x="311"/>
        <item x="312"/>
        <item x="313"/>
        <item x="166"/>
        <item x="167"/>
        <item x="168"/>
        <item x="169"/>
        <item x="170"/>
        <item x="171"/>
        <item m="1" x="383"/>
        <item x="140"/>
        <item m="1" x="404"/>
        <item x="358"/>
        <item x="360"/>
        <item x="361"/>
        <item x="367"/>
        <item x="368"/>
        <item x="292"/>
        <item x="293"/>
        <item x="294"/>
        <item x="295"/>
        <item m="1" x="405"/>
        <item x="315"/>
        <item x="316"/>
        <item x="317"/>
        <item x="318"/>
        <item x="314"/>
        <item x="43"/>
        <item x="44"/>
        <item x="45"/>
        <item x="110"/>
        <item x="127"/>
        <item x="134"/>
        <item x="142"/>
        <item x="145"/>
        <item x="153"/>
        <item x="162"/>
        <item x="164"/>
        <item x="175"/>
        <item x="177"/>
        <item x="178"/>
        <item x="180"/>
        <item x="181"/>
        <item x="182"/>
        <item x="183"/>
        <item x="184"/>
        <item x="185"/>
        <item x="186"/>
        <item x="187"/>
        <item x="188"/>
        <item x="189"/>
        <item x="191"/>
        <item x="193"/>
        <item x="196"/>
        <item x="197"/>
        <item x="198"/>
        <item x="199"/>
        <item x="204"/>
        <item x="213"/>
        <item x="218"/>
        <item x="219"/>
        <item x="227"/>
        <item x="228"/>
        <item x="231"/>
        <item x="276"/>
        <item x="278"/>
        <item x="279"/>
        <item x="296"/>
        <item x="319"/>
        <item x="259"/>
        <item x="297"/>
        <item x="298"/>
        <item x="299"/>
        <item x="320"/>
        <item x="321"/>
        <item x="342"/>
        <item x="356"/>
        <item x="357"/>
        <item x="52"/>
        <item x="53"/>
        <item x="54"/>
        <item x="55"/>
        <item x="56"/>
        <item x="57"/>
        <item x="58"/>
        <item x="67"/>
        <item x="68"/>
        <item x="79"/>
        <item x="80"/>
        <item x="139"/>
        <item x="159"/>
        <item x="61"/>
        <item x="322"/>
        <item x="362"/>
        <item x="365"/>
        <item x="369"/>
        <item x="370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15">
        <item sd="0" m="1" x="13"/>
        <item sd="0" x="5"/>
        <item sd="0" x="2"/>
        <item sd="0" x="3"/>
        <item sd="0" m="1" x="10"/>
        <item sd="0" m="1" x="12"/>
        <item sd="0" x="4"/>
        <item sd="0" x="8"/>
        <item sd="0" m="1" x="14"/>
        <item sd="0" m="1" x="11"/>
        <item sd="0" x="6"/>
        <item sd="0" x="0"/>
        <item sd="0" x="7"/>
        <item h="1" sd="0" x="9"/>
        <item sd="0" x="1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6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0">
        <item sd="0" x="47"/>
        <item sd="0" x="6"/>
        <item sd="0" x="19"/>
        <item sd="0" x="18"/>
        <item sd="0" m="1" x="50"/>
        <item x="1"/>
        <item sd="0" x="25"/>
        <item sd="0" m="1" x="57"/>
        <item sd="0" m="1" x="59"/>
        <item sd="0" x="10"/>
        <item sd="0" m="1" x="52"/>
        <item sd="0" x="26"/>
        <item sd="0" x="45"/>
        <item sd="0" x="44"/>
        <item sd="0" m="1" x="55"/>
        <item sd="0" x="21"/>
        <item sd="0" m="1" x="51"/>
        <item sd="0" x="20"/>
        <item sd="0" m="1" x="54"/>
        <item sd="0" x="39"/>
        <item sd="0" x="37"/>
        <item sd="0" x="49"/>
        <item sd="0" x="29"/>
        <item sd="0" x="8"/>
        <item sd="0" x="15"/>
        <item sd="0" x="43"/>
        <item sd="0" x="27"/>
        <item sd="0" x="36"/>
        <item sd="0" x="46"/>
        <item sd="0" x="3"/>
        <item sd="0" x="5"/>
        <item sd="0" x="40"/>
        <item sd="0" x="35"/>
        <item sd="0" x="34"/>
        <item sd="0" x="32"/>
        <item sd="0" x="12"/>
        <item sd="0" x="14"/>
        <item x="16"/>
        <item sd="0" x="48"/>
        <item sd="0" x="11"/>
        <item x="0"/>
        <item sd="0" x="4"/>
        <item sd="0" x="28"/>
        <item sd="0" x="42"/>
        <item sd="0" x="7"/>
        <item sd="0" x="9"/>
        <item sd="0" x="41"/>
        <item sd="0" x="13"/>
        <item sd="0" x="17"/>
        <item sd="0" x="23"/>
        <item x="33"/>
        <item sd="0" m="1" x="58"/>
        <item sd="0" m="1" x="53"/>
        <item sd="0" x="31"/>
        <item x="30"/>
        <item h="1" sd="0" x="2"/>
        <item sd="0" m="1" x="56"/>
        <item x="22"/>
        <item x="38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5">
    <pageField fld="1" hier="-1"/>
    <pageField fld="4" hier="-1"/>
    <pageField fld="3" hier="-1"/>
    <pageField fld="5" hier="-1"/>
    <pageField fld="2" hier="-1"/>
  </pageFields>
  <dataFields count="1">
    <dataField name="Suma de Valor USD" fld="8" baseField="0" baseItem="0" numFmtId="41"/>
  </dataFields>
  <formats count="12">
    <format dxfId="432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431">
      <pivotArea outline="0" collapsedLevelsAreSubtotals="1" fieldPosition="0"/>
    </format>
    <format dxfId="430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429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428">
      <pivotArea outline="0" collapsedLevelsAreSubtotals="1" fieldPosition="0"/>
    </format>
    <format dxfId="427">
      <pivotArea outline="0" fieldPosition="0">
        <references count="1">
          <reference field="9" count="1" selected="0" defaultSubtotal="1">
            <x v="0"/>
          </reference>
        </references>
      </pivotArea>
    </format>
    <format dxfId="426">
      <pivotArea outline="0" fieldPosition="0">
        <references count="1">
          <reference field="9" count="1" selected="0" defaultSubtotal="1">
            <x v="1"/>
          </reference>
        </references>
      </pivotArea>
    </format>
    <format dxfId="425">
      <pivotArea outline="0" fieldPosition="0">
        <references count="1">
          <reference field="9" count="1" selected="0" defaultSubtotal="1">
            <x v="2"/>
          </reference>
        </references>
      </pivotArea>
    </format>
    <format dxfId="424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423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422">
      <pivotArea outline="0" fieldPosition="0">
        <references count="1">
          <reference field="11" count="1" selected="0">
            <x v="9"/>
          </reference>
        </references>
      </pivotArea>
    </format>
    <format dxfId="421">
      <pivotArea outline="0" fieldPosition="0">
        <references count="1">
          <reference field="11" count="1" selected="0">
            <x v="8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B035A-AD13-433E-946F-9F677A773E58}" name="TablaDinámica4" cacheId="8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fieldListSortAscending="1">
  <location ref="A7:M17" firstHeaderRow="1" firstDataRow="2" firstDataCol="1" rowPageCount="5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30">
        <item x="89"/>
        <item x="90"/>
        <item x="93"/>
        <item x="148"/>
        <item x="172"/>
        <item x="81"/>
        <item sd="0" x="34"/>
        <item x="63"/>
        <item x="6"/>
        <item x="0"/>
        <item x="277"/>
        <item x="305"/>
        <item x="329"/>
        <item x="106"/>
        <item x="83"/>
        <item x="215"/>
        <item m="1" x="398"/>
        <item x="256"/>
        <item x="88"/>
        <item x="12"/>
        <item x="263"/>
        <item x="74"/>
        <item x="341"/>
        <item x="324"/>
        <item x="120"/>
        <item x="257"/>
        <item x="150"/>
        <item x="149"/>
        <item x="112"/>
        <item m="1" x="407"/>
        <item m="1" x="382"/>
        <item x="111"/>
        <item x="326"/>
        <item x="272"/>
        <item x="241"/>
        <item x="242"/>
        <item x="122"/>
        <item x="203"/>
        <item x="33"/>
        <item x="86"/>
        <item x="126"/>
        <item x="77"/>
        <item x="270"/>
        <item x="85"/>
        <item x="105"/>
        <item x="371"/>
        <item x="332"/>
        <item m="1" x="387"/>
        <item x="179"/>
        <item x="158"/>
        <item x="154"/>
        <item m="1" x="413"/>
        <item x="10"/>
        <item x="25"/>
        <item x="42"/>
        <item x="49"/>
        <item x="325"/>
        <item x="70"/>
        <item x="87"/>
        <item x="13"/>
        <item x="69"/>
        <item x="157"/>
        <item x="20"/>
        <item x="27"/>
        <item x="226"/>
        <item x="100"/>
        <item x="202"/>
        <item x="96"/>
        <item x="208"/>
        <item x="210"/>
        <item x="209"/>
        <item x="17"/>
        <item x="143"/>
        <item x="265"/>
        <item x="246"/>
        <item x="11"/>
        <item m="1" x="389"/>
        <item x="66"/>
        <item m="1" x="390"/>
        <item m="1" x="423"/>
        <item m="1" x="391"/>
        <item x="95"/>
        <item x="84"/>
        <item x="302"/>
        <item x="132"/>
        <item x="38"/>
        <item x="323"/>
        <item x="205"/>
        <item x="50"/>
        <item x="7"/>
        <item x="3"/>
        <item x="130"/>
        <item x="136"/>
        <item x="137"/>
        <item x="4"/>
        <item x="24"/>
        <item x="71"/>
        <item x="229"/>
        <item x="9"/>
        <item x="62"/>
        <item x="21"/>
        <item m="1" x="399"/>
        <item m="1" x="427"/>
        <item x="173"/>
        <item x="174"/>
        <item x="176"/>
        <item x="327"/>
        <item x="109"/>
        <item x="15"/>
        <item x="244"/>
        <item x="161"/>
        <item x="40"/>
        <item x="273"/>
        <item x="155"/>
        <item x="107"/>
        <item x="98"/>
        <item x="36"/>
        <item m="1" x="416"/>
        <item m="1" x="393"/>
        <item m="1" x="424"/>
        <item x="123"/>
        <item x="165"/>
        <item x="19"/>
        <item x="48"/>
        <item x="258"/>
        <item x="250"/>
        <item x="260"/>
        <item x="247"/>
        <item x="31"/>
        <item x="248"/>
        <item x="22"/>
        <item x="240"/>
        <item x="266"/>
        <item x="75"/>
        <item x="32"/>
        <item x="261"/>
        <item x="16"/>
        <item x="65"/>
        <item x="26"/>
        <item x="245"/>
        <item x="73"/>
        <item x="72"/>
        <item x="268"/>
        <item x="251"/>
        <item x="264"/>
        <item x="138"/>
        <item x="108"/>
        <item x="23"/>
        <item x="340"/>
        <item x="151"/>
        <item x="152"/>
        <item x="200"/>
        <item x="39"/>
        <item x="1"/>
        <item x="18"/>
        <item x="97"/>
        <item x="252"/>
        <item x="124"/>
        <item x="91"/>
        <item x="37"/>
        <item x="94"/>
        <item m="1" x="403"/>
        <item x="8"/>
        <item x="14"/>
        <item x="339"/>
        <item m="1" x="385"/>
        <item x="214"/>
        <item m="1" x="409"/>
        <item m="1" x="411"/>
        <item m="1" x="408"/>
        <item m="1" x="410"/>
        <item x="2"/>
        <item x="271"/>
        <item x="78"/>
        <item x="59"/>
        <item x="331"/>
        <item x="35"/>
        <item x="135"/>
        <item x="82"/>
        <item x="253"/>
        <item m="1" x="401"/>
        <item m="1" x="428"/>
        <item x="287"/>
        <item m="1" x="384"/>
        <item x="51"/>
        <item x="160"/>
        <item x="5"/>
        <item x="129"/>
        <item x="267"/>
        <item x="118"/>
        <item x="119"/>
        <item x="92"/>
        <item x="121"/>
        <item x="307"/>
        <item x="286"/>
        <item x="304"/>
        <item x="306"/>
        <item x="163"/>
        <item x="206"/>
        <item x="60"/>
        <item x="243"/>
        <item x="64"/>
        <item x="47"/>
        <item x="29"/>
        <item x="190"/>
        <item m="1" x="426"/>
        <item x="30"/>
        <item x="141"/>
        <item m="1" x="429"/>
        <item x="195"/>
        <item x="330"/>
        <item x="283"/>
        <item x="282"/>
        <item x="281"/>
        <item x="284"/>
        <item x="113"/>
        <item x="216"/>
        <item x="328"/>
        <item x="103"/>
        <item x="104"/>
        <item x="254"/>
        <item m="1" x="395"/>
        <item m="1" x="425"/>
        <item m="1" x="380"/>
        <item x="99"/>
        <item x="301"/>
        <item x="303"/>
        <item x="249"/>
        <item x="28"/>
        <item x="255"/>
        <item x="349"/>
        <item x="343"/>
        <item x="351"/>
        <item x="345"/>
        <item x="363"/>
        <item x="262"/>
        <item x="269"/>
        <item m="1" x="417"/>
        <item x="101"/>
        <item x="102"/>
        <item x="125"/>
        <item x="128"/>
        <item x="131"/>
        <item x="144"/>
        <item x="146"/>
        <item x="147"/>
        <item m="1" x="412"/>
        <item x="222"/>
        <item x="223"/>
        <item x="224"/>
        <item x="230"/>
        <item x="232"/>
        <item x="234"/>
        <item x="235"/>
        <item x="236"/>
        <item x="237"/>
        <item x="238"/>
        <item x="285"/>
        <item x="300"/>
        <item x="334"/>
        <item x="335"/>
        <item m="1" x="414"/>
        <item m="1" x="415"/>
        <item x="338"/>
        <item x="344"/>
        <item x="346"/>
        <item x="347"/>
        <item x="348"/>
        <item x="350"/>
        <item x="352"/>
        <item x="353"/>
        <item x="354"/>
        <item x="355"/>
        <item x="364"/>
        <item x="366"/>
        <item x="372"/>
        <item x="373"/>
        <item x="374"/>
        <item x="375"/>
        <item x="376"/>
        <item x="377"/>
        <item x="378"/>
        <item x="336"/>
        <item x="337"/>
        <item x="274"/>
        <item x="275"/>
        <item m="1" x="420"/>
        <item x="359"/>
        <item x="379"/>
        <item x="41"/>
        <item x="76"/>
        <item x="114"/>
        <item x="115"/>
        <item x="116"/>
        <item x="133"/>
        <item x="156"/>
        <item x="201"/>
        <item x="220"/>
        <item x="221"/>
        <item m="1" x="381"/>
        <item x="117"/>
        <item x="192"/>
        <item x="194"/>
        <item x="207"/>
        <item x="211"/>
        <item x="239"/>
        <item x="280"/>
        <item x="333"/>
        <item m="1" x="418"/>
        <item m="1" x="421"/>
        <item m="1" x="419"/>
        <item m="1" x="422"/>
        <item m="1" x="386"/>
        <item m="1" x="388"/>
        <item m="1" x="392"/>
        <item m="1" x="394"/>
        <item m="1" x="396"/>
        <item m="1" x="397"/>
        <item m="1" x="400"/>
        <item m="1" x="402"/>
        <item x="225"/>
        <item x="233"/>
        <item m="1" x="406"/>
        <item x="212"/>
        <item x="217"/>
        <item x="288"/>
        <item x="289"/>
        <item x="290"/>
        <item x="291"/>
        <item x="308"/>
        <item x="309"/>
        <item x="310"/>
        <item x="311"/>
        <item x="312"/>
        <item x="313"/>
        <item x="166"/>
        <item x="167"/>
        <item x="168"/>
        <item x="169"/>
        <item x="170"/>
        <item x="171"/>
        <item m="1" x="383"/>
        <item x="140"/>
        <item m="1" x="404"/>
        <item x="358"/>
        <item x="360"/>
        <item x="361"/>
        <item x="367"/>
        <item x="368"/>
        <item x="292"/>
        <item x="293"/>
        <item x="294"/>
        <item x="295"/>
        <item m="1" x="405"/>
        <item x="315"/>
        <item x="316"/>
        <item x="317"/>
        <item x="318"/>
        <item x="314"/>
        <item x="43"/>
        <item x="44"/>
        <item x="45"/>
        <item x="110"/>
        <item x="127"/>
        <item x="134"/>
        <item x="142"/>
        <item x="145"/>
        <item x="153"/>
        <item x="162"/>
        <item x="164"/>
        <item x="175"/>
        <item x="177"/>
        <item x="178"/>
        <item x="180"/>
        <item x="181"/>
        <item x="182"/>
        <item x="183"/>
        <item x="184"/>
        <item x="185"/>
        <item x="186"/>
        <item x="187"/>
        <item x="188"/>
        <item x="189"/>
        <item x="191"/>
        <item x="193"/>
        <item x="196"/>
        <item x="197"/>
        <item x="198"/>
        <item x="199"/>
        <item x="204"/>
        <item x="213"/>
        <item x="218"/>
        <item x="219"/>
        <item x="227"/>
        <item x="228"/>
        <item x="231"/>
        <item x="276"/>
        <item x="278"/>
        <item x="279"/>
        <item x="296"/>
        <item x="319"/>
        <item x="259"/>
        <item x="297"/>
        <item x="298"/>
        <item x="299"/>
        <item x="320"/>
        <item x="321"/>
        <item x="342"/>
        <item x="356"/>
        <item x="357"/>
        <item x="52"/>
        <item x="53"/>
        <item x="54"/>
        <item x="55"/>
        <item x="56"/>
        <item x="57"/>
        <item x="58"/>
        <item x="67"/>
        <item x="68"/>
        <item x="79"/>
        <item x="80"/>
        <item x="139"/>
        <item x="159"/>
        <item x="61"/>
        <item x="322"/>
        <item x="362"/>
        <item x="365"/>
        <item x="369"/>
        <item x="370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descending" defaultSubtotal="0">
      <items count="15">
        <item sd="0" m="1" x="13"/>
        <item sd="0" x="5"/>
        <item sd="0" x="2"/>
        <item sd="0" x="3"/>
        <item sd="0" m="1" x="10"/>
        <item sd="0" m="1" x="12"/>
        <item sd="0" x="4"/>
        <item sd="0" x="8"/>
        <item sd="0" m="1" x="14"/>
        <item sd="0" m="1" x="11"/>
        <item sd="0" x="6"/>
        <item sd="0" x="0"/>
        <item sd="0" x="7"/>
        <item h="1" sd="0" x="9"/>
        <item sd="0" x="1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0">
        <item sd="0" x="47"/>
        <item sd="0" x="6"/>
        <item sd="0" x="19"/>
        <item sd="0" x="18"/>
        <item sd="0" m="1" x="50"/>
        <item x="1"/>
        <item sd="0" x="25"/>
        <item sd="0" m="1" x="57"/>
        <item sd="0" m="1" x="59"/>
        <item sd="0" x="10"/>
        <item sd="0" m="1" x="52"/>
        <item sd="0" x="26"/>
        <item sd="0" x="45"/>
        <item sd="0" x="44"/>
        <item sd="0" m="1" x="55"/>
        <item sd="0" x="21"/>
        <item sd="0" m="1" x="51"/>
        <item sd="0" x="20"/>
        <item sd="0" m="1" x="54"/>
        <item sd="0" x="39"/>
        <item sd="0" x="37"/>
        <item sd="0" x="49"/>
        <item sd="0" x="29"/>
        <item sd="0" x="8"/>
        <item sd="0" x="15"/>
        <item sd="0" x="43"/>
        <item sd="0" x="27"/>
        <item sd="0" x="36"/>
        <item sd="0" x="46"/>
        <item sd="0" x="3"/>
        <item sd="0" x="5"/>
        <item sd="0" x="40"/>
        <item sd="0" x="35"/>
        <item sd="0" x="34"/>
        <item sd="0" x="32"/>
        <item sd="0" x="12"/>
        <item sd="0" x="14"/>
        <item x="16"/>
        <item sd="0" x="48"/>
        <item sd="0" x="11"/>
        <item x="0"/>
        <item sd="0" x="4"/>
        <item sd="0" x="28"/>
        <item sd="0" x="42"/>
        <item sd="0" x="7"/>
        <item sd="0" x="9"/>
        <item sd="0" x="41"/>
        <item sd="0" x="13"/>
        <item sd="0" x="17"/>
        <item sd="0" x="23"/>
        <item x="33"/>
        <item sd="0" m="1" x="58"/>
        <item sd="0" m="1" x="53"/>
        <item sd="0" x="31"/>
        <item x="30"/>
        <item h="1" sd="0" x="2"/>
        <item sd="0" m="1" x="56"/>
        <item x="22"/>
        <item x="38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9">
    <i>
      <x v="11"/>
    </i>
    <i>
      <x v="2"/>
    </i>
    <i>
      <x v="3"/>
    </i>
    <i>
      <x v="14"/>
    </i>
    <i>
      <x v="6"/>
    </i>
    <i>
      <x v="1"/>
    </i>
    <i>
      <x v="10"/>
    </i>
    <i>
      <x v="12"/>
    </i>
    <i t="grand">
      <x/>
    </i>
  </rowItems>
  <colFields count="1">
    <field x="1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5">
    <pageField fld="1" hier="-1"/>
    <pageField fld="3" hier="-1"/>
    <pageField fld="5" hier="-1"/>
    <pageField fld="2" hier="-1"/>
    <pageField fld="9" hier="-1"/>
  </pageFields>
  <dataFields count="1">
    <dataField name="Suma de Valor USD" fld="8" baseField="0" baseItem="0" numFmtId="41"/>
  </dataFields>
  <formats count="12">
    <format dxfId="444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443">
      <pivotArea outline="0" collapsedLevelsAreSubtotals="1" fieldPosition="0"/>
    </format>
    <format dxfId="442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441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440">
      <pivotArea outline="0" collapsedLevelsAreSubtotals="1" fieldPosition="0"/>
    </format>
    <format dxfId="439">
      <pivotArea outline="0" fieldPosition="0">
        <references count="1">
          <reference field="9" count="1" selected="0" defaultSubtotal="1">
            <x v="0"/>
          </reference>
        </references>
      </pivotArea>
    </format>
    <format dxfId="438">
      <pivotArea outline="0" fieldPosition="0">
        <references count="1">
          <reference field="9" count="1" selected="0" defaultSubtotal="1">
            <x v="1"/>
          </reference>
        </references>
      </pivotArea>
    </format>
    <format dxfId="437">
      <pivotArea outline="0" fieldPosition="0">
        <references count="1">
          <reference field="9" count="1" selected="0" defaultSubtotal="1">
            <x v="2"/>
          </reference>
        </references>
      </pivotArea>
    </format>
    <format dxfId="436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435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434">
      <pivotArea outline="0" fieldPosition="0">
        <references count="1">
          <reference field="11" count="1" selected="0">
            <x v="9"/>
          </reference>
        </references>
      </pivotArea>
    </format>
    <format dxfId="433">
      <pivotArea outline="0" fieldPosition="0">
        <references count="1">
          <reference field="11" count="1" selected="0">
            <x v="8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0EC4B-6E20-4A43-8A1B-40F1E3513106}" name="TablaDinámica4" cacheId="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5:P15" firstHeaderRow="1" firstDataRow="2" firstDataCol="3" rowPageCount="3" colPageCount="1"/>
  <pivotFields count="1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x="0"/>
        <item x="1"/>
        <item sd="0" m="1" x="3"/>
        <item x="2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0">
        <item x="89"/>
        <item x="90"/>
        <item x="93"/>
        <item x="148"/>
        <item x="172"/>
        <item x="81"/>
        <item sd="0" x="34"/>
        <item x="63"/>
        <item x="6"/>
        <item x="0"/>
        <item x="277"/>
        <item x="305"/>
        <item x="329"/>
        <item x="106"/>
        <item x="83"/>
        <item x="215"/>
        <item m="1" x="398"/>
        <item x="256"/>
        <item x="88"/>
        <item x="12"/>
        <item x="263"/>
        <item x="74"/>
        <item x="341"/>
        <item x="324"/>
        <item x="120"/>
        <item x="257"/>
        <item x="150"/>
        <item x="149"/>
        <item x="112"/>
        <item m="1" x="407"/>
        <item m="1" x="382"/>
        <item x="111"/>
        <item x="326"/>
        <item x="272"/>
        <item x="241"/>
        <item x="242"/>
        <item x="122"/>
        <item x="203"/>
        <item x="33"/>
        <item x="86"/>
        <item x="126"/>
        <item x="77"/>
        <item x="270"/>
        <item x="85"/>
        <item x="105"/>
        <item x="371"/>
        <item x="332"/>
        <item m="1" x="387"/>
        <item x="179"/>
        <item x="158"/>
        <item x="154"/>
        <item m="1" x="413"/>
        <item x="10"/>
        <item x="25"/>
        <item x="42"/>
        <item x="49"/>
        <item x="325"/>
        <item x="70"/>
        <item x="87"/>
        <item x="13"/>
        <item x="69"/>
        <item x="157"/>
        <item x="20"/>
        <item x="27"/>
        <item x="226"/>
        <item x="100"/>
        <item x="202"/>
        <item x="96"/>
        <item x="208"/>
        <item x="210"/>
        <item x="209"/>
        <item x="17"/>
        <item x="143"/>
        <item x="265"/>
        <item x="246"/>
        <item x="11"/>
        <item m="1" x="389"/>
        <item x="66"/>
        <item m="1" x="390"/>
        <item m="1" x="423"/>
        <item m="1" x="391"/>
        <item x="95"/>
        <item x="84"/>
        <item x="302"/>
        <item x="132"/>
        <item x="38"/>
        <item x="323"/>
        <item x="205"/>
        <item x="50"/>
        <item x="7"/>
        <item x="3"/>
        <item x="130"/>
        <item x="136"/>
        <item x="137"/>
        <item x="4"/>
        <item x="24"/>
        <item x="71"/>
        <item x="229"/>
        <item x="9"/>
        <item x="62"/>
        <item x="21"/>
        <item m="1" x="399"/>
        <item m="1" x="427"/>
        <item x="173"/>
        <item x="174"/>
        <item x="176"/>
        <item x="327"/>
        <item x="109"/>
        <item x="15"/>
        <item x="244"/>
        <item x="161"/>
        <item x="40"/>
        <item x="273"/>
        <item x="155"/>
        <item x="107"/>
        <item x="98"/>
        <item x="36"/>
        <item m="1" x="416"/>
        <item m="1" x="393"/>
        <item m="1" x="424"/>
        <item x="123"/>
        <item x="165"/>
        <item x="19"/>
        <item x="48"/>
        <item x="258"/>
        <item x="250"/>
        <item x="260"/>
        <item x="247"/>
        <item x="31"/>
        <item x="248"/>
        <item x="22"/>
        <item x="240"/>
        <item x="266"/>
        <item x="75"/>
        <item x="32"/>
        <item x="261"/>
        <item x="16"/>
        <item x="65"/>
        <item x="26"/>
        <item x="245"/>
        <item x="73"/>
        <item x="72"/>
        <item x="268"/>
        <item x="251"/>
        <item x="264"/>
        <item x="138"/>
        <item x="108"/>
        <item x="23"/>
        <item x="340"/>
        <item x="151"/>
        <item x="152"/>
        <item x="200"/>
        <item x="39"/>
        <item x="1"/>
        <item x="18"/>
        <item x="97"/>
        <item x="252"/>
        <item x="124"/>
        <item x="91"/>
        <item x="37"/>
        <item x="94"/>
        <item m="1" x="403"/>
        <item x="8"/>
        <item x="14"/>
        <item x="339"/>
        <item m="1" x="385"/>
        <item x="214"/>
        <item m="1" x="409"/>
        <item m="1" x="411"/>
        <item m="1" x="408"/>
        <item m="1" x="410"/>
        <item x="2"/>
        <item x="271"/>
        <item x="78"/>
        <item x="59"/>
        <item x="331"/>
        <item x="35"/>
        <item x="135"/>
        <item x="82"/>
        <item x="253"/>
        <item m="1" x="401"/>
        <item m="1" x="428"/>
        <item x="287"/>
        <item m="1" x="384"/>
        <item x="51"/>
        <item x="160"/>
        <item x="5"/>
        <item x="129"/>
        <item x="267"/>
        <item x="118"/>
        <item x="119"/>
        <item x="92"/>
        <item x="121"/>
        <item x="307"/>
        <item x="286"/>
        <item x="304"/>
        <item x="306"/>
        <item x="163"/>
        <item x="206"/>
        <item x="60"/>
        <item x="243"/>
        <item x="64"/>
        <item x="47"/>
        <item x="29"/>
        <item x="190"/>
        <item m="1" x="426"/>
        <item x="30"/>
        <item x="141"/>
        <item m="1" x="429"/>
        <item x="195"/>
        <item x="330"/>
        <item x="283"/>
        <item x="282"/>
        <item x="281"/>
        <item x="284"/>
        <item x="113"/>
        <item x="216"/>
        <item x="328"/>
        <item x="103"/>
        <item x="104"/>
        <item x="254"/>
        <item m="1" x="395"/>
        <item m="1" x="425"/>
        <item m="1" x="380"/>
        <item x="99"/>
        <item x="301"/>
        <item x="303"/>
        <item x="249"/>
        <item x="28"/>
        <item x="255"/>
        <item x="349"/>
        <item x="343"/>
        <item x="351"/>
        <item x="345"/>
        <item x="363"/>
        <item x="262"/>
        <item x="269"/>
        <item m="1" x="417"/>
        <item x="101"/>
        <item x="102"/>
        <item x="125"/>
        <item x="128"/>
        <item x="131"/>
        <item x="144"/>
        <item x="146"/>
        <item x="147"/>
        <item m="1" x="412"/>
        <item x="222"/>
        <item x="223"/>
        <item x="224"/>
        <item x="230"/>
        <item x="232"/>
        <item x="234"/>
        <item x="235"/>
        <item x="236"/>
        <item x="237"/>
        <item x="238"/>
        <item x="285"/>
        <item x="300"/>
        <item x="334"/>
        <item x="335"/>
        <item m="1" x="414"/>
        <item m="1" x="415"/>
        <item x="338"/>
        <item x="344"/>
        <item x="346"/>
        <item x="347"/>
        <item x="348"/>
        <item x="350"/>
        <item x="352"/>
        <item x="353"/>
        <item x="354"/>
        <item x="355"/>
        <item x="364"/>
        <item x="366"/>
        <item x="372"/>
        <item x="373"/>
        <item x="374"/>
        <item x="375"/>
        <item x="376"/>
        <item x="377"/>
        <item x="378"/>
        <item x="336"/>
        <item x="337"/>
        <item x="274"/>
        <item x="275"/>
        <item m="1" x="420"/>
        <item x="359"/>
        <item x="379"/>
        <item x="41"/>
        <item x="76"/>
        <item x="114"/>
        <item x="115"/>
        <item x="116"/>
        <item x="133"/>
        <item x="156"/>
        <item x="201"/>
        <item x="220"/>
        <item x="221"/>
        <item m="1" x="381"/>
        <item x="117"/>
        <item x="192"/>
        <item x="194"/>
        <item x="207"/>
        <item x="211"/>
        <item x="239"/>
        <item x="280"/>
        <item x="333"/>
        <item m="1" x="418"/>
        <item m="1" x="421"/>
        <item m="1" x="419"/>
        <item m="1" x="422"/>
        <item m="1" x="386"/>
        <item m="1" x="388"/>
        <item m="1" x="392"/>
        <item m="1" x="394"/>
        <item m="1" x="396"/>
        <item m="1" x="397"/>
        <item m="1" x="400"/>
        <item m="1" x="402"/>
        <item x="225"/>
        <item x="233"/>
        <item m="1" x="406"/>
        <item x="212"/>
        <item x="217"/>
        <item x="288"/>
        <item x="289"/>
        <item x="290"/>
        <item x="291"/>
        <item x="308"/>
        <item x="309"/>
        <item x="310"/>
        <item x="311"/>
        <item x="312"/>
        <item x="313"/>
        <item x="166"/>
        <item x="167"/>
        <item x="168"/>
        <item x="169"/>
        <item x="170"/>
        <item x="171"/>
        <item m="1" x="383"/>
        <item x="140"/>
        <item m="1" x="404"/>
        <item x="358"/>
        <item x="360"/>
        <item x="361"/>
        <item x="367"/>
        <item x="368"/>
        <item x="292"/>
        <item x="293"/>
        <item x="294"/>
        <item x="295"/>
        <item m="1" x="405"/>
        <item x="315"/>
        <item x="316"/>
        <item x="317"/>
        <item x="318"/>
        <item x="314"/>
        <item x="43"/>
        <item x="44"/>
        <item x="45"/>
        <item x="110"/>
        <item x="127"/>
        <item x="134"/>
        <item x="142"/>
        <item x="145"/>
        <item x="153"/>
        <item x="162"/>
        <item x="164"/>
        <item x="175"/>
        <item x="177"/>
        <item x="178"/>
        <item x="180"/>
        <item x="181"/>
        <item x="182"/>
        <item x="183"/>
        <item x="184"/>
        <item x="185"/>
        <item x="186"/>
        <item x="187"/>
        <item x="188"/>
        <item x="189"/>
        <item x="191"/>
        <item x="193"/>
        <item x="196"/>
        <item x="197"/>
        <item x="198"/>
        <item x="199"/>
        <item x="204"/>
        <item x="213"/>
        <item x="218"/>
        <item x="219"/>
        <item x="227"/>
        <item x="228"/>
        <item x="231"/>
        <item x="276"/>
        <item x="278"/>
        <item x="279"/>
        <item x="296"/>
        <item x="319"/>
        <item x="259"/>
        <item x="297"/>
        <item x="298"/>
        <item x="299"/>
        <item x="320"/>
        <item x="321"/>
        <item x="342"/>
        <item x="356"/>
        <item x="357"/>
        <item x="52"/>
        <item x="53"/>
        <item x="54"/>
        <item x="55"/>
        <item x="56"/>
        <item x="57"/>
        <item x="58"/>
        <item x="67"/>
        <item x="68"/>
        <item x="79"/>
        <item x="80"/>
        <item x="139"/>
        <item x="159"/>
        <item x="61"/>
        <item x="322"/>
        <item x="362"/>
        <item x="365"/>
        <item x="369"/>
        <item x="370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8">
        <item x="0"/>
        <item x="2"/>
        <item m="1" x="7"/>
        <item h="1" x="3"/>
        <item x="1"/>
        <item m="1" x="6"/>
        <item m="1" x="4"/>
        <item m="1"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5">
        <item sd="0" m="1" x="13"/>
        <item sd="0" x="0"/>
        <item sd="0" x="2"/>
        <item sd="0" x="3"/>
        <item sd="0" m="1" x="10"/>
        <item sd="0" m="1" x="12"/>
        <item sd="0" x="1"/>
        <item sd="0" x="4"/>
        <item sd="0" x="8"/>
        <item sd="0" m="1" x="14"/>
        <item sd="0" m="1" x="11"/>
        <item sd="0" x="5"/>
        <item sd="0" x="6"/>
        <item sd="0" x="7"/>
        <item h="1"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60">
        <item sd="0" x="47"/>
        <item sd="0" x="6"/>
        <item sd="0" x="19"/>
        <item sd="0" x="18"/>
        <item sd="0" m="1" x="50"/>
        <item sd="0" x="1"/>
        <item sd="0" x="25"/>
        <item sd="0" m="1" x="57"/>
        <item sd="0" m="1" x="59"/>
        <item sd="0" x="10"/>
        <item sd="0" m="1" x="52"/>
        <item sd="0" x="26"/>
        <item sd="0" x="45"/>
        <item sd="0" x="44"/>
        <item sd="0" m="1" x="55"/>
        <item sd="0" x="21"/>
        <item sd="0" m="1" x="51"/>
        <item sd="0" x="20"/>
        <item sd="0" m="1" x="54"/>
        <item sd="0" x="39"/>
        <item sd="0" x="37"/>
        <item sd="0" x="49"/>
        <item sd="0" x="29"/>
        <item sd="0" x="8"/>
        <item sd="0" x="15"/>
        <item sd="0" x="43"/>
        <item sd="0" x="27"/>
        <item sd="0" x="36"/>
        <item x="46"/>
        <item sd="0" x="3"/>
        <item sd="0" x="5"/>
        <item sd="0" x="40"/>
        <item sd="0" x="35"/>
        <item sd="0" x="34"/>
        <item sd="0" x="32"/>
        <item sd="0" x="12"/>
        <item sd="0" x="14"/>
        <item x="16"/>
        <item sd="0" x="48"/>
        <item sd="0" x="11"/>
        <item sd="0" x="0"/>
        <item sd="0" x="4"/>
        <item sd="0" x="28"/>
        <item sd="0" x="42"/>
        <item sd="0" x="7"/>
        <item sd="0" x="9"/>
        <item sd="0" x="41"/>
        <item sd="0" x="13"/>
        <item sd="0" x="17"/>
        <item x="23"/>
        <item sd="0" x="33"/>
        <item sd="0" m="1" x="58"/>
        <item sd="0" m="1" x="53"/>
        <item sd="0" x="31"/>
        <item sd="0" x="30"/>
        <item h="1" sd="0" x="2"/>
        <item sd="0" m="1" x="56"/>
        <item sd="0" x="22"/>
        <item sd="0" x="38"/>
        <item sd="0"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"/>
    <field x="2"/>
  </rowFields>
  <rowItems count="9">
    <i>
      <x v="1"/>
    </i>
    <i>
      <x v="2"/>
    </i>
    <i>
      <x v="3"/>
    </i>
    <i>
      <x v="6"/>
    </i>
    <i>
      <x v="7"/>
    </i>
    <i>
      <x v="11"/>
    </i>
    <i>
      <x v="12"/>
    </i>
    <i>
      <x v="13"/>
    </i>
    <i t="grand">
      <x/>
    </i>
  </rowItems>
  <colFields count="1">
    <field x="1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hier="-1"/>
    <pageField fld="3" hier="-1"/>
    <pageField fld="9" hier="-1"/>
  </pageFields>
  <dataFields count="1">
    <dataField name="Suma de Valor USD" fld="8" baseField="0" baseItem="0" numFmtId="41"/>
  </dataFields>
  <formats count="49">
    <format dxfId="420">
      <pivotArea outline="0" fieldPosition="0">
        <references count="1">
          <reference field="11" count="2" selected="0">
            <x v="7"/>
            <x v="8"/>
          </reference>
        </references>
      </pivotArea>
    </format>
    <format dxfId="419">
      <pivotArea outline="0" collapsedLevelsAreSubtotals="1" fieldPosition="0"/>
    </format>
    <format dxfId="418">
      <pivotArea outline="0" fieldPosition="0">
        <references count="1">
          <reference field="11" count="5" selected="0">
            <x v="1"/>
            <x v="2"/>
            <x v="3"/>
            <x v="4"/>
            <x v="5"/>
          </reference>
        </references>
      </pivotArea>
    </format>
    <format dxfId="417">
      <pivotArea outline="0" fieldPosition="0">
        <references count="1">
          <reference field="11" count="7" selected="0">
            <x v="6"/>
            <x v="7"/>
            <x v="8"/>
            <x v="9"/>
            <x v="10"/>
            <x v="11"/>
            <x v="12"/>
          </reference>
        </references>
      </pivotArea>
    </format>
    <format dxfId="416">
      <pivotArea outline="0" collapsedLevelsAreSubtotals="1" fieldPosition="0"/>
    </format>
    <format dxfId="415">
      <pivotArea outline="0" fieldPosition="0">
        <references count="1">
          <reference field="9" count="1" selected="0" defaultSubtotal="1">
            <x v="0"/>
          </reference>
        </references>
      </pivotArea>
    </format>
    <format dxfId="414">
      <pivotArea outline="0" fieldPosition="0">
        <references count="1">
          <reference field="9" count="1" selected="0" defaultSubtotal="1">
            <x v="1"/>
          </reference>
        </references>
      </pivotArea>
    </format>
    <format dxfId="413">
      <pivotArea outline="0" fieldPosition="0">
        <references count="1">
          <reference field="9" count="1" selected="0" defaultSubtotal="1">
            <x v="2"/>
          </reference>
        </references>
      </pivotArea>
    </format>
    <format dxfId="412">
      <pivotArea field="11" grandRow="1" outline="0" axis="axisCol" fieldPosition="0">
        <references count="1">
          <reference field="11" count="1" selected="0">
            <x v="6"/>
          </reference>
        </references>
      </pivotArea>
    </format>
    <format dxfId="411">
      <pivotArea outline="0" fieldPosition="0">
        <references count="1">
          <reference field="11" count="2" selected="0">
            <x v="6"/>
            <x v="7"/>
          </reference>
        </references>
      </pivotArea>
    </format>
    <format dxfId="410">
      <pivotArea outline="0" fieldPosition="0">
        <references count="1">
          <reference field="11" count="1" selected="0">
            <x v="9"/>
          </reference>
        </references>
      </pivotArea>
    </format>
    <format dxfId="409">
      <pivotArea outline="0" fieldPosition="0">
        <references count="1">
          <reference field="11" count="1" selected="0">
            <x v="8"/>
          </reference>
        </references>
      </pivotArea>
    </format>
    <format dxfId="408">
      <pivotArea dataOnly="0" labelOnly="1" outline="0" fieldPosition="0">
        <references count="2">
          <reference field="4" count="0" selected="0"/>
          <reference field="5" count="1">
            <x v="2"/>
          </reference>
        </references>
      </pivotArea>
    </format>
    <format dxfId="407">
      <pivotArea dataOnly="0" labelOnly="1" outline="0" fieldPosition="0">
        <references count="2">
          <reference field="4" count="0" selected="0"/>
          <reference field="5" count="1">
            <x v="20"/>
          </reference>
        </references>
      </pivotArea>
    </format>
    <format dxfId="406">
      <pivotArea dataOnly="0" labelOnly="1" outline="0" fieldPosition="0">
        <references count="2">
          <reference field="4" count="0" selected="0"/>
          <reference field="5" count="1">
            <x v="19"/>
          </reference>
        </references>
      </pivotArea>
    </format>
    <format dxfId="405">
      <pivotArea dataOnly="0" labelOnly="1" outline="0" fieldPosition="0">
        <references count="2">
          <reference field="4" count="0" selected="0"/>
          <reference field="5" count="1">
            <x v="26"/>
          </reference>
        </references>
      </pivotArea>
    </format>
    <format dxfId="404">
      <pivotArea dataOnly="0" labelOnly="1" outline="0" fieldPosition="0">
        <references count="2">
          <reference field="4" count="0" selected="0"/>
          <reference field="5" count="1">
            <x v="37"/>
          </reference>
        </references>
      </pivotArea>
    </format>
    <format dxfId="403">
      <pivotArea dataOnly="0" labelOnly="1" outline="0" fieldPosition="0">
        <references count="2">
          <reference field="4" count="0" selected="0"/>
          <reference field="5" count="1">
            <x v="58"/>
          </reference>
        </references>
      </pivotArea>
    </format>
    <format dxfId="402">
      <pivotArea outline="0" fieldPosition="0">
        <references count="2">
          <reference field="4" count="0" selected="0"/>
          <reference field="5" count="1" selected="0">
            <x v="34"/>
          </reference>
        </references>
      </pivotArea>
    </format>
    <format dxfId="401">
      <pivotArea dataOnly="0" labelOnly="1" outline="0" fieldPosition="0">
        <references count="2">
          <reference field="4" count="0" selected="0"/>
          <reference field="5" count="1">
            <x v="34"/>
          </reference>
        </references>
      </pivotArea>
    </format>
    <format dxfId="400">
      <pivotArea outline="0" fieldPosition="0">
        <references count="2">
          <reference field="4" count="0" selected="0"/>
          <reference field="5" count="1" selected="0">
            <x v="47"/>
          </reference>
        </references>
      </pivotArea>
    </format>
    <format dxfId="399">
      <pivotArea dataOnly="0" labelOnly="1" outline="0" fieldPosition="0">
        <references count="2">
          <reference field="4" count="0" selected="0"/>
          <reference field="5" count="1">
            <x v="47"/>
          </reference>
        </references>
      </pivotArea>
    </format>
    <format dxfId="398">
      <pivotArea outline="0" fieldPosition="0">
        <references count="2">
          <reference field="4" count="0" selected="0"/>
          <reference field="5" count="1" selected="0">
            <x v="25"/>
          </reference>
        </references>
      </pivotArea>
    </format>
    <format dxfId="397">
      <pivotArea dataOnly="0" labelOnly="1" outline="0" fieldPosition="0">
        <references count="2">
          <reference field="4" count="0" selected="0"/>
          <reference field="5" count="1">
            <x v="25"/>
          </reference>
        </references>
      </pivotArea>
    </format>
    <format dxfId="396">
      <pivotArea dataOnly="0" labelOnly="1" outline="0" fieldPosition="0">
        <references count="2">
          <reference field="4" count="0" selected="0"/>
          <reference field="5" count="1">
            <x v="11"/>
          </reference>
        </references>
      </pivotArea>
    </format>
    <format dxfId="395">
      <pivotArea outline="0" fieldPosition="0">
        <references count="2">
          <reference field="4" count="0" selected="0"/>
          <reference field="5" count="1" selected="0">
            <x v="13"/>
          </reference>
        </references>
      </pivotArea>
    </format>
    <format dxfId="394">
      <pivotArea dataOnly="0" labelOnly="1" outline="0" fieldPosition="0">
        <references count="2">
          <reference field="4" count="0" selected="0"/>
          <reference field="5" count="1">
            <x v="13"/>
          </reference>
        </references>
      </pivotArea>
    </format>
    <format dxfId="393">
      <pivotArea dataOnly="0" labelOnly="1" outline="0" fieldPosition="0">
        <references count="2">
          <reference field="4" count="0" selected="0"/>
          <reference field="5" count="1">
            <x v="3"/>
          </reference>
        </references>
      </pivotArea>
    </format>
    <format dxfId="392">
      <pivotArea outline="0" fieldPosition="0">
        <references count="2">
          <reference field="4" count="0" selected="0"/>
          <reference field="5" count="1" selected="0">
            <x v="45"/>
          </reference>
        </references>
      </pivotArea>
    </format>
    <format dxfId="391">
      <pivotArea dataOnly="0" labelOnly="1" outline="0" fieldPosition="0">
        <references count="2">
          <reference field="4" count="0" selected="0"/>
          <reference field="5" count="1">
            <x v="45"/>
          </reference>
        </references>
      </pivotArea>
    </format>
    <format dxfId="390">
      <pivotArea dataOnly="0" labelOnly="1" outline="0" offset="A256" fieldPosition="0">
        <references count="2">
          <reference field="4" count="0" selected="0"/>
          <reference field="5" count="1">
            <x v="42"/>
          </reference>
        </references>
      </pivotArea>
    </format>
    <format dxfId="389">
      <pivotArea dataOnly="0" labelOnly="1" outline="0" offset="A256" fieldPosition="0">
        <references count="2">
          <reference field="4" count="0" selected="0"/>
          <reference field="5" count="1">
            <x v="35"/>
          </reference>
        </references>
      </pivotArea>
    </format>
    <format dxfId="388">
      <pivotArea dataOnly="0" labelOnly="1" outline="0" fieldPosition="0">
        <references count="2">
          <reference field="4" count="0" selected="0"/>
          <reference field="5" count="1">
            <x v="36"/>
          </reference>
        </references>
      </pivotArea>
    </format>
    <format dxfId="387">
      <pivotArea dataOnly="0" labelOnly="1" outline="0" offset="A256" fieldPosition="0">
        <references count="2">
          <reference field="4" count="0" selected="0"/>
          <reference field="5" count="1">
            <x v="39"/>
          </reference>
        </references>
      </pivotArea>
    </format>
    <format dxfId="386">
      <pivotArea dataOnly="0" labelOnly="1" outline="0" fieldPosition="0">
        <references count="2">
          <reference field="4" count="0" selected="0"/>
          <reference field="5" count="1">
            <x v="57"/>
          </reference>
        </references>
      </pivotArea>
    </format>
    <format dxfId="385">
      <pivotArea dataOnly="0" labelOnly="1" outline="0" offset="A256" fieldPosition="0">
        <references count="2">
          <reference field="4" count="0" selected="0"/>
          <reference field="5" count="1">
            <x v="43"/>
          </reference>
        </references>
      </pivotArea>
    </format>
    <format dxfId="384">
      <pivotArea dataOnly="0" labelOnly="1" outline="0" offset="A256" fieldPosition="0">
        <references count="2">
          <reference field="4" count="0" selected="0"/>
          <reference field="5" count="1">
            <x v="41"/>
          </reference>
        </references>
      </pivotArea>
    </format>
    <format dxfId="383">
      <pivotArea dataOnly="0" labelOnly="1" outline="0" offset="A256" fieldPosition="0">
        <references count="2">
          <reference field="4" count="0" selected="0"/>
          <reference field="5" count="1">
            <x v="22"/>
          </reference>
        </references>
      </pivotArea>
    </format>
    <format dxfId="382">
      <pivotArea dataOnly="0" labelOnly="1" outline="0" offset="A256" fieldPosition="0">
        <references count="2">
          <reference field="4" count="0" selected="0"/>
          <reference field="5" count="1">
            <x v="17"/>
          </reference>
        </references>
      </pivotArea>
    </format>
    <format dxfId="381">
      <pivotArea dataOnly="0" labelOnly="1" outline="0" fieldPosition="0">
        <references count="2">
          <reference field="4" count="0" selected="0"/>
          <reference field="5" count="1">
            <x v="15"/>
          </reference>
        </references>
      </pivotArea>
    </format>
    <format dxfId="380">
      <pivotArea dataOnly="0" labelOnly="1" outline="0" fieldPosition="0">
        <references count="2">
          <reference field="4" count="0" selected="0"/>
          <reference field="5" count="1">
            <x v="21"/>
          </reference>
        </references>
      </pivotArea>
    </format>
    <format dxfId="379">
      <pivotArea dataOnly="0" labelOnly="1" outline="0" offset="A256" fieldPosition="0">
        <references count="2">
          <reference field="4" count="0" selected="0"/>
          <reference field="5" count="1">
            <x v="53"/>
          </reference>
        </references>
      </pivotArea>
    </format>
    <format dxfId="378">
      <pivotArea dataOnly="0" labelOnly="1" outline="0" offset="A256" fieldPosition="0">
        <references count="2">
          <reference field="4" count="0" selected="0"/>
          <reference field="5" count="1">
            <x v="15"/>
          </reference>
        </references>
      </pivotArea>
    </format>
    <format dxfId="377">
      <pivotArea dataOnly="0" labelOnly="1" outline="0" offset="A256" fieldPosition="0">
        <references count="2">
          <reference field="4" count="0" selected="0"/>
          <reference field="5" count="1">
            <x v="32"/>
          </reference>
        </references>
      </pivotArea>
    </format>
    <format dxfId="376">
      <pivotArea dataOnly="0" labelOnly="1" outline="0" fieldPosition="0">
        <references count="2">
          <reference field="4" count="0" selected="0"/>
          <reference field="5" count="1">
            <x v="38"/>
          </reference>
        </references>
      </pivotArea>
    </format>
    <format dxfId="375">
      <pivotArea dataOnly="0" labelOnly="1" outline="0" offset="A256" fieldPosition="0">
        <references count="2">
          <reference field="4" count="0" selected="0"/>
          <reference field="5" count="1">
            <x v="29"/>
          </reference>
        </references>
      </pivotArea>
    </format>
    <format dxfId="374">
      <pivotArea dataOnly="0" labelOnly="1" outline="0" offset="A256" fieldPosition="0">
        <references count="2">
          <reference field="4" count="1" selected="0">
            <x v="13"/>
          </reference>
          <reference field="5" count="1">
            <x v="6"/>
          </reference>
        </references>
      </pivotArea>
    </format>
    <format dxfId="373">
      <pivotArea dataOnly="0" labelOnly="1" outline="0" offset="A256" fieldPosition="0">
        <references count="2">
          <reference field="4" count="1" selected="0">
            <x v="12"/>
          </reference>
          <reference field="5" count="1">
            <x v="48"/>
          </reference>
        </references>
      </pivotArea>
    </format>
    <format dxfId="372">
      <pivotArea dataOnly="0" labelOnly="1" outline="0" offset="IV1" fieldPosition="0">
        <references count="2">
          <reference field="4" count="1" selected="0">
            <x v="11"/>
          </reference>
          <reference field="5" count="1">
            <x v="49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4" dT="2024-11-11T12:39:04.79" personId="{A00E64A3-AFEE-4C9E-9B74-0BA9B6D376E9}" id="{201FB519-B5F7-4578-BB18-E6AD8AE4A359}">
    <text>La proyección ajustada arriba se carga a Chile como unidad generadora del gasto</text>
  </threadedComment>
  <threadedComment ref="C43" dT="2024-11-19T13:34:27.96" personId="{A00E64A3-AFEE-4C9E-9B74-0BA9B6D376E9}" id="{B8F6D405-B7E5-4530-8213-479D2F583BAB}">
    <text>El gasto de EEUU para efecto de proyección fue agregado de manera manual</text>
  </threadedComment>
  <threadedComment ref="O43" dT="2025-01-13T19:50:59.69" personId="{A00E64A3-AFEE-4C9E-9B74-0BA9B6D376E9}" id="{636D4596-81A0-4A82-9417-017259A951DC}">
    <text>Gastos según cartola Karina Barrera</text>
  </threadedComment>
  <threadedComment ref="O43" dT="2025-01-13T19:51:16.20" personId="{A00E64A3-AFEE-4C9E-9B74-0BA9B6D376E9}" id="{68854A17-7507-46EE-90A9-0AACC3615F15}" parentId="{636D4596-81A0-4A82-9417-017259A951DC}">
    <text>No considera traspasos a BVI</text>
  </threadedComment>
  <threadedComment ref="C48" dT="2025-01-20T19:39:11.81" personId="{A00E64A3-AFEE-4C9E-9B74-0BA9B6D376E9}" id="{3649777D-B064-4002-B479-E36D5D57455D}">
    <text>Se incluyen los pagos de AS, PV anteriormente considerados como externos + gastos de EEUU</text>
  </threadedComment>
  <threadedComment ref="C49" dT="2025-01-20T19:38:12.01" personId="{A00E64A3-AFEE-4C9E-9B74-0BA9B6D376E9}" id="{D886C681-BE47-462A-8597-11489B43C5E3}">
    <text xml:space="preserve">Asume los gastos anteriormente clasificados como externos fijos y variables </text>
  </threadedComment>
  <threadedComment ref="C50" dT="2025-01-20T19:38:36.85" personId="{A00E64A3-AFEE-4C9E-9B74-0BA9B6D376E9}" id="{C5B4D0DC-AEC7-4D68-8F6F-AE46A5D2CFE7}">
    <text xml:space="preserve">Agrupa todas las demás categorías de clasificación </text>
  </threadedComment>
  <threadedComment ref="C51" dT="2025-01-20T19:37:30.05" personId="{A00E64A3-AFEE-4C9E-9B74-0BA9B6D376E9}" id="{FD24D0A3-17B9-4F0A-B391-C4FACA2A792F}">
    <text>Solo considera los adicionales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22" dT="2025-01-22T22:35:23.53" personId="{A00E64A3-AFEE-4C9E-9B74-0BA9B6D376E9}" id="{5C2D5E61-B9B9-4FD9-A22B-8A97E72945E3}">
    <text>Antonio + Pato</text>
  </threadedComment>
  <threadedComment ref="Q124" dT="2025-01-22T22:35:41.30" personId="{A00E64A3-AFEE-4C9E-9B74-0BA9B6D376E9}" id="{CF1CEB0E-444F-4530-85E0-DBEE6C296BBE}">
    <text>Mano obra pagada en EEUU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24" dT="2024-11-11T12:39:04.79" personId="{A00E64A3-AFEE-4C9E-9B74-0BA9B6D376E9}" id="{9587766C-F96B-49C6-A654-798AD42C762F}">
    <text>La proyección ajustada arriba se carga a Chile como unidad generadora del gasto</text>
  </threadedComment>
  <threadedComment ref="C43" dT="2024-11-19T13:34:27.96" personId="{A00E64A3-AFEE-4C9E-9B74-0BA9B6D376E9}" id="{2D0F0138-E7CB-48FB-8569-535BA504E12B}">
    <text>El gasto de EEUU para efecto de proyección fue agregado de manera manual</text>
  </threadedComment>
  <threadedComment ref="O43" dT="2025-01-13T19:50:59.69" personId="{A00E64A3-AFEE-4C9E-9B74-0BA9B6D376E9}" id="{5CBF427D-D7D9-4338-BFE6-A63759294DC5}">
    <text>Gastos según cartola Karina Barrera</text>
  </threadedComment>
  <threadedComment ref="O43" dT="2025-01-13T19:51:16.20" personId="{A00E64A3-AFEE-4C9E-9B74-0BA9B6D376E9}" id="{6A32C1A5-B672-4BAC-94AA-48B4DCCE2B7C}" parentId="{5CBF427D-D7D9-4338-BFE6-A63759294DC5}">
    <text>No considera traspasos a BVI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W8" dT="2024-10-25T16:24:15.00" personId="{A00E64A3-AFEE-4C9E-9B74-0BA9B6D376E9}" id="{3003F1D0-325F-441B-AF3B-978EAD7041A5}">
    <text>Falta Mateo Villanueva</text>
  </threadedComment>
  <threadedComment ref="AW8" dT="2024-10-25T16:28:24.81" personId="{A00E64A3-AFEE-4C9E-9B74-0BA9B6D376E9}" id="{E6105869-7182-4F35-BFEF-6315B6F6B0AB}" parentId="{3003F1D0-325F-441B-AF3B-978EAD7041A5}">
    <text xml:space="preserve">PV
GD
</text>
  </threadedComment>
  <threadedComment ref="AW8" dT="2024-10-25T17:28:45.89" personId="{A00E64A3-AFEE-4C9E-9B74-0BA9B6D376E9}" id="{D3BE51DD-A7EA-4057-BF08-4F874AD388D6}" parentId="{3003F1D0-325F-441B-AF3B-978EAD7041A5}">
    <text>CV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6FC4-B526-4E11-AC4A-A985405D2032}">
  <sheetPr>
    <tabColor theme="5"/>
  </sheetPr>
  <dimension ref="A2:T168"/>
  <sheetViews>
    <sheetView topLeftCell="A79" zoomScale="80" zoomScaleNormal="80" workbookViewId="0">
      <selection activeCell="Q126" sqref="Q126"/>
    </sheetView>
  </sheetViews>
  <sheetFormatPr baseColWidth="10" defaultRowHeight="15" x14ac:dyDescent="0.2"/>
  <cols>
    <col min="1" max="1" width="17.5" bestFit="1" customWidth="1"/>
    <col min="2" max="2" width="20" bestFit="1" customWidth="1"/>
    <col min="3" max="3" width="16.5" bestFit="1" customWidth="1"/>
    <col min="4" max="4" width="56.1640625" bestFit="1" customWidth="1"/>
    <col min="5" max="5" width="17.33203125" bestFit="1" customWidth="1"/>
    <col min="6" max="16" width="9" bestFit="1" customWidth="1"/>
    <col min="17" max="17" width="10.33203125" bestFit="1" customWidth="1"/>
    <col min="18" max="18" width="8.83203125" customWidth="1"/>
    <col min="19" max="19" width="8.83203125" bestFit="1" customWidth="1"/>
    <col min="20" max="20" width="6.33203125" bestFit="1" customWidth="1"/>
    <col min="21" max="21" width="13" bestFit="1" customWidth="1"/>
    <col min="22" max="31" width="7.83203125" bestFit="1" customWidth="1"/>
  </cols>
  <sheetData>
    <row r="2" spans="1:20" x14ac:dyDescent="0.2">
      <c r="A2" s="3" t="s">
        <v>0</v>
      </c>
      <c r="B2" t="s">
        <v>31</v>
      </c>
    </row>
    <row r="3" spans="1:20" x14ac:dyDescent="0.2">
      <c r="A3" s="3" t="s">
        <v>2</v>
      </c>
      <c r="B3" t="s">
        <v>32</v>
      </c>
    </row>
    <row r="5" spans="1:20" x14ac:dyDescent="0.2">
      <c r="A5" s="3" t="s">
        <v>4</v>
      </c>
      <c r="E5" s="3" t="s">
        <v>5</v>
      </c>
    </row>
    <row r="6" spans="1:20" x14ac:dyDescent="0.2">
      <c r="A6" s="3" t="s">
        <v>6</v>
      </c>
      <c r="B6" s="3" t="s">
        <v>7</v>
      </c>
      <c r="C6" s="3" t="s">
        <v>8</v>
      </c>
      <c r="D6" s="3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R6" s="1"/>
      <c r="S6" s="1"/>
      <c r="T6" s="1"/>
    </row>
    <row r="7" spans="1:20" x14ac:dyDescent="0.2">
      <c r="A7" t="s">
        <v>297</v>
      </c>
      <c r="B7" t="s">
        <v>17</v>
      </c>
      <c r="E7" s="128">
        <v>198081.87223604749</v>
      </c>
      <c r="F7" s="128">
        <v>192564.08189150743</v>
      </c>
      <c r="G7" s="128">
        <v>201303.56880589522</v>
      </c>
      <c r="H7" s="128">
        <v>191949.92131181131</v>
      </c>
      <c r="I7" s="128">
        <v>203926.54121944425</v>
      </c>
      <c r="J7" s="128">
        <v>158834.4862214927</v>
      </c>
      <c r="K7" s="128">
        <v>206742.44103513681</v>
      </c>
      <c r="L7" s="128">
        <v>213676.31811207111</v>
      </c>
      <c r="M7" s="128">
        <v>209758.59765384856</v>
      </c>
      <c r="N7" s="128">
        <v>218099.34150563012</v>
      </c>
      <c r="O7" s="128">
        <v>180235.67517496907</v>
      </c>
      <c r="P7" s="128">
        <v>210281.54485455877</v>
      </c>
      <c r="R7" s="1"/>
      <c r="S7" s="1"/>
      <c r="T7" s="1"/>
    </row>
    <row r="8" spans="1:20" x14ac:dyDescent="0.2">
      <c r="A8" t="s">
        <v>297</v>
      </c>
      <c r="B8" t="s">
        <v>19</v>
      </c>
      <c r="C8" t="s">
        <v>355</v>
      </c>
      <c r="D8" t="s">
        <v>356</v>
      </c>
      <c r="E8" s="128">
        <v>0</v>
      </c>
      <c r="F8" s="128">
        <v>0</v>
      </c>
      <c r="G8" s="128">
        <v>0</v>
      </c>
      <c r="H8" s="128">
        <v>0</v>
      </c>
      <c r="I8" s="128">
        <v>0</v>
      </c>
      <c r="J8" s="128">
        <v>0</v>
      </c>
      <c r="K8" s="128">
        <v>0</v>
      </c>
      <c r="L8" s="128">
        <v>0</v>
      </c>
      <c r="M8" s="128">
        <v>0</v>
      </c>
      <c r="N8" s="128">
        <v>0</v>
      </c>
      <c r="O8" s="129">
        <v>0</v>
      </c>
      <c r="P8" s="129">
        <v>3325.6019310681982</v>
      </c>
      <c r="R8" s="1"/>
      <c r="S8" s="1"/>
      <c r="T8" s="1"/>
    </row>
    <row r="9" spans="1:20" x14ac:dyDescent="0.2">
      <c r="A9" t="s">
        <v>297</v>
      </c>
      <c r="B9" t="s">
        <v>19</v>
      </c>
      <c r="C9" t="s">
        <v>357</v>
      </c>
      <c r="E9" s="128">
        <v>727.30977213405436</v>
      </c>
      <c r="F9" s="128">
        <v>840.72594038030388</v>
      </c>
      <c r="G9" s="128">
        <v>0</v>
      </c>
      <c r="H9" s="128">
        <v>533.34617868227554</v>
      </c>
      <c r="I9" s="128">
        <v>431.11082058656905</v>
      </c>
      <c r="J9" s="128">
        <v>399.46980822391151</v>
      </c>
      <c r="K9" s="128">
        <v>0</v>
      </c>
      <c r="L9" s="128">
        <v>0</v>
      </c>
      <c r="M9" s="128">
        <v>0</v>
      </c>
      <c r="N9" s="128">
        <v>0</v>
      </c>
      <c r="O9" s="129">
        <v>0</v>
      </c>
      <c r="P9" s="129">
        <v>0</v>
      </c>
      <c r="R9" s="1"/>
      <c r="S9" s="1"/>
      <c r="T9" s="1"/>
    </row>
    <row r="10" spans="1:20" x14ac:dyDescent="0.2">
      <c r="A10" t="s">
        <v>297</v>
      </c>
      <c r="B10" t="s">
        <v>19</v>
      </c>
      <c r="C10" t="s">
        <v>358</v>
      </c>
      <c r="E10" s="128">
        <v>5434.0036784546082</v>
      </c>
      <c r="F10" s="128">
        <v>5121.2540479946856</v>
      </c>
      <c r="G10" s="128">
        <v>5097.4925872738731</v>
      </c>
      <c r="H10" s="128">
        <v>0</v>
      </c>
      <c r="I10" s="128">
        <v>0</v>
      </c>
      <c r="J10" s="128">
        <v>0</v>
      </c>
      <c r="K10" s="128">
        <v>20056.596911131022</v>
      </c>
      <c r="L10" s="128">
        <v>20219.139692440047</v>
      </c>
      <c r="M10" s="128">
        <v>20292.391574265013</v>
      </c>
      <c r="N10" s="128">
        <v>20123.772501900818</v>
      </c>
      <c r="O10" s="129">
        <v>19323.355290242896</v>
      </c>
      <c r="P10" s="129">
        <v>19118.321722480239</v>
      </c>
      <c r="Q10" s="4">
        <f>+SUM(E10:P10)</f>
        <v>134786.3280061832</v>
      </c>
      <c r="R10" s="1"/>
      <c r="S10" s="1"/>
      <c r="T10" s="1"/>
    </row>
    <row r="11" spans="1:20" x14ac:dyDescent="0.2">
      <c r="A11" t="s">
        <v>297</v>
      </c>
      <c r="B11" t="s">
        <v>19</v>
      </c>
      <c r="C11" t="s">
        <v>359</v>
      </c>
      <c r="E11" s="128">
        <v>7385.6936750404739</v>
      </c>
      <c r="F11" s="128">
        <v>6926.5942871377556</v>
      </c>
      <c r="G11" s="128">
        <v>6940.7147211058655</v>
      </c>
      <c r="H11" s="128">
        <v>7041.2960609911052</v>
      </c>
      <c r="I11" s="128">
        <v>7394.7890791824639</v>
      </c>
      <c r="J11" s="128">
        <v>7365.1434001382167</v>
      </c>
      <c r="K11" s="128">
        <v>7257.571782072614</v>
      </c>
      <c r="L11" s="128">
        <v>7309.868803097107</v>
      </c>
      <c r="M11" s="128">
        <v>7390.6943349780286</v>
      </c>
      <c r="N11" s="128">
        <v>7351.626133795955</v>
      </c>
      <c r="O11" s="129">
        <v>7071.9030465212018</v>
      </c>
      <c r="P11" s="129">
        <v>7068.4154241016868</v>
      </c>
      <c r="R11" s="1"/>
      <c r="S11" s="1"/>
      <c r="T11" s="1"/>
    </row>
    <row r="12" spans="1:20" x14ac:dyDescent="0.2">
      <c r="A12" t="s">
        <v>297</v>
      </c>
      <c r="B12" t="s">
        <v>19</v>
      </c>
      <c r="C12" t="s">
        <v>360</v>
      </c>
      <c r="E12" s="128">
        <v>563.77933677683677</v>
      </c>
      <c r="F12" s="128">
        <v>833.3866146309058</v>
      </c>
      <c r="G12" s="128">
        <v>186.48559296643353</v>
      </c>
      <c r="H12" s="128">
        <v>231.62247172287374</v>
      </c>
      <c r="I12" s="128">
        <v>881.57384407547829</v>
      </c>
      <c r="J12" s="128">
        <v>438.28934865238421</v>
      </c>
      <c r="K12" s="128">
        <v>336.76884679380521</v>
      </c>
      <c r="L12" s="128">
        <v>437.55242499193463</v>
      </c>
      <c r="M12" s="128">
        <v>440.47138337957915</v>
      </c>
      <c r="N12" s="128">
        <v>437.26239813238243</v>
      </c>
      <c r="O12" s="129">
        <v>236.0384932070811</v>
      </c>
      <c r="P12" s="129">
        <v>0</v>
      </c>
      <c r="R12" s="1"/>
      <c r="S12" s="1"/>
      <c r="T12" s="1"/>
    </row>
    <row r="13" spans="1:20" x14ac:dyDescent="0.2">
      <c r="A13" t="s">
        <v>297</v>
      </c>
      <c r="B13" t="s">
        <v>19</v>
      </c>
      <c r="C13" t="s">
        <v>361</v>
      </c>
      <c r="E13" s="128">
        <v>1631.7195123294309</v>
      </c>
      <c r="F13" s="128">
        <v>3153.2529270115419</v>
      </c>
      <c r="G13" s="128">
        <v>1703.7420061368075</v>
      </c>
      <c r="H13" s="128">
        <v>0</v>
      </c>
      <c r="I13" s="128">
        <v>3464.7960517714737</v>
      </c>
      <c r="J13" s="128">
        <v>1594.0512698686937</v>
      </c>
      <c r="K13" s="128">
        <v>1829.9532829898887</v>
      </c>
      <c r="L13" s="128">
        <v>1829.6451231315195</v>
      </c>
      <c r="M13" s="128">
        <v>1943.7060709774241</v>
      </c>
      <c r="N13" s="128">
        <v>1931.1230335935577</v>
      </c>
      <c r="O13" s="129">
        <v>1730.6195965417867</v>
      </c>
      <c r="P13" s="129">
        <v>1692.5466471115456</v>
      </c>
      <c r="R13" s="1"/>
      <c r="S13" s="1"/>
      <c r="T13" s="1"/>
    </row>
    <row r="14" spans="1:20" x14ac:dyDescent="0.2">
      <c r="A14" t="s">
        <v>297</v>
      </c>
      <c r="B14" t="s">
        <v>19</v>
      </c>
      <c r="C14" t="s">
        <v>362</v>
      </c>
      <c r="D14" t="s">
        <v>363</v>
      </c>
      <c r="E14" s="128">
        <v>0</v>
      </c>
      <c r="F14" s="128">
        <v>0</v>
      </c>
      <c r="G14" s="128">
        <v>0</v>
      </c>
      <c r="H14" s="128">
        <v>0</v>
      </c>
      <c r="I14" s="128">
        <v>0</v>
      </c>
      <c r="J14" s="128">
        <v>0</v>
      </c>
      <c r="K14" s="128">
        <v>270.24937070694142</v>
      </c>
      <c r="L14" s="128">
        <v>354.15958705237125</v>
      </c>
      <c r="M14" s="128">
        <v>248.09168547089752</v>
      </c>
      <c r="N14" s="128">
        <v>319.03385056917364</v>
      </c>
      <c r="O14" s="129">
        <v>283.28015644298063</v>
      </c>
      <c r="P14" s="129">
        <v>320.23547624867592</v>
      </c>
      <c r="R14" s="1"/>
      <c r="S14" s="1"/>
      <c r="T14" s="1"/>
    </row>
    <row r="15" spans="1:20" x14ac:dyDescent="0.2">
      <c r="A15" t="s">
        <v>297</v>
      </c>
      <c r="B15" t="s">
        <v>19</v>
      </c>
      <c r="C15" t="s">
        <v>364</v>
      </c>
      <c r="E15" s="128">
        <v>234.19751318847125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444.74273646486625</v>
      </c>
      <c r="L15" s="128">
        <v>0</v>
      </c>
      <c r="M15" s="128">
        <v>0</v>
      </c>
      <c r="N15" s="128">
        <v>0</v>
      </c>
      <c r="O15" s="129">
        <v>0</v>
      </c>
      <c r="P15" s="129">
        <v>0</v>
      </c>
      <c r="R15" s="1"/>
      <c r="S15" s="1"/>
      <c r="T15" s="1"/>
    </row>
    <row r="16" spans="1:20" x14ac:dyDescent="0.2">
      <c r="A16" t="s">
        <v>297</v>
      </c>
      <c r="B16" t="s">
        <v>19</v>
      </c>
      <c r="C16" t="s">
        <v>365</v>
      </c>
      <c r="E16" s="128">
        <v>786.8853181202436</v>
      </c>
      <c r="F16" s="128">
        <v>0</v>
      </c>
      <c r="G16" s="128">
        <v>0</v>
      </c>
      <c r="H16" s="128">
        <v>1369.4388318370238</v>
      </c>
      <c r="I16" s="128">
        <v>0</v>
      </c>
      <c r="J16" s="128">
        <v>141.96505701451278</v>
      </c>
      <c r="K16" s="128">
        <v>0</v>
      </c>
      <c r="L16" s="128">
        <v>0</v>
      </c>
      <c r="M16" s="128">
        <v>0</v>
      </c>
      <c r="N16" s="128">
        <v>0</v>
      </c>
      <c r="O16" s="129">
        <v>0</v>
      </c>
      <c r="P16" s="129">
        <v>186.31141530188216</v>
      </c>
      <c r="R16" s="1"/>
      <c r="S16" s="1"/>
      <c r="T16" s="1"/>
    </row>
    <row r="17" spans="1:20" x14ac:dyDescent="0.2">
      <c r="A17" t="s">
        <v>297</v>
      </c>
      <c r="B17" t="s">
        <v>19</v>
      </c>
      <c r="C17" t="s">
        <v>366</v>
      </c>
      <c r="E17" s="128">
        <v>1408.330488221236</v>
      </c>
      <c r="F17" s="128">
        <v>0</v>
      </c>
      <c r="G17" s="128">
        <v>0</v>
      </c>
      <c r="H17" s="128">
        <v>2485.0698856416775</v>
      </c>
      <c r="I17" s="128">
        <v>0</v>
      </c>
      <c r="J17" s="128">
        <v>0</v>
      </c>
      <c r="K17" s="128">
        <v>1459.0863518068177</v>
      </c>
      <c r="L17" s="128">
        <v>492.34648886977095</v>
      </c>
      <c r="M17" s="128">
        <v>496.14990121030866</v>
      </c>
      <c r="N17" s="128">
        <v>1892.4888360587274</v>
      </c>
      <c r="O17" s="129">
        <v>475.4446274186908</v>
      </c>
      <c r="P17" s="129">
        <v>6475.7577609386453</v>
      </c>
      <c r="R17" s="1"/>
      <c r="S17" s="1"/>
      <c r="T17" s="1"/>
    </row>
    <row r="18" spans="1:20" x14ac:dyDescent="0.2">
      <c r="A18" t="s">
        <v>297</v>
      </c>
      <c r="B18" t="s">
        <v>19</v>
      </c>
      <c r="C18" t="s">
        <v>353</v>
      </c>
      <c r="E18" s="128">
        <v>11332.385819227084</v>
      </c>
      <c r="F18" s="128">
        <v>0</v>
      </c>
      <c r="G18" s="128">
        <v>0</v>
      </c>
      <c r="H18" s="128">
        <v>5740.8586247838857</v>
      </c>
      <c r="I18" s="128">
        <v>10765.362574628492</v>
      </c>
      <c r="J18" s="128">
        <v>6994.2920697995851</v>
      </c>
      <c r="K18" s="128">
        <v>4987.7725158923167</v>
      </c>
      <c r="L18" s="128">
        <v>4749.312829336488</v>
      </c>
      <c r="M18" s="128">
        <v>3756.4882693989484</v>
      </c>
      <c r="N18" s="128">
        <v>10809.470877373342</v>
      </c>
      <c r="O18" s="129">
        <v>3941.0292301358581</v>
      </c>
      <c r="P18" s="129">
        <v>13615.383361851218</v>
      </c>
      <c r="R18" s="1"/>
      <c r="S18" s="1"/>
      <c r="T18" s="1"/>
    </row>
    <row r="19" spans="1:20" x14ac:dyDescent="0.2">
      <c r="A19" t="s">
        <v>297</v>
      </c>
      <c r="B19" t="s">
        <v>19</v>
      </c>
      <c r="C19" t="s">
        <v>367</v>
      </c>
      <c r="E19" s="128">
        <v>716.93961387239938</v>
      </c>
      <c r="F19" s="128">
        <v>947.89400481607572</v>
      </c>
      <c r="G19" s="128">
        <v>558.75528189021929</v>
      </c>
      <c r="H19" s="128">
        <v>0</v>
      </c>
      <c r="I19" s="128">
        <v>2075.0490260164729</v>
      </c>
      <c r="J19" s="128">
        <v>0</v>
      </c>
      <c r="K19" s="128">
        <v>1546.1730449251249</v>
      </c>
      <c r="L19" s="128">
        <v>1020.6215722120658</v>
      </c>
      <c r="M19" s="128">
        <v>333.36824262316316</v>
      </c>
      <c r="N19" s="128">
        <v>668.79450851886361</v>
      </c>
      <c r="O19" s="129">
        <v>919.83326471799091</v>
      </c>
      <c r="P19" s="129">
        <v>1577.9016947771531</v>
      </c>
      <c r="R19" s="1"/>
      <c r="S19" s="1"/>
      <c r="T19" s="1"/>
    </row>
    <row r="20" spans="1:20" x14ac:dyDescent="0.2">
      <c r="A20" t="s">
        <v>297</v>
      </c>
      <c r="B20" t="s">
        <v>19</v>
      </c>
      <c r="C20" t="s">
        <v>368</v>
      </c>
      <c r="D20" t="s">
        <v>369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5658.2314702833446</v>
      </c>
      <c r="K20" s="128">
        <v>5585.8718375357312</v>
      </c>
      <c r="L20" s="128">
        <v>5630.5688783740188</v>
      </c>
      <c r="M20" s="128">
        <v>5649.6021420628149</v>
      </c>
      <c r="N20" s="128">
        <v>5601.5838339705078</v>
      </c>
      <c r="O20" s="129">
        <v>5381.6622066694108</v>
      </c>
      <c r="P20" s="129">
        <v>0</v>
      </c>
    </row>
    <row r="21" spans="1:20" x14ac:dyDescent="0.2">
      <c r="A21" t="s">
        <v>297</v>
      </c>
      <c r="B21" t="s">
        <v>22</v>
      </c>
      <c r="E21" s="128">
        <v>4574.0404630006933</v>
      </c>
      <c r="F21" s="128">
        <v>4427.5118325998501</v>
      </c>
      <c r="G21" s="128">
        <v>5067.7414689078751</v>
      </c>
      <c r="H21" s="128">
        <v>2404.6586956068909</v>
      </c>
      <c r="I21" s="128">
        <v>5844.4872968143982</v>
      </c>
      <c r="J21" s="128">
        <v>3856.6462940566685</v>
      </c>
      <c r="K21" s="128">
        <v>4005.1474038994838</v>
      </c>
      <c r="L21" s="128">
        <v>4380.348424561781</v>
      </c>
      <c r="M21" s="128">
        <v>4268.149771650058</v>
      </c>
      <c r="N21" s="128">
        <v>4189.2387102301327</v>
      </c>
      <c r="O21" s="129">
        <v>745.20584602717156</v>
      </c>
      <c r="P21" s="129">
        <v>1865.8345555283956</v>
      </c>
    </row>
    <row r="22" spans="1:20" x14ac:dyDescent="0.2">
      <c r="A22" t="s">
        <v>297</v>
      </c>
      <c r="B22" t="s">
        <v>18</v>
      </c>
      <c r="C22" t="s">
        <v>362</v>
      </c>
      <c r="D22" t="s">
        <v>370</v>
      </c>
      <c r="E22" s="128">
        <v>805.48794590248792</v>
      </c>
      <c r="F22" s="128">
        <v>762.41592626421982</v>
      </c>
      <c r="G22" s="128">
        <v>761.73586932939372</v>
      </c>
      <c r="H22" s="128">
        <v>0</v>
      </c>
      <c r="I22" s="128">
        <v>812.02226870614891</v>
      </c>
      <c r="J22" s="128">
        <v>808.67635625431922</v>
      </c>
      <c r="K22" s="128">
        <v>801.56150006399594</v>
      </c>
      <c r="L22" s="128">
        <v>808.21056027529846</v>
      </c>
      <c r="M22" s="128">
        <v>815.42954621522119</v>
      </c>
      <c r="N22" s="128">
        <v>812.03242629657007</v>
      </c>
      <c r="O22" s="129">
        <v>781.65191436805264</v>
      </c>
      <c r="P22" s="129">
        <v>779.3652733642956</v>
      </c>
    </row>
    <row r="23" spans="1:20" x14ac:dyDescent="0.2">
      <c r="A23" t="s">
        <v>297</v>
      </c>
      <c r="B23" t="s">
        <v>18</v>
      </c>
      <c r="C23" t="s">
        <v>362</v>
      </c>
      <c r="D23" t="s">
        <v>371</v>
      </c>
      <c r="E23" s="128">
        <v>562.26720558596458</v>
      </c>
      <c r="F23" s="128">
        <v>326.20298098480441</v>
      </c>
      <c r="G23" s="128">
        <v>606.07688572520749</v>
      </c>
      <c r="H23" s="128">
        <v>0</v>
      </c>
      <c r="I23" s="128">
        <v>962.63999651370546</v>
      </c>
      <c r="J23" s="128">
        <v>396.47870594333102</v>
      </c>
      <c r="K23" s="128">
        <v>581.36119288365546</v>
      </c>
      <c r="L23" s="128">
        <v>429.14829551564685</v>
      </c>
      <c r="M23" s="128">
        <v>449.21346131007004</v>
      </c>
      <c r="N23" s="128">
        <v>872.42693909896025</v>
      </c>
      <c r="O23" s="129">
        <v>201.39357760395225</v>
      </c>
      <c r="P23" s="129">
        <v>399.30844129389715</v>
      </c>
    </row>
    <row r="24" spans="1:20" x14ac:dyDescent="0.2">
      <c r="A24" t="s">
        <v>297</v>
      </c>
      <c r="B24" t="s">
        <v>18</v>
      </c>
      <c r="C24" t="s">
        <v>362</v>
      </c>
      <c r="D24" t="s">
        <v>372</v>
      </c>
      <c r="E24" s="128">
        <v>0</v>
      </c>
      <c r="F24" s="128">
        <v>607.48982811591793</v>
      </c>
      <c r="G24" s="128">
        <v>0</v>
      </c>
      <c r="H24" s="128">
        <v>0</v>
      </c>
      <c r="I24" s="128">
        <v>549.58164465943264</v>
      </c>
      <c r="J24" s="128">
        <v>0</v>
      </c>
      <c r="K24" s="128">
        <v>0</v>
      </c>
      <c r="L24" s="128">
        <v>0</v>
      </c>
      <c r="M24" s="128">
        <v>0</v>
      </c>
      <c r="N24" s="128">
        <v>0</v>
      </c>
      <c r="O24" s="129">
        <v>0</v>
      </c>
      <c r="P24" s="129">
        <v>0</v>
      </c>
    </row>
    <row r="25" spans="1:20" x14ac:dyDescent="0.2">
      <c r="A25" t="s">
        <v>297</v>
      </c>
      <c r="B25" t="s">
        <v>18</v>
      </c>
      <c r="C25" t="s">
        <v>362</v>
      </c>
      <c r="D25" t="s">
        <v>373</v>
      </c>
      <c r="E25" s="128">
        <v>0</v>
      </c>
      <c r="F25" s="128">
        <v>763.88046998256243</v>
      </c>
      <c r="G25" s="128">
        <v>0</v>
      </c>
      <c r="H25" s="128">
        <v>0</v>
      </c>
      <c r="I25" s="128">
        <v>1593.8336165947619</v>
      </c>
      <c r="J25" s="128">
        <v>0</v>
      </c>
      <c r="K25" s="128">
        <v>0</v>
      </c>
      <c r="L25" s="128">
        <v>0</v>
      </c>
      <c r="M25" s="128">
        <v>0</v>
      </c>
      <c r="N25" s="128">
        <v>0</v>
      </c>
      <c r="O25" s="129">
        <v>0</v>
      </c>
      <c r="P25" s="129">
        <v>0</v>
      </c>
    </row>
    <row r="26" spans="1:20" x14ac:dyDescent="0.2">
      <c r="A26" t="s">
        <v>297</v>
      </c>
      <c r="B26" t="s">
        <v>18</v>
      </c>
      <c r="C26" t="s">
        <v>362</v>
      </c>
      <c r="D26" t="s">
        <v>374</v>
      </c>
      <c r="E26" s="128">
        <v>135.91228978292713</v>
      </c>
      <c r="F26" s="128">
        <v>129.00751473885245</v>
      </c>
      <c r="G26" s="128">
        <v>128.10637132850516</v>
      </c>
      <c r="H26" s="128">
        <v>0</v>
      </c>
      <c r="I26" s="128">
        <v>138.55188042009848</v>
      </c>
      <c r="J26" s="128">
        <v>136.38562543192813</v>
      </c>
      <c r="K26" s="128">
        <v>0</v>
      </c>
      <c r="L26" s="128">
        <v>0</v>
      </c>
      <c r="M26" s="128">
        <v>0</v>
      </c>
      <c r="N26" s="128">
        <v>0</v>
      </c>
      <c r="O26" s="129">
        <v>0</v>
      </c>
      <c r="P26" s="129">
        <v>0</v>
      </c>
    </row>
    <row r="27" spans="1:20" x14ac:dyDescent="0.2">
      <c r="A27" t="s">
        <v>297</v>
      </c>
      <c r="B27" t="s">
        <v>18</v>
      </c>
      <c r="C27" t="s">
        <v>362</v>
      </c>
      <c r="D27" t="s">
        <v>375</v>
      </c>
      <c r="E27" s="128">
        <v>0</v>
      </c>
      <c r="F27" s="128">
        <v>129.0843228431454</v>
      </c>
      <c r="G27" s="128">
        <v>0</v>
      </c>
      <c r="H27" s="128">
        <v>0</v>
      </c>
      <c r="I27" s="128">
        <v>134.70824072863556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29">
        <v>0</v>
      </c>
      <c r="P27" s="129">
        <v>0</v>
      </c>
    </row>
    <row r="28" spans="1:20" x14ac:dyDescent="0.2">
      <c r="A28" t="s">
        <v>297</v>
      </c>
      <c r="B28" t="s">
        <v>18</v>
      </c>
      <c r="C28" t="s">
        <v>362</v>
      </c>
      <c r="D28" t="s">
        <v>376</v>
      </c>
      <c r="E28" s="128">
        <v>566.17363627352722</v>
      </c>
      <c r="F28" s="128">
        <v>533.5879764178361</v>
      </c>
      <c r="G28" s="128">
        <v>1120.0086783135146</v>
      </c>
      <c r="H28" s="128">
        <v>0</v>
      </c>
      <c r="I28" s="128">
        <v>292.02945918856494</v>
      </c>
      <c r="J28" s="128">
        <v>292.65614201796819</v>
      </c>
      <c r="K28" s="128">
        <v>283.99569094244634</v>
      </c>
      <c r="L28" s="128">
        <v>574.58974083234762</v>
      </c>
      <c r="M28" s="128">
        <v>291.65200116604223</v>
      </c>
      <c r="N28" s="128">
        <v>289.27833285143663</v>
      </c>
      <c r="O28" s="129">
        <v>277.10786331823795</v>
      </c>
      <c r="P28" s="129">
        <v>274.21779516010753</v>
      </c>
    </row>
    <row r="29" spans="1:20" x14ac:dyDescent="0.2">
      <c r="A29" t="s">
        <v>297</v>
      </c>
      <c r="B29" t="s">
        <v>18</v>
      </c>
      <c r="C29" t="s">
        <v>362</v>
      </c>
      <c r="D29" t="s">
        <v>377</v>
      </c>
      <c r="E29" s="128">
        <v>0</v>
      </c>
      <c r="F29" s="128">
        <v>0</v>
      </c>
      <c r="G29" s="128">
        <v>0</v>
      </c>
      <c r="H29" s="128">
        <v>0</v>
      </c>
      <c r="I29" s="128">
        <v>590.54124722185907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29">
        <v>0</v>
      </c>
      <c r="P29" s="129">
        <v>0</v>
      </c>
    </row>
    <row r="30" spans="1:20" x14ac:dyDescent="0.2">
      <c r="A30" t="s">
        <v>297</v>
      </c>
      <c r="B30" t="s">
        <v>378</v>
      </c>
      <c r="C30" t="s">
        <v>358</v>
      </c>
      <c r="E30" s="128">
        <v>0</v>
      </c>
      <c r="F30" s="128">
        <v>2174.0077223283233</v>
      </c>
      <c r="G30" s="128">
        <v>1084.7912555660018</v>
      </c>
      <c r="H30" s="128">
        <v>1093.5926010790092</v>
      </c>
      <c r="I30" s="128">
        <v>1140.9585130953938</v>
      </c>
      <c r="J30" s="128">
        <v>1130.8558655839668</v>
      </c>
      <c r="K30" s="128">
        <v>2234.0180895089384</v>
      </c>
      <c r="L30" s="128">
        <v>1126.2103451984085</v>
      </c>
      <c r="M30" s="128">
        <v>1130.6971421167984</v>
      </c>
      <c r="N30" s="128">
        <v>0</v>
      </c>
      <c r="O30" s="129">
        <v>1077.8746397694524</v>
      </c>
      <c r="P30" s="129">
        <v>1066.6330563024526</v>
      </c>
    </row>
    <row r="31" spans="1:20" x14ac:dyDescent="0.2">
      <c r="A31" t="s">
        <v>297</v>
      </c>
      <c r="B31" t="s">
        <v>378</v>
      </c>
      <c r="C31" t="s">
        <v>352</v>
      </c>
      <c r="E31" s="128">
        <v>298.83699159682374</v>
      </c>
      <c r="F31" s="128">
        <v>230.32674582745162</v>
      </c>
      <c r="G31" s="128">
        <v>171.39669190953893</v>
      </c>
      <c r="H31" s="128">
        <v>173.79340512841878</v>
      </c>
      <c r="I31" s="128">
        <v>41.822460452346711</v>
      </c>
      <c r="J31" s="128">
        <v>41.637871458189359</v>
      </c>
      <c r="K31" s="128">
        <v>318.70706941422418</v>
      </c>
      <c r="L31" s="128">
        <v>41.809872029250457</v>
      </c>
      <c r="M31" s="128">
        <v>325.10661728981546</v>
      </c>
      <c r="N31" s="128">
        <v>41.843629860464119</v>
      </c>
      <c r="O31" s="129">
        <v>176.79497735693701</v>
      </c>
      <c r="P31" s="129">
        <v>40.017721828403815</v>
      </c>
    </row>
    <row r="32" spans="1:20" x14ac:dyDescent="0.2">
      <c r="A32" t="s">
        <v>297</v>
      </c>
      <c r="B32" t="s">
        <v>29</v>
      </c>
      <c r="C32" t="s">
        <v>379</v>
      </c>
      <c r="E32" s="128">
        <v>917.41098470247471</v>
      </c>
      <c r="F32" s="128">
        <v>864.61014697334542</v>
      </c>
      <c r="G32" s="128">
        <v>1721.1988470240617</v>
      </c>
      <c r="H32" s="128">
        <v>0</v>
      </c>
      <c r="I32" s="128">
        <v>1815.0520765241645</v>
      </c>
      <c r="J32" s="128">
        <v>899.49032480995163</v>
      </c>
      <c r="K32" s="128">
        <v>888.47647083919969</v>
      </c>
      <c r="L32" s="128">
        <v>895.79524680073132</v>
      </c>
      <c r="M32" s="128">
        <v>1130.6291229850681</v>
      </c>
      <c r="N32" s="128">
        <v>892.04442017112694</v>
      </c>
      <c r="O32" s="129">
        <v>2363.8328530259364</v>
      </c>
      <c r="P32" s="129">
        <v>1026.5725576468672</v>
      </c>
    </row>
    <row r="33" spans="1:16" x14ac:dyDescent="0.2">
      <c r="A33" t="s">
        <v>297</v>
      </c>
      <c r="B33" t="s">
        <v>20</v>
      </c>
      <c r="E33" s="128">
        <v>702.15641141422259</v>
      </c>
      <c r="F33" s="128">
        <v>185.02345761023</v>
      </c>
      <c r="G33" s="128">
        <v>224.98217846331863</v>
      </c>
      <c r="H33" s="128">
        <v>139.82023454912826</v>
      </c>
      <c r="I33" s="128">
        <v>553.76955593323748</v>
      </c>
      <c r="J33" s="128">
        <v>343.97460262612299</v>
      </c>
      <c r="K33" s="128">
        <v>456.20013652459579</v>
      </c>
      <c r="L33" s="128">
        <v>203.91439939778471</v>
      </c>
      <c r="M33" s="128">
        <v>420.0278554539467</v>
      </c>
      <c r="N33" s="128">
        <v>280.12443644852812</v>
      </c>
      <c r="O33" s="129">
        <v>1209.8836969946481</v>
      </c>
      <c r="P33" s="129">
        <v>408.12454167685161</v>
      </c>
    </row>
    <row r="34" spans="1:16" x14ac:dyDescent="0.2">
      <c r="A34" t="s">
        <v>297</v>
      </c>
      <c r="B34" t="s">
        <v>30</v>
      </c>
      <c r="E34" s="128">
        <v>1186.4580006387735</v>
      </c>
      <c r="F34" s="128">
        <v>2675.093415261978</v>
      </c>
      <c r="G34" s="128">
        <v>2662.6842850206112</v>
      </c>
      <c r="H34" s="128">
        <v>2684.2877080425774</v>
      </c>
      <c r="I34" s="128">
        <v>2807.874667712555</v>
      </c>
      <c r="J34" s="128">
        <v>0</v>
      </c>
      <c r="K34" s="128">
        <v>2748.9355347924402</v>
      </c>
      <c r="L34" s="128">
        <v>5543.1594795139263</v>
      </c>
      <c r="M34" s="128">
        <v>2782.6216516772652</v>
      </c>
      <c r="N34" s="128">
        <v>5519.9494543857963</v>
      </c>
      <c r="O34" s="129">
        <v>2652.6265953067104</v>
      </c>
      <c r="P34" s="129">
        <v>2624.9612971563593</v>
      </c>
    </row>
    <row r="35" spans="1:16" x14ac:dyDescent="0.2">
      <c r="A35" t="s">
        <v>298</v>
      </c>
      <c r="E35" s="128">
        <v>238051.86089231019</v>
      </c>
      <c r="F35" s="128">
        <v>224195.43205342721</v>
      </c>
      <c r="G35" s="128">
        <v>229339.48152685646</v>
      </c>
      <c r="H35" s="128">
        <v>215847.70600987616</v>
      </c>
      <c r="I35" s="128">
        <v>246217.0955402705</v>
      </c>
      <c r="J35" s="128">
        <v>189332.73043365579</v>
      </c>
      <c r="K35" s="128">
        <v>262835.63080432493</v>
      </c>
      <c r="L35" s="128">
        <v>269722.71987570164</v>
      </c>
      <c r="M35" s="128">
        <v>261923.08842807903</v>
      </c>
      <c r="N35" s="128">
        <v>280131.43582888646</v>
      </c>
      <c r="O35" s="129">
        <v>229085.21305063809</v>
      </c>
      <c r="P35" s="129">
        <v>272147.05552839563</v>
      </c>
    </row>
    <row r="36" spans="1:16" x14ac:dyDescent="0.2">
      <c r="A36" t="s">
        <v>299</v>
      </c>
      <c r="B36" t="s">
        <v>386</v>
      </c>
      <c r="C36" t="s">
        <v>380</v>
      </c>
      <c r="D36" t="s">
        <v>387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29">
        <v>0</v>
      </c>
      <c r="P36" s="129">
        <v>0</v>
      </c>
    </row>
    <row r="37" spans="1:16" x14ac:dyDescent="0.2">
      <c r="A37" t="s">
        <v>299</v>
      </c>
      <c r="B37" t="s">
        <v>386</v>
      </c>
      <c r="C37" t="s">
        <v>380</v>
      </c>
      <c r="D37" s="130" t="s">
        <v>388</v>
      </c>
      <c r="E37" s="128">
        <v>87861.647154704347</v>
      </c>
      <c r="F37" s="128">
        <v>75662.111807689114</v>
      </c>
      <c r="G37" s="128">
        <v>16948.437387001126</v>
      </c>
      <c r="H37" s="128">
        <v>41207.305184660574</v>
      </c>
      <c r="I37" s="128">
        <v>18324.099010763934</v>
      </c>
      <c r="J37" s="128">
        <v>25946.446311333792</v>
      </c>
      <c r="K37" s="128">
        <v>25109.217543410556</v>
      </c>
      <c r="L37" s="128">
        <v>0</v>
      </c>
      <c r="M37" s="128">
        <v>100217.1041124583</v>
      </c>
      <c r="N37" s="128">
        <v>82725.581221019267</v>
      </c>
      <c r="O37" s="129">
        <v>69233.677439275416</v>
      </c>
      <c r="P37" s="129">
        <v>11568.044691599445</v>
      </c>
    </row>
    <row r="38" spans="1:16" x14ac:dyDescent="0.2">
      <c r="A38" t="s">
        <v>299</v>
      </c>
      <c r="B38" t="s">
        <v>386</v>
      </c>
      <c r="C38" t="s">
        <v>380</v>
      </c>
      <c r="D38" t="s">
        <v>389</v>
      </c>
      <c r="E38" s="128">
        <v>2122.5409971475456</v>
      </c>
      <c r="F38" s="128">
        <v>380.23644440753964</v>
      </c>
      <c r="G38" s="128">
        <v>718.38769332493052</v>
      </c>
      <c r="H38" s="128">
        <v>416.78088612077408</v>
      </c>
      <c r="I38" s="128">
        <v>398.32439970366499</v>
      </c>
      <c r="J38" s="128">
        <v>438.25587422252937</v>
      </c>
      <c r="K38" s="128">
        <v>472.24604291991983</v>
      </c>
      <c r="L38" s="128">
        <v>0</v>
      </c>
      <c r="M38" s="128">
        <v>447.51082367929519</v>
      </c>
      <c r="N38" s="128">
        <v>0</v>
      </c>
      <c r="O38" s="129">
        <v>714.69226018937832</v>
      </c>
      <c r="P38" s="129">
        <v>140.52696977104213</v>
      </c>
    </row>
    <row r="39" spans="1:16" x14ac:dyDescent="0.2">
      <c r="A39" t="s">
        <v>299</v>
      </c>
      <c r="B39" t="s">
        <v>386</v>
      </c>
      <c r="C39" t="s">
        <v>380</v>
      </c>
      <c r="D39" t="s">
        <v>390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126.3249395300622</v>
      </c>
      <c r="K39" s="128">
        <v>0</v>
      </c>
      <c r="L39" s="128">
        <v>0</v>
      </c>
      <c r="M39" s="128">
        <v>0</v>
      </c>
      <c r="N39" s="128">
        <v>0</v>
      </c>
      <c r="O39" s="129">
        <v>0</v>
      </c>
      <c r="P39" s="129">
        <v>0</v>
      </c>
    </row>
    <row r="40" spans="1:16" x14ac:dyDescent="0.2">
      <c r="A40" t="s">
        <v>299</v>
      </c>
      <c r="B40" t="s">
        <v>386</v>
      </c>
      <c r="C40" t="s">
        <v>160</v>
      </c>
      <c r="E40" s="128">
        <v>0</v>
      </c>
      <c r="F40" s="128">
        <v>0</v>
      </c>
      <c r="G40" s="128">
        <v>0</v>
      </c>
      <c r="H40" s="128">
        <v>0</v>
      </c>
      <c r="I40" s="128">
        <v>0</v>
      </c>
      <c r="J40" s="128">
        <v>0</v>
      </c>
      <c r="K40" s="128">
        <v>0</v>
      </c>
      <c r="L40" s="128">
        <v>0</v>
      </c>
      <c r="M40" s="128">
        <v>0</v>
      </c>
      <c r="N40" s="128">
        <v>8002.0732268876973</v>
      </c>
      <c r="O40" s="129">
        <v>0</v>
      </c>
      <c r="P40" s="129">
        <v>0</v>
      </c>
    </row>
    <row r="41" spans="1:16" x14ac:dyDescent="0.2">
      <c r="A41" t="s">
        <v>299</v>
      </c>
      <c r="B41" t="s">
        <v>18</v>
      </c>
      <c r="C41" t="s">
        <v>362</v>
      </c>
      <c r="D41" t="s">
        <v>391</v>
      </c>
      <c r="E41" s="128">
        <v>72.737585215696214</v>
      </c>
      <c r="F41" s="128">
        <v>168.21597608569292</v>
      </c>
      <c r="G41" s="128">
        <v>0</v>
      </c>
      <c r="H41" s="128">
        <v>0</v>
      </c>
      <c r="I41" s="128">
        <v>58.340959602562428</v>
      </c>
      <c r="J41" s="128">
        <v>0</v>
      </c>
      <c r="K41" s="128">
        <v>0</v>
      </c>
      <c r="L41" s="128">
        <v>0</v>
      </c>
      <c r="M41" s="128">
        <v>0</v>
      </c>
      <c r="N41" s="128">
        <v>0</v>
      </c>
      <c r="O41" s="129">
        <v>71.037463976945247</v>
      </c>
      <c r="P41" s="129">
        <v>0</v>
      </c>
    </row>
    <row r="42" spans="1:16" x14ac:dyDescent="0.2">
      <c r="A42" t="s">
        <v>299</v>
      </c>
      <c r="B42" t="s">
        <v>18</v>
      </c>
      <c r="C42" t="s">
        <v>362</v>
      </c>
      <c r="D42" t="s">
        <v>392</v>
      </c>
      <c r="E42" s="128">
        <v>0</v>
      </c>
      <c r="F42" s="128">
        <v>0</v>
      </c>
      <c r="G42" s="128">
        <v>0</v>
      </c>
      <c r="H42" s="128">
        <v>0</v>
      </c>
      <c r="I42" s="128">
        <v>129.64657689458318</v>
      </c>
      <c r="J42" s="128">
        <v>0</v>
      </c>
      <c r="K42" s="128">
        <v>0</v>
      </c>
      <c r="L42" s="128">
        <v>0</v>
      </c>
      <c r="M42" s="128">
        <v>0</v>
      </c>
      <c r="N42" s="128">
        <v>0</v>
      </c>
      <c r="O42" s="129">
        <v>0</v>
      </c>
      <c r="P42" s="129">
        <v>0</v>
      </c>
    </row>
    <row r="43" spans="1:16" x14ac:dyDescent="0.2">
      <c r="A43" t="s">
        <v>299</v>
      </c>
      <c r="B43" t="s">
        <v>18</v>
      </c>
      <c r="C43" t="s">
        <v>362</v>
      </c>
      <c r="D43" t="s">
        <v>393</v>
      </c>
      <c r="E43" s="128">
        <v>5504.2298195881522</v>
      </c>
      <c r="F43" s="128">
        <v>3751.6137215698409</v>
      </c>
      <c r="G43" s="128">
        <v>3289.5455960039103</v>
      </c>
      <c r="H43" s="128">
        <v>0</v>
      </c>
      <c r="I43" s="128">
        <v>0</v>
      </c>
      <c r="J43" s="128">
        <v>0</v>
      </c>
      <c r="K43" s="128">
        <v>0</v>
      </c>
      <c r="L43" s="128">
        <v>0</v>
      </c>
      <c r="M43" s="128">
        <v>0</v>
      </c>
      <c r="N43" s="128">
        <v>0</v>
      </c>
      <c r="O43" s="129">
        <v>0</v>
      </c>
      <c r="P43" s="129">
        <v>0</v>
      </c>
    </row>
    <row r="44" spans="1:16" x14ac:dyDescent="0.2">
      <c r="A44" t="s">
        <v>299</v>
      </c>
      <c r="B44" t="s">
        <v>18</v>
      </c>
      <c r="C44" t="s">
        <v>362</v>
      </c>
      <c r="D44" t="s">
        <v>394</v>
      </c>
      <c r="E44" s="128">
        <v>8634.1479531712903</v>
      </c>
      <c r="F44" s="128">
        <v>0</v>
      </c>
      <c r="G44" s="128">
        <v>172.01657144628228</v>
      </c>
      <c r="H44" s="128">
        <v>0</v>
      </c>
      <c r="I44" s="128">
        <v>0</v>
      </c>
      <c r="J44" s="128">
        <v>0</v>
      </c>
      <c r="K44" s="128">
        <v>0</v>
      </c>
      <c r="L44" s="128">
        <v>0</v>
      </c>
      <c r="M44" s="128">
        <v>0</v>
      </c>
      <c r="N44" s="128">
        <v>0</v>
      </c>
      <c r="O44" s="129">
        <v>0</v>
      </c>
      <c r="P44" s="129">
        <v>0</v>
      </c>
    </row>
    <row r="45" spans="1:16" x14ac:dyDescent="0.2">
      <c r="A45" t="s">
        <v>299</v>
      </c>
      <c r="B45" t="s">
        <v>18</v>
      </c>
      <c r="C45" t="s">
        <v>362</v>
      </c>
      <c r="D45" t="s">
        <v>395</v>
      </c>
      <c r="E45" s="128">
        <v>0</v>
      </c>
      <c r="F45" s="128">
        <v>0</v>
      </c>
      <c r="G45" s="128">
        <v>363.24940853160871</v>
      </c>
      <c r="H45" s="128">
        <v>0</v>
      </c>
      <c r="I45" s="128">
        <v>0</v>
      </c>
      <c r="J45" s="128">
        <v>0</v>
      </c>
      <c r="K45" s="128">
        <v>0</v>
      </c>
      <c r="L45" s="128">
        <v>0</v>
      </c>
      <c r="M45" s="128">
        <v>0</v>
      </c>
      <c r="N45" s="128">
        <v>0</v>
      </c>
      <c r="O45" s="129">
        <v>0</v>
      </c>
      <c r="P45" s="129">
        <v>0</v>
      </c>
    </row>
    <row r="46" spans="1:16" x14ac:dyDescent="0.2">
      <c r="A46" t="s">
        <v>299</v>
      </c>
      <c r="B46" t="s">
        <v>18</v>
      </c>
      <c r="C46" t="s">
        <v>362</v>
      </c>
      <c r="D46" t="s">
        <v>396</v>
      </c>
      <c r="E46" s="128">
        <v>0</v>
      </c>
      <c r="F46" s="128">
        <v>0</v>
      </c>
      <c r="G46" s="128">
        <v>0</v>
      </c>
      <c r="H46" s="128">
        <v>0</v>
      </c>
      <c r="I46" s="128">
        <v>174.91937943957817</v>
      </c>
      <c r="J46" s="128">
        <v>0</v>
      </c>
      <c r="K46" s="128">
        <v>114.13136225948206</v>
      </c>
      <c r="L46" s="128">
        <v>0</v>
      </c>
      <c r="M46" s="128">
        <v>115.52995540968031</v>
      </c>
      <c r="N46" s="128">
        <v>57.294310405757066</v>
      </c>
      <c r="O46" s="129">
        <v>0</v>
      </c>
      <c r="P46" s="129">
        <v>0</v>
      </c>
    </row>
    <row r="47" spans="1:16" x14ac:dyDescent="0.2">
      <c r="A47" t="s">
        <v>299</v>
      </c>
      <c r="B47" t="s">
        <v>18</v>
      </c>
      <c r="C47" t="s">
        <v>362</v>
      </c>
      <c r="D47" t="s">
        <v>397</v>
      </c>
      <c r="E47" s="128">
        <v>176.2133944206434</v>
      </c>
      <c r="F47" s="128">
        <v>0</v>
      </c>
      <c r="G47" s="128">
        <v>0</v>
      </c>
      <c r="H47" s="128">
        <v>0</v>
      </c>
      <c r="I47" s="128">
        <v>0</v>
      </c>
      <c r="J47" s="128">
        <v>0</v>
      </c>
      <c r="K47" s="128">
        <v>0</v>
      </c>
      <c r="L47" s="128">
        <v>0</v>
      </c>
      <c r="M47" s="128">
        <v>0</v>
      </c>
      <c r="N47" s="128">
        <v>0</v>
      </c>
      <c r="O47" s="129">
        <v>0</v>
      </c>
      <c r="P47" s="129">
        <v>0</v>
      </c>
    </row>
    <row r="48" spans="1:16" x14ac:dyDescent="0.2">
      <c r="A48" t="s">
        <v>299</v>
      </c>
      <c r="B48" t="s">
        <v>18</v>
      </c>
      <c r="C48" t="s">
        <v>362</v>
      </c>
      <c r="D48" s="46" t="s">
        <v>321</v>
      </c>
      <c r="E48" s="40">
        <v>42198.645552370421</v>
      </c>
      <c r="F48" s="40">
        <v>0</v>
      </c>
      <c r="G48" s="40">
        <v>13886.802564903501</v>
      </c>
      <c r="H48" s="40">
        <v>0</v>
      </c>
      <c r="I48" s="40">
        <v>0</v>
      </c>
      <c r="J48" s="40">
        <v>22741.378119181591</v>
      </c>
      <c r="K48" s="40">
        <v>0</v>
      </c>
      <c r="L48" s="40">
        <v>7569.294565577462</v>
      </c>
      <c r="M48" s="40">
        <v>0</v>
      </c>
      <c r="N48" s="40">
        <v>1156.193060441612</v>
      </c>
      <c r="O48" s="111">
        <v>34823.874510388647</v>
      </c>
      <c r="P48" s="111">
        <v>15173.832442913757</v>
      </c>
    </row>
    <row r="49" spans="1:16" x14ac:dyDescent="0.2">
      <c r="A49" t="s">
        <v>299</v>
      </c>
      <c r="B49" t="s">
        <v>18</v>
      </c>
      <c r="C49" t="s">
        <v>362</v>
      </c>
      <c r="D49" t="s">
        <v>398</v>
      </c>
      <c r="E49" s="128">
        <v>0</v>
      </c>
      <c r="F49" s="128">
        <v>0</v>
      </c>
      <c r="G49" s="128">
        <v>0</v>
      </c>
      <c r="H49" s="128">
        <v>0</v>
      </c>
      <c r="I49" s="128">
        <v>1539.4455300122952</v>
      </c>
      <c r="J49" s="128">
        <v>0</v>
      </c>
      <c r="K49" s="128">
        <v>0</v>
      </c>
      <c r="L49" s="128">
        <v>0</v>
      </c>
      <c r="M49" s="128">
        <v>0</v>
      </c>
      <c r="N49" s="128">
        <v>342.45337314032508</v>
      </c>
      <c r="O49" s="129">
        <v>0</v>
      </c>
      <c r="P49" s="129">
        <v>0</v>
      </c>
    </row>
    <row r="50" spans="1:16" x14ac:dyDescent="0.2">
      <c r="A50" t="s">
        <v>299</v>
      </c>
      <c r="B50" t="s">
        <v>18</v>
      </c>
      <c r="C50" t="s">
        <v>362</v>
      </c>
      <c r="D50" t="s">
        <v>399</v>
      </c>
      <c r="E50" s="128">
        <v>0</v>
      </c>
      <c r="F50" s="128">
        <v>0</v>
      </c>
      <c r="G50" s="128">
        <v>0</v>
      </c>
      <c r="H50" s="128">
        <v>0</v>
      </c>
      <c r="I50" s="128">
        <v>914.87231446376438</v>
      </c>
      <c r="J50" s="128">
        <v>0</v>
      </c>
      <c r="K50" s="128">
        <v>0</v>
      </c>
      <c r="L50" s="128">
        <v>0</v>
      </c>
      <c r="M50" s="128">
        <v>0</v>
      </c>
      <c r="N50" s="128">
        <v>0</v>
      </c>
      <c r="O50" s="129">
        <v>0</v>
      </c>
      <c r="P50" s="129">
        <v>0</v>
      </c>
    </row>
    <row r="51" spans="1:16" x14ac:dyDescent="0.2">
      <c r="A51" t="s">
        <v>299</v>
      </c>
      <c r="B51" t="s">
        <v>18</v>
      </c>
      <c r="C51" t="s">
        <v>362</v>
      </c>
      <c r="D51" t="s">
        <v>400</v>
      </c>
      <c r="E51" s="128">
        <v>1989.0648575424839</v>
      </c>
      <c r="F51" s="128">
        <v>0</v>
      </c>
      <c r="G51" s="128">
        <v>0</v>
      </c>
      <c r="H51" s="128">
        <v>0</v>
      </c>
      <c r="I51" s="128">
        <v>81.353771734867308</v>
      </c>
      <c r="J51" s="128">
        <v>0</v>
      </c>
      <c r="K51" s="128">
        <v>0</v>
      </c>
      <c r="L51" s="128">
        <v>0</v>
      </c>
      <c r="M51" s="128">
        <v>0</v>
      </c>
      <c r="N51" s="128">
        <v>0</v>
      </c>
      <c r="O51" s="129">
        <v>0</v>
      </c>
      <c r="P51" s="129">
        <v>341.58824248350038</v>
      </c>
    </row>
    <row r="52" spans="1:16" x14ac:dyDescent="0.2">
      <c r="A52" t="s">
        <v>299</v>
      </c>
      <c r="B52" t="s">
        <v>18</v>
      </c>
      <c r="C52" t="s">
        <v>362</v>
      </c>
      <c r="D52" t="s">
        <v>401</v>
      </c>
      <c r="E52" s="128">
        <v>0</v>
      </c>
      <c r="F52" s="128">
        <v>0</v>
      </c>
      <c r="G52" s="128">
        <v>0</v>
      </c>
      <c r="H52" s="128">
        <v>0</v>
      </c>
      <c r="I52" s="128">
        <v>0</v>
      </c>
      <c r="J52" s="128">
        <v>0</v>
      </c>
      <c r="K52" s="128">
        <v>0</v>
      </c>
      <c r="L52" s="128">
        <v>0</v>
      </c>
      <c r="M52" s="128">
        <v>0</v>
      </c>
      <c r="N52" s="128">
        <v>0</v>
      </c>
      <c r="O52" s="129">
        <v>0</v>
      </c>
      <c r="P52" s="129">
        <v>0</v>
      </c>
    </row>
    <row r="53" spans="1:16" x14ac:dyDescent="0.2">
      <c r="A53" t="s">
        <v>299</v>
      </c>
      <c r="B53" t="s">
        <v>18</v>
      </c>
      <c r="C53" t="s">
        <v>362</v>
      </c>
      <c r="D53" t="s">
        <v>402</v>
      </c>
      <c r="E53" s="128">
        <v>0</v>
      </c>
      <c r="F53" s="128">
        <v>0</v>
      </c>
      <c r="G53" s="128">
        <v>0</v>
      </c>
      <c r="H53" s="128">
        <v>0</v>
      </c>
      <c r="I53" s="128">
        <v>0</v>
      </c>
      <c r="J53" s="128">
        <v>0</v>
      </c>
      <c r="K53" s="128">
        <v>0</v>
      </c>
      <c r="L53" s="128">
        <v>0</v>
      </c>
      <c r="M53" s="128">
        <v>0</v>
      </c>
      <c r="N53" s="128">
        <v>4137.2238463927351</v>
      </c>
      <c r="O53" s="129">
        <v>0</v>
      </c>
      <c r="P53" s="129">
        <v>1134.1593334962927</v>
      </c>
    </row>
    <row r="54" spans="1:16" x14ac:dyDescent="0.2">
      <c r="A54" t="s">
        <v>299</v>
      </c>
      <c r="B54" t="s">
        <v>18</v>
      </c>
      <c r="C54" t="s">
        <v>362</v>
      </c>
      <c r="D54" t="s">
        <v>403</v>
      </c>
      <c r="E54" s="128">
        <v>0</v>
      </c>
      <c r="F54" s="128">
        <v>0</v>
      </c>
      <c r="G54" s="128">
        <v>0</v>
      </c>
      <c r="H54" s="128">
        <v>0</v>
      </c>
      <c r="I54" s="128">
        <v>0</v>
      </c>
      <c r="J54" s="128">
        <v>0</v>
      </c>
      <c r="K54" s="128">
        <v>0</v>
      </c>
      <c r="L54" s="128">
        <v>865.67587912678789</v>
      </c>
      <c r="M54" s="128">
        <v>75.57681303376124</v>
      </c>
      <c r="N54" s="128">
        <v>0</v>
      </c>
      <c r="O54" s="129">
        <v>1113.9234252778922</v>
      </c>
      <c r="P54" s="129">
        <v>0</v>
      </c>
    </row>
    <row r="55" spans="1:16" x14ac:dyDescent="0.2">
      <c r="A55" t="s">
        <v>299</v>
      </c>
      <c r="B55" t="s">
        <v>18</v>
      </c>
      <c r="C55" t="s">
        <v>362</v>
      </c>
      <c r="D55" t="s">
        <v>404</v>
      </c>
      <c r="E55" s="128">
        <v>0</v>
      </c>
      <c r="F55" s="128">
        <v>0</v>
      </c>
      <c r="G55" s="128">
        <v>0</v>
      </c>
      <c r="H55" s="128">
        <v>0</v>
      </c>
      <c r="I55" s="128">
        <v>0</v>
      </c>
      <c r="J55" s="128">
        <v>0</v>
      </c>
      <c r="K55" s="128">
        <v>0</v>
      </c>
      <c r="L55" s="128">
        <v>0</v>
      </c>
      <c r="M55" s="128">
        <v>0</v>
      </c>
      <c r="N55" s="128">
        <v>0</v>
      </c>
      <c r="O55" s="129">
        <v>41169.205434335119</v>
      </c>
      <c r="P55" s="129">
        <v>0</v>
      </c>
    </row>
    <row r="56" spans="1:16" x14ac:dyDescent="0.2">
      <c r="A56" t="s">
        <v>299</v>
      </c>
      <c r="B56" t="s">
        <v>18</v>
      </c>
      <c r="C56" t="s">
        <v>362</v>
      </c>
      <c r="D56" t="s">
        <v>405</v>
      </c>
      <c r="E56" s="128">
        <v>0</v>
      </c>
      <c r="F56" s="128">
        <v>0</v>
      </c>
      <c r="G56" s="128">
        <v>0</v>
      </c>
      <c r="H56" s="128">
        <v>0</v>
      </c>
      <c r="I56" s="128">
        <v>0</v>
      </c>
      <c r="J56" s="128">
        <v>0</v>
      </c>
      <c r="K56" s="128">
        <v>0</v>
      </c>
      <c r="L56" s="128">
        <v>0</v>
      </c>
      <c r="M56" s="128">
        <v>0</v>
      </c>
      <c r="N56" s="128">
        <v>0</v>
      </c>
      <c r="O56" s="129">
        <v>2449.5677233429396</v>
      </c>
      <c r="P56" s="129">
        <v>0</v>
      </c>
    </row>
    <row r="57" spans="1:16" x14ac:dyDescent="0.2">
      <c r="A57" t="s">
        <v>299</v>
      </c>
      <c r="B57" t="s">
        <v>18</v>
      </c>
      <c r="C57" t="s">
        <v>160</v>
      </c>
      <c r="E57" s="128">
        <v>0</v>
      </c>
      <c r="F57" s="128">
        <v>81.834883334717262</v>
      </c>
      <c r="G57" s="128">
        <v>0</v>
      </c>
      <c r="H57" s="128">
        <v>0</v>
      </c>
      <c r="I57" s="128">
        <v>0</v>
      </c>
      <c r="J57" s="128">
        <v>323.94609536973047</v>
      </c>
      <c r="K57" s="128">
        <v>0</v>
      </c>
      <c r="L57" s="128">
        <v>1075.384449940854</v>
      </c>
      <c r="M57" s="128">
        <v>0</v>
      </c>
      <c r="N57" s="128">
        <v>0</v>
      </c>
      <c r="O57" s="129">
        <v>0</v>
      </c>
      <c r="P57" s="129">
        <v>0</v>
      </c>
    </row>
    <row r="58" spans="1:16" x14ac:dyDescent="0.2">
      <c r="A58" t="s">
        <v>299</v>
      </c>
      <c r="B58" t="s">
        <v>19</v>
      </c>
      <c r="C58" t="s">
        <v>406</v>
      </c>
      <c r="E58" s="128">
        <v>0</v>
      </c>
      <c r="F58" s="128">
        <v>0</v>
      </c>
      <c r="G58" s="128">
        <v>135.84143481450104</v>
      </c>
      <c r="H58" s="128">
        <v>0</v>
      </c>
      <c r="I58" s="128">
        <v>0</v>
      </c>
      <c r="J58" s="128">
        <v>0</v>
      </c>
      <c r="K58" s="128">
        <v>139.97930799095525</v>
      </c>
      <c r="L58" s="128">
        <v>0</v>
      </c>
      <c r="M58" s="128">
        <v>0</v>
      </c>
      <c r="N58" s="128">
        <v>198.56930210642423</v>
      </c>
      <c r="O58" s="129">
        <v>0</v>
      </c>
      <c r="P58" s="129">
        <v>0</v>
      </c>
    </row>
    <row r="59" spans="1:16" x14ac:dyDescent="0.2">
      <c r="A59" t="s">
        <v>299</v>
      </c>
      <c r="B59" t="s">
        <v>19</v>
      </c>
      <c r="C59" t="s">
        <v>357</v>
      </c>
      <c r="E59" s="128">
        <v>0</v>
      </c>
      <c r="F59" s="128">
        <v>0</v>
      </c>
      <c r="G59" s="128">
        <v>0</v>
      </c>
      <c r="H59" s="128">
        <v>0</v>
      </c>
      <c r="I59" s="128">
        <v>0</v>
      </c>
      <c r="J59" s="128">
        <v>215.9640635798203</v>
      </c>
      <c r="K59" s="128">
        <v>281.007082213405</v>
      </c>
      <c r="L59" s="128">
        <v>120.70975373696096</v>
      </c>
      <c r="M59" s="128">
        <v>124.32385744053724</v>
      </c>
      <c r="N59" s="128">
        <v>145.84551461218021</v>
      </c>
      <c r="O59" s="129">
        <v>444.8507616303005</v>
      </c>
      <c r="P59" s="129">
        <v>113.93913468589587</v>
      </c>
    </row>
    <row r="60" spans="1:16" x14ac:dyDescent="0.2">
      <c r="A60" t="s">
        <v>299</v>
      </c>
      <c r="B60" t="s">
        <v>19</v>
      </c>
      <c r="C60" t="s">
        <v>407</v>
      </c>
      <c r="E60" s="128">
        <v>0</v>
      </c>
      <c r="F60" s="128">
        <v>0</v>
      </c>
      <c r="G60" s="128">
        <v>0</v>
      </c>
      <c r="H60" s="128">
        <v>51.355010727602227</v>
      </c>
      <c r="I60" s="128">
        <v>2309.8542293110208</v>
      </c>
      <c r="J60" s="128">
        <v>0</v>
      </c>
      <c r="K60" s="128">
        <v>2278.3597849737616</v>
      </c>
      <c r="L60" s="128">
        <v>0</v>
      </c>
      <c r="M60" s="128">
        <v>2344.01701557962</v>
      </c>
      <c r="N60" s="128">
        <v>0</v>
      </c>
      <c r="O60" s="129">
        <v>0</v>
      </c>
      <c r="P60" s="129">
        <v>2211.2075287215839</v>
      </c>
    </row>
    <row r="61" spans="1:16" x14ac:dyDescent="0.2">
      <c r="A61" t="s">
        <v>299</v>
      </c>
      <c r="B61" t="s">
        <v>19</v>
      </c>
      <c r="C61" t="s">
        <v>362</v>
      </c>
      <c r="D61" t="s">
        <v>408</v>
      </c>
      <c r="E61" s="128">
        <v>0</v>
      </c>
      <c r="F61" s="128">
        <v>0</v>
      </c>
      <c r="G61" s="128">
        <v>0</v>
      </c>
      <c r="H61" s="128">
        <v>0</v>
      </c>
      <c r="I61" s="128">
        <v>0</v>
      </c>
      <c r="J61" s="128">
        <v>584.56504837595025</v>
      </c>
      <c r="K61" s="128">
        <v>0</v>
      </c>
      <c r="L61" s="128">
        <v>0</v>
      </c>
      <c r="M61" s="128">
        <v>0</v>
      </c>
      <c r="N61" s="128">
        <v>0</v>
      </c>
      <c r="O61" s="129">
        <v>0</v>
      </c>
      <c r="P61" s="129">
        <v>0</v>
      </c>
    </row>
    <row r="62" spans="1:16" x14ac:dyDescent="0.2">
      <c r="A62" t="s">
        <v>299</v>
      </c>
      <c r="B62" t="s">
        <v>19</v>
      </c>
      <c r="C62" t="s">
        <v>362</v>
      </c>
      <c r="D62" t="s">
        <v>409</v>
      </c>
      <c r="E62" s="128">
        <v>0</v>
      </c>
      <c r="F62" s="128">
        <v>0</v>
      </c>
      <c r="G62" s="128">
        <v>0</v>
      </c>
      <c r="H62" s="128">
        <v>0</v>
      </c>
      <c r="I62" s="128">
        <v>0</v>
      </c>
      <c r="J62" s="128">
        <v>276.8119384934347</v>
      </c>
      <c r="K62" s="128">
        <v>266.65066769060115</v>
      </c>
      <c r="L62" s="128">
        <v>0</v>
      </c>
      <c r="M62" s="128">
        <v>0</v>
      </c>
      <c r="N62" s="128">
        <v>0</v>
      </c>
      <c r="O62" s="129">
        <v>98.428365582544259</v>
      </c>
      <c r="P62" s="129">
        <v>0</v>
      </c>
    </row>
    <row r="63" spans="1:16" x14ac:dyDescent="0.2">
      <c r="A63" t="s">
        <v>299</v>
      </c>
      <c r="B63" t="s">
        <v>19</v>
      </c>
      <c r="C63" t="s">
        <v>362</v>
      </c>
      <c r="D63" t="s">
        <v>410</v>
      </c>
      <c r="E63" s="128">
        <v>0</v>
      </c>
      <c r="F63" s="128">
        <v>0</v>
      </c>
      <c r="G63" s="128">
        <v>0</v>
      </c>
      <c r="H63" s="128">
        <v>0</v>
      </c>
      <c r="I63" s="128">
        <v>0</v>
      </c>
      <c r="J63" s="128">
        <v>0</v>
      </c>
      <c r="K63" s="128">
        <v>495.37096292503952</v>
      </c>
      <c r="L63" s="128">
        <v>0</v>
      </c>
      <c r="M63" s="128">
        <v>0</v>
      </c>
      <c r="N63" s="128">
        <v>0</v>
      </c>
      <c r="O63" s="129">
        <v>0</v>
      </c>
      <c r="P63" s="129">
        <v>1040.5575246476003</v>
      </c>
    </row>
    <row r="64" spans="1:16" x14ac:dyDescent="0.2">
      <c r="A64" t="s">
        <v>299</v>
      </c>
      <c r="B64" t="s">
        <v>19</v>
      </c>
      <c r="C64" t="s">
        <v>411</v>
      </c>
      <c r="E64" s="128">
        <v>0</v>
      </c>
      <c r="F64" s="128">
        <v>0</v>
      </c>
      <c r="G64" s="128">
        <v>127.58153998739579</v>
      </c>
      <c r="H64" s="128">
        <v>0</v>
      </c>
      <c r="I64" s="128">
        <v>0</v>
      </c>
      <c r="J64" s="128">
        <v>0</v>
      </c>
      <c r="K64" s="128">
        <v>0</v>
      </c>
      <c r="L64" s="128">
        <v>0</v>
      </c>
      <c r="M64" s="128">
        <v>0</v>
      </c>
      <c r="N64" s="128">
        <v>0</v>
      </c>
      <c r="O64" s="129">
        <v>0</v>
      </c>
      <c r="P64" s="129">
        <v>0</v>
      </c>
    </row>
    <row r="65" spans="1:18" x14ac:dyDescent="0.2">
      <c r="A65" t="s">
        <v>299</v>
      </c>
      <c r="B65" t="s">
        <v>19</v>
      </c>
      <c r="C65" t="s">
        <v>351</v>
      </c>
      <c r="E65" s="128">
        <v>0</v>
      </c>
      <c r="F65" s="128">
        <v>0</v>
      </c>
      <c r="G65" s="128">
        <v>35.095513105286543</v>
      </c>
      <c r="H65" s="128">
        <v>44.045660007915515</v>
      </c>
      <c r="I65" s="128">
        <v>0</v>
      </c>
      <c r="J65" s="128">
        <v>0</v>
      </c>
      <c r="K65" s="128">
        <v>0</v>
      </c>
      <c r="L65" s="128">
        <v>0</v>
      </c>
      <c r="M65" s="128">
        <v>0</v>
      </c>
      <c r="N65" s="128">
        <v>0</v>
      </c>
      <c r="O65" s="129">
        <v>0</v>
      </c>
      <c r="P65" s="129">
        <v>0</v>
      </c>
    </row>
    <row r="66" spans="1:18" x14ac:dyDescent="0.2">
      <c r="A66" t="s">
        <v>299</v>
      </c>
      <c r="B66" t="s">
        <v>19</v>
      </c>
      <c r="C66" t="s">
        <v>366</v>
      </c>
      <c r="E66" s="128">
        <v>1887.7773984294981</v>
      </c>
      <c r="F66" s="128">
        <v>1871.807273935066</v>
      </c>
      <c r="G66" s="128">
        <v>0</v>
      </c>
      <c r="H66" s="128">
        <v>1928.3417001687253</v>
      </c>
      <c r="I66" s="128">
        <v>2040.8757136009065</v>
      </c>
      <c r="J66" s="128">
        <v>2023.0174498963372</v>
      </c>
      <c r="K66" s="128">
        <v>4142.2628951747092</v>
      </c>
      <c r="L66" s="128">
        <v>0</v>
      </c>
      <c r="M66" s="128">
        <v>0</v>
      </c>
      <c r="N66" s="128">
        <v>4146.6679517246548</v>
      </c>
      <c r="O66" s="129">
        <v>4175.323178262659</v>
      </c>
      <c r="P66" s="129">
        <v>4497.5759797930414</v>
      </c>
    </row>
    <row r="67" spans="1:18" x14ac:dyDescent="0.2">
      <c r="A67" t="s">
        <v>299</v>
      </c>
      <c r="B67" t="s">
        <v>19</v>
      </c>
      <c r="C67" t="s">
        <v>412</v>
      </c>
      <c r="E67" s="128">
        <v>102.90862234165576</v>
      </c>
      <c r="F67" s="128">
        <v>0</v>
      </c>
      <c r="G67" s="128">
        <v>62.51795067825153</v>
      </c>
      <c r="H67" s="128">
        <v>0</v>
      </c>
      <c r="I67" s="128">
        <v>102.70623610929533</v>
      </c>
      <c r="J67" s="128">
        <v>0</v>
      </c>
      <c r="K67" s="128">
        <v>0</v>
      </c>
      <c r="L67" s="128">
        <v>0</v>
      </c>
      <c r="M67" s="128">
        <v>0</v>
      </c>
      <c r="N67" s="128">
        <v>0</v>
      </c>
      <c r="O67" s="129">
        <v>0</v>
      </c>
      <c r="P67" s="129">
        <v>0</v>
      </c>
    </row>
    <row r="68" spans="1:18" x14ac:dyDescent="0.2">
      <c r="A68" t="s">
        <v>299</v>
      </c>
      <c r="B68" t="s">
        <v>19</v>
      </c>
      <c r="C68" t="s">
        <v>413</v>
      </c>
      <c r="E68" s="128">
        <v>0</v>
      </c>
      <c r="F68" s="128">
        <v>648.98800132857252</v>
      </c>
      <c r="G68" s="128">
        <v>0</v>
      </c>
      <c r="H68" s="128">
        <v>0</v>
      </c>
      <c r="I68" s="128">
        <v>0</v>
      </c>
      <c r="J68" s="128">
        <v>0</v>
      </c>
      <c r="K68" s="128">
        <v>0</v>
      </c>
      <c r="L68" s="128">
        <v>0</v>
      </c>
      <c r="M68" s="128">
        <v>0</v>
      </c>
      <c r="N68" s="128">
        <v>0</v>
      </c>
      <c r="O68" s="129">
        <v>0</v>
      </c>
      <c r="P68" s="129">
        <v>0</v>
      </c>
    </row>
    <row r="69" spans="1:18" x14ac:dyDescent="0.2">
      <c r="A69" t="s">
        <v>299</v>
      </c>
      <c r="B69" t="s">
        <v>19</v>
      </c>
      <c r="C69" t="s">
        <v>414</v>
      </c>
      <c r="E69" s="128">
        <v>0</v>
      </c>
      <c r="F69" s="128">
        <v>0</v>
      </c>
      <c r="G69" s="128">
        <v>0</v>
      </c>
      <c r="H69" s="128">
        <v>0</v>
      </c>
      <c r="I69" s="128">
        <v>0</v>
      </c>
      <c r="J69" s="128">
        <v>0</v>
      </c>
      <c r="K69" s="128">
        <v>0</v>
      </c>
      <c r="L69" s="128">
        <v>0</v>
      </c>
      <c r="M69" s="128">
        <v>0</v>
      </c>
      <c r="N69" s="128">
        <v>0</v>
      </c>
      <c r="O69" s="129">
        <v>0</v>
      </c>
      <c r="P69" s="129">
        <v>0</v>
      </c>
    </row>
    <row r="70" spans="1:18" x14ac:dyDescent="0.2">
      <c r="A70" t="s">
        <v>299</v>
      </c>
      <c r="B70" t="s">
        <v>19</v>
      </c>
      <c r="C70" t="s">
        <v>160</v>
      </c>
      <c r="E70" s="128">
        <v>0</v>
      </c>
      <c r="F70" s="128">
        <v>0</v>
      </c>
      <c r="G70" s="128">
        <v>0</v>
      </c>
      <c r="H70" s="128">
        <v>0</v>
      </c>
      <c r="I70" s="128">
        <v>0</v>
      </c>
      <c r="J70" s="128">
        <v>0</v>
      </c>
      <c r="K70" s="128">
        <v>0</v>
      </c>
      <c r="L70" s="128">
        <v>0</v>
      </c>
      <c r="M70" s="128">
        <v>0</v>
      </c>
      <c r="N70" s="128">
        <v>1381.4202032533385</v>
      </c>
      <c r="O70" s="129">
        <v>0</v>
      </c>
      <c r="P70" s="129">
        <v>0</v>
      </c>
    </row>
    <row r="71" spans="1:18" x14ac:dyDescent="0.2">
      <c r="A71" t="s">
        <v>299</v>
      </c>
      <c r="B71" t="s">
        <v>22</v>
      </c>
      <c r="E71" s="128">
        <v>84561.239749505359</v>
      </c>
      <c r="F71" s="128">
        <v>24650.077476867282</v>
      </c>
      <c r="G71" s="128">
        <v>12434.175296317408</v>
      </c>
      <c r="H71" s="128">
        <v>3310.072489428625</v>
      </c>
      <c r="I71" s="128">
        <v>12154.318639196312</v>
      </c>
      <c r="J71" s="128">
        <v>1725.6079388389771</v>
      </c>
      <c r="K71" s="128">
        <v>623.64593075492519</v>
      </c>
      <c r="L71" s="128">
        <v>101.83890740939886</v>
      </c>
      <c r="M71" s="128">
        <v>0</v>
      </c>
      <c r="N71" s="128">
        <v>25309.819694287387</v>
      </c>
      <c r="O71" s="129">
        <v>27730.612391930837</v>
      </c>
      <c r="P71" s="129">
        <v>3460.6351340340584</v>
      </c>
    </row>
    <row r="72" spans="1:18" x14ac:dyDescent="0.2">
      <c r="A72" t="s">
        <v>299</v>
      </c>
      <c r="B72" t="s">
        <v>378</v>
      </c>
      <c r="C72" t="s">
        <v>380</v>
      </c>
      <c r="D72" t="s">
        <v>381</v>
      </c>
      <c r="E72" s="128">
        <v>0</v>
      </c>
      <c r="F72" s="128">
        <v>0</v>
      </c>
      <c r="G72" s="128">
        <v>0</v>
      </c>
      <c r="H72" s="128">
        <v>17895.681879725875</v>
      </c>
      <c r="I72" s="128">
        <v>0</v>
      </c>
      <c r="J72" s="128">
        <v>1535.0520473393226</v>
      </c>
      <c r="K72" s="128">
        <v>0</v>
      </c>
      <c r="L72" s="128">
        <v>3382.0840950639854</v>
      </c>
      <c r="M72" s="128">
        <v>0</v>
      </c>
      <c r="N72" s="128">
        <v>0</v>
      </c>
      <c r="O72" s="129">
        <v>0</v>
      </c>
      <c r="P72" s="129">
        <v>13.404424346125641</v>
      </c>
    </row>
    <row r="73" spans="1:18" x14ac:dyDescent="0.2">
      <c r="A73" t="s">
        <v>299</v>
      </c>
      <c r="B73" t="s">
        <v>378</v>
      </c>
      <c r="C73" t="s">
        <v>313</v>
      </c>
      <c r="D73" t="s">
        <v>382</v>
      </c>
      <c r="E73" s="128">
        <v>0</v>
      </c>
      <c r="F73" s="128">
        <v>0</v>
      </c>
      <c r="G73" s="128">
        <v>0</v>
      </c>
      <c r="H73" s="128">
        <v>0</v>
      </c>
      <c r="I73" s="128">
        <v>0</v>
      </c>
      <c r="J73" s="128">
        <v>0</v>
      </c>
      <c r="K73" s="128">
        <v>0</v>
      </c>
      <c r="L73" s="128">
        <v>865.67587912678789</v>
      </c>
      <c r="M73" s="128">
        <v>0</v>
      </c>
      <c r="N73" s="128">
        <v>0</v>
      </c>
      <c r="O73" s="129">
        <v>0</v>
      </c>
      <c r="P73" s="129">
        <v>0</v>
      </c>
    </row>
    <row r="74" spans="1:18" x14ac:dyDescent="0.2">
      <c r="A74" t="s">
        <v>299</v>
      </c>
      <c r="B74" t="s">
        <v>378</v>
      </c>
      <c r="C74" t="s">
        <v>313</v>
      </c>
      <c r="D74" t="s">
        <v>383</v>
      </c>
      <c r="E74" s="128">
        <v>0</v>
      </c>
      <c r="F74" s="128">
        <v>0</v>
      </c>
      <c r="G74" s="128">
        <v>0</v>
      </c>
      <c r="H74" s="128">
        <v>0</v>
      </c>
      <c r="I74" s="128">
        <v>32677.977513400445</v>
      </c>
      <c r="J74" s="128">
        <v>0</v>
      </c>
      <c r="K74" s="128">
        <v>0</v>
      </c>
      <c r="L74" s="128">
        <v>0</v>
      </c>
      <c r="M74" s="128">
        <v>0</v>
      </c>
      <c r="N74" s="128">
        <v>0</v>
      </c>
      <c r="O74" s="129">
        <v>0</v>
      </c>
      <c r="P74" s="129">
        <v>0</v>
      </c>
    </row>
    <row r="75" spans="1:18" x14ac:dyDescent="0.2">
      <c r="A75" t="s">
        <v>299</v>
      </c>
      <c r="B75" t="s">
        <v>378</v>
      </c>
      <c r="C75" t="s">
        <v>384</v>
      </c>
      <c r="E75" s="128">
        <v>0</v>
      </c>
      <c r="F75" s="128">
        <v>1037.9473553101386</v>
      </c>
      <c r="G75" s="128">
        <v>0</v>
      </c>
      <c r="H75" s="128">
        <v>0</v>
      </c>
      <c r="I75" s="128">
        <v>435.78681309103587</v>
      </c>
      <c r="J75" s="128">
        <v>0</v>
      </c>
      <c r="K75" s="128">
        <v>0</v>
      </c>
      <c r="L75" s="128">
        <v>19356.92009893537</v>
      </c>
      <c r="M75" s="128">
        <v>0</v>
      </c>
      <c r="N75" s="128">
        <v>0</v>
      </c>
      <c r="O75" s="129">
        <v>0</v>
      </c>
      <c r="P75" s="129">
        <v>20441.988511366413</v>
      </c>
    </row>
    <row r="76" spans="1:18" x14ac:dyDescent="0.2">
      <c r="A76" t="s">
        <v>299</v>
      </c>
      <c r="B76" t="s">
        <v>378</v>
      </c>
      <c r="C76" t="s">
        <v>385</v>
      </c>
      <c r="E76" s="128">
        <v>0</v>
      </c>
      <c r="F76" s="128">
        <v>0</v>
      </c>
      <c r="G76" s="128">
        <v>0</v>
      </c>
      <c r="H76" s="128">
        <v>0</v>
      </c>
      <c r="I76" s="128">
        <v>59.489257855057303</v>
      </c>
      <c r="J76" s="128">
        <v>11.287361782999309</v>
      </c>
      <c r="K76" s="128">
        <v>55.21673279576774</v>
      </c>
      <c r="L76" s="128">
        <v>106.44908054629531</v>
      </c>
      <c r="M76" s="128">
        <v>84.94941751870526</v>
      </c>
      <c r="N76" s="128">
        <v>71.211488418414888</v>
      </c>
      <c r="O76" s="129">
        <v>10.214079868258542</v>
      </c>
      <c r="P76" s="129">
        <v>211.80131182270023</v>
      </c>
    </row>
    <row r="77" spans="1:18" x14ac:dyDescent="0.2">
      <c r="A77" t="s">
        <v>299</v>
      </c>
      <c r="B77" t="s">
        <v>21</v>
      </c>
      <c r="C77" t="s">
        <v>343</v>
      </c>
      <c r="E77" s="128">
        <v>615.97594687166156</v>
      </c>
      <c r="F77" s="128">
        <v>352.01984555343353</v>
      </c>
      <c r="G77" s="128">
        <v>0</v>
      </c>
      <c r="H77" s="128">
        <v>0</v>
      </c>
      <c r="I77" s="128">
        <v>0</v>
      </c>
      <c r="J77" s="128">
        <v>0</v>
      </c>
      <c r="K77" s="128">
        <v>0</v>
      </c>
      <c r="L77" s="128">
        <v>0</v>
      </c>
      <c r="M77" s="128">
        <v>0</v>
      </c>
      <c r="N77" s="128">
        <v>0</v>
      </c>
      <c r="O77" s="129">
        <v>0</v>
      </c>
      <c r="P77" s="129">
        <v>0</v>
      </c>
    </row>
    <row r="78" spans="1:18" x14ac:dyDescent="0.2">
      <c r="A78" t="s">
        <v>299</v>
      </c>
      <c r="B78" t="s">
        <v>21</v>
      </c>
      <c r="C78" t="s">
        <v>349</v>
      </c>
      <c r="E78" s="128">
        <v>0</v>
      </c>
      <c r="F78" s="128">
        <v>0</v>
      </c>
      <c r="G78" s="128">
        <v>0</v>
      </c>
      <c r="H78" s="128">
        <v>80.654904493094762</v>
      </c>
      <c r="I78" s="128">
        <v>438.2631716564257</v>
      </c>
      <c r="J78" s="128">
        <v>49.883379405666894</v>
      </c>
      <c r="K78" s="128">
        <v>245.85093220700543</v>
      </c>
      <c r="L78" s="128">
        <v>0</v>
      </c>
      <c r="M78" s="128">
        <v>0</v>
      </c>
      <c r="N78" s="128">
        <v>12.850579882417195</v>
      </c>
      <c r="O78" s="129">
        <v>0</v>
      </c>
      <c r="P78" s="129">
        <v>0</v>
      </c>
    </row>
    <row r="79" spans="1:18" x14ac:dyDescent="0.2">
      <c r="A79" t="s">
        <v>299</v>
      </c>
      <c r="B79" t="s">
        <v>21</v>
      </c>
      <c r="C79" t="s">
        <v>350</v>
      </c>
      <c r="E79" s="128">
        <v>20476.158327734887</v>
      </c>
      <c r="F79" s="128">
        <v>5154.7548368346752</v>
      </c>
      <c r="G79" s="128">
        <v>5079.8859421652396</v>
      </c>
      <c r="H79" s="128">
        <v>1472.8581248567916</v>
      </c>
      <c r="I79" s="128">
        <v>0</v>
      </c>
      <c r="J79" s="128">
        <v>0</v>
      </c>
      <c r="K79" s="128">
        <v>7784.4351294850467</v>
      </c>
      <c r="L79" s="128">
        <v>0</v>
      </c>
      <c r="M79" s="128">
        <v>4966.4762850757388</v>
      </c>
      <c r="N79" s="128">
        <v>4102.6322271125819</v>
      </c>
      <c r="O79" s="129">
        <v>0</v>
      </c>
      <c r="P79" s="129">
        <v>0</v>
      </c>
      <c r="Q79" s="4">
        <f>+SUM(E79:P79)</f>
        <v>49037.20087326497</v>
      </c>
      <c r="R79">
        <v>411000</v>
      </c>
    </row>
    <row r="80" spans="1:18" x14ac:dyDescent="0.2">
      <c r="A80" t="s">
        <v>299</v>
      </c>
      <c r="B80" t="s">
        <v>21</v>
      </c>
      <c r="C80" t="s">
        <v>344</v>
      </c>
      <c r="E80" s="128">
        <v>0</v>
      </c>
      <c r="F80" s="128">
        <v>0</v>
      </c>
      <c r="G80" s="128">
        <v>0</v>
      </c>
      <c r="H80" s="128">
        <v>0</v>
      </c>
      <c r="I80" s="128">
        <v>1601.3531180546477</v>
      </c>
      <c r="J80" s="128">
        <v>0</v>
      </c>
      <c r="K80" s="128">
        <v>0</v>
      </c>
      <c r="L80" s="128">
        <v>90.332293795031731</v>
      </c>
      <c r="M80" s="128">
        <v>0</v>
      </c>
      <c r="N80" s="128">
        <v>0</v>
      </c>
      <c r="O80" s="129">
        <v>0</v>
      </c>
      <c r="P80" s="129">
        <v>0</v>
      </c>
    </row>
    <row r="81" spans="1:16" x14ac:dyDescent="0.2">
      <c r="A81" t="s">
        <v>299</v>
      </c>
      <c r="B81" t="s">
        <v>21</v>
      </c>
      <c r="C81" t="s">
        <v>351</v>
      </c>
      <c r="E81" s="128">
        <v>1081.3379001971387</v>
      </c>
      <c r="F81" s="128">
        <v>86.540936643693428</v>
      </c>
      <c r="G81" s="128">
        <v>171.902926864546</v>
      </c>
      <c r="H81" s="128">
        <v>8037.7153331805785</v>
      </c>
      <c r="I81" s="128">
        <v>1829.2543687628013</v>
      </c>
      <c r="J81" s="128">
        <v>1344.3385020732549</v>
      </c>
      <c r="K81" s="128">
        <v>244.17637271214645</v>
      </c>
      <c r="L81" s="128">
        <v>2950.6989998924619</v>
      </c>
      <c r="M81" s="128">
        <v>39.500761166474128</v>
      </c>
      <c r="N81" s="128">
        <v>1166.3293389447533</v>
      </c>
      <c r="O81" s="129">
        <v>140.67311650885136</v>
      </c>
      <c r="P81" s="129">
        <v>0</v>
      </c>
    </row>
    <row r="82" spans="1:16" x14ac:dyDescent="0.2">
      <c r="A82" t="s">
        <v>299</v>
      </c>
      <c r="B82" t="s">
        <v>21</v>
      </c>
      <c r="C82" t="s">
        <v>352</v>
      </c>
      <c r="E82" s="128">
        <v>0</v>
      </c>
      <c r="F82" s="128">
        <v>0</v>
      </c>
      <c r="G82" s="128">
        <v>0</v>
      </c>
      <c r="H82" s="128">
        <v>225.23590309746496</v>
      </c>
      <c r="I82" s="128">
        <v>0</v>
      </c>
      <c r="J82" s="128">
        <v>0</v>
      </c>
      <c r="K82" s="128">
        <v>0</v>
      </c>
      <c r="L82" s="128">
        <v>0</v>
      </c>
      <c r="M82" s="128">
        <v>0</v>
      </c>
      <c r="N82" s="128">
        <v>0</v>
      </c>
      <c r="O82" s="129">
        <v>0</v>
      </c>
      <c r="P82" s="129">
        <v>0</v>
      </c>
    </row>
    <row r="83" spans="1:16" x14ac:dyDescent="0.2">
      <c r="A83" t="s">
        <v>299</v>
      </c>
      <c r="B83" t="s">
        <v>21</v>
      </c>
      <c r="C83" t="s">
        <v>353</v>
      </c>
      <c r="E83" s="128">
        <v>12103.16743576471</v>
      </c>
      <c r="F83" s="128">
        <v>5251.0670098812589</v>
      </c>
      <c r="G83" s="128">
        <v>0</v>
      </c>
      <c r="H83" s="128">
        <v>0</v>
      </c>
      <c r="I83" s="128">
        <v>0</v>
      </c>
      <c r="J83" s="128">
        <v>0</v>
      </c>
      <c r="K83" s="128">
        <v>0</v>
      </c>
      <c r="L83" s="128">
        <v>0</v>
      </c>
      <c r="M83" s="128">
        <v>0</v>
      </c>
      <c r="N83" s="128">
        <v>0</v>
      </c>
      <c r="O83" s="129">
        <v>0</v>
      </c>
      <c r="P83" s="129">
        <v>0</v>
      </c>
    </row>
    <row r="84" spans="1:16" x14ac:dyDescent="0.2">
      <c r="A84" t="s">
        <v>299</v>
      </c>
      <c r="B84" t="s">
        <v>21</v>
      </c>
      <c r="C84" t="s">
        <v>354</v>
      </c>
      <c r="E84" s="128">
        <v>0</v>
      </c>
      <c r="F84" s="128">
        <v>0</v>
      </c>
      <c r="G84" s="128">
        <v>29.960844275929045</v>
      </c>
      <c r="H84" s="128">
        <v>0</v>
      </c>
      <c r="I84" s="128">
        <v>0</v>
      </c>
      <c r="J84" s="128">
        <v>0</v>
      </c>
      <c r="K84" s="128">
        <v>0</v>
      </c>
      <c r="L84" s="128">
        <v>0</v>
      </c>
      <c r="M84" s="128">
        <v>0</v>
      </c>
      <c r="N84" s="128">
        <v>0</v>
      </c>
      <c r="O84" s="129">
        <v>0</v>
      </c>
      <c r="P84" s="129">
        <v>0</v>
      </c>
    </row>
    <row r="85" spans="1:16" x14ac:dyDescent="0.2">
      <c r="A85" t="s">
        <v>299</v>
      </c>
      <c r="B85" t="s">
        <v>17</v>
      </c>
      <c r="E85" s="128">
        <v>275.33342878225528</v>
      </c>
      <c r="F85" s="128">
        <v>72.656314871709696</v>
      </c>
      <c r="G85" s="128">
        <v>118.81024454247725</v>
      </c>
      <c r="H85" s="128">
        <v>0</v>
      </c>
      <c r="I85" s="128">
        <v>0</v>
      </c>
      <c r="J85" s="128">
        <v>314.94795266067723</v>
      </c>
      <c r="K85" s="128">
        <v>266.6496010921968</v>
      </c>
      <c r="L85" s="128">
        <v>376.38455747929885</v>
      </c>
      <c r="M85" s="128">
        <v>465.60715172585049</v>
      </c>
      <c r="N85" s="128">
        <v>461.81771452436794</v>
      </c>
      <c r="O85" s="129">
        <v>1024.5722803296067</v>
      </c>
      <c r="P85" s="129">
        <v>6469.3810252500116</v>
      </c>
    </row>
    <row r="86" spans="1:16" x14ac:dyDescent="0.2">
      <c r="A86" t="s">
        <v>299</v>
      </c>
      <c r="B86" t="s">
        <v>30</v>
      </c>
      <c r="E86" s="128">
        <v>11750.390422802013</v>
      </c>
      <c r="F86" s="128">
        <v>2604.9655401478035</v>
      </c>
      <c r="G86" s="128">
        <v>0</v>
      </c>
      <c r="H86" s="128">
        <v>0</v>
      </c>
      <c r="I86" s="128">
        <v>4112.9766418268182</v>
      </c>
      <c r="J86" s="128">
        <v>0</v>
      </c>
      <c r="K86" s="128">
        <v>2944.5208839967577</v>
      </c>
      <c r="L86" s="128">
        <v>202.59167652435747</v>
      </c>
      <c r="M86" s="128">
        <v>0</v>
      </c>
      <c r="N86" s="128">
        <v>0</v>
      </c>
      <c r="O86" s="129">
        <v>10693.744339234252</v>
      </c>
      <c r="P86" s="129">
        <v>9987.7495314918924</v>
      </c>
    </row>
    <row r="87" spans="1:16" x14ac:dyDescent="0.2">
      <c r="A87" t="s">
        <v>299</v>
      </c>
      <c r="B87" t="s">
        <v>29</v>
      </c>
      <c r="C87" t="s">
        <v>351</v>
      </c>
      <c r="E87" s="128">
        <v>228.87697001068292</v>
      </c>
      <c r="F87" s="128">
        <v>0</v>
      </c>
      <c r="G87" s="128">
        <v>0</v>
      </c>
      <c r="H87" s="128">
        <v>0</v>
      </c>
      <c r="I87" s="128">
        <v>0</v>
      </c>
      <c r="J87" s="128">
        <v>0</v>
      </c>
      <c r="K87" s="128">
        <v>0</v>
      </c>
      <c r="L87" s="128">
        <v>0</v>
      </c>
      <c r="M87" s="128">
        <v>0</v>
      </c>
      <c r="N87" s="128">
        <v>0</v>
      </c>
      <c r="O87" s="129">
        <v>0</v>
      </c>
      <c r="P87" s="129">
        <v>167.54664711154567</v>
      </c>
    </row>
    <row r="88" spans="1:16" x14ac:dyDescent="0.2">
      <c r="A88" t="s">
        <v>299</v>
      </c>
      <c r="B88" t="s">
        <v>29</v>
      </c>
      <c r="C88" t="s">
        <v>379</v>
      </c>
      <c r="E88" s="128">
        <v>0</v>
      </c>
      <c r="F88" s="128">
        <v>0</v>
      </c>
      <c r="G88" s="128">
        <v>0</v>
      </c>
      <c r="H88" s="128">
        <v>0</v>
      </c>
      <c r="I88" s="128">
        <v>559.42497930012632</v>
      </c>
      <c r="J88" s="128">
        <v>0</v>
      </c>
      <c r="K88" s="128">
        <v>0</v>
      </c>
      <c r="L88" s="128">
        <v>0</v>
      </c>
      <c r="M88" s="128">
        <v>0</v>
      </c>
      <c r="N88" s="128">
        <v>0</v>
      </c>
      <c r="O88" s="129">
        <v>0</v>
      </c>
      <c r="P88" s="129">
        <v>0</v>
      </c>
    </row>
    <row r="89" spans="1:16" x14ac:dyDescent="0.2">
      <c r="A89" t="s">
        <v>300</v>
      </c>
      <c r="E89" s="128">
        <v>281642.39351660042</v>
      </c>
      <c r="F89" s="128">
        <v>121774.83742446054</v>
      </c>
      <c r="G89" s="128">
        <v>53574.210913962401</v>
      </c>
      <c r="H89" s="128">
        <v>74670.047076468021</v>
      </c>
      <c r="I89" s="128">
        <v>79943.282624780142</v>
      </c>
      <c r="J89" s="128">
        <v>57657.827022084151</v>
      </c>
      <c r="K89" s="128">
        <v>45463.721232602278</v>
      </c>
      <c r="L89" s="128">
        <v>37064.040237155059</v>
      </c>
      <c r="M89" s="128">
        <v>108880.59619308797</v>
      </c>
      <c r="N89" s="128">
        <v>133417.9830531539</v>
      </c>
      <c r="O89" s="129">
        <v>193894.39677013364</v>
      </c>
      <c r="P89" s="129">
        <v>76973.938433534917</v>
      </c>
    </row>
    <row r="90" spans="1:16" x14ac:dyDescent="0.2">
      <c r="A90" t="s">
        <v>301</v>
      </c>
      <c r="B90" t="s">
        <v>18</v>
      </c>
      <c r="C90" t="s">
        <v>362</v>
      </c>
      <c r="D90" t="s">
        <v>415</v>
      </c>
      <c r="E90" s="128">
        <v>0</v>
      </c>
      <c r="F90" s="128">
        <v>0</v>
      </c>
      <c r="G90" s="128">
        <v>0</v>
      </c>
      <c r="H90" s="128">
        <v>0</v>
      </c>
      <c r="I90" s="128">
        <v>0</v>
      </c>
      <c r="J90" s="128">
        <v>0</v>
      </c>
      <c r="K90" s="128">
        <v>0</v>
      </c>
      <c r="L90" s="128">
        <v>0</v>
      </c>
      <c r="M90" s="128">
        <v>0</v>
      </c>
      <c r="N90" s="128">
        <v>4911.296007141872</v>
      </c>
      <c r="O90" s="129">
        <v>0</v>
      </c>
      <c r="P90" s="129">
        <v>0</v>
      </c>
    </row>
    <row r="91" spans="1:16" x14ac:dyDescent="0.2">
      <c r="A91" t="s">
        <v>301</v>
      </c>
      <c r="B91" t="s">
        <v>18</v>
      </c>
      <c r="C91" t="s">
        <v>362</v>
      </c>
      <c r="D91" t="s">
        <v>416</v>
      </c>
      <c r="E91" s="128">
        <v>0</v>
      </c>
      <c r="F91" s="128">
        <v>0</v>
      </c>
      <c r="G91" s="128">
        <v>216.20126675781788</v>
      </c>
      <c r="H91" s="128">
        <v>0</v>
      </c>
      <c r="I91" s="128">
        <v>497.88921221128123</v>
      </c>
      <c r="J91" s="128">
        <v>699.07750196202403</v>
      </c>
      <c r="K91" s="128">
        <v>0</v>
      </c>
      <c r="L91" s="128">
        <v>404.77513405384911</v>
      </c>
      <c r="M91" s="128">
        <v>0</v>
      </c>
      <c r="N91" s="128">
        <v>0</v>
      </c>
      <c r="O91" s="129">
        <v>788.85397566660185</v>
      </c>
      <c r="P91" s="129">
        <v>0</v>
      </c>
    </row>
    <row r="92" spans="1:16" x14ac:dyDescent="0.2">
      <c r="A92" t="s">
        <v>301</v>
      </c>
      <c r="B92" t="s">
        <v>18</v>
      </c>
      <c r="C92" t="s">
        <v>362</v>
      </c>
      <c r="D92" t="s">
        <v>417</v>
      </c>
      <c r="E92" s="128">
        <v>0</v>
      </c>
      <c r="F92" s="128">
        <v>0</v>
      </c>
      <c r="G92" s="128">
        <v>1745.8200464447523</v>
      </c>
      <c r="H92" s="128">
        <v>0</v>
      </c>
      <c r="I92" s="128">
        <v>0</v>
      </c>
      <c r="J92" s="128">
        <v>0</v>
      </c>
      <c r="K92" s="128">
        <v>0</v>
      </c>
      <c r="L92" s="128">
        <v>431.96369687448856</v>
      </c>
      <c r="M92" s="128">
        <v>0</v>
      </c>
      <c r="N92" s="128">
        <v>0</v>
      </c>
      <c r="O92" s="129">
        <v>0</v>
      </c>
      <c r="P92" s="129">
        <v>0</v>
      </c>
    </row>
    <row r="93" spans="1:16" x14ac:dyDescent="0.2">
      <c r="A93" t="s">
        <v>301</v>
      </c>
      <c r="B93" t="s">
        <v>18</v>
      </c>
      <c r="C93" t="s">
        <v>362</v>
      </c>
      <c r="D93" t="s">
        <v>418</v>
      </c>
      <c r="E93" s="128">
        <v>11892.874859576419</v>
      </c>
      <c r="F93" s="128">
        <v>16400.786845630206</v>
      </c>
      <c r="G93" s="128">
        <v>0</v>
      </c>
      <c r="H93" s="128">
        <v>0</v>
      </c>
      <c r="I93" s="128">
        <v>16135.033219404597</v>
      </c>
      <c r="J93" s="128">
        <v>0</v>
      </c>
      <c r="K93" s="128">
        <v>16383.136550469861</v>
      </c>
      <c r="L93" s="128">
        <v>0</v>
      </c>
      <c r="M93" s="128">
        <v>0</v>
      </c>
      <c r="N93" s="128">
        <v>0</v>
      </c>
      <c r="O93" s="129">
        <v>0</v>
      </c>
      <c r="P93" s="129">
        <v>0</v>
      </c>
    </row>
    <row r="94" spans="1:16" x14ac:dyDescent="0.2">
      <c r="A94" t="s">
        <v>301</v>
      </c>
      <c r="B94" t="s">
        <v>18</v>
      </c>
      <c r="C94" t="s">
        <v>362</v>
      </c>
      <c r="D94" t="s">
        <v>419</v>
      </c>
      <c r="E94" s="128">
        <v>0</v>
      </c>
      <c r="F94" s="128">
        <v>5071.0392437953096</v>
      </c>
      <c r="G94" s="128">
        <v>4760.9105603387461</v>
      </c>
      <c r="H94" s="128">
        <v>0</v>
      </c>
      <c r="I94" s="128">
        <v>0</v>
      </c>
      <c r="J94" s="128">
        <v>0</v>
      </c>
      <c r="K94" s="128">
        <v>0</v>
      </c>
      <c r="L94" s="128">
        <v>0</v>
      </c>
      <c r="M94" s="128">
        <v>0</v>
      </c>
      <c r="N94" s="128">
        <v>0</v>
      </c>
      <c r="O94" s="129">
        <v>0</v>
      </c>
      <c r="P94" s="129">
        <v>0</v>
      </c>
    </row>
    <row r="95" spans="1:16" x14ac:dyDescent="0.2">
      <c r="A95" t="s">
        <v>301</v>
      </c>
      <c r="B95" t="s">
        <v>18</v>
      </c>
      <c r="C95" t="s">
        <v>362</v>
      </c>
      <c r="D95" t="s">
        <v>420</v>
      </c>
      <c r="E95" s="128">
        <v>1650.98668041173</v>
      </c>
      <c r="F95" s="128">
        <v>1712.9425210399149</v>
      </c>
      <c r="G95" s="128">
        <v>1631.5403870587636</v>
      </c>
      <c r="H95" s="128">
        <v>1790.6727682187452</v>
      </c>
      <c r="I95" s="128">
        <v>1770.0763699679583</v>
      </c>
      <c r="J95" s="128">
        <v>1891.6247606808504</v>
      </c>
      <c r="K95" s="128">
        <v>0</v>
      </c>
      <c r="L95" s="128">
        <v>1543.1230195828095</v>
      </c>
      <c r="M95" s="128">
        <v>0</v>
      </c>
      <c r="N95" s="128">
        <v>3303.4087441188917</v>
      </c>
      <c r="O95" s="129">
        <v>0</v>
      </c>
      <c r="P95" s="129">
        <v>0</v>
      </c>
    </row>
    <row r="96" spans="1:16" x14ac:dyDescent="0.2">
      <c r="A96" t="s">
        <v>301</v>
      </c>
      <c r="B96" t="s">
        <v>18</v>
      </c>
      <c r="C96" t="s">
        <v>362</v>
      </c>
      <c r="D96" t="s">
        <v>421</v>
      </c>
      <c r="E96" s="128">
        <v>621.23492500952113</v>
      </c>
      <c r="F96" s="128">
        <v>28847.599335876643</v>
      </c>
      <c r="G96" s="128">
        <v>0</v>
      </c>
      <c r="H96" s="128">
        <v>0</v>
      </c>
      <c r="I96" s="128">
        <v>0</v>
      </c>
      <c r="J96" s="128">
        <v>0</v>
      </c>
      <c r="K96" s="128">
        <v>0</v>
      </c>
      <c r="L96" s="128">
        <v>0</v>
      </c>
      <c r="M96" s="128">
        <v>0</v>
      </c>
      <c r="N96" s="128">
        <v>0</v>
      </c>
      <c r="O96" s="129">
        <v>0</v>
      </c>
      <c r="P96" s="129">
        <v>10651.899732873177</v>
      </c>
    </row>
    <row r="97" spans="1:16" x14ac:dyDescent="0.2">
      <c r="A97" t="s">
        <v>301</v>
      </c>
      <c r="B97" t="s">
        <v>18</v>
      </c>
      <c r="C97" t="s">
        <v>362</v>
      </c>
      <c r="D97" t="s">
        <v>422</v>
      </c>
      <c r="E97" s="128">
        <v>0</v>
      </c>
      <c r="F97" s="128">
        <v>0</v>
      </c>
      <c r="G97" s="128">
        <v>0</v>
      </c>
      <c r="H97" s="128">
        <v>0</v>
      </c>
      <c r="I97" s="128">
        <v>1826.159017804018</v>
      </c>
      <c r="J97" s="128">
        <v>0</v>
      </c>
      <c r="K97" s="128">
        <v>0</v>
      </c>
      <c r="L97" s="128">
        <v>0</v>
      </c>
      <c r="M97" s="128">
        <v>0</v>
      </c>
      <c r="N97" s="128">
        <v>0</v>
      </c>
      <c r="O97" s="129">
        <v>0</v>
      </c>
      <c r="P97" s="129">
        <v>0</v>
      </c>
    </row>
    <row r="98" spans="1:16" x14ac:dyDescent="0.2">
      <c r="A98" t="s">
        <v>301</v>
      </c>
      <c r="B98" t="s">
        <v>18</v>
      </c>
      <c r="C98" t="s">
        <v>362</v>
      </c>
      <c r="D98" t="s">
        <v>423</v>
      </c>
      <c r="E98" s="128">
        <v>0</v>
      </c>
      <c r="F98" s="128">
        <v>0</v>
      </c>
      <c r="G98" s="128">
        <v>8620.8892590947253</v>
      </c>
      <c r="H98" s="128">
        <v>0</v>
      </c>
      <c r="I98" s="128">
        <v>0</v>
      </c>
      <c r="J98" s="128">
        <v>0</v>
      </c>
      <c r="K98" s="128">
        <v>0</v>
      </c>
      <c r="L98" s="128">
        <v>0</v>
      </c>
      <c r="M98" s="128">
        <v>0</v>
      </c>
      <c r="N98" s="128">
        <v>0</v>
      </c>
      <c r="O98" s="129">
        <v>0</v>
      </c>
      <c r="P98" s="129">
        <v>0</v>
      </c>
    </row>
    <row r="99" spans="1:16" x14ac:dyDescent="0.2">
      <c r="A99" t="s">
        <v>301</v>
      </c>
      <c r="B99" t="s">
        <v>18</v>
      </c>
      <c r="C99" t="s">
        <v>362</v>
      </c>
      <c r="D99" t="s">
        <v>424</v>
      </c>
      <c r="E99" s="128">
        <v>0</v>
      </c>
      <c r="F99" s="128">
        <v>0</v>
      </c>
      <c r="G99" s="128">
        <v>0</v>
      </c>
      <c r="H99" s="128">
        <v>0</v>
      </c>
      <c r="I99" s="128">
        <v>1367.9965906257648</v>
      </c>
      <c r="J99" s="128">
        <v>0</v>
      </c>
      <c r="K99" s="128">
        <v>0</v>
      </c>
      <c r="L99" s="128">
        <v>0</v>
      </c>
      <c r="M99" s="128">
        <v>0</v>
      </c>
      <c r="N99" s="128">
        <v>0</v>
      </c>
      <c r="O99" s="129">
        <v>0</v>
      </c>
      <c r="P99" s="129">
        <v>0</v>
      </c>
    </row>
    <row r="100" spans="1:16" x14ac:dyDescent="0.2">
      <c r="A100" t="s">
        <v>301</v>
      </c>
      <c r="B100" t="s">
        <v>18</v>
      </c>
      <c r="C100" t="s">
        <v>362</v>
      </c>
      <c r="D100" t="s">
        <v>425</v>
      </c>
      <c r="E100" s="128">
        <v>38183.680437009221</v>
      </c>
      <c r="F100" s="128">
        <v>0</v>
      </c>
      <c r="G100" s="128">
        <v>0</v>
      </c>
      <c r="H100" s="128">
        <v>0</v>
      </c>
      <c r="I100" s="128">
        <v>0</v>
      </c>
      <c r="J100" s="128">
        <v>0</v>
      </c>
      <c r="K100" s="128">
        <v>0</v>
      </c>
      <c r="L100" s="128">
        <v>0</v>
      </c>
      <c r="M100" s="128">
        <v>0</v>
      </c>
      <c r="N100" s="128">
        <v>0</v>
      </c>
      <c r="O100" s="129">
        <v>0</v>
      </c>
      <c r="P100" s="129">
        <v>0</v>
      </c>
    </row>
    <row r="101" spans="1:16" x14ac:dyDescent="0.2">
      <c r="A101" t="s">
        <v>301</v>
      </c>
      <c r="B101" t="s">
        <v>18</v>
      </c>
      <c r="C101" t="s">
        <v>362</v>
      </c>
      <c r="D101" t="s">
        <v>426</v>
      </c>
      <c r="E101" s="128">
        <v>0</v>
      </c>
      <c r="F101" s="128">
        <v>0</v>
      </c>
      <c r="G101" s="128">
        <v>0</v>
      </c>
      <c r="H101" s="128">
        <v>0</v>
      </c>
      <c r="I101" s="128">
        <v>0</v>
      </c>
      <c r="J101" s="128">
        <v>18250.565825846577</v>
      </c>
      <c r="K101" s="128">
        <v>17011.652587567729</v>
      </c>
      <c r="L101" s="128">
        <v>0</v>
      </c>
      <c r="M101" s="128">
        <v>0</v>
      </c>
      <c r="N101" s="128">
        <v>0</v>
      </c>
      <c r="O101" s="129">
        <v>0</v>
      </c>
      <c r="P101" s="129">
        <v>0</v>
      </c>
    </row>
    <row r="102" spans="1:16" x14ac:dyDescent="0.2">
      <c r="A102" t="s">
        <v>301</v>
      </c>
      <c r="B102" t="s">
        <v>18</v>
      </c>
      <c r="C102" t="s">
        <v>362</v>
      </c>
      <c r="D102" t="s">
        <v>427</v>
      </c>
      <c r="E102" s="128">
        <v>0</v>
      </c>
      <c r="F102" s="128">
        <v>0</v>
      </c>
      <c r="G102" s="128">
        <v>0</v>
      </c>
      <c r="H102" s="128">
        <v>0</v>
      </c>
      <c r="I102" s="128">
        <v>0</v>
      </c>
      <c r="J102" s="128">
        <v>49866.925103662747</v>
      </c>
      <c r="K102" s="128">
        <v>847.49562694654219</v>
      </c>
      <c r="L102" s="128">
        <v>0</v>
      </c>
      <c r="M102" s="128">
        <v>0</v>
      </c>
      <c r="N102" s="128">
        <v>0</v>
      </c>
      <c r="O102" s="129">
        <v>0</v>
      </c>
      <c r="P102" s="129">
        <v>0</v>
      </c>
    </row>
    <row r="103" spans="1:16" x14ac:dyDescent="0.2">
      <c r="A103" t="s">
        <v>301</v>
      </c>
      <c r="B103" t="s">
        <v>18</v>
      </c>
      <c r="C103" t="s">
        <v>362</v>
      </c>
      <c r="D103" t="s">
        <v>428</v>
      </c>
      <c r="E103" s="128">
        <v>0</v>
      </c>
      <c r="F103" s="128">
        <v>0</v>
      </c>
      <c r="G103" s="128">
        <v>0</v>
      </c>
      <c r="H103" s="128">
        <v>0</v>
      </c>
      <c r="I103" s="128">
        <v>22490.980302436048</v>
      </c>
      <c r="J103" s="128">
        <v>0</v>
      </c>
      <c r="K103" s="128">
        <v>0</v>
      </c>
      <c r="L103" s="128">
        <v>0</v>
      </c>
      <c r="M103" s="128">
        <v>0</v>
      </c>
      <c r="N103" s="128">
        <v>0</v>
      </c>
      <c r="O103" s="129">
        <v>26815.758542610129</v>
      </c>
      <c r="P103" s="129">
        <v>13359.635989570601</v>
      </c>
    </row>
    <row r="104" spans="1:16" x14ac:dyDescent="0.2">
      <c r="A104" t="s">
        <v>301</v>
      </c>
      <c r="B104" t="s">
        <v>18</v>
      </c>
      <c r="C104" t="s">
        <v>362</v>
      </c>
      <c r="D104" t="s">
        <v>429</v>
      </c>
      <c r="E104" s="128">
        <v>0</v>
      </c>
      <c r="F104" s="128">
        <v>0</v>
      </c>
      <c r="G104" s="128">
        <v>0</v>
      </c>
      <c r="H104" s="128">
        <v>0</v>
      </c>
      <c r="I104" s="128">
        <v>0</v>
      </c>
      <c r="J104" s="128">
        <v>0</v>
      </c>
      <c r="K104" s="128">
        <v>0</v>
      </c>
      <c r="L104" s="128">
        <v>17316.154969763866</v>
      </c>
      <c r="M104" s="128">
        <v>0</v>
      </c>
      <c r="N104" s="128">
        <v>0</v>
      </c>
      <c r="O104" s="129">
        <v>0</v>
      </c>
      <c r="P104" s="129">
        <v>0</v>
      </c>
    </row>
    <row r="105" spans="1:16" x14ac:dyDescent="0.2">
      <c r="A105" t="s">
        <v>301</v>
      </c>
      <c r="B105" t="s">
        <v>18</v>
      </c>
      <c r="C105" t="s">
        <v>362</v>
      </c>
      <c r="D105" t="s">
        <v>430</v>
      </c>
      <c r="E105" s="128">
        <v>0</v>
      </c>
      <c r="F105" s="128">
        <v>0</v>
      </c>
      <c r="G105" s="128">
        <v>0</v>
      </c>
      <c r="H105" s="128">
        <v>0</v>
      </c>
      <c r="I105" s="128">
        <v>0</v>
      </c>
      <c r="J105" s="128">
        <v>0</v>
      </c>
      <c r="K105" s="128">
        <v>0</v>
      </c>
      <c r="L105" s="128">
        <v>0</v>
      </c>
      <c r="M105" s="128">
        <v>0</v>
      </c>
      <c r="N105" s="128">
        <v>0</v>
      </c>
      <c r="O105" s="129">
        <v>0</v>
      </c>
      <c r="P105" s="129">
        <v>0</v>
      </c>
    </row>
    <row r="106" spans="1:16" x14ac:dyDescent="0.2">
      <c r="A106" t="s">
        <v>301</v>
      </c>
      <c r="B106" t="s">
        <v>18</v>
      </c>
      <c r="C106" t="s">
        <v>362</v>
      </c>
      <c r="D106" t="s">
        <v>431</v>
      </c>
      <c r="E106" s="128">
        <v>0</v>
      </c>
      <c r="F106" s="128">
        <v>0</v>
      </c>
      <c r="G106" s="128">
        <v>0</v>
      </c>
      <c r="H106" s="128">
        <v>0</v>
      </c>
      <c r="I106" s="128">
        <v>0</v>
      </c>
      <c r="J106" s="128">
        <v>0</v>
      </c>
      <c r="K106" s="128">
        <v>0</v>
      </c>
      <c r="L106" s="128">
        <v>0</v>
      </c>
      <c r="M106" s="128">
        <v>0</v>
      </c>
      <c r="N106" s="128">
        <v>0</v>
      </c>
      <c r="O106" s="129">
        <v>0</v>
      </c>
      <c r="P106" s="129">
        <v>0</v>
      </c>
    </row>
    <row r="107" spans="1:16" x14ac:dyDescent="0.2">
      <c r="A107" t="s">
        <v>301</v>
      </c>
      <c r="B107" t="s">
        <v>18</v>
      </c>
      <c r="C107" t="s">
        <v>362</v>
      </c>
      <c r="D107" t="s">
        <v>432</v>
      </c>
      <c r="E107" s="128">
        <v>0</v>
      </c>
      <c r="F107" s="128">
        <v>0</v>
      </c>
      <c r="G107" s="128">
        <v>0</v>
      </c>
      <c r="H107" s="128">
        <v>0</v>
      </c>
      <c r="I107" s="128">
        <v>0</v>
      </c>
      <c r="J107" s="128">
        <v>0</v>
      </c>
      <c r="K107" s="128">
        <v>0</v>
      </c>
      <c r="L107" s="128">
        <v>0</v>
      </c>
      <c r="M107" s="128">
        <v>16233.078418504136</v>
      </c>
      <c r="N107" s="128">
        <v>0</v>
      </c>
      <c r="O107" s="129">
        <v>0</v>
      </c>
      <c r="P107" s="129">
        <v>0</v>
      </c>
    </row>
    <row r="108" spans="1:16" x14ac:dyDescent="0.2">
      <c r="A108" t="s">
        <v>301</v>
      </c>
      <c r="B108" t="s">
        <v>18</v>
      </c>
      <c r="C108" t="s">
        <v>362</v>
      </c>
      <c r="D108" t="s">
        <v>433</v>
      </c>
      <c r="E108" s="128">
        <v>0</v>
      </c>
      <c r="F108" s="128">
        <v>0</v>
      </c>
      <c r="G108" s="128">
        <v>0</v>
      </c>
      <c r="H108" s="128">
        <v>0</v>
      </c>
      <c r="I108" s="128">
        <v>0</v>
      </c>
      <c r="J108" s="128">
        <v>0</v>
      </c>
      <c r="K108" s="128">
        <v>0</v>
      </c>
      <c r="L108" s="128">
        <v>8607.705068641837</v>
      </c>
      <c r="M108" s="128">
        <v>0</v>
      </c>
      <c r="N108" s="128">
        <v>0</v>
      </c>
      <c r="O108" s="129">
        <v>0</v>
      </c>
      <c r="P108" s="129">
        <v>0</v>
      </c>
    </row>
    <row r="109" spans="1:16" x14ac:dyDescent="0.2">
      <c r="A109" t="s">
        <v>301</v>
      </c>
      <c r="B109" t="s">
        <v>18</v>
      </c>
      <c r="C109" t="s">
        <v>362</v>
      </c>
      <c r="D109" t="s">
        <v>434</v>
      </c>
      <c r="E109" s="128">
        <v>0</v>
      </c>
      <c r="F109" s="128">
        <v>0</v>
      </c>
      <c r="G109" s="128">
        <v>0</v>
      </c>
      <c r="H109" s="128">
        <v>0</v>
      </c>
      <c r="I109" s="128">
        <v>0</v>
      </c>
      <c r="J109" s="128">
        <v>0</v>
      </c>
      <c r="K109" s="128">
        <v>0</v>
      </c>
      <c r="L109" s="128">
        <v>0</v>
      </c>
      <c r="M109" s="128">
        <v>0</v>
      </c>
      <c r="N109" s="128">
        <v>0</v>
      </c>
      <c r="O109" s="129">
        <v>0</v>
      </c>
      <c r="P109" s="129">
        <v>0</v>
      </c>
    </row>
    <row r="110" spans="1:16" x14ac:dyDescent="0.2">
      <c r="A110" t="s">
        <v>301</v>
      </c>
      <c r="B110" t="s">
        <v>18</v>
      </c>
      <c r="C110" t="s">
        <v>362</v>
      </c>
      <c r="D110" t="s">
        <v>435</v>
      </c>
      <c r="E110" s="128">
        <v>0</v>
      </c>
      <c r="F110" s="128">
        <v>0</v>
      </c>
      <c r="G110" s="128">
        <v>0</v>
      </c>
      <c r="H110" s="128">
        <v>0</v>
      </c>
      <c r="I110" s="128">
        <v>0</v>
      </c>
      <c r="J110" s="128">
        <v>0</v>
      </c>
      <c r="K110" s="128">
        <v>0</v>
      </c>
      <c r="L110" s="128">
        <v>6459.7192568341861</v>
      </c>
      <c r="M110" s="128">
        <v>0</v>
      </c>
      <c r="N110" s="128">
        <v>0</v>
      </c>
      <c r="O110" s="129">
        <v>0</v>
      </c>
      <c r="P110" s="129">
        <v>0</v>
      </c>
    </row>
    <row r="111" spans="1:16" x14ac:dyDescent="0.2">
      <c r="A111" t="s">
        <v>301</v>
      </c>
      <c r="B111" t="s">
        <v>18</v>
      </c>
      <c r="C111" t="s">
        <v>362</v>
      </c>
      <c r="D111" t="s">
        <v>436</v>
      </c>
      <c r="E111" s="128">
        <v>0</v>
      </c>
      <c r="F111" s="128">
        <v>0</v>
      </c>
      <c r="G111" s="128">
        <v>0</v>
      </c>
      <c r="H111" s="128">
        <v>0</v>
      </c>
      <c r="I111" s="128">
        <v>0</v>
      </c>
      <c r="J111" s="128">
        <v>0</v>
      </c>
      <c r="K111" s="128">
        <v>0</v>
      </c>
      <c r="L111" s="128">
        <v>6042.5764594265147</v>
      </c>
      <c r="M111" s="128">
        <v>0</v>
      </c>
      <c r="N111" s="128">
        <v>0</v>
      </c>
      <c r="O111" s="129">
        <v>0</v>
      </c>
      <c r="P111" s="129">
        <v>0</v>
      </c>
    </row>
    <row r="112" spans="1:16" x14ac:dyDescent="0.2">
      <c r="A112" t="s">
        <v>301</v>
      </c>
      <c r="B112" t="s">
        <v>18</v>
      </c>
      <c r="C112" t="s">
        <v>362</v>
      </c>
      <c r="D112" t="s">
        <v>437</v>
      </c>
      <c r="E112" s="128">
        <v>0</v>
      </c>
      <c r="F112" s="128">
        <v>0</v>
      </c>
      <c r="G112" s="128">
        <v>0</v>
      </c>
      <c r="H112" s="128">
        <v>0</v>
      </c>
      <c r="I112" s="128">
        <v>0</v>
      </c>
      <c r="J112" s="128">
        <v>0</v>
      </c>
      <c r="K112" s="128">
        <v>0</v>
      </c>
      <c r="L112" s="128">
        <v>0</v>
      </c>
      <c r="M112" s="128">
        <v>5904.7091966467624</v>
      </c>
      <c r="N112" s="128">
        <v>0</v>
      </c>
      <c r="O112" s="129">
        <v>0</v>
      </c>
      <c r="P112" s="129">
        <v>5755.3227127770833</v>
      </c>
    </row>
    <row r="113" spans="1:17" x14ac:dyDescent="0.2">
      <c r="A113" t="s">
        <v>301</v>
      </c>
      <c r="B113" t="s">
        <v>18</v>
      </c>
      <c r="C113" t="s">
        <v>362</v>
      </c>
      <c r="D113" t="s">
        <v>438</v>
      </c>
      <c r="E113" s="128">
        <v>0</v>
      </c>
      <c r="F113" s="128">
        <v>0</v>
      </c>
      <c r="G113" s="128">
        <v>0</v>
      </c>
      <c r="H113" s="128">
        <v>0</v>
      </c>
      <c r="I113" s="128">
        <v>0</v>
      </c>
      <c r="J113" s="128">
        <v>0</v>
      </c>
      <c r="K113" s="128">
        <v>0</v>
      </c>
      <c r="L113" s="128">
        <v>0</v>
      </c>
      <c r="M113" s="128">
        <v>0</v>
      </c>
      <c r="N113" s="128">
        <v>2402.5204977845988</v>
      </c>
      <c r="O113" s="129">
        <v>0</v>
      </c>
      <c r="P113" s="129">
        <v>0</v>
      </c>
    </row>
    <row r="114" spans="1:17" x14ac:dyDescent="0.2">
      <c r="A114" t="s">
        <v>301</v>
      </c>
      <c r="B114" t="s">
        <v>18</v>
      </c>
      <c r="C114" t="s">
        <v>362</v>
      </c>
      <c r="D114" t="s">
        <v>439</v>
      </c>
      <c r="E114" s="128">
        <v>0</v>
      </c>
      <c r="F114" s="128">
        <v>0</v>
      </c>
      <c r="G114" s="128">
        <v>0</v>
      </c>
      <c r="H114" s="128">
        <v>0</v>
      </c>
      <c r="I114" s="128">
        <v>0</v>
      </c>
      <c r="J114" s="128">
        <v>0</v>
      </c>
      <c r="K114" s="128">
        <v>0</v>
      </c>
      <c r="L114" s="128">
        <v>0</v>
      </c>
      <c r="M114" s="128">
        <v>0</v>
      </c>
      <c r="N114" s="128">
        <v>9869.4923048147211</v>
      </c>
      <c r="O114" s="129">
        <v>0</v>
      </c>
      <c r="P114" s="129">
        <v>0</v>
      </c>
    </row>
    <row r="115" spans="1:17" x14ac:dyDescent="0.2">
      <c r="A115" t="s">
        <v>301</v>
      </c>
      <c r="B115" t="s">
        <v>18</v>
      </c>
      <c r="C115" t="s">
        <v>362</v>
      </c>
      <c r="D115" t="s">
        <v>440</v>
      </c>
      <c r="E115" s="128">
        <v>0</v>
      </c>
      <c r="F115" s="128">
        <v>0</v>
      </c>
      <c r="G115" s="128">
        <v>0</v>
      </c>
      <c r="H115" s="128">
        <v>0</v>
      </c>
      <c r="I115" s="128">
        <v>0</v>
      </c>
      <c r="J115" s="128">
        <v>0</v>
      </c>
      <c r="K115" s="128">
        <v>0</v>
      </c>
      <c r="L115" s="128">
        <v>0</v>
      </c>
      <c r="M115" s="128">
        <v>0</v>
      </c>
      <c r="N115" s="128">
        <v>15038.632693979127</v>
      </c>
      <c r="O115" s="129">
        <v>0</v>
      </c>
      <c r="P115" s="129">
        <v>0</v>
      </c>
    </row>
    <row r="116" spans="1:17" x14ac:dyDescent="0.2">
      <c r="A116" t="s">
        <v>301</v>
      </c>
      <c r="B116" t="s">
        <v>18</v>
      </c>
      <c r="C116" t="s">
        <v>362</v>
      </c>
      <c r="D116" t="s">
        <v>441</v>
      </c>
      <c r="E116" s="128">
        <v>0</v>
      </c>
      <c r="F116" s="128">
        <v>0</v>
      </c>
      <c r="G116" s="128">
        <v>0</v>
      </c>
      <c r="H116" s="128">
        <v>0</v>
      </c>
      <c r="I116" s="128">
        <v>0</v>
      </c>
      <c r="J116" s="128">
        <v>0</v>
      </c>
      <c r="K116" s="128">
        <v>0</v>
      </c>
      <c r="L116" s="128">
        <v>0</v>
      </c>
      <c r="M116" s="128">
        <v>0</v>
      </c>
      <c r="N116" s="128">
        <v>927.27262992810995</v>
      </c>
      <c r="O116" s="129">
        <v>0</v>
      </c>
      <c r="P116" s="129">
        <v>0</v>
      </c>
    </row>
    <row r="117" spans="1:17" x14ac:dyDescent="0.2">
      <c r="A117" t="s">
        <v>301</v>
      </c>
      <c r="B117" t="s">
        <v>18</v>
      </c>
      <c r="C117" t="s">
        <v>362</v>
      </c>
      <c r="D117" t="s">
        <v>442</v>
      </c>
      <c r="E117" s="128">
        <v>0</v>
      </c>
      <c r="F117" s="128">
        <v>0</v>
      </c>
      <c r="G117" s="128">
        <v>0</v>
      </c>
      <c r="H117" s="128">
        <v>0</v>
      </c>
      <c r="I117" s="128">
        <v>0</v>
      </c>
      <c r="J117" s="128">
        <v>0</v>
      </c>
      <c r="K117" s="128">
        <v>0</v>
      </c>
      <c r="L117" s="128">
        <v>0</v>
      </c>
      <c r="M117" s="128">
        <v>0</v>
      </c>
      <c r="N117" s="128">
        <v>21999.543145044408</v>
      </c>
      <c r="O117" s="129">
        <v>0</v>
      </c>
      <c r="P117" s="129">
        <v>0</v>
      </c>
    </row>
    <row r="118" spans="1:17" x14ac:dyDescent="0.2">
      <c r="A118" t="s">
        <v>301</v>
      </c>
      <c r="B118" t="s">
        <v>18</v>
      </c>
      <c r="C118" t="s">
        <v>362</v>
      </c>
      <c r="D118" t="s">
        <v>443</v>
      </c>
      <c r="E118" s="128">
        <v>0</v>
      </c>
      <c r="F118" s="128">
        <v>0</v>
      </c>
      <c r="G118" s="128">
        <v>0</v>
      </c>
      <c r="H118" s="128">
        <v>0</v>
      </c>
      <c r="I118" s="128">
        <v>0</v>
      </c>
      <c r="J118" s="128">
        <v>0</v>
      </c>
      <c r="K118" s="128">
        <v>0</v>
      </c>
      <c r="L118" s="128">
        <v>0</v>
      </c>
      <c r="M118" s="128">
        <v>0</v>
      </c>
      <c r="N118" s="128">
        <v>1070.8816568680995</v>
      </c>
      <c r="O118" s="129">
        <v>0</v>
      </c>
      <c r="P118" s="129">
        <v>1018.4958852766234</v>
      </c>
    </row>
    <row r="119" spans="1:17" x14ac:dyDescent="0.2">
      <c r="A119" t="s">
        <v>301</v>
      </c>
      <c r="B119" t="s">
        <v>18</v>
      </c>
      <c r="C119" t="s">
        <v>362</v>
      </c>
      <c r="D119" t="s">
        <v>444</v>
      </c>
      <c r="E119" s="128">
        <v>0</v>
      </c>
      <c r="F119" s="128">
        <v>0</v>
      </c>
      <c r="G119" s="128">
        <v>0</v>
      </c>
      <c r="H119" s="128">
        <v>0</v>
      </c>
      <c r="I119" s="128">
        <v>0</v>
      </c>
      <c r="J119" s="128">
        <v>0</v>
      </c>
      <c r="K119" s="128">
        <v>0</v>
      </c>
      <c r="L119" s="128">
        <v>0</v>
      </c>
      <c r="M119" s="128">
        <v>0</v>
      </c>
      <c r="N119" s="128">
        <v>0</v>
      </c>
      <c r="O119" s="129">
        <v>11223.674351585014</v>
      </c>
      <c r="P119" s="129">
        <v>0</v>
      </c>
    </row>
    <row r="120" spans="1:17" x14ac:dyDescent="0.2">
      <c r="A120" t="s">
        <v>301</v>
      </c>
      <c r="B120" t="s">
        <v>18</v>
      </c>
      <c r="C120" t="s">
        <v>362</v>
      </c>
      <c r="D120" t="s">
        <v>445</v>
      </c>
      <c r="E120" s="128">
        <v>0</v>
      </c>
      <c r="F120" s="128">
        <v>0</v>
      </c>
      <c r="G120" s="128">
        <v>0</v>
      </c>
      <c r="H120" s="128">
        <v>0</v>
      </c>
      <c r="I120" s="128">
        <v>0</v>
      </c>
      <c r="J120" s="128">
        <v>0</v>
      </c>
      <c r="K120" s="128">
        <v>0</v>
      </c>
      <c r="L120" s="128">
        <v>0</v>
      </c>
      <c r="M120" s="128">
        <v>0</v>
      </c>
      <c r="N120" s="128">
        <v>0</v>
      </c>
      <c r="O120" s="129">
        <v>0</v>
      </c>
      <c r="P120" s="129">
        <v>1507.0205876751215</v>
      </c>
    </row>
    <row r="121" spans="1:17" x14ac:dyDescent="0.2">
      <c r="A121" t="s">
        <v>301</v>
      </c>
      <c r="B121" t="s">
        <v>18</v>
      </c>
      <c r="C121" t="s">
        <v>362</v>
      </c>
      <c r="D121" t="s">
        <v>446</v>
      </c>
      <c r="E121" s="128">
        <v>0</v>
      </c>
      <c r="F121" s="128">
        <v>0</v>
      </c>
      <c r="G121" s="128">
        <v>0</v>
      </c>
      <c r="H121" s="128">
        <v>0</v>
      </c>
      <c r="I121" s="128">
        <v>0</v>
      </c>
      <c r="J121" s="128">
        <v>0</v>
      </c>
      <c r="K121" s="128">
        <v>0</v>
      </c>
      <c r="L121" s="128">
        <v>0</v>
      </c>
      <c r="M121" s="128">
        <v>0</v>
      </c>
      <c r="N121" s="128">
        <v>0</v>
      </c>
      <c r="O121" s="129">
        <v>0</v>
      </c>
      <c r="P121" s="129">
        <v>6064.3301439928018</v>
      </c>
    </row>
    <row r="122" spans="1:17" x14ac:dyDescent="0.2">
      <c r="A122" t="s">
        <v>301</v>
      </c>
      <c r="B122" t="s">
        <v>18</v>
      </c>
      <c r="C122" t="s">
        <v>160</v>
      </c>
      <c r="E122" s="128">
        <v>0</v>
      </c>
      <c r="F122" s="128">
        <v>0</v>
      </c>
      <c r="G122" s="128">
        <v>0</v>
      </c>
      <c r="H122" s="128">
        <v>0</v>
      </c>
      <c r="I122" s="128">
        <v>0</v>
      </c>
      <c r="J122" s="128">
        <v>0</v>
      </c>
      <c r="K122" s="128">
        <v>0</v>
      </c>
      <c r="L122" s="128">
        <v>0</v>
      </c>
      <c r="M122" s="128">
        <v>0</v>
      </c>
      <c r="N122" s="128">
        <v>0</v>
      </c>
      <c r="O122" s="129">
        <v>111920.12307058509</v>
      </c>
      <c r="P122" s="129">
        <v>0</v>
      </c>
    </row>
    <row r="123" spans="1:17" x14ac:dyDescent="0.2">
      <c r="A123" t="s">
        <v>301</v>
      </c>
      <c r="B123" t="s">
        <v>378</v>
      </c>
      <c r="C123" t="s">
        <v>313</v>
      </c>
      <c r="D123" t="s">
        <v>447</v>
      </c>
      <c r="E123" s="128">
        <v>0</v>
      </c>
      <c r="F123" s="128">
        <v>0</v>
      </c>
      <c r="G123" s="128">
        <v>0</v>
      </c>
      <c r="H123" s="128">
        <v>0</v>
      </c>
      <c r="I123" s="128">
        <v>0</v>
      </c>
      <c r="J123" s="128">
        <v>0</v>
      </c>
      <c r="K123" s="128">
        <v>0</v>
      </c>
      <c r="L123" s="128">
        <v>0</v>
      </c>
      <c r="M123" s="128">
        <v>0</v>
      </c>
      <c r="N123" s="128">
        <v>0</v>
      </c>
      <c r="O123" s="129">
        <v>0</v>
      </c>
      <c r="P123" s="129">
        <v>6643.4918112930818</v>
      </c>
    </row>
    <row r="124" spans="1:17" x14ac:dyDescent="0.2">
      <c r="A124" t="s">
        <v>301</v>
      </c>
      <c r="B124" t="s">
        <v>378</v>
      </c>
      <c r="C124" t="s">
        <v>313</v>
      </c>
      <c r="D124" t="s">
        <v>448</v>
      </c>
      <c r="E124" s="128">
        <v>0</v>
      </c>
      <c r="F124" s="128">
        <v>0</v>
      </c>
      <c r="G124" s="128">
        <v>0</v>
      </c>
      <c r="H124" s="128">
        <v>0</v>
      </c>
      <c r="I124" s="128">
        <v>0</v>
      </c>
      <c r="J124" s="128">
        <v>0</v>
      </c>
      <c r="K124" s="128">
        <v>0</v>
      </c>
      <c r="L124" s="128">
        <v>0</v>
      </c>
      <c r="M124" s="128">
        <v>0</v>
      </c>
      <c r="N124" s="128">
        <v>0</v>
      </c>
      <c r="O124" s="129">
        <v>0</v>
      </c>
      <c r="P124" s="129">
        <v>24258.540087998044</v>
      </c>
    </row>
    <row r="125" spans="1:17" x14ac:dyDescent="0.2">
      <c r="A125" t="s">
        <v>302</v>
      </c>
      <c r="E125" s="128">
        <v>52348.776902006895</v>
      </c>
      <c r="F125" s="128">
        <v>52032.36794634207</v>
      </c>
      <c r="G125" s="128">
        <v>16975.361519694805</v>
      </c>
      <c r="H125" s="128">
        <v>1790.6727682187452</v>
      </c>
      <c r="I125" s="128">
        <v>44088.134712449668</v>
      </c>
      <c r="J125" s="128">
        <v>70708.19319215219</v>
      </c>
      <c r="K125" s="128">
        <v>34242.284764984128</v>
      </c>
      <c r="L125" s="128">
        <v>40806.017605177549</v>
      </c>
      <c r="M125" s="128">
        <v>22137.787615150897</v>
      </c>
      <c r="N125" s="128">
        <v>59523.047679679832</v>
      </c>
      <c r="O125" s="129">
        <v>150748.40994044684</v>
      </c>
      <c r="P125" s="129">
        <v>69258.736951456536</v>
      </c>
    </row>
    <row r="126" spans="1:17" x14ac:dyDescent="0.2">
      <c r="A126" t="s">
        <v>23</v>
      </c>
      <c r="E126" s="128">
        <v>572043.03131091746</v>
      </c>
      <c r="F126" s="128">
        <v>398002.63742422988</v>
      </c>
      <c r="G126" s="128">
        <v>299889.05396051367</v>
      </c>
      <c r="H126" s="128">
        <v>292308.4258545629</v>
      </c>
      <c r="I126" s="128">
        <v>370248.51287750032</v>
      </c>
      <c r="J126" s="128">
        <v>317698.75064789213</v>
      </c>
      <c r="K126" s="128">
        <v>342541.6368019114</v>
      </c>
      <c r="L126" s="128">
        <v>347592.77771803422</v>
      </c>
      <c r="M126" s="128">
        <v>392941.47223631782</v>
      </c>
      <c r="N126" s="128">
        <v>473072.46656172012</v>
      </c>
      <c r="O126" s="129">
        <v>573728.01976121869</v>
      </c>
      <c r="P126" s="129">
        <v>418379.73091338697</v>
      </c>
      <c r="Q126" s="4"/>
    </row>
    <row r="168" spans="17:17" x14ac:dyDescent="0.2">
      <c r="Q168" s="4">
        <f>SUM(E168:P168)</f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321A-BA88-479E-BCA0-9FCD91D3970B}">
  <sheetPr>
    <tabColor rgb="FFFFC000"/>
  </sheetPr>
  <dimension ref="A3:AH74"/>
  <sheetViews>
    <sheetView showGridLines="0" tabSelected="1" topLeftCell="A19" zoomScale="80" zoomScaleNormal="80" workbookViewId="0">
      <selection activeCell="P6" sqref="P6"/>
    </sheetView>
  </sheetViews>
  <sheetFormatPr baseColWidth="10" defaultRowHeight="15" x14ac:dyDescent="0.2"/>
  <cols>
    <col min="1" max="1" width="8.83203125" bestFit="1" customWidth="1"/>
    <col min="2" max="2" width="8.5" bestFit="1" customWidth="1"/>
    <col min="3" max="3" width="15" bestFit="1" customWidth="1"/>
    <col min="4" max="4" width="11" bestFit="1" customWidth="1"/>
    <col min="5" max="5" width="12.6640625" bestFit="1" customWidth="1"/>
    <col min="6" max="12" width="10.5" bestFit="1" customWidth="1"/>
    <col min="13" max="13" width="12" bestFit="1" customWidth="1"/>
    <col min="14" max="15" width="10.5" bestFit="1" customWidth="1"/>
    <col min="16" max="19" width="12" bestFit="1" customWidth="1"/>
  </cols>
  <sheetData>
    <row r="3" spans="3:17" ht="26.5" customHeight="1" x14ac:dyDescent="0.2">
      <c r="C3" s="126" t="s">
        <v>294</v>
      </c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3:17" ht="16" thickBot="1" x14ac:dyDescent="0.25">
      <c r="O4" s="5">
        <f>+O8-N8</f>
        <v>28.076020952116629</v>
      </c>
    </row>
    <row r="5" spans="3:17" x14ac:dyDescent="0.2">
      <c r="C5" s="84" t="s">
        <v>34</v>
      </c>
      <c r="D5" s="85" t="s">
        <v>10</v>
      </c>
      <c r="E5" s="85" t="s">
        <v>11</v>
      </c>
      <c r="F5" s="85" t="s">
        <v>12</v>
      </c>
      <c r="G5" s="85" t="s">
        <v>13</v>
      </c>
      <c r="H5" s="85" t="s">
        <v>14</v>
      </c>
      <c r="I5" s="85" t="s">
        <v>15</v>
      </c>
      <c r="J5" s="85" t="s">
        <v>16</v>
      </c>
      <c r="K5" s="85" t="s">
        <v>24</v>
      </c>
      <c r="L5" s="85" t="s">
        <v>25</v>
      </c>
      <c r="M5" s="85" t="s">
        <v>26</v>
      </c>
      <c r="N5" s="85" t="s">
        <v>27</v>
      </c>
      <c r="O5" s="85" t="s">
        <v>28</v>
      </c>
      <c r="P5" s="86" t="s">
        <v>35</v>
      </c>
      <c r="Q5" t="s">
        <v>36</v>
      </c>
    </row>
    <row r="6" spans="3:17" x14ac:dyDescent="0.2">
      <c r="C6" s="79" t="str">
        <f>'Gasto Septiembre'!A9</f>
        <v>Sueldos</v>
      </c>
      <c r="D6" s="5">
        <f>('Gasto Diciembre (2)'!B8)/1000</f>
        <v>302.50526440642318</v>
      </c>
      <c r="E6" s="5">
        <f>('Gasto Diciembre (2)'!C8)/1000</f>
        <v>278.50060116096029</v>
      </c>
      <c r="F6" s="5">
        <f>('Gasto Diciembre (2)'!D8)/1000</f>
        <v>288.86500149146269</v>
      </c>
      <c r="G6" s="5">
        <f>('Gasto Diciembre (2)'!E8)/1000</f>
        <v>271.76517839345803</v>
      </c>
      <c r="H6" s="5">
        <f>('Gasto Diciembre (2)'!F8)/1000</f>
        <v>312.95631121944433</v>
      </c>
      <c r="I6" s="5">
        <f>('Gasto Diciembre (2)'!G8)/1000</f>
        <v>233.21148417415336</v>
      </c>
      <c r="J6" s="5">
        <f>('Gasto Diciembre (2)'!H8)/1000</f>
        <v>335.85132426394347</v>
      </c>
      <c r="K6" s="5">
        <f>('Gasto Diciembre (2)'!I8)/1000</f>
        <v>306.40784424821476</v>
      </c>
      <c r="L6" s="5">
        <f>('Gasto Diciembre (2)'!J8)/1000</f>
        <v>272.0217351820549</v>
      </c>
      <c r="M6" s="5">
        <f>('Gasto Diciembre (2)'!K8)/1000</f>
        <v>294.76603426968279</v>
      </c>
      <c r="N6" s="5">
        <f>('Gasto Diciembre (2)'!L8)/1000</f>
        <v>275.86337652075775</v>
      </c>
      <c r="O6" s="5">
        <f>('Gasto Diciembre (2)'!M8)/1000</f>
        <v>316.82887029160804</v>
      </c>
      <c r="P6" s="81">
        <f>+SUM(D6:O6)</f>
        <v>3489.5430256221634</v>
      </c>
      <c r="Q6" s="16">
        <f>+AVERAGE(D6:O6)</f>
        <v>290.79525213518031</v>
      </c>
    </row>
    <row r="7" spans="3:17" x14ac:dyDescent="0.2">
      <c r="C7" s="79" t="str">
        <f>'Gasto Septiembre'!A10</f>
        <v>Externo</v>
      </c>
      <c r="D7" s="5">
        <f>('Gasto Diciembre (2)'!B9)/1000</f>
        <v>123.39341412586258</v>
      </c>
      <c r="E7" s="5">
        <f>('Gasto Diciembre (2)'!C9)/1000</f>
        <v>95.218966663344958</v>
      </c>
      <c r="F7" s="5">
        <f>('Gasto Diciembre (2)'!D9)/1000</f>
        <v>63.271157047647058</v>
      </c>
      <c r="G7" s="5">
        <f>('Gasto Diciembre (2)'!E9)/1000</f>
        <v>9.5349992988309893</v>
      </c>
      <c r="H7" s="5">
        <f>('Gasto Diciembre (2)'!F9)/1000</f>
        <v>90.110011598630521</v>
      </c>
      <c r="I7" s="5">
        <f>('Gasto Diciembre (2)'!G9)/1000</f>
        <v>101.18793814098134</v>
      </c>
      <c r="J7" s="5">
        <f>('Gasto Diciembre (2)'!H9)/1000</f>
        <v>53.135334511133706</v>
      </c>
      <c r="K7" s="5">
        <f>('Gasto Diciembre (2)'!I9)/1000</f>
        <v>107.30164664650511</v>
      </c>
      <c r="L7" s="5">
        <f>('Gasto Diciembre (2)'!J9)/1000</f>
        <v>31.039189392285675</v>
      </c>
      <c r="M7" s="5">
        <f>('Gasto Diciembre (2)'!K9)/1000</f>
        <v>98.333949968307238</v>
      </c>
      <c r="N7" s="5">
        <f>('Gasto Diciembre (2)'!L9)/1000</f>
        <v>78.622168996553398</v>
      </c>
      <c r="O7" s="5">
        <f>('Gasto Diciembre (2)'!M9)/1000</f>
        <v>97.664796580877265</v>
      </c>
      <c r="P7" s="81">
        <f t="shared" ref="P7:P13" si="0">+SUM(D7:O7)</f>
        <v>948.81357297095997</v>
      </c>
      <c r="Q7" s="16">
        <f t="shared" ref="Q7:Q13" si="1">+AVERAGE(D7:O7)</f>
        <v>79.067797747580002</v>
      </c>
    </row>
    <row r="8" spans="3:17" x14ac:dyDescent="0.2">
      <c r="C8" s="79" t="str">
        <f>'Gasto Septiembre'!A11</f>
        <v>Oficina</v>
      </c>
      <c r="D8" s="5">
        <f>('Gasto Diciembre (2)'!B10)/1000</f>
        <v>46.734790283948357</v>
      </c>
      <c r="E8" s="5">
        <f>('Gasto Diciembre (2)'!C10)/1000</f>
        <v>35.698196868571273</v>
      </c>
      <c r="F8" s="5">
        <f>('Gasto Diciembre (2)'!D10)/1000</f>
        <v>25.091045021603868</v>
      </c>
      <c r="G8" s="5">
        <f>('Gasto Diciembre (2)'!E10)/1000</f>
        <v>34.665022587828396</v>
      </c>
      <c r="H8" s="5">
        <f>('Gasto Diciembre (2)'!F10)/1000</f>
        <v>46.509807575282174</v>
      </c>
      <c r="I8" s="5">
        <f>('Gasto Diciembre (2)'!G10)/1000</f>
        <v>36.712330924326196</v>
      </c>
      <c r="J8" s="5">
        <f>('Gasto Diciembre (2)'!H10)/1000</f>
        <v>41.599820470156587</v>
      </c>
      <c r="K8" s="5">
        <f>('Gasto Diciembre (2)'!I10)/1000</f>
        <v>37.109385460802237</v>
      </c>
      <c r="L8" s="5">
        <f>('Gasto Diciembre (2)'!J10)/1000</f>
        <v>43.959912903121321</v>
      </c>
      <c r="M8" s="5">
        <f>('Gasto Diciembre (2)'!K10)/1000</f>
        <v>47.609466240455774</v>
      </c>
      <c r="N8" s="5">
        <f>('Gasto Diciembre (2)'!L10)/1000</f>
        <v>42.586412927130503</v>
      </c>
      <c r="O8" s="5">
        <f>('Gasto Diciembre (2)'!M10)/1000</f>
        <v>70.662433879247132</v>
      </c>
      <c r="P8" s="81">
        <f t="shared" si="0"/>
        <v>508.93862514247382</v>
      </c>
      <c r="Q8" s="16">
        <f t="shared" si="1"/>
        <v>42.411552095206154</v>
      </c>
    </row>
    <row r="9" spans="3:17" x14ac:dyDescent="0.2">
      <c r="C9" s="79" t="str">
        <f>'Gasto Septiembre'!A12</f>
        <v>Extras personas</v>
      </c>
      <c r="D9" s="5">
        <f>('Gasto Diciembre (2)'!B11)/1000</f>
        <v>129.39817010191192</v>
      </c>
      <c r="E9" s="5">
        <f>('Gasto Diciembre (2)'!C11)/1000</f>
        <v>40.43176393718786</v>
      </c>
      <c r="F9" s="5">
        <f>('Gasto Diciembre (2)'!D11)/1000</f>
        <v>19.643364060830315</v>
      </c>
      <c r="G9" s="5">
        <f>('Gasto Diciembre (2)'!E11)/1000</f>
        <v>12.341404103388877</v>
      </c>
      <c r="H9" s="5">
        <f>('Gasto Diciembre (2)'!F11)/1000</f>
        <v>18.451805936010711</v>
      </c>
      <c r="I9" s="5">
        <f>('Gasto Diciembre (2)'!G11)/1000</f>
        <v>6.0272542328956469</v>
      </c>
      <c r="J9" s="5">
        <f>('Gasto Diciembre (2)'!H11)/1000</f>
        <v>5.0827933346544096</v>
      </c>
      <c r="K9" s="5">
        <f>('Gasto Diciembre (2)'!I11)/1000</f>
        <v>4.9271873319711803</v>
      </c>
      <c r="L9" s="5">
        <f>('Gasto Diciembre (2)'!J11)/1000</f>
        <v>4.7191497716500583</v>
      </c>
      <c r="M9" s="5">
        <f>('Gasto Diciembre (2)'!K11)/1000</f>
        <v>29.951058404517521</v>
      </c>
      <c r="N9" s="5">
        <f>('Gasto Diciembre (2)'!L11)/1000</f>
        <v>28.926818237958003</v>
      </c>
      <c r="O9" s="5">
        <f>('Gasto Diciembre (2)'!M11)/1000</f>
        <v>13.829525277763183</v>
      </c>
      <c r="P9" s="81">
        <f t="shared" si="0"/>
        <v>313.73029473073967</v>
      </c>
      <c r="Q9" s="16">
        <f t="shared" si="1"/>
        <v>26.144191227561638</v>
      </c>
    </row>
    <row r="10" spans="3:17" x14ac:dyDescent="0.2">
      <c r="C10" s="79" t="str">
        <f>'Gasto Septiembre'!A13</f>
        <v>Viajes</v>
      </c>
      <c r="D10" s="5">
        <f>('Gasto Diciembre (2)'!B12)/1000</f>
        <v>70.940379610568385</v>
      </c>
      <c r="E10" s="5">
        <f>('Gasto Diciembre (2)'!C12)/1000</f>
        <v>15.541722628913062</v>
      </c>
      <c r="F10" s="5">
        <f>('Gasto Diciembre (2)'!D12)/1000</f>
        <v>6.4251697133057153</v>
      </c>
      <c r="G10" s="5">
        <f>('Gasto Diciembre (2)'!E12)/1000</f>
        <v>19.65406426562793</v>
      </c>
      <c r="H10" s="5">
        <f>('Gasto Diciembre (2)'!F12)/1000</f>
        <v>11.217310658473874</v>
      </c>
      <c r="I10" s="5">
        <f>('Gasto Diciembre (2)'!G12)/1000</f>
        <v>6.6439180250471681</v>
      </c>
      <c r="J10" s="5">
        <f>('Gasto Diciembre (2)'!H12)/1000</f>
        <v>10.766462434404199</v>
      </c>
      <c r="K10" s="5">
        <f>('Gasto Diciembre (2)'!I12)/1000</f>
        <v>12.765451293687494</v>
      </c>
      <c r="L10" s="5">
        <f>('Gasto Diciembre (2)'!J12)/1000</f>
        <v>12.095977046242213</v>
      </c>
      <c r="M10" s="5">
        <f>('Gasto Diciembre (2)'!K12)/1000</f>
        <v>8.7212621459397521</v>
      </c>
      <c r="N10" s="5">
        <f>('Gasto Diciembre (2)'!L12)/1000</f>
        <v>1.4406731165088513</v>
      </c>
      <c r="O10" s="5">
        <f>('Gasto Diciembre (2)'!M12)/1000</f>
        <v>16.033799999999999</v>
      </c>
      <c r="P10" s="81">
        <f t="shared" si="0"/>
        <v>192.24619093871866</v>
      </c>
      <c r="Q10" s="16">
        <f t="shared" si="1"/>
        <v>16.020515911559887</v>
      </c>
    </row>
    <row r="11" spans="3:17" x14ac:dyDescent="0.2">
      <c r="C11" s="79" t="str">
        <f>'Gasto Septiembre'!A14</f>
        <v>Compañía</v>
      </c>
      <c r="D11" s="5">
        <f>('Gasto Diciembre (2)'!B13)/1000</f>
        <v>12.901351336468462</v>
      </c>
      <c r="E11" s="5">
        <f>('Gasto Diciembre (2)'!C13)/1000</f>
        <v>5.2800589554097819</v>
      </c>
      <c r="F11" s="5">
        <f>('Gasto Diciembre (2)'!D13)/1000</f>
        <v>2.6626842850206112</v>
      </c>
      <c r="G11" s="5">
        <f>('Gasto Diciembre (2)'!E13)/1000</f>
        <v>2.6842877080425773</v>
      </c>
      <c r="H11" s="5">
        <f>('Gasto Diciembre (2)'!F13)/1000</f>
        <v>6.9208513095393736</v>
      </c>
      <c r="I11" s="5">
        <f>('Gasto Diciembre (2)'!G13)/1000</f>
        <v>0</v>
      </c>
      <c r="J11" s="5">
        <f>('Gasto Diciembre (2)'!H13)/1000</f>
        <v>5.6590788856179879</v>
      </c>
      <c r="K11" s="5">
        <f>('Gasto Diciembre (2)'!I13)/1000</f>
        <v>5.7457511560382839</v>
      </c>
      <c r="L11" s="5">
        <f>('Gasto Diciembre (2)'!J13)/1000</f>
        <v>2.7826216516772653</v>
      </c>
      <c r="M11" s="5">
        <f>('Gasto Diciembre (2)'!K13)/1000</f>
        <v>5.5199494543857961</v>
      </c>
      <c r="N11" s="5">
        <f>('Gasto Diciembre (2)'!L13)/1000</f>
        <v>13.346370934540962</v>
      </c>
      <c r="O11" s="5">
        <f>('Gasto Diciembre (2)'!M13)/1000</f>
        <v>12.61271082864825</v>
      </c>
      <c r="P11" s="81">
        <f t="shared" si="0"/>
        <v>76.115716505389358</v>
      </c>
      <c r="Q11" s="16">
        <f t="shared" si="1"/>
        <v>6.3429763754491129</v>
      </c>
    </row>
    <row r="12" spans="3:17" x14ac:dyDescent="0.2">
      <c r="C12" s="79" t="str">
        <f>'Gasto Septiembre'!A15</f>
        <v>Comercial</v>
      </c>
      <c r="D12" s="5">
        <f>('Gasto Diciembre (2)'!B14)/1000</f>
        <v>1.1462879547131577</v>
      </c>
      <c r="E12" s="5">
        <f>('Gasto Diciembre (2)'!C14)/1000</f>
        <v>0.86461014697334537</v>
      </c>
      <c r="F12" s="5">
        <f>('Gasto Diciembre (2)'!D14)/1000</f>
        <v>1.7211988470240618</v>
      </c>
      <c r="G12" s="5">
        <f>('Gasto Diciembre (2)'!E14)/1000</f>
        <v>0</v>
      </c>
      <c r="H12" s="5">
        <f>('Gasto Diciembre (2)'!F14)/1000</f>
        <v>2.3744770558242907</v>
      </c>
      <c r="I12" s="5">
        <f>('Gasto Diciembre (2)'!G14)/1000</f>
        <v>0.89949032480995161</v>
      </c>
      <c r="J12" s="5">
        <f>('Gasto Diciembre (2)'!H14)/1000</f>
        <v>0.88847647083919967</v>
      </c>
      <c r="K12" s="5">
        <f>('Gasto Diciembre (2)'!I14)/1000</f>
        <v>0.8957952468007313</v>
      </c>
      <c r="L12" s="5">
        <f>('Gasto Diciembre (2)'!J14)/1000</f>
        <v>1.130629122985068</v>
      </c>
      <c r="M12" s="5">
        <f>('Gasto Diciembre (2)'!K14)/1000</f>
        <v>0.89204442017112695</v>
      </c>
      <c r="N12" s="5">
        <f>('Gasto Diciembre (2)'!L14)/1000</f>
        <v>2.3638328530259365</v>
      </c>
      <c r="O12" s="5">
        <f>('Gasto Diciembre (2)'!M14)/1000</f>
        <v>1.1941192047584126</v>
      </c>
      <c r="P12" s="81">
        <f t="shared" si="0"/>
        <v>14.370961647925281</v>
      </c>
      <c r="Q12" s="16">
        <f t="shared" si="1"/>
        <v>1.1975801373271067</v>
      </c>
    </row>
    <row r="13" spans="3:17" x14ac:dyDescent="0.2">
      <c r="C13" s="79" t="str">
        <f>'Gasto Septiembre'!A16</f>
        <v>Bancarios</v>
      </c>
      <c r="D13" s="5">
        <f>('Gasto Diciembre (2)'!B15)/1000</f>
        <v>1.0105019896990377</v>
      </c>
      <c r="E13" s="5">
        <f>('Gasto Diciembre (2)'!C15)/1000</f>
        <v>0.71911980736003234</v>
      </c>
      <c r="F13" s="5">
        <f>('Gasto Diciembre (2)'!D15)/1000</f>
        <v>0.4722815710997067</v>
      </c>
      <c r="G13" s="5">
        <f>('Gasto Diciembre (2)'!E15)/1000</f>
        <v>0.36444023454912827</v>
      </c>
      <c r="H13" s="5">
        <f>('Gasto Diciembre (2)'!F15)/1000</f>
        <v>0.81385955593323756</v>
      </c>
      <c r="I13" s="5">
        <f>('Gasto Diciembre (2)'!G15)/1000</f>
        <v>1.642074602626123</v>
      </c>
      <c r="J13" s="5">
        <f>('Gasto Diciembre (2)'!H15)/1000</f>
        <v>2.1692001365245961</v>
      </c>
      <c r="K13" s="5">
        <f>('Gasto Diciembre (2)'!I15)/1000</f>
        <v>1.1940143993977848</v>
      </c>
      <c r="L13" s="5">
        <f>('Gasto Diciembre (2)'!J15)/1000</f>
        <v>1.1280278554539469</v>
      </c>
      <c r="M13" s="5">
        <f>('Gasto Diciembre (2)'!K15)/1000</f>
        <v>0.8641244364485281</v>
      </c>
      <c r="N13" s="5">
        <f>('Gasto Diciembre (2)'!L15)/1000</f>
        <v>1.5538836969946481</v>
      </c>
      <c r="O13" s="5">
        <f>('Gasto Diciembre (2)'!M15)/1000</f>
        <v>1.5701245416768514</v>
      </c>
      <c r="P13" s="81">
        <f t="shared" si="0"/>
        <v>13.501652827763619</v>
      </c>
      <c r="Q13" s="16">
        <f t="shared" si="1"/>
        <v>1.1251377356469683</v>
      </c>
    </row>
    <row r="14" spans="3:17" ht="16" thickBot="1" x14ac:dyDescent="0.25">
      <c r="C14" s="87" t="s">
        <v>35</v>
      </c>
      <c r="D14" s="88">
        <f>+SUM(D6:D13)</f>
        <v>688.03015980959503</v>
      </c>
      <c r="E14" s="88">
        <f t="shared" ref="E14:O14" si="2">+SUM(E6:E13)</f>
        <v>472.2550401687206</v>
      </c>
      <c r="F14" s="88">
        <f t="shared" si="2"/>
        <v>408.15190203799403</v>
      </c>
      <c r="G14" s="88">
        <f t="shared" si="2"/>
        <v>351.00939659172593</v>
      </c>
      <c r="H14" s="88">
        <f t="shared" si="2"/>
        <v>489.35443490913855</v>
      </c>
      <c r="I14" s="88">
        <f t="shared" si="2"/>
        <v>386.32449042483978</v>
      </c>
      <c r="J14" s="88">
        <f t="shared" si="2"/>
        <v>455.15249050727414</v>
      </c>
      <c r="K14" s="88">
        <f t="shared" si="2"/>
        <v>476.34707578341755</v>
      </c>
      <c r="L14" s="88">
        <f t="shared" si="2"/>
        <v>368.87724292547045</v>
      </c>
      <c r="M14" s="88">
        <f t="shared" si="2"/>
        <v>486.65788933990865</v>
      </c>
      <c r="N14" s="88">
        <f t="shared" si="2"/>
        <v>444.70353728347004</v>
      </c>
      <c r="O14" s="88">
        <f t="shared" si="2"/>
        <v>530.39638060457912</v>
      </c>
      <c r="P14" s="89">
        <f>+SUM(P6:P13)</f>
        <v>5557.2600403861343</v>
      </c>
      <c r="Q14" s="17">
        <f>+SUM(Q6:Q13)</f>
        <v>463.10500336551115</v>
      </c>
    </row>
    <row r="15" spans="3:17" x14ac:dyDescent="0.2">
      <c r="C15" t="s">
        <v>37</v>
      </c>
      <c r="D15" s="18">
        <f>+SUM($D$14:D14)</f>
        <v>688.03015980959503</v>
      </c>
      <c r="E15" s="18">
        <f>+SUM($D$14:E14)</f>
        <v>1160.2851999783156</v>
      </c>
      <c r="F15" s="18">
        <f>+SUM($D$14:F14)</f>
        <v>1568.4371020163096</v>
      </c>
      <c r="G15" s="18">
        <f>+SUM($D$14:G14)</f>
        <v>1919.4464986080357</v>
      </c>
      <c r="H15" s="18">
        <f>+SUM($D$14:H14)</f>
        <v>2408.8009335171741</v>
      </c>
      <c r="I15" s="18">
        <f>+SUM($D$14:I14)</f>
        <v>2795.1254239420141</v>
      </c>
      <c r="J15" s="18">
        <f>+SUM($D$14:J14)</f>
        <v>3250.2779144492883</v>
      </c>
      <c r="K15" s="18">
        <f>+SUM($D$14:K14)</f>
        <v>3726.6249902327058</v>
      </c>
      <c r="L15" s="18">
        <f>+SUM($D$14:L14)</f>
        <v>4095.5022331581763</v>
      </c>
      <c r="M15" s="18">
        <f>+SUM($D$14:M14)</f>
        <v>4582.160122498085</v>
      </c>
      <c r="N15" s="18">
        <f>+SUM($D$14:N14)</f>
        <v>5026.8636597815548</v>
      </c>
      <c r="O15" s="18">
        <f>+SUM($D$14:O14)</f>
        <v>5557.2600403861343</v>
      </c>
      <c r="P15" s="16"/>
      <c r="Q15" s="16"/>
    </row>
    <row r="16" spans="3:17" x14ac:dyDescent="0.2">
      <c r="D16" s="2">
        <f t="shared" ref="D16:L16" si="3">+D15/$O$15</f>
        <v>0.12380744374196834</v>
      </c>
      <c r="E16" s="2">
        <f t="shared" si="3"/>
        <v>0.20878727854126036</v>
      </c>
      <c r="F16" s="2">
        <f t="shared" si="3"/>
        <v>0.28223208750680129</v>
      </c>
      <c r="G16" s="2">
        <f t="shared" si="3"/>
        <v>0.34539440023660778</v>
      </c>
      <c r="H16" s="2">
        <f t="shared" si="3"/>
        <v>0.43345118205946032</v>
      </c>
      <c r="I16" s="2">
        <f t="shared" si="3"/>
        <v>0.50296826199045397</v>
      </c>
      <c r="J16" s="2">
        <f t="shared" si="3"/>
        <v>0.58487058205457843</v>
      </c>
      <c r="K16" s="2">
        <f t="shared" si="3"/>
        <v>0.67058675734989892</v>
      </c>
      <c r="L16" s="2">
        <f t="shared" si="3"/>
        <v>0.7369642959651046</v>
      </c>
      <c r="M16" s="2">
        <f>+M15/$O$15</f>
        <v>0.82453584845738181</v>
      </c>
      <c r="N16" s="2">
        <f>+N15/$O$15</f>
        <v>0.904557933810899</v>
      </c>
      <c r="O16" s="2">
        <f>+O15/$O$15</f>
        <v>1</v>
      </c>
    </row>
    <row r="18" spans="3:17" x14ac:dyDescent="0.2">
      <c r="C18" t="s">
        <v>161</v>
      </c>
      <c r="D18" s="2">
        <f t="shared" ref="D18:K18" si="4">+D6/D14</f>
        <v>0.43966861058843448</v>
      </c>
      <c r="E18" s="2">
        <f t="shared" si="4"/>
        <v>0.58972499491262509</v>
      </c>
      <c r="F18" s="2">
        <f t="shared" si="4"/>
        <v>0.70773895711154333</v>
      </c>
      <c r="G18" s="2">
        <f t="shared" si="4"/>
        <v>0.77423904041395153</v>
      </c>
      <c r="H18" s="2">
        <f t="shared" si="4"/>
        <v>0.63952891584103633</v>
      </c>
      <c r="I18" s="2">
        <f t="shared" si="4"/>
        <v>0.60366735724595522</v>
      </c>
      <c r="J18" s="2">
        <f t="shared" si="4"/>
        <v>0.73788748006109384</v>
      </c>
      <c r="K18" s="2">
        <f t="shared" si="4"/>
        <v>0.64324493594147791</v>
      </c>
      <c r="L18" s="2">
        <f>+L6/L14</f>
        <v>0.73743159926245527</v>
      </c>
      <c r="M18" s="2">
        <f>+M6/M14</f>
        <v>0.60569455612750167</v>
      </c>
    </row>
    <row r="19" spans="3:17" x14ac:dyDescent="0.2">
      <c r="C19" t="s">
        <v>162</v>
      </c>
      <c r="D19" s="2">
        <f t="shared" ref="D19:K19" si="5">+D7/D14</f>
        <v>0.17934303077645664</v>
      </c>
      <c r="E19" s="2">
        <f t="shared" si="5"/>
        <v>0.20162615232084441</v>
      </c>
      <c r="F19" s="2">
        <f t="shared" si="5"/>
        <v>0.15501865048703675</v>
      </c>
      <c r="G19" s="2">
        <f t="shared" si="5"/>
        <v>2.7164512948699079E-2</v>
      </c>
      <c r="H19" s="2">
        <f t="shared" si="5"/>
        <v>0.18414058435040404</v>
      </c>
      <c r="I19" s="2">
        <f t="shared" si="5"/>
        <v>0.26192473076119327</v>
      </c>
      <c r="J19" s="2">
        <f t="shared" si="5"/>
        <v>0.11674182964903387</v>
      </c>
      <c r="K19" s="2">
        <f t="shared" si="5"/>
        <v>0.22525937935072438</v>
      </c>
      <c r="L19" s="2">
        <f>+L7/L14</f>
        <v>8.4145037373739448E-2</v>
      </c>
      <c r="M19" s="2">
        <f>+M7/M14</f>
        <v>0.20205970584733579</v>
      </c>
    </row>
    <row r="20" spans="3:17" x14ac:dyDescent="0.2">
      <c r="C20" t="s">
        <v>282</v>
      </c>
      <c r="D20" s="2">
        <f>+D8/D14</f>
        <v>6.7925496604511804E-2</v>
      </c>
      <c r="E20" s="2">
        <f t="shared" ref="E20:M20" si="6">+E8/E14</f>
        <v>7.5590928274301791E-2</v>
      </c>
      <c r="F20" s="2">
        <f t="shared" si="6"/>
        <v>6.1474771761000378E-2</v>
      </c>
      <c r="G20" s="2">
        <f t="shared" si="6"/>
        <v>9.8758104268498459E-2</v>
      </c>
      <c r="H20" s="2">
        <f t="shared" si="6"/>
        <v>9.5043192127027387E-2</v>
      </c>
      <c r="I20" s="2">
        <f t="shared" si="6"/>
        <v>9.5029778940376688E-2</v>
      </c>
      <c r="J20" s="2">
        <f t="shared" si="6"/>
        <v>9.1397545521047188E-2</v>
      </c>
      <c r="K20" s="2">
        <f t="shared" si="6"/>
        <v>7.7904089995243078E-2</v>
      </c>
      <c r="L20" s="2">
        <f t="shared" si="6"/>
        <v>0.11917220090479577</v>
      </c>
      <c r="M20" s="2">
        <f t="shared" si="6"/>
        <v>9.7829434769941034E-2</v>
      </c>
    </row>
    <row r="22" spans="3:17" ht="16" thickBot="1" x14ac:dyDescent="0.25">
      <c r="O22" s="5"/>
    </row>
    <row r="23" spans="3:17" x14ac:dyDescent="0.2">
      <c r="C23" s="84" t="s">
        <v>34</v>
      </c>
      <c r="D23" s="85" t="s">
        <v>10</v>
      </c>
      <c r="E23" s="85" t="s">
        <v>11</v>
      </c>
      <c r="F23" s="85" t="s">
        <v>12</v>
      </c>
      <c r="G23" s="85" t="s">
        <v>13</v>
      </c>
      <c r="H23" s="85" t="s">
        <v>14</v>
      </c>
      <c r="I23" s="85" t="s">
        <v>15</v>
      </c>
      <c r="J23" s="85" t="s">
        <v>16</v>
      </c>
      <c r="K23" s="85" t="s">
        <v>24</v>
      </c>
      <c r="L23" s="85" t="s">
        <v>25</v>
      </c>
      <c r="M23" s="85" t="s">
        <v>26</v>
      </c>
      <c r="N23" s="85" t="s">
        <v>27</v>
      </c>
      <c r="O23" s="85" t="s">
        <v>28</v>
      </c>
      <c r="P23" s="86" t="s">
        <v>35</v>
      </c>
      <c r="Q23" t="s">
        <v>36</v>
      </c>
    </row>
    <row r="24" spans="3:17" x14ac:dyDescent="0.2">
      <c r="C24" s="79" t="str">
        <f>'Gasto Septiembre'!A30</f>
        <v>Chile</v>
      </c>
      <c r="D24" s="5">
        <f>('Gasto Diciembre (2)'!B28)/1000</f>
        <v>476.29050540204207</v>
      </c>
      <c r="E24" s="5">
        <f>('Gasto Diciembre (2)'!C28)/1000</f>
        <v>313.31491841733776</v>
      </c>
      <c r="F24" s="5">
        <f>('Gasto Diciembre (2)'!D28)/1000</f>
        <v>275.86854834543823</v>
      </c>
      <c r="G24" s="5">
        <f>('Gasto Diciembre (2)'!E28)/1000</f>
        <v>231.52127189784832</v>
      </c>
      <c r="H24" s="5">
        <f>('Gasto Diciembre (2)'!F28)/1000</f>
        <v>317.17005490913857</v>
      </c>
      <c r="I24" s="5">
        <f>('Gasto Diciembre (2)'!G28)/1000</f>
        <v>288.14494428127159</v>
      </c>
      <c r="J24" s="5">
        <f>('Gasto Diciembre (2)'!H28)/1000</f>
        <v>292.12749050727416</v>
      </c>
      <c r="K24" s="5">
        <f>('Gasto Diciembre (2)'!I28)/1000</f>
        <v>299.21778578341736</v>
      </c>
      <c r="L24" s="5">
        <f>('Gasto Diciembre (2)'!J28)/1000</f>
        <v>267.60024292547041</v>
      </c>
      <c r="M24" s="5">
        <f>('Gasto Diciembre (2)'!K28)/1000</f>
        <v>356.05443933990841</v>
      </c>
      <c r="N24" s="5">
        <f>('Gasto Diciembre (2)'!L28)/1000</f>
        <v>318.2745372834699</v>
      </c>
      <c r="O24" s="5">
        <f>('Gasto Diciembre (2)'!M28)/1000</f>
        <v>334.87696060457898</v>
      </c>
      <c r="P24" s="81">
        <f>+SUM(D24:O24)</f>
        <v>3770.4616996971954</v>
      </c>
      <c r="Q24" s="19">
        <f>+AVERAGE(D24:O24)</f>
        <v>314.20514164143293</v>
      </c>
    </row>
    <row r="25" spans="3:17" x14ac:dyDescent="0.2">
      <c r="C25" s="79" t="str">
        <f>'Gasto Septiembre'!A31</f>
        <v>Perú</v>
      </c>
      <c r="D25" s="5">
        <f>('Gasto Diciembre (2)'!B29)/1000</f>
        <v>167.14016440755313</v>
      </c>
      <c r="E25" s="5">
        <f>('Gasto Diciembre (2)'!C29)/1000</f>
        <v>109.66978175138264</v>
      </c>
      <c r="F25" s="5">
        <f>('Gasto Diciembre (2)'!D29)/1000</f>
        <v>119.90377369255575</v>
      </c>
      <c r="G25" s="5">
        <f>('Gasto Diciembre (2)'!E29)/1000</f>
        <v>98.132410000000007</v>
      </c>
      <c r="H25" s="5">
        <f>('Gasto Diciembre (2)'!F29)/1000</f>
        <v>125.25863</v>
      </c>
      <c r="I25" s="5">
        <f>('Gasto Diciembre (2)'!G29)/1000</f>
        <v>82.824806143568253</v>
      </c>
      <c r="J25" s="5">
        <f>('Gasto Diciembre (2)'!H29)/1000</f>
        <v>139.67400000000001</v>
      </c>
      <c r="K25" s="5">
        <f>('Gasto Diciembre (2)'!I29)/1000</f>
        <v>152.09422000000004</v>
      </c>
      <c r="L25" s="5">
        <f>('Gasto Diciembre (2)'!J29)/1000</f>
        <v>73.593999999999994</v>
      </c>
      <c r="M25" s="5">
        <f>('Gasto Diciembre (2)'!K29)/1000</f>
        <v>88.148450000000025</v>
      </c>
      <c r="N25" s="5">
        <f>('Gasto Diciembre (2)'!L29)/1000</f>
        <v>112.788</v>
      </c>
      <c r="O25" s="5">
        <f>('Gasto Diciembre (2)'!M29)/1000</f>
        <v>159.18261999999999</v>
      </c>
      <c r="P25" s="81">
        <f>+SUM(D25:O25)</f>
        <v>1428.41085599506</v>
      </c>
      <c r="Q25" s="19">
        <f t="shared" ref="Q25:Q26" si="7">+AVERAGE(D25:O25)</f>
        <v>119.03423799958834</v>
      </c>
    </row>
    <row r="26" spans="3:17" x14ac:dyDescent="0.2">
      <c r="C26" s="79" t="str">
        <f>'Gasto Septiembre'!A32</f>
        <v>Brasil</v>
      </c>
      <c r="D26" s="5">
        <f>('Gasto Diciembre (2)'!B30)/1000</f>
        <v>44.599490000000003</v>
      </c>
      <c r="E26" s="5">
        <f>('Gasto Diciembre (2)'!C30)/1000</f>
        <v>49.270340000000004</v>
      </c>
      <c r="F26" s="5">
        <f>('Gasto Diciembre (2)'!D30)/1000</f>
        <v>12.379580000000001</v>
      </c>
      <c r="G26" s="5">
        <f>('Gasto Diciembre (2)'!E30)/1000</f>
        <v>21.355714693877552</v>
      </c>
      <c r="H26" s="5">
        <f>('Gasto Diciembre (2)'!F30)/1000</f>
        <v>46.925750000000001</v>
      </c>
      <c r="I26" s="5">
        <f>('Gasto Diciembre (2)'!G30)/1000</f>
        <v>15.35474</v>
      </c>
      <c r="J26" s="5">
        <f>('Gasto Diciembre (2)'!H30)/1000</f>
        <v>23.350999999999999</v>
      </c>
      <c r="K26" s="5">
        <f>('Gasto Diciembre (2)'!I30)/1000</f>
        <v>25.035070000000001</v>
      </c>
      <c r="L26" s="5">
        <f>('Gasto Diciembre (2)'!J30)/1000</f>
        <v>27.683</v>
      </c>
      <c r="M26" s="5">
        <f>('Gasto Diciembre (2)'!K30)/1000</f>
        <v>42.454999999999998</v>
      </c>
      <c r="N26" s="5">
        <f>('Gasto Diciembre (2)'!L30)/1000</f>
        <v>13.641</v>
      </c>
      <c r="O26" s="5">
        <f>('Gasto Diciembre (2)'!M30)/1000</f>
        <v>36.336800000000004</v>
      </c>
      <c r="P26" s="81">
        <f>+SUM(D26:O26)</f>
        <v>358.38748469387752</v>
      </c>
      <c r="Q26" s="19">
        <f t="shared" si="7"/>
        <v>29.865623724489794</v>
      </c>
    </row>
    <row r="27" spans="3:17" ht="16" thickBot="1" x14ac:dyDescent="0.25">
      <c r="C27" s="87" t="s">
        <v>35</v>
      </c>
      <c r="D27" s="88">
        <f>+SUM(D24:D26)</f>
        <v>688.03015980959526</v>
      </c>
      <c r="E27" s="88">
        <f t="shared" ref="E27:O27" si="8">+SUM(E24:E26)</f>
        <v>472.25504016872037</v>
      </c>
      <c r="F27" s="88">
        <f t="shared" si="8"/>
        <v>408.15190203799392</v>
      </c>
      <c r="G27" s="88">
        <f t="shared" si="8"/>
        <v>351.00939659172587</v>
      </c>
      <c r="H27" s="88">
        <f t="shared" si="8"/>
        <v>489.35443490913855</v>
      </c>
      <c r="I27" s="88">
        <f t="shared" si="8"/>
        <v>386.32449042483984</v>
      </c>
      <c r="J27" s="88">
        <f t="shared" si="8"/>
        <v>455.15249050727414</v>
      </c>
      <c r="K27" s="88">
        <f t="shared" si="8"/>
        <v>476.34707578341738</v>
      </c>
      <c r="L27" s="88">
        <f t="shared" si="8"/>
        <v>368.8772429254704</v>
      </c>
      <c r="M27" s="88">
        <f t="shared" si="8"/>
        <v>486.65788933990842</v>
      </c>
      <c r="N27" s="88">
        <f t="shared" si="8"/>
        <v>444.70353728346993</v>
      </c>
      <c r="O27" s="88">
        <f t="shared" si="8"/>
        <v>530.39638060457901</v>
      </c>
      <c r="P27" s="89">
        <f>+SUM(P24:P26)</f>
        <v>5557.2600403861334</v>
      </c>
      <c r="Q27" s="95">
        <f>+SUM(Q24:Q26)</f>
        <v>463.1050033655111</v>
      </c>
    </row>
    <row r="28" spans="3:17" x14ac:dyDescent="0.2">
      <c r="C28" t="s">
        <v>37</v>
      </c>
      <c r="D28" s="18">
        <f>+SUM($D$27:D27)</f>
        <v>688.03015980959526</v>
      </c>
      <c r="E28" s="18">
        <f>+SUM($D$27:E27)</f>
        <v>1160.2851999783156</v>
      </c>
      <c r="F28" s="18">
        <f>+SUM($D$27:F27)</f>
        <v>1568.4371020163096</v>
      </c>
      <c r="G28" s="18">
        <f>+SUM($D$27:G27)</f>
        <v>1919.4464986080354</v>
      </c>
      <c r="H28" s="18">
        <f>+SUM($D$27:H27)</f>
        <v>2408.8009335171741</v>
      </c>
      <c r="I28" s="18">
        <f>+SUM($D$27:I27)</f>
        <v>2795.1254239420141</v>
      </c>
      <c r="J28" s="18">
        <f>+SUM($D$27:J27)</f>
        <v>3250.2779144492883</v>
      </c>
      <c r="K28" s="18">
        <f>+SUM($D$27:K27)</f>
        <v>3726.6249902327058</v>
      </c>
      <c r="L28" s="18">
        <f>+SUM($D$27:L27)</f>
        <v>4095.5022331581763</v>
      </c>
      <c r="M28" s="18">
        <f>+SUM($D$27:M27)</f>
        <v>4582.160122498085</v>
      </c>
      <c r="N28" s="18">
        <f>+SUM($D$27:N27)</f>
        <v>5026.8636597815548</v>
      </c>
      <c r="O28" s="18">
        <f>+SUM($D$27:O27)</f>
        <v>5557.2600403861343</v>
      </c>
      <c r="P28" s="16"/>
      <c r="Q28" s="16"/>
    </row>
    <row r="29" spans="3:17" x14ac:dyDescent="0.2">
      <c r="D29" s="2">
        <f t="shared" ref="D29:O29" si="9">+D28/$O$28</f>
        <v>0.12380744374196838</v>
      </c>
      <c r="E29" s="2">
        <f t="shared" si="9"/>
        <v>0.20878727854126036</v>
      </c>
      <c r="F29" s="2">
        <f t="shared" si="9"/>
        <v>0.28223208750680129</v>
      </c>
      <c r="G29" s="2">
        <f t="shared" si="9"/>
        <v>0.34539440023660778</v>
      </c>
      <c r="H29" s="2">
        <f t="shared" si="9"/>
        <v>0.43345118205946032</v>
      </c>
      <c r="I29" s="2">
        <f t="shared" si="9"/>
        <v>0.50296826199045397</v>
      </c>
      <c r="J29" s="2">
        <f t="shared" si="9"/>
        <v>0.58487058205457843</v>
      </c>
      <c r="K29" s="2">
        <f t="shared" si="9"/>
        <v>0.67058675734989892</v>
      </c>
      <c r="L29" s="2">
        <f t="shared" si="9"/>
        <v>0.7369642959651046</v>
      </c>
      <c r="M29" s="2">
        <f t="shared" si="9"/>
        <v>0.82453584845738181</v>
      </c>
      <c r="N29" s="2">
        <f t="shared" si="9"/>
        <v>0.904557933810899</v>
      </c>
      <c r="O29" s="2">
        <f t="shared" si="9"/>
        <v>1</v>
      </c>
    </row>
    <row r="31" spans="3:17" x14ac:dyDescent="0.2">
      <c r="E31" s="2">
        <f>+(E27-D27)/D27</f>
        <v>-0.31361287955834416</v>
      </c>
      <c r="F31" s="2">
        <f t="shared" ref="F31:O31" si="10">+(F27-E27)/E27</f>
        <v>-0.13573838853646669</v>
      </c>
      <c r="G31" s="2">
        <f t="shared" si="10"/>
        <v>-0.14000303602884787</v>
      </c>
      <c r="H31" s="2">
        <f t="shared" si="10"/>
        <v>0.39413485696033301</v>
      </c>
      <c r="I31" s="2">
        <f t="shared" si="10"/>
        <v>-0.21054257841441432</v>
      </c>
      <c r="J31" s="2">
        <f t="shared" si="10"/>
        <v>0.17816111012466324</v>
      </c>
      <c r="K31" s="2">
        <f t="shared" si="10"/>
        <v>4.6565899820786585E-2</v>
      </c>
      <c r="L31" s="2">
        <f t="shared" si="10"/>
        <v>-0.22561245428283205</v>
      </c>
      <c r="M31" s="2">
        <f t="shared" si="10"/>
        <v>0.31929496512267891</v>
      </c>
      <c r="N31" s="2">
        <f t="shared" si="10"/>
        <v>-8.6209127552302534E-2</v>
      </c>
      <c r="O31" s="2">
        <f t="shared" si="10"/>
        <v>0.19269656329827078</v>
      </c>
    </row>
    <row r="34" spans="1:34" ht="5" customHeight="1" x14ac:dyDescent="0.2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</row>
    <row r="37" spans="1:34" ht="24" customHeight="1" x14ac:dyDescent="0.2">
      <c r="C37" s="126" t="s">
        <v>295</v>
      </c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</row>
    <row r="38" spans="1:34" ht="16" thickBot="1" x14ac:dyDescent="0.25">
      <c r="C38" s="82"/>
    </row>
    <row r="39" spans="1:34" x14ac:dyDescent="0.2">
      <c r="C39" s="84" t="s">
        <v>34</v>
      </c>
      <c r="D39" s="85" t="s">
        <v>10</v>
      </c>
      <c r="E39" s="85" t="s">
        <v>11</v>
      </c>
      <c r="F39" s="85" t="s">
        <v>12</v>
      </c>
      <c r="G39" s="85" t="s">
        <v>13</v>
      </c>
      <c r="H39" s="85" t="s">
        <v>14</v>
      </c>
      <c r="I39" s="85" t="s">
        <v>15</v>
      </c>
      <c r="J39" s="85" t="s">
        <v>16</v>
      </c>
      <c r="K39" s="85" t="s">
        <v>24</v>
      </c>
      <c r="L39" s="85" t="s">
        <v>25</v>
      </c>
      <c r="M39" s="85" t="s">
        <v>26</v>
      </c>
      <c r="N39" s="85" t="s">
        <v>27</v>
      </c>
      <c r="O39" s="85" t="s">
        <v>28</v>
      </c>
      <c r="P39" s="86" t="s">
        <v>35</v>
      </c>
      <c r="Q39" t="s">
        <v>36</v>
      </c>
    </row>
    <row r="40" spans="1:34" x14ac:dyDescent="0.2">
      <c r="C40" s="90" t="s">
        <v>32</v>
      </c>
      <c r="D40" s="5">
        <v>476.29050540204207</v>
      </c>
      <c r="E40" s="5">
        <v>313.31491841733776</v>
      </c>
      <c r="F40" s="5">
        <v>275.86854834543823</v>
      </c>
      <c r="G40" s="5">
        <v>231.52127189784832</v>
      </c>
      <c r="H40" s="5">
        <v>317.17005490913857</v>
      </c>
      <c r="I40" s="5">
        <v>288.14494428127159</v>
      </c>
      <c r="J40" s="5">
        <v>292.12749050727416</v>
      </c>
      <c r="K40" s="5">
        <v>299.21778578341736</v>
      </c>
      <c r="L40" s="5">
        <v>267.60024292547041</v>
      </c>
      <c r="M40" s="5">
        <v>356.05443933990841</v>
      </c>
      <c r="N40" s="5">
        <v>318.2745372834699</v>
      </c>
      <c r="O40" s="5">
        <v>334.87696060457898</v>
      </c>
      <c r="P40" s="123">
        <f>+SUM(D40:O40)</f>
        <v>3770.4616996971954</v>
      </c>
      <c r="Q40" s="83">
        <f>+AVERAGE(D40:O40)</f>
        <v>314.20514164143293</v>
      </c>
    </row>
    <row r="41" spans="1:34" x14ac:dyDescent="0.2">
      <c r="C41" s="90" t="s">
        <v>33</v>
      </c>
      <c r="D41" s="5">
        <v>167.14016440755313</v>
      </c>
      <c r="E41" s="5">
        <v>109.66978175138264</v>
      </c>
      <c r="F41" s="5">
        <v>119.90377369255575</v>
      </c>
      <c r="G41" s="5">
        <v>98.132410000000007</v>
      </c>
      <c r="H41" s="5">
        <v>125.25863</v>
      </c>
      <c r="I41" s="5">
        <v>82.824806143568253</v>
      </c>
      <c r="J41" s="5">
        <v>139.67400000000001</v>
      </c>
      <c r="K41" s="5">
        <v>152.09422000000004</v>
      </c>
      <c r="L41" s="5">
        <v>73.593999999999994</v>
      </c>
      <c r="M41" s="5">
        <v>88.148450000000025</v>
      </c>
      <c r="N41" s="5">
        <v>112.788</v>
      </c>
      <c r="O41" s="5">
        <v>159.18261999999999</v>
      </c>
      <c r="P41" s="123">
        <f>+SUM(D41:O41)</f>
        <v>1428.41085599506</v>
      </c>
      <c r="Q41" s="83">
        <f t="shared" ref="Q41:Q43" si="11">+AVERAGE(D41:O41)</f>
        <v>119.03423799958834</v>
      </c>
    </row>
    <row r="42" spans="1:34" x14ac:dyDescent="0.2">
      <c r="C42" s="90" t="s">
        <v>3</v>
      </c>
      <c r="D42" s="5">
        <v>44.599490000000003</v>
      </c>
      <c r="E42" s="5">
        <v>49.270340000000004</v>
      </c>
      <c r="F42" s="5">
        <v>12.379580000000001</v>
      </c>
      <c r="G42" s="5">
        <v>21.355714693877552</v>
      </c>
      <c r="H42" s="5">
        <v>46.925750000000001</v>
      </c>
      <c r="I42" s="5">
        <v>15.35474</v>
      </c>
      <c r="J42" s="5">
        <v>23.350999999999999</v>
      </c>
      <c r="K42" s="5">
        <v>25.035070000000001</v>
      </c>
      <c r="L42" s="5">
        <v>27.683</v>
      </c>
      <c r="M42" s="5">
        <v>42.454999999999998</v>
      </c>
      <c r="N42" s="5">
        <v>13.641</v>
      </c>
      <c r="O42" s="5">
        <v>36.336800000000004</v>
      </c>
      <c r="P42" s="123">
        <f>+SUM(D42:O42)</f>
        <v>358.38748469387752</v>
      </c>
      <c r="Q42" s="83">
        <f t="shared" si="11"/>
        <v>29.865623724489794</v>
      </c>
    </row>
    <row r="43" spans="1:34" x14ac:dyDescent="0.2">
      <c r="C43" s="115" t="s">
        <v>51</v>
      </c>
      <c r="D43" s="116">
        <v>0</v>
      </c>
      <c r="E43" s="116">
        <v>0</v>
      </c>
      <c r="F43" s="116">
        <v>29.806000000000001</v>
      </c>
      <c r="G43" s="116">
        <v>0</v>
      </c>
      <c r="H43" s="116">
        <v>33.408999999999999</v>
      </c>
      <c r="I43" s="116">
        <v>8.5120000000000005</v>
      </c>
      <c r="J43" s="116">
        <v>71.468000000000004</v>
      </c>
      <c r="K43" s="116">
        <v>61.963000000000001</v>
      </c>
      <c r="L43" s="116">
        <v>14.9</v>
      </c>
      <c r="M43" s="116">
        <v>32.355000000000004</v>
      </c>
      <c r="N43" s="116">
        <v>7.5</v>
      </c>
      <c r="O43" s="118">
        <v>150.66999999999999</v>
      </c>
      <c r="P43" s="123">
        <f>+SUM(D43:O43)</f>
        <v>410.58299999999997</v>
      </c>
      <c r="Q43" s="83">
        <f t="shared" si="11"/>
        <v>34.215249999999997</v>
      </c>
    </row>
    <row r="44" spans="1:34" ht="16" thickBot="1" x14ac:dyDescent="0.25">
      <c r="C44" s="87" t="s">
        <v>35</v>
      </c>
      <c r="D44" s="88">
        <f>+SUM(D40:D43)</f>
        <v>688.03015980959526</v>
      </c>
      <c r="E44" s="88">
        <f t="shared" ref="E44:Q44" si="12">+SUM(E40:E43)</f>
        <v>472.25504016872037</v>
      </c>
      <c r="F44" s="88">
        <f t="shared" si="12"/>
        <v>437.9579020379939</v>
      </c>
      <c r="G44" s="88">
        <f t="shared" si="12"/>
        <v>351.00939659172587</v>
      </c>
      <c r="H44" s="88">
        <f t="shared" si="12"/>
        <v>522.7634349091386</v>
      </c>
      <c r="I44" s="88">
        <f t="shared" si="12"/>
        <v>394.83649042483984</v>
      </c>
      <c r="J44" s="88">
        <f t="shared" si="12"/>
        <v>526.6204905072741</v>
      </c>
      <c r="K44" s="88">
        <f t="shared" si="12"/>
        <v>538.31007578341735</v>
      </c>
      <c r="L44" s="88">
        <f t="shared" si="12"/>
        <v>383.77724292547038</v>
      </c>
      <c r="M44" s="88">
        <f t="shared" si="12"/>
        <v>519.01288933990838</v>
      </c>
      <c r="N44" s="88">
        <f t="shared" si="12"/>
        <v>452.20353728346993</v>
      </c>
      <c r="O44" s="88">
        <f t="shared" si="12"/>
        <v>681.06638060457897</v>
      </c>
      <c r="P44" s="89">
        <f t="shared" si="12"/>
        <v>5967.843040386133</v>
      </c>
      <c r="Q44" s="17">
        <f t="shared" si="12"/>
        <v>497.32025336551112</v>
      </c>
    </row>
    <row r="46" spans="1:34" ht="16" thickBot="1" x14ac:dyDescent="0.25"/>
    <row r="47" spans="1:34" x14ac:dyDescent="0.2">
      <c r="C47" s="84" t="s">
        <v>34</v>
      </c>
      <c r="D47" s="85" t="s">
        <v>10</v>
      </c>
      <c r="E47" s="85" t="s">
        <v>11</v>
      </c>
      <c r="F47" s="85" t="s">
        <v>12</v>
      </c>
      <c r="G47" s="85" t="s">
        <v>13</v>
      </c>
      <c r="H47" s="85" t="s">
        <v>14</v>
      </c>
      <c r="I47" s="85" t="s">
        <v>15</v>
      </c>
      <c r="J47" s="85" t="s">
        <v>16</v>
      </c>
      <c r="K47" s="85" t="s">
        <v>24</v>
      </c>
      <c r="L47" s="85" t="s">
        <v>25</v>
      </c>
      <c r="M47" s="85" t="s">
        <v>26</v>
      </c>
      <c r="N47" s="85" t="s">
        <v>27</v>
      </c>
      <c r="O47" s="85" t="s">
        <v>28</v>
      </c>
      <c r="P47" s="86" t="s">
        <v>35</v>
      </c>
      <c r="Q47" t="s">
        <v>36</v>
      </c>
      <c r="R47" s="124" t="s">
        <v>328</v>
      </c>
    </row>
    <row r="48" spans="1:34" x14ac:dyDescent="0.2">
      <c r="C48" s="90" t="s">
        <v>17</v>
      </c>
      <c r="D48" s="16">
        <v>344.70390995879359</v>
      </c>
      <c r="E48" s="16">
        <v>313.8673311609603</v>
      </c>
      <c r="F48" s="16">
        <v>332.55780405636619</v>
      </c>
      <c r="G48" s="16">
        <v>271.76517839345803</v>
      </c>
      <c r="H48" s="16">
        <v>381.94289121944433</v>
      </c>
      <c r="I48" s="16">
        <v>266.57109229333497</v>
      </c>
      <c r="J48" s="16">
        <v>407.31932426394349</v>
      </c>
      <c r="K48" s="16">
        <v>375.94013881379226</v>
      </c>
      <c r="L48" s="16">
        <v>286.92173518205487</v>
      </c>
      <c r="M48" s="16">
        <v>356.79322733012441</v>
      </c>
      <c r="N48" s="16">
        <v>318.18725103114639</v>
      </c>
      <c r="O48" s="16">
        <v>488.78770273452176</v>
      </c>
      <c r="P48" s="123">
        <f>+SUM(D48:O48)</f>
        <v>4145.3575864379409</v>
      </c>
      <c r="Q48" s="16">
        <f>+AVERAGE(D48:O48)</f>
        <v>345.44646553649505</v>
      </c>
      <c r="R48" s="16">
        <f>+P48+300+120</f>
        <v>4565.3575864379409</v>
      </c>
      <c r="S48" s="2">
        <f>+(R48-P48)/P48</f>
        <v>0.10131815922806825</v>
      </c>
    </row>
    <row r="49" spans="3:19" x14ac:dyDescent="0.2">
      <c r="C49" s="90" t="s">
        <v>19</v>
      </c>
      <c r="D49" s="16">
        <v>67.486890793618784</v>
      </c>
      <c r="E49" s="16">
        <v>43.518065585574149</v>
      </c>
      <c r="F49" s="16">
        <v>36.558027984652625</v>
      </c>
      <c r="G49" s="16">
        <v>37.66134911844064</v>
      </c>
      <c r="H49" s="16">
        <v>56.954104461463032</v>
      </c>
      <c r="I49" s="16">
        <v>42.344467753973746</v>
      </c>
      <c r="J49" s="16">
        <v>56.942870216306169</v>
      </c>
      <c r="K49" s="16">
        <v>42.078969936552319</v>
      </c>
      <c r="L49" s="16">
        <v>48.0933146802561</v>
      </c>
      <c r="M49" s="16">
        <v>56.748175468641556</v>
      </c>
      <c r="N49" s="16">
        <v>51.180094895018527</v>
      </c>
      <c r="O49" s="16">
        <v>80.80969296504523</v>
      </c>
      <c r="P49" s="123">
        <f>+SUM(D49:O49)</f>
        <v>620.37602385954278</v>
      </c>
      <c r="Q49" s="16">
        <f t="shared" ref="Q49:Q51" si="13">+AVERAGE(D49:O49)</f>
        <v>51.698001988295232</v>
      </c>
      <c r="R49" s="16">
        <f>+P49</f>
        <v>620.37602385954278</v>
      </c>
      <c r="S49" s="2">
        <f t="shared" ref="S49:S51" si="14">+(R49-P49)/P49</f>
        <v>0</v>
      </c>
    </row>
    <row r="50" spans="3:19" x14ac:dyDescent="0.2">
      <c r="C50" s="90" t="s">
        <v>327</v>
      </c>
      <c r="D50" s="16">
        <v>215.39669099336095</v>
      </c>
      <c r="E50" s="16">
        <v>62.837275475844081</v>
      </c>
      <c r="F50" s="16">
        <v>30.924698477280408</v>
      </c>
      <c r="G50" s="16">
        <v>35.044196311608509</v>
      </c>
      <c r="H50" s="16">
        <v>39.778304515781485</v>
      </c>
      <c r="I50" s="16">
        <v>15.212737185378888</v>
      </c>
      <c r="J50" s="16">
        <v>24.566011262040391</v>
      </c>
      <c r="K50" s="16">
        <v>25.528199427895473</v>
      </c>
      <c r="L50" s="16">
        <v>21.856405448008548</v>
      </c>
      <c r="M50" s="16">
        <v>45.948438861462719</v>
      </c>
      <c r="N50" s="16">
        <v>47.631578839028393</v>
      </c>
      <c r="O50" s="16">
        <v>45.240279852846697</v>
      </c>
      <c r="P50" s="123">
        <f>+SUM(D50:O50)</f>
        <v>609.96481665053659</v>
      </c>
      <c r="Q50" s="16">
        <f t="shared" si="13"/>
        <v>50.830401387544718</v>
      </c>
      <c r="R50" s="16">
        <f>+P50/P48*R48</f>
        <v>671.76532906745513</v>
      </c>
      <c r="S50" s="2">
        <f t="shared" si="14"/>
        <v>0.10131815922806828</v>
      </c>
    </row>
    <row r="51" spans="3:19" x14ac:dyDescent="0.2">
      <c r="C51" s="90" t="s">
        <v>18</v>
      </c>
      <c r="D51" s="16">
        <v>60.442668063821728</v>
      </c>
      <c r="E51" s="16">
        <v>52.032367946342077</v>
      </c>
      <c r="F51" s="16">
        <v>37.917371519694811</v>
      </c>
      <c r="G51" s="16">
        <v>6.5386727682187447</v>
      </c>
      <c r="H51" s="16">
        <v>44.088134712449673</v>
      </c>
      <c r="I51" s="16">
        <v>70.708193192152208</v>
      </c>
      <c r="J51" s="16">
        <v>37.792284764984124</v>
      </c>
      <c r="K51" s="16">
        <v>94.762767605177558</v>
      </c>
      <c r="L51" s="16">
        <v>26.905787615150903</v>
      </c>
      <c r="M51" s="16">
        <v>59.523047679679841</v>
      </c>
      <c r="N51" s="16">
        <v>35.204612518276733</v>
      </c>
      <c r="O51" s="16">
        <v>66.228705052165409</v>
      </c>
      <c r="P51" s="123">
        <f>+SUM(D51:O51)</f>
        <v>592.14461343811388</v>
      </c>
      <c r="Q51" s="16">
        <f t="shared" si="13"/>
        <v>49.345384453176159</v>
      </c>
      <c r="R51" s="16">
        <f>+P51/P48*R48</f>
        <v>652.13961566847968</v>
      </c>
      <c r="S51" s="2">
        <f t="shared" si="14"/>
        <v>0.10131815922806835</v>
      </c>
    </row>
    <row r="52" spans="3:19" ht="16" thickBot="1" x14ac:dyDescent="0.25">
      <c r="C52" s="87" t="s">
        <v>35</v>
      </c>
      <c r="D52" s="88">
        <f t="shared" ref="D52:R52" si="15">+SUM(D48:D51)</f>
        <v>688.03015980959515</v>
      </c>
      <c r="E52" s="88">
        <f t="shared" si="15"/>
        <v>472.2550401687206</v>
      </c>
      <c r="F52" s="88">
        <f t="shared" si="15"/>
        <v>437.95790203799407</v>
      </c>
      <c r="G52" s="88">
        <f t="shared" si="15"/>
        <v>351.00939659172593</v>
      </c>
      <c r="H52" s="88">
        <f t="shared" si="15"/>
        <v>522.76343490913848</v>
      </c>
      <c r="I52" s="88">
        <f t="shared" si="15"/>
        <v>394.83649042483978</v>
      </c>
      <c r="J52" s="88">
        <f t="shared" si="15"/>
        <v>526.62049050727421</v>
      </c>
      <c r="K52" s="88">
        <f t="shared" si="15"/>
        <v>538.31007578341757</v>
      </c>
      <c r="L52" s="88">
        <f t="shared" si="15"/>
        <v>383.77724292547049</v>
      </c>
      <c r="M52" s="88">
        <f t="shared" si="15"/>
        <v>519.0128893399085</v>
      </c>
      <c r="N52" s="88">
        <f t="shared" si="15"/>
        <v>452.2035372834701</v>
      </c>
      <c r="O52" s="88">
        <f t="shared" si="15"/>
        <v>681.06638060457908</v>
      </c>
      <c r="P52" s="89">
        <f t="shared" si="15"/>
        <v>5967.8430403861348</v>
      </c>
      <c r="Q52" s="17">
        <f t="shared" si="15"/>
        <v>497.32025336551118</v>
      </c>
      <c r="R52" s="17">
        <f t="shared" si="15"/>
        <v>6509.6385550334189</v>
      </c>
    </row>
    <row r="53" spans="3:19" x14ac:dyDescent="0.2">
      <c r="C53" t="s">
        <v>37</v>
      </c>
      <c r="D53" s="18">
        <f>+SUM($D$52:D52)</f>
        <v>688.03015980959515</v>
      </c>
      <c r="E53" s="18">
        <f>+SUM($D$52:E52)</f>
        <v>1160.2851999783156</v>
      </c>
      <c r="F53" s="18">
        <f>+SUM($D$52:F52)</f>
        <v>1598.2431020163096</v>
      </c>
      <c r="G53" s="18">
        <f>+SUM($D$52:G52)</f>
        <v>1949.2524986080357</v>
      </c>
      <c r="H53" s="18">
        <f>+SUM($D$52:H52)</f>
        <v>2472.0159335171743</v>
      </c>
      <c r="I53" s="18">
        <f>+SUM($D$52:I52)</f>
        <v>2866.852423942014</v>
      </c>
      <c r="J53" s="18">
        <f>+SUM($D$52:J52)</f>
        <v>3393.4729144492881</v>
      </c>
      <c r="K53" s="18">
        <f>+SUM($D$52:K52)</f>
        <v>3931.7829902327057</v>
      </c>
      <c r="L53" s="18">
        <f>+SUM($D$52:L52)</f>
        <v>4315.5602331581758</v>
      </c>
      <c r="M53" s="18">
        <f>+SUM($D$52:M52)</f>
        <v>4834.5731224980846</v>
      </c>
      <c r="N53" s="18">
        <f>+SUM($D$52:N52)</f>
        <v>5286.7766597815544</v>
      </c>
      <c r="O53" s="18">
        <f>+SUM($D$52:O52)</f>
        <v>5967.843040386133</v>
      </c>
      <c r="P53" s="16"/>
      <c r="Q53" s="16"/>
      <c r="R53">
        <v>9660</v>
      </c>
    </row>
    <row r="54" spans="3:19" x14ac:dyDescent="0.2">
      <c r="M54" s="2"/>
      <c r="Q54" s="2"/>
    </row>
    <row r="55" spans="3:19" x14ac:dyDescent="0.2">
      <c r="P55">
        <v>8275</v>
      </c>
      <c r="Q55" s="2"/>
      <c r="R55" s="16">
        <f>+R53-R52</f>
        <v>3150.3614449665811</v>
      </c>
    </row>
    <row r="56" spans="3:19" x14ac:dyDescent="0.2">
      <c r="P56" s="16">
        <f>+P55-P52</f>
        <v>2307.1569596138652</v>
      </c>
      <c r="Q56" s="2"/>
      <c r="R56">
        <f>+R55/R53</f>
        <v>0.3261243731849463</v>
      </c>
    </row>
    <row r="57" spans="3:19" x14ac:dyDescent="0.2">
      <c r="P57">
        <f>+P56/P55</f>
        <v>0.27881050871466651</v>
      </c>
      <c r="Q57" s="2"/>
    </row>
    <row r="58" spans="3:19" x14ac:dyDescent="0.2">
      <c r="Q58" s="2"/>
    </row>
    <row r="59" spans="3:19" x14ac:dyDescent="0.2">
      <c r="Q59" s="2"/>
    </row>
    <row r="60" spans="3:19" x14ac:dyDescent="0.2">
      <c r="Q60" s="2"/>
    </row>
    <row r="72" spans="3:5" x14ac:dyDescent="0.2">
      <c r="C72" t="s">
        <v>311</v>
      </c>
      <c r="D72" s="113">
        <f>+Q52</f>
        <v>497.32025336551118</v>
      </c>
      <c r="E72" t="s">
        <v>293</v>
      </c>
    </row>
    <row r="73" spans="3:5" x14ac:dyDescent="0.2">
      <c r="C73" t="s">
        <v>311</v>
      </c>
      <c r="D73" s="113">
        <f>+_xlfn.STDEV.P(D52:O52)</f>
        <v>101.97180104738473</v>
      </c>
      <c r="E73" t="s">
        <v>309</v>
      </c>
    </row>
    <row r="74" spans="3:5" x14ac:dyDescent="0.2">
      <c r="C74" t="s">
        <v>312</v>
      </c>
      <c r="D74" s="114">
        <f>+D73/D72</f>
        <v>0.20504252613343579</v>
      </c>
      <c r="E74" t="s">
        <v>310</v>
      </c>
    </row>
  </sheetData>
  <sortState xmlns:xlrd2="http://schemas.microsoft.com/office/spreadsheetml/2017/richdata2" ref="C48:P51">
    <sortCondition descending="1" ref="P48:P51"/>
  </sortState>
  <mergeCells count="2">
    <mergeCell ref="C3:P3"/>
    <mergeCell ref="C37:P37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E695-4DD0-4E2C-A895-1CD6CC28DF7C}">
  <dimension ref="B3:W16"/>
  <sheetViews>
    <sheetView zoomScale="90" zoomScaleNormal="90" workbookViewId="0">
      <selection activeCell="I8" sqref="I8"/>
    </sheetView>
  </sheetViews>
  <sheetFormatPr baseColWidth="10" defaultRowHeight="15" x14ac:dyDescent="0.2"/>
  <cols>
    <col min="2" max="2" width="18.6640625" bestFit="1" customWidth="1"/>
    <col min="3" max="13" width="7.83203125" bestFit="1" customWidth="1"/>
    <col min="14" max="14" width="6.6640625" bestFit="1" customWidth="1"/>
  </cols>
  <sheetData>
    <row r="3" spans="2:23" x14ac:dyDescent="0.2">
      <c r="B3" s="9" t="s">
        <v>38</v>
      </c>
      <c r="C3" s="10">
        <v>45292</v>
      </c>
      <c r="D3" s="10">
        <v>45323</v>
      </c>
      <c r="E3" s="10">
        <v>45352</v>
      </c>
      <c r="F3" s="10">
        <v>45383</v>
      </c>
      <c r="G3" s="10">
        <v>45413</v>
      </c>
      <c r="H3" s="10">
        <v>45444</v>
      </c>
      <c r="I3" s="10">
        <v>45474</v>
      </c>
      <c r="J3" s="10">
        <v>45505</v>
      </c>
      <c r="K3" s="10">
        <v>45536</v>
      </c>
      <c r="L3" s="10">
        <v>45566</v>
      </c>
      <c r="M3" s="10">
        <v>45597</v>
      </c>
      <c r="N3" s="10">
        <v>45627</v>
      </c>
    </row>
    <row r="4" spans="2:23" x14ac:dyDescent="0.2">
      <c r="B4" s="11" t="s">
        <v>47</v>
      </c>
      <c r="C4" s="12">
        <v>782.47265000000004</v>
      </c>
      <c r="D4" s="12">
        <v>579.08372999999995</v>
      </c>
      <c r="E4" s="12">
        <v>663.71177138443829</v>
      </c>
      <c r="F4" s="12">
        <v>492.66419999999999</v>
      </c>
      <c r="G4" s="12">
        <v>817.072</v>
      </c>
      <c r="H4" s="12">
        <v>398.01100000000002</v>
      </c>
      <c r="I4" s="12">
        <v>464.29876726273329</v>
      </c>
      <c r="J4" s="12">
        <v>672.28596268656713</v>
      </c>
      <c r="K4" s="12">
        <v>1311.681</v>
      </c>
      <c r="L4" s="12">
        <v>1003.5650899999999</v>
      </c>
      <c r="M4" s="12">
        <v>614.74</v>
      </c>
      <c r="N4" s="12">
        <v>475.262</v>
      </c>
      <c r="O4" s="17">
        <f>+SUM(C4:N4)</f>
        <v>8274.8481713337405</v>
      </c>
      <c r="P4" s="4"/>
      <c r="R4" s="4">
        <f>+AVERAGE(C4:I4)</f>
        <v>599.6163026638817</v>
      </c>
      <c r="S4" s="5">
        <f>+MEDIAN(C4:I4)</f>
        <v>579.08372999999995</v>
      </c>
    </row>
    <row r="5" spans="2:23" x14ac:dyDescent="0.2">
      <c r="B5" s="11" t="s">
        <v>48</v>
      </c>
      <c r="C5" s="12">
        <v>667.35889999999995</v>
      </c>
      <c r="D5" s="12">
        <v>532.92403000000002</v>
      </c>
      <c r="E5" s="12">
        <v>468.64003000000002</v>
      </c>
      <c r="F5" s="12">
        <v>461.52254999999997</v>
      </c>
      <c r="G5" s="12">
        <v>641.34100000000001</v>
      </c>
      <c r="H5" s="12">
        <v>189.42</v>
      </c>
      <c r="I5" s="12">
        <v>229.80635662047777</v>
      </c>
      <c r="J5" s="12">
        <v>456.18696268656714</v>
      </c>
      <c r="K5" s="12">
        <v>887.18700000000001</v>
      </c>
      <c r="L5" s="12">
        <v>334.20608999999996</v>
      </c>
      <c r="M5" s="12">
        <v>161.02699999999999</v>
      </c>
      <c r="N5" s="12">
        <v>9.9280000000000008</v>
      </c>
      <c r="O5" s="17">
        <f t="shared" ref="O5:O12" si="0">+SUM(C5:N5)</f>
        <v>5039.547919307045</v>
      </c>
      <c r="P5" s="2">
        <f t="shared" ref="P5:P12" si="1">+O5/$O$4</f>
        <v>0.60901998622347775</v>
      </c>
      <c r="R5" s="2">
        <f>+(K4-R4)/R4</f>
        <v>1.1875339182284879</v>
      </c>
    </row>
    <row r="6" spans="2:23" x14ac:dyDescent="0.2">
      <c r="B6" s="11" t="s">
        <v>49</v>
      </c>
      <c r="C6" s="12">
        <v>115.11375000000011</v>
      </c>
      <c r="D6" s="12">
        <v>46.159699999999951</v>
      </c>
      <c r="E6" s="12">
        <v>195.07174138443824</v>
      </c>
      <c r="F6" s="12">
        <v>31.141650000000023</v>
      </c>
      <c r="G6" s="12">
        <v>175.73099999999999</v>
      </c>
      <c r="H6" s="12">
        <v>208.59100000000001</v>
      </c>
      <c r="I6" s="12">
        <v>234.49241064225552</v>
      </c>
      <c r="J6" s="12">
        <v>216.09899999999993</v>
      </c>
      <c r="K6" s="12">
        <v>424.49400000000003</v>
      </c>
      <c r="L6" s="12">
        <v>669.35900000000004</v>
      </c>
      <c r="M6" s="12">
        <v>453.71300000000002</v>
      </c>
      <c r="N6" s="12">
        <v>465.334</v>
      </c>
      <c r="O6" s="17">
        <f t="shared" si="0"/>
        <v>3235.3002520266937</v>
      </c>
      <c r="P6" s="2">
        <f t="shared" si="1"/>
        <v>0.39098001377652197</v>
      </c>
    </row>
    <row r="7" spans="2:23" x14ac:dyDescent="0.2">
      <c r="B7" s="11" t="s">
        <v>50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7">
        <f t="shared" si="0"/>
        <v>0</v>
      </c>
      <c r="P7" s="2">
        <f t="shared" si="1"/>
        <v>0</v>
      </c>
      <c r="R7" s="16">
        <f>+AVERAGE(C4:N4)</f>
        <v>689.57068094447834</v>
      </c>
      <c r="U7" t="s">
        <v>2</v>
      </c>
      <c r="V7" t="s">
        <v>54</v>
      </c>
    </row>
    <row r="8" spans="2:23" x14ac:dyDescent="0.2">
      <c r="B8" s="11" t="s">
        <v>32</v>
      </c>
      <c r="C8" s="12">
        <v>427.78565000000003</v>
      </c>
      <c r="D8" s="12">
        <v>203.47573</v>
      </c>
      <c r="E8" s="12">
        <v>294.69749138443825</v>
      </c>
      <c r="F8" s="12">
        <v>239.03020000000001</v>
      </c>
      <c r="G8" s="12">
        <v>253.28800000000001</v>
      </c>
      <c r="H8" s="12">
        <v>181.51900000000001</v>
      </c>
      <c r="I8" s="12">
        <v>199.83050726273331</v>
      </c>
      <c r="J8" s="12">
        <v>191.73696268656715</v>
      </c>
      <c r="K8" s="12">
        <v>305.34300000000002</v>
      </c>
      <c r="L8" s="12">
        <v>505.28500000000003</v>
      </c>
      <c r="M8" s="12">
        <v>354.32600000000002</v>
      </c>
      <c r="N8" s="12">
        <v>214.11099999999999</v>
      </c>
      <c r="O8" s="17">
        <f t="shared" si="0"/>
        <v>3370.4285413337384</v>
      </c>
      <c r="P8" s="2">
        <f t="shared" si="1"/>
        <v>0.40731001603265582</v>
      </c>
      <c r="R8">
        <f>+_xlfn.STDEV.P(C4:N4)</f>
        <v>249.95506223614007</v>
      </c>
      <c r="U8" t="s">
        <v>32</v>
      </c>
      <c r="V8" s="4">
        <f>+_xlfn.XLOOKUP(U8,B:B,O:O,"!",0,1)</f>
        <v>3370.4285413337384</v>
      </c>
      <c r="W8" s="2">
        <f>+V8/$V$13</f>
        <v>0.40731001603265587</v>
      </c>
    </row>
    <row r="9" spans="2:23" x14ac:dyDescent="0.2">
      <c r="B9" s="11" t="s">
        <v>33</v>
      </c>
      <c r="C9" s="12">
        <v>165.529</v>
      </c>
      <c r="D9" s="12">
        <v>97.072000000000003</v>
      </c>
      <c r="E9" s="12">
        <v>127.38500000000001</v>
      </c>
      <c r="F9" s="12">
        <v>76.132999999999996</v>
      </c>
      <c r="G9" s="12">
        <v>107.922</v>
      </c>
      <c r="H9" s="12">
        <v>172.20099999999999</v>
      </c>
      <c r="I9" s="12">
        <v>189.28926000000001</v>
      </c>
      <c r="J9" s="12">
        <v>185.95699999999999</v>
      </c>
      <c r="K9" s="12">
        <v>387.97199999999998</v>
      </c>
      <c r="L9" s="12">
        <v>293.42899999999997</v>
      </c>
      <c r="M9" s="12">
        <v>155.905</v>
      </c>
      <c r="N9" s="12">
        <v>119.107</v>
      </c>
      <c r="O9" s="17">
        <f t="shared" si="0"/>
        <v>2077.9012600000001</v>
      </c>
      <c r="P9" s="2">
        <f t="shared" si="1"/>
        <v>0.25111049979121053</v>
      </c>
      <c r="R9" s="120">
        <f>+R8/R7</f>
        <v>0.36247924852864433</v>
      </c>
      <c r="U9" t="s">
        <v>33</v>
      </c>
      <c r="V9" s="4">
        <f>+_xlfn.XLOOKUP(U9,B:B,O:O,"!",0,1)</f>
        <v>2077.9012600000001</v>
      </c>
      <c r="W9" s="2">
        <f>+V9/$V$13</f>
        <v>0.25111049979121058</v>
      </c>
    </row>
    <row r="10" spans="2:23" x14ac:dyDescent="0.2">
      <c r="B10" s="11" t="s">
        <v>3</v>
      </c>
      <c r="C10" s="12">
        <v>189.15799999999999</v>
      </c>
      <c r="D10" s="12">
        <v>225.732</v>
      </c>
      <c r="E10" s="12">
        <v>78.646280000000004</v>
      </c>
      <c r="F10" s="12">
        <v>74.596000000000004</v>
      </c>
      <c r="G10" s="12">
        <v>267.262</v>
      </c>
      <c r="H10" s="12">
        <v>0</v>
      </c>
      <c r="I10" s="12">
        <v>23.44</v>
      </c>
      <c r="J10" s="12">
        <v>144.77099999999999</v>
      </c>
      <c r="K10" s="12">
        <v>0</v>
      </c>
      <c r="L10" s="12">
        <v>128.80108999999999</v>
      </c>
      <c r="M10" s="12">
        <v>58.584000000000003</v>
      </c>
      <c r="N10" s="12">
        <v>19.954000000000001</v>
      </c>
      <c r="O10" s="17">
        <f t="shared" si="0"/>
        <v>1210.9443699999999</v>
      </c>
      <c r="P10" s="2">
        <f t="shared" si="1"/>
        <v>0.14634037325240976</v>
      </c>
      <c r="U10" t="s">
        <v>51</v>
      </c>
      <c r="V10" s="4">
        <f>+_xlfn.XLOOKUP(U10,B:B,O:O,"!",0,1)</f>
        <v>1463.4739999999999</v>
      </c>
      <c r="W10" s="2">
        <f>+V10/$V$13</f>
        <v>0.17685810901882898</v>
      </c>
    </row>
    <row r="11" spans="2:23" x14ac:dyDescent="0.2">
      <c r="B11" s="11" t="s">
        <v>46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76.05</v>
      </c>
      <c r="M11" s="12">
        <v>0</v>
      </c>
      <c r="N11" s="12">
        <v>76.05</v>
      </c>
      <c r="O11" s="17">
        <f t="shared" si="0"/>
        <v>152.1</v>
      </c>
      <c r="P11" s="2">
        <f t="shared" si="1"/>
        <v>1.8381001904894709E-2</v>
      </c>
      <c r="U11" t="s">
        <v>3</v>
      </c>
      <c r="V11" s="4">
        <f>+_xlfn.XLOOKUP(U11,B:B,O:O,"!",0,1)</f>
        <v>1210.9443699999999</v>
      </c>
      <c r="W11" s="2">
        <f>+V11/$V$13</f>
        <v>0.14634037325240978</v>
      </c>
    </row>
    <row r="12" spans="2:23" x14ac:dyDescent="0.2">
      <c r="B12" s="11" t="s">
        <v>51</v>
      </c>
      <c r="C12" s="12">
        <v>0</v>
      </c>
      <c r="D12" s="12">
        <v>52.804000000000002</v>
      </c>
      <c r="E12" s="12">
        <v>162.983</v>
      </c>
      <c r="F12" s="12">
        <v>102.905</v>
      </c>
      <c r="G12" s="12">
        <v>188.6</v>
      </c>
      <c r="H12" s="12">
        <v>44.290999999999997</v>
      </c>
      <c r="I12" s="12">
        <v>51.738999999999997</v>
      </c>
      <c r="J12" s="12">
        <v>149.821</v>
      </c>
      <c r="K12" s="12">
        <v>618.36599999999999</v>
      </c>
      <c r="L12" s="12">
        <v>0</v>
      </c>
      <c r="M12" s="12">
        <v>45.924999999999997</v>
      </c>
      <c r="N12" s="12">
        <v>46.04</v>
      </c>
      <c r="O12" s="17">
        <f t="shared" si="0"/>
        <v>1463.4739999999999</v>
      </c>
      <c r="P12" s="2">
        <f t="shared" si="1"/>
        <v>0.17685810901882892</v>
      </c>
      <c r="U12" t="s">
        <v>46</v>
      </c>
      <c r="V12" s="4">
        <f>+_xlfn.XLOOKUP(U12,B:B,O:O,"!",0,1)</f>
        <v>152.1</v>
      </c>
      <c r="W12" s="2">
        <f>+V12/$V$13</f>
        <v>1.8381001904894716E-2</v>
      </c>
    </row>
    <row r="13" spans="2:23" x14ac:dyDescent="0.2">
      <c r="B13" s="11" t="s">
        <v>52</v>
      </c>
      <c r="C13" s="12">
        <v>10</v>
      </c>
      <c r="D13" s="12">
        <v>14</v>
      </c>
      <c r="E13" s="12">
        <v>14</v>
      </c>
      <c r="F13" s="12">
        <v>13</v>
      </c>
      <c r="G13" s="12">
        <v>14</v>
      </c>
      <c r="H13" s="12">
        <v>8</v>
      </c>
      <c r="I13" s="12">
        <v>13</v>
      </c>
      <c r="J13" s="12">
        <v>14</v>
      </c>
      <c r="K13" s="12">
        <v>13</v>
      </c>
      <c r="L13" s="12">
        <v>22</v>
      </c>
      <c r="M13" s="12">
        <v>15</v>
      </c>
      <c r="N13" s="12">
        <v>14</v>
      </c>
      <c r="O13" s="17">
        <f>+AVERAGE(C13:N13)</f>
        <v>13.666666666666666</v>
      </c>
      <c r="V13" s="4">
        <f>+SUM(V8:V12)</f>
        <v>8274.8481713337387</v>
      </c>
    </row>
    <row r="14" spans="2:23" x14ac:dyDescent="0.2">
      <c r="B14" s="11" t="s">
        <v>37</v>
      </c>
      <c r="C14" s="13">
        <v>782.47265000000004</v>
      </c>
      <c r="D14" s="13">
        <v>1361.55638</v>
      </c>
      <c r="E14" s="13">
        <v>2025.2681513844382</v>
      </c>
      <c r="F14" s="13">
        <v>2517.9323513844383</v>
      </c>
      <c r="G14" s="13">
        <v>3335.0043513844385</v>
      </c>
      <c r="H14" s="13">
        <v>3733.0153513844384</v>
      </c>
      <c r="I14" s="13">
        <v>4197.3141186471721</v>
      </c>
      <c r="J14" s="13">
        <v>4869.6000813337396</v>
      </c>
      <c r="K14" s="13">
        <v>6181.2810813337401</v>
      </c>
      <c r="L14" s="13">
        <v>7184.8461713337401</v>
      </c>
      <c r="M14" s="13">
        <v>7799.5861713337399</v>
      </c>
      <c r="N14" s="13">
        <v>8274.8481713337405</v>
      </c>
    </row>
    <row r="15" spans="2:23" x14ac:dyDescent="0.2">
      <c r="C15" s="14">
        <f t="shared" ref="C15:N15" si="2">+C14/$N$14</f>
        <v>9.4560363380526063E-2</v>
      </c>
      <c r="D15" s="14">
        <f t="shared" si="2"/>
        <v>0.16454155433531589</v>
      </c>
      <c r="E15" s="14">
        <f t="shared" si="2"/>
        <v>0.24474988657804042</v>
      </c>
      <c r="F15" s="14">
        <f t="shared" si="2"/>
        <v>0.30428743818010112</v>
      </c>
      <c r="G15" s="14">
        <f t="shared" si="2"/>
        <v>0.40302906861031895</v>
      </c>
      <c r="H15" s="14">
        <f t="shared" si="2"/>
        <v>0.45112795716501353</v>
      </c>
      <c r="I15" s="14">
        <f t="shared" si="2"/>
        <v>0.50723759901574705</v>
      </c>
      <c r="J15" s="14">
        <f t="shared" si="2"/>
        <v>0.58848210631867792</v>
      </c>
      <c r="K15" s="14">
        <f t="shared" si="2"/>
        <v>0.74699631381121046</v>
      </c>
      <c r="L15" s="14">
        <f t="shared" si="2"/>
        <v>0.86827528705891488</v>
      </c>
      <c r="M15" s="14">
        <f t="shared" si="2"/>
        <v>0.94256547187821116</v>
      </c>
      <c r="N15" s="14">
        <f t="shared" si="2"/>
        <v>1</v>
      </c>
    </row>
    <row r="16" spans="2:23" x14ac:dyDescent="0.2">
      <c r="D16" s="2">
        <f>+(D14-C14)/C14</f>
        <v>0.74006897237877889</v>
      </c>
      <c r="E16" s="2">
        <f>+(E14-D14)/D14</f>
        <v>0.48746550721934717</v>
      </c>
      <c r="F16" s="2">
        <f t="shared" ref="F16:N16" si="3">+(F14-E14)/E14</f>
        <v>0.24325875053297188</v>
      </c>
      <c r="G16" s="2">
        <f t="shared" si="3"/>
        <v>0.32450117238088161</v>
      </c>
      <c r="H16" s="2">
        <f t="shared" si="3"/>
        <v>0.11934347247096583</v>
      </c>
      <c r="I16" s="2">
        <f t="shared" si="3"/>
        <v>0.12437633482823539</v>
      </c>
      <c r="J16" s="2">
        <f t="shared" si="3"/>
        <v>0.16017051468696145</v>
      </c>
      <c r="K16" s="2">
        <f t="shared" si="3"/>
        <v>0.2693611339929054</v>
      </c>
      <c r="L16" s="2">
        <f t="shared" si="3"/>
        <v>0.16235551769851889</v>
      </c>
      <c r="M16" s="2">
        <f t="shared" si="3"/>
        <v>8.5560634889123049E-2</v>
      </c>
      <c r="N16" s="2">
        <f t="shared" si="3"/>
        <v>6.0934258505503526E-2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9A0E-6CBB-4F93-A90C-67539294A53F}">
  <sheetPr>
    <tabColor theme="5"/>
  </sheetPr>
  <dimension ref="A2:AE39"/>
  <sheetViews>
    <sheetView zoomScale="80" zoomScaleNormal="80" workbookViewId="0">
      <selection activeCell="E21" sqref="E21"/>
    </sheetView>
  </sheetViews>
  <sheetFormatPr baseColWidth="10" defaultRowHeight="15" x14ac:dyDescent="0.2"/>
  <cols>
    <col min="1" max="1" width="17.5" customWidth="1"/>
    <col min="2" max="2" width="20" bestFit="1" customWidth="1"/>
    <col min="3" max="3" width="16.5" bestFit="1" customWidth="1"/>
    <col min="4" max="4" width="32.1640625" bestFit="1" customWidth="1"/>
    <col min="5" max="5" width="17.83203125" bestFit="1" customWidth="1"/>
    <col min="6" max="17" width="8.5" bestFit="1" customWidth="1"/>
    <col min="18" max="18" width="8.83203125" customWidth="1"/>
    <col min="19" max="19" width="8.83203125" bestFit="1" customWidth="1"/>
    <col min="20" max="20" width="6.33203125" bestFit="1" customWidth="1"/>
    <col min="21" max="21" width="13" bestFit="1" customWidth="1"/>
    <col min="22" max="31" width="7.83203125" bestFit="1" customWidth="1"/>
  </cols>
  <sheetData>
    <row r="2" spans="1:20" x14ac:dyDescent="0.2">
      <c r="A2" s="3" t="s">
        <v>0</v>
      </c>
      <c r="B2" t="s">
        <v>1</v>
      </c>
    </row>
    <row r="3" spans="1:20" x14ac:dyDescent="0.2">
      <c r="A3" s="3" t="s">
        <v>2</v>
      </c>
      <c r="B3" t="s">
        <v>31</v>
      </c>
    </row>
    <row r="5" spans="1:20" x14ac:dyDescent="0.2">
      <c r="A5" s="3" t="s">
        <v>4</v>
      </c>
      <c r="E5" s="3" t="s">
        <v>5</v>
      </c>
    </row>
    <row r="6" spans="1:20" x14ac:dyDescent="0.2">
      <c r="A6" s="3" t="s">
        <v>6</v>
      </c>
      <c r="B6" s="3" t="s">
        <v>7</v>
      </c>
      <c r="C6" s="3" t="s">
        <v>8</v>
      </c>
      <c r="D6" s="3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R6" s="1"/>
      <c r="S6" s="1"/>
      <c r="T6" s="1"/>
    </row>
    <row r="7" spans="1:20" x14ac:dyDescent="0.2">
      <c r="A7" t="s">
        <v>297</v>
      </c>
      <c r="B7" t="s">
        <v>17</v>
      </c>
      <c r="E7" s="15">
        <v>302229.93097764091</v>
      </c>
      <c r="F7" s="15">
        <v>278427.94484608859</v>
      </c>
      <c r="G7" s="15">
        <v>288746.19124692021</v>
      </c>
      <c r="H7" s="15">
        <v>271765.17839345802</v>
      </c>
      <c r="I7" s="15">
        <v>312956.31121944432</v>
      </c>
      <c r="J7" s="15">
        <v>232896.53622149269</v>
      </c>
      <c r="K7" s="15">
        <v>335584.67466285132</v>
      </c>
      <c r="L7" s="15">
        <v>306031.45969073544</v>
      </c>
      <c r="M7" s="15">
        <v>271556.12803032913</v>
      </c>
      <c r="N7" s="15">
        <v>268591.10575103341</v>
      </c>
      <c r="O7" s="15">
        <v>274838.80424042814</v>
      </c>
      <c r="P7" s="1">
        <v>312370.56804421166</v>
      </c>
      <c r="R7" s="1"/>
      <c r="S7" s="1"/>
      <c r="T7" s="1"/>
    </row>
    <row r="8" spans="1:20" x14ac:dyDescent="0.2">
      <c r="A8" t="s">
        <v>297</v>
      </c>
      <c r="B8" t="s">
        <v>19</v>
      </c>
      <c r="E8" s="15">
        <v>35918.379705086467</v>
      </c>
      <c r="F8" s="15">
        <v>22497.787371553619</v>
      </c>
      <c r="G8" s="15">
        <v>23276.092375009834</v>
      </c>
      <c r="H8" s="15">
        <v>28010.340216924149</v>
      </c>
      <c r="I8" s="15">
        <v>36031.92139626095</v>
      </c>
      <c r="J8" s="15">
        <v>31987.272423980648</v>
      </c>
      <c r="K8" s="15">
        <v>32369.189769188109</v>
      </c>
      <c r="L8" s="15">
        <v>31539.815707065274</v>
      </c>
      <c r="M8" s="15">
        <v>29697.572030101164</v>
      </c>
      <c r="N8" s="15">
        <v>39183.383472012509</v>
      </c>
      <c r="O8" s="1">
        <v>28484.810621655</v>
      </c>
      <c r="P8" s="1">
        <v>31457.658777162109</v>
      </c>
      <c r="R8" s="1"/>
      <c r="S8" s="1"/>
      <c r="T8" s="1"/>
    </row>
    <row r="9" spans="1:20" x14ac:dyDescent="0.2">
      <c r="A9" t="s">
        <v>297</v>
      </c>
      <c r="B9" t="s">
        <v>18</v>
      </c>
      <c r="E9" s="15">
        <v>4375.7068997321612</v>
      </c>
      <c r="F9" s="15">
        <v>3900.0390193473386</v>
      </c>
      <c r="G9" s="15">
        <v>7037.4952247449955</v>
      </c>
      <c r="H9" s="15">
        <v>2996.3265306122448</v>
      </c>
      <c r="I9" s="15">
        <v>7545.7183540332062</v>
      </c>
      <c r="J9" s="15">
        <v>4977.1768296475466</v>
      </c>
      <c r="K9" s="15">
        <v>15134.918383890097</v>
      </c>
      <c r="L9" s="15">
        <v>4103.9085966232924</v>
      </c>
      <c r="M9" s="15">
        <v>3849.2950086913334</v>
      </c>
      <c r="N9" s="15">
        <v>4361.7376982469668</v>
      </c>
      <c r="O9" s="1">
        <v>3517.1533552902429</v>
      </c>
      <c r="P9" s="1">
        <v>3746.671384830538</v>
      </c>
      <c r="R9" s="1"/>
      <c r="S9" s="1"/>
      <c r="T9" s="1"/>
    </row>
    <row r="10" spans="1:20" x14ac:dyDescent="0.2">
      <c r="A10" t="s">
        <v>297</v>
      </c>
      <c r="B10" t="s">
        <v>22</v>
      </c>
      <c r="E10" s="15">
        <v>4574.0404630006933</v>
      </c>
      <c r="F10" s="15">
        <v>4427.5118325998501</v>
      </c>
      <c r="G10" s="15">
        <v>5067.7414689078751</v>
      </c>
      <c r="H10" s="15">
        <v>2404.6586956068909</v>
      </c>
      <c r="I10" s="15">
        <v>5844.4872968143982</v>
      </c>
      <c r="J10" s="15">
        <v>3856.6462940566685</v>
      </c>
      <c r="K10" s="15">
        <v>4005.1474038994838</v>
      </c>
      <c r="L10" s="15">
        <v>4380.348424561781</v>
      </c>
      <c r="M10" s="15">
        <v>4268.149771650058</v>
      </c>
      <c r="N10" s="15">
        <v>3748.51950610938</v>
      </c>
      <c r="O10" s="1">
        <v>1681.9514203375875</v>
      </c>
      <c r="P10" s="1">
        <v>3497.8842425333996</v>
      </c>
      <c r="R10" s="1"/>
      <c r="S10" s="1"/>
      <c r="T10" s="1"/>
    </row>
    <row r="11" spans="1:20" x14ac:dyDescent="0.2">
      <c r="A11" t="s">
        <v>297</v>
      </c>
      <c r="B11" t="s">
        <v>20</v>
      </c>
      <c r="E11" s="15">
        <v>1010.5019896990377</v>
      </c>
      <c r="F11" s="15">
        <v>719.11980736003238</v>
      </c>
      <c r="G11" s="15">
        <v>472.2815710997067</v>
      </c>
      <c r="H11" s="15">
        <v>364.44023454912826</v>
      </c>
      <c r="I11" s="15">
        <v>813.85955593323752</v>
      </c>
      <c r="J11" s="15">
        <v>1642.0746026261231</v>
      </c>
      <c r="K11" s="15">
        <v>2169.200136524596</v>
      </c>
      <c r="L11" s="15">
        <v>1194.0143993977847</v>
      </c>
      <c r="M11" s="15">
        <v>1128.0278554539468</v>
      </c>
      <c r="N11" s="15">
        <v>864.12443644852806</v>
      </c>
      <c r="O11" s="1">
        <v>1479.8836969946481</v>
      </c>
      <c r="P11" s="1">
        <v>779.89358704058827</v>
      </c>
      <c r="R11" s="1"/>
      <c r="S11" s="1"/>
      <c r="T11" s="1"/>
    </row>
    <row r="12" spans="1:20" x14ac:dyDescent="0.2">
      <c r="A12" t="s">
        <v>297</v>
      </c>
      <c r="B12" t="s">
        <v>29</v>
      </c>
      <c r="E12" s="15">
        <v>917.41098470247471</v>
      </c>
      <c r="F12" s="15">
        <v>864.61014697334542</v>
      </c>
      <c r="G12" s="15">
        <v>1721.1988470240617</v>
      </c>
      <c r="H12" s="15">
        <v>0</v>
      </c>
      <c r="I12" s="15">
        <v>1815.0520765241645</v>
      </c>
      <c r="J12" s="15">
        <v>899.49032480995163</v>
      </c>
      <c r="K12" s="15">
        <v>888.47647083919969</v>
      </c>
      <c r="L12" s="15">
        <v>895.79524680073132</v>
      </c>
      <c r="M12" s="15">
        <v>1130.6291229850681</v>
      </c>
      <c r="N12" s="15">
        <v>892.04442017112694</v>
      </c>
      <c r="O12" s="1">
        <v>2363.8328530259364</v>
      </c>
      <c r="P12" s="1">
        <v>882.53679002404988</v>
      </c>
      <c r="R12" s="1"/>
      <c r="S12" s="1"/>
      <c r="T12" s="1"/>
    </row>
    <row r="13" spans="1:20" x14ac:dyDescent="0.2">
      <c r="A13" t="s">
        <v>297</v>
      </c>
      <c r="B13" t="s">
        <v>30</v>
      </c>
      <c r="C13" t="s">
        <v>313</v>
      </c>
      <c r="E13" s="15">
        <v>1186.4580006387735</v>
      </c>
      <c r="F13" s="15">
        <v>2675.093415261978</v>
      </c>
      <c r="G13" s="15">
        <v>2662.6842850206112</v>
      </c>
      <c r="H13" s="15">
        <v>2684.2877080425774</v>
      </c>
      <c r="I13" s="15">
        <v>2807.874667712555</v>
      </c>
      <c r="J13" s="15">
        <v>0</v>
      </c>
      <c r="K13" s="15">
        <v>2748.9355347924402</v>
      </c>
      <c r="L13" s="15">
        <v>5543.1594795139263</v>
      </c>
      <c r="M13" s="15">
        <v>2782.6216516772652</v>
      </c>
      <c r="N13" s="15">
        <v>2759.9747271928982</v>
      </c>
      <c r="O13" s="1">
        <v>2652.6265953067104</v>
      </c>
      <c r="P13" s="1">
        <v>2730.5582336550583</v>
      </c>
      <c r="R13" s="1"/>
      <c r="S13" s="1"/>
      <c r="T13" s="1"/>
    </row>
    <row r="14" spans="1:20" x14ac:dyDescent="0.2">
      <c r="A14" t="s">
        <v>298</v>
      </c>
      <c r="E14" s="15">
        <v>350212.42902050051</v>
      </c>
      <c r="F14" s="15">
        <v>313512.1064391848</v>
      </c>
      <c r="G14" s="15">
        <v>328983.68501872726</v>
      </c>
      <c r="H14" s="15">
        <v>308225.23177919298</v>
      </c>
      <c r="I14" s="15">
        <v>367815.22456672281</v>
      </c>
      <c r="J14" s="15">
        <v>276259.19669661368</v>
      </c>
      <c r="K14" s="15">
        <v>392900.54236198519</v>
      </c>
      <c r="L14" s="15">
        <v>353688.5015446982</v>
      </c>
      <c r="M14" s="15">
        <v>314412.42347088794</v>
      </c>
      <c r="N14" s="15">
        <v>320400.89001121477</v>
      </c>
      <c r="O14" s="1">
        <v>315019.06278303824</v>
      </c>
      <c r="P14" s="1">
        <v>355465.77105945745</v>
      </c>
      <c r="R14" s="1"/>
      <c r="S14" s="1"/>
      <c r="T14" s="1"/>
    </row>
    <row r="15" spans="1:20" x14ac:dyDescent="0.2">
      <c r="A15" t="s">
        <v>299</v>
      </c>
      <c r="B15" t="s">
        <v>18</v>
      </c>
      <c r="E15" s="15">
        <v>58575.039162308691</v>
      </c>
      <c r="F15" s="15">
        <v>39286.559697655539</v>
      </c>
      <c r="G15" s="15">
        <v>18316.290303207261</v>
      </c>
      <c r="H15" s="15">
        <v>0</v>
      </c>
      <c r="I15" s="15">
        <v>38476.158532147652</v>
      </c>
      <c r="J15" s="15">
        <v>25502.568119181589</v>
      </c>
      <c r="K15" s="15">
        <v>208.13136225948205</v>
      </c>
      <c r="L15" s="15">
        <v>8434.9704447042495</v>
      </c>
      <c r="M15" s="15">
        <v>284.10676844344152</v>
      </c>
      <c r="N15" s="15">
        <v>34449.164590380431</v>
      </c>
      <c r="O15" s="1">
        <v>39900.403122986419</v>
      </c>
      <c r="P15" s="1">
        <v>1442</v>
      </c>
      <c r="R15" s="1"/>
      <c r="S15" s="1"/>
      <c r="T15" s="1"/>
    </row>
    <row r="16" spans="1:20" x14ac:dyDescent="0.2">
      <c r="A16" t="s">
        <v>299</v>
      </c>
      <c r="B16" t="s">
        <v>21</v>
      </c>
      <c r="E16" s="15">
        <v>70940.379610568387</v>
      </c>
      <c r="F16" s="15">
        <v>15541.722628913061</v>
      </c>
      <c r="G16" s="15">
        <v>6425.169713305715</v>
      </c>
      <c r="H16" s="15">
        <v>19654.064265627931</v>
      </c>
      <c r="I16" s="15">
        <v>11217.310658473874</v>
      </c>
      <c r="J16" s="15">
        <v>6643.9180250471682</v>
      </c>
      <c r="K16" s="15">
        <v>10766.462434404199</v>
      </c>
      <c r="L16" s="15">
        <v>12765.451293687494</v>
      </c>
      <c r="M16" s="15">
        <v>12095.977046242213</v>
      </c>
      <c r="N16" s="15">
        <v>8598.2621459397524</v>
      </c>
      <c r="O16" s="1">
        <v>1440.6731165088513</v>
      </c>
      <c r="P16" s="1">
        <v>8082</v>
      </c>
      <c r="R16" s="1"/>
      <c r="S16" s="1"/>
      <c r="T16" s="1"/>
    </row>
    <row r="17" spans="1:31" x14ac:dyDescent="0.2">
      <c r="A17" t="s">
        <v>299</v>
      </c>
      <c r="B17" t="s">
        <v>19</v>
      </c>
      <c r="E17" s="15">
        <v>10816.410578861894</v>
      </c>
      <c r="F17" s="15">
        <v>13200.409497017654</v>
      </c>
      <c r="G17" s="15">
        <v>1814.9526465940344</v>
      </c>
      <c r="H17" s="15">
        <v>6654.6823709042428</v>
      </c>
      <c r="I17" s="15">
        <v>10477.886179021223</v>
      </c>
      <c r="J17" s="15">
        <v>4725.0585003455417</v>
      </c>
      <c r="K17" s="15">
        <v>9230.6307009684715</v>
      </c>
      <c r="L17" s="15">
        <v>5569.5697537369615</v>
      </c>
      <c r="M17" s="15">
        <v>14262.340873020157</v>
      </c>
      <c r="N17" s="15">
        <v>8426.0827684432588</v>
      </c>
      <c r="O17" s="1">
        <v>14101.602305475502</v>
      </c>
      <c r="P17" s="1">
        <v>4858.7339676014708</v>
      </c>
      <c r="R17" s="1"/>
      <c r="S17" s="1"/>
      <c r="T17" s="1"/>
    </row>
    <row r="18" spans="1:31" x14ac:dyDescent="0.2">
      <c r="A18" t="s">
        <v>299</v>
      </c>
      <c r="B18" t="s">
        <v>22</v>
      </c>
      <c r="E18" s="15">
        <v>124824.1296389112</v>
      </c>
      <c r="F18" s="15">
        <v>36004.252104588006</v>
      </c>
      <c r="G18" s="15">
        <v>14575.622591922438</v>
      </c>
      <c r="H18" s="15">
        <v>9936.7454077819857</v>
      </c>
      <c r="I18" s="15">
        <v>12607.318639196312</v>
      </c>
      <c r="J18" s="15">
        <v>2170.6079388389771</v>
      </c>
      <c r="K18" s="15">
        <v>1077.6459307549253</v>
      </c>
      <c r="L18" s="15">
        <v>546.83890740939887</v>
      </c>
      <c r="M18" s="15">
        <v>451</v>
      </c>
      <c r="N18" s="15">
        <v>25761.819694287387</v>
      </c>
      <c r="O18" s="1">
        <v>27886.439481268015</v>
      </c>
      <c r="P18" s="1">
        <v>452</v>
      </c>
      <c r="R18" s="1"/>
      <c r="S18" s="1"/>
      <c r="T18" s="1"/>
    </row>
    <row r="19" spans="1:31" x14ac:dyDescent="0.2">
      <c r="A19" t="s">
        <v>299</v>
      </c>
      <c r="B19" t="s">
        <v>17</v>
      </c>
      <c r="E19" s="15">
        <v>275.33342878225528</v>
      </c>
      <c r="F19" s="15">
        <v>72.656314871709696</v>
      </c>
      <c r="G19" s="15">
        <v>118.81024454247725</v>
      </c>
      <c r="H19" s="15">
        <v>0</v>
      </c>
      <c r="I19" s="15">
        <v>0</v>
      </c>
      <c r="J19" s="15">
        <v>314.94795266067723</v>
      </c>
      <c r="K19" s="15">
        <v>266.6496010921968</v>
      </c>
      <c r="L19" s="15">
        <v>376.38455747929885</v>
      </c>
      <c r="M19" s="15">
        <v>465.60715172585049</v>
      </c>
      <c r="N19" s="15">
        <v>461.81771452436794</v>
      </c>
      <c r="O19" s="1">
        <v>1024.5722803296067</v>
      </c>
      <c r="P19" s="1">
        <v>456.89554705626836</v>
      </c>
      <c r="R19" s="1"/>
      <c r="S19" s="1"/>
      <c r="T19" s="1"/>
    </row>
    <row r="20" spans="1:31" x14ac:dyDescent="0.2">
      <c r="A20" t="s">
        <v>299</v>
      </c>
      <c r="B20" t="s">
        <v>30</v>
      </c>
      <c r="C20" t="s">
        <v>314</v>
      </c>
      <c r="D20" t="s">
        <v>315</v>
      </c>
      <c r="E20" s="15">
        <v>1040.5874514036498</v>
      </c>
      <c r="F20" s="15">
        <v>519.32450386116409</v>
      </c>
      <c r="G20" s="15">
        <v>0</v>
      </c>
      <c r="H20" s="15">
        <v>0</v>
      </c>
      <c r="I20" s="15">
        <v>4112.9766418268182</v>
      </c>
      <c r="J20" s="15">
        <v>0</v>
      </c>
      <c r="K20" s="15">
        <v>2910.1433508255473</v>
      </c>
      <c r="L20" s="15">
        <v>202.59167652435747</v>
      </c>
      <c r="M20" s="15">
        <v>0</v>
      </c>
      <c r="N20" s="15">
        <v>0</v>
      </c>
      <c r="O20" s="1">
        <v>10693.744339234252</v>
      </c>
      <c r="P20" s="1">
        <v>530.09206776356916</v>
      </c>
    </row>
    <row r="21" spans="1:31" x14ac:dyDescent="0.2">
      <c r="A21" t="s">
        <v>299</v>
      </c>
      <c r="B21" t="s">
        <v>30</v>
      </c>
      <c r="C21" t="s">
        <v>314</v>
      </c>
      <c r="D21" t="s">
        <v>316</v>
      </c>
      <c r="E21" s="15">
        <v>10674.305884426039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">
        <v>0</v>
      </c>
      <c r="P21" s="1">
        <v>0</v>
      </c>
    </row>
    <row r="22" spans="1:31" x14ac:dyDescent="0.2">
      <c r="A22" t="s">
        <v>299</v>
      </c>
      <c r="B22" t="s">
        <v>30</v>
      </c>
      <c r="C22" t="s">
        <v>313</v>
      </c>
      <c r="E22" s="15">
        <v>0</v>
      </c>
      <c r="F22" s="15">
        <v>2085.6410362866395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">
        <v>0</v>
      </c>
      <c r="P22" s="1">
        <v>0</v>
      </c>
    </row>
    <row r="23" spans="1:31" x14ac:dyDescent="0.2">
      <c r="A23" t="s">
        <v>299</v>
      </c>
      <c r="B23" t="s">
        <v>29</v>
      </c>
      <c r="E23" s="15">
        <v>228.87697001068292</v>
      </c>
      <c r="F23" s="15">
        <v>0</v>
      </c>
      <c r="G23" s="15">
        <v>0</v>
      </c>
      <c r="H23" s="15">
        <v>0</v>
      </c>
      <c r="I23" s="15">
        <v>559.42497930012632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">
        <v>0</v>
      </c>
      <c r="P23" s="1">
        <v>0</v>
      </c>
    </row>
    <row r="24" spans="1:31" x14ac:dyDescent="0.2">
      <c r="A24" t="s">
        <v>300</v>
      </c>
      <c r="E24" s="15">
        <v>277375.06272527284</v>
      </c>
      <c r="F24" s="15">
        <v>106710.56578319377</v>
      </c>
      <c r="G24" s="15">
        <v>41250.845499571922</v>
      </c>
      <c r="H24" s="15">
        <v>36245.49204431416</v>
      </c>
      <c r="I24" s="15">
        <v>77451.075629966013</v>
      </c>
      <c r="J24" s="15">
        <v>39357.100536073951</v>
      </c>
      <c r="K24" s="15">
        <v>24459.663380304824</v>
      </c>
      <c r="L24" s="15">
        <v>27895.806633541761</v>
      </c>
      <c r="M24" s="15">
        <v>27559.03183943166</v>
      </c>
      <c r="N24" s="15">
        <v>77697.146913575198</v>
      </c>
      <c r="O24" s="1">
        <v>95047.434645802656</v>
      </c>
      <c r="P24" s="1">
        <v>15821.721582421309</v>
      </c>
    </row>
    <row r="25" spans="1:31" x14ac:dyDescent="0.2">
      <c r="A25" t="s">
        <v>301</v>
      </c>
      <c r="B25" t="s">
        <v>18</v>
      </c>
      <c r="E25" s="15">
        <v>60442.668063821737</v>
      </c>
      <c r="F25" s="15">
        <v>52032.36794634207</v>
      </c>
      <c r="G25" s="15">
        <v>37917.371519694803</v>
      </c>
      <c r="H25" s="15">
        <v>6538.6727682187447</v>
      </c>
      <c r="I25" s="15">
        <v>44088.134712449668</v>
      </c>
      <c r="J25" s="15">
        <v>70708.19319215219</v>
      </c>
      <c r="K25" s="15">
        <v>37792.284764984128</v>
      </c>
      <c r="L25" s="15">
        <v>94762.767605177549</v>
      </c>
      <c r="M25" s="15">
        <v>26905.787615150897</v>
      </c>
      <c r="N25" s="15">
        <v>59523.047679679832</v>
      </c>
      <c r="O25" s="1">
        <v>35204.612518276728</v>
      </c>
      <c r="P25" s="1">
        <v>0</v>
      </c>
    </row>
    <row r="26" spans="1:31" x14ac:dyDescent="0.2">
      <c r="A26" t="s">
        <v>302</v>
      </c>
      <c r="E26" s="15">
        <v>60442.668063821737</v>
      </c>
      <c r="F26" s="15">
        <v>52032.36794634207</v>
      </c>
      <c r="G26" s="15">
        <v>37917.371519694803</v>
      </c>
      <c r="H26" s="15">
        <v>6538.6727682187447</v>
      </c>
      <c r="I26" s="15">
        <v>44088.134712449668</v>
      </c>
      <c r="J26" s="15">
        <v>70708.19319215219</v>
      </c>
      <c r="K26" s="15">
        <v>37792.284764984128</v>
      </c>
      <c r="L26" s="15">
        <v>94762.767605177549</v>
      </c>
      <c r="M26" s="15">
        <v>26905.787615150897</v>
      </c>
      <c r="N26" s="15">
        <v>59523.047679679832</v>
      </c>
      <c r="O26" s="1">
        <v>35204.612518276728</v>
      </c>
      <c r="P26" s="1">
        <v>0</v>
      </c>
    </row>
    <row r="27" spans="1:31" x14ac:dyDescent="0.2">
      <c r="A27" t="s">
        <v>23</v>
      </c>
      <c r="E27" s="15">
        <v>688030.15980959509</v>
      </c>
      <c r="F27" s="15">
        <v>472255.04016872076</v>
      </c>
      <c r="G27" s="15">
        <v>408151.902037994</v>
      </c>
      <c r="H27" s="15">
        <v>351009.39659172588</v>
      </c>
      <c r="I27" s="15">
        <v>489354.43490913848</v>
      </c>
      <c r="J27" s="15">
        <v>386324.4904248399</v>
      </c>
      <c r="K27" s="15">
        <v>455152.49050727417</v>
      </c>
      <c r="L27" s="15">
        <v>476347.0757834175</v>
      </c>
      <c r="M27" s="15">
        <v>368877.24292547052</v>
      </c>
      <c r="N27" s="15">
        <v>457621.08460446977</v>
      </c>
      <c r="O27" s="1">
        <v>445271.10994711763</v>
      </c>
      <c r="P27" s="1">
        <v>371287.49264187878</v>
      </c>
    </row>
    <row r="29" spans="1:31" x14ac:dyDescent="0.2">
      <c r="D29" t="s">
        <v>303</v>
      </c>
      <c r="E29" s="16">
        <v>300430.87495399651</v>
      </c>
      <c r="F29" s="16">
        <v>321466.29700247577</v>
      </c>
      <c r="G29" s="16">
        <v>291430.22708827531</v>
      </c>
      <c r="H29" s="16">
        <v>301846.09919111896</v>
      </c>
      <c r="I29" s="16">
        <v>343761.08426628698</v>
      </c>
      <c r="J29" s="16">
        <v>307715.8082685367</v>
      </c>
      <c r="K29" s="16">
        <v>412320.75452906312</v>
      </c>
      <c r="L29" s="16">
        <v>318179.89388448087</v>
      </c>
      <c r="M29" s="16">
        <v>274659.8712686245</v>
      </c>
      <c r="N29" s="16">
        <v>311374.19888889202</v>
      </c>
      <c r="U29" t="s">
        <v>303</v>
      </c>
      <c r="V29" s="16">
        <v>150215.43747699825</v>
      </c>
      <c r="W29" s="16">
        <v>160733.14850123788</v>
      </c>
      <c r="X29" s="16">
        <v>145715.11354413765</v>
      </c>
      <c r="Y29" s="16">
        <v>150923.04959555948</v>
      </c>
      <c r="Z29" s="16">
        <v>171880.54213314349</v>
      </c>
      <c r="AA29" s="16">
        <v>153857.90413426835</v>
      </c>
      <c r="AB29" s="16">
        <v>206160.37726453156</v>
      </c>
      <c r="AC29" s="16">
        <v>159089.94694224044</v>
      </c>
      <c r="AD29" s="16">
        <v>137329.93563431225</v>
      </c>
      <c r="AE29" s="16">
        <v>155687.09944444601</v>
      </c>
    </row>
    <row r="30" spans="1:31" x14ac:dyDescent="0.2">
      <c r="D30" t="s">
        <v>304</v>
      </c>
      <c r="E30" s="16">
        <f>[1]Sueldos!G107</f>
        <v>3345.9326643451286</v>
      </c>
      <c r="F30" s="16">
        <f>[1]Sueldos!H107</f>
        <v>2746.0803077367391</v>
      </c>
      <c r="G30" s="16">
        <f>[1]Sueldos!I107</f>
        <v>2790.998348236275</v>
      </c>
      <c r="H30" s="16">
        <f>[1]Sueldos!J107</f>
        <v>2849.6108865551851</v>
      </c>
      <c r="I30" s="16">
        <f>[1]Sueldos!K107</f>
        <v>3928.1958360752624</v>
      </c>
      <c r="J30" s="16">
        <f>[1]Sueldos!L107</f>
        <v>2691.4162617837774</v>
      </c>
      <c r="K30" s="16">
        <f>[1]Sueldos!M107</f>
        <v>0</v>
      </c>
      <c r="L30" s="16">
        <f>[1]Sueldos!N107</f>
        <v>0</v>
      </c>
      <c r="M30" s="16">
        <f>[1]Sueldos!O107</f>
        <v>0</v>
      </c>
      <c r="N30" s="16">
        <f>[1]Sueldos!P107</f>
        <v>0</v>
      </c>
      <c r="O30" s="16">
        <f>[1]Sueldos!Q107</f>
        <v>0</v>
      </c>
      <c r="P30" s="16">
        <f>[1]Sueldos!R107</f>
        <v>0</v>
      </c>
    </row>
    <row r="31" spans="1:31" x14ac:dyDescent="0.2">
      <c r="D31" t="s">
        <v>305</v>
      </c>
      <c r="E31" s="16">
        <f>+E30-E29</f>
        <v>-297084.94228965137</v>
      </c>
      <c r="F31" s="16">
        <f t="shared" ref="F31:N31" si="0">+F30-F29</f>
        <v>-318720.21669473901</v>
      </c>
      <c r="G31" s="16">
        <f t="shared" si="0"/>
        <v>-288639.22874003905</v>
      </c>
      <c r="H31" s="16">
        <f t="shared" si="0"/>
        <v>-298996.4883045638</v>
      </c>
      <c r="I31" s="16">
        <f t="shared" si="0"/>
        <v>-339832.88843021169</v>
      </c>
      <c r="J31" s="16">
        <f t="shared" si="0"/>
        <v>-305024.3920067529</v>
      </c>
      <c r="K31" s="16">
        <f t="shared" si="0"/>
        <v>-412320.75452906312</v>
      </c>
      <c r="L31" s="16">
        <f t="shared" si="0"/>
        <v>-318179.89388448087</v>
      </c>
      <c r="M31" s="16">
        <f t="shared" si="0"/>
        <v>-274659.8712686245</v>
      </c>
      <c r="N31" s="16">
        <f t="shared" si="0"/>
        <v>-311374.19888889202</v>
      </c>
    </row>
    <row r="32" spans="1:31" x14ac:dyDescent="0.2">
      <c r="E32" s="2">
        <f>+E31/E30</f>
        <v>-88.789874780040535</v>
      </c>
      <c r="F32" s="2">
        <f t="shared" ref="F32:N32" si="1">+F31/F30</f>
        <v>-116.06369114435019</v>
      </c>
      <c r="G32" s="2">
        <f t="shared" si="1"/>
        <v>-103.41791456897128</v>
      </c>
      <c r="H32" s="2">
        <f t="shared" si="1"/>
        <v>-104.92537409765875</v>
      </c>
      <c r="I32" s="2">
        <f t="shared" si="1"/>
        <v>-86.511187988464798</v>
      </c>
      <c r="J32" s="2">
        <f t="shared" si="1"/>
        <v>-113.33229881155333</v>
      </c>
      <c r="K32" s="2" t="e">
        <f t="shared" si="1"/>
        <v>#DIV/0!</v>
      </c>
      <c r="L32" s="2" t="e">
        <f t="shared" si="1"/>
        <v>#DIV/0!</v>
      </c>
      <c r="M32" s="2" t="e">
        <f t="shared" si="1"/>
        <v>#DIV/0!</v>
      </c>
      <c r="N32" s="2" t="e">
        <f t="shared" si="1"/>
        <v>#DIV/0!</v>
      </c>
    </row>
    <row r="33" spans="4:20" x14ac:dyDescent="0.2">
      <c r="T33">
        <v>48000</v>
      </c>
    </row>
    <row r="35" spans="4:20" x14ac:dyDescent="0.2">
      <c r="D35" t="s">
        <v>306</v>
      </c>
      <c r="E35" s="2">
        <f t="shared" ref="E35:P35" si="2">+E30/E25</f>
        <v>5.5357130509396779E-2</v>
      </c>
      <c r="F35" s="2">
        <f t="shared" si="2"/>
        <v>5.2776385471608955E-2</v>
      </c>
      <c r="G35" s="2">
        <f t="shared" si="2"/>
        <v>7.3607379319175437E-2</v>
      </c>
      <c r="H35" s="2">
        <f t="shared" si="2"/>
        <v>0.43580876235399552</v>
      </c>
      <c r="I35" s="2">
        <f t="shared" si="2"/>
        <v>8.9098707888088838E-2</v>
      </c>
      <c r="J35" s="2">
        <f t="shared" si="2"/>
        <v>3.8063711435388427E-2</v>
      </c>
      <c r="K35" s="2">
        <f t="shared" si="2"/>
        <v>0</v>
      </c>
      <c r="L35" s="2">
        <f t="shared" si="2"/>
        <v>0</v>
      </c>
      <c r="M35" s="2">
        <f t="shared" si="2"/>
        <v>0</v>
      </c>
      <c r="N35" s="2">
        <f t="shared" si="2"/>
        <v>0</v>
      </c>
      <c r="O35" s="2">
        <f t="shared" si="2"/>
        <v>0</v>
      </c>
      <c r="P35" s="2" t="e">
        <f t="shared" si="2"/>
        <v>#DIV/0!</v>
      </c>
    </row>
    <row r="37" spans="4:20" x14ac:dyDescent="0.2">
      <c r="E37" s="4"/>
      <c r="F37" s="4"/>
      <c r="G37" s="4"/>
      <c r="H37" s="4"/>
      <c r="I37" s="4"/>
      <c r="J37" s="4"/>
      <c r="K37" s="4"/>
      <c r="L37" s="4"/>
      <c r="M37" s="4"/>
    </row>
    <row r="38" spans="4:20" x14ac:dyDescent="0.2">
      <c r="D38" t="s">
        <v>307</v>
      </c>
      <c r="E38" s="112">
        <f t="shared" ref="E38:P38" si="3">+E25-E30</f>
        <v>57096.735399476609</v>
      </c>
      <c r="F38" s="112">
        <f t="shared" si="3"/>
        <v>49286.287638605332</v>
      </c>
      <c r="G38" s="112">
        <f t="shared" si="3"/>
        <v>35126.37317145853</v>
      </c>
      <c r="H38" s="112">
        <f t="shared" si="3"/>
        <v>3689.0618816635597</v>
      </c>
      <c r="I38" s="112">
        <f t="shared" si="3"/>
        <v>40159.938876374406</v>
      </c>
      <c r="J38" s="112">
        <f t="shared" si="3"/>
        <v>68016.776930368418</v>
      </c>
      <c r="K38" s="112">
        <f t="shared" si="3"/>
        <v>37792.284764984128</v>
      </c>
      <c r="L38" s="112">
        <f t="shared" si="3"/>
        <v>94762.767605177549</v>
      </c>
      <c r="M38" s="112">
        <f t="shared" si="3"/>
        <v>26905.787615150897</v>
      </c>
      <c r="N38" s="112">
        <f t="shared" si="3"/>
        <v>59523.047679679832</v>
      </c>
      <c r="O38" s="112">
        <f t="shared" si="3"/>
        <v>35204.612518276728</v>
      </c>
      <c r="P38" s="112">
        <f t="shared" si="3"/>
        <v>0</v>
      </c>
    </row>
    <row r="39" spans="4:20" x14ac:dyDescent="0.2">
      <c r="E39" s="2">
        <f>+E38/E25</f>
        <v>0.94464286949060328</v>
      </c>
      <c r="F39" s="2">
        <f t="shared" ref="F39:P39" si="4">+F38/F25</f>
        <v>0.9472236145283911</v>
      </c>
      <c r="G39" s="2">
        <f t="shared" si="4"/>
        <v>0.92639262068082462</v>
      </c>
      <c r="H39" s="2">
        <f t="shared" si="4"/>
        <v>0.56419123764600443</v>
      </c>
      <c r="I39" s="2">
        <f t="shared" si="4"/>
        <v>0.91090129211191118</v>
      </c>
      <c r="J39" s="2">
        <f t="shared" si="4"/>
        <v>0.96193628856461166</v>
      </c>
      <c r="K39" s="2">
        <f t="shared" si="4"/>
        <v>1</v>
      </c>
      <c r="L39" s="2">
        <f t="shared" si="4"/>
        <v>1</v>
      </c>
      <c r="M39" s="2">
        <f t="shared" si="4"/>
        <v>1</v>
      </c>
      <c r="N39" s="2">
        <f t="shared" si="4"/>
        <v>1</v>
      </c>
      <c r="O39" s="2">
        <f t="shared" si="4"/>
        <v>1</v>
      </c>
      <c r="P39" s="2" t="e">
        <f t="shared" si="4"/>
        <v>#DIV/0!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5642-927C-4EA0-A8C5-E9F4F614A4C5}">
  <sheetPr>
    <tabColor theme="5"/>
  </sheetPr>
  <dimension ref="A1:M12"/>
  <sheetViews>
    <sheetView workbookViewId="0">
      <selection activeCell="B2" sqref="B2:M3"/>
    </sheetView>
  </sheetViews>
  <sheetFormatPr baseColWidth="10" defaultRowHeight="15" x14ac:dyDescent="0.2"/>
  <cols>
    <col min="1" max="1" width="16" bestFit="1" customWidth="1"/>
  </cols>
  <sheetData>
    <row r="1" spans="1:13" x14ac:dyDescent="0.2">
      <c r="B1" s="41">
        <v>45292</v>
      </c>
      <c r="C1" s="41">
        <v>45323</v>
      </c>
      <c r="D1" s="41">
        <v>45352</v>
      </c>
      <c r="E1" s="41">
        <v>45383</v>
      </c>
      <c r="F1" s="41">
        <v>45413</v>
      </c>
      <c r="G1" s="41">
        <v>45444</v>
      </c>
      <c r="H1" s="41">
        <v>45474</v>
      </c>
      <c r="I1" s="41">
        <v>45505</v>
      </c>
      <c r="J1" s="41">
        <v>45536</v>
      </c>
      <c r="K1" s="41">
        <v>45566</v>
      </c>
      <c r="L1" s="41">
        <v>45597</v>
      </c>
      <c r="M1" s="41">
        <v>45627</v>
      </c>
    </row>
    <row r="2" spans="1:13" x14ac:dyDescent="0.2">
      <c r="A2" t="s">
        <v>320</v>
      </c>
      <c r="B2" s="16">
        <v>298.83699159682374</v>
      </c>
      <c r="C2" s="16">
        <v>1268.2741011375902</v>
      </c>
      <c r="D2" s="16">
        <v>171.39669190953893</v>
      </c>
      <c r="E2" s="16">
        <v>18069.475284854292</v>
      </c>
      <c r="F2" s="16">
        <v>537.09853139843995</v>
      </c>
      <c r="G2" s="16">
        <v>1587.9772805805114</v>
      </c>
      <c r="H2" s="16">
        <v>373.92380220999189</v>
      </c>
      <c r="I2" s="16">
        <v>22887.263146574904</v>
      </c>
      <c r="J2" s="16">
        <v>410.05603480852074</v>
      </c>
      <c r="K2" s="16">
        <v>113.05511827887901</v>
      </c>
      <c r="L2" s="16">
        <v>52579.888843145323</v>
      </c>
      <c r="M2" s="16">
        <v>20707.211969363641</v>
      </c>
    </row>
    <row r="3" spans="1:13" x14ac:dyDescent="0.2">
      <c r="A3" t="s">
        <v>160</v>
      </c>
      <c r="B3" s="16">
        <v>1060.3246138540439</v>
      </c>
      <c r="C3" s="16">
        <v>70628.998307090311</v>
      </c>
      <c r="D3" s="16">
        <v>8560.5289787691454</v>
      </c>
      <c r="E3" s="16">
        <v>6450</v>
      </c>
      <c r="F3" s="16">
        <v>12531</v>
      </c>
      <c r="G3" s="16">
        <v>8690.9460953697308</v>
      </c>
      <c r="H3" s="16">
        <v>10711.143905456718</v>
      </c>
      <c r="I3" s="16">
        <v>10163.70287127648</v>
      </c>
      <c r="J3" s="16">
        <v>9855.4696235195042</v>
      </c>
      <c r="K3" s="16">
        <v>18252.545153725063</v>
      </c>
      <c r="L3" s="16">
        <v>115687.99400512605</v>
      </c>
      <c r="M3" s="16">
        <v>6886</v>
      </c>
    </row>
    <row r="8" spans="1:13" x14ac:dyDescent="0.2">
      <c r="A8" t="s">
        <v>39</v>
      </c>
    </row>
    <row r="9" spans="1:13" x14ac:dyDescent="0.2">
      <c r="A9" t="s">
        <v>32</v>
      </c>
      <c r="B9" s="16">
        <v>491038355</v>
      </c>
      <c r="C9" s="16">
        <v>328098423</v>
      </c>
      <c r="D9" s="16">
        <v>344330410</v>
      </c>
      <c r="E9" s="16">
        <v>238698876</v>
      </c>
      <c r="F9" s="16">
        <v>348792953</v>
      </c>
      <c r="G9" s="16">
        <v>141091125</v>
      </c>
      <c r="H9" s="16">
        <v>326660345</v>
      </c>
      <c r="I9" s="16">
        <v>314772541.56</v>
      </c>
      <c r="J9" s="16">
        <v>585454974</v>
      </c>
      <c r="K9" s="16">
        <v>516832647</v>
      </c>
      <c r="L9" s="16">
        <v>411995131</v>
      </c>
      <c r="M9" s="16">
        <v>358257483</v>
      </c>
    </row>
    <row r="10" spans="1:13" x14ac:dyDescent="0.2">
      <c r="A10" t="s">
        <v>33</v>
      </c>
      <c r="B10" s="16">
        <v>205682.22661683711</v>
      </c>
      <c r="C10" s="16">
        <v>117395.18571503818</v>
      </c>
      <c r="D10" s="16">
        <v>147879.93688793335</v>
      </c>
      <c r="E10" s="16">
        <v>90961</v>
      </c>
      <c r="F10" s="16">
        <v>120651</v>
      </c>
      <c r="G10" s="16">
        <v>184899</v>
      </c>
      <c r="H10" s="16">
        <v>235161</v>
      </c>
      <c r="I10" s="16">
        <v>222913</v>
      </c>
      <c r="J10" s="16">
        <v>455729</v>
      </c>
      <c r="K10" s="16">
        <v>356456</v>
      </c>
      <c r="L10" s="16">
        <v>202065</v>
      </c>
      <c r="M10" s="16">
        <v>139885</v>
      </c>
    </row>
    <row r="11" spans="1:13" x14ac:dyDescent="0.2">
      <c r="A11" t="s">
        <v>3</v>
      </c>
    </row>
    <row r="12" spans="1:13" x14ac:dyDescent="0.2">
      <c r="A1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648-3539-4536-8453-DB8248E9E177}">
  <sheetPr>
    <tabColor theme="5"/>
  </sheetPr>
  <dimension ref="A2:T122"/>
  <sheetViews>
    <sheetView zoomScale="80" zoomScaleNormal="80" workbookViewId="0">
      <selection activeCell="R79" sqref="R7:R79"/>
    </sheetView>
  </sheetViews>
  <sheetFormatPr baseColWidth="10" defaultRowHeight="15" x14ac:dyDescent="0.2"/>
  <cols>
    <col min="1" max="1" width="17.5" bestFit="1" customWidth="1"/>
    <col min="2" max="2" width="20" bestFit="1" customWidth="1"/>
    <col min="3" max="3" width="16.5" bestFit="1" customWidth="1"/>
    <col min="4" max="4" width="37" bestFit="1" customWidth="1"/>
    <col min="5" max="5" width="17.33203125" bestFit="1" customWidth="1"/>
    <col min="6" max="16" width="9" bestFit="1" customWidth="1"/>
    <col min="17" max="17" width="8.5" bestFit="1" customWidth="1"/>
    <col min="18" max="18" width="8.83203125" customWidth="1"/>
    <col min="19" max="19" width="8.83203125" bestFit="1" customWidth="1"/>
    <col min="20" max="20" width="6.33203125" bestFit="1" customWidth="1"/>
    <col min="21" max="21" width="13" bestFit="1" customWidth="1"/>
    <col min="22" max="31" width="7.83203125" bestFit="1" customWidth="1"/>
  </cols>
  <sheetData>
    <row r="2" spans="1:20" x14ac:dyDescent="0.2">
      <c r="A2" s="3" t="s">
        <v>0</v>
      </c>
      <c r="B2" t="s">
        <v>1</v>
      </c>
    </row>
    <row r="3" spans="1:20" x14ac:dyDescent="0.2">
      <c r="A3" s="3" t="s">
        <v>2</v>
      </c>
      <c r="B3" t="s">
        <v>31</v>
      </c>
    </row>
    <row r="5" spans="1:20" x14ac:dyDescent="0.2">
      <c r="A5" s="3" t="s">
        <v>4</v>
      </c>
      <c r="E5" s="3" t="s">
        <v>5</v>
      </c>
    </row>
    <row r="6" spans="1:20" x14ac:dyDescent="0.2">
      <c r="A6" s="3" t="s">
        <v>6</v>
      </c>
      <c r="B6" s="3" t="s">
        <v>7</v>
      </c>
      <c r="C6" s="3" t="s">
        <v>8</v>
      </c>
      <c r="D6" s="3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R6" s="1"/>
      <c r="S6" s="1"/>
      <c r="T6" s="1"/>
    </row>
    <row r="7" spans="1:20" x14ac:dyDescent="0.2">
      <c r="A7" t="s">
        <v>297</v>
      </c>
      <c r="B7" t="s">
        <v>17</v>
      </c>
      <c r="C7" t="s">
        <v>329</v>
      </c>
      <c r="D7" t="s">
        <v>134</v>
      </c>
      <c r="E7" s="15">
        <v>0</v>
      </c>
      <c r="F7" s="15">
        <v>1467.753278836298</v>
      </c>
      <c r="G7" s="15">
        <v>0</v>
      </c>
      <c r="H7" s="15">
        <v>0</v>
      </c>
      <c r="I7" s="15">
        <v>260.87985968628828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R7" s="1">
        <f>+IF(P7&gt;0,1,0)</f>
        <v>0</v>
      </c>
      <c r="S7" s="1"/>
      <c r="T7" s="1"/>
    </row>
    <row r="8" spans="1:20" x14ac:dyDescent="0.2">
      <c r="A8" t="s">
        <v>297</v>
      </c>
      <c r="B8" t="s">
        <v>17</v>
      </c>
      <c r="C8" t="s">
        <v>56</v>
      </c>
      <c r="D8" t="s">
        <v>57</v>
      </c>
      <c r="E8" s="15">
        <v>8612.8751634773835</v>
      </c>
      <c r="F8" s="15">
        <v>8256.7910625517725</v>
      </c>
      <c r="G8" s="15">
        <v>8277.5327554106225</v>
      </c>
      <c r="H8" s="15">
        <v>8177.8985091220493</v>
      </c>
      <c r="I8" s="15">
        <v>8346.2575479809475</v>
      </c>
      <c r="J8" s="15">
        <v>8561.138654576278</v>
      </c>
      <c r="K8" s="15">
        <v>8384.3220024460734</v>
      </c>
      <c r="L8" s="15">
        <v>0</v>
      </c>
      <c r="M8" s="15">
        <v>12470.381469878803</v>
      </c>
      <c r="N8" s="15">
        <v>0</v>
      </c>
      <c r="O8" s="15">
        <v>0</v>
      </c>
      <c r="P8" s="15">
        <v>0</v>
      </c>
      <c r="R8" s="1">
        <f t="shared" ref="R8:R70" si="0">+IF(P8&gt;0,1,0)</f>
        <v>0</v>
      </c>
      <c r="S8" s="1"/>
      <c r="T8" s="1"/>
    </row>
    <row r="9" spans="1:20" x14ac:dyDescent="0.2">
      <c r="A9" t="s">
        <v>297</v>
      </c>
      <c r="B9" t="s">
        <v>17</v>
      </c>
      <c r="C9" t="s">
        <v>56</v>
      </c>
      <c r="D9" t="s">
        <v>58</v>
      </c>
      <c r="E9" s="15">
        <v>8425.1203392948155</v>
      </c>
      <c r="F9" s="15">
        <v>8065.6523221894395</v>
      </c>
      <c r="G9" s="15">
        <v>8084.2266265952112</v>
      </c>
      <c r="H9" s="15">
        <v>9000.5222083130284</v>
      </c>
      <c r="I9" s="15">
        <v>9188.1821260660054</v>
      </c>
      <c r="J9" s="15">
        <v>9427.2680962373615</v>
      </c>
      <c r="K9" s="40">
        <v>9215.5727465969649</v>
      </c>
      <c r="L9" s="15">
        <v>9646.0850959629643</v>
      </c>
      <c r="M9" s="15">
        <v>9698.6680896695398</v>
      </c>
      <c r="N9" s="15">
        <v>8989.0109403487531</v>
      </c>
      <c r="O9" s="15">
        <v>8785.0905999411843</v>
      </c>
      <c r="P9" s="15">
        <v>8896.3496842622735</v>
      </c>
      <c r="R9" s="1">
        <f t="shared" si="0"/>
        <v>1</v>
      </c>
      <c r="S9" s="1"/>
      <c r="T9" s="1"/>
    </row>
    <row r="10" spans="1:20" x14ac:dyDescent="0.2">
      <c r="A10" t="s">
        <v>297</v>
      </c>
      <c r="B10" t="s">
        <v>17</v>
      </c>
      <c r="C10" t="s">
        <v>56</v>
      </c>
      <c r="D10" t="s">
        <v>59</v>
      </c>
      <c r="E10" s="15">
        <v>2947.9802430904697</v>
      </c>
      <c r="F10" s="15">
        <v>2825.3146426480248</v>
      </c>
      <c r="G10" s="15">
        <v>2831.8560489492356</v>
      </c>
      <c r="H10" s="15">
        <v>2796.9640518392966</v>
      </c>
      <c r="I10" s="15">
        <v>2854.5880967501216</v>
      </c>
      <c r="J10" s="15">
        <v>2927.2905029357667</v>
      </c>
      <c r="K10" s="40">
        <v>2944.3130375187034</v>
      </c>
      <c r="L10" s="15">
        <v>3029.155526177648</v>
      </c>
      <c r="M10" s="15">
        <v>3023.000544445686</v>
      </c>
      <c r="N10" s="15">
        <v>2797.3887566644094</v>
      </c>
      <c r="O10" s="15">
        <v>2733.6621571356404</v>
      </c>
      <c r="P10" s="15">
        <v>3505.8176641331406</v>
      </c>
      <c r="Q10" s="4">
        <f>+SUM(E10:P10)</f>
        <v>35217.331272288146</v>
      </c>
      <c r="R10" s="1">
        <f t="shared" si="0"/>
        <v>1</v>
      </c>
      <c r="S10" s="1"/>
      <c r="T10" s="1"/>
    </row>
    <row r="11" spans="1:20" x14ac:dyDescent="0.2">
      <c r="A11" t="s">
        <v>297</v>
      </c>
      <c r="B11" t="s">
        <v>17</v>
      </c>
      <c r="C11" t="s">
        <v>56</v>
      </c>
      <c r="D11" t="s">
        <v>60</v>
      </c>
      <c r="E11" s="15">
        <v>15627.149043833319</v>
      </c>
      <c r="F11" s="15">
        <v>12771.725719447648</v>
      </c>
      <c r="G11" s="15">
        <v>12720.816906483687</v>
      </c>
      <c r="H11" s="15">
        <v>13033.346535653058</v>
      </c>
      <c r="I11" s="15">
        <v>18057.935569806727</v>
      </c>
      <c r="J11" s="15">
        <v>12583.421739554415</v>
      </c>
      <c r="K11" s="15">
        <v>24597.318793457056</v>
      </c>
      <c r="L11" s="15">
        <v>21641.215722496949</v>
      </c>
      <c r="M11" s="15">
        <v>12712.143991830251</v>
      </c>
      <c r="N11" s="15">
        <v>0</v>
      </c>
      <c r="O11" s="15">
        <v>0</v>
      </c>
      <c r="P11" s="15">
        <v>0</v>
      </c>
      <c r="R11" s="1">
        <f t="shared" si="0"/>
        <v>0</v>
      </c>
      <c r="S11" s="1"/>
      <c r="T11" s="1"/>
    </row>
    <row r="12" spans="1:20" x14ac:dyDescent="0.2">
      <c r="A12" t="s">
        <v>297</v>
      </c>
      <c r="B12" t="s">
        <v>17</v>
      </c>
      <c r="C12" t="s">
        <v>56</v>
      </c>
      <c r="D12" t="s">
        <v>61</v>
      </c>
      <c r="E12" s="15">
        <v>3378.517250586694</v>
      </c>
      <c r="F12" s="15">
        <v>2772.823192184841</v>
      </c>
      <c r="G12" s="15">
        <v>2818.1786699884974</v>
      </c>
      <c r="H12" s="15">
        <v>2877.3642480016933</v>
      </c>
      <c r="I12" s="15">
        <v>3966.4574148531701</v>
      </c>
      <c r="J12" s="15">
        <v>3082.1981249120336</v>
      </c>
      <c r="K12" s="15">
        <v>13291.233555099796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R12" s="1">
        <f t="shared" si="0"/>
        <v>0</v>
      </c>
      <c r="S12" s="1"/>
      <c r="T12" s="1"/>
    </row>
    <row r="13" spans="1:20" x14ac:dyDescent="0.2">
      <c r="A13" t="s">
        <v>297</v>
      </c>
      <c r="B13" t="s">
        <v>17</v>
      </c>
      <c r="C13" t="s">
        <v>56</v>
      </c>
      <c r="D13" t="s">
        <v>62</v>
      </c>
      <c r="E13" s="15">
        <v>3630.5470776776629</v>
      </c>
      <c r="F13" s="15">
        <v>3477.3078532213081</v>
      </c>
      <c r="G13" s="15">
        <v>1991.6570901336561</v>
      </c>
      <c r="H13" s="15">
        <v>3438.5714654589328</v>
      </c>
      <c r="I13" s="15">
        <v>3509.2670030997369</v>
      </c>
      <c r="J13" s="15">
        <v>3598.4541744020466</v>
      </c>
      <c r="K13" s="40">
        <v>3608.7222681969361</v>
      </c>
      <c r="L13" s="15">
        <v>3694.1882803642866</v>
      </c>
      <c r="M13" s="15">
        <v>3770.5847563322664</v>
      </c>
      <c r="N13" s="15">
        <v>6794.0432455746886</v>
      </c>
      <c r="O13" s="15">
        <v>0</v>
      </c>
      <c r="P13" s="15">
        <v>0</v>
      </c>
      <c r="R13" s="1">
        <f t="shared" si="0"/>
        <v>0</v>
      </c>
      <c r="S13" s="1"/>
      <c r="T13" s="1"/>
    </row>
    <row r="14" spans="1:20" x14ac:dyDescent="0.2">
      <c r="A14" t="s">
        <v>297</v>
      </c>
      <c r="B14" t="s">
        <v>17</v>
      </c>
      <c r="C14" t="s">
        <v>56</v>
      </c>
      <c r="D14" t="s">
        <v>63</v>
      </c>
      <c r="E14" s="15">
        <v>655.65171780750063</v>
      </c>
      <c r="F14" s="15">
        <v>658.4</v>
      </c>
      <c r="G14" s="15">
        <v>671.86240257995166</v>
      </c>
      <c r="H14" s="15">
        <v>334.76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R14" s="1">
        <f t="shared" si="0"/>
        <v>0</v>
      </c>
      <c r="S14" s="1"/>
      <c r="T14" s="1"/>
    </row>
    <row r="15" spans="1:20" x14ac:dyDescent="0.2">
      <c r="A15" t="s">
        <v>297</v>
      </c>
      <c r="B15" t="s">
        <v>17</v>
      </c>
      <c r="C15" t="s">
        <v>56</v>
      </c>
      <c r="D15" t="s">
        <v>65</v>
      </c>
      <c r="E15" s="15">
        <v>3002.0234938407057</v>
      </c>
      <c r="F15" s="15">
        <v>1495.2351122692198</v>
      </c>
      <c r="G15" s="15">
        <v>1519.6928934710345</v>
      </c>
      <c r="H15" s="15">
        <v>1551.6122383950637</v>
      </c>
      <c r="I15" s="15">
        <v>2138.8881120383189</v>
      </c>
      <c r="J15" s="15">
        <v>1465.4652957885069</v>
      </c>
      <c r="K15" s="15">
        <v>2922.740233104897</v>
      </c>
      <c r="L15" s="15">
        <v>2520.3359830419945</v>
      </c>
      <c r="M15" s="15">
        <v>1497.0418983320094</v>
      </c>
      <c r="N15" s="15">
        <v>2305.4657261253283</v>
      </c>
      <c r="O15" s="15">
        <v>2706.7811617984903</v>
      </c>
      <c r="P15" s="15">
        <v>2868.3640850863794</v>
      </c>
      <c r="R15" s="1">
        <f t="shared" si="0"/>
        <v>1</v>
      </c>
      <c r="S15" s="1"/>
      <c r="T15" s="1"/>
    </row>
    <row r="16" spans="1:20" x14ac:dyDescent="0.2">
      <c r="A16" t="s">
        <v>297</v>
      </c>
      <c r="B16" t="s">
        <v>17</v>
      </c>
      <c r="C16" t="s">
        <v>56</v>
      </c>
      <c r="D16" t="s">
        <v>66</v>
      </c>
      <c r="E16" s="15">
        <v>4101.7571466037243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R16" s="1">
        <f t="shared" si="0"/>
        <v>0</v>
      </c>
      <c r="S16" s="1"/>
      <c r="T16" s="1"/>
    </row>
    <row r="17" spans="1:20" x14ac:dyDescent="0.2">
      <c r="A17" t="s">
        <v>297</v>
      </c>
      <c r="B17" t="s">
        <v>17</v>
      </c>
      <c r="C17" t="s">
        <v>56</v>
      </c>
      <c r="D17" t="s">
        <v>67</v>
      </c>
      <c r="E17" s="15">
        <v>3582.3951204651084</v>
      </c>
      <c r="F17" s="15">
        <v>2930.0909805447809</v>
      </c>
      <c r="G17" s="15">
        <v>2960.0890684355845</v>
      </c>
      <c r="H17" s="15">
        <v>3022.2490614315589</v>
      </c>
      <c r="I17" s="15">
        <v>4166.199426885315</v>
      </c>
      <c r="J17" s="15">
        <v>2854.4677994772505</v>
      </c>
      <c r="K17" s="15">
        <v>6129.0730828872993</v>
      </c>
      <c r="L17" s="15">
        <v>5367.0214991792436</v>
      </c>
      <c r="M17" s="15">
        <v>2946.226313400658</v>
      </c>
      <c r="N17" s="15">
        <v>5676.5791288394012</v>
      </c>
      <c r="O17" s="15">
        <v>6661.5991467016738</v>
      </c>
      <c r="P17" s="15">
        <v>7066.0391937948061</v>
      </c>
      <c r="R17" s="1">
        <f t="shared" si="0"/>
        <v>1</v>
      </c>
      <c r="S17" s="1"/>
      <c r="T17" s="1"/>
    </row>
    <row r="18" spans="1:20" x14ac:dyDescent="0.2">
      <c r="A18" t="s">
        <v>297</v>
      </c>
      <c r="B18" t="s">
        <v>17</v>
      </c>
      <c r="C18" t="s">
        <v>56</v>
      </c>
      <c r="D18" t="s">
        <v>68</v>
      </c>
      <c r="E18" s="15">
        <v>3867.8791048949511</v>
      </c>
      <c r="F18" s="15">
        <v>3174.4531968150914</v>
      </c>
      <c r="G18" s="15">
        <v>3226.3781958242944</v>
      </c>
      <c r="H18" s="15">
        <v>3294.1400035141469</v>
      </c>
      <c r="I18" s="15">
        <v>4540.9759461640915</v>
      </c>
      <c r="J18" s="15">
        <v>3111.2584271176165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R18" s="1">
        <f t="shared" si="0"/>
        <v>0</v>
      </c>
      <c r="S18" s="1"/>
      <c r="T18" s="1"/>
    </row>
    <row r="19" spans="1:20" x14ac:dyDescent="0.2">
      <c r="A19" t="s">
        <v>297</v>
      </c>
      <c r="B19" t="s">
        <v>17</v>
      </c>
      <c r="C19" t="s">
        <v>56</v>
      </c>
      <c r="D19" t="s">
        <v>69</v>
      </c>
      <c r="E19" s="15">
        <v>10340.278235763943</v>
      </c>
      <c r="F19" s="15">
        <v>9912.7777078895706</v>
      </c>
      <c r="G19" s="15">
        <v>9941.9923232284618</v>
      </c>
      <c r="H19" s="15">
        <v>9825.5356254111393</v>
      </c>
      <c r="I19" s="15">
        <v>10030.851222553089</v>
      </c>
      <c r="J19" s="15">
        <v>10291.810177766709</v>
      </c>
      <c r="K19" s="40">
        <v>10050.912386832391</v>
      </c>
      <c r="L19" s="15">
        <v>10530.224349338012</v>
      </c>
      <c r="M19" s="15">
        <v>10562.402188172307</v>
      </c>
      <c r="N19" s="15">
        <v>9818.5738957098183</v>
      </c>
      <c r="O19" s="15">
        <v>9597.538119424953</v>
      </c>
      <c r="P19" s="15">
        <v>9600.549986258</v>
      </c>
      <c r="R19" s="1">
        <f t="shared" si="0"/>
        <v>1</v>
      </c>
      <c r="S19" s="1"/>
      <c r="T19" s="1"/>
    </row>
    <row r="20" spans="1:20" x14ac:dyDescent="0.2">
      <c r="A20" t="s">
        <v>297</v>
      </c>
      <c r="B20" t="s">
        <v>17</v>
      </c>
      <c r="C20" t="s">
        <v>56</v>
      </c>
      <c r="D20" t="s">
        <v>70</v>
      </c>
      <c r="E20" s="15">
        <v>655.65171780750063</v>
      </c>
      <c r="F20" s="15">
        <v>658.4</v>
      </c>
      <c r="G20" s="15">
        <v>671.86240257995166</v>
      </c>
      <c r="H20" s="15">
        <v>669.52</v>
      </c>
      <c r="I20" s="15">
        <v>666.13</v>
      </c>
      <c r="J20" s="15">
        <v>654.96</v>
      </c>
      <c r="K20" s="15">
        <v>668</v>
      </c>
      <c r="L20" s="15">
        <v>654.96</v>
      </c>
      <c r="M20" s="15">
        <v>0</v>
      </c>
      <c r="N20" s="15">
        <v>0</v>
      </c>
      <c r="O20" s="15">
        <v>0</v>
      </c>
      <c r="P20" s="15">
        <v>0</v>
      </c>
      <c r="R20" s="1">
        <f t="shared" si="0"/>
        <v>0</v>
      </c>
    </row>
    <row r="21" spans="1:20" x14ac:dyDescent="0.2">
      <c r="A21" t="s">
        <v>297</v>
      </c>
      <c r="B21" t="s">
        <v>17</v>
      </c>
      <c r="C21" t="s">
        <v>56</v>
      </c>
      <c r="D21" t="s">
        <v>71</v>
      </c>
      <c r="E21" s="15">
        <v>2214.8277587326488</v>
      </c>
      <c r="F21" s="15">
        <v>2123.0160915495571</v>
      </c>
      <c r="G21" s="15">
        <v>2524.109595633995</v>
      </c>
      <c r="H21" s="15">
        <v>2492.4647008083712</v>
      </c>
      <c r="I21" s="15">
        <v>2543.4429783806818</v>
      </c>
      <c r="J21" s="15">
        <v>2451.1331546603565</v>
      </c>
      <c r="K21" s="40">
        <v>2490.2272737815738</v>
      </c>
      <c r="L21" s="15">
        <v>2842.5991770783512</v>
      </c>
      <c r="M21" s="15">
        <v>2682.7515828937162</v>
      </c>
      <c r="N21" s="15">
        <v>2497.453537786721</v>
      </c>
      <c r="O21" s="15">
        <v>2442.0531407773951</v>
      </c>
      <c r="P21" s="15">
        <v>2706.5607914305806</v>
      </c>
      <c r="R21" s="1">
        <f t="shared" si="0"/>
        <v>1</v>
      </c>
    </row>
    <row r="22" spans="1:20" x14ac:dyDescent="0.2">
      <c r="A22" t="s">
        <v>297</v>
      </c>
      <c r="B22" t="s">
        <v>17</v>
      </c>
      <c r="C22" t="s">
        <v>56</v>
      </c>
      <c r="D22" t="s">
        <v>72</v>
      </c>
      <c r="E22" s="15">
        <v>7950.2818425417217</v>
      </c>
      <c r="F22" s="15">
        <v>8123.8317368262633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R22" s="1">
        <f t="shared" si="0"/>
        <v>0</v>
      </c>
    </row>
    <row r="23" spans="1:20" x14ac:dyDescent="0.2">
      <c r="A23" t="s">
        <v>297</v>
      </c>
      <c r="B23" t="s">
        <v>17</v>
      </c>
      <c r="C23" t="s">
        <v>56</v>
      </c>
      <c r="D23" t="s">
        <v>73</v>
      </c>
      <c r="E23" s="15">
        <v>0</v>
      </c>
      <c r="F23" s="15">
        <v>0</v>
      </c>
      <c r="G23" s="15">
        <v>8988.0921457149507</v>
      </c>
      <c r="H23" s="15">
        <v>9037.1248137924049</v>
      </c>
      <c r="I23" s="15">
        <v>9562.8773566255059</v>
      </c>
      <c r="J23" s="15">
        <v>9618.1162890101532</v>
      </c>
      <c r="K23" s="40">
        <v>9327.9782071659411</v>
      </c>
      <c r="L23" s="15">
        <v>9841.641970676701</v>
      </c>
      <c r="M23" s="15">
        <v>9929.0623933360075</v>
      </c>
      <c r="N23" s="15">
        <v>6512.2777805915066</v>
      </c>
      <c r="O23" s="15">
        <v>0</v>
      </c>
      <c r="P23" s="15">
        <v>0</v>
      </c>
      <c r="R23" s="1">
        <f t="shared" si="0"/>
        <v>0</v>
      </c>
    </row>
    <row r="24" spans="1:20" x14ac:dyDescent="0.2">
      <c r="A24" t="s">
        <v>297</v>
      </c>
      <c r="B24" t="s">
        <v>17</v>
      </c>
      <c r="C24" t="s">
        <v>56</v>
      </c>
      <c r="D24" t="s">
        <v>74</v>
      </c>
      <c r="E24" s="15">
        <v>157.80000506045681</v>
      </c>
      <c r="F24" s="15">
        <v>296.78609910526558</v>
      </c>
      <c r="G24" s="15">
        <v>204.3324990901786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R24" s="1">
        <f t="shared" si="0"/>
        <v>0</v>
      </c>
    </row>
    <row r="25" spans="1:20" x14ac:dyDescent="0.2">
      <c r="A25" t="s">
        <v>297</v>
      </c>
      <c r="B25" t="s">
        <v>17</v>
      </c>
      <c r="C25" t="s">
        <v>56</v>
      </c>
      <c r="D25" t="s">
        <v>75</v>
      </c>
      <c r="E25" s="15">
        <v>1900.1613368442065</v>
      </c>
      <c r="F25" s="15">
        <v>1821.3575971346481</v>
      </c>
      <c r="G25" s="15">
        <v>2524.109595633995</v>
      </c>
      <c r="H25" s="15">
        <v>2492.4647008083712</v>
      </c>
      <c r="I25" s="15">
        <v>2543.4429783806818</v>
      </c>
      <c r="J25" s="15">
        <v>2607.7430321829534</v>
      </c>
      <c r="K25" s="40">
        <v>2641.5430165294088</v>
      </c>
      <c r="L25" s="15">
        <v>2682.603478201775</v>
      </c>
      <c r="M25" s="15">
        <v>2682.7515828937162</v>
      </c>
      <c r="N25" s="15">
        <v>2497.453537786721</v>
      </c>
      <c r="O25" s="15">
        <v>2442.0531407773951</v>
      </c>
      <c r="P25" s="15">
        <v>2770.9919458288355</v>
      </c>
      <c r="R25" s="1">
        <f t="shared" si="0"/>
        <v>1</v>
      </c>
    </row>
    <row r="26" spans="1:20" x14ac:dyDescent="0.2">
      <c r="A26" t="s">
        <v>297</v>
      </c>
      <c r="B26" t="s">
        <v>17</v>
      </c>
      <c r="C26" t="s">
        <v>56</v>
      </c>
      <c r="D26" t="s">
        <v>76</v>
      </c>
      <c r="E26" s="15">
        <v>1940.7740992708082</v>
      </c>
      <c r="F26" s="15">
        <v>1860.2926962657752</v>
      </c>
      <c r="G26" s="15">
        <v>1511.9865208442411</v>
      </c>
      <c r="H26" s="15">
        <v>2215.556484454904</v>
      </c>
      <c r="I26" s="15">
        <v>2260.8933001922974</v>
      </c>
      <c r="J26" s="15">
        <v>2318.0773262457933</v>
      </c>
      <c r="K26" s="40">
        <v>3719.6206305170967</v>
      </c>
      <c r="L26" s="15">
        <v>2386.5478856211998</v>
      </c>
      <c r="M26" s="15">
        <v>2388.6900669184361</v>
      </c>
      <c r="N26" s="15">
        <v>2221.8855936498421</v>
      </c>
      <c r="O26" s="15">
        <v>2172.604599764536</v>
      </c>
      <c r="P26" s="15">
        <v>2448.8361738375611</v>
      </c>
      <c r="R26" s="1">
        <f t="shared" si="0"/>
        <v>1</v>
      </c>
    </row>
    <row r="27" spans="1:20" x14ac:dyDescent="0.2">
      <c r="A27" t="s">
        <v>297</v>
      </c>
      <c r="B27" t="s">
        <v>17</v>
      </c>
      <c r="C27" t="s">
        <v>56</v>
      </c>
      <c r="D27" t="s">
        <v>77</v>
      </c>
      <c r="E27" s="15">
        <v>1616.1771284562842</v>
      </c>
      <c r="F27" s="15">
        <v>1549.1156135051031</v>
      </c>
      <c r="G27" s="15">
        <v>1552.4409862467105</v>
      </c>
      <c r="H27" s="15">
        <v>1533.0898789712321</v>
      </c>
      <c r="I27" s="15">
        <v>1564.5227760775958</v>
      </c>
      <c r="J27" s="15">
        <v>1078.9066670566858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R27" s="1">
        <f t="shared" si="0"/>
        <v>0</v>
      </c>
    </row>
    <row r="28" spans="1:20" x14ac:dyDescent="0.2">
      <c r="A28" t="s">
        <v>297</v>
      </c>
      <c r="B28" t="s">
        <v>17</v>
      </c>
      <c r="C28" t="s">
        <v>56</v>
      </c>
      <c r="D28" t="s">
        <v>78</v>
      </c>
      <c r="E28" s="15">
        <v>2585.675801287583</v>
      </c>
      <c r="F28" s="15">
        <v>2478.5320772353562</v>
      </c>
      <c r="G28" s="15">
        <v>3505.7077717138818</v>
      </c>
      <c r="H28" s="15">
        <v>3458.9532947236298</v>
      </c>
      <c r="I28" s="15">
        <v>3526.4912314821008</v>
      </c>
      <c r="J28" s="15">
        <v>3613.3574004563834</v>
      </c>
      <c r="K28" s="40">
        <v>3633.3521997451649</v>
      </c>
      <c r="L28" s="15">
        <v>3709.3410639936596</v>
      </c>
      <c r="M28" s="15">
        <v>3796.5793097509645</v>
      </c>
      <c r="N28" s="15">
        <v>3453.7916023529083</v>
      </c>
      <c r="O28" s="15">
        <v>3377.2680238283797</v>
      </c>
      <c r="P28" s="15">
        <v>3667.6687239815569</v>
      </c>
      <c r="R28" s="1">
        <f t="shared" si="0"/>
        <v>1</v>
      </c>
    </row>
    <row r="29" spans="1:20" x14ac:dyDescent="0.2">
      <c r="A29" t="s">
        <v>297</v>
      </c>
      <c r="B29" t="s">
        <v>17</v>
      </c>
      <c r="C29" t="s">
        <v>56</v>
      </c>
      <c r="D29" t="s">
        <v>79</v>
      </c>
      <c r="E29" s="15">
        <v>2045.6333595594019</v>
      </c>
      <c r="F29" s="15">
        <v>2054.3000000000002</v>
      </c>
      <c r="G29" s="15">
        <v>2096.2106960494489</v>
      </c>
      <c r="H29" s="15">
        <v>2088.91</v>
      </c>
      <c r="I29" s="15">
        <v>2078.34</v>
      </c>
      <c r="J29" s="15">
        <v>2043.49</v>
      </c>
      <c r="K29" s="15">
        <v>2084</v>
      </c>
      <c r="L29" s="15">
        <v>2043.49</v>
      </c>
      <c r="M29" s="15">
        <v>2518</v>
      </c>
      <c r="N29" s="15">
        <v>5798.0400468161824</v>
      </c>
      <c r="O29" s="15">
        <v>6807.4735805710543</v>
      </c>
      <c r="P29" s="15">
        <v>7221.9285462451517</v>
      </c>
      <c r="R29" s="1">
        <f t="shared" si="0"/>
        <v>1</v>
      </c>
    </row>
    <row r="30" spans="1:20" x14ac:dyDescent="0.2">
      <c r="A30" t="s">
        <v>297</v>
      </c>
      <c r="B30" t="s">
        <v>17</v>
      </c>
      <c r="C30" t="s">
        <v>56</v>
      </c>
      <c r="D30" t="s">
        <v>80</v>
      </c>
      <c r="E30" s="15">
        <v>1683.1014017611665</v>
      </c>
      <c r="F30" s="15">
        <v>1381.3582277230471</v>
      </c>
      <c r="G30" s="15">
        <v>1403.9533079333448</v>
      </c>
      <c r="H30" s="15">
        <v>1433.4381186888545</v>
      </c>
      <c r="I30" s="15">
        <v>1976.0055331986628</v>
      </c>
      <c r="J30" s="15">
        <v>1353.8577469714473</v>
      </c>
      <c r="K30" s="15">
        <v>2699.9174628582859</v>
      </c>
      <c r="L30" s="15">
        <v>2328.3911297103423</v>
      </c>
      <c r="M30" s="15">
        <v>1383.3803755815272</v>
      </c>
      <c r="N30" s="15">
        <v>2129.0036377439665</v>
      </c>
      <c r="O30" s="15">
        <v>2498.7750246143746</v>
      </c>
      <c r="P30" s="15">
        <v>2650.1189916558933</v>
      </c>
      <c r="R30" s="1">
        <f t="shared" si="0"/>
        <v>1</v>
      </c>
    </row>
    <row r="31" spans="1:20" x14ac:dyDescent="0.2">
      <c r="A31" t="s">
        <v>297</v>
      </c>
      <c r="B31" t="s">
        <v>17</v>
      </c>
      <c r="C31" t="s">
        <v>56</v>
      </c>
      <c r="D31" t="s">
        <v>81</v>
      </c>
      <c r="E31" s="15">
        <v>6440.2135491262534</v>
      </c>
      <c r="F31" s="15">
        <v>6173.9543026049478</v>
      </c>
      <c r="G31" s="15">
        <v>6184.0530841890932</v>
      </c>
      <c r="H31" s="15">
        <v>5690.3406219074623</v>
      </c>
      <c r="I31" s="15">
        <v>6233.7734662571002</v>
      </c>
      <c r="J31" s="15">
        <v>5411.6843559768658</v>
      </c>
      <c r="K31" s="40">
        <v>8398.6009537282807</v>
      </c>
      <c r="L31" s="15">
        <v>6548.0606786585531</v>
      </c>
      <c r="M31" s="15">
        <v>6594.0449466209384</v>
      </c>
      <c r="N31" s="15">
        <v>6079.7913630799412</v>
      </c>
      <c r="O31" s="15">
        <v>12675.226304485672</v>
      </c>
      <c r="P31" s="15">
        <v>6201.5179401783516</v>
      </c>
      <c r="R31" s="1">
        <f t="shared" si="0"/>
        <v>1</v>
      </c>
    </row>
    <row r="32" spans="1:20" x14ac:dyDescent="0.2">
      <c r="A32" t="s">
        <v>297</v>
      </c>
      <c r="B32" t="s">
        <v>17</v>
      </c>
      <c r="C32" t="s">
        <v>56</v>
      </c>
      <c r="D32" t="s">
        <v>82</v>
      </c>
      <c r="E32" s="15">
        <v>1606.9736323624854</v>
      </c>
      <c r="F32" s="15">
        <v>1541.8741525286318</v>
      </c>
      <c r="G32" s="15">
        <v>1545.1855734423714</v>
      </c>
      <c r="H32" s="15">
        <v>1525.9262634141678</v>
      </c>
      <c r="I32" s="15">
        <v>1557.2132159028622</v>
      </c>
      <c r="J32" s="15">
        <v>2542.2702200340377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R32" s="1">
        <f t="shared" si="0"/>
        <v>0</v>
      </c>
    </row>
    <row r="33" spans="1:18" x14ac:dyDescent="0.2">
      <c r="A33" t="s">
        <v>297</v>
      </c>
      <c r="B33" t="s">
        <v>17</v>
      </c>
      <c r="C33" t="s">
        <v>56</v>
      </c>
      <c r="D33" t="s">
        <v>83</v>
      </c>
      <c r="E33" s="15">
        <v>0</v>
      </c>
      <c r="F33" s="15">
        <v>0</v>
      </c>
      <c r="G33" s="15">
        <v>0</v>
      </c>
      <c r="H33" s="15">
        <v>308.17134914893109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R33" s="1">
        <f t="shared" si="0"/>
        <v>0</v>
      </c>
    </row>
    <row r="34" spans="1:18" x14ac:dyDescent="0.2">
      <c r="A34" t="s">
        <v>297</v>
      </c>
      <c r="B34" t="s">
        <v>17</v>
      </c>
      <c r="C34" t="s">
        <v>56</v>
      </c>
      <c r="D34" t="s">
        <v>84</v>
      </c>
      <c r="E34" s="15">
        <v>4374.5965948470503</v>
      </c>
      <c r="F34" s="15">
        <v>4190.4797924771401</v>
      </c>
      <c r="G34" s="15">
        <v>4627.5342586623246</v>
      </c>
      <c r="H34" s="15">
        <v>4568.2669930107631</v>
      </c>
      <c r="I34" s="15">
        <v>4659.6312863855801</v>
      </c>
      <c r="J34" s="15">
        <v>4776.4984336277648</v>
      </c>
      <c r="K34" s="40">
        <v>4749.4501103163066</v>
      </c>
      <c r="L34" s="15">
        <v>4897.0997249979437</v>
      </c>
      <c r="M34" s="15">
        <v>3767.3152457584297</v>
      </c>
      <c r="N34" s="15">
        <v>3300.8312789587271</v>
      </c>
      <c r="O34" s="15">
        <v>4584.0874348287798</v>
      </c>
      <c r="P34" s="15">
        <v>4701.2501076227782</v>
      </c>
      <c r="R34" s="1">
        <f t="shared" si="0"/>
        <v>1</v>
      </c>
    </row>
    <row r="35" spans="1:18" x14ac:dyDescent="0.2">
      <c r="A35" t="s">
        <v>297</v>
      </c>
      <c r="B35" t="s">
        <v>17</v>
      </c>
      <c r="C35" t="s">
        <v>56</v>
      </c>
      <c r="D35" t="s">
        <v>85</v>
      </c>
      <c r="E35" s="15">
        <v>4537.6827208226186</v>
      </c>
      <c r="F35" s="15">
        <v>4348.7198506375153</v>
      </c>
      <c r="G35" s="15">
        <v>4423.2777010511873</v>
      </c>
      <c r="H35" s="15">
        <v>4366.3829042550224</v>
      </c>
      <c r="I35" s="15">
        <v>4453.4067527662246</v>
      </c>
      <c r="J35" s="15">
        <v>4564.9059350458119</v>
      </c>
      <c r="K35" s="15">
        <v>5700.3997190035279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R35" s="1">
        <f t="shared" si="0"/>
        <v>0</v>
      </c>
    </row>
    <row r="36" spans="1:18" x14ac:dyDescent="0.2">
      <c r="A36" t="s">
        <v>297</v>
      </c>
      <c r="B36" t="s">
        <v>17</v>
      </c>
      <c r="C36" t="s">
        <v>56</v>
      </c>
      <c r="D36" t="s">
        <v>86</v>
      </c>
      <c r="E36" s="15">
        <v>8782.9383687410646</v>
      </c>
      <c r="F36" s="15">
        <v>8366.8111641944906</v>
      </c>
      <c r="G36" s="15">
        <v>8373.8724095435391</v>
      </c>
      <c r="H36" s="15">
        <v>8271.4671799689677</v>
      </c>
      <c r="I36" s="15">
        <v>8440.0668666362744</v>
      </c>
      <c r="J36" s="15">
        <v>8656.028320407373</v>
      </c>
      <c r="K36" s="40">
        <v>8389.7374808331897</v>
      </c>
      <c r="L36" s="15">
        <v>8842.8203665990422</v>
      </c>
      <c r="M36" s="15">
        <v>8926.0300938752134</v>
      </c>
      <c r="N36" s="15">
        <v>8213.1019887944185</v>
      </c>
      <c r="O36" s="15">
        <v>8022.4435507264807</v>
      </c>
      <c r="P36" s="15">
        <v>8278.3956369209645</v>
      </c>
      <c r="R36" s="1">
        <f t="shared" si="0"/>
        <v>1</v>
      </c>
    </row>
    <row r="37" spans="1:18" x14ac:dyDescent="0.2">
      <c r="A37" t="s">
        <v>297</v>
      </c>
      <c r="B37" t="s">
        <v>17</v>
      </c>
      <c r="C37" t="s">
        <v>56</v>
      </c>
      <c r="D37" t="s">
        <v>87</v>
      </c>
      <c r="E37" s="15">
        <v>3560.6580292153785</v>
      </c>
      <c r="F37" s="15">
        <v>1415.3235337631652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R37" s="1">
        <f t="shared" si="0"/>
        <v>0</v>
      </c>
    </row>
    <row r="38" spans="1:18" x14ac:dyDescent="0.2">
      <c r="A38" t="s">
        <v>297</v>
      </c>
      <c r="B38" t="s">
        <v>17</v>
      </c>
      <c r="C38" t="s">
        <v>56</v>
      </c>
      <c r="D38" t="s">
        <v>88</v>
      </c>
      <c r="E38" s="15">
        <v>2360.8091638587653</v>
      </c>
      <c r="F38" s="15">
        <v>2262.9607539069893</v>
      </c>
      <c r="G38" s="15">
        <v>3085.0228391082164</v>
      </c>
      <c r="H38" s="15">
        <v>3046.9277142004894</v>
      </c>
      <c r="I38" s="15">
        <v>1593.0391023487584</v>
      </c>
      <c r="J38" s="15">
        <v>3188.7689799643263</v>
      </c>
      <c r="K38" s="40">
        <v>3198.1772305619111</v>
      </c>
      <c r="L38" s="15">
        <v>3275.6527421463466</v>
      </c>
      <c r="M38" s="15">
        <v>6341.1469576415984</v>
      </c>
      <c r="N38" s="15">
        <v>0</v>
      </c>
      <c r="O38" s="15">
        <v>0</v>
      </c>
      <c r="P38" s="15">
        <v>0</v>
      </c>
      <c r="R38" s="1">
        <f t="shared" si="0"/>
        <v>0</v>
      </c>
    </row>
    <row r="39" spans="1:18" x14ac:dyDescent="0.2">
      <c r="A39" t="s">
        <v>297</v>
      </c>
      <c r="B39" t="s">
        <v>17</v>
      </c>
      <c r="C39" t="s">
        <v>56</v>
      </c>
      <c r="D39" t="s">
        <v>89</v>
      </c>
      <c r="E39" s="15">
        <v>5083.8147335573876</v>
      </c>
      <c r="F39" s="15">
        <v>4873.6333987172484</v>
      </c>
      <c r="G39" s="15">
        <v>4887.8344629951889</v>
      </c>
      <c r="H39" s="15">
        <v>4825.3028912176223</v>
      </c>
      <c r="I39" s="15">
        <v>4915.4107953140065</v>
      </c>
      <c r="J39" s="15">
        <v>6517.6963559399564</v>
      </c>
      <c r="K39" s="40">
        <v>6426.1493876919094</v>
      </c>
      <c r="L39" s="15">
        <v>6689.0506646438798</v>
      </c>
      <c r="M39" s="15">
        <v>6729.9375320361369</v>
      </c>
      <c r="N39" s="15">
        <v>6206.2221655713802</v>
      </c>
      <c r="O39" s="15">
        <v>6064.6646674147942</v>
      </c>
      <c r="P39" s="15">
        <v>6270.661589209295</v>
      </c>
      <c r="R39" s="1">
        <f t="shared" si="0"/>
        <v>1</v>
      </c>
    </row>
    <row r="40" spans="1:18" x14ac:dyDescent="0.2">
      <c r="A40" t="s">
        <v>297</v>
      </c>
      <c r="B40" t="s">
        <v>17</v>
      </c>
      <c r="C40" t="s">
        <v>56</v>
      </c>
      <c r="D40" t="s">
        <v>90</v>
      </c>
      <c r="E40" s="15">
        <v>2947.5685384745989</v>
      </c>
      <c r="F40" s="15">
        <v>2824.9199592318346</v>
      </c>
      <c r="G40" s="15">
        <v>4206.8493260566584</v>
      </c>
      <c r="H40" s="15">
        <v>4151.3789042084545</v>
      </c>
      <c r="I40" s="15">
        <v>4233.1903590829788</v>
      </c>
      <c r="J40" s="15">
        <v>4337.9800589869601</v>
      </c>
      <c r="K40" s="40">
        <v>4333.4783995068019</v>
      </c>
      <c r="L40" s="15">
        <v>4449.8018626933526</v>
      </c>
      <c r="M40" s="15">
        <v>4531.7375866661669</v>
      </c>
      <c r="N40" s="15">
        <v>4139.3751306395125</v>
      </c>
      <c r="O40" s="15">
        <v>4042.5536117526076</v>
      </c>
      <c r="P40" s="15">
        <v>4312.2766512743383</v>
      </c>
      <c r="R40" s="1">
        <f t="shared" si="0"/>
        <v>1</v>
      </c>
    </row>
    <row r="41" spans="1:18" x14ac:dyDescent="0.2">
      <c r="A41" t="s">
        <v>297</v>
      </c>
      <c r="B41" t="s">
        <v>17</v>
      </c>
      <c r="C41" t="s">
        <v>56</v>
      </c>
      <c r="D41" t="s">
        <v>91</v>
      </c>
      <c r="E41" s="15">
        <v>2466.5056365600449</v>
      </c>
      <c r="F41" s="15">
        <v>2024.3152618269664</v>
      </c>
      <c r="G41" s="15">
        <v>2057.4272850472616</v>
      </c>
      <c r="H41" s="15">
        <v>2100.6381278722329</v>
      </c>
      <c r="I41" s="15">
        <v>2895.7280587140422</v>
      </c>
      <c r="J41" s="15">
        <v>1984.0207036627564</v>
      </c>
      <c r="K41" s="15">
        <v>3955.8276224300935</v>
      </c>
      <c r="L41" s="15">
        <v>3411.6740080171658</v>
      </c>
      <c r="M41" s="15">
        <v>2027.9608532849199</v>
      </c>
      <c r="N41" s="15">
        <v>3121.316420459937</v>
      </c>
      <c r="O41" s="15">
        <v>3663.0691171644244</v>
      </c>
      <c r="P41" s="15">
        <v>4359.2331648842392</v>
      </c>
      <c r="R41" s="1">
        <f t="shared" si="0"/>
        <v>1</v>
      </c>
    </row>
    <row r="42" spans="1:18" x14ac:dyDescent="0.2">
      <c r="A42" t="s">
        <v>297</v>
      </c>
      <c r="B42" t="s">
        <v>17</v>
      </c>
      <c r="C42" t="s">
        <v>56</v>
      </c>
      <c r="D42" t="s">
        <v>92</v>
      </c>
      <c r="E42" s="15">
        <v>799.46254914701706</v>
      </c>
      <c r="F42" s="15">
        <v>753.45013700905088</v>
      </c>
      <c r="G42" s="15">
        <v>727.3997086566178</v>
      </c>
      <c r="H42" s="15">
        <v>733.30139354677442</v>
      </c>
      <c r="I42" s="15">
        <v>3490.7308144855538</v>
      </c>
      <c r="J42" s="15">
        <v>807.42052522460256</v>
      </c>
      <c r="K42" s="40">
        <v>774.24804812492005</v>
      </c>
      <c r="L42" s="15">
        <v>851.05925368319174</v>
      </c>
      <c r="M42" s="15">
        <v>1238.6737348981333</v>
      </c>
      <c r="N42" s="15">
        <v>699.62090789346871</v>
      </c>
      <c r="O42" s="15">
        <v>747.12227254013999</v>
      </c>
      <c r="P42" s="15">
        <v>1528.6645481952253</v>
      </c>
      <c r="R42" s="1">
        <f t="shared" si="0"/>
        <v>1</v>
      </c>
    </row>
    <row r="43" spans="1:18" x14ac:dyDescent="0.2">
      <c r="A43" t="s">
        <v>297</v>
      </c>
      <c r="B43" t="s">
        <v>17</v>
      </c>
      <c r="C43" t="s">
        <v>56</v>
      </c>
      <c r="D43" t="s">
        <v>93</v>
      </c>
      <c r="E43" s="15">
        <v>157.80000506045681</v>
      </c>
      <c r="F43" s="15">
        <v>296.78609910526558</v>
      </c>
      <c r="G43" s="15">
        <v>1043.2698512838201</v>
      </c>
      <c r="H43" s="15">
        <v>1384.8318353945042</v>
      </c>
      <c r="I43" s="15">
        <v>1413.2442656271437</v>
      </c>
      <c r="J43" s="15">
        <v>1449.0860017194657</v>
      </c>
      <c r="K43" s="40">
        <v>1481.5545427510513</v>
      </c>
      <c r="L43" s="15">
        <v>1499.0632124838253</v>
      </c>
      <c r="M43" s="15">
        <v>1500.7382578888817</v>
      </c>
      <c r="N43" s="15">
        <v>1394.0303995886477</v>
      </c>
      <c r="O43" s="15">
        <v>1354.2035398394728</v>
      </c>
      <c r="P43" s="15">
        <v>1114.7697926753744</v>
      </c>
      <c r="R43" s="1">
        <f t="shared" si="0"/>
        <v>1</v>
      </c>
    </row>
    <row r="44" spans="1:18" x14ac:dyDescent="0.2">
      <c r="A44" t="s">
        <v>297</v>
      </c>
      <c r="B44" t="s">
        <v>17</v>
      </c>
      <c r="C44" t="s">
        <v>56</v>
      </c>
      <c r="D44" t="s">
        <v>94</v>
      </c>
      <c r="E44" s="15">
        <v>472.06923682140047</v>
      </c>
      <c r="F44" s="15">
        <v>474.1</v>
      </c>
      <c r="G44" s="15">
        <v>483.74092985756516</v>
      </c>
      <c r="H44" s="15">
        <v>482.06</v>
      </c>
      <c r="I44" s="15">
        <v>479.62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R44" s="1">
        <f t="shared" si="0"/>
        <v>0</v>
      </c>
    </row>
    <row r="45" spans="1:18" x14ac:dyDescent="0.2">
      <c r="A45" t="s">
        <v>297</v>
      </c>
      <c r="B45" t="s">
        <v>17</v>
      </c>
      <c r="C45" t="s">
        <v>56</v>
      </c>
      <c r="D45" t="s">
        <v>95</v>
      </c>
      <c r="E45" s="15">
        <v>1607.4685538687984</v>
      </c>
      <c r="F45" s="15">
        <v>1411.7377929394856</v>
      </c>
      <c r="G45" s="15">
        <v>1544.0749652202926</v>
      </c>
      <c r="H45" s="15">
        <v>474.45315335894793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R45" s="1">
        <f t="shared" si="0"/>
        <v>0</v>
      </c>
    </row>
    <row r="46" spans="1:18" x14ac:dyDescent="0.2">
      <c r="A46" t="s">
        <v>297</v>
      </c>
      <c r="B46" t="s">
        <v>17</v>
      </c>
      <c r="C46" t="s">
        <v>56</v>
      </c>
      <c r="D46" t="s">
        <v>96</v>
      </c>
      <c r="E46" s="15">
        <v>1801.6704971424529</v>
      </c>
      <c r="F46" s="15">
        <v>1726.4404343008016</v>
      </c>
      <c r="G46" s="15">
        <v>2243.6529738968848</v>
      </c>
      <c r="H46" s="15">
        <v>1983.7760001205618</v>
      </c>
      <c r="I46" s="15">
        <v>2102.2769745992928</v>
      </c>
      <c r="J46" s="15">
        <v>2154.9123465733492</v>
      </c>
      <c r="K46" s="40">
        <v>2848.995020511762</v>
      </c>
      <c r="L46" s="15">
        <v>2297.7869895033923</v>
      </c>
      <c r="M46" s="15">
        <v>2385.685287987586</v>
      </c>
      <c r="N46" s="15">
        <v>2215.8946568317492</v>
      </c>
      <c r="O46" s="15">
        <v>2166.7466714859488</v>
      </c>
      <c r="P46" s="15">
        <v>2304.1560166362797</v>
      </c>
      <c r="R46" s="1">
        <f t="shared" si="0"/>
        <v>1</v>
      </c>
    </row>
    <row r="47" spans="1:18" x14ac:dyDescent="0.2">
      <c r="A47" t="s">
        <v>297</v>
      </c>
      <c r="B47" t="s">
        <v>17</v>
      </c>
      <c r="C47" t="s">
        <v>56</v>
      </c>
      <c r="D47" t="s">
        <v>97</v>
      </c>
      <c r="E47" s="15">
        <v>157.80000506045681</v>
      </c>
      <c r="F47" s="15">
        <v>296.78609910526558</v>
      </c>
      <c r="G47" s="15">
        <v>204.3324990901786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R47" s="1">
        <f t="shared" si="0"/>
        <v>0</v>
      </c>
    </row>
    <row r="48" spans="1:18" x14ac:dyDescent="0.2">
      <c r="A48" t="s">
        <v>297</v>
      </c>
      <c r="B48" t="s">
        <v>17</v>
      </c>
      <c r="C48" t="s">
        <v>56</v>
      </c>
      <c r="D48" t="s">
        <v>98</v>
      </c>
      <c r="E48" s="15">
        <v>1704.6944662995015</v>
      </c>
      <c r="F48" s="15">
        <v>1514.2693345532346</v>
      </c>
      <c r="G48" s="15">
        <v>2605.5226157868351</v>
      </c>
      <c r="H48" s="15">
        <v>2669.4747040835937</v>
      </c>
      <c r="I48" s="15">
        <v>3679.8885996753793</v>
      </c>
      <c r="J48" s="15">
        <v>2521.2883998650018</v>
      </c>
      <c r="K48" s="15">
        <v>5026.5344404982252</v>
      </c>
      <c r="L48" s="15">
        <v>4336.1612834284451</v>
      </c>
      <c r="M48" s="15">
        <v>2576.8263644615909</v>
      </c>
      <c r="N48" s="15">
        <v>3964.6676999968367</v>
      </c>
      <c r="O48" s="15">
        <v>4651.7736133902199</v>
      </c>
      <c r="P48" s="15">
        <v>4818.39816664708</v>
      </c>
      <c r="R48" s="1">
        <f t="shared" si="0"/>
        <v>1</v>
      </c>
    </row>
    <row r="49" spans="1:18" x14ac:dyDescent="0.2">
      <c r="A49" t="s">
        <v>297</v>
      </c>
      <c r="B49" t="s">
        <v>17</v>
      </c>
      <c r="C49" t="s">
        <v>56</v>
      </c>
      <c r="D49" t="s">
        <v>99</v>
      </c>
      <c r="E49" s="15">
        <v>3345.9326643451286</v>
      </c>
      <c r="F49" s="15">
        <v>2746.0803077367391</v>
      </c>
      <c r="G49" s="15">
        <v>2790.998348236275</v>
      </c>
      <c r="H49" s="15">
        <v>2849.6108865551851</v>
      </c>
      <c r="I49" s="15">
        <v>3928.1958360752624</v>
      </c>
      <c r="J49" s="15">
        <v>2691.4162617837774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R49" s="1">
        <f t="shared" si="0"/>
        <v>0</v>
      </c>
    </row>
    <row r="50" spans="1:18" x14ac:dyDescent="0.2">
      <c r="A50" t="s">
        <v>297</v>
      </c>
      <c r="B50" t="s">
        <v>17</v>
      </c>
      <c r="C50" t="s">
        <v>56</v>
      </c>
      <c r="D50" t="s">
        <v>100</v>
      </c>
      <c r="E50" s="15">
        <v>1442.4337791765013</v>
      </c>
      <c r="F50" s="15">
        <v>1448.5</v>
      </c>
      <c r="G50" s="15">
        <v>1478.0972856758935</v>
      </c>
      <c r="H50" s="15">
        <v>1472.95</v>
      </c>
      <c r="I50" s="15">
        <v>1465.49</v>
      </c>
      <c r="J50" s="15">
        <v>1440.92</v>
      </c>
      <c r="K50" s="15">
        <v>1470</v>
      </c>
      <c r="L50" s="15">
        <v>1440.92</v>
      </c>
      <c r="M50" s="15">
        <v>1640.6143481220925</v>
      </c>
      <c r="N50" s="15">
        <v>2523.1786923101258</v>
      </c>
      <c r="O50" s="15">
        <v>2963.4121102723993</v>
      </c>
      <c r="P50" s="15">
        <v>3143.296215771536</v>
      </c>
      <c r="R50" s="1">
        <f t="shared" si="0"/>
        <v>1</v>
      </c>
    </row>
    <row r="51" spans="1:18" x14ac:dyDescent="0.2">
      <c r="A51" t="s">
        <v>297</v>
      </c>
      <c r="B51" t="s">
        <v>17</v>
      </c>
      <c r="C51" t="s">
        <v>56</v>
      </c>
      <c r="D51" t="s">
        <v>101</v>
      </c>
      <c r="E51" s="15">
        <v>2066.9563137583937</v>
      </c>
      <c r="F51" s="15">
        <v>1696.3963712267253</v>
      </c>
      <c r="G51" s="15">
        <v>1724.1445768022677</v>
      </c>
      <c r="H51" s="15">
        <v>1859.9352173820189</v>
      </c>
      <c r="I51" s="15">
        <v>2563.9294260914053</v>
      </c>
      <c r="J51" s="15">
        <v>1756.6900869185242</v>
      </c>
      <c r="K51" s="15">
        <v>3501.500675303887</v>
      </c>
      <c r="L51" s="15">
        <v>3021.1900956219479</v>
      </c>
      <c r="M51" s="15">
        <v>1794.6556223760354</v>
      </c>
      <c r="N51" s="15">
        <v>2763.8088128301642</v>
      </c>
      <c r="O51" s="15">
        <v>3241.6540859862157</v>
      </c>
      <c r="P51" s="15">
        <v>3440.9031613585616</v>
      </c>
      <c r="R51" s="1">
        <f t="shared" si="0"/>
        <v>1</v>
      </c>
    </row>
    <row r="52" spans="1:18" x14ac:dyDescent="0.2">
      <c r="A52" t="s">
        <v>297</v>
      </c>
      <c r="B52" t="s">
        <v>17</v>
      </c>
      <c r="C52" t="s">
        <v>56</v>
      </c>
      <c r="D52" t="s">
        <v>102</v>
      </c>
      <c r="E52" s="15">
        <v>1608.1299091559956</v>
      </c>
      <c r="F52" s="15">
        <v>1541.399692677255</v>
      </c>
      <c r="G52" s="15">
        <v>1544.710199468527</v>
      </c>
      <c r="H52" s="15">
        <v>1525.4569039874489</v>
      </c>
      <c r="I52" s="15">
        <v>1556.7342941983329</v>
      </c>
      <c r="J52" s="15">
        <v>1596.18909830711</v>
      </c>
      <c r="K52" s="40">
        <v>1653.6324180130089</v>
      </c>
      <c r="L52" s="15">
        <v>1638.0231604709572</v>
      </c>
      <c r="M52" s="15">
        <v>1635.0798449211572</v>
      </c>
      <c r="N52" s="15">
        <v>1525.1589228815851</v>
      </c>
      <c r="O52" s="15">
        <v>1491.3477407175396</v>
      </c>
      <c r="P52" s="15">
        <v>1806.5451908569416</v>
      </c>
      <c r="R52" s="1">
        <f t="shared" si="0"/>
        <v>1</v>
      </c>
    </row>
    <row r="53" spans="1:18" x14ac:dyDescent="0.2">
      <c r="A53" t="s">
        <v>297</v>
      </c>
      <c r="B53" t="s">
        <v>17</v>
      </c>
      <c r="C53" t="s">
        <v>56</v>
      </c>
      <c r="D53" t="s">
        <v>103</v>
      </c>
      <c r="E53" s="15">
        <v>3413.9610643572992</v>
      </c>
      <c r="F53" s="15">
        <v>2801.9127073635923</v>
      </c>
      <c r="G53" s="15">
        <v>2847.7440066562372</v>
      </c>
      <c r="H53" s="15">
        <v>2907.5556119178118</v>
      </c>
      <c r="I53" s="15">
        <v>4008.0756451840552</v>
      </c>
      <c r="J53" s="15">
        <v>2746.1319403124753</v>
      </c>
      <c r="K53" s="15">
        <v>5475.0737832024406</v>
      </c>
      <c r="L53" s="15">
        <v>4722.851618008779</v>
      </c>
      <c r="M53" s="15">
        <v>2807.1405026665157</v>
      </c>
      <c r="N53" s="15">
        <v>5348.8638218454435</v>
      </c>
      <c r="O53" s="15">
        <v>6278.0034131933053</v>
      </c>
      <c r="P53" s="15">
        <v>6723.0826184040434</v>
      </c>
      <c r="R53" s="1">
        <f t="shared" si="0"/>
        <v>1</v>
      </c>
    </row>
    <row r="54" spans="1:18" x14ac:dyDescent="0.2">
      <c r="A54" t="s">
        <v>297</v>
      </c>
      <c r="B54" t="s">
        <v>17</v>
      </c>
      <c r="C54" t="s">
        <v>56</v>
      </c>
      <c r="D54" t="s">
        <v>104</v>
      </c>
      <c r="E54" s="15">
        <v>1899.7832109736016</v>
      </c>
      <c r="F54" s="15">
        <v>1820.9965037964323</v>
      </c>
      <c r="G54" s="15">
        <v>1824.8456983737485</v>
      </c>
      <c r="H54" s="15">
        <v>1802.0480604331906</v>
      </c>
      <c r="I54" s="15">
        <v>1838.960453005192</v>
      </c>
      <c r="J54" s="15">
        <v>1885.521690348012</v>
      </c>
      <c r="K54" s="40">
        <v>1942.8791358671353</v>
      </c>
      <c r="L54" s="15">
        <v>1944.6447161310509</v>
      </c>
      <c r="M54" s="15">
        <v>1941.9935586827946</v>
      </c>
      <c r="N54" s="15">
        <v>1810.5616439881198</v>
      </c>
      <c r="O54" s="15">
        <v>1770.4127106585345</v>
      </c>
      <c r="P54" s="15">
        <v>2063.9747137628174</v>
      </c>
      <c r="R54" s="1">
        <f t="shared" si="0"/>
        <v>1</v>
      </c>
    </row>
    <row r="55" spans="1:18" x14ac:dyDescent="0.2">
      <c r="A55" t="s">
        <v>297</v>
      </c>
      <c r="B55" t="s">
        <v>17</v>
      </c>
      <c r="C55" t="s">
        <v>56</v>
      </c>
      <c r="D55" t="s">
        <v>105</v>
      </c>
      <c r="E55" s="15">
        <v>6027.8688000577549</v>
      </c>
      <c r="F55" s="15">
        <v>4765.1720407872153</v>
      </c>
      <c r="G55" s="15">
        <v>4843.1166624766502</v>
      </c>
      <c r="H55" s="15">
        <v>4943.5176742754747</v>
      </c>
      <c r="I55" s="15">
        <v>6814.6612360734989</v>
      </c>
      <c r="J55" s="15">
        <v>4669.0712344488766</v>
      </c>
      <c r="K55" s="15">
        <v>9309.3617127707475</v>
      </c>
      <c r="L55" s="15">
        <v>8030.1640457359272</v>
      </c>
      <c r="M55" s="15">
        <v>4772.2884091682736</v>
      </c>
      <c r="N55" s="15">
        <v>7342.6562490114829</v>
      </c>
      <c r="O55" s="15">
        <v>8455.314407614047</v>
      </c>
      <c r="P55" s="15">
        <v>9106.7725349629818</v>
      </c>
      <c r="R55" s="1">
        <f t="shared" si="0"/>
        <v>1</v>
      </c>
    </row>
    <row r="56" spans="1:18" x14ac:dyDescent="0.2">
      <c r="A56" t="s">
        <v>297</v>
      </c>
      <c r="B56" t="s">
        <v>17</v>
      </c>
      <c r="C56" t="s">
        <v>56</v>
      </c>
      <c r="D56" t="s">
        <v>106</v>
      </c>
      <c r="E56" s="15">
        <v>655.65171780750063</v>
      </c>
      <c r="F56" s="15">
        <v>658.4</v>
      </c>
      <c r="G56" s="15">
        <v>1084.1171728030099</v>
      </c>
      <c r="H56" s="15">
        <v>1080.3399999999999</v>
      </c>
      <c r="I56" s="15">
        <v>1074.8699999999999</v>
      </c>
      <c r="J56" s="15">
        <v>1056.8499999999999</v>
      </c>
      <c r="K56" s="15">
        <v>1078</v>
      </c>
      <c r="L56" s="15">
        <v>2062.35</v>
      </c>
      <c r="M56" s="15">
        <v>0</v>
      </c>
      <c r="N56" s="15">
        <v>0</v>
      </c>
      <c r="O56" s="15">
        <v>0</v>
      </c>
      <c r="P56" s="15">
        <v>0</v>
      </c>
      <c r="R56" s="1">
        <f t="shared" si="0"/>
        <v>0</v>
      </c>
    </row>
    <row r="57" spans="1:18" x14ac:dyDescent="0.2">
      <c r="A57" t="s">
        <v>297</v>
      </c>
      <c r="B57" t="s">
        <v>17</v>
      </c>
      <c r="C57" t="s">
        <v>56</v>
      </c>
      <c r="D57" t="s">
        <v>107</v>
      </c>
      <c r="E57" s="15">
        <v>1608.1299091559956</v>
      </c>
      <c r="F57" s="15">
        <v>1541.399692677255</v>
      </c>
      <c r="G57" s="15">
        <v>1822.9680412912187</v>
      </c>
      <c r="H57" s="15">
        <v>1800.1941599247041</v>
      </c>
      <c r="I57" s="15">
        <v>1837.0687829097205</v>
      </c>
      <c r="J57" s="15">
        <v>2463.6785136576996</v>
      </c>
      <c r="K57" s="40">
        <v>2485.6877875056548</v>
      </c>
      <c r="L57" s="15">
        <v>2517.8078935627059</v>
      </c>
      <c r="M57" s="15">
        <v>2523.7331180216765</v>
      </c>
      <c r="N57" s="15">
        <v>2344.0607651601536</v>
      </c>
      <c r="O57" s="15">
        <v>2292.0672837925222</v>
      </c>
      <c r="P57" s="15">
        <v>2062.2492474480318</v>
      </c>
      <c r="R57" s="1">
        <f t="shared" si="0"/>
        <v>1</v>
      </c>
    </row>
    <row r="58" spans="1:18" x14ac:dyDescent="0.2">
      <c r="A58" t="s">
        <v>297</v>
      </c>
      <c r="B58" t="s">
        <v>17</v>
      </c>
      <c r="C58" t="s">
        <v>56</v>
      </c>
      <c r="D58" t="s">
        <v>108</v>
      </c>
      <c r="E58" s="15">
        <v>813.01</v>
      </c>
      <c r="F58" s="15">
        <v>816.4</v>
      </c>
      <c r="G58" s="15">
        <v>833.10937919913999</v>
      </c>
      <c r="H58" s="15">
        <v>207.55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R58" s="1">
        <f t="shared" si="0"/>
        <v>0</v>
      </c>
    </row>
    <row r="59" spans="1:18" x14ac:dyDescent="0.2">
      <c r="A59" t="s">
        <v>297</v>
      </c>
      <c r="B59" t="s">
        <v>17</v>
      </c>
      <c r="C59" t="s">
        <v>56</v>
      </c>
      <c r="D59" t="s">
        <v>109</v>
      </c>
      <c r="E59" s="15">
        <v>1954.0566829417126</v>
      </c>
      <c r="F59" s="15">
        <v>1308.9423572342519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R59" s="1">
        <f t="shared" si="0"/>
        <v>0</v>
      </c>
    </row>
    <row r="60" spans="1:18" x14ac:dyDescent="0.2">
      <c r="A60" t="s">
        <v>297</v>
      </c>
      <c r="B60" t="s">
        <v>17</v>
      </c>
      <c r="C60" t="s">
        <v>56</v>
      </c>
      <c r="D60" t="s">
        <v>110</v>
      </c>
      <c r="E60" s="15">
        <v>3224.2442599580868</v>
      </c>
      <c r="F60" s="15">
        <v>3090.157012017306</v>
      </c>
      <c r="G60" s="15">
        <v>3097.208679322694</v>
      </c>
      <c r="H60" s="15">
        <v>3058.9593762010477</v>
      </c>
      <c r="I60" s="15">
        <v>3121.9210620196714</v>
      </c>
      <c r="J60" s="15">
        <v>3148.903936509942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R60" s="1">
        <f t="shared" si="0"/>
        <v>0</v>
      </c>
    </row>
    <row r="61" spans="1:18" x14ac:dyDescent="0.2">
      <c r="A61" t="s">
        <v>297</v>
      </c>
      <c r="B61" t="s">
        <v>17</v>
      </c>
      <c r="C61" t="s">
        <v>56</v>
      </c>
      <c r="D61" t="s">
        <v>111</v>
      </c>
      <c r="E61" s="15">
        <v>3790.2845878210364</v>
      </c>
      <c r="F61" s="15">
        <v>4848.6060413352752</v>
      </c>
      <c r="G61" s="15">
        <v>3161.6529934036794</v>
      </c>
      <c r="H61" s="15">
        <v>3228.0532699039536</v>
      </c>
      <c r="I61" s="15">
        <v>5143.8773032647332</v>
      </c>
      <c r="J61" s="15">
        <v>3524.3499567888243</v>
      </c>
      <c r="K61" s="15">
        <v>7026.1517682957328</v>
      </c>
      <c r="L61" s="15">
        <v>6061.2462393031547</v>
      </c>
      <c r="M61" s="15">
        <v>3601.2756155679108</v>
      </c>
      <c r="N61" s="15">
        <v>5543.6596336949988</v>
      </c>
      <c r="O61" s="15">
        <v>6504.9191992123397</v>
      </c>
      <c r="P61" s="15">
        <v>6901.6467857562566</v>
      </c>
      <c r="R61" s="1">
        <f t="shared" si="0"/>
        <v>1</v>
      </c>
    </row>
    <row r="62" spans="1:18" x14ac:dyDescent="0.2">
      <c r="A62" t="s">
        <v>297</v>
      </c>
      <c r="B62" t="s">
        <v>17</v>
      </c>
      <c r="C62" t="s">
        <v>56</v>
      </c>
      <c r="D62" t="s">
        <v>112</v>
      </c>
      <c r="E62" s="15">
        <v>655.65171780750063</v>
      </c>
      <c r="F62" s="15">
        <v>658.4</v>
      </c>
      <c r="G62" s="15">
        <v>671.86240257995166</v>
      </c>
      <c r="H62" s="15">
        <v>167.38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R62" s="1">
        <f t="shared" si="0"/>
        <v>0</v>
      </c>
    </row>
    <row r="63" spans="1:18" x14ac:dyDescent="0.2">
      <c r="A63" t="s">
        <v>297</v>
      </c>
      <c r="B63" t="s">
        <v>17</v>
      </c>
      <c r="C63" t="s">
        <v>56</v>
      </c>
      <c r="D63" t="s">
        <v>113</v>
      </c>
      <c r="E63" s="15">
        <v>1294.2705659697251</v>
      </c>
      <c r="F63" s="15">
        <v>1062.2362344486614</v>
      </c>
      <c r="G63" s="15">
        <v>1079.611389160857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R63" s="1">
        <f t="shared" si="0"/>
        <v>0</v>
      </c>
    </row>
    <row r="64" spans="1:18" x14ac:dyDescent="0.2">
      <c r="A64" t="s">
        <v>297</v>
      </c>
      <c r="B64" t="s">
        <v>17</v>
      </c>
      <c r="C64" t="s">
        <v>56</v>
      </c>
      <c r="D64" t="s">
        <v>114</v>
      </c>
      <c r="E64" s="15">
        <v>367.16496197220033</v>
      </c>
      <c r="F64" s="15">
        <v>368.7</v>
      </c>
      <c r="G64" s="15">
        <v>376.24294544477289</v>
      </c>
      <c r="H64" s="15">
        <v>374.93</v>
      </c>
      <c r="I64" s="15">
        <v>373.03</v>
      </c>
      <c r="J64" s="15">
        <v>366.78</v>
      </c>
      <c r="K64" s="15">
        <v>855</v>
      </c>
      <c r="L64" s="15">
        <v>838.35</v>
      </c>
      <c r="M64" s="15">
        <v>848</v>
      </c>
      <c r="N64" s="15">
        <v>852</v>
      </c>
      <c r="O64" s="15">
        <v>849</v>
      </c>
      <c r="P64" s="15">
        <v>1179</v>
      </c>
      <c r="R64" s="1">
        <f t="shared" si="0"/>
        <v>1</v>
      </c>
    </row>
    <row r="65" spans="1:18" x14ac:dyDescent="0.2">
      <c r="A65" t="s">
        <v>297</v>
      </c>
      <c r="B65" t="s">
        <v>17</v>
      </c>
      <c r="C65" t="s">
        <v>56</v>
      </c>
      <c r="D65" t="s">
        <v>115</v>
      </c>
      <c r="E65" s="15">
        <v>1900.1613368442065</v>
      </c>
      <c r="F65" s="15">
        <v>1821.3575971346481</v>
      </c>
      <c r="G65" s="15">
        <v>1825.2074874157895</v>
      </c>
      <c r="H65" s="15">
        <v>1802.4052720322866</v>
      </c>
      <c r="I65" s="15">
        <v>1839.3249420900549</v>
      </c>
      <c r="J65" s="15">
        <v>1885.8953572403364</v>
      </c>
      <c r="K65" s="40">
        <v>1944.1035657350235</v>
      </c>
      <c r="L65" s="15">
        <v>1789.7951339875046</v>
      </c>
      <c r="M65" s="15">
        <v>1945.5427574896171</v>
      </c>
      <c r="N65" s="15">
        <v>1781.9180798633611</v>
      </c>
      <c r="O65" s="15">
        <v>3501.4897695889013</v>
      </c>
      <c r="P65" s="15">
        <v>2064.307178519512</v>
      </c>
      <c r="R65" s="1">
        <f t="shared" si="0"/>
        <v>1</v>
      </c>
    </row>
    <row r="66" spans="1:18" x14ac:dyDescent="0.2">
      <c r="A66" t="s">
        <v>297</v>
      </c>
      <c r="B66" t="s">
        <v>17</v>
      </c>
      <c r="C66" t="s">
        <v>56</v>
      </c>
      <c r="D66" t="s">
        <v>117</v>
      </c>
      <c r="E66" s="15">
        <v>928.23769462651785</v>
      </c>
      <c r="F66" s="15">
        <v>1486.1762049021056</v>
      </c>
      <c r="G66" s="15">
        <v>1485.2393728291727</v>
      </c>
      <c r="H66" s="15">
        <v>1465.9216374714536</v>
      </c>
      <c r="I66" s="15">
        <v>1495.1102093854463</v>
      </c>
      <c r="J66" s="15">
        <v>1532.3384060008434</v>
      </c>
      <c r="K66" s="40">
        <v>1603.4699751853648</v>
      </c>
      <c r="L66" s="15">
        <v>1924.1712206638467</v>
      </c>
      <c r="M66" s="15">
        <v>1956.9501486820463</v>
      </c>
      <c r="N66" s="15">
        <v>1775.861036156241</v>
      </c>
      <c r="O66" s="15">
        <v>1735.0927697641016</v>
      </c>
      <c r="P66" s="15">
        <v>2061.796940744156</v>
      </c>
      <c r="R66" s="1">
        <f t="shared" si="0"/>
        <v>1</v>
      </c>
    </row>
    <row r="67" spans="1:18" x14ac:dyDescent="0.2">
      <c r="A67" t="s">
        <v>297</v>
      </c>
      <c r="B67" t="s">
        <v>17</v>
      </c>
      <c r="C67" t="s">
        <v>56</v>
      </c>
      <c r="D67" t="s">
        <v>118</v>
      </c>
      <c r="E67" s="15">
        <v>10427.759626854762</v>
      </c>
      <c r="F67" s="15">
        <v>9983.5296087945899</v>
      </c>
      <c r="G67" s="15">
        <v>10086.707940044811</v>
      </c>
      <c r="H67" s="15">
        <v>9968.5088756787609</v>
      </c>
      <c r="I67" s="15">
        <v>10176.830513789117</v>
      </c>
      <c r="J67" s="15">
        <v>10441.537632528352</v>
      </c>
      <c r="K67" s="40">
        <v>10945.563409868324</v>
      </c>
      <c r="L67" s="15">
        <v>12068.867384308482</v>
      </c>
      <c r="M67" s="15">
        <v>11352.380854411766</v>
      </c>
      <c r="N67" s="15">
        <v>10483.642252768304</v>
      </c>
      <c r="O67" s="15">
        <v>10174.684106484396</v>
      </c>
      <c r="P67" s="15">
        <v>9862.5657187339439</v>
      </c>
      <c r="R67" s="1">
        <f t="shared" si="0"/>
        <v>1</v>
      </c>
    </row>
    <row r="68" spans="1:18" x14ac:dyDescent="0.2">
      <c r="A68" t="s">
        <v>297</v>
      </c>
      <c r="B68" t="s">
        <v>17</v>
      </c>
      <c r="C68" t="s">
        <v>56</v>
      </c>
      <c r="D68" t="s">
        <v>119</v>
      </c>
      <c r="E68" s="15">
        <v>6756.0610668807931</v>
      </c>
      <c r="F68" s="15">
        <v>6512.7914149902817</v>
      </c>
      <c r="G68" s="15">
        <v>8230.7511886217653</v>
      </c>
      <c r="H68" s="15">
        <v>8132.7126263774908</v>
      </c>
      <c r="I68" s="15">
        <v>8260.3497310761613</v>
      </c>
      <c r="J68" s="15">
        <v>8477.7066584551776</v>
      </c>
      <c r="K68" s="40">
        <v>8303.7475203969279</v>
      </c>
      <c r="L68" s="15">
        <v>8676.4371502019112</v>
      </c>
      <c r="M68" s="15">
        <v>8709.3315396710605</v>
      </c>
      <c r="N68" s="15">
        <v>8066.0706270098663</v>
      </c>
      <c r="O68" s="15">
        <v>7883.1298964100679</v>
      </c>
      <c r="P68" s="15">
        <v>19756.917903178721</v>
      </c>
      <c r="R68" s="1">
        <f t="shared" si="0"/>
        <v>1</v>
      </c>
    </row>
    <row r="69" spans="1:18" x14ac:dyDescent="0.2">
      <c r="A69" t="s">
        <v>297</v>
      </c>
      <c r="B69" t="s">
        <v>17</v>
      </c>
      <c r="C69" t="s">
        <v>56</v>
      </c>
      <c r="D69" t="s">
        <v>120</v>
      </c>
      <c r="E69" s="15">
        <v>7859.4716329603789</v>
      </c>
      <c r="F69" s="15">
        <v>6450.4407128325201</v>
      </c>
      <c r="G69" s="15">
        <v>6555.95152268122</v>
      </c>
      <c r="H69" s="15">
        <v>6693.4514468965817</v>
      </c>
      <c r="I69" s="15">
        <v>9226.9464926386918</v>
      </c>
      <c r="J69" s="15">
        <v>6321.8666698754096</v>
      </c>
      <c r="K69" s="15">
        <v>12605.402431093993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R69" s="1">
        <f t="shared" si="0"/>
        <v>0</v>
      </c>
    </row>
    <row r="70" spans="1:18" x14ac:dyDescent="0.2">
      <c r="A70" t="s">
        <v>297</v>
      </c>
      <c r="B70" t="s">
        <v>17</v>
      </c>
      <c r="C70" t="s">
        <v>56</v>
      </c>
      <c r="D70" t="s">
        <v>121</v>
      </c>
      <c r="E70" s="15">
        <v>8571.5703869092104</v>
      </c>
      <c r="F70" s="15">
        <v>8217.1939589672511</v>
      </c>
      <c r="G70" s="15">
        <v>8208.0734661881015</v>
      </c>
      <c r="H70" s="15">
        <v>5202.6789466284536</v>
      </c>
      <c r="I70" s="15">
        <v>9345.936675140536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R70" s="1">
        <f t="shared" si="0"/>
        <v>0</v>
      </c>
    </row>
    <row r="71" spans="1:18" x14ac:dyDescent="0.2">
      <c r="A71" t="s">
        <v>297</v>
      </c>
      <c r="B71" t="s">
        <v>17</v>
      </c>
      <c r="C71" t="s">
        <v>56</v>
      </c>
      <c r="D71" t="s">
        <v>122</v>
      </c>
      <c r="E71" s="15">
        <v>2947.7889902369975</v>
      </c>
      <c r="F71" s="15">
        <v>2825.1312968057518</v>
      </c>
      <c r="G71" s="15">
        <v>4206.8493260566584</v>
      </c>
      <c r="H71" s="15">
        <v>4151.3789042084545</v>
      </c>
      <c r="I71" s="15">
        <v>4233.1903590829788</v>
      </c>
      <c r="J71" s="15">
        <v>4337.9800589869601</v>
      </c>
      <c r="K71" s="40">
        <v>4333.4783995068019</v>
      </c>
      <c r="L71" s="15">
        <v>4449.8018626933526</v>
      </c>
      <c r="M71" s="15">
        <v>4531.7375866661669</v>
      </c>
      <c r="N71" s="15">
        <v>4126.666081224027</v>
      </c>
      <c r="O71" s="15">
        <v>4030.0378449891164</v>
      </c>
      <c r="P71" s="15">
        <v>4312.2766512743383</v>
      </c>
      <c r="R71" s="1"/>
    </row>
    <row r="72" spans="1:18" x14ac:dyDescent="0.2">
      <c r="A72" t="s">
        <v>297</v>
      </c>
      <c r="B72" t="s">
        <v>17</v>
      </c>
      <c r="C72" t="s">
        <v>56</v>
      </c>
      <c r="D72" t="s">
        <v>123</v>
      </c>
      <c r="E72" s="15">
        <v>1938.2542334304057</v>
      </c>
      <c r="F72" s="15">
        <v>1857.8770098248419</v>
      </c>
      <c r="G72" s="15">
        <v>2243.6529738968848</v>
      </c>
      <c r="H72" s="15">
        <v>2215.556484454904</v>
      </c>
      <c r="I72" s="15">
        <v>2260.8933001922974</v>
      </c>
      <c r="J72" s="15">
        <v>2318.0773262457933</v>
      </c>
      <c r="K72" s="40">
        <v>2360.6434120032291</v>
      </c>
      <c r="L72" s="15">
        <v>2386.5227320891527</v>
      </c>
      <c r="M72" s="15">
        <v>2388.0888120004661</v>
      </c>
      <c r="N72" s="15">
        <v>2221.8621807933118</v>
      </c>
      <c r="O72" s="15">
        <v>2172.5817067114931</v>
      </c>
      <c r="P72" s="15">
        <v>2448.8361738375611</v>
      </c>
      <c r="R72" s="1">
        <f t="shared" ref="R72:R120" si="1">+IF(P72&gt;0,1,0)</f>
        <v>1</v>
      </c>
    </row>
    <row r="73" spans="1:18" x14ac:dyDescent="0.2">
      <c r="A73" t="s">
        <v>297</v>
      </c>
      <c r="B73" t="s">
        <v>17</v>
      </c>
      <c r="C73" t="s">
        <v>56</v>
      </c>
      <c r="D73" t="s">
        <v>124</v>
      </c>
      <c r="E73" s="15">
        <v>2829.3040493293315</v>
      </c>
      <c r="F73" s="15">
        <v>2609.6521313614617</v>
      </c>
      <c r="G73" s="15">
        <v>3831.9995754187171</v>
      </c>
      <c r="H73" s="15">
        <v>2879.8682273358572</v>
      </c>
      <c r="I73" s="15">
        <v>1881.46</v>
      </c>
      <c r="J73" s="15">
        <v>3098.099976352838</v>
      </c>
      <c r="K73" s="15">
        <v>4489.221970787904</v>
      </c>
      <c r="L73" s="15">
        <v>2622.9914249360531</v>
      </c>
      <c r="M73" s="15">
        <v>2724.3547400611619</v>
      </c>
      <c r="N73" s="15">
        <v>2292.389118676424</v>
      </c>
      <c r="O73" s="15">
        <v>4295.2801072180737</v>
      </c>
      <c r="P73" s="15">
        <v>3585.5581061692969</v>
      </c>
      <c r="R73" s="1"/>
    </row>
    <row r="74" spans="1:18" x14ac:dyDescent="0.2">
      <c r="A74" t="s">
        <v>297</v>
      </c>
      <c r="B74" t="s">
        <v>17</v>
      </c>
      <c r="C74" t="s">
        <v>56</v>
      </c>
      <c r="D74" t="s">
        <v>125</v>
      </c>
      <c r="E74" s="15">
        <v>3341.2793267193947</v>
      </c>
      <c r="F74" s="15">
        <v>3225.9169104938628</v>
      </c>
      <c r="G74" s="15">
        <v>3130.9924839771461</v>
      </c>
      <c r="H74" s="15">
        <v>3092.3157399429861</v>
      </c>
      <c r="I74" s="15">
        <v>3155.9569962542446</v>
      </c>
      <c r="J74" s="15">
        <v>3447.4362653727239</v>
      </c>
      <c r="K74" s="40">
        <v>3341.4649114216609</v>
      </c>
      <c r="L74" s="15">
        <v>3754.8482423263426</v>
      </c>
      <c r="M74" s="15">
        <v>3457.0856559939575</v>
      </c>
      <c r="N74" s="15">
        <v>3177.1163678248236</v>
      </c>
      <c r="O74" s="15">
        <v>3104.7693201601187</v>
      </c>
      <c r="P74" s="15">
        <v>3458.5522578896689</v>
      </c>
      <c r="R74" s="1">
        <f t="shared" si="1"/>
        <v>1</v>
      </c>
    </row>
    <row r="75" spans="1:18" x14ac:dyDescent="0.2">
      <c r="A75" t="s">
        <v>297</v>
      </c>
      <c r="B75" t="s">
        <v>17</v>
      </c>
      <c r="C75" t="s">
        <v>56</v>
      </c>
      <c r="D75" t="s">
        <v>126</v>
      </c>
      <c r="E75" s="15">
        <v>1966.9551534225018</v>
      </c>
      <c r="F75" s="15">
        <v>1975.2</v>
      </c>
      <c r="G75" s="15">
        <v>2015.5872077398549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R75" s="1"/>
    </row>
    <row r="76" spans="1:18" x14ac:dyDescent="0.2">
      <c r="A76" t="s">
        <v>297</v>
      </c>
      <c r="B76" t="s">
        <v>17</v>
      </c>
      <c r="C76" t="s">
        <v>56</v>
      </c>
      <c r="D76" t="s">
        <v>127</v>
      </c>
      <c r="E76" s="15">
        <v>0</v>
      </c>
      <c r="F76" s="15">
        <v>0</v>
      </c>
      <c r="G76" s="15">
        <v>6729.0529433160063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R76" s="1">
        <f t="shared" si="1"/>
        <v>0</v>
      </c>
    </row>
    <row r="77" spans="1:18" x14ac:dyDescent="0.2">
      <c r="A77" t="s">
        <v>297</v>
      </c>
      <c r="B77" t="s">
        <v>17</v>
      </c>
      <c r="C77" t="s">
        <v>56</v>
      </c>
      <c r="D77" t="s">
        <v>128</v>
      </c>
      <c r="E77" s="15">
        <v>1462.6463805211481</v>
      </c>
      <c r="F77" s="15">
        <v>720.92548762539332</v>
      </c>
      <c r="G77" s="15">
        <v>0</v>
      </c>
      <c r="H77" s="15">
        <v>561.93443026292016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R77" s="1">
        <f t="shared" si="1"/>
        <v>0</v>
      </c>
    </row>
    <row r="78" spans="1:18" x14ac:dyDescent="0.2">
      <c r="A78" t="s">
        <v>297</v>
      </c>
      <c r="B78" t="s">
        <v>17</v>
      </c>
      <c r="C78" t="s">
        <v>56</v>
      </c>
      <c r="D78" t="s">
        <v>129</v>
      </c>
      <c r="E78" s="15">
        <v>6116.6472997968531</v>
      </c>
      <c r="F78" s="15">
        <v>5859.2992471874277</v>
      </c>
      <c r="G78" s="15">
        <v>5868.732899803842</v>
      </c>
      <c r="H78" s="15">
        <v>5770.9610645576913</v>
      </c>
      <c r="I78" s="15">
        <v>5886.5524049765663</v>
      </c>
      <c r="J78" s="15">
        <v>6034.1018778502585</v>
      </c>
      <c r="K78" s="40">
        <v>5965.3229626135026</v>
      </c>
      <c r="L78" s="15">
        <v>6181.7068824830994</v>
      </c>
      <c r="M78" s="15">
        <v>6249.5378438961834</v>
      </c>
      <c r="N78" s="15">
        <v>5733.3650972669957</v>
      </c>
      <c r="O78" s="15">
        <v>5600.9214385778996</v>
      </c>
      <c r="P78" s="15">
        <v>5820.3728690892995</v>
      </c>
      <c r="R78" s="1">
        <f t="shared" si="1"/>
        <v>1</v>
      </c>
    </row>
    <row r="79" spans="1:18" x14ac:dyDescent="0.2">
      <c r="A79" t="s">
        <v>297</v>
      </c>
      <c r="B79" t="s">
        <v>17</v>
      </c>
      <c r="C79" t="s">
        <v>56</v>
      </c>
      <c r="D79" t="s">
        <v>130</v>
      </c>
      <c r="E79" s="15">
        <v>1994.7089861106258</v>
      </c>
      <c r="F79" s="15">
        <v>1637.1014051760651</v>
      </c>
      <c r="G79" s="15">
        <v>1663.8797142489532</v>
      </c>
      <c r="H79" s="15">
        <v>1698.8277208524814</v>
      </c>
      <c r="I79" s="15">
        <v>6991.7564724380973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274</v>
      </c>
      <c r="P79" s="15">
        <v>0</v>
      </c>
      <c r="Q79" s="4">
        <f>+SUM(E79:P79)</f>
        <v>14260.274298826222</v>
      </c>
      <c r="R79" s="1">
        <f t="shared" si="1"/>
        <v>0</v>
      </c>
    </row>
    <row r="80" spans="1:18" x14ac:dyDescent="0.2">
      <c r="A80" t="s">
        <v>297</v>
      </c>
      <c r="B80" t="s">
        <v>17</v>
      </c>
      <c r="C80" t="s">
        <v>56</v>
      </c>
      <c r="D80" t="s">
        <v>131</v>
      </c>
      <c r="E80" s="15">
        <v>2955.3281485219559</v>
      </c>
      <c r="F80" s="15">
        <v>2832.3587619164009</v>
      </c>
      <c r="G80" s="15">
        <v>4206.8493260566584</v>
      </c>
      <c r="H80" s="15">
        <v>4151.3955187014362</v>
      </c>
      <c r="I80" s="15">
        <v>4233.2228522959704</v>
      </c>
      <c r="J80" s="15">
        <v>4338.0264052681796</v>
      </c>
      <c r="K80" s="40">
        <v>4333.525977353097</v>
      </c>
      <c r="L80" s="15">
        <v>4449.8699251918342</v>
      </c>
      <c r="M80" s="15">
        <v>4531.8153609341625</v>
      </c>
      <c r="N80" s="15">
        <v>4135.1181224315296</v>
      </c>
      <c r="O80" s="15">
        <v>4038.3857294486475</v>
      </c>
      <c r="P80" s="15">
        <v>4441.1685984018704</v>
      </c>
      <c r="R80" s="1"/>
    </row>
    <row r="81" spans="1:18" x14ac:dyDescent="0.2">
      <c r="A81" t="s">
        <v>297</v>
      </c>
      <c r="B81" t="s">
        <v>17</v>
      </c>
      <c r="C81" t="s">
        <v>56</v>
      </c>
      <c r="D81" t="s">
        <v>132</v>
      </c>
      <c r="E81" s="15">
        <v>655.65171780750063</v>
      </c>
      <c r="F81" s="15">
        <v>658.4</v>
      </c>
      <c r="G81" s="15">
        <v>671.86240257995166</v>
      </c>
      <c r="H81" s="15">
        <v>669.52</v>
      </c>
      <c r="I81" s="15">
        <v>666.13</v>
      </c>
      <c r="J81" s="15">
        <v>654.96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R81" s="1"/>
    </row>
    <row r="82" spans="1:18" x14ac:dyDescent="0.2">
      <c r="A82" t="s">
        <v>297</v>
      </c>
      <c r="B82" t="s">
        <v>17</v>
      </c>
      <c r="C82" t="s">
        <v>56</v>
      </c>
      <c r="D82" t="s">
        <v>134</v>
      </c>
      <c r="E82" s="15">
        <v>9705.5518416242267</v>
      </c>
      <c r="F82" s="15">
        <v>9689.2921176404543</v>
      </c>
      <c r="G82" s="15">
        <v>9152.791498194063</v>
      </c>
      <c r="H82" s="15">
        <v>9549.1046683582845</v>
      </c>
      <c r="I82" s="15">
        <v>10598.236473359671</v>
      </c>
      <c r="J82" s="15">
        <v>0</v>
      </c>
      <c r="K82" s="40">
        <v>16952.004255380867</v>
      </c>
      <c r="L82" s="15">
        <v>10605.980602350655</v>
      </c>
      <c r="M82" s="15">
        <v>9094.1615789939151</v>
      </c>
      <c r="N82" s="15">
        <v>15822.168026956604</v>
      </c>
      <c r="O82" s="15">
        <v>13212.967960657819</v>
      </c>
      <c r="P82" s="15">
        <v>13223.502200464081</v>
      </c>
      <c r="R82" s="1">
        <f t="shared" si="1"/>
        <v>1</v>
      </c>
    </row>
    <row r="83" spans="1:18" x14ac:dyDescent="0.2">
      <c r="A83" t="s">
        <v>297</v>
      </c>
      <c r="B83" t="s">
        <v>17</v>
      </c>
      <c r="C83" t="s">
        <v>56</v>
      </c>
      <c r="D83" t="s">
        <v>135</v>
      </c>
      <c r="E83" s="15">
        <v>9029.0692710744734</v>
      </c>
      <c r="F83" s="15">
        <v>6945.5797969994155</v>
      </c>
      <c r="G83" s="15">
        <v>7059.189669855431</v>
      </c>
      <c r="H83" s="15">
        <v>7206.1372995625761</v>
      </c>
      <c r="I83" s="15">
        <v>9933.6703569506808</v>
      </c>
      <c r="J83" s="15">
        <v>6806.0767384134624</v>
      </c>
      <c r="K83" s="15">
        <v>13571.932369566304</v>
      </c>
      <c r="L83" s="15">
        <v>11704.078667802174</v>
      </c>
      <c r="M83" s="15">
        <v>6955.7860830591171</v>
      </c>
      <c r="N83" s="15">
        <v>13704.458292474616</v>
      </c>
      <c r="O83" s="15">
        <v>13633.856809977027</v>
      </c>
      <c r="P83" s="15">
        <v>14460.863203666706</v>
      </c>
      <c r="R83" s="1">
        <f t="shared" si="1"/>
        <v>1</v>
      </c>
    </row>
    <row r="84" spans="1:18" x14ac:dyDescent="0.2">
      <c r="A84" t="s">
        <v>297</v>
      </c>
      <c r="B84" t="s">
        <v>17</v>
      </c>
      <c r="C84" t="s">
        <v>56</v>
      </c>
      <c r="D84" t="s">
        <v>136</v>
      </c>
      <c r="E84" s="15">
        <v>0</v>
      </c>
      <c r="F84" s="15">
        <v>3372.6943545457543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R84" s="1">
        <f t="shared" si="1"/>
        <v>0</v>
      </c>
    </row>
    <row r="85" spans="1:18" x14ac:dyDescent="0.2">
      <c r="A85" t="s">
        <v>297</v>
      </c>
      <c r="B85" t="s">
        <v>17</v>
      </c>
      <c r="C85" t="s">
        <v>56</v>
      </c>
      <c r="D85" t="s">
        <v>137</v>
      </c>
      <c r="E85" s="15">
        <v>1882.5879735064757</v>
      </c>
      <c r="F85" s="15">
        <v>1803.9649346772444</v>
      </c>
      <c r="G85" s="15">
        <v>1806.7267983264226</v>
      </c>
      <c r="H85" s="15">
        <v>1783.4190601780113</v>
      </c>
      <c r="I85" s="15">
        <v>1819.1621970545318</v>
      </c>
      <c r="J85" s="15">
        <v>1864.6137242332984</v>
      </c>
      <c r="K85" s="40">
        <v>1921.3389656312459</v>
      </c>
      <c r="L85" s="15">
        <v>1910.8176543856423</v>
      </c>
      <c r="M85" s="15">
        <v>1931.1290917073386</v>
      </c>
      <c r="N85" s="15">
        <v>2260.7647077589845</v>
      </c>
      <c r="O85" s="15">
        <v>2210.6205343172974</v>
      </c>
      <c r="P85" s="15">
        <v>2045.9159498080742</v>
      </c>
      <c r="R85" s="1">
        <f t="shared" si="1"/>
        <v>1</v>
      </c>
    </row>
    <row r="86" spans="1:18" x14ac:dyDescent="0.2">
      <c r="A86" t="s">
        <v>297</v>
      </c>
      <c r="B86" t="s">
        <v>17</v>
      </c>
      <c r="C86" t="s">
        <v>56</v>
      </c>
      <c r="D86" t="s">
        <v>138</v>
      </c>
      <c r="E86" s="15">
        <v>1607.8028813760129</v>
      </c>
      <c r="F86" s="15">
        <v>1541.087584869417</v>
      </c>
      <c r="G86" s="15">
        <v>1544.3974903352901</v>
      </c>
      <c r="H86" s="15">
        <v>513.72150752003313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R86" s="1">
        <f t="shared" si="1"/>
        <v>0</v>
      </c>
    </row>
    <row r="87" spans="1:18" x14ac:dyDescent="0.2">
      <c r="A87" t="s">
        <v>297</v>
      </c>
      <c r="B87" t="s">
        <v>17</v>
      </c>
      <c r="C87" t="s">
        <v>56</v>
      </c>
      <c r="D87" t="s">
        <v>139</v>
      </c>
      <c r="E87" s="15">
        <v>675.02842169564315</v>
      </c>
      <c r="F87" s="15">
        <v>554.01062780915913</v>
      </c>
      <c r="G87" s="15">
        <v>563.06825328181446</v>
      </c>
      <c r="H87" s="15">
        <v>574.89324901322368</v>
      </c>
      <c r="I87" s="15">
        <v>2217.0895953706236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R87" s="1">
        <f t="shared" si="1"/>
        <v>0</v>
      </c>
    </row>
    <row r="88" spans="1:18" x14ac:dyDescent="0.2">
      <c r="A88" t="s">
        <v>297</v>
      </c>
      <c r="B88" t="s">
        <v>17</v>
      </c>
      <c r="C88" t="s">
        <v>56</v>
      </c>
      <c r="D88" t="s">
        <v>140</v>
      </c>
      <c r="E88" s="15">
        <v>3478.5661059451559</v>
      </c>
      <c r="F88" s="15">
        <v>2854.9354816636987</v>
      </c>
      <c r="G88" s="15">
        <v>2901.6340822937086</v>
      </c>
      <c r="H88" s="15">
        <v>2962.5716676471325</v>
      </c>
      <c r="I88" s="15">
        <v>4083.9189745772428</v>
      </c>
      <c r="J88" s="15">
        <v>2798.1088741096232</v>
      </c>
      <c r="K88" s="15">
        <v>5587.9320694312446</v>
      </c>
      <c r="L88" s="15">
        <v>4820.2370887600155</v>
      </c>
      <c r="M88" s="15">
        <v>2863.9712640417565</v>
      </c>
      <c r="N88" s="15">
        <v>4406.9687786670038</v>
      </c>
      <c r="O88" s="15">
        <v>5173.139645553003</v>
      </c>
      <c r="P88" s="15">
        <v>5490.1395581149363</v>
      </c>
      <c r="R88" s="1">
        <f t="shared" si="1"/>
        <v>1</v>
      </c>
    </row>
    <row r="89" spans="1:18" x14ac:dyDescent="0.2">
      <c r="A89" t="s">
        <v>297</v>
      </c>
      <c r="B89" t="s">
        <v>17</v>
      </c>
      <c r="C89" t="s">
        <v>56</v>
      </c>
      <c r="D89" t="s">
        <v>141</v>
      </c>
      <c r="E89" s="15">
        <v>2200.2998415960069</v>
      </c>
      <c r="F89" s="15">
        <v>1799.0397894943681</v>
      </c>
      <c r="G89" s="15">
        <v>2524.109595633995</v>
      </c>
      <c r="H89" s="15">
        <v>2467.2148251001795</v>
      </c>
      <c r="I89" s="15">
        <v>2517.6786859750741</v>
      </c>
      <c r="J89" s="15">
        <v>2581.3299968522501</v>
      </c>
      <c r="K89" s="40">
        <v>2614.7412962326516</v>
      </c>
      <c r="L89" s="15">
        <v>2655.4243470145902</v>
      </c>
      <c r="M89" s="15">
        <v>2625.4618605605847</v>
      </c>
      <c r="N89" s="15">
        <v>2467.1972410150693</v>
      </c>
      <c r="O89" s="15">
        <v>2410.9697613460507</v>
      </c>
      <c r="P89" s="15">
        <v>2683.0601721753615</v>
      </c>
      <c r="R89" s="1">
        <f t="shared" si="1"/>
        <v>1</v>
      </c>
    </row>
    <row r="90" spans="1:18" x14ac:dyDescent="0.2">
      <c r="A90" t="s">
        <v>297</v>
      </c>
      <c r="B90" t="s">
        <v>17</v>
      </c>
      <c r="C90" t="s">
        <v>56</v>
      </c>
      <c r="D90" t="s">
        <v>142</v>
      </c>
      <c r="E90" s="15">
        <v>1192.3894906095184</v>
      </c>
      <c r="F90" s="15">
        <v>978.62020183717868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R90" s="1">
        <f t="shared" si="1"/>
        <v>0</v>
      </c>
    </row>
    <row r="91" spans="1:18" x14ac:dyDescent="0.2">
      <c r="A91" t="s">
        <v>297</v>
      </c>
      <c r="B91" t="s">
        <v>17</v>
      </c>
      <c r="C91" t="s">
        <v>56</v>
      </c>
      <c r="D91" t="s">
        <v>143</v>
      </c>
      <c r="E91" s="15">
        <v>1835.82</v>
      </c>
      <c r="F91" s="15">
        <v>1843.6</v>
      </c>
      <c r="G91" s="15">
        <v>1881.2147272238644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R91" s="1">
        <f t="shared" si="1"/>
        <v>0</v>
      </c>
    </row>
    <row r="92" spans="1:18" x14ac:dyDescent="0.2">
      <c r="A92" t="s">
        <v>297</v>
      </c>
      <c r="B92" t="s">
        <v>17</v>
      </c>
      <c r="C92" t="s">
        <v>56</v>
      </c>
      <c r="D92" t="s">
        <v>144</v>
      </c>
      <c r="E92" s="15">
        <v>1180.173092053501</v>
      </c>
      <c r="F92" s="15">
        <v>1185.0999999999999</v>
      </c>
      <c r="G92" s="15">
        <v>1209.3523246439129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R92" s="1">
        <f t="shared" si="1"/>
        <v>0</v>
      </c>
    </row>
    <row r="93" spans="1:18" x14ac:dyDescent="0.2">
      <c r="A93" t="s">
        <v>297</v>
      </c>
      <c r="B93" t="s">
        <v>17</v>
      </c>
      <c r="C93" t="s">
        <v>56</v>
      </c>
      <c r="D93" t="s">
        <v>145</v>
      </c>
      <c r="E93" s="15">
        <v>0</v>
      </c>
      <c r="F93" s="15">
        <v>0</v>
      </c>
      <c r="G93" s="15">
        <v>0</v>
      </c>
      <c r="H93" s="15">
        <v>0</v>
      </c>
      <c r="I93" s="15">
        <v>2056.2748826162488</v>
      </c>
      <c r="J93" s="15">
        <v>1580.6022646048</v>
      </c>
      <c r="K93" s="40">
        <v>1584.398255563138</v>
      </c>
      <c r="L93" s="15">
        <v>1634.3019173474463</v>
      </c>
      <c r="M93" s="15">
        <v>1652.3532107112926</v>
      </c>
      <c r="N93" s="15">
        <v>1500.5437473069237</v>
      </c>
      <c r="O93" s="15">
        <v>2962.9778295143728</v>
      </c>
      <c r="P93" s="15">
        <v>1726.8077714198375</v>
      </c>
      <c r="R93" s="1">
        <f t="shared" si="1"/>
        <v>1</v>
      </c>
    </row>
    <row r="94" spans="1:18" x14ac:dyDescent="0.2">
      <c r="A94" t="s">
        <v>297</v>
      </c>
      <c r="B94" t="s">
        <v>17</v>
      </c>
      <c r="C94" t="s">
        <v>56</v>
      </c>
      <c r="D94" t="s">
        <v>146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R94" s="1">
        <f t="shared" si="1"/>
        <v>0</v>
      </c>
    </row>
    <row r="95" spans="1:18" x14ac:dyDescent="0.2">
      <c r="A95" t="s">
        <v>297</v>
      </c>
      <c r="B95" t="s">
        <v>17</v>
      </c>
      <c r="C95" t="s">
        <v>56</v>
      </c>
      <c r="D95" t="s">
        <v>147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40">
        <v>547.95405578049042</v>
      </c>
      <c r="L95" s="15">
        <v>1627.9380737394069</v>
      </c>
      <c r="M95" s="15">
        <v>1636.0101448191106</v>
      </c>
      <c r="N95" s="15">
        <v>1515.7717446397178</v>
      </c>
      <c r="O95" s="15">
        <v>1482.1689730975738</v>
      </c>
      <c r="P95" s="15">
        <v>1650.2545396330947</v>
      </c>
      <c r="R95" s="1">
        <f t="shared" si="1"/>
        <v>1</v>
      </c>
    </row>
    <row r="96" spans="1:18" x14ac:dyDescent="0.2">
      <c r="A96" t="s">
        <v>297</v>
      </c>
      <c r="B96" t="s">
        <v>17</v>
      </c>
      <c r="C96" t="s">
        <v>56</v>
      </c>
      <c r="D96" t="s">
        <v>149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196.49</v>
      </c>
      <c r="K96" s="15">
        <v>481</v>
      </c>
      <c r="L96" s="15">
        <v>471.57</v>
      </c>
      <c r="M96" s="15">
        <v>477</v>
      </c>
      <c r="N96" s="15">
        <v>479</v>
      </c>
      <c r="O96" s="15">
        <v>0</v>
      </c>
      <c r="P96" s="15">
        <v>0</v>
      </c>
      <c r="R96" s="1">
        <f t="shared" si="1"/>
        <v>0</v>
      </c>
    </row>
    <row r="97" spans="1:18" x14ac:dyDescent="0.2">
      <c r="A97" t="s">
        <v>297</v>
      </c>
      <c r="B97" t="s">
        <v>17</v>
      </c>
      <c r="C97" t="s">
        <v>56</v>
      </c>
      <c r="D97" t="s">
        <v>150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1199.7126188938573</v>
      </c>
      <c r="M97" s="15">
        <v>5141.6883581073416</v>
      </c>
      <c r="N97" s="15">
        <v>7819.3330591845124</v>
      </c>
      <c r="O97" s="15">
        <v>9071.2286839514272</v>
      </c>
      <c r="P97" s="15">
        <v>9716.1581854506985</v>
      </c>
      <c r="R97" s="1">
        <f t="shared" si="1"/>
        <v>1</v>
      </c>
    </row>
    <row r="98" spans="1:18" x14ac:dyDescent="0.2">
      <c r="A98" t="s">
        <v>297</v>
      </c>
      <c r="B98" t="s">
        <v>17</v>
      </c>
      <c r="C98" t="s">
        <v>56</v>
      </c>
      <c r="D98" t="s">
        <v>156</v>
      </c>
      <c r="E98" s="15">
        <v>2059.2952142769968</v>
      </c>
      <c r="F98" s="15">
        <v>2047.8240838263323</v>
      </c>
      <c r="G98" s="15">
        <v>1922.5865552331445</v>
      </c>
      <c r="H98" s="15">
        <v>2126.3823091276245</v>
      </c>
      <c r="I98" s="15">
        <v>2250.0887897942366</v>
      </c>
      <c r="J98" s="15">
        <v>0</v>
      </c>
      <c r="K98" s="15">
        <v>3847.0987533896546</v>
      </c>
      <c r="L98" s="15">
        <v>1902.8022908797057</v>
      </c>
      <c r="M98" s="15">
        <v>2241.0612462520717</v>
      </c>
      <c r="N98" s="15">
        <v>0</v>
      </c>
      <c r="O98" s="15">
        <v>0</v>
      </c>
      <c r="P98" s="15">
        <v>0</v>
      </c>
      <c r="R98" s="1">
        <v>1</v>
      </c>
    </row>
    <row r="99" spans="1:18" x14ac:dyDescent="0.2">
      <c r="A99" t="s">
        <v>297</v>
      </c>
      <c r="B99" t="s">
        <v>17</v>
      </c>
      <c r="C99" t="s">
        <v>56</v>
      </c>
      <c r="D99" t="s">
        <v>157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7567.3929019102188</v>
      </c>
      <c r="N99" s="15">
        <v>6949.092822107501</v>
      </c>
      <c r="O99" s="15">
        <v>6791.0935600656812</v>
      </c>
      <c r="P99" s="15">
        <v>6820.6214393141272</v>
      </c>
      <c r="R99" s="1">
        <f t="shared" si="1"/>
        <v>1</v>
      </c>
    </row>
    <row r="100" spans="1:18" x14ac:dyDescent="0.2">
      <c r="A100" t="s">
        <v>297</v>
      </c>
      <c r="B100" t="s">
        <v>17</v>
      </c>
      <c r="C100" t="s">
        <v>56</v>
      </c>
      <c r="D100" t="s">
        <v>330</v>
      </c>
      <c r="E100" s="15">
        <v>1531.8459506706686</v>
      </c>
      <c r="F100" s="15">
        <v>1546.9078686385385</v>
      </c>
      <c r="G100" s="15">
        <v>2115.5404245812829</v>
      </c>
      <c r="H100" s="15">
        <v>1599.2617726641422</v>
      </c>
      <c r="I100" s="15">
        <v>1060.3599999999999</v>
      </c>
      <c r="J100" s="15">
        <v>1558.9100236471625</v>
      </c>
      <c r="K100" s="15">
        <v>1362.7780292120963</v>
      </c>
      <c r="L100" s="15">
        <v>1463.2385750639471</v>
      </c>
      <c r="M100" s="15">
        <v>1558.6452599388379</v>
      </c>
      <c r="N100" s="15">
        <v>1258.6108813235762</v>
      </c>
      <c r="O100" s="15">
        <v>2365.7198927819263</v>
      </c>
      <c r="P100" s="15">
        <v>1980.4418938307031</v>
      </c>
      <c r="R100" s="1">
        <f t="shared" si="1"/>
        <v>1</v>
      </c>
    </row>
    <row r="101" spans="1:18" x14ac:dyDescent="0.2">
      <c r="A101" t="s">
        <v>297</v>
      </c>
      <c r="B101" t="s">
        <v>17</v>
      </c>
      <c r="C101" t="s">
        <v>56</v>
      </c>
      <c r="D101" t="s">
        <v>331</v>
      </c>
      <c r="E101" s="15">
        <v>2802.86</v>
      </c>
      <c r="F101" s="15">
        <v>2844.04</v>
      </c>
      <c r="G101" s="15">
        <v>2846.91</v>
      </c>
      <c r="H101" s="15">
        <v>2881.39</v>
      </c>
      <c r="I101" s="15">
        <v>2950.14</v>
      </c>
      <c r="J101" s="15">
        <v>2720.9</v>
      </c>
      <c r="K101" s="15">
        <v>2788</v>
      </c>
      <c r="L101" s="15">
        <v>2956.01</v>
      </c>
      <c r="M101" s="15">
        <v>2946</v>
      </c>
      <c r="N101" s="15">
        <v>2695</v>
      </c>
      <c r="O101" s="15">
        <v>2806</v>
      </c>
      <c r="P101" s="15">
        <v>3034</v>
      </c>
      <c r="R101" s="1">
        <f t="shared" si="1"/>
        <v>1</v>
      </c>
    </row>
    <row r="102" spans="1:18" x14ac:dyDescent="0.2">
      <c r="A102" t="s">
        <v>297</v>
      </c>
      <c r="B102" t="s">
        <v>17</v>
      </c>
      <c r="C102" t="s">
        <v>56</v>
      </c>
      <c r="D102" t="s">
        <v>195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838.3</v>
      </c>
      <c r="M102" s="15">
        <v>848</v>
      </c>
      <c r="N102" s="15">
        <v>852</v>
      </c>
      <c r="O102" s="15">
        <v>848</v>
      </c>
      <c r="P102" s="15">
        <v>858</v>
      </c>
      <c r="R102" s="1">
        <f t="shared" si="1"/>
        <v>1</v>
      </c>
    </row>
    <row r="103" spans="1:18" x14ac:dyDescent="0.2">
      <c r="A103" t="s">
        <v>297</v>
      </c>
      <c r="B103" t="s">
        <v>17</v>
      </c>
      <c r="C103" t="s">
        <v>56</v>
      </c>
      <c r="D103" t="s">
        <v>332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1118.9004135915743</v>
      </c>
      <c r="O103" s="15">
        <v>1751.7117796229622</v>
      </c>
      <c r="P103" s="15">
        <v>1805.0929126368051</v>
      </c>
      <c r="R103" s="1">
        <f t="shared" si="1"/>
        <v>1</v>
      </c>
    </row>
    <row r="104" spans="1:18" x14ac:dyDescent="0.2">
      <c r="A104" t="s">
        <v>297</v>
      </c>
      <c r="B104" t="s">
        <v>17</v>
      </c>
      <c r="C104" t="s">
        <v>56</v>
      </c>
      <c r="D104" t="s">
        <v>333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5354.4082843404976</v>
      </c>
      <c r="O104" s="15">
        <v>2573.075339645945</v>
      </c>
      <c r="P104" s="15">
        <v>2800.8636845107144</v>
      </c>
      <c r="R104" s="1">
        <f t="shared" si="1"/>
        <v>1</v>
      </c>
    </row>
    <row r="105" spans="1:18" x14ac:dyDescent="0.2">
      <c r="A105" t="s">
        <v>297</v>
      </c>
      <c r="B105" t="s">
        <v>17</v>
      </c>
      <c r="C105" t="s">
        <v>56</v>
      </c>
      <c r="D105" t="s">
        <v>334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2520.9708812164849</v>
      </c>
      <c r="P105" s="15">
        <v>2541.2046767828997</v>
      </c>
      <c r="R105" s="1">
        <f t="shared" si="1"/>
        <v>1</v>
      </c>
    </row>
    <row r="106" spans="1:18" x14ac:dyDescent="0.2">
      <c r="A106" t="s">
        <v>297</v>
      </c>
      <c r="B106" t="s">
        <v>17</v>
      </c>
      <c r="C106" t="s">
        <v>56</v>
      </c>
      <c r="D106" t="s">
        <v>335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1458</v>
      </c>
      <c r="P106" s="15">
        <v>1474</v>
      </c>
      <c r="R106" s="1">
        <f t="shared" si="1"/>
        <v>1</v>
      </c>
    </row>
    <row r="107" spans="1:18" x14ac:dyDescent="0.2">
      <c r="A107" t="s">
        <v>297</v>
      </c>
      <c r="B107" t="s">
        <v>17</v>
      </c>
      <c r="C107" t="s">
        <v>56</v>
      </c>
      <c r="D107" t="s">
        <v>336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1829.5406698616789</v>
      </c>
      <c r="R107" s="1">
        <f t="shared" si="1"/>
        <v>1</v>
      </c>
    </row>
    <row r="108" spans="1:18" x14ac:dyDescent="0.2">
      <c r="A108" t="s">
        <v>297</v>
      </c>
      <c r="B108" t="s">
        <v>17</v>
      </c>
      <c r="C108" t="s">
        <v>56</v>
      </c>
      <c r="D108" t="s">
        <v>337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6571.9777486219973</v>
      </c>
      <c r="R108" s="1">
        <f t="shared" si="1"/>
        <v>1</v>
      </c>
    </row>
    <row r="109" spans="1:18" x14ac:dyDescent="0.2">
      <c r="A109" t="s">
        <v>297</v>
      </c>
      <c r="B109" t="s">
        <v>17</v>
      </c>
      <c r="C109" t="s">
        <v>56</v>
      </c>
      <c r="D109" t="s">
        <v>338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7409.5827557993107</v>
      </c>
      <c r="R109" s="1">
        <f t="shared" si="1"/>
        <v>1</v>
      </c>
    </row>
    <row r="110" spans="1:18" x14ac:dyDescent="0.2">
      <c r="A110" t="s">
        <v>297</v>
      </c>
      <c r="B110" t="s">
        <v>17</v>
      </c>
      <c r="C110" t="s">
        <v>56</v>
      </c>
      <c r="D110" t="s">
        <v>339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6249.8219766307238</v>
      </c>
      <c r="R110" s="1">
        <f t="shared" si="1"/>
        <v>1</v>
      </c>
    </row>
    <row r="111" spans="1:18" x14ac:dyDescent="0.2">
      <c r="A111" t="s">
        <v>297</v>
      </c>
      <c r="B111" t="s">
        <v>17</v>
      </c>
      <c r="C111" t="s">
        <v>160</v>
      </c>
      <c r="E111" s="15">
        <v>0</v>
      </c>
      <c r="F111" s="15">
        <v>0</v>
      </c>
      <c r="G111" s="15">
        <v>2418.7046492878258</v>
      </c>
      <c r="H111" s="15">
        <v>0</v>
      </c>
      <c r="I111" s="15">
        <v>0</v>
      </c>
      <c r="J111" s="15">
        <v>0</v>
      </c>
      <c r="K111" s="15">
        <v>2133.7663722855073</v>
      </c>
      <c r="L111" s="15">
        <v>2201.3184213356276</v>
      </c>
      <c r="M111" s="15">
        <v>2843.4696235195042</v>
      </c>
      <c r="N111" s="15">
        <v>4672.1249504717234</v>
      </c>
      <c r="O111" s="15">
        <v>603.87093454096339</v>
      </c>
      <c r="P111" s="15">
        <v>0</v>
      </c>
      <c r="R111" s="1">
        <f t="shared" si="1"/>
        <v>0</v>
      </c>
    </row>
    <row r="112" spans="1:18" x14ac:dyDescent="0.2">
      <c r="A112" t="s">
        <v>297</v>
      </c>
      <c r="B112" t="s">
        <v>17</v>
      </c>
      <c r="C112" t="s">
        <v>151</v>
      </c>
      <c r="D112" t="s">
        <v>152</v>
      </c>
      <c r="E112" s="15">
        <v>874.87196995561624</v>
      </c>
      <c r="F112" s="15">
        <v>824.51943037449132</v>
      </c>
      <c r="G112" s="15">
        <v>820.69467833417707</v>
      </c>
      <c r="H112" s="15">
        <v>827.35330264336449</v>
      </c>
      <c r="I112" s="15">
        <v>865.44537412297905</v>
      </c>
      <c r="J112" s="15">
        <v>0</v>
      </c>
      <c r="K112" s="15">
        <v>847.2791074704553</v>
      </c>
      <c r="L112" s="15">
        <v>1708.5170448435315</v>
      </c>
      <c r="M112" s="15">
        <v>857.66186933848689</v>
      </c>
      <c r="N112" s="15">
        <v>1701.3632323491931</v>
      </c>
      <c r="O112" s="15">
        <v>817.59468917249899</v>
      </c>
      <c r="P112" s="15">
        <v>809.06766886661774</v>
      </c>
      <c r="R112" s="1"/>
    </row>
    <row r="113" spans="1:18" x14ac:dyDescent="0.2">
      <c r="A113" t="s">
        <v>297</v>
      </c>
      <c r="B113" t="s">
        <v>17</v>
      </c>
      <c r="C113" t="s">
        <v>151</v>
      </c>
      <c r="D113" t="s">
        <v>153</v>
      </c>
      <c r="E113" s="15">
        <v>15418.672011806297</v>
      </c>
      <c r="F113" s="15">
        <v>14531.26297434194</v>
      </c>
      <c r="G113" s="15">
        <v>14463.855857345057</v>
      </c>
      <c r="H113" s="15">
        <v>14581.206907326015</v>
      </c>
      <c r="I113" s="15">
        <v>15252.538458186255</v>
      </c>
      <c r="J113" s="15">
        <v>0</v>
      </c>
      <c r="K113" s="15">
        <v>14932.37766116302</v>
      </c>
      <c r="L113" s="15">
        <v>30110.764598343907</v>
      </c>
      <c r="M113" s="15">
        <v>15115.362606752247</v>
      </c>
      <c r="N113" s="15">
        <v>29984.686392306787</v>
      </c>
      <c r="O113" s="15">
        <v>14409.221902017291</v>
      </c>
      <c r="P113" s="15">
        <v>14258.942393872729</v>
      </c>
      <c r="R113" s="1">
        <f t="shared" si="1"/>
        <v>1</v>
      </c>
    </row>
    <row r="114" spans="1:18" x14ac:dyDescent="0.2">
      <c r="A114" t="s">
        <v>297</v>
      </c>
      <c r="B114" t="s">
        <v>17</v>
      </c>
      <c r="C114" t="s">
        <v>151</v>
      </c>
      <c r="D114" t="s">
        <v>154</v>
      </c>
      <c r="E114" s="15">
        <v>7645.5500611240213</v>
      </c>
      <c r="F114" s="15">
        <v>7205.5166901934726</v>
      </c>
      <c r="G114" s="15">
        <v>7172.0919901232528</v>
      </c>
      <c r="H114" s="15">
        <v>7230.2820422021787</v>
      </c>
      <c r="I114" s="15">
        <v>7563.1705669586436</v>
      </c>
      <c r="J114" s="15">
        <v>0</v>
      </c>
      <c r="K114" s="15">
        <v>7404.414650795683</v>
      </c>
      <c r="L114" s="15">
        <v>14930.816216797506</v>
      </c>
      <c r="M114" s="15">
        <v>7495.1501279407476</v>
      </c>
      <c r="N114" s="15">
        <v>14868.298690311734</v>
      </c>
      <c r="O114" s="15">
        <v>7145.0010292301358</v>
      </c>
      <c r="P114" s="15">
        <v>7070.4829707487979</v>
      </c>
      <c r="R114" s="1"/>
    </row>
    <row r="115" spans="1:18" x14ac:dyDescent="0.2">
      <c r="A115" t="s">
        <v>297</v>
      </c>
      <c r="B115" t="s">
        <v>17</v>
      </c>
      <c r="C115" t="s">
        <v>151</v>
      </c>
      <c r="D115" t="s">
        <v>155</v>
      </c>
      <c r="E115" s="15">
        <v>2505.2060044714149</v>
      </c>
      <c r="F115" s="15">
        <v>2361.0209250186831</v>
      </c>
      <c r="G115" s="15">
        <v>2350.0687033153226</v>
      </c>
      <c r="H115" s="15">
        <v>2369.1357510363073</v>
      </c>
      <c r="I115" s="15">
        <v>2478.2128382795136</v>
      </c>
      <c r="J115" s="15">
        <v>0</v>
      </c>
      <c r="K115" s="15">
        <v>2426.1935236144886</v>
      </c>
      <c r="L115" s="15">
        <v>4892.3583180987207</v>
      </c>
      <c r="M115" s="15">
        <v>2455.9246823074682</v>
      </c>
      <c r="N115" s="15">
        <v>4871.8732932823596</v>
      </c>
      <c r="O115" s="15">
        <v>2341.1918484973239</v>
      </c>
      <c r="P115" s="15">
        <v>2316.7746272305058</v>
      </c>
      <c r="R115" s="1">
        <f t="shared" si="1"/>
        <v>1</v>
      </c>
    </row>
    <row r="116" spans="1:18" x14ac:dyDescent="0.2">
      <c r="A116" t="s">
        <v>298</v>
      </c>
      <c r="E116" s="15">
        <v>302229.93097764079</v>
      </c>
      <c r="F116" s="15">
        <v>278427.94484608859</v>
      </c>
      <c r="G116" s="15">
        <v>291164.89589620789</v>
      </c>
      <c r="H116" s="15">
        <v>271765.1783934579</v>
      </c>
      <c r="I116" s="15">
        <v>312956.31121944432</v>
      </c>
      <c r="J116" s="15">
        <v>232896.53622149272</v>
      </c>
      <c r="K116" s="15">
        <v>337718.44103513699</v>
      </c>
      <c r="L116" s="15">
        <v>308232.77811207116</v>
      </c>
      <c r="M116" s="15">
        <v>274399.59765384864</v>
      </c>
      <c r="N116" s="15">
        <v>298976.34150563017</v>
      </c>
      <c r="O116" s="1">
        <v>275442.67517496913</v>
      </c>
      <c r="P116" s="1">
        <v>310359.48926635797</v>
      </c>
      <c r="R116" s="1"/>
    </row>
    <row r="117" spans="1:18" x14ac:dyDescent="0.2">
      <c r="A117" t="s">
        <v>299</v>
      </c>
      <c r="B117" t="s">
        <v>17</v>
      </c>
      <c r="C117" t="s">
        <v>56</v>
      </c>
      <c r="D117" t="s">
        <v>133</v>
      </c>
      <c r="E117" s="15">
        <v>0</v>
      </c>
      <c r="F117" s="15">
        <v>72.656314871709696</v>
      </c>
      <c r="G117" s="15">
        <v>118.81024454247725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">
        <v>0</v>
      </c>
      <c r="P117" s="1">
        <v>0</v>
      </c>
      <c r="R117" s="1">
        <f t="shared" si="1"/>
        <v>0</v>
      </c>
    </row>
    <row r="118" spans="1:18" x14ac:dyDescent="0.2">
      <c r="A118" t="s">
        <v>299</v>
      </c>
      <c r="B118" t="s">
        <v>17</v>
      </c>
      <c r="C118" t="s">
        <v>56</v>
      </c>
      <c r="D118" t="s">
        <v>340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">
        <v>580.71678424068114</v>
      </c>
      <c r="P118" s="1">
        <v>0</v>
      </c>
      <c r="R118" s="1">
        <f t="shared" si="1"/>
        <v>0</v>
      </c>
    </row>
    <row r="119" spans="1:18" x14ac:dyDescent="0.2">
      <c r="A119" t="s">
        <v>299</v>
      </c>
      <c r="B119" t="s">
        <v>17</v>
      </c>
      <c r="C119" t="s">
        <v>56</v>
      </c>
      <c r="D119" t="s">
        <v>341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">
        <v>0</v>
      </c>
      <c r="P119" s="1">
        <v>5877.3802919329737</v>
      </c>
      <c r="R119" s="1">
        <f t="shared" si="1"/>
        <v>1</v>
      </c>
    </row>
    <row r="120" spans="1:18" x14ac:dyDescent="0.2">
      <c r="A120" t="s">
        <v>299</v>
      </c>
      <c r="B120" t="s">
        <v>17</v>
      </c>
      <c r="C120" t="s">
        <v>56</v>
      </c>
      <c r="D120" t="s">
        <v>342</v>
      </c>
      <c r="E120" s="15">
        <v>275.33342878225528</v>
      </c>
      <c r="F120" s="15">
        <v>0</v>
      </c>
      <c r="G120" s="15">
        <v>0</v>
      </c>
      <c r="H120" s="15">
        <v>0</v>
      </c>
      <c r="I120" s="15">
        <v>0</v>
      </c>
      <c r="J120" s="15">
        <v>314.94795266067723</v>
      </c>
      <c r="K120" s="15">
        <v>266.6496010921968</v>
      </c>
      <c r="L120" s="15">
        <v>376.38455747929885</v>
      </c>
      <c r="M120" s="15">
        <v>465.60715172585049</v>
      </c>
      <c r="N120" s="15">
        <v>461.81771452436794</v>
      </c>
      <c r="O120" s="1">
        <v>443.85549608892546</v>
      </c>
      <c r="P120" s="1">
        <v>592.00073331703743</v>
      </c>
      <c r="R120" s="1">
        <f t="shared" si="1"/>
        <v>1</v>
      </c>
    </row>
    <row r="121" spans="1:18" x14ac:dyDescent="0.2">
      <c r="A121" t="s">
        <v>300</v>
      </c>
      <c r="E121" s="15">
        <v>275.33342878225528</v>
      </c>
      <c r="F121" s="15">
        <v>72.656314871709696</v>
      </c>
      <c r="G121" s="15">
        <v>118.81024454247725</v>
      </c>
      <c r="H121" s="15">
        <v>0</v>
      </c>
      <c r="I121" s="15">
        <v>0</v>
      </c>
      <c r="J121" s="15">
        <v>314.94795266067723</v>
      </c>
      <c r="K121" s="15">
        <v>266.6496010921968</v>
      </c>
      <c r="L121" s="15">
        <v>376.38455747929885</v>
      </c>
      <c r="M121" s="15">
        <v>465.60715172585049</v>
      </c>
      <c r="N121" s="15">
        <v>461.81771452436794</v>
      </c>
      <c r="O121" s="1">
        <v>1024.5722803296067</v>
      </c>
      <c r="P121" s="1">
        <v>6469.3810252500116</v>
      </c>
      <c r="R121" s="1"/>
    </row>
    <row r="122" spans="1:18" x14ac:dyDescent="0.2">
      <c r="A122" t="s">
        <v>23</v>
      </c>
      <c r="E122" s="15">
        <v>302505.26440642303</v>
      </c>
      <c r="F122" s="15">
        <v>278500.60116096027</v>
      </c>
      <c r="G122" s="15">
        <v>291283.70614075038</v>
      </c>
      <c r="H122" s="15">
        <v>271765.1783934579</v>
      </c>
      <c r="I122" s="15">
        <v>312956.31121944432</v>
      </c>
      <c r="J122" s="15">
        <v>233211.48417415339</v>
      </c>
      <c r="K122" s="15">
        <v>337985.0906362292</v>
      </c>
      <c r="L122" s="15">
        <v>308609.16266955045</v>
      </c>
      <c r="M122" s="15">
        <v>274865.2048055745</v>
      </c>
      <c r="N122" s="15">
        <v>299438.15922015451</v>
      </c>
      <c r="O122" s="1">
        <v>276467.24745529873</v>
      </c>
      <c r="P122" s="1">
        <v>316828.87029160798</v>
      </c>
      <c r="R122" s="1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867E-65BD-43EF-A4E1-E68E0950BA2C}">
  <sheetPr filterMode="1">
    <tabColor theme="5"/>
  </sheetPr>
  <dimension ref="A2:W131"/>
  <sheetViews>
    <sheetView zoomScale="80" zoomScaleNormal="80" workbookViewId="0">
      <selection activeCell="P101" sqref="P101"/>
    </sheetView>
  </sheetViews>
  <sheetFormatPr baseColWidth="10" defaultRowHeight="15" x14ac:dyDescent="0.2"/>
  <cols>
    <col min="1" max="1" width="17.5" bestFit="1" customWidth="1"/>
    <col min="2" max="2" width="20" bestFit="1" customWidth="1"/>
    <col min="3" max="3" width="16.5" bestFit="1" customWidth="1"/>
    <col min="4" max="4" width="42.83203125" bestFit="1" customWidth="1"/>
    <col min="5" max="5" width="18.33203125" bestFit="1" customWidth="1"/>
    <col min="6" max="16" width="8.5" bestFit="1" customWidth="1"/>
    <col min="17" max="17" width="10" bestFit="1" customWidth="1"/>
    <col min="18" max="18" width="8.83203125" customWidth="1"/>
    <col min="19" max="19" width="10" bestFit="1" customWidth="1"/>
    <col min="20" max="20" width="8.5" bestFit="1" customWidth="1"/>
    <col min="21" max="21" width="13" bestFit="1" customWidth="1"/>
    <col min="22" max="31" width="7.83203125" bestFit="1" customWidth="1"/>
  </cols>
  <sheetData>
    <row r="2" spans="1:23" x14ac:dyDescent="0.2">
      <c r="A2" s="3" t="s">
        <v>0</v>
      </c>
      <c r="B2" t="s">
        <v>1</v>
      </c>
    </row>
    <row r="3" spans="1:23" x14ac:dyDescent="0.2">
      <c r="A3" s="3" t="s">
        <v>2</v>
      </c>
      <c r="B3" t="s">
        <v>31</v>
      </c>
    </row>
    <row r="5" spans="1:23" x14ac:dyDescent="0.2">
      <c r="A5" s="3" t="s">
        <v>4</v>
      </c>
      <c r="E5" s="3" t="s">
        <v>5</v>
      </c>
      <c r="U5" t="s">
        <v>347</v>
      </c>
      <c r="V5" t="s">
        <v>151</v>
      </c>
      <c r="W5" t="s">
        <v>348</v>
      </c>
    </row>
    <row r="6" spans="1:23" x14ac:dyDescent="0.2">
      <c r="A6" s="3" t="s">
        <v>6</v>
      </c>
      <c r="B6" s="3" t="s">
        <v>7</v>
      </c>
      <c r="C6" s="3" t="s">
        <v>8</v>
      </c>
      <c r="D6" s="3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R6" s="1"/>
      <c r="S6" s="1"/>
      <c r="T6" s="1"/>
    </row>
    <row r="7" spans="1:23" hidden="1" x14ac:dyDescent="0.2">
      <c r="A7" t="s">
        <v>297</v>
      </c>
      <c r="B7" t="s">
        <v>17</v>
      </c>
      <c r="C7" t="s">
        <v>329</v>
      </c>
      <c r="D7" s="125" t="s">
        <v>134</v>
      </c>
      <c r="E7" s="15">
        <v>0</v>
      </c>
      <c r="F7" s="15">
        <v>1467.753278836298</v>
      </c>
      <c r="G7" s="15">
        <v>0</v>
      </c>
      <c r="H7" s="15">
        <v>0</v>
      </c>
      <c r="I7" s="15">
        <v>260.87985968628828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4">
        <f>+SUM(E7:P7)</f>
        <v>1728.6331385225863</v>
      </c>
      <c r="R7" s="1">
        <v>1</v>
      </c>
      <c r="S7" s="1">
        <f>+Q7*R7</f>
        <v>1728.6331385225863</v>
      </c>
      <c r="T7" s="1"/>
      <c r="U7">
        <f>+IF(P7&gt;0,1,0)</f>
        <v>0</v>
      </c>
      <c r="W7">
        <f>+IF(P7&gt;0,1,0)</f>
        <v>0</v>
      </c>
    </row>
    <row r="8" spans="1:23" hidden="1" x14ac:dyDescent="0.2">
      <c r="A8" t="s">
        <v>297</v>
      </c>
      <c r="B8" t="s">
        <v>17</v>
      </c>
      <c r="C8" t="s">
        <v>56</v>
      </c>
      <c r="D8" t="s">
        <v>57</v>
      </c>
      <c r="E8" s="15">
        <v>8612.8751634773835</v>
      </c>
      <c r="F8" s="15">
        <v>8256.7910625517725</v>
      </c>
      <c r="G8" s="15">
        <v>8277.5327554106225</v>
      </c>
      <c r="H8" s="15">
        <v>8177.8985091220493</v>
      </c>
      <c r="I8" s="15">
        <v>8346.2575479809475</v>
      </c>
      <c r="J8" s="15">
        <v>8561.138654576278</v>
      </c>
      <c r="K8" s="15">
        <v>8384.3220024460734</v>
      </c>
      <c r="L8" s="15">
        <v>0</v>
      </c>
      <c r="M8" s="15">
        <v>12470.381469878803</v>
      </c>
      <c r="N8" s="15">
        <v>0</v>
      </c>
      <c r="O8" s="15">
        <v>0</v>
      </c>
      <c r="P8" s="15">
        <v>0</v>
      </c>
      <c r="Q8" s="4">
        <f t="shared" ref="Q8:Q71" si="0">+SUM(E8:P8)</f>
        <v>71087.197165443926</v>
      </c>
      <c r="R8" s="1">
        <v>1</v>
      </c>
      <c r="S8" s="1">
        <f t="shared" ref="S8:S71" si="1">+Q8*R8</f>
        <v>71087.197165443926</v>
      </c>
      <c r="T8" s="1"/>
      <c r="U8">
        <f t="shared" ref="U8:U71" si="2">+IF(P8&gt;0,1,0)</f>
        <v>0</v>
      </c>
      <c r="W8">
        <f>+IF(P8&gt;0,1,0)</f>
        <v>0</v>
      </c>
    </row>
    <row r="9" spans="1:23" x14ac:dyDescent="0.2">
      <c r="A9" t="s">
        <v>297</v>
      </c>
      <c r="B9" t="s">
        <v>17</v>
      </c>
      <c r="C9" t="s">
        <v>56</v>
      </c>
      <c r="D9" t="s">
        <v>58</v>
      </c>
      <c r="E9" s="15">
        <v>8425.1203392948155</v>
      </c>
      <c r="F9" s="15">
        <v>8065.6523221894395</v>
      </c>
      <c r="G9" s="15">
        <v>8084.2266265952112</v>
      </c>
      <c r="H9" s="15">
        <v>9000.5222083130284</v>
      </c>
      <c r="I9" s="15">
        <v>9188.1821260660054</v>
      </c>
      <c r="J9" s="15">
        <v>9427.2680962373615</v>
      </c>
      <c r="K9" s="40">
        <v>9215.5727465969649</v>
      </c>
      <c r="L9" s="15">
        <v>9646.0850959629643</v>
      </c>
      <c r="M9" s="15">
        <v>9698.6680896695398</v>
      </c>
      <c r="N9" s="15">
        <v>8989.0109403487531</v>
      </c>
      <c r="O9" s="15">
        <v>8785.0905999411843</v>
      </c>
      <c r="P9" s="15">
        <v>8896.3496842622735</v>
      </c>
      <c r="Q9" s="4">
        <f t="shared" si="0"/>
        <v>107421.74887547753</v>
      </c>
      <c r="R9" s="1">
        <v>1</v>
      </c>
      <c r="S9" s="1">
        <f t="shared" si="1"/>
        <v>107421.74887547753</v>
      </c>
      <c r="T9" s="1"/>
      <c r="U9">
        <f t="shared" si="2"/>
        <v>1</v>
      </c>
    </row>
    <row r="10" spans="1:23" x14ac:dyDescent="0.2">
      <c r="A10" t="s">
        <v>297</v>
      </c>
      <c r="B10" t="s">
        <v>17</v>
      </c>
      <c r="C10" t="s">
        <v>56</v>
      </c>
      <c r="D10" t="s">
        <v>59</v>
      </c>
      <c r="E10" s="15">
        <v>2947.9802430904697</v>
      </c>
      <c r="F10" s="15">
        <v>2825.3146426480248</v>
      </c>
      <c r="G10" s="15">
        <v>2831.8560489492356</v>
      </c>
      <c r="H10" s="15">
        <v>2796.9640518392966</v>
      </c>
      <c r="I10" s="15">
        <v>2854.5880967501216</v>
      </c>
      <c r="J10" s="15">
        <v>2927.2905029357667</v>
      </c>
      <c r="K10" s="40">
        <v>2944.3130375187034</v>
      </c>
      <c r="L10" s="15">
        <v>3029.155526177648</v>
      </c>
      <c r="M10" s="15">
        <v>3023.000544445686</v>
      </c>
      <c r="N10" s="15">
        <v>2797.3887566644094</v>
      </c>
      <c r="O10" s="15">
        <v>2733.6621571356404</v>
      </c>
      <c r="P10" s="15">
        <v>3505.8176641331406</v>
      </c>
      <c r="Q10" s="4">
        <f t="shared" si="0"/>
        <v>35217.331272288146</v>
      </c>
      <c r="R10" s="1">
        <v>1</v>
      </c>
      <c r="S10" s="1">
        <f t="shared" si="1"/>
        <v>35217.331272288146</v>
      </c>
      <c r="T10" s="1"/>
      <c r="U10">
        <f t="shared" si="2"/>
        <v>1</v>
      </c>
    </row>
    <row r="11" spans="1:23" hidden="1" x14ac:dyDescent="0.2">
      <c r="A11" t="s">
        <v>297</v>
      </c>
      <c r="B11" t="s">
        <v>17</v>
      </c>
      <c r="C11" t="s">
        <v>56</v>
      </c>
      <c r="D11" t="s">
        <v>60</v>
      </c>
      <c r="E11" s="15">
        <v>15627.149043833319</v>
      </c>
      <c r="F11" s="15">
        <v>12771.725719447648</v>
      </c>
      <c r="G11" s="15">
        <v>12720.816906483687</v>
      </c>
      <c r="H11" s="15">
        <v>13033.346535653058</v>
      </c>
      <c r="I11" s="15">
        <v>18057.935569806727</v>
      </c>
      <c r="J11" s="15">
        <v>12583.421739554415</v>
      </c>
      <c r="K11" s="15">
        <v>24597.318793457056</v>
      </c>
      <c r="L11" s="15">
        <v>21641.215722496949</v>
      </c>
      <c r="M11" s="15">
        <v>12712.143991830251</v>
      </c>
      <c r="N11" s="15">
        <v>0</v>
      </c>
      <c r="O11" s="15">
        <v>0</v>
      </c>
      <c r="P11" s="15">
        <v>0</v>
      </c>
      <c r="Q11" s="4">
        <f t="shared" si="0"/>
        <v>143745.07402256312</v>
      </c>
      <c r="R11" s="1">
        <v>0</v>
      </c>
      <c r="S11" s="1">
        <f t="shared" si="1"/>
        <v>0</v>
      </c>
      <c r="T11" s="1"/>
      <c r="U11">
        <f t="shared" si="2"/>
        <v>0</v>
      </c>
      <c r="W11">
        <f t="shared" ref="W11:W14" si="3">+IF(P11&gt;0,1,0)</f>
        <v>0</v>
      </c>
    </row>
    <row r="12" spans="1:23" hidden="1" x14ac:dyDescent="0.2">
      <c r="A12" t="s">
        <v>297</v>
      </c>
      <c r="B12" t="s">
        <v>17</v>
      </c>
      <c r="C12" t="s">
        <v>56</v>
      </c>
      <c r="D12" t="s">
        <v>61</v>
      </c>
      <c r="E12" s="15">
        <v>3378.517250586694</v>
      </c>
      <c r="F12" s="15">
        <v>2772.823192184841</v>
      </c>
      <c r="G12" s="15">
        <v>2818.1786699884974</v>
      </c>
      <c r="H12" s="15">
        <v>2877.3642480016933</v>
      </c>
      <c r="I12" s="15">
        <v>3966.4574148531701</v>
      </c>
      <c r="J12" s="15">
        <v>3082.1981249120336</v>
      </c>
      <c r="K12" s="15">
        <v>13291.233555099796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4">
        <f t="shared" si="0"/>
        <v>32186.772455626724</v>
      </c>
      <c r="R12" s="1">
        <v>1</v>
      </c>
      <c r="S12" s="1">
        <f t="shared" si="1"/>
        <v>32186.772455626724</v>
      </c>
      <c r="T12" s="1"/>
      <c r="U12">
        <f t="shared" si="2"/>
        <v>0</v>
      </c>
      <c r="W12">
        <f t="shared" si="3"/>
        <v>0</v>
      </c>
    </row>
    <row r="13" spans="1:23" hidden="1" x14ac:dyDescent="0.2">
      <c r="A13" t="s">
        <v>297</v>
      </c>
      <c r="B13" t="s">
        <v>17</v>
      </c>
      <c r="C13" t="s">
        <v>56</v>
      </c>
      <c r="D13" t="s">
        <v>62</v>
      </c>
      <c r="E13" s="15">
        <v>3630.5470776776629</v>
      </c>
      <c r="F13" s="15">
        <v>3477.3078532213081</v>
      </c>
      <c r="G13" s="15">
        <v>1991.6570901336561</v>
      </c>
      <c r="H13" s="15">
        <v>3438.5714654589328</v>
      </c>
      <c r="I13" s="15">
        <v>3509.2670030997369</v>
      </c>
      <c r="J13" s="15">
        <v>3598.4541744020466</v>
      </c>
      <c r="K13" s="40">
        <v>3608.7222681969361</v>
      </c>
      <c r="L13" s="15">
        <v>3694.1882803642866</v>
      </c>
      <c r="M13" s="15">
        <v>3770.5847563322664</v>
      </c>
      <c r="N13" s="15">
        <v>6794.0432455746886</v>
      </c>
      <c r="O13" s="15">
        <v>0</v>
      </c>
      <c r="P13" s="15">
        <v>0</v>
      </c>
      <c r="Q13" s="4">
        <f t="shared" si="0"/>
        <v>37513.343214461522</v>
      </c>
      <c r="R13" s="1">
        <v>1</v>
      </c>
      <c r="S13" s="1">
        <f t="shared" si="1"/>
        <v>37513.343214461522</v>
      </c>
      <c r="T13" s="1"/>
      <c r="U13">
        <f t="shared" si="2"/>
        <v>0</v>
      </c>
      <c r="W13">
        <f t="shared" si="3"/>
        <v>0</v>
      </c>
    </row>
    <row r="14" spans="1:23" hidden="1" x14ac:dyDescent="0.2">
      <c r="A14" t="s">
        <v>297</v>
      </c>
      <c r="B14" t="s">
        <v>17</v>
      </c>
      <c r="C14" t="s">
        <v>56</v>
      </c>
      <c r="D14" t="s">
        <v>63</v>
      </c>
      <c r="E14" s="15">
        <v>655.65171780750063</v>
      </c>
      <c r="F14" s="15">
        <v>658.4</v>
      </c>
      <c r="G14" s="15">
        <v>671.86240257995166</v>
      </c>
      <c r="H14" s="15">
        <v>334.76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4">
        <f t="shared" si="0"/>
        <v>2320.6741203874526</v>
      </c>
      <c r="R14" s="1">
        <v>1</v>
      </c>
      <c r="S14" s="1">
        <f t="shared" si="1"/>
        <v>2320.6741203874526</v>
      </c>
      <c r="T14" s="1"/>
      <c r="U14">
        <f t="shared" si="2"/>
        <v>0</v>
      </c>
      <c r="W14">
        <f t="shared" si="3"/>
        <v>0</v>
      </c>
    </row>
    <row r="15" spans="1:23" x14ac:dyDescent="0.2">
      <c r="A15" t="s">
        <v>297</v>
      </c>
      <c r="B15" t="s">
        <v>17</v>
      </c>
      <c r="C15" t="s">
        <v>56</v>
      </c>
      <c r="D15" t="s">
        <v>65</v>
      </c>
      <c r="E15" s="15">
        <v>3002.0234938407057</v>
      </c>
      <c r="F15" s="15">
        <v>1495.2351122692198</v>
      </c>
      <c r="G15" s="15">
        <v>1519.6928934710345</v>
      </c>
      <c r="H15" s="15">
        <v>1551.6122383950637</v>
      </c>
      <c r="I15" s="15">
        <v>2138.8881120383189</v>
      </c>
      <c r="J15" s="15">
        <v>1465.4652957885069</v>
      </c>
      <c r="K15" s="15">
        <v>2922.740233104897</v>
      </c>
      <c r="L15" s="15">
        <v>2520.3359830419945</v>
      </c>
      <c r="M15" s="15">
        <v>1497.0418983320094</v>
      </c>
      <c r="N15" s="15">
        <v>2305.4657261253283</v>
      </c>
      <c r="O15" s="15">
        <v>2706.7811617984903</v>
      </c>
      <c r="P15" s="15">
        <v>2868.3640850863794</v>
      </c>
      <c r="Q15" s="4">
        <f t="shared" si="0"/>
        <v>25993.646233291947</v>
      </c>
      <c r="R15" s="1">
        <v>1</v>
      </c>
      <c r="S15" s="1">
        <f t="shared" si="1"/>
        <v>25993.646233291947</v>
      </c>
      <c r="T15" s="1"/>
      <c r="U15">
        <f t="shared" si="2"/>
        <v>1</v>
      </c>
    </row>
    <row r="16" spans="1:23" hidden="1" x14ac:dyDescent="0.2">
      <c r="A16" t="s">
        <v>297</v>
      </c>
      <c r="B16" t="s">
        <v>17</v>
      </c>
      <c r="C16" t="s">
        <v>56</v>
      </c>
      <c r="D16" t="s">
        <v>66</v>
      </c>
      <c r="E16" s="15">
        <v>4101.7571466037243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4">
        <f t="shared" si="0"/>
        <v>4101.7571466037243</v>
      </c>
      <c r="R16" s="1">
        <v>0</v>
      </c>
      <c r="S16" s="1">
        <f t="shared" si="1"/>
        <v>0</v>
      </c>
      <c r="T16" s="1"/>
      <c r="U16">
        <f t="shared" si="2"/>
        <v>0</v>
      </c>
      <c r="W16">
        <f>+IF(P16&gt;0,1,0)</f>
        <v>0</v>
      </c>
    </row>
    <row r="17" spans="1:23" x14ac:dyDescent="0.2">
      <c r="A17" t="s">
        <v>297</v>
      </c>
      <c r="B17" t="s">
        <v>17</v>
      </c>
      <c r="C17" t="s">
        <v>56</v>
      </c>
      <c r="D17" t="s">
        <v>67</v>
      </c>
      <c r="E17" s="15">
        <v>3582.3951204651084</v>
      </c>
      <c r="F17" s="15">
        <v>2930.0909805447809</v>
      </c>
      <c r="G17" s="15">
        <v>2960.0890684355845</v>
      </c>
      <c r="H17" s="15">
        <v>3022.2490614315589</v>
      </c>
      <c r="I17" s="15">
        <v>4166.199426885315</v>
      </c>
      <c r="J17" s="15">
        <v>2854.4677994772505</v>
      </c>
      <c r="K17" s="15">
        <v>6129.0730828872993</v>
      </c>
      <c r="L17" s="15">
        <v>5367.0214991792436</v>
      </c>
      <c r="M17" s="15">
        <v>2946.226313400658</v>
      </c>
      <c r="N17" s="15">
        <v>5676.5791288394012</v>
      </c>
      <c r="O17" s="15">
        <v>6661.5991467016738</v>
      </c>
      <c r="P17" s="15">
        <v>7066.0391937948061</v>
      </c>
      <c r="Q17" s="4">
        <f t="shared" si="0"/>
        <v>53362.029822042678</v>
      </c>
      <c r="R17" s="1">
        <v>1</v>
      </c>
      <c r="S17" s="1">
        <f t="shared" si="1"/>
        <v>53362.029822042678</v>
      </c>
      <c r="T17" s="1"/>
      <c r="U17">
        <f t="shared" si="2"/>
        <v>1</v>
      </c>
    </row>
    <row r="18" spans="1:23" hidden="1" x14ac:dyDescent="0.2">
      <c r="A18" t="s">
        <v>297</v>
      </c>
      <c r="B18" t="s">
        <v>17</v>
      </c>
      <c r="C18" t="s">
        <v>56</v>
      </c>
      <c r="D18" t="s">
        <v>68</v>
      </c>
      <c r="E18" s="15">
        <v>3867.8791048949511</v>
      </c>
      <c r="F18" s="15">
        <v>3174.4531968150914</v>
      </c>
      <c r="G18" s="15">
        <v>3226.3781958242944</v>
      </c>
      <c r="H18" s="15">
        <v>3294.1400035141469</v>
      </c>
      <c r="I18" s="15">
        <v>4540.9759461640915</v>
      </c>
      <c r="J18" s="15">
        <v>3111.2584271176165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4">
        <f t="shared" si="0"/>
        <v>21215.08487433019</v>
      </c>
      <c r="R18" s="1">
        <v>1</v>
      </c>
      <c r="S18" s="1">
        <f t="shared" si="1"/>
        <v>21215.08487433019</v>
      </c>
      <c r="T18" s="1"/>
      <c r="U18">
        <f t="shared" si="2"/>
        <v>0</v>
      </c>
      <c r="W18">
        <f>+IF(P18&gt;0,1,0)</f>
        <v>0</v>
      </c>
    </row>
    <row r="19" spans="1:23" x14ac:dyDescent="0.2">
      <c r="A19" t="s">
        <v>297</v>
      </c>
      <c r="B19" t="s">
        <v>17</v>
      </c>
      <c r="C19" t="s">
        <v>56</v>
      </c>
      <c r="D19" t="s">
        <v>69</v>
      </c>
      <c r="E19" s="15">
        <v>10340.278235763943</v>
      </c>
      <c r="F19" s="15">
        <v>9912.7777078895706</v>
      </c>
      <c r="G19" s="15">
        <v>9941.9923232284618</v>
      </c>
      <c r="H19" s="15">
        <v>9825.5356254111393</v>
      </c>
      <c r="I19" s="15">
        <v>10030.851222553089</v>
      </c>
      <c r="J19" s="15">
        <v>10291.810177766709</v>
      </c>
      <c r="K19" s="40">
        <v>10050.912386832391</v>
      </c>
      <c r="L19" s="15">
        <v>10530.224349338012</v>
      </c>
      <c r="M19" s="15">
        <v>10562.402188172307</v>
      </c>
      <c r="N19" s="15">
        <v>9818.5738957098183</v>
      </c>
      <c r="O19" s="15">
        <v>9597.538119424953</v>
      </c>
      <c r="P19" s="15">
        <v>9600.549986258</v>
      </c>
      <c r="Q19" s="4">
        <f t="shared" si="0"/>
        <v>120503.44621834838</v>
      </c>
      <c r="R19" s="1">
        <v>1</v>
      </c>
      <c r="S19" s="1">
        <f t="shared" si="1"/>
        <v>120503.44621834838</v>
      </c>
      <c r="T19" s="1"/>
      <c r="U19">
        <f t="shared" si="2"/>
        <v>1</v>
      </c>
    </row>
    <row r="20" spans="1:23" hidden="1" x14ac:dyDescent="0.2">
      <c r="A20" t="s">
        <v>297</v>
      </c>
      <c r="B20" t="s">
        <v>17</v>
      </c>
      <c r="C20" t="s">
        <v>56</v>
      </c>
      <c r="D20" t="s">
        <v>70</v>
      </c>
      <c r="E20" s="15">
        <v>655.65171780750063</v>
      </c>
      <c r="F20" s="15">
        <v>658.4</v>
      </c>
      <c r="G20" s="15">
        <v>671.86240257995166</v>
      </c>
      <c r="H20" s="15">
        <v>669.52</v>
      </c>
      <c r="I20" s="15">
        <v>666.13</v>
      </c>
      <c r="J20" s="15">
        <v>654.96</v>
      </c>
      <c r="K20" s="15">
        <v>668</v>
      </c>
      <c r="L20" s="15">
        <v>654.96</v>
      </c>
      <c r="M20" s="15">
        <v>0</v>
      </c>
      <c r="N20" s="15">
        <v>0</v>
      </c>
      <c r="O20" s="15">
        <v>0</v>
      </c>
      <c r="P20" s="15">
        <v>0</v>
      </c>
      <c r="Q20" s="4">
        <f t="shared" si="0"/>
        <v>5299.4841203874521</v>
      </c>
      <c r="R20" s="1">
        <v>1</v>
      </c>
      <c r="S20" s="1">
        <f t="shared" si="1"/>
        <v>5299.4841203874521</v>
      </c>
      <c r="U20">
        <f t="shared" si="2"/>
        <v>0</v>
      </c>
      <c r="W20">
        <f>+IF(P20&gt;0,1,0)</f>
        <v>0</v>
      </c>
    </row>
    <row r="21" spans="1:23" x14ac:dyDescent="0.2">
      <c r="A21" t="s">
        <v>297</v>
      </c>
      <c r="B21" t="s">
        <v>17</v>
      </c>
      <c r="C21" t="s">
        <v>56</v>
      </c>
      <c r="D21" t="s">
        <v>71</v>
      </c>
      <c r="E21" s="15">
        <v>2214.8277587326488</v>
      </c>
      <c r="F21" s="15">
        <v>2123.0160915495571</v>
      </c>
      <c r="G21" s="15">
        <v>2524.109595633995</v>
      </c>
      <c r="H21" s="15">
        <v>2492.4647008083712</v>
      </c>
      <c r="I21" s="15">
        <v>2543.4429783806818</v>
      </c>
      <c r="J21" s="15">
        <v>2451.1331546603565</v>
      </c>
      <c r="K21" s="40">
        <v>2490.2272737815738</v>
      </c>
      <c r="L21" s="15">
        <v>2842.5991770783512</v>
      </c>
      <c r="M21" s="15">
        <v>2682.7515828937162</v>
      </c>
      <c r="N21" s="15">
        <v>2497.453537786721</v>
      </c>
      <c r="O21" s="15">
        <v>2442.0531407773951</v>
      </c>
      <c r="P21" s="15">
        <v>2706.5607914305806</v>
      </c>
      <c r="Q21" s="4">
        <f t="shared" si="0"/>
        <v>30010.639783513951</v>
      </c>
      <c r="R21" s="1">
        <v>1</v>
      </c>
      <c r="S21" s="1">
        <f t="shared" si="1"/>
        <v>30010.639783513951</v>
      </c>
      <c r="U21">
        <f t="shared" si="2"/>
        <v>1</v>
      </c>
    </row>
    <row r="22" spans="1:23" hidden="1" x14ac:dyDescent="0.2">
      <c r="A22" t="s">
        <v>297</v>
      </c>
      <c r="B22" t="s">
        <v>17</v>
      </c>
      <c r="C22" t="s">
        <v>56</v>
      </c>
      <c r="D22" t="s">
        <v>72</v>
      </c>
      <c r="E22" s="15">
        <v>7950.2818425417217</v>
      </c>
      <c r="F22" s="15">
        <v>8123.8317368262633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4">
        <f t="shared" si="0"/>
        <v>16074.113579367986</v>
      </c>
      <c r="R22" s="1">
        <v>0</v>
      </c>
      <c r="S22" s="1">
        <f t="shared" si="1"/>
        <v>0</v>
      </c>
      <c r="U22">
        <f t="shared" si="2"/>
        <v>0</v>
      </c>
      <c r="W22">
        <f t="shared" ref="W22:W24" si="4">+IF(P22&gt;0,1,0)</f>
        <v>0</v>
      </c>
    </row>
    <row r="23" spans="1:23" hidden="1" x14ac:dyDescent="0.2">
      <c r="A23" t="s">
        <v>297</v>
      </c>
      <c r="B23" t="s">
        <v>17</v>
      </c>
      <c r="C23" t="s">
        <v>56</v>
      </c>
      <c r="D23" t="s">
        <v>73</v>
      </c>
      <c r="E23" s="15">
        <v>0</v>
      </c>
      <c r="F23" s="15">
        <v>0</v>
      </c>
      <c r="G23" s="15">
        <v>8988.0921457149507</v>
      </c>
      <c r="H23" s="15">
        <v>9037.1248137924049</v>
      </c>
      <c r="I23" s="15">
        <v>9562.8773566255059</v>
      </c>
      <c r="J23" s="15">
        <v>9618.1162890101532</v>
      </c>
      <c r="K23" s="40">
        <v>9327.9782071659411</v>
      </c>
      <c r="L23" s="15">
        <v>9841.641970676701</v>
      </c>
      <c r="M23" s="15">
        <v>9929.0623933360075</v>
      </c>
      <c r="N23" s="15">
        <v>6512.2777805915066</v>
      </c>
      <c r="O23" s="15">
        <v>0</v>
      </c>
      <c r="P23" s="15">
        <v>0</v>
      </c>
      <c r="Q23" s="4">
        <f t="shared" si="0"/>
        <v>72817.170956913178</v>
      </c>
      <c r="R23" s="1">
        <v>1</v>
      </c>
      <c r="S23" s="1">
        <f t="shared" si="1"/>
        <v>72817.170956913178</v>
      </c>
      <c r="U23">
        <f t="shared" si="2"/>
        <v>0</v>
      </c>
      <c r="W23">
        <f t="shared" si="4"/>
        <v>0</v>
      </c>
    </row>
    <row r="24" spans="1:23" hidden="1" x14ac:dyDescent="0.2">
      <c r="A24" t="s">
        <v>297</v>
      </c>
      <c r="B24" t="s">
        <v>17</v>
      </c>
      <c r="C24" t="s">
        <v>56</v>
      </c>
      <c r="D24" t="s">
        <v>74</v>
      </c>
      <c r="E24" s="15">
        <v>157.80000506045681</v>
      </c>
      <c r="F24" s="15">
        <v>296.78609910526558</v>
      </c>
      <c r="G24" s="15">
        <v>204.3324990901786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4">
        <f t="shared" si="0"/>
        <v>658.91860325590096</v>
      </c>
      <c r="R24" s="1">
        <v>1</v>
      </c>
      <c r="S24" s="1">
        <f t="shared" si="1"/>
        <v>658.91860325590096</v>
      </c>
      <c r="U24">
        <f t="shared" si="2"/>
        <v>0</v>
      </c>
      <c r="W24">
        <f t="shared" si="4"/>
        <v>0</v>
      </c>
    </row>
    <row r="25" spans="1:23" x14ac:dyDescent="0.2">
      <c r="A25" t="s">
        <v>297</v>
      </c>
      <c r="B25" t="s">
        <v>17</v>
      </c>
      <c r="C25" t="s">
        <v>56</v>
      </c>
      <c r="D25" t="s">
        <v>75</v>
      </c>
      <c r="E25" s="15">
        <v>1900.1613368442065</v>
      </c>
      <c r="F25" s="15">
        <v>1821.3575971346481</v>
      </c>
      <c r="G25" s="15">
        <v>2524.109595633995</v>
      </c>
      <c r="H25" s="15">
        <v>2492.4647008083712</v>
      </c>
      <c r="I25" s="15">
        <v>2543.4429783806818</v>
      </c>
      <c r="J25" s="15">
        <v>2607.7430321829534</v>
      </c>
      <c r="K25" s="40">
        <v>2641.5430165294088</v>
      </c>
      <c r="L25" s="15">
        <v>2682.603478201775</v>
      </c>
      <c r="M25" s="15">
        <v>2682.7515828937162</v>
      </c>
      <c r="N25" s="15">
        <v>2497.453537786721</v>
      </c>
      <c r="O25" s="15">
        <v>2442.0531407773951</v>
      </c>
      <c r="P25" s="15">
        <v>2770.9919458288355</v>
      </c>
      <c r="Q25" s="4">
        <f t="shared" si="0"/>
        <v>29606.675943002709</v>
      </c>
      <c r="R25" s="1">
        <v>1</v>
      </c>
      <c r="S25" s="1">
        <f t="shared" si="1"/>
        <v>29606.675943002709</v>
      </c>
      <c r="U25">
        <f t="shared" si="2"/>
        <v>1</v>
      </c>
    </row>
    <row r="26" spans="1:23" x14ac:dyDescent="0.2">
      <c r="A26" t="s">
        <v>297</v>
      </c>
      <c r="B26" t="s">
        <v>17</v>
      </c>
      <c r="C26" t="s">
        <v>56</v>
      </c>
      <c r="D26" t="s">
        <v>76</v>
      </c>
      <c r="E26" s="15">
        <v>1940.7740992708082</v>
      </c>
      <c r="F26" s="15">
        <v>1860.2926962657752</v>
      </c>
      <c r="G26" s="15">
        <v>1511.9865208442411</v>
      </c>
      <c r="H26" s="15">
        <v>2215.556484454904</v>
      </c>
      <c r="I26" s="15">
        <v>2260.8933001922974</v>
      </c>
      <c r="J26" s="15">
        <v>2318.0773262457933</v>
      </c>
      <c r="K26" s="40">
        <v>3719.6206305170967</v>
      </c>
      <c r="L26" s="15">
        <v>2386.5478856211998</v>
      </c>
      <c r="M26" s="15">
        <v>2388.6900669184361</v>
      </c>
      <c r="N26" s="15">
        <v>2221.8855936498421</v>
      </c>
      <c r="O26" s="15">
        <v>2172.604599764536</v>
      </c>
      <c r="P26" s="15">
        <v>2448.8361738375611</v>
      </c>
      <c r="Q26" s="4">
        <f t="shared" si="0"/>
        <v>27445.765377582487</v>
      </c>
      <c r="R26" s="1">
        <v>1</v>
      </c>
      <c r="S26" s="1">
        <f t="shared" si="1"/>
        <v>27445.765377582487</v>
      </c>
      <c r="U26">
        <f t="shared" si="2"/>
        <v>1</v>
      </c>
    </row>
    <row r="27" spans="1:23" hidden="1" x14ac:dyDescent="0.2">
      <c r="A27" t="s">
        <v>297</v>
      </c>
      <c r="B27" t="s">
        <v>17</v>
      </c>
      <c r="C27" t="s">
        <v>56</v>
      </c>
      <c r="D27" t="s">
        <v>77</v>
      </c>
      <c r="E27" s="15">
        <v>1616.1771284562842</v>
      </c>
      <c r="F27" s="15">
        <v>1549.1156135051031</v>
      </c>
      <c r="G27" s="15">
        <v>1552.4409862467105</v>
      </c>
      <c r="H27" s="15">
        <v>1533.0898789712321</v>
      </c>
      <c r="I27" s="15">
        <v>1564.5227760775958</v>
      </c>
      <c r="J27" s="15">
        <v>1078.9066670566858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4">
        <f t="shared" si="0"/>
        <v>8894.2530503136113</v>
      </c>
      <c r="R27" s="1">
        <v>1</v>
      </c>
      <c r="S27" s="1">
        <f t="shared" si="1"/>
        <v>8894.2530503136113</v>
      </c>
      <c r="U27">
        <f t="shared" si="2"/>
        <v>0</v>
      </c>
      <c r="W27">
        <f>+IF(P27&gt;0,1,0)</f>
        <v>0</v>
      </c>
    </row>
    <row r="28" spans="1:23" x14ac:dyDescent="0.2">
      <c r="A28" t="s">
        <v>297</v>
      </c>
      <c r="B28" t="s">
        <v>17</v>
      </c>
      <c r="C28" t="s">
        <v>56</v>
      </c>
      <c r="D28" t="s">
        <v>78</v>
      </c>
      <c r="E28" s="15">
        <v>2585.675801287583</v>
      </c>
      <c r="F28" s="15">
        <v>2478.5320772353562</v>
      </c>
      <c r="G28" s="15">
        <v>3505.7077717138818</v>
      </c>
      <c r="H28" s="15">
        <v>3458.9532947236298</v>
      </c>
      <c r="I28" s="15">
        <v>3526.4912314821008</v>
      </c>
      <c r="J28" s="15">
        <v>3613.3574004563834</v>
      </c>
      <c r="K28" s="40">
        <v>3633.3521997451649</v>
      </c>
      <c r="L28" s="15">
        <v>3709.3410639936596</v>
      </c>
      <c r="M28" s="15">
        <v>3796.5793097509645</v>
      </c>
      <c r="N28" s="15">
        <v>3453.7916023529083</v>
      </c>
      <c r="O28" s="15">
        <v>3377.2680238283797</v>
      </c>
      <c r="P28" s="15">
        <v>3667.6687239815569</v>
      </c>
      <c r="Q28" s="4">
        <f t="shared" si="0"/>
        <v>40806.718500551564</v>
      </c>
      <c r="R28" s="1">
        <v>0</v>
      </c>
      <c r="S28" s="1">
        <f t="shared" si="1"/>
        <v>0</v>
      </c>
      <c r="U28">
        <f t="shared" si="2"/>
        <v>1</v>
      </c>
    </row>
    <row r="29" spans="1:23" x14ac:dyDescent="0.2">
      <c r="A29" t="s">
        <v>297</v>
      </c>
      <c r="B29" t="s">
        <v>17</v>
      </c>
      <c r="C29" t="s">
        <v>56</v>
      </c>
      <c r="D29" t="s">
        <v>79</v>
      </c>
      <c r="E29" s="15">
        <v>2045.6333595594019</v>
      </c>
      <c r="F29" s="15">
        <v>2054.3000000000002</v>
      </c>
      <c r="G29" s="15">
        <v>2096.2106960494489</v>
      </c>
      <c r="H29" s="15">
        <v>2088.91</v>
      </c>
      <c r="I29" s="15">
        <v>2078.34</v>
      </c>
      <c r="J29" s="15">
        <v>2043.49</v>
      </c>
      <c r="K29" s="15">
        <v>2084</v>
      </c>
      <c r="L29" s="15">
        <v>2043.49</v>
      </c>
      <c r="M29" s="15">
        <v>2518</v>
      </c>
      <c r="N29" s="15">
        <v>5798.0400468161824</v>
      </c>
      <c r="O29" s="15">
        <v>6807.4735805710543</v>
      </c>
      <c r="P29" s="15">
        <v>7221.9285462451517</v>
      </c>
      <c r="Q29" s="4">
        <f t="shared" si="0"/>
        <v>38879.816229241245</v>
      </c>
      <c r="R29" s="1">
        <v>0</v>
      </c>
      <c r="S29" s="1">
        <f t="shared" si="1"/>
        <v>0</v>
      </c>
      <c r="U29">
        <f t="shared" si="2"/>
        <v>1</v>
      </c>
    </row>
    <row r="30" spans="1:23" x14ac:dyDescent="0.2">
      <c r="A30" t="s">
        <v>297</v>
      </c>
      <c r="B30" t="s">
        <v>17</v>
      </c>
      <c r="C30" t="s">
        <v>56</v>
      </c>
      <c r="D30" t="s">
        <v>80</v>
      </c>
      <c r="E30" s="15">
        <v>1683.1014017611665</v>
      </c>
      <c r="F30" s="15">
        <v>1381.3582277230471</v>
      </c>
      <c r="G30" s="15">
        <v>1403.9533079333448</v>
      </c>
      <c r="H30" s="15">
        <v>1433.4381186888545</v>
      </c>
      <c r="I30" s="15">
        <v>1976.0055331986628</v>
      </c>
      <c r="J30" s="15">
        <v>1353.8577469714473</v>
      </c>
      <c r="K30" s="15">
        <v>2699.9174628582859</v>
      </c>
      <c r="L30" s="15">
        <v>2328.3911297103423</v>
      </c>
      <c r="M30" s="15">
        <v>1383.3803755815272</v>
      </c>
      <c r="N30" s="15">
        <v>2129.0036377439665</v>
      </c>
      <c r="O30" s="15">
        <v>2498.7750246143746</v>
      </c>
      <c r="P30" s="15">
        <v>2650.1189916558933</v>
      </c>
      <c r="Q30" s="4">
        <f t="shared" si="0"/>
        <v>22921.300958440912</v>
      </c>
      <c r="R30" s="1">
        <v>1</v>
      </c>
      <c r="S30" s="1">
        <f t="shared" si="1"/>
        <v>22921.300958440912</v>
      </c>
      <c r="U30">
        <f t="shared" si="2"/>
        <v>1</v>
      </c>
    </row>
    <row r="31" spans="1:23" hidden="1" x14ac:dyDescent="0.2">
      <c r="A31" t="s">
        <v>297</v>
      </c>
      <c r="B31" t="s">
        <v>17</v>
      </c>
      <c r="C31" t="s">
        <v>56</v>
      </c>
      <c r="D31" s="125" t="s">
        <v>81</v>
      </c>
      <c r="E31" s="15">
        <v>6440.2135491262534</v>
      </c>
      <c r="F31" s="15">
        <v>6173.9543026049478</v>
      </c>
      <c r="G31" s="15">
        <v>6184.0530841890932</v>
      </c>
      <c r="H31" s="15">
        <v>5690.3406219074623</v>
      </c>
      <c r="I31" s="15">
        <v>6233.7734662571002</v>
      </c>
      <c r="J31" s="15">
        <v>5411.6843559768658</v>
      </c>
      <c r="K31" s="40">
        <v>8398.6009537282807</v>
      </c>
      <c r="L31" s="15">
        <v>6548.0606786585531</v>
      </c>
      <c r="M31" s="15">
        <v>6594.0449466209384</v>
      </c>
      <c r="N31" s="15">
        <v>6079.7913630799412</v>
      </c>
      <c r="O31" s="15">
        <v>12675.226304485672</v>
      </c>
      <c r="P31" s="15">
        <v>6201.5179401783516</v>
      </c>
      <c r="Q31" s="4">
        <f t="shared" si="0"/>
        <v>82631.261566813468</v>
      </c>
      <c r="R31" s="1">
        <v>1</v>
      </c>
      <c r="S31" s="1">
        <f t="shared" si="1"/>
        <v>82631.261566813468</v>
      </c>
      <c r="U31">
        <v>0</v>
      </c>
      <c r="W31">
        <f t="shared" ref="W31:W33" si="5">+IF(P31&gt;0,1,0)</f>
        <v>1</v>
      </c>
    </row>
    <row r="32" spans="1:23" hidden="1" x14ac:dyDescent="0.2">
      <c r="A32" t="s">
        <v>297</v>
      </c>
      <c r="B32" t="s">
        <v>17</v>
      </c>
      <c r="C32" t="s">
        <v>56</v>
      </c>
      <c r="D32" t="s">
        <v>82</v>
      </c>
      <c r="E32" s="15">
        <v>1606.9736323624854</v>
      </c>
      <c r="F32" s="15">
        <v>1541.8741525286318</v>
      </c>
      <c r="G32" s="15">
        <v>1545.1855734423714</v>
      </c>
      <c r="H32" s="15">
        <v>1525.9262634141678</v>
      </c>
      <c r="I32" s="15">
        <v>1557.2132159028622</v>
      </c>
      <c r="J32" s="15">
        <v>2542.2702200340377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4">
        <f t="shared" si="0"/>
        <v>10319.443057684557</v>
      </c>
      <c r="R32" s="1">
        <v>1</v>
      </c>
      <c r="S32" s="1">
        <f t="shared" si="1"/>
        <v>10319.443057684557</v>
      </c>
      <c r="U32">
        <f t="shared" si="2"/>
        <v>0</v>
      </c>
      <c r="W32">
        <f t="shared" si="5"/>
        <v>0</v>
      </c>
    </row>
    <row r="33" spans="1:23" hidden="1" x14ac:dyDescent="0.2">
      <c r="A33" t="s">
        <v>297</v>
      </c>
      <c r="B33" t="s">
        <v>17</v>
      </c>
      <c r="C33" t="s">
        <v>56</v>
      </c>
      <c r="D33" t="s">
        <v>83</v>
      </c>
      <c r="E33" s="15">
        <v>0</v>
      </c>
      <c r="F33" s="15">
        <v>0</v>
      </c>
      <c r="G33" s="15">
        <v>0</v>
      </c>
      <c r="H33" s="15">
        <v>308.17134914893109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4">
        <f t="shared" si="0"/>
        <v>308.17134914893109</v>
      </c>
      <c r="R33" s="1">
        <v>1</v>
      </c>
      <c r="S33" s="1">
        <f t="shared" si="1"/>
        <v>308.17134914893109</v>
      </c>
      <c r="U33">
        <f t="shared" si="2"/>
        <v>0</v>
      </c>
      <c r="W33">
        <f t="shared" si="5"/>
        <v>0</v>
      </c>
    </row>
    <row r="34" spans="1:23" x14ac:dyDescent="0.2">
      <c r="A34" t="s">
        <v>297</v>
      </c>
      <c r="B34" t="s">
        <v>17</v>
      </c>
      <c r="C34" t="s">
        <v>56</v>
      </c>
      <c r="D34" t="s">
        <v>84</v>
      </c>
      <c r="E34" s="15">
        <v>4374.5965948470503</v>
      </c>
      <c r="F34" s="15">
        <v>4190.4797924771401</v>
      </c>
      <c r="G34" s="15">
        <v>4627.5342586623246</v>
      </c>
      <c r="H34" s="15">
        <v>4568.2669930107631</v>
      </c>
      <c r="I34" s="15">
        <v>4659.6312863855801</v>
      </c>
      <c r="J34" s="15">
        <v>4776.4984336277648</v>
      </c>
      <c r="K34" s="40">
        <v>4749.4501103163066</v>
      </c>
      <c r="L34" s="15">
        <v>4897.0997249979437</v>
      </c>
      <c r="M34" s="15">
        <v>3767.3152457584297</v>
      </c>
      <c r="N34" s="15">
        <v>3300.8312789587271</v>
      </c>
      <c r="O34" s="15">
        <v>4584.0874348287798</v>
      </c>
      <c r="P34" s="15">
        <v>4701.2501076227782</v>
      </c>
      <c r="Q34" s="4">
        <f t="shared" si="0"/>
        <v>53197.041261493578</v>
      </c>
      <c r="R34" s="1">
        <v>1</v>
      </c>
      <c r="S34" s="1">
        <f t="shared" si="1"/>
        <v>53197.041261493578</v>
      </c>
      <c r="U34">
        <f t="shared" si="2"/>
        <v>1</v>
      </c>
    </row>
    <row r="35" spans="1:23" hidden="1" x14ac:dyDescent="0.2">
      <c r="A35" t="s">
        <v>297</v>
      </c>
      <c r="B35" t="s">
        <v>17</v>
      </c>
      <c r="C35" t="s">
        <v>56</v>
      </c>
      <c r="D35" t="s">
        <v>85</v>
      </c>
      <c r="E35" s="15">
        <v>4537.6827208226186</v>
      </c>
      <c r="F35" s="15">
        <v>4348.7198506375153</v>
      </c>
      <c r="G35" s="15">
        <v>4423.2777010511873</v>
      </c>
      <c r="H35" s="15">
        <v>4366.3829042550224</v>
      </c>
      <c r="I35" s="15">
        <v>4453.4067527662246</v>
      </c>
      <c r="J35" s="15">
        <v>4564.9059350458119</v>
      </c>
      <c r="K35" s="15">
        <v>5700.3997190035279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4">
        <f t="shared" si="0"/>
        <v>32394.775583581912</v>
      </c>
      <c r="R35" s="1">
        <v>1</v>
      </c>
      <c r="S35" s="1">
        <f t="shared" si="1"/>
        <v>32394.775583581912</v>
      </c>
      <c r="U35">
        <f t="shared" si="2"/>
        <v>0</v>
      </c>
      <c r="W35">
        <f>+IF(P35&gt;0,1,0)</f>
        <v>0</v>
      </c>
    </row>
    <row r="36" spans="1:23" x14ac:dyDescent="0.2">
      <c r="A36" t="s">
        <v>297</v>
      </c>
      <c r="B36" t="s">
        <v>17</v>
      </c>
      <c r="C36" t="s">
        <v>56</v>
      </c>
      <c r="D36" t="s">
        <v>86</v>
      </c>
      <c r="E36" s="15">
        <v>8782.9383687410646</v>
      </c>
      <c r="F36" s="15">
        <v>8366.8111641944906</v>
      </c>
      <c r="G36" s="15">
        <v>8373.8724095435391</v>
      </c>
      <c r="H36" s="15">
        <v>8271.4671799689677</v>
      </c>
      <c r="I36" s="15">
        <v>8440.0668666362744</v>
      </c>
      <c r="J36" s="15">
        <v>8656.028320407373</v>
      </c>
      <c r="K36" s="40">
        <v>8389.7374808331897</v>
      </c>
      <c r="L36" s="15">
        <v>8842.8203665990422</v>
      </c>
      <c r="M36" s="15">
        <v>8926.0300938752134</v>
      </c>
      <c r="N36" s="15">
        <v>8213.1019887944185</v>
      </c>
      <c r="O36" s="15">
        <v>8022.4435507264807</v>
      </c>
      <c r="P36" s="15">
        <v>8278.3956369209645</v>
      </c>
      <c r="Q36" s="4">
        <f t="shared" si="0"/>
        <v>101563.71342724102</v>
      </c>
      <c r="R36" s="1">
        <v>1</v>
      </c>
      <c r="S36" s="1">
        <f t="shared" si="1"/>
        <v>101563.71342724102</v>
      </c>
      <c r="U36">
        <f t="shared" si="2"/>
        <v>1</v>
      </c>
    </row>
    <row r="37" spans="1:23" hidden="1" x14ac:dyDescent="0.2">
      <c r="A37" t="s">
        <v>297</v>
      </c>
      <c r="B37" t="s">
        <v>17</v>
      </c>
      <c r="C37" t="s">
        <v>56</v>
      </c>
      <c r="D37" t="s">
        <v>87</v>
      </c>
      <c r="E37" s="15">
        <v>3560.6580292153785</v>
      </c>
      <c r="F37" s="15">
        <v>1415.3235337631652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4">
        <f t="shared" si="0"/>
        <v>4975.9815629785435</v>
      </c>
      <c r="R37" s="1">
        <v>1</v>
      </c>
      <c r="S37" s="1">
        <f t="shared" si="1"/>
        <v>4975.9815629785435</v>
      </c>
      <c r="U37">
        <f t="shared" si="2"/>
        <v>0</v>
      </c>
      <c r="W37">
        <f t="shared" ref="W37:W38" si="6">+IF(P37&gt;0,1,0)</f>
        <v>0</v>
      </c>
    </row>
    <row r="38" spans="1:23" hidden="1" x14ac:dyDescent="0.2">
      <c r="A38" t="s">
        <v>297</v>
      </c>
      <c r="B38" t="s">
        <v>17</v>
      </c>
      <c r="C38" t="s">
        <v>56</v>
      </c>
      <c r="D38" t="s">
        <v>88</v>
      </c>
      <c r="E38" s="15">
        <v>2360.8091638587653</v>
      </c>
      <c r="F38" s="15">
        <v>2262.9607539069893</v>
      </c>
      <c r="G38" s="15">
        <v>3085.0228391082164</v>
      </c>
      <c r="H38" s="15">
        <v>3046.9277142004894</v>
      </c>
      <c r="I38" s="15">
        <v>1593.0391023487584</v>
      </c>
      <c r="J38" s="15">
        <v>3188.7689799643263</v>
      </c>
      <c r="K38" s="40">
        <v>3198.1772305619111</v>
      </c>
      <c r="L38" s="15">
        <v>3275.6527421463466</v>
      </c>
      <c r="M38" s="15">
        <v>6341.1469576415984</v>
      </c>
      <c r="N38" s="15">
        <v>0</v>
      </c>
      <c r="O38" s="15">
        <v>0</v>
      </c>
      <c r="P38" s="15">
        <v>0</v>
      </c>
      <c r="Q38" s="4">
        <f t="shared" si="0"/>
        <v>28352.505483737401</v>
      </c>
      <c r="R38" s="1">
        <v>1</v>
      </c>
      <c r="S38" s="1">
        <f t="shared" si="1"/>
        <v>28352.505483737401</v>
      </c>
      <c r="U38">
        <f t="shared" si="2"/>
        <v>0</v>
      </c>
      <c r="W38">
        <f t="shared" si="6"/>
        <v>0</v>
      </c>
    </row>
    <row r="39" spans="1:23" x14ac:dyDescent="0.2">
      <c r="A39" t="s">
        <v>297</v>
      </c>
      <c r="B39" t="s">
        <v>17</v>
      </c>
      <c r="C39" t="s">
        <v>56</v>
      </c>
      <c r="D39" t="s">
        <v>89</v>
      </c>
      <c r="E39" s="15">
        <v>5083.8147335573876</v>
      </c>
      <c r="F39" s="15">
        <v>4873.6333987172484</v>
      </c>
      <c r="G39" s="15">
        <v>4887.8344629951889</v>
      </c>
      <c r="H39" s="15">
        <v>4825.3028912176223</v>
      </c>
      <c r="I39" s="15">
        <v>4915.4107953140065</v>
      </c>
      <c r="J39" s="15">
        <v>6517.6963559399564</v>
      </c>
      <c r="K39" s="40">
        <v>6426.1493876919094</v>
      </c>
      <c r="L39" s="15">
        <v>6689.0506646438798</v>
      </c>
      <c r="M39" s="15">
        <v>6729.9375320361369</v>
      </c>
      <c r="N39" s="15">
        <v>6206.2221655713802</v>
      </c>
      <c r="O39" s="15">
        <v>6064.6646674147942</v>
      </c>
      <c r="P39" s="15">
        <v>6270.661589209295</v>
      </c>
      <c r="Q39" s="4">
        <f t="shared" si="0"/>
        <v>69490.378644308803</v>
      </c>
      <c r="R39" s="1">
        <v>1</v>
      </c>
      <c r="S39" s="1">
        <f t="shared" si="1"/>
        <v>69490.378644308803</v>
      </c>
      <c r="U39">
        <f t="shared" si="2"/>
        <v>1</v>
      </c>
    </row>
    <row r="40" spans="1:23" x14ac:dyDescent="0.2">
      <c r="A40" t="s">
        <v>297</v>
      </c>
      <c r="B40" t="s">
        <v>17</v>
      </c>
      <c r="C40" t="s">
        <v>56</v>
      </c>
      <c r="D40" t="s">
        <v>90</v>
      </c>
      <c r="E40" s="15">
        <v>2947.5685384745989</v>
      </c>
      <c r="F40" s="15">
        <v>2824.9199592318346</v>
      </c>
      <c r="G40" s="15">
        <v>4206.8493260566584</v>
      </c>
      <c r="H40" s="15">
        <v>4151.3789042084545</v>
      </c>
      <c r="I40" s="15">
        <v>4233.1903590829788</v>
      </c>
      <c r="J40" s="15">
        <v>4337.9800589869601</v>
      </c>
      <c r="K40" s="40">
        <v>4333.4783995068019</v>
      </c>
      <c r="L40" s="15">
        <v>4449.8018626933526</v>
      </c>
      <c r="M40" s="15">
        <v>4531.7375866661669</v>
      </c>
      <c r="N40" s="15">
        <v>4139.3751306395125</v>
      </c>
      <c r="O40" s="15">
        <v>4042.5536117526076</v>
      </c>
      <c r="P40" s="15">
        <v>4312.2766512743383</v>
      </c>
      <c r="Q40" s="4">
        <f t="shared" si="0"/>
        <v>48511.110388574263</v>
      </c>
      <c r="R40" s="1">
        <v>1</v>
      </c>
      <c r="S40" s="1">
        <f t="shared" si="1"/>
        <v>48511.110388574263</v>
      </c>
      <c r="U40">
        <f t="shared" si="2"/>
        <v>1</v>
      </c>
    </row>
    <row r="41" spans="1:23" x14ac:dyDescent="0.2">
      <c r="A41" t="s">
        <v>297</v>
      </c>
      <c r="B41" t="s">
        <v>17</v>
      </c>
      <c r="C41" t="s">
        <v>56</v>
      </c>
      <c r="D41" t="s">
        <v>91</v>
      </c>
      <c r="E41" s="15">
        <v>2466.5056365600449</v>
      </c>
      <c r="F41" s="15">
        <v>2024.3152618269664</v>
      </c>
      <c r="G41" s="15">
        <v>2057.4272850472616</v>
      </c>
      <c r="H41" s="15">
        <v>2100.6381278722329</v>
      </c>
      <c r="I41" s="15">
        <v>2895.7280587140422</v>
      </c>
      <c r="J41" s="15">
        <v>1984.0207036627564</v>
      </c>
      <c r="K41" s="15">
        <v>3955.8276224300935</v>
      </c>
      <c r="L41" s="15">
        <v>3411.6740080171658</v>
      </c>
      <c r="M41" s="15">
        <v>2027.9608532849199</v>
      </c>
      <c r="N41" s="15">
        <v>3121.316420459937</v>
      </c>
      <c r="O41" s="15">
        <v>3663.0691171644244</v>
      </c>
      <c r="P41" s="15">
        <v>4359.2331648842392</v>
      </c>
      <c r="Q41" s="4">
        <f t="shared" si="0"/>
        <v>34067.716259924084</v>
      </c>
      <c r="R41" s="1">
        <v>1</v>
      </c>
      <c r="S41" s="1">
        <f t="shared" si="1"/>
        <v>34067.716259924084</v>
      </c>
      <c r="U41">
        <f t="shared" si="2"/>
        <v>1</v>
      </c>
    </row>
    <row r="42" spans="1:23" x14ac:dyDescent="0.2">
      <c r="A42" t="s">
        <v>297</v>
      </c>
      <c r="B42" t="s">
        <v>17</v>
      </c>
      <c r="C42" t="s">
        <v>56</v>
      </c>
      <c r="D42" t="s">
        <v>92</v>
      </c>
      <c r="E42" s="15">
        <v>799.46254914701706</v>
      </c>
      <c r="F42" s="15">
        <v>753.45013700905088</v>
      </c>
      <c r="G42" s="15">
        <v>727.3997086566178</v>
      </c>
      <c r="H42" s="15">
        <v>733.30139354677442</v>
      </c>
      <c r="I42" s="15">
        <v>3490.7308144855538</v>
      </c>
      <c r="J42" s="15">
        <v>807.42052522460256</v>
      </c>
      <c r="K42" s="40">
        <v>774.24804812492005</v>
      </c>
      <c r="L42" s="15">
        <v>851.05925368319174</v>
      </c>
      <c r="M42" s="15">
        <v>1238.6737348981333</v>
      </c>
      <c r="N42" s="15">
        <v>699.62090789346871</v>
      </c>
      <c r="O42" s="15">
        <v>747.12227254013999</v>
      </c>
      <c r="P42" s="15">
        <v>1528.6645481952253</v>
      </c>
      <c r="Q42" s="4">
        <f t="shared" si="0"/>
        <v>13151.153893404697</v>
      </c>
      <c r="R42" s="1">
        <v>0</v>
      </c>
      <c r="S42" s="1">
        <f t="shared" si="1"/>
        <v>0</v>
      </c>
      <c r="U42">
        <f t="shared" si="2"/>
        <v>1</v>
      </c>
    </row>
    <row r="43" spans="1:23" hidden="1" x14ac:dyDescent="0.2">
      <c r="A43" t="s">
        <v>297</v>
      </c>
      <c r="B43" t="s">
        <v>17</v>
      </c>
      <c r="C43" t="s">
        <v>56</v>
      </c>
      <c r="D43" t="s">
        <v>93</v>
      </c>
      <c r="E43" s="15">
        <v>157.80000506045681</v>
      </c>
      <c r="F43" s="15">
        <v>296.78609910526558</v>
      </c>
      <c r="G43" s="15">
        <v>1043.2698512838201</v>
      </c>
      <c r="H43" s="15">
        <v>1384.8318353945042</v>
      </c>
      <c r="I43" s="15">
        <v>1413.2442656271437</v>
      </c>
      <c r="J43" s="15">
        <v>1449.0860017194657</v>
      </c>
      <c r="K43" s="40">
        <v>1481.5545427510513</v>
      </c>
      <c r="L43" s="15">
        <v>1499.0632124838253</v>
      </c>
      <c r="M43" s="15">
        <v>1500.7382578888817</v>
      </c>
      <c r="N43" s="15">
        <v>1394.0303995886477</v>
      </c>
      <c r="O43" s="15">
        <v>1354.2035398394728</v>
      </c>
      <c r="P43" s="15">
        <v>1114.7697926753744</v>
      </c>
      <c r="Q43" s="4">
        <f t="shared" si="0"/>
        <v>14089.377803417909</v>
      </c>
      <c r="R43" s="1">
        <v>1</v>
      </c>
      <c r="S43" s="1">
        <f t="shared" si="1"/>
        <v>14089.377803417909</v>
      </c>
      <c r="U43">
        <v>0</v>
      </c>
      <c r="W43">
        <v>0</v>
      </c>
    </row>
    <row r="44" spans="1:23" hidden="1" x14ac:dyDescent="0.2">
      <c r="A44" t="s">
        <v>297</v>
      </c>
      <c r="B44" t="s">
        <v>17</v>
      </c>
      <c r="C44" t="s">
        <v>56</v>
      </c>
      <c r="D44" t="s">
        <v>94</v>
      </c>
      <c r="E44" s="15">
        <v>472.06923682140047</v>
      </c>
      <c r="F44" s="15">
        <v>474.1</v>
      </c>
      <c r="G44" s="15">
        <v>483.74092985756516</v>
      </c>
      <c r="H44" s="15">
        <v>482.06</v>
      </c>
      <c r="I44" s="15">
        <v>479.62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4">
        <f t="shared" si="0"/>
        <v>2391.5901666789655</v>
      </c>
      <c r="R44" s="1">
        <v>1</v>
      </c>
      <c r="S44" s="1">
        <f t="shared" si="1"/>
        <v>2391.5901666789655</v>
      </c>
      <c r="U44">
        <f t="shared" si="2"/>
        <v>0</v>
      </c>
      <c r="W44">
        <f t="shared" ref="W44:W45" si="7">+IF(P44&gt;0,1,0)</f>
        <v>0</v>
      </c>
    </row>
    <row r="45" spans="1:23" hidden="1" x14ac:dyDescent="0.2">
      <c r="A45" t="s">
        <v>297</v>
      </c>
      <c r="B45" t="s">
        <v>17</v>
      </c>
      <c r="C45" t="s">
        <v>56</v>
      </c>
      <c r="D45" t="s">
        <v>95</v>
      </c>
      <c r="E45" s="15">
        <v>1607.4685538687984</v>
      </c>
      <c r="F45" s="15">
        <v>1411.7377929394856</v>
      </c>
      <c r="G45" s="15">
        <v>1544.0749652202926</v>
      </c>
      <c r="H45" s="15">
        <v>474.45315335894793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4">
        <f t="shared" si="0"/>
        <v>5037.7344653875252</v>
      </c>
      <c r="R45" s="1">
        <v>1</v>
      </c>
      <c r="S45" s="1">
        <f t="shared" si="1"/>
        <v>5037.7344653875252</v>
      </c>
      <c r="U45">
        <f t="shared" si="2"/>
        <v>0</v>
      </c>
      <c r="W45">
        <f t="shared" si="7"/>
        <v>0</v>
      </c>
    </row>
    <row r="46" spans="1:23" x14ac:dyDescent="0.2">
      <c r="A46" t="s">
        <v>297</v>
      </c>
      <c r="B46" t="s">
        <v>17</v>
      </c>
      <c r="C46" t="s">
        <v>56</v>
      </c>
      <c r="D46" t="s">
        <v>96</v>
      </c>
      <c r="E46" s="15">
        <v>1801.6704971424529</v>
      </c>
      <c r="F46" s="15">
        <v>1726.4404343008016</v>
      </c>
      <c r="G46" s="15">
        <v>2243.6529738968848</v>
      </c>
      <c r="H46" s="15">
        <v>1983.7760001205618</v>
      </c>
      <c r="I46" s="15">
        <v>2102.2769745992928</v>
      </c>
      <c r="J46" s="15">
        <v>2154.9123465733492</v>
      </c>
      <c r="K46" s="40">
        <v>2848.995020511762</v>
      </c>
      <c r="L46" s="15">
        <v>2297.7869895033923</v>
      </c>
      <c r="M46" s="15">
        <v>2385.685287987586</v>
      </c>
      <c r="N46" s="15">
        <v>2215.8946568317492</v>
      </c>
      <c r="O46" s="15">
        <v>2166.7466714859488</v>
      </c>
      <c r="P46" s="15">
        <v>2304.1560166362797</v>
      </c>
      <c r="Q46" s="4">
        <f t="shared" si="0"/>
        <v>26231.99386959006</v>
      </c>
      <c r="R46" s="1">
        <v>1</v>
      </c>
      <c r="S46" s="1">
        <f t="shared" si="1"/>
        <v>26231.99386959006</v>
      </c>
      <c r="U46">
        <f t="shared" si="2"/>
        <v>1</v>
      </c>
    </row>
    <row r="47" spans="1:23" hidden="1" x14ac:dyDescent="0.2">
      <c r="A47" t="s">
        <v>297</v>
      </c>
      <c r="B47" t="s">
        <v>17</v>
      </c>
      <c r="C47" t="s">
        <v>56</v>
      </c>
      <c r="D47" t="s">
        <v>97</v>
      </c>
      <c r="E47" s="15">
        <v>157.80000506045681</v>
      </c>
      <c r="F47" s="15">
        <v>296.78609910526558</v>
      </c>
      <c r="G47" s="15">
        <v>204.3324990901786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4">
        <f t="shared" si="0"/>
        <v>658.91860325590096</v>
      </c>
      <c r="R47" s="1">
        <v>1</v>
      </c>
      <c r="S47" s="1">
        <f t="shared" si="1"/>
        <v>658.91860325590096</v>
      </c>
      <c r="U47">
        <f t="shared" si="2"/>
        <v>0</v>
      </c>
      <c r="W47">
        <f>+IF(P47&gt;0,1,0)</f>
        <v>0</v>
      </c>
    </row>
    <row r="48" spans="1:23" x14ac:dyDescent="0.2">
      <c r="A48" t="s">
        <v>297</v>
      </c>
      <c r="B48" t="s">
        <v>17</v>
      </c>
      <c r="C48" t="s">
        <v>56</v>
      </c>
      <c r="D48" t="s">
        <v>98</v>
      </c>
      <c r="E48" s="15">
        <v>1704.6944662995015</v>
      </c>
      <c r="F48" s="15">
        <v>1514.2693345532346</v>
      </c>
      <c r="G48" s="15">
        <v>2605.5226157868351</v>
      </c>
      <c r="H48" s="15">
        <v>2669.4747040835937</v>
      </c>
      <c r="I48" s="15">
        <v>3679.8885996753793</v>
      </c>
      <c r="J48" s="15">
        <v>2521.2883998650018</v>
      </c>
      <c r="K48" s="15">
        <v>5026.5344404982252</v>
      </c>
      <c r="L48" s="15">
        <v>4336.1612834284451</v>
      </c>
      <c r="M48" s="15">
        <v>2576.8263644615909</v>
      </c>
      <c r="N48" s="15">
        <v>3964.6676999968367</v>
      </c>
      <c r="O48" s="15">
        <v>4651.7736133902199</v>
      </c>
      <c r="P48" s="15">
        <v>4818.39816664708</v>
      </c>
      <c r="Q48" s="4">
        <f t="shared" si="0"/>
        <v>40069.499688685944</v>
      </c>
      <c r="R48" s="1">
        <v>1</v>
      </c>
      <c r="S48" s="1">
        <f t="shared" si="1"/>
        <v>40069.499688685944</v>
      </c>
      <c r="U48">
        <f t="shared" si="2"/>
        <v>1</v>
      </c>
    </row>
    <row r="49" spans="1:23" hidden="1" x14ac:dyDescent="0.2">
      <c r="A49" t="s">
        <v>297</v>
      </c>
      <c r="B49" t="s">
        <v>17</v>
      </c>
      <c r="C49" t="s">
        <v>56</v>
      </c>
      <c r="D49" t="s">
        <v>99</v>
      </c>
      <c r="E49" s="15">
        <v>3345.9326643451286</v>
      </c>
      <c r="F49" s="15">
        <v>2746.0803077367391</v>
      </c>
      <c r="G49" s="15">
        <v>2790.998348236275</v>
      </c>
      <c r="H49" s="15">
        <v>2849.6108865551851</v>
      </c>
      <c r="I49" s="15">
        <v>3928.1958360752624</v>
      </c>
      <c r="J49" s="15">
        <v>2691.4162617837774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4">
        <f t="shared" si="0"/>
        <v>18352.234304732367</v>
      </c>
      <c r="R49" s="1">
        <v>0</v>
      </c>
      <c r="S49" s="1">
        <f t="shared" si="1"/>
        <v>0</v>
      </c>
      <c r="U49">
        <f t="shared" si="2"/>
        <v>0</v>
      </c>
      <c r="W49">
        <f>+IF(P49&gt;0,1,0)</f>
        <v>0</v>
      </c>
    </row>
    <row r="50" spans="1:23" x14ac:dyDescent="0.2">
      <c r="A50" t="s">
        <v>297</v>
      </c>
      <c r="B50" t="s">
        <v>17</v>
      </c>
      <c r="C50" t="s">
        <v>56</v>
      </c>
      <c r="D50" t="s">
        <v>100</v>
      </c>
      <c r="E50" s="15">
        <v>1442.4337791765013</v>
      </c>
      <c r="F50" s="15">
        <v>1448.5</v>
      </c>
      <c r="G50" s="15">
        <v>1478.0972856758935</v>
      </c>
      <c r="H50" s="15">
        <v>1472.95</v>
      </c>
      <c r="I50" s="15">
        <v>1465.49</v>
      </c>
      <c r="J50" s="15">
        <v>1440.92</v>
      </c>
      <c r="K50" s="15">
        <v>1470</v>
      </c>
      <c r="L50" s="15">
        <v>1440.92</v>
      </c>
      <c r="M50" s="15">
        <v>1640.6143481220925</v>
      </c>
      <c r="N50" s="15">
        <v>2523.1786923101258</v>
      </c>
      <c r="O50" s="15">
        <v>2963.4121102723993</v>
      </c>
      <c r="P50" s="15">
        <v>3143.296215771536</v>
      </c>
      <c r="Q50" s="4">
        <f t="shared" si="0"/>
        <v>21929.812431328552</v>
      </c>
      <c r="R50" s="1">
        <v>1</v>
      </c>
      <c r="S50" s="1">
        <f t="shared" si="1"/>
        <v>21929.812431328552</v>
      </c>
      <c r="U50">
        <f t="shared" si="2"/>
        <v>1</v>
      </c>
    </row>
    <row r="51" spans="1:23" x14ac:dyDescent="0.2">
      <c r="A51" t="s">
        <v>297</v>
      </c>
      <c r="B51" t="s">
        <v>17</v>
      </c>
      <c r="C51" t="s">
        <v>56</v>
      </c>
      <c r="D51" t="s">
        <v>101</v>
      </c>
      <c r="E51" s="15">
        <v>2066.9563137583937</v>
      </c>
      <c r="F51" s="15">
        <v>1696.3963712267253</v>
      </c>
      <c r="G51" s="15">
        <v>1724.1445768022677</v>
      </c>
      <c r="H51" s="15">
        <v>1859.9352173820189</v>
      </c>
      <c r="I51" s="15">
        <v>2563.9294260914053</v>
      </c>
      <c r="J51" s="15">
        <v>1756.6900869185242</v>
      </c>
      <c r="K51" s="15">
        <v>3501.500675303887</v>
      </c>
      <c r="L51" s="15">
        <v>3021.1900956219479</v>
      </c>
      <c r="M51" s="15">
        <v>1794.6556223760354</v>
      </c>
      <c r="N51" s="15">
        <v>2763.8088128301642</v>
      </c>
      <c r="O51" s="15">
        <v>3241.6540859862157</v>
      </c>
      <c r="P51" s="15">
        <v>3440.9031613585616</v>
      </c>
      <c r="Q51" s="4">
        <f t="shared" si="0"/>
        <v>29431.764445656143</v>
      </c>
      <c r="R51" s="1">
        <v>1</v>
      </c>
      <c r="S51" s="1">
        <f t="shared" si="1"/>
        <v>29431.764445656143</v>
      </c>
      <c r="U51">
        <f t="shared" si="2"/>
        <v>1</v>
      </c>
    </row>
    <row r="52" spans="1:23" x14ac:dyDescent="0.2">
      <c r="A52" t="s">
        <v>297</v>
      </c>
      <c r="B52" t="s">
        <v>17</v>
      </c>
      <c r="C52" t="s">
        <v>56</v>
      </c>
      <c r="D52" t="s">
        <v>102</v>
      </c>
      <c r="E52" s="15">
        <v>1608.1299091559956</v>
      </c>
      <c r="F52" s="15">
        <v>1541.399692677255</v>
      </c>
      <c r="G52" s="15">
        <v>1544.710199468527</v>
      </c>
      <c r="H52" s="15">
        <v>1525.4569039874489</v>
      </c>
      <c r="I52" s="15">
        <v>1556.7342941983329</v>
      </c>
      <c r="J52" s="15">
        <v>1596.18909830711</v>
      </c>
      <c r="K52" s="40">
        <v>1653.6324180130089</v>
      </c>
      <c r="L52" s="15">
        <v>1638.0231604709572</v>
      </c>
      <c r="M52" s="15">
        <v>1635.0798449211572</v>
      </c>
      <c r="N52" s="15">
        <v>1525.1589228815851</v>
      </c>
      <c r="O52" s="15">
        <v>1491.3477407175396</v>
      </c>
      <c r="P52" s="15">
        <v>1806.5451908569416</v>
      </c>
      <c r="Q52" s="4">
        <f t="shared" si="0"/>
        <v>19122.407375655857</v>
      </c>
      <c r="R52" s="1">
        <v>1</v>
      </c>
      <c r="S52" s="1">
        <f t="shared" si="1"/>
        <v>19122.407375655857</v>
      </c>
      <c r="U52">
        <f t="shared" si="2"/>
        <v>1</v>
      </c>
    </row>
    <row r="53" spans="1:23" x14ac:dyDescent="0.2">
      <c r="A53" t="s">
        <v>297</v>
      </c>
      <c r="B53" t="s">
        <v>17</v>
      </c>
      <c r="C53" t="s">
        <v>56</v>
      </c>
      <c r="D53" t="s">
        <v>103</v>
      </c>
      <c r="E53" s="15">
        <v>3413.9610643572992</v>
      </c>
      <c r="F53" s="15">
        <v>2801.9127073635923</v>
      </c>
      <c r="G53" s="15">
        <v>2847.7440066562372</v>
      </c>
      <c r="H53" s="15">
        <v>2907.5556119178118</v>
      </c>
      <c r="I53" s="15">
        <v>4008.0756451840552</v>
      </c>
      <c r="J53" s="15">
        <v>2746.1319403124753</v>
      </c>
      <c r="K53" s="15">
        <v>5475.0737832024406</v>
      </c>
      <c r="L53" s="15">
        <v>4722.851618008779</v>
      </c>
      <c r="M53" s="15">
        <v>2807.1405026665157</v>
      </c>
      <c r="N53" s="15">
        <v>5348.8638218454435</v>
      </c>
      <c r="O53" s="15">
        <v>6278.0034131933053</v>
      </c>
      <c r="P53" s="15">
        <v>6723.0826184040434</v>
      </c>
      <c r="Q53" s="4">
        <f t="shared" si="0"/>
        <v>50080.396733112</v>
      </c>
      <c r="R53" s="1">
        <v>1</v>
      </c>
      <c r="S53" s="1">
        <f t="shared" si="1"/>
        <v>50080.396733112</v>
      </c>
      <c r="U53">
        <f t="shared" si="2"/>
        <v>1</v>
      </c>
    </row>
    <row r="54" spans="1:23" hidden="1" x14ac:dyDescent="0.2">
      <c r="A54" t="s">
        <v>297</v>
      </c>
      <c r="B54" t="s">
        <v>17</v>
      </c>
      <c r="C54" t="s">
        <v>56</v>
      </c>
      <c r="D54" t="s">
        <v>104</v>
      </c>
      <c r="E54" s="15">
        <v>1899.7832109736016</v>
      </c>
      <c r="F54" s="15">
        <v>1820.9965037964323</v>
      </c>
      <c r="G54" s="15">
        <v>1824.8456983737485</v>
      </c>
      <c r="H54" s="15">
        <v>1802.0480604331906</v>
      </c>
      <c r="I54" s="15">
        <v>1838.960453005192</v>
      </c>
      <c r="J54" s="15">
        <v>1885.521690348012</v>
      </c>
      <c r="K54" s="40">
        <v>1942.8791358671353</v>
      </c>
      <c r="L54" s="15">
        <v>1944.6447161310509</v>
      </c>
      <c r="M54" s="15">
        <v>1941.9935586827946</v>
      </c>
      <c r="N54" s="15">
        <v>1810.5616439881198</v>
      </c>
      <c r="O54" s="15">
        <v>1770.4127106585345</v>
      </c>
      <c r="P54" s="15">
        <v>2063.9747137628174</v>
      </c>
      <c r="Q54" s="4">
        <f t="shared" si="0"/>
        <v>22546.62209602063</v>
      </c>
      <c r="R54" s="1">
        <v>1</v>
      </c>
      <c r="S54" s="1">
        <f t="shared" si="1"/>
        <v>22546.62209602063</v>
      </c>
      <c r="U54">
        <v>0</v>
      </c>
      <c r="W54">
        <v>0</v>
      </c>
    </row>
    <row r="55" spans="1:23" x14ac:dyDescent="0.2">
      <c r="A55" t="s">
        <v>297</v>
      </c>
      <c r="B55" t="s">
        <v>17</v>
      </c>
      <c r="C55" t="s">
        <v>56</v>
      </c>
      <c r="D55" t="s">
        <v>105</v>
      </c>
      <c r="E55" s="15">
        <v>6027.8688000577549</v>
      </c>
      <c r="F55" s="15">
        <v>4765.1720407872153</v>
      </c>
      <c r="G55" s="15">
        <v>4843.1166624766502</v>
      </c>
      <c r="H55" s="15">
        <v>4943.5176742754747</v>
      </c>
      <c r="I55" s="15">
        <v>6814.6612360734989</v>
      </c>
      <c r="J55" s="15">
        <v>4669.0712344488766</v>
      </c>
      <c r="K55" s="15">
        <v>9309.3617127707475</v>
      </c>
      <c r="L55" s="15">
        <v>8030.1640457359272</v>
      </c>
      <c r="M55" s="15">
        <v>4772.2884091682736</v>
      </c>
      <c r="N55" s="15">
        <v>7342.6562490114829</v>
      </c>
      <c r="O55" s="15">
        <v>8455.314407614047</v>
      </c>
      <c r="P55" s="15">
        <v>9106.7725349629818</v>
      </c>
      <c r="Q55" s="4">
        <f t="shared" si="0"/>
        <v>79079.965007382925</v>
      </c>
      <c r="R55" s="1">
        <v>1</v>
      </c>
      <c r="S55" s="1">
        <f t="shared" si="1"/>
        <v>79079.965007382925</v>
      </c>
      <c r="U55">
        <f t="shared" si="2"/>
        <v>1</v>
      </c>
    </row>
    <row r="56" spans="1:23" hidden="1" x14ac:dyDescent="0.2">
      <c r="A56" t="s">
        <v>297</v>
      </c>
      <c r="B56" t="s">
        <v>17</v>
      </c>
      <c r="C56" t="s">
        <v>56</v>
      </c>
      <c r="D56" t="s">
        <v>106</v>
      </c>
      <c r="E56" s="15">
        <v>655.65171780750063</v>
      </c>
      <c r="F56" s="15">
        <v>658.4</v>
      </c>
      <c r="G56" s="15">
        <v>1084.1171728030099</v>
      </c>
      <c r="H56" s="15">
        <v>1080.3399999999999</v>
      </c>
      <c r="I56" s="15">
        <v>1074.8699999999999</v>
      </c>
      <c r="J56" s="15">
        <v>1056.8499999999999</v>
      </c>
      <c r="K56" s="15">
        <v>1078</v>
      </c>
      <c r="L56" s="15">
        <v>2062.35</v>
      </c>
      <c r="M56" s="15">
        <v>0</v>
      </c>
      <c r="N56" s="15">
        <v>0</v>
      </c>
      <c r="O56" s="15">
        <v>0</v>
      </c>
      <c r="P56" s="15">
        <v>0</v>
      </c>
      <c r="Q56" s="4">
        <f t="shared" si="0"/>
        <v>8750.5788906105099</v>
      </c>
      <c r="R56" s="1">
        <v>1</v>
      </c>
      <c r="S56" s="1">
        <f t="shared" si="1"/>
        <v>8750.5788906105099</v>
      </c>
      <c r="U56">
        <f t="shared" si="2"/>
        <v>0</v>
      </c>
      <c r="W56">
        <f>+IF(P56&gt;0,1,0)</f>
        <v>0</v>
      </c>
    </row>
    <row r="57" spans="1:23" x14ac:dyDescent="0.2">
      <c r="A57" t="s">
        <v>297</v>
      </c>
      <c r="B57" t="s">
        <v>17</v>
      </c>
      <c r="C57" t="s">
        <v>56</v>
      </c>
      <c r="D57" t="s">
        <v>107</v>
      </c>
      <c r="E57" s="15">
        <v>1608.1299091559956</v>
      </c>
      <c r="F57" s="15">
        <v>1541.399692677255</v>
      </c>
      <c r="G57" s="15">
        <v>1822.9680412912187</v>
      </c>
      <c r="H57" s="15">
        <v>1800.1941599247041</v>
      </c>
      <c r="I57" s="15">
        <v>1837.0687829097205</v>
      </c>
      <c r="J57" s="15">
        <v>2463.6785136576996</v>
      </c>
      <c r="K57" s="40">
        <v>2485.6877875056548</v>
      </c>
      <c r="L57" s="15">
        <v>2517.8078935627059</v>
      </c>
      <c r="M57" s="15">
        <v>2523.7331180216765</v>
      </c>
      <c r="N57" s="15">
        <v>2344.0607651601536</v>
      </c>
      <c r="O57" s="15">
        <v>2292.0672837925222</v>
      </c>
      <c r="P57" s="15">
        <v>2062.2492474480318</v>
      </c>
      <c r="Q57" s="4">
        <f t="shared" si="0"/>
        <v>25299.045195107337</v>
      </c>
      <c r="R57" s="1">
        <v>1</v>
      </c>
      <c r="S57" s="1">
        <f t="shared" si="1"/>
        <v>25299.045195107337</v>
      </c>
      <c r="U57">
        <f t="shared" si="2"/>
        <v>1</v>
      </c>
    </row>
    <row r="58" spans="1:23" hidden="1" x14ac:dyDescent="0.2">
      <c r="A58" t="s">
        <v>297</v>
      </c>
      <c r="B58" t="s">
        <v>17</v>
      </c>
      <c r="C58" t="s">
        <v>56</v>
      </c>
      <c r="D58" t="s">
        <v>108</v>
      </c>
      <c r="E58" s="15">
        <v>813.01</v>
      </c>
      <c r="F58" s="15">
        <v>816.4</v>
      </c>
      <c r="G58" s="15">
        <v>833.10937919913999</v>
      </c>
      <c r="H58" s="15">
        <v>207.55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4">
        <f t="shared" si="0"/>
        <v>2670.0693791991398</v>
      </c>
      <c r="R58" s="1">
        <v>1</v>
      </c>
      <c r="S58" s="1">
        <f t="shared" si="1"/>
        <v>2670.0693791991398</v>
      </c>
      <c r="U58">
        <f t="shared" si="2"/>
        <v>0</v>
      </c>
      <c r="W58">
        <f t="shared" ref="W58:W60" si="8">+IF(P58&gt;0,1,0)</f>
        <v>0</v>
      </c>
    </row>
    <row r="59" spans="1:23" hidden="1" x14ac:dyDescent="0.2">
      <c r="A59" t="s">
        <v>297</v>
      </c>
      <c r="B59" t="s">
        <v>17</v>
      </c>
      <c r="C59" t="s">
        <v>56</v>
      </c>
      <c r="D59" t="s">
        <v>109</v>
      </c>
      <c r="E59" s="15">
        <v>1954.0566829417126</v>
      </c>
      <c r="F59" s="15">
        <v>1308.9423572342519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4">
        <f t="shared" si="0"/>
        <v>3262.9990401759642</v>
      </c>
      <c r="R59" s="1">
        <v>1</v>
      </c>
      <c r="S59" s="1">
        <f t="shared" si="1"/>
        <v>3262.9990401759642</v>
      </c>
      <c r="U59">
        <f t="shared" si="2"/>
        <v>0</v>
      </c>
      <c r="W59">
        <f t="shared" si="8"/>
        <v>0</v>
      </c>
    </row>
    <row r="60" spans="1:23" hidden="1" x14ac:dyDescent="0.2">
      <c r="A60" t="s">
        <v>297</v>
      </c>
      <c r="B60" t="s">
        <v>17</v>
      </c>
      <c r="C60" t="s">
        <v>56</v>
      </c>
      <c r="D60" t="s">
        <v>110</v>
      </c>
      <c r="E60" s="15">
        <v>3224.2442599580868</v>
      </c>
      <c r="F60" s="15">
        <v>3090.157012017306</v>
      </c>
      <c r="G60" s="15">
        <v>3097.208679322694</v>
      </c>
      <c r="H60" s="15">
        <v>3058.9593762010477</v>
      </c>
      <c r="I60" s="15">
        <v>3121.9210620196714</v>
      </c>
      <c r="J60" s="15">
        <v>3148.903936509942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4">
        <f t="shared" si="0"/>
        <v>18741.394326028749</v>
      </c>
      <c r="R60" s="1">
        <v>1</v>
      </c>
      <c r="S60" s="1">
        <f t="shared" si="1"/>
        <v>18741.394326028749</v>
      </c>
      <c r="U60">
        <f t="shared" si="2"/>
        <v>0</v>
      </c>
      <c r="W60">
        <f t="shared" si="8"/>
        <v>0</v>
      </c>
    </row>
    <row r="61" spans="1:23" x14ac:dyDescent="0.2">
      <c r="A61" t="s">
        <v>297</v>
      </c>
      <c r="B61" t="s">
        <v>17</v>
      </c>
      <c r="C61" t="s">
        <v>56</v>
      </c>
      <c r="D61" t="s">
        <v>111</v>
      </c>
      <c r="E61" s="15">
        <v>3790.2845878210364</v>
      </c>
      <c r="F61" s="15">
        <v>4848.6060413352752</v>
      </c>
      <c r="G61" s="15">
        <v>3161.6529934036794</v>
      </c>
      <c r="H61" s="15">
        <v>3228.0532699039536</v>
      </c>
      <c r="I61" s="15">
        <v>5143.8773032647332</v>
      </c>
      <c r="J61" s="15">
        <v>3524.3499567888243</v>
      </c>
      <c r="K61" s="15">
        <v>7026.1517682957328</v>
      </c>
      <c r="L61" s="15">
        <v>6061.2462393031547</v>
      </c>
      <c r="M61" s="15">
        <v>3601.2756155679108</v>
      </c>
      <c r="N61" s="15">
        <v>5543.6596336949988</v>
      </c>
      <c r="O61" s="15">
        <v>6504.9191992123397</v>
      </c>
      <c r="P61" s="15">
        <v>6901.6467857562566</v>
      </c>
      <c r="Q61" s="4">
        <f t="shared" si="0"/>
        <v>59335.723394347879</v>
      </c>
      <c r="R61" s="1">
        <v>1</v>
      </c>
      <c r="S61" s="1">
        <f t="shared" si="1"/>
        <v>59335.723394347879</v>
      </c>
      <c r="U61">
        <f t="shared" si="2"/>
        <v>1</v>
      </c>
    </row>
    <row r="62" spans="1:23" hidden="1" x14ac:dyDescent="0.2">
      <c r="A62" t="s">
        <v>297</v>
      </c>
      <c r="B62" t="s">
        <v>17</v>
      </c>
      <c r="C62" t="s">
        <v>56</v>
      </c>
      <c r="D62" t="s">
        <v>112</v>
      </c>
      <c r="E62" s="15">
        <v>655.65171780750063</v>
      </c>
      <c r="F62" s="15">
        <v>658.4</v>
      </c>
      <c r="G62" s="15">
        <v>671.86240257995166</v>
      </c>
      <c r="H62" s="15">
        <v>167.38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4">
        <f t="shared" si="0"/>
        <v>2153.2941203874525</v>
      </c>
      <c r="R62" s="1">
        <v>1</v>
      </c>
      <c r="S62" s="1">
        <f t="shared" si="1"/>
        <v>2153.2941203874525</v>
      </c>
      <c r="U62">
        <f t="shared" si="2"/>
        <v>0</v>
      </c>
      <c r="W62">
        <f t="shared" ref="W62:W63" si="9">+IF(P62&gt;0,1,0)</f>
        <v>0</v>
      </c>
    </row>
    <row r="63" spans="1:23" hidden="1" x14ac:dyDescent="0.2">
      <c r="A63" t="s">
        <v>297</v>
      </c>
      <c r="B63" t="s">
        <v>17</v>
      </c>
      <c r="C63" t="s">
        <v>56</v>
      </c>
      <c r="D63" t="s">
        <v>113</v>
      </c>
      <c r="E63" s="15">
        <v>1294.2705659697251</v>
      </c>
      <c r="F63" s="15">
        <v>1062.2362344486614</v>
      </c>
      <c r="G63" s="15">
        <v>1079.611389160857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4">
        <f t="shared" si="0"/>
        <v>3436.1181895792438</v>
      </c>
      <c r="R63" s="1">
        <v>1</v>
      </c>
      <c r="S63" s="1">
        <f t="shared" si="1"/>
        <v>3436.1181895792438</v>
      </c>
      <c r="U63">
        <f t="shared" si="2"/>
        <v>0</v>
      </c>
      <c r="W63">
        <f t="shared" si="9"/>
        <v>0</v>
      </c>
    </row>
    <row r="64" spans="1:23" x14ac:dyDescent="0.2">
      <c r="A64" t="s">
        <v>297</v>
      </c>
      <c r="B64" t="s">
        <v>17</v>
      </c>
      <c r="C64" t="s">
        <v>56</v>
      </c>
      <c r="D64" t="s">
        <v>114</v>
      </c>
      <c r="E64" s="15">
        <v>367.16496197220033</v>
      </c>
      <c r="F64" s="15">
        <v>368.7</v>
      </c>
      <c r="G64" s="15">
        <v>376.24294544477289</v>
      </c>
      <c r="H64" s="15">
        <v>374.93</v>
      </c>
      <c r="I64" s="15">
        <v>373.03</v>
      </c>
      <c r="J64" s="15">
        <v>366.78</v>
      </c>
      <c r="K64" s="15">
        <v>855</v>
      </c>
      <c r="L64" s="15">
        <v>838.35</v>
      </c>
      <c r="M64" s="15">
        <v>848</v>
      </c>
      <c r="N64" s="15">
        <v>852</v>
      </c>
      <c r="O64" s="15">
        <v>849</v>
      </c>
      <c r="P64" s="15">
        <v>1179</v>
      </c>
      <c r="Q64" s="4">
        <f t="shared" si="0"/>
        <v>7648.1979074169731</v>
      </c>
      <c r="R64" s="1">
        <v>1</v>
      </c>
      <c r="S64" s="1">
        <f t="shared" si="1"/>
        <v>7648.1979074169731</v>
      </c>
      <c r="U64">
        <f t="shared" si="2"/>
        <v>1</v>
      </c>
    </row>
    <row r="65" spans="1:23" hidden="1" x14ac:dyDescent="0.2">
      <c r="A65" t="s">
        <v>297</v>
      </c>
      <c r="B65" t="s">
        <v>17</v>
      </c>
      <c r="C65" t="s">
        <v>56</v>
      </c>
      <c r="D65" s="125" t="s">
        <v>115</v>
      </c>
      <c r="E65" s="15">
        <v>1900.1613368442065</v>
      </c>
      <c r="F65" s="15">
        <v>1821.3575971346481</v>
      </c>
      <c r="G65" s="15">
        <v>1825.2074874157895</v>
      </c>
      <c r="H65" s="15">
        <v>1802.4052720322866</v>
      </c>
      <c r="I65" s="15">
        <v>1839.3249420900549</v>
      </c>
      <c r="J65" s="15">
        <v>1885.8953572403364</v>
      </c>
      <c r="K65" s="40">
        <v>1944.1035657350235</v>
      </c>
      <c r="L65" s="15">
        <v>1789.7951339875046</v>
      </c>
      <c r="M65" s="15">
        <v>1945.5427574896171</v>
      </c>
      <c r="N65" s="15">
        <v>1781.9180798633611</v>
      </c>
      <c r="O65" s="15">
        <v>3501.4897695889013</v>
      </c>
      <c r="P65" s="15">
        <v>2064.307178519512</v>
      </c>
      <c r="Q65" s="4">
        <f t="shared" si="0"/>
        <v>24101.508477941246</v>
      </c>
      <c r="R65" s="1">
        <v>1</v>
      </c>
      <c r="S65" s="1">
        <f t="shared" si="1"/>
        <v>24101.508477941246</v>
      </c>
      <c r="U65">
        <v>0</v>
      </c>
      <c r="W65">
        <f>+IF(P65&gt;0,1,0)</f>
        <v>1</v>
      </c>
    </row>
    <row r="66" spans="1:23" x14ac:dyDescent="0.2">
      <c r="A66" t="s">
        <v>297</v>
      </c>
      <c r="B66" t="s">
        <v>17</v>
      </c>
      <c r="C66" t="s">
        <v>56</v>
      </c>
      <c r="D66" t="s">
        <v>117</v>
      </c>
      <c r="E66" s="15">
        <v>928.23769462651785</v>
      </c>
      <c r="F66" s="15">
        <v>1486.1762049021056</v>
      </c>
      <c r="G66" s="15">
        <v>1485.2393728291727</v>
      </c>
      <c r="H66" s="15">
        <v>1465.9216374714536</v>
      </c>
      <c r="I66" s="15">
        <v>1495.1102093854463</v>
      </c>
      <c r="J66" s="15">
        <v>1532.3384060008434</v>
      </c>
      <c r="K66" s="40">
        <v>1603.4699751853648</v>
      </c>
      <c r="L66" s="15">
        <v>1924.1712206638467</v>
      </c>
      <c r="M66" s="15">
        <v>1956.9501486820463</v>
      </c>
      <c r="N66" s="15">
        <v>1775.861036156241</v>
      </c>
      <c r="O66" s="15">
        <v>1735.0927697641016</v>
      </c>
      <c r="P66" s="15">
        <v>2061.796940744156</v>
      </c>
      <c r="Q66" s="4">
        <f t="shared" si="0"/>
        <v>19450.365616411294</v>
      </c>
      <c r="R66" s="1">
        <v>1</v>
      </c>
      <c r="S66" s="1">
        <f t="shared" si="1"/>
        <v>19450.365616411294</v>
      </c>
      <c r="U66">
        <f t="shared" si="2"/>
        <v>1</v>
      </c>
    </row>
    <row r="67" spans="1:23" x14ac:dyDescent="0.2">
      <c r="A67" t="s">
        <v>297</v>
      </c>
      <c r="B67" t="s">
        <v>17</v>
      </c>
      <c r="C67" t="s">
        <v>56</v>
      </c>
      <c r="D67" t="s">
        <v>118</v>
      </c>
      <c r="E67" s="15">
        <v>10427.759626854762</v>
      </c>
      <c r="F67" s="15">
        <v>9983.5296087945899</v>
      </c>
      <c r="G67" s="15">
        <v>10086.707940044811</v>
      </c>
      <c r="H67" s="15">
        <v>9968.5088756787609</v>
      </c>
      <c r="I67" s="15">
        <v>10176.830513789117</v>
      </c>
      <c r="J67" s="15">
        <v>10441.537632528352</v>
      </c>
      <c r="K67" s="40">
        <v>10945.563409868324</v>
      </c>
      <c r="L67" s="15">
        <v>12068.867384308482</v>
      </c>
      <c r="M67" s="15">
        <v>11352.380854411766</v>
      </c>
      <c r="N67" s="15">
        <v>10483.642252768304</v>
      </c>
      <c r="O67" s="15">
        <v>10174.684106484396</v>
      </c>
      <c r="P67" s="15">
        <v>9862.5657187339439</v>
      </c>
      <c r="Q67" s="4">
        <f t="shared" si="0"/>
        <v>125972.5779242656</v>
      </c>
      <c r="R67" s="1">
        <v>0</v>
      </c>
      <c r="S67" s="1">
        <f t="shared" si="1"/>
        <v>0</v>
      </c>
      <c r="U67">
        <f t="shared" si="2"/>
        <v>1</v>
      </c>
    </row>
    <row r="68" spans="1:23" hidden="1" x14ac:dyDescent="0.2">
      <c r="A68" t="s">
        <v>297</v>
      </c>
      <c r="B68" t="s">
        <v>17</v>
      </c>
      <c r="C68" t="s">
        <v>56</v>
      </c>
      <c r="D68" t="s">
        <v>119</v>
      </c>
      <c r="E68" s="15">
        <v>6756.0610668807931</v>
      </c>
      <c r="F68" s="15">
        <v>6512.7914149902817</v>
      </c>
      <c r="G68" s="15">
        <v>8230.7511886217653</v>
      </c>
      <c r="H68" s="15">
        <v>8132.7126263774908</v>
      </c>
      <c r="I68" s="15">
        <v>8260.3497310761613</v>
      </c>
      <c r="J68" s="15">
        <v>8477.7066584551776</v>
      </c>
      <c r="K68" s="40">
        <v>8303.7475203969279</v>
      </c>
      <c r="L68" s="15">
        <v>8676.4371502019112</v>
      </c>
      <c r="M68" s="15">
        <v>8709.3315396710605</v>
      </c>
      <c r="N68" s="15">
        <v>8066.0706270098663</v>
      </c>
      <c r="O68" s="15">
        <v>7883.1298964100679</v>
      </c>
      <c r="P68" s="15">
        <v>19756.917903178721</v>
      </c>
      <c r="Q68" s="4">
        <f t="shared" si="0"/>
        <v>107766.00732327023</v>
      </c>
      <c r="R68" s="1">
        <v>1</v>
      </c>
      <c r="S68" s="1">
        <f t="shared" si="1"/>
        <v>107766.00732327023</v>
      </c>
      <c r="U68">
        <v>0</v>
      </c>
      <c r="W68">
        <v>0</v>
      </c>
    </row>
    <row r="69" spans="1:23" hidden="1" x14ac:dyDescent="0.2">
      <c r="A69" t="s">
        <v>297</v>
      </c>
      <c r="B69" t="s">
        <v>17</v>
      </c>
      <c r="C69" t="s">
        <v>56</v>
      </c>
      <c r="D69" t="s">
        <v>120</v>
      </c>
      <c r="E69" s="15">
        <v>7859.4716329603789</v>
      </c>
      <c r="F69" s="15">
        <v>6450.4407128325201</v>
      </c>
      <c r="G69" s="15">
        <v>6555.95152268122</v>
      </c>
      <c r="H69" s="15">
        <v>6693.4514468965817</v>
      </c>
      <c r="I69" s="15">
        <v>9226.9464926386918</v>
      </c>
      <c r="J69" s="15">
        <v>6321.8666698754096</v>
      </c>
      <c r="K69" s="15">
        <v>12605.402431093993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4">
        <f t="shared" si="0"/>
        <v>55713.530908978792</v>
      </c>
      <c r="R69" s="1">
        <v>1</v>
      </c>
      <c r="S69" s="1">
        <f t="shared" si="1"/>
        <v>55713.530908978792</v>
      </c>
      <c r="U69">
        <f t="shared" si="2"/>
        <v>0</v>
      </c>
      <c r="W69">
        <f t="shared" ref="W69:W70" si="10">+IF(P69&gt;0,1,0)</f>
        <v>0</v>
      </c>
    </row>
    <row r="70" spans="1:23" hidden="1" x14ac:dyDescent="0.2">
      <c r="A70" t="s">
        <v>297</v>
      </c>
      <c r="B70" t="s">
        <v>17</v>
      </c>
      <c r="C70" t="s">
        <v>56</v>
      </c>
      <c r="D70" t="s">
        <v>121</v>
      </c>
      <c r="E70" s="15">
        <v>8571.5703869092104</v>
      </c>
      <c r="F70" s="15">
        <v>8217.1939589672511</v>
      </c>
      <c r="G70" s="15">
        <v>8208.0734661881015</v>
      </c>
      <c r="H70" s="15">
        <v>5202.6789466284536</v>
      </c>
      <c r="I70" s="15">
        <v>9345.936675140536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4">
        <f t="shared" si="0"/>
        <v>39545.453433833551</v>
      </c>
      <c r="R70" s="1">
        <v>1</v>
      </c>
      <c r="S70" s="1">
        <f t="shared" si="1"/>
        <v>39545.453433833551</v>
      </c>
      <c r="U70">
        <f t="shared" si="2"/>
        <v>0</v>
      </c>
      <c r="W70">
        <f t="shared" si="10"/>
        <v>0</v>
      </c>
    </row>
    <row r="71" spans="1:23" x14ac:dyDescent="0.2">
      <c r="A71" t="s">
        <v>297</v>
      </c>
      <c r="B71" t="s">
        <v>17</v>
      </c>
      <c r="C71" t="s">
        <v>56</v>
      </c>
      <c r="D71" t="s">
        <v>122</v>
      </c>
      <c r="E71" s="15">
        <v>2947.7889902369975</v>
      </c>
      <c r="F71" s="15">
        <v>2825.1312968057518</v>
      </c>
      <c r="G71" s="15">
        <v>4206.8493260566584</v>
      </c>
      <c r="H71" s="15">
        <v>4151.3789042084545</v>
      </c>
      <c r="I71" s="15">
        <v>4233.1903590829788</v>
      </c>
      <c r="J71" s="15">
        <v>4337.9800589869601</v>
      </c>
      <c r="K71" s="40">
        <v>4333.4783995068019</v>
      </c>
      <c r="L71" s="15">
        <v>4449.8018626933526</v>
      </c>
      <c r="M71" s="15">
        <v>4531.7375866661669</v>
      </c>
      <c r="N71" s="15">
        <v>4126.666081224027</v>
      </c>
      <c r="O71" s="15">
        <v>4030.0378449891164</v>
      </c>
      <c r="P71" s="15">
        <v>4312.2766512743383</v>
      </c>
      <c r="Q71" s="4">
        <f t="shared" si="0"/>
        <v>48486.317361731606</v>
      </c>
      <c r="R71" s="1">
        <v>1</v>
      </c>
      <c r="S71" s="1">
        <f t="shared" si="1"/>
        <v>48486.317361731606</v>
      </c>
      <c r="U71">
        <f t="shared" si="2"/>
        <v>1</v>
      </c>
    </row>
    <row r="72" spans="1:23" x14ac:dyDescent="0.2">
      <c r="A72" t="s">
        <v>297</v>
      </c>
      <c r="B72" t="s">
        <v>17</v>
      </c>
      <c r="C72" t="s">
        <v>56</v>
      </c>
      <c r="D72" t="s">
        <v>123</v>
      </c>
      <c r="E72" s="15">
        <v>1938.2542334304057</v>
      </c>
      <c r="F72" s="15">
        <v>1857.8770098248419</v>
      </c>
      <c r="G72" s="15">
        <v>2243.6529738968848</v>
      </c>
      <c r="H72" s="15">
        <v>2215.556484454904</v>
      </c>
      <c r="I72" s="15">
        <v>2260.8933001922974</v>
      </c>
      <c r="J72" s="15">
        <v>2318.0773262457933</v>
      </c>
      <c r="K72" s="40">
        <v>2360.6434120032291</v>
      </c>
      <c r="L72" s="15">
        <v>2386.5227320891527</v>
      </c>
      <c r="M72" s="15">
        <v>2388.0888120004661</v>
      </c>
      <c r="N72" s="15">
        <v>2221.8621807933118</v>
      </c>
      <c r="O72" s="15">
        <v>2172.5817067114931</v>
      </c>
      <c r="P72" s="15">
        <v>2448.8361738375611</v>
      </c>
      <c r="Q72" s="4">
        <f t="shared" ref="Q72:Q120" si="11">+SUM(E72:P72)</f>
        <v>26812.846345480342</v>
      </c>
      <c r="R72" s="1">
        <v>1</v>
      </c>
      <c r="S72" s="1">
        <f t="shared" ref="S72:S114" si="12">+Q72*R72</f>
        <v>26812.846345480342</v>
      </c>
      <c r="U72">
        <f t="shared" ref="U72:U119" si="13">+IF(P72&gt;0,1,0)</f>
        <v>1</v>
      </c>
    </row>
    <row r="73" spans="1:23" hidden="1" x14ac:dyDescent="0.2">
      <c r="A73" t="s">
        <v>297</v>
      </c>
      <c r="B73" t="s">
        <v>17</v>
      </c>
      <c r="C73" t="s">
        <v>56</v>
      </c>
      <c r="D73" t="s">
        <v>124</v>
      </c>
      <c r="E73" s="15">
        <v>2829.3040493293315</v>
      </c>
      <c r="F73" s="15">
        <v>2609.6521313614617</v>
      </c>
      <c r="G73" s="15">
        <v>3831.9995754187171</v>
      </c>
      <c r="H73" s="15">
        <v>2879.8682273358572</v>
      </c>
      <c r="I73" s="15">
        <v>1881.46</v>
      </c>
      <c r="J73" s="15">
        <v>3098.099976352838</v>
      </c>
      <c r="K73" s="15">
        <v>4489.221970787904</v>
      </c>
      <c r="L73" s="15">
        <v>2622.9914249360531</v>
      </c>
      <c r="M73" s="15">
        <v>2724.3547400611619</v>
      </c>
      <c r="N73" s="15">
        <v>2292.389118676424</v>
      </c>
      <c r="O73" s="15">
        <v>4295.2801072180737</v>
      </c>
      <c r="P73" s="15">
        <v>3585.5581061692969</v>
      </c>
      <c r="Q73" s="4">
        <f t="shared" si="11"/>
        <v>37140.179427647112</v>
      </c>
      <c r="R73" s="1">
        <v>0</v>
      </c>
      <c r="S73" s="1">
        <f t="shared" si="12"/>
        <v>0</v>
      </c>
      <c r="U73">
        <v>0</v>
      </c>
      <c r="W73">
        <v>0</v>
      </c>
    </row>
    <row r="74" spans="1:23" hidden="1" x14ac:dyDescent="0.2">
      <c r="A74" t="s">
        <v>297</v>
      </c>
      <c r="B74" t="s">
        <v>17</v>
      </c>
      <c r="C74" t="s">
        <v>56</v>
      </c>
      <c r="D74" s="125" t="s">
        <v>125</v>
      </c>
      <c r="E74" s="15">
        <v>3341.2793267193947</v>
      </c>
      <c r="F74" s="15">
        <v>3225.9169104938628</v>
      </c>
      <c r="G74" s="15">
        <v>3130.9924839771461</v>
      </c>
      <c r="H74" s="15">
        <v>3092.3157399429861</v>
      </c>
      <c r="I74" s="15">
        <v>3155.9569962542446</v>
      </c>
      <c r="J74" s="15">
        <v>3447.4362653727239</v>
      </c>
      <c r="K74" s="40">
        <v>3341.4649114216609</v>
      </c>
      <c r="L74" s="15">
        <v>3754.8482423263426</v>
      </c>
      <c r="M74" s="15">
        <v>3457.0856559939575</v>
      </c>
      <c r="N74" s="15">
        <v>3177.1163678248236</v>
      </c>
      <c r="O74" s="15">
        <v>3104.7693201601187</v>
      </c>
      <c r="P74" s="15">
        <v>3458.5522578896689</v>
      </c>
      <c r="Q74" s="4">
        <f t="shared" si="11"/>
        <v>39687.734478376937</v>
      </c>
      <c r="R74" s="1">
        <v>0</v>
      </c>
      <c r="S74" s="1">
        <f t="shared" si="12"/>
        <v>0</v>
      </c>
      <c r="U74">
        <v>0</v>
      </c>
      <c r="W74">
        <f t="shared" ref="W74:W77" si="14">+IF(P74&gt;0,1,0)</f>
        <v>1</v>
      </c>
    </row>
    <row r="75" spans="1:23" hidden="1" x14ac:dyDescent="0.2">
      <c r="A75" t="s">
        <v>297</v>
      </c>
      <c r="B75" t="s">
        <v>17</v>
      </c>
      <c r="C75" t="s">
        <v>56</v>
      </c>
      <c r="D75" t="s">
        <v>126</v>
      </c>
      <c r="E75" s="15">
        <v>1966.9551534225018</v>
      </c>
      <c r="F75" s="15">
        <v>1975.2</v>
      </c>
      <c r="G75" s="15">
        <v>2015.5872077398549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4">
        <f t="shared" si="11"/>
        <v>5957.7423611623562</v>
      </c>
      <c r="R75" s="1">
        <v>1</v>
      </c>
      <c r="S75" s="1">
        <f t="shared" si="12"/>
        <v>5957.7423611623562</v>
      </c>
      <c r="U75">
        <f t="shared" si="13"/>
        <v>0</v>
      </c>
      <c r="W75">
        <f t="shared" si="14"/>
        <v>0</v>
      </c>
    </row>
    <row r="76" spans="1:23" hidden="1" x14ac:dyDescent="0.2">
      <c r="A76" t="s">
        <v>297</v>
      </c>
      <c r="B76" t="s">
        <v>17</v>
      </c>
      <c r="C76" t="s">
        <v>56</v>
      </c>
      <c r="D76" t="s">
        <v>127</v>
      </c>
      <c r="E76" s="15">
        <v>0</v>
      </c>
      <c r="F76" s="15">
        <v>0</v>
      </c>
      <c r="G76" s="15">
        <v>6729.0529433160063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4">
        <f t="shared" si="11"/>
        <v>6729.0529433160063</v>
      </c>
      <c r="R76" s="1">
        <v>0</v>
      </c>
      <c r="S76" s="1">
        <f t="shared" si="12"/>
        <v>0</v>
      </c>
      <c r="U76">
        <f t="shared" si="13"/>
        <v>0</v>
      </c>
      <c r="W76">
        <f t="shared" si="14"/>
        <v>0</v>
      </c>
    </row>
    <row r="77" spans="1:23" hidden="1" x14ac:dyDescent="0.2">
      <c r="A77" t="s">
        <v>297</v>
      </c>
      <c r="B77" t="s">
        <v>17</v>
      </c>
      <c r="C77" t="s">
        <v>56</v>
      </c>
      <c r="D77" t="s">
        <v>128</v>
      </c>
      <c r="E77" s="15">
        <v>1462.6463805211481</v>
      </c>
      <c r="F77" s="15">
        <v>720.92548762539332</v>
      </c>
      <c r="G77" s="15">
        <v>0</v>
      </c>
      <c r="H77" s="15">
        <v>561.93443026292016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4">
        <f t="shared" si="11"/>
        <v>2745.5062984094616</v>
      </c>
      <c r="R77" s="1">
        <v>0</v>
      </c>
      <c r="S77" s="1">
        <f t="shared" si="12"/>
        <v>0</v>
      </c>
      <c r="U77">
        <f t="shared" si="13"/>
        <v>0</v>
      </c>
      <c r="W77">
        <f t="shared" si="14"/>
        <v>0</v>
      </c>
    </row>
    <row r="78" spans="1:23" x14ac:dyDescent="0.2">
      <c r="A78" t="s">
        <v>297</v>
      </c>
      <c r="B78" t="s">
        <v>17</v>
      </c>
      <c r="C78" t="s">
        <v>56</v>
      </c>
      <c r="D78" t="s">
        <v>129</v>
      </c>
      <c r="E78" s="15">
        <v>6116.6472997968531</v>
      </c>
      <c r="F78" s="15">
        <v>5859.2992471874277</v>
      </c>
      <c r="G78" s="15">
        <v>5868.732899803842</v>
      </c>
      <c r="H78" s="15">
        <v>5770.9610645576913</v>
      </c>
      <c r="I78" s="15">
        <v>5886.5524049765663</v>
      </c>
      <c r="J78" s="15">
        <v>6034.1018778502585</v>
      </c>
      <c r="K78" s="40">
        <v>5965.3229626135026</v>
      </c>
      <c r="L78" s="15">
        <v>6181.7068824830994</v>
      </c>
      <c r="M78" s="15">
        <v>6249.5378438961834</v>
      </c>
      <c r="N78" s="15">
        <v>5733.3650972669957</v>
      </c>
      <c r="O78" s="15">
        <v>5600.9214385778996</v>
      </c>
      <c r="P78" s="15">
        <v>5820.3728690892995</v>
      </c>
      <c r="Q78" s="4">
        <f t="shared" si="11"/>
        <v>71087.521888099611</v>
      </c>
      <c r="R78" s="1">
        <v>1</v>
      </c>
      <c r="S78" s="1">
        <f t="shared" si="12"/>
        <v>71087.521888099611</v>
      </c>
      <c r="U78">
        <f t="shared" si="13"/>
        <v>1</v>
      </c>
    </row>
    <row r="79" spans="1:23" hidden="1" x14ac:dyDescent="0.2">
      <c r="A79" t="s">
        <v>297</v>
      </c>
      <c r="B79" t="s">
        <v>17</v>
      </c>
      <c r="C79" t="s">
        <v>56</v>
      </c>
      <c r="D79" t="s">
        <v>130</v>
      </c>
      <c r="E79" s="15">
        <v>1994.7089861106258</v>
      </c>
      <c r="F79" s="15">
        <v>1637.1014051760651</v>
      </c>
      <c r="G79" s="15">
        <v>1663.8797142489532</v>
      </c>
      <c r="H79" s="15">
        <v>1698.8277208524814</v>
      </c>
      <c r="I79" s="15">
        <v>6991.7564724380973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274</v>
      </c>
      <c r="P79" s="15">
        <v>0</v>
      </c>
      <c r="Q79" s="4">
        <f t="shared" si="11"/>
        <v>14260.274298826222</v>
      </c>
      <c r="R79" s="1">
        <v>1</v>
      </c>
      <c r="S79" s="1">
        <f t="shared" si="12"/>
        <v>14260.274298826222</v>
      </c>
      <c r="U79">
        <f t="shared" si="13"/>
        <v>0</v>
      </c>
      <c r="W79">
        <f>+IF(P79&gt;0,1,0)</f>
        <v>0</v>
      </c>
    </row>
    <row r="80" spans="1:23" x14ac:dyDescent="0.2">
      <c r="A80" t="s">
        <v>297</v>
      </c>
      <c r="B80" t="s">
        <v>17</v>
      </c>
      <c r="C80" t="s">
        <v>56</v>
      </c>
      <c r="D80" t="s">
        <v>131</v>
      </c>
      <c r="E80" s="15">
        <v>2955.3281485219559</v>
      </c>
      <c r="F80" s="15">
        <v>2832.3587619164009</v>
      </c>
      <c r="G80" s="15">
        <v>4206.8493260566584</v>
      </c>
      <c r="H80" s="15">
        <v>4151.3955187014362</v>
      </c>
      <c r="I80" s="15">
        <v>4233.2228522959704</v>
      </c>
      <c r="J80" s="15">
        <v>4338.0264052681796</v>
      </c>
      <c r="K80" s="40">
        <v>4333.525977353097</v>
      </c>
      <c r="L80" s="15">
        <v>4449.8699251918342</v>
      </c>
      <c r="M80" s="15">
        <v>4531.8153609341625</v>
      </c>
      <c r="N80" s="15">
        <v>4135.1181224315296</v>
      </c>
      <c r="O80" s="15">
        <v>4038.3857294486475</v>
      </c>
      <c r="P80" s="15">
        <v>4441.1685984018704</v>
      </c>
      <c r="Q80" s="4">
        <f t="shared" si="11"/>
        <v>48647.064726521734</v>
      </c>
      <c r="R80" s="1">
        <v>0</v>
      </c>
      <c r="S80" s="1">
        <f t="shared" si="12"/>
        <v>0</v>
      </c>
      <c r="U80">
        <f t="shared" si="13"/>
        <v>1</v>
      </c>
    </row>
    <row r="81" spans="1:23" hidden="1" x14ac:dyDescent="0.2">
      <c r="A81" t="s">
        <v>297</v>
      </c>
      <c r="B81" t="s">
        <v>17</v>
      </c>
      <c r="C81" t="s">
        <v>56</v>
      </c>
      <c r="D81" t="s">
        <v>132</v>
      </c>
      <c r="E81" s="15">
        <v>655.65171780750063</v>
      </c>
      <c r="F81" s="15">
        <v>658.4</v>
      </c>
      <c r="G81" s="15">
        <v>671.86240257995166</v>
      </c>
      <c r="H81" s="15">
        <v>669.52</v>
      </c>
      <c r="I81" s="15">
        <v>666.13</v>
      </c>
      <c r="J81" s="15">
        <v>654.96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4">
        <f t="shared" si="11"/>
        <v>3976.5241203874525</v>
      </c>
      <c r="R81" s="1">
        <v>1</v>
      </c>
      <c r="S81" s="1">
        <f t="shared" si="12"/>
        <v>3976.5241203874525</v>
      </c>
      <c r="U81">
        <f t="shared" si="13"/>
        <v>0</v>
      </c>
      <c r="W81">
        <f t="shared" ref="W81:W82" si="15">+IF(P81&gt;0,1,0)</f>
        <v>0</v>
      </c>
    </row>
    <row r="82" spans="1:23" hidden="1" x14ac:dyDescent="0.2">
      <c r="A82" t="s">
        <v>297</v>
      </c>
      <c r="B82" t="s">
        <v>17</v>
      </c>
      <c r="C82" t="s">
        <v>56</v>
      </c>
      <c r="D82" s="125" t="s">
        <v>134</v>
      </c>
      <c r="E82" s="15">
        <v>9705.5518416242267</v>
      </c>
      <c r="F82" s="15">
        <v>9689.2921176404543</v>
      </c>
      <c r="G82" s="15">
        <v>9152.791498194063</v>
      </c>
      <c r="H82" s="15">
        <v>9549.1046683582845</v>
      </c>
      <c r="I82" s="15">
        <v>10598.236473359671</v>
      </c>
      <c r="J82" s="15">
        <v>0</v>
      </c>
      <c r="K82" s="40">
        <v>16952.004255380867</v>
      </c>
      <c r="L82" s="15">
        <v>10605.980602350655</v>
      </c>
      <c r="M82" s="15">
        <v>9094.1615789939151</v>
      </c>
      <c r="N82" s="15">
        <v>15822.168026956604</v>
      </c>
      <c r="O82" s="15">
        <v>13212.967960657819</v>
      </c>
      <c r="P82" s="15">
        <v>13223.502200464081</v>
      </c>
      <c r="Q82" s="4">
        <f t="shared" si="11"/>
        <v>127605.76122398062</v>
      </c>
      <c r="R82" s="1">
        <v>1</v>
      </c>
      <c r="S82" s="1">
        <f t="shared" si="12"/>
        <v>127605.76122398062</v>
      </c>
      <c r="U82">
        <v>0</v>
      </c>
      <c r="W82">
        <f t="shared" si="15"/>
        <v>1</v>
      </c>
    </row>
    <row r="83" spans="1:23" x14ac:dyDescent="0.2">
      <c r="A83" t="s">
        <v>297</v>
      </c>
      <c r="B83" t="s">
        <v>17</v>
      </c>
      <c r="C83" t="s">
        <v>56</v>
      </c>
      <c r="D83" t="s">
        <v>135</v>
      </c>
      <c r="E83" s="15">
        <v>9029.0692710744734</v>
      </c>
      <c r="F83" s="15">
        <v>6945.5797969994155</v>
      </c>
      <c r="G83" s="15">
        <v>7059.189669855431</v>
      </c>
      <c r="H83" s="15">
        <v>7206.1372995625761</v>
      </c>
      <c r="I83" s="15">
        <v>9933.6703569506808</v>
      </c>
      <c r="J83" s="15">
        <v>6806.0767384134624</v>
      </c>
      <c r="K83" s="15">
        <v>13571.932369566304</v>
      </c>
      <c r="L83" s="15">
        <v>11704.078667802174</v>
      </c>
      <c r="M83" s="15">
        <v>6955.7860830591171</v>
      </c>
      <c r="N83" s="15">
        <v>13704.458292474616</v>
      </c>
      <c r="O83" s="15">
        <v>13633.856809977027</v>
      </c>
      <c r="P83" s="15">
        <v>14460.863203666706</v>
      </c>
      <c r="Q83" s="4">
        <f t="shared" si="11"/>
        <v>121010.69855940201</v>
      </c>
      <c r="R83" s="1">
        <v>1</v>
      </c>
      <c r="S83" s="1">
        <f t="shared" si="12"/>
        <v>121010.69855940201</v>
      </c>
      <c r="U83">
        <f t="shared" si="13"/>
        <v>1</v>
      </c>
    </row>
    <row r="84" spans="1:23" hidden="1" x14ac:dyDescent="0.2">
      <c r="A84" t="s">
        <v>297</v>
      </c>
      <c r="B84" t="s">
        <v>17</v>
      </c>
      <c r="C84" t="s">
        <v>56</v>
      </c>
      <c r="D84" t="s">
        <v>136</v>
      </c>
      <c r="E84" s="15">
        <v>0</v>
      </c>
      <c r="F84" s="15">
        <v>3372.6943545457543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4">
        <f t="shared" si="11"/>
        <v>3372.6943545457543</v>
      </c>
      <c r="R84" s="1">
        <v>1</v>
      </c>
      <c r="S84" s="1">
        <f t="shared" si="12"/>
        <v>3372.6943545457543</v>
      </c>
      <c r="U84">
        <f t="shared" si="13"/>
        <v>0</v>
      </c>
      <c r="W84">
        <f>+IF(P84&gt;0,1,0)</f>
        <v>0</v>
      </c>
    </row>
    <row r="85" spans="1:23" x14ac:dyDescent="0.2">
      <c r="A85" t="s">
        <v>297</v>
      </c>
      <c r="B85" t="s">
        <v>17</v>
      </c>
      <c r="C85" t="s">
        <v>56</v>
      </c>
      <c r="D85" t="s">
        <v>137</v>
      </c>
      <c r="E85" s="15">
        <v>1882.5879735064757</v>
      </c>
      <c r="F85" s="15">
        <v>1803.9649346772444</v>
      </c>
      <c r="G85" s="15">
        <v>1806.7267983264226</v>
      </c>
      <c r="H85" s="15">
        <v>1783.4190601780113</v>
      </c>
      <c r="I85" s="15">
        <v>1819.1621970545318</v>
      </c>
      <c r="J85" s="15">
        <v>1864.6137242332984</v>
      </c>
      <c r="K85" s="40">
        <v>1921.3389656312459</v>
      </c>
      <c r="L85" s="15">
        <v>1910.8176543856423</v>
      </c>
      <c r="M85" s="15">
        <v>1931.1290917073386</v>
      </c>
      <c r="N85" s="15">
        <v>2260.7647077589845</v>
      </c>
      <c r="O85" s="15">
        <v>2210.6205343172974</v>
      </c>
      <c r="P85" s="15">
        <v>2045.9159498080742</v>
      </c>
      <c r="Q85" s="4">
        <f t="shared" si="11"/>
        <v>23241.061591584566</v>
      </c>
      <c r="R85" s="1">
        <v>0</v>
      </c>
      <c r="S85" s="1">
        <f t="shared" si="12"/>
        <v>0</v>
      </c>
      <c r="U85">
        <f t="shared" si="13"/>
        <v>1</v>
      </c>
    </row>
    <row r="86" spans="1:23" hidden="1" x14ac:dyDescent="0.2">
      <c r="A86" t="s">
        <v>297</v>
      </c>
      <c r="B86" t="s">
        <v>17</v>
      </c>
      <c r="C86" t="s">
        <v>56</v>
      </c>
      <c r="D86" t="s">
        <v>138</v>
      </c>
      <c r="E86" s="15">
        <v>1607.8028813760129</v>
      </c>
      <c r="F86" s="15">
        <v>1541.087584869417</v>
      </c>
      <c r="G86" s="15">
        <v>1544.3974903352901</v>
      </c>
      <c r="H86" s="15">
        <v>513.72150752003313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4">
        <f t="shared" si="11"/>
        <v>5207.0094641007527</v>
      </c>
      <c r="R86" s="1">
        <v>1</v>
      </c>
      <c r="S86" s="1">
        <f t="shared" si="12"/>
        <v>5207.0094641007527</v>
      </c>
      <c r="U86">
        <f t="shared" si="13"/>
        <v>0</v>
      </c>
      <c r="W86">
        <f t="shared" ref="W86:W87" si="16">+IF(P86&gt;0,1,0)</f>
        <v>0</v>
      </c>
    </row>
    <row r="87" spans="1:23" hidden="1" x14ac:dyDescent="0.2">
      <c r="A87" t="s">
        <v>297</v>
      </c>
      <c r="B87" t="s">
        <v>17</v>
      </c>
      <c r="C87" t="s">
        <v>56</v>
      </c>
      <c r="D87" t="s">
        <v>139</v>
      </c>
      <c r="E87" s="15">
        <v>675.02842169564315</v>
      </c>
      <c r="F87" s="15">
        <v>554.01062780915913</v>
      </c>
      <c r="G87" s="15">
        <v>563.06825328181446</v>
      </c>
      <c r="H87" s="15">
        <v>574.89324901322368</v>
      </c>
      <c r="I87" s="15">
        <v>2217.0895953706236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4">
        <f t="shared" si="11"/>
        <v>4584.0901471704638</v>
      </c>
      <c r="R87" s="1">
        <v>1</v>
      </c>
      <c r="S87" s="1">
        <f t="shared" si="12"/>
        <v>4584.0901471704638</v>
      </c>
      <c r="U87">
        <f t="shared" si="13"/>
        <v>0</v>
      </c>
      <c r="W87">
        <f t="shared" si="16"/>
        <v>0</v>
      </c>
    </row>
    <row r="88" spans="1:23" x14ac:dyDescent="0.2">
      <c r="A88" t="s">
        <v>297</v>
      </c>
      <c r="B88" t="s">
        <v>17</v>
      </c>
      <c r="C88" t="s">
        <v>56</v>
      </c>
      <c r="D88" t="s">
        <v>140</v>
      </c>
      <c r="E88" s="15">
        <v>3478.5661059451559</v>
      </c>
      <c r="F88" s="15">
        <v>2854.9354816636987</v>
      </c>
      <c r="G88" s="15">
        <v>2901.6340822937086</v>
      </c>
      <c r="H88" s="15">
        <v>2962.5716676471325</v>
      </c>
      <c r="I88" s="15">
        <v>4083.9189745772428</v>
      </c>
      <c r="J88" s="15">
        <v>2798.1088741096232</v>
      </c>
      <c r="K88" s="15">
        <v>5587.9320694312446</v>
      </c>
      <c r="L88" s="15">
        <v>4820.2370887600155</v>
      </c>
      <c r="M88" s="15">
        <v>2863.9712640417565</v>
      </c>
      <c r="N88" s="15">
        <v>4406.9687786670038</v>
      </c>
      <c r="O88" s="15">
        <v>5173.139645553003</v>
      </c>
      <c r="P88" s="15">
        <v>5490.1395581149363</v>
      </c>
      <c r="Q88" s="4">
        <f t="shared" si="11"/>
        <v>47422.123590804527</v>
      </c>
      <c r="R88" s="1">
        <v>0</v>
      </c>
      <c r="S88" s="1">
        <f t="shared" si="12"/>
        <v>0</v>
      </c>
      <c r="U88">
        <f t="shared" si="13"/>
        <v>1</v>
      </c>
    </row>
    <row r="89" spans="1:23" x14ac:dyDescent="0.2">
      <c r="A89" t="s">
        <v>297</v>
      </c>
      <c r="B89" t="s">
        <v>17</v>
      </c>
      <c r="C89" t="s">
        <v>56</v>
      </c>
      <c r="D89" t="s">
        <v>141</v>
      </c>
      <c r="E89" s="15">
        <v>2200.2998415960069</v>
      </c>
      <c r="F89" s="15">
        <v>1799.0397894943681</v>
      </c>
      <c r="G89" s="15">
        <v>2524.109595633995</v>
      </c>
      <c r="H89" s="15">
        <v>2467.2148251001795</v>
      </c>
      <c r="I89" s="15">
        <v>2517.6786859750741</v>
      </c>
      <c r="J89" s="15">
        <v>2581.3299968522501</v>
      </c>
      <c r="K89" s="40">
        <v>2614.7412962326516</v>
      </c>
      <c r="L89" s="15">
        <v>2655.4243470145902</v>
      </c>
      <c r="M89" s="15">
        <v>2625.4618605605847</v>
      </c>
      <c r="N89" s="15">
        <v>2467.1972410150693</v>
      </c>
      <c r="O89" s="15">
        <v>2410.9697613460507</v>
      </c>
      <c r="P89" s="15">
        <v>2683.0601721753615</v>
      </c>
      <c r="Q89" s="4">
        <f t="shared" si="11"/>
        <v>29546.527412996184</v>
      </c>
      <c r="R89" s="1">
        <v>1</v>
      </c>
      <c r="S89" s="1">
        <f t="shared" si="12"/>
        <v>29546.527412996184</v>
      </c>
      <c r="U89">
        <f t="shared" si="13"/>
        <v>1</v>
      </c>
    </row>
    <row r="90" spans="1:23" hidden="1" x14ac:dyDescent="0.2">
      <c r="A90" t="s">
        <v>297</v>
      </c>
      <c r="B90" t="s">
        <v>17</v>
      </c>
      <c r="C90" t="s">
        <v>56</v>
      </c>
      <c r="D90" t="s">
        <v>142</v>
      </c>
      <c r="E90" s="15">
        <v>1192.3894906095184</v>
      </c>
      <c r="F90" s="15">
        <v>978.62020183717868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4">
        <f t="shared" si="11"/>
        <v>2171.009692446697</v>
      </c>
      <c r="R90" s="1">
        <v>1</v>
      </c>
      <c r="S90" s="1">
        <f t="shared" si="12"/>
        <v>2171.009692446697</v>
      </c>
      <c r="U90">
        <f t="shared" si="13"/>
        <v>0</v>
      </c>
      <c r="W90">
        <f t="shared" ref="W90:W94" si="17">+IF(P90&gt;0,1,0)</f>
        <v>0</v>
      </c>
    </row>
    <row r="91" spans="1:23" hidden="1" x14ac:dyDescent="0.2">
      <c r="A91" t="s">
        <v>297</v>
      </c>
      <c r="B91" t="s">
        <v>17</v>
      </c>
      <c r="C91" t="s">
        <v>56</v>
      </c>
      <c r="D91" t="s">
        <v>143</v>
      </c>
      <c r="E91" s="15">
        <v>1835.82</v>
      </c>
      <c r="F91" s="15">
        <v>1843.6</v>
      </c>
      <c r="G91" s="15">
        <v>1881.2147272238644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4">
        <f t="shared" si="11"/>
        <v>5560.6347272238645</v>
      </c>
      <c r="R91" s="1">
        <v>1</v>
      </c>
      <c r="S91" s="1">
        <f t="shared" si="12"/>
        <v>5560.6347272238645</v>
      </c>
      <c r="U91">
        <f t="shared" si="13"/>
        <v>0</v>
      </c>
      <c r="W91">
        <f t="shared" si="17"/>
        <v>0</v>
      </c>
    </row>
    <row r="92" spans="1:23" hidden="1" x14ac:dyDescent="0.2">
      <c r="A92" t="s">
        <v>297</v>
      </c>
      <c r="B92" t="s">
        <v>17</v>
      </c>
      <c r="C92" t="s">
        <v>56</v>
      </c>
      <c r="D92" t="s">
        <v>144</v>
      </c>
      <c r="E92" s="15">
        <v>1180.173092053501</v>
      </c>
      <c r="F92" s="15">
        <v>1185.0999999999999</v>
      </c>
      <c r="G92" s="15">
        <v>1209.3523246439129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4">
        <f t="shared" si="11"/>
        <v>3574.625416697414</v>
      </c>
      <c r="R92" s="1">
        <v>1</v>
      </c>
      <c r="S92" s="1">
        <f t="shared" si="12"/>
        <v>3574.625416697414</v>
      </c>
      <c r="U92">
        <f t="shared" si="13"/>
        <v>0</v>
      </c>
      <c r="W92">
        <f t="shared" si="17"/>
        <v>0</v>
      </c>
    </row>
    <row r="93" spans="1:23" hidden="1" x14ac:dyDescent="0.2">
      <c r="A93" t="s">
        <v>297</v>
      </c>
      <c r="B93" t="s">
        <v>17</v>
      </c>
      <c r="C93" t="s">
        <v>56</v>
      </c>
      <c r="D93" s="125" t="s">
        <v>145</v>
      </c>
      <c r="E93" s="15">
        <v>0</v>
      </c>
      <c r="F93" s="15">
        <v>0</v>
      </c>
      <c r="G93" s="15">
        <v>0</v>
      </c>
      <c r="H93" s="15">
        <v>0</v>
      </c>
      <c r="I93" s="15">
        <v>2056.2748826162488</v>
      </c>
      <c r="J93" s="15">
        <v>1580.6022646048</v>
      </c>
      <c r="K93" s="40">
        <v>1584.398255563138</v>
      </c>
      <c r="L93" s="15">
        <v>1634.3019173474463</v>
      </c>
      <c r="M93" s="15">
        <v>1652.3532107112926</v>
      </c>
      <c r="N93" s="15">
        <v>1500.5437473069237</v>
      </c>
      <c r="O93" s="15">
        <v>2962.9778295143728</v>
      </c>
      <c r="P93" s="15">
        <v>1726.8077714198375</v>
      </c>
      <c r="Q93" s="4">
        <f t="shared" si="11"/>
        <v>14698.25987908406</v>
      </c>
      <c r="R93" s="1">
        <v>1</v>
      </c>
      <c r="S93" s="1">
        <f t="shared" si="12"/>
        <v>14698.25987908406</v>
      </c>
      <c r="U93">
        <v>0</v>
      </c>
      <c r="W93">
        <f t="shared" si="17"/>
        <v>1</v>
      </c>
    </row>
    <row r="94" spans="1:23" hidden="1" x14ac:dyDescent="0.2">
      <c r="A94" t="s">
        <v>297</v>
      </c>
      <c r="B94" t="s">
        <v>17</v>
      </c>
      <c r="C94" t="s">
        <v>56</v>
      </c>
      <c r="D94" t="s">
        <v>146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4">
        <f t="shared" si="11"/>
        <v>0</v>
      </c>
      <c r="R94" s="1">
        <v>0</v>
      </c>
      <c r="S94" s="1">
        <f t="shared" si="12"/>
        <v>0</v>
      </c>
      <c r="U94">
        <f t="shared" si="13"/>
        <v>0</v>
      </c>
      <c r="W94">
        <f t="shared" si="17"/>
        <v>0</v>
      </c>
    </row>
    <row r="95" spans="1:23" x14ac:dyDescent="0.2">
      <c r="A95" t="s">
        <v>297</v>
      </c>
      <c r="B95" t="s">
        <v>17</v>
      </c>
      <c r="C95" t="s">
        <v>56</v>
      </c>
      <c r="D95" t="s">
        <v>147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40">
        <v>547.95405578049042</v>
      </c>
      <c r="L95" s="15">
        <v>1627.9380737394069</v>
      </c>
      <c r="M95" s="15">
        <v>1636.0101448191106</v>
      </c>
      <c r="N95" s="15">
        <v>1515.7717446397178</v>
      </c>
      <c r="O95" s="15">
        <v>1482.1689730975738</v>
      </c>
      <c r="P95" s="15">
        <v>1650.2545396330947</v>
      </c>
      <c r="Q95" s="4">
        <f t="shared" si="11"/>
        <v>8460.0975317093944</v>
      </c>
      <c r="R95" s="1">
        <v>1</v>
      </c>
      <c r="S95" s="1">
        <f t="shared" si="12"/>
        <v>8460.0975317093944</v>
      </c>
      <c r="U95">
        <f t="shared" si="13"/>
        <v>1</v>
      </c>
    </row>
    <row r="96" spans="1:23" hidden="1" x14ac:dyDescent="0.2">
      <c r="A96" t="s">
        <v>297</v>
      </c>
      <c r="B96" t="s">
        <v>17</v>
      </c>
      <c r="C96" t="s">
        <v>56</v>
      </c>
      <c r="D96" t="s">
        <v>149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196.49</v>
      </c>
      <c r="K96" s="15">
        <v>481</v>
      </c>
      <c r="L96" s="15">
        <v>471.57</v>
      </c>
      <c r="M96" s="15">
        <v>477</v>
      </c>
      <c r="N96" s="15">
        <v>479</v>
      </c>
      <c r="O96" s="15">
        <v>0</v>
      </c>
      <c r="P96" s="15">
        <v>0</v>
      </c>
      <c r="Q96" s="4">
        <f t="shared" si="11"/>
        <v>2105.06</v>
      </c>
      <c r="R96" s="1">
        <v>1</v>
      </c>
      <c r="S96" s="1">
        <f t="shared" si="12"/>
        <v>2105.06</v>
      </c>
      <c r="U96">
        <f t="shared" si="13"/>
        <v>0</v>
      </c>
      <c r="W96">
        <f>+IF(P96&gt;0,1,0)</f>
        <v>0</v>
      </c>
    </row>
    <row r="97" spans="1:23" x14ac:dyDescent="0.2">
      <c r="A97" t="s">
        <v>297</v>
      </c>
      <c r="B97" t="s">
        <v>17</v>
      </c>
      <c r="C97" t="s">
        <v>56</v>
      </c>
      <c r="D97" t="s">
        <v>150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1199.7126188938573</v>
      </c>
      <c r="M97" s="15">
        <v>5141.6883581073416</v>
      </c>
      <c r="N97" s="15">
        <v>7819.3330591845124</v>
      </c>
      <c r="O97" s="15">
        <v>9071.2286839514272</v>
      </c>
      <c r="P97" s="15">
        <v>9716.1581854506985</v>
      </c>
      <c r="Q97" s="4">
        <f t="shared" si="11"/>
        <v>32948.120905587843</v>
      </c>
      <c r="R97" s="1">
        <v>1</v>
      </c>
      <c r="S97" s="1">
        <f t="shared" si="12"/>
        <v>32948.120905587843</v>
      </c>
      <c r="U97">
        <f t="shared" si="13"/>
        <v>1</v>
      </c>
    </row>
    <row r="98" spans="1:23" hidden="1" x14ac:dyDescent="0.2">
      <c r="A98" t="s">
        <v>297</v>
      </c>
      <c r="B98" t="s">
        <v>17</v>
      </c>
      <c r="C98" t="s">
        <v>56</v>
      </c>
      <c r="D98" t="s">
        <v>156</v>
      </c>
      <c r="E98" s="15">
        <v>2059.2952142769968</v>
      </c>
      <c r="F98" s="15">
        <v>2047.8240838263323</v>
      </c>
      <c r="G98" s="15">
        <v>1922.5865552331445</v>
      </c>
      <c r="H98" s="15">
        <v>2126.3823091276245</v>
      </c>
      <c r="I98" s="15">
        <v>2250.0887897942366</v>
      </c>
      <c r="J98" s="15">
        <v>0</v>
      </c>
      <c r="K98" s="15">
        <v>3847.0987533896546</v>
      </c>
      <c r="L98" s="15">
        <v>1902.8022908797057</v>
      </c>
      <c r="M98" s="15">
        <v>2241.0612462520717</v>
      </c>
      <c r="N98" s="15">
        <v>0</v>
      </c>
      <c r="O98" s="15">
        <v>0</v>
      </c>
      <c r="P98" s="15">
        <v>0</v>
      </c>
      <c r="Q98" s="4">
        <f t="shared" si="11"/>
        <v>18397.139242779769</v>
      </c>
      <c r="R98" s="1">
        <v>0</v>
      </c>
      <c r="S98" s="1">
        <f t="shared" si="12"/>
        <v>0</v>
      </c>
      <c r="U98">
        <f t="shared" si="13"/>
        <v>0</v>
      </c>
      <c r="W98">
        <f>+IF(P98&gt;0,1,0)</f>
        <v>0</v>
      </c>
    </row>
    <row r="99" spans="1:23" x14ac:dyDescent="0.2">
      <c r="A99" t="s">
        <v>297</v>
      </c>
      <c r="B99" t="s">
        <v>17</v>
      </c>
      <c r="C99" t="s">
        <v>56</v>
      </c>
      <c r="D99" t="s">
        <v>157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7567.3929019102188</v>
      </c>
      <c r="N99" s="15">
        <v>6949.092822107501</v>
      </c>
      <c r="O99" s="15">
        <v>6791.0935600656812</v>
      </c>
      <c r="P99" s="15">
        <v>6820.6214393141272</v>
      </c>
      <c r="Q99" s="4">
        <f t="shared" si="11"/>
        <v>28128.200723397527</v>
      </c>
      <c r="R99">
        <v>1</v>
      </c>
      <c r="S99" s="1">
        <f t="shared" si="12"/>
        <v>28128.200723397527</v>
      </c>
      <c r="U99">
        <f t="shared" si="13"/>
        <v>1</v>
      </c>
    </row>
    <row r="100" spans="1:23" x14ac:dyDescent="0.2">
      <c r="A100" t="s">
        <v>297</v>
      </c>
      <c r="B100" t="s">
        <v>17</v>
      </c>
      <c r="C100" t="s">
        <v>56</v>
      </c>
      <c r="D100" t="s">
        <v>330</v>
      </c>
      <c r="E100" s="15">
        <v>1531.8459506706686</v>
      </c>
      <c r="F100" s="15">
        <v>1546.9078686385385</v>
      </c>
      <c r="G100" s="15">
        <v>2115.5404245812829</v>
      </c>
      <c r="H100" s="15">
        <v>1599.2617726641422</v>
      </c>
      <c r="I100" s="15">
        <v>1060.3599999999999</v>
      </c>
      <c r="J100" s="15">
        <v>1558.9100236471625</v>
      </c>
      <c r="K100" s="15">
        <v>1362.7780292120963</v>
      </c>
      <c r="L100" s="15">
        <v>1463.2385750639471</v>
      </c>
      <c r="M100" s="15">
        <v>1558.6452599388379</v>
      </c>
      <c r="N100" s="15">
        <v>1258.6108813235762</v>
      </c>
      <c r="O100" s="15">
        <v>2365.7198927819263</v>
      </c>
      <c r="P100" s="15">
        <v>1980.4418938307031</v>
      </c>
      <c r="Q100" s="4">
        <f t="shared" si="11"/>
        <v>19402.260572352883</v>
      </c>
      <c r="R100" s="1">
        <v>0</v>
      </c>
      <c r="S100" s="1">
        <f t="shared" si="12"/>
        <v>0</v>
      </c>
      <c r="U100">
        <f t="shared" si="13"/>
        <v>1</v>
      </c>
    </row>
    <row r="101" spans="1:23" x14ac:dyDescent="0.2">
      <c r="A101" t="s">
        <v>297</v>
      </c>
      <c r="B101" t="s">
        <v>17</v>
      </c>
      <c r="C101" t="s">
        <v>56</v>
      </c>
      <c r="D101" t="s">
        <v>331</v>
      </c>
      <c r="E101" s="15">
        <v>2802.86</v>
      </c>
      <c r="F101" s="15">
        <v>2844.04</v>
      </c>
      <c r="G101" s="15">
        <v>2846.91</v>
      </c>
      <c r="H101" s="15">
        <v>2881.39</v>
      </c>
      <c r="I101" s="15">
        <v>2950.14</v>
      </c>
      <c r="J101" s="15">
        <v>2720.9</v>
      </c>
      <c r="K101" s="15">
        <v>2788</v>
      </c>
      <c r="L101" s="15">
        <v>2956.01</v>
      </c>
      <c r="M101" s="15">
        <v>2946</v>
      </c>
      <c r="N101" s="15">
        <v>2695</v>
      </c>
      <c r="O101" s="15">
        <v>2806</v>
      </c>
      <c r="P101" s="15">
        <v>3034</v>
      </c>
      <c r="Q101" s="4">
        <f t="shared" si="11"/>
        <v>34271.25</v>
      </c>
      <c r="R101" s="1">
        <v>0</v>
      </c>
      <c r="S101" s="1">
        <f t="shared" si="12"/>
        <v>0</v>
      </c>
      <c r="U101">
        <f t="shared" si="13"/>
        <v>1</v>
      </c>
    </row>
    <row r="102" spans="1:23" x14ac:dyDescent="0.2">
      <c r="A102" t="s">
        <v>297</v>
      </c>
      <c r="B102" t="s">
        <v>17</v>
      </c>
      <c r="C102" t="s">
        <v>56</v>
      </c>
      <c r="D102" t="s">
        <v>195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838.3</v>
      </c>
      <c r="M102" s="15">
        <v>848</v>
      </c>
      <c r="N102" s="15">
        <v>852</v>
      </c>
      <c r="O102" s="15">
        <v>848</v>
      </c>
      <c r="P102" s="15">
        <v>858</v>
      </c>
      <c r="Q102" s="4">
        <f t="shared" si="11"/>
        <v>4244.3</v>
      </c>
      <c r="R102" s="1">
        <v>1</v>
      </c>
      <c r="S102" s="1">
        <f t="shared" si="12"/>
        <v>4244.3</v>
      </c>
      <c r="U102">
        <f t="shared" si="13"/>
        <v>1</v>
      </c>
    </row>
    <row r="103" spans="1:23" hidden="1" x14ac:dyDescent="0.2">
      <c r="A103" t="s">
        <v>297</v>
      </c>
      <c r="B103" t="s">
        <v>17</v>
      </c>
      <c r="C103" t="s">
        <v>56</v>
      </c>
      <c r="D103" s="125" t="s">
        <v>332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1118.9004135915743</v>
      </c>
      <c r="O103" s="15">
        <v>1751.7117796229622</v>
      </c>
      <c r="P103" s="15">
        <v>1805.0929126368051</v>
      </c>
      <c r="Q103" s="4">
        <f t="shared" si="11"/>
        <v>4675.7051058513416</v>
      </c>
      <c r="R103" s="1">
        <v>0</v>
      </c>
      <c r="S103" s="1">
        <f t="shared" si="12"/>
        <v>0</v>
      </c>
      <c r="U103">
        <v>0</v>
      </c>
      <c r="W103">
        <f>+IF(P103&gt;0,1,0)</f>
        <v>1</v>
      </c>
    </row>
    <row r="104" spans="1:23" x14ac:dyDescent="0.2">
      <c r="A104" t="s">
        <v>297</v>
      </c>
      <c r="B104" t="s">
        <v>17</v>
      </c>
      <c r="C104" t="s">
        <v>56</v>
      </c>
      <c r="D104" t="s">
        <v>333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5354.4082843404976</v>
      </c>
      <c r="O104" s="15">
        <v>2573.075339645945</v>
      </c>
      <c r="P104" s="15">
        <v>2800.8636845107144</v>
      </c>
      <c r="Q104" s="4">
        <f t="shared" si="11"/>
        <v>10728.347308497157</v>
      </c>
      <c r="R104" s="1">
        <v>0</v>
      </c>
      <c r="S104" s="1">
        <f t="shared" si="12"/>
        <v>0</v>
      </c>
      <c r="U104">
        <f t="shared" si="13"/>
        <v>1</v>
      </c>
    </row>
    <row r="105" spans="1:23" hidden="1" x14ac:dyDescent="0.2">
      <c r="A105" t="s">
        <v>297</v>
      </c>
      <c r="B105" t="s">
        <v>17</v>
      </c>
      <c r="C105" t="s">
        <v>56</v>
      </c>
      <c r="D105" s="125" t="s">
        <v>334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2520.9708812164849</v>
      </c>
      <c r="P105" s="15">
        <v>2541.2046767828997</v>
      </c>
      <c r="Q105" s="4">
        <f t="shared" si="11"/>
        <v>5062.1755579993842</v>
      </c>
      <c r="R105" s="1">
        <v>0</v>
      </c>
      <c r="S105" s="1">
        <f t="shared" si="12"/>
        <v>0</v>
      </c>
      <c r="U105">
        <v>0</v>
      </c>
      <c r="W105">
        <f>+IF(P105&gt;0,1,0)</f>
        <v>1</v>
      </c>
    </row>
    <row r="106" spans="1:23" x14ac:dyDescent="0.2">
      <c r="A106" t="s">
        <v>297</v>
      </c>
      <c r="B106" t="s">
        <v>17</v>
      </c>
      <c r="C106" t="s">
        <v>56</v>
      </c>
      <c r="D106" t="s">
        <v>335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1458</v>
      </c>
      <c r="P106" s="15">
        <v>1474</v>
      </c>
      <c r="Q106" s="4">
        <f t="shared" si="11"/>
        <v>2932</v>
      </c>
      <c r="R106" s="1">
        <v>1</v>
      </c>
      <c r="S106" s="1">
        <f t="shared" si="12"/>
        <v>2932</v>
      </c>
      <c r="U106">
        <f t="shared" si="13"/>
        <v>1</v>
      </c>
    </row>
    <row r="107" spans="1:23" hidden="1" x14ac:dyDescent="0.2">
      <c r="A107" t="s">
        <v>297</v>
      </c>
      <c r="B107" t="s">
        <v>17</v>
      </c>
      <c r="C107" t="s">
        <v>56</v>
      </c>
      <c r="D107" s="125" t="s">
        <v>336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1829.5406698616789</v>
      </c>
      <c r="Q107" s="4">
        <f t="shared" si="11"/>
        <v>1829.5406698616789</v>
      </c>
      <c r="R107" s="1">
        <v>0</v>
      </c>
      <c r="S107" s="1">
        <f t="shared" si="12"/>
        <v>0</v>
      </c>
      <c r="U107">
        <v>0</v>
      </c>
      <c r="W107">
        <f t="shared" ref="W107:W109" si="18">+IF(P107&gt;0,1,0)</f>
        <v>1</v>
      </c>
    </row>
    <row r="108" spans="1:23" hidden="1" x14ac:dyDescent="0.2">
      <c r="A108" t="s">
        <v>297</v>
      </c>
      <c r="B108" t="s">
        <v>17</v>
      </c>
      <c r="C108" t="s">
        <v>56</v>
      </c>
      <c r="D108" s="125" t="s">
        <v>337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6571.9777486219973</v>
      </c>
      <c r="Q108" s="4">
        <f t="shared" si="11"/>
        <v>6571.9777486219973</v>
      </c>
      <c r="R108" s="1">
        <v>0</v>
      </c>
      <c r="S108" s="1">
        <f t="shared" si="12"/>
        <v>0</v>
      </c>
      <c r="U108">
        <v>0</v>
      </c>
      <c r="W108">
        <f t="shared" si="18"/>
        <v>1</v>
      </c>
    </row>
    <row r="109" spans="1:23" hidden="1" x14ac:dyDescent="0.2">
      <c r="A109" t="s">
        <v>297</v>
      </c>
      <c r="B109" t="s">
        <v>17</v>
      </c>
      <c r="C109" t="s">
        <v>56</v>
      </c>
      <c r="D109" s="125" t="s">
        <v>338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7409.5827557993107</v>
      </c>
      <c r="Q109" s="4">
        <f t="shared" si="11"/>
        <v>7409.5827557993107</v>
      </c>
      <c r="R109" s="1">
        <v>0</v>
      </c>
      <c r="S109" s="1">
        <f t="shared" si="12"/>
        <v>0</v>
      </c>
      <c r="U109">
        <v>0</v>
      </c>
      <c r="W109">
        <f t="shared" si="18"/>
        <v>1</v>
      </c>
    </row>
    <row r="110" spans="1:23" x14ac:dyDescent="0.2">
      <c r="A110" t="s">
        <v>297</v>
      </c>
      <c r="B110" t="s">
        <v>17</v>
      </c>
      <c r="C110" t="s">
        <v>56</v>
      </c>
      <c r="D110" t="s">
        <v>339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6249.8219766307238</v>
      </c>
      <c r="Q110" s="4">
        <f t="shared" si="11"/>
        <v>6249.8219766307238</v>
      </c>
      <c r="R110" s="1">
        <v>1</v>
      </c>
      <c r="S110" s="1">
        <f t="shared" si="12"/>
        <v>6249.8219766307238</v>
      </c>
      <c r="U110">
        <f t="shared" si="13"/>
        <v>1</v>
      </c>
    </row>
    <row r="111" spans="1:23" hidden="1" x14ac:dyDescent="0.2">
      <c r="A111" t="s">
        <v>297</v>
      </c>
      <c r="B111" t="s">
        <v>17</v>
      </c>
      <c r="C111" t="s">
        <v>151</v>
      </c>
      <c r="D111" t="s">
        <v>152</v>
      </c>
      <c r="E111" s="15">
        <v>874.87196995561624</v>
      </c>
      <c r="F111" s="15">
        <v>824.51943037449132</v>
      </c>
      <c r="G111" s="15">
        <v>820.69467833417707</v>
      </c>
      <c r="H111" s="15">
        <v>827.35330264336449</v>
      </c>
      <c r="I111" s="15">
        <v>865.44537412297905</v>
      </c>
      <c r="J111" s="15">
        <v>0</v>
      </c>
      <c r="K111" s="15">
        <v>847.2791074704553</v>
      </c>
      <c r="L111" s="15">
        <v>1708.5170448435315</v>
      </c>
      <c r="M111" s="15">
        <v>857.66186933848689</v>
      </c>
      <c r="N111" s="15">
        <v>1701.3632323491931</v>
      </c>
      <c r="O111" s="15">
        <v>817.59468917249899</v>
      </c>
      <c r="P111" s="15">
        <v>809.06766886661774</v>
      </c>
      <c r="Q111" s="4">
        <f t="shared" si="11"/>
        <v>10954.368367471412</v>
      </c>
      <c r="R111" s="1">
        <v>0</v>
      </c>
      <c r="S111" s="1">
        <f t="shared" si="12"/>
        <v>0</v>
      </c>
      <c r="U111">
        <v>0</v>
      </c>
      <c r="V111">
        <v>1</v>
      </c>
      <c r="W111">
        <v>0</v>
      </c>
    </row>
    <row r="112" spans="1:23" x14ac:dyDescent="0.2">
      <c r="A112" t="s">
        <v>297</v>
      </c>
      <c r="B112" t="s">
        <v>17</v>
      </c>
      <c r="C112" t="s">
        <v>151</v>
      </c>
      <c r="D112" t="s">
        <v>153</v>
      </c>
      <c r="E112" s="15">
        <v>15418.672011806297</v>
      </c>
      <c r="F112" s="15">
        <v>14531.26297434194</v>
      </c>
      <c r="G112" s="15">
        <v>14463.855857345057</v>
      </c>
      <c r="H112" s="15">
        <v>14581.206907326015</v>
      </c>
      <c r="I112" s="15">
        <v>15252.538458186255</v>
      </c>
      <c r="J112" s="15">
        <v>0</v>
      </c>
      <c r="K112" s="15">
        <v>14932.37766116302</v>
      </c>
      <c r="L112" s="15">
        <v>30110.764598343907</v>
      </c>
      <c r="M112" s="15">
        <v>15115.362606752247</v>
      </c>
      <c r="N112" s="15">
        <v>29984.686392306787</v>
      </c>
      <c r="O112" s="15">
        <v>14409.221902017291</v>
      </c>
      <c r="P112" s="15">
        <v>14258.942393872729</v>
      </c>
      <c r="Q112" s="4">
        <f t="shared" si="11"/>
        <v>193058.89176346155</v>
      </c>
      <c r="R112" s="1">
        <v>0</v>
      </c>
      <c r="S112" s="1">
        <f t="shared" si="12"/>
        <v>0</v>
      </c>
      <c r="U112">
        <f t="shared" si="13"/>
        <v>1</v>
      </c>
    </row>
    <row r="113" spans="1:23" hidden="1" x14ac:dyDescent="0.2">
      <c r="A113" t="s">
        <v>297</v>
      </c>
      <c r="B113" t="s">
        <v>17</v>
      </c>
      <c r="C113" t="s">
        <v>151</v>
      </c>
      <c r="D113" t="s">
        <v>154</v>
      </c>
      <c r="E113" s="15">
        <v>7645.5500611240213</v>
      </c>
      <c r="F113" s="15">
        <v>7205.5166901934726</v>
      </c>
      <c r="G113" s="15">
        <v>7172.0919901232528</v>
      </c>
      <c r="H113" s="15">
        <v>7230.2820422021787</v>
      </c>
      <c r="I113" s="15">
        <v>7563.1705669586436</v>
      </c>
      <c r="J113" s="15">
        <v>0</v>
      </c>
      <c r="K113" s="15">
        <v>7404.414650795683</v>
      </c>
      <c r="L113" s="15">
        <v>14930.816216797506</v>
      </c>
      <c r="M113" s="15">
        <v>7495.1501279407476</v>
      </c>
      <c r="N113" s="15">
        <v>14868.298690311734</v>
      </c>
      <c r="O113" s="15">
        <v>7145.0010292301358</v>
      </c>
      <c r="P113" s="15">
        <v>7070.4829707487979</v>
      </c>
      <c r="Q113" s="4">
        <f t="shared" si="11"/>
        <v>95730.775036426174</v>
      </c>
      <c r="R113" s="1">
        <v>0</v>
      </c>
      <c r="S113" s="1">
        <f t="shared" si="12"/>
        <v>0</v>
      </c>
      <c r="U113">
        <v>0</v>
      </c>
      <c r="V113">
        <v>1</v>
      </c>
      <c r="W113">
        <v>0</v>
      </c>
    </row>
    <row r="114" spans="1:23" x14ac:dyDescent="0.2">
      <c r="A114" t="s">
        <v>297</v>
      </c>
      <c r="B114" t="s">
        <v>17</v>
      </c>
      <c r="C114" t="s">
        <v>151</v>
      </c>
      <c r="D114" t="s">
        <v>155</v>
      </c>
      <c r="E114" s="15">
        <v>2505.2060044714149</v>
      </c>
      <c r="F114" s="15">
        <v>2361.0209250186831</v>
      </c>
      <c r="G114" s="15">
        <v>2350.0687033153226</v>
      </c>
      <c r="H114" s="15">
        <v>2369.1357510363073</v>
      </c>
      <c r="I114" s="15">
        <v>2478.2128382795136</v>
      </c>
      <c r="J114" s="15">
        <v>0</v>
      </c>
      <c r="K114" s="15">
        <v>2426.1935236144886</v>
      </c>
      <c r="L114" s="15">
        <v>4892.3583180987207</v>
      </c>
      <c r="M114" s="15">
        <v>2455.9246823074682</v>
      </c>
      <c r="N114" s="15">
        <v>4871.8732932823596</v>
      </c>
      <c r="O114" s="15">
        <v>2341.1918484973239</v>
      </c>
      <c r="P114" s="15">
        <v>2316.7746272305058</v>
      </c>
      <c r="Q114" s="4">
        <f t="shared" si="11"/>
        <v>31367.96051515211</v>
      </c>
      <c r="R114" s="1">
        <v>0</v>
      </c>
      <c r="S114" s="1">
        <f t="shared" si="12"/>
        <v>0</v>
      </c>
      <c r="U114">
        <f t="shared" si="13"/>
        <v>1</v>
      </c>
    </row>
    <row r="115" spans="1:23" hidden="1" x14ac:dyDescent="0.2">
      <c r="A115" t="s">
        <v>298</v>
      </c>
      <c r="E115" s="15">
        <v>302229.93097764079</v>
      </c>
      <c r="F115" s="15">
        <v>278427.94484608859</v>
      </c>
      <c r="G115" s="15">
        <v>288746.19124692009</v>
      </c>
      <c r="H115" s="15">
        <v>271765.1783934579</v>
      </c>
      <c r="I115" s="15">
        <v>312956.31121944432</v>
      </c>
      <c r="J115" s="15">
        <v>232896.53622149272</v>
      </c>
      <c r="K115" s="15">
        <v>335584.6746628515</v>
      </c>
      <c r="L115" s="15">
        <v>306031.45969073556</v>
      </c>
      <c r="M115" s="15">
        <v>271556.12803032913</v>
      </c>
      <c r="N115" s="15">
        <v>294304.21655515849</v>
      </c>
      <c r="O115" s="1">
        <v>274838.8042404282</v>
      </c>
      <c r="P115" s="1">
        <v>310359.48926635797</v>
      </c>
      <c r="Q115" s="4"/>
      <c r="S115" s="1">
        <f>+Q115*R115</f>
        <v>0</v>
      </c>
    </row>
    <row r="116" spans="1:23" hidden="1" x14ac:dyDescent="0.2">
      <c r="A116" t="s">
        <v>299</v>
      </c>
      <c r="B116" t="s">
        <v>17</v>
      </c>
      <c r="C116" t="s">
        <v>56</v>
      </c>
      <c r="D116" t="s">
        <v>133</v>
      </c>
      <c r="E116" s="15">
        <v>0</v>
      </c>
      <c r="F116" s="15">
        <v>72.656314871709696</v>
      </c>
      <c r="G116" s="15">
        <v>118.81024454247725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">
        <v>0</v>
      </c>
      <c r="P116" s="1">
        <v>0</v>
      </c>
      <c r="Q116" s="4">
        <f t="shared" si="11"/>
        <v>191.46655941418695</v>
      </c>
      <c r="R116" s="1">
        <v>0</v>
      </c>
      <c r="S116" s="1">
        <f t="shared" ref="S116:S120" si="19">+Q116*R116</f>
        <v>0</v>
      </c>
      <c r="U116">
        <f t="shared" si="13"/>
        <v>0</v>
      </c>
      <c r="W116">
        <f t="shared" ref="W116:W117" si="20">+IF(P116&gt;0,1,0)</f>
        <v>0</v>
      </c>
    </row>
    <row r="117" spans="1:23" hidden="1" x14ac:dyDescent="0.2">
      <c r="A117" t="s">
        <v>299</v>
      </c>
      <c r="B117" t="s">
        <v>17</v>
      </c>
      <c r="C117" t="s">
        <v>56</v>
      </c>
      <c r="D117" t="s">
        <v>340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">
        <v>580.71678424068114</v>
      </c>
      <c r="P117" s="1">
        <v>0</v>
      </c>
      <c r="Q117" s="4">
        <f t="shared" si="11"/>
        <v>580.71678424068114</v>
      </c>
      <c r="R117" s="1">
        <v>0</v>
      </c>
      <c r="S117" s="1">
        <f t="shared" si="19"/>
        <v>0</v>
      </c>
      <c r="U117">
        <f t="shared" si="13"/>
        <v>0</v>
      </c>
      <c r="W117">
        <f t="shared" si="20"/>
        <v>0</v>
      </c>
    </row>
    <row r="118" spans="1:23" x14ac:dyDescent="0.2">
      <c r="A118" t="s">
        <v>299</v>
      </c>
      <c r="B118" t="s">
        <v>17</v>
      </c>
      <c r="C118" t="s">
        <v>56</v>
      </c>
      <c r="D118" t="s">
        <v>341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">
        <v>0</v>
      </c>
      <c r="P118" s="1">
        <v>5877.3802919329737</v>
      </c>
      <c r="Q118" s="4">
        <f t="shared" si="11"/>
        <v>5877.3802919329737</v>
      </c>
      <c r="R118" s="1">
        <v>0</v>
      </c>
      <c r="S118" s="1">
        <f t="shared" si="19"/>
        <v>0</v>
      </c>
      <c r="U118">
        <f t="shared" si="13"/>
        <v>1</v>
      </c>
    </row>
    <row r="119" spans="1:23" x14ac:dyDescent="0.2">
      <c r="A119" t="s">
        <v>299</v>
      </c>
      <c r="B119" t="s">
        <v>17</v>
      </c>
      <c r="C119" t="s">
        <v>56</v>
      </c>
      <c r="D119" t="s">
        <v>342</v>
      </c>
      <c r="E119" s="15">
        <v>275.33342878225528</v>
      </c>
      <c r="F119" s="15">
        <v>0</v>
      </c>
      <c r="G119" s="15">
        <v>0</v>
      </c>
      <c r="H119" s="15">
        <v>0</v>
      </c>
      <c r="I119" s="15">
        <v>0</v>
      </c>
      <c r="J119" s="15">
        <v>314.94795266067723</v>
      </c>
      <c r="K119" s="15">
        <v>266.6496010921968</v>
      </c>
      <c r="L119" s="15">
        <v>376.38455747929885</v>
      </c>
      <c r="M119" s="15">
        <v>465.60715172585049</v>
      </c>
      <c r="N119" s="15">
        <v>461.81771452436794</v>
      </c>
      <c r="O119" s="1">
        <v>443.85549608892546</v>
      </c>
      <c r="P119" s="1">
        <v>592.00073331703743</v>
      </c>
      <c r="Q119" s="4">
        <f t="shared" si="11"/>
        <v>3196.5966356706099</v>
      </c>
      <c r="R119" s="1">
        <v>0</v>
      </c>
      <c r="S119" s="1">
        <f t="shared" si="19"/>
        <v>0</v>
      </c>
      <c r="U119">
        <f t="shared" si="13"/>
        <v>1</v>
      </c>
    </row>
    <row r="120" spans="1:23" hidden="1" x14ac:dyDescent="0.2">
      <c r="A120" t="s">
        <v>300</v>
      </c>
      <c r="E120" s="15">
        <v>275.33342878225528</v>
      </c>
      <c r="F120" s="15">
        <v>72.656314871709696</v>
      </c>
      <c r="G120" s="15">
        <v>118.81024454247725</v>
      </c>
      <c r="H120" s="15">
        <v>0</v>
      </c>
      <c r="I120" s="15">
        <v>0</v>
      </c>
      <c r="J120" s="15">
        <v>314.94795266067723</v>
      </c>
      <c r="K120" s="15">
        <v>266.6496010921968</v>
      </c>
      <c r="L120" s="15">
        <v>376.38455747929885</v>
      </c>
      <c r="M120" s="15">
        <v>465.60715172585049</v>
      </c>
      <c r="N120" s="15">
        <v>461.81771452436794</v>
      </c>
      <c r="O120" s="1">
        <v>1024.5722803296067</v>
      </c>
      <c r="P120" s="1">
        <v>6469.3810252500116</v>
      </c>
      <c r="Q120" s="4">
        <f t="shared" si="11"/>
        <v>9846.1602712584518</v>
      </c>
      <c r="S120" s="1">
        <f t="shared" si="19"/>
        <v>0</v>
      </c>
    </row>
    <row r="121" spans="1:23" hidden="1" x14ac:dyDescent="0.2">
      <c r="A121" t="s">
        <v>23</v>
      </c>
      <c r="E121" s="15">
        <v>302505.26440642303</v>
      </c>
      <c r="F121" s="15">
        <v>278500.60116096027</v>
      </c>
      <c r="G121" s="15">
        <v>288865.00149146258</v>
      </c>
      <c r="H121" s="15">
        <v>271765.1783934579</v>
      </c>
      <c r="I121" s="15">
        <v>312956.31121944432</v>
      </c>
      <c r="J121" s="15">
        <v>233211.48417415339</v>
      </c>
      <c r="K121" s="15">
        <v>335851.32426394371</v>
      </c>
      <c r="L121" s="15">
        <v>306407.84424821485</v>
      </c>
      <c r="M121" s="15">
        <v>272021.73518205498</v>
      </c>
      <c r="N121" s="15">
        <v>294766.03426968283</v>
      </c>
      <c r="O121" s="1">
        <v>275863.3765207578</v>
      </c>
      <c r="P121" s="1">
        <v>316828.87029160798</v>
      </c>
      <c r="Q121" s="4">
        <f>+SUM(E121:P121)</f>
        <v>3489543.0256221625</v>
      </c>
      <c r="S121" s="4">
        <f>+SUM(S7:S120)</f>
        <v>2433540.7220492386</v>
      </c>
      <c r="T121" s="4">
        <f>+SUM(Q111:Q114)</f>
        <v>331111.99568251125</v>
      </c>
      <c r="U121" s="4">
        <f>+Q125-S121-T121</f>
        <v>1220121.8687061898</v>
      </c>
    </row>
    <row r="122" spans="1:23" hidden="1" x14ac:dyDescent="0.2">
      <c r="Q122">
        <v>245231.56081577699</v>
      </c>
      <c r="S122" s="120">
        <f>+S121/Q125</f>
        <v>0.61070975766903379</v>
      </c>
      <c r="T122" s="120">
        <f>+T121/Q125</f>
        <v>8.3094285134582252E-2</v>
      </c>
      <c r="U122" s="2">
        <f>+U121/Q125</f>
        <v>0.30619595719638393</v>
      </c>
    </row>
    <row r="123" spans="1:23" hidden="1" x14ac:dyDescent="0.2">
      <c r="Q123" s="4">
        <f>+Q121+Q122</f>
        <v>3734774.5864379397</v>
      </c>
      <c r="S123" t="s">
        <v>345</v>
      </c>
      <c r="T123" t="s">
        <v>151</v>
      </c>
      <c r="U123" t="s">
        <v>346</v>
      </c>
    </row>
    <row r="124" spans="1:23" hidden="1" x14ac:dyDescent="0.2">
      <c r="Q124">
        <v>250000</v>
      </c>
    </row>
    <row r="125" spans="1:23" hidden="1" x14ac:dyDescent="0.2">
      <c r="Q125" s="4">
        <f>+Q123+Q124</f>
        <v>3984774.5864379397</v>
      </c>
    </row>
    <row r="126" spans="1:23" x14ac:dyDescent="0.2">
      <c r="U126">
        <v>1</v>
      </c>
    </row>
    <row r="127" spans="1:23" x14ac:dyDescent="0.2">
      <c r="U127">
        <v>1</v>
      </c>
    </row>
    <row r="128" spans="1:23" x14ac:dyDescent="0.2">
      <c r="U128">
        <v>1</v>
      </c>
    </row>
    <row r="129" spans="21:21" x14ac:dyDescent="0.2">
      <c r="U129">
        <v>1</v>
      </c>
    </row>
    <row r="130" spans="21:21" x14ac:dyDescent="0.2">
      <c r="U130">
        <v>1</v>
      </c>
    </row>
    <row r="131" spans="21:21" x14ac:dyDescent="0.2">
      <c r="U131">
        <f>SUBTOTAL(9,U9:U130)</f>
        <v>55</v>
      </c>
    </row>
  </sheetData>
  <autoFilter ref="Q6:W130" xr:uid="{DF6C867E-65BD-43EF-A4E1-E68E0950BA2C}">
    <filterColumn colId="4">
      <filters>
        <filter val="1"/>
      </filters>
    </filterColumn>
  </autoFilter>
  <pageMargins left="0.7" right="0.7" top="0.75" bottom="0.75" header="0.3" footer="0.3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287A-647A-455E-A35A-8841701639FF}">
  <sheetPr>
    <tabColor theme="5"/>
  </sheetPr>
  <dimension ref="A1:O22"/>
  <sheetViews>
    <sheetView workbookViewId="0">
      <selection activeCell="A22" sqref="A22:M22"/>
    </sheetView>
  </sheetViews>
  <sheetFormatPr baseColWidth="10" defaultRowHeight="15" x14ac:dyDescent="0.2"/>
  <cols>
    <col min="1" max="1" width="43.6640625" bestFit="1" customWidth="1"/>
  </cols>
  <sheetData>
    <row r="1" spans="1:15" x14ac:dyDescent="0.2">
      <c r="A1" t="s">
        <v>191</v>
      </c>
      <c r="B1" s="121">
        <v>45292</v>
      </c>
      <c r="C1" s="121">
        <v>45323</v>
      </c>
      <c r="D1" s="121">
        <v>45352</v>
      </c>
      <c r="E1" s="121">
        <v>45383</v>
      </c>
      <c r="F1" s="121">
        <v>45413</v>
      </c>
      <c r="G1" s="121">
        <v>45444</v>
      </c>
      <c r="H1" s="121">
        <v>45474</v>
      </c>
      <c r="I1" s="121">
        <v>45505</v>
      </c>
      <c r="J1" s="121">
        <v>45536</v>
      </c>
      <c r="K1" s="121">
        <v>45566</v>
      </c>
      <c r="L1" s="121">
        <v>45597</v>
      </c>
      <c r="M1" s="121">
        <v>45627</v>
      </c>
      <c r="O1" s="121"/>
    </row>
    <row r="2" spans="1:15" x14ac:dyDescent="0.2">
      <c r="A2" t="s">
        <v>321</v>
      </c>
      <c r="B2" s="16">
        <v>42.198645552370422</v>
      </c>
      <c r="C2" s="16">
        <v>0</v>
      </c>
      <c r="D2" s="16">
        <v>13.886802564903501</v>
      </c>
      <c r="E2" s="16">
        <v>0</v>
      </c>
      <c r="F2" s="16">
        <v>0</v>
      </c>
      <c r="G2" s="16">
        <v>22.74137811918159</v>
      </c>
      <c r="H2" s="16">
        <v>0</v>
      </c>
      <c r="I2" s="16">
        <v>7.5692945655774624</v>
      </c>
      <c r="J2" s="16">
        <v>0</v>
      </c>
      <c r="K2" s="16">
        <v>1.156193060441612</v>
      </c>
      <c r="L2" s="16">
        <v>34.823874510388649</v>
      </c>
      <c r="M2" s="16">
        <v>15.173832442913758</v>
      </c>
    </row>
    <row r="3" spans="1:15" x14ac:dyDescent="0.2">
      <c r="A3" t="s">
        <v>322</v>
      </c>
      <c r="B3" s="16">
        <v>0</v>
      </c>
      <c r="C3" s="16">
        <v>35.366730000000004</v>
      </c>
      <c r="D3" s="16">
        <v>0</v>
      </c>
      <c r="E3" s="16">
        <v>0</v>
      </c>
      <c r="F3" s="16">
        <v>35.577580000000005</v>
      </c>
      <c r="G3" s="16">
        <v>2.10623</v>
      </c>
      <c r="H3" s="16">
        <v>0</v>
      </c>
      <c r="I3" s="16">
        <v>0</v>
      </c>
      <c r="J3" s="16">
        <v>0</v>
      </c>
      <c r="K3" s="16">
        <v>28.515999999999998</v>
      </c>
      <c r="L3" s="16">
        <v>0</v>
      </c>
      <c r="M3" s="16">
        <v>6.1150000000000002</v>
      </c>
    </row>
    <row r="4" spans="1:15" x14ac:dyDescent="0.2">
      <c r="B4" s="16">
        <f>+B2+B3</f>
        <v>42.198645552370422</v>
      </c>
      <c r="C4" s="16">
        <f t="shared" ref="C4:M4" si="0">+C2+C3</f>
        <v>35.366730000000004</v>
      </c>
      <c r="D4" s="16">
        <f t="shared" si="0"/>
        <v>13.886802564903501</v>
      </c>
      <c r="E4" s="16">
        <f t="shared" si="0"/>
        <v>0</v>
      </c>
      <c r="F4" s="16">
        <f t="shared" si="0"/>
        <v>35.577580000000005</v>
      </c>
      <c r="G4" s="16">
        <f t="shared" si="0"/>
        <v>24.84760811918159</v>
      </c>
      <c r="H4" s="16">
        <f t="shared" si="0"/>
        <v>0</v>
      </c>
      <c r="I4" s="16">
        <f t="shared" si="0"/>
        <v>7.5692945655774624</v>
      </c>
      <c r="J4" s="16">
        <f t="shared" si="0"/>
        <v>0</v>
      </c>
      <c r="K4" s="16">
        <f t="shared" si="0"/>
        <v>29.672193060441611</v>
      </c>
      <c r="L4" s="16">
        <f t="shared" si="0"/>
        <v>34.823874510388649</v>
      </c>
      <c r="M4" s="16">
        <f t="shared" si="0"/>
        <v>21.288832442913758</v>
      </c>
      <c r="O4">
        <v>1000</v>
      </c>
    </row>
    <row r="6" spans="1:15" x14ac:dyDescent="0.2">
      <c r="A6" t="s">
        <v>326</v>
      </c>
      <c r="B6" s="122">
        <v>42.198645552370422</v>
      </c>
      <c r="C6" s="122">
        <v>35.366730000000004</v>
      </c>
      <c r="D6" s="122">
        <v>13.886802564903501</v>
      </c>
      <c r="E6" s="122">
        <v>0</v>
      </c>
      <c r="F6" s="122">
        <v>35.577580000000005</v>
      </c>
      <c r="G6" s="122">
        <v>24.84760811918159</v>
      </c>
      <c r="H6" s="122">
        <v>0</v>
      </c>
      <c r="I6" s="122">
        <v>7.5692945655774624</v>
      </c>
      <c r="J6" s="122">
        <v>0</v>
      </c>
      <c r="K6" s="122">
        <v>29.672193060441611</v>
      </c>
      <c r="L6" s="122">
        <v>34.823874510388649</v>
      </c>
      <c r="M6" s="122">
        <v>21.288832442913758</v>
      </c>
    </row>
    <row r="9" spans="1:15" x14ac:dyDescent="0.2">
      <c r="A9" t="s">
        <v>324</v>
      </c>
      <c r="B9" s="16">
        <v>4375.7068997321612</v>
      </c>
      <c r="C9" s="16">
        <v>3900.0390193473386</v>
      </c>
      <c r="D9" s="16">
        <v>7037.4952247449955</v>
      </c>
      <c r="E9" s="16">
        <v>2996.3265306122448</v>
      </c>
      <c r="F9" s="16">
        <v>7545.7183540332062</v>
      </c>
      <c r="G9" s="16">
        <v>4977.1768296475466</v>
      </c>
      <c r="H9" s="16">
        <v>15134.918383890097</v>
      </c>
      <c r="I9" s="16">
        <v>4103.9085966232924</v>
      </c>
      <c r="J9" s="16">
        <v>3849.2950086913338</v>
      </c>
      <c r="K9" s="16">
        <v>4361.7376982469668</v>
      </c>
      <c r="L9" s="16">
        <v>3517.1533552902424</v>
      </c>
      <c r="M9" s="16">
        <v>4471.8915098183006</v>
      </c>
    </row>
    <row r="10" spans="1:15" x14ac:dyDescent="0.2">
      <c r="A10" t="s">
        <v>325</v>
      </c>
      <c r="B10" s="16">
        <v>16376.393609938266</v>
      </c>
      <c r="C10" s="16">
        <v>3919.8296976555339</v>
      </c>
      <c r="D10" s="16">
        <v>4429.4877383037574</v>
      </c>
      <c r="E10" s="16">
        <v>0</v>
      </c>
      <c r="F10" s="16">
        <v>2898.5785321476505</v>
      </c>
      <c r="G10" s="16">
        <v>654.96</v>
      </c>
      <c r="H10" s="16">
        <v>208.13136225948205</v>
      </c>
      <c r="I10" s="16">
        <v>865.67587912678789</v>
      </c>
      <c r="J10" s="16">
        <v>284.10676844344158</v>
      </c>
      <c r="K10" s="16">
        <v>4776.9715299388172</v>
      </c>
      <c r="L10" s="16">
        <v>5076.5286125977773</v>
      </c>
      <c r="M10" s="16">
        <v>5675.3675759797934</v>
      </c>
    </row>
    <row r="11" spans="1:15" x14ac:dyDescent="0.2">
      <c r="A11" t="s">
        <v>35</v>
      </c>
      <c r="B11" s="16">
        <f>+B9+B10</f>
        <v>20752.100509670428</v>
      </c>
      <c r="C11" s="16">
        <f t="shared" ref="C11:M11" si="1">+C9+C10</f>
        <v>7819.8687170028725</v>
      </c>
      <c r="D11" s="16">
        <f t="shared" si="1"/>
        <v>11466.982963048753</v>
      </c>
      <c r="E11" s="16">
        <f t="shared" si="1"/>
        <v>2996.3265306122448</v>
      </c>
      <c r="F11" s="16">
        <f t="shared" si="1"/>
        <v>10444.296886180857</v>
      </c>
      <c r="G11" s="16">
        <f t="shared" si="1"/>
        <v>5632.1368296475466</v>
      </c>
      <c r="H11" s="16">
        <f t="shared" si="1"/>
        <v>15343.04974614958</v>
      </c>
      <c r="I11" s="16">
        <f t="shared" si="1"/>
        <v>4969.5844757500799</v>
      </c>
      <c r="J11" s="16">
        <f t="shared" si="1"/>
        <v>4133.4017771347753</v>
      </c>
      <c r="K11" s="16">
        <f t="shared" si="1"/>
        <v>9138.709228185784</v>
      </c>
      <c r="L11" s="16">
        <f t="shared" si="1"/>
        <v>8593.6819678880202</v>
      </c>
      <c r="M11" s="16">
        <f t="shared" si="1"/>
        <v>10147.259085798094</v>
      </c>
    </row>
    <row r="13" spans="1:15" x14ac:dyDescent="0.2">
      <c r="A13" t="s">
        <v>326</v>
      </c>
      <c r="B13" s="122">
        <v>20.752100509670427</v>
      </c>
      <c r="C13" s="122">
        <v>7.8198687170028727</v>
      </c>
      <c r="D13" s="122">
        <v>11.466982963048753</v>
      </c>
      <c r="E13" s="122">
        <v>2.9963265306122446</v>
      </c>
      <c r="F13" s="122">
        <v>10.444296886180856</v>
      </c>
      <c r="G13" s="122">
        <v>5.6321368296475463</v>
      </c>
      <c r="H13" s="122">
        <v>15.34304974614958</v>
      </c>
      <c r="I13" s="122">
        <v>4.9695844757500796</v>
      </c>
      <c r="J13" s="122">
        <v>4.1334017771347753</v>
      </c>
      <c r="K13" s="122">
        <v>9.1387092281857836</v>
      </c>
      <c r="L13" s="122">
        <v>8.5936819678880205</v>
      </c>
      <c r="M13" s="122">
        <v>10.147259085798094</v>
      </c>
    </row>
    <row r="15" spans="1:15" x14ac:dyDescent="0.2">
      <c r="A15" t="s">
        <v>22</v>
      </c>
      <c r="B15" s="16">
        <v>129.39817010191192</v>
      </c>
      <c r="C15" s="16">
        <v>40.43176393718786</v>
      </c>
      <c r="D15" s="16">
        <v>19.643364060830315</v>
      </c>
      <c r="E15" s="16">
        <v>12.341404103388877</v>
      </c>
      <c r="F15" s="16">
        <v>18.451805936010711</v>
      </c>
      <c r="G15" s="16">
        <v>6.0272542328956469</v>
      </c>
      <c r="H15" s="16">
        <v>5.0827933346544096</v>
      </c>
      <c r="I15" s="16">
        <v>4.9271873319711803</v>
      </c>
      <c r="J15" s="16">
        <v>4.7191497716500583</v>
      </c>
      <c r="K15" s="16">
        <v>29.951058404517521</v>
      </c>
      <c r="L15" s="16">
        <v>28.926818237958003</v>
      </c>
      <c r="M15" s="16">
        <v>13.829525277763183</v>
      </c>
    </row>
    <row r="16" spans="1:15" x14ac:dyDescent="0.2">
      <c r="A16" t="s">
        <v>21</v>
      </c>
      <c r="B16" s="16">
        <v>70.940379610568385</v>
      </c>
      <c r="C16" s="16">
        <v>15.541722628913062</v>
      </c>
      <c r="D16" s="16">
        <v>6.4251697133057153</v>
      </c>
      <c r="E16" s="16">
        <v>19.65406426562793</v>
      </c>
      <c r="F16" s="16">
        <v>11.217310658473874</v>
      </c>
      <c r="G16" s="16">
        <v>6.6439180250471681</v>
      </c>
      <c r="H16" s="16">
        <v>10.766462434404199</v>
      </c>
      <c r="I16" s="16">
        <v>12.765451293687494</v>
      </c>
      <c r="J16" s="16">
        <v>12.095977046242213</v>
      </c>
      <c r="K16" s="16">
        <v>8.7212621459397521</v>
      </c>
      <c r="L16" s="16">
        <v>1.4406731165088513</v>
      </c>
      <c r="M16" s="16">
        <v>16.033799999999999</v>
      </c>
    </row>
    <row r="17" spans="1:13" x14ac:dyDescent="0.2">
      <c r="A17" t="s">
        <v>30</v>
      </c>
      <c r="B17" s="16">
        <v>12.901351336468462</v>
      </c>
      <c r="C17" s="16">
        <v>5.2800589554097819</v>
      </c>
      <c r="D17" s="16">
        <v>2.6626842850206112</v>
      </c>
      <c r="E17" s="16">
        <v>2.6842877080425773</v>
      </c>
      <c r="F17" s="16">
        <v>6.9208513095393736</v>
      </c>
      <c r="G17" s="16">
        <v>0</v>
      </c>
      <c r="H17" s="16">
        <v>5.6590788856179879</v>
      </c>
      <c r="I17" s="16">
        <v>5.7457511560382839</v>
      </c>
      <c r="J17" s="16">
        <v>2.7826216516772653</v>
      </c>
      <c r="K17" s="16">
        <v>5.5199494543857961</v>
      </c>
      <c r="L17" s="16">
        <v>13.346370934540962</v>
      </c>
      <c r="M17" s="16">
        <v>12.61271082864825</v>
      </c>
    </row>
    <row r="18" spans="1:13" x14ac:dyDescent="0.2">
      <c r="A18" t="s">
        <v>29</v>
      </c>
      <c r="B18" s="16">
        <v>1.1462879547131577</v>
      </c>
      <c r="C18" s="16">
        <v>0.86461014697334537</v>
      </c>
      <c r="D18" s="16">
        <v>1.7211988470240618</v>
      </c>
      <c r="E18" s="16">
        <v>0</v>
      </c>
      <c r="F18" s="16">
        <v>2.3744770558242907</v>
      </c>
      <c r="G18" s="16">
        <v>0.89949032480995161</v>
      </c>
      <c r="H18" s="16">
        <v>0.88847647083919967</v>
      </c>
      <c r="I18" s="16">
        <v>0.8957952468007313</v>
      </c>
      <c r="J18" s="16">
        <v>1.130629122985068</v>
      </c>
      <c r="K18" s="16">
        <v>0.89204442017112695</v>
      </c>
      <c r="L18" s="16">
        <v>2.3638328530259365</v>
      </c>
      <c r="M18" s="16">
        <v>1.1941192047584126</v>
      </c>
    </row>
    <row r="19" spans="1:13" x14ac:dyDescent="0.2">
      <c r="A19" t="s">
        <v>20</v>
      </c>
      <c r="B19" s="16">
        <v>1.0105019896990377</v>
      </c>
      <c r="C19" s="16">
        <v>0.71911980736003234</v>
      </c>
      <c r="D19" s="16">
        <v>0.4722815710997067</v>
      </c>
      <c r="E19" s="16">
        <v>0.36444023454912827</v>
      </c>
      <c r="F19" s="16">
        <v>0.81385955593323756</v>
      </c>
      <c r="G19" s="16">
        <v>1.642074602626123</v>
      </c>
      <c r="H19" s="16">
        <v>2.1692001365245961</v>
      </c>
      <c r="I19" s="16">
        <v>1.1940143993977848</v>
      </c>
      <c r="J19" s="16">
        <v>1.1280278554539469</v>
      </c>
      <c r="K19" s="16">
        <v>0.8641244364485281</v>
      </c>
      <c r="L19" s="16">
        <v>1.5538836969946481</v>
      </c>
      <c r="M19" s="16">
        <v>1.5701245416768514</v>
      </c>
    </row>
    <row r="20" spans="1:13" x14ac:dyDescent="0.2">
      <c r="A20" t="s">
        <v>35</v>
      </c>
      <c r="B20" s="16">
        <f>+SUM(B15:B19)</f>
        <v>215.39669099336095</v>
      </c>
      <c r="C20" s="16">
        <f t="shared" ref="C20:M20" si="2">+SUM(C15:C19)</f>
        <v>62.837275475844081</v>
      </c>
      <c r="D20" s="16">
        <f t="shared" si="2"/>
        <v>30.924698477280408</v>
      </c>
      <c r="E20" s="16">
        <f t="shared" si="2"/>
        <v>35.044196311608509</v>
      </c>
      <c r="F20" s="16">
        <f t="shared" si="2"/>
        <v>39.778304515781485</v>
      </c>
      <c r="G20" s="16">
        <f t="shared" si="2"/>
        <v>15.212737185378888</v>
      </c>
      <c r="H20" s="16">
        <f t="shared" si="2"/>
        <v>24.566011262040391</v>
      </c>
      <c r="I20" s="16">
        <f t="shared" si="2"/>
        <v>25.528199427895473</v>
      </c>
      <c r="J20" s="16">
        <f t="shared" si="2"/>
        <v>21.856405448008548</v>
      </c>
      <c r="K20" s="16">
        <f t="shared" si="2"/>
        <v>45.948438861462719</v>
      </c>
      <c r="L20" s="16">
        <f t="shared" si="2"/>
        <v>47.631578839028393</v>
      </c>
      <c r="M20" s="16">
        <f t="shared" si="2"/>
        <v>45.240279852846697</v>
      </c>
    </row>
    <row r="22" spans="1:13" x14ac:dyDescent="0.2">
      <c r="A22" t="s">
        <v>323</v>
      </c>
      <c r="B22" s="122">
        <v>215.39669099336095</v>
      </c>
      <c r="C22" s="122">
        <v>62.837275475844081</v>
      </c>
      <c r="D22" s="122">
        <v>30.924698477280408</v>
      </c>
      <c r="E22" s="122">
        <v>35.044196311608509</v>
      </c>
      <c r="F22" s="122">
        <v>39.778304515781485</v>
      </c>
      <c r="G22" s="122">
        <v>15.212737185378888</v>
      </c>
      <c r="H22" s="122">
        <v>24.566011262040391</v>
      </c>
      <c r="I22" s="122">
        <v>25.528199427895473</v>
      </c>
      <c r="J22" s="122">
        <v>21.856405448008548</v>
      </c>
      <c r="K22" s="122">
        <v>45.948438861462719</v>
      </c>
      <c r="L22" s="122">
        <v>47.631578839028393</v>
      </c>
      <c r="M22" s="122">
        <v>45.240279852846697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D3D3-95CA-4C15-99F1-D1B3B718AE10}">
  <sheetPr>
    <tabColor theme="5"/>
  </sheetPr>
  <dimension ref="A1:T31"/>
  <sheetViews>
    <sheetView zoomScale="80" zoomScaleNormal="80" workbookViewId="0">
      <selection activeCell="B28" sqref="B28"/>
    </sheetView>
  </sheetViews>
  <sheetFormatPr baseColWidth="10" defaultRowHeight="15" x14ac:dyDescent="0.2"/>
  <cols>
    <col min="1" max="1" width="17.5" bestFit="1" customWidth="1"/>
    <col min="2" max="2" width="20" bestFit="1" customWidth="1"/>
    <col min="3" max="13" width="8.5" bestFit="1" customWidth="1"/>
    <col min="14" max="14" width="10.33203125" bestFit="1" customWidth="1"/>
    <col min="15" max="17" width="8.5" bestFit="1" customWidth="1"/>
    <col min="18" max="18" width="8.83203125" customWidth="1"/>
    <col min="19" max="19" width="8.83203125" bestFit="1" customWidth="1"/>
    <col min="20" max="20" width="6.33203125" bestFit="1" customWidth="1"/>
    <col min="21" max="21" width="13" bestFit="1" customWidth="1"/>
    <col min="22" max="31" width="7.83203125" bestFit="1" customWidth="1"/>
  </cols>
  <sheetData>
    <row r="1" spans="1:20" x14ac:dyDescent="0.2">
      <c r="A1" s="3" t="s">
        <v>0</v>
      </c>
      <c r="B1" t="s">
        <v>1</v>
      </c>
    </row>
    <row r="2" spans="1:20" x14ac:dyDescent="0.2">
      <c r="A2" s="3" t="s">
        <v>8</v>
      </c>
      <c r="B2" t="s">
        <v>1</v>
      </c>
    </row>
    <row r="3" spans="1:20" x14ac:dyDescent="0.2">
      <c r="A3" s="3" t="s">
        <v>9</v>
      </c>
      <c r="B3" t="s">
        <v>31</v>
      </c>
    </row>
    <row r="4" spans="1:20" x14ac:dyDescent="0.2">
      <c r="A4" s="3" t="s">
        <v>2</v>
      </c>
      <c r="B4" t="s">
        <v>31</v>
      </c>
    </row>
    <row r="6" spans="1:20" x14ac:dyDescent="0.2">
      <c r="A6" s="3" t="s">
        <v>4</v>
      </c>
      <c r="B6" s="3" t="s">
        <v>5</v>
      </c>
      <c r="R6" s="1"/>
      <c r="S6" s="1"/>
      <c r="T6" s="1"/>
    </row>
    <row r="7" spans="1:20" x14ac:dyDescent="0.2">
      <c r="A7" s="3" t="s">
        <v>7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35</v>
      </c>
      <c r="O7" t="s">
        <v>293</v>
      </c>
      <c r="R7" s="1"/>
      <c r="S7" s="1"/>
      <c r="T7" s="1"/>
    </row>
    <row r="8" spans="1:20" x14ac:dyDescent="0.2">
      <c r="A8" t="s">
        <v>17</v>
      </c>
      <c r="B8" s="15">
        <v>302505.2644064232</v>
      </c>
      <c r="C8" s="15">
        <v>278500.60116096027</v>
      </c>
      <c r="D8" s="15">
        <v>288865.0014914627</v>
      </c>
      <c r="E8" s="15">
        <v>271765.17839345802</v>
      </c>
      <c r="F8" s="15">
        <v>312956.31121944432</v>
      </c>
      <c r="G8" s="15">
        <v>233211.48417415336</v>
      </c>
      <c r="H8" s="15">
        <v>335851.32426394348</v>
      </c>
      <c r="I8" s="15">
        <v>306407.84424821474</v>
      </c>
      <c r="J8" s="15">
        <v>272021.73518205492</v>
      </c>
      <c r="K8" s="15">
        <v>294766.03426968277</v>
      </c>
      <c r="L8" s="15">
        <v>275863.37652075774</v>
      </c>
      <c r="M8" s="15">
        <v>316828.87029160804</v>
      </c>
      <c r="N8" s="16">
        <f>+SUM(B8:M8)</f>
        <v>3489543.025622163</v>
      </c>
      <c r="O8" s="16">
        <f>+AVERAGE(B8:M8)</f>
        <v>290795.25213518023</v>
      </c>
      <c r="R8" s="1"/>
      <c r="S8" s="1"/>
      <c r="T8" s="1"/>
    </row>
    <row r="9" spans="1:20" x14ac:dyDescent="0.2">
      <c r="A9" t="s">
        <v>18</v>
      </c>
      <c r="B9" s="15">
        <v>123393.41412586258</v>
      </c>
      <c r="C9" s="15">
        <v>95218.966663344952</v>
      </c>
      <c r="D9" s="15">
        <v>63271.157047647059</v>
      </c>
      <c r="E9" s="15">
        <v>9534.9992988309896</v>
      </c>
      <c r="F9" s="15">
        <v>90110.011598630517</v>
      </c>
      <c r="G9" s="15">
        <v>101187.93814098135</v>
      </c>
      <c r="H9" s="15">
        <v>53135.334511133704</v>
      </c>
      <c r="I9" s="15">
        <v>107301.64664650511</v>
      </c>
      <c r="J9" s="15">
        <v>31039.189392285676</v>
      </c>
      <c r="K9" s="15">
        <v>98333.949968307235</v>
      </c>
      <c r="L9" s="15">
        <v>78622.168996553402</v>
      </c>
      <c r="M9" s="15">
        <v>97664.796580877271</v>
      </c>
      <c r="N9" s="16">
        <f t="shared" ref="N9:N16" si="0">+SUM(B9:M9)</f>
        <v>948813.57297095982</v>
      </c>
      <c r="O9" s="16">
        <f t="shared" ref="O9:O16" si="1">+AVERAGE(B9:M9)</f>
        <v>79067.797747579985</v>
      </c>
      <c r="R9" s="1"/>
      <c r="S9" s="1"/>
      <c r="T9" s="1"/>
    </row>
    <row r="10" spans="1:20" x14ac:dyDescent="0.2">
      <c r="A10" t="s">
        <v>19</v>
      </c>
      <c r="B10" s="15">
        <v>46734.790283948358</v>
      </c>
      <c r="C10" s="15">
        <v>35698.196868571271</v>
      </c>
      <c r="D10" s="15">
        <v>25091.04502160387</v>
      </c>
      <c r="E10" s="15">
        <v>34665.022587828396</v>
      </c>
      <c r="F10" s="15">
        <v>46509.807575282175</v>
      </c>
      <c r="G10" s="15">
        <v>36712.330924326197</v>
      </c>
      <c r="H10" s="15">
        <v>41599.820470156585</v>
      </c>
      <c r="I10" s="15">
        <v>37109.385460802238</v>
      </c>
      <c r="J10" s="15">
        <v>43959.912903121323</v>
      </c>
      <c r="K10" s="15">
        <v>47609.466240455775</v>
      </c>
      <c r="L10" s="15">
        <v>42586.412927130506</v>
      </c>
      <c r="M10" s="15">
        <v>70662.433879247139</v>
      </c>
      <c r="N10" s="16">
        <f t="shared" si="0"/>
        <v>508938.62514247384</v>
      </c>
      <c r="O10" s="16">
        <f t="shared" si="1"/>
        <v>42411.552095206156</v>
      </c>
      <c r="R10" s="1"/>
      <c r="S10" s="1"/>
      <c r="T10" s="1"/>
    </row>
    <row r="11" spans="1:20" x14ac:dyDescent="0.2">
      <c r="A11" t="s">
        <v>22</v>
      </c>
      <c r="B11" s="15">
        <v>129398.17010191191</v>
      </c>
      <c r="C11" s="15">
        <v>40431.763937187861</v>
      </c>
      <c r="D11" s="15">
        <v>19643.364060830314</v>
      </c>
      <c r="E11" s="15">
        <v>12341.404103388877</v>
      </c>
      <c r="F11" s="15">
        <v>18451.805936010711</v>
      </c>
      <c r="G11" s="15">
        <v>6027.254232895647</v>
      </c>
      <c r="H11" s="15">
        <v>5082.7933346544096</v>
      </c>
      <c r="I11" s="15">
        <v>4927.1873319711804</v>
      </c>
      <c r="J11" s="15">
        <v>4719.149771650058</v>
      </c>
      <c r="K11" s="15">
        <v>29951.05840451752</v>
      </c>
      <c r="L11" s="15">
        <v>28926.818237958003</v>
      </c>
      <c r="M11" s="15">
        <v>13829.525277763183</v>
      </c>
      <c r="N11" s="16">
        <f t="shared" si="0"/>
        <v>313730.29473073973</v>
      </c>
      <c r="O11" s="16">
        <f t="shared" si="1"/>
        <v>26144.191227561645</v>
      </c>
      <c r="R11" s="1"/>
      <c r="S11" s="1"/>
      <c r="T11" s="1"/>
    </row>
    <row r="12" spans="1:20" x14ac:dyDescent="0.2">
      <c r="A12" t="s">
        <v>21</v>
      </c>
      <c r="B12" s="15">
        <v>70940.379610568387</v>
      </c>
      <c r="C12" s="15">
        <v>15541.722628913061</v>
      </c>
      <c r="D12" s="15">
        <v>6425.169713305715</v>
      </c>
      <c r="E12" s="15">
        <v>19654.064265627931</v>
      </c>
      <c r="F12" s="15">
        <v>11217.310658473874</v>
      </c>
      <c r="G12" s="15">
        <v>6643.9180250471682</v>
      </c>
      <c r="H12" s="15">
        <v>10766.462434404199</v>
      </c>
      <c r="I12" s="15">
        <v>12765.451293687494</v>
      </c>
      <c r="J12" s="15">
        <v>12095.977046242213</v>
      </c>
      <c r="K12" s="15">
        <v>8721.2621459397524</v>
      </c>
      <c r="L12" s="15">
        <v>1440.6731165088513</v>
      </c>
      <c r="M12" s="15">
        <v>16033.8</v>
      </c>
      <c r="N12" s="16">
        <f t="shared" si="0"/>
        <v>192246.19093871862</v>
      </c>
      <c r="O12" s="16">
        <f t="shared" si="1"/>
        <v>16020.515911559885</v>
      </c>
      <c r="R12" s="1"/>
      <c r="S12" s="1"/>
      <c r="T12" s="1"/>
    </row>
    <row r="13" spans="1:20" x14ac:dyDescent="0.2">
      <c r="A13" t="s">
        <v>30</v>
      </c>
      <c r="B13" s="15">
        <v>12901.351336468462</v>
      </c>
      <c r="C13" s="15">
        <v>5280.0589554097814</v>
      </c>
      <c r="D13" s="15">
        <v>2662.6842850206112</v>
      </c>
      <c r="E13" s="15">
        <v>2684.2877080425774</v>
      </c>
      <c r="F13" s="15">
        <v>6920.8513095393737</v>
      </c>
      <c r="G13" s="15">
        <v>0</v>
      </c>
      <c r="H13" s="15">
        <v>5659.0788856179879</v>
      </c>
      <c r="I13" s="15">
        <v>5745.7511560382836</v>
      </c>
      <c r="J13" s="15">
        <v>2782.6216516772652</v>
      </c>
      <c r="K13" s="15">
        <v>5519.9494543857963</v>
      </c>
      <c r="L13" s="15">
        <v>13346.370934540962</v>
      </c>
      <c r="M13" s="15">
        <v>12612.710828648251</v>
      </c>
      <c r="N13" s="16">
        <f t="shared" si="0"/>
        <v>76115.716505389355</v>
      </c>
      <c r="O13" s="16">
        <f t="shared" si="1"/>
        <v>6342.9763754491132</v>
      </c>
      <c r="R13" s="1"/>
      <c r="S13" s="1"/>
      <c r="T13" s="1"/>
    </row>
    <row r="14" spans="1:20" x14ac:dyDescent="0.2">
      <c r="A14" t="s">
        <v>29</v>
      </c>
      <c r="B14" s="15">
        <v>1146.2879547131577</v>
      </c>
      <c r="C14" s="15">
        <v>864.61014697334542</v>
      </c>
      <c r="D14" s="15">
        <v>1721.1988470240617</v>
      </c>
      <c r="E14" s="15">
        <v>0</v>
      </c>
      <c r="F14" s="15">
        <v>2374.4770558242908</v>
      </c>
      <c r="G14" s="15">
        <v>899.49032480995163</v>
      </c>
      <c r="H14" s="15">
        <v>888.47647083919969</v>
      </c>
      <c r="I14" s="15">
        <v>895.79524680073132</v>
      </c>
      <c r="J14" s="15">
        <v>1130.6291229850681</v>
      </c>
      <c r="K14" s="15">
        <v>892.04442017112694</v>
      </c>
      <c r="L14" s="15">
        <v>2363.8328530259364</v>
      </c>
      <c r="M14" s="15">
        <v>1194.1192047584127</v>
      </c>
      <c r="N14" s="16">
        <f t="shared" si="0"/>
        <v>14370.961647925284</v>
      </c>
      <c r="O14" s="16">
        <f t="shared" si="1"/>
        <v>1197.580137327107</v>
      </c>
      <c r="R14" s="1"/>
      <c r="S14" s="1"/>
      <c r="T14" s="1"/>
    </row>
    <row r="15" spans="1:20" x14ac:dyDescent="0.2">
      <c r="A15" t="s">
        <v>20</v>
      </c>
      <c r="B15" s="15">
        <v>1010.5019896990377</v>
      </c>
      <c r="C15" s="15">
        <v>719.11980736003238</v>
      </c>
      <c r="D15" s="15">
        <v>472.2815710997067</v>
      </c>
      <c r="E15" s="15">
        <v>364.44023454912826</v>
      </c>
      <c r="F15" s="15">
        <v>813.85955593323752</v>
      </c>
      <c r="G15" s="15">
        <v>1642.0746026261231</v>
      </c>
      <c r="H15" s="15">
        <v>2169.200136524596</v>
      </c>
      <c r="I15" s="15">
        <v>1194.0143993977847</v>
      </c>
      <c r="J15" s="15">
        <v>1128.0278554539468</v>
      </c>
      <c r="K15" s="15">
        <v>864.12443644852806</v>
      </c>
      <c r="L15" s="15">
        <v>1553.8836969946481</v>
      </c>
      <c r="M15" s="15">
        <v>1570.1245416768515</v>
      </c>
      <c r="N15" s="16">
        <f t="shared" si="0"/>
        <v>13501.652827763621</v>
      </c>
      <c r="O15" s="16">
        <f t="shared" si="1"/>
        <v>1125.1377356469684</v>
      </c>
      <c r="R15" s="1"/>
      <c r="S15" s="1"/>
      <c r="T15" s="1"/>
    </row>
    <row r="16" spans="1:20" x14ac:dyDescent="0.2">
      <c r="A16" t="s">
        <v>23</v>
      </c>
      <c r="B16" s="15">
        <v>688030.15980959509</v>
      </c>
      <c r="C16" s="15">
        <v>472255.04016872059</v>
      </c>
      <c r="D16" s="15">
        <v>408151.90203799406</v>
      </c>
      <c r="E16" s="15">
        <v>351009.39659172593</v>
      </c>
      <c r="F16" s="15">
        <v>489354.43490913854</v>
      </c>
      <c r="G16" s="15">
        <v>386324.49042483984</v>
      </c>
      <c r="H16" s="15">
        <v>455152.49050727417</v>
      </c>
      <c r="I16" s="15">
        <v>476347.07578341756</v>
      </c>
      <c r="J16" s="15">
        <v>368877.2429254704</v>
      </c>
      <c r="K16" s="15">
        <v>486657.88933990843</v>
      </c>
      <c r="L16" s="15">
        <v>444703.5372834701</v>
      </c>
      <c r="M16" s="15">
        <v>530396.38060457923</v>
      </c>
      <c r="N16" s="17">
        <f t="shared" si="0"/>
        <v>5557260.0403861338</v>
      </c>
      <c r="O16" s="17">
        <f t="shared" si="1"/>
        <v>463105.00336551113</v>
      </c>
      <c r="R16" s="1"/>
      <c r="S16" s="1"/>
      <c r="T16" s="1"/>
    </row>
    <row r="17" spans="1:20" x14ac:dyDescent="0.2">
      <c r="R17" s="1"/>
      <c r="S17" s="1"/>
      <c r="T17" s="1"/>
    </row>
    <row r="18" spans="1:20" x14ac:dyDescent="0.2">
      <c r="R18" s="1"/>
      <c r="S18" s="1"/>
      <c r="T18" s="1"/>
    </row>
    <row r="19" spans="1:20" x14ac:dyDescent="0.2">
      <c r="R19" s="1"/>
      <c r="S19" s="1"/>
      <c r="T19" s="1"/>
    </row>
    <row r="21" spans="1:20" x14ac:dyDescent="0.2">
      <c r="A21" s="3" t="s">
        <v>0</v>
      </c>
      <c r="B21" t="s">
        <v>1</v>
      </c>
    </row>
    <row r="22" spans="1:20" x14ac:dyDescent="0.2">
      <c r="A22" s="3" t="s">
        <v>7</v>
      </c>
      <c r="B22" t="s">
        <v>1</v>
      </c>
    </row>
    <row r="23" spans="1:20" x14ac:dyDescent="0.2">
      <c r="A23" s="3" t="s">
        <v>8</v>
      </c>
      <c r="B23" t="s">
        <v>1</v>
      </c>
    </row>
    <row r="24" spans="1:20" x14ac:dyDescent="0.2">
      <c r="A24" s="3" t="s">
        <v>9</v>
      </c>
      <c r="B24" t="s">
        <v>31</v>
      </c>
    </row>
    <row r="26" spans="1:20" x14ac:dyDescent="0.2">
      <c r="A26" s="3" t="s">
        <v>4</v>
      </c>
      <c r="B26" s="3" t="s">
        <v>5</v>
      </c>
    </row>
    <row r="27" spans="1:20" x14ac:dyDescent="0.2">
      <c r="A27" s="3" t="s">
        <v>2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t="s">
        <v>35</v>
      </c>
      <c r="O27" t="s">
        <v>293</v>
      </c>
    </row>
    <row r="28" spans="1:20" x14ac:dyDescent="0.2">
      <c r="A28" t="s">
        <v>32</v>
      </c>
      <c r="B28" s="15">
        <v>476290.50540204206</v>
      </c>
      <c r="C28" s="15">
        <v>313314.91841733776</v>
      </c>
      <c r="D28" s="15">
        <v>275868.5483454382</v>
      </c>
      <c r="E28" s="15">
        <v>231521.27189784832</v>
      </c>
      <c r="F28" s="15">
        <v>317170.05490913859</v>
      </c>
      <c r="G28" s="15">
        <v>288144.9442812716</v>
      </c>
      <c r="H28" s="15">
        <v>292127.49050727417</v>
      </c>
      <c r="I28" s="15">
        <v>299217.78578341735</v>
      </c>
      <c r="J28" s="15">
        <v>267600.2429254704</v>
      </c>
      <c r="K28" s="15">
        <v>356054.43933990842</v>
      </c>
      <c r="L28" s="15">
        <v>318274.53728346992</v>
      </c>
      <c r="M28" s="15">
        <v>334876.96060457896</v>
      </c>
      <c r="N28" s="4">
        <f>+SUM(B28:M28)</f>
        <v>3770461.6996971956</v>
      </c>
      <c r="O28" s="4">
        <f>+AVERAGE(B28:M28)</f>
        <v>314205.14164143294</v>
      </c>
    </row>
    <row r="29" spans="1:20" x14ac:dyDescent="0.2">
      <c r="A29" t="s">
        <v>33</v>
      </c>
      <c r="B29" s="15">
        <v>167140.16440755312</v>
      </c>
      <c r="C29" s="15">
        <v>109669.78175138264</v>
      </c>
      <c r="D29" s="15">
        <v>119903.77369255574</v>
      </c>
      <c r="E29" s="15">
        <v>98132.41</v>
      </c>
      <c r="F29" s="15">
        <v>125258.62999999999</v>
      </c>
      <c r="G29" s="15">
        <v>82824.806143568247</v>
      </c>
      <c r="H29" s="15">
        <v>139674</v>
      </c>
      <c r="I29" s="15">
        <v>152094.22000000003</v>
      </c>
      <c r="J29" s="15">
        <v>73594</v>
      </c>
      <c r="K29" s="15">
        <v>88148.450000000026</v>
      </c>
      <c r="L29" s="15">
        <v>112788</v>
      </c>
      <c r="M29" s="15">
        <v>159182.62</v>
      </c>
      <c r="N29" s="4">
        <f t="shared" ref="N29:N31" si="2">+SUM(B29:M29)</f>
        <v>1428410.8559950599</v>
      </c>
      <c r="O29" s="4">
        <f t="shared" ref="O29:O31" si="3">+AVERAGE(B29:M29)</f>
        <v>119034.23799958832</v>
      </c>
    </row>
    <row r="30" spans="1:20" x14ac:dyDescent="0.2">
      <c r="A30" t="s">
        <v>3</v>
      </c>
      <c r="B30" s="15">
        <v>44599.490000000005</v>
      </c>
      <c r="C30" s="15">
        <v>49270.340000000004</v>
      </c>
      <c r="D30" s="15">
        <v>12379.58</v>
      </c>
      <c r="E30" s="15">
        <v>21355.714693877551</v>
      </c>
      <c r="F30" s="15">
        <v>46925.75</v>
      </c>
      <c r="G30" s="15">
        <v>15354.74</v>
      </c>
      <c r="H30" s="15">
        <v>23351</v>
      </c>
      <c r="I30" s="15">
        <v>25035.07</v>
      </c>
      <c r="J30" s="15">
        <v>27683</v>
      </c>
      <c r="K30" s="15">
        <v>42455</v>
      </c>
      <c r="L30" s="15">
        <v>13641</v>
      </c>
      <c r="M30" s="15">
        <v>36336.800000000003</v>
      </c>
      <c r="N30" s="4">
        <f t="shared" si="2"/>
        <v>358387.48469387757</v>
      </c>
      <c r="O30" s="4">
        <f t="shared" si="3"/>
        <v>29865.623724489797</v>
      </c>
    </row>
    <row r="31" spans="1:20" x14ac:dyDescent="0.2">
      <c r="A31" t="s">
        <v>23</v>
      </c>
      <c r="B31" s="15">
        <v>688030.15980959521</v>
      </c>
      <c r="C31" s="15">
        <v>472255.04016872041</v>
      </c>
      <c r="D31" s="15">
        <v>408151.90203799395</v>
      </c>
      <c r="E31" s="15">
        <v>351009.39659172588</v>
      </c>
      <c r="F31" s="15">
        <v>489354.4349091386</v>
      </c>
      <c r="G31" s="15">
        <v>386324.49042483984</v>
      </c>
      <c r="H31" s="15">
        <v>455152.49050727417</v>
      </c>
      <c r="I31" s="15">
        <v>476347.07578341739</v>
      </c>
      <c r="J31" s="15">
        <v>368877.2429254704</v>
      </c>
      <c r="K31" s="15">
        <v>486657.88933990843</v>
      </c>
      <c r="L31" s="15">
        <v>444703.53728346992</v>
      </c>
      <c r="M31" s="15">
        <v>530396.380604579</v>
      </c>
      <c r="N31" s="119">
        <f t="shared" si="2"/>
        <v>5557260.0403861329</v>
      </c>
      <c r="O31" s="119">
        <f t="shared" si="3"/>
        <v>463105.00336551107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1B2A-2915-4916-AC43-BFD57EE10616}">
  <sheetPr>
    <tabColor theme="5"/>
  </sheetPr>
  <dimension ref="A1:T31"/>
  <sheetViews>
    <sheetView zoomScale="80" zoomScaleNormal="80" workbookViewId="0">
      <selection activeCell="V26" sqref="V26"/>
    </sheetView>
  </sheetViews>
  <sheetFormatPr baseColWidth="10" defaultRowHeight="15" x14ac:dyDescent="0.2"/>
  <cols>
    <col min="1" max="1" width="17.6640625" bestFit="1" customWidth="1"/>
    <col min="2" max="2" width="20.1640625" bestFit="1" customWidth="1"/>
    <col min="3" max="13" width="8.5" bestFit="1" customWidth="1"/>
    <col min="14" max="14" width="10.33203125" bestFit="1" customWidth="1"/>
    <col min="15" max="15" width="8.5" bestFit="1" customWidth="1"/>
    <col min="16" max="16" width="8.33203125" bestFit="1" customWidth="1"/>
    <col min="17" max="17" width="8.5" bestFit="1" customWidth="1"/>
    <col min="18" max="18" width="8.83203125" customWidth="1"/>
    <col min="19" max="19" width="8.83203125" bestFit="1" customWidth="1"/>
    <col min="20" max="20" width="6.33203125" bestFit="1" customWidth="1"/>
    <col min="21" max="21" width="13" bestFit="1" customWidth="1"/>
    <col min="22" max="31" width="7.83203125" bestFit="1" customWidth="1"/>
  </cols>
  <sheetData>
    <row r="1" spans="1:20" x14ac:dyDescent="0.2">
      <c r="A1" s="3" t="s">
        <v>0</v>
      </c>
      <c r="B1" t="s">
        <v>1</v>
      </c>
    </row>
    <row r="2" spans="1:20" x14ac:dyDescent="0.2">
      <c r="A2" s="3" t="s">
        <v>8</v>
      </c>
      <c r="B2" t="s">
        <v>1</v>
      </c>
    </row>
    <row r="3" spans="1:20" x14ac:dyDescent="0.2">
      <c r="A3" s="3" t="s">
        <v>9</v>
      </c>
      <c r="B3" t="s">
        <v>31</v>
      </c>
    </row>
    <row r="4" spans="1:20" x14ac:dyDescent="0.2">
      <c r="A4" s="3" t="s">
        <v>2</v>
      </c>
      <c r="B4" t="s">
        <v>31</v>
      </c>
    </row>
    <row r="6" spans="1:20" x14ac:dyDescent="0.2">
      <c r="A6" s="3" t="s">
        <v>4</v>
      </c>
      <c r="B6" s="3" t="s">
        <v>5</v>
      </c>
      <c r="R6" s="1"/>
      <c r="S6" s="1"/>
      <c r="T6" s="1"/>
    </row>
    <row r="7" spans="1:20" x14ac:dyDescent="0.2">
      <c r="A7" s="3" t="s">
        <v>7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s="94" t="s">
        <v>35</v>
      </c>
      <c r="O7" s="94" t="s">
        <v>293</v>
      </c>
      <c r="R7" s="1"/>
      <c r="S7" s="1"/>
      <c r="T7" s="1"/>
    </row>
    <row r="8" spans="1:20" x14ac:dyDescent="0.2">
      <c r="A8" t="s">
        <v>17</v>
      </c>
      <c r="B8" s="15">
        <v>302505.2644064232</v>
      </c>
      <c r="C8" s="15">
        <v>278500.60116096027</v>
      </c>
      <c r="D8" s="15">
        <v>288865.0014914627</v>
      </c>
      <c r="E8" s="15">
        <v>271765.17839345802</v>
      </c>
      <c r="F8" s="15">
        <v>312956.31121944432</v>
      </c>
      <c r="G8" s="15">
        <v>233211.48417415336</v>
      </c>
      <c r="H8" s="15">
        <v>335851.32426394348</v>
      </c>
      <c r="I8" s="15">
        <v>306407.84424821474</v>
      </c>
      <c r="J8" s="15">
        <v>272021.73518205492</v>
      </c>
      <c r="K8" s="15">
        <v>269052.92346555775</v>
      </c>
      <c r="L8" s="15">
        <v>275863.37652075774</v>
      </c>
      <c r="M8" s="1">
        <v>312827.46359126794</v>
      </c>
      <c r="N8" s="92">
        <f>+SUM(B8:M8)</f>
        <v>3459828.5081176981</v>
      </c>
      <c r="O8" s="92">
        <f>+AVERAGE(B8:M8)</f>
        <v>288319.04234314151</v>
      </c>
      <c r="R8" s="1"/>
      <c r="S8" s="1"/>
      <c r="T8" s="1"/>
    </row>
    <row r="9" spans="1:20" x14ac:dyDescent="0.2">
      <c r="A9" t="s">
        <v>18</v>
      </c>
      <c r="B9" s="15">
        <v>123393.41412586258</v>
      </c>
      <c r="C9" s="15">
        <v>95218.966663344952</v>
      </c>
      <c r="D9" s="15">
        <v>63271.157047647059</v>
      </c>
      <c r="E9" s="15">
        <v>9534.9992988309896</v>
      </c>
      <c r="F9" s="15">
        <v>90110.011598630517</v>
      </c>
      <c r="G9" s="15">
        <v>101187.93814098135</v>
      </c>
      <c r="H9" s="15">
        <v>53135.334511133704</v>
      </c>
      <c r="I9" s="15">
        <v>107301.64664650511</v>
      </c>
      <c r="J9" s="15">
        <v>31039.189392285676</v>
      </c>
      <c r="K9" s="15">
        <v>98333.949968307235</v>
      </c>
      <c r="L9" s="15">
        <v>78622.168996553402</v>
      </c>
      <c r="M9" s="1">
        <v>5188.671384830538</v>
      </c>
      <c r="N9" s="92">
        <f t="shared" ref="N9:N15" si="0">+SUM(B9:M9)</f>
        <v>856337.44777491305</v>
      </c>
      <c r="O9" s="92">
        <f t="shared" ref="O9:O16" si="1">+AVERAGE(B9:M9)</f>
        <v>71361.453981242754</v>
      </c>
      <c r="R9" s="1"/>
      <c r="S9" s="1"/>
      <c r="T9" s="1"/>
    </row>
    <row r="10" spans="1:20" x14ac:dyDescent="0.2">
      <c r="A10" t="s">
        <v>19</v>
      </c>
      <c r="B10" s="15">
        <v>46734.790283948358</v>
      </c>
      <c r="C10" s="15">
        <v>35698.196868571271</v>
      </c>
      <c r="D10" s="15">
        <v>25091.04502160387</v>
      </c>
      <c r="E10" s="15">
        <v>34665.022587828396</v>
      </c>
      <c r="F10" s="15">
        <v>46509.807575282175</v>
      </c>
      <c r="G10" s="15">
        <v>36712.330924326197</v>
      </c>
      <c r="H10" s="15">
        <v>41599.820470156585</v>
      </c>
      <c r="I10" s="15">
        <v>37109.385460802238</v>
      </c>
      <c r="J10" s="15">
        <v>43959.912903121323</v>
      </c>
      <c r="K10" s="15">
        <v>47609.466240455775</v>
      </c>
      <c r="L10" s="15">
        <v>42586.412927130506</v>
      </c>
      <c r="M10" s="1">
        <v>36316.39274476358</v>
      </c>
      <c r="N10" s="92">
        <f t="shared" si="0"/>
        <v>474592.58400799031</v>
      </c>
      <c r="O10" s="92">
        <f t="shared" si="1"/>
        <v>39549.382000665857</v>
      </c>
      <c r="R10" s="1"/>
      <c r="S10" s="1"/>
      <c r="T10" s="1"/>
    </row>
    <row r="11" spans="1:20" x14ac:dyDescent="0.2">
      <c r="A11" t="s">
        <v>22</v>
      </c>
      <c r="B11" s="15">
        <v>129398.17010191191</v>
      </c>
      <c r="C11" s="15">
        <v>40431.763937187861</v>
      </c>
      <c r="D11" s="15">
        <v>19643.364060830314</v>
      </c>
      <c r="E11" s="15">
        <v>12341.404103388877</v>
      </c>
      <c r="F11" s="15">
        <v>18451.805936010711</v>
      </c>
      <c r="G11" s="15">
        <v>6027.254232895647</v>
      </c>
      <c r="H11" s="15">
        <v>5082.7933346544096</v>
      </c>
      <c r="I11" s="15">
        <v>4927.1873319711804</v>
      </c>
      <c r="J11" s="15">
        <v>4719.149771650058</v>
      </c>
      <c r="K11" s="15">
        <v>29510.339200396767</v>
      </c>
      <c r="L11" s="15">
        <v>29568.390901605602</v>
      </c>
      <c r="M11" s="1">
        <v>3949.8842425333996</v>
      </c>
      <c r="N11" s="92">
        <f t="shared" si="0"/>
        <v>304051.50715503679</v>
      </c>
      <c r="O11" s="92">
        <f t="shared" si="1"/>
        <v>25337.625596253067</v>
      </c>
      <c r="R11" s="1"/>
      <c r="S11" s="1"/>
      <c r="T11" s="1"/>
    </row>
    <row r="12" spans="1:20" x14ac:dyDescent="0.2">
      <c r="A12" t="s">
        <v>21</v>
      </c>
      <c r="B12" s="15">
        <v>70940.379610568387</v>
      </c>
      <c r="C12" s="15">
        <v>15541.722628913061</v>
      </c>
      <c r="D12" s="15">
        <v>6425.169713305715</v>
      </c>
      <c r="E12" s="15">
        <v>19654.064265627931</v>
      </c>
      <c r="F12" s="15">
        <v>11217.310658473874</v>
      </c>
      <c r="G12" s="15">
        <v>6643.9180250471682</v>
      </c>
      <c r="H12" s="15">
        <v>10766.462434404199</v>
      </c>
      <c r="I12" s="15">
        <v>12765.451293687494</v>
      </c>
      <c r="J12" s="15">
        <v>12095.977046242213</v>
      </c>
      <c r="K12" s="15">
        <v>8598.2621459397524</v>
      </c>
      <c r="L12" s="15">
        <v>1440.6731165088513</v>
      </c>
      <c r="M12" s="1">
        <v>8082</v>
      </c>
      <c r="N12" s="92">
        <f t="shared" si="0"/>
        <v>184171.39093871863</v>
      </c>
      <c r="O12" s="92">
        <f t="shared" si="1"/>
        <v>15347.615911559886</v>
      </c>
      <c r="R12" s="1"/>
      <c r="S12" s="1"/>
      <c r="T12" s="1"/>
    </row>
    <row r="13" spans="1:20" x14ac:dyDescent="0.2">
      <c r="A13" t="s">
        <v>30</v>
      </c>
      <c r="B13" s="15">
        <v>12901.351336468462</v>
      </c>
      <c r="C13" s="15">
        <v>5280.0589554097814</v>
      </c>
      <c r="D13" s="15">
        <v>2662.6842850206112</v>
      </c>
      <c r="E13" s="15">
        <v>2684.2877080425774</v>
      </c>
      <c r="F13" s="15">
        <v>6920.8513095393737</v>
      </c>
      <c r="G13" s="15">
        <v>0</v>
      </c>
      <c r="H13" s="15">
        <v>5659.0788856179879</v>
      </c>
      <c r="I13" s="15">
        <v>5745.7511560382836</v>
      </c>
      <c r="J13" s="15">
        <v>2782.6216516772652</v>
      </c>
      <c r="K13" s="15">
        <v>2759.9747271928982</v>
      </c>
      <c r="L13" s="15">
        <v>13346.370934540962</v>
      </c>
      <c r="M13" s="1">
        <v>3260.6503014186274</v>
      </c>
      <c r="N13" s="92">
        <f t="shared" si="0"/>
        <v>64003.681250966838</v>
      </c>
      <c r="O13" s="92">
        <f t="shared" si="1"/>
        <v>5333.6401042472362</v>
      </c>
      <c r="R13" s="1"/>
      <c r="S13" s="1"/>
      <c r="T13" s="1"/>
    </row>
    <row r="14" spans="1:20" x14ac:dyDescent="0.2">
      <c r="A14" t="s">
        <v>29</v>
      </c>
      <c r="B14" s="15">
        <v>1146.2879547131577</v>
      </c>
      <c r="C14" s="15">
        <v>864.61014697334542</v>
      </c>
      <c r="D14" s="15">
        <v>1721.1988470240617</v>
      </c>
      <c r="E14" s="15">
        <v>0</v>
      </c>
      <c r="F14" s="15">
        <v>2374.4770558242908</v>
      </c>
      <c r="G14" s="15">
        <v>899.49032480995163</v>
      </c>
      <c r="H14" s="15">
        <v>888.47647083919969</v>
      </c>
      <c r="I14" s="15">
        <v>895.79524680073132</v>
      </c>
      <c r="J14" s="15">
        <v>1130.6291229850681</v>
      </c>
      <c r="K14" s="15">
        <v>892.04442017112694</v>
      </c>
      <c r="L14" s="15">
        <v>2363.8328530259364</v>
      </c>
      <c r="M14" s="1">
        <v>882.53679002404988</v>
      </c>
      <c r="N14" s="92">
        <f t="shared" si="0"/>
        <v>14059.379233190921</v>
      </c>
      <c r="O14" s="92">
        <f t="shared" si="1"/>
        <v>1171.6149360992433</v>
      </c>
      <c r="R14" s="1"/>
      <c r="S14" s="1"/>
      <c r="T14" s="1"/>
    </row>
    <row r="15" spans="1:20" x14ac:dyDescent="0.2">
      <c r="A15" t="s">
        <v>20</v>
      </c>
      <c r="B15" s="15">
        <v>1010.5019896990377</v>
      </c>
      <c r="C15" s="15">
        <v>719.11980736003238</v>
      </c>
      <c r="D15" s="15">
        <v>472.2815710997067</v>
      </c>
      <c r="E15" s="15">
        <v>364.44023454912826</v>
      </c>
      <c r="F15" s="15">
        <v>813.85955593323752</v>
      </c>
      <c r="G15" s="15">
        <v>1642.0746026261231</v>
      </c>
      <c r="H15" s="15">
        <v>2169.200136524596</v>
      </c>
      <c r="I15" s="15">
        <v>1194.0143993977847</v>
      </c>
      <c r="J15" s="15">
        <v>1128.0278554539468</v>
      </c>
      <c r="K15" s="15">
        <v>864.12443644852806</v>
      </c>
      <c r="L15" s="15">
        <v>1479.8836969946481</v>
      </c>
      <c r="M15" s="1">
        <v>779.89358704058827</v>
      </c>
      <c r="N15" s="92">
        <f t="shared" si="0"/>
        <v>12637.421873127358</v>
      </c>
      <c r="O15" s="92">
        <f t="shared" si="1"/>
        <v>1053.1184894272799</v>
      </c>
      <c r="R15" s="1"/>
      <c r="S15" s="1"/>
      <c r="T15" s="1"/>
    </row>
    <row r="16" spans="1:20" x14ac:dyDescent="0.2">
      <c r="A16" t="s">
        <v>23</v>
      </c>
      <c r="B16" s="15">
        <v>688030.15980959509</v>
      </c>
      <c r="C16" s="15">
        <v>472255.04016872059</v>
      </c>
      <c r="D16" s="15">
        <v>408151.90203799406</v>
      </c>
      <c r="E16" s="15">
        <v>351009.39659172593</v>
      </c>
      <c r="F16" s="15">
        <v>489354.43490913854</v>
      </c>
      <c r="G16" s="15">
        <v>386324.49042483984</v>
      </c>
      <c r="H16" s="15">
        <v>455152.49050727417</v>
      </c>
      <c r="I16" s="15">
        <v>476347.07578341756</v>
      </c>
      <c r="J16" s="15">
        <v>368877.2429254704</v>
      </c>
      <c r="K16" s="15">
        <v>457621.08460446983</v>
      </c>
      <c r="L16" s="15">
        <v>445271.10994711769</v>
      </c>
      <c r="M16" s="1">
        <v>371287.49264187872</v>
      </c>
      <c r="N16" s="93">
        <f>+SUM(B16:M16)</f>
        <v>5369681.9203516422</v>
      </c>
      <c r="O16" s="93">
        <f t="shared" si="1"/>
        <v>447473.49336263683</v>
      </c>
      <c r="R16" s="1"/>
      <c r="S16" s="1"/>
      <c r="T16" s="1"/>
    </row>
    <row r="17" spans="1:20" x14ac:dyDescent="0.2">
      <c r="R17" s="1"/>
      <c r="S17" s="1"/>
      <c r="T17" s="1"/>
    </row>
    <row r="18" spans="1:20" x14ac:dyDescent="0.2">
      <c r="R18" s="1"/>
      <c r="S18" s="1"/>
      <c r="T18" s="1"/>
    </row>
    <row r="19" spans="1:20" x14ac:dyDescent="0.2">
      <c r="R19" s="1"/>
      <c r="S19" s="1"/>
      <c r="T19" s="1"/>
    </row>
    <row r="21" spans="1:20" x14ac:dyDescent="0.2">
      <c r="A21" s="3" t="s">
        <v>0</v>
      </c>
      <c r="B21" t="s">
        <v>1</v>
      </c>
    </row>
    <row r="22" spans="1:20" x14ac:dyDescent="0.2">
      <c r="A22" s="3" t="s">
        <v>7</v>
      </c>
      <c r="B22" t="s">
        <v>1</v>
      </c>
    </row>
    <row r="23" spans="1:20" x14ac:dyDescent="0.2">
      <c r="A23" s="3" t="s">
        <v>8</v>
      </c>
      <c r="B23" t="s">
        <v>1</v>
      </c>
    </row>
    <row r="24" spans="1:20" x14ac:dyDescent="0.2">
      <c r="A24" s="3" t="s">
        <v>9</v>
      </c>
      <c r="B24" t="s">
        <v>31</v>
      </c>
    </row>
    <row r="26" spans="1:20" x14ac:dyDescent="0.2">
      <c r="A26" s="3" t="s">
        <v>4</v>
      </c>
      <c r="B26" s="3" t="s">
        <v>5</v>
      </c>
    </row>
    <row r="27" spans="1:20" x14ac:dyDescent="0.2">
      <c r="A27" s="3" t="s">
        <v>2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s="94" t="s">
        <v>35</v>
      </c>
      <c r="O27" s="94" t="s">
        <v>293</v>
      </c>
    </row>
    <row r="28" spans="1:20" x14ac:dyDescent="0.2">
      <c r="A28" t="s">
        <v>32</v>
      </c>
      <c r="B28" s="15">
        <v>476290.50540204206</v>
      </c>
      <c r="C28" s="15">
        <v>313314.91841733776</v>
      </c>
      <c r="D28" s="15">
        <v>275868.5483454382</v>
      </c>
      <c r="E28" s="15">
        <v>231521.27189784832</v>
      </c>
      <c r="F28" s="15">
        <v>317170.05490913859</v>
      </c>
      <c r="G28" s="15">
        <v>288144.9442812716</v>
      </c>
      <c r="H28" s="15">
        <v>292127.49050727417</v>
      </c>
      <c r="I28" s="15">
        <v>299217.78578341735</v>
      </c>
      <c r="J28" s="15">
        <v>267600.2429254704</v>
      </c>
      <c r="K28" s="15">
        <v>327140.63460446976</v>
      </c>
      <c r="L28" s="15">
        <v>318916.10994711751</v>
      </c>
      <c r="M28" s="1">
        <v>239929.62908027592</v>
      </c>
      <c r="N28" s="92">
        <f>+SUM(B28:M28)</f>
        <v>3647242.1361011015</v>
      </c>
      <c r="O28" s="92">
        <f>+AVERAGE(B28:M28)</f>
        <v>303936.84467509179</v>
      </c>
    </row>
    <row r="29" spans="1:20" x14ac:dyDescent="0.2">
      <c r="A29" t="s">
        <v>33</v>
      </c>
      <c r="B29" s="15">
        <v>167140.16440755312</v>
      </c>
      <c r="C29" s="15">
        <v>109669.78175138264</v>
      </c>
      <c r="D29" s="15">
        <v>119903.77369255574</v>
      </c>
      <c r="E29" s="15">
        <v>98132.41</v>
      </c>
      <c r="F29" s="15">
        <v>125258.62999999999</v>
      </c>
      <c r="G29" s="15">
        <v>82824.806143568247</v>
      </c>
      <c r="H29" s="15">
        <v>139674</v>
      </c>
      <c r="I29" s="15">
        <v>152094.22000000003</v>
      </c>
      <c r="J29" s="15">
        <v>73594</v>
      </c>
      <c r="K29" s="15">
        <v>88148.450000000026</v>
      </c>
      <c r="L29" s="15">
        <v>112714</v>
      </c>
      <c r="M29" s="1">
        <v>113440.8635616027</v>
      </c>
      <c r="N29" s="92">
        <f t="shared" ref="N29:N31" si="2">+SUM(B29:M29)</f>
        <v>1382595.0995566626</v>
      </c>
      <c r="O29" s="92">
        <f t="shared" ref="O29:O31" si="3">+AVERAGE(B29:M29)</f>
        <v>115216.25829638855</v>
      </c>
    </row>
    <row r="30" spans="1:20" x14ac:dyDescent="0.2">
      <c r="A30" t="s">
        <v>3</v>
      </c>
      <c r="B30" s="15">
        <v>44599.49</v>
      </c>
      <c r="C30" s="15">
        <v>49270.340000000004</v>
      </c>
      <c r="D30" s="15">
        <v>12379.58</v>
      </c>
      <c r="E30" s="15">
        <v>21355.714693877551</v>
      </c>
      <c r="F30" s="15">
        <v>46925.75</v>
      </c>
      <c r="G30" s="15">
        <v>15354.74</v>
      </c>
      <c r="H30" s="15">
        <v>23351</v>
      </c>
      <c r="I30" s="15">
        <v>25035.07</v>
      </c>
      <c r="J30" s="15">
        <v>27683</v>
      </c>
      <c r="K30" s="15">
        <v>42332</v>
      </c>
      <c r="L30" s="15">
        <v>13641</v>
      </c>
      <c r="M30" s="1">
        <v>17917</v>
      </c>
      <c r="N30" s="92">
        <f t="shared" si="2"/>
        <v>339844.68469387759</v>
      </c>
      <c r="O30" s="92">
        <f t="shared" si="3"/>
        <v>28320.390391156467</v>
      </c>
    </row>
    <row r="31" spans="1:20" x14ac:dyDescent="0.2">
      <c r="A31" t="s">
        <v>23</v>
      </c>
      <c r="B31" s="15">
        <v>688030.15980959521</v>
      </c>
      <c r="C31" s="15">
        <v>472255.04016872041</v>
      </c>
      <c r="D31" s="15">
        <v>408151.90203799395</v>
      </c>
      <c r="E31" s="15">
        <v>351009.39659172588</v>
      </c>
      <c r="F31" s="15">
        <v>489354.4349091386</v>
      </c>
      <c r="G31" s="15">
        <v>386324.49042483984</v>
      </c>
      <c r="H31" s="15">
        <v>455152.49050727417</v>
      </c>
      <c r="I31" s="15">
        <v>476347.07578341739</v>
      </c>
      <c r="J31" s="15">
        <v>368877.2429254704</v>
      </c>
      <c r="K31" s="15">
        <v>457621.08460446977</v>
      </c>
      <c r="L31" s="15">
        <v>445271.10994711751</v>
      </c>
      <c r="M31" s="1">
        <v>371287.49264187861</v>
      </c>
      <c r="N31" s="93">
        <f t="shared" si="2"/>
        <v>5369681.9203516403</v>
      </c>
      <c r="O31" s="93">
        <f t="shared" si="3"/>
        <v>447473.49336263671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1CBA-C619-4BC3-B7E9-F97E7581A510}">
  <dimension ref="A1:T31"/>
  <sheetViews>
    <sheetView showGridLines="0" zoomScale="80" zoomScaleNormal="80" workbookViewId="0">
      <selection activeCell="N27" sqref="N27:O31"/>
    </sheetView>
  </sheetViews>
  <sheetFormatPr baseColWidth="10" defaultRowHeight="15" x14ac:dyDescent="0.2"/>
  <cols>
    <col min="1" max="1" width="17.5" bestFit="1" customWidth="1"/>
    <col min="2" max="2" width="20" bestFit="1" customWidth="1"/>
    <col min="3" max="13" width="8.5" bestFit="1" customWidth="1"/>
    <col min="14" max="14" width="10.33203125" bestFit="1" customWidth="1"/>
    <col min="15" max="17" width="8.5" bestFit="1" customWidth="1"/>
    <col min="18" max="18" width="8.83203125" customWidth="1"/>
    <col min="19" max="19" width="8.83203125" bestFit="1" customWidth="1"/>
    <col min="20" max="20" width="6.33203125" bestFit="1" customWidth="1"/>
    <col min="21" max="21" width="13" bestFit="1" customWidth="1"/>
    <col min="22" max="31" width="7.83203125" bestFit="1" customWidth="1"/>
  </cols>
  <sheetData>
    <row r="1" spans="1:20" x14ac:dyDescent="0.2">
      <c r="A1" s="3" t="s">
        <v>0</v>
      </c>
      <c r="B1" t="s">
        <v>1</v>
      </c>
    </row>
    <row r="2" spans="1:20" x14ac:dyDescent="0.2">
      <c r="A2" s="3" t="s">
        <v>8</v>
      </c>
      <c r="B2" t="s">
        <v>1</v>
      </c>
    </row>
    <row r="3" spans="1:20" x14ac:dyDescent="0.2">
      <c r="A3" s="3" t="s">
        <v>9</v>
      </c>
      <c r="B3" t="s">
        <v>31</v>
      </c>
    </row>
    <row r="4" spans="1:20" x14ac:dyDescent="0.2">
      <c r="A4" s="3" t="s">
        <v>2</v>
      </c>
      <c r="B4" t="s">
        <v>31</v>
      </c>
    </row>
    <row r="6" spans="1:20" x14ac:dyDescent="0.2">
      <c r="A6" s="3" t="s">
        <v>4</v>
      </c>
      <c r="B6" s="3" t="s">
        <v>5</v>
      </c>
      <c r="R6" s="1"/>
      <c r="S6" s="1"/>
      <c r="T6" s="1"/>
    </row>
    <row r="7" spans="1:20" x14ac:dyDescent="0.2">
      <c r="A7" s="3" t="s">
        <v>7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s="94" t="s">
        <v>35</v>
      </c>
      <c r="O7" s="94" t="s">
        <v>293</v>
      </c>
      <c r="R7" s="1"/>
      <c r="S7" s="1"/>
      <c r="T7" s="1"/>
    </row>
    <row r="8" spans="1:20" x14ac:dyDescent="0.2">
      <c r="A8" t="s">
        <v>17</v>
      </c>
      <c r="B8" s="15">
        <v>302505.2644064232</v>
      </c>
      <c r="C8" s="15">
        <v>278500.60116096027</v>
      </c>
      <c r="D8" s="15">
        <v>288865.0014914627</v>
      </c>
      <c r="E8" s="15">
        <v>271765.17839345802</v>
      </c>
      <c r="F8" s="15">
        <v>312956.31121944432</v>
      </c>
      <c r="G8" s="15">
        <v>233211.48417415336</v>
      </c>
      <c r="H8" s="15">
        <v>335851.32426394348</v>
      </c>
      <c r="I8" s="15">
        <v>306407.84424821474</v>
      </c>
      <c r="J8" s="15">
        <v>272021.73518205492</v>
      </c>
      <c r="K8" s="15">
        <v>269052.92346555775</v>
      </c>
      <c r="L8" s="1">
        <v>258876.35359822505</v>
      </c>
      <c r="M8" s="1">
        <v>300252.03864251933</v>
      </c>
      <c r="N8" s="92">
        <f>+SUM(B8:M8)</f>
        <v>3430266.0602464168</v>
      </c>
      <c r="O8" s="92">
        <f>+AVERAGE(B8:M8)</f>
        <v>285855.50502053474</v>
      </c>
      <c r="R8" s="1"/>
      <c r="S8" s="1"/>
      <c r="T8" s="1"/>
    </row>
    <row r="9" spans="1:20" x14ac:dyDescent="0.2">
      <c r="A9" t="s">
        <v>18</v>
      </c>
      <c r="B9" s="15">
        <v>123393.41412586258</v>
      </c>
      <c r="C9" s="15">
        <v>95218.966663344952</v>
      </c>
      <c r="D9" s="15">
        <v>63271.157047647059</v>
      </c>
      <c r="E9" s="15">
        <v>9534.9992988309896</v>
      </c>
      <c r="F9" s="15">
        <v>90110.011598630517</v>
      </c>
      <c r="G9" s="15">
        <v>101187.93814098135</v>
      </c>
      <c r="H9" s="15">
        <v>53135.334511133704</v>
      </c>
      <c r="I9" s="15">
        <v>107301.64664650511</v>
      </c>
      <c r="J9" s="15">
        <v>31039.189392285676</v>
      </c>
      <c r="K9" s="15">
        <v>98333.949968307235</v>
      </c>
      <c r="L9" s="1">
        <v>4140.9520307106677</v>
      </c>
      <c r="M9" s="1">
        <v>4140.9520307106677</v>
      </c>
      <c r="N9" s="92">
        <f t="shared" ref="N9:N15" si="0">+SUM(B9:M9)</f>
        <v>780808.51145495044</v>
      </c>
      <c r="O9" s="92">
        <f t="shared" ref="O9:O16" si="1">+AVERAGE(B9:M9)</f>
        <v>65067.375954579205</v>
      </c>
      <c r="R9" s="1"/>
      <c r="S9" s="1"/>
      <c r="T9" s="1"/>
    </row>
    <row r="10" spans="1:20" x14ac:dyDescent="0.2">
      <c r="A10" t="s">
        <v>19</v>
      </c>
      <c r="B10" s="15">
        <v>46734.790283948365</v>
      </c>
      <c r="C10" s="15">
        <v>35698.196868571271</v>
      </c>
      <c r="D10" s="15">
        <v>25091.04502160387</v>
      </c>
      <c r="E10" s="15">
        <v>34665.022587828396</v>
      </c>
      <c r="F10" s="15">
        <v>76691.807575282175</v>
      </c>
      <c r="G10" s="15">
        <v>36712.330924326197</v>
      </c>
      <c r="H10" s="15">
        <v>41599.820470156585</v>
      </c>
      <c r="I10" s="15">
        <v>37109.385460802238</v>
      </c>
      <c r="J10" s="15">
        <v>43959.912903121316</v>
      </c>
      <c r="K10" s="15">
        <v>47609.466240455775</v>
      </c>
      <c r="L10" s="1">
        <v>40818.029581599403</v>
      </c>
      <c r="M10" s="1">
        <v>37699.649418798457</v>
      </c>
      <c r="N10" s="92">
        <f t="shared" si="0"/>
        <v>504389.45733649406</v>
      </c>
      <c r="O10" s="92">
        <f t="shared" si="1"/>
        <v>42032.454778041174</v>
      </c>
      <c r="R10" s="1"/>
      <c r="S10" s="1"/>
      <c r="T10" s="1"/>
    </row>
    <row r="11" spans="1:20" x14ac:dyDescent="0.2">
      <c r="A11" t="s">
        <v>22</v>
      </c>
      <c r="B11" s="15">
        <v>129398.17010191191</v>
      </c>
      <c r="C11" s="15">
        <v>40431.763937187861</v>
      </c>
      <c r="D11" s="15">
        <v>19643.364060830314</v>
      </c>
      <c r="E11" s="15">
        <v>12341.404103388877</v>
      </c>
      <c r="F11" s="15">
        <v>18451.805936010711</v>
      </c>
      <c r="G11" s="15">
        <v>6027.254232895647</v>
      </c>
      <c r="H11" s="15">
        <v>5082.7933346544096</v>
      </c>
      <c r="I11" s="15">
        <v>4927.1873319711804</v>
      </c>
      <c r="J11" s="15">
        <v>4719.149771650058</v>
      </c>
      <c r="K11" s="15">
        <v>29510.339200396767</v>
      </c>
      <c r="L11" s="1">
        <v>4002.1661343914316</v>
      </c>
      <c r="M11" s="1">
        <v>4002.1661343914316</v>
      </c>
      <c r="N11" s="92">
        <f t="shared" si="0"/>
        <v>278537.56427968066</v>
      </c>
      <c r="O11" s="92">
        <f t="shared" si="1"/>
        <v>23211.463689973389</v>
      </c>
      <c r="R11" s="1"/>
      <c r="S11" s="1"/>
      <c r="T11" s="1"/>
    </row>
    <row r="12" spans="1:20" x14ac:dyDescent="0.2">
      <c r="A12" t="s">
        <v>21</v>
      </c>
      <c r="B12" s="15">
        <v>70940.379610568401</v>
      </c>
      <c r="C12" s="15">
        <v>15541.722628913061</v>
      </c>
      <c r="D12" s="15">
        <v>6425.169713305715</v>
      </c>
      <c r="E12" s="15">
        <v>19654.064265627931</v>
      </c>
      <c r="F12" s="15">
        <v>11217.310658473873</v>
      </c>
      <c r="G12" s="15">
        <v>6643.9180250471682</v>
      </c>
      <c r="H12" s="15">
        <v>10766.462434404199</v>
      </c>
      <c r="I12" s="15">
        <v>12765.451293687493</v>
      </c>
      <c r="J12" s="15">
        <v>12095.977046242213</v>
      </c>
      <c r="K12" s="15">
        <v>8598.2621459397524</v>
      </c>
      <c r="L12" s="1">
        <v>8082</v>
      </c>
      <c r="M12" s="1">
        <v>8082</v>
      </c>
      <c r="N12" s="92">
        <f t="shared" si="0"/>
        <v>190812.71782220982</v>
      </c>
      <c r="O12" s="92">
        <f t="shared" si="1"/>
        <v>15901.059818517484</v>
      </c>
      <c r="R12" s="1"/>
      <c r="S12" s="1"/>
      <c r="T12" s="1"/>
    </row>
    <row r="13" spans="1:20" x14ac:dyDescent="0.2">
      <c r="A13" t="s">
        <v>30</v>
      </c>
      <c r="B13" s="15">
        <v>12901.351336468462</v>
      </c>
      <c r="C13" s="15">
        <v>5280.0589554097814</v>
      </c>
      <c r="D13" s="15">
        <v>2662.6842850206112</v>
      </c>
      <c r="E13" s="15">
        <v>2684.2877080425774</v>
      </c>
      <c r="F13" s="15">
        <v>6920.8513095393737</v>
      </c>
      <c r="G13" s="15">
        <v>0</v>
      </c>
      <c r="H13" s="15">
        <v>5659.0788856179879</v>
      </c>
      <c r="I13" s="15">
        <v>5745.7511560382836</v>
      </c>
      <c r="J13" s="15">
        <v>2782.6216516772652</v>
      </c>
      <c r="K13" s="15">
        <v>2759.9747271928982</v>
      </c>
      <c r="L13" s="1">
        <v>3309.3863242900306</v>
      </c>
      <c r="M13" s="1">
        <v>3309.3863242900306</v>
      </c>
      <c r="N13" s="92">
        <f t="shared" si="0"/>
        <v>54015.432663587308</v>
      </c>
      <c r="O13" s="92">
        <f t="shared" si="1"/>
        <v>4501.2860552989423</v>
      </c>
      <c r="R13" s="1"/>
      <c r="S13" s="1"/>
      <c r="T13" s="1"/>
    </row>
    <row r="14" spans="1:20" x14ac:dyDescent="0.2">
      <c r="A14" t="s">
        <v>29</v>
      </c>
      <c r="B14" s="15">
        <v>1146.2879547131577</v>
      </c>
      <c r="C14" s="15">
        <v>864.61014697334542</v>
      </c>
      <c r="D14" s="15">
        <v>1721.1988470240617</v>
      </c>
      <c r="E14" s="15">
        <v>0</v>
      </c>
      <c r="F14" s="15">
        <v>2374.4770558242908</v>
      </c>
      <c r="G14" s="15">
        <v>899.49032480995163</v>
      </c>
      <c r="H14" s="15">
        <v>888.47647083919969</v>
      </c>
      <c r="I14" s="15">
        <v>895.79524680073132</v>
      </c>
      <c r="J14" s="15">
        <v>1130.6291229850681</v>
      </c>
      <c r="K14" s="15">
        <v>892.04442017112694</v>
      </c>
      <c r="L14" s="1">
        <v>895.72781917696273</v>
      </c>
      <c r="M14" s="1">
        <v>895.72781917696273</v>
      </c>
      <c r="N14" s="92">
        <f t="shared" si="0"/>
        <v>12604.465228494857</v>
      </c>
      <c r="O14" s="92">
        <f t="shared" si="1"/>
        <v>1050.3721023745713</v>
      </c>
      <c r="R14" s="1"/>
      <c r="S14" s="1"/>
      <c r="T14" s="1"/>
    </row>
    <row r="15" spans="1:20" x14ac:dyDescent="0.2">
      <c r="A15" t="s">
        <v>20</v>
      </c>
      <c r="B15" s="15">
        <v>1010.5019896990377</v>
      </c>
      <c r="C15" s="15">
        <v>719.11980736003238</v>
      </c>
      <c r="D15" s="15">
        <v>472.2815710997067</v>
      </c>
      <c r="E15" s="15">
        <v>364.44023454912826</v>
      </c>
      <c r="F15" s="15">
        <v>813.85955593323752</v>
      </c>
      <c r="G15" s="15">
        <v>1642.0746026261231</v>
      </c>
      <c r="H15" s="15">
        <v>2169.200136524596</v>
      </c>
      <c r="I15" s="15">
        <v>1194.0143993977847</v>
      </c>
      <c r="J15" s="15">
        <v>1128.0278554539468</v>
      </c>
      <c r="K15" s="15">
        <v>864.12443644852806</v>
      </c>
      <c r="L15" s="1">
        <v>799.06070088282422</v>
      </c>
      <c r="M15" s="1">
        <v>799.06070088282422</v>
      </c>
      <c r="N15" s="92">
        <f t="shared" si="0"/>
        <v>11975.765990857772</v>
      </c>
      <c r="O15" s="92">
        <f t="shared" si="1"/>
        <v>997.98049923814767</v>
      </c>
      <c r="R15" s="1"/>
      <c r="S15" s="1"/>
      <c r="T15" s="1"/>
    </row>
    <row r="16" spans="1:20" x14ac:dyDescent="0.2">
      <c r="A16" t="s">
        <v>23</v>
      </c>
      <c r="B16" s="15">
        <v>688030.15980959509</v>
      </c>
      <c r="C16" s="15">
        <v>472255.04016872059</v>
      </c>
      <c r="D16" s="15">
        <v>408151.90203799406</v>
      </c>
      <c r="E16" s="15">
        <v>351009.39659172593</v>
      </c>
      <c r="F16" s="15">
        <v>519536.43490913854</v>
      </c>
      <c r="G16" s="15">
        <v>386324.49042483984</v>
      </c>
      <c r="H16" s="15">
        <v>455152.49050727417</v>
      </c>
      <c r="I16" s="15">
        <v>476347.07578341756</v>
      </c>
      <c r="J16" s="15">
        <v>368877.2429254704</v>
      </c>
      <c r="K16" s="15">
        <v>457621.08460446983</v>
      </c>
      <c r="L16" s="1">
        <v>320923.67618927633</v>
      </c>
      <c r="M16" s="1">
        <v>359180.98107076966</v>
      </c>
      <c r="N16" s="93">
        <f>+SUM(B16:M16)</f>
        <v>5263409.9750226922</v>
      </c>
      <c r="O16" s="93">
        <f t="shared" si="1"/>
        <v>438617.49791855767</v>
      </c>
      <c r="R16" s="1"/>
      <c r="S16" s="1"/>
      <c r="T16" s="1"/>
    </row>
    <row r="17" spans="1:20" x14ac:dyDescent="0.2">
      <c r="R17" s="1"/>
      <c r="S17" s="1"/>
      <c r="T17" s="1"/>
    </row>
    <row r="18" spans="1:20" x14ac:dyDescent="0.2">
      <c r="R18" s="1"/>
      <c r="S18" s="1"/>
      <c r="T18" s="1"/>
    </row>
    <row r="19" spans="1:20" x14ac:dyDescent="0.2">
      <c r="R19" s="1"/>
      <c r="S19" s="1"/>
      <c r="T19" s="1"/>
    </row>
    <row r="21" spans="1:20" x14ac:dyDescent="0.2">
      <c r="A21" s="3" t="s">
        <v>0</v>
      </c>
      <c r="B21" t="s">
        <v>1</v>
      </c>
    </row>
    <row r="22" spans="1:20" x14ac:dyDescent="0.2">
      <c r="A22" s="3" t="s">
        <v>7</v>
      </c>
      <c r="B22" t="s">
        <v>1</v>
      </c>
    </row>
    <row r="23" spans="1:20" x14ac:dyDescent="0.2">
      <c r="A23" s="3" t="s">
        <v>8</v>
      </c>
      <c r="B23" t="s">
        <v>1</v>
      </c>
    </row>
    <row r="24" spans="1:20" x14ac:dyDescent="0.2">
      <c r="A24" s="3" t="s">
        <v>9</v>
      </c>
      <c r="B24" t="s">
        <v>31</v>
      </c>
    </row>
    <row r="26" spans="1:20" x14ac:dyDescent="0.2">
      <c r="A26" s="3" t="s">
        <v>4</v>
      </c>
      <c r="B26" s="3" t="s">
        <v>5</v>
      </c>
    </row>
    <row r="27" spans="1:20" x14ac:dyDescent="0.2">
      <c r="A27" s="3" t="s">
        <v>2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s="94" t="s">
        <v>35</v>
      </c>
      <c r="O27" s="94" t="s">
        <v>293</v>
      </c>
    </row>
    <row r="28" spans="1:20" x14ac:dyDescent="0.2">
      <c r="A28" t="s">
        <v>32</v>
      </c>
      <c r="B28" s="15">
        <v>476290.50540204206</v>
      </c>
      <c r="C28" s="15">
        <v>313314.91841733776</v>
      </c>
      <c r="D28" s="15">
        <v>275868.5483454382</v>
      </c>
      <c r="E28" s="15">
        <v>231521.27189784832</v>
      </c>
      <c r="F28" s="15">
        <v>317170.05490913859</v>
      </c>
      <c r="G28" s="15">
        <v>288144.9442812716</v>
      </c>
      <c r="H28" s="15">
        <v>292127.49050727417</v>
      </c>
      <c r="I28" s="15">
        <v>299217.78578341735</v>
      </c>
      <c r="J28" s="15">
        <v>267600.2429254704</v>
      </c>
      <c r="K28" s="15">
        <v>327140.63460446976</v>
      </c>
      <c r="L28" s="1">
        <v>216906.80774648639</v>
      </c>
      <c r="M28" s="1">
        <v>232176.11750916694</v>
      </c>
      <c r="N28" s="92">
        <f>+SUM(B28:M28)</f>
        <v>3537479.322329361</v>
      </c>
      <c r="O28" s="92">
        <f>+AVERAGE(B28:M28)</f>
        <v>294789.94352744677</v>
      </c>
    </row>
    <row r="29" spans="1:20" x14ac:dyDescent="0.2">
      <c r="A29" t="s">
        <v>33</v>
      </c>
      <c r="B29" s="15">
        <v>167140.16440755312</v>
      </c>
      <c r="C29" s="15">
        <v>109669.78175138264</v>
      </c>
      <c r="D29" s="15">
        <v>119903.77369255574</v>
      </c>
      <c r="E29" s="15">
        <v>98132.41</v>
      </c>
      <c r="F29" s="15">
        <v>155440.63</v>
      </c>
      <c r="G29" s="15">
        <v>82824.806143568247</v>
      </c>
      <c r="H29" s="15">
        <v>139674</v>
      </c>
      <c r="I29" s="15">
        <v>152094.22000000003</v>
      </c>
      <c r="J29" s="15">
        <v>73594</v>
      </c>
      <c r="K29" s="15">
        <v>88148.450000000026</v>
      </c>
      <c r="L29" s="1">
        <v>87997.868442789972</v>
      </c>
      <c r="M29" s="1">
        <v>110985.8635616027</v>
      </c>
      <c r="N29" s="92">
        <f t="shared" ref="N29:N31" si="2">+SUM(B29:M29)</f>
        <v>1385605.9679994525</v>
      </c>
      <c r="O29" s="92">
        <f t="shared" ref="O29:O31" si="3">+AVERAGE(B29:M29)</f>
        <v>115467.16399995437</v>
      </c>
    </row>
    <row r="30" spans="1:20" x14ac:dyDescent="0.2">
      <c r="A30" t="s">
        <v>3</v>
      </c>
      <c r="B30" s="15">
        <v>44599.490000000005</v>
      </c>
      <c r="C30" s="15">
        <v>49270.340000000004</v>
      </c>
      <c r="D30" s="15">
        <v>12379.58</v>
      </c>
      <c r="E30" s="15">
        <v>21355.714693877551</v>
      </c>
      <c r="F30" s="15">
        <v>46925.750000000007</v>
      </c>
      <c r="G30" s="15">
        <v>15354.74</v>
      </c>
      <c r="H30" s="15">
        <v>23351</v>
      </c>
      <c r="I30" s="15">
        <v>25035.070000000003</v>
      </c>
      <c r="J30" s="15">
        <v>27683</v>
      </c>
      <c r="K30" s="15">
        <v>42332</v>
      </c>
      <c r="L30" s="1">
        <v>16019</v>
      </c>
      <c r="M30" s="1">
        <v>16019</v>
      </c>
      <c r="N30" s="92">
        <f t="shared" si="2"/>
        <v>340324.68469387759</v>
      </c>
      <c r="O30" s="92">
        <f t="shared" si="3"/>
        <v>28360.390391156467</v>
      </c>
    </row>
    <row r="31" spans="1:20" x14ac:dyDescent="0.2">
      <c r="A31" t="s">
        <v>23</v>
      </c>
      <c r="B31" s="15">
        <v>688030.15980959521</v>
      </c>
      <c r="C31" s="15">
        <v>472255.04016872041</v>
      </c>
      <c r="D31" s="15">
        <v>408151.90203799395</v>
      </c>
      <c r="E31" s="15">
        <v>351009.39659172588</v>
      </c>
      <c r="F31" s="15">
        <v>519536.4349091386</v>
      </c>
      <c r="G31" s="15">
        <v>386324.49042483984</v>
      </c>
      <c r="H31" s="15">
        <v>455152.49050727417</v>
      </c>
      <c r="I31" s="15">
        <v>476347.07578341739</v>
      </c>
      <c r="J31" s="15">
        <v>368877.2429254704</v>
      </c>
      <c r="K31" s="15">
        <v>457621.08460446977</v>
      </c>
      <c r="L31" s="1">
        <v>320923.67618927639</v>
      </c>
      <c r="M31" s="1">
        <v>359180.98107076966</v>
      </c>
      <c r="N31" s="93">
        <f t="shared" si="2"/>
        <v>5263409.9750226913</v>
      </c>
      <c r="O31" s="93">
        <f t="shared" si="3"/>
        <v>438617.49791855761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C167-CA94-47FA-A74A-613648F2F96E}">
  <sheetPr>
    <tabColor theme="5"/>
  </sheetPr>
  <dimension ref="A1:S30"/>
  <sheetViews>
    <sheetView showGridLines="0" zoomScale="80" zoomScaleNormal="80" workbookViewId="0">
      <selection activeCell="D7" sqref="D7"/>
    </sheetView>
  </sheetViews>
  <sheetFormatPr baseColWidth="10" defaultRowHeight="15" x14ac:dyDescent="0.2"/>
  <cols>
    <col min="1" max="1" width="18.1640625" bestFit="1" customWidth="1"/>
    <col min="2" max="2" width="20.6640625" bestFit="1" customWidth="1"/>
    <col min="3" max="3" width="10" bestFit="1" customWidth="1"/>
    <col min="4" max="4" width="18.33203125" bestFit="1" customWidth="1"/>
    <col min="5" max="16" width="10" bestFit="1" customWidth="1"/>
    <col min="17" max="17" width="8.5" bestFit="1" customWidth="1"/>
    <col min="18" max="18" width="8.83203125" bestFit="1" customWidth="1"/>
    <col min="19" max="19" width="6.33203125" bestFit="1" customWidth="1"/>
    <col min="20" max="20" width="13" bestFit="1" customWidth="1"/>
    <col min="21" max="30" width="7.83203125" bestFit="1" customWidth="1"/>
  </cols>
  <sheetData>
    <row r="1" spans="1:19" x14ac:dyDescent="0.2">
      <c r="A1" s="3" t="s">
        <v>6</v>
      </c>
      <c r="B1" t="s">
        <v>31</v>
      </c>
    </row>
    <row r="2" spans="1:19" x14ac:dyDescent="0.2">
      <c r="A2" s="3" t="s">
        <v>0</v>
      </c>
      <c r="B2" t="s">
        <v>1</v>
      </c>
    </row>
    <row r="3" spans="1:19" x14ac:dyDescent="0.2">
      <c r="A3" s="3" t="s">
        <v>2</v>
      </c>
      <c r="B3" t="s">
        <v>31</v>
      </c>
    </row>
    <row r="5" spans="1:19" x14ac:dyDescent="0.2">
      <c r="A5" s="3" t="s">
        <v>4</v>
      </c>
      <c r="D5" s="3" t="s">
        <v>5</v>
      </c>
      <c r="Q5" s="1"/>
      <c r="R5" s="1"/>
      <c r="S5" s="1"/>
    </row>
    <row r="6" spans="1:19" x14ac:dyDescent="0.2">
      <c r="A6" s="3" t="s">
        <v>7</v>
      </c>
      <c r="B6" s="3" t="s">
        <v>8</v>
      </c>
      <c r="C6" s="3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35</v>
      </c>
      <c r="Q6" s="1" t="s">
        <v>293</v>
      </c>
      <c r="R6" s="1"/>
      <c r="S6" s="1"/>
    </row>
    <row r="7" spans="1:19" x14ac:dyDescent="0.2">
      <c r="A7" t="s">
        <v>17</v>
      </c>
      <c r="D7" s="15">
        <v>302505.2644064232</v>
      </c>
      <c r="E7" s="15">
        <v>278500.60116096027</v>
      </c>
      <c r="F7" s="15">
        <v>288865.0014914627</v>
      </c>
      <c r="G7" s="15">
        <v>271765.17839345802</v>
      </c>
      <c r="H7" s="15">
        <v>312956.31121944432</v>
      </c>
      <c r="I7" s="15">
        <v>233211.48417415336</v>
      </c>
      <c r="J7" s="15">
        <v>335851.32426394348</v>
      </c>
      <c r="K7" s="15">
        <v>306407.84424821474</v>
      </c>
      <c r="L7" s="15">
        <v>272021.73518205492</v>
      </c>
      <c r="M7" s="15">
        <v>269052.92346555775</v>
      </c>
      <c r="N7" s="1">
        <v>258876.35359822505</v>
      </c>
      <c r="O7" s="1">
        <v>300252.03864251933</v>
      </c>
      <c r="P7" s="4">
        <f t="shared" ref="P7:P14" si="0">+SUM(D7:O7)</f>
        <v>3430266.0602464168</v>
      </c>
      <c r="Q7" s="1">
        <f>+AVERAGE(D7:O7)</f>
        <v>285855.50502053474</v>
      </c>
      <c r="R7" s="1"/>
      <c r="S7" s="1"/>
    </row>
    <row r="8" spans="1:19" x14ac:dyDescent="0.2">
      <c r="A8" t="s">
        <v>18</v>
      </c>
      <c r="D8" s="15">
        <v>123393.41412586258</v>
      </c>
      <c r="E8" s="15">
        <v>95218.966663344952</v>
      </c>
      <c r="F8" s="15">
        <v>63271.157047647059</v>
      </c>
      <c r="G8" s="15">
        <v>9534.9992988309896</v>
      </c>
      <c r="H8" s="15">
        <v>90110.011598630517</v>
      </c>
      <c r="I8" s="15">
        <v>101187.93814098135</v>
      </c>
      <c r="J8" s="15">
        <v>53135.334511133704</v>
      </c>
      <c r="K8" s="15">
        <v>107301.64664650511</v>
      </c>
      <c r="L8" s="15">
        <v>31039.189392285676</v>
      </c>
      <c r="M8" s="15">
        <v>98333.949968307235</v>
      </c>
      <c r="N8" s="1">
        <v>4140.9520307106677</v>
      </c>
      <c r="O8" s="1">
        <v>4140.9520307106677</v>
      </c>
      <c r="P8" s="4">
        <f t="shared" si="0"/>
        <v>780808.51145495044</v>
      </c>
      <c r="Q8" s="1">
        <f t="shared" ref="Q8:Q15" si="1">+AVERAGE(D8:O8)</f>
        <v>65067.375954579205</v>
      </c>
      <c r="R8" s="1"/>
      <c r="S8" s="1"/>
    </row>
    <row r="9" spans="1:19" x14ac:dyDescent="0.2">
      <c r="A9" t="s">
        <v>19</v>
      </c>
      <c r="D9" s="15">
        <v>46734.790283948365</v>
      </c>
      <c r="E9" s="15">
        <v>35698.196868571271</v>
      </c>
      <c r="F9" s="15">
        <v>25091.04502160387</v>
      </c>
      <c r="G9" s="15">
        <v>34665.022587828396</v>
      </c>
      <c r="H9" s="15">
        <v>76691.807575282175</v>
      </c>
      <c r="I9" s="15">
        <v>36712.330924326197</v>
      </c>
      <c r="J9" s="15">
        <v>41599.820470156585</v>
      </c>
      <c r="K9" s="15">
        <v>37109.385460802238</v>
      </c>
      <c r="L9" s="15">
        <v>43959.912903121316</v>
      </c>
      <c r="M9" s="15">
        <v>47609.466240455775</v>
      </c>
      <c r="N9" s="1">
        <v>40818.029581599403</v>
      </c>
      <c r="O9" s="1">
        <v>37699.649418798457</v>
      </c>
      <c r="P9" s="4">
        <f t="shared" si="0"/>
        <v>504389.45733649406</v>
      </c>
      <c r="Q9" s="1">
        <f t="shared" si="1"/>
        <v>42032.454778041174</v>
      </c>
      <c r="R9" s="1"/>
      <c r="S9" s="1"/>
    </row>
    <row r="10" spans="1:19" x14ac:dyDescent="0.2">
      <c r="A10" t="s">
        <v>22</v>
      </c>
      <c r="D10" s="15">
        <v>129398.17010191191</v>
      </c>
      <c r="E10" s="15">
        <v>40431.763937187861</v>
      </c>
      <c r="F10" s="15">
        <v>19643.364060830314</v>
      </c>
      <c r="G10" s="15">
        <v>12341.404103388877</v>
      </c>
      <c r="H10" s="15">
        <v>18451.805936010711</v>
      </c>
      <c r="I10" s="15">
        <v>6027.254232895647</v>
      </c>
      <c r="J10" s="15">
        <v>5082.7933346544096</v>
      </c>
      <c r="K10" s="15">
        <v>4927.1873319711804</v>
      </c>
      <c r="L10" s="15">
        <v>4719.149771650058</v>
      </c>
      <c r="M10" s="15">
        <v>29510.339200396767</v>
      </c>
      <c r="N10" s="1">
        <v>4002.1661343914316</v>
      </c>
      <c r="O10" s="1">
        <v>4002.1661343914316</v>
      </c>
      <c r="P10" s="4">
        <f t="shared" si="0"/>
        <v>278537.56427968066</v>
      </c>
      <c r="Q10" s="1">
        <f t="shared" si="1"/>
        <v>23211.463689973389</v>
      </c>
      <c r="R10" s="1"/>
      <c r="S10" s="1"/>
    </row>
    <row r="11" spans="1:19" x14ac:dyDescent="0.2">
      <c r="A11" t="s">
        <v>21</v>
      </c>
      <c r="D11" s="15">
        <v>70940.379610568401</v>
      </c>
      <c r="E11" s="15">
        <v>15541.722628913061</v>
      </c>
      <c r="F11" s="15">
        <v>6425.169713305715</v>
      </c>
      <c r="G11" s="15">
        <v>19654.064265627931</v>
      </c>
      <c r="H11" s="15">
        <v>11217.310658473873</v>
      </c>
      <c r="I11" s="15">
        <v>6643.9180250471682</v>
      </c>
      <c r="J11" s="15">
        <v>10766.462434404199</v>
      </c>
      <c r="K11" s="15">
        <v>12765.451293687493</v>
      </c>
      <c r="L11" s="15">
        <v>12095.977046242213</v>
      </c>
      <c r="M11" s="15">
        <v>8598.2621459397524</v>
      </c>
      <c r="N11" s="1">
        <v>8082</v>
      </c>
      <c r="O11" s="1">
        <v>8082</v>
      </c>
      <c r="P11" s="4">
        <f t="shared" si="0"/>
        <v>190812.71782220982</v>
      </c>
      <c r="Q11" s="1">
        <f t="shared" si="1"/>
        <v>15901.059818517484</v>
      </c>
      <c r="R11" s="1"/>
      <c r="S11" s="1"/>
    </row>
    <row r="12" spans="1:19" x14ac:dyDescent="0.2">
      <c r="A12" t="s">
        <v>30</v>
      </c>
      <c r="D12" s="15">
        <v>12901.351336468462</v>
      </c>
      <c r="E12" s="15">
        <v>5280.0589554097814</v>
      </c>
      <c r="F12" s="15">
        <v>2662.6842850206112</v>
      </c>
      <c r="G12" s="15">
        <v>2684.2877080425774</v>
      </c>
      <c r="H12" s="15">
        <v>6920.8513095393737</v>
      </c>
      <c r="I12" s="15">
        <v>0</v>
      </c>
      <c r="J12" s="15">
        <v>5659.0788856179879</v>
      </c>
      <c r="K12" s="15">
        <v>5745.7511560382836</v>
      </c>
      <c r="L12" s="15">
        <v>2782.6216516772652</v>
      </c>
      <c r="M12" s="15">
        <v>2759.9747271928982</v>
      </c>
      <c r="N12" s="1">
        <v>3309.3863242900306</v>
      </c>
      <c r="O12" s="1">
        <v>3309.3863242900306</v>
      </c>
      <c r="P12" s="4">
        <f t="shared" si="0"/>
        <v>54015.432663587308</v>
      </c>
      <c r="Q12" s="1">
        <f t="shared" si="1"/>
        <v>4501.2860552989423</v>
      </c>
      <c r="R12" s="1"/>
      <c r="S12" s="1"/>
    </row>
    <row r="13" spans="1:19" x14ac:dyDescent="0.2">
      <c r="A13" t="s">
        <v>29</v>
      </c>
      <c r="D13" s="15">
        <v>1146.2879547131577</v>
      </c>
      <c r="E13" s="15">
        <v>864.61014697334542</v>
      </c>
      <c r="F13" s="15">
        <v>1721.1988470240617</v>
      </c>
      <c r="G13" s="15">
        <v>0</v>
      </c>
      <c r="H13" s="15">
        <v>2374.4770558242908</v>
      </c>
      <c r="I13" s="15">
        <v>899.49032480995163</v>
      </c>
      <c r="J13" s="15">
        <v>888.47647083919969</v>
      </c>
      <c r="K13" s="15">
        <v>895.79524680073132</v>
      </c>
      <c r="L13" s="15">
        <v>1130.6291229850681</v>
      </c>
      <c r="M13" s="15">
        <v>892.04442017112694</v>
      </c>
      <c r="N13" s="1">
        <v>895.72781917696273</v>
      </c>
      <c r="O13" s="1">
        <v>895.72781917696273</v>
      </c>
      <c r="P13" s="4">
        <f t="shared" si="0"/>
        <v>12604.465228494857</v>
      </c>
      <c r="Q13" s="1">
        <f t="shared" si="1"/>
        <v>1050.3721023745713</v>
      </c>
      <c r="R13" s="1"/>
      <c r="S13" s="1"/>
    </row>
    <row r="14" spans="1:19" x14ac:dyDescent="0.2">
      <c r="A14" t="s">
        <v>20</v>
      </c>
      <c r="D14" s="15">
        <v>1010.5019896990377</v>
      </c>
      <c r="E14" s="15">
        <v>719.11980736003238</v>
      </c>
      <c r="F14" s="15">
        <v>472.2815710997067</v>
      </c>
      <c r="G14" s="15">
        <v>364.44023454912826</v>
      </c>
      <c r="H14" s="15">
        <v>813.85955593323752</v>
      </c>
      <c r="I14" s="15">
        <v>1642.0746026261231</v>
      </c>
      <c r="J14" s="15">
        <v>2169.200136524596</v>
      </c>
      <c r="K14" s="15">
        <v>1194.0143993977847</v>
      </c>
      <c r="L14" s="15">
        <v>1128.0278554539468</v>
      </c>
      <c r="M14" s="15">
        <v>864.12443644852806</v>
      </c>
      <c r="N14" s="1">
        <v>799.06070088282422</v>
      </c>
      <c r="O14" s="1">
        <v>799.06070088282422</v>
      </c>
      <c r="P14" s="4">
        <f t="shared" si="0"/>
        <v>11975.765990857772</v>
      </c>
      <c r="Q14" s="1">
        <f t="shared" si="1"/>
        <v>997.98049923814767</v>
      </c>
      <c r="R14" s="1"/>
      <c r="S14" s="1"/>
    </row>
    <row r="15" spans="1:19" x14ac:dyDescent="0.2">
      <c r="A15" t="s">
        <v>23</v>
      </c>
      <c r="D15" s="15">
        <v>688030.15980959509</v>
      </c>
      <c r="E15" s="15">
        <v>472255.04016872059</v>
      </c>
      <c r="F15" s="15">
        <v>408151.90203799406</v>
      </c>
      <c r="G15" s="15">
        <v>351009.39659172593</v>
      </c>
      <c r="H15" s="15">
        <v>519536.43490913854</v>
      </c>
      <c r="I15" s="15">
        <v>386324.49042483984</v>
      </c>
      <c r="J15" s="15">
        <v>455152.49050727417</v>
      </c>
      <c r="K15" s="15">
        <v>476347.07578341756</v>
      </c>
      <c r="L15" s="15">
        <v>368877.2429254704</v>
      </c>
      <c r="M15" s="15">
        <v>457621.08460446983</v>
      </c>
      <c r="N15" s="1">
        <v>320923.67618927633</v>
      </c>
      <c r="O15" s="1">
        <v>359180.98107076966</v>
      </c>
      <c r="P15" s="39">
        <f>+SUM(D15:O15)</f>
        <v>5263409.9750226922</v>
      </c>
      <c r="Q15" s="111">
        <f t="shared" si="1"/>
        <v>438617.49791855767</v>
      </c>
      <c r="R15" s="1"/>
      <c r="S15" s="1"/>
    </row>
    <row r="16" spans="1:19" x14ac:dyDescent="0.2">
      <c r="Q16" s="1"/>
      <c r="R16" s="1"/>
      <c r="S16" s="1"/>
    </row>
    <row r="17" spans="4:19" x14ac:dyDescent="0.2">
      <c r="D17" s="4">
        <f>+SUM($D$15:D15)</f>
        <v>688030.15980959509</v>
      </c>
      <c r="E17" s="4">
        <f>+SUM($D$15:E15)</f>
        <v>1160285.1999783157</v>
      </c>
      <c r="F17" s="4">
        <f>+SUM($D$15:F15)</f>
        <v>1568437.1020163097</v>
      </c>
      <c r="G17" s="4">
        <f>+SUM($D$15:G15)</f>
        <v>1919446.4986080357</v>
      </c>
      <c r="H17" s="4">
        <f>+SUM($D$15:H15)</f>
        <v>2438982.9335171743</v>
      </c>
      <c r="I17" s="4">
        <f>+SUM($D$15:I15)</f>
        <v>2825307.4239420141</v>
      </c>
      <c r="J17" s="4">
        <f>+SUM($D$15:J15)</f>
        <v>3280459.9144492885</v>
      </c>
      <c r="K17" s="4">
        <f>+SUM($D$15:K15)</f>
        <v>3756806.9902327061</v>
      </c>
      <c r="L17" s="4">
        <f>+SUM($D$15:L15)</f>
        <v>4125684.2331581763</v>
      </c>
      <c r="M17" s="39">
        <f>+SUM($D$15:M15)</f>
        <v>4583305.3177626459</v>
      </c>
      <c r="N17" s="4">
        <f>+SUM($D$15:N15)</f>
        <v>4904228.9939519223</v>
      </c>
      <c r="O17" s="4">
        <f>+SUM($D$15:O15)</f>
        <v>5263409.9750226922</v>
      </c>
      <c r="Q17" s="1"/>
      <c r="R17" s="1"/>
      <c r="S17" s="1"/>
    </row>
    <row r="18" spans="4:19" x14ac:dyDescent="0.2">
      <c r="Q18" s="1"/>
      <c r="R18" s="1"/>
      <c r="S18" s="1"/>
    </row>
    <row r="26" spans="4:19" x14ac:dyDescent="0.2">
      <c r="N26" s="100"/>
    </row>
    <row r="27" spans="4:19" x14ac:dyDescent="0.2">
      <c r="N27" s="92"/>
    </row>
    <row r="28" spans="4:19" x14ac:dyDescent="0.2">
      <c r="N28" s="92"/>
    </row>
    <row r="29" spans="4:19" x14ac:dyDescent="0.2">
      <c r="N29" s="92"/>
    </row>
    <row r="30" spans="4:19" x14ac:dyDescent="0.2">
      <c r="N30" s="10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300A-8F45-4B46-938E-263589D1FAAC}">
  <sheetPr>
    <tabColor rgb="FFFFC000"/>
  </sheetPr>
  <dimension ref="A3:AH78"/>
  <sheetViews>
    <sheetView showGridLines="0" topLeftCell="A2" zoomScale="80" zoomScaleNormal="80" workbookViewId="0">
      <selection activeCell="D40" sqref="D40"/>
    </sheetView>
  </sheetViews>
  <sheetFormatPr baseColWidth="10" defaultRowHeight="15" x14ac:dyDescent="0.2"/>
  <cols>
    <col min="1" max="1" width="8.83203125" bestFit="1" customWidth="1"/>
    <col min="2" max="2" width="8.5" bestFit="1" customWidth="1"/>
    <col min="3" max="3" width="15" bestFit="1" customWidth="1"/>
    <col min="4" max="4" width="11" bestFit="1" customWidth="1"/>
    <col min="5" max="5" width="12.6640625" bestFit="1" customWidth="1"/>
    <col min="6" max="12" width="10.5" bestFit="1" customWidth="1"/>
    <col min="13" max="13" width="12" bestFit="1" customWidth="1"/>
    <col min="14" max="16" width="10.5" bestFit="1" customWidth="1"/>
    <col min="17" max="17" width="12" bestFit="1" customWidth="1"/>
  </cols>
  <sheetData>
    <row r="3" spans="3:17" ht="26.5" customHeight="1" x14ac:dyDescent="0.2">
      <c r="C3" s="126" t="s">
        <v>294</v>
      </c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3:17" ht="16" thickBot="1" x14ac:dyDescent="0.25">
      <c r="O4" s="5">
        <f>+O8-N8</f>
        <v>28.076020952116629</v>
      </c>
    </row>
    <row r="5" spans="3:17" x14ac:dyDescent="0.2">
      <c r="C5" s="84" t="s">
        <v>34</v>
      </c>
      <c r="D5" s="85" t="s">
        <v>10</v>
      </c>
      <c r="E5" s="85" t="s">
        <v>11</v>
      </c>
      <c r="F5" s="85" t="s">
        <v>12</v>
      </c>
      <c r="G5" s="85" t="s">
        <v>13</v>
      </c>
      <c r="H5" s="85" t="s">
        <v>14</v>
      </c>
      <c r="I5" s="85" t="s">
        <v>15</v>
      </c>
      <c r="J5" s="85" t="s">
        <v>16</v>
      </c>
      <c r="K5" s="85" t="s">
        <v>24</v>
      </c>
      <c r="L5" s="85" t="s">
        <v>25</v>
      </c>
      <c r="M5" s="85" t="s">
        <v>26</v>
      </c>
      <c r="N5" s="85" t="s">
        <v>27</v>
      </c>
      <c r="O5" s="85" t="s">
        <v>28</v>
      </c>
      <c r="P5" s="86" t="s">
        <v>35</v>
      </c>
      <c r="Q5" t="s">
        <v>36</v>
      </c>
    </row>
    <row r="6" spans="3:17" x14ac:dyDescent="0.2">
      <c r="C6" s="79" t="str">
        <f>'Gasto Septiembre'!A9</f>
        <v>Sueldos</v>
      </c>
      <c r="D6" s="5">
        <f>('Gasto Diciembre (2)'!B8)/1000</f>
        <v>302.50526440642318</v>
      </c>
      <c r="E6" s="5">
        <f>('Gasto Diciembre (2)'!C8)/1000</f>
        <v>278.50060116096029</v>
      </c>
      <c r="F6" s="5">
        <f>('Gasto Diciembre (2)'!D8)/1000</f>
        <v>288.86500149146269</v>
      </c>
      <c r="G6" s="5">
        <f>('Gasto Diciembre (2)'!E8)/1000</f>
        <v>271.76517839345803</v>
      </c>
      <c r="H6" s="5">
        <f>('Gasto Diciembre (2)'!F8)/1000</f>
        <v>312.95631121944433</v>
      </c>
      <c r="I6" s="5">
        <f>('Gasto Diciembre (2)'!G8)/1000</f>
        <v>233.21148417415336</v>
      </c>
      <c r="J6" s="5">
        <f>('Gasto Diciembre (2)'!H8)/1000</f>
        <v>335.85132426394347</v>
      </c>
      <c r="K6" s="5">
        <f>('Gasto Diciembre (2)'!I8)/1000</f>
        <v>306.40784424821476</v>
      </c>
      <c r="L6" s="5">
        <f>('Gasto Diciembre (2)'!J8)/1000</f>
        <v>272.0217351820549</v>
      </c>
      <c r="M6" s="5">
        <f>('Gasto Diciembre (2)'!K8)/1000</f>
        <v>294.76603426968279</v>
      </c>
      <c r="N6" s="5">
        <f>('Gasto Diciembre (2)'!L8)/1000</f>
        <v>275.86337652075775</v>
      </c>
      <c r="O6" s="5">
        <f>('Gasto Diciembre (2)'!M8)/1000</f>
        <v>316.82887029160804</v>
      </c>
      <c r="P6" s="81">
        <f>+SUM(D6:O6)</f>
        <v>3489.5430256221634</v>
      </c>
      <c r="Q6" s="16">
        <f>+AVERAGE(D6:O6)</f>
        <v>290.79525213518031</v>
      </c>
    </row>
    <row r="7" spans="3:17" x14ac:dyDescent="0.2">
      <c r="C7" s="79" t="str">
        <f>'Gasto Septiembre'!A10</f>
        <v>Externo</v>
      </c>
      <c r="D7" s="5">
        <f>('Gasto Diciembre (2)'!B9)/1000</f>
        <v>123.39341412586258</v>
      </c>
      <c r="E7" s="5">
        <f>('Gasto Diciembre (2)'!C9)/1000</f>
        <v>95.218966663344958</v>
      </c>
      <c r="F7" s="5">
        <f>('Gasto Diciembre (2)'!D9)/1000</f>
        <v>63.271157047647058</v>
      </c>
      <c r="G7" s="5">
        <f>('Gasto Diciembre (2)'!E9)/1000</f>
        <v>9.5349992988309893</v>
      </c>
      <c r="H7" s="5">
        <f>('Gasto Diciembre (2)'!F9)/1000</f>
        <v>90.110011598630521</v>
      </c>
      <c r="I7" s="5">
        <f>('Gasto Diciembre (2)'!G9)/1000</f>
        <v>101.18793814098134</v>
      </c>
      <c r="J7" s="5">
        <f>('Gasto Diciembre (2)'!H9)/1000</f>
        <v>53.135334511133706</v>
      </c>
      <c r="K7" s="5">
        <f>('Gasto Diciembre (2)'!I9)/1000</f>
        <v>107.30164664650511</v>
      </c>
      <c r="L7" s="5">
        <f>('Gasto Diciembre (2)'!J9)/1000</f>
        <v>31.039189392285675</v>
      </c>
      <c r="M7" s="5">
        <f>('Gasto Diciembre (2)'!K9)/1000</f>
        <v>98.333949968307238</v>
      </c>
      <c r="N7" s="5">
        <f>('Gasto Diciembre (2)'!L9)/1000</f>
        <v>78.622168996553398</v>
      </c>
      <c r="O7" s="5">
        <f>('Gasto Diciembre (2)'!M9)/1000</f>
        <v>97.664796580877265</v>
      </c>
      <c r="P7" s="81">
        <f t="shared" ref="P7:P13" si="0">+SUM(D7:O7)</f>
        <v>948.81357297095997</v>
      </c>
      <c r="Q7" s="16">
        <f t="shared" ref="Q7:Q13" si="1">+AVERAGE(D7:O7)</f>
        <v>79.067797747580002</v>
      </c>
    </row>
    <row r="8" spans="3:17" x14ac:dyDescent="0.2">
      <c r="C8" s="79" t="str">
        <f>'Gasto Septiembre'!A11</f>
        <v>Oficina</v>
      </c>
      <c r="D8" s="5">
        <f>('Gasto Diciembre (2)'!B10)/1000</f>
        <v>46.734790283948357</v>
      </c>
      <c r="E8" s="5">
        <f>('Gasto Diciembre (2)'!C10)/1000</f>
        <v>35.698196868571273</v>
      </c>
      <c r="F8" s="5">
        <f>('Gasto Diciembre (2)'!D10)/1000</f>
        <v>25.091045021603868</v>
      </c>
      <c r="G8" s="5">
        <f>('Gasto Diciembre (2)'!E10)/1000</f>
        <v>34.665022587828396</v>
      </c>
      <c r="H8" s="5">
        <f>('Gasto Diciembre (2)'!F10)/1000</f>
        <v>46.509807575282174</v>
      </c>
      <c r="I8" s="5">
        <f>('Gasto Diciembre (2)'!G10)/1000</f>
        <v>36.712330924326196</v>
      </c>
      <c r="J8" s="5">
        <f>('Gasto Diciembre (2)'!H10)/1000</f>
        <v>41.599820470156587</v>
      </c>
      <c r="K8" s="5">
        <f>('Gasto Diciembre (2)'!I10)/1000</f>
        <v>37.109385460802237</v>
      </c>
      <c r="L8" s="5">
        <f>('Gasto Diciembre (2)'!J10)/1000</f>
        <v>43.959912903121321</v>
      </c>
      <c r="M8" s="5">
        <f>('Gasto Diciembre (2)'!K10)/1000</f>
        <v>47.609466240455774</v>
      </c>
      <c r="N8" s="5">
        <f>('Gasto Diciembre (2)'!L10)/1000</f>
        <v>42.586412927130503</v>
      </c>
      <c r="O8" s="5">
        <f>('Gasto Diciembre (2)'!M10)/1000</f>
        <v>70.662433879247132</v>
      </c>
      <c r="P8" s="81">
        <f t="shared" si="0"/>
        <v>508.93862514247382</v>
      </c>
      <c r="Q8" s="16">
        <f t="shared" si="1"/>
        <v>42.411552095206154</v>
      </c>
    </row>
    <row r="9" spans="3:17" x14ac:dyDescent="0.2">
      <c r="C9" s="79" t="str">
        <f>'Gasto Septiembre'!A12</f>
        <v>Extras personas</v>
      </c>
      <c r="D9" s="5">
        <f>('Gasto Diciembre (2)'!B11)/1000</f>
        <v>129.39817010191192</v>
      </c>
      <c r="E9" s="5">
        <f>('Gasto Diciembre (2)'!C11)/1000</f>
        <v>40.43176393718786</v>
      </c>
      <c r="F9" s="5">
        <f>('Gasto Diciembre (2)'!D11)/1000</f>
        <v>19.643364060830315</v>
      </c>
      <c r="G9" s="5">
        <f>('Gasto Diciembre (2)'!E11)/1000</f>
        <v>12.341404103388877</v>
      </c>
      <c r="H9" s="5">
        <f>('Gasto Diciembre (2)'!F11)/1000</f>
        <v>18.451805936010711</v>
      </c>
      <c r="I9" s="5">
        <f>('Gasto Diciembre (2)'!G11)/1000</f>
        <v>6.0272542328956469</v>
      </c>
      <c r="J9" s="5">
        <f>('Gasto Diciembre (2)'!H11)/1000</f>
        <v>5.0827933346544096</v>
      </c>
      <c r="K9" s="5">
        <f>('Gasto Diciembre (2)'!I11)/1000</f>
        <v>4.9271873319711803</v>
      </c>
      <c r="L9" s="5">
        <f>('Gasto Diciembre (2)'!J11)/1000</f>
        <v>4.7191497716500583</v>
      </c>
      <c r="M9" s="5">
        <f>('Gasto Diciembre (2)'!K11)/1000</f>
        <v>29.951058404517521</v>
      </c>
      <c r="N9" s="5">
        <f>('Gasto Diciembre (2)'!L11)/1000</f>
        <v>28.926818237958003</v>
      </c>
      <c r="O9" s="5">
        <f>('Gasto Diciembre (2)'!M11)/1000</f>
        <v>13.829525277763183</v>
      </c>
      <c r="P9" s="81">
        <f t="shared" si="0"/>
        <v>313.73029473073967</v>
      </c>
      <c r="Q9" s="16">
        <f t="shared" si="1"/>
        <v>26.144191227561638</v>
      </c>
    </row>
    <row r="10" spans="3:17" x14ac:dyDescent="0.2">
      <c r="C10" s="79" t="str">
        <f>'Gasto Septiembre'!A13</f>
        <v>Viajes</v>
      </c>
      <c r="D10" s="5">
        <f>('Gasto Diciembre (2)'!B12)/1000</f>
        <v>70.940379610568385</v>
      </c>
      <c r="E10" s="5">
        <f>('Gasto Diciembre (2)'!C12)/1000</f>
        <v>15.541722628913062</v>
      </c>
      <c r="F10" s="5">
        <f>('Gasto Diciembre (2)'!D12)/1000</f>
        <v>6.4251697133057153</v>
      </c>
      <c r="G10" s="5">
        <f>('Gasto Diciembre (2)'!E12)/1000</f>
        <v>19.65406426562793</v>
      </c>
      <c r="H10" s="5">
        <f>('Gasto Diciembre (2)'!F12)/1000</f>
        <v>11.217310658473874</v>
      </c>
      <c r="I10" s="5">
        <f>('Gasto Diciembre (2)'!G12)/1000</f>
        <v>6.6439180250471681</v>
      </c>
      <c r="J10" s="5">
        <f>('Gasto Diciembre (2)'!H12)/1000</f>
        <v>10.766462434404199</v>
      </c>
      <c r="K10" s="5">
        <f>('Gasto Diciembre (2)'!I12)/1000</f>
        <v>12.765451293687494</v>
      </c>
      <c r="L10" s="5">
        <f>('Gasto Diciembre (2)'!J12)/1000</f>
        <v>12.095977046242213</v>
      </c>
      <c r="M10" s="5">
        <f>('Gasto Diciembre (2)'!K12)/1000</f>
        <v>8.7212621459397521</v>
      </c>
      <c r="N10" s="5">
        <f>('Gasto Diciembre (2)'!L12)/1000</f>
        <v>1.4406731165088513</v>
      </c>
      <c r="O10" s="5">
        <f>('Gasto Diciembre (2)'!M12)/1000</f>
        <v>16.033799999999999</v>
      </c>
      <c r="P10" s="81">
        <f t="shared" si="0"/>
        <v>192.24619093871866</v>
      </c>
      <c r="Q10" s="16">
        <f t="shared" si="1"/>
        <v>16.020515911559887</v>
      </c>
    </row>
    <row r="11" spans="3:17" x14ac:dyDescent="0.2">
      <c r="C11" s="79" t="str">
        <f>'Gasto Septiembre'!A14</f>
        <v>Compañía</v>
      </c>
      <c r="D11" s="5">
        <f>('Gasto Diciembre (2)'!B13)/1000</f>
        <v>12.901351336468462</v>
      </c>
      <c r="E11" s="5">
        <f>('Gasto Diciembre (2)'!C13)/1000</f>
        <v>5.2800589554097819</v>
      </c>
      <c r="F11" s="5">
        <f>('Gasto Diciembre (2)'!D13)/1000</f>
        <v>2.6626842850206112</v>
      </c>
      <c r="G11" s="5">
        <f>('Gasto Diciembre (2)'!E13)/1000</f>
        <v>2.6842877080425773</v>
      </c>
      <c r="H11" s="5">
        <f>('Gasto Diciembre (2)'!F13)/1000</f>
        <v>6.9208513095393736</v>
      </c>
      <c r="I11" s="5">
        <f>('Gasto Diciembre (2)'!G13)/1000</f>
        <v>0</v>
      </c>
      <c r="J11" s="5">
        <f>('Gasto Diciembre (2)'!H13)/1000</f>
        <v>5.6590788856179879</v>
      </c>
      <c r="K11" s="5">
        <f>('Gasto Diciembre (2)'!I13)/1000</f>
        <v>5.7457511560382839</v>
      </c>
      <c r="L11" s="5">
        <f>('Gasto Diciembre (2)'!J13)/1000</f>
        <v>2.7826216516772653</v>
      </c>
      <c r="M11" s="5">
        <f>('Gasto Diciembre (2)'!K13)/1000</f>
        <v>5.5199494543857961</v>
      </c>
      <c r="N11" s="5">
        <f>('Gasto Diciembre (2)'!L13)/1000</f>
        <v>13.346370934540962</v>
      </c>
      <c r="O11" s="5">
        <f>('Gasto Diciembre (2)'!M13)/1000</f>
        <v>12.61271082864825</v>
      </c>
      <c r="P11" s="81">
        <f t="shared" si="0"/>
        <v>76.115716505389358</v>
      </c>
      <c r="Q11" s="16">
        <f t="shared" si="1"/>
        <v>6.3429763754491129</v>
      </c>
    </row>
    <row r="12" spans="3:17" x14ac:dyDescent="0.2">
      <c r="C12" s="79" t="str">
        <f>'Gasto Septiembre'!A15</f>
        <v>Comercial</v>
      </c>
      <c r="D12" s="5">
        <f>('Gasto Diciembre (2)'!B14)/1000</f>
        <v>1.1462879547131577</v>
      </c>
      <c r="E12" s="5">
        <f>('Gasto Diciembre (2)'!C14)/1000</f>
        <v>0.86461014697334537</v>
      </c>
      <c r="F12" s="5">
        <f>('Gasto Diciembre (2)'!D14)/1000</f>
        <v>1.7211988470240618</v>
      </c>
      <c r="G12" s="5">
        <f>('Gasto Diciembre (2)'!E14)/1000</f>
        <v>0</v>
      </c>
      <c r="H12" s="5">
        <f>('Gasto Diciembre (2)'!F14)/1000</f>
        <v>2.3744770558242907</v>
      </c>
      <c r="I12" s="5">
        <f>('Gasto Diciembre (2)'!G14)/1000</f>
        <v>0.89949032480995161</v>
      </c>
      <c r="J12" s="5">
        <f>('Gasto Diciembre (2)'!H14)/1000</f>
        <v>0.88847647083919967</v>
      </c>
      <c r="K12" s="5">
        <f>('Gasto Diciembre (2)'!I14)/1000</f>
        <v>0.8957952468007313</v>
      </c>
      <c r="L12" s="5">
        <f>('Gasto Diciembre (2)'!J14)/1000</f>
        <v>1.130629122985068</v>
      </c>
      <c r="M12" s="5">
        <f>('Gasto Diciembre (2)'!K14)/1000</f>
        <v>0.89204442017112695</v>
      </c>
      <c r="N12" s="5">
        <f>('Gasto Diciembre (2)'!L14)/1000</f>
        <v>2.3638328530259365</v>
      </c>
      <c r="O12" s="5">
        <f>('Gasto Diciembre (2)'!M14)/1000</f>
        <v>1.1941192047584126</v>
      </c>
      <c r="P12" s="81">
        <f t="shared" si="0"/>
        <v>14.370961647925281</v>
      </c>
      <c r="Q12" s="16">
        <f t="shared" si="1"/>
        <v>1.1975801373271067</v>
      </c>
    </row>
    <row r="13" spans="3:17" x14ac:dyDescent="0.2">
      <c r="C13" s="79" t="str">
        <f>'Gasto Septiembre'!A16</f>
        <v>Bancarios</v>
      </c>
      <c r="D13" s="5">
        <f>('Gasto Diciembre (2)'!B15)/1000</f>
        <v>1.0105019896990377</v>
      </c>
      <c r="E13" s="5">
        <f>('Gasto Diciembre (2)'!C15)/1000</f>
        <v>0.71911980736003234</v>
      </c>
      <c r="F13" s="5">
        <f>('Gasto Diciembre (2)'!D15)/1000</f>
        <v>0.4722815710997067</v>
      </c>
      <c r="G13" s="5">
        <f>('Gasto Diciembre (2)'!E15)/1000</f>
        <v>0.36444023454912827</v>
      </c>
      <c r="H13" s="5">
        <f>('Gasto Diciembre (2)'!F15)/1000</f>
        <v>0.81385955593323756</v>
      </c>
      <c r="I13" s="5">
        <f>('Gasto Diciembre (2)'!G15)/1000</f>
        <v>1.642074602626123</v>
      </c>
      <c r="J13" s="5">
        <f>('Gasto Diciembre (2)'!H15)/1000</f>
        <v>2.1692001365245961</v>
      </c>
      <c r="K13" s="5">
        <f>('Gasto Diciembre (2)'!I15)/1000</f>
        <v>1.1940143993977848</v>
      </c>
      <c r="L13" s="5">
        <f>('Gasto Diciembre (2)'!J15)/1000</f>
        <v>1.1280278554539469</v>
      </c>
      <c r="M13" s="5">
        <f>('Gasto Diciembre (2)'!K15)/1000</f>
        <v>0.8641244364485281</v>
      </c>
      <c r="N13" s="5">
        <f>('Gasto Diciembre (2)'!L15)/1000</f>
        <v>1.5538836969946481</v>
      </c>
      <c r="O13" s="5">
        <f>('Gasto Diciembre (2)'!M15)/1000</f>
        <v>1.5701245416768514</v>
      </c>
      <c r="P13" s="81">
        <f t="shared" si="0"/>
        <v>13.501652827763619</v>
      </c>
      <c r="Q13" s="16">
        <f t="shared" si="1"/>
        <v>1.1251377356469683</v>
      </c>
    </row>
    <row r="14" spans="3:17" ht="16" thickBot="1" x14ac:dyDescent="0.25">
      <c r="C14" s="87" t="s">
        <v>35</v>
      </c>
      <c r="D14" s="88">
        <f>+SUM(D6:D13)</f>
        <v>688.03015980959503</v>
      </c>
      <c r="E14" s="88">
        <f t="shared" ref="E14:O14" si="2">+SUM(E6:E13)</f>
        <v>472.2550401687206</v>
      </c>
      <c r="F14" s="88">
        <f t="shared" si="2"/>
        <v>408.15190203799403</v>
      </c>
      <c r="G14" s="88">
        <f t="shared" si="2"/>
        <v>351.00939659172593</v>
      </c>
      <c r="H14" s="88">
        <f t="shared" si="2"/>
        <v>489.35443490913855</v>
      </c>
      <c r="I14" s="88">
        <f t="shared" si="2"/>
        <v>386.32449042483978</v>
      </c>
      <c r="J14" s="88">
        <f t="shared" si="2"/>
        <v>455.15249050727414</v>
      </c>
      <c r="K14" s="88">
        <f t="shared" si="2"/>
        <v>476.34707578341755</v>
      </c>
      <c r="L14" s="88">
        <f t="shared" si="2"/>
        <v>368.87724292547045</v>
      </c>
      <c r="M14" s="88">
        <f t="shared" si="2"/>
        <v>486.65788933990865</v>
      </c>
      <c r="N14" s="88">
        <f t="shared" si="2"/>
        <v>444.70353728347004</v>
      </c>
      <c r="O14" s="88">
        <f t="shared" si="2"/>
        <v>530.39638060457912</v>
      </c>
      <c r="P14" s="89">
        <f>+SUM(P6:P13)</f>
        <v>5557.2600403861343</v>
      </c>
      <c r="Q14" s="17">
        <f>+SUM(Q6:Q13)</f>
        <v>463.10500336551115</v>
      </c>
    </row>
    <row r="15" spans="3:17" x14ac:dyDescent="0.2">
      <c r="C15" t="s">
        <v>37</v>
      </c>
      <c r="D15" s="18">
        <f>+SUM($D$14:D14)</f>
        <v>688.03015980959503</v>
      </c>
      <c r="E15" s="18">
        <f>+SUM($D$14:E14)</f>
        <v>1160.2851999783156</v>
      </c>
      <c r="F15" s="18">
        <f>+SUM($D$14:F14)</f>
        <v>1568.4371020163096</v>
      </c>
      <c r="G15" s="18">
        <f>+SUM($D$14:G14)</f>
        <v>1919.4464986080357</v>
      </c>
      <c r="H15" s="18">
        <f>+SUM($D$14:H14)</f>
        <v>2408.8009335171741</v>
      </c>
      <c r="I15" s="18">
        <f>+SUM($D$14:I14)</f>
        <v>2795.1254239420141</v>
      </c>
      <c r="J15" s="18">
        <f>+SUM($D$14:J14)</f>
        <v>3250.2779144492883</v>
      </c>
      <c r="K15" s="18">
        <f>+SUM($D$14:K14)</f>
        <v>3726.6249902327058</v>
      </c>
      <c r="L15" s="18">
        <f>+SUM($D$14:L14)</f>
        <v>4095.5022331581763</v>
      </c>
      <c r="M15" s="18">
        <f>+SUM($D$14:M14)</f>
        <v>4582.160122498085</v>
      </c>
      <c r="N15" s="18">
        <f>+SUM($D$14:N14)</f>
        <v>5026.8636597815548</v>
      </c>
      <c r="O15" s="18">
        <f>+SUM($D$14:O14)</f>
        <v>5557.2600403861343</v>
      </c>
      <c r="P15" s="16"/>
      <c r="Q15" s="16"/>
    </row>
    <row r="16" spans="3:17" x14ac:dyDescent="0.2">
      <c r="D16" s="2">
        <f t="shared" ref="D16:L16" si="3">+D15/$O$15</f>
        <v>0.12380744374196834</v>
      </c>
      <c r="E16" s="2">
        <f t="shared" si="3"/>
        <v>0.20878727854126036</v>
      </c>
      <c r="F16" s="2">
        <f t="shared" si="3"/>
        <v>0.28223208750680129</v>
      </c>
      <c r="G16" s="2">
        <f t="shared" si="3"/>
        <v>0.34539440023660778</v>
      </c>
      <c r="H16" s="2">
        <f t="shared" si="3"/>
        <v>0.43345118205946032</v>
      </c>
      <c r="I16" s="2">
        <f t="shared" si="3"/>
        <v>0.50296826199045397</v>
      </c>
      <c r="J16" s="2">
        <f t="shared" si="3"/>
        <v>0.58487058205457843</v>
      </c>
      <c r="K16" s="2">
        <f t="shared" si="3"/>
        <v>0.67058675734989892</v>
      </c>
      <c r="L16" s="2">
        <f t="shared" si="3"/>
        <v>0.7369642959651046</v>
      </c>
      <c r="M16" s="2">
        <f>+M15/$O$15</f>
        <v>0.82453584845738181</v>
      </c>
      <c r="N16" s="2">
        <f>+N15/$O$15</f>
        <v>0.904557933810899</v>
      </c>
      <c r="O16" s="2">
        <f>+O15/$O$15</f>
        <v>1</v>
      </c>
    </row>
    <row r="18" spans="3:17" x14ac:dyDescent="0.2">
      <c r="C18" t="s">
        <v>161</v>
      </c>
      <c r="D18" s="2">
        <f t="shared" ref="D18:K18" si="4">+D6/D14</f>
        <v>0.43966861058843448</v>
      </c>
      <c r="E18" s="2">
        <f t="shared" si="4"/>
        <v>0.58972499491262509</v>
      </c>
      <c r="F18" s="2">
        <f t="shared" si="4"/>
        <v>0.70773895711154333</v>
      </c>
      <c r="G18" s="2">
        <f t="shared" si="4"/>
        <v>0.77423904041395153</v>
      </c>
      <c r="H18" s="2">
        <f t="shared" si="4"/>
        <v>0.63952891584103633</v>
      </c>
      <c r="I18" s="2">
        <f t="shared" si="4"/>
        <v>0.60366735724595522</v>
      </c>
      <c r="J18" s="2">
        <f t="shared" si="4"/>
        <v>0.73788748006109384</v>
      </c>
      <c r="K18" s="2">
        <f t="shared" si="4"/>
        <v>0.64324493594147791</v>
      </c>
      <c r="L18" s="2">
        <f>+L6/L14</f>
        <v>0.73743159926245527</v>
      </c>
      <c r="M18" s="2">
        <f>+M6/M14</f>
        <v>0.60569455612750167</v>
      </c>
    </row>
    <row r="19" spans="3:17" x14ac:dyDescent="0.2">
      <c r="C19" t="s">
        <v>162</v>
      </c>
      <c r="D19" s="2">
        <f t="shared" ref="D19:K19" si="5">+D7/D14</f>
        <v>0.17934303077645664</v>
      </c>
      <c r="E19" s="2">
        <f t="shared" si="5"/>
        <v>0.20162615232084441</v>
      </c>
      <c r="F19" s="2">
        <f t="shared" si="5"/>
        <v>0.15501865048703675</v>
      </c>
      <c r="G19" s="2">
        <f t="shared" si="5"/>
        <v>2.7164512948699079E-2</v>
      </c>
      <c r="H19" s="2">
        <f t="shared" si="5"/>
        <v>0.18414058435040404</v>
      </c>
      <c r="I19" s="2">
        <f t="shared" si="5"/>
        <v>0.26192473076119327</v>
      </c>
      <c r="J19" s="2">
        <f t="shared" si="5"/>
        <v>0.11674182964903387</v>
      </c>
      <c r="K19" s="2">
        <f t="shared" si="5"/>
        <v>0.22525937935072438</v>
      </c>
      <c r="L19" s="2">
        <f>+L7/L14</f>
        <v>8.4145037373739448E-2</v>
      </c>
      <c r="M19" s="2">
        <f>+M7/M14</f>
        <v>0.20205970584733579</v>
      </c>
    </row>
    <row r="20" spans="3:17" x14ac:dyDescent="0.2">
      <c r="C20" t="s">
        <v>282</v>
      </c>
      <c r="D20" s="2">
        <f>+D8/D14</f>
        <v>6.7925496604511804E-2</v>
      </c>
      <c r="E20" s="2">
        <f t="shared" ref="E20:M20" si="6">+E8/E14</f>
        <v>7.5590928274301791E-2</v>
      </c>
      <c r="F20" s="2">
        <f t="shared" si="6"/>
        <v>6.1474771761000378E-2</v>
      </c>
      <c r="G20" s="2">
        <f t="shared" si="6"/>
        <v>9.8758104268498459E-2</v>
      </c>
      <c r="H20" s="2">
        <f t="shared" si="6"/>
        <v>9.5043192127027387E-2</v>
      </c>
      <c r="I20" s="2">
        <f t="shared" si="6"/>
        <v>9.5029778940376688E-2</v>
      </c>
      <c r="J20" s="2">
        <f t="shared" si="6"/>
        <v>9.1397545521047188E-2</v>
      </c>
      <c r="K20" s="2">
        <f t="shared" si="6"/>
        <v>7.7904089995243078E-2</v>
      </c>
      <c r="L20" s="2">
        <f t="shared" si="6"/>
        <v>0.11917220090479577</v>
      </c>
      <c r="M20" s="2">
        <f t="shared" si="6"/>
        <v>9.7829434769941034E-2</v>
      </c>
    </row>
    <row r="22" spans="3:17" ht="16" thickBot="1" x14ac:dyDescent="0.25">
      <c r="O22" s="5"/>
    </row>
    <row r="23" spans="3:17" x14ac:dyDescent="0.2">
      <c r="C23" s="84" t="s">
        <v>34</v>
      </c>
      <c r="D23" s="85" t="s">
        <v>10</v>
      </c>
      <c r="E23" s="85" t="s">
        <v>11</v>
      </c>
      <c r="F23" s="85" t="s">
        <v>12</v>
      </c>
      <c r="G23" s="85" t="s">
        <v>13</v>
      </c>
      <c r="H23" s="85" t="s">
        <v>14</v>
      </c>
      <c r="I23" s="85" t="s">
        <v>15</v>
      </c>
      <c r="J23" s="85" t="s">
        <v>16</v>
      </c>
      <c r="K23" s="85" t="s">
        <v>24</v>
      </c>
      <c r="L23" s="85" t="s">
        <v>25</v>
      </c>
      <c r="M23" s="85" t="s">
        <v>26</v>
      </c>
      <c r="N23" s="85" t="s">
        <v>27</v>
      </c>
      <c r="O23" s="85" t="s">
        <v>28</v>
      </c>
      <c r="P23" s="86" t="s">
        <v>35</v>
      </c>
      <c r="Q23" t="s">
        <v>36</v>
      </c>
    </row>
    <row r="24" spans="3:17" x14ac:dyDescent="0.2">
      <c r="C24" s="79" t="str">
        <f>'Gasto Septiembre'!A30</f>
        <v>Chile</v>
      </c>
      <c r="D24" s="5">
        <f>('Gasto Diciembre (2)'!B28)/1000</f>
        <v>476.29050540204207</v>
      </c>
      <c r="E24" s="5">
        <f>('Gasto Diciembre (2)'!C28)/1000</f>
        <v>313.31491841733776</v>
      </c>
      <c r="F24" s="5">
        <f>('Gasto Diciembre (2)'!D28)/1000</f>
        <v>275.86854834543823</v>
      </c>
      <c r="G24" s="5">
        <f>('Gasto Diciembre (2)'!E28)/1000</f>
        <v>231.52127189784832</v>
      </c>
      <c r="H24" s="5">
        <f>('Gasto Diciembre (2)'!F28)/1000</f>
        <v>317.17005490913857</v>
      </c>
      <c r="I24" s="5">
        <f>('Gasto Diciembre (2)'!G28)/1000</f>
        <v>288.14494428127159</v>
      </c>
      <c r="J24" s="5">
        <f>('Gasto Diciembre (2)'!H28)/1000</f>
        <v>292.12749050727416</v>
      </c>
      <c r="K24" s="5">
        <f>('Gasto Diciembre (2)'!I28)/1000</f>
        <v>299.21778578341736</v>
      </c>
      <c r="L24" s="5">
        <f>('Gasto Diciembre (2)'!J28)/1000</f>
        <v>267.60024292547041</v>
      </c>
      <c r="M24" s="5">
        <f>('Gasto Diciembre (2)'!K28)/1000</f>
        <v>356.05443933990841</v>
      </c>
      <c r="N24" s="5">
        <f>('Gasto Diciembre (2)'!L28)/1000</f>
        <v>318.2745372834699</v>
      </c>
      <c r="O24" s="5">
        <f>('Gasto Diciembre (2)'!M28)/1000</f>
        <v>334.87696060457898</v>
      </c>
      <c r="P24" s="81">
        <f>+SUM(D24:O24)</f>
        <v>3770.4616996971954</v>
      </c>
      <c r="Q24" s="19">
        <f>+AVERAGE(D24:O24)</f>
        <v>314.20514164143293</v>
      </c>
    </row>
    <row r="25" spans="3:17" x14ac:dyDescent="0.2">
      <c r="C25" s="79" t="str">
        <f>'Gasto Septiembre'!A31</f>
        <v>Perú</v>
      </c>
      <c r="D25" s="5">
        <f>('Gasto Diciembre (2)'!B29)/1000</f>
        <v>167.14016440755313</v>
      </c>
      <c r="E25" s="5">
        <f>('Gasto Diciembre (2)'!C29)/1000</f>
        <v>109.66978175138264</v>
      </c>
      <c r="F25" s="5">
        <f>('Gasto Diciembre (2)'!D29)/1000</f>
        <v>119.90377369255575</v>
      </c>
      <c r="G25" s="5">
        <f>('Gasto Diciembre (2)'!E29)/1000</f>
        <v>98.132410000000007</v>
      </c>
      <c r="H25" s="5">
        <f>('Gasto Diciembre (2)'!F29)/1000</f>
        <v>125.25863</v>
      </c>
      <c r="I25" s="5">
        <f>('Gasto Diciembre (2)'!G29)/1000</f>
        <v>82.824806143568253</v>
      </c>
      <c r="J25" s="5">
        <f>('Gasto Diciembre (2)'!H29)/1000</f>
        <v>139.67400000000001</v>
      </c>
      <c r="K25" s="5">
        <f>('Gasto Diciembre (2)'!I29)/1000</f>
        <v>152.09422000000004</v>
      </c>
      <c r="L25" s="5">
        <f>('Gasto Diciembre (2)'!J29)/1000</f>
        <v>73.593999999999994</v>
      </c>
      <c r="M25" s="5">
        <f>('Gasto Diciembre (2)'!K29)/1000</f>
        <v>88.148450000000025</v>
      </c>
      <c r="N25" s="5">
        <f>('Gasto Diciembre (2)'!L29)/1000</f>
        <v>112.788</v>
      </c>
      <c r="O25" s="5">
        <f>('Gasto Diciembre (2)'!M29)/1000</f>
        <v>159.18261999999999</v>
      </c>
      <c r="P25" s="81">
        <f>+SUM(D25:O25)</f>
        <v>1428.41085599506</v>
      </c>
      <c r="Q25" s="19">
        <f t="shared" ref="Q25:Q26" si="7">+AVERAGE(D25:O25)</f>
        <v>119.03423799958834</v>
      </c>
    </row>
    <row r="26" spans="3:17" x14ac:dyDescent="0.2">
      <c r="C26" s="79" t="str">
        <f>'Gasto Septiembre'!A32</f>
        <v>Brasil</v>
      </c>
      <c r="D26" s="5">
        <f>('Gasto Diciembre (2)'!B30)/1000</f>
        <v>44.599490000000003</v>
      </c>
      <c r="E26" s="5">
        <f>('Gasto Diciembre (2)'!C30)/1000</f>
        <v>49.270340000000004</v>
      </c>
      <c r="F26" s="5">
        <f>('Gasto Diciembre (2)'!D30)/1000</f>
        <v>12.379580000000001</v>
      </c>
      <c r="G26" s="5">
        <f>('Gasto Diciembre (2)'!E30)/1000</f>
        <v>21.355714693877552</v>
      </c>
      <c r="H26" s="5">
        <f>('Gasto Diciembre (2)'!F30)/1000</f>
        <v>46.925750000000001</v>
      </c>
      <c r="I26" s="5">
        <f>('Gasto Diciembre (2)'!G30)/1000</f>
        <v>15.35474</v>
      </c>
      <c r="J26" s="5">
        <f>('Gasto Diciembre (2)'!H30)/1000</f>
        <v>23.350999999999999</v>
      </c>
      <c r="K26" s="5">
        <f>('Gasto Diciembre (2)'!I30)/1000</f>
        <v>25.035070000000001</v>
      </c>
      <c r="L26" s="5">
        <f>('Gasto Diciembre (2)'!J30)/1000</f>
        <v>27.683</v>
      </c>
      <c r="M26" s="5">
        <f>('Gasto Diciembre (2)'!K30)/1000</f>
        <v>42.454999999999998</v>
      </c>
      <c r="N26" s="5">
        <f>('Gasto Diciembre (2)'!L30)/1000</f>
        <v>13.641</v>
      </c>
      <c r="O26" s="5">
        <f>('Gasto Diciembre (2)'!M30)/1000</f>
        <v>36.336800000000004</v>
      </c>
      <c r="P26" s="81">
        <f>+SUM(D26:O26)</f>
        <v>358.38748469387752</v>
      </c>
      <c r="Q26" s="19">
        <f t="shared" si="7"/>
        <v>29.865623724489794</v>
      </c>
    </row>
    <row r="27" spans="3:17" ht="16" thickBot="1" x14ac:dyDescent="0.25">
      <c r="C27" s="87" t="s">
        <v>35</v>
      </c>
      <c r="D27" s="88">
        <f>+SUM(D24:D26)</f>
        <v>688.03015980959526</v>
      </c>
      <c r="E27" s="88">
        <f t="shared" ref="E27:O27" si="8">+SUM(E24:E26)</f>
        <v>472.25504016872037</v>
      </c>
      <c r="F27" s="88">
        <f t="shared" si="8"/>
        <v>408.15190203799392</v>
      </c>
      <c r="G27" s="88">
        <f t="shared" si="8"/>
        <v>351.00939659172587</v>
      </c>
      <c r="H27" s="88">
        <f t="shared" si="8"/>
        <v>489.35443490913855</v>
      </c>
      <c r="I27" s="88">
        <f t="shared" si="8"/>
        <v>386.32449042483984</v>
      </c>
      <c r="J27" s="88">
        <f t="shared" si="8"/>
        <v>455.15249050727414</v>
      </c>
      <c r="K27" s="88">
        <f t="shared" si="8"/>
        <v>476.34707578341738</v>
      </c>
      <c r="L27" s="88">
        <f t="shared" si="8"/>
        <v>368.8772429254704</v>
      </c>
      <c r="M27" s="88">
        <f t="shared" si="8"/>
        <v>486.65788933990842</v>
      </c>
      <c r="N27" s="88">
        <f t="shared" si="8"/>
        <v>444.70353728346993</v>
      </c>
      <c r="O27" s="88">
        <f t="shared" si="8"/>
        <v>530.39638060457901</v>
      </c>
      <c r="P27" s="89">
        <f>+SUM(P24:P26)</f>
        <v>5557.2600403861334</v>
      </c>
      <c r="Q27" s="95">
        <f>+SUM(Q24:Q26)</f>
        <v>463.1050033655111</v>
      </c>
    </row>
    <row r="28" spans="3:17" x14ac:dyDescent="0.2">
      <c r="C28" t="s">
        <v>37</v>
      </c>
      <c r="D28" s="18">
        <f>+SUM($D$27:D27)</f>
        <v>688.03015980959526</v>
      </c>
      <c r="E28" s="18">
        <f>+SUM($D$27:E27)</f>
        <v>1160.2851999783156</v>
      </c>
      <c r="F28" s="18">
        <f>+SUM($D$27:F27)</f>
        <v>1568.4371020163096</v>
      </c>
      <c r="G28" s="18">
        <f>+SUM($D$27:G27)</f>
        <v>1919.4464986080354</v>
      </c>
      <c r="H28" s="18">
        <f>+SUM($D$27:H27)</f>
        <v>2408.8009335171741</v>
      </c>
      <c r="I28" s="18">
        <f>+SUM($D$27:I27)</f>
        <v>2795.1254239420141</v>
      </c>
      <c r="J28" s="18">
        <f>+SUM($D$27:J27)</f>
        <v>3250.2779144492883</v>
      </c>
      <c r="K28" s="18">
        <f>+SUM($D$27:K27)</f>
        <v>3726.6249902327058</v>
      </c>
      <c r="L28" s="18">
        <f>+SUM($D$27:L27)</f>
        <v>4095.5022331581763</v>
      </c>
      <c r="M28" s="18">
        <f>+SUM($D$27:M27)</f>
        <v>4582.160122498085</v>
      </c>
      <c r="N28" s="18">
        <f>+SUM($D$27:N27)</f>
        <v>5026.8636597815548</v>
      </c>
      <c r="O28" s="18">
        <f>+SUM($D$27:O27)</f>
        <v>5557.2600403861343</v>
      </c>
      <c r="P28" s="16"/>
      <c r="Q28" s="16"/>
    </row>
    <row r="29" spans="3:17" x14ac:dyDescent="0.2">
      <c r="D29" s="2">
        <f t="shared" ref="D29:I29" si="9">+D28/$O$28</f>
        <v>0.12380744374196838</v>
      </c>
      <c r="E29" s="2">
        <f t="shared" si="9"/>
        <v>0.20878727854126036</v>
      </c>
      <c r="F29" s="2">
        <f t="shared" si="9"/>
        <v>0.28223208750680129</v>
      </c>
      <c r="G29" s="2">
        <f t="shared" si="9"/>
        <v>0.34539440023660778</v>
      </c>
      <c r="H29" s="2">
        <f t="shared" si="9"/>
        <v>0.43345118205946032</v>
      </c>
      <c r="I29" s="2">
        <f t="shared" si="9"/>
        <v>0.50296826199045397</v>
      </c>
      <c r="J29" s="2">
        <f t="shared" ref="J29:O29" si="10">+J28/$O$28</f>
        <v>0.58487058205457843</v>
      </c>
      <c r="K29" s="2">
        <f t="shared" si="10"/>
        <v>0.67058675734989892</v>
      </c>
      <c r="L29" s="2">
        <f t="shared" si="10"/>
        <v>0.7369642959651046</v>
      </c>
      <c r="M29" s="2">
        <f t="shared" si="10"/>
        <v>0.82453584845738181</v>
      </c>
      <c r="N29" s="2">
        <f t="shared" si="10"/>
        <v>0.904557933810899</v>
      </c>
      <c r="O29" s="2">
        <f t="shared" si="10"/>
        <v>1</v>
      </c>
    </row>
    <row r="31" spans="3:17" x14ac:dyDescent="0.2">
      <c r="E31" s="2">
        <f>+(E27-D27)/D27</f>
        <v>-0.31361287955834416</v>
      </c>
      <c r="F31" s="2">
        <f t="shared" ref="F31:O31" si="11">+(F27-E27)/E27</f>
        <v>-0.13573838853646669</v>
      </c>
      <c r="G31" s="2">
        <f t="shared" si="11"/>
        <v>-0.14000303602884787</v>
      </c>
      <c r="H31" s="2">
        <f t="shared" si="11"/>
        <v>0.39413485696033301</v>
      </c>
      <c r="I31" s="2">
        <f t="shared" si="11"/>
        <v>-0.21054257841441432</v>
      </c>
      <c r="J31" s="2">
        <f t="shared" si="11"/>
        <v>0.17816111012466324</v>
      </c>
      <c r="K31" s="2">
        <f t="shared" si="11"/>
        <v>4.6565899820786585E-2</v>
      </c>
      <c r="L31" s="2">
        <f t="shared" si="11"/>
        <v>-0.22561245428283205</v>
      </c>
      <c r="M31" s="2">
        <f t="shared" si="11"/>
        <v>0.31929496512267891</v>
      </c>
      <c r="N31" s="2">
        <f t="shared" si="11"/>
        <v>-8.6209127552302534E-2</v>
      </c>
      <c r="O31" s="2">
        <f t="shared" si="11"/>
        <v>0.19269656329827078</v>
      </c>
    </row>
    <row r="34" spans="1:34" ht="5" customHeight="1" x14ac:dyDescent="0.2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</row>
    <row r="37" spans="1:34" ht="24" customHeight="1" x14ac:dyDescent="0.2">
      <c r="C37" s="126" t="s">
        <v>295</v>
      </c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</row>
    <row r="38" spans="1:34" ht="16" thickBot="1" x14ac:dyDescent="0.25">
      <c r="C38" s="82"/>
    </row>
    <row r="39" spans="1:34" x14ac:dyDescent="0.2">
      <c r="C39" s="84" t="s">
        <v>34</v>
      </c>
      <c r="D39" s="85" t="s">
        <v>10</v>
      </c>
      <c r="E39" s="85" t="s">
        <v>11</v>
      </c>
      <c r="F39" s="85" t="s">
        <v>12</v>
      </c>
      <c r="G39" s="85" t="s">
        <v>13</v>
      </c>
      <c r="H39" s="85" t="s">
        <v>14</v>
      </c>
      <c r="I39" s="85" t="s">
        <v>15</v>
      </c>
      <c r="J39" s="85" t="s">
        <v>16</v>
      </c>
      <c r="K39" s="85" t="s">
        <v>24</v>
      </c>
      <c r="L39" s="85" t="s">
        <v>25</v>
      </c>
      <c r="M39" s="85" t="s">
        <v>26</v>
      </c>
      <c r="N39" s="85" t="s">
        <v>27</v>
      </c>
      <c r="O39" s="85" t="s">
        <v>28</v>
      </c>
      <c r="P39" s="86" t="s">
        <v>35</v>
      </c>
      <c r="Q39" t="s">
        <v>36</v>
      </c>
    </row>
    <row r="40" spans="1:34" x14ac:dyDescent="0.2">
      <c r="C40" s="90" t="s">
        <v>32</v>
      </c>
      <c r="D40" s="5">
        <f>+D24</f>
        <v>476.29050540204207</v>
      </c>
      <c r="E40" s="5">
        <f t="shared" ref="E40:O40" si="12">+E24</f>
        <v>313.31491841733776</v>
      </c>
      <c r="F40" s="5">
        <f t="shared" si="12"/>
        <v>275.86854834543823</v>
      </c>
      <c r="G40" s="5">
        <f t="shared" si="12"/>
        <v>231.52127189784832</v>
      </c>
      <c r="H40" s="5">
        <f t="shared" si="12"/>
        <v>317.17005490913857</v>
      </c>
      <c r="I40" s="5">
        <f t="shared" si="12"/>
        <v>288.14494428127159</v>
      </c>
      <c r="J40" s="5">
        <f t="shared" si="12"/>
        <v>292.12749050727416</v>
      </c>
      <c r="K40" s="5">
        <f t="shared" si="12"/>
        <v>299.21778578341736</v>
      </c>
      <c r="L40" s="5">
        <f t="shared" si="12"/>
        <v>267.60024292547041</v>
      </c>
      <c r="M40" s="5">
        <f t="shared" si="12"/>
        <v>356.05443933990841</v>
      </c>
      <c r="N40" s="5">
        <f t="shared" si="12"/>
        <v>318.2745372834699</v>
      </c>
      <c r="O40" s="5">
        <f t="shared" si="12"/>
        <v>334.87696060457898</v>
      </c>
      <c r="P40" s="81">
        <f>+SUM(D40:O40)</f>
        <v>3770.4616996971954</v>
      </c>
      <c r="Q40" s="83">
        <f>+AVERAGE(D40:O40)</f>
        <v>314.20514164143293</v>
      </c>
    </row>
    <row r="41" spans="1:34" x14ac:dyDescent="0.2">
      <c r="C41" s="90" t="s">
        <v>33</v>
      </c>
      <c r="D41" s="5">
        <f t="shared" ref="D41:O42" si="13">+D25</f>
        <v>167.14016440755313</v>
      </c>
      <c r="E41" s="5">
        <f t="shared" si="13"/>
        <v>109.66978175138264</v>
      </c>
      <c r="F41" s="5">
        <f t="shared" si="13"/>
        <v>119.90377369255575</v>
      </c>
      <c r="G41" s="5">
        <f t="shared" si="13"/>
        <v>98.132410000000007</v>
      </c>
      <c r="H41" s="5">
        <f t="shared" si="13"/>
        <v>125.25863</v>
      </c>
      <c r="I41" s="5">
        <f t="shared" si="13"/>
        <v>82.824806143568253</v>
      </c>
      <c r="J41" s="5">
        <f t="shared" si="13"/>
        <v>139.67400000000001</v>
      </c>
      <c r="K41" s="5">
        <f t="shared" si="13"/>
        <v>152.09422000000004</v>
      </c>
      <c r="L41" s="5">
        <f t="shared" si="13"/>
        <v>73.593999999999994</v>
      </c>
      <c r="M41" s="5">
        <f t="shared" si="13"/>
        <v>88.148450000000025</v>
      </c>
      <c r="N41" s="5">
        <f t="shared" si="13"/>
        <v>112.788</v>
      </c>
      <c r="O41" s="5">
        <f t="shared" si="13"/>
        <v>159.18261999999999</v>
      </c>
      <c r="P41" s="81">
        <f>+SUM(D41:O41)</f>
        <v>1428.41085599506</v>
      </c>
      <c r="Q41" s="83">
        <f t="shared" ref="Q41:Q43" si="14">+AVERAGE(D41:O41)</f>
        <v>119.03423799958834</v>
      </c>
    </row>
    <row r="42" spans="1:34" x14ac:dyDescent="0.2">
      <c r="C42" s="90" t="s">
        <v>3</v>
      </c>
      <c r="D42" s="5">
        <f t="shared" si="13"/>
        <v>44.599490000000003</v>
      </c>
      <c r="E42" s="5">
        <f t="shared" si="13"/>
        <v>49.270340000000004</v>
      </c>
      <c r="F42" s="5">
        <f t="shared" si="13"/>
        <v>12.379580000000001</v>
      </c>
      <c r="G42" s="5">
        <f t="shared" si="13"/>
        <v>21.355714693877552</v>
      </c>
      <c r="H42" s="5">
        <f t="shared" si="13"/>
        <v>46.925750000000001</v>
      </c>
      <c r="I42" s="5">
        <f t="shared" si="13"/>
        <v>15.35474</v>
      </c>
      <c r="J42" s="5">
        <f t="shared" si="13"/>
        <v>23.350999999999999</v>
      </c>
      <c r="K42" s="5">
        <f t="shared" si="13"/>
        <v>25.035070000000001</v>
      </c>
      <c r="L42" s="5">
        <f t="shared" si="13"/>
        <v>27.683</v>
      </c>
      <c r="M42" s="5">
        <f t="shared" si="13"/>
        <v>42.454999999999998</v>
      </c>
      <c r="N42" s="5">
        <f t="shared" si="13"/>
        <v>13.641</v>
      </c>
      <c r="O42" s="5">
        <f t="shared" si="13"/>
        <v>36.336800000000004</v>
      </c>
      <c r="P42" s="81">
        <f>+SUM(D42:O42)</f>
        <v>358.38748469387752</v>
      </c>
      <c r="Q42" s="83">
        <f t="shared" si="14"/>
        <v>29.865623724489794</v>
      </c>
    </row>
    <row r="43" spans="1:34" x14ac:dyDescent="0.2">
      <c r="C43" s="115" t="s">
        <v>51</v>
      </c>
      <c r="D43" s="116">
        <v>0</v>
      </c>
      <c r="E43" s="116">
        <v>0</v>
      </c>
      <c r="F43" s="116">
        <v>29.806000000000001</v>
      </c>
      <c r="G43" s="116">
        <v>0</v>
      </c>
      <c r="H43" s="116">
        <f>+(32809+600)/1000</f>
        <v>33.408999999999999</v>
      </c>
      <c r="I43" s="116">
        <v>8.5120000000000005</v>
      </c>
      <c r="J43" s="116">
        <v>71.468000000000004</v>
      </c>
      <c r="K43" s="116">
        <f>44.749+17.214</f>
        <v>61.963000000000001</v>
      </c>
      <c r="L43" s="116">
        <v>14.9</v>
      </c>
      <c r="M43" s="116">
        <f>4.77+27.585</f>
        <v>32.355000000000004</v>
      </c>
      <c r="N43" s="116">
        <v>7.5</v>
      </c>
      <c r="O43" s="118">
        <f>+(1600+17+6667+1000+17+22318+17+17+118000+17+1000)/1000</f>
        <v>150.66999999999999</v>
      </c>
      <c r="P43" s="81">
        <f>+SUM(D43:O43)</f>
        <v>410.58299999999997</v>
      </c>
      <c r="Q43" s="83">
        <f t="shared" si="14"/>
        <v>34.215249999999997</v>
      </c>
    </row>
    <row r="44" spans="1:34" ht="16" thickBot="1" x14ac:dyDescent="0.25">
      <c r="C44" s="87" t="s">
        <v>35</v>
      </c>
      <c r="D44" s="88">
        <f>+SUM(D40:D43)</f>
        <v>688.03015980959526</v>
      </c>
      <c r="E44" s="88">
        <f t="shared" ref="E44:Q44" si="15">+SUM(E40:E43)</f>
        <v>472.25504016872037</v>
      </c>
      <c r="F44" s="88">
        <f t="shared" si="15"/>
        <v>437.9579020379939</v>
      </c>
      <c r="G44" s="88">
        <f t="shared" si="15"/>
        <v>351.00939659172587</v>
      </c>
      <c r="H44" s="88">
        <f t="shared" si="15"/>
        <v>522.7634349091386</v>
      </c>
      <c r="I44" s="88">
        <f t="shared" si="15"/>
        <v>394.83649042483984</v>
      </c>
      <c r="J44" s="88">
        <f t="shared" si="15"/>
        <v>526.6204905072741</v>
      </c>
      <c r="K44" s="88">
        <f t="shared" si="15"/>
        <v>538.31007578341735</v>
      </c>
      <c r="L44" s="88">
        <f t="shared" si="15"/>
        <v>383.77724292547038</v>
      </c>
      <c r="M44" s="88">
        <f t="shared" si="15"/>
        <v>519.01288933990838</v>
      </c>
      <c r="N44" s="88">
        <f t="shared" si="15"/>
        <v>452.20353728346993</v>
      </c>
      <c r="O44" s="88">
        <f t="shared" si="15"/>
        <v>681.06638060457897</v>
      </c>
      <c r="P44" s="89">
        <f t="shared" si="15"/>
        <v>5967.843040386133</v>
      </c>
      <c r="Q44" s="17">
        <f t="shared" si="15"/>
        <v>497.32025336551112</v>
      </c>
    </row>
    <row r="46" spans="1:34" ht="16" thickBot="1" x14ac:dyDescent="0.25"/>
    <row r="47" spans="1:34" x14ac:dyDescent="0.2">
      <c r="C47" s="84" t="s">
        <v>34</v>
      </c>
      <c r="D47" s="85" t="s">
        <v>10</v>
      </c>
      <c r="E47" s="85" t="s">
        <v>11</v>
      </c>
      <c r="F47" s="85" t="s">
        <v>12</v>
      </c>
      <c r="G47" s="85" t="s">
        <v>13</v>
      </c>
      <c r="H47" s="85" t="s">
        <v>14</v>
      </c>
      <c r="I47" s="85" t="s">
        <v>15</v>
      </c>
      <c r="J47" s="85" t="s">
        <v>16</v>
      </c>
      <c r="K47" s="85" t="s">
        <v>24</v>
      </c>
      <c r="L47" s="85" t="s">
        <v>25</v>
      </c>
      <c r="M47" s="85" t="s">
        <v>26</v>
      </c>
      <c r="N47" s="85" t="s">
        <v>27</v>
      </c>
      <c r="O47" s="85" t="s">
        <v>28</v>
      </c>
      <c r="P47" s="86" t="s">
        <v>35</v>
      </c>
      <c r="Q47" t="s">
        <v>36</v>
      </c>
    </row>
    <row r="48" spans="1:34" x14ac:dyDescent="0.2">
      <c r="C48" s="90" t="s">
        <v>17</v>
      </c>
      <c r="D48" s="5">
        <f>+D6</f>
        <v>302.50526440642318</v>
      </c>
      <c r="E48" s="5">
        <f t="shared" ref="E48:O48" si="16">+E6</f>
        <v>278.50060116096029</v>
      </c>
      <c r="F48" s="5">
        <f t="shared" si="16"/>
        <v>288.86500149146269</v>
      </c>
      <c r="G48" s="5">
        <f t="shared" si="16"/>
        <v>271.76517839345803</v>
      </c>
      <c r="H48" s="5">
        <f t="shared" si="16"/>
        <v>312.95631121944433</v>
      </c>
      <c r="I48" s="5">
        <f t="shared" si="16"/>
        <v>233.21148417415336</v>
      </c>
      <c r="J48" s="5">
        <f t="shared" si="16"/>
        <v>335.85132426394347</v>
      </c>
      <c r="K48" s="5">
        <f t="shared" si="16"/>
        <v>306.40784424821476</v>
      </c>
      <c r="L48" s="5">
        <f t="shared" si="16"/>
        <v>272.0217351820549</v>
      </c>
      <c r="M48" s="5">
        <f t="shared" si="16"/>
        <v>294.76603426968279</v>
      </c>
      <c r="N48" s="5">
        <f t="shared" si="16"/>
        <v>275.86337652075775</v>
      </c>
      <c r="O48" s="5">
        <f t="shared" si="16"/>
        <v>316.82887029160804</v>
      </c>
      <c r="P48" s="81">
        <f>+SUM(D48:O48)</f>
        <v>3489.5430256221634</v>
      </c>
      <c r="Q48" s="16">
        <f>+AVERAGE(D48:O48)</f>
        <v>290.79525213518031</v>
      </c>
    </row>
    <row r="49" spans="3:17" x14ac:dyDescent="0.2">
      <c r="C49" s="90" t="s">
        <v>18</v>
      </c>
      <c r="D49" s="80">
        <f>+D7+D43</f>
        <v>123.39341412586258</v>
      </c>
      <c r="E49" s="80">
        <f t="shared" ref="E49:O49" si="17">+E7+E43</f>
        <v>95.218966663344958</v>
      </c>
      <c r="F49" s="80">
        <f t="shared" si="17"/>
        <v>93.077157047647063</v>
      </c>
      <c r="G49" s="80">
        <f t="shared" si="17"/>
        <v>9.5349992988309893</v>
      </c>
      <c r="H49" s="80">
        <f t="shared" si="17"/>
        <v>123.51901159863053</v>
      </c>
      <c r="I49" s="80">
        <f t="shared" si="17"/>
        <v>109.69993814098135</v>
      </c>
      <c r="J49" s="80">
        <f t="shared" si="17"/>
        <v>124.60333451113371</v>
      </c>
      <c r="K49" s="80">
        <f t="shared" si="17"/>
        <v>169.2646466465051</v>
      </c>
      <c r="L49" s="80">
        <f t="shared" si="17"/>
        <v>45.939189392285677</v>
      </c>
      <c r="M49" s="80">
        <f t="shared" si="17"/>
        <v>130.68894996830724</v>
      </c>
      <c r="N49" s="80">
        <f t="shared" si="17"/>
        <v>86.122168996553398</v>
      </c>
      <c r="O49" s="80">
        <f t="shared" si="17"/>
        <v>248.33479658087725</v>
      </c>
      <c r="P49" s="81">
        <f t="shared" ref="P49:P55" si="18">+SUM(D49:O49)</f>
        <v>1359.3965729709601</v>
      </c>
      <c r="Q49" s="16">
        <f t="shared" ref="Q49:Q55" si="19">+AVERAGE(D49:O49)</f>
        <v>113.28304774758</v>
      </c>
    </row>
    <row r="50" spans="3:17" x14ac:dyDescent="0.2">
      <c r="C50" s="90" t="s">
        <v>19</v>
      </c>
      <c r="D50" s="5">
        <f t="shared" ref="D50:O50" si="20">+D8</f>
        <v>46.734790283948357</v>
      </c>
      <c r="E50" s="5">
        <f t="shared" si="20"/>
        <v>35.698196868571273</v>
      </c>
      <c r="F50" s="5">
        <f t="shared" si="20"/>
        <v>25.091045021603868</v>
      </c>
      <c r="G50" s="5">
        <f t="shared" si="20"/>
        <v>34.665022587828396</v>
      </c>
      <c r="H50" s="5">
        <f t="shared" si="20"/>
        <v>46.509807575282174</v>
      </c>
      <c r="I50" s="5">
        <f t="shared" si="20"/>
        <v>36.712330924326196</v>
      </c>
      <c r="J50" s="5">
        <f t="shared" si="20"/>
        <v>41.599820470156587</v>
      </c>
      <c r="K50" s="5">
        <f t="shared" si="20"/>
        <v>37.109385460802237</v>
      </c>
      <c r="L50" s="5">
        <f t="shared" si="20"/>
        <v>43.959912903121321</v>
      </c>
      <c r="M50" s="5">
        <f t="shared" si="20"/>
        <v>47.609466240455774</v>
      </c>
      <c r="N50" s="5">
        <f t="shared" si="20"/>
        <v>42.586412927130503</v>
      </c>
      <c r="O50" s="5">
        <f t="shared" si="20"/>
        <v>70.662433879247132</v>
      </c>
      <c r="P50" s="81">
        <f t="shared" si="18"/>
        <v>508.93862514247382</v>
      </c>
      <c r="Q50" s="16">
        <f t="shared" si="19"/>
        <v>42.411552095206154</v>
      </c>
    </row>
    <row r="51" spans="3:17" x14ac:dyDescent="0.2">
      <c r="C51" s="90" t="s">
        <v>22</v>
      </c>
      <c r="D51" s="5">
        <f t="shared" ref="D51:O51" si="21">+D9</f>
        <v>129.39817010191192</v>
      </c>
      <c r="E51" s="5">
        <f t="shared" si="21"/>
        <v>40.43176393718786</v>
      </c>
      <c r="F51" s="5">
        <f t="shared" si="21"/>
        <v>19.643364060830315</v>
      </c>
      <c r="G51" s="5">
        <f t="shared" si="21"/>
        <v>12.341404103388877</v>
      </c>
      <c r="H51" s="5">
        <f t="shared" si="21"/>
        <v>18.451805936010711</v>
      </c>
      <c r="I51" s="5">
        <f t="shared" si="21"/>
        <v>6.0272542328956469</v>
      </c>
      <c r="J51" s="5">
        <f t="shared" si="21"/>
        <v>5.0827933346544096</v>
      </c>
      <c r="K51" s="5">
        <f t="shared" si="21"/>
        <v>4.9271873319711803</v>
      </c>
      <c r="L51" s="5">
        <f t="shared" si="21"/>
        <v>4.7191497716500583</v>
      </c>
      <c r="M51" s="5">
        <f t="shared" si="21"/>
        <v>29.951058404517521</v>
      </c>
      <c r="N51" s="5">
        <f t="shared" si="21"/>
        <v>28.926818237958003</v>
      </c>
      <c r="O51" s="5">
        <f t="shared" si="21"/>
        <v>13.829525277763183</v>
      </c>
      <c r="P51" s="81">
        <f t="shared" si="18"/>
        <v>313.73029473073967</v>
      </c>
      <c r="Q51" s="16">
        <f t="shared" si="19"/>
        <v>26.144191227561638</v>
      </c>
    </row>
    <row r="52" spans="3:17" x14ac:dyDescent="0.2">
      <c r="C52" s="90" t="s">
        <v>21</v>
      </c>
      <c r="D52" s="5">
        <f t="shared" ref="D52:O52" si="22">+D10</f>
        <v>70.940379610568385</v>
      </c>
      <c r="E52" s="5">
        <f t="shared" si="22"/>
        <v>15.541722628913062</v>
      </c>
      <c r="F52" s="5">
        <f t="shared" si="22"/>
        <v>6.4251697133057153</v>
      </c>
      <c r="G52" s="5">
        <f t="shared" si="22"/>
        <v>19.65406426562793</v>
      </c>
      <c r="H52" s="5">
        <f t="shared" si="22"/>
        <v>11.217310658473874</v>
      </c>
      <c r="I52" s="5">
        <f t="shared" si="22"/>
        <v>6.6439180250471681</v>
      </c>
      <c r="J52" s="5">
        <f t="shared" si="22"/>
        <v>10.766462434404199</v>
      </c>
      <c r="K52" s="5">
        <f t="shared" si="22"/>
        <v>12.765451293687494</v>
      </c>
      <c r="L52" s="5">
        <f t="shared" si="22"/>
        <v>12.095977046242213</v>
      </c>
      <c r="M52" s="5">
        <f t="shared" si="22"/>
        <v>8.7212621459397521</v>
      </c>
      <c r="N52" s="5">
        <f t="shared" si="22"/>
        <v>1.4406731165088513</v>
      </c>
      <c r="O52" s="5">
        <f t="shared" si="22"/>
        <v>16.033799999999999</v>
      </c>
      <c r="P52" s="81">
        <f t="shared" si="18"/>
        <v>192.24619093871866</v>
      </c>
      <c r="Q52" s="16">
        <f t="shared" si="19"/>
        <v>16.020515911559887</v>
      </c>
    </row>
    <row r="53" spans="3:17" x14ac:dyDescent="0.2">
      <c r="C53" s="90" t="s">
        <v>30</v>
      </c>
      <c r="D53" s="5">
        <f t="shared" ref="D53:O53" si="23">+D11</f>
        <v>12.901351336468462</v>
      </c>
      <c r="E53" s="5">
        <f t="shared" si="23"/>
        <v>5.2800589554097819</v>
      </c>
      <c r="F53" s="5">
        <f t="shared" si="23"/>
        <v>2.6626842850206112</v>
      </c>
      <c r="G53" s="5">
        <f t="shared" si="23"/>
        <v>2.6842877080425773</v>
      </c>
      <c r="H53" s="5">
        <f t="shared" si="23"/>
        <v>6.9208513095393736</v>
      </c>
      <c r="I53" s="5">
        <f t="shared" si="23"/>
        <v>0</v>
      </c>
      <c r="J53" s="5">
        <f t="shared" si="23"/>
        <v>5.6590788856179879</v>
      </c>
      <c r="K53" s="5">
        <f t="shared" si="23"/>
        <v>5.7457511560382839</v>
      </c>
      <c r="L53" s="5">
        <f t="shared" si="23"/>
        <v>2.7826216516772653</v>
      </c>
      <c r="M53" s="5">
        <f t="shared" si="23"/>
        <v>5.5199494543857961</v>
      </c>
      <c r="N53" s="5">
        <f t="shared" si="23"/>
        <v>13.346370934540962</v>
      </c>
      <c r="O53" s="5">
        <f t="shared" si="23"/>
        <v>12.61271082864825</v>
      </c>
      <c r="P53" s="81">
        <f t="shared" si="18"/>
        <v>76.115716505389358</v>
      </c>
      <c r="Q53" s="16">
        <f t="shared" si="19"/>
        <v>6.3429763754491129</v>
      </c>
    </row>
    <row r="54" spans="3:17" x14ac:dyDescent="0.2">
      <c r="C54" s="90" t="s">
        <v>29</v>
      </c>
      <c r="D54" s="5">
        <f t="shared" ref="D54:O54" si="24">+D12</f>
        <v>1.1462879547131577</v>
      </c>
      <c r="E54" s="5">
        <f t="shared" si="24"/>
        <v>0.86461014697334537</v>
      </c>
      <c r="F54" s="5">
        <f t="shared" si="24"/>
        <v>1.7211988470240618</v>
      </c>
      <c r="G54" s="5">
        <f t="shared" si="24"/>
        <v>0</v>
      </c>
      <c r="H54" s="5">
        <f t="shared" si="24"/>
        <v>2.3744770558242907</v>
      </c>
      <c r="I54" s="5">
        <f t="shared" si="24"/>
        <v>0.89949032480995161</v>
      </c>
      <c r="J54" s="5">
        <f t="shared" si="24"/>
        <v>0.88847647083919967</v>
      </c>
      <c r="K54" s="5">
        <f t="shared" si="24"/>
        <v>0.8957952468007313</v>
      </c>
      <c r="L54" s="5">
        <f t="shared" si="24"/>
        <v>1.130629122985068</v>
      </c>
      <c r="M54" s="5">
        <f t="shared" si="24"/>
        <v>0.89204442017112695</v>
      </c>
      <c r="N54" s="5">
        <f t="shared" si="24"/>
        <v>2.3638328530259365</v>
      </c>
      <c r="O54" s="5">
        <f t="shared" si="24"/>
        <v>1.1941192047584126</v>
      </c>
      <c r="P54" s="81">
        <f t="shared" si="18"/>
        <v>14.370961647925281</v>
      </c>
      <c r="Q54" s="16">
        <f t="shared" si="19"/>
        <v>1.1975801373271067</v>
      </c>
    </row>
    <row r="55" spans="3:17" x14ac:dyDescent="0.2">
      <c r="C55" s="90" t="s">
        <v>20</v>
      </c>
      <c r="D55" s="5">
        <f t="shared" ref="D55:O55" si="25">+D13</f>
        <v>1.0105019896990377</v>
      </c>
      <c r="E55" s="5">
        <f t="shared" si="25"/>
        <v>0.71911980736003234</v>
      </c>
      <c r="F55" s="5">
        <f t="shared" si="25"/>
        <v>0.4722815710997067</v>
      </c>
      <c r="G55" s="5">
        <f t="shared" si="25"/>
        <v>0.36444023454912827</v>
      </c>
      <c r="H55" s="5">
        <f t="shared" si="25"/>
        <v>0.81385955593323756</v>
      </c>
      <c r="I55" s="5">
        <f t="shared" si="25"/>
        <v>1.642074602626123</v>
      </c>
      <c r="J55" s="5">
        <f t="shared" si="25"/>
        <v>2.1692001365245961</v>
      </c>
      <c r="K55" s="5">
        <f t="shared" si="25"/>
        <v>1.1940143993977848</v>
      </c>
      <c r="L55" s="5">
        <f t="shared" si="25"/>
        <v>1.1280278554539469</v>
      </c>
      <c r="M55" s="5">
        <f t="shared" si="25"/>
        <v>0.8641244364485281</v>
      </c>
      <c r="N55" s="5">
        <f t="shared" si="25"/>
        <v>1.5538836969946481</v>
      </c>
      <c r="O55" s="5">
        <f t="shared" si="25"/>
        <v>1.5701245416768514</v>
      </c>
      <c r="P55" s="81">
        <f t="shared" si="18"/>
        <v>13.501652827763619</v>
      </c>
      <c r="Q55" s="16">
        <f t="shared" si="19"/>
        <v>1.1251377356469683</v>
      </c>
    </row>
    <row r="56" spans="3:17" ht="16" thickBot="1" x14ac:dyDescent="0.25">
      <c r="C56" s="87" t="s">
        <v>35</v>
      </c>
      <c r="D56" s="88">
        <f>+SUM(D48:D55)</f>
        <v>688.03015980959503</v>
      </c>
      <c r="E56" s="88">
        <f t="shared" ref="E56:O56" si="26">+SUM(E48:E55)</f>
        <v>472.2550401687206</v>
      </c>
      <c r="F56" s="88">
        <f t="shared" si="26"/>
        <v>437.95790203799402</v>
      </c>
      <c r="G56" s="88">
        <f t="shared" si="26"/>
        <v>351.00939659172593</v>
      </c>
      <c r="H56" s="88">
        <f t="shared" si="26"/>
        <v>522.76343490913848</v>
      </c>
      <c r="I56" s="88">
        <f t="shared" si="26"/>
        <v>394.83649042483978</v>
      </c>
      <c r="J56" s="88">
        <f t="shared" si="26"/>
        <v>526.62049050727421</v>
      </c>
      <c r="K56" s="88">
        <f t="shared" si="26"/>
        <v>538.31007578341769</v>
      </c>
      <c r="L56" s="88">
        <f t="shared" si="26"/>
        <v>383.77724292547049</v>
      </c>
      <c r="M56" s="88">
        <f t="shared" si="26"/>
        <v>519.01288933990861</v>
      </c>
      <c r="N56" s="88">
        <f t="shared" si="26"/>
        <v>452.20353728347004</v>
      </c>
      <c r="O56" s="88">
        <f t="shared" si="26"/>
        <v>681.06638060457908</v>
      </c>
      <c r="P56" s="89">
        <f>+SUM(P48:P55)</f>
        <v>5967.8430403861339</v>
      </c>
      <c r="Q56" s="17">
        <f>+SUM(Q48:Q55)</f>
        <v>497.32025336551112</v>
      </c>
    </row>
    <row r="57" spans="3:17" x14ac:dyDescent="0.2">
      <c r="C57" t="s">
        <v>37</v>
      </c>
      <c r="D57" s="18">
        <f>+SUM($D$56:D56)</f>
        <v>688.03015980959503</v>
      </c>
      <c r="E57" s="18">
        <f>+SUM($D$56:E56)</f>
        <v>1160.2851999783156</v>
      </c>
      <c r="F57" s="18">
        <f>+SUM($D$56:F56)</f>
        <v>1598.2431020163096</v>
      </c>
      <c r="G57" s="18">
        <f>+SUM($D$56:G56)</f>
        <v>1949.2524986080357</v>
      </c>
      <c r="H57" s="18">
        <f>+SUM($D$56:H56)</f>
        <v>2472.0159335171743</v>
      </c>
      <c r="I57" s="18">
        <f>+SUM($D$56:I56)</f>
        <v>2866.852423942014</v>
      </c>
      <c r="J57" s="18">
        <f>+SUM($D$56:J56)</f>
        <v>3393.4729144492881</v>
      </c>
      <c r="K57" s="18">
        <f>+SUM($D$56:K56)</f>
        <v>3931.7829902327057</v>
      </c>
      <c r="L57" s="18">
        <f>+SUM($D$56:L56)</f>
        <v>4315.5602331581758</v>
      </c>
      <c r="M57" s="18">
        <f>+SUM($D$56:M56)</f>
        <v>4834.5731224980846</v>
      </c>
      <c r="N57" s="18">
        <f>+SUM($D$56:N56)</f>
        <v>5286.7766597815544</v>
      </c>
      <c r="O57" s="18">
        <f>+SUM($D$56:O56)</f>
        <v>5967.843040386133</v>
      </c>
      <c r="P57" s="16"/>
      <c r="Q57" s="16"/>
    </row>
    <row r="58" spans="3:17" x14ac:dyDescent="0.2">
      <c r="M58" s="2"/>
      <c r="P58" t="s">
        <v>18</v>
      </c>
      <c r="Q58" s="2">
        <f>+P49/$P$48</f>
        <v>0.38956292070036541</v>
      </c>
    </row>
    <row r="59" spans="3:17" x14ac:dyDescent="0.2">
      <c r="P59" t="s">
        <v>19</v>
      </c>
      <c r="Q59" s="2">
        <f t="shared" ref="Q59:Q64" si="27">+P50/$P$48</f>
        <v>0.14584678320501102</v>
      </c>
    </row>
    <row r="60" spans="3:17" x14ac:dyDescent="0.2">
      <c r="P60" t="s">
        <v>22</v>
      </c>
      <c r="Q60" s="2">
        <f t="shared" si="27"/>
        <v>8.9905839368409429E-2</v>
      </c>
    </row>
    <row r="61" spans="3:17" x14ac:dyDescent="0.2">
      <c r="P61" t="s">
        <v>21</v>
      </c>
      <c r="Q61" s="2">
        <f t="shared" si="27"/>
        <v>5.5092082122828213E-2</v>
      </c>
    </row>
    <row r="62" spans="3:17" x14ac:dyDescent="0.2">
      <c r="P62" t="s">
        <v>30</v>
      </c>
      <c r="Q62" s="2">
        <f t="shared" si="27"/>
        <v>2.1812516981881434E-2</v>
      </c>
    </row>
    <row r="63" spans="3:17" x14ac:dyDescent="0.2">
      <c r="P63" t="s">
        <v>29</v>
      </c>
      <c r="Q63" s="2">
        <f t="shared" si="27"/>
        <v>4.1182932958286223E-3</v>
      </c>
    </row>
    <row r="64" spans="3:17" x14ac:dyDescent="0.2">
      <c r="P64" t="s">
        <v>20</v>
      </c>
      <c r="Q64" s="2">
        <f t="shared" si="27"/>
        <v>3.8691750549074717E-3</v>
      </c>
    </row>
    <row r="76" spans="3:5" x14ac:dyDescent="0.2">
      <c r="C76" t="s">
        <v>311</v>
      </c>
      <c r="D76" s="113">
        <f>+Q56</f>
        <v>497.32025336551112</v>
      </c>
      <c r="E76" t="s">
        <v>293</v>
      </c>
    </row>
    <row r="77" spans="3:5" x14ac:dyDescent="0.2">
      <c r="C77" t="s">
        <v>311</v>
      </c>
      <c r="D77" s="113">
        <f>+_xlfn.STDEV.P(D56:O56)</f>
        <v>101.97180104738473</v>
      </c>
      <c r="E77" t="s">
        <v>309</v>
      </c>
    </row>
    <row r="78" spans="3:5" x14ac:dyDescent="0.2">
      <c r="C78" t="s">
        <v>312</v>
      </c>
      <c r="D78" s="114">
        <f>+D77/D76</f>
        <v>0.20504252613343579</v>
      </c>
      <c r="E78" t="s">
        <v>310</v>
      </c>
    </row>
  </sheetData>
  <mergeCells count="2">
    <mergeCell ref="C3:P3"/>
    <mergeCell ref="C37:P37"/>
  </mergeCells>
  <pageMargins left="0.7" right="0.7" top="0.75" bottom="0.75" header="0.3" footer="0.3"/>
  <ignoredErrors>
    <ignoredError sqref="D49:O49" formula="1"/>
  </ignoredErrors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60C9-5D45-4A82-96C8-2746D09A3054}">
  <sheetPr>
    <tabColor rgb="FFFFC000"/>
  </sheetPr>
  <dimension ref="B3:I26"/>
  <sheetViews>
    <sheetView showGridLines="0" view="pageBreakPreview" zoomScale="80" zoomScaleNormal="80" zoomScaleSheetLayoutView="80" workbookViewId="0">
      <selection activeCell="O40" sqref="O40"/>
    </sheetView>
  </sheetViews>
  <sheetFormatPr baseColWidth="10" defaultRowHeight="15" x14ac:dyDescent="0.2"/>
  <cols>
    <col min="2" max="2" width="15" bestFit="1" customWidth="1"/>
    <col min="3" max="3" width="10.1640625" bestFit="1" customWidth="1"/>
    <col min="6" max="6" width="12.6640625" bestFit="1" customWidth="1"/>
    <col min="15" max="15" width="3.5" customWidth="1"/>
  </cols>
  <sheetData>
    <row r="3" spans="2:9" x14ac:dyDescent="0.2">
      <c r="B3" s="49" t="s">
        <v>280</v>
      </c>
    </row>
    <row r="4" spans="2:9" x14ac:dyDescent="0.2">
      <c r="B4" s="70" t="s">
        <v>34</v>
      </c>
      <c r="C4" s="70" t="s">
        <v>283</v>
      </c>
      <c r="D4" s="70" t="s">
        <v>202</v>
      </c>
      <c r="E4" s="70" t="s">
        <v>53</v>
      </c>
      <c r="F4" s="70" t="s">
        <v>279</v>
      </c>
      <c r="H4" t="str">
        <f>+C4</f>
        <v>Oct_Proy</v>
      </c>
      <c r="I4" s="16">
        <f>+C13</f>
        <v>341.08350599730448</v>
      </c>
    </row>
    <row r="5" spans="2:9" x14ac:dyDescent="0.2">
      <c r="B5" s="77" t="s">
        <v>17</v>
      </c>
      <c r="C5" s="75">
        <f>+'Gasto Septiembre'!K9/1000</f>
        <v>273.43922736853381</v>
      </c>
      <c r="D5" s="75">
        <f>+'Gasto total_Análisis'!M48</f>
        <v>294.76603426968279</v>
      </c>
      <c r="E5" s="75">
        <f>+D5-C5</f>
        <v>21.326806901148984</v>
      </c>
      <c r="F5" s="76">
        <f>+E5/C5</f>
        <v>7.7994686813554023E-2</v>
      </c>
      <c r="H5" t="s">
        <v>18</v>
      </c>
      <c r="I5" s="16">
        <v>94.648996653184327</v>
      </c>
    </row>
    <row r="6" spans="2:9" x14ac:dyDescent="0.2">
      <c r="B6" s="77" t="s">
        <v>18</v>
      </c>
      <c r="C6" s="75">
        <f>+'Gasto Septiembre'!K10/1000</f>
        <v>8.6849533151229181</v>
      </c>
      <c r="D6" s="75">
        <f>+'Gasto total_Análisis'!M49</f>
        <v>130.68894996830724</v>
      </c>
      <c r="E6" s="75">
        <f t="shared" ref="E6:E12" si="0">+D6-C6</f>
        <v>122.00399665318432</v>
      </c>
      <c r="F6" s="76">
        <f t="shared" ref="F6:F13" si="1">+E6/C6</f>
        <v>14.047743519903721</v>
      </c>
      <c r="H6" t="s">
        <v>22</v>
      </c>
      <c r="I6" s="16">
        <v>25.945760972996936</v>
      </c>
    </row>
    <row r="7" spans="2:9" x14ac:dyDescent="0.2">
      <c r="B7" s="77" t="s">
        <v>19</v>
      </c>
      <c r="C7" s="75">
        <f>+'Gasto Septiembre'!K11/1000</f>
        <v>44.285528908454886</v>
      </c>
      <c r="D7" s="75">
        <f>+'Gasto total_Análisis'!M50</f>
        <v>47.609466240455774</v>
      </c>
      <c r="E7" s="75">
        <f t="shared" si="0"/>
        <v>3.323937332000888</v>
      </c>
      <c r="F7" s="76">
        <f t="shared" si="1"/>
        <v>7.5056963616082953E-2</v>
      </c>
      <c r="H7" t="s">
        <v>19</v>
      </c>
      <c r="I7" s="16">
        <v>3.323937332000888</v>
      </c>
    </row>
    <row r="8" spans="2:9" x14ac:dyDescent="0.2">
      <c r="B8" s="77" t="s">
        <v>22</v>
      </c>
      <c r="C8" s="75">
        <f>+'Gasto Septiembre'!K12/1000</f>
        <v>3.5645782273998332</v>
      </c>
      <c r="D8" s="75">
        <f>+'Gasto total_Análisis'!M51</f>
        <v>29.951058404517521</v>
      </c>
      <c r="E8" s="75">
        <f t="shared" si="0"/>
        <v>26.38648017711769</v>
      </c>
      <c r="F8" s="76">
        <f t="shared" si="1"/>
        <v>7.4024129907692329</v>
      </c>
      <c r="H8" t="s">
        <v>21</v>
      </c>
      <c r="I8" s="16">
        <v>2.5982621459397528</v>
      </c>
    </row>
    <row r="9" spans="2:9" x14ac:dyDescent="0.2">
      <c r="B9" s="77" t="s">
        <v>21</v>
      </c>
      <c r="C9" s="75">
        <f>+'Gasto Septiembre'!K13/1000</f>
        <v>6</v>
      </c>
      <c r="D9" s="75">
        <f>+'Gasto total_Análisis'!M52</f>
        <v>8.7212621459397521</v>
      </c>
      <c r="E9" s="75">
        <f t="shared" si="0"/>
        <v>2.7212621459397521</v>
      </c>
      <c r="F9" s="76">
        <f t="shared" si="1"/>
        <v>0.45354369098995867</v>
      </c>
      <c r="H9" t="s">
        <v>29</v>
      </c>
      <c r="I9" s="16">
        <v>-7.3196549306318026E-3</v>
      </c>
    </row>
    <row r="10" spans="2:9" x14ac:dyDescent="0.2">
      <c r="B10" s="77" t="s">
        <v>30</v>
      </c>
      <c r="C10" s="75">
        <f>+'Gasto Septiembre'!K14/1000</f>
        <v>3.3228209585299227</v>
      </c>
      <c r="D10" s="75">
        <f>+'Gasto total_Análisis'!M53</f>
        <v>5.5199494543857961</v>
      </c>
      <c r="E10" s="75">
        <f t="shared" si="0"/>
        <v>2.1971284958558734</v>
      </c>
      <c r="F10" s="76">
        <f t="shared" si="1"/>
        <v>0.66122385866613875</v>
      </c>
      <c r="H10" t="s">
        <v>20</v>
      </c>
      <c r="I10" s="16">
        <v>-2.2908707712892107E-2</v>
      </c>
    </row>
    <row r="11" spans="2:9" x14ac:dyDescent="0.2">
      <c r="B11" s="77" t="s">
        <v>29</v>
      </c>
      <c r="C11" s="75">
        <f>+'Gasto Septiembre'!K15/1000</f>
        <v>0.89936407510175875</v>
      </c>
      <c r="D11" s="75">
        <f>+'Gasto total_Análisis'!M54</f>
        <v>0.89204442017112695</v>
      </c>
      <c r="E11" s="75">
        <f t="shared" si="0"/>
        <v>-7.3196549306318026E-3</v>
      </c>
      <c r="F11" s="76">
        <f t="shared" si="1"/>
        <v>-8.1387005921974582E-3</v>
      </c>
      <c r="H11" t="s">
        <v>30</v>
      </c>
      <c r="I11" s="16">
        <v>-0.56284623133702461</v>
      </c>
    </row>
    <row r="12" spans="2:9" x14ac:dyDescent="0.2">
      <c r="B12" s="77" t="s">
        <v>20</v>
      </c>
      <c r="C12" s="75">
        <f>+'Gasto Septiembre'!K16/1000</f>
        <v>0.88703314416142021</v>
      </c>
      <c r="D12" s="75">
        <f>+'Gasto total_Análisis'!M55</f>
        <v>0.8641244364485281</v>
      </c>
      <c r="E12" s="75">
        <f t="shared" si="0"/>
        <v>-2.2908707712892107E-2</v>
      </c>
      <c r="F12" s="76">
        <f t="shared" si="1"/>
        <v>-2.5826213894802597E-2</v>
      </c>
      <c r="H12" t="s">
        <v>17</v>
      </c>
      <c r="I12" s="16">
        <v>-4.3863039029760671</v>
      </c>
    </row>
    <row r="13" spans="2:9" x14ac:dyDescent="0.2">
      <c r="B13" s="53" t="s">
        <v>35</v>
      </c>
      <c r="C13" s="73">
        <f>+SUM(C5:C12)</f>
        <v>341.08350599730448</v>
      </c>
      <c r="D13" s="73">
        <f t="shared" ref="D13:E13" si="2">+SUM(D5:D12)</f>
        <v>519.01288933990861</v>
      </c>
      <c r="E13" s="73">
        <f t="shared" si="2"/>
        <v>177.92938334260398</v>
      </c>
      <c r="F13" s="74">
        <f t="shared" si="1"/>
        <v>0.52165930106280223</v>
      </c>
      <c r="H13" t="str">
        <f>+D4</f>
        <v>Oct_Act</v>
      </c>
      <c r="I13" s="16">
        <f>+SUM(I4:I12)</f>
        <v>462.62108460446979</v>
      </c>
    </row>
    <row r="16" spans="2:9" x14ac:dyDescent="0.2">
      <c r="B16" s="49" t="s">
        <v>281</v>
      </c>
    </row>
    <row r="17" spans="2:9" x14ac:dyDescent="0.2">
      <c r="B17" s="70" t="s">
        <v>34</v>
      </c>
      <c r="C17" s="70" t="s">
        <v>284</v>
      </c>
      <c r="D17" s="70" t="s">
        <v>205</v>
      </c>
      <c r="E17" s="70" t="s">
        <v>53</v>
      </c>
      <c r="F17" s="70" t="s">
        <v>279</v>
      </c>
      <c r="H17" t="str">
        <f>+C17</f>
        <v>2024_Proy</v>
      </c>
      <c r="I17" s="16">
        <f>+C26</f>
        <v>5252.7427204770656</v>
      </c>
    </row>
    <row r="18" spans="2:9" x14ac:dyDescent="0.2">
      <c r="B18" s="77" t="s">
        <v>17</v>
      </c>
      <c r="C18" s="75">
        <f>+'Gasto Septiembre'!N9/1000</f>
        <v>3423.6868335320246</v>
      </c>
      <c r="D18" s="75">
        <f>+'Gasto total_Análisis'!P48</f>
        <v>3489.5430256221634</v>
      </c>
      <c r="E18" s="75">
        <f>+D18-C18</f>
        <v>65.856192090138848</v>
      </c>
      <c r="F18" s="76">
        <f>+E18/C18</f>
        <v>1.9235460277831174E-2</v>
      </c>
      <c r="H18" s="91" t="s">
        <v>18</v>
      </c>
      <c r="I18" s="16">
        <v>318.001846410437</v>
      </c>
    </row>
    <row r="19" spans="2:9" x14ac:dyDescent="0.2">
      <c r="B19" s="77" t="s">
        <v>18</v>
      </c>
      <c r="C19" s="75">
        <f>+'Gasto Septiembre'!N10/1000</f>
        <v>729.23566504451367</v>
      </c>
      <c r="D19" s="75">
        <f>+'Gasto total_Análisis'!P49</f>
        <v>1359.3965729709601</v>
      </c>
      <c r="E19" s="75">
        <f t="shared" ref="E19:E25" si="3">+D19-C19</f>
        <v>630.16090792644638</v>
      </c>
      <c r="F19" s="76">
        <f t="shared" ref="F19:F26" si="4">+E19/C19</f>
        <v>0.86413890342017263</v>
      </c>
      <c r="H19" s="91" t="s">
        <v>22</v>
      </c>
      <c r="I19" s="16">
        <v>26.82093636219534</v>
      </c>
    </row>
    <row r="20" spans="2:9" x14ac:dyDescent="0.2">
      <c r="B20" s="77" t="s">
        <v>19</v>
      </c>
      <c r="C20" s="75">
        <f>+'Gasto Septiembre'!N11/1000</f>
        <v>585.02931316296542</v>
      </c>
      <c r="D20" s="75">
        <f>+'Gasto total_Análisis'!P50</f>
        <v>508.93862514247382</v>
      </c>
      <c r="E20" s="75">
        <f t="shared" si="3"/>
        <v>-76.090688020491598</v>
      </c>
      <c r="F20" s="76">
        <f t="shared" si="4"/>
        <v>-0.13006303497701119</v>
      </c>
      <c r="H20" s="91" t="s">
        <v>21</v>
      </c>
      <c r="I20" s="16">
        <v>7.137262145939701</v>
      </c>
    </row>
    <row r="21" spans="2:9" x14ac:dyDescent="0.2">
      <c r="B21" s="77" t="s">
        <v>22</v>
      </c>
      <c r="C21" s="75">
        <f>+'Gasto Septiembre'!N12/1000</f>
        <v>251.71662791748523</v>
      </c>
      <c r="D21" s="75">
        <f>+'Gasto total_Análisis'!P51</f>
        <v>313.73029473073967</v>
      </c>
      <c r="E21" s="75">
        <f t="shared" si="3"/>
        <v>62.013666813254446</v>
      </c>
      <c r="F21" s="76">
        <f t="shared" si="4"/>
        <v>0.24636301275092179</v>
      </c>
      <c r="H21" s="91" t="s">
        <v>17</v>
      </c>
      <c r="I21" s="16">
        <v>6.5792267143929166</v>
      </c>
    </row>
    <row r="22" spans="2:9" x14ac:dyDescent="0.2">
      <c r="B22" s="77" t="s">
        <v>21</v>
      </c>
      <c r="C22" s="75">
        <f>+'Gasto Septiembre'!N13/1000</f>
        <v>183.67545567627008</v>
      </c>
      <c r="D22" s="75">
        <f>+'Gasto total_Análisis'!P52</f>
        <v>192.24619093871866</v>
      </c>
      <c r="E22" s="75">
        <f t="shared" si="3"/>
        <v>8.5707352624485793</v>
      </c>
      <c r="F22" s="76">
        <f t="shared" si="4"/>
        <v>4.6662387366304348E-2</v>
      </c>
      <c r="H22" s="91" t="s">
        <v>29</v>
      </c>
      <c r="I22" s="16">
        <v>-1.4592166780223792E-2</v>
      </c>
    </row>
    <row r="23" spans="2:9" x14ac:dyDescent="0.2">
      <c r="B23" s="77" t="s">
        <v>30</v>
      </c>
      <c r="C23" s="75">
        <f>+'Gasto Septiembre'!N14/1000</f>
        <v>54.605148163404095</v>
      </c>
      <c r="D23" s="75">
        <f>+'Gasto total_Análisis'!P53</f>
        <v>76.115716505389358</v>
      </c>
      <c r="E23" s="75">
        <f t="shared" si="3"/>
        <v>21.510568341985262</v>
      </c>
      <c r="F23" s="76">
        <f t="shared" si="4"/>
        <v>0.39392931006460419</v>
      </c>
      <c r="H23" s="91" t="s">
        <v>20</v>
      </c>
      <c r="I23" s="16">
        <v>-0.19885359427008353</v>
      </c>
    </row>
    <row r="24" spans="2:9" x14ac:dyDescent="0.2">
      <c r="B24" s="77" t="s">
        <v>29</v>
      </c>
      <c r="C24" s="75">
        <f>+'Gasto Septiembre'!N15/1000</f>
        <v>12.619057395275084</v>
      </c>
      <c r="D24" s="75">
        <f>+'Gasto total_Análisis'!P54</f>
        <v>14.370961647925281</v>
      </c>
      <c r="E24" s="75">
        <f t="shared" si="3"/>
        <v>1.7519042526501973</v>
      </c>
      <c r="F24" s="76">
        <f t="shared" si="4"/>
        <v>0.13883004076882619</v>
      </c>
      <c r="H24" s="91" t="s">
        <v>30</v>
      </c>
      <c r="I24" s="16">
        <v>-0.58971549981679061</v>
      </c>
    </row>
    <row r="25" spans="2:9" x14ac:dyDescent="0.2">
      <c r="B25" s="77" t="s">
        <v>20</v>
      </c>
      <c r="C25" s="75">
        <f>+'Gasto Septiembre'!N16/1000</f>
        <v>12.174619585127854</v>
      </c>
      <c r="D25" s="75">
        <f>+'Gasto total_Análisis'!P55</f>
        <v>13.501652827763619</v>
      </c>
      <c r="E25" s="75">
        <f t="shared" si="3"/>
        <v>1.3270332426357658</v>
      </c>
      <c r="F25" s="76">
        <f t="shared" si="4"/>
        <v>0.10899997600391798</v>
      </c>
      <c r="H25" s="91" t="s">
        <v>19</v>
      </c>
      <c r="I25" s="16">
        <v>-80.639855826471376</v>
      </c>
    </row>
    <row r="26" spans="2:9" x14ac:dyDescent="0.2">
      <c r="B26" s="53" t="s">
        <v>35</v>
      </c>
      <c r="C26" s="73">
        <f>+SUM(C18:C25)</f>
        <v>5252.7427204770656</v>
      </c>
      <c r="D26" s="73">
        <f t="shared" ref="D26" si="5">+SUM(D18:D25)</f>
        <v>5967.8430403861339</v>
      </c>
      <c r="E26" s="73">
        <f t="shared" ref="E26" si="6">+SUM(E18:E25)</f>
        <v>715.10031990906793</v>
      </c>
      <c r="F26" s="74">
        <f t="shared" si="4"/>
        <v>0.13613846288746481</v>
      </c>
      <c r="H26" t="str">
        <f>+D17</f>
        <v>2024_Act</v>
      </c>
      <c r="I26" s="16">
        <f>+SUM(I17:I25)</f>
        <v>5529.8389750226925</v>
      </c>
    </row>
  </sheetData>
  <sortState xmlns:xlrd2="http://schemas.microsoft.com/office/spreadsheetml/2017/richdata2" ref="H18:I25">
    <sortCondition descending="1" ref="I18:I25"/>
  </sortState>
  <pageMargins left="0.7" right="0.7" top="0.75" bottom="0.75" header="0.3" footer="0.3"/>
  <pageSetup scale="54"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95D5-1307-42AF-9E7F-C6A24487B48C}">
  <dimension ref="A2:BA126"/>
  <sheetViews>
    <sheetView topLeftCell="AG106" zoomScale="80" zoomScaleNormal="80" workbookViewId="0">
      <selection activeCell="E14" sqref="E14"/>
    </sheetView>
  </sheetViews>
  <sheetFormatPr baseColWidth="10" defaultRowHeight="15" x14ac:dyDescent="0.2"/>
  <cols>
    <col min="1" max="1" width="17.5" bestFit="1" customWidth="1"/>
    <col min="2" max="3" width="41" bestFit="1" customWidth="1"/>
    <col min="4" max="4" width="17.83203125" bestFit="1" customWidth="1"/>
    <col min="5" max="15" width="8.5" bestFit="1" customWidth="1"/>
    <col min="16" max="16" width="8.33203125" bestFit="1" customWidth="1"/>
    <col min="17" max="17" width="8.5" bestFit="1" customWidth="1"/>
    <col min="18" max="18" width="8.83203125" customWidth="1"/>
    <col min="19" max="19" width="41" bestFit="1" customWidth="1"/>
    <col min="20" max="20" width="13.83203125" bestFit="1" customWidth="1"/>
    <col min="21" max="21" width="10.5" bestFit="1" customWidth="1"/>
    <col min="35" max="35" width="41" bestFit="1" customWidth="1"/>
    <col min="49" max="49" width="22.6640625" bestFit="1" customWidth="1"/>
    <col min="50" max="50" width="29.33203125" bestFit="1" customWidth="1"/>
    <col min="52" max="52" width="21" bestFit="1" customWidth="1"/>
    <col min="53" max="53" width="18.5" bestFit="1" customWidth="1"/>
  </cols>
  <sheetData>
    <row r="2" spans="1:53" x14ac:dyDescent="0.2">
      <c r="AW2" t="s">
        <v>194</v>
      </c>
      <c r="AX2" t="s">
        <v>179</v>
      </c>
    </row>
    <row r="3" spans="1:53" x14ac:dyDescent="0.2">
      <c r="A3" s="3" t="s">
        <v>6</v>
      </c>
      <c r="B3" t="s">
        <v>31</v>
      </c>
      <c r="AW3" t="s">
        <v>195</v>
      </c>
      <c r="AX3" t="s">
        <v>193</v>
      </c>
    </row>
    <row r="4" spans="1:53" x14ac:dyDescent="0.2">
      <c r="A4" s="3" t="s">
        <v>0</v>
      </c>
      <c r="B4" t="s">
        <v>1</v>
      </c>
      <c r="AW4" t="s">
        <v>196</v>
      </c>
      <c r="AX4" t="s">
        <v>198</v>
      </c>
    </row>
    <row r="5" spans="1:53" x14ac:dyDescent="0.2">
      <c r="A5" s="3" t="s">
        <v>2</v>
      </c>
      <c r="B5" t="s">
        <v>31</v>
      </c>
      <c r="AW5" t="s">
        <v>197</v>
      </c>
      <c r="AX5" t="s">
        <v>198</v>
      </c>
    </row>
    <row r="6" spans="1:53" x14ac:dyDescent="0.2">
      <c r="R6" s="1"/>
      <c r="S6" s="1"/>
      <c r="T6" s="1"/>
    </row>
    <row r="7" spans="1:53" x14ac:dyDescent="0.2">
      <c r="A7" s="3" t="s">
        <v>4</v>
      </c>
      <c r="D7" s="3" t="s">
        <v>5</v>
      </c>
      <c r="Q7" s="21" t="s">
        <v>4</v>
      </c>
      <c r="R7" s="21"/>
      <c r="S7" s="21"/>
      <c r="T7" s="22" t="s">
        <v>5</v>
      </c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G7" s="21" t="s">
        <v>4</v>
      </c>
      <c r="AH7" s="21"/>
      <c r="AI7" s="21"/>
      <c r="AJ7" s="22" t="s">
        <v>5</v>
      </c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53" x14ac:dyDescent="0.2">
      <c r="A8" s="3" t="s">
        <v>7</v>
      </c>
      <c r="B8" s="3" t="s">
        <v>8</v>
      </c>
      <c r="C8" s="3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  <c r="Q8" s="23" t="s">
        <v>7</v>
      </c>
      <c r="R8" s="23" t="s">
        <v>8</v>
      </c>
      <c r="S8" s="23" t="s">
        <v>9</v>
      </c>
      <c r="T8" s="24" t="s">
        <v>10</v>
      </c>
      <c r="U8" s="24" t="s">
        <v>11</v>
      </c>
      <c r="V8" s="24" t="s">
        <v>12</v>
      </c>
      <c r="W8" s="24" t="s">
        <v>13</v>
      </c>
      <c r="X8" s="24" t="s">
        <v>14</v>
      </c>
      <c r="Y8" s="24" t="s">
        <v>15</v>
      </c>
      <c r="Z8" s="24" t="s">
        <v>16</v>
      </c>
      <c r="AA8" s="24" t="s">
        <v>24</v>
      </c>
      <c r="AB8" s="24" t="s">
        <v>25</v>
      </c>
      <c r="AC8" s="24" t="s">
        <v>26</v>
      </c>
      <c r="AD8" s="24" t="s">
        <v>27</v>
      </c>
      <c r="AE8" s="24" t="s">
        <v>28</v>
      </c>
      <c r="AG8" s="23" t="s">
        <v>7</v>
      </c>
      <c r="AH8" s="23" t="s">
        <v>8</v>
      </c>
      <c r="AI8" s="23" t="s">
        <v>9</v>
      </c>
      <c r="AJ8" s="24" t="s">
        <v>10</v>
      </c>
      <c r="AK8" s="24" t="s">
        <v>11</v>
      </c>
      <c r="AL8" s="24" t="s">
        <v>12</v>
      </c>
      <c r="AM8" s="24" t="s">
        <v>13</v>
      </c>
      <c r="AN8" s="24" t="s">
        <v>14</v>
      </c>
      <c r="AO8" s="24" t="s">
        <v>15</v>
      </c>
      <c r="AP8" s="24" t="s">
        <v>16</v>
      </c>
      <c r="AQ8" s="24" t="s">
        <v>24</v>
      </c>
      <c r="AR8" s="24" t="s">
        <v>25</v>
      </c>
      <c r="AS8" s="24" t="s">
        <v>26</v>
      </c>
      <c r="AT8" s="24" t="s">
        <v>27</v>
      </c>
      <c r="AU8" s="24" t="s">
        <v>28</v>
      </c>
      <c r="AW8" s="47" t="s">
        <v>191</v>
      </c>
      <c r="AX8" s="47" t="s">
        <v>192</v>
      </c>
      <c r="AZ8" s="47" t="s">
        <v>199</v>
      </c>
      <c r="BA8" s="47" t="s">
        <v>200</v>
      </c>
    </row>
    <row r="9" spans="1:53" x14ac:dyDescent="0.2">
      <c r="A9" t="s">
        <v>17</v>
      </c>
      <c r="B9" t="s">
        <v>56</v>
      </c>
      <c r="C9" t="s">
        <v>57</v>
      </c>
      <c r="D9" s="15">
        <v>8612.8751634773835</v>
      </c>
      <c r="E9" s="15">
        <v>8256.7910625517725</v>
      </c>
      <c r="F9" s="15">
        <v>8277.5327554106225</v>
      </c>
      <c r="G9" s="15">
        <v>8177.8985091220493</v>
      </c>
      <c r="H9" s="15">
        <v>8346.2575479809475</v>
      </c>
      <c r="I9" s="15">
        <v>8561.138654576278</v>
      </c>
      <c r="J9" s="15">
        <v>8384.3220024460734</v>
      </c>
      <c r="K9" s="15">
        <v>0</v>
      </c>
      <c r="L9" s="15">
        <v>12470.381469878803</v>
      </c>
      <c r="M9" s="1">
        <v>0</v>
      </c>
      <c r="N9" s="1">
        <v>0</v>
      </c>
      <c r="O9" s="1">
        <v>0</v>
      </c>
      <c r="Q9" s="25" t="str">
        <f t="shared" ref="Q9:Q40" si="0">A9</f>
        <v>Sueldos</v>
      </c>
      <c r="R9" s="29" t="str">
        <f t="shared" ref="R9:R40" si="1">B9</f>
        <v>Sueldo</v>
      </c>
      <c r="S9" s="20" t="str">
        <f t="shared" ref="S9:S40" si="2">C9</f>
        <v>Alejandro Espinosa</v>
      </c>
      <c r="T9" s="30">
        <f>+IF(D9&gt;0,1,0)</f>
        <v>1</v>
      </c>
      <c r="U9" s="30">
        <f t="shared" ref="U9:AE24" si="3">+IF(E9&gt;0,1,0)</f>
        <v>1</v>
      </c>
      <c r="V9" s="30">
        <f t="shared" si="3"/>
        <v>1</v>
      </c>
      <c r="W9" s="30">
        <f t="shared" si="3"/>
        <v>1</v>
      </c>
      <c r="X9" s="30">
        <f t="shared" si="3"/>
        <v>1</v>
      </c>
      <c r="Y9" s="30">
        <f t="shared" si="3"/>
        <v>1</v>
      </c>
      <c r="Z9" s="30">
        <f t="shared" si="3"/>
        <v>1</v>
      </c>
      <c r="AA9" s="30">
        <f t="shared" si="3"/>
        <v>0</v>
      </c>
      <c r="AB9" s="42">
        <f t="shared" si="3"/>
        <v>1</v>
      </c>
      <c r="AC9" s="30">
        <f t="shared" si="3"/>
        <v>0</v>
      </c>
      <c r="AD9" s="30">
        <f t="shared" si="3"/>
        <v>0</v>
      </c>
      <c r="AE9" s="30">
        <f t="shared" si="3"/>
        <v>0</v>
      </c>
      <c r="AG9" s="25" t="s">
        <v>17</v>
      </c>
      <c r="AH9" s="29" t="s">
        <v>56</v>
      </c>
      <c r="AI9" s="20" t="s">
        <v>57</v>
      </c>
      <c r="AJ9" s="30">
        <v>8612.8751634773835</v>
      </c>
      <c r="AK9" s="30">
        <v>8256.7910625517725</v>
      </c>
      <c r="AL9" s="30">
        <v>8277.5327554106225</v>
      </c>
      <c r="AM9" s="30">
        <v>8177.8985091220493</v>
      </c>
      <c r="AN9" s="30">
        <v>8346.2575479809475</v>
      </c>
      <c r="AO9" s="30">
        <v>8561.138654576278</v>
      </c>
      <c r="AP9" s="30">
        <v>8384.3220024460734</v>
      </c>
      <c r="AQ9" s="30">
        <v>0</v>
      </c>
      <c r="AR9" s="30">
        <v>12470.381469878803</v>
      </c>
      <c r="AS9" s="31">
        <v>0</v>
      </c>
      <c r="AT9" s="31">
        <v>0</v>
      </c>
      <c r="AU9" s="31">
        <v>0</v>
      </c>
      <c r="AW9" t="str">
        <f>+IF(AD9=1,S9," ")</f>
        <v xml:space="preserve"> </v>
      </c>
      <c r="AZ9" t="s">
        <v>189</v>
      </c>
      <c r="BA9">
        <f t="shared" ref="BA9:BA14" si="4">+COUNTIF(AX:AX,AZ9)</f>
        <v>1</v>
      </c>
    </row>
    <row r="10" spans="1:53" x14ac:dyDescent="0.2">
      <c r="A10" t="s">
        <v>17</v>
      </c>
      <c r="B10" t="s">
        <v>56</v>
      </c>
      <c r="C10" t="s">
        <v>58</v>
      </c>
      <c r="D10" s="15">
        <v>8425.1203392948155</v>
      </c>
      <c r="E10" s="15">
        <v>8065.6523221894395</v>
      </c>
      <c r="F10" s="15">
        <v>8084.2266265952112</v>
      </c>
      <c r="G10" s="15">
        <v>9000.5222083130284</v>
      </c>
      <c r="H10" s="15">
        <v>9188.1821260660054</v>
      </c>
      <c r="I10" s="15">
        <v>9427.2680962373615</v>
      </c>
      <c r="J10" s="15">
        <v>9215.5727465969649</v>
      </c>
      <c r="K10" s="15">
        <v>9646.0850959629643</v>
      </c>
      <c r="L10" s="15">
        <v>9698.6680896695398</v>
      </c>
      <c r="M10" s="1">
        <v>9539.8863610985554</v>
      </c>
      <c r="N10" s="1">
        <v>9793.5360482895958</v>
      </c>
      <c r="O10" s="1">
        <v>11092.296255671919</v>
      </c>
      <c r="Q10" s="27" t="str">
        <f t="shared" si="0"/>
        <v>Sueldos</v>
      </c>
      <c r="R10" s="29" t="str">
        <f t="shared" si="1"/>
        <v>Sueldo</v>
      </c>
      <c r="S10" s="20" t="str">
        <f t="shared" si="2"/>
        <v>Alex Figueroa</v>
      </c>
      <c r="T10" s="30">
        <f t="shared" ref="T10:T73" si="5">+IF(D10&gt;0,1,0)</f>
        <v>1</v>
      </c>
      <c r="U10" s="30">
        <f t="shared" si="3"/>
        <v>1</v>
      </c>
      <c r="V10" s="30">
        <f t="shared" si="3"/>
        <v>1</v>
      </c>
      <c r="W10" s="30">
        <f t="shared" si="3"/>
        <v>1</v>
      </c>
      <c r="X10" s="30">
        <f t="shared" si="3"/>
        <v>1</v>
      </c>
      <c r="Y10" s="30">
        <f t="shared" si="3"/>
        <v>1</v>
      </c>
      <c r="Z10" s="30">
        <f t="shared" si="3"/>
        <v>1</v>
      </c>
      <c r="AA10" s="30">
        <f t="shared" si="3"/>
        <v>1</v>
      </c>
      <c r="AB10" s="30">
        <f t="shared" si="3"/>
        <v>1</v>
      </c>
      <c r="AC10" s="30">
        <f t="shared" si="3"/>
        <v>1</v>
      </c>
      <c r="AD10" s="30">
        <f t="shared" si="3"/>
        <v>1</v>
      </c>
      <c r="AE10" s="30">
        <f t="shared" si="3"/>
        <v>1</v>
      </c>
      <c r="AG10" s="27" t="s">
        <v>17</v>
      </c>
      <c r="AH10" s="29" t="s">
        <v>56</v>
      </c>
      <c r="AI10" s="20" t="s">
        <v>58</v>
      </c>
      <c r="AJ10" s="30">
        <v>8425.1203392948155</v>
      </c>
      <c r="AK10" s="30">
        <v>8065.6523221894395</v>
      </c>
      <c r="AL10" s="30">
        <v>8084.2266265952112</v>
      </c>
      <c r="AM10" s="30">
        <v>9000.5222083130284</v>
      </c>
      <c r="AN10" s="30">
        <v>9188.1821260660054</v>
      </c>
      <c r="AO10" s="30">
        <v>9427.2680962373615</v>
      </c>
      <c r="AP10" s="30">
        <v>9215.5727465969649</v>
      </c>
      <c r="AQ10" s="30">
        <v>9646.0850959629643</v>
      </c>
      <c r="AR10" s="30">
        <v>9698.6680896695398</v>
      </c>
      <c r="AS10" s="31">
        <v>9539.8863610985554</v>
      </c>
      <c r="AT10" s="31">
        <v>9793.5360482895958</v>
      </c>
      <c r="AU10" s="31">
        <v>11092.296255671919</v>
      </c>
      <c r="AW10" t="str">
        <f t="shared" ref="AW10:AW73" si="6">+IF(AD10=1,S10," ")</f>
        <v>Alex Figueroa</v>
      </c>
      <c r="AX10" t="s">
        <v>198</v>
      </c>
      <c r="AZ10" t="s">
        <v>179</v>
      </c>
      <c r="BA10">
        <f t="shared" si="4"/>
        <v>3</v>
      </c>
    </row>
    <row r="11" spans="1:53" x14ac:dyDescent="0.2">
      <c r="A11" t="s">
        <v>17</v>
      </c>
      <c r="B11" t="s">
        <v>56</v>
      </c>
      <c r="C11" t="s">
        <v>59</v>
      </c>
      <c r="D11" s="15">
        <v>2947.9802430904697</v>
      </c>
      <c r="E11" s="15">
        <v>2825.3146426480248</v>
      </c>
      <c r="F11" s="15">
        <v>2831.8560489492356</v>
      </c>
      <c r="G11" s="15">
        <v>2796.9640518392966</v>
      </c>
      <c r="H11" s="15">
        <v>2854.5880967501216</v>
      </c>
      <c r="I11" s="15">
        <v>2927.2905029357667</v>
      </c>
      <c r="J11" s="15">
        <v>2944.3130375187034</v>
      </c>
      <c r="K11" s="15">
        <v>3029.155526177648</v>
      </c>
      <c r="L11" s="15">
        <v>3023.000544445686</v>
      </c>
      <c r="M11" s="1">
        <v>2963.8557091162675</v>
      </c>
      <c r="N11" s="1">
        <v>3042.6596953526559</v>
      </c>
      <c r="O11" s="1">
        <v>3446.1590358814733</v>
      </c>
      <c r="Q11" s="27" t="str">
        <f t="shared" si="0"/>
        <v>Sueldos</v>
      </c>
      <c r="R11" s="29" t="str">
        <f t="shared" si="1"/>
        <v>Sueldo</v>
      </c>
      <c r="S11" s="20" t="str">
        <f t="shared" si="2"/>
        <v>Alex Pacheco C.</v>
      </c>
      <c r="T11" s="30">
        <f t="shared" si="5"/>
        <v>1</v>
      </c>
      <c r="U11" s="30">
        <f t="shared" si="3"/>
        <v>1</v>
      </c>
      <c r="V11" s="30">
        <f t="shared" si="3"/>
        <v>1</v>
      </c>
      <c r="W11" s="30">
        <f t="shared" si="3"/>
        <v>1</v>
      </c>
      <c r="X11" s="30">
        <f t="shared" si="3"/>
        <v>1</v>
      </c>
      <c r="Y11" s="30">
        <f t="shared" si="3"/>
        <v>1</v>
      </c>
      <c r="Z11" s="30">
        <f t="shared" si="3"/>
        <v>1</v>
      </c>
      <c r="AA11" s="30">
        <f t="shared" si="3"/>
        <v>1</v>
      </c>
      <c r="AB11" s="30">
        <f t="shared" si="3"/>
        <v>1</v>
      </c>
      <c r="AC11" s="30">
        <f t="shared" si="3"/>
        <v>1</v>
      </c>
      <c r="AD11" s="30">
        <f t="shared" si="3"/>
        <v>1</v>
      </c>
      <c r="AE11" s="30">
        <f t="shared" si="3"/>
        <v>1</v>
      </c>
      <c r="AG11" s="27" t="s">
        <v>17</v>
      </c>
      <c r="AH11" s="29" t="s">
        <v>56</v>
      </c>
      <c r="AI11" s="20" t="s">
        <v>59</v>
      </c>
      <c r="AJ11" s="30">
        <v>2947.9802430904697</v>
      </c>
      <c r="AK11" s="30">
        <v>2825.3146426480248</v>
      </c>
      <c r="AL11" s="30">
        <v>2831.8560489492356</v>
      </c>
      <c r="AM11" s="30">
        <v>2796.9640518392966</v>
      </c>
      <c r="AN11" s="30">
        <v>2854.5880967501216</v>
      </c>
      <c r="AO11" s="30">
        <v>2927.2905029357667</v>
      </c>
      <c r="AP11" s="30">
        <v>2944.3130375187034</v>
      </c>
      <c r="AQ11" s="30">
        <v>3029.155526177648</v>
      </c>
      <c r="AR11" s="30">
        <v>3023.000544445686</v>
      </c>
      <c r="AS11" s="31">
        <v>2963.8557091162675</v>
      </c>
      <c r="AT11" s="31">
        <v>3042.6596953526559</v>
      </c>
      <c r="AU11" s="31">
        <v>3446.1590358814733</v>
      </c>
      <c r="AW11" t="str">
        <f t="shared" si="6"/>
        <v>Alex Pacheco C.</v>
      </c>
      <c r="AX11" t="s">
        <v>188</v>
      </c>
      <c r="AZ11" t="s">
        <v>198</v>
      </c>
      <c r="BA11">
        <f t="shared" si="4"/>
        <v>5</v>
      </c>
    </row>
    <row r="12" spans="1:53" x14ac:dyDescent="0.2">
      <c r="A12" t="s">
        <v>17</v>
      </c>
      <c r="B12" t="s">
        <v>56</v>
      </c>
      <c r="C12" t="s">
        <v>60</v>
      </c>
      <c r="D12" s="15">
        <v>15627.149043833319</v>
      </c>
      <c r="E12" s="15">
        <v>12771.725719447648</v>
      </c>
      <c r="F12" s="15">
        <v>12720.816906483687</v>
      </c>
      <c r="G12" s="15">
        <v>13033.346535653058</v>
      </c>
      <c r="H12" s="15">
        <v>18057.935569806727</v>
      </c>
      <c r="I12" s="15">
        <v>12583.421739554415</v>
      </c>
      <c r="J12" s="15">
        <v>24597.318793457056</v>
      </c>
      <c r="K12" s="15">
        <v>21641.215722496949</v>
      </c>
      <c r="L12" s="15">
        <v>12712.143991830251</v>
      </c>
      <c r="M12" s="1">
        <v>32706.012105438022</v>
      </c>
      <c r="N12" s="1">
        <v>0</v>
      </c>
      <c r="O12" s="1">
        <v>0</v>
      </c>
      <c r="Q12" s="27" t="str">
        <f t="shared" si="0"/>
        <v>Sueldos</v>
      </c>
      <c r="R12" s="29" t="str">
        <f t="shared" si="1"/>
        <v>Sueldo</v>
      </c>
      <c r="S12" s="20" t="str">
        <f t="shared" si="2"/>
        <v>Americo Zuzunaga</v>
      </c>
      <c r="T12" s="30">
        <f t="shared" si="5"/>
        <v>1</v>
      </c>
      <c r="U12" s="30">
        <f t="shared" si="3"/>
        <v>1</v>
      </c>
      <c r="V12" s="30">
        <f t="shared" si="3"/>
        <v>1</v>
      </c>
      <c r="W12" s="30">
        <f t="shared" si="3"/>
        <v>1</v>
      </c>
      <c r="X12" s="30">
        <f t="shared" si="3"/>
        <v>1</v>
      </c>
      <c r="Y12" s="30">
        <f t="shared" si="3"/>
        <v>1</v>
      </c>
      <c r="Z12" s="30">
        <f t="shared" si="3"/>
        <v>1</v>
      </c>
      <c r="AA12" s="30">
        <f t="shared" si="3"/>
        <v>1</v>
      </c>
      <c r="AB12" s="30">
        <f t="shared" si="3"/>
        <v>1</v>
      </c>
      <c r="AC12" s="42">
        <f t="shared" si="3"/>
        <v>1</v>
      </c>
      <c r="AD12" s="30">
        <f t="shared" si="3"/>
        <v>0</v>
      </c>
      <c r="AE12" s="30">
        <f t="shared" si="3"/>
        <v>0</v>
      </c>
      <c r="AG12" s="27" t="s">
        <v>17</v>
      </c>
      <c r="AH12" s="29" t="s">
        <v>56</v>
      </c>
      <c r="AI12" s="20" t="s">
        <v>60</v>
      </c>
      <c r="AJ12" s="30">
        <v>15627.149043833319</v>
      </c>
      <c r="AK12" s="30">
        <v>12771.725719447648</v>
      </c>
      <c r="AL12" s="30">
        <v>12720.816906483687</v>
      </c>
      <c r="AM12" s="30">
        <v>13033.346535653058</v>
      </c>
      <c r="AN12" s="30">
        <v>18057.935569806727</v>
      </c>
      <c r="AO12" s="30">
        <v>12583.421739554415</v>
      </c>
      <c r="AP12" s="30">
        <v>24597.318793457056</v>
      </c>
      <c r="AQ12" s="30">
        <v>21641.215722496949</v>
      </c>
      <c r="AR12" s="30">
        <v>12712.143991830251</v>
      </c>
      <c r="AS12" s="31">
        <v>32706.012105438022</v>
      </c>
      <c r="AT12" s="31">
        <v>0</v>
      </c>
      <c r="AU12" s="31">
        <v>0</v>
      </c>
      <c r="AW12" t="str">
        <f t="shared" si="6"/>
        <v xml:space="preserve"> </v>
      </c>
      <c r="AZ12" t="s">
        <v>181</v>
      </c>
      <c r="BA12">
        <f t="shared" si="4"/>
        <v>8</v>
      </c>
    </row>
    <row r="13" spans="1:53" x14ac:dyDescent="0.2">
      <c r="A13" t="s">
        <v>17</v>
      </c>
      <c r="B13" t="s">
        <v>56</v>
      </c>
      <c r="C13" t="s">
        <v>61</v>
      </c>
      <c r="D13" s="15">
        <v>3378.517250586694</v>
      </c>
      <c r="E13" s="15">
        <v>2772.8231921848414</v>
      </c>
      <c r="F13" s="15">
        <v>2818.1786699884974</v>
      </c>
      <c r="G13" s="15">
        <v>2877.3642480016933</v>
      </c>
      <c r="H13" s="15">
        <v>3966.4574148531701</v>
      </c>
      <c r="I13" s="15">
        <v>3082.1981249120336</v>
      </c>
      <c r="J13" s="15">
        <v>13291.233555099796</v>
      </c>
      <c r="K13" s="15">
        <v>0</v>
      </c>
      <c r="L13" s="15">
        <v>0</v>
      </c>
      <c r="M13" s="1">
        <v>0</v>
      </c>
      <c r="N13" s="1">
        <v>0</v>
      </c>
      <c r="O13" s="1">
        <v>0</v>
      </c>
      <c r="Q13" s="27" t="str">
        <f t="shared" si="0"/>
        <v>Sueldos</v>
      </c>
      <c r="R13" s="29" t="str">
        <f t="shared" si="1"/>
        <v>Sueldo</v>
      </c>
      <c r="S13" s="20" t="str">
        <f t="shared" si="2"/>
        <v>Andree del Castillo</v>
      </c>
      <c r="T13" s="30">
        <f t="shared" si="5"/>
        <v>1</v>
      </c>
      <c r="U13" s="30">
        <f t="shared" si="3"/>
        <v>1</v>
      </c>
      <c r="V13" s="30">
        <f t="shared" si="3"/>
        <v>1</v>
      </c>
      <c r="W13" s="30">
        <f t="shared" si="3"/>
        <v>1</v>
      </c>
      <c r="X13" s="30">
        <f t="shared" si="3"/>
        <v>1</v>
      </c>
      <c r="Y13" s="30">
        <f t="shared" si="3"/>
        <v>1</v>
      </c>
      <c r="Z13" s="30">
        <f t="shared" si="3"/>
        <v>1</v>
      </c>
      <c r="AA13" s="30">
        <f t="shared" si="3"/>
        <v>0</v>
      </c>
      <c r="AB13" s="30">
        <f t="shared" si="3"/>
        <v>0</v>
      </c>
      <c r="AC13" s="30">
        <f t="shared" si="3"/>
        <v>0</v>
      </c>
      <c r="AD13" s="30">
        <f t="shared" si="3"/>
        <v>0</v>
      </c>
      <c r="AE13" s="30">
        <f t="shared" si="3"/>
        <v>0</v>
      </c>
      <c r="AG13" s="27" t="s">
        <v>17</v>
      </c>
      <c r="AH13" s="29" t="s">
        <v>56</v>
      </c>
      <c r="AI13" s="20" t="s">
        <v>61</v>
      </c>
      <c r="AJ13" s="30">
        <v>3378.517250586694</v>
      </c>
      <c r="AK13" s="30">
        <v>2772.8231921848414</v>
      </c>
      <c r="AL13" s="30">
        <v>2818.1786699884974</v>
      </c>
      <c r="AM13" s="30">
        <v>2877.3642480016933</v>
      </c>
      <c r="AN13" s="30">
        <v>3966.4574148531701</v>
      </c>
      <c r="AO13" s="30">
        <v>3082.1981249120336</v>
      </c>
      <c r="AP13" s="30">
        <v>13291.233555099796</v>
      </c>
      <c r="AQ13" s="30">
        <v>0</v>
      </c>
      <c r="AR13" s="30">
        <v>0</v>
      </c>
      <c r="AS13" s="31">
        <v>0</v>
      </c>
      <c r="AT13" s="31">
        <v>0</v>
      </c>
      <c r="AU13" s="31">
        <v>0</v>
      </c>
      <c r="AW13" t="str">
        <f t="shared" si="6"/>
        <v xml:space="preserve"> </v>
      </c>
      <c r="AZ13" t="s">
        <v>188</v>
      </c>
      <c r="BA13">
        <f t="shared" si="4"/>
        <v>7</v>
      </c>
    </row>
    <row r="14" spans="1:53" x14ac:dyDescent="0.2">
      <c r="A14" t="s">
        <v>17</v>
      </c>
      <c r="B14" t="s">
        <v>56</v>
      </c>
      <c r="C14" t="s">
        <v>62</v>
      </c>
      <c r="D14" s="15">
        <v>3630.5470776776629</v>
      </c>
      <c r="E14" s="15">
        <v>3477.3078532213081</v>
      </c>
      <c r="F14" s="15">
        <v>1991.6570901336561</v>
      </c>
      <c r="G14" s="15">
        <v>3438.5714654589328</v>
      </c>
      <c r="H14" s="15">
        <v>3509.2670030997369</v>
      </c>
      <c r="I14" s="15">
        <v>3598.4541744020466</v>
      </c>
      <c r="J14" s="15">
        <v>3608.7222681969361</v>
      </c>
      <c r="K14" s="15">
        <v>3694.1882803642866</v>
      </c>
      <c r="L14" s="15">
        <v>3770.5847563322664</v>
      </c>
      <c r="M14" s="1">
        <v>3643.5943433631373</v>
      </c>
      <c r="N14" s="1">
        <v>0</v>
      </c>
      <c r="O14" s="1">
        <v>0</v>
      </c>
      <c r="Q14" s="27" t="str">
        <f t="shared" si="0"/>
        <v>Sueldos</v>
      </c>
      <c r="R14" s="29" t="str">
        <f t="shared" si="1"/>
        <v>Sueldo</v>
      </c>
      <c r="S14" s="20" t="str">
        <f t="shared" si="2"/>
        <v>Andrés Budini M.</v>
      </c>
      <c r="T14" s="30">
        <f t="shared" si="5"/>
        <v>1</v>
      </c>
      <c r="U14" s="30">
        <f t="shared" si="3"/>
        <v>1</v>
      </c>
      <c r="V14" s="30">
        <f t="shared" si="3"/>
        <v>1</v>
      </c>
      <c r="W14" s="30">
        <f t="shared" si="3"/>
        <v>1</v>
      </c>
      <c r="X14" s="30">
        <f t="shared" si="3"/>
        <v>1</v>
      </c>
      <c r="Y14" s="30">
        <f t="shared" si="3"/>
        <v>1</v>
      </c>
      <c r="Z14" s="30">
        <f t="shared" si="3"/>
        <v>1</v>
      </c>
      <c r="AA14" s="30">
        <f t="shared" si="3"/>
        <v>1</v>
      </c>
      <c r="AB14" s="30">
        <f t="shared" si="3"/>
        <v>1</v>
      </c>
      <c r="AC14" s="30">
        <f t="shared" si="3"/>
        <v>1</v>
      </c>
      <c r="AD14" s="30">
        <f t="shared" si="3"/>
        <v>0</v>
      </c>
      <c r="AE14" s="30">
        <f t="shared" si="3"/>
        <v>0</v>
      </c>
      <c r="AG14" s="27" t="s">
        <v>17</v>
      </c>
      <c r="AH14" s="29" t="s">
        <v>56</v>
      </c>
      <c r="AI14" s="20" t="s">
        <v>62</v>
      </c>
      <c r="AJ14" s="30">
        <v>3630.5470776776629</v>
      </c>
      <c r="AK14" s="30">
        <v>3477.3078532213081</v>
      </c>
      <c r="AL14" s="30">
        <v>1991.6570901336561</v>
      </c>
      <c r="AM14" s="30">
        <v>3438.5714654589328</v>
      </c>
      <c r="AN14" s="30">
        <v>3509.2670030997369</v>
      </c>
      <c r="AO14" s="30">
        <v>3598.4541744020466</v>
      </c>
      <c r="AP14" s="30">
        <v>3608.7222681969361</v>
      </c>
      <c r="AQ14" s="30">
        <v>3694.1882803642866</v>
      </c>
      <c r="AR14" s="30">
        <v>3770.5847563322664</v>
      </c>
      <c r="AS14" s="31">
        <v>3643.5943433631373</v>
      </c>
      <c r="AT14" s="31">
        <v>0</v>
      </c>
      <c r="AU14" s="31">
        <v>0</v>
      </c>
      <c r="AW14" t="str">
        <f t="shared" si="6"/>
        <v xml:space="preserve"> </v>
      </c>
      <c r="AZ14" t="s">
        <v>193</v>
      </c>
      <c r="BA14">
        <f t="shared" si="4"/>
        <v>22</v>
      </c>
    </row>
    <row r="15" spans="1:53" x14ac:dyDescent="0.2">
      <c r="A15" t="s">
        <v>17</v>
      </c>
      <c r="B15" t="s">
        <v>56</v>
      </c>
      <c r="C15" t="s">
        <v>63</v>
      </c>
      <c r="D15" s="15">
        <v>655.65171780750063</v>
      </c>
      <c r="E15" s="15">
        <v>658.4</v>
      </c>
      <c r="F15" s="15">
        <v>671.86240257995166</v>
      </c>
      <c r="G15" s="15">
        <v>334.76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">
        <v>0</v>
      </c>
      <c r="N15" s="1">
        <v>0</v>
      </c>
      <c r="O15" s="1">
        <v>0</v>
      </c>
      <c r="Q15" s="27" t="str">
        <f t="shared" si="0"/>
        <v>Sueldos</v>
      </c>
      <c r="R15" s="29" t="str">
        <f t="shared" si="1"/>
        <v>Sueldo</v>
      </c>
      <c r="S15" s="20" t="str">
        <f t="shared" si="2"/>
        <v>Angelo Patri Carbajal</v>
      </c>
      <c r="T15" s="30">
        <f t="shared" si="5"/>
        <v>1</v>
      </c>
      <c r="U15" s="30">
        <f t="shared" si="3"/>
        <v>1</v>
      </c>
      <c r="V15" s="30">
        <f t="shared" si="3"/>
        <v>1</v>
      </c>
      <c r="W15" s="30">
        <f t="shared" si="3"/>
        <v>1</v>
      </c>
      <c r="X15" s="30">
        <f t="shared" si="3"/>
        <v>0</v>
      </c>
      <c r="Y15" s="30">
        <f t="shared" si="3"/>
        <v>0</v>
      </c>
      <c r="Z15" s="30">
        <f t="shared" si="3"/>
        <v>0</v>
      </c>
      <c r="AA15" s="30">
        <f t="shared" si="3"/>
        <v>0</v>
      </c>
      <c r="AB15" s="30">
        <f t="shared" si="3"/>
        <v>0</v>
      </c>
      <c r="AC15" s="30">
        <f t="shared" si="3"/>
        <v>0</v>
      </c>
      <c r="AD15" s="30">
        <f t="shared" si="3"/>
        <v>0</v>
      </c>
      <c r="AE15" s="30">
        <f t="shared" si="3"/>
        <v>0</v>
      </c>
      <c r="AG15" s="27" t="s">
        <v>17</v>
      </c>
      <c r="AH15" s="29" t="s">
        <v>56</v>
      </c>
      <c r="AI15" s="20" t="s">
        <v>63</v>
      </c>
      <c r="AJ15" s="30">
        <v>655.65171780750063</v>
      </c>
      <c r="AK15" s="30">
        <v>658.4</v>
      </c>
      <c r="AL15" s="30">
        <v>671.86240257995166</v>
      </c>
      <c r="AM15" s="30">
        <v>334.76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1">
        <v>0</v>
      </c>
      <c r="AT15" s="31">
        <v>0</v>
      </c>
      <c r="AU15" s="31">
        <v>0</v>
      </c>
      <c r="AW15" t="str">
        <f t="shared" si="6"/>
        <v xml:space="preserve"> </v>
      </c>
    </row>
    <row r="16" spans="1:53" x14ac:dyDescent="0.2">
      <c r="A16" t="s">
        <v>17</v>
      </c>
      <c r="B16" t="s">
        <v>56</v>
      </c>
      <c r="C16" t="s">
        <v>64</v>
      </c>
      <c r="D16" s="15">
        <v>2802.86</v>
      </c>
      <c r="E16" s="15">
        <v>2844.04</v>
      </c>
      <c r="F16" s="15">
        <v>2846.91</v>
      </c>
      <c r="G16" s="15">
        <v>2881.39</v>
      </c>
      <c r="H16" s="15">
        <v>2950.14</v>
      </c>
      <c r="I16" s="15">
        <v>2720.9</v>
      </c>
      <c r="J16" s="15">
        <v>2788</v>
      </c>
      <c r="K16" s="15">
        <v>2956.01</v>
      </c>
      <c r="L16" s="15">
        <v>2946</v>
      </c>
      <c r="M16" s="1">
        <v>2946</v>
      </c>
      <c r="N16" s="1">
        <v>2946</v>
      </c>
      <c r="O16" s="1">
        <v>2946</v>
      </c>
      <c r="Q16" s="27" t="str">
        <f t="shared" si="0"/>
        <v>Sueldos</v>
      </c>
      <c r="R16" s="29" t="str">
        <f t="shared" si="1"/>
        <v>Sueldo</v>
      </c>
      <c r="S16" s="20" t="str">
        <f t="shared" si="2"/>
        <v>Antonio Schettino</v>
      </c>
      <c r="T16" s="30">
        <f t="shared" si="5"/>
        <v>1</v>
      </c>
      <c r="U16" s="30">
        <f t="shared" si="3"/>
        <v>1</v>
      </c>
      <c r="V16" s="30">
        <f t="shared" si="3"/>
        <v>1</v>
      </c>
      <c r="W16" s="30">
        <f t="shared" si="3"/>
        <v>1</v>
      </c>
      <c r="X16" s="30">
        <f t="shared" si="3"/>
        <v>1</v>
      </c>
      <c r="Y16" s="30">
        <f t="shared" si="3"/>
        <v>1</v>
      </c>
      <c r="Z16" s="30">
        <f t="shared" si="3"/>
        <v>1</v>
      </c>
      <c r="AA16" s="30">
        <f t="shared" si="3"/>
        <v>1</v>
      </c>
      <c r="AB16" s="30">
        <f t="shared" si="3"/>
        <v>1</v>
      </c>
      <c r="AC16" s="30">
        <f t="shared" si="3"/>
        <v>1</v>
      </c>
      <c r="AD16" s="30">
        <f t="shared" si="3"/>
        <v>1</v>
      </c>
      <c r="AE16" s="30">
        <f t="shared" si="3"/>
        <v>1</v>
      </c>
      <c r="AG16" s="27" t="s">
        <v>17</v>
      </c>
      <c r="AH16" s="29" t="s">
        <v>56</v>
      </c>
      <c r="AI16" s="20" t="s">
        <v>64</v>
      </c>
      <c r="AJ16" s="30">
        <v>2802.86</v>
      </c>
      <c r="AK16" s="30">
        <v>2844.04</v>
      </c>
      <c r="AL16" s="30">
        <v>2846.91</v>
      </c>
      <c r="AM16" s="30">
        <v>2881.39</v>
      </c>
      <c r="AN16" s="30">
        <v>2950.14</v>
      </c>
      <c r="AO16" s="30">
        <v>2720.9</v>
      </c>
      <c r="AP16" s="30">
        <v>2788</v>
      </c>
      <c r="AQ16" s="30">
        <v>2956.01</v>
      </c>
      <c r="AR16" s="30">
        <v>2946</v>
      </c>
      <c r="AS16" s="31">
        <v>2946</v>
      </c>
      <c r="AT16" s="31">
        <v>2946</v>
      </c>
      <c r="AU16" s="31">
        <v>2946</v>
      </c>
      <c r="AW16" t="str">
        <f t="shared" si="6"/>
        <v>Antonio Schettino</v>
      </c>
      <c r="AX16" t="s">
        <v>178</v>
      </c>
      <c r="AZ16" t="s">
        <v>35</v>
      </c>
      <c r="BA16">
        <f>SUBTOTAL(9,BA9:BA14)</f>
        <v>46</v>
      </c>
    </row>
    <row r="17" spans="1:50" x14ac:dyDescent="0.2">
      <c r="A17" t="s">
        <v>17</v>
      </c>
      <c r="B17" t="s">
        <v>56</v>
      </c>
      <c r="C17" t="s">
        <v>65</v>
      </c>
      <c r="D17" s="15">
        <v>3002.0234938407057</v>
      </c>
      <c r="E17" s="15">
        <v>1495.2351122692194</v>
      </c>
      <c r="F17" s="15">
        <v>1519.6928934710345</v>
      </c>
      <c r="G17" s="15">
        <v>1551.6122383950637</v>
      </c>
      <c r="H17" s="15">
        <v>2138.8881120383189</v>
      </c>
      <c r="I17" s="15">
        <v>1465.4652957885069</v>
      </c>
      <c r="J17" s="15">
        <v>2922.7402331048975</v>
      </c>
      <c r="K17" s="15">
        <v>2520.3359830419945</v>
      </c>
      <c r="L17" s="15">
        <v>1497.0418983320094</v>
      </c>
      <c r="M17" s="1">
        <v>1476.0627876663686</v>
      </c>
      <c r="N17" s="1">
        <v>2325.6784888863931</v>
      </c>
      <c r="O17" s="1">
        <v>3234.5094904957141</v>
      </c>
      <c r="Q17" s="27" t="str">
        <f t="shared" si="0"/>
        <v>Sueldos</v>
      </c>
      <c r="R17" s="29" t="str">
        <f t="shared" si="1"/>
        <v>Sueldo</v>
      </c>
      <c r="S17" s="20" t="str">
        <f t="shared" si="2"/>
        <v>Arnold Tadeo</v>
      </c>
      <c r="T17" s="30">
        <f t="shared" si="5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G17" s="27" t="s">
        <v>17</v>
      </c>
      <c r="AH17" s="29" t="s">
        <v>56</v>
      </c>
      <c r="AI17" s="20" t="s">
        <v>65</v>
      </c>
      <c r="AJ17" s="30">
        <v>3002.0234938407057</v>
      </c>
      <c r="AK17" s="30">
        <v>1495.2351122692194</v>
      </c>
      <c r="AL17" s="30">
        <v>1519.6928934710345</v>
      </c>
      <c r="AM17" s="30">
        <v>1551.6122383950637</v>
      </c>
      <c r="AN17" s="30">
        <v>2138.8881120383189</v>
      </c>
      <c r="AO17" s="30">
        <v>1465.4652957885069</v>
      </c>
      <c r="AP17" s="30">
        <v>2922.7402331048975</v>
      </c>
      <c r="AQ17" s="30">
        <v>2520.3359830419945</v>
      </c>
      <c r="AR17" s="30">
        <v>1497.0418983320094</v>
      </c>
      <c r="AS17" s="31">
        <v>1476.0627876663686</v>
      </c>
      <c r="AT17" s="31">
        <v>2325.6784888863931</v>
      </c>
      <c r="AU17" s="31">
        <v>3234.5094904957141</v>
      </c>
      <c r="AW17" t="str">
        <f t="shared" si="6"/>
        <v>Arnold Tadeo</v>
      </c>
      <c r="AX17" t="s">
        <v>193</v>
      </c>
    </row>
    <row r="18" spans="1:50" x14ac:dyDescent="0.2">
      <c r="A18" t="s">
        <v>17</v>
      </c>
      <c r="B18" t="s">
        <v>56</v>
      </c>
      <c r="C18" t="s">
        <v>66</v>
      </c>
      <c r="D18" s="15">
        <v>4101.7571466037243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">
        <v>0</v>
      </c>
      <c r="N18" s="1">
        <v>0</v>
      </c>
      <c r="O18" s="1">
        <v>0</v>
      </c>
      <c r="Q18" s="27" t="str">
        <f t="shared" si="0"/>
        <v>Sueldos</v>
      </c>
      <c r="R18" s="29" t="str">
        <f t="shared" si="1"/>
        <v>Sueldo</v>
      </c>
      <c r="S18" s="20" t="str">
        <f t="shared" si="2"/>
        <v>CARLOS CARMELO HIDALGO</v>
      </c>
      <c r="T18" s="30">
        <f t="shared" si="5"/>
        <v>1</v>
      </c>
      <c r="U18" s="30">
        <f t="shared" si="3"/>
        <v>0</v>
      </c>
      <c r="V18" s="30">
        <f t="shared" si="3"/>
        <v>0</v>
      </c>
      <c r="W18" s="30">
        <f t="shared" si="3"/>
        <v>0</v>
      </c>
      <c r="X18" s="30">
        <f t="shared" si="3"/>
        <v>0</v>
      </c>
      <c r="Y18" s="30">
        <f t="shared" si="3"/>
        <v>0</v>
      </c>
      <c r="Z18" s="30">
        <f t="shared" si="3"/>
        <v>0</v>
      </c>
      <c r="AA18" s="30">
        <f t="shared" si="3"/>
        <v>0</v>
      </c>
      <c r="AB18" s="30">
        <f t="shared" si="3"/>
        <v>0</v>
      </c>
      <c r="AC18" s="30">
        <f t="shared" si="3"/>
        <v>0</v>
      </c>
      <c r="AD18" s="30">
        <f t="shared" si="3"/>
        <v>0</v>
      </c>
      <c r="AE18" s="30">
        <f t="shared" si="3"/>
        <v>0</v>
      </c>
      <c r="AG18" s="27" t="s">
        <v>17</v>
      </c>
      <c r="AH18" s="29" t="s">
        <v>56</v>
      </c>
      <c r="AI18" s="20" t="s">
        <v>66</v>
      </c>
      <c r="AJ18" s="30">
        <v>4101.7571466037243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1">
        <v>0</v>
      </c>
      <c r="AT18" s="31">
        <v>0</v>
      </c>
      <c r="AU18" s="31">
        <v>0</v>
      </c>
      <c r="AW18" t="str">
        <f t="shared" si="6"/>
        <v xml:space="preserve"> </v>
      </c>
    </row>
    <row r="19" spans="1:50" x14ac:dyDescent="0.2">
      <c r="A19" t="s">
        <v>17</v>
      </c>
      <c r="B19" t="s">
        <v>56</v>
      </c>
      <c r="C19" t="s">
        <v>67</v>
      </c>
      <c r="D19" s="15">
        <v>3582.3951204651084</v>
      </c>
      <c r="E19" s="15">
        <v>2930.0909805447809</v>
      </c>
      <c r="F19" s="15">
        <v>2960.0890684355845</v>
      </c>
      <c r="G19" s="15">
        <v>3022.2490614315589</v>
      </c>
      <c r="H19" s="15">
        <v>4166.199426885315</v>
      </c>
      <c r="I19" s="15">
        <v>2854.4677994772505</v>
      </c>
      <c r="J19" s="15">
        <v>6129.0730828872993</v>
      </c>
      <c r="K19" s="15">
        <v>5367.0214991792436</v>
      </c>
      <c r="L19" s="15">
        <v>2946.226313400658</v>
      </c>
      <c r="M19" s="1">
        <v>2875.1054511521625</v>
      </c>
      <c r="N19" s="1">
        <v>4530.0043852443114</v>
      </c>
      <c r="O19" s="1">
        <v>6782.862476108834</v>
      </c>
      <c r="Q19" s="27" t="str">
        <f t="shared" si="0"/>
        <v>Sueldos</v>
      </c>
      <c r="R19" s="29" t="str">
        <f t="shared" si="1"/>
        <v>Sueldo</v>
      </c>
      <c r="S19" s="20" t="str">
        <f t="shared" si="2"/>
        <v>Carlos Catalán</v>
      </c>
      <c r="T19" s="30">
        <f t="shared" si="5"/>
        <v>1</v>
      </c>
      <c r="U19" s="30">
        <f t="shared" si="3"/>
        <v>1</v>
      </c>
      <c r="V19" s="30">
        <f t="shared" si="3"/>
        <v>1</v>
      </c>
      <c r="W19" s="30">
        <f t="shared" si="3"/>
        <v>1</v>
      </c>
      <c r="X19" s="30">
        <f t="shared" si="3"/>
        <v>1</v>
      </c>
      <c r="Y19" s="30">
        <f t="shared" si="3"/>
        <v>1</v>
      </c>
      <c r="Z19" s="30">
        <f t="shared" si="3"/>
        <v>1</v>
      </c>
      <c r="AA19" s="30">
        <f t="shared" si="3"/>
        <v>1</v>
      </c>
      <c r="AB19" s="30">
        <f t="shared" si="3"/>
        <v>1</v>
      </c>
      <c r="AC19" s="30">
        <f t="shared" si="3"/>
        <v>1</v>
      </c>
      <c r="AD19" s="30">
        <f t="shared" si="3"/>
        <v>1</v>
      </c>
      <c r="AE19" s="30">
        <f t="shared" si="3"/>
        <v>1</v>
      </c>
      <c r="AG19" s="27" t="s">
        <v>17</v>
      </c>
      <c r="AH19" s="29" t="s">
        <v>56</v>
      </c>
      <c r="AI19" s="20" t="s">
        <v>67</v>
      </c>
      <c r="AJ19" s="30">
        <v>3582.3951204651084</v>
      </c>
      <c r="AK19" s="30">
        <v>2930.0909805447809</v>
      </c>
      <c r="AL19" s="30">
        <v>2960.0890684355845</v>
      </c>
      <c r="AM19" s="30">
        <v>3022.2490614315589</v>
      </c>
      <c r="AN19" s="30">
        <v>4166.199426885315</v>
      </c>
      <c r="AO19" s="30">
        <v>2854.4677994772505</v>
      </c>
      <c r="AP19" s="30">
        <v>6129.0730828872993</v>
      </c>
      <c r="AQ19" s="30">
        <v>5367.0214991792436</v>
      </c>
      <c r="AR19" s="30">
        <v>2946.226313400658</v>
      </c>
      <c r="AS19" s="31">
        <v>2875.1054511521625</v>
      </c>
      <c r="AT19" s="31">
        <v>4530.0043852443114</v>
      </c>
      <c r="AU19" s="31">
        <v>6782.862476108834</v>
      </c>
      <c r="AW19" t="str">
        <f t="shared" si="6"/>
        <v>Carlos Catalán</v>
      </c>
      <c r="AX19" t="s">
        <v>188</v>
      </c>
    </row>
    <row r="20" spans="1:50" x14ac:dyDescent="0.2">
      <c r="A20" t="s">
        <v>17</v>
      </c>
      <c r="B20" t="s">
        <v>56</v>
      </c>
      <c r="C20" t="s">
        <v>68</v>
      </c>
      <c r="D20" s="15">
        <v>3867.8791048949511</v>
      </c>
      <c r="E20" s="15">
        <v>3174.4531968150914</v>
      </c>
      <c r="F20" s="15">
        <v>3226.3781958242944</v>
      </c>
      <c r="G20" s="15">
        <v>3294.1400035141469</v>
      </c>
      <c r="H20" s="15">
        <v>4540.9759461640915</v>
      </c>
      <c r="I20" s="15">
        <v>3111.2584271176165</v>
      </c>
      <c r="J20" s="15">
        <v>0</v>
      </c>
      <c r="K20" s="15">
        <v>0</v>
      </c>
      <c r="L20" s="15">
        <v>0</v>
      </c>
      <c r="M20" s="1">
        <v>0</v>
      </c>
      <c r="N20" s="1">
        <v>0</v>
      </c>
      <c r="O20" s="1">
        <v>0</v>
      </c>
      <c r="Q20" s="27" t="str">
        <f t="shared" si="0"/>
        <v>Sueldos</v>
      </c>
      <c r="R20" s="29" t="str">
        <f t="shared" si="1"/>
        <v>Sueldo</v>
      </c>
      <c r="S20" s="20" t="str">
        <f t="shared" si="2"/>
        <v>Carlos Morante</v>
      </c>
      <c r="T20" s="30">
        <f t="shared" si="5"/>
        <v>1</v>
      </c>
      <c r="U20" s="30">
        <f t="shared" si="3"/>
        <v>1</v>
      </c>
      <c r="V20" s="30">
        <f t="shared" si="3"/>
        <v>1</v>
      </c>
      <c r="W20" s="30">
        <f t="shared" si="3"/>
        <v>1</v>
      </c>
      <c r="X20" s="30">
        <f t="shared" si="3"/>
        <v>1</v>
      </c>
      <c r="Y20" s="30">
        <f t="shared" si="3"/>
        <v>1</v>
      </c>
      <c r="Z20" s="30">
        <f t="shared" si="3"/>
        <v>0</v>
      </c>
      <c r="AA20" s="30">
        <f t="shared" si="3"/>
        <v>0</v>
      </c>
      <c r="AB20" s="30">
        <f t="shared" si="3"/>
        <v>0</v>
      </c>
      <c r="AC20" s="30">
        <f t="shared" si="3"/>
        <v>0</v>
      </c>
      <c r="AD20" s="30">
        <f t="shared" si="3"/>
        <v>0</v>
      </c>
      <c r="AE20" s="30">
        <f t="shared" si="3"/>
        <v>0</v>
      </c>
      <c r="AG20" s="27" t="s">
        <v>17</v>
      </c>
      <c r="AH20" s="29" t="s">
        <v>56</v>
      </c>
      <c r="AI20" s="20" t="s">
        <v>68</v>
      </c>
      <c r="AJ20" s="30">
        <v>3867.8791048949511</v>
      </c>
      <c r="AK20" s="30">
        <v>3174.4531968150914</v>
      </c>
      <c r="AL20" s="30">
        <v>3226.3781958242944</v>
      </c>
      <c r="AM20" s="30">
        <v>3294.1400035141469</v>
      </c>
      <c r="AN20" s="30">
        <v>4540.9759461640915</v>
      </c>
      <c r="AO20" s="30">
        <v>3111.2584271176165</v>
      </c>
      <c r="AP20" s="30">
        <v>0</v>
      </c>
      <c r="AQ20" s="30">
        <v>0</v>
      </c>
      <c r="AR20" s="30">
        <v>0</v>
      </c>
      <c r="AS20" s="31">
        <v>0</v>
      </c>
      <c r="AT20" s="31">
        <v>0</v>
      </c>
      <c r="AU20" s="31">
        <v>0</v>
      </c>
      <c r="AW20" t="str">
        <f t="shared" si="6"/>
        <v xml:space="preserve"> </v>
      </c>
    </row>
    <row r="21" spans="1:50" x14ac:dyDescent="0.2">
      <c r="A21" t="s">
        <v>17</v>
      </c>
      <c r="B21" t="s">
        <v>56</v>
      </c>
      <c r="C21" t="s">
        <v>69</v>
      </c>
      <c r="D21" s="15">
        <v>10340.278235763943</v>
      </c>
      <c r="E21" s="15">
        <v>9912.7777078895706</v>
      </c>
      <c r="F21" s="15">
        <v>9941.9923232284618</v>
      </c>
      <c r="G21" s="15">
        <v>9825.5356254111393</v>
      </c>
      <c r="H21" s="15">
        <v>10030.851222553089</v>
      </c>
      <c r="I21" s="15">
        <v>10291.810177766709</v>
      </c>
      <c r="J21" s="15">
        <v>10050.912386832391</v>
      </c>
      <c r="K21" s="15">
        <v>10530.224349338012</v>
      </c>
      <c r="L21" s="15">
        <v>10562.402188172307</v>
      </c>
      <c r="M21" s="1">
        <v>10414.81105351302</v>
      </c>
      <c r="N21" s="1">
        <v>10691.723530861771</v>
      </c>
      <c r="O21" s="1">
        <v>12109.595993039682</v>
      </c>
      <c r="Q21" s="27" t="str">
        <f t="shared" si="0"/>
        <v>Sueldos</v>
      </c>
      <c r="R21" s="29" t="str">
        <f t="shared" si="1"/>
        <v>Sueldo</v>
      </c>
      <c r="S21" s="20" t="str">
        <f t="shared" si="2"/>
        <v>Claudio Hernandez</v>
      </c>
      <c r="T21" s="30">
        <f t="shared" si="5"/>
        <v>1</v>
      </c>
      <c r="U21" s="30">
        <f t="shared" si="3"/>
        <v>1</v>
      </c>
      <c r="V21" s="30">
        <f t="shared" si="3"/>
        <v>1</v>
      </c>
      <c r="W21" s="30">
        <f t="shared" si="3"/>
        <v>1</v>
      </c>
      <c r="X21" s="30">
        <f t="shared" si="3"/>
        <v>1</v>
      </c>
      <c r="Y21" s="30">
        <f t="shared" si="3"/>
        <v>1</v>
      </c>
      <c r="Z21" s="30">
        <f t="shared" si="3"/>
        <v>1</v>
      </c>
      <c r="AA21" s="30">
        <f t="shared" si="3"/>
        <v>1</v>
      </c>
      <c r="AB21" s="30">
        <f t="shared" si="3"/>
        <v>1</v>
      </c>
      <c r="AC21" s="30">
        <f t="shared" si="3"/>
        <v>1</v>
      </c>
      <c r="AD21" s="30">
        <f t="shared" si="3"/>
        <v>1</v>
      </c>
      <c r="AE21" s="30">
        <f t="shared" si="3"/>
        <v>1</v>
      </c>
      <c r="AG21" s="27" t="s">
        <v>17</v>
      </c>
      <c r="AH21" s="29" t="s">
        <v>56</v>
      </c>
      <c r="AI21" s="20" t="s">
        <v>69</v>
      </c>
      <c r="AJ21" s="30">
        <v>10340.278235763943</v>
      </c>
      <c r="AK21" s="30">
        <v>9912.7777078895706</v>
      </c>
      <c r="AL21" s="30">
        <v>9941.9923232284618</v>
      </c>
      <c r="AM21" s="30">
        <v>9825.5356254111393</v>
      </c>
      <c r="AN21" s="30">
        <v>10030.851222553089</v>
      </c>
      <c r="AO21" s="30">
        <v>10291.810177766709</v>
      </c>
      <c r="AP21" s="30">
        <v>10050.912386832391</v>
      </c>
      <c r="AQ21" s="30">
        <v>10530.224349338012</v>
      </c>
      <c r="AR21" s="30">
        <v>10562.402188172307</v>
      </c>
      <c r="AS21" s="31">
        <v>10414.81105351302</v>
      </c>
      <c r="AT21" s="31">
        <v>10691.723530861771</v>
      </c>
      <c r="AU21" s="31">
        <v>12109.595993039682</v>
      </c>
      <c r="AW21" t="str">
        <f t="shared" si="6"/>
        <v>Claudio Hernandez</v>
      </c>
      <c r="AX21" t="s">
        <v>198</v>
      </c>
    </row>
    <row r="22" spans="1:50" x14ac:dyDescent="0.2">
      <c r="A22" t="s">
        <v>17</v>
      </c>
      <c r="B22" t="s">
        <v>56</v>
      </c>
      <c r="C22" t="s">
        <v>70</v>
      </c>
      <c r="D22" s="15">
        <v>655.65171780750063</v>
      </c>
      <c r="E22" s="15">
        <v>658.4</v>
      </c>
      <c r="F22" s="15">
        <v>671.86240257995166</v>
      </c>
      <c r="G22" s="15">
        <v>669.52</v>
      </c>
      <c r="H22" s="15">
        <v>666.13</v>
      </c>
      <c r="I22" s="15">
        <v>654.96</v>
      </c>
      <c r="J22" s="15">
        <v>668</v>
      </c>
      <c r="K22" s="15">
        <v>654.96</v>
      </c>
      <c r="L22" s="15">
        <v>0</v>
      </c>
      <c r="M22" s="1">
        <v>0</v>
      </c>
      <c r="N22" s="1">
        <v>0</v>
      </c>
      <c r="O22" s="1">
        <v>0</v>
      </c>
      <c r="Q22" s="27" t="str">
        <f t="shared" si="0"/>
        <v>Sueldos</v>
      </c>
      <c r="R22" s="29" t="str">
        <f t="shared" si="1"/>
        <v>Sueldo</v>
      </c>
      <c r="S22" s="20" t="str">
        <f t="shared" si="2"/>
        <v>Clinton Yahuira</v>
      </c>
      <c r="T22" s="30">
        <f t="shared" si="5"/>
        <v>1</v>
      </c>
      <c r="U22" s="30">
        <f t="shared" si="3"/>
        <v>1</v>
      </c>
      <c r="V22" s="30">
        <f t="shared" si="3"/>
        <v>1</v>
      </c>
      <c r="W22" s="30">
        <f t="shared" si="3"/>
        <v>1</v>
      </c>
      <c r="X22" s="30">
        <f t="shared" si="3"/>
        <v>1</v>
      </c>
      <c r="Y22" s="30">
        <f t="shared" si="3"/>
        <v>1</v>
      </c>
      <c r="Z22" s="30">
        <f t="shared" si="3"/>
        <v>1</v>
      </c>
      <c r="AA22" s="30">
        <f t="shared" si="3"/>
        <v>1</v>
      </c>
      <c r="AB22" s="30">
        <f t="shared" si="3"/>
        <v>0</v>
      </c>
      <c r="AC22" s="30">
        <f t="shared" si="3"/>
        <v>0</v>
      </c>
      <c r="AD22" s="30">
        <f t="shared" si="3"/>
        <v>0</v>
      </c>
      <c r="AE22" s="30">
        <f t="shared" si="3"/>
        <v>0</v>
      </c>
      <c r="AG22" s="27" t="s">
        <v>17</v>
      </c>
      <c r="AH22" s="29" t="s">
        <v>56</v>
      </c>
      <c r="AI22" s="20" t="s">
        <v>70</v>
      </c>
      <c r="AJ22" s="30">
        <v>655.65171780750063</v>
      </c>
      <c r="AK22" s="30">
        <v>658.4</v>
      </c>
      <c r="AL22" s="30">
        <v>671.86240257995166</v>
      </c>
      <c r="AM22" s="30">
        <v>669.52</v>
      </c>
      <c r="AN22" s="30">
        <v>666.13</v>
      </c>
      <c r="AO22" s="30">
        <v>654.96</v>
      </c>
      <c r="AP22" s="30">
        <v>668</v>
      </c>
      <c r="AQ22" s="30">
        <v>654.96</v>
      </c>
      <c r="AR22" s="30">
        <v>0</v>
      </c>
      <c r="AS22" s="31">
        <v>0</v>
      </c>
      <c r="AT22" s="31">
        <v>0</v>
      </c>
      <c r="AU22" s="31">
        <v>0</v>
      </c>
      <c r="AW22" t="str">
        <f t="shared" si="6"/>
        <v xml:space="preserve"> </v>
      </c>
    </row>
    <row r="23" spans="1:50" x14ac:dyDescent="0.2">
      <c r="A23" t="s">
        <v>17</v>
      </c>
      <c r="B23" t="s">
        <v>56</v>
      </c>
      <c r="C23" t="s">
        <v>71</v>
      </c>
      <c r="D23" s="15">
        <v>2214.8277587326488</v>
      </c>
      <c r="E23" s="15">
        <v>2123.0160915495571</v>
      </c>
      <c r="F23" s="15">
        <v>2524.109595633995</v>
      </c>
      <c r="G23" s="15">
        <v>2492.4647008083712</v>
      </c>
      <c r="H23" s="15">
        <v>2543.4429783806818</v>
      </c>
      <c r="I23" s="15">
        <v>2451.1331546603565</v>
      </c>
      <c r="J23" s="15">
        <v>2490.2272737815738</v>
      </c>
      <c r="K23" s="15">
        <v>2842.5991770783512</v>
      </c>
      <c r="L23" s="15">
        <v>2682.7515828937162</v>
      </c>
      <c r="M23" s="1">
        <v>2640.8006117826762</v>
      </c>
      <c r="N23" s="1">
        <v>2711.0151011128669</v>
      </c>
      <c r="O23" s="1">
        <v>3070.5337180431511</v>
      </c>
      <c r="Q23" s="27" t="str">
        <f t="shared" si="0"/>
        <v>Sueldos</v>
      </c>
      <c r="R23" s="29" t="str">
        <f t="shared" si="1"/>
        <v>Sueldo</v>
      </c>
      <c r="S23" s="20" t="str">
        <f t="shared" si="2"/>
        <v>Cristián  Alarcón</v>
      </c>
      <c r="T23" s="30">
        <f t="shared" si="5"/>
        <v>1</v>
      </c>
      <c r="U23" s="30">
        <f t="shared" si="3"/>
        <v>1</v>
      </c>
      <c r="V23" s="30">
        <f t="shared" si="3"/>
        <v>1</v>
      </c>
      <c r="W23" s="30">
        <f t="shared" si="3"/>
        <v>1</v>
      </c>
      <c r="X23" s="30">
        <f t="shared" si="3"/>
        <v>1</v>
      </c>
      <c r="Y23" s="30">
        <f t="shared" si="3"/>
        <v>1</v>
      </c>
      <c r="Z23" s="30">
        <f t="shared" si="3"/>
        <v>1</v>
      </c>
      <c r="AA23" s="30">
        <f t="shared" si="3"/>
        <v>1</v>
      </c>
      <c r="AB23" s="30">
        <f t="shared" si="3"/>
        <v>1</v>
      </c>
      <c r="AC23" s="30">
        <f t="shared" si="3"/>
        <v>1</v>
      </c>
      <c r="AD23" s="30">
        <f t="shared" si="3"/>
        <v>1</v>
      </c>
      <c r="AE23" s="30">
        <f t="shared" si="3"/>
        <v>1</v>
      </c>
      <c r="AG23" s="27" t="s">
        <v>17</v>
      </c>
      <c r="AH23" s="29" t="s">
        <v>56</v>
      </c>
      <c r="AI23" s="20" t="s">
        <v>71</v>
      </c>
      <c r="AJ23" s="30">
        <v>2214.8277587326488</v>
      </c>
      <c r="AK23" s="30">
        <v>2123.0160915495571</v>
      </c>
      <c r="AL23" s="30">
        <v>2524.109595633995</v>
      </c>
      <c r="AM23" s="30">
        <v>2492.4647008083712</v>
      </c>
      <c r="AN23" s="30">
        <v>2543.4429783806818</v>
      </c>
      <c r="AO23" s="30">
        <v>2451.1331546603565</v>
      </c>
      <c r="AP23" s="30">
        <v>2490.2272737815738</v>
      </c>
      <c r="AQ23" s="30">
        <v>2842.5991770783512</v>
      </c>
      <c r="AR23" s="30">
        <v>2682.7515828937162</v>
      </c>
      <c r="AS23" s="31">
        <v>2640.8006117826762</v>
      </c>
      <c r="AT23" s="31">
        <v>2711.0151011128669</v>
      </c>
      <c r="AU23" s="31">
        <v>3070.5337180431511</v>
      </c>
      <c r="AW23" t="str">
        <f t="shared" si="6"/>
        <v>Cristián  Alarcón</v>
      </c>
      <c r="AX23" t="s">
        <v>193</v>
      </c>
    </row>
    <row r="24" spans="1:50" x14ac:dyDescent="0.2">
      <c r="A24" t="s">
        <v>17</v>
      </c>
      <c r="B24" t="s">
        <v>56</v>
      </c>
      <c r="C24" t="s">
        <v>72</v>
      </c>
      <c r="D24" s="15">
        <v>7950.2818425417217</v>
      </c>
      <c r="E24" s="15">
        <v>8123.8317368262633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">
        <v>0</v>
      </c>
      <c r="N24" s="1">
        <v>0</v>
      </c>
      <c r="O24" s="1">
        <v>0</v>
      </c>
      <c r="Q24" s="27" t="str">
        <f t="shared" si="0"/>
        <v>Sueldos</v>
      </c>
      <c r="R24" s="29" t="str">
        <f t="shared" si="1"/>
        <v>Sueldo</v>
      </c>
      <c r="S24" s="20" t="str">
        <f t="shared" si="2"/>
        <v>Cristián García</v>
      </c>
      <c r="T24" s="30">
        <f t="shared" si="5"/>
        <v>1</v>
      </c>
      <c r="U24" s="30">
        <f t="shared" si="3"/>
        <v>1</v>
      </c>
      <c r="V24" s="30">
        <f t="shared" si="3"/>
        <v>0</v>
      </c>
      <c r="W24" s="30">
        <f t="shared" si="3"/>
        <v>0</v>
      </c>
      <c r="X24" s="30">
        <f t="shared" si="3"/>
        <v>0</v>
      </c>
      <c r="Y24" s="30">
        <f t="shared" si="3"/>
        <v>0</v>
      </c>
      <c r="Z24" s="30">
        <f t="shared" si="3"/>
        <v>0</v>
      </c>
      <c r="AA24" s="30">
        <f t="shared" si="3"/>
        <v>0</v>
      </c>
      <c r="AB24" s="30">
        <f t="shared" si="3"/>
        <v>0</v>
      </c>
      <c r="AC24" s="30">
        <f t="shared" si="3"/>
        <v>0</v>
      </c>
      <c r="AD24" s="30">
        <f t="shared" si="3"/>
        <v>0</v>
      </c>
      <c r="AE24" s="30">
        <f t="shared" si="3"/>
        <v>0</v>
      </c>
      <c r="AG24" s="27" t="s">
        <v>17</v>
      </c>
      <c r="AH24" s="29" t="s">
        <v>56</v>
      </c>
      <c r="AI24" s="20" t="s">
        <v>72</v>
      </c>
      <c r="AJ24" s="30">
        <v>7950.2818425417217</v>
      </c>
      <c r="AK24" s="30">
        <v>8123.8317368262633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1">
        <v>0</v>
      </c>
      <c r="AT24" s="31">
        <v>0</v>
      </c>
      <c r="AU24" s="31">
        <v>0</v>
      </c>
      <c r="AW24" t="str">
        <f t="shared" si="6"/>
        <v xml:space="preserve"> </v>
      </c>
    </row>
    <row r="25" spans="1:50" x14ac:dyDescent="0.2">
      <c r="A25" t="s">
        <v>17</v>
      </c>
      <c r="B25" t="s">
        <v>56</v>
      </c>
      <c r="C25" t="s">
        <v>73</v>
      </c>
      <c r="D25" s="15">
        <v>0</v>
      </c>
      <c r="E25" s="15">
        <v>0</v>
      </c>
      <c r="F25" s="15">
        <v>8988.0921457149507</v>
      </c>
      <c r="G25" s="15">
        <v>9037.1248137924049</v>
      </c>
      <c r="H25" s="15">
        <v>9562.8773566255059</v>
      </c>
      <c r="I25" s="15">
        <v>9618.1162890101532</v>
      </c>
      <c r="J25" s="15">
        <v>9327.9782071659411</v>
      </c>
      <c r="K25" s="15">
        <v>9841.641970676701</v>
      </c>
      <c r="L25" s="15">
        <v>9929.0623933360075</v>
      </c>
      <c r="M25" s="1">
        <v>9777.7761077195828</v>
      </c>
      <c r="N25" s="1">
        <v>0</v>
      </c>
      <c r="O25" s="1">
        <v>0</v>
      </c>
      <c r="Q25" s="27" t="str">
        <f t="shared" si="0"/>
        <v>Sueldos</v>
      </c>
      <c r="R25" s="29" t="str">
        <f t="shared" si="1"/>
        <v>Sueldo</v>
      </c>
      <c r="S25" s="20" t="str">
        <f t="shared" si="2"/>
        <v>Cristian Quezada</v>
      </c>
      <c r="T25" s="30">
        <f t="shared" si="5"/>
        <v>0</v>
      </c>
      <c r="U25" s="30">
        <f t="shared" ref="U25:U88" si="7">+IF(E25&gt;0,1,0)</f>
        <v>0</v>
      </c>
      <c r="V25" s="30">
        <f t="shared" ref="V25:V88" si="8">+IF(F25&gt;0,1,0)</f>
        <v>1</v>
      </c>
      <c r="W25" s="30">
        <f t="shared" ref="W25:W88" si="9">+IF(G25&gt;0,1,0)</f>
        <v>1</v>
      </c>
      <c r="X25" s="30">
        <f t="shared" ref="X25:X88" si="10">+IF(H25&gt;0,1,0)</f>
        <v>1</v>
      </c>
      <c r="Y25" s="30">
        <f t="shared" ref="Y25:Y88" si="11">+IF(I25&gt;0,1,0)</f>
        <v>1</v>
      </c>
      <c r="Z25" s="30">
        <f t="shared" ref="Z25:Z88" si="12">+IF(J25&gt;0,1,0)</f>
        <v>1</v>
      </c>
      <c r="AA25" s="30">
        <f t="shared" ref="AA25:AA88" si="13">+IF(K25&gt;0,1,0)</f>
        <v>1</v>
      </c>
      <c r="AB25" s="30">
        <f t="shared" ref="AB25:AB88" si="14">+IF(L25&gt;0,1,0)</f>
        <v>1</v>
      </c>
      <c r="AC25" s="30">
        <f t="shared" ref="AC25:AC88" si="15">+IF(M25&gt;0,1,0)</f>
        <v>1</v>
      </c>
      <c r="AD25" s="30">
        <f t="shared" ref="AD25:AD88" si="16">+IF(N25&gt;0,1,0)</f>
        <v>0</v>
      </c>
      <c r="AE25" s="30">
        <f t="shared" ref="AE25:AE88" si="17">+IF(O25&gt;0,1,0)</f>
        <v>0</v>
      </c>
      <c r="AG25" s="27" t="s">
        <v>17</v>
      </c>
      <c r="AH25" s="29" t="s">
        <v>56</v>
      </c>
      <c r="AI25" s="20" t="s">
        <v>73</v>
      </c>
      <c r="AJ25" s="30">
        <v>0</v>
      </c>
      <c r="AK25" s="30">
        <v>0</v>
      </c>
      <c r="AL25" s="30">
        <v>8988.0921457149507</v>
      </c>
      <c r="AM25" s="30">
        <v>9037.1248137924049</v>
      </c>
      <c r="AN25" s="30">
        <v>9562.8773566255059</v>
      </c>
      <c r="AO25" s="30">
        <v>9618.1162890101532</v>
      </c>
      <c r="AP25" s="30">
        <v>9327.9782071659411</v>
      </c>
      <c r="AQ25" s="30">
        <v>9841.641970676701</v>
      </c>
      <c r="AR25" s="30">
        <v>9929.0623933360075</v>
      </c>
      <c r="AS25" s="31">
        <v>9777.7761077195828</v>
      </c>
      <c r="AT25" s="31">
        <v>0</v>
      </c>
      <c r="AU25" s="31">
        <v>0</v>
      </c>
      <c r="AW25" t="str">
        <f t="shared" si="6"/>
        <v xml:space="preserve"> </v>
      </c>
    </row>
    <row r="26" spans="1:50" x14ac:dyDescent="0.2">
      <c r="A26" t="s">
        <v>17</v>
      </c>
      <c r="B26" t="s">
        <v>56</v>
      </c>
      <c r="C26" t="s">
        <v>74</v>
      </c>
      <c r="D26" s="15">
        <v>157.80000506045681</v>
      </c>
      <c r="E26" s="15">
        <v>296.78609910526558</v>
      </c>
      <c r="F26" s="15">
        <v>204.3324990901786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">
        <v>0</v>
      </c>
      <c r="N26" s="1">
        <v>0</v>
      </c>
      <c r="O26" s="1">
        <v>0</v>
      </c>
      <c r="Q26" s="27" t="str">
        <f t="shared" si="0"/>
        <v>Sueldos</v>
      </c>
      <c r="R26" s="29" t="str">
        <f t="shared" si="1"/>
        <v>Sueldo</v>
      </c>
      <c r="S26" s="20" t="str">
        <f t="shared" si="2"/>
        <v>Cristóbal García Wallis practicante</v>
      </c>
      <c r="T26" s="30">
        <f t="shared" si="5"/>
        <v>1</v>
      </c>
      <c r="U26" s="30">
        <f t="shared" si="7"/>
        <v>1</v>
      </c>
      <c r="V26" s="30">
        <f t="shared" si="8"/>
        <v>1</v>
      </c>
      <c r="W26" s="30">
        <f t="shared" si="9"/>
        <v>0</v>
      </c>
      <c r="X26" s="30">
        <f t="shared" si="10"/>
        <v>0</v>
      </c>
      <c r="Y26" s="30">
        <f t="shared" si="11"/>
        <v>0</v>
      </c>
      <c r="Z26" s="30">
        <f t="shared" si="12"/>
        <v>0</v>
      </c>
      <c r="AA26" s="30">
        <f t="shared" si="13"/>
        <v>0</v>
      </c>
      <c r="AB26" s="30">
        <f t="shared" si="14"/>
        <v>0</v>
      </c>
      <c r="AC26" s="30">
        <f t="shared" si="15"/>
        <v>0</v>
      </c>
      <c r="AD26" s="30">
        <f t="shared" si="16"/>
        <v>0</v>
      </c>
      <c r="AE26" s="30">
        <f t="shared" si="17"/>
        <v>0</v>
      </c>
      <c r="AG26" s="27" t="s">
        <v>17</v>
      </c>
      <c r="AH26" s="29" t="s">
        <v>56</v>
      </c>
      <c r="AI26" s="20" t="s">
        <v>74</v>
      </c>
      <c r="AJ26" s="30">
        <v>157.80000506045681</v>
      </c>
      <c r="AK26" s="30">
        <v>296.78609910526558</v>
      </c>
      <c r="AL26" s="30">
        <v>204.3324990901786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1">
        <v>0</v>
      </c>
      <c r="AT26" s="31">
        <v>0</v>
      </c>
      <c r="AU26" s="31">
        <v>0</v>
      </c>
      <c r="AW26" t="str">
        <f t="shared" si="6"/>
        <v xml:space="preserve"> </v>
      </c>
    </row>
    <row r="27" spans="1:50" x14ac:dyDescent="0.2">
      <c r="A27" t="s">
        <v>17</v>
      </c>
      <c r="B27" t="s">
        <v>56</v>
      </c>
      <c r="C27" t="s">
        <v>75</v>
      </c>
      <c r="D27" s="15">
        <v>1900.1613368442065</v>
      </c>
      <c r="E27" s="15">
        <v>1821.3575971346481</v>
      </c>
      <c r="F27" s="15">
        <v>2524.109595633995</v>
      </c>
      <c r="G27" s="15">
        <v>2492.4647008083712</v>
      </c>
      <c r="H27" s="15">
        <v>2543.4429783806818</v>
      </c>
      <c r="I27" s="15">
        <v>2607.7430321829534</v>
      </c>
      <c r="J27" s="15">
        <v>2641.5430165294088</v>
      </c>
      <c r="K27" s="15">
        <v>2682.603478201775</v>
      </c>
      <c r="L27" s="15">
        <v>2682.7515828937162</v>
      </c>
      <c r="M27" s="1">
        <v>2640.8006117826762</v>
      </c>
      <c r="N27" s="1">
        <v>2711.0151011128669</v>
      </c>
      <c r="O27" s="1">
        <v>3070.5337180431511</v>
      </c>
      <c r="Q27" s="27" t="str">
        <f t="shared" si="0"/>
        <v>Sueldos</v>
      </c>
      <c r="R27" s="29" t="str">
        <f t="shared" si="1"/>
        <v>Sueldo</v>
      </c>
      <c r="S27" s="20" t="str">
        <f t="shared" si="2"/>
        <v>Daniela Oyarzo E.</v>
      </c>
      <c r="T27" s="30">
        <f t="shared" si="5"/>
        <v>1</v>
      </c>
      <c r="U27" s="30">
        <f t="shared" si="7"/>
        <v>1</v>
      </c>
      <c r="V27" s="30">
        <f t="shared" si="8"/>
        <v>1</v>
      </c>
      <c r="W27" s="30">
        <f t="shared" si="9"/>
        <v>1</v>
      </c>
      <c r="X27" s="30">
        <f t="shared" si="10"/>
        <v>1</v>
      </c>
      <c r="Y27" s="30">
        <f t="shared" si="11"/>
        <v>1</v>
      </c>
      <c r="Z27" s="30">
        <f t="shared" si="12"/>
        <v>1</v>
      </c>
      <c r="AA27" s="30">
        <f t="shared" si="13"/>
        <v>1</v>
      </c>
      <c r="AB27" s="30">
        <f t="shared" si="14"/>
        <v>1</v>
      </c>
      <c r="AC27" s="30">
        <f t="shared" si="15"/>
        <v>1</v>
      </c>
      <c r="AD27" s="30">
        <f t="shared" si="16"/>
        <v>1</v>
      </c>
      <c r="AE27" s="30">
        <f t="shared" si="17"/>
        <v>1</v>
      </c>
      <c r="AG27" s="27" t="s">
        <v>17</v>
      </c>
      <c r="AH27" s="29" t="s">
        <v>56</v>
      </c>
      <c r="AI27" s="20" t="s">
        <v>75</v>
      </c>
      <c r="AJ27" s="30">
        <v>1900.1613368442065</v>
      </c>
      <c r="AK27" s="30">
        <v>1821.3575971346481</v>
      </c>
      <c r="AL27" s="30">
        <v>2524.109595633995</v>
      </c>
      <c r="AM27" s="30">
        <v>2492.4647008083712</v>
      </c>
      <c r="AN27" s="30">
        <v>2543.4429783806818</v>
      </c>
      <c r="AO27" s="30">
        <v>2607.7430321829534</v>
      </c>
      <c r="AP27" s="30">
        <v>2641.5430165294088</v>
      </c>
      <c r="AQ27" s="30">
        <v>2682.603478201775</v>
      </c>
      <c r="AR27" s="30">
        <v>2682.7515828937162</v>
      </c>
      <c r="AS27" s="31">
        <v>2640.8006117826762</v>
      </c>
      <c r="AT27" s="31">
        <v>2711.0151011128669</v>
      </c>
      <c r="AU27" s="31">
        <v>3070.5337180431511</v>
      </c>
      <c r="AW27" t="str">
        <f t="shared" si="6"/>
        <v>Daniela Oyarzo E.</v>
      </c>
      <c r="AX27" t="s">
        <v>193</v>
      </c>
    </row>
    <row r="28" spans="1:50" x14ac:dyDescent="0.2">
      <c r="A28" t="s">
        <v>17</v>
      </c>
      <c r="B28" t="s">
        <v>56</v>
      </c>
      <c r="C28" t="s">
        <v>76</v>
      </c>
      <c r="D28" s="15">
        <v>1940.7740992708082</v>
      </c>
      <c r="E28" s="15">
        <v>1860.2926962657752</v>
      </c>
      <c r="F28" s="15">
        <v>1511.9865208442411</v>
      </c>
      <c r="G28" s="15">
        <v>2215.556484454904</v>
      </c>
      <c r="H28" s="15">
        <v>2260.8933001922974</v>
      </c>
      <c r="I28" s="15">
        <v>2318.0773262457933</v>
      </c>
      <c r="J28" s="15">
        <v>3719.6206305170967</v>
      </c>
      <c r="K28" s="15">
        <v>2386.5478856211998</v>
      </c>
      <c r="L28" s="15">
        <v>2388.6900669184361</v>
      </c>
      <c r="M28" s="1">
        <v>2347.4355277759823</v>
      </c>
      <c r="N28" s="1">
        <v>2409.8499281979334</v>
      </c>
      <c r="O28" s="1">
        <v>2729.4298201873271</v>
      </c>
      <c r="Q28" s="27" t="str">
        <f t="shared" si="0"/>
        <v>Sueldos</v>
      </c>
      <c r="R28" s="29" t="str">
        <f t="shared" si="1"/>
        <v>Sueldo</v>
      </c>
      <c r="S28" s="20" t="str">
        <f t="shared" si="2"/>
        <v>Diego Muñoz</v>
      </c>
      <c r="T28" s="30">
        <f t="shared" si="5"/>
        <v>1</v>
      </c>
      <c r="U28" s="30">
        <f t="shared" si="7"/>
        <v>1</v>
      </c>
      <c r="V28" s="30">
        <f t="shared" si="8"/>
        <v>1</v>
      </c>
      <c r="W28" s="30">
        <f t="shared" si="9"/>
        <v>1</v>
      </c>
      <c r="X28" s="30">
        <f t="shared" si="10"/>
        <v>1</v>
      </c>
      <c r="Y28" s="30">
        <f t="shared" si="11"/>
        <v>1</v>
      </c>
      <c r="Z28" s="30">
        <f t="shared" si="12"/>
        <v>1</v>
      </c>
      <c r="AA28" s="30">
        <f t="shared" si="13"/>
        <v>1</v>
      </c>
      <c r="AB28" s="30">
        <f t="shared" si="14"/>
        <v>1</v>
      </c>
      <c r="AC28" s="30">
        <f t="shared" si="15"/>
        <v>1</v>
      </c>
      <c r="AD28" s="30">
        <f t="shared" si="16"/>
        <v>1</v>
      </c>
      <c r="AE28" s="30">
        <f t="shared" si="17"/>
        <v>1</v>
      </c>
      <c r="AG28" s="27" t="s">
        <v>17</v>
      </c>
      <c r="AH28" s="29" t="s">
        <v>56</v>
      </c>
      <c r="AI28" s="20" t="s">
        <v>76</v>
      </c>
      <c r="AJ28" s="30">
        <v>1940.7740992708082</v>
      </c>
      <c r="AK28" s="30">
        <v>1860.2926962657752</v>
      </c>
      <c r="AL28" s="30">
        <v>1511.9865208442411</v>
      </c>
      <c r="AM28" s="30">
        <v>2215.556484454904</v>
      </c>
      <c r="AN28" s="30">
        <v>2260.8933001922974</v>
      </c>
      <c r="AO28" s="30">
        <v>2318.0773262457933</v>
      </c>
      <c r="AP28" s="30">
        <v>3719.6206305170967</v>
      </c>
      <c r="AQ28" s="30">
        <v>2386.5478856211998</v>
      </c>
      <c r="AR28" s="30">
        <v>2388.6900669184361</v>
      </c>
      <c r="AS28" s="31">
        <v>2347.4355277759823</v>
      </c>
      <c r="AT28" s="31">
        <v>2409.8499281979334</v>
      </c>
      <c r="AU28" s="31">
        <v>2729.4298201873271</v>
      </c>
      <c r="AW28" t="str">
        <f t="shared" si="6"/>
        <v>Diego Muñoz</v>
      </c>
      <c r="AX28" t="s">
        <v>193</v>
      </c>
    </row>
    <row r="29" spans="1:50" x14ac:dyDescent="0.2">
      <c r="A29" t="s">
        <v>17</v>
      </c>
      <c r="B29" t="s">
        <v>56</v>
      </c>
      <c r="C29" t="s">
        <v>77</v>
      </c>
      <c r="D29" s="15">
        <v>1616.1771284562842</v>
      </c>
      <c r="E29" s="15">
        <v>1549.1156135051031</v>
      </c>
      <c r="F29" s="15">
        <v>1552.4409862467105</v>
      </c>
      <c r="G29" s="15">
        <v>1533.0898789712321</v>
      </c>
      <c r="H29" s="15">
        <v>1564.5227760775958</v>
      </c>
      <c r="I29" s="15">
        <v>1078.9066670566858</v>
      </c>
      <c r="J29" s="15">
        <v>0</v>
      </c>
      <c r="K29" s="15">
        <v>0</v>
      </c>
      <c r="L29" s="15">
        <v>0</v>
      </c>
      <c r="M29" s="1">
        <v>0</v>
      </c>
      <c r="N29" s="1">
        <v>0</v>
      </c>
      <c r="O29" s="1">
        <v>0</v>
      </c>
      <c r="Q29" s="27" t="str">
        <f t="shared" si="0"/>
        <v>Sueldos</v>
      </c>
      <c r="R29" s="29" t="str">
        <f t="shared" si="1"/>
        <v>Sueldo</v>
      </c>
      <c r="S29" s="20" t="str">
        <f t="shared" si="2"/>
        <v>Diego Troncoso</v>
      </c>
      <c r="T29" s="30">
        <f t="shared" si="5"/>
        <v>1</v>
      </c>
      <c r="U29" s="30">
        <f t="shared" si="7"/>
        <v>1</v>
      </c>
      <c r="V29" s="30">
        <f t="shared" si="8"/>
        <v>1</v>
      </c>
      <c r="W29" s="30">
        <f t="shared" si="9"/>
        <v>1</v>
      </c>
      <c r="X29" s="30">
        <f t="shared" si="10"/>
        <v>1</v>
      </c>
      <c r="Y29" s="30">
        <f t="shared" si="11"/>
        <v>1</v>
      </c>
      <c r="Z29" s="30">
        <f t="shared" si="12"/>
        <v>0</v>
      </c>
      <c r="AA29" s="30">
        <f t="shared" si="13"/>
        <v>0</v>
      </c>
      <c r="AB29" s="30">
        <f t="shared" si="14"/>
        <v>0</v>
      </c>
      <c r="AC29" s="30">
        <f t="shared" si="15"/>
        <v>0</v>
      </c>
      <c r="AD29" s="30">
        <f t="shared" si="16"/>
        <v>0</v>
      </c>
      <c r="AE29" s="30">
        <f t="shared" si="17"/>
        <v>0</v>
      </c>
      <c r="AG29" s="27" t="s">
        <v>17</v>
      </c>
      <c r="AH29" s="29" t="s">
        <v>56</v>
      </c>
      <c r="AI29" s="20" t="s">
        <v>77</v>
      </c>
      <c r="AJ29" s="30">
        <v>1616.1771284562842</v>
      </c>
      <c r="AK29" s="30">
        <v>1549.1156135051031</v>
      </c>
      <c r="AL29" s="30">
        <v>1552.4409862467105</v>
      </c>
      <c r="AM29" s="30">
        <v>1533.0898789712321</v>
      </c>
      <c r="AN29" s="30">
        <v>1564.5227760775958</v>
      </c>
      <c r="AO29" s="30">
        <v>1078.9066670566858</v>
      </c>
      <c r="AP29" s="30">
        <v>0</v>
      </c>
      <c r="AQ29" s="30">
        <v>0</v>
      </c>
      <c r="AR29" s="30">
        <v>0</v>
      </c>
      <c r="AS29" s="31">
        <v>0</v>
      </c>
      <c r="AT29" s="31">
        <v>0</v>
      </c>
      <c r="AU29" s="31">
        <v>0</v>
      </c>
      <c r="AW29" t="str">
        <f t="shared" si="6"/>
        <v xml:space="preserve"> </v>
      </c>
    </row>
    <row r="30" spans="1:50" x14ac:dyDescent="0.2">
      <c r="A30" t="s">
        <v>17</v>
      </c>
      <c r="B30" t="s">
        <v>56</v>
      </c>
      <c r="C30" t="s">
        <v>78</v>
      </c>
      <c r="D30" s="15">
        <v>2585.675801287583</v>
      </c>
      <c r="E30" s="15">
        <v>2478.5320772353562</v>
      </c>
      <c r="F30" s="15">
        <v>3505.7077717138818</v>
      </c>
      <c r="G30" s="15">
        <v>3458.9532947236298</v>
      </c>
      <c r="H30" s="15">
        <v>3526.4912314821008</v>
      </c>
      <c r="I30" s="15">
        <v>3613.3574004563834</v>
      </c>
      <c r="J30" s="15">
        <v>3633.3521997451649</v>
      </c>
      <c r="K30" s="15">
        <v>3709.3410639936596</v>
      </c>
      <c r="L30" s="15">
        <v>3796.5793097509645</v>
      </c>
      <c r="M30" s="1">
        <v>3661.4778788841854</v>
      </c>
      <c r="N30" s="1">
        <v>3758.8304765443677</v>
      </c>
      <c r="O30" s="1">
        <v>4257.3041049826224</v>
      </c>
      <c r="Q30" s="27" t="str">
        <f t="shared" si="0"/>
        <v>Sueldos</v>
      </c>
      <c r="R30" s="29" t="str">
        <f t="shared" si="1"/>
        <v>Sueldo</v>
      </c>
      <c r="S30" s="20" t="str">
        <f t="shared" si="2"/>
        <v>Eduardo Cuevas</v>
      </c>
      <c r="T30" s="30">
        <f t="shared" si="5"/>
        <v>1</v>
      </c>
      <c r="U30" s="30">
        <f t="shared" si="7"/>
        <v>1</v>
      </c>
      <c r="V30" s="30">
        <f t="shared" si="8"/>
        <v>1</v>
      </c>
      <c r="W30" s="30">
        <f t="shared" si="9"/>
        <v>1</v>
      </c>
      <c r="X30" s="30">
        <f t="shared" si="10"/>
        <v>1</v>
      </c>
      <c r="Y30" s="30">
        <f t="shared" si="11"/>
        <v>1</v>
      </c>
      <c r="Z30" s="30">
        <f t="shared" si="12"/>
        <v>1</v>
      </c>
      <c r="AA30" s="30">
        <f t="shared" si="13"/>
        <v>1</v>
      </c>
      <c r="AB30" s="30">
        <f t="shared" si="14"/>
        <v>1</v>
      </c>
      <c r="AC30" s="30">
        <f t="shared" si="15"/>
        <v>1</v>
      </c>
      <c r="AD30" s="30">
        <f t="shared" si="16"/>
        <v>1</v>
      </c>
      <c r="AE30" s="30">
        <f t="shared" si="17"/>
        <v>1</v>
      </c>
      <c r="AG30" s="27" t="s">
        <v>17</v>
      </c>
      <c r="AH30" s="29" t="s">
        <v>56</v>
      </c>
      <c r="AI30" s="20" t="s">
        <v>78</v>
      </c>
      <c r="AJ30" s="30">
        <v>2585.675801287583</v>
      </c>
      <c r="AK30" s="30">
        <v>2478.5320772353562</v>
      </c>
      <c r="AL30" s="30">
        <v>3505.7077717138818</v>
      </c>
      <c r="AM30" s="30">
        <v>3458.9532947236298</v>
      </c>
      <c r="AN30" s="30">
        <v>3526.4912314821008</v>
      </c>
      <c r="AO30" s="30">
        <v>3613.3574004563834</v>
      </c>
      <c r="AP30" s="30">
        <v>3633.3521997451649</v>
      </c>
      <c r="AQ30" s="30">
        <v>3709.3410639936596</v>
      </c>
      <c r="AR30" s="30">
        <v>3796.5793097509645</v>
      </c>
      <c r="AS30" s="31">
        <v>3661.4778788841854</v>
      </c>
      <c r="AT30" s="31">
        <v>3758.8304765443677</v>
      </c>
      <c r="AU30" s="31">
        <v>4257.3041049826224</v>
      </c>
      <c r="AW30" t="str">
        <f t="shared" si="6"/>
        <v>Eduardo Cuevas</v>
      </c>
      <c r="AX30" t="s">
        <v>186</v>
      </c>
    </row>
    <row r="31" spans="1:50" x14ac:dyDescent="0.2">
      <c r="A31" t="s">
        <v>17</v>
      </c>
      <c r="B31" t="s">
        <v>56</v>
      </c>
      <c r="C31" t="s">
        <v>79</v>
      </c>
      <c r="D31" s="15">
        <v>2045.6333595594019</v>
      </c>
      <c r="E31" s="15">
        <v>2054.3000000000002</v>
      </c>
      <c r="F31" s="15">
        <v>2096.2106960494489</v>
      </c>
      <c r="G31" s="15">
        <v>2088.91</v>
      </c>
      <c r="H31" s="15">
        <v>2078.34</v>
      </c>
      <c r="I31" s="15">
        <v>2043.49</v>
      </c>
      <c r="J31" s="15">
        <v>2084</v>
      </c>
      <c r="K31" s="15">
        <v>2043.49</v>
      </c>
      <c r="L31" s="15">
        <v>2518</v>
      </c>
      <c r="M31" s="1">
        <v>2096.2106960494489</v>
      </c>
      <c r="N31" s="1">
        <v>2096.2106960494489</v>
      </c>
      <c r="O31" s="1">
        <v>2096.2106960494489</v>
      </c>
      <c r="Q31" s="27" t="str">
        <f t="shared" si="0"/>
        <v>Sueldos</v>
      </c>
      <c r="R31" s="29" t="str">
        <f t="shared" si="1"/>
        <v>Sueldo</v>
      </c>
      <c r="S31" s="20" t="str">
        <f t="shared" si="2"/>
        <v>Eduardo Lama</v>
      </c>
      <c r="T31" s="30">
        <f t="shared" si="5"/>
        <v>1</v>
      </c>
      <c r="U31" s="30">
        <f t="shared" si="7"/>
        <v>1</v>
      </c>
      <c r="V31" s="30">
        <f t="shared" si="8"/>
        <v>1</v>
      </c>
      <c r="W31" s="30">
        <f t="shared" si="9"/>
        <v>1</v>
      </c>
      <c r="X31" s="30">
        <f t="shared" si="10"/>
        <v>1</v>
      </c>
      <c r="Y31" s="30">
        <f t="shared" si="11"/>
        <v>1</v>
      </c>
      <c r="Z31" s="30">
        <f t="shared" si="12"/>
        <v>1</v>
      </c>
      <c r="AA31" s="30">
        <f t="shared" si="13"/>
        <v>1</v>
      </c>
      <c r="AB31" s="30">
        <f t="shared" si="14"/>
        <v>1</v>
      </c>
      <c r="AC31" s="30">
        <f t="shared" si="15"/>
        <v>1</v>
      </c>
      <c r="AD31" s="30">
        <f t="shared" si="16"/>
        <v>1</v>
      </c>
      <c r="AE31" s="30">
        <f t="shared" si="17"/>
        <v>1</v>
      </c>
      <c r="AG31" s="27" t="s">
        <v>17</v>
      </c>
      <c r="AH31" s="29" t="s">
        <v>56</v>
      </c>
      <c r="AI31" s="20" t="s">
        <v>79</v>
      </c>
      <c r="AJ31" s="30">
        <v>2045.6333595594019</v>
      </c>
      <c r="AK31" s="30">
        <v>2054.3000000000002</v>
      </c>
      <c r="AL31" s="30">
        <v>2096.2106960494489</v>
      </c>
      <c r="AM31" s="30">
        <v>2088.91</v>
      </c>
      <c r="AN31" s="30">
        <v>2078.34</v>
      </c>
      <c r="AO31" s="30">
        <v>2043.49</v>
      </c>
      <c r="AP31" s="30">
        <v>2084</v>
      </c>
      <c r="AQ31" s="30">
        <v>2043.49</v>
      </c>
      <c r="AR31" s="30">
        <v>2518</v>
      </c>
      <c r="AS31" s="31">
        <v>2096.2106960494489</v>
      </c>
      <c r="AT31" s="31">
        <v>2096.2106960494489</v>
      </c>
      <c r="AU31" s="31">
        <v>2096.2106960494489</v>
      </c>
      <c r="AW31" t="str">
        <f t="shared" si="6"/>
        <v>Eduardo Lama</v>
      </c>
      <c r="AX31" t="s">
        <v>187</v>
      </c>
    </row>
    <row r="32" spans="1:50" x14ac:dyDescent="0.2">
      <c r="A32" t="s">
        <v>17</v>
      </c>
      <c r="B32" t="s">
        <v>56</v>
      </c>
      <c r="C32" t="s">
        <v>80</v>
      </c>
      <c r="D32" s="15">
        <v>1683.1014017611665</v>
      </c>
      <c r="E32" s="15">
        <v>1381.3582277230471</v>
      </c>
      <c r="F32" s="15">
        <v>1403.9533079333448</v>
      </c>
      <c r="G32" s="15">
        <v>1433.4381186888543</v>
      </c>
      <c r="H32" s="15">
        <v>1976.0055331986628</v>
      </c>
      <c r="I32" s="15">
        <v>1353.8577469714473</v>
      </c>
      <c r="J32" s="15">
        <v>2699.9174628582859</v>
      </c>
      <c r="K32" s="15">
        <v>2328.3911297103423</v>
      </c>
      <c r="L32" s="15">
        <v>1383.3803755815272</v>
      </c>
      <c r="M32" s="1">
        <v>1363.6460645204772</v>
      </c>
      <c r="N32" s="1">
        <v>2148.5551598545453</v>
      </c>
      <c r="O32" s="1">
        <v>2987.9181729034663</v>
      </c>
      <c r="Q32" s="27" t="str">
        <f t="shared" si="0"/>
        <v>Sueldos</v>
      </c>
      <c r="R32" s="29" t="str">
        <f t="shared" si="1"/>
        <v>Sueldo</v>
      </c>
      <c r="S32" s="20" t="str">
        <f t="shared" si="2"/>
        <v>Edward Torres</v>
      </c>
      <c r="T32" s="30">
        <f t="shared" si="5"/>
        <v>1</v>
      </c>
      <c r="U32" s="30">
        <f t="shared" si="7"/>
        <v>1</v>
      </c>
      <c r="V32" s="30">
        <f t="shared" si="8"/>
        <v>1</v>
      </c>
      <c r="W32" s="30">
        <f t="shared" si="9"/>
        <v>1</v>
      </c>
      <c r="X32" s="30">
        <f t="shared" si="10"/>
        <v>1</v>
      </c>
      <c r="Y32" s="30">
        <f t="shared" si="11"/>
        <v>1</v>
      </c>
      <c r="Z32" s="30">
        <f t="shared" si="12"/>
        <v>1</v>
      </c>
      <c r="AA32" s="30">
        <f t="shared" si="13"/>
        <v>1</v>
      </c>
      <c r="AB32" s="30">
        <f t="shared" si="14"/>
        <v>1</v>
      </c>
      <c r="AC32" s="30">
        <f t="shared" si="15"/>
        <v>1</v>
      </c>
      <c r="AD32" s="30">
        <f t="shared" si="16"/>
        <v>1</v>
      </c>
      <c r="AE32" s="30">
        <f t="shared" si="17"/>
        <v>1</v>
      </c>
      <c r="AG32" s="27" t="s">
        <v>17</v>
      </c>
      <c r="AH32" s="29" t="s">
        <v>56</v>
      </c>
      <c r="AI32" s="20" t="s">
        <v>80</v>
      </c>
      <c r="AJ32" s="30">
        <v>1683.1014017611665</v>
      </c>
      <c r="AK32" s="30">
        <v>1381.3582277230471</v>
      </c>
      <c r="AL32" s="30">
        <v>1403.9533079333448</v>
      </c>
      <c r="AM32" s="30">
        <v>1433.4381186888543</v>
      </c>
      <c r="AN32" s="30">
        <v>1976.0055331986628</v>
      </c>
      <c r="AO32" s="30">
        <v>1353.8577469714473</v>
      </c>
      <c r="AP32" s="30">
        <v>2699.9174628582859</v>
      </c>
      <c r="AQ32" s="30">
        <v>2328.3911297103423</v>
      </c>
      <c r="AR32" s="30">
        <v>1383.3803755815272</v>
      </c>
      <c r="AS32" s="31">
        <v>1363.6460645204772</v>
      </c>
      <c r="AT32" s="31">
        <v>2148.5551598545453</v>
      </c>
      <c r="AU32" s="31">
        <v>2987.9181729034663</v>
      </c>
      <c r="AW32" t="str">
        <f t="shared" si="6"/>
        <v>Edward Torres</v>
      </c>
      <c r="AX32" t="s">
        <v>193</v>
      </c>
    </row>
    <row r="33" spans="1:50" x14ac:dyDescent="0.2">
      <c r="A33" t="s">
        <v>17</v>
      </c>
      <c r="B33" t="s">
        <v>56</v>
      </c>
      <c r="C33" t="s">
        <v>81</v>
      </c>
      <c r="D33" s="15">
        <v>6440.2135491262534</v>
      </c>
      <c r="E33" s="15">
        <v>6173.9543026049478</v>
      </c>
      <c r="F33" s="15">
        <v>6184.0530841890932</v>
      </c>
      <c r="G33" s="15">
        <v>5690.3406219074623</v>
      </c>
      <c r="H33" s="15">
        <v>6233.7734662571002</v>
      </c>
      <c r="I33" s="15">
        <v>5411.6843559768658</v>
      </c>
      <c r="J33" s="15">
        <v>8398.6009537282807</v>
      </c>
      <c r="K33" s="15">
        <v>6548.0606786585531</v>
      </c>
      <c r="L33" s="15">
        <v>6594.0449466209384</v>
      </c>
      <c r="M33" s="1">
        <v>6472.3891682789827</v>
      </c>
      <c r="N33" s="1">
        <v>6644.4792148236884</v>
      </c>
      <c r="O33" s="1">
        <v>7525.630329236451</v>
      </c>
      <c r="Q33" s="27" t="str">
        <f t="shared" si="0"/>
        <v>Sueldos</v>
      </c>
      <c r="R33" s="29" t="str">
        <f t="shared" si="1"/>
        <v>Sueldo</v>
      </c>
      <c r="S33" s="20" t="str">
        <f t="shared" si="2"/>
        <v>Emilio Sánchez</v>
      </c>
      <c r="T33" s="30">
        <f t="shared" si="5"/>
        <v>1</v>
      </c>
      <c r="U33" s="30">
        <f t="shared" si="7"/>
        <v>1</v>
      </c>
      <c r="V33" s="30">
        <f t="shared" si="8"/>
        <v>1</v>
      </c>
      <c r="W33" s="30">
        <f t="shared" si="9"/>
        <v>1</v>
      </c>
      <c r="X33" s="30">
        <f t="shared" si="10"/>
        <v>1</v>
      </c>
      <c r="Y33" s="30">
        <f t="shared" si="11"/>
        <v>1</v>
      </c>
      <c r="Z33" s="30">
        <f t="shared" si="12"/>
        <v>1</v>
      </c>
      <c r="AA33" s="30">
        <f t="shared" si="13"/>
        <v>1</v>
      </c>
      <c r="AB33" s="30">
        <f t="shared" si="14"/>
        <v>1</v>
      </c>
      <c r="AC33" s="30">
        <f t="shared" si="15"/>
        <v>1</v>
      </c>
      <c r="AD33" s="30">
        <f t="shared" si="16"/>
        <v>1</v>
      </c>
      <c r="AE33" s="30">
        <f t="shared" si="17"/>
        <v>1</v>
      </c>
      <c r="AG33" s="27" t="s">
        <v>17</v>
      </c>
      <c r="AH33" s="29" t="s">
        <v>56</v>
      </c>
      <c r="AI33" s="20" t="s">
        <v>81</v>
      </c>
      <c r="AJ33" s="30">
        <v>6440.2135491262534</v>
      </c>
      <c r="AK33" s="30">
        <v>6173.9543026049478</v>
      </c>
      <c r="AL33" s="30">
        <v>6184.0530841890932</v>
      </c>
      <c r="AM33" s="30">
        <v>5690.3406219074623</v>
      </c>
      <c r="AN33" s="30">
        <v>6233.7734662571002</v>
      </c>
      <c r="AO33" s="30">
        <v>5411.6843559768658</v>
      </c>
      <c r="AP33" s="30">
        <v>8398.6009537282807</v>
      </c>
      <c r="AQ33" s="30">
        <v>6548.0606786585531</v>
      </c>
      <c r="AR33" s="30">
        <v>6594.0449466209384</v>
      </c>
      <c r="AS33" s="31">
        <v>6472.3891682789827</v>
      </c>
      <c r="AT33" s="31">
        <v>6644.4792148236884</v>
      </c>
      <c r="AU33" s="31">
        <v>7525.630329236451</v>
      </c>
      <c r="AW33" t="str">
        <f t="shared" si="6"/>
        <v>Emilio Sánchez</v>
      </c>
      <c r="AX33" t="s">
        <v>188</v>
      </c>
    </row>
    <row r="34" spans="1:50" x14ac:dyDescent="0.2">
      <c r="A34" t="s">
        <v>17</v>
      </c>
      <c r="B34" t="s">
        <v>56</v>
      </c>
      <c r="C34" t="s">
        <v>82</v>
      </c>
      <c r="D34" s="15">
        <v>1606.9736323624854</v>
      </c>
      <c r="E34" s="15">
        <v>1541.8741525286318</v>
      </c>
      <c r="F34" s="15">
        <v>1545.1855734423714</v>
      </c>
      <c r="G34" s="15">
        <v>1525.9262634141678</v>
      </c>
      <c r="H34" s="15">
        <v>1557.2132159028622</v>
      </c>
      <c r="I34" s="15">
        <v>2542.2702200340377</v>
      </c>
      <c r="J34" s="15">
        <v>0</v>
      </c>
      <c r="K34" s="15">
        <v>0</v>
      </c>
      <c r="L34" s="15">
        <v>0</v>
      </c>
      <c r="M34" s="1">
        <v>0</v>
      </c>
      <c r="N34" s="1">
        <v>0</v>
      </c>
      <c r="O34" s="1">
        <v>0</v>
      </c>
      <c r="Q34" s="27" t="str">
        <f t="shared" si="0"/>
        <v>Sueldos</v>
      </c>
      <c r="R34" s="29" t="str">
        <f t="shared" si="1"/>
        <v>Sueldo</v>
      </c>
      <c r="S34" s="20" t="str">
        <f t="shared" si="2"/>
        <v>Fabián González Recabarren</v>
      </c>
      <c r="T34" s="30">
        <f t="shared" si="5"/>
        <v>1</v>
      </c>
      <c r="U34" s="30">
        <f t="shared" si="7"/>
        <v>1</v>
      </c>
      <c r="V34" s="30">
        <f t="shared" si="8"/>
        <v>1</v>
      </c>
      <c r="W34" s="30">
        <f t="shared" si="9"/>
        <v>1</v>
      </c>
      <c r="X34" s="30">
        <f t="shared" si="10"/>
        <v>1</v>
      </c>
      <c r="Y34" s="30">
        <f t="shared" si="11"/>
        <v>1</v>
      </c>
      <c r="Z34" s="30">
        <f t="shared" si="12"/>
        <v>0</v>
      </c>
      <c r="AA34" s="30">
        <f t="shared" si="13"/>
        <v>0</v>
      </c>
      <c r="AB34" s="30">
        <f t="shared" si="14"/>
        <v>0</v>
      </c>
      <c r="AC34" s="30">
        <f t="shared" si="15"/>
        <v>0</v>
      </c>
      <c r="AD34" s="30">
        <f t="shared" si="16"/>
        <v>0</v>
      </c>
      <c r="AE34" s="30">
        <f t="shared" si="17"/>
        <v>0</v>
      </c>
      <c r="AG34" s="27" t="s">
        <v>17</v>
      </c>
      <c r="AH34" s="29" t="s">
        <v>56</v>
      </c>
      <c r="AI34" s="20" t="s">
        <v>82</v>
      </c>
      <c r="AJ34" s="30">
        <v>1606.9736323624854</v>
      </c>
      <c r="AK34" s="30">
        <v>1541.8741525286318</v>
      </c>
      <c r="AL34" s="30">
        <v>1545.1855734423714</v>
      </c>
      <c r="AM34" s="30">
        <v>1525.9262634141678</v>
      </c>
      <c r="AN34" s="30">
        <v>1557.2132159028622</v>
      </c>
      <c r="AO34" s="30">
        <v>2542.2702200340377</v>
      </c>
      <c r="AP34" s="30">
        <v>0</v>
      </c>
      <c r="AQ34" s="30">
        <v>0</v>
      </c>
      <c r="AR34" s="30">
        <v>0</v>
      </c>
      <c r="AS34" s="31">
        <v>0</v>
      </c>
      <c r="AT34" s="31">
        <v>0</v>
      </c>
      <c r="AU34" s="31">
        <v>0</v>
      </c>
      <c r="AW34" t="str">
        <f t="shared" si="6"/>
        <v xml:space="preserve"> </v>
      </c>
    </row>
    <row r="35" spans="1:50" x14ac:dyDescent="0.2">
      <c r="A35" t="s">
        <v>17</v>
      </c>
      <c r="B35" t="s">
        <v>56</v>
      </c>
      <c r="C35" t="s">
        <v>83</v>
      </c>
      <c r="D35" s="15">
        <v>0</v>
      </c>
      <c r="E35" s="15">
        <v>0</v>
      </c>
      <c r="F35" s="15">
        <v>0</v>
      </c>
      <c r="G35" s="15">
        <v>308.17134914893109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">
        <v>0</v>
      </c>
      <c r="N35" s="1">
        <v>0</v>
      </c>
      <c r="O35" s="1">
        <v>0</v>
      </c>
      <c r="Q35" s="27" t="str">
        <f t="shared" si="0"/>
        <v>Sueldos</v>
      </c>
      <c r="R35" s="29" t="str">
        <f t="shared" si="1"/>
        <v>Sueldo</v>
      </c>
      <c r="S35" s="20" t="str">
        <f t="shared" si="2"/>
        <v>Felipe Espinosa Practica en informática nov.23</v>
      </c>
      <c r="T35" s="30">
        <f t="shared" si="5"/>
        <v>0</v>
      </c>
      <c r="U35" s="30">
        <f t="shared" si="7"/>
        <v>0</v>
      </c>
      <c r="V35" s="30">
        <f t="shared" si="8"/>
        <v>0</v>
      </c>
      <c r="W35" s="30">
        <f t="shared" si="9"/>
        <v>1</v>
      </c>
      <c r="X35" s="30">
        <f t="shared" si="10"/>
        <v>0</v>
      </c>
      <c r="Y35" s="30">
        <f t="shared" si="11"/>
        <v>0</v>
      </c>
      <c r="Z35" s="30">
        <f t="shared" si="12"/>
        <v>0</v>
      </c>
      <c r="AA35" s="30">
        <f t="shared" si="13"/>
        <v>0</v>
      </c>
      <c r="AB35" s="30">
        <f t="shared" si="14"/>
        <v>0</v>
      </c>
      <c r="AC35" s="30">
        <f t="shared" si="15"/>
        <v>0</v>
      </c>
      <c r="AD35" s="30">
        <f t="shared" si="16"/>
        <v>0</v>
      </c>
      <c r="AE35" s="30">
        <f t="shared" si="17"/>
        <v>0</v>
      </c>
      <c r="AG35" s="27" t="s">
        <v>17</v>
      </c>
      <c r="AH35" s="29" t="s">
        <v>56</v>
      </c>
      <c r="AI35" s="20" t="s">
        <v>83</v>
      </c>
      <c r="AJ35" s="30">
        <v>0</v>
      </c>
      <c r="AK35" s="30">
        <v>0</v>
      </c>
      <c r="AL35" s="30">
        <v>0</v>
      </c>
      <c r="AM35" s="30">
        <v>308.17134914893109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1">
        <v>0</v>
      </c>
      <c r="AT35" s="31">
        <v>0</v>
      </c>
      <c r="AU35" s="31">
        <v>0</v>
      </c>
      <c r="AW35" t="str">
        <f t="shared" si="6"/>
        <v xml:space="preserve"> </v>
      </c>
    </row>
    <row r="36" spans="1:50" x14ac:dyDescent="0.2">
      <c r="A36" t="s">
        <v>17</v>
      </c>
      <c r="B36" t="s">
        <v>56</v>
      </c>
      <c r="C36" t="s">
        <v>84</v>
      </c>
      <c r="D36" s="15">
        <v>4374.5965948470503</v>
      </c>
      <c r="E36" s="15">
        <v>4190.4797924771401</v>
      </c>
      <c r="F36" s="15">
        <v>4627.5342586623246</v>
      </c>
      <c r="G36" s="15">
        <v>4568.2669930107631</v>
      </c>
      <c r="H36" s="15">
        <v>4659.6312863855801</v>
      </c>
      <c r="I36" s="15">
        <v>4776.4984336277648</v>
      </c>
      <c r="J36" s="15">
        <v>4749.4501103163066</v>
      </c>
      <c r="K36" s="15">
        <v>4897.0997249979437</v>
      </c>
      <c r="L36" s="15">
        <v>3767.3152457584297</v>
      </c>
      <c r="M36" s="1">
        <v>4837.9921454354708</v>
      </c>
      <c r="N36" s="1">
        <v>4966.6262976541457</v>
      </c>
      <c r="O36" s="1">
        <v>5625.2705879825962</v>
      </c>
      <c r="Q36" s="27" t="str">
        <f t="shared" si="0"/>
        <v>Sueldos</v>
      </c>
      <c r="R36" s="29" t="str">
        <f t="shared" si="1"/>
        <v>Sueldo</v>
      </c>
      <c r="S36" s="20" t="str">
        <f t="shared" si="2"/>
        <v>Felipe Lira A.</v>
      </c>
      <c r="T36" s="30">
        <f t="shared" si="5"/>
        <v>1</v>
      </c>
      <c r="U36" s="30">
        <f t="shared" si="7"/>
        <v>1</v>
      </c>
      <c r="V36" s="30">
        <f t="shared" si="8"/>
        <v>1</v>
      </c>
      <c r="W36" s="30">
        <f t="shared" si="9"/>
        <v>1</v>
      </c>
      <c r="X36" s="30">
        <f t="shared" si="10"/>
        <v>1</v>
      </c>
      <c r="Y36" s="30">
        <f t="shared" si="11"/>
        <v>1</v>
      </c>
      <c r="Z36" s="30">
        <f t="shared" si="12"/>
        <v>1</v>
      </c>
      <c r="AA36" s="30">
        <f t="shared" si="13"/>
        <v>1</v>
      </c>
      <c r="AB36" s="30">
        <f t="shared" si="14"/>
        <v>1</v>
      </c>
      <c r="AC36" s="30">
        <f t="shared" si="15"/>
        <v>1</v>
      </c>
      <c r="AD36" s="30">
        <f t="shared" si="16"/>
        <v>1</v>
      </c>
      <c r="AE36" s="30">
        <f t="shared" si="17"/>
        <v>1</v>
      </c>
      <c r="AG36" s="27" t="s">
        <v>17</v>
      </c>
      <c r="AH36" s="29" t="s">
        <v>56</v>
      </c>
      <c r="AI36" s="20" t="s">
        <v>84</v>
      </c>
      <c r="AJ36" s="30">
        <v>4374.5965948470503</v>
      </c>
      <c r="AK36" s="30">
        <v>4190.4797924771401</v>
      </c>
      <c r="AL36" s="30">
        <v>4627.5342586623246</v>
      </c>
      <c r="AM36" s="30">
        <v>4568.2669930107631</v>
      </c>
      <c r="AN36" s="30">
        <v>4659.6312863855801</v>
      </c>
      <c r="AO36" s="30">
        <v>4776.4984336277648</v>
      </c>
      <c r="AP36" s="30">
        <v>4749.4501103163066</v>
      </c>
      <c r="AQ36" s="30">
        <v>4897.0997249979437</v>
      </c>
      <c r="AR36" s="30">
        <v>3767.3152457584297</v>
      </c>
      <c r="AS36" s="31">
        <v>4837.9921454354708</v>
      </c>
      <c r="AT36" s="31">
        <v>4966.6262976541457</v>
      </c>
      <c r="AU36" s="31">
        <v>5625.2705879825962</v>
      </c>
      <c r="AW36" t="str">
        <f t="shared" si="6"/>
        <v>Felipe Lira A.</v>
      </c>
      <c r="AX36" t="s">
        <v>188</v>
      </c>
    </row>
    <row r="37" spans="1:50" x14ac:dyDescent="0.2">
      <c r="A37" t="s">
        <v>17</v>
      </c>
      <c r="B37" t="s">
        <v>56</v>
      </c>
      <c r="C37" t="s">
        <v>85</v>
      </c>
      <c r="D37" s="15">
        <v>4537.6827208226186</v>
      </c>
      <c r="E37" s="15">
        <v>4348.7198506375153</v>
      </c>
      <c r="F37" s="15">
        <v>4423.2777010511873</v>
      </c>
      <c r="G37" s="15">
        <v>4366.3829042550224</v>
      </c>
      <c r="H37" s="15">
        <v>4453.4067527662246</v>
      </c>
      <c r="I37" s="15">
        <v>4564.9059350458119</v>
      </c>
      <c r="J37" s="15">
        <v>5700.3997190035279</v>
      </c>
      <c r="K37" s="15">
        <v>0</v>
      </c>
      <c r="L37" s="15">
        <v>0</v>
      </c>
      <c r="M37" s="1">
        <v>0</v>
      </c>
      <c r="N37" s="1">
        <v>0</v>
      </c>
      <c r="O37" s="1">
        <v>0</v>
      </c>
      <c r="Q37" s="27" t="str">
        <f t="shared" si="0"/>
        <v>Sueldos</v>
      </c>
      <c r="R37" s="29" t="str">
        <f t="shared" si="1"/>
        <v>Sueldo</v>
      </c>
      <c r="S37" s="20" t="str">
        <f t="shared" si="2"/>
        <v>Felipe Matamoros C.</v>
      </c>
      <c r="T37" s="30">
        <f t="shared" si="5"/>
        <v>1</v>
      </c>
      <c r="U37" s="30">
        <f t="shared" si="7"/>
        <v>1</v>
      </c>
      <c r="V37" s="30">
        <f t="shared" si="8"/>
        <v>1</v>
      </c>
      <c r="W37" s="30">
        <f t="shared" si="9"/>
        <v>1</v>
      </c>
      <c r="X37" s="30">
        <f t="shared" si="10"/>
        <v>1</v>
      </c>
      <c r="Y37" s="30">
        <f t="shared" si="11"/>
        <v>1</v>
      </c>
      <c r="Z37" s="30">
        <f t="shared" si="12"/>
        <v>1</v>
      </c>
      <c r="AA37" s="30">
        <f t="shared" si="13"/>
        <v>0</v>
      </c>
      <c r="AB37" s="30">
        <f t="shared" si="14"/>
        <v>0</v>
      </c>
      <c r="AC37" s="30">
        <f t="shared" si="15"/>
        <v>0</v>
      </c>
      <c r="AD37" s="30">
        <f t="shared" si="16"/>
        <v>0</v>
      </c>
      <c r="AE37" s="30">
        <f t="shared" si="17"/>
        <v>0</v>
      </c>
      <c r="AG37" s="27" t="s">
        <v>17</v>
      </c>
      <c r="AH37" s="29" t="s">
        <v>56</v>
      </c>
      <c r="AI37" s="20" t="s">
        <v>85</v>
      </c>
      <c r="AJ37" s="30">
        <v>4537.6827208226186</v>
      </c>
      <c r="AK37" s="30">
        <v>4348.7198506375153</v>
      </c>
      <c r="AL37" s="30">
        <v>4423.2777010511873</v>
      </c>
      <c r="AM37" s="30">
        <v>4366.3829042550224</v>
      </c>
      <c r="AN37" s="30">
        <v>4453.4067527662246</v>
      </c>
      <c r="AO37" s="30">
        <v>4564.9059350458119</v>
      </c>
      <c r="AP37" s="30">
        <v>5700.3997190035279</v>
      </c>
      <c r="AQ37" s="30">
        <v>0</v>
      </c>
      <c r="AR37" s="30">
        <v>0</v>
      </c>
      <c r="AS37" s="31">
        <v>0</v>
      </c>
      <c r="AT37" s="31">
        <v>0</v>
      </c>
      <c r="AU37" s="31">
        <v>0</v>
      </c>
      <c r="AW37" t="str">
        <f t="shared" si="6"/>
        <v xml:space="preserve"> </v>
      </c>
    </row>
    <row r="38" spans="1:50" x14ac:dyDescent="0.2">
      <c r="A38" t="s">
        <v>17</v>
      </c>
      <c r="B38" t="s">
        <v>56</v>
      </c>
      <c r="C38" t="s">
        <v>86</v>
      </c>
      <c r="D38" s="15">
        <v>8782.9383687410646</v>
      </c>
      <c r="E38" s="15">
        <v>8366.8111641944906</v>
      </c>
      <c r="F38" s="15">
        <v>8373.8724095435391</v>
      </c>
      <c r="G38" s="15">
        <v>8271.4671799689677</v>
      </c>
      <c r="H38" s="15">
        <v>8440.0668666362744</v>
      </c>
      <c r="I38" s="15">
        <v>8656.028320407373</v>
      </c>
      <c r="J38" s="15">
        <v>8389.7374808331897</v>
      </c>
      <c r="K38" s="15">
        <v>8842.8203665990422</v>
      </c>
      <c r="L38" s="15">
        <v>8926.0300938752134</v>
      </c>
      <c r="M38" s="1">
        <v>8763.1348272215128</v>
      </c>
      <c r="N38" s="1">
        <v>8996.1319850075397</v>
      </c>
      <c r="O38" s="1">
        <v>10189.14523220212</v>
      </c>
      <c r="Q38" s="27" t="str">
        <f t="shared" si="0"/>
        <v>Sueldos</v>
      </c>
      <c r="R38" s="29" t="str">
        <f t="shared" si="1"/>
        <v>Sueldo</v>
      </c>
      <c r="S38" s="20" t="str">
        <f t="shared" si="2"/>
        <v>Felipe Rojas Z.</v>
      </c>
      <c r="T38" s="30">
        <f t="shared" si="5"/>
        <v>1</v>
      </c>
      <c r="U38" s="30">
        <f t="shared" si="7"/>
        <v>1</v>
      </c>
      <c r="V38" s="30">
        <f t="shared" si="8"/>
        <v>1</v>
      </c>
      <c r="W38" s="30">
        <f t="shared" si="9"/>
        <v>1</v>
      </c>
      <c r="X38" s="30">
        <f t="shared" si="10"/>
        <v>1</v>
      </c>
      <c r="Y38" s="30">
        <f t="shared" si="11"/>
        <v>1</v>
      </c>
      <c r="Z38" s="30">
        <f t="shared" si="12"/>
        <v>1</v>
      </c>
      <c r="AA38" s="30">
        <f t="shared" si="13"/>
        <v>1</v>
      </c>
      <c r="AB38" s="30">
        <f t="shared" si="14"/>
        <v>1</v>
      </c>
      <c r="AC38" s="30">
        <f t="shared" si="15"/>
        <v>1</v>
      </c>
      <c r="AD38" s="30">
        <f t="shared" si="16"/>
        <v>1</v>
      </c>
      <c r="AE38" s="30">
        <f t="shared" si="17"/>
        <v>1</v>
      </c>
      <c r="AG38" s="27" t="s">
        <v>17</v>
      </c>
      <c r="AH38" s="29" t="s">
        <v>56</v>
      </c>
      <c r="AI38" s="20" t="s">
        <v>86</v>
      </c>
      <c r="AJ38" s="30">
        <v>8782.9383687410646</v>
      </c>
      <c r="AK38" s="30">
        <v>8366.8111641944906</v>
      </c>
      <c r="AL38" s="30">
        <v>8373.8724095435391</v>
      </c>
      <c r="AM38" s="30">
        <v>8271.4671799689677</v>
      </c>
      <c r="AN38" s="30">
        <v>8440.0668666362744</v>
      </c>
      <c r="AO38" s="30">
        <v>8656.028320407373</v>
      </c>
      <c r="AP38" s="30">
        <v>8389.7374808331897</v>
      </c>
      <c r="AQ38" s="30">
        <v>8842.8203665990422</v>
      </c>
      <c r="AR38" s="30">
        <v>8926.0300938752134</v>
      </c>
      <c r="AS38" s="31">
        <v>8763.1348272215128</v>
      </c>
      <c r="AT38" s="31">
        <v>8996.1319850075397</v>
      </c>
      <c r="AU38" s="31">
        <v>10189.14523220212</v>
      </c>
      <c r="AW38" t="str">
        <f t="shared" si="6"/>
        <v>Felipe Rojas Z.</v>
      </c>
      <c r="AX38" t="s">
        <v>179</v>
      </c>
    </row>
    <row r="39" spans="1:50" x14ac:dyDescent="0.2">
      <c r="A39" t="s">
        <v>17</v>
      </c>
      <c r="B39" t="s">
        <v>56</v>
      </c>
      <c r="C39" t="s">
        <v>87</v>
      </c>
      <c r="D39" s="15">
        <v>3560.6580292153785</v>
      </c>
      <c r="E39" s="15">
        <v>1415.3235337631652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">
        <v>0</v>
      </c>
      <c r="N39" s="1">
        <v>0</v>
      </c>
      <c r="O39" s="1">
        <v>0</v>
      </c>
      <c r="Q39" s="27" t="str">
        <f t="shared" si="0"/>
        <v>Sueldos</v>
      </c>
      <c r="R39" s="29" t="str">
        <f t="shared" si="1"/>
        <v>Sueldo</v>
      </c>
      <c r="S39" s="20" t="str">
        <f t="shared" si="2"/>
        <v>Fernando Caballero</v>
      </c>
      <c r="T39" s="30">
        <f t="shared" si="5"/>
        <v>1</v>
      </c>
      <c r="U39" s="30">
        <f t="shared" si="7"/>
        <v>1</v>
      </c>
      <c r="V39" s="30">
        <f t="shared" si="8"/>
        <v>0</v>
      </c>
      <c r="W39" s="30">
        <f t="shared" si="9"/>
        <v>0</v>
      </c>
      <c r="X39" s="30">
        <f t="shared" si="10"/>
        <v>0</v>
      </c>
      <c r="Y39" s="30">
        <f t="shared" si="11"/>
        <v>0</v>
      </c>
      <c r="Z39" s="30">
        <f t="shared" si="12"/>
        <v>0</v>
      </c>
      <c r="AA39" s="30">
        <f t="shared" si="13"/>
        <v>0</v>
      </c>
      <c r="AB39" s="30">
        <f t="shared" si="14"/>
        <v>0</v>
      </c>
      <c r="AC39" s="30">
        <f t="shared" si="15"/>
        <v>0</v>
      </c>
      <c r="AD39" s="30">
        <f t="shared" si="16"/>
        <v>0</v>
      </c>
      <c r="AE39" s="30">
        <f t="shared" si="17"/>
        <v>0</v>
      </c>
      <c r="AG39" s="27" t="s">
        <v>17</v>
      </c>
      <c r="AH39" s="29" t="s">
        <v>56</v>
      </c>
      <c r="AI39" s="20" t="s">
        <v>87</v>
      </c>
      <c r="AJ39" s="30">
        <v>3560.6580292153785</v>
      </c>
      <c r="AK39" s="30">
        <v>1415.3235337631652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1">
        <v>0</v>
      </c>
      <c r="AT39" s="31">
        <v>0</v>
      </c>
      <c r="AU39" s="31">
        <v>0</v>
      </c>
      <c r="AW39" t="str">
        <f t="shared" si="6"/>
        <v xml:space="preserve"> </v>
      </c>
    </row>
    <row r="40" spans="1:50" x14ac:dyDescent="0.2">
      <c r="A40" t="s">
        <v>17</v>
      </c>
      <c r="B40" t="s">
        <v>56</v>
      </c>
      <c r="C40" t="s">
        <v>88</v>
      </c>
      <c r="D40" s="15">
        <v>2360.8091638587653</v>
      </c>
      <c r="E40" s="15">
        <v>2262.9607539069893</v>
      </c>
      <c r="F40" s="15">
        <v>3085.0228391082164</v>
      </c>
      <c r="G40" s="15">
        <v>3046.9277142004894</v>
      </c>
      <c r="H40" s="15">
        <v>1593.0391023487584</v>
      </c>
      <c r="I40" s="15">
        <v>3188.7689799643263</v>
      </c>
      <c r="J40" s="15">
        <v>3198.1772305619111</v>
      </c>
      <c r="K40" s="15">
        <v>3275.6527421463466</v>
      </c>
      <c r="L40" s="15">
        <v>6341.1469576415984</v>
      </c>
      <c r="M40" s="1">
        <v>0</v>
      </c>
      <c r="N40" s="1">
        <v>0</v>
      </c>
      <c r="O40" s="1">
        <v>0</v>
      </c>
      <c r="Q40" s="27" t="str">
        <f t="shared" si="0"/>
        <v>Sueldos</v>
      </c>
      <c r="R40" s="29" t="str">
        <f t="shared" si="1"/>
        <v>Sueldo</v>
      </c>
      <c r="S40" s="20" t="str">
        <f t="shared" si="2"/>
        <v>Francisco Bello Moreno</v>
      </c>
      <c r="T40" s="30">
        <f t="shared" si="5"/>
        <v>1</v>
      </c>
      <c r="U40" s="30">
        <f t="shared" si="7"/>
        <v>1</v>
      </c>
      <c r="V40" s="30">
        <f t="shared" si="8"/>
        <v>1</v>
      </c>
      <c r="W40" s="30">
        <f t="shared" si="9"/>
        <v>1</v>
      </c>
      <c r="X40" s="30">
        <f t="shared" si="10"/>
        <v>1</v>
      </c>
      <c r="Y40" s="30">
        <f t="shared" si="11"/>
        <v>1</v>
      </c>
      <c r="Z40" s="30">
        <f t="shared" si="12"/>
        <v>1</v>
      </c>
      <c r="AA40" s="30">
        <f t="shared" si="13"/>
        <v>1</v>
      </c>
      <c r="AB40" s="30">
        <f t="shared" si="14"/>
        <v>1</v>
      </c>
      <c r="AC40" s="30">
        <f t="shared" si="15"/>
        <v>0</v>
      </c>
      <c r="AD40" s="30">
        <f t="shared" si="16"/>
        <v>0</v>
      </c>
      <c r="AE40" s="30">
        <f t="shared" si="17"/>
        <v>0</v>
      </c>
      <c r="AG40" s="27" t="s">
        <v>17</v>
      </c>
      <c r="AH40" s="29" t="s">
        <v>56</v>
      </c>
      <c r="AI40" s="20" t="s">
        <v>88</v>
      </c>
      <c r="AJ40" s="30">
        <v>2360.8091638587653</v>
      </c>
      <c r="AK40" s="30">
        <v>2262.9607539069893</v>
      </c>
      <c r="AL40" s="30">
        <v>3085.0228391082164</v>
      </c>
      <c r="AM40" s="30">
        <v>3046.9277142004894</v>
      </c>
      <c r="AN40" s="30">
        <v>1593.0391023487584</v>
      </c>
      <c r="AO40" s="30">
        <v>3188.7689799643263</v>
      </c>
      <c r="AP40" s="30">
        <v>3198.1772305619111</v>
      </c>
      <c r="AQ40" s="30">
        <v>3275.6527421463466</v>
      </c>
      <c r="AR40" s="30">
        <v>6341.1469576415984</v>
      </c>
      <c r="AS40" s="31">
        <v>0</v>
      </c>
      <c r="AT40" s="31">
        <v>0</v>
      </c>
      <c r="AU40" s="31">
        <v>0</v>
      </c>
      <c r="AW40" t="str">
        <f t="shared" si="6"/>
        <v xml:space="preserve"> </v>
      </c>
    </row>
    <row r="41" spans="1:50" x14ac:dyDescent="0.2">
      <c r="A41" t="s">
        <v>17</v>
      </c>
      <c r="B41" t="s">
        <v>56</v>
      </c>
      <c r="C41" t="s">
        <v>89</v>
      </c>
      <c r="D41" s="15">
        <v>5083.8147335573876</v>
      </c>
      <c r="E41" s="15">
        <v>4873.6333987172484</v>
      </c>
      <c r="F41" s="15">
        <v>4887.8344629951889</v>
      </c>
      <c r="G41" s="15">
        <v>4825.3028912176223</v>
      </c>
      <c r="H41" s="15">
        <v>4915.4107953140065</v>
      </c>
      <c r="I41" s="15">
        <v>6517.6963559399564</v>
      </c>
      <c r="J41" s="15">
        <v>6426.1493876919094</v>
      </c>
      <c r="K41" s="15">
        <v>6689.0506646438798</v>
      </c>
      <c r="L41" s="15">
        <v>6729.9375320361369</v>
      </c>
      <c r="M41" s="1">
        <v>6600.7143901506115</v>
      </c>
      <c r="N41" s="1">
        <v>6776.2163905860034</v>
      </c>
      <c r="O41" s="1">
        <v>7674.8377017560351</v>
      </c>
      <c r="Q41" s="27" t="str">
        <f t="shared" ref="Q41:Q72" si="18">A41</f>
        <v>Sueldos</v>
      </c>
      <c r="R41" s="29" t="str">
        <f t="shared" ref="R41:R72" si="19">B41</f>
        <v>Sueldo</v>
      </c>
      <c r="S41" s="20" t="str">
        <f t="shared" ref="S41:S72" si="20">C41</f>
        <v>Freddy Díaz</v>
      </c>
      <c r="T41" s="30">
        <f t="shared" si="5"/>
        <v>1</v>
      </c>
      <c r="U41" s="30">
        <f t="shared" si="7"/>
        <v>1</v>
      </c>
      <c r="V41" s="30">
        <f t="shared" si="8"/>
        <v>1</v>
      </c>
      <c r="W41" s="30">
        <f t="shared" si="9"/>
        <v>1</v>
      </c>
      <c r="X41" s="30">
        <f t="shared" si="10"/>
        <v>1</v>
      </c>
      <c r="Y41" s="30">
        <f t="shared" si="11"/>
        <v>1</v>
      </c>
      <c r="Z41" s="30">
        <f t="shared" si="12"/>
        <v>1</v>
      </c>
      <c r="AA41" s="30">
        <f t="shared" si="13"/>
        <v>1</v>
      </c>
      <c r="AB41" s="30">
        <f t="shared" si="14"/>
        <v>1</v>
      </c>
      <c r="AC41" s="30">
        <f t="shared" si="15"/>
        <v>1</v>
      </c>
      <c r="AD41" s="30">
        <f t="shared" si="16"/>
        <v>1</v>
      </c>
      <c r="AE41" s="30">
        <f t="shared" si="17"/>
        <v>1</v>
      </c>
      <c r="AG41" s="27" t="s">
        <v>17</v>
      </c>
      <c r="AH41" s="29" t="s">
        <v>56</v>
      </c>
      <c r="AI41" s="20" t="s">
        <v>89</v>
      </c>
      <c r="AJ41" s="30">
        <v>5083.8147335573876</v>
      </c>
      <c r="AK41" s="30">
        <v>4873.6333987172484</v>
      </c>
      <c r="AL41" s="30">
        <v>4887.8344629951889</v>
      </c>
      <c r="AM41" s="30">
        <v>4825.3028912176223</v>
      </c>
      <c r="AN41" s="30">
        <v>4915.4107953140065</v>
      </c>
      <c r="AO41" s="30">
        <v>6517.6963559399564</v>
      </c>
      <c r="AP41" s="30">
        <v>6426.1493876919094</v>
      </c>
      <c r="AQ41" s="30">
        <v>6689.0506646438798</v>
      </c>
      <c r="AR41" s="30">
        <v>6729.9375320361369</v>
      </c>
      <c r="AS41" s="31">
        <v>6600.7143901506115</v>
      </c>
      <c r="AT41" s="31">
        <v>6776.2163905860034</v>
      </c>
      <c r="AU41" s="31">
        <v>7674.8377017560351</v>
      </c>
      <c r="AW41" t="str">
        <f t="shared" si="6"/>
        <v>Freddy Díaz</v>
      </c>
      <c r="AX41" t="s">
        <v>181</v>
      </c>
    </row>
    <row r="42" spans="1:50" x14ac:dyDescent="0.2">
      <c r="A42" t="s">
        <v>17</v>
      </c>
      <c r="B42" t="s">
        <v>56</v>
      </c>
      <c r="C42" t="s">
        <v>90</v>
      </c>
      <c r="D42" s="15">
        <v>2947.5685384745989</v>
      </c>
      <c r="E42" s="15">
        <v>2824.9199592318346</v>
      </c>
      <c r="F42" s="15">
        <v>4206.8493260566584</v>
      </c>
      <c r="G42" s="15">
        <v>4151.3789042084545</v>
      </c>
      <c r="H42" s="15">
        <v>4233.1903590829788</v>
      </c>
      <c r="I42" s="15">
        <v>4337.9800589869601</v>
      </c>
      <c r="J42" s="15">
        <v>4333.4783995068019</v>
      </c>
      <c r="K42" s="15">
        <v>4449.8018626933526</v>
      </c>
      <c r="L42" s="15">
        <v>4531.7375866661669</v>
      </c>
      <c r="M42" s="1">
        <v>4395.2279587475277</v>
      </c>
      <c r="N42" s="1">
        <v>4512.0897487805541</v>
      </c>
      <c r="O42" s="1">
        <v>5110.456119104716</v>
      </c>
      <c r="Q42" s="27" t="str">
        <f t="shared" si="18"/>
        <v>Sueldos</v>
      </c>
      <c r="R42" s="29" t="str">
        <f t="shared" si="19"/>
        <v>Sueldo</v>
      </c>
      <c r="S42" s="20" t="str">
        <f t="shared" si="20"/>
        <v>Gerson Alfaro</v>
      </c>
      <c r="T42" s="30">
        <f t="shared" si="5"/>
        <v>1</v>
      </c>
      <c r="U42" s="30">
        <f t="shared" si="7"/>
        <v>1</v>
      </c>
      <c r="V42" s="30">
        <f t="shared" si="8"/>
        <v>1</v>
      </c>
      <c r="W42" s="30">
        <f t="shared" si="9"/>
        <v>1</v>
      </c>
      <c r="X42" s="30">
        <f t="shared" si="10"/>
        <v>1</v>
      </c>
      <c r="Y42" s="30">
        <f t="shared" si="11"/>
        <v>1</v>
      </c>
      <c r="Z42" s="30">
        <f t="shared" si="12"/>
        <v>1</v>
      </c>
      <c r="AA42" s="30">
        <f t="shared" si="13"/>
        <v>1</v>
      </c>
      <c r="AB42" s="30">
        <f t="shared" si="14"/>
        <v>1</v>
      </c>
      <c r="AC42" s="30">
        <f t="shared" si="15"/>
        <v>1</v>
      </c>
      <c r="AD42" s="30">
        <f t="shared" si="16"/>
        <v>1</v>
      </c>
      <c r="AE42" s="30">
        <f t="shared" si="17"/>
        <v>1</v>
      </c>
      <c r="AG42" s="27" t="s">
        <v>17</v>
      </c>
      <c r="AH42" s="29" t="s">
        <v>56</v>
      </c>
      <c r="AI42" s="20" t="s">
        <v>90</v>
      </c>
      <c r="AJ42" s="30">
        <v>2947.5685384745989</v>
      </c>
      <c r="AK42" s="30">
        <v>2824.9199592318346</v>
      </c>
      <c r="AL42" s="30">
        <v>4206.8493260566584</v>
      </c>
      <c r="AM42" s="30">
        <v>4151.3789042084545</v>
      </c>
      <c r="AN42" s="30">
        <v>4233.1903590829788</v>
      </c>
      <c r="AO42" s="30">
        <v>4337.9800589869601</v>
      </c>
      <c r="AP42" s="30">
        <v>4333.4783995068019</v>
      </c>
      <c r="AQ42" s="30">
        <v>4449.8018626933526</v>
      </c>
      <c r="AR42" s="30">
        <v>4531.7375866661669</v>
      </c>
      <c r="AS42" s="31">
        <v>4395.2279587475277</v>
      </c>
      <c r="AT42" s="31">
        <v>4512.0897487805541</v>
      </c>
      <c r="AU42" s="31">
        <v>5110.456119104716</v>
      </c>
      <c r="AW42" t="str">
        <f t="shared" si="6"/>
        <v>Gerson Alfaro</v>
      </c>
      <c r="AX42" t="s">
        <v>181</v>
      </c>
    </row>
    <row r="43" spans="1:50" x14ac:dyDescent="0.2">
      <c r="A43" t="s">
        <v>17</v>
      </c>
      <c r="B43" t="s">
        <v>56</v>
      </c>
      <c r="C43" t="s">
        <v>91</v>
      </c>
      <c r="D43" s="15">
        <v>2466.5056365600449</v>
      </c>
      <c r="E43" s="15">
        <v>2024.3152618269664</v>
      </c>
      <c r="F43" s="15">
        <v>2057.4272850472616</v>
      </c>
      <c r="G43" s="15">
        <v>2100.6381278722329</v>
      </c>
      <c r="H43" s="15">
        <v>2895.7280587140422</v>
      </c>
      <c r="I43" s="15">
        <v>1984.0207036627564</v>
      </c>
      <c r="J43" s="15">
        <v>3955.8276224300935</v>
      </c>
      <c r="K43" s="15">
        <v>3411.6740080171658</v>
      </c>
      <c r="L43" s="15">
        <v>2027.9608532849199</v>
      </c>
      <c r="M43" s="1">
        <v>1998.3589229343149</v>
      </c>
      <c r="N43" s="1">
        <v>3148.6061426222959</v>
      </c>
      <c r="O43" s="1">
        <v>4377.7965084234074</v>
      </c>
      <c r="Q43" s="27" t="str">
        <f t="shared" si="18"/>
        <v>Sueldos</v>
      </c>
      <c r="R43" s="29" t="str">
        <f t="shared" si="19"/>
        <v>Sueldo</v>
      </c>
      <c r="S43" s="20" t="str">
        <f t="shared" si="20"/>
        <v>Gino Espinoza</v>
      </c>
      <c r="T43" s="30">
        <f t="shared" si="5"/>
        <v>1</v>
      </c>
      <c r="U43" s="30">
        <f t="shared" si="7"/>
        <v>1</v>
      </c>
      <c r="V43" s="30">
        <f t="shared" si="8"/>
        <v>1</v>
      </c>
      <c r="W43" s="30">
        <f t="shared" si="9"/>
        <v>1</v>
      </c>
      <c r="X43" s="30">
        <f t="shared" si="10"/>
        <v>1</v>
      </c>
      <c r="Y43" s="30">
        <f t="shared" si="11"/>
        <v>1</v>
      </c>
      <c r="Z43" s="30">
        <f t="shared" si="12"/>
        <v>1</v>
      </c>
      <c r="AA43" s="30">
        <f t="shared" si="13"/>
        <v>1</v>
      </c>
      <c r="AB43" s="30">
        <f t="shared" si="14"/>
        <v>1</v>
      </c>
      <c r="AC43" s="30">
        <f t="shared" si="15"/>
        <v>1</v>
      </c>
      <c r="AD43" s="30">
        <f t="shared" si="16"/>
        <v>1</v>
      </c>
      <c r="AE43" s="30">
        <f t="shared" si="17"/>
        <v>1</v>
      </c>
      <c r="AG43" s="27" t="s">
        <v>17</v>
      </c>
      <c r="AH43" s="29" t="s">
        <v>56</v>
      </c>
      <c r="AI43" s="20" t="s">
        <v>91</v>
      </c>
      <c r="AJ43" s="30">
        <v>2466.5056365600449</v>
      </c>
      <c r="AK43" s="30">
        <v>2024.3152618269664</v>
      </c>
      <c r="AL43" s="30">
        <v>2057.4272850472616</v>
      </c>
      <c r="AM43" s="30">
        <v>2100.6381278722329</v>
      </c>
      <c r="AN43" s="30">
        <v>2895.7280587140422</v>
      </c>
      <c r="AO43" s="30">
        <v>1984.0207036627564</v>
      </c>
      <c r="AP43" s="30">
        <v>3955.8276224300935</v>
      </c>
      <c r="AQ43" s="30">
        <v>3411.6740080171658</v>
      </c>
      <c r="AR43" s="30">
        <v>2027.9608532849199</v>
      </c>
      <c r="AS43" s="31">
        <v>1998.3589229343149</v>
      </c>
      <c r="AT43" s="31">
        <v>3148.6061426222959</v>
      </c>
      <c r="AU43" s="31">
        <v>4377.7965084234074</v>
      </c>
      <c r="AW43" t="str">
        <f t="shared" si="6"/>
        <v>Gino Espinoza</v>
      </c>
      <c r="AX43" t="s">
        <v>193</v>
      </c>
    </row>
    <row r="44" spans="1:50" x14ac:dyDescent="0.2">
      <c r="A44" t="s">
        <v>17</v>
      </c>
      <c r="B44" t="s">
        <v>56</v>
      </c>
      <c r="C44" t="s">
        <v>92</v>
      </c>
      <c r="D44" s="15">
        <v>799.46254914701706</v>
      </c>
      <c r="E44" s="15">
        <v>753.45013700905088</v>
      </c>
      <c r="F44" s="15">
        <v>727.3997086566178</v>
      </c>
      <c r="G44" s="15">
        <v>733.30139354677442</v>
      </c>
      <c r="H44" s="15">
        <v>3490.7308144855538</v>
      </c>
      <c r="I44" s="15">
        <v>807.42052522460256</v>
      </c>
      <c r="J44" s="15">
        <v>774.24804812492005</v>
      </c>
      <c r="K44" s="15">
        <v>851.05925368319174</v>
      </c>
      <c r="L44" s="15">
        <v>1238.6737348981333</v>
      </c>
      <c r="M44" s="1">
        <v>761.1664741257382</v>
      </c>
      <c r="N44" s="1">
        <v>761.1664741257382</v>
      </c>
      <c r="O44" s="1">
        <v>1085.0671014132863</v>
      </c>
      <c r="Q44" s="27" t="str">
        <f t="shared" si="18"/>
        <v>Sueldos</v>
      </c>
      <c r="R44" s="29" t="str">
        <f t="shared" si="19"/>
        <v>Sueldo</v>
      </c>
      <c r="S44" s="20" t="str">
        <f t="shared" si="20"/>
        <v xml:space="preserve">Gladys Myriam Muñoz </v>
      </c>
      <c r="T44" s="30">
        <f t="shared" si="5"/>
        <v>1</v>
      </c>
      <c r="U44" s="30">
        <f t="shared" si="7"/>
        <v>1</v>
      </c>
      <c r="V44" s="30">
        <f t="shared" si="8"/>
        <v>1</v>
      </c>
      <c r="W44" s="30">
        <f t="shared" si="9"/>
        <v>1</v>
      </c>
      <c r="X44" s="30">
        <f t="shared" si="10"/>
        <v>1</v>
      </c>
      <c r="Y44" s="30">
        <f t="shared" si="11"/>
        <v>1</v>
      </c>
      <c r="Z44" s="30">
        <f t="shared" si="12"/>
        <v>1</v>
      </c>
      <c r="AA44" s="30">
        <f t="shared" si="13"/>
        <v>1</v>
      </c>
      <c r="AB44" s="30">
        <f t="shared" si="14"/>
        <v>1</v>
      </c>
      <c r="AC44" s="30">
        <f t="shared" si="15"/>
        <v>1</v>
      </c>
      <c r="AD44" s="30">
        <f t="shared" si="16"/>
        <v>1</v>
      </c>
      <c r="AE44" s="30">
        <f t="shared" si="17"/>
        <v>1</v>
      </c>
      <c r="AG44" s="27" t="s">
        <v>17</v>
      </c>
      <c r="AH44" s="29" t="s">
        <v>56</v>
      </c>
      <c r="AI44" s="20" t="s">
        <v>92</v>
      </c>
      <c r="AJ44" s="30">
        <v>799.46254914701706</v>
      </c>
      <c r="AK44" s="30">
        <v>753.45013700905088</v>
      </c>
      <c r="AL44" s="30">
        <v>727.3997086566178</v>
      </c>
      <c r="AM44" s="30">
        <v>733.30139354677442</v>
      </c>
      <c r="AN44" s="30">
        <v>3490.7308144855538</v>
      </c>
      <c r="AO44" s="30">
        <v>807.42052522460256</v>
      </c>
      <c r="AP44" s="30">
        <v>774.24804812492005</v>
      </c>
      <c r="AQ44" s="30">
        <v>851.05925368319174</v>
      </c>
      <c r="AR44" s="30">
        <v>1238.6737348981333</v>
      </c>
      <c r="AS44" s="31">
        <v>761.1664741257382</v>
      </c>
      <c r="AT44" s="31">
        <v>761.1664741257382</v>
      </c>
      <c r="AU44" s="31">
        <v>1085.0671014132863</v>
      </c>
      <c r="AW44" t="str">
        <f t="shared" si="6"/>
        <v xml:space="preserve">Gladys Myriam Muñoz </v>
      </c>
      <c r="AX44" t="s">
        <v>180</v>
      </c>
    </row>
    <row r="45" spans="1:50" x14ac:dyDescent="0.2">
      <c r="A45" t="s">
        <v>17</v>
      </c>
      <c r="B45" t="s">
        <v>56</v>
      </c>
      <c r="C45" t="s">
        <v>93</v>
      </c>
      <c r="D45" s="15">
        <v>157.80000506045681</v>
      </c>
      <c r="E45" s="15">
        <v>296.78609910526558</v>
      </c>
      <c r="F45" s="15">
        <v>1043.2698512838201</v>
      </c>
      <c r="G45" s="15">
        <v>1384.8318353945042</v>
      </c>
      <c r="H45" s="15">
        <v>1413.2442656271437</v>
      </c>
      <c r="I45" s="15">
        <v>1449.0860017194657</v>
      </c>
      <c r="J45" s="15">
        <v>1481.5545427510513</v>
      </c>
      <c r="K45" s="15">
        <v>1499.0632124838253</v>
      </c>
      <c r="L45" s="15">
        <v>1500.7382578888817</v>
      </c>
      <c r="M45" s="1">
        <v>1467.3402757559008</v>
      </c>
      <c r="N45" s="1">
        <v>1506.3544094531328</v>
      </c>
      <c r="O45" s="1">
        <v>1706.118126619856</v>
      </c>
      <c r="Q45" s="27" t="str">
        <f t="shared" si="18"/>
        <v>Sueldos</v>
      </c>
      <c r="R45" s="29" t="str">
        <f t="shared" si="19"/>
        <v>Sueldo</v>
      </c>
      <c r="S45" s="20" t="str">
        <f t="shared" si="20"/>
        <v>Grace Ramon</v>
      </c>
      <c r="T45" s="30">
        <f t="shared" si="5"/>
        <v>1</v>
      </c>
      <c r="U45" s="30">
        <f t="shared" si="7"/>
        <v>1</v>
      </c>
      <c r="V45" s="30">
        <f t="shared" si="8"/>
        <v>1</v>
      </c>
      <c r="W45" s="30">
        <f t="shared" si="9"/>
        <v>1</v>
      </c>
      <c r="X45" s="30">
        <f t="shared" si="10"/>
        <v>1</v>
      </c>
      <c r="Y45" s="30">
        <f t="shared" si="11"/>
        <v>1</v>
      </c>
      <c r="Z45" s="30">
        <f t="shared" si="12"/>
        <v>1</v>
      </c>
      <c r="AA45" s="30">
        <f t="shared" si="13"/>
        <v>1</v>
      </c>
      <c r="AB45" s="30">
        <f t="shared" si="14"/>
        <v>1</v>
      </c>
      <c r="AC45" s="30">
        <f t="shared" si="15"/>
        <v>1</v>
      </c>
      <c r="AD45" s="30">
        <f t="shared" si="16"/>
        <v>1</v>
      </c>
      <c r="AE45" s="30">
        <f t="shared" si="17"/>
        <v>1</v>
      </c>
      <c r="AG45" s="27" t="s">
        <v>17</v>
      </c>
      <c r="AH45" s="29" t="s">
        <v>56</v>
      </c>
      <c r="AI45" s="20" t="s">
        <v>93</v>
      </c>
      <c r="AJ45" s="30">
        <v>157.80000506045681</v>
      </c>
      <c r="AK45" s="30">
        <v>296.78609910526558</v>
      </c>
      <c r="AL45" s="30">
        <v>1043.2698512838201</v>
      </c>
      <c r="AM45" s="30">
        <v>1384.8318353945042</v>
      </c>
      <c r="AN45" s="30">
        <v>1413.2442656271437</v>
      </c>
      <c r="AO45" s="30">
        <v>1449.0860017194657</v>
      </c>
      <c r="AP45" s="30">
        <v>1481.5545427510513</v>
      </c>
      <c r="AQ45" s="30">
        <v>1499.0632124838253</v>
      </c>
      <c r="AR45" s="30">
        <v>1500.7382578888817</v>
      </c>
      <c r="AS45" s="31">
        <v>1467.3402757559008</v>
      </c>
      <c r="AT45" s="31">
        <v>1506.3544094531328</v>
      </c>
      <c r="AU45" s="31">
        <v>1706.118126619856</v>
      </c>
      <c r="AW45" t="str">
        <f t="shared" si="6"/>
        <v>Grace Ramon</v>
      </c>
      <c r="AX45" t="s">
        <v>193</v>
      </c>
    </row>
    <row r="46" spans="1:50" x14ac:dyDescent="0.2">
      <c r="A46" t="s">
        <v>17</v>
      </c>
      <c r="B46" t="s">
        <v>56</v>
      </c>
      <c r="C46" t="s">
        <v>94</v>
      </c>
      <c r="D46" s="15">
        <v>472.06923682140047</v>
      </c>
      <c r="E46" s="15">
        <v>474.1</v>
      </c>
      <c r="F46" s="15">
        <v>483.74092985756516</v>
      </c>
      <c r="G46" s="15">
        <v>482.06</v>
      </c>
      <c r="H46" s="15">
        <v>479.62</v>
      </c>
      <c r="I46" s="15">
        <v>0</v>
      </c>
      <c r="J46" s="15">
        <v>0</v>
      </c>
      <c r="K46" s="15">
        <v>0</v>
      </c>
      <c r="L46" s="15">
        <v>0</v>
      </c>
      <c r="M46" s="1">
        <v>0</v>
      </c>
      <c r="N46" s="1">
        <v>0</v>
      </c>
      <c r="O46" s="1">
        <v>0</v>
      </c>
      <c r="Q46" s="27" t="str">
        <f t="shared" si="18"/>
        <v>Sueldos</v>
      </c>
      <c r="R46" s="29" t="str">
        <f t="shared" si="19"/>
        <v>Sueldo</v>
      </c>
      <c r="S46" s="20" t="str">
        <f t="shared" si="20"/>
        <v>Guillermo Ricaldi</v>
      </c>
      <c r="T46" s="30">
        <f t="shared" si="5"/>
        <v>1</v>
      </c>
      <c r="U46" s="30">
        <f t="shared" si="7"/>
        <v>1</v>
      </c>
      <c r="V46" s="30">
        <f t="shared" si="8"/>
        <v>1</v>
      </c>
      <c r="W46" s="30">
        <f t="shared" si="9"/>
        <v>1</v>
      </c>
      <c r="X46" s="30">
        <f t="shared" si="10"/>
        <v>1</v>
      </c>
      <c r="Y46" s="30">
        <f t="shared" si="11"/>
        <v>0</v>
      </c>
      <c r="Z46" s="30">
        <f t="shared" si="12"/>
        <v>0</v>
      </c>
      <c r="AA46" s="30">
        <f t="shared" si="13"/>
        <v>0</v>
      </c>
      <c r="AB46" s="30">
        <f t="shared" si="14"/>
        <v>0</v>
      </c>
      <c r="AC46" s="30">
        <f t="shared" si="15"/>
        <v>0</v>
      </c>
      <c r="AD46" s="30">
        <f t="shared" si="16"/>
        <v>0</v>
      </c>
      <c r="AE46" s="30">
        <f t="shared" si="17"/>
        <v>0</v>
      </c>
      <c r="AG46" s="27" t="s">
        <v>17</v>
      </c>
      <c r="AH46" s="29" t="s">
        <v>56</v>
      </c>
      <c r="AI46" s="20" t="s">
        <v>94</v>
      </c>
      <c r="AJ46" s="30">
        <v>472.06923682140047</v>
      </c>
      <c r="AK46" s="30">
        <v>474.1</v>
      </c>
      <c r="AL46" s="30">
        <v>483.74092985756516</v>
      </c>
      <c r="AM46" s="30">
        <v>482.06</v>
      </c>
      <c r="AN46" s="30">
        <v>479.62</v>
      </c>
      <c r="AO46" s="30">
        <v>0</v>
      </c>
      <c r="AP46" s="30">
        <v>0</v>
      </c>
      <c r="AQ46" s="30">
        <v>0</v>
      </c>
      <c r="AR46" s="30">
        <v>0</v>
      </c>
      <c r="AS46" s="31">
        <v>0</v>
      </c>
      <c r="AT46" s="31">
        <v>0</v>
      </c>
      <c r="AU46" s="31">
        <v>0</v>
      </c>
      <c r="AW46" t="str">
        <f t="shared" si="6"/>
        <v xml:space="preserve"> </v>
      </c>
    </row>
    <row r="47" spans="1:50" x14ac:dyDescent="0.2">
      <c r="A47" t="s">
        <v>17</v>
      </c>
      <c r="B47" t="s">
        <v>56</v>
      </c>
      <c r="C47" t="s">
        <v>95</v>
      </c>
      <c r="D47" s="15">
        <v>1607.4685538687984</v>
      </c>
      <c r="E47" s="15">
        <v>1411.7377929394856</v>
      </c>
      <c r="F47" s="15">
        <v>1544.0749652202926</v>
      </c>
      <c r="G47" s="15">
        <v>474.45315335894793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">
        <v>0</v>
      </c>
      <c r="N47" s="1">
        <v>0</v>
      </c>
      <c r="O47" s="1">
        <v>0</v>
      </c>
      <c r="Q47" s="27" t="str">
        <f t="shared" si="18"/>
        <v>Sueldos</v>
      </c>
      <c r="R47" s="29" t="str">
        <f t="shared" si="19"/>
        <v>Sueldo</v>
      </c>
      <c r="S47" s="20" t="str">
        <f t="shared" si="20"/>
        <v>Ignacio González</v>
      </c>
      <c r="T47" s="30">
        <f t="shared" si="5"/>
        <v>1</v>
      </c>
      <c r="U47" s="30">
        <f t="shared" si="7"/>
        <v>1</v>
      </c>
      <c r="V47" s="30">
        <f t="shared" si="8"/>
        <v>1</v>
      </c>
      <c r="W47" s="30">
        <f t="shared" si="9"/>
        <v>1</v>
      </c>
      <c r="X47" s="30">
        <f t="shared" si="10"/>
        <v>0</v>
      </c>
      <c r="Y47" s="30">
        <f t="shared" si="11"/>
        <v>0</v>
      </c>
      <c r="Z47" s="30">
        <f t="shared" si="12"/>
        <v>0</v>
      </c>
      <c r="AA47" s="30">
        <f t="shared" si="13"/>
        <v>0</v>
      </c>
      <c r="AB47" s="30">
        <f t="shared" si="14"/>
        <v>0</v>
      </c>
      <c r="AC47" s="30">
        <f t="shared" si="15"/>
        <v>0</v>
      </c>
      <c r="AD47" s="30">
        <f t="shared" si="16"/>
        <v>0</v>
      </c>
      <c r="AE47" s="30">
        <f t="shared" si="17"/>
        <v>0</v>
      </c>
      <c r="AG47" s="27" t="s">
        <v>17</v>
      </c>
      <c r="AH47" s="29" t="s">
        <v>56</v>
      </c>
      <c r="AI47" s="20" t="s">
        <v>95</v>
      </c>
      <c r="AJ47" s="30">
        <v>1607.4685538687984</v>
      </c>
      <c r="AK47" s="30">
        <v>1411.7377929394856</v>
      </c>
      <c r="AL47" s="30">
        <v>1544.0749652202926</v>
      </c>
      <c r="AM47" s="30">
        <v>474.45315335894793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1">
        <v>0</v>
      </c>
      <c r="AT47" s="31">
        <v>0</v>
      </c>
      <c r="AU47" s="31">
        <v>0</v>
      </c>
      <c r="AW47" t="str">
        <f t="shared" si="6"/>
        <v xml:space="preserve"> </v>
      </c>
    </row>
    <row r="48" spans="1:50" x14ac:dyDescent="0.2">
      <c r="A48" t="s">
        <v>17</v>
      </c>
      <c r="B48" t="s">
        <v>56</v>
      </c>
      <c r="C48" t="s">
        <v>96</v>
      </c>
      <c r="D48" s="15">
        <v>1801.6704971424529</v>
      </c>
      <c r="E48" s="15">
        <v>1726.4404343008016</v>
      </c>
      <c r="F48" s="15">
        <v>2243.6529738968848</v>
      </c>
      <c r="G48" s="15">
        <v>1983.7760001205618</v>
      </c>
      <c r="H48" s="15">
        <v>2102.2769745992928</v>
      </c>
      <c r="I48" s="15">
        <v>2154.9123465733492</v>
      </c>
      <c r="J48" s="15">
        <v>2848.995020511762</v>
      </c>
      <c r="K48" s="15">
        <v>2297.7869895033923</v>
      </c>
      <c r="L48" s="15">
        <v>2385.685287987586</v>
      </c>
      <c r="M48" s="1">
        <v>2182.7477037417248</v>
      </c>
      <c r="N48" s="1">
        <v>2240.7833292528126</v>
      </c>
      <c r="O48" s="1">
        <v>2537.9426195285141</v>
      </c>
      <c r="Q48" s="27" t="str">
        <f t="shared" si="18"/>
        <v>Sueldos</v>
      </c>
      <c r="R48" s="29" t="str">
        <f t="shared" si="19"/>
        <v>Sueldo</v>
      </c>
      <c r="S48" s="20" t="str">
        <f t="shared" si="20"/>
        <v>Isidora Figueroa</v>
      </c>
      <c r="T48" s="30">
        <f t="shared" si="5"/>
        <v>1</v>
      </c>
      <c r="U48" s="30">
        <f t="shared" si="7"/>
        <v>1</v>
      </c>
      <c r="V48" s="30">
        <f t="shared" si="8"/>
        <v>1</v>
      </c>
      <c r="W48" s="30">
        <f t="shared" si="9"/>
        <v>1</v>
      </c>
      <c r="X48" s="30">
        <f t="shared" si="10"/>
        <v>1</v>
      </c>
      <c r="Y48" s="30">
        <f t="shared" si="11"/>
        <v>1</v>
      </c>
      <c r="Z48" s="30">
        <f t="shared" si="12"/>
        <v>1</v>
      </c>
      <c r="AA48" s="30">
        <f t="shared" si="13"/>
        <v>1</v>
      </c>
      <c r="AB48" s="30">
        <f t="shared" si="14"/>
        <v>1</v>
      </c>
      <c r="AC48" s="30">
        <f t="shared" si="15"/>
        <v>1</v>
      </c>
      <c r="AD48" s="30">
        <f t="shared" si="16"/>
        <v>1</v>
      </c>
      <c r="AE48" s="30">
        <f t="shared" si="17"/>
        <v>1</v>
      </c>
      <c r="AG48" s="27" t="s">
        <v>17</v>
      </c>
      <c r="AH48" s="29" t="s">
        <v>56</v>
      </c>
      <c r="AI48" s="20" t="s">
        <v>96</v>
      </c>
      <c r="AJ48" s="30">
        <v>1801.6704971424529</v>
      </c>
      <c r="AK48" s="30">
        <v>1726.4404343008016</v>
      </c>
      <c r="AL48" s="30">
        <v>2243.6529738968848</v>
      </c>
      <c r="AM48" s="30">
        <v>1983.7760001205618</v>
      </c>
      <c r="AN48" s="30">
        <v>2102.2769745992928</v>
      </c>
      <c r="AO48" s="30">
        <v>2154.9123465733492</v>
      </c>
      <c r="AP48" s="30">
        <v>2848.995020511762</v>
      </c>
      <c r="AQ48" s="30">
        <v>2297.7869895033923</v>
      </c>
      <c r="AR48" s="30">
        <v>2385.685287987586</v>
      </c>
      <c r="AS48" s="31">
        <v>2182.7477037417248</v>
      </c>
      <c r="AT48" s="31">
        <v>2240.7833292528126</v>
      </c>
      <c r="AU48" s="31">
        <v>2537.9426195285141</v>
      </c>
      <c r="AW48" t="str">
        <f t="shared" si="6"/>
        <v>Isidora Figueroa</v>
      </c>
      <c r="AX48" t="s">
        <v>193</v>
      </c>
    </row>
    <row r="49" spans="1:50" x14ac:dyDescent="0.2">
      <c r="A49" t="s">
        <v>17</v>
      </c>
      <c r="B49" t="s">
        <v>56</v>
      </c>
      <c r="C49" t="s">
        <v>97</v>
      </c>
      <c r="D49" s="15">
        <v>157.80000506045681</v>
      </c>
      <c r="E49" s="15">
        <v>296.78609910526558</v>
      </c>
      <c r="F49" s="15">
        <v>204.3324990901786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">
        <v>0</v>
      </c>
      <c r="N49" s="1">
        <v>0</v>
      </c>
      <c r="O49" s="1">
        <v>0</v>
      </c>
      <c r="Q49" s="27" t="str">
        <f t="shared" si="18"/>
        <v>Sueldos</v>
      </c>
      <c r="R49" s="29" t="str">
        <f t="shared" si="19"/>
        <v>Sueldo</v>
      </c>
      <c r="S49" s="20" t="str">
        <f t="shared" si="20"/>
        <v>Ismael Leyton Aliste practicante</v>
      </c>
      <c r="T49" s="30">
        <f t="shared" si="5"/>
        <v>1</v>
      </c>
      <c r="U49" s="30">
        <f t="shared" si="7"/>
        <v>1</v>
      </c>
      <c r="V49" s="30">
        <f t="shared" si="8"/>
        <v>1</v>
      </c>
      <c r="W49" s="30">
        <f t="shared" si="9"/>
        <v>0</v>
      </c>
      <c r="X49" s="30">
        <f t="shared" si="10"/>
        <v>0</v>
      </c>
      <c r="Y49" s="30">
        <f t="shared" si="11"/>
        <v>0</v>
      </c>
      <c r="Z49" s="30">
        <f t="shared" si="12"/>
        <v>0</v>
      </c>
      <c r="AA49" s="30">
        <f t="shared" si="13"/>
        <v>0</v>
      </c>
      <c r="AB49" s="30">
        <f t="shared" si="14"/>
        <v>0</v>
      </c>
      <c r="AC49" s="30">
        <f t="shared" si="15"/>
        <v>0</v>
      </c>
      <c r="AD49" s="30">
        <f t="shared" si="16"/>
        <v>0</v>
      </c>
      <c r="AE49" s="30">
        <f t="shared" si="17"/>
        <v>0</v>
      </c>
      <c r="AG49" s="27" t="s">
        <v>17</v>
      </c>
      <c r="AH49" s="29" t="s">
        <v>56</v>
      </c>
      <c r="AI49" s="20" t="s">
        <v>97</v>
      </c>
      <c r="AJ49" s="30">
        <v>157.80000506045681</v>
      </c>
      <c r="AK49" s="30">
        <v>296.78609910526558</v>
      </c>
      <c r="AL49" s="30">
        <v>204.3324990901786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1">
        <v>0</v>
      </c>
      <c r="AT49" s="31">
        <v>0</v>
      </c>
      <c r="AU49" s="31">
        <v>0</v>
      </c>
      <c r="AW49" t="str">
        <f t="shared" si="6"/>
        <v xml:space="preserve"> </v>
      </c>
    </row>
    <row r="50" spans="1:50" x14ac:dyDescent="0.2">
      <c r="A50" t="s">
        <v>17</v>
      </c>
      <c r="B50" t="s">
        <v>56</v>
      </c>
      <c r="C50" t="s">
        <v>98</v>
      </c>
      <c r="D50" s="15">
        <v>1704.6944662995015</v>
      </c>
      <c r="E50" s="15">
        <v>1514.2693345532346</v>
      </c>
      <c r="F50" s="15">
        <v>2605.5226157868351</v>
      </c>
      <c r="G50" s="15">
        <v>2669.4747040835937</v>
      </c>
      <c r="H50" s="15">
        <v>3679.8885996753793</v>
      </c>
      <c r="I50" s="15">
        <v>2521.2883998650018</v>
      </c>
      <c r="J50" s="15">
        <v>5026.5344404982252</v>
      </c>
      <c r="K50" s="15">
        <v>4336.1612834284442</v>
      </c>
      <c r="L50" s="15">
        <v>2576.8263644615909</v>
      </c>
      <c r="M50" s="1">
        <v>3583.8615645383297</v>
      </c>
      <c r="N50" s="1">
        <v>5646.7176175959858</v>
      </c>
      <c r="O50" s="1">
        <v>5562.7158267238174</v>
      </c>
      <c r="Q50" s="27" t="str">
        <f t="shared" si="18"/>
        <v>Sueldos</v>
      </c>
      <c r="R50" s="29" t="str">
        <f t="shared" si="19"/>
        <v>Sueldo</v>
      </c>
      <c r="S50" s="20" t="str">
        <f t="shared" si="20"/>
        <v>Jarold Orna</v>
      </c>
      <c r="T50" s="30">
        <f t="shared" si="5"/>
        <v>1</v>
      </c>
      <c r="U50" s="30">
        <f t="shared" si="7"/>
        <v>1</v>
      </c>
      <c r="V50" s="30">
        <f t="shared" si="8"/>
        <v>1</v>
      </c>
      <c r="W50" s="30">
        <f t="shared" si="9"/>
        <v>1</v>
      </c>
      <c r="X50" s="30">
        <f t="shared" si="10"/>
        <v>1</v>
      </c>
      <c r="Y50" s="30">
        <f t="shared" si="11"/>
        <v>1</v>
      </c>
      <c r="Z50" s="30">
        <f t="shared" si="12"/>
        <v>1</v>
      </c>
      <c r="AA50" s="30">
        <f t="shared" si="13"/>
        <v>1</v>
      </c>
      <c r="AB50" s="30">
        <f t="shared" si="14"/>
        <v>1</v>
      </c>
      <c r="AC50" s="30">
        <f t="shared" si="15"/>
        <v>1</v>
      </c>
      <c r="AD50" s="30">
        <f t="shared" si="16"/>
        <v>1</v>
      </c>
      <c r="AE50" s="30">
        <f t="shared" si="17"/>
        <v>1</v>
      </c>
      <c r="AG50" s="27" t="s">
        <v>17</v>
      </c>
      <c r="AH50" s="29" t="s">
        <v>56</v>
      </c>
      <c r="AI50" s="20" t="s">
        <v>98</v>
      </c>
      <c r="AJ50" s="30">
        <v>1704.6944662995015</v>
      </c>
      <c r="AK50" s="30">
        <v>1514.2693345532346</v>
      </c>
      <c r="AL50" s="30">
        <v>2605.5226157868351</v>
      </c>
      <c r="AM50" s="30">
        <v>2669.4747040835937</v>
      </c>
      <c r="AN50" s="30">
        <v>3679.8885996753793</v>
      </c>
      <c r="AO50" s="30">
        <v>2521.2883998650018</v>
      </c>
      <c r="AP50" s="30">
        <v>5026.5344404982252</v>
      </c>
      <c r="AQ50" s="30">
        <v>4336.1612834284442</v>
      </c>
      <c r="AR50" s="30">
        <v>2576.8263644615909</v>
      </c>
      <c r="AS50" s="31">
        <v>3583.8615645383297</v>
      </c>
      <c r="AT50" s="31">
        <v>5646.7176175959858</v>
      </c>
      <c r="AU50" s="31">
        <v>5562.7158267238174</v>
      </c>
      <c r="AW50" t="str">
        <f t="shared" si="6"/>
        <v>Jarold Orna</v>
      </c>
      <c r="AX50" t="s">
        <v>193</v>
      </c>
    </row>
    <row r="51" spans="1:50" x14ac:dyDescent="0.2">
      <c r="A51" t="s">
        <v>17</v>
      </c>
      <c r="B51" t="s">
        <v>56</v>
      </c>
      <c r="C51" t="s">
        <v>99</v>
      </c>
      <c r="D51" s="15">
        <v>3345.9326643451286</v>
      </c>
      <c r="E51" s="15">
        <v>2746.0803077367391</v>
      </c>
      <c r="F51" s="15">
        <v>2790.998348236275</v>
      </c>
      <c r="G51" s="15">
        <v>2849.6108865551846</v>
      </c>
      <c r="H51" s="15">
        <v>3928.1958360752624</v>
      </c>
      <c r="I51" s="15">
        <v>2691.4162617837774</v>
      </c>
      <c r="J51" s="15">
        <v>0</v>
      </c>
      <c r="K51" s="15">
        <v>0</v>
      </c>
      <c r="L51" s="15">
        <v>0</v>
      </c>
      <c r="M51" s="1">
        <v>0</v>
      </c>
      <c r="N51" s="1">
        <v>0</v>
      </c>
      <c r="O51" s="1">
        <v>0</v>
      </c>
      <c r="Q51" s="27" t="str">
        <f t="shared" si="18"/>
        <v>Sueldos</v>
      </c>
      <c r="R51" s="29" t="str">
        <f t="shared" si="19"/>
        <v>Sueldo</v>
      </c>
      <c r="S51" s="20" t="str">
        <f t="shared" si="20"/>
        <v>Jessica Rojas</v>
      </c>
      <c r="T51" s="30">
        <f t="shared" si="5"/>
        <v>1</v>
      </c>
      <c r="U51" s="30">
        <f t="shared" si="7"/>
        <v>1</v>
      </c>
      <c r="V51" s="30">
        <f t="shared" si="8"/>
        <v>1</v>
      </c>
      <c r="W51" s="30">
        <f t="shared" si="9"/>
        <v>1</v>
      </c>
      <c r="X51" s="30">
        <f t="shared" si="10"/>
        <v>1</v>
      </c>
      <c r="Y51" s="30">
        <f t="shared" si="11"/>
        <v>1</v>
      </c>
      <c r="Z51" s="30">
        <f t="shared" si="12"/>
        <v>0</v>
      </c>
      <c r="AA51" s="30">
        <f t="shared" si="13"/>
        <v>0</v>
      </c>
      <c r="AB51" s="30">
        <f t="shared" si="14"/>
        <v>0</v>
      </c>
      <c r="AC51" s="30">
        <f t="shared" si="15"/>
        <v>0</v>
      </c>
      <c r="AD51" s="30">
        <f t="shared" si="16"/>
        <v>0</v>
      </c>
      <c r="AE51" s="30">
        <f t="shared" si="17"/>
        <v>0</v>
      </c>
      <c r="AG51" s="27" t="s">
        <v>17</v>
      </c>
      <c r="AH51" s="29" t="s">
        <v>56</v>
      </c>
      <c r="AI51" s="20" t="s">
        <v>99</v>
      </c>
      <c r="AJ51" s="30">
        <v>3345.9326643451286</v>
      </c>
      <c r="AK51" s="30">
        <v>2746.0803077367391</v>
      </c>
      <c r="AL51" s="30">
        <v>2790.998348236275</v>
      </c>
      <c r="AM51" s="30">
        <v>2849.6108865551846</v>
      </c>
      <c r="AN51" s="30">
        <v>3928.1958360752624</v>
      </c>
      <c r="AO51" s="30">
        <v>2691.4162617837774</v>
      </c>
      <c r="AP51" s="30">
        <v>0</v>
      </c>
      <c r="AQ51" s="30">
        <v>0</v>
      </c>
      <c r="AR51" s="30">
        <v>0</v>
      </c>
      <c r="AS51" s="31">
        <v>0</v>
      </c>
      <c r="AT51" s="31">
        <v>0</v>
      </c>
      <c r="AU51" s="31">
        <v>0</v>
      </c>
      <c r="AW51" t="str">
        <f t="shared" si="6"/>
        <v xml:space="preserve"> </v>
      </c>
    </row>
    <row r="52" spans="1:50" x14ac:dyDescent="0.2">
      <c r="A52" t="s">
        <v>17</v>
      </c>
      <c r="B52" t="s">
        <v>56</v>
      </c>
      <c r="C52" t="s">
        <v>100</v>
      </c>
      <c r="D52" s="15">
        <v>1442.4337791765013</v>
      </c>
      <c r="E52" s="15">
        <v>1448.5</v>
      </c>
      <c r="F52" s="15">
        <v>1478.0972856758935</v>
      </c>
      <c r="G52" s="15">
        <v>1472.95</v>
      </c>
      <c r="H52" s="15">
        <v>1465.49</v>
      </c>
      <c r="I52" s="15">
        <v>1440.92</v>
      </c>
      <c r="J52" s="15">
        <v>1470</v>
      </c>
      <c r="K52" s="15">
        <v>1440.92</v>
      </c>
      <c r="L52" s="15">
        <v>1640.6143481220925</v>
      </c>
      <c r="M52" s="1">
        <v>3072.6970758832495</v>
      </c>
      <c r="N52" s="1">
        <v>3990.5421907677178</v>
      </c>
      <c r="O52" s="1">
        <v>4991.2229402044068</v>
      </c>
      <c r="Q52" s="27" t="str">
        <f t="shared" si="18"/>
        <v>Sueldos</v>
      </c>
      <c r="R52" s="29" t="str">
        <f t="shared" si="19"/>
        <v>Sueldo</v>
      </c>
      <c r="S52" s="20" t="str">
        <f t="shared" si="20"/>
        <v>Jhonatan Huaynate</v>
      </c>
      <c r="T52" s="30">
        <f t="shared" si="5"/>
        <v>1</v>
      </c>
      <c r="U52" s="30">
        <f t="shared" si="7"/>
        <v>1</v>
      </c>
      <c r="V52" s="30">
        <f t="shared" si="8"/>
        <v>1</v>
      </c>
      <c r="W52" s="30">
        <f t="shared" si="9"/>
        <v>1</v>
      </c>
      <c r="X52" s="30">
        <f t="shared" si="10"/>
        <v>1</v>
      </c>
      <c r="Y52" s="30">
        <f t="shared" si="11"/>
        <v>1</v>
      </c>
      <c r="Z52" s="30">
        <f t="shared" si="12"/>
        <v>1</v>
      </c>
      <c r="AA52" s="30">
        <f t="shared" si="13"/>
        <v>1</v>
      </c>
      <c r="AB52" s="30">
        <f t="shared" si="14"/>
        <v>1</v>
      </c>
      <c r="AC52" s="30">
        <f t="shared" si="15"/>
        <v>1</v>
      </c>
      <c r="AD52" s="30">
        <f t="shared" si="16"/>
        <v>1</v>
      </c>
      <c r="AE52" s="30">
        <f t="shared" si="17"/>
        <v>1</v>
      </c>
      <c r="AG52" s="27" t="s">
        <v>17</v>
      </c>
      <c r="AH52" s="29" t="s">
        <v>56</v>
      </c>
      <c r="AI52" s="20" t="s">
        <v>100</v>
      </c>
      <c r="AJ52" s="30">
        <v>1442.4337791765013</v>
      </c>
      <c r="AK52" s="30">
        <v>1448.5</v>
      </c>
      <c r="AL52" s="30">
        <v>1478.0972856758935</v>
      </c>
      <c r="AM52" s="30">
        <v>1472.95</v>
      </c>
      <c r="AN52" s="30">
        <v>1465.49</v>
      </c>
      <c r="AO52" s="30">
        <v>1440.92</v>
      </c>
      <c r="AP52" s="30">
        <v>1470</v>
      </c>
      <c r="AQ52" s="30">
        <v>1440.92</v>
      </c>
      <c r="AR52" s="30">
        <v>1640.6143481220925</v>
      </c>
      <c r="AS52" s="31">
        <v>3072.6970758832495</v>
      </c>
      <c r="AT52" s="31">
        <v>3990.5421907677178</v>
      </c>
      <c r="AU52" s="31">
        <v>4991.2229402044068</v>
      </c>
      <c r="AW52" t="str">
        <f t="shared" si="6"/>
        <v>Jhonatan Huaynate</v>
      </c>
      <c r="AX52" t="s">
        <v>193</v>
      </c>
    </row>
    <row r="53" spans="1:50" x14ac:dyDescent="0.2">
      <c r="A53" t="s">
        <v>17</v>
      </c>
      <c r="B53" t="s">
        <v>56</v>
      </c>
      <c r="C53" t="s">
        <v>101</v>
      </c>
      <c r="D53" s="15">
        <v>2066.9563137583937</v>
      </c>
      <c r="E53" s="15">
        <v>1696.3963712267253</v>
      </c>
      <c r="F53" s="15">
        <v>1724.1445768022677</v>
      </c>
      <c r="G53" s="15">
        <v>1859.9352173820189</v>
      </c>
      <c r="H53" s="15">
        <v>2563.9294260914053</v>
      </c>
      <c r="I53" s="15">
        <v>1756.6900869185242</v>
      </c>
      <c r="J53" s="15">
        <v>3501.500675303887</v>
      </c>
      <c r="K53" s="15">
        <v>3021.1900956219479</v>
      </c>
      <c r="L53" s="15">
        <v>1794.6556223760354</v>
      </c>
      <c r="M53" s="1">
        <v>1674.6447004577731</v>
      </c>
      <c r="N53" s="1">
        <v>2638.563338175928</v>
      </c>
      <c r="O53" s="1">
        <v>3875.0064193067469</v>
      </c>
      <c r="Q53" s="27" t="str">
        <f t="shared" si="18"/>
        <v>Sueldos</v>
      </c>
      <c r="R53" s="29" t="str">
        <f t="shared" si="19"/>
        <v>Sueldo</v>
      </c>
      <c r="S53" s="20" t="str">
        <f t="shared" si="20"/>
        <v>Jhonatan Mandujano</v>
      </c>
      <c r="T53" s="30">
        <f t="shared" si="5"/>
        <v>1</v>
      </c>
      <c r="U53" s="30">
        <f t="shared" si="7"/>
        <v>1</v>
      </c>
      <c r="V53" s="30">
        <f t="shared" si="8"/>
        <v>1</v>
      </c>
      <c r="W53" s="30">
        <f t="shared" si="9"/>
        <v>1</v>
      </c>
      <c r="X53" s="30">
        <f t="shared" si="10"/>
        <v>1</v>
      </c>
      <c r="Y53" s="30">
        <f t="shared" si="11"/>
        <v>1</v>
      </c>
      <c r="Z53" s="30">
        <f t="shared" si="12"/>
        <v>1</v>
      </c>
      <c r="AA53" s="30">
        <f t="shared" si="13"/>
        <v>1</v>
      </c>
      <c r="AB53" s="30">
        <f t="shared" si="14"/>
        <v>1</v>
      </c>
      <c r="AC53" s="30">
        <f t="shared" si="15"/>
        <v>1</v>
      </c>
      <c r="AD53" s="30">
        <f t="shared" si="16"/>
        <v>1</v>
      </c>
      <c r="AE53" s="30">
        <f t="shared" si="17"/>
        <v>1</v>
      </c>
      <c r="AG53" s="27" t="s">
        <v>17</v>
      </c>
      <c r="AH53" s="29" t="s">
        <v>56</v>
      </c>
      <c r="AI53" s="20" t="s">
        <v>101</v>
      </c>
      <c r="AJ53" s="30">
        <v>2066.9563137583937</v>
      </c>
      <c r="AK53" s="30">
        <v>1696.3963712267253</v>
      </c>
      <c r="AL53" s="30">
        <v>1724.1445768022677</v>
      </c>
      <c r="AM53" s="30">
        <v>1859.9352173820189</v>
      </c>
      <c r="AN53" s="30">
        <v>2563.9294260914053</v>
      </c>
      <c r="AO53" s="30">
        <v>1756.6900869185242</v>
      </c>
      <c r="AP53" s="30">
        <v>3501.500675303887</v>
      </c>
      <c r="AQ53" s="30">
        <v>3021.1900956219479</v>
      </c>
      <c r="AR53" s="30">
        <v>1794.6556223760354</v>
      </c>
      <c r="AS53" s="31">
        <v>1674.6447004577731</v>
      </c>
      <c r="AT53" s="31">
        <v>2638.563338175928</v>
      </c>
      <c r="AU53" s="31">
        <v>3875.0064193067469</v>
      </c>
      <c r="AW53" t="str">
        <f t="shared" si="6"/>
        <v>Jhonatan Mandujano</v>
      </c>
      <c r="AX53" t="s">
        <v>188</v>
      </c>
    </row>
    <row r="54" spans="1:50" x14ac:dyDescent="0.2">
      <c r="A54" t="s">
        <v>17</v>
      </c>
      <c r="B54" t="s">
        <v>56</v>
      </c>
      <c r="C54" t="s">
        <v>102</v>
      </c>
      <c r="D54" s="15">
        <v>1608.1299091559956</v>
      </c>
      <c r="E54" s="15">
        <v>1541.399692677255</v>
      </c>
      <c r="F54" s="15">
        <v>1544.710199468527</v>
      </c>
      <c r="G54" s="15">
        <v>1525.4569039874489</v>
      </c>
      <c r="H54" s="15">
        <v>1556.7342941983329</v>
      </c>
      <c r="I54" s="15">
        <v>1596.18909830711</v>
      </c>
      <c r="J54" s="15">
        <v>1653.6324180130089</v>
      </c>
      <c r="K54" s="15">
        <v>1638.0231604709572</v>
      </c>
      <c r="L54" s="15">
        <v>1635.0798449211572</v>
      </c>
      <c r="M54" s="1">
        <v>1616.3228000178603</v>
      </c>
      <c r="N54" s="1">
        <v>1659.2981308662527</v>
      </c>
      <c r="O54" s="1">
        <v>1879.3443301069574</v>
      </c>
      <c r="Q54" s="27" t="str">
        <f t="shared" si="18"/>
        <v>Sueldos</v>
      </c>
      <c r="R54" s="29" t="str">
        <f t="shared" si="19"/>
        <v>Sueldo</v>
      </c>
      <c r="S54" s="20" t="str">
        <f t="shared" si="20"/>
        <v xml:space="preserve">Joél Pérez </v>
      </c>
      <c r="T54" s="30">
        <f t="shared" si="5"/>
        <v>1</v>
      </c>
      <c r="U54" s="30">
        <f t="shared" si="7"/>
        <v>1</v>
      </c>
      <c r="V54" s="30">
        <f t="shared" si="8"/>
        <v>1</v>
      </c>
      <c r="W54" s="30">
        <f t="shared" si="9"/>
        <v>1</v>
      </c>
      <c r="X54" s="30">
        <f t="shared" si="10"/>
        <v>1</v>
      </c>
      <c r="Y54" s="30">
        <f t="shared" si="11"/>
        <v>1</v>
      </c>
      <c r="Z54" s="30">
        <f t="shared" si="12"/>
        <v>1</v>
      </c>
      <c r="AA54" s="30">
        <f t="shared" si="13"/>
        <v>1</v>
      </c>
      <c r="AB54" s="30">
        <f t="shared" si="14"/>
        <v>1</v>
      </c>
      <c r="AC54" s="30">
        <f t="shared" si="15"/>
        <v>1</v>
      </c>
      <c r="AD54" s="30">
        <f t="shared" si="16"/>
        <v>1</v>
      </c>
      <c r="AE54" s="30">
        <f t="shared" si="17"/>
        <v>1</v>
      </c>
      <c r="AG54" s="27" t="s">
        <v>17</v>
      </c>
      <c r="AH54" s="29" t="s">
        <v>56</v>
      </c>
      <c r="AI54" s="20" t="s">
        <v>102</v>
      </c>
      <c r="AJ54" s="30">
        <v>1608.1299091559956</v>
      </c>
      <c r="AK54" s="30">
        <v>1541.399692677255</v>
      </c>
      <c r="AL54" s="30">
        <v>1544.710199468527</v>
      </c>
      <c r="AM54" s="30">
        <v>1525.4569039874489</v>
      </c>
      <c r="AN54" s="30">
        <v>1556.7342941983329</v>
      </c>
      <c r="AO54" s="30">
        <v>1596.18909830711</v>
      </c>
      <c r="AP54" s="30">
        <v>1653.6324180130089</v>
      </c>
      <c r="AQ54" s="30">
        <v>1638.0231604709572</v>
      </c>
      <c r="AR54" s="30">
        <v>1635.0798449211572</v>
      </c>
      <c r="AS54" s="31">
        <v>1616.3228000178603</v>
      </c>
      <c r="AT54" s="31">
        <v>1659.2981308662527</v>
      </c>
      <c r="AU54" s="31">
        <v>1879.3443301069574</v>
      </c>
      <c r="AW54" t="str">
        <f t="shared" si="6"/>
        <v xml:space="preserve">Joél Pérez </v>
      </c>
      <c r="AX54" t="s">
        <v>193</v>
      </c>
    </row>
    <row r="55" spans="1:50" x14ac:dyDescent="0.2">
      <c r="A55" t="s">
        <v>17</v>
      </c>
      <c r="B55" t="s">
        <v>56</v>
      </c>
      <c r="C55" t="s">
        <v>103</v>
      </c>
      <c r="D55" s="15">
        <v>3413.9610643572992</v>
      </c>
      <c r="E55" s="15">
        <v>2801.9127073635923</v>
      </c>
      <c r="F55" s="15">
        <v>2847.7440066562372</v>
      </c>
      <c r="G55" s="15">
        <v>2907.5556119178118</v>
      </c>
      <c r="H55" s="15">
        <v>4008.0756451840552</v>
      </c>
      <c r="I55" s="15">
        <v>2746.1319403124753</v>
      </c>
      <c r="J55" s="15">
        <v>5475.0737832024406</v>
      </c>
      <c r="K55" s="15">
        <v>4722.851618008779</v>
      </c>
      <c r="L55" s="15">
        <v>2807.1405026665157</v>
      </c>
      <c r="M55" s="1">
        <v>2765.9857956066162</v>
      </c>
      <c r="N55" s="1">
        <v>4358.0759024335039</v>
      </c>
      <c r="O55" s="1">
        <v>6059.1009465523666</v>
      </c>
      <c r="Q55" s="27" t="str">
        <f t="shared" si="18"/>
        <v>Sueldos</v>
      </c>
      <c r="R55" s="29" t="str">
        <f t="shared" si="19"/>
        <v>Sueldo</v>
      </c>
      <c r="S55" s="20" t="str">
        <f t="shared" si="20"/>
        <v>Johnny Pacheco</v>
      </c>
      <c r="T55" s="30">
        <f t="shared" si="5"/>
        <v>1</v>
      </c>
      <c r="U55" s="30">
        <f t="shared" si="7"/>
        <v>1</v>
      </c>
      <c r="V55" s="30">
        <f t="shared" si="8"/>
        <v>1</v>
      </c>
      <c r="W55" s="30">
        <f t="shared" si="9"/>
        <v>1</v>
      </c>
      <c r="X55" s="30">
        <f t="shared" si="10"/>
        <v>1</v>
      </c>
      <c r="Y55" s="30">
        <f t="shared" si="11"/>
        <v>1</v>
      </c>
      <c r="Z55" s="30">
        <f t="shared" si="12"/>
        <v>1</v>
      </c>
      <c r="AA55" s="30">
        <f t="shared" si="13"/>
        <v>1</v>
      </c>
      <c r="AB55" s="30">
        <f t="shared" si="14"/>
        <v>1</v>
      </c>
      <c r="AC55" s="30">
        <f t="shared" si="15"/>
        <v>1</v>
      </c>
      <c r="AD55" s="30">
        <f t="shared" si="16"/>
        <v>1</v>
      </c>
      <c r="AE55" s="30">
        <f t="shared" si="17"/>
        <v>1</v>
      </c>
      <c r="AG55" s="27" t="s">
        <v>17</v>
      </c>
      <c r="AH55" s="29" t="s">
        <v>56</v>
      </c>
      <c r="AI55" s="20" t="s">
        <v>103</v>
      </c>
      <c r="AJ55" s="30">
        <v>3413.9610643572992</v>
      </c>
      <c r="AK55" s="30">
        <v>2801.9127073635923</v>
      </c>
      <c r="AL55" s="30">
        <v>2847.7440066562372</v>
      </c>
      <c r="AM55" s="30">
        <v>2907.5556119178118</v>
      </c>
      <c r="AN55" s="30">
        <v>4008.0756451840552</v>
      </c>
      <c r="AO55" s="30">
        <v>2746.1319403124753</v>
      </c>
      <c r="AP55" s="30">
        <v>5475.0737832024406</v>
      </c>
      <c r="AQ55" s="30">
        <v>4722.851618008779</v>
      </c>
      <c r="AR55" s="30">
        <v>2807.1405026665157</v>
      </c>
      <c r="AS55" s="31">
        <v>2765.9857956066162</v>
      </c>
      <c r="AT55" s="31">
        <v>4358.0759024335039</v>
      </c>
      <c r="AU55" s="31">
        <v>6059.1009465523666</v>
      </c>
      <c r="AW55" t="str">
        <f t="shared" si="6"/>
        <v>Johnny Pacheco</v>
      </c>
      <c r="AX55" t="s">
        <v>188</v>
      </c>
    </row>
    <row r="56" spans="1:50" x14ac:dyDescent="0.2">
      <c r="A56" t="s">
        <v>17</v>
      </c>
      <c r="B56" t="s">
        <v>56</v>
      </c>
      <c r="C56" t="s">
        <v>104</v>
      </c>
      <c r="D56" s="15">
        <v>1899.7832109736016</v>
      </c>
      <c r="E56" s="15">
        <v>1820.9965037964323</v>
      </c>
      <c r="F56" s="15">
        <v>1824.8456983737485</v>
      </c>
      <c r="G56" s="15">
        <v>1802.0480604331906</v>
      </c>
      <c r="H56" s="15">
        <v>1838.960453005192</v>
      </c>
      <c r="I56" s="15">
        <v>1885.521690348012</v>
      </c>
      <c r="J56" s="15">
        <v>1942.8791358671353</v>
      </c>
      <c r="K56" s="15">
        <v>1944.6447161310509</v>
      </c>
      <c r="L56" s="15">
        <v>1941.9935586827946</v>
      </c>
      <c r="M56" s="1">
        <v>1909.3519810033663</v>
      </c>
      <c r="N56" s="1">
        <v>1960.1184696581988</v>
      </c>
      <c r="O56" s="1">
        <v>2220.0576639997362</v>
      </c>
      <c r="Q56" s="27" t="str">
        <f t="shared" si="18"/>
        <v>Sueldos</v>
      </c>
      <c r="R56" s="29" t="str">
        <f t="shared" si="19"/>
        <v>Sueldo</v>
      </c>
      <c r="S56" s="20" t="str">
        <f t="shared" si="20"/>
        <v>Jonathan Galvez</v>
      </c>
      <c r="T56" s="30">
        <f t="shared" si="5"/>
        <v>1</v>
      </c>
      <c r="U56" s="30">
        <f t="shared" si="7"/>
        <v>1</v>
      </c>
      <c r="V56" s="30">
        <f t="shared" si="8"/>
        <v>1</v>
      </c>
      <c r="W56" s="30">
        <f t="shared" si="9"/>
        <v>1</v>
      </c>
      <c r="X56" s="30">
        <f t="shared" si="10"/>
        <v>1</v>
      </c>
      <c r="Y56" s="30">
        <f t="shared" si="11"/>
        <v>1</v>
      </c>
      <c r="Z56" s="30">
        <f t="shared" si="12"/>
        <v>1</v>
      </c>
      <c r="AA56" s="30">
        <f t="shared" si="13"/>
        <v>1</v>
      </c>
      <c r="AB56" s="30">
        <f t="shared" si="14"/>
        <v>1</v>
      </c>
      <c r="AC56" s="30">
        <f t="shared" si="15"/>
        <v>1</v>
      </c>
      <c r="AD56" s="30">
        <f t="shared" si="16"/>
        <v>1</v>
      </c>
      <c r="AE56" s="30">
        <f t="shared" si="17"/>
        <v>1</v>
      </c>
      <c r="AG56" s="27" t="s">
        <v>17</v>
      </c>
      <c r="AH56" s="29" t="s">
        <v>56</v>
      </c>
      <c r="AI56" s="20" t="s">
        <v>104</v>
      </c>
      <c r="AJ56" s="30">
        <v>1899.7832109736016</v>
      </c>
      <c r="AK56" s="30">
        <v>1820.9965037964323</v>
      </c>
      <c r="AL56" s="30">
        <v>1824.8456983737485</v>
      </c>
      <c r="AM56" s="30">
        <v>1802.0480604331906</v>
      </c>
      <c r="AN56" s="30">
        <v>1838.960453005192</v>
      </c>
      <c r="AO56" s="30">
        <v>1885.521690348012</v>
      </c>
      <c r="AP56" s="30">
        <v>1942.8791358671353</v>
      </c>
      <c r="AQ56" s="30">
        <v>1944.6447161310509</v>
      </c>
      <c r="AR56" s="30">
        <v>1941.9935586827946</v>
      </c>
      <c r="AS56" s="31">
        <v>1909.3519810033663</v>
      </c>
      <c r="AT56" s="31">
        <v>1960.1184696581988</v>
      </c>
      <c r="AU56" s="31">
        <v>2220.0576639997362</v>
      </c>
      <c r="AW56" t="str">
        <f t="shared" si="6"/>
        <v>Jonathan Galvez</v>
      </c>
      <c r="AX56" t="s">
        <v>193</v>
      </c>
    </row>
    <row r="57" spans="1:50" x14ac:dyDescent="0.2">
      <c r="A57" t="s">
        <v>17</v>
      </c>
      <c r="B57" t="s">
        <v>56</v>
      </c>
      <c r="C57" t="s">
        <v>105</v>
      </c>
      <c r="D57" s="15">
        <v>6027.8688000577549</v>
      </c>
      <c r="E57" s="15">
        <v>4765.1720407872153</v>
      </c>
      <c r="F57" s="15">
        <v>4843.1166624766502</v>
      </c>
      <c r="G57" s="15">
        <v>4943.5176742754747</v>
      </c>
      <c r="H57" s="15">
        <v>6814.661236073498</v>
      </c>
      <c r="I57" s="15">
        <v>4669.0712344488766</v>
      </c>
      <c r="J57" s="15">
        <v>9309.3617127707475</v>
      </c>
      <c r="K57" s="15">
        <v>8030.1640457359272</v>
      </c>
      <c r="L57" s="15">
        <v>4772.2884091682736</v>
      </c>
      <c r="M57" s="1">
        <v>4704.0716664014462</v>
      </c>
      <c r="N57" s="1">
        <v>7411.7160707140547</v>
      </c>
      <c r="O57" s="1">
        <v>10302.393099925457</v>
      </c>
      <c r="Q57" s="27" t="str">
        <f t="shared" si="18"/>
        <v>Sueldos</v>
      </c>
      <c r="R57" s="29" t="str">
        <f t="shared" si="19"/>
        <v>Sueldo</v>
      </c>
      <c r="S57" s="20" t="str">
        <f t="shared" si="20"/>
        <v>Jorman Barrera</v>
      </c>
      <c r="T57" s="30">
        <f t="shared" si="5"/>
        <v>1</v>
      </c>
      <c r="U57" s="30">
        <f t="shared" si="7"/>
        <v>1</v>
      </c>
      <c r="V57" s="30">
        <f t="shared" si="8"/>
        <v>1</v>
      </c>
      <c r="W57" s="30">
        <f t="shared" si="9"/>
        <v>1</v>
      </c>
      <c r="X57" s="30">
        <f t="shared" si="10"/>
        <v>1</v>
      </c>
      <c r="Y57" s="30">
        <f t="shared" si="11"/>
        <v>1</v>
      </c>
      <c r="Z57" s="30">
        <f t="shared" si="12"/>
        <v>1</v>
      </c>
      <c r="AA57" s="30">
        <f t="shared" si="13"/>
        <v>1</v>
      </c>
      <c r="AB57" s="30">
        <f t="shared" si="14"/>
        <v>1</v>
      </c>
      <c r="AC57" s="30">
        <f t="shared" si="15"/>
        <v>1</v>
      </c>
      <c r="AD57" s="30">
        <f t="shared" si="16"/>
        <v>1</v>
      </c>
      <c r="AE57" s="30">
        <f t="shared" si="17"/>
        <v>1</v>
      </c>
      <c r="AG57" s="27" t="s">
        <v>17</v>
      </c>
      <c r="AH57" s="29" t="s">
        <v>56</v>
      </c>
      <c r="AI57" s="20" t="s">
        <v>105</v>
      </c>
      <c r="AJ57" s="30">
        <v>6027.8688000577549</v>
      </c>
      <c r="AK57" s="30">
        <v>4765.1720407872153</v>
      </c>
      <c r="AL57" s="30">
        <v>4843.1166624766502</v>
      </c>
      <c r="AM57" s="30">
        <v>4943.5176742754747</v>
      </c>
      <c r="AN57" s="30">
        <v>6814.661236073498</v>
      </c>
      <c r="AO57" s="30">
        <v>4669.0712344488766</v>
      </c>
      <c r="AP57" s="30">
        <v>9309.3617127707475</v>
      </c>
      <c r="AQ57" s="30">
        <v>8030.1640457359272</v>
      </c>
      <c r="AR57" s="30">
        <v>4772.2884091682736</v>
      </c>
      <c r="AS57" s="31">
        <v>4704.0716664014462</v>
      </c>
      <c r="AT57" s="31">
        <v>7411.7160707140547</v>
      </c>
      <c r="AU57" s="31">
        <v>10302.393099925457</v>
      </c>
      <c r="AW57" t="str">
        <f t="shared" si="6"/>
        <v>Jorman Barrera</v>
      </c>
      <c r="AX57" t="s">
        <v>181</v>
      </c>
    </row>
    <row r="58" spans="1:50" x14ac:dyDescent="0.2">
      <c r="A58" t="s">
        <v>17</v>
      </c>
      <c r="B58" t="s">
        <v>56</v>
      </c>
      <c r="C58" t="s">
        <v>106</v>
      </c>
      <c r="D58" s="15">
        <v>655.65171780750063</v>
      </c>
      <c r="E58" s="15">
        <v>658.4</v>
      </c>
      <c r="F58" s="15">
        <v>1084.1171728030099</v>
      </c>
      <c r="G58" s="15">
        <v>1080.3399999999999</v>
      </c>
      <c r="H58" s="15">
        <v>1074.8699999999999</v>
      </c>
      <c r="I58" s="15">
        <v>1056.8499999999999</v>
      </c>
      <c r="J58" s="15">
        <v>1078</v>
      </c>
      <c r="K58" s="15">
        <v>2062.35</v>
      </c>
      <c r="L58" s="15">
        <v>0</v>
      </c>
      <c r="M58" s="1">
        <v>0</v>
      </c>
      <c r="N58" s="1">
        <v>0</v>
      </c>
      <c r="O58" s="1">
        <v>0</v>
      </c>
      <c r="Q58" s="27" t="str">
        <f t="shared" si="18"/>
        <v>Sueldos</v>
      </c>
      <c r="R58" s="29" t="str">
        <f t="shared" si="19"/>
        <v>Sueldo</v>
      </c>
      <c r="S58" s="20" t="str">
        <f t="shared" si="20"/>
        <v>Jose Mamani</v>
      </c>
      <c r="T58" s="30">
        <f t="shared" si="5"/>
        <v>1</v>
      </c>
      <c r="U58" s="30">
        <f t="shared" si="7"/>
        <v>1</v>
      </c>
      <c r="V58" s="30">
        <f t="shared" si="8"/>
        <v>1</v>
      </c>
      <c r="W58" s="30">
        <f t="shared" si="9"/>
        <v>1</v>
      </c>
      <c r="X58" s="30">
        <f t="shared" si="10"/>
        <v>1</v>
      </c>
      <c r="Y58" s="30">
        <f t="shared" si="11"/>
        <v>1</v>
      </c>
      <c r="Z58" s="30">
        <f t="shared" si="12"/>
        <v>1</v>
      </c>
      <c r="AA58" s="30">
        <f t="shared" si="13"/>
        <v>1</v>
      </c>
      <c r="AB58" s="30">
        <f t="shared" si="14"/>
        <v>0</v>
      </c>
      <c r="AC58" s="30">
        <f t="shared" si="15"/>
        <v>0</v>
      </c>
      <c r="AD58" s="30">
        <f t="shared" si="16"/>
        <v>0</v>
      </c>
      <c r="AE58" s="30">
        <f t="shared" si="17"/>
        <v>0</v>
      </c>
      <c r="AG58" s="27" t="s">
        <v>17</v>
      </c>
      <c r="AH58" s="29" t="s">
        <v>56</v>
      </c>
      <c r="AI58" s="20" t="s">
        <v>106</v>
      </c>
      <c r="AJ58" s="30">
        <v>655.65171780750063</v>
      </c>
      <c r="AK58" s="30">
        <v>658.4</v>
      </c>
      <c r="AL58" s="30">
        <v>1084.1171728030099</v>
      </c>
      <c r="AM58" s="30">
        <v>1080.3399999999999</v>
      </c>
      <c r="AN58" s="30">
        <v>1074.8699999999999</v>
      </c>
      <c r="AO58" s="30">
        <v>1056.8499999999999</v>
      </c>
      <c r="AP58" s="30">
        <v>1078</v>
      </c>
      <c r="AQ58" s="30">
        <v>2062.35</v>
      </c>
      <c r="AR58" s="30">
        <v>0</v>
      </c>
      <c r="AS58" s="31">
        <v>0</v>
      </c>
      <c r="AT58" s="31">
        <v>0</v>
      </c>
      <c r="AU58" s="31">
        <v>0</v>
      </c>
      <c r="AW58" t="str">
        <f t="shared" si="6"/>
        <v xml:space="preserve"> </v>
      </c>
    </row>
    <row r="59" spans="1:50" x14ac:dyDescent="0.2">
      <c r="A59" t="s">
        <v>17</v>
      </c>
      <c r="B59" t="s">
        <v>56</v>
      </c>
      <c r="C59" t="s">
        <v>107</v>
      </c>
      <c r="D59" s="15">
        <v>1608.1299091559956</v>
      </c>
      <c r="E59" s="15">
        <v>1541.399692677255</v>
      </c>
      <c r="F59" s="15">
        <v>1822.9680412912187</v>
      </c>
      <c r="G59" s="15">
        <v>1800.1941599247041</v>
      </c>
      <c r="H59" s="15">
        <v>1837.0687829097205</v>
      </c>
      <c r="I59" s="15">
        <v>2463.6785136576996</v>
      </c>
      <c r="J59" s="15">
        <v>2485.6877875056548</v>
      </c>
      <c r="K59" s="15">
        <v>2517.8078935627059</v>
      </c>
      <c r="L59" s="15">
        <v>2523.7331180216765</v>
      </c>
      <c r="M59" s="1">
        <v>2493.6032140568977</v>
      </c>
      <c r="N59" s="1">
        <v>2559.9039697769344</v>
      </c>
      <c r="O59" s="1">
        <v>2899.3831317745021</v>
      </c>
      <c r="Q59" s="27" t="str">
        <f t="shared" si="18"/>
        <v>Sueldos</v>
      </c>
      <c r="R59" s="29" t="str">
        <f t="shared" si="19"/>
        <v>Sueldo</v>
      </c>
      <c r="S59" s="20" t="str">
        <f t="shared" si="20"/>
        <v>José Pizarro Aranguiz</v>
      </c>
      <c r="T59" s="30">
        <f t="shared" si="5"/>
        <v>1</v>
      </c>
      <c r="U59" s="30">
        <f t="shared" si="7"/>
        <v>1</v>
      </c>
      <c r="V59" s="30">
        <f t="shared" si="8"/>
        <v>1</v>
      </c>
      <c r="W59" s="30">
        <f t="shared" si="9"/>
        <v>1</v>
      </c>
      <c r="X59" s="30">
        <f t="shared" si="10"/>
        <v>1</v>
      </c>
      <c r="Y59" s="30">
        <f t="shared" si="11"/>
        <v>1</v>
      </c>
      <c r="Z59" s="30">
        <f t="shared" si="12"/>
        <v>1</v>
      </c>
      <c r="AA59" s="30">
        <f t="shared" si="13"/>
        <v>1</v>
      </c>
      <c r="AB59" s="30">
        <f t="shared" si="14"/>
        <v>1</v>
      </c>
      <c r="AC59" s="30">
        <f t="shared" si="15"/>
        <v>1</v>
      </c>
      <c r="AD59" s="30">
        <f t="shared" si="16"/>
        <v>1</v>
      </c>
      <c r="AE59" s="30">
        <f t="shared" si="17"/>
        <v>1</v>
      </c>
      <c r="AG59" s="27" t="s">
        <v>17</v>
      </c>
      <c r="AH59" s="29" t="s">
        <v>56</v>
      </c>
      <c r="AI59" s="20" t="s">
        <v>107</v>
      </c>
      <c r="AJ59" s="30">
        <v>1608.1299091559956</v>
      </c>
      <c r="AK59" s="30">
        <v>1541.399692677255</v>
      </c>
      <c r="AL59" s="30">
        <v>1822.9680412912187</v>
      </c>
      <c r="AM59" s="30">
        <v>1800.1941599247041</v>
      </c>
      <c r="AN59" s="30">
        <v>1837.0687829097205</v>
      </c>
      <c r="AO59" s="30">
        <v>2463.6785136576996</v>
      </c>
      <c r="AP59" s="30">
        <v>2485.6877875056548</v>
      </c>
      <c r="AQ59" s="30">
        <v>2517.8078935627059</v>
      </c>
      <c r="AR59" s="30">
        <v>2523.7331180216765</v>
      </c>
      <c r="AS59" s="31">
        <v>2493.6032140568977</v>
      </c>
      <c r="AT59" s="31">
        <v>2559.9039697769344</v>
      </c>
      <c r="AU59" s="31">
        <v>2899.3831317745021</v>
      </c>
      <c r="AW59" t="str">
        <f t="shared" si="6"/>
        <v>José Pizarro Aranguiz</v>
      </c>
      <c r="AX59" t="s">
        <v>193</v>
      </c>
    </row>
    <row r="60" spans="1:50" x14ac:dyDescent="0.2">
      <c r="A60" t="s">
        <v>17</v>
      </c>
      <c r="B60" t="s">
        <v>56</v>
      </c>
      <c r="C60" t="s">
        <v>108</v>
      </c>
      <c r="D60" s="15">
        <v>813.01</v>
      </c>
      <c r="E60" s="15">
        <v>816.4</v>
      </c>
      <c r="F60" s="15">
        <v>833.10937919913999</v>
      </c>
      <c r="G60" s="15">
        <v>207.55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">
        <v>0</v>
      </c>
      <c r="N60" s="1">
        <v>0</v>
      </c>
      <c r="O60" s="1">
        <v>0</v>
      </c>
      <c r="Q60" s="27" t="str">
        <f t="shared" si="18"/>
        <v>Sueldos</v>
      </c>
      <c r="R60" s="29" t="str">
        <f t="shared" si="19"/>
        <v>Sueldo</v>
      </c>
      <c r="S60" s="20" t="str">
        <f t="shared" si="20"/>
        <v>Josue Tello Olivas</v>
      </c>
      <c r="T60" s="30">
        <f t="shared" si="5"/>
        <v>1</v>
      </c>
      <c r="U60" s="30">
        <f t="shared" si="7"/>
        <v>1</v>
      </c>
      <c r="V60" s="30">
        <f t="shared" si="8"/>
        <v>1</v>
      </c>
      <c r="W60" s="30">
        <f t="shared" si="9"/>
        <v>1</v>
      </c>
      <c r="X60" s="30">
        <f t="shared" si="10"/>
        <v>0</v>
      </c>
      <c r="Y60" s="30">
        <f t="shared" si="11"/>
        <v>0</v>
      </c>
      <c r="Z60" s="30">
        <f t="shared" si="12"/>
        <v>0</v>
      </c>
      <c r="AA60" s="30">
        <f t="shared" si="13"/>
        <v>0</v>
      </c>
      <c r="AB60" s="30">
        <f t="shared" si="14"/>
        <v>0</v>
      </c>
      <c r="AC60" s="30">
        <f t="shared" si="15"/>
        <v>0</v>
      </c>
      <c r="AD60" s="30">
        <f t="shared" si="16"/>
        <v>0</v>
      </c>
      <c r="AE60" s="30">
        <f t="shared" si="17"/>
        <v>0</v>
      </c>
      <c r="AG60" s="27" t="s">
        <v>17</v>
      </c>
      <c r="AH60" s="29" t="s">
        <v>56</v>
      </c>
      <c r="AI60" s="20" t="s">
        <v>108</v>
      </c>
      <c r="AJ60" s="30">
        <v>813.01</v>
      </c>
      <c r="AK60" s="30">
        <v>816.4</v>
      </c>
      <c r="AL60" s="30">
        <v>833.10937919913999</v>
      </c>
      <c r="AM60" s="30">
        <v>207.55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1">
        <v>0</v>
      </c>
      <c r="AT60" s="31">
        <v>0</v>
      </c>
      <c r="AU60" s="31">
        <v>0</v>
      </c>
      <c r="AW60" t="str">
        <f t="shared" si="6"/>
        <v xml:space="preserve"> </v>
      </c>
    </row>
    <row r="61" spans="1:50" x14ac:dyDescent="0.2">
      <c r="A61" t="s">
        <v>17</v>
      </c>
      <c r="B61" t="s">
        <v>56</v>
      </c>
      <c r="C61" t="s">
        <v>109</v>
      </c>
      <c r="D61" s="15">
        <v>1954.0566829417126</v>
      </c>
      <c r="E61" s="15">
        <v>1308.9423572342519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">
        <v>0</v>
      </c>
      <c r="N61" s="1">
        <v>0</v>
      </c>
      <c r="O61" s="1">
        <v>0</v>
      </c>
      <c r="Q61" s="27" t="str">
        <f t="shared" si="18"/>
        <v>Sueldos</v>
      </c>
      <c r="R61" s="29" t="str">
        <f t="shared" si="19"/>
        <v>Sueldo</v>
      </c>
      <c r="S61" s="20" t="str">
        <f t="shared" si="20"/>
        <v>Juan Pablo Vera</v>
      </c>
      <c r="T61" s="30">
        <f t="shared" si="5"/>
        <v>1</v>
      </c>
      <c r="U61" s="30">
        <f t="shared" si="7"/>
        <v>1</v>
      </c>
      <c r="V61" s="30">
        <f t="shared" si="8"/>
        <v>0</v>
      </c>
      <c r="W61" s="30">
        <f t="shared" si="9"/>
        <v>0</v>
      </c>
      <c r="X61" s="30">
        <f t="shared" si="10"/>
        <v>0</v>
      </c>
      <c r="Y61" s="30">
        <f t="shared" si="11"/>
        <v>0</v>
      </c>
      <c r="Z61" s="30">
        <f t="shared" si="12"/>
        <v>0</v>
      </c>
      <c r="AA61" s="30">
        <f t="shared" si="13"/>
        <v>0</v>
      </c>
      <c r="AB61" s="30">
        <f t="shared" si="14"/>
        <v>0</v>
      </c>
      <c r="AC61" s="30">
        <f t="shared" si="15"/>
        <v>0</v>
      </c>
      <c r="AD61" s="30">
        <f t="shared" si="16"/>
        <v>0</v>
      </c>
      <c r="AE61" s="30">
        <f t="shared" si="17"/>
        <v>0</v>
      </c>
      <c r="AG61" s="27" t="s">
        <v>17</v>
      </c>
      <c r="AH61" s="29" t="s">
        <v>56</v>
      </c>
      <c r="AI61" s="20" t="s">
        <v>109</v>
      </c>
      <c r="AJ61" s="30">
        <v>1954.0566829417126</v>
      </c>
      <c r="AK61" s="30">
        <v>1308.9423572342519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1">
        <v>0</v>
      </c>
      <c r="AT61" s="31">
        <v>0</v>
      </c>
      <c r="AU61" s="31">
        <v>0</v>
      </c>
      <c r="AW61" t="str">
        <f t="shared" si="6"/>
        <v xml:space="preserve"> </v>
      </c>
    </row>
    <row r="62" spans="1:50" x14ac:dyDescent="0.2">
      <c r="A62" t="s">
        <v>17</v>
      </c>
      <c r="B62" t="s">
        <v>56</v>
      </c>
      <c r="C62" t="s">
        <v>110</v>
      </c>
      <c r="D62" s="15">
        <v>3224.2442599580868</v>
      </c>
      <c r="E62" s="15">
        <v>3090.157012017306</v>
      </c>
      <c r="F62" s="15">
        <v>3097.208679322694</v>
      </c>
      <c r="G62" s="15">
        <v>3058.9593762010477</v>
      </c>
      <c r="H62" s="15">
        <v>3121.9210620196714</v>
      </c>
      <c r="I62" s="15">
        <v>3148.903936509942</v>
      </c>
      <c r="J62" s="15">
        <v>0</v>
      </c>
      <c r="K62" s="15">
        <v>0</v>
      </c>
      <c r="L62" s="15">
        <v>0</v>
      </c>
      <c r="M62" s="1">
        <v>0</v>
      </c>
      <c r="N62" s="1">
        <v>0</v>
      </c>
      <c r="O62" s="1">
        <v>0</v>
      </c>
      <c r="Q62" s="27" t="str">
        <f t="shared" si="18"/>
        <v>Sueldos</v>
      </c>
      <c r="R62" s="29" t="str">
        <f t="shared" si="19"/>
        <v>Sueldo</v>
      </c>
      <c r="S62" s="20" t="str">
        <f t="shared" si="20"/>
        <v>Julio Herrera</v>
      </c>
      <c r="T62" s="30">
        <f t="shared" si="5"/>
        <v>1</v>
      </c>
      <c r="U62" s="30">
        <f t="shared" si="7"/>
        <v>1</v>
      </c>
      <c r="V62" s="30">
        <f t="shared" si="8"/>
        <v>1</v>
      </c>
      <c r="W62" s="30">
        <f t="shared" si="9"/>
        <v>1</v>
      </c>
      <c r="X62" s="30">
        <f t="shared" si="10"/>
        <v>1</v>
      </c>
      <c r="Y62" s="30">
        <f t="shared" si="11"/>
        <v>1</v>
      </c>
      <c r="Z62" s="30">
        <f t="shared" si="12"/>
        <v>0</v>
      </c>
      <c r="AA62" s="30">
        <f t="shared" si="13"/>
        <v>0</v>
      </c>
      <c r="AB62" s="30">
        <f t="shared" si="14"/>
        <v>0</v>
      </c>
      <c r="AC62" s="30">
        <f t="shared" si="15"/>
        <v>0</v>
      </c>
      <c r="AD62" s="30">
        <f t="shared" si="16"/>
        <v>0</v>
      </c>
      <c r="AE62" s="30">
        <f t="shared" si="17"/>
        <v>0</v>
      </c>
      <c r="AG62" s="27" t="s">
        <v>17</v>
      </c>
      <c r="AH62" s="29" t="s">
        <v>56</v>
      </c>
      <c r="AI62" s="20" t="s">
        <v>110</v>
      </c>
      <c r="AJ62" s="30">
        <v>3224.2442599580868</v>
      </c>
      <c r="AK62" s="30">
        <v>3090.157012017306</v>
      </c>
      <c r="AL62" s="30">
        <v>3097.208679322694</v>
      </c>
      <c r="AM62" s="30">
        <v>3058.9593762010477</v>
      </c>
      <c r="AN62" s="30">
        <v>3121.9210620196714</v>
      </c>
      <c r="AO62" s="30">
        <v>3148.903936509942</v>
      </c>
      <c r="AP62" s="30">
        <v>0</v>
      </c>
      <c r="AQ62" s="30">
        <v>0</v>
      </c>
      <c r="AR62" s="30">
        <v>0</v>
      </c>
      <c r="AS62" s="31">
        <v>0</v>
      </c>
      <c r="AT62" s="31">
        <v>0</v>
      </c>
      <c r="AU62" s="31">
        <v>0</v>
      </c>
      <c r="AW62" t="str">
        <f t="shared" si="6"/>
        <v xml:space="preserve"> </v>
      </c>
    </row>
    <row r="63" spans="1:50" x14ac:dyDescent="0.2">
      <c r="A63" t="s">
        <v>17</v>
      </c>
      <c r="B63" t="s">
        <v>56</v>
      </c>
      <c r="C63" t="s">
        <v>111</v>
      </c>
      <c r="D63" s="15">
        <v>3790.2845878210364</v>
      </c>
      <c r="E63" s="15">
        <v>4848.6060413352752</v>
      </c>
      <c r="F63" s="15">
        <v>3161.6529934036794</v>
      </c>
      <c r="G63" s="15">
        <v>3228.0532699039536</v>
      </c>
      <c r="H63" s="15">
        <v>5143.8773032647332</v>
      </c>
      <c r="I63" s="15">
        <v>3524.3499567888243</v>
      </c>
      <c r="J63" s="15">
        <v>7026.1517682957328</v>
      </c>
      <c r="K63" s="15">
        <v>6061.2462393031547</v>
      </c>
      <c r="L63" s="15">
        <v>3601.2756155679108</v>
      </c>
      <c r="M63" s="1">
        <v>3070.8825125963544</v>
      </c>
      <c r="N63" s="1">
        <v>4838.469922227323</v>
      </c>
      <c r="O63" s="1">
        <v>7775.6327157659343</v>
      </c>
      <c r="Q63" s="27" t="str">
        <f t="shared" si="18"/>
        <v>Sueldos</v>
      </c>
      <c r="R63" s="29" t="str">
        <f t="shared" si="19"/>
        <v>Sueldo</v>
      </c>
      <c r="S63" s="20" t="str">
        <f t="shared" si="20"/>
        <v>Kevin Rios</v>
      </c>
      <c r="T63" s="30">
        <f t="shared" si="5"/>
        <v>1</v>
      </c>
      <c r="U63" s="30">
        <f t="shared" si="7"/>
        <v>1</v>
      </c>
      <c r="V63" s="30">
        <f t="shared" si="8"/>
        <v>1</v>
      </c>
      <c r="W63" s="30">
        <f t="shared" si="9"/>
        <v>1</v>
      </c>
      <c r="X63" s="30">
        <f t="shared" si="10"/>
        <v>1</v>
      </c>
      <c r="Y63" s="30">
        <f t="shared" si="11"/>
        <v>1</v>
      </c>
      <c r="Z63" s="30">
        <f t="shared" si="12"/>
        <v>1</v>
      </c>
      <c r="AA63" s="30">
        <f t="shared" si="13"/>
        <v>1</v>
      </c>
      <c r="AB63" s="30">
        <f t="shared" si="14"/>
        <v>1</v>
      </c>
      <c r="AC63" s="30">
        <f t="shared" si="15"/>
        <v>1</v>
      </c>
      <c r="AD63" s="30">
        <f t="shared" si="16"/>
        <v>1</v>
      </c>
      <c r="AE63" s="30">
        <f t="shared" si="17"/>
        <v>1</v>
      </c>
      <c r="AG63" s="27" t="s">
        <v>17</v>
      </c>
      <c r="AH63" s="29" t="s">
        <v>56</v>
      </c>
      <c r="AI63" s="20" t="s">
        <v>111</v>
      </c>
      <c r="AJ63" s="30">
        <v>3790.2845878210364</v>
      </c>
      <c r="AK63" s="30">
        <v>4848.6060413352752</v>
      </c>
      <c r="AL63" s="30">
        <v>3161.6529934036794</v>
      </c>
      <c r="AM63" s="30">
        <v>3228.0532699039536</v>
      </c>
      <c r="AN63" s="30">
        <v>5143.8773032647332</v>
      </c>
      <c r="AO63" s="30">
        <v>3524.3499567888243</v>
      </c>
      <c r="AP63" s="30">
        <v>7026.1517682957328</v>
      </c>
      <c r="AQ63" s="30">
        <v>6061.2462393031547</v>
      </c>
      <c r="AR63" s="30">
        <v>3601.2756155679108</v>
      </c>
      <c r="AS63" s="31">
        <v>3070.8825125963544</v>
      </c>
      <c r="AT63" s="31">
        <v>4838.469922227323</v>
      </c>
      <c r="AU63" s="31">
        <v>7775.6327157659343</v>
      </c>
      <c r="AW63" t="str">
        <f t="shared" si="6"/>
        <v>Kevin Rios</v>
      </c>
      <c r="AX63" t="s">
        <v>181</v>
      </c>
    </row>
    <row r="64" spans="1:50" x14ac:dyDescent="0.2">
      <c r="A64" t="s">
        <v>17</v>
      </c>
      <c r="B64" t="s">
        <v>56</v>
      </c>
      <c r="C64" t="s">
        <v>112</v>
      </c>
      <c r="D64" s="15">
        <v>655.65171780750063</v>
      </c>
      <c r="E64" s="15">
        <v>658.4</v>
      </c>
      <c r="F64" s="15">
        <v>671.86240257995166</v>
      </c>
      <c r="G64" s="15">
        <v>167.38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">
        <v>0</v>
      </c>
      <c r="N64" s="1">
        <v>0</v>
      </c>
      <c r="O64" s="1">
        <v>0</v>
      </c>
      <c r="Q64" s="27" t="str">
        <f t="shared" si="18"/>
        <v>Sueldos</v>
      </c>
      <c r="R64" s="29" t="str">
        <f t="shared" si="19"/>
        <v>Sueldo</v>
      </c>
      <c r="S64" s="20" t="str">
        <f t="shared" si="20"/>
        <v>Lincoln Esteban Perez</v>
      </c>
      <c r="T64" s="30">
        <f t="shared" si="5"/>
        <v>1</v>
      </c>
      <c r="U64" s="30">
        <f t="shared" si="7"/>
        <v>1</v>
      </c>
      <c r="V64" s="30">
        <f t="shared" si="8"/>
        <v>1</v>
      </c>
      <c r="W64" s="30">
        <f t="shared" si="9"/>
        <v>1</v>
      </c>
      <c r="X64" s="30">
        <f t="shared" si="10"/>
        <v>0</v>
      </c>
      <c r="Y64" s="30">
        <f t="shared" si="11"/>
        <v>0</v>
      </c>
      <c r="Z64" s="30">
        <f t="shared" si="12"/>
        <v>0</v>
      </c>
      <c r="AA64" s="30">
        <f t="shared" si="13"/>
        <v>0</v>
      </c>
      <c r="AB64" s="30">
        <f t="shared" si="14"/>
        <v>0</v>
      </c>
      <c r="AC64" s="30">
        <f t="shared" si="15"/>
        <v>0</v>
      </c>
      <c r="AD64" s="30">
        <f t="shared" si="16"/>
        <v>0</v>
      </c>
      <c r="AE64" s="30">
        <f t="shared" si="17"/>
        <v>0</v>
      </c>
      <c r="AG64" s="27" t="s">
        <v>17</v>
      </c>
      <c r="AH64" s="29" t="s">
        <v>56</v>
      </c>
      <c r="AI64" s="20" t="s">
        <v>112</v>
      </c>
      <c r="AJ64" s="30">
        <v>655.65171780750063</v>
      </c>
      <c r="AK64" s="30">
        <v>658.4</v>
      </c>
      <c r="AL64" s="30">
        <v>671.86240257995166</v>
      </c>
      <c r="AM64" s="30">
        <v>167.38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1">
        <v>0</v>
      </c>
      <c r="AT64" s="31">
        <v>0</v>
      </c>
      <c r="AU64" s="31">
        <v>0</v>
      </c>
      <c r="AW64" t="str">
        <f t="shared" si="6"/>
        <v xml:space="preserve"> </v>
      </c>
    </row>
    <row r="65" spans="1:50" x14ac:dyDescent="0.2">
      <c r="A65" t="s">
        <v>17</v>
      </c>
      <c r="B65" t="s">
        <v>56</v>
      </c>
      <c r="C65" t="s">
        <v>113</v>
      </c>
      <c r="D65" s="15">
        <v>1294.2705659697251</v>
      </c>
      <c r="E65" s="15">
        <v>1062.2362344486614</v>
      </c>
      <c r="F65" s="15">
        <v>1079.611389160857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">
        <v>0</v>
      </c>
      <c r="N65" s="1">
        <v>0</v>
      </c>
      <c r="O65" s="1">
        <v>0</v>
      </c>
      <c r="Q65" s="27" t="str">
        <f t="shared" si="18"/>
        <v>Sueldos</v>
      </c>
      <c r="R65" s="29" t="str">
        <f t="shared" si="19"/>
        <v>Sueldo</v>
      </c>
      <c r="S65" s="20" t="str">
        <f t="shared" si="20"/>
        <v>Luis Camasca</v>
      </c>
      <c r="T65" s="30">
        <f t="shared" si="5"/>
        <v>1</v>
      </c>
      <c r="U65" s="30">
        <f t="shared" si="7"/>
        <v>1</v>
      </c>
      <c r="V65" s="30">
        <f t="shared" si="8"/>
        <v>1</v>
      </c>
      <c r="W65" s="30">
        <f t="shared" si="9"/>
        <v>0</v>
      </c>
      <c r="X65" s="30">
        <f t="shared" si="10"/>
        <v>0</v>
      </c>
      <c r="Y65" s="30">
        <f t="shared" si="11"/>
        <v>0</v>
      </c>
      <c r="Z65" s="30">
        <f t="shared" si="12"/>
        <v>0</v>
      </c>
      <c r="AA65" s="30">
        <f t="shared" si="13"/>
        <v>0</v>
      </c>
      <c r="AB65" s="30">
        <f t="shared" si="14"/>
        <v>0</v>
      </c>
      <c r="AC65" s="30">
        <f t="shared" si="15"/>
        <v>0</v>
      </c>
      <c r="AD65" s="30">
        <f t="shared" si="16"/>
        <v>0</v>
      </c>
      <c r="AE65" s="30">
        <f t="shared" si="17"/>
        <v>0</v>
      </c>
      <c r="AG65" s="27" t="s">
        <v>17</v>
      </c>
      <c r="AH65" s="29" t="s">
        <v>56</v>
      </c>
      <c r="AI65" s="20" t="s">
        <v>113</v>
      </c>
      <c r="AJ65" s="30">
        <v>1294.2705659697251</v>
      </c>
      <c r="AK65" s="30">
        <v>1062.2362344486614</v>
      </c>
      <c r="AL65" s="30">
        <v>1079.611389160857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1">
        <v>0</v>
      </c>
      <c r="AT65" s="31">
        <v>0</v>
      </c>
      <c r="AU65" s="31">
        <v>0</v>
      </c>
      <c r="AW65" t="str">
        <f t="shared" si="6"/>
        <v xml:space="preserve"> </v>
      </c>
    </row>
    <row r="66" spans="1:50" x14ac:dyDescent="0.2">
      <c r="A66" t="s">
        <v>17</v>
      </c>
      <c r="B66" t="s">
        <v>56</v>
      </c>
      <c r="C66" t="s">
        <v>114</v>
      </c>
      <c r="D66" s="15">
        <v>367.16496197220033</v>
      </c>
      <c r="E66" s="15">
        <v>368.7</v>
      </c>
      <c r="F66" s="15">
        <v>376.24294544477289</v>
      </c>
      <c r="G66" s="15">
        <v>374.93</v>
      </c>
      <c r="H66" s="15">
        <v>373.03</v>
      </c>
      <c r="I66" s="15">
        <v>366.78</v>
      </c>
      <c r="J66" s="15">
        <v>855</v>
      </c>
      <c r="K66" s="15">
        <v>838.35</v>
      </c>
      <c r="L66" s="15">
        <v>848</v>
      </c>
      <c r="M66" s="1">
        <v>376.24294544477289</v>
      </c>
      <c r="N66" s="1">
        <v>376.24294544477289</v>
      </c>
      <c r="O66" s="1">
        <v>376.24294544477289</v>
      </c>
      <c r="Q66" s="27" t="str">
        <f t="shared" si="18"/>
        <v>Sueldos</v>
      </c>
      <c r="R66" s="29" t="str">
        <f t="shared" si="19"/>
        <v>Sueldo</v>
      </c>
      <c r="S66" s="20" t="str">
        <f t="shared" si="20"/>
        <v>Luis Chumpitaz</v>
      </c>
      <c r="T66" s="30">
        <f t="shared" si="5"/>
        <v>1</v>
      </c>
      <c r="U66" s="30">
        <f t="shared" si="7"/>
        <v>1</v>
      </c>
      <c r="V66" s="30">
        <f t="shared" si="8"/>
        <v>1</v>
      </c>
      <c r="W66" s="30">
        <f t="shared" si="9"/>
        <v>1</v>
      </c>
      <c r="X66" s="30">
        <f t="shared" si="10"/>
        <v>1</v>
      </c>
      <c r="Y66" s="30">
        <f t="shared" si="11"/>
        <v>1</v>
      </c>
      <c r="Z66" s="30">
        <f t="shared" si="12"/>
        <v>1</v>
      </c>
      <c r="AA66" s="30">
        <f t="shared" si="13"/>
        <v>1</v>
      </c>
      <c r="AB66" s="30">
        <f t="shared" si="14"/>
        <v>1</v>
      </c>
      <c r="AC66" s="30">
        <f t="shared" si="15"/>
        <v>1</v>
      </c>
      <c r="AD66" s="30">
        <f t="shared" si="16"/>
        <v>1</v>
      </c>
      <c r="AE66" s="30">
        <f t="shared" si="17"/>
        <v>1</v>
      </c>
      <c r="AG66" s="27" t="s">
        <v>17</v>
      </c>
      <c r="AH66" s="29" t="s">
        <v>56</v>
      </c>
      <c r="AI66" s="20" t="s">
        <v>114</v>
      </c>
      <c r="AJ66" s="30">
        <v>367.16496197220033</v>
      </c>
      <c r="AK66" s="30">
        <v>368.7</v>
      </c>
      <c r="AL66" s="30">
        <v>376.24294544477289</v>
      </c>
      <c r="AM66" s="30">
        <v>374.93</v>
      </c>
      <c r="AN66" s="30">
        <v>373.03</v>
      </c>
      <c r="AO66" s="30">
        <v>366.78</v>
      </c>
      <c r="AP66" s="30">
        <v>855</v>
      </c>
      <c r="AQ66" s="30">
        <v>838.35</v>
      </c>
      <c r="AR66" s="30">
        <v>848</v>
      </c>
      <c r="AS66" s="31">
        <v>376.24294544477289</v>
      </c>
      <c r="AT66" s="31">
        <v>376.24294544477289</v>
      </c>
      <c r="AU66" s="31">
        <v>376.24294544477289</v>
      </c>
      <c r="AW66" t="str">
        <f t="shared" si="6"/>
        <v>Luis Chumpitaz</v>
      </c>
      <c r="AX66" t="s">
        <v>193</v>
      </c>
    </row>
    <row r="67" spans="1:50" x14ac:dyDescent="0.2">
      <c r="A67" t="s">
        <v>17</v>
      </c>
      <c r="B67" t="s">
        <v>56</v>
      </c>
      <c r="C67" t="s">
        <v>115</v>
      </c>
      <c r="D67" s="15">
        <v>1900.1613368442065</v>
      </c>
      <c r="E67" s="15">
        <v>1821.3575971346481</v>
      </c>
      <c r="F67" s="15">
        <v>1825.2074874157895</v>
      </c>
      <c r="G67" s="15">
        <v>1802.4052720322866</v>
      </c>
      <c r="H67" s="15">
        <v>1839.3249420900549</v>
      </c>
      <c r="I67" s="15">
        <v>1885.8953572403364</v>
      </c>
      <c r="J67" s="15">
        <v>1944.1035657350235</v>
      </c>
      <c r="K67" s="15">
        <v>1789.7951339875046</v>
      </c>
      <c r="L67" s="15">
        <v>1945.5427574896171</v>
      </c>
      <c r="M67" s="1">
        <v>1909.7304219617351</v>
      </c>
      <c r="N67" s="1">
        <v>1960.5069727312589</v>
      </c>
      <c r="O67" s="1">
        <v>2220.4976880279701</v>
      </c>
      <c r="Q67" s="27" t="str">
        <f t="shared" si="18"/>
        <v>Sueldos</v>
      </c>
      <c r="R67" s="29" t="str">
        <f t="shared" si="19"/>
        <v>Sueldo</v>
      </c>
      <c r="S67" s="20" t="str">
        <f t="shared" si="20"/>
        <v>Marcelo Mendoza</v>
      </c>
      <c r="T67" s="30">
        <f t="shared" si="5"/>
        <v>1</v>
      </c>
      <c r="U67" s="30">
        <f t="shared" si="7"/>
        <v>1</v>
      </c>
      <c r="V67" s="30">
        <f t="shared" si="8"/>
        <v>1</v>
      </c>
      <c r="W67" s="30">
        <f t="shared" si="9"/>
        <v>1</v>
      </c>
      <c r="X67" s="30">
        <f t="shared" si="10"/>
        <v>1</v>
      </c>
      <c r="Y67" s="30">
        <f t="shared" si="11"/>
        <v>1</v>
      </c>
      <c r="Z67" s="30">
        <f t="shared" si="12"/>
        <v>1</v>
      </c>
      <c r="AA67" s="30">
        <f t="shared" si="13"/>
        <v>1</v>
      </c>
      <c r="AB67" s="30">
        <f t="shared" si="14"/>
        <v>1</v>
      </c>
      <c r="AC67" s="30">
        <f t="shared" si="15"/>
        <v>1</v>
      </c>
      <c r="AD67" s="30">
        <f t="shared" si="16"/>
        <v>1</v>
      </c>
      <c r="AE67" s="30">
        <f t="shared" si="17"/>
        <v>1</v>
      </c>
      <c r="AG67" s="27" t="s">
        <v>17</v>
      </c>
      <c r="AH67" s="29" t="s">
        <v>56</v>
      </c>
      <c r="AI67" s="20" t="s">
        <v>115</v>
      </c>
      <c r="AJ67" s="30">
        <v>1900.1613368442065</v>
      </c>
      <c r="AK67" s="30">
        <v>1821.3575971346481</v>
      </c>
      <c r="AL67" s="30">
        <v>1825.2074874157895</v>
      </c>
      <c r="AM67" s="30">
        <v>1802.4052720322866</v>
      </c>
      <c r="AN67" s="30">
        <v>1839.3249420900549</v>
      </c>
      <c r="AO67" s="30">
        <v>1885.8953572403364</v>
      </c>
      <c r="AP67" s="30">
        <v>1944.1035657350235</v>
      </c>
      <c r="AQ67" s="30">
        <v>1789.7951339875046</v>
      </c>
      <c r="AR67" s="30">
        <v>1945.5427574896171</v>
      </c>
      <c r="AS67" s="31">
        <v>1909.7304219617351</v>
      </c>
      <c r="AT67" s="31">
        <v>1960.5069727312589</v>
      </c>
      <c r="AU67" s="31">
        <v>2220.4976880279701</v>
      </c>
      <c r="AW67" t="str">
        <f t="shared" si="6"/>
        <v>Marcelo Mendoza</v>
      </c>
      <c r="AX67" t="s">
        <v>193</v>
      </c>
    </row>
    <row r="68" spans="1:50" x14ac:dyDescent="0.2">
      <c r="A68" t="s">
        <v>17</v>
      </c>
      <c r="B68" t="s">
        <v>56</v>
      </c>
      <c r="C68" t="s">
        <v>116</v>
      </c>
      <c r="D68" s="15">
        <v>1531.8459506706686</v>
      </c>
      <c r="E68" s="15">
        <v>1546.9078686385385</v>
      </c>
      <c r="F68" s="15">
        <v>2115.5404245812829</v>
      </c>
      <c r="G68" s="15">
        <v>1599.2617726641422</v>
      </c>
      <c r="H68" s="15">
        <v>1060.3599999999999</v>
      </c>
      <c r="I68" s="15">
        <v>1558.9100236471625</v>
      </c>
      <c r="J68" s="15">
        <v>1362.7780292120963</v>
      </c>
      <c r="K68" s="15">
        <v>1463.2385750639471</v>
      </c>
      <c r="L68" s="15">
        <v>1558.6452599388379</v>
      </c>
      <c r="M68" s="1">
        <v>1558.6452599388379</v>
      </c>
      <c r="N68" s="1">
        <v>1558.6452599388379</v>
      </c>
      <c r="O68" s="1">
        <v>1558.6452599388379</v>
      </c>
      <c r="Q68" s="27" t="str">
        <f t="shared" si="18"/>
        <v>Sueldos</v>
      </c>
      <c r="R68" s="29" t="str">
        <f t="shared" si="19"/>
        <v>Sueldo</v>
      </c>
      <c r="S68" s="20" t="str">
        <f t="shared" si="20"/>
        <v>Maria Célia Fonseca</v>
      </c>
      <c r="T68" s="30">
        <f t="shared" si="5"/>
        <v>1</v>
      </c>
      <c r="U68" s="30">
        <f t="shared" si="7"/>
        <v>1</v>
      </c>
      <c r="V68" s="30">
        <f t="shared" si="8"/>
        <v>1</v>
      </c>
      <c r="W68" s="30">
        <f t="shared" si="9"/>
        <v>1</v>
      </c>
      <c r="X68" s="30">
        <f t="shared" si="10"/>
        <v>1</v>
      </c>
      <c r="Y68" s="30">
        <f t="shared" si="11"/>
        <v>1</v>
      </c>
      <c r="Z68" s="30">
        <f t="shared" si="12"/>
        <v>1</v>
      </c>
      <c r="AA68" s="30">
        <f t="shared" si="13"/>
        <v>1</v>
      </c>
      <c r="AB68" s="30">
        <f t="shared" si="14"/>
        <v>1</v>
      </c>
      <c r="AC68" s="30">
        <f t="shared" si="15"/>
        <v>1</v>
      </c>
      <c r="AD68" s="30">
        <f t="shared" si="16"/>
        <v>1</v>
      </c>
      <c r="AE68" s="30">
        <f t="shared" si="17"/>
        <v>1</v>
      </c>
      <c r="AG68" s="27" t="s">
        <v>17</v>
      </c>
      <c r="AH68" s="29" t="s">
        <v>56</v>
      </c>
      <c r="AI68" s="20" t="s">
        <v>116</v>
      </c>
      <c r="AJ68" s="30">
        <v>1531.8459506706686</v>
      </c>
      <c r="AK68" s="30">
        <v>1546.9078686385385</v>
      </c>
      <c r="AL68" s="30">
        <v>2115.5404245812829</v>
      </c>
      <c r="AM68" s="30">
        <v>1599.2617726641422</v>
      </c>
      <c r="AN68" s="30">
        <v>1060.3599999999999</v>
      </c>
      <c r="AO68" s="30">
        <v>1558.9100236471625</v>
      </c>
      <c r="AP68" s="30">
        <v>1362.7780292120963</v>
      </c>
      <c r="AQ68" s="30">
        <v>1463.2385750639471</v>
      </c>
      <c r="AR68" s="30">
        <v>1558.6452599388379</v>
      </c>
      <c r="AS68" s="31">
        <v>1558.6452599388379</v>
      </c>
      <c r="AT68" s="31">
        <v>1558.6452599388379</v>
      </c>
      <c r="AU68" s="31">
        <v>1558.6452599388379</v>
      </c>
      <c r="AW68" t="str">
        <f t="shared" si="6"/>
        <v>Maria Célia Fonseca</v>
      </c>
      <c r="AX68" t="s">
        <v>180</v>
      </c>
    </row>
    <row r="69" spans="1:50" x14ac:dyDescent="0.2">
      <c r="A69" t="s">
        <v>17</v>
      </c>
      <c r="B69" t="s">
        <v>56</v>
      </c>
      <c r="C69" t="s">
        <v>117</v>
      </c>
      <c r="D69" s="15">
        <v>928.23769462651785</v>
      </c>
      <c r="E69" s="15">
        <v>1486.1762049021056</v>
      </c>
      <c r="F69" s="15">
        <v>1485.2393728291727</v>
      </c>
      <c r="G69" s="15">
        <v>1465.9216374714536</v>
      </c>
      <c r="H69" s="15">
        <v>1495.1102093854463</v>
      </c>
      <c r="I69" s="15">
        <v>1532.3384060008434</v>
      </c>
      <c r="J69" s="15">
        <v>1603.4699751853648</v>
      </c>
      <c r="K69" s="15">
        <v>1924.1712206638467</v>
      </c>
      <c r="L69" s="15">
        <v>1956.9501486820463</v>
      </c>
      <c r="M69" s="1">
        <v>1552.3398751960003</v>
      </c>
      <c r="N69" s="1">
        <v>1593.6140066535056</v>
      </c>
      <c r="O69" s="1">
        <v>1804.9495699846022</v>
      </c>
      <c r="Q69" s="27" t="str">
        <f t="shared" si="18"/>
        <v>Sueldos</v>
      </c>
      <c r="R69" s="29" t="str">
        <f t="shared" si="19"/>
        <v>Sueldo</v>
      </c>
      <c r="S69" s="20" t="str">
        <f t="shared" si="20"/>
        <v>Matías Cid Uslar</v>
      </c>
      <c r="T69" s="30">
        <f t="shared" si="5"/>
        <v>1</v>
      </c>
      <c r="U69" s="30">
        <f t="shared" si="7"/>
        <v>1</v>
      </c>
      <c r="V69" s="30">
        <f t="shared" si="8"/>
        <v>1</v>
      </c>
      <c r="W69" s="30">
        <f t="shared" si="9"/>
        <v>1</v>
      </c>
      <c r="X69" s="30">
        <f t="shared" si="10"/>
        <v>1</v>
      </c>
      <c r="Y69" s="30">
        <f t="shared" si="11"/>
        <v>1</v>
      </c>
      <c r="Z69" s="30">
        <f t="shared" si="12"/>
        <v>1</v>
      </c>
      <c r="AA69" s="30">
        <f t="shared" si="13"/>
        <v>1</v>
      </c>
      <c r="AB69" s="30">
        <f t="shared" si="14"/>
        <v>1</v>
      </c>
      <c r="AC69" s="30">
        <f t="shared" si="15"/>
        <v>1</v>
      </c>
      <c r="AD69" s="30">
        <f t="shared" si="16"/>
        <v>1</v>
      </c>
      <c r="AE69" s="30">
        <f t="shared" si="17"/>
        <v>1</v>
      </c>
      <c r="AG69" s="27" t="s">
        <v>17</v>
      </c>
      <c r="AH69" s="29" t="s">
        <v>56</v>
      </c>
      <c r="AI69" s="20" t="s">
        <v>117</v>
      </c>
      <c r="AJ69" s="30">
        <v>928.23769462651785</v>
      </c>
      <c r="AK69" s="30">
        <v>1486.1762049021056</v>
      </c>
      <c r="AL69" s="30">
        <v>1485.2393728291727</v>
      </c>
      <c r="AM69" s="30">
        <v>1465.9216374714536</v>
      </c>
      <c r="AN69" s="30">
        <v>1495.1102093854463</v>
      </c>
      <c r="AO69" s="30">
        <v>1532.3384060008434</v>
      </c>
      <c r="AP69" s="30">
        <v>1603.4699751853648</v>
      </c>
      <c r="AQ69" s="30">
        <v>1924.1712206638467</v>
      </c>
      <c r="AR69" s="30">
        <v>1956.9501486820463</v>
      </c>
      <c r="AS69" s="31">
        <v>1552.3398751960003</v>
      </c>
      <c r="AT69" s="31">
        <v>1593.6140066535056</v>
      </c>
      <c r="AU69" s="31">
        <v>1804.9495699846022</v>
      </c>
      <c r="AW69" t="str">
        <f t="shared" si="6"/>
        <v>Matías Cid Uslar</v>
      </c>
      <c r="AX69" t="s">
        <v>193</v>
      </c>
    </row>
    <row r="70" spans="1:50" x14ac:dyDescent="0.2">
      <c r="A70" t="s">
        <v>17</v>
      </c>
      <c r="B70" t="s">
        <v>56</v>
      </c>
      <c r="C70" t="s">
        <v>118</v>
      </c>
      <c r="D70" s="15">
        <v>10427.759626854762</v>
      </c>
      <c r="E70" s="15">
        <v>9983.5296087945899</v>
      </c>
      <c r="F70" s="15">
        <v>10086.707940044811</v>
      </c>
      <c r="G70" s="15">
        <v>9968.5088756787609</v>
      </c>
      <c r="H70" s="15">
        <v>10176.830513789117</v>
      </c>
      <c r="I70" s="15">
        <v>10441.537632528352</v>
      </c>
      <c r="J70" s="15">
        <v>10945.563409868324</v>
      </c>
      <c r="K70" s="15">
        <v>12068.867384308482</v>
      </c>
      <c r="L70" s="15">
        <v>11352.380854411766</v>
      </c>
      <c r="M70" s="1">
        <v>10566.378124165076</v>
      </c>
      <c r="N70" s="1">
        <v>10847.32051744827</v>
      </c>
      <c r="O70" s="1">
        <v>12285.827321866893</v>
      </c>
      <c r="Q70" s="27" t="str">
        <f t="shared" si="18"/>
        <v>Sueldos</v>
      </c>
      <c r="R70" s="29" t="str">
        <f t="shared" si="19"/>
        <v>Sueldo</v>
      </c>
      <c r="S70" s="20" t="str">
        <f t="shared" si="20"/>
        <v>Matías Fuentes B.</v>
      </c>
      <c r="T70" s="30">
        <f t="shared" si="5"/>
        <v>1</v>
      </c>
      <c r="U70" s="30">
        <f t="shared" si="7"/>
        <v>1</v>
      </c>
      <c r="V70" s="30">
        <f t="shared" si="8"/>
        <v>1</v>
      </c>
      <c r="W70" s="30">
        <f t="shared" si="9"/>
        <v>1</v>
      </c>
      <c r="X70" s="30">
        <f t="shared" si="10"/>
        <v>1</v>
      </c>
      <c r="Y70" s="30">
        <f t="shared" si="11"/>
        <v>1</v>
      </c>
      <c r="Z70" s="30">
        <f t="shared" si="12"/>
        <v>1</v>
      </c>
      <c r="AA70" s="30">
        <f t="shared" si="13"/>
        <v>1</v>
      </c>
      <c r="AB70" s="30">
        <f t="shared" si="14"/>
        <v>1</v>
      </c>
      <c r="AC70" s="30">
        <f t="shared" si="15"/>
        <v>1</v>
      </c>
      <c r="AD70" s="30">
        <f t="shared" si="16"/>
        <v>1</v>
      </c>
      <c r="AE70" s="30">
        <f t="shared" si="17"/>
        <v>1</v>
      </c>
      <c r="AG70" s="27" t="s">
        <v>17</v>
      </c>
      <c r="AH70" s="29" t="s">
        <v>56</v>
      </c>
      <c r="AI70" s="20" t="s">
        <v>118</v>
      </c>
      <c r="AJ70" s="30">
        <v>10427.759626854762</v>
      </c>
      <c r="AK70" s="30">
        <v>9983.5296087945899</v>
      </c>
      <c r="AL70" s="30">
        <v>10086.707940044811</v>
      </c>
      <c r="AM70" s="30">
        <v>9968.5088756787609</v>
      </c>
      <c r="AN70" s="30">
        <v>10176.830513789117</v>
      </c>
      <c r="AO70" s="30">
        <v>10441.537632528352</v>
      </c>
      <c r="AP70" s="30">
        <v>10945.563409868324</v>
      </c>
      <c r="AQ70" s="30">
        <v>12068.867384308482</v>
      </c>
      <c r="AR70" s="30">
        <v>11352.380854411766</v>
      </c>
      <c r="AS70" s="31">
        <v>10566.378124165076</v>
      </c>
      <c r="AT70" s="31">
        <v>10847.32051744827</v>
      </c>
      <c r="AU70" s="31">
        <v>12285.827321866893</v>
      </c>
      <c r="AW70" t="str">
        <f t="shared" si="6"/>
        <v>Matías Fuentes B.</v>
      </c>
      <c r="AX70" t="s">
        <v>189</v>
      </c>
    </row>
    <row r="71" spans="1:50" x14ac:dyDescent="0.2">
      <c r="A71" t="s">
        <v>17</v>
      </c>
      <c r="B71" t="s">
        <v>56</v>
      </c>
      <c r="C71" t="s">
        <v>119</v>
      </c>
      <c r="D71" s="15">
        <v>6756.0610668807931</v>
      </c>
      <c r="E71" s="15">
        <v>6512.7914149902817</v>
      </c>
      <c r="F71" s="15">
        <v>8230.7511886217653</v>
      </c>
      <c r="G71" s="15">
        <v>8132.7126263774908</v>
      </c>
      <c r="H71" s="15">
        <v>8260.3497310761613</v>
      </c>
      <c r="I71" s="15">
        <v>8477.7066584551776</v>
      </c>
      <c r="J71" s="15">
        <v>8303.7475203969279</v>
      </c>
      <c r="K71" s="15">
        <v>8676.4371502019112</v>
      </c>
      <c r="L71" s="15">
        <v>8709.3315396710605</v>
      </c>
      <c r="M71" s="1">
        <v>8576.5384987136349</v>
      </c>
      <c r="N71" s="1">
        <v>8804.5743709491308</v>
      </c>
      <c r="O71" s="1">
        <v>9972.1843924514342</v>
      </c>
      <c r="Q71" s="27" t="str">
        <f t="shared" si="18"/>
        <v>Sueldos</v>
      </c>
      <c r="R71" s="29" t="str">
        <f t="shared" si="19"/>
        <v>Sueldo</v>
      </c>
      <c r="S71" s="20" t="str">
        <f t="shared" si="20"/>
        <v>Mauricio Melendez</v>
      </c>
      <c r="T71" s="30">
        <f t="shared" si="5"/>
        <v>1</v>
      </c>
      <c r="U71" s="30">
        <f t="shared" si="7"/>
        <v>1</v>
      </c>
      <c r="V71" s="30">
        <f t="shared" si="8"/>
        <v>1</v>
      </c>
      <c r="W71" s="30">
        <f t="shared" si="9"/>
        <v>1</v>
      </c>
      <c r="X71" s="30">
        <f t="shared" si="10"/>
        <v>1</v>
      </c>
      <c r="Y71" s="30">
        <f t="shared" si="11"/>
        <v>1</v>
      </c>
      <c r="Z71" s="30">
        <f t="shared" si="12"/>
        <v>1</v>
      </c>
      <c r="AA71" s="30">
        <f t="shared" si="13"/>
        <v>1</v>
      </c>
      <c r="AB71" s="30">
        <f t="shared" si="14"/>
        <v>1</v>
      </c>
      <c r="AC71" s="30">
        <f t="shared" si="15"/>
        <v>1</v>
      </c>
      <c r="AD71" s="30">
        <f t="shared" si="16"/>
        <v>1</v>
      </c>
      <c r="AE71" s="30">
        <f t="shared" si="17"/>
        <v>1</v>
      </c>
      <c r="AG71" s="27" t="s">
        <v>17</v>
      </c>
      <c r="AH71" s="29" t="s">
        <v>56</v>
      </c>
      <c r="AI71" s="20" t="s">
        <v>119</v>
      </c>
      <c r="AJ71" s="30">
        <v>6756.0610668807931</v>
      </c>
      <c r="AK71" s="30">
        <v>6512.7914149902817</v>
      </c>
      <c r="AL71" s="30">
        <v>8230.7511886217653</v>
      </c>
      <c r="AM71" s="30">
        <v>8132.7126263774908</v>
      </c>
      <c r="AN71" s="30">
        <v>8260.3497310761613</v>
      </c>
      <c r="AO71" s="30">
        <v>8477.7066584551776</v>
      </c>
      <c r="AP71" s="30">
        <v>8303.7475203969279</v>
      </c>
      <c r="AQ71" s="30">
        <v>8676.4371502019112</v>
      </c>
      <c r="AR71" s="30">
        <v>8709.3315396710605</v>
      </c>
      <c r="AS71" s="31">
        <v>8576.5384987136349</v>
      </c>
      <c r="AT71" s="31">
        <v>8804.5743709491308</v>
      </c>
      <c r="AU71" s="31">
        <v>9972.1843924514342</v>
      </c>
      <c r="AW71" t="str">
        <f t="shared" si="6"/>
        <v>Mauricio Melendez</v>
      </c>
      <c r="AX71" t="s">
        <v>179</v>
      </c>
    </row>
    <row r="72" spans="1:50" x14ac:dyDescent="0.2">
      <c r="A72" t="s">
        <v>17</v>
      </c>
      <c r="B72" t="s">
        <v>56</v>
      </c>
      <c r="C72" t="s">
        <v>120</v>
      </c>
      <c r="D72" s="15">
        <v>7859.4716329603789</v>
      </c>
      <c r="E72" s="15">
        <v>6450.4407128325201</v>
      </c>
      <c r="F72" s="15">
        <v>6555.95152268122</v>
      </c>
      <c r="G72" s="15">
        <v>6693.4514468965826</v>
      </c>
      <c r="H72" s="15">
        <v>9226.94649263869</v>
      </c>
      <c r="I72" s="15">
        <v>6321.8666698754096</v>
      </c>
      <c r="J72" s="15">
        <v>12605.402431093993</v>
      </c>
      <c r="K72" s="15">
        <v>0</v>
      </c>
      <c r="L72" s="15">
        <v>0</v>
      </c>
      <c r="M72" s="1">
        <v>0</v>
      </c>
      <c r="N72" s="1">
        <v>0</v>
      </c>
      <c r="O72" s="1">
        <v>0</v>
      </c>
      <c r="Q72" s="27" t="str">
        <f t="shared" si="18"/>
        <v>Sueldos</v>
      </c>
      <c r="R72" s="29" t="str">
        <f t="shared" si="19"/>
        <v>Sueldo</v>
      </c>
      <c r="S72" s="20" t="str">
        <f t="shared" si="20"/>
        <v>Miguel Jesus</v>
      </c>
      <c r="T72" s="30">
        <f t="shared" si="5"/>
        <v>1</v>
      </c>
      <c r="U72" s="30">
        <f t="shared" si="7"/>
        <v>1</v>
      </c>
      <c r="V72" s="30">
        <f t="shared" si="8"/>
        <v>1</v>
      </c>
      <c r="W72" s="30">
        <f t="shared" si="9"/>
        <v>1</v>
      </c>
      <c r="X72" s="30">
        <f t="shared" si="10"/>
        <v>1</v>
      </c>
      <c r="Y72" s="30">
        <f t="shared" si="11"/>
        <v>1</v>
      </c>
      <c r="Z72" s="30">
        <f t="shared" si="12"/>
        <v>1</v>
      </c>
      <c r="AA72" s="30">
        <f t="shared" si="13"/>
        <v>0</v>
      </c>
      <c r="AB72" s="30">
        <f t="shared" si="14"/>
        <v>0</v>
      </c>
      <c r="AC72" s="30">
        <f t="shared" si="15"/>
        <v>0</v>
      </c>
      <c r="AD72" s="30">
        <f t="shared" si="16"/>
        <v>0</v>
      </c>
      <c r="AE72" s="30">
        <f t="shared" si="17"/>
        <v>0</v>
      </c>
      <c r="AG72" s="27" t="s">
        <v>17</v>
      </c>
      <c r="AH72" s="29" t="s">
        <v>56</v>
      </c>
      <c r="AI72" s="20" t="s">
        <v>120</v>
      </c>
      <c r="AJ72" s="30">
        <v>7859.4716329603789</v>
      </c>
      <c r="AK72" s="30">
        <v>6450.4407128325201</v>
      </c>
      <c r="AL72" s="30">
        <v>6555.95152268122</v>
      </c>
      <c r="AM72" s="30">
        <v>6693.4514468965826</v>
      </c>
      <c r="AN72" s="30">
        <v>9226.94649263869</v>
      </c>
      <c r="AO72" s="30">
        <v>6321.8666698754096</v>
      </c>
      <c r="AP72" s="30">
        <v>12605.402431093993</v>
      </c>
      <c r="AQ72" s="30">
        <v>0</v>
      </c>
      <c r="AR72" s="30">
        <v>0</v>
      </c>
      <c r="AS72" s="31">
        <v>0</v>
      </c>
      <c r="AT72" s="31">
        <v>0</v>
      </c>
      <c r="AU72" s="31">
        <v>0</v>
      </c>
      <c r="AW72" t="str">
        <f t="shared" si="6"/>
        <v xml:space="preserve"> </v>
      </c>
    </row>
    <row r="73" spans="1:50" x14ac:dyDescent="0.2">
      <c r="A73" t="s">
        <v>17</v>
      </c>
      <c r="B73" t="s">
        <v>56</v>
      </c>
      <c r="C73" t="s">
        <v>121</v>
      </c>
      <c r="D73" s="15">
        <v>8571.5703869092104</v>
      </c>
      <c r="E73" s="15">
        <v>8217.1939589672511</v>
      </c>
      <c r="F73" s="15">
        <v>8208.0734661881015</v>
      </c>
      <c r="G73" s="15">
        <v>5202.6789466284536</v>
      </c>
      <c r="H73" s="15">
        <v>9345.936675140536</v>
      </c>
      <c r="I73" s="15">
        <v>0</v>
      </c>
      <c r="J73" s="15">
        <v>0</v>
      </c>
      <c r="K73" s="15">
        <v>0</v>
      </c>
      <c r="L73" s="15">
        <v>0</v>
      </c>
      <c r="M73" s="1">
        <v>0</v>
      </c>
      <c r="N73" s="1">
        <v>0</v>
      </c>
      <c r="O73" s="1">
        <v>0</v>
      </c>
      <c r="Q73" s="27" t="str">
        <f t="shared" ref="Q73:Q104" si="21">A73</f>
        <v>Sueldos</v>
      </c>
      <c r="R73" s="29" t="str">
        <f t="shared" ref="R73:R104" si="22">B73</f>
        <v>Sueldo</v>
      </c>
      <c r="S73" s="20" t="str">
        <f t="shared" ref="S73:S104" si="23">C73</f>
        <v>Nelson Rumino</v>
      </c>
      <c r="T73" s="30">
        <f t="shared" si="5"/>
        <v>1</v>
      </c>
      <c r="U73" s="30">
        <f t="shared" si="7"/>
        <v>1</v>
      </c>
      <c r="V73" s="30">
        <f t="shared" si="8"/>
        <v>1</v>
      </c>
      <c r="W73" s="30">
        <f t="shared" si="9"/>
        <v>1</v>
      </c>
      <c r="X73" s="30">
        <f t="shared" si="10"/>
        <v>1</v>
      </c>
      <c r="Y73" s="30">
        <f t="shared" si="11"/>
        <v>0</v>
      </c>
      <c r="Z73" s="30">
        <f t="shared" si="12"/>
        <v>0</v>
      </c>
      <c r="AA73" s="30">
        <f t="shared" si="13"/>
        <v>0</v>
      </c>
      <c r="AB73" s="30">
        <f t="shared" si="14"/>
        <v>0</v>
      </c>
      <c r="AC73" s="30">
        <f t="shared" si="15"/>
        <v>0</v>
      </c>
      <c r="AD73" s="30">
        <f t="shared" si="16"/>
        <v>0</v>
      </c>
      <c r="AE73" s="30">
        <f t="shared" si="17"/>
        <v>0</v>
      </c>
      <c r="AG73" s="27" t="s">
        <v>17</v>
      </c>
      <c r="AH73" s="29" t="s">
        <v>56</v>
      </c>
      <c r="AI73" s="20" t="s">
        <v>121</v>
      </c>
      <c r="AJ73" s="30">
        <v>8571.5703869092104</v>
      </c>
      <c r="AK73" s="30">
        <v>8217.1939589672511</v>
      </c>
      <c r="AL73" s="30">
        <v>8208.0734661881015</v>
      </c>
      <c r="AM73" s="30">
        <v>5202.6789466284536</v>
      </c>
      <c r="AN73" s="30">
        <v>9345.936675140536</v>
      </c>
      <c r="AO73" s="30">
        <v>0</v>
      </c>
      <c r="AP73" s="30">
        <v>0</v>
      </c>
      <c r="AQ73" s="30">
        <v>0</v>
      </c>
      <c r="AR73" s="30">
        <v>0</v>
      </c>
      <c r="AS73" s="31">
        <v>0</v>
      </c>
      <c r="AT73" s="31">
        <v>0</v>
      </c>
      <c r="AU73" s="31">
        <v>0</v>
      </c>
      <c r="AW73" t="str">
        <f t="shared" si="6"/>
        <v xml:space="preserve"> </v>
      </c>
    </row>
    <row r="74" spans="1:50" x14ac:dyDescent="0.2">
      <c r="A74" t="s">
        <v>17</v>
      </c>
      <c r="B74" t="s">
        <v>56</v>
      </c>
      <c r="C74" t="s">
        <v>122</v>
      </c>
      <c r="D74" s="15">
        <v>2947.7889902369975</v>
      </c>
      <c r="E74" s="15">
        <v>2825.1312968057518</v>
      </c>
      <c r="F74" s="15">
        <v>4206.8493260566584</v>
      </c>
      <c r="G74" s="15">
        <v>4151.3789042084545</v>
      </c>
      <c r="H74" s="15">
        <v>4233.1903590829788</v>
      </c>
      <c r="I74" s="15">
        <v>4337.9800589869601</v>
      </c>
      <c r="J74" s="15">
        <v>4333.4783995068019</v>
      </c>
      <c r="K74" s="15">
        <v>4449.8018626933526</v>
      </c>
      <c r="L74" s="15">
        <v>4531.7375866661669</v>
      </c>
      <c r="M74" s="1">
        <v>4395.2279587475277</v>
      </c>
      <c r="N74" s="1">
        <v>4512.0897487805541</v>
      </c>
      <c r="O74" s="1">
        <v>5110.456119104716</v>
      </c>
      <c r="Q74" s="27" t="str">
        <f t="shared" si="21"/>
        <v>Sueldos</v>
      </c>
      <c r="R74" s="29" t="str">
        <f t="shared" si="22"/>
        <v>Sueldo</v>
      </c>
      <c r="S74" s="20" t="str">
        <f t="shared" si="23"/>
        <v>Nicolás Ayarza D.</v>
      </c>
      <c r="T74" s="30">
        <f t="shared" ref="T74:T110" si="24">+IF(D74&gt;0,1,0)</f>
        <v>1</v>
      </c>
      <c r="U74" s="30">
        <f t="shared" si="7"/>
        <v>1</v>
      </c>
      <c r="V74" s="30">
        <f t="shared" si="8"/>
        <v>1</v>
      </c>
      <c r="W74" s="30">
        <f t="shared" si="9"/>
        <v>1</v>
      </c>
      <c r="X74" s="30">
        <f t="shared" si="10"/>
        <v>1</v>
      </c>
      <c r="Y74" s="30">
        <f t="shared" si="11"/>
        <v>1</v>
      </c>
      <c r="Z74" s="30">
        <f t="shared" si="12"/>
        <v>1</v>
      </c>
      <c r="AA74" s="30">
        <f t="shared" si="13"/>
        <v>1</v>
      </c>
      <c r="AB74" s="30">
        <f t="shared" si="14"/>
        <v>1</v>
      </c>
      <c r="AC74" s="30">
        <f t="shared" si="15"/>
        <v>1</v>
      </c>
      <c r="AD74" s="30">
        <f t="shared" si="16"/>
        <v>1</v>
      </c>
      <c r="AE74" s="30">
        <f t="shared" si="17"/>
        <v>1</v>
      </c>
      <c r="AG74" s="27" t="s">
        <v>17</v>
      </c>
      <c r="AH74" s="29" t="s">
        <v>56</v>
      </c>
      <c r="AI74" s="20" t="s">
        <v>122</v>
      </c>
      <c r="AJ74" s="30">
        <v>2947.7889902369975</v>
      </c>
      <c r="AK74" s="30">
        <v>2825.1312968057518</v>
      </c>
      <c r="AL74" s="30">
        <v>4206.8493260566584</v>
      </c>
      <c r="AM74" s="30">
        <v>4151.3789042084545</v>
      </c>
      <c r="AN74" s="30">
        <v>4233.1903590829788</v>
      </c>
      <c r="AO74" s="30">
        <v>4337.9800589869601</v>
      </c>
      <c r="AP74" s="30">
        <v>4333.4783995068019</v>
      </c>
      <c r="AQ74" s="30">
        <v>4449.8018626933526</v>
      </c>
      <c r="AR74" s="30">
        <v>4531.7375866661669</v>
      </c>
      <c r="AS74" s="31">
        <v>4395.2279587475277</v>
      </c>
      <c r="AT74" s="31">
        <v>4512.0897487805541</v>
      </c>
      <c r="AU74" s="31">
        <v>5110.456119104716</v>
      </c>
      <c r="AW74" t="str">
        <f t="shared" ref="AW74:AW110" si="25">+IF(AD74=1,S74," ")</f>
        <v>Nicolás Ayarza D.</v>
      </c>
      <c r="AX74" t="s">
        <v>181</v>
      </c>
    </row>
    <row r="75" spans="1:50" x14ac:dyDescent="0.2">
      <c r="A75" t="s">
        <v>17</v>
      </c>
      <c r="B75" t="s">
        <v>56</v>
      </c>
      <c r="C75" t="s">
        <v>123</v>
      </c>
      <c r="D75" s="15">
        <v>1938.2542334304057</v>
      </c>
      <c r="E75" s="15">
        <v>1857.8770098248419</v>
      </c>
      <c r="F75" s="15">
        <v>2243.6529738968848</v>
      </c>
      <c r="G75" s="15">
        <v>2215.556484454904</v>
      </c>
      <c r="H75" s="15">
        <v>2260.8933001922974</v>
      </c>
      <c r="I75" s="15">
        <v>2318.0773262457933</v>
      </c>
      <c r="J75" s="15">
        <v>2360.6434120032291</v>
      </c>
      <c r="K75" s="15">
        <v>2386.5227320891527</v>
      </c>
      <c r="L75" s="15">
        <v>2388.0888120004661</v>
      </c>
      <c r="M75" s="1">
        <v>2347.4355277759823</v>
      </c>
      <c r="N75" s="1">
        <v>2409.8499281979334</v>
      </c>
      <c r="O75" s="1">
        <v>2729.4298201873271</v>
      </c>
      <c r="Q75" s="27" t="str">
        <f t="shared" si="21"/>
        <v>Sueldos</v>
      </c>
      <c r="R75" s="29" t="str">
        <f t="shared" si="22"/>
        <v>Sueldo</v>
      </c>
      <c r="S75" s="20" t="str">
        <f t="shared" si="23"/>
        <v>Nicolás Sanzana</v>
      </c>
      <c r="T75" s="30">
        <f t="shared" si="24"/>
        <v>1</v>
      </c>
      <c r="U75" s="30">
        <f t="shared" si="7"/>
        <v>1</v>
      </c>
      <c r="V75" s="30">
        <f t="shared" si="8"/>
        <v>1</v>
      </c>
      <c r="W75" s="30">
        <f t="shared" si="9"/>
        <v>1</v>
      </c>
      <c r="X75" s="30">
        <f t="shared" si="10"/>
        <v>1</v>
      </c>
      <c r="Y75" s="30">
        <f t="shared" si="11"/>
        <v>1</v>
      </c>
      <c r="Z75" s="30">
        <f t="shared" si="12"/>
        <v>1</v>
      </c>
      <c r="AA75" s="30">
        <f t="shared" si="13"/>
        <v>1</v>
      </c>
      <c r="AB75" s="30">
        <f t="shared" si="14"/>
        <v>1</v>
      </c>
      <c r="AC75" s="30">
        <f t="shared" si="15"/>
        <v>1</v>
      </c>
      <c r="AD75" s="30">
        <f t="shared" si="16"/>
        <v>1</v>
      </c>
      <c r="AE75" s="30">
        <f t="shared" si="17"/>
        <v>1</v>
      </c>
      <c r="AG75" s="27" t="s">
        <v>17</v>
      </c>
      <c r="AH75" s="29" t="s">
        <v>56</v>
      </c>
      <c r="AI75" s="20" t="s">
        <v>123</v>
      </c>
      <c r="AJ75" s="30">
        <v>1938.2542334304057</v>
      </c>
      <c r="AK75" s="30">
        <v>1857.8770098248419</v>
      </c>
      <c r="AL75" s="30">
        <v>2243.6529738968848</v>
      </c>
      <c r="AM75" s="30">
        <v>2215.556484454904</v>
      </c>
      <c r="AN75" s="30">
        <v>2260.8933001922974</v>
      </c>
      <c r="AO75" s="30">
        <v>2318.0773262457933</v>
      </c>
      <c r="AP75" s="30">
        <v>2360.6434120032291</v>
      </c>
      <c r="AQ75" s="30">
        <v>2386.5227320891527</v>
      </c>
      <c r="AR75" s="30">
        <v>2388.0888120004661</v>
      </c>
      <c r="AS75" s="31">
        <v>2347.4355277759823</v>
      </c>
      <c r="AT75" s="31">
        <v>2409.8499281979334</v>
      </c>
      <c r="AU75" s="31">
        <v>2729.4298201873271</v>
      </c>
      <c r="AW75" t="str">
        <f t="shared" si="25"/>
        <v>Nicolás Sanzana</v>
      </c>
      <c r="AX75" t="s">
        <v>193</v>
      </c>
    </row>
    <row r="76" spans="1:50" x14ac:dyDescent="0.2">
      <c r="A76" t="s">
        <v>17</v>
      </c>
      <c r="B76" t="s">
        <v>56</v>
      </c>
      <c r="C76" t="s">
        <v>124</v>
      </c>
      <c r="D76" s="15">
        <v>2829.3040493293315</v>
      </c>
      <c r="E76" s="15">
        <v>2609.6521313614617</v>
      </c>
      <c r="F76" s="15">
        <v>3831.9995754187171</v>
      </c>
      <c r="G76" s="15">
        <v>2879.8682273358572</v>
      </c>
      <c r="H76" s="15">
        <v>1881.46</v>
      </c>
      <c r="I76" s="15">
        <v>3098.099976352838</v>
      </c>
      <c r="J76" s="15">
        <v>4489.221970787904</v>
      </c>
      <c r="K76" s="15">
        <v>2622.9914249360531</v>
      </c>
      <c r="L76" s="15">
        <v>2724.3547400611619</v>
      </c>
      <c r="M76" s="1">
        <v>2724.3547400611619</v>
      </c>
      <c r="N76" s="1">
        <v>2724.3547400611619</v>
      </c>
      <c r="O76" s="1">
        <v>2724.3547400611619</v>
      </c>
      <c r="Q76" s="27" t="str">
        <f t="shared" si="21"/>
        <v>Sueldos</v>
      </c>
      <c r="R76" s="29" t="str">
        <f t="shared" si="22"/>
        <v>Sueldo</v>
      </c>
      <c r="S76" s="20" t="str">
        <f t="shared" si="23"/>
        <v>Nilcélio José Dos Santos</v>
      </c>
      <c r="T76" s="30">
        <f t="shared" si="24"/>
        <v>1</v>
      </c>
      <c r="U76" s="30">
        <f t="shared" si="7"/>
        <v>1</v>
      </c>
      <c r="V76" s="30">
        <f t="shared" si="8"/>
        <v>1</v>
      </c>
      <c r="W76" s="30">
        <f t="shared" si="9"/>
        <v>1</v>
      </c>
      <c r="X76" s="30">
        <f t="shared" si="10"/>
        <v>1</v>
      </c>
      <c r="Y76" s="30">
        <f t="shared" si="11"/>
        <v>1</v>
      </c>
      <c r="Z76" s="30">
        <f t="shared" si="12"/>
        <v>1</v>
      </c>
      <c r="AA76" s="30">
        <f t="shared" si="13"/>
        <v>1</v>
      </c>
      <c r="AB76" s="30">
        <f t="shared" si="14"/>
        <v>1</v>
      </c>
      <c r="AC76" s="30">
        <f t="shared" si="15"/>
        <v>1</v>
      </c>
      <c r="AD76" s="30">
        <f t="shared" si="16"/>
        <v>1</v>
      </c>
      <c r="AE76" s="30">
        <f t="shared" si="17"/>
        <v>1</v>
      </c>
      <c r="AG76" s="27" t="s">
        <v>17</v>
      </c>
      <c r="AH76" s="29" t="s">
        <v>56</v>
      </c>
      <c r="AI76" s="20" t="s">
        <v>124</v>
      </c>
      <c r="AJ76" s="30">
        <v>2829.3040493293315</v>
      </c>
      <c r="AK76" s="30">
        <v>2609.6521313614617</v>
      </c>
      <c r="AL76" s="30">
        <v>3831.9995754187171</v>
      </c>
      <c r="AM76" s="30">
        <v>2879.8682273358572</v>
      </c>
      <c r="AN76" s="30">
        <v>1881.46</v>
      </c>
      <c r="AO76" s="30">
        <v>3098.099976352838</v>
      </c>
      <c r="AP76" s="30">
        <v>4489.221970787904</v>
      </c>
      <c r="AQ76" s="30">
        <v>2622.9914249360531</v>
      </c>
      <c r="AR76" s="30">
        <v>2724.3547400611619</v>
      </c>
      <c r="AS76" s="31">
        <v>2724.3547400611619</v>
      </c>
      <c r="AT76" s="31">
        <v>2724.3547400611619</v>
      </c>
      <c r="AU76" s="31">
        <v>2724.3547400611619</v>
      </c>
      <c r="AW76" t="str">
        <f t="shared" si="25"/>
        <v>Nilcélio José Dos Santos</v>
      </c>
      <c r="AX76" t="s">
        <v>180</v>
      </c>
    </row>
    <row r="77" spans="1:50" x14ac:dyDescent="0.2">
      <c r="A77" t="s">
        <v>17</v>
      </c>
      <c r="B77" t="s">
        <v>56</v>
      </c>
      <c r="C77" t="s">
        <v>125</v>
      </c>
      <c r="D77" s="15">
        <v>3341.2793267193947</v>
      </c>
      <c r="E77" s="15">
        <v>3225.9169104938628</v>
      </c>
      <c r="F77" s="15">
        <v>3130.9924839771461</v>
      </c>
      <c r="G77" s="15">
        <v>3092.3157399429861</v>
      </c>
      <c r="H77" s="15">
        <v>3155.9569962542446</v>
      </c>
      <c r="I77" s="15">
        <v>3447.4362653727239</v>
      </c>
      <c r="J77" s="15">
        <v>3341.4649114216609</v>
      </c>
      <c r="K77" s="15">
        <v>3754.8482423263426</v>
      </c>
      <c r="L77" s="15">
        <v>3457.0856559939575</v>
      </c>
      <c r="M77" s="1">
        <v>3276.7603745432275</v>
      </c>
      <c r="N77" s="1">
        <v>3363.8839746095887</v>
      </c>
      <c r="O77" s="1">
        <v>3809.9821588539844</v>
      </c>
      <c r="Q77" s="27" t="str">
        <f t="shared" si="21"/>
        <v>Sueldos</v>
      </c>
      <c r="R77" s="29" t="str">
        <f t="shared" si="22"/>
        <v>Sueldo</v>
      </c>
      <c r="S77" s="20" t="str">
        <f t="shared" si="23"/>
        <v>Olesya Dashavskaya</v>
      </c>
      <c r="T77" s="30">
        <f t="shared" si="24"/>
        <v>1</v>
      </c>
      <c r="U77" s="30">
        <f t="shared" si="7"/>
        <v>1</v>
      </c>
      <c r="V77" s="30">
        <f t="shared" si="8"/>
        <v>1</v>
      </c>
      <c r="W77" s="30">
        <f t="shared" si="9"/>
        <v>1</v>
      </c>
      <c r="X77" s="30">
        <f t="shared" si="10"/>
        <v>1</v>
      </c>
      <c r="Y77" s="30">
        <f t="shared" si="11"/>
        <v>1</v>
      </c>
      <c r="Z77" s="30">
        <f t="shared" si="12"/>
        <v>1</v>
      </c>
      <c r="AA77" s="30">
        <f t="shared" si="13"/>
        <v>1</v>
      </c>
      <c r="AB77" s="30">
        <f t="shared" si="14"/>
        <v>1</v>
      </c>
      <c r="AC77" s="30">
        <f t="shared" si="15"/>
        <v>1</v>
      </c>
      <c r="AD77" s="30">
        <f t="shared" si="16"/>
        <v>1</v>
      </c>
      <c r="AE77" s="30">
        <f t="shared" si="17"/>
        <v>1</v>
      </c>
      <c r="AG77" s="27" t="s">
        <v>17</v>
      </c>
      <c r="AH77" s="29" t="s">
        <v>56</v>
      </c>
      <c r="AI77" s="20" t="s">
        <v>125</v>
      </c>
      <c r="AJ77" s="30">
        <v>3341.2793267193947</v>
      </c>
      <c r="AK77" s="30">
        <v>3225.9169104938628</v>
      </c>
      <c r="AL77" s="30">
        <v>3130.9924839771461</v>
      </c>
      <c r="AM77" s="30">
        <v>3092.3157399429861</v>
      </c>
      <c r="AN77" s="30">
        <v>3155.9569962542446</v>
      </c>
      <c r="AO77" s="30">
        <v>3447.4362653727239</v>
      </c>
      <c r="AP77" s="30">
        <v>3341.4649114216609</v>
      </c>
      <c r="AQ77" s="30">
        <v>3754.8482423263426</v>
      </c>
      <c r="AR77" s="30">
        <v>3457.0856559939575</v>
      </c>
      <c r="AS77" s="31">
        <v>3276.7603745432275</v>
      </c>
      <c r="AT77" s="31">
        <v>3363.8839746095887</v>
      </c>
      <c r="AU77" s="31">
        <v>3809.9821588539844</v>
      </c>
      <c r="AW77" t="str">
        <f t="shared" si="25"/>
        <v>Olesya Dashavskaya</v>
      </c>
      <c r="AX77" t="s">
        <v>178</v>
      </c>
    </row>
    <row r="78" spans="1:50" x14ac:dyDescent="0.2">
      <c r="A78" t="s">
        <v>17</v>
      </c>
      <c r="B78" t="s">
        <v>56</v>
      </c>
      <c r="C78" t="s">
        <v>126</v>
      </c>
      <c r="D78" s="15">
        <v>1966.9551534225018</v>
      </c>
      <c r="E78" s="15">
        <v>1975.2</v>
      </c>
      <c r="F78" s="15">
        <v>2015.5872077398549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">
        <v>0</v>
      </c>
      <c r="N78" s="1">
        <v>0</v>
      </c>
      <c r="O78" s="1">
        <v>0</v>
      </c>
      <c r="Q78" s="27" t="str">
        <f t="shared" si="21"/>
        <v>Sueldos</v>
      </c>
      <c r="R78" s="29" t="str">
        <f t="shared" si="22"/>
        <v>Sueldo</v>
      </c>
      <c r="S78" s="20" t="str">
        <f t="shared" si="23"/>
        <v>Omar Meléndez Huamán</v>
      </c>
      <c r="T78" s="30">
        <f t="shared" si="24"/>
        <v>1</v>
      </c>
      <c r="U78" s="30">
        <f t="shared" si="7"/>
        <v>1</v>
      </c>
      <c r="V78" s="30">
        <f t="shared" si="8"/>
        <v>1</v>
      </c>
      <c r="W78" s="30">
        <f t="shared" si="9"/>
        <v>0</v>
      </c>
      <c r="X78" s="30">
        <f t="shared" si="10"/>
        <v>0</v>
      </c>
      <c r="Y78" s="30">
        <f t="shared" si="11"/>
        <v>0</v>
      </c>
      <c r="Z78" s="30">
        <f t="shared" si="12"/>
        <v>0</v>
      </c>
      <c r="AA78" s="30">
        <f t="shared" si="13"/>
        <v>0</v>
      </c>
      <c r="AB78" s="30">
        <f t="shared" si="14"/>
        <v>0</v>
      </c>
      <c r="AC78" s="30">
        <f t="shared" si="15"/>
        <v>0</v>
      </c>
      <c r="AD78" s="30">
        <f t="shared" si="16"/>
        <v>0</v>
      </c>
      <c r="AE78" s="30">
        <f t="shared" si="17"/>
        <v>0</v>
      </c>
      <c r="AG78" s="27" t="s">
        <v>17</v>
      </c>
      <c r="AH78" s="29" t="s">
        <v>56</v>
      </c>
      <c r="AI78" s="20" t="s">
        <v>126</v>
      </c>
      <c r="AJ78" s="30">
        <v>1966.9551534225018</v>
      </c>
      <c r="AK78" s="30">
        <v>1975.2</v>
      </c>
      <c r="AL78" s="30">
        <v>2015.5872077398549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1">
        <v>0</v>
      </c>
      <c r="AT78" s="31">
        <v>0</v>
      </c>
      <c r="AU78" s="31">
        <v>0</v>
      </c>
      <c r="AW78" t="str">
        <f t="shared" si="25"/>
        <v xml:space="preserve"> </v>
      </c>
    </row>
    <row r="79" spans="1:50" x14ac:dyDescent="0.2">
      <c r="A79" t="s">
        <v>17</v>
      </c>
      <c r="B79" t="s">
        <v>56</v>
      </c>
      <c r="C79" t="s">
        <v>127</v>
      </c>
      <c r="D79" s="15">
        <v>0</v>
      </c>
      <c r="E79" s="15">
        <v>0</v>
      </c>
      <c r="F79" s="15">
        <v>6729.0529433160063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">
        <v>0</v>
      </c>
      <c r="N79" s="1">
        <v>0</v>
      </c>
      <c r="O79" s="1">
        <v>0</v>
      </c>
      <c r="Q79" s="27" t="str">
        <f t="shared" si="21"/>
        <v>Sueldos</v>
      </c>
      <c r="R79" s="29" t="str">
        <f t="shared" si="22"/>
        <v>Sueldo</v>
      </c>
      <c r="S79" s="20" t="str">
        <f t="shared" si="23"/>
        <v>Oscar Cáceres servicios</v>
      </c>
      <c r="T79" s="30">
        <f t="shared" si="24"/>
        <v>0</v>
      </c>
      <c r="U79" s="30">
        <f t="shared" si="7"/>
        <v>0</v>
      </c>
      <c r="V79" s="30">
        <f t="shared" si="8"/>
        <v>1</v>
      </c>
      <c r="W79" s="30">
        <f t="shared" si="9"/>
        <v>0</v>
      </c>
      <c r="X79" s="30">
        <f t="shared" si="10"/>
        <v>0</v>
      </c>
      <c r="Y79" s="30">
        <f t="shared" si="11"/>
        <v>0</v>
      </c>
      <c r="Z79" s="30">
        <f t="shared" si="12"/>
        <v>0</v>
      </c>
      <c r="AA79" s="30">
        <f t="shared" si="13"/>
        <v>0</v>
      </c>
      <c r="AB79" s="30">
        <f t="shared" si="14"/>
        <v>0</v>
      </c>
      <c r="AC79" s="30">
        <f t="shared" si="15"/>
        <v>0</v>
      </c>
      <c r="AD79" s="30">
        <f t="shared" si="16"/>
        <v>0</v>
      </c>
      <c r="AE79" s="30">
        <f t="shared" si="17"/>
        <v>0</v>
      </c>
      <c r="AG79" s="27" t="s">
        <v>17</v>
      </c>
      <c r="AH79" s="29" t="s">
        <v>56</v>
      </c>
      <c r="AI79" s="20" t="s">
        <v>127</v>
      </c>
      <c r="AJ79" s="30">
        <v>0</v>
      </c>
      <c r="AK79" s="30">
        <v>0</v>
      </c>
      <c r="AL79" s="30">
        <v>6729.0529433160063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1">
        <v>0</v>
      </c>
      <c r="AT79" s="31">
        <v>0</v>
      </c>
      <c r="AU79" s="31">
        <v>0</v>
      </c>
      <c r="AW79" t="str">
        <f t="shared" si="25"/>
        <v xml:space="preserve"> </v>
      </c>
    </row>
    <row r="80" spans="1:50" x14ac:dyDescent="0.2">
      <c r="A80" t="s">
        <v>17</v>
      </c>
      <c r="B80" t="s">
        <v>56</v>
      </c>
      <c r="C80" t="s">
        <v>128</v>
      </c>
      <c r="D80" s="15">
        <v>1462.6463805211481</v>
      </c>
      <c r="E80" s="15">
        <v>720.92548762539332</v>
      </c>
      <c r="F80" s="15">
        <v>0</v>
      </c>
      <c r="G80" s="15">
        <v>561.93443026292016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">
        <v>0</v>
      </c>
      <c r="N80" s="1">
        <v>0</v>
      </c>
      <c r="O80" s="1">
        <v>0</v>
      </c>
      <c r="Q80" s="27" t="str">
        <f t="shared" si="21"/>
        <v>Sueldos</v>
      </c>
      <c r="R80" s="29" t="str">
        <f t="shared" si="22"/>
        <v>Sueldo</v>
      </c>
      <c r="S80" s="20" t="str">
        <f t="shared" si="23"/>
        <v>Osvaldo Ulloa</v>
      </c>
      <c r="T80" s="30">
        <f t="shared" si="24"/>
        <v>1</v>
      </c>
      <c r="U80" s="30">
        <f t="shared" si="7"/>
        <v>1</v>
      </c>
      <c r="V80" s="30">
        <f t="shared" si="8"/>
        <v>0</v>
      </c>
      <c r="W80" s="30">
        <f t="shared" si="9"/>
        <v>1</v>
      </c>
      <c r="X80" s="30">
        <f t="shared" si="10"/>
        <v>0</v>
      </c>
      <c r="Y80" s="30">
        <f t="shared" si="11"/>
        <v>0</v>
      </c>
      <c r="Z80" s="30">
        <f t="shared" si="12"/>
        <v>0</v>
      </c>
      <c r="AA80" s="30">
        <f t="shared" si="13"/>
        <v>0</v>
      </c>
      <c r="AB80" s="30">
        <f t="shared" si="14"/>
        <v>0</v>
      </c>
      <c r="AC80" s="30">
        <f t="shared" si="15"/>
        <v>0</v>
      </c>
      <c r="AD80" s="30">
        <f t="shared" si="16"/>
        <v>0</v>
      </c>
      <c r="AE80" s="30">
        <f t="shared" si="17"/>
        <v>0</v>
      </c>
      <c r="AG80" s="27" t="s">
        <v>17</v>
      </c>
      <c r="AH80" s="29" t="s">
        <v>56</v>
      </c>
      <c r="AI80" s="20" t="s">
        <v>128</v>
      </c>
      <c r="AJ80" s="30">
        <v>1462.6463805211481</v>
      </c>
      <c r="AK80" s="30">
        <v>720.92548762539332</v>
      </c>
      <c r="AL80" s="30">
        <v>0</v>
      </c>
      <c r="AM80" s="30">
        <v>561.93443026292016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1">
        <v>0</v>
      </c>
      <c r="AT80" s="31">
        <v>0</v>
      </c>
      <c r="AU80" s="31">
        <v>0</v>
      </c>
      <c r="AW80" t="str">
        <f t="shared" si="25"/>
        <v xml:space="preserve"> </v>
      </c>
    </row>
    <row r="81" spans="1:50" x14ac:dyDescent="0.2">
      <c r="A81" t="s">
        <v>17</v>
      </c>
      <c r="B81" t="s">
        <v>56</v>
      </c>
      <c r="C81" t="s">
        <v>129</v>
      </c>
      <c r="D81" s="15">
        <v>6116.6472997968531</v>
      </c>
      <c r="E81" s="15">
        <v>5859.2992471874277</v>
      </c>
      <c r="F81" s="15">
        <v>5868.732899803842</v>
      </c>
      <c r="G81" s="15">
        <v>5770.9610645576913</v>
      </c>
      <c r="H81" s="15">
        <v>5886.5524049765663</v>
      </c>
      <c r="I81" s="15">
        <v>6034.1018778502585</v>
      </c>
      <c r="J81" s="15">
        <v>5965.3229626135026</v>
      </c>
      <c r="K81" s="15">
        <v>6181.7068824830994</v>
      </c>
      <c r="L81" s="15">
        <v>6249.5378438961834</v>
      </c>
      <c r="M81" s="1">
        <v>6111.877217019417</v>
      </c>
      <c r="N81" s="1">
        <v>6274.3818513061196</v>
      </c>
      <c r="O81" s="1">
        <v>7106.4528657198971</v>
      </c>
      <c r="Q81" s="27" t="str">
        <f t="shared" si="21"/>
        <v>Sueldos</v>
      </c>
      <c r="R81" s="29" t="str">
        <f t="shared" si="22"/>
        <v>Sueldo</v>
      </c>
      <c r="S81" s="20" t="str">
        <f t="shared" si="23"/>
        <v>Pablo Quiero</v>
      </c>
      <c r="T81" s="30">
        <f t="shared" si="24"/>
        <v>1</v>
      </c>
      <c r="U81" s="30">
        <f t="shared" si="7"/>
        <v>1</v>
      </c>
      <c r="V81" s="30">
        <f t="shared" si="8"/>
        <v>1</v>
      </c>
      <c r="W81" s="30">
        <f t="shared" si="9"/>
        <v>1</v>
      </c>
      <c r="X81" s="30">
        <f t="shared" si="10"/>
        <v>1</v>
      </c>
      <c r="Y81" s="30">
        <f t="shared" si="11"/>
        <v>1</v>
      </c>
      <c r="Z81" s="30">
        <f t="shared" si="12"/>
        <v>1</v>
      </c>
      <c r="AA81" s="30">
        <f t="shared" si="13"/>
        <v>1</v>
      </c>
      <c r="AB81" s="30">
        <f t="shared" si="14"/>
        <v>1</v>
      </c>
      <c r="AC81" s="30">
        <f t="shared" si="15"/>
        <v>1</v>
      </c>
      <c r="AD81" s="30">
        <f t="shared" si="16"/>
        <v>1</v>
      </c>
      <c r="AE81" s="30">
        <f t="shared" si="17"/>
        <v>1</v>
      </c>
      <c r="AG81" s="27" t="s">
        <v>17</v>
      </c>
      <c r="AH81" s="29" t="s">
        <v>56</v>
      </c>
      <c r="AI81" s="20" t="s">
        <v>129</v>
      </c>
      <c r="AJ81" s="30">
        <v>6116.6472997968531</v>
      </c>
      <c r="AK81" s="30">
        <v>5859.2992471874277</v>
      </c>
      <c r="AL81" s="30">
        <v>5868.732899803842</v>
      </c>
      <c r="AM81" s="30">
        <v>5770.9610645576913</v>
      </c>
      <c r="AN81" s="30">
        <v>5886.5524049765663</v>
      </c>
      <c r="AO81" s="30">
        <v>6034.1018778502585</v>
      </c>
      <c r="AP81" s="30">
        <v>5965.3229626135026</v>
      </c>
      <c r="AQ81" s="30">
        <v>6181.7068824830994</v>
      </c>
      <c r="AR81" s="30">
        <v>6249.5378438961834</v>
      </c>
      <c r="AS81" s="31">
        <v>6111.877217019417</v>
      </c>
      <c r="AT81" s="31">
        <v>6274.3818513061196</v>
      </c>
      <c r="AU81" s="31">
        <v>7106.4528657198971</v>
      </c>
      <c r="AW81" t="str">
        <f t="shared" si="25"/>
        <v>Pablo Quiero</v>
      </c>
      <c r="AX81" t="s">
        <v>181</v>
      </c>
    </row>
    <row r="82" spans="1:50" x14ac:dyDescent="0.2">
      <c r="A82" t="s">
        <v>17</v>
      </c>
      <c r="B82" t="s">
        <v>56</v>
      </c>
      <c r="C82" t="s">
        <v>130</v>
      </c>
      <c r="D82" s="15">
        <v>1994.7089861106258</v>
      </c>
      <c r="E82" s="15">
        <v>1637.1014051760651</v>
      </c>
      <c r="F82" s="15">
        <v>1663.8797142489532</v>
      </c>
      <c r="G82" s="15">
        <v>1698.8277208524814</v>
      </c>
      <c r="H82" s="15">
        <v>6991.7564724380973</v>
      </c>
      <c r="I82" s="15">
        <v>0</v>
      </c>
      <c r="J82" s="15">
        <v>0</v>
      </c>
      <c r="K82" s="15">
        <v>0</v>
      </c>
      <c r="L82" s="15">
        <v>0</v>
      </c>
      <c r="M82" s="1">
        <v>0</v>
      </c>
      <c r="N82" s="1">
        <v>0</v>
      </c>
      <c r="O82" s="1">
        <v>0</v>
      </c>
      <c r="Q82" s="27" t="str">
        <f t="shared" si="21"/>
        <v>Sueldos</v>
      </c>
      <c r="R82" s="29" t="str">
        <f t="shared" si="22"/>
        <v>Sueldo</v>
      </c>
      <c r="S82" s="20" t="str">
        <f t="shared" si="23"/>
        <v>Paolo Tito</v>
      </c>
      <c r="T82" s="30">
        <f t="shared" si="24"/>
        <v>1</v>
      </c>
      <c r="U82" s="30">
        <f t="shared" si="7"/>
        <v>1</v>
      </c>
      <c r="V82" s="30">
        <f t="shared" si="8"/>
        <v>1</v>
      </c>
      <c r="W82" s="30">
        <f t="shared" si="9"/>
        <v>1</v>
      </c>
      <c r="X82" s="30">
        <f t="shared" si="10"/>
        <v>1</v>
      </c>
      <c r="Y82" s="30">
        <f t="shared" si="11"/>
        <v>0</v>
      </c>
      <c r="Z82" s="30">
        <f t="shared" si="12"/>
        <v>0</v>
      </c>
      <c r="AA82" s="30">
        <f t="shared" si="13"/>
        <v>0</v>
      </c>
      <c r="AB82" s="30">
        <f t="shared" si="14"/>
        <v>0</v>
      </c>
      <c r="AC82" s="30">
        <f t="shared" si="15"/>
        <v>0</v>
      </c>
      <c r="AD82" s="30">
        <f t="shared" si="16"/>
        <v>0</v>
      </c>
      <c r="AE82" s="30">
        <f t="shared" si="17"/>
        <v>0</v>
      </c>
      <c r="AG82" s="27" t="s">
        <v>17</v>
      </c>
      <c r="AH82" s="29" t="s">
        <v>56</v>
      </c>
      <c r="AI82" s="20" t="s">
        <v>130</v>
      </c>
      <c r="AJ82" s="30">
        <v>1994.7089861106258</v>
      </c>
      <c r="AK82" s="30">
        <v>1637.1014051760651</v>
      </c>
      <c r="AL82" s="30">
        <v>1663.8797142489532</v>
      </c>
      <c r="AM82" s="30">
        <v>1698.8277208524814</v>
      </c>
      <c r="AN82" s="30">
        <v>6991.7564724380973</v>
      </c>
      <c r="AO82" s="30">
        <v>0</v>
      </c>
      <c r="AP82" s="30">
        <v>0</v>
      </c>
      <c r="AQ82" s="30">
        <v>0</v>
      </c>
      <c r="AR82" s="30">
        <v>0</v>
      </c>
      <c r="AS82" s="31">
        <v>0</v>
      </c>
      <c r="AT82" s="31">
        <v>0</v>
      </c>
      <c r="AU82" s="31">
        <v>0</v>
      </c>
      <c r="AW82" t="str">
        <f t="shared" si="25"/>
        <v xml:space="preserve"> </v>
      </c>
    </row>
    <row r="83" spans="1:50" x14ac:dyDescent="0.2">
      <c r="A83" t="s">
        <v>17</v>
      </c>
      <c r="B83" t="s">
        <v>56</v>
      </c>
      <c r="C83" t="s">
        <v>131</v>
      </c>
      <c r="D83" s="15">
        <v>2955.3281485219559</v>
      </c>
      <c r="E83" s="15">
        <v>2832.3587619164009</v>
      </c>
      <c r="F83" s="15">
        <v>4206.8493260566584</v>
      </c>
      <c r="G83" s="15">
        <v>4151.3955187014362</v>
      </c>
      <c r="H83" s="15">
        <v>4233.2228522959704</v>
      </c>
      <c r="I83" s="15">
        <v>4338.0264052681796</v>
      </c>
      <c r="J83" s="15">
        <v>4333.525977353097</v>
      </c>
      <c r="K83" s="15">
        <v>4449.8699251918342</v>
      </c>
      <c r="L83" s="15">
        <v>4531.8153609341625</v>
      </c>
      <c r="M83" s="1">
        <v>4395.2616957321889</v>
      </c>
      <c r="N83" s="1">
        <v>4512.1243827754388</v>
      </c>
      <c r="O83" s="1">
        <v>5110.4953460529696</v>
      </c>
      <c r="Q83" s="27" t="str">
        <f t="shared" si="21"/>
        <v>Sueldos</v>
      </c>
      <c r="R83" s="29" t="str">
        <f t="shared" si="22"/>
        <v>Sueldo</v>
      </c>
      <c r="S83" s="20" t="str">
        <f t="shared" si="23"/>
        <v>Pedro Aguiluz P.</v>
      </c>
      <c r="T83" s="30">
        <f t="shared" si="24"/>
        <v>1</v>
      </c>
      <c r="U83" s="30">
        <f t="shared" si="7"/>
        <v>1</v>
      </c>
      <c r="V83" s="30">
        <f t="shared" si="8"/>
        <v>1</v>
      </c>
      <c r="W83" s="30">
        <f t="shared" si="9"/>
        <v>1</v>
      </c>
      <c r="X83" s="30">
        <f t="shared" si="10"/>
        <v>1</v>
      </c>
      <c r="Y83" s="30">
        <f t="shared" si="11"/>
        <v>1</v>
      </c>
      <c r="Z83" s="30">
        <f t="shared" si="12"/>
        <v>1</v>
      </c>
      <c r="AA83" s="30">
        <f t="shared" si="13"/>
        <v>1</v>
      </c>
      <c r="AB83" s="30">
        <f t="shared" si="14"/>
        <v>1</v>
      </c>
      <c r="AC83" s="30">
        <f t="shared" si="15"/>
        <v>1</v>
      </c>
      <c r="AD83" s="30">
        <f t="shared" si="16"/>
        <v>1</v>
      </c>
      <c r="AE83" s="30">
        <f t="shared" si="17"/>
        <v>1</v>
      </c>
      <c r="AG83" s="27" t="s">
        <v>17</v>
      </c>
      <c r="AH83" s="29" t="s">
        <v>56</v>
      </c>
      <c r="AI83" s="20" t="s">
        <v>131</v>
      </c>
      <c r="AJ83" s="30">
        <v>2955.3281485219559</v>
      </c>
      <c r="AK83" s="30">
        <v>2832.3587619164009</v>
      </c>
      <c r="AL83" s="30">
        <v>4206.8493260566584</v>
      </c>
      <c r="AM83" s="30">
        <v>4151.3955187014362</v>
      </c>
      <c r="AN83" s="30">
        <v>4233.2228522959704</v>
      </c>
      <c r="AO83" s="30">
        <v>4338.0264052681796</v>
      </c>
      <c r="AP83" s="30">
        <v>4333.525977353097</v>
      </c>
      <c r="AQ83" s="30">
        <v>4449.8699251918342</v>
      </c>
      <c r="AR83" s="30">
        <v>4531.8153609341625</v>
      </c>
      <c r="AS83" s="31">
        <v>4395.2616957321889</v>
      </c>
      <c r="AT83" s="31">
        <v>4512.1243827754388</v>
      </c>
      <c r="AU83" s="31">
        <v>5110.4953460529696</v>
      </c>
      <c r="AW83" t="str">
        <f t="shared" si="25"/>
        <v>Pedro Aguiluz P.</v>
      </c>
      <c r="AX83" t="s">
        <v>190</v>
      </c>
    </row>
    <row r="84" spans="1:50" x14ac:dyDescent="0.2">
      <c r="A84" t="s">
        <v>17</v>
      </c>
      <c r="B84" t="s">
        <v>56</v>
      </c>
      <c r="C84" t="s">
        <v>132</v>
      </c>
      <c r="D84" s="15">
        <v>655.65171780750063</v>
      </c>
      <c r="E84" s="15">
        <v>658.4</v>
      </c>
      <c r="F84" s="15">
        <v>671.86240257995166</v>
      </c>
      <c r="G84" s="15">
        <v>669.52</v>
      </c>
      <c r="H84" s="15">
        <v>666.13</v>
      </c>
      <c r="I84" s="15">
        <v>654.96</v>
      </c>
      <c r="J84" s="15">
        <v>0</v>
      </c>
      <c r="K84" s="15">
        <v>0</v>
      </c>
      <c r="L84" s="15">
        <v>0</v>
      </c>
      <c r="M84" s="1">
        <v>0</v>
      </c>
      <c r="N84" s="1">
        <v>0</v>
      </c>
      <c r="O84" s="1">
        <v>0</v>
      </c>
      <c r="Q84" s="27" t="str">
        <f t="shared" si="21"/>
        <v>Sueldos</v>
      </c>
      <c r="R84" s="29" t="str">
        <f t="shared" si="22"/>
        <v>Sueldo</v>
      </c>
      <c r="S84" s="20" t="str">
        <f t="shared" si="23"/>
        <v>Pedro Ccanto</v>
      </c>
      <c r="T84" s="30">
        <f t="shared" si="24"/>
        <v>1</v>
      </c>
      <c r="U84" s="30">
        <f t="shared" si="7"/>
        <v>1</v>
      </c>
      <c r="V84" s="30">
        <f t="shared" si="8"/>
        <v>1</v>
      </c>
      <c r="W84" s="30">
        <f t="shared" si="9"/>
        <v>1</v>
      </c>
      <c r="X84" s="30">
        <f t="shared" si="10"/>
        <v>1</v>
      </c>
      <c r="Y84" s="30">
        <f t="shared" si="11"/>
        <v>1</v>
      </c>
      <c r="Z84" s="30">
        <f t="shared" si="12"/>
        <v>0</v>
      </c>
      <c r="AA84" s="30">
        <f t="shared" si="13"/>
        <v>0</v>
      </c>
      <c r="AB84" s="30">
        <f t="shared" si="14"/>
        <v>0</v>
      </c>
      <c r="AC84" s="30">
        <f t="shared" si="15"/>
        <v>0</v>
      </c>
      <c r="AD84" s="30">
        <f t="shared" si="16"/>
        <v>0</v>
      </c>
      <c r="AE84" s="30">
        <f t="shared" si="17"/>
        <v>0</v>
      </c>
      <c r="AG84" s="27" t="s">
        <v>17</v>
      </c>
      <c r="AH84" s="29" t="s">
        <v>56</v>
      </c>
      <c r="AI84" s="20" t="s">
        <v>132</v>
      </c>
      <c r="AJ84" s="30">
        <v>655.65171780750063</v>
      </c>
      <c r="AK84" s="30">
        <v>658.4</v>
      </c>
      <c r="AL84" s="30">
        <v>671.86240257995166</v>
      </c>
      <c r="AM84" s="30">
        <v>669.52</v>
      </c>
      <c r="AN84" s="30">
        <v>666.13</v>
      </c>
      <c r="AO84" s="30">
        <v>654.96</v>
      </c>
      <c r="AP84" s="30">
        <v>0</v>
      </c>
      <c r="AQ84" s="30">
        <v>0</v>
      </c>
      <c r="AR84" s="30">
        <v>0</v>
      </c>
      <c r="AS84" s="31">
        <v>0</v>
      </c>
      <c r="AT84" s="31">
        <v>0</v>
      </c>
      <c r="AU84" s="31">
        <v>0</v>
      </c>
      <c r="AW84" t="str">
        <f t="shared" si="25"/>
        <v xml:space="preserve"> </v>
      </c>
    </row>
    <row r="85" spans="1:50" x14ac:dyDescent="0.2">
      <c r="A85" t="s">
        <v>17</v>
      </c>
      <c r="B85" t="s">
        <v>56</v>
      </c>
      <c r="C85" t="s">
        <v>133</v>
      </c>
      <c r="D85" s="15">
        <v>0</v>
      </c>
      <c r="E85" s="15">
        <v>72.656314871709696</v>
      </c>
      <c r="F85" s="15">
        <v>118.81024454247725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">
        <v>0</v>
      </c>
      <c r="N85" s="1">
        <v>0</v>
      </c>
      <c r="O85" s="1">
        <v>0</v>
      </c>
      <c r="Q85" s="27" t="str">
        <f t="shared" si="21"/>
        <v>Sueldos</v>
      </c>
      <c r="R85" s="29" t="str">
        <f t="shared" si="22"/>
        <v>Sueldo</v>
      </c>
      <c r="S85" s="20" t="str">
        <f t="shared" si="23"/>
        <v>Reemplazo serv aseo of (vacaciones Gladys)</v>
      </c>
      <c r="T85" s="30">
        <f t="shared" si="24"/>
        <v>0</v>
      </c>
      <c r="U85" s="30">
        <f t="shared" si="7"/>
        <v>1</v>
      </c>
      <c r="V85" s="30">
        <f t="shared" si="8"/>
        <v>1</v>
      </c>
      <c r="W85" s="30">
        <f t="shared" si="9"/>
        <v>0</v>
      </c>
      <c r="X85" s="30">
        <f t="shared" si="10"/>
        <v>0</v>
      </c>
      <c r="Y85" s="30">
        <f t="shared" si="11"/>
        <v>0</v>
      </c>
      <c r="Z85" s="30">
        <f t="shared" si="12"/>
        <v>0</v>
      </c>
      <c r="AA85" s="30">
        <f t="shared" si="13"/>
        <v>0</v>
      </c>
      <c r="AB85" s="30">
        <f t="shared" si="14"/>
        <v>0</v>
      </c>
      <c r="AC85" s="30">
        <f t="shared" si="15"/>
        <v>0</v>
      </c>
      <c r="AD85" s="30">
        <f t="shared" si="16"/>
        <v>0</v>
      </c>
      <c r="AE85" s="30">
        <f t="shared" si="17"/>
        <v>0</v>
      </c>
      <c r="AG85" s="27" t="s">
        <v>17</v>
      </c>
      <c r="AH85" s="29" t="s">
        <v>56</v>
      </c>
      <c r="AI85" s="20" t="s">
        <v>133</v>
      </c>
      <c r="AJ85" s="30">
        <v>0</v>
      </c>
      <c r="AK85" s="30">
        <v>72.656314871709696</v>
      </c>
      <c r="AL85" s="30">
        <v>118.81024454247725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1">
        <v>0</v>
      </c>
      <c r="AT85" s="31">
        <v>0</v>
      </c>
      <c r="AU85" s="31">
        <v>0</v>
      </c>
      <c r="AW85" t="str">
        <f t="shared" si="25"/>
        <v xml:space="preserve"> </v>
      </c>
    </row>
    <row r="86" spans="1:50" x14ac:dyDescent="0.2">
      <c r="A86" t="s">
        <v>17</v>
      </c>
      <c r="B86" t="s">
        <v>56</v>
      </c>
      <c r="C86" t="s">
        <v>134</v>
      </c>
      <c r="D86" s="15">
        <v>9705.5518416242267</v>
      </c>
      <c r="E86" s="15">
        <v>11157.045396476753</v>
      </c>
      <c r="F86" s="15">
        <v>9152.791498194063</v>
      </c>
      <c r="G86" s="15">
        <v>9549.1046683582845</v>
      </c>
      <c r="H86" s="15">
        <v>10859.11633304596</v>
      </c>
      <c r="I86" s="15">
        <v>0</v>
      </c>
      <c r="J86" s="15">
        <v>16952.004255380867</v>
      </c>
      <c r="K86" s="15">
        <v>10674.777150281632</v>
      </c>
      <c r="L86" s="15">
        <v>9423.2521941062078</v>
      </c>
      <c r="M86" s="1">
        <v>13524.19565081439</v>
      </c>
      <c r="N86" s="1">
        <v>13524.19565081439</v>
      </c>
      <c r="O86" s="1">
        <v>13524.19565081439</v>
      </c>
      <c r="Q86" s="27" t="str">
        <f t="shared" si="21"/>
        <v>Sueldos</v>
      </c>
      <c r="R86" s="29" t="str">
        <f t="shared" si="22"/>
        <v>Sueldo</v>
      </c>
      <c r="S86" s="20" t="str">
        <f t="shared" si="23"/>
        <v>Ricardo Miranda</v>
      </c>
      <c r="T86" s="30">
        <f t="shared" si="24"/>
        <v>1</v>
      </c>
      <c r="U86" s="30">
        <f t="shared" si="7"/>
        <v>1</v>
      </c>
      <c r="V86" s="30">
        <f t="shared" si="8"/>
        <v>1</v>
      </c>
      <c r="W86" s="30">
        <f t="shared" si="9"/>
        <v>1</v>
      </c>
      <c r="X86" s="30">
        <f t="shared" si="10"/>
        <v>1</v>
      </c>
      <c r="Y86" s="30">
        <f t="shared" si="11"/>
        <v>0</v>
      </c>
      <c r="Z86" s="30">
        <f t="shared" si="12"/>
        <v>1</v>
      </c>
      <c r="AA86" s="30">
        <f t="shared" si="13"/>
        <v>1</v>
      </c>
      <c r="AB86" s="30">
        <f t="shared" si="14"/>
        <v>1</v>
      </c>
      <c r="AC86" s="30">
        <f t="shared" si="15"/>
        <v>1</v>
      </c>
      <c r="AD86" s="30">
        <f t="shared" si="16"/>
        <v>1</v>
      </c>
      <c r="AE86" s="30">
        <f t="shared" si="17"/>
        <v>1</v>
      </c>
      <c r="AG86" s="27" t="s">
        <v>17</v>
      </c>
      <c r="AH86" s="29" t="s">
        <v>56</v>
      </c>
      <c r="AI86" s="20" t="s">
        <v>134</v>
      </c>
      <c r="AJ86" s="30">
        <v>9705.5518416242267</v>
      </c>
      <c r="AK86" s="30">
        <v>11157.045396476753</v>
      </c>
      <c r="AL86" s="30">
        <v>9152.791498194063</v>
      </c>
      <c r="AM86" s="30">
        <v>9549.1046683582845</v>
      </c>
      <c r="AN86" s="30">
        <v>10859.11633304596</v>
      </c>
      <c r="AO86" s="30">
        <v>0</v>
      </c>
      <c r="AP86" s="30">
        <v>16952.004255380867</v>
      </c>
      <c r="AQ86" s="30">
        <v>10674.777150281632</v>
      </c>
      <c r="AR86" s="30">
        <v>9423.2521941062078</v>
      </c>
      <c r="AS86" s="31">
        <v>13524.19565081439</v>
      </c>
      <c r="AT86" s="31">
        <v>13524.19565081439</v>
      </c>
      <c r="AU86" s="31">
        <v>13524.19565081439</v>
      </c>
      <c r="AW86" t="str">
        <f t="shared" si="25"/>
        <v>Ricardo Miranda</v>
      </c>
      <c r="AX86" t="s">
        <v>198</v>
      </c>
    </row>
    <row r="87" spans="1:50" x14ac:dyDescent="0.2">
      <c r="A87" t="s">
        <v>17</v>
      </c>
      <c r="B87" t="s">
        <v>56</v>
      </c>
      <c r="C87" t="s">
        <v>135</v>
      </c>
      <c r="D87" s="15">
        <v>9029.0692710744734</v>
      </c>
      <c r="E87" s="15">
        <v>6945.5797969994155</v>
      </c>
      <c r="F87" s="15">
        <v>7059.189669855431</v>
      </c>
      <c r="G87" s="15">
        <v>7206.1372995625761</v>
      </c>
      <c r="H87" s="15">
        <v>9933.6703569506808</v>
      </c>
      <c r="I87" s="15">
        <v>6806.0767384134624</v>
      </c>
      <c r="J87" s="15">
        <v>13571.932369566304</v>
      </c>
      <c r="K87" s="15">
        <v>11704.078667802174</v>
      </c>
      <c r="L87" s="15">
        <v>6955.7860830591171</v>
      </c>
      <c r="M87" s="1">
        <v>6856.5216219135027</v>
      </c>
      <c r="N87" s="1">
        <v>10803.107413797175</v>
      </c>
      <c r="O87" s="1">
        <v>15019.652980618712</v>
      </c>
      <c r="Q87" s="27" t="str">
        <f t="shared" si="21"/>
        <v>Sueldos</v>
      </c>
      <c r="R87" s="29" t="str">
        <f t="shared" si="22"/>
        <v>Sueldo</v>
      </c>
      <c r="S87" s="20" t="str">
        <f t="shared" si="23"/>
        <v>Rodrigo Cori Córdova</v>
      </c>
      <c r="T87" s="30">
        <f t="shared" si="24"/>
        <v>1</v>
      </c>
      <c r="U87" s="30">
        <f t="shared" si="7"/>
        <v>1</v>
      </c>
      <c r="V87" s="30">
        <f t="shared" si="8"/>
        <v>1</v>
      </c>
      <c r="W87" s="30">
        <f t="shared" si="9"/>
        <v>1</v>
      </c>
      <c r="X87" s="30">
        <f t="shared" si="10"/>
        <v>1</v>
      </c>
      <c r="Y87" s="30">
        <f t="shared" si="11"/>
        <v>1</v>
      </c>
      <c r="Z87" s="30">
        <f t="shared" si="12"/>
        <v>1</v>
      </c>
      <c r="AA87" s="30">
        <f t="shared" si="13"/>
        <v>1</v>
      </c>
      <c r="AB87" s="30">
        <f t="shared" si="14"/>
        <v>1</v>
      </c>
      <c r="AC87" s="30">
        <f t="shared" si="15"/>
        <v>1</v>
      </c>
      <c r="AD87" s="30">
        <f t="shared" si="16"/>
        <v>1</v>
      </c>
      <c r="AE87" s="30">
        <f t="shared" si="17"/>
        <v>1</v>
      </c>
      <c r="AG87" s="27" t="s">
        <v>17</v>
      </c>
      <c r="AH87" s="29" t="s">
        <v>56</v>
      </c>
      <c r="AI87" s="20" t="s">
        <v>135</v>
      </c>
      <c r="AJ87" s="30">
        <v>9029.0692710744734</v>
      </c>
      <c r="AK87" s="30">
        <v>6945.5797969994155</v>
      </c>
      <c r="AL87" s="30">
        <v>7059.189669855431</v>
      </c>
      <c r="AM87" s="30">
        <v>7206.1372995625761</v>
      </c>
      <c r="AN87" s="30">
        <v>9933.6703569506808</v>
      </c>
      <c r="AO87" s="30">
        <v>6806.0767384134624</v>
      </c>
      <c r="AP87" s="30">
        <v>13571.932369566304</v>
      </c>
      <c r="AQ87" s="30">
        <v>11704.078667802174</v>
      </c>
      <c r="AR87" s="30">
        <v>6955.7860830591171</v>
      </c>
      <c r="AS87" s="31">
        <v>6856.5216219135027</v>
      </c>
      <c r="AT87" s="31">
        <v>10803.107413797175</v>
      </c>
      <c r="AU87" s="31">
        <v>15019.652980618712</v>
      </c>
      <c r="AW87" t="str">
        <f t="shared" si="25"/>
        <v>Rodrigo Cori Córdova</v>
      </c>
      <c r="AX87" t="s">
        <v>188</v>
      </c>
    </row>
    <row r="88" spans="1:50" x14ac:dyDescent="0.2">
      <c r="A88" t="s">
        <v>17</v>
      </c>
      <c r="B88" t="s">
        <v>56</v>
      </c>
      <c r="C88" t="s">
        <v>136</v>
      </c>
      <c r="D88" s="15">
        <v>0</v>
      </c>
      <c r="E88" s="15">
        <v>3372.6943545457543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">
        <v>0</v>
      </c>
      <c r="N88" s="1">
        <v>0</v>
      </c>
      <c r="O88" s="1">
        <v>0</v>
      </c>
      <c r="Q88" s="27" t="str">
        <f t="shared" si="21"/>
        <v>Sueldos</v>
      </c>
      <c r="R88" s="29" t="str">
        <f t="shared" si="22"/>
        <v>Sueldo</v>
      </c>
      <c r="S88" s="20" t="str">
        <f t="shared" si="23"/>
        <v>Rodrigo Pinto H.</v>
      </c>
      <c r="T88" s="30">
        <f t="shared" si="24"/>
        <v>0</v>
      </c>
      <c r="U88" s="30">
        <f t="shared" si="7"/>
        <v>1</v>
      </c>
      <c r="V88" s="30">
        <f t="shared" si="8"/>
        <v>0</v>
      </c>
      <c r="W88" s="30">
        <f t="shared" si="9"/>
        <v>0</v>
      </c>
      <c r="X88" s="30">
        <f t="shared" si="10"/>
        <v>0</v>
      </c>
      <c r="Y88" s="30">
        <f t="shared" si="11"/>
        <v>0</v>
      </c>
      <c r="Z88" s="30">
        <f t="shared" si="12"/>
        <v>0</v>
      </c>
      <c r="AA88" s="30">
        <f t="shared" si="13"/>
        <v>0</v>
      </c>
      <c r="AB88" s="30">
        <f t="shared" si="14"/>
        <v>0</v>
      </c>
      <c r="AC88" s="30">
        <f t="shared" si="15"/>
        <v>0</v>
      </c>
      <c r="AD88" s="30">
        <f t="shared" si="16"/>
        <v>0</v>
      </c>
      <c r="AE88" s="30">
        <f t="shared" si="17"/>
        <v>0</v>
      </c>
      <c r="AG88" s="27" t="s">
        <v>17</v>
      </c>
      <c r="AH88" s="29" t="s">
        <v>56</v>
      </c>
      <c r="AI88" s="20" t="s">
        <v>136</v>
      </c>
      <c r="AJ88" s="30">
        <v>0</v>
      </c>
      <c r="AK88" s="30">
        <v>3372.6943545457543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1">
        <v>0</v>
      </c>
      <c r="AT88" s="31">
        <v>0</v>
      </c>
      <c r="AU88" s="31">
        <v>0</v>
      </c>
      <c r="AW88" t="str">
        <f t="shared" si="25"/>
        <v xml:space="preserve"> </v>
      </c>
    </row>
    <row r="89" spans="1:50" x14ac:dyDescent="0.2">
      <c r="A89" t="s">
        <v>17</v>
      </c>
      <c r="B89" t="s">
        <v>56</v>
      </c>
      <c r="C89" t="s">
        <v>137</v>
      </c>
      <c r="D89" s="15">
        <v>1882.5879735064757</v>
      </c>
      <c r="E89" s="15">
        <v>1803.9649346772444</v>
      </c>
      <c r="F89" s="15">
        <v>1806.7267983264226</v>
      </c>
      <c r="G89" s="15">
        <v>1783.4190601780113</v>
      </c>
      <c r="H89" s="15">
        <v>1819.1621970545318</v>
      </c>
      <c r="I89" s="15">
        <v>1864.6137242332984</v>
      </c>
      <c r="J89" s="15">
        <v>1921.3389656312459</v>
      </c>
      <c r="K89" s="15">
        <v>1910.8176543856423</v>
      </c>
      <c r="L89" s="15">
        <v>1931.1290917073386</v>
      </c>
      <c r="M89" s="1">
        <v>1888.7958895670174</v>
      </c>
      <c r="N89" s="1">
        <v>1939.0158259920495</v>
      </c>
      <c r="O89" s="1">
        <v>2196.1565138769788</v>
      </c>
      <c r="Q89" s="27" t="str">
        <f t="shared" si="21"/>
        <v>Sueldos</v>
      </c>
      <c r="R89" s="29" t="str">
        <f t="shared" si="22"/>
        <v>Sueldo</v>
      </c>
      <c r="S89" s="20" t="str">
        <f t="shared" si="23"/>
        <v>Roxana Avilés</v>
      </c>
      <c r="T89" s="30">
        <f t="shared" si="24"/>
        <v>1</v>
      </c>
      <c r="U89" s="30">
        <f t="shared" ref="U89:U110" si="26">+IF(E89&gt;0,1,0)</f>
        <v>1</v>
      </c>
      <c r="V89" s="30">
        <f t="shared" ref="V89:V110" si="27">+IF(F89&gt;0,1,0)</f>
        <v>1</v>
      </c>
      <c r="W89" s="30">
        <f t="shared" ref="W89:W110" si="28">+IF(G89&gt;0,1,0)</f>
        <v>1</v>
      </c>
      <c r="X89" s="30">
        <f t="shared" ref="X89:X110" si="29">+IF(H89&gt;0,1,0)</f>
        <v>1</v>
      </c>
      <c r="Y89" s="30">
        <f t="shared" ref="Y89:Y110" si="30">+IF(I89&gt;0,1,0)</f>
        <v>1</v>
      </c>
      <c r="Z89" s="30">
        <f t="shared" ref="Z89:Z110" si="31">+IF(J89&gt;0,1,0)</f>
        <v>1</v>
      </c>
      <c r="AA89" s="30">
        <f t="shared" ref="AA89:AA110" si="32">+IF(K89&gt;0,1,0)</f>
        <v>1</v>
      </c>
      <c r="AB89" s="30">
        <f t="shared" ref="AB89:AB110" si="33">+IF(L89&gt;0,1,0)</f>
        <v>1</v>
      </c>
      <c r="AC89" s="30">
        <f t="shared" ref="AC89:AC110" si="34">+IF(M89&gt;0,1,0)</f>
        <v>1</v>
      </c>
      <c r="AD89" s="30">
        <f t="shared" ref="AD89:AD110" si="35">+IF(N89&gt;0,1,0)</f>
        <v>1</v>
      </c>
      <c r="AE89" s="30">
        <f t="shared" ref="AE89:AE110" si="36">+IF(O89&gt;0,1,0)</f>
        <v>1</v>
      </c>
      <c r="AG89" s="27" t="s">
        <v>17</v>
      </c>
      <c r="AH89" s="29" t="s">
        <v>56</v>
      </c>
      <c r="AI89" s="20" t="s">
        <v>137</v>
      </c>
      <c r="AJ89" s="30">
        <v>1882.5879735064757</v>
      </c>
      <c r="AK89" s="30">
        <v>1803.9649346772444</v>
      </c>
      <c r="AL89" s="30">
        <v>1806.7267983264226</v>
      </c>
      <c r="AM89" s="30">
        <v>1783.4190601780113</v>
      </c>
      <c r="AN89" s="30">
        <v>1819.1621970545318</v>
      </c>
      <c r="AO89" s="30">
        <v>1864.6137242332984</v>
      </c>
      <c r="AP89" s="30">
        <v>1921.3389656312459</v>
      </c>
      <c r="AQ89" s="30">
        <v>1910.8176543856423</v>
      </c>
      <c r="AR89" s="30">
        <v>1931.1290917073386</v>
      </c>
      <c r="AS89" s="31">
        <v>1888.7958895670174</v>
      </c>
      <c r="AT89" s="31">
        <v>1939.0158259920495</v>
      </c>
      <c r="AU89" s="31">
        <v>2196.1565138769788</v>
      </c>
      <c r="AW89" t="str">
        <f t="shared" si="25"/>
        <v>Roxana Avilés</v>
      </c>
      <c r="AX89" t="s">
        <v>182</v>
      </c>
    </row>
    <row r="90" spans="1:50" x14ac:dyDescent="0.2">
      <c r="A90" t="s">
        <v>17</v>
      </c>
      <c r="B90" t="s">
        <v>56</v>
      </c>
      <c r="C90" t="s">
        <v>138</v>
      </c>
      <c r="D90" s="15">
        <v>1607.8028813760129</v>
      </c>
      <c r="E90" s="15">
        <v>1541.087584869417</v>
      </c>
      <c r="F90" s="15">
        <v>1544.3974903352901</v>
      </c>
      <c r="G90" s="15">
        <v>513.72150752003313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">
        <v>0</v>
      </c>
      <c r="N90" s="1">
        <v>0</v>
      </c>
      <c r="O90" s="1">
        <v>0</v>
      </c>
      <c r="Q90" s="27" t="str">
        <f t="shared" si="21"/>
        <v>Sueldos</v>
      </c>
      <c r="R90" s="29" t="str">
        <f t="shared" si="22"/>
        <v>Sueldo</v>
      </c>
      <c r="S90" s="20" t="str">
        <f t="shared" si="23"/>
        <v>Sebastián González</v>
      </c>
      <c r="T90" s="30">
        <f t="shared" si="24"/>
        <v>1</v>
      </c>
      <c r="U90" s="30">
        <f t="shared" si="26"/>
        <v>1</v>
      </c>
      <c r="V90" s="30">
        <f t="shared" si="27"/>
        <v>1</v>
      </c>
      <c r="W90" s="30">
        <f t="shared" si="28"/>
        <v>1</v>
      </c>
      <c r="X90" s="30">
        <f t="shared" si="29"/>
        <v>0</v>
      </c>
      <c r="Y90" s="30">
        <f t="shared" si="30"/>
        <v>0</v>
      </c>
      <c r="Z90" s="30">
        <f t="shared" si="31"/>
        <v>0</v>
      </c>
      <c r="AA90" s="30">
        <f t="shared" si="32"/>
        <v>0</v>
      </c>
      <c r="AB90" s="30">
        <f t="shared" si="33"/>
        <v>0</v>
      </c>
      <c r="AC90" s="30">
        <f t="shared" si="34"/>
        <v>0</v>
      </c>
      <c r="AD90" s="30">
        <f t="shared" si="35"/>
        <v>0</v>
      </c>
      <c r="AE90" s="30">
        <f t="shared" si="36"/>
        <v>0</v>
      </c>
      <c r="AG90" s="27" t="s">
        <v>17</v>
      </c>
      <c r="AH90" s="29" t="s">
        <v>56</v>
      </c>
      <c r="AI90" s="20" t="s">
        <v>138</v>
      </c>
      <c r="AJ90" s="30">
        <v>1607.8028813760129</v>
      </c>
      <c r="AK90" s="30">
        <v>1541.087584869417</v>
      </c>
      <c r="AL90" s="30">
        <v>1544.3974903352901</v>
      </c>
      <c r="AM90" s="30">
        <v>513.72150752003313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1">
        <v>0</v>
      </c>
      <c r="AT90" s="31">
        <v>0</v>
      </c>
      <c r="AU90" s="31">
        <v>0</v>
      </c>
      <c r="AW90" t="str">
        <f t="shared" si="25"/>
        <v xml:space="preserve"> </v>
      </c>
    </row>
    <row r="91" spans="1:50" x14ac:dyDescent="0.2">
      <c r="A91" t="s">
        <v>17</v>
      </c>
      <c r="B91" t="s">
        <v>56</v>
      </c>
      <c r="C91" t="s">
        <v>139</v>
      </c>
      <c r="D91" s="15">
        <v>675.02842169564315</v>
      </c>
      <c r="E91" s="15">
        <v>554.01062780915913</v>
      </c>
      <c r="F91" s="15">
        <v>563.06825328181446</v>
      </c>
      <c r="G91" s="15">
        <v>574.89324901322368</v>
      </c>
      <c r="H91" s="15">
        <v>2217.0895953706231</v>
      </c>
      <c r="I91" s="15">
        <v>0</v>
      </c>
      <c r="J91" s="15">
        <v>0</v>
      </c>
      <c r="K91" s="15">
        <v>0</v>
      </c>
      <c r="L91" s="15">
        <v>0</v>
      </c>
      <c r="M91" s="1">
        <v>0</v>
      </c>
      <c r="N91" s="1">
        <v>0</v>
      </c>
      <c r="O91" s="1">
        <v>0</v>
      </c>
      <c r="Q91" s="27" t="str">
        <f t="shared" si="21"/>
        <v>Sueldos</v>
      </c>
      <c r="R91" s="29" t="str">
        <f t="shared" si="22"/>
        <v>Sueldo</v>
      </c>
      <c r="S91" s="20" t="str">
        <f t="shared" si="23"/>
        <v>Thalia Rimac</v>
      </c>
      <c r="T91" s="30">
        <f t="shared" si="24"/>
        <v>1</v>
      </c>
      <c r="U91" s="30">
        <f t="shared" si="26"/>
        <v>1</v>
      </c>
      <c r="V91" s="30">
        <f t="shared" si="27"/>
        <v>1</v>
      </c>
      <c r="W91" s="30">
        <f t="shared" si="28"/>
        <v>1</v>
      </c>
      <c r="X91" s="30">
        <f t="shared" si="29"/>
        <v>1</v>
      </c>
      <c r="Y91" s="30">
        <f t="shared" si="30"/>
        <v>0</v>
      </c>
      <c r="Z91" s="30">
        <f t="shared" si="31"/>
        <v>0</v>
      </c>
      <c r="AA91" s="30">
        <f t="shared" si="32"/>
        <v>0</v>
      </c>
      <c r="AB91" s="30">
        <f t="shared" si="33"/>
        <v>0</v>
      </c>
      <c r="AC91" s="30">
        <f t="shared" si="34"/>
        <v>0</v>
      </c>
      <c r="AD91" s="30">
        <f t="shared" si="35"/>
        <v>0</v>
      </c>
      <c r="AE91" s="30">
        <f t="shared" si="36"/>
        <v>0</v>
      </c>
      <c r="AG91" s="27" t="s">
        <v>17</v>
      </c>
      <c r="AH91" s="29" t="s">
        <v>56</v>
      </c>
      <c r="AI91" s="20" t="s">
        <v>139</v>
      </c>
      <c r="AJ91" s="30">
        <v>675.02842169564315</v>
      </c>
      <c r="AK91" s="30">
        <v>554.01062780915913</v>
      </c>
      <c r="AL91" s="30">
        <v>563.06825328181446</v>
      </c>
      <c r="AM91" s="30">
        <v>574.89324901322368</v>
      </c>
      <c r="AN91" s="30">
        <v>2217.0895953706231</v>
      </c>
      <c r="AO91" s="30">
        <v>0</v>
      </c>
      <c r="AP91" s="30">
        <v>0</v>
      </c>
      <c r="AQ91" s="30">
        <v>0</v>
      </c>
      <c r="AR91" s="30">
        <v>0</v>
      </c>
      <c r="AS91" s="31">
        <v>0</v>
      </c>
      <c r="AT91" s="31">
        <v>0</v>
      </c>
      <c r="AU91" s="31">
        <v>0</v>
      </c>
      <c r="AW91" t="str">
        <f t="shared" si="25"/>
        <v xml:space="preserve"> </v>
      </c>
    </row>
    <row r="92" spans="1:50" x14ac:dyDescent="0.2">
      <c r="A92" t="s">
        <v>17</v>
      </c>
      <c r="B92" t="s">
        <v>56</v>
      </c>
      <c r="C92" t="s">
        <v>140</v>
      </c>
      <c r="D92" s="15">
        <v>3478.5661059451559</v>
      </c>
      <c r="E92" s="15">
        <v>2854.9354816636987</v>
      </c>
      <c r="F92" s="15">
        <v>2901.6340822937086</v>
      </c>
      <c r="G92" s="15">
        <v>2962.5716676471325</v>
      </c>
      <c r="H92" s="15">
        <v>4083.9189745772428</v>
      </c>
      <c r="I92" s="15">
        <v>2798.1088741096232</v>
      </c>
      <c r="J92" s="15">
        <v>5587.9320694312446</v>
      </c>
      <c r="K92" s="15">
        <v>4820.2370887600146</v>
      </c>
      <c r="L92" s="15">
        <v>2863.9712640417565</v>
      </c>
      <c r="M92" s="1">
        <v>2818.3286970011955</v>
      </c>
      <c r="N92" s="1">
        <v>4440.5471637080545</v>
      </c>
      <c r="O92" s="1">
        <v>6183.9978476705182</v>
      </c>
      <c r="Q92" s="27" t="str">
        <f t="shared" si="21"/>
        <v>Sueldos</v>
      </c>
      <c r="R92" s="29" t="str">
        <f t="shared" si="22"/>
        <v>Sueldo</v>
      </c>
      <c r="S92" s="20" t="str">
        <f t="shared" si="23"/>
        <v>Victor Arias</v>
      </c>
      <c r="T92" s="30">
        <f t="shared" si="24"/>
        <v>1</v>
      </c>
      <c r="U92" s="30">
        <f t="shared" si="26"/>
        <v>1</v>
      </c>
      <c r="V92" s="30">
        <f t="shared" si="27"/>
        <v>1</v>
      </c>
      <c r="W92" s="30">
        <f t="shared" si="28"/>
        <v>1</v>
      </c>
      <c r="X92" s="30">
        <f t="shared" si="29"/>
        <v>1</v>
      </c>
      <c r="Y92" s="30">
        <f t="shared" si="30"/>
        <v>1</v>
      </c>
      <c r="Z92" s="30">
        <f t="shared" si="31"/>
        <v>1</v>
      </c>
      <c r="AA92" s="30">
        <f t="shared" si="32"/>
        <v>1</v>
      </c>
      <c r="AB92" s="30">
        <f t="shared" si="33"/>
        <v>1</v>
      </c>
      <c r="AC92" s="30">
        <f t="shared" si="34"/>
        <v>1</v>
      </c>
      <c r="AD92" s="30">
        <f t="shared" si="35"/>
        <v>1</v>
      </c>
      <c r="AE92" s="30">
        <f t="shared" si="36"/>
        <v>1</v>
      </c>
      <c r="AG92" s="27" t="s">
        <v>17</v>
      </c>
      <c r="AH92" s="29" t="s">
        <v>56</v>
      </c>
      <c r="AI92" s="20" t="s">
        <v>140</v>
      </c>
      <c r="AJ92" s="30">
        <v>3478.5661059451559</v>
      </c>
      <c r="AK92" s="30">
        <v>2854.9354816636987</v>
      </c>
      <c r="AL92" s="30">
        <v>2901.6340822937086</v>
      </c>
      <c r="AM92" s="30">
        <v>2962.5716676471325</v>
      </c>
      <c r="AN92" s="30">
        <v>4083.9189745772428</v>
      </c>
      <c r="AO92" s="30">
        <v>2798.1088741096232</v>
      </c>
      <c r="AP92" s="30">
        <v>5587.9320694312446</v>
      </c>
      <c r="AQ92" s="30">
        <v>4820.2370887600146</v>
      </c>
      <c r="AR92" s="30">
        <v>2863.9712640417565</v>
      </c>
      <c r="AS92" s="31">
        <v>2818.3286970011955</v>
      </c>
      <c r="AT92" s="31">
        <v>4440.5471637080545</v>
      </c>
      <c r="AU92" s="31">
        <v>6183.9978476705182</v>
      </c>
      <c r="AW92" t="str">
        <f t="shared" si="25"/>
        <v>Victor Arias</v>
      </c>
      <c r="AX92" t="s">
        <v>182</v>
      </c>
    </row>
    <row r="93" spans="1:50" x14ac:dyDescent="0.2">
      <c r="A93" t="s">
        <v>17</v>
      </c>
      <c r="B93" t="s">
        <v>56</v>
      </c>
      <c r="C93" t="s">
        <v>141</v>
      </c>
      <c r="D93" s="15">
        <v>2200.2998415960069</v>
      </c>
      <c r="E93" s="15">
        <v>1799.0397894943681</v>
      </c>
      <c r="F93" s="15">
        <v>2524.109595633995</v>
      </c>
      <c r="G93" s="15">
        <v>2467.2148251001795</v>
      </c>
      <c r="H93" s="15">
        <v>2517.6786859750741</v>
      </c>
      <c r="I93" s="15">
        <v>2581.3299968522501</v>
      </c>
      <c r="J93" s="15">
        <v>2614.7412962326516</v>
      </c>
      <c r="K93" s="15">
        <v>2655.4243470145902</v>
      </c>
      <c r="L93" s="15">
        <v>2625.4618605605847</v>
      </c>
      <c r="M93" s="1">
        <v>2614.0501165975261</v>
      </c>
      <c r="N93" s="1">
        <v>2683.5533548206181</v>
      </c>
      <c r="O93" s="1">
        <v>3039.4301591171675</v>
      </c>
      <c r="Q93" s="27" t="str">
        <f t="shared" si="21"/>
        <v>Sueldos</v>
      </c>
      <c r="R93" s="29" t="str">
        <f t="shared" si="22"/>
        <v>Sueldo</v>
      </c>
      <c r="S93" s="20" t="str">
        <f t="shared" si="23"/>
        <v>Victor Mohana Tapia</v>
      </c>
      <c r="T93" s="30">
        <f t="shared" si="24"/>
        <v>1</v>
      </c>
      <c r="U93" s="30">
        <f t="shared" si="26"/>
        <v>1</v>
      </c>
      <c r="V93" s="30">
        <f t="shared" si="27"/>
        <v>1</v>
      </c>
      <c r="W93" s="30">
        <f t="shared" si="28"/>
        <v>1</v>
      </c>
      <c r="X93" s="30">
        <f t="shared" si="29"/>
        <v>1</v>
      </c>
      <c r="Y93" s="30">
        <f t="shared" si="30"/>
        <v>1</v>
      </c>
      <c r="Z93" s="30">
        <f t="shared" si="31"/>
        <v>1</v>
      </c>
      <c r="AA93" s="30">
        <f t="shared" si="32"/>
        <v>1</v>
      </c>
      <c r="AB93" s="30">
        <f t="shared" si="33"/>
        <v>1</v>
      </c>
      <c r="AC93" s="30">
        <f t="shared" si="34"/>
        <v>1</v>
      </c>
      <c r="AD93" s="30">
        <f t="shared" si="35"/>
        <v>1</v>
      </c>
      <c r="AE93" s="30">
        <f t="shared" si="36"/>
        <v>1</v>
      </c>
      <c r="AG93" s="27" t="s">
        <v>17</v>
      </c>
      <c r="AH93" s="29" t="s">
        <v>56</v>
      </c>
      <c r="AI93" s="20" t="s">
        <v>141</v>
      </c>
      <c r="AJ93" s="30">
        <v>2200.2998415960069</v>
      </c>
      <c r="AK93" s="30">
        <v>1799.0397894943681</v>
      </c>
      <c r="AL93" s="30">
        <v>2524.109595633995</v>
      </c>
      <c r="AM93" s="30">
        <v>2467.2148251001795</v>
      </c>
      <c r="AN93" s="30">
        <v>2517.6786859750741</v>
      </c>
      <c r="AO93" s="30">
        <v>2581.3299968522501</v>
      </c>
      <c r="AP93" s="30">
        <v>2614.7412962326516</v>
      </c>
      <c r="AQ93" s="30">
        <v>2655.4243470145902</v>
      </c>
      <c r="AR93" s="30">
        <v>2625.4618605605847</v>
      </c>
      <c r="AS93" s="31">
        <v>2614.0501165975261</v>
      </c>
      <c r="AT93" s="31">
        <v>2683.5533548206181</v>
      </c>
      <c r="AU93" s="31">
        <v>3039.4301591171675</v>
      </c>
      <c r="AW93" t="str">
        <f t="shared" si="25"/>
        <v>Victor Mohana Tapia</v>
      </c>
      <c r="AX93" t="s">
        <v>193</v>
      </c>
    </row>
    <row r="94" spans="1:50" x14ac:dyDescent="0.2">
      <c r="A94" t="s">
        <v>17</v>
      </c>
      <c r="B94" t="s">
        <v>56</v>
      </c>
      <c r="C94" t="s">
        <v>142</v>
      </c>
      <c r="D94" s="15">
        <v>1192.3894906095184</v>
      </c>
      <c r="E94" s="15">
        <v>978.62020183717868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">
        <v>0</v>
      </c>
      <c r="N94" s="1">
        <v>0</v>
      </c>
      <c r="O94" s="1">
        <v>0</v>
      </c>
      <c r="Q94" s="27" t="str">
        <f t="shared" si="21"/>
        <v>Sueldos</v>
      </c>
      <c r="R94" s="29" t="str">
        <f t="shared" si="22"/>
        <v>Sueldo</v>
      </c>
      <c r="S94" s="20" t="str">
        <f t="shared" si="23"/>
        <v>VILLANUEVA CRISTOBAL PAOLO CESAR</v>
      </c>
      <c r="T94" s="30">
        <f t="shared" si="24"/>
        <v>1</v>
      </c>
      <c r="U94" s="30">
        <f t="shared" si="26"/>
        <v>1</v>
      </c>
      <c r="V94" s="30">
        <f t="shared" si="27"/>
        <v>0</v>
      </c>
      <c r="W94" s="30">
        <f t="shared" si="28"/>
        <v>0</v>
      </c>
      <c r="X94" s="30">
        <f t="shared" si="29"/>
        <v>0</v>
      </c>
      <c r="Y94" s="30">
        <f t="shared" si="30"/>
        <v>0</v>
      </c>
      <c r="Z94" s="30">
        <f t="shared" si="31"/>
        <v>0</v>
      </c>
      <c r="AA94" s="30">
        <f t="shared" si="32"/>
        <v>0</v>
      </c>
      <c r="AB94" s="30">
        <f t="shared" si="33"/>
        <v>0</v>
      </c>
      <c r="AC94" s="30">
        <f t="shared" si="34"/>
        <v>0</v>
      </c>
      <c r="AD94" s="30">
        <f t="shared" si="35"/>
        <v>0</v>
      </c>
      <c r="AE94" s="30">
        <f t="shared" si="36"/>
        <v>0</v>
      </c>
      <c r="AG94" s="27" t="s">
        <v>17</v>
      </c>
      <c r="AH94" s="29" t="s">
        <v>56</v>
      </c>
      <c r="AI94" s="20" t="s">
        <v>142</v>
      </c>
      <c r="AJ94" s="30">
        <v>1192.3894906095184</v>
      </c>
      <c r="AK94" s="30">
        <v>978.62020183717868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1">
        <v>0</v>
      </c>
      <c r="AT94" s="31">
        <v>0</v>
      </c>
      <c r="AU94" s="31">
        <v>0</v>
      </c>
      <c r="AW94" t="str">
        <f t="shared" si="25"/>
        <v xml:space="preserve"> </v>
      </c>
    </row>
    <row r="95" spans="1:50" x14ac:dyDescent="0.2">
      <c r="A95" t="s">
        <v>17</v>
      </c>
      <c r="B95" t="s">
        <v>56</v>
      </c>
      <c r="C95" t="s">
        <v>143</v>
      </c>
      <c r="D95" s="15">
        <v>1835.82</v>
      </c>
      <c r="E95" s="15">
        <v>1843.6</v>
      </c>
      <c r="F95" s="15">
        <v>1881.2147272238644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">
        <v>0</v>
      </c>
      <c r="N95" s="1">
        <v>0</v>
      </c>
      <c r="O95" s="1">
        <v>0</v>
      </c>
      <c r="Q95" s="27" t="str">
        <f t="shared" si="21"/>
        <v>Sueldos</v>
      </c>
      <c r="R95" s="29" t="str">
        <f t="shared" si="22"/>
        <v>Sueldo</v>
      </c>
      <c r="S95" s="20" t="str">
        <f t="shared" si="23"/>
        <v>Walter Lupinta</v>
      </c>
      <c r="T95" s="30">
        <f t="shared" si="24"/>
        <v>1</v>
      </c>
      <c r="U95" s="30">
        <f t="shared" si="26"/>
        <v>1</v>
      </c>
      <c r="V95" s="30">
        <f t="shared" si="27"/>
        <v>1</v>
      </c>
      <c r="W95" s="30">
        <f t="shared" si="28"/>
        <v>0</v>
      </c>
      <c r="X95" s="30">
        <f t="shared" si="29"/>
        <v>0</v>
      </c>
      <c r="Y95" s="30">
        <f t="shared" si="30"/>
        <v>0</v>
      </c>
      <c r="Z95" s="30">
        <f t="shared" si="31"/>
        <v>0</v>
      </c>
      <c r="AA95" s="30">
        <f t="shared" si="32"/>
        <v>0</v>
      </c>
      <c r="AB95" s="30">
        <f t="shared" si="33"/>
        <v>0</v>
      </c>
      <c r="AC95" s="30">
        <f t="shared" si="34"/>
        <v>0</v>
      </c>
      <c r="AD95" s="30">
        <f t="shared" si="35"/>
        <v>0</v>
      </c>
      <c r="AE95" s="30">
        <f t="shared" si="36"/>
        <v>0</v>
      </c>
      <c r="AG95" s="27" t="s">
        <v>17</v>
      </c>
      <c r="AH95" s="29" t="s">
        <v>56</v>
      </c>
      <c r="AI95" s="20" t="s">
        <v>143</v>
      </c>
      <c r="AJ95" s="30">
        <v>1835.82</v>
      </c>
      <c r="AK95" s="30">
        <v>1843.6</v>
      </c>
      <c r="AL95" s="30">
        <v>1881.2147272238644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1">
        <v>0</v>
      </c>
      <c r="AT95" s="31">
        <v>0</v>
      </c>
      <c r="AU95" s="31">
        <v>0</v>
      </c>
      <c r="AW95" t="str">
        <f t="shared" si="25"/>
        <v xml:space="preserve"> </v>
      </c>
    </row>
    <row r="96" spans="1:50" x14ac:dyDescent="0.2">
      <c r="A96" t="s">
        <v>17</v>
      </c>
      <c r="B96" t="s">
        <v>56</v>
      </c>
      <c r="C96" t="s">
        <v>144</v>
      </c>
      <c r="D96" s="15">
        <v>1180.173092053501</v>
      </c>
      <c r="E96" s="15">
        <v>1185.0999999999999</v>
      </c>
      <c r="F96" s="15">
        <v>1209.3523246439129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">
        <v>0</v>
      </c>
      <c r="N96" s="1">
        <v>0</v>
      </c>
      <c r="O96" s="1">
        <v>0</v>
      </c>
      <c r="Q96" s="27" t="str">
        <f t="shared" si="21"/>
        <v>Sueldos</v>
      </c>
      <c r="R96" s="29" t="str">
        <f t="shared" si="22"/>
        <v>Sueldo</v>
      </c>
      <c r="S96" s="20" t="str">
        <f t="shared" si="23"/>
        <v>Yosep Aviles</v>
      </c>
      <c r="T96" s="30">
        <f t="shared" si="24"/>
        <v>1</v>
      </c>
      <c r="U96" s="30">
        <f t="shared" si="26"/>
        <v>1</v>
      </c>
      <c r="V96" s="30">
        <f t="shared" si="27"/>
        <v>1</v>
      </c>
      <c r="W96" s="30">
        <f t="shared" si="28"/>
        <v>0</v>
      </c>
      <c r="X96" s="30">
        <f t="shared" si="29"/>
        <v>0</v>
      </c>
      <c r="Y96" s="30">
        <f t="shared" si="30"/>
        <v>0</v>
      </c>
      <c r="Z96" s="30">
        <f t="shared" si="31"/>
        <v>0</v>
      </c>
      <c r="AA96" s="30">
        <f t="shared" si="32"/>
        <v>0</v>
      </c>
      <c r="AB96" s="30">
        <f t="shared" si="33"/>
        <v>0</v>
      </c>
      <c r="AC96" s="30">
        <f t="shared" si="34"/>
        <v>0</v>
      </c>
      <c r="AD96" s="30">
        <f t="shared" si="35"/>
        <v>0</v>
      </c>
      <c r="AE96" s="30">
        <f t="shared" si="36"/>
        <v>0</v>
      </c>
      <c r="AG96" s="27" t="s">
        <v>17</v>
      </c>
      <c r="AH96" s="29" t="s">
        <v>56</v>
      </c>
      <c r="AI96" s="20" t="s">
        <v>144</v>
      </c>
      <c r="AJ96" s="30">
        <v>1180.173092053501</v>
      </c>
      <c r="AK96" s="30">
        <v>1185.0999999999999</v>
      </c>
      <c r="AL96" s="30">
        <v>1209.3523246439129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1">
        <v>0</v>
      </c>
      <c r="AT96" s="31">
        <v>0</v>
      </c>
      <c r="AU96" s="31">
        <v>0</v>
      </c>
      <c r="AW96" t="str">
        <f t="shared" si="25"/>
        <v xml:space="preserve"> </v>
      </c>
    </row>
    <row r="97" spans="1:50" x14ac:dyDescent="0.2">
      <c r="A97" t="s">
        <v>17</v>
      </c>
      <c r="B97" t="s">
        <v>56</v>
      </c>
      <c r="C97" t="s">
        <v>145</v>
      </c>
      <c r="D97" s="15">
        <v>0</v>
      </c>
      <c r="E97" s="15">
        <v>0</v>
      </c>
      <c r="F97" s="15">
        <v>0</v>
      </c>
      <c r="G97" s="15">
        <v>0</v>
      </c>
      <c r="H97" s="15">
        <v>2056.2748826162488</v>
      </c>
      <c r="I97" s="15">
        <v>1580.6022646048</v>
      </c>
      <c r="J97" s="15">
        <v>1584.398255563138</v>
      </c>
      <c r="K97" s="15">
        <v>1634.3019173474463</v>
      </c>
      <c r="L97" s="15">
        <v>1652.3532107112926</v>
      </c>
      <c r="M97" s="1">
        <v>1613.5681018790374</v>
      </c>
      <c r="N97" s="1">
        <v>1656.4701898925816</v>
      </c>
      <c r="O97" s="1">
        <v>1876.1413645060913</v>
      </c>
      <c r="Q97" s="27" t="str">
        <f t="shared" si="21"/>
        <v>Sueldos</v>
      </c>
      <c r="R97" s="29" t="str">
        <f t="shared" si="22"/>
        <v>Sueldo</v>
      </c>
      <c r="S97" s="20" t="str">
        <f t="shared" si="23"/>
        <v>Cristóbal Ventura</v>
      </c>
      <c r="T97" s="30">
        <f t="shared" si="24"/>
        <v>0</v>
      </c>
      <c r="U97" s="30">
        <f t="shared" si="26"/>
        <v>0</v>
      </c>
      <c r="V97" s="30">
        <f t="shared" si="27"/>
        <v>0</v>
      </c>
      <c r="W97" s="30">
        <f t="shared" si="28"/>
        <v>0</v>
      </c>
      <c r="X97" s="30">
        <f t="shared" si="29"/>
        <v>1</v>
      </c>
      <c r="Y97" s="30">
        <f t="shared" si="30"/>
        <v>1</v>
      </c>
      <c r="Z97" s="30">
        <f t="shared" si="31"/>
        <v>1</v>
      </c>
      <c r="AA97" s="30">
        <f t="shared" si="32"/>
        <v>1</v>
      </c>
      <c r="AB97" s="30">
        <f t="shared" si="33"/>
        <v>1</v>
      </c>
      <c r="AC97" s="30">
        <f t="shared" si="34"/>
        <v>1</v>
      </c>
      <c r="AD97" s="30">
        <f t="shared" si="35"/>
        <v>1</v>
      </c>
      <c r="AE97" s="30">
        <f t="shared" si="36"/>
        <v>1</v>
      </c>
      <c r="AG97" s="27" t="s">
        <v>17</v>
      </c>
      <c r="AH97" s="29" t="s">
        <v>56</v>
      </c>
      <c r="AI97" s="20" t="s">
        <v>145</v>
      </c>
      <c r="AJ97" s="30">
        <v>0</v>
      </c>
      <c r="AK97" s="30">
        <v>0</v>
      </c>
      <c r="AL97" s="30">
        <v>0</v>
      </c>
      <c r="AM97" s="30">
        <v>0</v>
      </c>
      <c r="AN97" s="30">
        <v>2056.2748826162488</v>
      </c>
      <c r="AO97" s="30">
        <v>1580.6022646048</v>
      </c>
      <c r="AP97" s="30">
        <v>1584.398255563138</v>
      </c>
      <c r="AQ97" s="30">
        <v>1634.3019173474463</v>
      </c>
      <c r="AR97" s="30">
        <v>1652.3532107112926</v>
      </c>
      <c r="AS97" s="31">
        <v>1613.5681018790374</v>
      </c>
      <c r="AT97" s="31">
        <v>1656.4701898925816</v>
      </c>
      <c r="AU97" s="31">
        <v>1876.1413645060913</v>
      </c>
      <c r="AW97" t="str">
        <f t="shared" si="25"/>
        <v>Cristóbal Ventura</v>
      </c>
      <c r="AX97" t="s">
        <v>193</v>
      </c>
    </row>
    <row r="98" spans="1:50" x14ac:dyDescent="0.2">
      <c r="A98" t="s">
        <v>17</v>
      </c>
      <c r="B98" t="s">
        <v>56</v>
      </c>
      <c r="C98" t="s">
        <v>146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">
        <v>0</v>
      </c>
      <c r="N98" s="1">
        <v>0</v>
      </c>
      <c r="O98" s="1">
        <v>0</v>
      </c>
      <c r="Q98" s="27" t="str">
        <f t="shared" si="21"/>
        <v>Sueldos</v>
      </c>
      <c r="R98" s="29" t="str">
        <f t="shared" si="22"/>
        <v>Sueldo</v>
      </c>
      <c r="S98" s="20" t="str">
        <f t="shared" si="23"/>
        <v>Gonzalo Parada Provisión</v>
      </c>
      <c r="T98" s="30">
        <f t="shared" si="24"/>
        <v>0</v>
      </c>
      <c r="U98" s="30">
        <f t="shared" si="26"/>
        <v>0</v>
      </c>
      <c r="V98" s="30">
        <f t="shared" si="27"/>
        <v>0</v>
      </c>
      <c r="W98" s="30">
        <f t="shared" si="28"/>
        <v>0</v>
      </c>
      <c r="X98" s="30">
        <f t="shared" si="29"/>
        <v>0</v>
      </c>
      <c r="Y98" s="30">
        <f t="shared" si="30"/>
        <v>0</v>
      </c>
      <c r="Z98" s="30">
        <f t="shared" si="31"/>
        <v>0</v>
      </c>
      <c r="AA98" s="30">
        <f t="shared" si="32"/>
        <v>0</v>
      </c>
      <c r="AB98" s="30">
        <f t="shared" si="33"/>
        <v>0</v>
      </c>
      <c r="AC98" s="30">
        <f t="shared" si="34"/>
        <v>0</v>
      </c>
      <c r="AD98" s="30">
        <f t="shared" si="35"/>
        <v>0</v>
      </c>
      <c r="AE98" s="30">
        <f t="shared" si="36"/>
        <v>0</v>
      </c>
      <c r="AG98" s="27" t="s">
        <v>17</v>
      </c>
      <c r="AH98" s="29" t="s">
        <v>56</v>
      </c>
      <c r="AI98" s="20" t="s">
        <v>146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1">
        <v>0</v>
      </c>
      <c r="AT98" s="31">
        <v>0</v>
      </c>
      <c r="AU98" s="31">
        <v>0</v>
      </c>
      <c r="AW98" t="str">
        <f t="shared" si="25"/>
        <v xml:space="preserve"> </v>
      </c>
    </row>
    <row r="99" spans="1:50" x14ac:dyDescent="0.2">
      <c r="A99" t="s">
        <v>17</v>
      </c>
      <c r="B99" t="s">
        <v>56</v>
      </c>
      <c r="C99" t="s">
        <v>147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547.95405578049042</v>
      </c>
      <c r="K99" s="15">
        <v>1627.9380737394069</v>
      </c>
      <c r="L99" s="15">
        <v>1636.0101448191106</v>
      </c>
      <c r="M99" s="1">
        <v>1616.3228000178603</v>
      </c>
      <c r="N99" s="1">
        <v>1659.2981308662527</v>
      </c>
      <c r="O99" s="1">
        <v>1879.3443301069574</v>
      </c>
      <c r="Q99" s="27" t="str">
        <f t="shared" si="21"/>
        <v>Sueldos</v>
      </c>
      <c r="R99" s="29" t="str">
        <f t="shared" si="22"/>
        <v>Sueldo</v>
      </c>
      <c r="S99" s="20" t="str">
        <f t="shared" si="23"/>
        <v>Javier Salazar</v>
      </c>
      <c r="T99" s="30">
        <f t="shared" si="24"/>
        <v>0</v>
      </c>
      <c r="U99" s="30">
        <f t="shared" si="26"/>
        <v>0</v>
      </c>
      <c r="V99" s="30">
        <f t="shared" si="27"/>
        <v>0</v>
      </c>
      <c r="W99" s="30">
        <f t="shared" si="28"/>
        <v>0</v>
      </c>
      <c r="X99" s="30">
        <f t="shared" si="29"/>
        <v>0</v>
      </c>
      <c r="Y99" s="30">
        <f t="shared" si="30"/>
        <v>0</v>
      </c>
      <c r="Z99" s="30">
        <f t="shared" si="31"/>
        <v>1</v>
      </c>
      <c r="AA99" s="30">
        <f t="shared" si="32"/>
        <v>1</v>
      </c>
      <c r="AB99" s="30">
        <f t="shared" si="33"/>
        <v>1</v>
      </c>
      <c r="AC99" s="30">
        <f t="shared" si="34"/>
        <v>1</v>
      </c>
      <c r="AD99" s="30">
        <f t="shared" si="35"/>
        <v>1</v>
      </c>
      <c r="AE99" s="30">
        <f t="shared" si="36"/>
        <v>1</v>
      </c>
      <c r="AG99" s="27" t="s">
        <v>17</v>
      </c>
      <c r="AH99" s="29" t="s">
        <v>56</v>
      </c>
      <c r="AI99" s="20" t="s">
        <v>147</v>
      </c>
      <c r="AJ99" s="30">
        <v>0</v>
      </c>
      <c r="AK99" s="30">
        <v>0</v>
      </c>
      <c r="AL99" s="30">
        <v>0</v>
      </c>
      <c r="AM99" s="30">
        <v>0</v>
      </c>
      <c r="AN99" s="30">
        <v>0</v>
      </c>
      <c r="AO99" s="30">
        <v>0</v>
      </c>
      <c r="AP99" s="30">
        <v>547.95405578049042</v>
      </c>
      <c r="AQ99" s="30">
        <v>1627.9380737394069</v>
      </c>
      <c r="AR99" s="30">
        <v>1636.0101448191106</v>
      </c>
      <c r="AS99" s="31">
        <v>1616.3228000178603</v>
      </c>
      <c r="AT99" s="31">
        <v>1659.2981308662527</v>
      </c>
      <c r="AU99" s="31">
        <v>1879.3443301069574</v>
      </c>
      <c r="AW99" t="str">
        <f t="shared" si="25"/>
        <v>Javier Salazar</v>
      </c>
      <c r="AX99" t="s">
        <v>193</v>
      </c>
    </row>
    <row r="100" spans="1:50" x14ac:dyDescent="0.2">
      <c r="A100" t="s">
        <v>17</v>
      </c>
      <c r="B100" t="s">
        <v>56</v>
      </c>
      <c r="C100" t="s">
        <v>148</v>
      </c>
      <c r="D100" s="15">
        <v>275.33342878225528</v>
      </c>
      <c r="E100" s="15">
        <v>0</v>
      </c>
      <c r="F100" s="15">
        <v>0</v>
      </c>
      <c r="G100" s="15">
        <v>0</v>
      </c>
      <c r="H100" s="15">
        <v>0</v>
      </c>
      <c r="I100" s="15">
        <v>314.94795266067723</v>
      </c>
      <c r="J100" s="15">
        <v>266.6496010921968</v>
      </c>
      <c r="K100" s="15">
        <v>376.38455747929885</v>
      </c>
      <c r="L100" s="15">
        <v>465.60715172585049</v>
      </c>
      <c r="M100" s="1">
        <v>0</v>
      </c>
      <c r="N100" s="1">
        <v>0</v>
      </c>
      <c r="O100" s="1">
        <v>0</v>
      </c>
      <c r="Q100" s="27" t="str">
        <f t="shared" si="21"/>
        <v>Sueldos</v>
      </c>
      <c r="R100" s="29" t="str">
        <f t="shared" si="22"/>
        <v>Sueldo</v>
      </c>
      <c r="S100" s="20" t="str">
        <f t="shared" si="23"/>
        <v>Practicante Contabilidad</v>
      </c>
      <c r="T100" s="30">
        <f t="shared" si="24"/>
        <v>1</v>
      </c>
      <c r="U100" s="30">
        <f t="shared" si="26"/>
        <v>0</v>
      </c>
      <c r="V100" s="30">
        <f t="shared" si="27"/>
        <v>0</v>
      </c>
      <c r="W100" s="30">
        <f t="shared" si="28"/>
        <v>0</v>
      </c>
      <c r="X100" s="30">
        <f t="shared" si="29"/>
        <v>0</v>
      </c>
      <c r="Y100" s="30">
        <f t="shared" si="30"/>
        <v>1</v>
      </c>
      <c r="Z100" s="30">
        <f t="shared" si="31"/>
        <v>1</v>
      </c>
      <c r="AA100" s="30">
        <f t="shared" si="32"/>
        <v>1</v>
      </c>
      <c r="AB100" s="30">
        <f t="shared" si="33"/>
        <v>1</v>
      </c>
      <c r="AC100" s="30">
        <f t="shared" si="34"/>
        <v>0</v>
      </c>
      <c r="AD100" s="30">
        <f t="shared" si="35"/>
        <v>0</v>
      </c>
      <c r="AE100" s="30">
        <f t="shared" si="36"/>
        <v>0</v>
      </c>
      <c r="AG100" s="27" t="s">
        <v>17</v>
      </c>
      <c r="AH100" s="29" t="s">
        <v>56</v>
      </c>
      <c r="AI100" s="20" t="s">
        <v>148</v>
      </c>
      <c r="AJ100" s="30">
        <v>275.33342878225528</v>
      </c>
      <c r="AK100" s="30">
        <v>0</v>
      </c>
      <c r="AL100" s="30">
        <v>0</v>
      </c>
      <c r="AM100" s="30">
        <v>0</v>
      </c>
      <c r="AN100" s="30">
        <v>0</v>
      </c>
      <c r="AO100" s="30">
        <v>314.94795266067723</v>
      </c>
      <c r="AP100" s="30">
        <v>266.6496010921968</v>
      </c>
      <c r="AQ100" s="30">
        <v>376.38455747929885</v>
      </c>
      <c r="AR100" s="30">
        <v>465.60715172585049</v>
      </c>
      <c r="AS100" s="31">
        <v>0</v>
      </c>
      <c r="AT100" s="31">
        <v>0</v>
      </c>
      <c r="AU100" s="31">
        <v>0</v>
      </c>
      <c r="AW100" t="str">
        <f t="shared" si="25"/>
        <v xml:space="preserve"> </v>
      </c>
    </row>
    <row r="101" spans="1:50" x14ac:dyDescent="0.2">
      <c r="A101" t="s">
        <v>17</v>
      </c>
      <c r="B101" t="s">
        <v>56</v>
      </c>
      <c r="C101" t="s">
        <v>149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196.49</v>
      </c>
      <c r="J101" s="15">
        <v>481</v>
      </c>
      <c r="K101" s="15">
        <v>471.57</v>
      </c>
      <c r="L101" s="15">
        <v>477</v>
      </c>
      <c r="M101" s="1">
        <v>471.57</v>
      </c>
      <c r="N101" s="1">
        <v>471.57</v>
      </c>
      <c r="O101" s="1">
        <v>471.57</v>
      </c>
      <c r="Q101" s="27" t="str">
        <f t="shared" si="21"/>
        <v>Sueldos</v>
      </c>
      <c r="R101" s="29" t="str">
        <f t="shared" si="22"/>
        <v>Sueldo</v>
      </c>
      <c r="S101" s="20" t="str">
        <f t="shared" si="23"/>
        <v>Edson Susanibar</v>
      </c>
      <c r="T101" s="30">
        <f t="shared" si="24"/>
        <v>0</v>
      </c>
      <c r="U101" s="30">
        <f t="shared" si="26"/>
        <v>0</v>
      </c>
      <c r="V101" s="30">
        <f t="shared" si="27"/>
        <v>0</v>
      </c>
      <c r="W101" s="30">
        <f t="shared" si="28"/>
        <v>0</v>
      </c>
      <c r="X101" s="30">
        <f t="shared" si="29"/>
        <v>0</v>
      </c>
      <c r="Y101" s="30">
        <f t="shared" si="30"/>
        <v>1</v>
      </c>
      <c r="Z101" s="30">
        <f t="shared" si="31"/>
        <v>1</v>
      </c>
      <c r="AA101" s="30">
        <f t="shared" si="32"/>
        <v>1</v>
      </c>
      <c r="AB101" s="30">
        <f t="shared" si="33"/>
        <v>1</v>
      </c>
      <c r="AC101" s="30">
        <f t="shared" si="34"/>
        <v>1</v>
      </c>
      <c r="AD101" s="30">
        <f t="shared" si="35"/>
        <v>1</v>
      </c>
      <c r="AE101" s="30">
        <f t="shared" si="36"/>
        <v>1</v>
      </c>
      <c r="AG101" s="27" t="s">
        <v>17</v>
      </c>
      <c r="AH101" s="29" t="s">
        <v>56</v>
      </c>
      <c r="AI101" s="20" t="s">
        <v>149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196.49</v>
      </c>
      <c r="AP101" s="30">
        <v>481</v>
      </c>
      <c r="AQ101" s="30">
        <v>471.57</v>
      </c>
      <c r="AR101" s="30">
        <v>477</v>
      </c>
      <c r="AS101" s="31">
        <v>471.57</v>
      </c>
      <c r="AT101" s="31">
        <v>471.57</v>
      </c>
      <c r="AU101" s="31">
        <v>471.57</v>
      </c>
      <c r="AW101" t="str">
        <f t="shared" si="25"/>
        <v>Edson Susanibar</v>
      </c>
      <c r="AX101" t="s">
        <v>193</v>
      </c>
    </row>
    <row r="102" spans="1:50" x14ac:dyDescent="0.2">
      <c r="A102" t="s">
        <v>17</v>
      </c>
      <c r="B102" t="s">
        <v>56</v>
      </c>
      <c r="C102" t="s">
        <v>150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1199.7126188938573</v>
      </c>
      <c r="L102" s="15">
        <v>5141.6883581073416</v>
      </c>
      <c r="M102" s="1">
        <v>4651.5217216622959</v>
      </c>
      <c r="N102" s="1">
        <v>7328.9185927929238</v>
      </c>
      <c r="O102" s="1">
        <v>10247.950860976518</v>
      </c>
      <c r="Q102" s="27" t="str">
        <f t="shared" si="21"/>
        <v>Sueldos</v>
      </c>
      <c r="R102" s="29" t="str">
        <f t="shared" si="22"/>
        <v>Sueldo</v>
      </c>
      <c r="S102" s="20" t="str">
        <f t="shared" si="23"/>
        <v>Eduardo Sanchez</v>
      </c>
      <c r="T102" s="30">
        <f t="shared" si="24"/>
        <v>0</v>
      </c>
      <c r="U102" s="30">
        <f t="shared" si="26"/>
        <v>0</v>
      </c>
      <c r="V102" s="30">
        <f t="shared" si="27"/>
        <v>0</v>
      </c>
      <c r="W102" s="30">
        <f t="shared" si="28"/>
        <v>0</v>
      </c>
      <c r="X102" s="30">
        <f t="shared" si="29"/>
        <v>0</v>
      </c>
      <c r="Y102" s="30">
        <f t="shared" si="30"/>
        <v>0</v>
      </c>
      <c r="Z102" s="30">
        <f t="shared" si="31"/>
        <v>0</v>
      </c>
      <c r="AA102" s="30">
        <f t="shared" si="32"/>
        <v>1</v>
      </c>
      <c r="AB102" s="30">
        <f t="shared" si="33"/>
        <v>1</v>
      </c>
      <c r="AC102" s="30">
        <f t="shared" si="34"/>
        <v>1</v>
      </c>
      <c r="AD102" s="30">
        <f t="shared" si="35"/>
        <v>1</v>
      </c>
      <c r="AE102" s="30">
        <f t="shared" si="36"/>
        <v>1</v>
      </c>
      <c r="AG102" s="27" t="s">
        <v>17</v>
      </c>
      <c r="AH102" s="29" t="s">
        <v>56</v>
      </c>
      <c r="AI102" s="20" t="s">
        <v>150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1199.7126188938573</v>
      </c>
      <c r="AR102" s="30">
        <v>5141.6883581073416</v>
      </c>
      <c r="AS102" s="31">
        <v>4651.5217216622959</v>
      </c>
      <c r="AT102" s="31">
        <v>7328.9185927929238</v>
      </c>
      <c r="AU102" s="31">
        <v>10247.950860976518</v>
      </c>
      <c r="AW102" t="str">
        <f t="shared" si="25"/>
        <v>Eduardo Sanchez</v>
      </c>
      <c r="AX102" t="s">
        <v>181</v>
      </c>
    </row>
    <row r="103" spans="1:50" x14ac:dyDescent="0.2">
      <c r="A103" t="s">
        <v>17</v>
      </c>
      <c r="B103" t="s">
        <v>56</v>
      </c>
      <c r="C103" t="s">
        <v>156</v>
      </c>
      <c r="D103" s="15">
        <v>2059.2952142769968</v>
      </c>
      <c r="E103" s="15">
        <v>2047.8240838263323</v>
      </c>
      <c r="F103" s="15">
        <v>1922.5865552331445</v>
      </c>
      <c r="G103" s="15">
        <v>2126.3823091276245</v>
      </c>
      <c r="H103" s="15">
        <v>2250.0887897942366</v>
      </c>
      <c r="I103" s="15">
        <v>0</v>
      </c>
      <c r="J103" s="15">
        <v>3847.0987533896546</v>
      </c>
      <c r="K103" s="15">
        <v>1915.1449712895364</v>
      </c>
      <c r="L103" s="15">
        <v>2322.1585764047441</v>
      </c>
      <c r="M103" s="1">
        <v>2783.9849993621356</v>
      </c>
      <c r="N103" s="1">
        <v>2783.9849993621356</v>
      </c>
      <c r="O103" s="1">
        <v>2783.9849993621356</v>
      </c>
      <c r="Q103" s="27" t="str">
        <f t="shared" si="21"/>
        <v>Sueldos</v>
      </c>
      <c r="R103" s="29" t="str">
        <f t="shared" si="22"/>
        <v>Sueldo</v>
      </c>
      <c r="S103" s="20" t="str">
        <f t="shared" si="23"/>
        <v>Max Le Clerc</v>
      </c>
      <c r="T103" s="30">
        <f t="shared" si="24"/>
        <v>1</v>
      </c>
      <c r="U103" s="30">
        <f t="shared" si="26"/>
        <v>1</v>
      </c>
      <c r="V103" s="30">
        <f t="shared" si="27"/>
        <v>1</v>
      </c>
      <c r="W103" s="30">
        <f t="shared" si="28"/>
        <v>1</v>
      </c>
      <c r="X103" s="30">
        <f t="shared" si="29"/>
        <v>1</v>
      </c>
      <c r="Y103" s="30">
        <f t="shared" si="30"/>
        <v>0</v>
      </c>
      <c r="Z103" s="30">
        <f t="shared" si="31"/>
        <v>1</v>
      </c>
      <c r="AA103" s="30">
        <f t="shared" si="32"/>
        <v>1</v>
      </c>
      <c r="AB103" s="30">
        <f t="shared" si="33"/>
        <v>1</v>
      </c>
      <c r="AC103" s="30">
        <f t="shared" si="34"/>
        <v>1</v>
      </c>
      <c r="AD103" s="30">
        <f t="shared" si="35"/>
        <v>1</v>
      </c>
      <c r="AE103" s="30">
        <f t="shared" si="36"/>
        <v>1</v>
      </c>
      <c r="AG103" s="27" t="s">
        <v>17</v>
      </c>
      <c r="AH103" s="29" t="s">
        <v>56</v>
      </c>
      <c r="AI103" s="20" t="s">
        <v>156</v>
      </c>
      <c r="AJ103" s="30">
        <v>2059.2952142769968</v>
      </c>
      <c r="AK103" s="30">
        <v>2047.8240838263323</v>
      </c>
      <c r="AL103" s="30">
        <v>1922.5865552331445</v>
      </c>
      <c r="AM103" s="30">
        <v>2126.3823091276245</v>
      </c>
      <c r="AN103" s="30">
        <v>2250.0887897942366</v>
      </c>
      <c r="AO103" s="30">
        <v>0</v>
      </c>
      <c r="AP103" s="30">
        <v>3847.0987533896546</v>
      </c>
      <c r="AQ103" s="30">
        <v>1915.1449712895364</v>
      </c>
      <c r="AR103" s="30">
        <v>2322.1585764047441</v>
      </c>
      <c r="AS103" s="31">
        <v>2783.9849993621356</v>
      </c>
      <c r="AT103" s="31">
        <v>2783.9849993621356</v>
      </c>
      <c r="AU103" s="31">
        <v>2783.9849993621356</v>
      </c>
      <c r="AW103" t="str">
        <f t="shared" si="25"/>
        <v>Max Le Clerc</v>
      </c>
      <c r="AX103" t="s">
        <v>183</v>
      </c>
    </row>
    <row r="104" spans="1:50" x14ac:dyDescent="0.2">
      <c r="A104" t="s">
        <v>17</v>
      </c>
      <c r="B104" t="s">
        <v>56</v>
      </c>
      <c r="C104" t="s">
        <v>157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7567.3929019102188</v>
      </c>
      <c r="M104" s="1">
        <v>7421.5073572641595</v>
      </c>
      <c r="N104" s="1">
        <v>7618.8328754519134</v>
      </c>
      <c r="O104" s="1">
        <v>8629.1969478914416</v>
      </c>
      <c r="Q104" s="27" t="str">
        <f t="shared" si="21"/>
        <v>Sueldos</v>
      </c>
      <c r="R104" s="26" t="str">
        <f t="shared" si="22"/>
        <v>Sueldo</v>
      </c>
      <c r="S104" s="20" t="str">
        <f t="shared" si="23"/>
        <v>Rodrigo Báez</v>
      </c>
      <c r="T104" s="30">
        <f t="shared" si="24"/>
        <v>0</v>
      </c>
      <c r="U104" s="30">
        <f t="shared" si="26"/>
        <v>0</v>
      </c>
      <c r="V104" s="30">
        <f t="shared" si="27"/>
        <v>0</v>
      </c>
      <c r="W104" s="30">
        <f t="shared" si="28"/>
        <v>0</v>
      </c>
      <c r="X104" s="30">
        <f t="shared" si="29"/>
        <v>0</v>
      </c>
      <c r="Y104" s="30">
        <f t="shared" si="30"/>
        <v>0</v>
      </c>
      <c r="Z104" s="30">
        <f t="shared" si="31"/>
        <v>0</v>
      </c>
      <c r="AA104" s="30">
        <f t="shared" si="32"/>
        <v>0</v>
      </c>
      <c r="AB104" s="30">
        <f t="shared" si="33"/>
        <v>1</v>
      </c>
      <c r="AC104" s="30">
        <f t="shared" si="34"/>
        <v>1</v>
      </c>
      <c r="AD104" s="30">
        <f t="shared" si="35"/>
        <v>1</v>
      </c>
      <c r="AE104" s="30">
        <f t="shared" si="36"/>
        <v>1</v>
      </c>
      <c r="AG104" s="27" t="s">
        <v>17</v>
      </c>
      <c r="AH104" s="26" t="s">
        <v>56</v>
      </c>
      <c r="AI104" s="20" t="s">
        <v>157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0</v>
      </c>
      <c r="AP104" s="30">
        <v>0</v>
      </c>
      <c r="AQ104" s="30">
        <v>0</v>
      </c>
      <c r="AR104" s="30">
        <v>7567.3929019102188</v>
      </c>
      <c r="AS104" s="31">
        <v>7421.5073572641595</v>
      </c>
      <c r="AT104" s="31">
        <v>7618.8328754519134</v>
      </c>
      <c r="AU104" s="31">
        <v>8629.1969478914416</v>
      </c>
      <c r="AW104" t="str">
        <f t="shared" si="25"/>
        <v>Rodrigo Báez</v>
      </c>
      <c r="AX104" t="s">
        <v>181</v>
      </c>
    </row>
    <row r="105" spans="1:50" x14ac:dyDescent="0.2">
      <c r="A105" t="s">
        <v>17</v>
      </c>
      <c r="B105" t="s">
        <v>160</v>
      </c>
      <c r="C105" t="s">
        <v>158</v>
      </c>
      <c r="D105" s="15">
        <v>0</v>
      </c>
      <c r="E105" s="15">
        <v>0</v>
      </c>
      <c r="F105" s="15">
        <v>2418.7046492878258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">
        <v>0</v>
      </c>
      <c r="N105" s="1">
        <v>0</v>
      </c>
      <c r="O105" s="1">
        <v>0</v>
      </c>
      <c r="Q105" s="27" t="str">
        <f t="shared" ref="Q105:Q110" si="37">A105</f>
        <v>Sueldos</v>
      </c>
      <c r="R105" s="26" t="str">
        <f t="shared" ref="R105:R110" si="38">B105</f>
        <v>REDTEC</v>
      </c>
      <c r="S105" s="20" t="str">
        <f t="shared" ref="S105:S110" si="39">C105</f>
        <v>OFIR EDUARDO HUATUCO LOZANO</v>
      </c>
      <c r="T105" s="30">
        <f t="shared" si="24"/>
        <v>0</v>
      </c>
      <c r="U105" s="30">
        <f t="shared" si="26"/>
        <v>0</v>
      </c>
      <c r="V105" s="30">
        <f t="shared" si="27"/>
        <v>1</v>
      </c>
      <c r="W105" s="30">
        <f t="shared" si="28"/>
        <v>0</v>
      </c>
      <c r="X105" s="30">
        <f t="shared" si="29"/>
        <v>0</v>
      </c>
      <c r="Y105" s="30">
        <f t="shared" si="30"/>
        <v>0</v>
      </c>
      <c r="Z105" s="30">
        <f t="shared" si="31"/>
        <v>0</v>
      </c>
      <c r="AA105" s="30">
        <f t="shared" si="32"/>
        <v>0</v>
      </c>
      <c r="AB105" s="30">
        <f t="shared" si="33"/>
        <v>0</v>
      </c>
      <c r="AC105" s="30">
        <f t="shared" si="34"/>
        <v>0</v>
      </c>
      <c r="AD105" s="30">
        <f t="shared" si="35"/>
        <v>0</v>
      </c>
      <c r="AE105" s="30">
        <f t="shared" si="36"/>
        <v>0</v>
      </c>
      <c r="AG105" s="27" t="s">
        <v>17</v>
      </c>
      <c r="AH105" s="29" t="s">
        <v>160</v>
      </c>
      <c r="AI105" s="20" t="s">
        <v>158</v>
      </c>
      <c r="AJ105" s="30">
        <v>0</v>
      </c>
      <c r="AK105" s="30">
        <v>0</v>
      </c>
      <c r="AL105" s="30">
        <v>2418.7046492878258</v>
      </c>
      <c r="AM105" s="30">
        <v>0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1">
        <v>0</v>
      </c>
      <c r="AT105" s="31">
        <v>0</v>
      </c>
      <c r="AU105" s="31">
        <v>0</v>
      </c>
      <c r="AW105" t="str">
        <f t="shared" si="25"/>
        <v xml:space="preserve"> </v>
      </c>
    </row>
    <row r="106" spans="1:50" x14ac:dyDescent="0.2">
      <c r="A106" t="s">
        <v>17</v>
      </c>
      <c r="B106" t="s">
        <v>160</v>
      </c>
      <c r="C106" t="s">
        <v>159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2133.7663722855073</v>
      </c>
      <c r="K106" s="15">
        <v>2201.3184213356276</v>
      </c>
      <c r="L106" s="15">
        <v>2843.4696235195042</v>
      </c>
      <c r="M106" s="1">
        <v>2159.9140583668927</v>
      </c>
      <c r="N106" s="1">
        <v>2159.9140583668927</v>
      </c>
      <c r="O106" s="1">
        <v>2159.9140583668927</v>
      </c>
      <c r="Q106" s="27" t="str">
        <f t="shared" si="37"/>
        <v>Sueldos</v>
      </c>
      <c r="R106" s="29" t="str">
        <f t="shared" si="38"/>
        <v>REDTEC</v>
      </c>
      <c r="S106" s="20" t="str">
        <f t="shared" si="39"/>
        <v>Sophie Liao</v>
      </c>
      <c r="T106" s="30">
        <f t="shared" si="24"/>
        <v>0</v>
      </c>
      <c r="U106" s="30">
        <f t="shared" si="26"/>
        <v>0</v>
      </c>
      <c r="V106" s="30">
        <f t="shared" si="27"/>
        <v>0</v>
      </c>
      <c r="W106" s="30">
        <f t="shared" si="28"/>
        <v>0</v>
      </c>
      <c r="X106" s="30">
        <f t="shared" si="29"/>
        <v>0</v>
      </c>
      <c r="Y106" s="30">
        <f t="shared" si="30"/>
        <v>0</v>
      </c>
      <c r="Z106" s="30">
        <f t="shared" si="31"/>
        <v>1</v>
      </c>
      <c r="AA106" s="30">
        <f t="shared" si="32"/>
        <v>1</v>
      </c>
      <c r="AB106" s="30">
        <f t="shared" si="33"/>
        <v>1</v>
      </c>
      <c r="AC106" s="30">
        <f t="shared" si="34"/>
        <v>1</v>
      </c>
      <c r="AD106" s="30">
        <f t="shared" si="35"/>
        <v>1</v>
      </c>
      <c r="AE106" s="30">
        <f t="shared" si="36"/>
        <v>1</v>
      </c>
      <c r="AG106" s="27" t="s">
        <v>17</v>
      </c>
      <c r="AH106" s="26" t="s">
        <v>160</v>
      </c>
      <c r="AI106" s="20" t="s">
        <v>159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2133.7663722855073</v>
      </c>
      <c r="AQ106" s="30">
        <v>2201.3184213356276</v>
      </c>
      <c r="AR106" s="30">
        <v>2843.4696235195042</v>
      </c>
      <c r="AS106" s="31">
        <v>2159.9140583668927</v>
      </c>
      <c r="AT106" s="31">
        <v>2159.9140583668927</v>
      </c>
      <c r="AU106" s="31">
        <v>2159.9140583668927</v>
      </c>
      <c r="AW106" t="str">
        <f t="shared" si="25"/>
        <v>Sophie Liao</v>
      </c>
      <c r="AX106" t="s">
        <v>183</v>
      </c>
    </row>
    <row r="107" spans="1:50" x14ac:dyDescent="0.2">
      <c r="A107" t="s">
        <v>17</v>
      </c>
      <c r="B107" t="s">
        <v>151</v>
      </c>
      <c r="C107" t="s">
        <v>152</v>
      </c>
      <c r="D107" s="15">
        <v>874.87196995561624</v>
      </c>
      <c r="E107" s="15">
        <v>824.51943037449132</v>
      </c>
      <c r="F107" s="15">
        <v>820.69467833417707</v>
      </c>
      <c r="G107" s="15">
        <v>827.35330264336449</v>
      </c>
      <c r="H107" s="15">
        <v>865.44537412297905</v>
      </c>
      <c r="I107" s="15">
        <v>0</v>
      </c>
      <c r="J107" s="15">
        <v>847.2791074704553</v>
      </c>
      <c r="K107" s="15">
        <v>1708.5170448435315</v>
      </c>
      <c r="L107" s="15">
        <v>857.66186933848689</v>
      </c>
      <c r="M107" s="1">
        <v>857.66186933848689</v>
      </c>
      <c r="N107" s="1">
        <v>857.66186933848689</v>
      </c>
      <c r="O107" s="1">
        <v>857.66186933848689</v>
      </c>
      <c r="Q107" s="36" t="str">
        <f t="shared" si="37"/>
        <v>Sueldos</v>
      </c>
      <c r="R107" s="37" t="str">
        <f t="shared" si="38"/>
        <v>REDCROSS</v>
      </c>
      <c r="S107" s="38" t="str">
        <f t="shared" si="39"/>
        <v>Paola Awilhem</v>
      </c>
      <c r="T107" s="35">
        <v>0</v>
      </c>
      <c r="U107" s="35">
        <v>0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G107" s="32" t="s">
        <v>17</v>
      </c>
      <c r="AH107" s="33" t="s">
        <v>151</v>
      </c>
      <c r="AI107" s="34" t="s">
        <v>152</v>
      </c>
      <c r="AJ107" s="35">
        <v>0</v>
      </c>
      <c r="AK107" s="35">
        <v>0</v>
      </c>
      <c r="AL107" s="35">
        <v>0</v>
      </c>
      <c r="AM107" s="35">
        <v>0</v>
      </c>
      <c r="AN107" s="35">
        <v>0</v>
      </c>
      <c r="AO107" s="35">
        <v>0</v>
      </c>
      <c r="AP107" s="35">
        <v>0</v>
      </c>
      <c r="AQ107" s="35">
        <v>0</v>
      </c>
      <c r="AR107" s="35">
        <v>0</v>
      </c>
      <c r="AS107" s="35">
        <v>0</v>
      </c>
      <c r="AT107" s="35">
        <v>0</v>
      </c>
      <c r="AU107" s="35">
        <v>0</v>
      </c>
      <c r="AW107" t="str">
        <f t="shared" si="25"/>
        <v xml:space="preserve"> </v>
      </c>
    </row>
    <row r="108" spans="1:50" x14ac:dyDescent="0.2">
      <c r="A108" t="s">
        <v>17</v>
      </c>
      <c r="B108" t="s">
        <v>151</v>
      </c>
      <c r="C108" t="s">
        <v>153</v>
      </c>
      <c r="D108" s="15">
        <v>15418.672011806297</v>
      </c>
      <c r="E108" s="15">
        <v>14531.26297434194</v>
      </c>
      <c r="F108" s="15">
        <v>14463.855857345057</v>
      </c>
      <c r="G108" s="15">
        <v>14581.206907326015</v>
      </c>
      <c r="H108" s="15">
        <v>15252.538458186255</v>
      </c>
      <c r="I108" s="15">
        <v>0</v>
      </c>
      <c r="J108" s="15">
        <v>14932.37766116302</v>
      </c>
      <c r="K108" s="15">
        <v>30110.764598343907</v>
      </c>
      <c r="L108" s="15">
        <v>15115.362606752247</v>
      </c>
      <c r="M108" s="1">
        <v>15115.362606752247</v>
      </c>
      <c r="N108" s="1">
        <v>15115.362606752247</v>
      </c>
      <c r="O108" s="1">
        <v>15115.362606752247</v>
      </c>
      <c r="Q108" s="28" t="str">
        <f t="shared" si="37"/>
        <v>Sueldos</v>
      </c>
      <c r="R108" s="26" t="str">
        <f t="shared" si="38"/>
        <v>REDCROSS</v>
      </c>
      <c r="S108" s="20" t="str">
        <f t="shared" si="39"/>
        <v>Enrique Rubio</v>
      </c>
      <c r="T108" s="30">
        <f t="shared" si="24"/>
        <v>1</v>
      </c>
      <c r="U108" s="30">
        <f t="shared" si="26"/>
        <v>1</v>
      </c>
      <c r="V108" s="30">
        <f t="shared" si="27"/>
        <v>1</v>
      </c>
      <c r="W108" s="30">
        <f t="shared" si="28"/>
        <v>1</v>
      </c>
      <c r="X108" s="30">
        <f t="shared" si="29"/>
        <v>1</v>
      </c>
      <c r="Y108" s="30">
        <f t="shared" si="30"/>
        <v>0</v>
      </c>
      <c r="Z108" s="30">
        <f t="shared" si="31"/>
        <v>1</v>
      </c>
      <c r="AA108" s="30">
        <f t="shared" si="32"/>
        <v>1</v>
      </c>
      <c r="AB108" s="30">
        <f t="shared" si="33"/>
        <v>1</v>
      </c>
      <c r="AC108" s="30">
        <f t="shared" si="34"/>
        <v>1</v>
      </c>
      <c r="AD108" s="30">
        <f t="shared" si="35"/>
        <v>1</v>
      </c>
      <c r="AE108" s="30">
        <f t="shared" si="36"/>
        <v>1</v>
      </c>
      <c r="AG108" s="27" t="s">
        <v>17</v>
      </c>
      <c r="AH108" s="29" t="s">
        <v>151</v>
      </c>
      <c r="AI108" s="20" t="s">
        <v>153</v>
      </c>
      <c r="AJ108" s="30">
        <v>15418.672011806297</v>
      </c>
      <c r="AK108" s="30">
        <v>14531.26297434194</v>
      </c>
      <c r="AL108" s="30">
        <v>14463.855857345057</v>
      </c>
      <c r="AM108" s="30">
        <v>14581.206907326015</v>
      </c>
      <c r="AN108" s="30">
        <v>15252.538458186255</v>
      </c>
      <c r="AO108" s="30">
        <v>0</v>
      </c>
      <c r="AP108" s="30">
        <v>14932.37766116302</v>
      </c>
      <c r="AQ108" s="30">
        <v>30110.764598343907</v>
      </c>
      <c r="AR108" s="30">
        <v>15115.362606752247</v>
      </c>
      <c r="AS108" s="31">
        <v>15115.362606752247</v>
      </c>
      <c r="AT108" s="31">
        <v>15115.362606752247</v>
      </c>
      <c r="AU108" s="31">
        <v>15115.362606752247</v>
      </c>
      <c r="AW108" t="str">
        <f t="shared" si="25"/>
        <v>Enrique Rubio</v>
      </c>
      <c r="AX108" t="s">
        <v>184</v>
      </c>
    </row>
    <row r="109" spans="1:50" x14ac:dyDescent="0.2">
      <c r="A109" t="s">
        <v>17</v>
      </c>
      <c r="B109" t="s">
        <v>151</v>
      </c>
      <c r="C109" t="s">
        <v>154</v>
      </c>
      <c r="D109" s="15">
        <v>7645.5500611240213</v>
      </c>
      <c r="E109" s="15">
        <v>7205.5166901934726</v>
      </c>
      <c r="F109" s="15">
        <v>7172.0919901232528</v>
      </c>
      <c r="G109" s="15">
        <v>7230.2820422021787</v>
      </c>
      <c r="H109" s="15">
        <v>7563.1705669586436</v>
      </c>
      <c r="I109" s="15">
        <v>0</v>
      </c>
      <c r="J109" s="15">
        <v>7404.414650795683</v>
      </c>
      <c r="K109" s="15">
        <v>14930.816216797506</v>
      </c>
      <c r="L109" s="15">
        <v>7495.1501279407476</v>
      </c>
      <c r="M109" s="1">
        <v>7495.1501279407476</v>
      </c>
      <c r="N109" s="1">
        <v>7495.1501279407476</v>
      </c>
      <c r="O109" s="1">
        <v>7495.1501279407476</v>
      </c>
      <c r="Q109" s="36" t="str">
        <f t="shared" si="37"/>
        <v>Sueldos</v>
      </c>
      <c r="R109" s="37" t="str">
        <f t="shared" si="38"/>
        <v>REDCROSS</v>
      </c>
      <c r="S109" s="38" t="str">
        <f t="shared" si="39"/>
        <v>Constanza Hochstetter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G109" s="32" t="s">
        <v>17</v>
      </c>
      <c r="AH109" s="33" t="s">
        <v>151</v>
      </c>
      <c r="AI109" s="34" t="s">
        <v>154</v>
      </c>
      <c r="AJ109" s="35">
        <v>0</v>
      </c>
      <c r="AK109" s="35">
        <v>0</v>
      </c>
      <c r="AL109" s="35">
        <v>0</v>
      </c>
      <c r="AM109" s="35">
        <v>0</v>
      </c>
      <c r="AN109" s="35">
        <v>0</v>
      </c>
      <c r="AO109" s="35">
        <v>0</v>
      </c>
      <c r="AP109" s="35">
        <v>0</v>
      </c>
      <c r="AQ109" s="35">
        <v>0</v>
      </c>
      <c r="AR109" s="35">
        <v>0</v>
      </c>
      <c r="AS109" s="35">
        <v>0</v>
      </c>
      <c r="AT109" s="35">
        <v>0</v>
      </c>
      <c r="AU109" s="35">
        <v>0</v>
      </c>
      <c r="AW109" t="str">
        <f t="shared" si="25"/>
        <v xml:space="preserve"> </v>
      </c>
    </row>
    <row r="110" spans="1:50" x14ac:dyDescent="0.2">
      <c r="A110" t="s">
        <v>17</v>
      </c>
      <c r="B110" t="s">
        <v>151</v>
      </c>
      <c r="C110" t="s">
        <v>155</v>
      </c>
      <c r="D110" s="15">
        <v>2505.2060044714149</v>
      </c>
      <c r="E110" s="15">
        <v>2361.0209250186831</v>
      </c>
      <c r="F110" s="15">
        <v>2350.0687033153226</v>
      </c>
      <c r="G110" s="15">
        <v>2369.1357510363073</v>
      </c>
      <c r="H110" s="15">
        <v>2478.2128382795136</v>
      </c>
      <c r="I110" s="15">
        <v>0</v>
      </c>
      <c r="J110" s="15">
        <v>2426.1935236144886</v>
      </c>
      <c r="K110" s="15">
        <v>4892.3583180987207</v>
      </c>
      <c r="L110" s="15">
        <v>2455.9246823074682</v>
      </c>
      <c r="M110" s="1">
        <v>2455.9246823074682</v>
      </c>
      <c r="N110" s="1">
        <v>2455.9246823074682</v>
      </c>
      <c r="O110" s="1">
        <v>2455.9246823074682</v>
      </c>
      <c r="Q110" s="28" t="str">
        <f t="shared" si="37"/>
        <v>Sueldos</v>
      </c>
      <c r="R110" s="26" t="str">
        <f t="shared" si="38"/>
        <v>REDCROSS</v>
      </c>
      <c r="S110" t="str">
        <f t="shared" si="39"/>
        <v>Isabel Marchant</v>
      </c>
      <c r="T110" s="30">
        <f t="shared" si="24"/>
        <v>1</v>
      </c>
      <c r="U110" s="30">
        <f t="shared" si="26"/>
        <v>1</v>
      </c>
      <c r="V110" s="30">
        <f t="shared" si="27"/>
        <v>1</v>
      </c>
      <c r="W110" s="30">
        <f t="shared" si="28"/>
        <v>1</v>
      </c>
      <c r="X110" s="30">
        <f t="shared" si="29"/>
        <v>1</v>
      </c>
      <c r="Y110" s="30">
        <f t="shared" si="30"/>
        <v>0</v>
      </c>
      <c r="Z110" s="30">
        <f t="shared" si="31"/>
        <v>1</v>
      </c>
      <c r="AA110" s="30">
        <f t="shared" si="32"/>
        <v>1</v>
      </c>
      <c r="AB110" s="30">
        <f t="shared" si="33"/>
        <v>1</v>
      </c>
      <c r="AC110" s="30">
        <f t="shared" si="34"/>
        <v>1</v>
      </c>
      <c r="AD110" s="30">
        <f t="shared" si="35"/>
        <v>1</v>
      </c>
      <c r="AE110" s="30">
        <f t="shared" si="36"/>
        <v>1</v>
      </c>
      <c r="AG110" s="28" t="s">
        <v>17</v>
      </c>
      <c r="AH110" s="26" t="s">
        <v>151</v>
      </c>
      <c r="AI110" s="20" t="s">
        <v>155</v>
      </c>
      <c r="AJ110" s="30">
        <v>2505.2060044714149</v>
      </c>
      <c r="AK110" s="30">
        <v>2361.0209250186831</v>
      </c>
      <c r="AL110" s="30">
        <v>2350.0687033153226</v>
      </c>
      <c r="AM110" s="30">
        <v>2369.1357510363073</v>
      </c>
      <c r="AN110" s="30">
        <v>2478.2128382795136</v>
      </c>
      <c r="AO110" s="30">
        <v>0</v>
      </c>
      <c r="AP110" s="30">
        <v>2426.1935236144886</v>
      </c>
      <c r="AQ110" s="30">
        <v>4892.3583180987207</v>
      </c>
      <c r="AR110" s="30">
        <v>2455.9246823074682</v>
      </c>
      <c r="AS110" s="31">
        <v>2455.9246823074682</v>
      </c>
      <c r="AT110" s="31">
        <v>2455.9246823074682</v>
      </c>
      <c r="AU110" s="31">
        <v>2455.9246823074682</v>
      </c>
      <c r="AW110" t="str">
        <f t="shared" si="25"/>
        <v>Isabel Marchant</v>
      </c>
      <c r="AX110" t="s">
        <v>185</v>
      </c>
    </row>
    <row r="111" spans="1:50" x14ac:dyDescent="0.2">
      <c r="A111" t="s">
        <v>23</v>
      </c>
      <c r="D111" s="40">
        <v>302505.26440642303</v>
      </c>
      <c r="E111" s="15">
        <v>278500.60116096021</v>
      </c>
      <c r="F111" s="15">
        <v>291283.70614075044</v>
      </c>
      <c r="G111" s="15">
        <v>271765.17839345784</v>
      </c>
      <c r="H111" s="15">
        <v>312956.31121944432</v>
      </c>
      <c r="I111" s="15">
        <v>233211.48417415339</v>
      </c>
      <c r="J111" s="15">
        <v>337985.0906362292</v>
      </c>
      <c r="K111" s="40">
        <v>307852.00189789128</v>
      </c>
      <c r="L111" s="15">
        <v>274427.39275083941</v>
      </c>
      <c r="M111" s="1">
        <v>275599.14142690081</v>
      </c>
      <c r="N111" s="1">
        <v>255712.03445712914</v>
      </c>
      <c r="O111" s="1">
        <v>297965.62810937507</v>
      </c>
      <c r="AI111" s="38" t="s">
        <v>172</v>
      </c>
      <c r="AJ111" s="39">
        <f>+SUM(AJ9:AJ110)</f>
        <v>293984.84237534337</v>
      </c>
      <c r="AK111" s="39">
        <f t="shared" ref="AK111:AU111" si="40">+SUM(AK9:AK110)</f>
        <v>270470.56504039222</v>
      </c>
      <c r="AL111" s="39">
        <f t="shared" si="40"/>
        <v>283290.919472293</v>
      </c>
      <c r="AM111" s="39">
        <f t="shared" si="40"/>
        <v>263707.54304861225</v>
      </c>
      <c r="AN111" s="39">
        <f t="shared" si="40"/>
        <v>304527.69527836266</v>
      </c>
      <c r="AO111" s="39">
        <f t="shared" si="40"/>
        <v>233211.48417415339</v>
      </c>
      <c r="AP111" s="39">
        <f t="shared" si="40"/>
        <v>329733.39687796304</v>
      </c>
      <c r="AQ111" s="39">
        <f t="shared" si="40"/>
        <v>291212.66863625025</v>
      </c>
      <c r="AR111" s="39">
        <f t="shared" si="40"/>
        <v>266074.58075356018</v>
      </c>
      <c r="AS111" s="39">
        <f t="shared" si="40"/>
        <v>267246.32942962158</v>
      </c>
      <c r="AT111" s="39">
        <f>+SUM(AT9:AT110)</f>
        <v>247359.2224598499</v>
      </c>
      <c r="AU111" s="39">
        <f t="shared" si="40"/>
        <v>289612.81611209584</v>
      </c>
    </row>
    <row r="112" spans="1:50" x14ac:dyDescent="0.2">
      <c r="AX112" s="48"/>
    </row>
    <row r="113" spans="3:47" x14ac:dyDescent="0.2">
      <c r="C113" t="s">
        <v>164</v>
      </c>
      <c r="D113" s="41">
        <v>45292</v>
      </c>
      <c r="E113" s="41">
        <v>45323</v>
      </c>
      <c r="F113" s="41">
        <v>45352</v>
      </c>
      <c r="G113" s="41">
        <v>45383</v>
      </c>
      <c r="H113" s="41">
        <v>45413</v>
      </c>
      <c r="I113" s="41">
        <v>45444</v>
      </c>
      <c r="J113" s="41">
        <v>45474</v>
      </c>
      <c r="K113" s="41">
        <v>45505</v>
      </c>
      <c r="L113" s="41">
        <v>45536</v>
      </c>
      <c r="M113" s="41">
        <v>45566</v>
      </c>
      <c r="N113" s="41">
        <v>45597</v>
      </c>
      <c r="O113" s="41">
        <v>45627</v>
      </c>
      <c r="S113" t="s">
        <v>164</v>
      </c>
      <c r="T113" s="41">
        <v>45292</v>
      </c>
      <c r="U113" s="41">
        <v>45323</v>
      </c>
      <c r="V113" s="41">
        <v>45352</v>
      </c>
      <c r="W113" s="41">
        <v>45383</v>
      </c>
      <c r="X113" s="41">
        <v>45413</v>
      </c>
      <c r="Y113" s="41">
        <v>45444</v>
      </c>
      <c r="Z113" s="41">
        <v>45474</v>
      </c>
      <c r="AA113" s="41">
        <v>45505</v>
      </c>
      <c r="AB113" s="41">
        <v>45536</v>
      </c>
      <c r="AC113" s="41">
        <v>45566</v>
      </c>
      <c r="AD113" s="41">
        <v>45597</v>
      </c>
      <c r="AE113" s="41">
        <v>45627</v>
      </c>
      <c r="AI113" t="s">
        <v>164</v>
      </c>
      <c r="AJ113" s="41">
        <v>45292</v>
      </c>
      <c r="AK113" s="41">
        <v>45323</v>
      </c>
      <c r="AL113" s="41">
        <v>45352</v>
      </c>
      <c r="AM113" s="41">
        <v>45383</v>
      </c>
      <c r="AN113" s="41">
        <v>45413</v>
      </c>
      <c r="AO113" s="41">
        <v>45444</v>
      </c>
      <c r="AP113" s="41">
        <v>45474</v>
      </c>
      <c r="AQ113" s="41">
        <v>45505</v>
      </c>
      <c r="AR113" s="41">
        <v>45536</v>
      </c>
      <c r="AS113" s="41">
        <v>45566</v>
      </c>
      <c r="AT113" s="41">
        <v>45597</v>
      </c>
      <c r="AU113" s="41">
        <v>45627</v>
      </c>
    </row>
    <row r="114" spans="3:47" x14ac:dyDescent="0.2">
      <c r="C114" t="s">
        <v>170</v>
      </c>
      <c r="D114" s="16">
        <f>+SUMIF(D$9:D$110,"&lt;4000",D$9:D$110)</f>
        <v>130670.33466872502</v>
      </c>
      <c r="E114" s="16">
        <f t="shared" ref="E114:O114" si="41">+SUMIF(E$9:E$110,"&lt;4000",E$9:E$110)</f>
        <v>116939.78622051803</v>
      </c>
      <c r="F114" s="16">
        <f t="shared" si="41"/>
        <v>113783.609850056</v>
      </c>
      <c r="G114" s="16">
        <f t="shared" si="41"/>
        <v>103236.27523182453</v>
      </c>
      <c r="H114" s="16">
        <f t="shared" si="41"/>
        <v>94113.738121241244</v>
      </c>
      <c r="I114" s="16">
        <f t="shared" si="41"/>
        <v>97038.568481197071</v>
      </c>
      <c r="J114" s="16">
        <f t="shared" si="41"/>
        <v>82728.818427938706</v>
      </c>
      <c r="K114" s="16">
        <f t="shared" si="41"/>
        <v>83288.841531205617</v>
      </c>
      <c r="L114" s="16">
        <f t="shared" si="41"/>
        <v>94086.113634488909</v>
      </c>
      <c r="M114" s="16">
        <f t="shared" si="41"/>
        <v>88277.583062170845</v>
      </c>
      <c r="N114" s="16">
        <f t="shared" si="41"/>
        <v>75269.642040393621</v>
      </c>
      <c r="O114" s="16">
        <f t="shared" si="41"/>
        <v>72728.444203834151</v>
      </c>
      <c r="S114" t="s">
        <v>163</v>
      </c>
      <c r="T114" s="39">
        <f t="shared" ref="T114:AE114" si="42">+SUM(T9:T110)</f>
        <v>87</v>
      </c>
      <c r="U114" s="4">
        <f t="shared" si="42"/>
        <v>87</v>
      </c>
      <c r="V114" s="4">
        <f t="shared" si="42"/>
        <v>84</v>
      </c>
      <c r="W114" s="4">
        <f t="shared" si="42"/>
        <v>77</v>
      </c>
      <c r="X114" s="4">
        <f t="shared" si="42"/>
        <v>71</v>
      </c>
      <c r="Y114" s="4">
        <f t="shared" si="42"/>
        <v>65</v>
      </c>
      <c r="Z114" s="4">
        <f t="shared" si="42"/>
        <v>65</v>
      </c>
      <c r="AA114" s="39">
        <f t="shared" si="42"/>
        <v>62</v>
      </c>
      <c r="AB114" s="4">
        <f t="shared" si="42"/>
        <v>62</v>
      </c>
      <c r="AC114" s="4">
        <f t="shared" si="42"/>
        <v>59</v>
      </c>
      <c r="AD114" s="4">
        <f t="shared" si="42"/>
        <v>56</v>
      </c>
      <c r="AE114" s="4">
        <f t="shared" si="42"/>
        <v>56</v>
      </c>
      <c r="AI114" t="s">
        <v>174</v>
      </c>
      <c r="AJ114" s="16">
        <f>+SUMIF(AJ$9:AJ$110,"&lt;4000",AJ$9:AJ$110)</f>
        <v>129795.46269876941</v>
      </c>
      <c r="AK114" s="16">
        <f t="shared" ref="AK114:AU114" si="43">+SUMIF(AK$9:AK$110,"&lt;4000",AK$9:AK$110)</f>
        <v>116115.26679014353</v>
      </c>
      <c r="AL114" s="16">
        <f t="shared" si="43"/>
        <v>112962.91517172183</v>
      </c>
      <c r="AM114" s="16">
        <f t="shared" si="43"/>
        <v>102408.92192918118</v>
      </c>
      <c r="AN114" s="16">
        <f t="shared" si="43"/>
        <v>93248.292747118263</v>
      </c>
      <c r="AO114" s="16">
        <f t="shared" si="43"/>
        <v>97038.568481197071</v>
      </c>
      <c r="AP114" s="16">
        <f t="shared" si="43"/>
        <v>81881.539320468248</v>
      </c>
      <c r="AQ114" s="16">
        <f t="shared" si="43"/>
        <v>81580.324486362078</v>
      </c>
      <c r="AR114" s="16">
        <f t="shared" si="43"/>
        <v>93228.451765150428</v>
      </c>
      <c r="AS114" s="16">
        <f t="shared" si="43"/>
        <v>87419.921192832364</v>
      </c>
      <c r="AT114" s="16">
        <f t="shared" si="43"/>
        <v>74411.98017105514</v>
      </c>
      <c r="AU114" s="16">
        <f t="shared" si="43"/>
        <v>71870.782334495671</v>
      </c>
    </row>
    <row r="115" spans="3:47" x14ac:dyDescent="0.2">
      <c r="C115" t="s">
        <v>171</v>
      </c>
      <c r="D115" s="16">
        <f>+SUMIF(D$9:D$110,"&gt;=4000",D$9:D$110)</f>
        <v>171834.92973769805</v>
      </c>
      <c r="E115" s="16">
        <f t="shared" ref="E115:O115" si="44">+SUMIF(E$9:E$110,"&gt;=4000",E$9:E$110)</f>
        <v>161560.81494044221</v>
      </c>
      <c r="F115" s="16">
        <f t="shared" si="44"/>
        <v>177500.09629069446</v>
      </c>
      <c r="G115" s="16">
        <f t="shared" si="44"/>
        <v>168528.90316163335</v>
      </c>
      <c r="H115" s="16">
        <f t="shared" si="44"/>
        <v>218842.57309820308</v>
      </c>
      <c r="I115" s="16">
        <f t="shared" si="44"/>
        <v>136172.91569295633</v>
      </c>
      <c r="J115" s="16">
        <f t="shared" si="44"/>
        <v>255256.27220829038</v>
      </c>
      <c r="K115" s="16">
        <f t="shared" si="44"/>
        <v>224563.16036668562</v>
      </c>
      <c r="L115" s="16">
        <f t="shared" si="44"/>
        <v>180341.27911635046</v>
      </c>
      <c r="M115" s="16">
        <f t="shared" si="44"/>
        <v>187321.55836472992</v>
      </c>
      <c r="N115" s="16">
        <f t="shared" si="44"/>
        <v>180442.39241673547</v>
      </c>
      <c r="O115" s="16">
        <f t="shared" si="44"/>
        <v>225237.18390554085</v>
      </c>
      <c r="S115" t="s">
        <v>165</v>
      </c>
      <c r="T115" s="4">
        <f>+AJ$111/T114</f>
        <v>3379.1361192568206</v>
      </c>
      <c r="U115" s="4">
        <f t="shared" ref="U115:AE115" si="45">+AK$111/U114</f>
        <v>3108.8570694297955</v>
      </c>
      <c r="V115" s="4">
        <f t="shared" si="45"/>
        <v>3372.510946098726</v>
      </c>
      <c r="W115" s="4">
        <f t="shared" si="45"/>
        <v>3424.7732863456135</v>
      </c>
      <c r="X115" s="4">
        <f t="shared" si="45"/>
        <v>4289.1224687093336</v>
      </c>
      <c r="Y115" s="4">
        <f t="shared" si="45"/>
        <v>3587.8689872946675</v>
      </c>
      <c r="Z115" s="4">
        <f t="shared" si="45"/>
        <v>5072.8214904302004</v>
      </c>
      <c r="AA115" s="4">
        <f t="shared" si="45"/>
        <v>4696.9785263911335</v>
      </c>
      <c r="AB115" s="4">
        <f t="shared" si="45"/>
        <v>4291.5254960251641</v>
      </c>
      <c r="AC115" s="4">
        <f t="shared" si="45"/>
        <v>4529.5988038918913</v>
      </c>
      <c r="AD115" s="4">
        <f t="shared" si="45"/>
        <v>4417.1289724973194</v>
      </c>
      <c r="AE115" s="4">
        <f t="shared" si="45"/>
        <v>5171.6574305731401</v>
      </c>
      <c r="AI115" t="s">
        <v>175</v>
      </c>
      <c r="AJ115" s="16">
        <f>+SUMIF(AJ$9:AJ$110,"&gt;=4000",AJ$9:AJ$110)</f>
        <v>164189.37967657403</v>
      </c>
      <c r="AK115" s="16">
        <f t="shared" ref="AK115:AU115" si="46">+SUMIF(AK$9:AK$110,"&gt;=4000",AK$9:AK$110)</f>
        <v>154355.29825024874</v>
      </c>
      <c r="AL115" s="16">
        <f t="shared" si="46"/>
        <v>170328.00430057122</v>
      </c>
      <c r="AM115" s="16">
        <f t="shared" si="46"/>
        <v>161298.62111943116</v>
      </c>
      <c r="AN115" s="16">
        <f t="shared" si="46"/>
        <v>211279.40253124444</v>
      </c>
      <c r="AO115" s="16">
        <f t="shared" si="46"/>
        <v>136172.91569295633</v>
      </c>
      <c r="AP115" s="16">
        <f t="shared" si="46"/>
        <v>247851.85755749469</v>
      </c>
      <c r="AQ115" s="16">
        <f t="shared" si="46"/>
        <v>209632.34414988811</v>
      </c>
      <c r="AR115" s="16">
        <f t="shared" si="46"/>
        <v>172846.12898840971</v>
      </c>
      <c r="AS115" s="16">
        <f t="shared" si="46"/>
        <v>179826.40823678917</v>
      </c>
      <c r="AT115" s="16">
        <f t="shared" si="46"/>
        <v>172947.24228879472</v>
      </c>
      <c r="AU115" s="16">
        <f t="shared" si="46"/>
        <v>217742.0337776001</v>
      </c>
    </row>
    <row r="117" spans="3:47" x14ac:dyDescent="0.2">
      <c r="C117" t="s">
        <v>168</v>
      </c>
      <c r="D117" s="44">
        <f>+D114/D111</f>
        <v>0.4319605310840684</v>
      </c>
      <c r="E117" s="44">
        <f t="shared" ref="E117:O117" si="47">+E114/E111</f>
        <v>0.41989060609938267</v>
      </c>
      <c r="F117" s="44">
        <f t="shared" si="47"/>
        <v>0.39062813144472602</v>
      </c>
      <c r="G117" s="44">
        <f t="shared" si="47"/>
        <v>0.37987307955385102</v>
      </c>
      <c r="H117" s="44">
        <f t="shared" si="47"/>
        <v>0.30072484480189593</v>
      </c>
      <c r="I117" s="44">
        <f t="shared" si="47"/>
        <v>0.41609686943517926</v>
      </c>
      <c r="J117" s="44">
        <f t="shared" si="47"/>
        <v>0.24477061479903889</v>
      </c>
      <c r="K117" s="44">
        <f t="shared" si="47"/>
        <v>0.27054831873021556</v>
      </c>
      <c r="L117" s="44">
        <f t="shared" si="47"/>
        <v>0.34284519738127023</v>
      </c>
      <c r="M117" s="2">
        <f t="shared" si="47"/>
        <v>0.32031153146964847</v>
      </c>
      <c r="N117" s="2">
        <f t="shared" si="47"/>
        <v>0.29435314689114794</v>
      </c>
      <c r="O117" s="2">
        <f t="shared" si="47"/>
        <v>0.24408333493129455</v>
      </c>
      <c r="AI117" t="s">
        <v>176</v>
      </c>
      <c r="AJ117" s="2">
        <f>+AJ114/AJ$111</f>
        <v>0.44150392805984817</v>
      </c>
      <c r="AK117" s="2">
        <f t="shared" ref="AK117:AU117" si="48">+AK114/AK$111</f>
        <v>0.42930833073389268</v>
      </c>
      <c r="AL117" s="2">
        <f t="shared" si="48"/>
        <v>0.39875233340393063</v>
      </c>
      <c r="AM117" s="2">
        <f t="shared" si="48"/>
        <v>0.38834278589559706</v>
      </c>
      <c r="AN117" s="2">
        <f t="shared" si="48"/>
        <v>0.30620628006225137</v>
      </c>
      <c r="AO117" s="2">
        <f t="shared" si="48"/>
        <v>0.41609686943517926</v>
      </c>
      <c r="AP117" s="2">
        <f t="shared" si="48"/>
        <v>0.24832649678726132</v>
      </c>
      <c r="AQ117" s="2">
        <f t="shared" si="48"/>
        <v>0.28014002573584096</v>
      </c>
      <c r="AR117" s="2">
        <f t="shared" si="48"/>
        <v>0.35038466095150655</v>
      </c>
      <c r="AS117" s="2">
        <f t="shared" si="48"/>
        <v>0.32711364597377607</v>
      </c>
      <c r="AT117" s="2">
        <f t="shared" si="48"/>
        <v>0.30082557436536783</v>
      </c>
      <c r="AU117" s="2">
        <f t="shared" si="48"/>
        <v>0.24816160865849868</v>
      </c>
    </row>
    <row r="118" spans="3:47" x14ac:dyDescent="0.2">
      <c r="C118" t="s">
        <v>169</v>
      </c>
      <c r="D118" s="44">
        <f>+D115/D111</f>
        <v>0.56803946891593182</v>
      </c>
      <c r="E118" s="44">
        <f t="shared" ref="E118:O118" si="49">+E115/E111</f>
        <v>0.58010939390061744</v>
      </c>
      <c r="F118" s="44">
        <f t="shared" si="49"/>
        <v>0.60937186855527414</v>
      </c>
      <c r="G118" s="44">
        <f t="shared" si="49"/>
        <v>0.62012692044614914</v>
      </c>
      <c r="H118" s="44">
        <f t="shared" si="49"/>
        <v>0.69927515519810401</v>
      </c>
      <c r="I118" s="44">
        <f t="shared" si="49"/>
        <v>0.58390313056482079</v>
      </c>
      <c r="J118" s="44">
        <f t="shared" si="49"/>
        <v>0.75522938520096072</v>
      </c>
      <c r="K118" s="44">
        <f t="shared" si="49"/>
        <v>0.72945168126978432</v>
      </c>
      <c r="L118" s="44">
        <f t="shared" si="49"/>
        <v>0.65715480261872961</v>
      </c>
      <c r="M118" s="2">
        <f t="shared" si="49"/>
        <v>0.67968846853035136</v>
      </c>
      <c r="N118" s="2">
        <f t="shared" si="49"/>
        <v>0.70564685310885189</v>
      </c>
      <c r="O118" s="2">
        <f t="shared" si="49"/>
        <v>0.75591666506870525</v>
      </c>
      <c r="AI118" t="s">
        <v>177</v>
      </c>
      <c r="AJ118" s="2">
        <f>+AJ115/AJ$111</f>
        <v>0.55849607194015205</v>
      </c>
      <c r="AK118" s="2">
        <f t="shared" ref="AK118:AU118" si="50">+AK115/AK$111</f>
        <v>0.57069166926610748</v>
      </c>
      <c r="AL118" s="2">
        <f t="shared" si="50"/>
        <v>0.60124766659606965</v>
      </c>
      <c r="AM118" s="2">
        <f t="shared" si="50"/>
        <v>0.61165721410440321</v>
      </c>
      <c r="AN118" s="2">
        <f t="shared" si="50"/>
        <v>0.69379371993774874</v>
      </c>
      <c r="AO118" s="2">
        <f t="shared" si="50"/>
        <v>0.58390313056482079</v>
      </c>
      <c r="AP118" s="2">
        <f t="shared" si="50"/>
        <v>0.7516735032127384</v>
      </c>
      <c r="AQ118" s="2">
        <f t="shared" si="50"/>
        <v>0.71985997426415882</v>
      </c>
      <c r="AR118" s="2">
        <f t="shared" si="50"/>
        <v>0.64961533904849333</v>
      </c>
      <c r="AS118" s="2">
        <f t="shared" si="50"/>
        <v>0.67288635402622377</v>
      </c>
      <c r="AT118" s="2">
        <f t="shared" si="50"/>
        <v>0.69917442563463195</v>
      </c>
      <c r="AU118" s="2">
        <f t="shared" si="50"/>
        <v>0.7518383913415011</v>
      </c>
    </row>
    <row r="121" spans="3:47" x14ac:dyDescent="0.2">
      <c r="C121" t="s">
        <v>166</v>
      </c>
      <c r="D121" s="43">
        <f>+COUNTIFS(D$9:D$110,"&gt;0",D$9:D$110,"&lt;4000")</f>
        <v>68</v>
      </c>
      <c r="E121" s="43">
        <f t="shared" ref="E121:O121" si="51">+COUNTIFS(E$9:E$110,"&gt;0",E$9:E$110,"&lt;4000")</f>
        <v>68</v>
      </c>
      <c r="F121" s="43">
        <f t="shared" si="51"/>
        <v>62</v>
      </c>
      <c r="G121" s="43">
        <f t="shared" si="51"/>
        <v>56</v>
      </c>
      <c r="H121" s="43">
        <f t="shared" si="51"/>
        <v>44</v>
      </c>
      <c r="I121" s="43">
        <f t="shared" si="51"/>
        <v>46</v>
      </c>
      <c r="J121" s="43">
        <f t="shared" si="51"/>
        <v>38</v>
      </c>
      <c r="K121" s="43">
        <f t="shared" si="51"/>
        <v>39</v>
      </c>
      <c r="L121" s="43">
        <f t="shared" si="51"/>
        <v>42</v>
      </c>
      <c r="M121" s="43">
        <f t="shared" si="51"/>
        <v>40</v>
      </c>
      <c r="N121" s="43">
        <f t="shared" si="51"/>
        <v>34</v>
      </c>
      <c r="O121" s="43">
        <f t="shared" si="51"/>
        <v>31</v>
      </c>
      <c r="AI121" t="s">
        <v>166</v>
      </c>
      <c r="AJ121">
        <f>+COUNTIFS(AJ$9:AJ$110,"&gt;0",AJ$9:AJ$110,"&lt;4000")</f>
        <v>67</v>
      </c>
      <c r="AK121">
        <f t="shared" ref="AK121:AU121" si="52">+COUNTIFS(AK$9:AK$110,"&gt;0",AK$9:AK$110,"&lt;4000")</f>
        <v>67</v>
      </c>
      <c r="AL121">
        <f t="shared" si="52"/>
        <v>61</v>
      </c>
      <c r="AM121">
        <f t="shared" si="52"/>
        <v>55</v>
      </c>
      <c r="AN121">
        <f t="shared" si="52"/>
        <v>43</v>
      </c>
      <c r="AO121">
        <f t="shared" si="52"/>
        <v>46</v>
      </c>
      <c r="AP121">
        <f t="shared" si="52"/>
        <v>37</v>
      </c>
      <c r="AQ121">
        <f t="shared" si="52"/>
        <v>38</v>
      </c>
      <c r="AR121">
        <f t="shared" si="52"/>
        <v>41</v>
      </c>
      <c r="AS121">
        <f t="shared" si="52"/>
        <v>39</v>
      </c>
      <c r="AT121">
        <f t="shared" si="52"/>
        <v>33</v>
      </c>
      <c r="AU121">
        <f t="shared" si="52"/>
        <v>30</v>
      </c>
    </row>
    <row r="122" spans="3:47" x14ac:dyDescent="0.2">
      <c r="C122" t="s">
        <v>167</v>
      </c>
      <c r="D122" s="43">
        <f>+COUNTIF(D$9:D$110,"&gt;=4000")</f>
        <v>21</v>
      </c>
      <c r="E122" s="43">
        <f t="shared" ref="E122:O122" si="53">+COUNTIF(E$9:E$110,"&gt;=4000")</f>
        <v>21</v>
      </c>
      <c r="F122" s="43">
        <f t="shared" si="53"/>
        <v>24</v>
      </c>
      <c r="G122" s="43">
        <f t="shared" si="53"/>
        <v>23</v>
      </c>
      <c r="H122" s="43">
        <f t="shared" si="53"/>
        <v>29</v>
      </c>
      <c r="I122" s="43">
        <f t="shared" si="53"/>
        <v>19</v>
      </c>
      <c r="J122" s="43">
        <f t="shared" si="53"/>
        <v>29</v>
      </c>
      <c r="K122" s="43">
        <f t="shared" si="53"/>
        <v>25</v>
      </c>
      <c r="L122" s="43">
        <f t="shared" si="53"/>
        <v>22</v>
      </c>
      <c r="M122" s="43">
        <f t="shared" si="53"/>
        <v>21</v>
      </c>
      <c r="N122" s="43">
        <f t="shared" si="53"/>
        <v>24</v>
      </c>
      <c r="O122" s="43">
        <f t="shared" si="53"/>
        <v>27</v>
      </c>
      <c r="AI122" t="s">
        <v>167</v>
      </c>
      <c r="AJ122">
        <f>+COUNTIF(AJ$9:AJ$110,"&gt;=4000")</f>
        <v>20</v>
      </c>
      <c r="AK122">
        <f t="shared" ref="AK122:AU122" si="54">+COUNTIF(AK$9:AK$110,"&gt;=4000")</f>
        <v>20</v>
      </c>
      <c r="AL122">
        <f t="shared" si="54"/>
        <v>23</v>
      </c>
      <c r="AM122">
        <f t="shared" si="54"/>
        <v>22</v>
      </c>
      <c r="AN122">
        <f t="shared" si="54"/>
        <v>28</v>
      </c>
      <c r="AO122">
        <f t="shared" si="54"/>
        <v>19</v>
      </c>
      <c r="AP122">
        <f t="shared" si="54"/>
        <v>28</v>
      </c>
      <c r="AQ122">
        <f t="shared" si="54"/>
        <v>24</v>
      </c>
      <c r="AR122">
        <f t="shared" si="54"/>
        <v>21</v>
      </c>
      <c r="AS122">
        <f t="shared" si="54"/>
        <v>20</v>
      </c>
      <c r="AT122">
        <f t="shared" si="54"/>
        <v>23</v>
      </c>
      <c r="AU122">
        <f t="shared" si="54"/>
        <v>26</v>
      </c>
    </row>
    <row r="123" spans="3:47" x14ac:dyDescent="0.2">
      <c r="AI123" t="s">
        <v>173</v>
      </c>
      <c r="AJ123" s="46">
        <f>+SUM(AJ121:AJ122)</f>
        <v>87</v>
      </c>
      <c r="AK123" s="46">
        <f t="shared" ref="AK123:AU123" si="55">+SUM(AK121:AK122)</f>
        <v>87</v>
      </c>
      <c r="AL123" s="46">
        <f t="shared" si="55"/>
        <v>84</v>
      </c>
      <c r="AM123" s="46">
        <f t="shared" si="55"/>
        <v>77</v>
      </c>
      <c r="AN123" s="46">
        <f t="shared" si="55"/>
        <v>71</v>
      </c>
      <c r="AO123" s="46">
        <f t="shared" si="55"/>
        <v>65</v>
      </c>
      <c r="AP123" s="46">
        <f t="shared" si="55"/>
        <v>65</v>
      </c>
      <c r="AQ123" s="46">
        <f t="shared" si="55"/>
        <v>62</v>
      </c>
      <c r="AR123" s="46">
        <f t="shared" si="55"/>
        <v>62</v>
      </c>
      <c r="AS123" s="46">
        <f t="shared" si="55"/>
        <v>59</v>
      </c>
      <c r="AT123" s="46">
        <f t="shared" si="55"/>
        <v>56</v>
      </c>
      <c r="AU123" s="46">
        <f t="shared" si="55"/>
        <v>56</v>
      </c>
    </row>
    <row r="124" spans="3:47" x14ac:dyDescent="0.2">
      <c r="D124" s="45">
        <f>+SUM(D121:D122)</f>
        <v>89</v>
      </c>
      <c r="E124" s="45">
        <f t="shared" ref="E124:O124" si="56">+SUM(E121:E122)</f>
        <v>89</v>
      </c>
      <c r="F124" s="45">
        <f t="shared" si="56"/>
        <v>86</v>
      </c>
      <c r="G124" s="45">
        <f t="shared" si="56"/>
        <v>79</v>
      </c>
      <c r="H124" s="45">
        <f t="shared" si="56"/>
        <v>73</v>
      </c>
      <c r="I124" s="45">
        <f t="shared" si="56"/>
        <v>65</v>
      </c>
      <c r="J124" s="45">
        <f t="shared" si="56"/>
        <v>67</v>
      </c>
      <c r="K124" s="45">
        <f t="shared" si="56"/>
        <v>64</v>
      </c>
      <c r="L124" s="45">
        <f t="shared" si="56"/>
        <v>64</v>
      </c>
      <c r="M124" s="4">
        <f t="shared" si="56"/>
        <v>61</v>
      </c>
      <c r="N124" s="4">
        <f t="shared" si="56"/>
        <v>58</v>
      </c>
      <c r="O124" s="4">
        <f t="shared" si="56"/>
        <v>58</v>
      </c>
    </row>
    <row r="125" spans="3:47" x14ac:dyDescent="0.2">
      <c r="AI125" t="s">
        <v>166</v>
      </c>
      <c r="AJ125" s="2">
        <f>+AJ121/AJ$123</f>
        <v>0.77011494252873558</v>
      </c>
      <c r="AK125" s="2">
        <f>+AK121/AK$123</f>
        <v>0.77011494252873558</v>
      </c>
      <c r="AL125" s="2">
        <f t="shared" ref="AL125:AU125" si="57">+AL121/AL$123</f>
        <v>0.72619047619047616</v>
      </c>
      <c r="AM125" s="2">
        <f t="shared" si="57"/>
        <v>0.7142857142857143</v>
      </c>
      <c r="AN125" s="2">
        <f t="shared" si="57"/>
        <v>0.60563380281690138</v>
      </c>
      <c r="AO125" s="2">
        <f t="shared" si="57"/>
        <v>0.70769230769230773</v>
      </c>
      <c r="AP125" s="2">
        <f t="shared" si="57"/>
        <v>0.56923076923076921</v>
      </c>
      <c r="AQ125" s="2">
        <f t="shared" si="57"/>
        <v>0.61290322580645162</v>
      </c>
      <c r="AR125" s="2">
        <f t="shared" si="57"/>
        <v>0.66129032258064513</v>
      </c>
      <c r="AS125" s="2">
        <f t="shared" si="57"/>
        <v>0.66101694915254239</v>
      </c>
      <c r="AT125" s="2">
        <f t="shared" si="57"/>
        <v>0.5892857142857143</v>
      </c>
      <c r="AU125" s="2">
        <f t="shared" si="57"/>
        <v>0.5357142857142857</v>
      </c>
    </row>
    <row r="126" spans="3:47" x14ac:dyDescent="0.2">
      <c r="AI126" t="s">
        <v>167</v>
      </c>
      <c r="AJ126" s="2">
        <f>+AJ122/AJ$123</f>
        <v>0.22988505747126436</v>
      </c>
      <c r="AK126" s="2">
        <f>+AK122/AK$123</f>
        <v>0.22988505747126436</v>
      </c>
      <c r="AL126" s="2">
        <f t="shared" ref="AL126:AU126" si="58">+AL122/AL$123</f>
        <v>0.27380952380952384</v>
      </c>
      <c r="AM126" s="2">
        <f t="shared" si="58"/>
        <v>0.2857142857142857</v>
      </c>
      <c r="AN126" s="2">
        <f t="shared" si="58"/>
        <v>0.39436619718309857</v>
      </c>
      <c r="AO126" s="2">
        <f t="shared" si="58"/>
        <v>0.29230769230769232</v>
      </c>
      <c r="AP126" s="2">
        <f t="shared" si="58"/>
        <v>0.43076923076923079</v>
      </c>
      <c r="AQ126" s="2">
        <f t="shared" si="58"/>
        <v>0.38709677419354838</v>
      </c>
      <c r="AR126" s="2">
        <f t="shared" si="58"/>
        <v>0.33870967741935482</v>
      </c>
      <c r="AS126" s="2">
        <f t="shared" si="58"/>
        <v>0.33898305084745761</v>
      </c>
      <c r="AT126" s="2">
        <f t="shared" si="58"/>
        <v>0.4107142857142857</v>
      </c>
      <c r="AU126" s="2">
        <f t="shared" si="58"/>
        <v>0.4642857142857143</v>
      </c>
    </row>
  </sheetData>
  <autoFilter ref="AW8:AX110" xr:uid="{66AE95D5-1307-42AF-9E7F-C6A24487B48C}"/>
  <pageMargins left="0.7" right="0.7" top="0.75" bottom="0.75" header="0.3" footer="0.3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2644-64AA-400A-B8E1-10ECBADD7582}">
  <dimension ref="B3:W16"/>
  <sheetViews>
    <sheetView workbookViewId="0">
      <selection activeCell="M4" sqref="M4"/>
    </sheetView>
  </sheetViews>
  <sheetFormatPr baseColWidth="10" defaultRowHeight="15" x14ac:dyDescent="0.2"/>
  <cols>
    <col min="2" max="2" width="18.6640625" bestFit="1" customWidth="1"/>
    <col min="3" max="13" width="7.83203125" bestFit="1" customWidth="1"/>
    <col min="14" max="14" width="6.6640625" bestFit="1" customWidth="1"/>
  </cols>
  <sheetData>
    <row r="3" spans="2:23" x14ac:dyDescent="0.2">
      <c r="B3" s="9" t="s">
        <v>38</v>
      </c>
      <c r="C3" s="10">
        <v>45292</v>
      </c>
      <c r="D3" s="10">
        <v>45323</v>
      </c>
      <c r="E3" s="10">
        <v>45352</v>
      </c>
      <c r="F3" s="10">
        <v>45383</v>
      </c>
      <c r="G3" s="10">
        <v>45413</v>
      </c>
      <c r="H3" s="10">
        <v>45444</v>
      </c>
      <c r="I3" s="10">
        <v>45474</v>
      </c>
      <c r="J3" s="10">
        <v>45505</v>
      </c>
      <c r="K3" s="10">
        <v>45536</v>
      </c>
      <c r="L3" s="10">
        <v>45566</v>
      </c>
      <c r="M3" s="10">
        <v>45597</v>
      </c>
      <c r="N3" s="10">
        <v>45627</v>
      </c>
    </row>
    <row r="4" spans="2:23" x14ac:dyDescent="0.2">
      <c r="B4" s="11" t="s">
        <v>47</v>
      </c>
      <c r="C4" s="12">
        <v>782.47265000000004</v>
      </c>
      <c r="D4" s="12">
        <v>579.08372999999995</v>
      </c>
      <c r="E4" s="12">
        <v>663.71177138443829</v>
      </c>
      <c r="F4" s="12">
        <v>492.66419999999999</v>
      </c>
      <c r="G4" s="12">
        <v>817.072</v>
      </c>
      <c r="H4" s="12">
        <v>398.01100000000002</v>
      </c>
      <c r="I4" s="12">
        <v>464.29876726273329</v>
      </c>
      <c r="J4" s="12">
        <v>672.28596268656713</v>
      </c>
      <c r="K4" s="12">
        <v>1311.681</v>
      </c>
      <c r="L4" s="12">
        <v>1003.5650899999999</v>
      </c>
      <c r="M4" s="12">
        <v>765.23699999999997</v>
      </c>
      <c r="N4" s="12">
        <v>845.34807999999998</v>
      </c>
      <c r="O4" s="17">
        <f>+SUM(C4:N4)</f>
        <v>8795.4312513337409</v>
      </c>
      <c r="P4" s="4"/>
      <c r="R4" s="4">
        <f>+AVERAGE(C4:I4)</f>
        <v>599.6163026638817</v>
      </c>
      <c r="S4" s="5">
        <f>+MEDIAN(C4:I4)</f>
        <v>579.08372999999995</v>
      </c>
    </row>
    <row r="5" spans="2:23" x14ac:dyDescent="0.2">
      <c r="B5" s="11" t="s">
        <v>48</v>
      </c>
      <c r="C5" s="12">
        <v>667.35889999999995</v>
      </c>
      <c r="D5" s="12">
        <v>532.92403000000002</v>
      </c>
      <c r="E5" s="12">
        <v>468.64003000000002</v>
      </c>
      <c r="F5" s="12">
        <v>461.52254999999997</v>
      </c>
      <c r="G5" s="12">
        <v>609.971</v>
      </c>
      <c r="H5" s="12">
        <v>189.42</v>
      </c>
      <c r="I5" s="12">
        <v>229.80635662047777</v>
      </c>
      <c r="J5" s="12">
        <v>431.43996268656718</v>
      </c>
      <c r="K5" s="12">
        <v>193.92</v>
      </c>
      <c r="L5" s="12">
        <v>292.21908999999999</v>
      </c>
      <c r="M5" s="12">
        <v>123.5</v>
      </c>
      <c r="N5" s="12">
        <v>72.821079999999995</v>
      </c>
      <c r="O5" s="17">
        <f t="shared" ref="O5:O12" si="0">+SUM(C5:N5)</f>
        <v>4273.5429993070447</v>
      </c>
      <c r="P5" s="2">
        <f t="shared" ref="P5:P12" si="1">+O5/$O$4</f>
        <v>0.48588214462582535</v>
      </c>
      <c r="R5" s="2">
        <f>+(K4-R4)/R4</f>
        <v>1.1875339182284879</v>
      </c>
    </row>
    <row r="6" spans="2:23" x14ac:dyDescent="0.2">
      <c r="B6" s="11" t="s">
        <v>49</v>
      </c>
      <c r="C6" s="12">
        <v>115.11375000000011</v>
      </c>
      <c r="D6" s="12">
        <v>46.159699999999951</v>
      </c>
      <c r="E6" s="12">
        <v>195.07174138443824</v>
      </c>
      <c r="F6" s="12">
        <v>31.141650000000023</v>
      </c>
      <c r="G6" s="12">
        <v>207.101</v>
      </c>
      <c r="H6" s="12">
        <v>208.59100000000001</v>
      </c>
      <c r="I6" s="12">
        <v>234.49241064225552</v>
      </c>
      <c r="J6" s="12">
        <v>240.84599999999995</v>
      </c>
      <c r="K6" s="12">
        <v>1117.761</v>
      </c>
      <c r="L6" s="12">
        <v>711.346</v>
      </c>
      <c r="M6" s="12">
        <v>641.73699999999997</v>
      </c>
      <c r="N6" s="12">
        <v>772.52700000000004</v>
      </c>
      <c r="O6" s="17">
        <f t="shared" si="0"/>
        <v>4521.8882520266943</v>
      </c>
      <c r="P6" s="2">
        <f t="shared" si="1"/>
        <v>0.51411785537417443</v>
      </c>
    </row>
    <row r="7" spans="2:23" x14ac:dyDescent="0.2">
      <c r="B7" s="11" t="s">
        <v>50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7">
        <f t="shared" si="0"/>
        <v>0</v>
      </c>
      <c r="P7" s="2">
        <f t="shared" si="1"/>
        <v>0</v>
      </c>
      <c r="U7" t="s">
        <v>2</v>
      </c>
      <c r="V7" t="s">
        <v>54</v>
      </c>
    </row>
    <row r="8" spans="2:23" x14ac:dyDescent="0.2">
      <c r="B8" s="11" t="s">
        <v>32</v>
      </c>
      <c r="C8" s="12">
        <v>427.78565000000003</v>
      </c>
      <c r="D8" s="12">
        <v>203.47573</v>
      </c>
      <c r="E8" s="12">
        <v>294.69749138443825</v>
      </c>
      <c r="F8" s="12">
        <v>239.03020000000001</v>
      </c>
      <c r="G8" s="12">
        <v>253.28800000000001</v>
      </c>
      <c r="H8" s="12">
        <v>181.51900000000001</v>
      </c>
      <c r="I8" s="12">
        <v>199.83050726273331</v>
      </c>
      <c r="J8" s="12">
        <v>191.73696268656715</v>
      </c>
      <c r="K8" s="12">
        <v>305.34300000000002</v>
      </c>
      <c r="L8" s="12">
        <v>505.28500000000003</v>
      </c>
      <c r="M8" s="12">
        <v>501.935</v>
      </c>
      <c r="N8" s="12">
        <v>489.29500000000002</v>
      </c>
      <c r="O8" s="17">
        <f t="shared" si="0"/>
        <v>3793.2215413337385</v>
      </c>
      <c r="P8" s="2">
        <f t="shared" si="1"/>
        <v>0.4312718083901268</v>
      </c>
      <c r="U8" t="s">
        <v>32</v>
      </c>
      <c r="V8" s="4">
        <f>+_xlfn.XLOOKUP(U8,B:B,O:O,"!",0,1)</f>
        <v>3793.2215413337385</v>
      </c>
      <c r="W8" s="2">
        <f>+V8/$V$13</f>
        <v>0.4312718083901268</v>
      </c>
    </row>
    <row r="9" spans="2:23" x14ac:dyDescent="0.2">
      <c r="B9" s="11" t="s">
        <v>33</v>
      </c>
      <c r="C9" s="12">
        <v>165.529</v>
      </c>
      <c r="D9" s="12">
        <v>97.072000000000003</v>
      </c>
      <c r="E9" s="12">
        <v>127.38500000000001</v>
      </c>
      <c r="F9" s="12">
        <v>76.132999999999996</v>
      </c>
      <c r="G9" s="12">
        <v>107.922</v>
      </c>
      <c r="H9" s="12">
        <v>172.20099999999999</v>
      </c>
      <c r="I9" s="12">
        <v>189.28926000000001</v>
      </c>
      <c r="J9" s="12">
        <v>185.95699999999999</v>
      </c>
      <c r="K9" s="12">
        <v>387.97199999999998</v>
      </c>
      <c r="L9" s="12">
        <v>293.42899999999997</v>
      </c>
      <c r="M9" s="12">
        <v>191.04499999999999</v>
      </c>
      <c r="N9" s="12">
        <v>126.005</v>
      </c>
      <c r="O9" s="17">
        <f t="shared" si="0"/>
        <v>2119.9392600000001</v>
      </c>
      <c r="P9" s="2">
        <f t="shared" si="1"/>
        <v>0.24102732423478748</v>
      </c>
      <c r="U9" t="s">
        <v>33</v>
      </c>
      <c r="V9" s="4">
        <f>+_xlfn.XLOOKUP(U9,B:B,O:O,"!",0,1)</f>
        <v>2119.9392600000001</v>
      </c>
      <c r="W9" s="2">
        <f>+V9/$V$13</f>
        <v>0.24102732423478748</v>
      </c>
    </row>
    <row r="10" spans="2:23" x14ac:dyDescent="0.2">
      <c r="B10" s="11" t="s">
        <v>3</v>
      </c>
      <c r="C10" s="12">
        <v>189.15799999999999</v>
      </c>
      <c r="D10" s="12">
        <v>225.732</v>
      </c>
      <c r="E10" s="12">
        <v>78.646280000000004</v>
      </c>
      <c r="F10" s="12">
        <v>74.596000000000004</v>
      </c>
      <c r="G10" s="12">
        <v>267.262</v>
      </c>
      <c r="H10" s="12">
        <v>0</v>
      </c>
      <c r="I10" s="12">
        <v>23.44</v>
      </c>
      <c r="J10" s="12">
        <v>144.77099999999999</v>
      </c>
      <c r="K10" s="12">
        <v>0</v>
      </c>
      <c r="L10" s="12">
        <v>128.80108999999999</v>
      </c>
      <c r="M10" s="12">
        <v>26.332000000000001</v>
      </c>
      <c r="N10" s="12">
        <v>107.35808</v>
      </c>
      <c r="O10" s="17">
        <f t="shared" si="0"/>
        <v>1266.09645</v>
      </c>
      <c r="P10" s="2">
        <f t="shared" si="1"/>
        <v>0.14394933162691811</v>
      </c>
      <c r="U10" t="s">
        <v>51</v>
      </c>
      <c r="V10" s="4">
        <f>+_xlfn.XLOOKUP(U10,B:B,O:O,"!",0,1)</f>
        <v>1464.0740000000001</v>
      </c>
      <c r="W10" s="2">
        <f>+V10/$V$13</f>
        <v>0.16645846669291942</v>
      </c>
    </row>
    <row r="11" spans="2:23" x14ac:dyDescent="0.2">
      <c r="B11" s="11" t="s">
        <v>46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76.05</v>
      </c>
      <c r="M11" s="12">
        <v>0</v>
      </c>
      <c r="N11" s="12">
        <v>76.05</v>
      </c>
      <c r="O11" s="17">
        <f t="shared" si="0"/>
        <v>152.1</v>
      </c>
      <c r="P11" s="2">
        <f t="shared" si="1"/>
        <v>1.7293069055247919E-2</v>
      </c>
      <c r="U11" t="s">
        <v>3</v>
      </c>
      <c r="V11" s="4">
        <f>+_xlfn.XLOOKUP(U11,B:B,O:O,"!",0,1)</f>
        <v>1266.09645</v>
      </c>
      <c r="W11" s="2">
        <f>+V11/$V$13</f>
        <v>0.14394933162691811</v>
      </c>
    </row>
    <row r="12" spans="2:23" x14ac:dyDescent="0.2">
      <c r="B12" s="11" t="s">
        <v>51</v>
      </c>
      <c r="C12" s="12">
        <v>0</v>
      </c>
      <c r="D12" s="12">
        <v>52.804000000000002</v>
      </c>
      <c r="E12" s="12">
        <v>162.983</v>
      </c>
      <c r="F12" s="12">
        <v>102.905</v>
      </c>
      <c r="G12" s="12">
        <v>188.6</v>
      </c>
      <c r="H12" s="12">
        <v>44.290999999999997</v>
      </c>
      <c r="I12" s="12">
        <v>51.738999999999997</v>
      </c>
      <c r="J12" s="12">
        <v>149.821</v>
      </c>
      <c r="K12" s="12">
        <v>618.36599999999999</v>
      </c>
      <c r="L12" s="12">
        <v>0</v>
      </c>
      <c r="M12" s="12">
        <v>45.924999999999997</v>
      </c>
      <c r="N12" s="12">
        <v>46.64</v>
      </c>
      <c r="O12" s="17">
        <f t="shared" si="0"/>
        <v>1464.0740000000001</v>
      </c>
      <c r="P12" s="2">
        <f t="shared" si="1"/>
        <v>0.16645846669291942</v>
      </c>
      <c r="U12" t="s">
        <v>46</v>
      </c>
      <c r="V12" s="4">
        <f>+_xlfn.XLOOKUP(U12,B:B,O:O,"!",0,1)</f>
        <v>152.1</v>
      </c>
      <c r="W12" s="2">
        <f>+V12/$V$13</f>
        <v>1.7293069055247919E-2</v>
      </c>
    </row>
    <row r="13" spans="2:23" x14ac:dyDescent="0.2">
      <c r="B13" s="11" t="s">
        <v>52</v>
      </c>
      <c r="C13" s="12">
        <v>10</v>
      </c>
      <c r="D13" s="12">
        <v>14</v>
      </c>
      <c r="E13" s="12">
        <v>14</v>
      </c>
      <c r="F13" s="12">
        <v>13</v>
      </c>
      <c r="G13" s="12">
        <v>14</v>
      </c>
      <c r="H13" s="12">
        <v>8</v>
      </c>
      <c r="I13" s="12">
        <v>13</v>
      </c>
      <c r="J13" s="12">
        <v>14</v>
      </c>
      <c r="K13" s="12">
        <v>13</v>
      </c>
      <c r="L13" s="12">
        <v>22</v>
      </c>
      <c r="M13" s="12">
        <v>17</v>
      </c>
      <c r="N13" s="12">
        <v>25</v>
      </c>
      <c r="O13" s="17">
        <f>+AVERAGE(C13:N13)</f>
        <v>14.75</v>
      </c>
      <c r="V13" s="4">
        <f>+SUM(V8:V12)</f>
        <v>8795.4312513337409</v>
      </c>
    </row>
    <row r="14" spans="2:23" x14ac:dyDescent="0.2">
      <c r="B14" s="11" t="s">
        <v>37</v>
      </c>
      <c r="C14" s="13">
        <v>782.47265000000004</v>
      </c>
      <c r="D14" s="13">
        <v>1361.55638</v>
      </c>
      <c r="E14" s="13">
        <v>2025.2681513844382</v>
      </c>
      <c r="F14" s="13">
        <v>2517.9323513844383</v>
      </c>
      <c r="G14" s="13">
        <v>3335.0043513844385</v>
      </c>
      <c r="H14" s="13">
        <v>3733.0153513844384</v>
      </c>
      <c r="I14" s="13">
        <v>4197.3141186471721</v>
      </c>
      <c r="J14" s="13">
        <v>4869.6000813337396</v>
      </c>
      <c r="K14" s="13">
        <v>6181.2810813337401</v>
      </c>
      <c r="L14" s="13">
        <v>7184.8461713337401</v>
      </c>
      <c r="M14" s="13">
        <v>7950.0831713337402</v>
      </c>
      <c r="N14" s="13">
        <v>8795.4312513337409</v>
      </c>
    </row>
    <row r="15" spans="2:23" x14ac:dyDescent="0.2">
      <c r="C15" s="14">
        <f t="shared" ref="C15:N15" si="2">+C14/$N$14</f>
        <v>8.8963534321451918E-2</v>
      </c>
      <c r="D15" s="14">
        <f t="shared" si="2"/>
        <v>0.15480268574591308</v>
      </c>
      <c r="E15" s="14">
        <f t="shared" si="2"/>
        <v>0.23026365547196179</v>
      </c>
      <c r="F15" s="14">
        <f t="shared" si="2"/>
        <v>0.28627730459522593</v>
      </c>
      <c r="G15" s="14">
        <f t="shared" si="2"/>
        <v>0.37917462556241543</v>
      </c>
      <c r="H15" s="14">
        <f t="shared" si="2"/>
        <v>0.42442664204991237</v>
      </c>
      <c r="I15" s="14">
        <f t="shared" si="2"/>
        <v>0.47721527219153587</v>
      </c>
      <c r="J15" s="14">
        <f t="shared" si="2"/>
        <v>0.55365108795493256</v>
      </c>
      <c r="K15" s="14">
        <f t="shared" si="2"/>
        <v>0.70278317284287906</v>
      </c>
      <c r="L15" s="14">
        <f t="shared" si="2"/>
        <v>0.81688389869959233</v>
      </c>
      <c r="M15" s="2">
        <f t="shared" si="2"/>
        <v>0.90388781904561966</v>
      </c>
      <c r="N15" s="2">
        <f t="shared" si="2"/>
        <v>1</v>
      </c>
    </row>
    <row r="16" spans="2:23" x14ac:dyDescent="0.2">
      <c r="D16">
        <f>+(D15-C15)/C15</f>
        <v>0.740068972378779</v>
      </c>
      <c r="E16">
        <f>+(E15-D15)/D15</f>
        <v>0.48746550721934712</v>
      </c>
      <c r="F16">
        <f t="shared" ref="F16:N16" si="3">+(F15-E15)/E15</f>
        <v>0.24325875053297191</v>
      </c>
      <c r="G16">
        <f t="shared" si="3"/>
        <v>0.32450117238088139</v>
      </c>
      <c r="H16">
        <f t="shared" si="3"/>
        <v>0.11934347247096593</v>
      </c>
      <c r="I16">
        <f t="shared" si="3"/>
        <v>0.12437633482823535</v>
      </c>
      <c r="J16">
        <f t="shared" si="3"/>
        <v>0.16017051468696145</v>
      </c>
      <c r="K16">
        <f t="shared" si="3"/>
        <v>0.26936113399290551</v>
      </c>
      <c r="L16">
        <f t="shared" si="3"/>
        <v>0.16235551769851883</v>
      </c>
      <c r="M16">
        <f t="shared" si="3"/>
        <v>0.10650708195440008</v>
      </c>
      <c r="N16">
        <f t="shared" si="3"/>
        <v>0.10633197939967981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B2E6-FAD9-4ACE-9E6A-22406E4F38A0}">
  <dimension ref="B3:W16"/>
  <sheetViews>
    <sheetView workbookViewId="0">
      <selection activeCell="I5" sqref="I5"/>
    </sheetView>
  </sheetViews>
  <sheetFormatPr baseColWidth="10" defaultRowHeight="15" x14ac:dyDescent="0.2"/>
  <cols>
    <col min="2" max="2" width="18.6640625" bestFit="1" customWidth="1"/>
    <col min="3" max="13" width="7.83203125" bestFit="1" customWidth="1"/>
    <col min="14" max="14" width="6.6640625" bestFit="1" customWidth="1"/>
  </cols>
  <sheetData>
    <row r="3" spans="2:23" x14ac:dyDescent="0.2">
      <c r="B3" s="9" t="s">
        <v>38</v>
      </c>
      <c r="C3" s="10">
        <v>45292</v>
      </c>
      <c r="D3" s="10">
        <v>45323</v>
      </c>
      <c r="E3" s="10">
        <v>45352</v>
      </c>
      <c r="F3" s="10">
        <v>45383</v>
      </c>
      <c r="G3" s="10">
        <v>45413</v>
      </c>
      <c r="H3" s="10">
        <v>45444</v>
      </c>
      <c r="I3" s="10">
        <v>45474</v>
      </c>
      <c r="J3" s="10">
        <v>45505</v>
      </c>
      <c r="K3" s="10">
        <v>45536</v>
      </c>
      <c r="L3" s="10">
        <v>45566</v>
      </c>
      <c r="M3" s="10">
        <v>45597</v>
      </c>
      <c r="N3" s="10">
        <v>45627</v>
      </c>
    </row>
    <row r="4" spans="2:23" x14ac:dyDescent="0.2">
      <c r="B4" s="11" t="s">
        <v>47</v>
      </c>
      <c r="C4" s="12">
        <v>782.47265000000004</v>
      </c>
      <c r="D4" s="12">
        <v>579.08372999999995</v>
      </c>
      <c r="E4" s="12">
        <v>663.71177138443829</v>
      </c>
      <c r="F4" s="12">
        <v>492.66419999999999</v>
      </c>
      <c r="G4" s="12">
        <v>817.072</v>
      </c>
      <c r="H4" s="12">
        <v>398.01100000000002</v>
      </c>
      <c r="I4" s="12">
        <v>464.29876726273329</v>
      </c>
      <c r="J4" s="12">
        <v>672.28596268656713</v>
      </c>
      <c r="K4" s="12">
        <v>1287.085</v>
      </c>
      <c r="L4" s="12">
        <v>1257.8012900000001</v>
      </c>
      <c r="M4" s="12">
        <v>906.27200000000005</v>
      </c>
      <c r="N4" s="12">
        <v>772.42007999999998</v>
      </c>
      <c r="O4" s="17">
        <f>+SUM(C4:N4)</f>
        <v>9093.1784513337407</v>
      </c>
      <c r="P4" s="4"/>
      <c r="R4" s="4">
        <f>+AVERAGE(C4:I4)</f>
        <v>599.6163026638817</v>
      </c>
      <c r="S4" s="5">
        <f>+MEDIAN(C4:I4)</f>
        <v>579.08372999999995</v>
      </c>
    </row>
    <row r="5" spans="2:23" x14ac:dyDescent="0.2">
      <c r="B5" s="11" t="s">
        <v>48</v>
      </c>
      <c r="C5" s="12">
        <v>667.35889999999995</v>
      </c>
      <c r="D5" s="12">
        <v>532.92403000000002</v>
      </c>
      <c r="E5" s="12">
        <v>468.64003000000002</v>
      </c>
      <c r="F5" s="12">
        <v>461.52254999999997</v>
      </c>
      <c r="G5" s="12">
        <v>609.971</v>
      </c>
      <c r="H5" s="12">
        <v>189.42</v>
      </c>
      <c r="I5" s="12">
        <v>229.80635662047777</v>
      </c>
      <c r="J5" s="12">
        <v>431.43996268656718</v>
      </c>
      <c r="K5" s="12">
        <v>193.92</v>
      </c>
      <c r="L5" s="12">
        <v>447.25929000000002</v>
      </c>
      <c r="M5" s="12">
        <v>40</v>
      </c>
      <c r="N5" s="12">
        <v>11.23908</v>
      </c>
      <c r="O5" s="17">
        <f t="shared" ref="O5:O12" si="0">+SUM(C5:N5)</f>
        <v>4283.5011993070457</v>
      </c>
      <c r="P5" s="2">
        <f t="shared" ref="P5:P12" si="1">+O5/$O$4</f>
        <v>0.47106753950031233</v>
      </c>
      <c r="R5" s="2">
        <f>+(K4-R4)/R4</f>
        <v>1.1465143530653514</v>
      </c>
    </row>
    <row r="6" spans="2:23" x14ac:dyDescent="0.2">
      <c r="B6" s="11" t="s">
        <v>49</v>
      </c>
      <c r="C6" s="12">
        <v>115.11375000000011</v>
      </c>
      <c r="D6" s="12">
        <v>46.159699999999951</v>
      </c>
      <c r="E6" s="12">
        <v>195.07174138443824</v>
      </c>
      <c r="F6" s="12">
        <v>31.141650000000023</v>
      </c>
      <c r="G6" s="12">
        <v>207.101</v>
      </c>
      <c r="H6" s="12">
        <v>208.59100000000001</v>
      </c>
      <c r="I6" s="12">
        <v>234.49241064225552</v>
      </c>
      <c r="J6" s="12">
        <v>240.84599999999995</v>
      </c>
      <c r="K6" s="12">
        <v>1093.165</v>
      </c>
      <c r="L6" s="12">
        <v>810.54200000000003</v>
      </c>
      <c r="M6" s="12">
        <v>866.27200000000005</v>
      </c>
      <c r="N6" s="12">
        <v>761.18100000000004</v>
      </c>
      <c r="O6" s="17">
        <f t="shared" si="0"/>
        <v>4809.6772520266932</v>
      </c>
      <c r="P6" s="2">
        <f t="shared" si="1"/>
        <v>0.52893246049968745</v>
      </c>
    </row>
    <row r="7" spans="2:23" x14ac:dyDescent="0.2">
      <c r="B7" s="11" t="s">
        <v>50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7">
        <f t="shared" si="0"/>
        <v>0</v>
      </c>
      <c r="P7" s="2">
        <f t="shared" si="1"/>
        <v>0</v>
      </c>
      <c r="U7" t="s">
        <v>2</v>
      </c>
      <c r="V7" t="s">
        <v>54</v>
      </c>
    </row>
    <row r="8" spans="2:23" x14ac:dyDescent="0.2">
      <c r="B8" s="11" t="s">
        <v>32</v>
      </c>
      <c r="C8" s="12">
        <v>427.78565000000003</v>
      </c>
      <c r="D8" s="12">
        <v>203.47573</v>
      </c>
      <c r="E8" s="12">
        <v>294.69749138443825</v>
      </c>
      <c r="F8" s="12">
        <v>239.03020000000001</v>
      </c>
      <c r="G8" s="12">
        <v>253.28800000000001</v>
      </c>
      <c r="H8" s="12">
        <v>181.51900000000001</v>
      </c>
      <c r="I8" s="12">
        <v>199.83050726273331</v>
      </c>
      <c r="J8" s="12">
        <v>191.73696268656715</v>
      </c>
      <c r="K8" s="12">
        <v>305.34300000000002</v>
      </c>
      <c r="L8" s="12">
        <v>667.25300000000004</v>
      </c>
      <c r="M8" s="12">
        <v>629.93399999999997</v>
      </c>
      <c r="N8" s="12">
        <v>370.46499999999997</v>
      </c>
      <c r="O8" s="17">
        <f t="shared" si="0"/>
        <v>3964.3585413337387</v>
      </c>
      <c r="P8" s="2">
        <f t="shared" si="1"/>
        <v>0.4359706083577703</v>
      </c>
      <c r="U8" t="s">
        <v>32</v>
      </c>
      <c r="V8" s="4">
        <f>+_xlfn.XLOOKUP(U8,B:B,O:O,"!",0,1)</f>
        <v>3964.3585413337387</v>
      </c>
      <c r="W8" s="2">
        <f>+V8/$V$13</f>
        <v>0.43597060835777041</v>
      </c>
    </row>
    <row r="9" spans="2:23" x14ac:dyDescent="0.2">
      <c r="B9" s="11" t="s">
        <v>33</v>
      </c>
      <c r="C9" s="12">
        <v>165.529</v>
      </c>
      <c r="D9" s="12">
        <v>97.072000000000003</v>
      </c>
      <c r="E9" s="12">
        <v>127.38500000000001</v>
      </c>
      <c r="F9" s="12">
        <v>76.132999999999996</v>
      </c>
      <c r="G9" s="12">
        <v>107.922</v>
      </c>
      <c r="H9" s="12">
        <v>172.20099999999999</v>
      </c>
      <c r="I9" s="12">
        <v>189.28926000000001</v>
      </c>
      <c r="J9" s="12">
        <v>185.95699999999999</v>
      </c>
      <c r="K9" s="12">
        <v>387.97199999999998</v>
      </c>
      <c r="L9" s="12">
        <v>427.19600000000003</v>
      </c>
      <c r="M9" s="12">
        <v>105.33799999999999</v>
      </c>
      <c r="N9" s="12">
        <v>149.76599999999999</v>
      </c>
      <c r="O9" s="17">
        <f t="shared" si="0"/>
        <v>2191.76026</v>
      </c>
      <c r="P9" s="2">
        <f t="shared" si="1"/>
        <v>0.2410334595026587</v>
      </c>
      <c r="U9" t="s">
        <v>33</v>
      </c>
      <c r="V9" s="4">
        <f>+_xlfn.XLOOKUP(U9,B:B,O:O,"!",0,1)</f>
        <v>2191.76026</v>
      </c>
      <c r="W9" s="2">
        <f>+V9/$V$13</f>
        <v>0.24103345950265875</v>
      </c>
    </row>
    <row r="10" spans="2:23" x14ac:dyDescent="0.2">
      <c r="B10" s="11" t="s">
        <v>3</v>
      </c>
      <c r="C10" s="12">
        <v>189.15799999999999</v>
      </c>
      <c r="D10" s="12">
        <v>225.732</v>
      </c>
      <c r="E10" s="12">
        <v>78.646280000000004</v>
      </c>
      <c r="F10" s="12">
        <v>74.596000000000004</v>
      </c>
      <c r="G10" s="12">
        <v>267.262</v>
      </c>
      <c r="H10" s="12">
        <v>0</v>
      </c>
      <c r="I10" s="12">
        <v>23.44</v>
      </c>
      <c r="J10" s="12">
        <v>144.77099999999999</v>
      </c>
      <c r="K10" s="12">
        <v>0</v>
      </c>
      <c r="L10" s="12">
        <v>138.75629000000001</v>
      </c>
      <c r="M10" s="12">
        <v>70</v>
      </c>
      <c r="N10" s="12">
        <v>108.18908</v>
      </c>
      <c r="O10" s="17">
        <f t="shared" si="0"/>
        <v>1320.5506500000001</v>
      </c>
      <c r="P10" s="2">
        <f t="shared" si="1"/>
        <v>0.14522431920450307</v>
      </c>
      <c r="U10" t="s">
        <v>51</v>
      </c>
      <c r="V10" s="4">
        <f>+_xlfn.XLOOKUP(U10,B:B,O:O,"!",0,1)</f>
        <v>1462.509</v>
      </c>
      <c r="W10" s="2">
        <f>+V10/$V$13</f>
        <v>0.16083584060593104</v>
      </c>
    </row>
    <row r="11" spans="2:23" x14ac:dyDescent="0.2">
      <c r="B11" s="11" t="s">
        <v>46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77</v>
      </c>
      <c r="N11" s="12">
        <v>77</v>
      </c>
      <c r="O11" s="17">
        <f t="shared" si="0"/>
        <v>154</v>
      </c>
      <c r="P11" s="2">
        <f t="shared" si="1"/>
        <v>1.6935772329136692E-2</v>
      </c>
      <c r="U11" t="s">
        <v>3</v>
      </c>
      <c r="V11" s="4">
        <f>+_xlfn.XLOOKUP(U11,B:B,O:O,"!",0,1)</f>
        <v>1320.5506500000001</v>
      </c>
      <c r="W11" s="2">
        <f>+V11/$V$13</f>
        <v>0.1452243192045031</v>
      </c>
    </row>
    <row r="12" spans="2:23" x14ac:dyDescent="0.2">
      <c r="B12" s="11" t="s">
        <v>51</v>
      </c>
      <c r="C12" s="12">
        <v>0</v>
      </c>
      <c r="D12" s="12">
        <v>52.804000000000002</v>
      </c>
      <c r="E12" s="12">
        <v>162.983</v>
      </c>
      <c r="F12" s="12">
        <v>102.905</v>
      </c>
      <c r="G12" s="12">
        <v>188.6</v>
      </c>
      <c r="H12" s="12">
        <v>44.290999999999997</v>
      </c>
      <c r="I12" s="12">
        <v>51.738999999999997</v>
      </c>
      <c r="J12" s="12">
        <v>149.821</v>
      </c>
      <c r="K12" s="12">
        <v>593.77</v>
      </c>
      <c r="L12" s="12">
        <v>24.596</v>
      </c>
      <c r="M12" s="12">
        <v>24</v>
      </c>
      <c r="N12" s="12">
        <v>67</v>
      </c>
      <c r="O12" s="17">
        <f t="shared" si="0"/>
        <v>1462.509</v>
      </c>
      <c r="P12" s="2">
        <f t="shared" si="1"/>
        <v>0.16083584060593101</v>
      </c>
      <c r="U12" t="s">
        <v>46</v>
      </c>
      <c r="V12" s="4">
        <f>+_xlfn.XLOOKUP(U12,B:B,O:O,"!",0,1)</f>
        <v>154</v>
      </c>
      <c r="W12" s="2">
        <f>+V12/$V$13</f>
        <v>1.6935772329136695E-2</v>
      </c>
    </row>
    <row r="13" spans="2:23" x14ac:dyDescent="0.2">
      <c r="B13" s="11" t="s">
        <v>52</v>
      </c>
      <c r="C13" s="12">
        <v>10</v>
      </c>
      <c r="D13" s="12">
        <v>14</v>
      </c>
      <c r="E13" s="12">
        <v>14</v>
      </c>
      <c r="F13" s="12">
        <v>13</v>
      </c>
      <c r="G13" s="12">
        <v>14</v>
      </c>
      <c r="H13" s="12">
        <v>8</v>
      </c>
      <c r="I13" s="12">
        <v>13</v>
      </c>
      <c r="J13" s="12">
        <v>14</v>
      </c>
      <c r="K13" s="12">
        <v>13</v>
      </c>
      <c r="L13" s="12">
        <v>26</v>
      </c>
      <c r="M13" s="12">
        <v>22</v>
      </c>
      <c r="N13" s="12">
        <v>20</v>
      </c>
      <c r="O13" s="17">
        <f>+AVERAGE(C13:N13)</f>
        <v>15.083333333333334</v>
      </c>
      <c r="V13" s="4">
        <f>+SUM(V8:V12)</f>
        <v>9093.1784513337388</v>
      </c>
    </row>
    <row r="14" spans="2:23" x14ac:dyDescent="0.2">
      <c r="B14" s="11" t="s">
        <v>37</v>
      </c>
      <c r="C14" s="13">
        <v>782.47265000000004</v>
      </c>
      <c r="D14" s="13">
        <v>1361.55638</v>
      </c>
      <c r="E14" s="13">
        <v>2025.2681513844382</v>
      </c>
      <c r="F14" s="13">
        <v>2517.9323513844383</v>
      </c>
      <c r="G14" s="13">
        <v>3335.0043513844385</v>
      </c>
      <c r="H14" s="13">
        <v>3733.0153513844384</v>
      </c>
      <c r="I14" s="13">
        <v>4197.3141186471721</v>
      </c>
      <c r="J14" s="13">
        <v>4869.6000813337396</v>
      </c>
      <c r="K14" s="13">
        <v>6156.6850813337396</v>
      </c>
      <c r="L14" s="13">
        <v>7414.48637133374</v>
      </c>
      <c r="M14" s="13">
        <v>8320.7583713337408</v>
      </c>
      <c r="N14" s="13">
        <v>9093.1784513337407</v>
      </c>
    </row>
    <row r="15" spans="2:23" x14ac:dyDescent="0.2">
      <c r="C15" s="14">
        <f t="shared" ref="C15:H15" si="2">+C14/$N$14</f>
        <v>8.6050510741404282E-2</v>
      </c>
      <c r="D15" s="14">
        <f t="shared" si="2"/>
        <v>0.14973382379846442</v>
      </c>
      <c r="E15" s="14">
        <f t="shared" si="2"/>
        <v>0.22272389816427524</v>
      </c>
      <c r="F15" s="14">
        <f t="shared" si="2"/>
        <v>0.27690343534554973</v>
      </c>
      <c r="G15" s="14">
        <f t="shared" si="2"/>
        <v>0.36675892475147426</v>
      </c>
      <c r="H15" s="14">
        <f t="shared" si="2"/>
        <v>0.41052920839103285</v>
      </c>
      <c r="I15" s="14">
        <f t="shared" ref="I15:N15" si="3">+I14/$N$14</f>
        <v>0.46158932667064634</v>
      </c>
      <c r="J15" s="14">
        <f t="shared" si="3"/>
        <v>0.53552232669749178</v>
      </c>
      <c r="K15" s="14">
        <f t="shared" si="3"/>
        <v>0.67706634311467939</v>
      </c>
      <c r="L15" s="2">
        <f t="shared" si="3"/>
        <v>0.81538995534022773</v>
      </c>
      <c r="M15" s="2">
        <f t="shared" si="3"/>
        <v>0.91505499599134055</v>
      </c>
      <c r="N15" s="2">
        <f t="shared" si="3"/>
        <v>1</v>
      </c>
    </row>
    <row r="16" spans="2:23" x14ac:dyDescent="0.2">
      <c r="D16">
        <f>+(D15-C15)/C15</f>
        <v>0.74006897237877889</v>
      </c>
      <c r="E16">
        <f>+(E15-D15)/D15</f>
        <v>0.48746550721934717</v>
      </c>
      <c r="F16">
        <f t="shared" ref="F16:N16" si="4">+(F15-E15)/E15</f>
        <v>0.24325875053297202</v>
      </c>
      <c r="G16">
        <f t="shared" si="4"/>
        <v>0.32450117238088155</v>
      </c>
      <c r="H16">
        <f t="shared" si="4"/>
        <v>0.11934347247096583</v>
      </c>
      <c r="I16">
        <f t="shared" si="4"/>
        <v>0.1243763348282353</v>
      </c>
      <c r="J16">
        <f t="shared" si="4"/>
        <v>0.16017051468696153</v>
      </c>
      <c r="K16">
        <f t="shared" si="4"/>
        <v>0.2643102058696119</v>
      </c>
      <c r="L16">
        <f t="shared" si="4"/>
        <v>0.20429846149082545</v>
      </c>
      <c r="M16">
        <f t="shared" si="4"/>
        <v>0.12222990974855315</v>
      </c>
      <c r="N16">
        <f t="shared" si="4"/>
        <v>9.283049038668198E-2</v>
      </c>
    </row>
  </sheetData>
  <sortState xmlns:xlrd2="http://schemas.microsoft.com/office/spreadsheetml/2017/richdata2" ref="U7:V12">
    <sortCondition descending="1" ref="V7:V12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D453-6C0E-440C-BA74-9D44EC1EE4BF}">
  <sheetPr>
    <tabColor rgb="FFFFC000"/>
  </sheetPr>
  <dimension ref="B3:N107"/>
  <sheetViews>
    <sheetView showGridLines="0" view="pageBreakPreview" zoomScale="80" zoomScaleNormal="80" zoomScaleSheetLayoutView="80" workbookViewId="0">
      <selection activeCell="N38" sqref="N38:N39"/>
    </sheetView>
  </sheetViews>
  <sheetFormatPr baseColWidth="10" defaultColWidth="11.5" defaultRowHeight="15" x14ac:dyDescent="0.2"/>
  <cols>
    <col min="1" max="1" width="11.5" style="50"/>
    <col min="2" max="2" width="14.1640625" style="50" customWidth="1"/>
    <col min="3" max="5" width="11.5" style="50"/>
    <col min="6" max="6" width="12.6640625" style="50" bestFit="1" customWidth="1"/>
    <col min="7" max="16384" width="11.5" style="50"/>
  </cols>
  <sheetData>
    <row r="3" spans="2:9" x14ac:dyDescent="0.2">
      <c r="B3" s="49" t="s">
        <v>203</v>
      </c>
    </row>
    <row r="4" spans="2:9" x14ac:dyDescent="0.2">
      <c r="B4" s="70" t="s">
        <v>2</v>
      </c>
      <c r="C4" s="70" t="s">
        <v>283</v>
      </c>
      <c r="D4" s="70" t="s">
        <v>202</v>
      </c>
      <c r="E4" s="70" t="s">
        <v>53</v>
      </c>
      <c r="F4" s="70" t="s">
        <v>279</v>
      </c>
      <c r="H4" s="50" t="str">
        <f>+C4</f>
        <v>Oct_Proy</v>
      </c>
      <c r="I4" s="51">
        <f>+C10</f>
        <v>1257.8012900000001</v>
      </c>
    </row>
    <row r="5" spans="2:9" x14ac:dyDescent="0.2">
      <c r="B5" s="52" t="s">
        <v>32</v>
      </c>
      <c r="C5" s="71">
        <f>'Ingresos para PPT_Sept'!L8</f>
        <v>667.25300000000004</v>
      </c>
      <c r="D5" s="71">
        <f>'Ingresos para PPT_Oct'!L8</f>
        <v>505.28500000000003</v>
      </c>
      <c r="E5" s="71">
        <f>+D5-C5</f>
        <v>-161.96800000000002</v>
      </c>
      <c r="F5" s="72">
        <f>+IFERROR(E5/C5,0)</f>
        <v>-0.2427385114791541</v>
      </c>
      <c r="H5" s="50" t="s">
        <v>32</v>
      </c>
      <c r="I5" s="51">
        <v>-161.96800000000002</v>
      </c>
    </row>
    <row r="6" spans="2:9" x14ac:dyDescent="0.2">
      <c r="B6" s="52" t="s">
        <v>33</v>
      </c>
      <c r="C6" s="71">
        <f>'Ingresos para PPT_Sept'!L9</f>
        <v>427.19600000000003</v>
      </c>
      <c r="D6" s="71">
        <f>'Ingresos para PPT_Oct'!L9</f>
        <v>293.42899999999997</v>
      </c>
      <c r="E6" s="71">
        <f t="shared" ref="E6:E10" si="0">+D6-C6</f>
        <v>-133.76700000000005</v>
      </c>
      <c r="F6" s="72">
        <f t="shared" ref="F6:F10" si="1">+IFERROR(E6/C6,0)</f>
        <v>-0.31312793190947491</v>
      </c>
      <c r="H6" s="50" t="s">
        <v>33</v>
      </c>
      <c r="I6" s="51">
        <v>-133.76700000000005</v>
      </c>
    </row>
    <row r="7" spans="2:9" x14ac:dyDescent="0.2">
      <c r="B7" s="52" t="s">
        <v>3</v>
      </c>
      <c r="C7" s="71">
        <f>'Ingresos para PPT_Sept'!L10</f>
        <v>138.75629000000001</v>
      </c>
      <c r="D7" s="71">
        <f>'Ingresos para PPT_Oct'!L10</f>
        <v>128.80108999999999</v>
      </c>
      <c r="E7" s="71">
        <f t="shared" si="0"/>
        <v>-9.9552000000000191</v>
      </c>
      <c r="F7" s="72">
        <f t="shared" si="1"/>
        <v>-7.1745936706725286E-2</v>
      </c>
      <c r="H7" s="50" t="s">
        <v>51</v>
      </c>
      <c r="I7" s="51">
        <v>-24.596</v>
      </c>
    </row>
    <row r="8" spans="2:9" x14ac:dyDescent="0.2">
      <c r="B8" s="52" t="s">
        <v>46</v>
      </c>
      <c r="C8" s="71">
        <f>'Ingresos para PPT_Sept'!L11</f>
        <v>0</v>
      </c>
      <c r="D8" s="71">
        <f>'Ingresos para PPT_Oct'!L11</f>
        <v>76.05</v>
      </c>
      <c r="E8" s="71">
        <f t="shared" si="0"/>
        <v>76.05</v>
      </c>
      <c r="F8" s="72">
        <f t="shared" si="1"/>
        <v>0</v>
      </c>
      <c r="H8" s="50" t="s">
        <v>3</v>
      </c>
      <c r="I8" s="51">
        <v>-9.9552000000000191</v>
      </c>
    </row>
    <row r="9" spans="2:9" x14ac:dyDescent="0.2">
      <c r="B9" s="52" t="s">
        <v>51</v>
      </c>
      <c r="C9" s="71">
        <f>'Ingresos para PPT_Sept'!L12</f>
        <v>24.596</v>
      </c>
      <c r="D9" s="71">
        <f>'Ingresos para PPT_Oct'!L12</f>
        <v>0</v>
      </c>
      <c r="E9" s="71">
        <f t="shared" si="0"/>
        <v>-24.596</v>
      </c>
      <c r="F9" s="72">
        <f t="shared" si="1"/>
        <v>-1</v>
      </c>
      <c r="H9" s="50" t="s">
        <v>46</v>
      </c>
      <c r="I9" s="51">
        <v>76.05</v>
      </c>
    </row>
    <row r="10" spans="2:9" x14ac:dyDescent="0.2">
      <c r="B10" s="53" t="s">
        <v>35</v>
      </c>
      <c r="C10" s="73">
        <f>SUM(C5:C9)</f>
        <v>1257.8012900000001</v>
      </c>
      <c r="D10" s="73">
        <f t="shared" ref="D10" si="2">SUM(D5:D9)</f>
        <v>1003.5650899999998</v>
      </c>
      <c r="E10" s="73">
        <f t="shared" si="0"/>
        <v>-254.23620000000028</v>
      </c>
      <c r="F10" s="74">
        <f t="shared" si="1"/>
        <v>-0.20212747595448902</v>
      </c>
      <c r="H10" s="50" t="str">
        <f>+D4</f>
        <v>Oct_Act</v>
      </c>
      <c r="I10" s="51">
        <f>SUM(I4:I9)</f>
        <v>1003.5650899999999</v>
      </c>
    </row>
    <row r="12" spans="2:9" x14ac:dyDescent="0.2">
      <c r="C12" s="54"/>
    </row>
    <row r="13" spans="2:9" x14ac:dyDescent="0.2">
      <c r="B13" s="49" t="s">
        <v>204</v>
      </c>
    </row>
    <row r="14" spans="2:9" x14ac:dyDescent="0.2">
      <c r="B14" s="70" t="s">
        <v>2</v>
      </c>
      <c r="C14" s="70" t="s">
        <v>284</v>
      </c>
      <c r="D14" s="70" t="s">
        <v>205</v>
      </c>
      <c r="E14" s="70" t="s">
        <v>53</v>
      </c>
      <c r="F14" s="70" t="s">
        <v>279</v>
      </c>
      <c r="H14" s="50" t="str">
        <f>+C14</f>
        <v>2024_Proy</v>
      </c>
      <c r="I14" s="51">
        <f>+C20</f>
        <v>9093.1784513337388</v>
      </c>
    </row>
    <row r="15" spans="2:9" x14ac:dyDescent="0.2">
      <c r="B15" s="52" t="s">
        <v>32</v>
      </c>
      <c r="C15" s="71">
        <f>+'Ingresos para PPT_Sept'!O8</f>
        <v>3964.3585413337387</v>
      </c>
      <c r="D15" s="71">
        <f>+'Ingresos para PPT_Oct'!O8</f>
        <v>3793.2215413337385</v>
      </c>
      <c r="E15" s="71">
        <f>+D15-C15</f>
        <v>-171.13700000000017</v>
      </c>
      <c r="F15" s="72">
        <f>+E15/C15</f>
        <v>-4.3168900647019719E-2</v>
      </c>
      <c r="H15" s="50" t="s">
        <v>32</v>
      </c>
      <c r="I15" s="51">
        <v>-171.13700000000017</v>
      </c>
    </row>
    <row r="16" spans="2:9" x14ac:dyDescent="0.2">
      <c r="B16" s="52" t="s">
        <v>33</v>
      </c>
      <c r="C16" s="71">
        <f>+'Ingresos para PPT_Sept'!O9</f>
        <v>2191.76026</v>
      </c>
      <c r="D16" s="71">
        <f>+'Ingresos para PPT_Oct'!O9</f>
        <v>2119.9392600000001</v>
      </c>
      <c r="E16" s="71">
        <f t="shared" ref="E16:E19" si="3">+D16-C16</f>
        <v>-71.820999999999913</v>
      </c>
      <c r="F16" s="72">
        <f t="shared" ref="F16:F20" si="4">+E16/C16</f>
        <v>-3.2768638664887516E-2</v>
      </c>
      <c r="H16" s="50" t="s">
        <v>33</v>
      </c>
      <c r="I16" s="51">
        <v>-71.820999999999913</v>
      </c>
    </row>
    <row r="17" spans="2:9" x14ac:dyDescent="0.2">
      <c r="B17" s="52" t="s">
        <v>3</v>
      </c>
      <c r="C17" s="71">
        <f>+'Ingresos para PPT_Sept'!O10</f>
        <v>1320.5506500000001</v>
      </c>
      <c r="D17" s="71">
        <f>+'Ingresos para PPT_Oct'!O10</f>
        <v>1266.09645</v>
      </c>
      <c r="E17" s="71">
        <f t="shared" si="3"/>
        <v>-54.454200000000128</v>
      </c>
      <c r="F17" s="72">
        <f t="shared" si="4"/>
        <v>-4.123597985431314E-2</v>
      </c>
      <c r="H17" s="50" t="s">
        <v>3</v>
      </c>
      <c r="I17" s="51">
        <v>-54.454200000000128</v>
      </c>
    </row>
    <row r="18" spans="2:9" x14ac:dyDescent="0.2">
      <c r="B18" s="52" t="s">
        <v>46</v>
      </c>
      <c r="C18" s="71">
        <f>+'Ingresos para PPT_Sept'!O11</f>
        <v>154</v>
      </c>
      <c r="D18" s="71">
        <f>+'Ingresos para PPT_Oct'!O11</f>
        <v>152.1</v>
      </c>
      <c r="E18" s="71">
        <f t="shared" si="3"/>
        <v>-1.9000000000000057</v>
      </c>
      <c r="F18" s="72">
        <f t="shared" si="4"/>
        <v>-1.2337662337662375E-2</v>
      </c>
      <c r="H18" s="50" t="s">
        <v>46</v>
      </c>
      <c r="I18" s="51">
        <v>-1.9000000000000057</v>
      </c>
    </row>
    <row r="19" spans="2:9" x14ac:dyDescent="0.2">
      <c r="B19" s="52" t="s">
        <v>51</v>
      </c>
      <c r="C19" s="71">
        <f>+'Ingresos para PPT_Sept'!O12</f>
        <v>1462.509</v>
      </c>
      <c r="D19" s="71">
        <f>+'Ingresos para PPT_Oct'!O12</f>
        <v>1464.0740000000001</v>
      </c>
      <c r="E19" s="71">
        <f t="shared" si="3"/>
        <v>1.5650000000000546</v>
      </c>
      <c r="F19" s="72">
        <f t="shared" si="4"/>
        <v>1.0700788849846768E-3</v>
      </c>
      <c r="H19" s="50" t="s">
        <v>51</v>
      </c>
      <c r="I19" s="51">
        <v>1.5650000000000546</v>
      </c>
    </row>
    <row r="20" spans="2:9" x14ac:dyDescent="0.2">
      <c r="B20" s="53" t="s">
        <v>35</v>
      </c>
      <c r="C20" s="73">
        <f>SUM(C15:C19)</f>
        <v>9093.1784513337388</v>
      </c>
      <c r="D20" s="73">
        <f>SUM(D15:D19)</f>
        <v>8795.4312513337391</v>
      </c>
      <c r="E20" s="73">
        <f>+D20-C20</f>
        <v>-297.74719999999979</v>
      </c>
      <c r="F20" s="74">
        <f t="shared" si="4"/>
        <v>-3.2744018122324192E-2</v>
      </c>
      <c r="H20" s="50" t="str">
        <f>+D14</f>
        <v>2024_Act</v>
      </c>
      <c r="I20" s="51">
        <f>+SUM(I14:I19)</f>
        <v>8795.4312513337391</v>
      </c>
    </row>
    <row r="23" spans="2:9" x14ac:dyDescent="0.2">
      <c r="E23" s="55"/>
    </row>
    <row r="34" spans="2:14" x14ac:dyDescent="0.2">
      <c r="B34" s="56" t="s">
        <v>2</v>
      </c>
      <c r="C34" s="57" t="s">
        <v>206</v>
      </c>
      <c r="D34" s="58" t="s">
        <v>201</v>
      </c>
      <c r="E34" s="58" t="s">
        <v>202</v>
      </c>
      <c r="F34" s="58" t="s">
        <v>53</v>
      </c>
      <c r="G34" s="59"/>
      <c r="H34" s="59"/>
      <c r="I34" s="59"/>
      <c r="J34" s="59"/>
      <c r="K34" s="59"/>
      <c r="L34" s="59"/>
      <c r="M34" s="59"/>
      <c r="N34" s="59"/>
    </row>
    <row r="35" spans="2:14" x14ac:dyDescent="0.2">
      <c r="B35" s="60" t="str">
        <f>+_xlfn.XLOOKUP(C35,'[2]Proyectos (NO FILTRAR)'!$F:$F,'[2]Proyectos (NO FILTRAR)'!$G:$G,"-",0,1)</f>
        <v>Chile</v>
      </c>
      <c r="C35" s="61" t="s">
        <v>207</v>
      </c>
      <c r="D35" s="62">
        <v>0</v>
      </c>
      <c r="E35" s="63">
        <v>0</v>
      </c>
      <c r="F35" s="62">
        <f>+E35-D35</f>
        <v>0</v>
      </c>
      <c r="G35" s="59"/>
      <c r="H35" s="52" t="s">
        <v>32</v>
      </c>
      <c r="I35" s="59">
        <f>+SUMIF($B$35:$B$106,H35,$F$35:$F$106)</f>
        <v>-161968</v>
      </c>
      <c r="J35" s="59"/>
      <c r="K35" s="59"/>
      <c r="L35" s="59"/>
      <c r="M35" s="59"/>
      <c r="N35" s="59"/>
    </row>
    <row r="36" spans="2:14" x14ac:dyDescent="0.2">
      <c r="B36" s="60" t="str">
        <f>+_xlfn.XLOOKUP(C36,'[2]Proyectos (NO FILTRAR)'!$F:$F,'[2]Proyectos (NO FILTRAR)'!$G:$G,"-",0,1)</f>
        <v>Chile</v>
      </c>
      <c r="C36" s="61" t="s">
        <v>208</v>
      </c>
      <c r="D36" s="62">
        <v>0</v>
      </c>
      <c r="E36" s="63">
        <v>0</v>
      </c>
      <c r="F36" s="62">
        <f t="shared" ref="F36:F38" si="5">+E36-D36</f>
        <v>0</v>
      </c>
      <c r="G36" s="59"/>
      <c r="H36" s="52" t="s">
        <v>33</v>
      </c>
      <c r="I36" s="59">
        <f t="shared" ref="I36:I39" si="6">+SUMIF($B$35:$B$106,H36,$F$35:$F$106)</f>
        <v>-133767</v>
      </c>
      <c r="J36" s="59"/>
      <c r="K36" s="59"/>
      <c r="L36" s="59"/>
      <c r="M36" s="59"/>
      <c r="N36" s="59"/>
    </row>
    <row r="37" spans="2:14" x14ac:dyDescent="0.2">
      <c r="B37" s="60" t="str">
        <f>+_xlfn.XLOOKUP(C37,'[2]Proyectos (NO FILTRAR)'!$F:$F,'[2]Proyectos (NO FILTRAR)'!$G:$G,"-",0,1)</f>
        <v>Chile</v>
      </c>
      <c r="C37" s="61" t="s">
        <v>209</v>
      </c>
      <c r="D37" s="62">
        <v>0</v>
      </c>
      <c r="E37" s="64">
        <v>0</v>
      </c>
      <c r="F37" s="62">
        <f t="shared" si="5"/>
        <v>0</v>
      </c>
      <c r="G37" s="59"/>
      <c r="H37" s="52" t="s">
        <v>3</v>
      </c>
      <c r="I37" s="59">
        <f t="shared" si="6"/>
        <v>-9955.2000000000007</v>
      </c>
      <c r="J37" s="59"/>
      <c r="K37" s="59"/>
      <c r="L37" s="59"/>
      <c r="M37" s="59"/>
      <c r="N37" s="59"/>
    </row>
    <row r="38" spans="2:14" x14ac:dyDescent="0.2">
      <c r="B38" s="60" t="str">
        <f>+_xlfn.XLOOKUP(C38,'[2]Proyectos (NO FILTRAR)'!$F:$F,'[2]Proyectos (NO FILTRAR)'!$G:$G,"-",0,1)</f>
        <v>Chile</v>
      </c>
      <c r="C38" s="61" t="s">
        <v>210</v>
      </c>
      <c r="D38" s="62">
        <v>0</v>
      </c>
      <c r="E38" s="63">
        <v>0</v>
      </c>
      <c r="F38" s="62">
        <f t="shared" si="5"/>
        <v>0</v>
      </c>
      <c r="G38" s="59"/>
      <c r="H38" s="52" t="s">
        <v>46</v>
      </c>
      <c r="I38" s="59">
        <f t="shared" si="6"/>
        <v>76050</v>
      </c>
      <c r="J38" s="59"/>
      <c r="K38" s="59"/>
      <c r="L38" s="59"/>
      <c r="M38" s="59"/>
      <c r="N38" s="59"/>
    </row>
    <row r="39" spans="2:14" x14ac:dyDescent="0.2">
      <c r="B39" s="60" t="str">
        <f>+_xlfn.XLOOKUP(C39,'[2]Proyectos (NO FILTRAR)'!$F:$F,'[2]Proyectos (NO FILTRAR)'!$G:$G,"-",0,1)</f>
        <v>Perú</v>
      </c>
      <c r="C39" s="65" t="s">
        <v>240</v>
      </c>
      <c r="D39" s="66">
        <v>105000</v>
      </c>
      <c r="E39" s="63">
        <v>0</v>
      </c>
      <c r="F39" s="62">
        <f t="shared" ref="F39:F70" si="7">+E39-D39</f>
        <v>-105000</v>
      </c>
      <c r="H39" s="52" t="s">
        <v>51</v>
      </c>
      <c r="I39" s="59">
        <f t="shared" si="6"/>
        <v>0</v>
      </c>
    </row>
    <row r="40" spans="2:14" x14ac:dyDescent="0.2">
      <c r="B40" s="60" t="str">
        <f>+_xlfn.XLOOKUP(C40,'[2]Proyectos (NO FILTRAR)'!$F:$F,'[2]Proyectos (NO FILTRAR)'!$G:$G,"-",0,1)</f>
        <v>Brasil</v>
      </c>
      <c r="C40" s="65" t="s">
        <v>265</v>
      </c>
      <c r="D40" s="66">
        <v>68066</v>
      </c>
      <c r="E40" s="63">
        <v>63179</v>
      </c>
      <c r="F40" s="62">
        <f t="shared" si="7"/>
        <v>-4887</v>
      </c>
      <c r="G40" s="59"/>
      <c r="H40" s="59"/>
      <c r="I40" s="59"/>
      <c r="J40" s="59"/>
      <c r="K40" s="59"/>
      <c r="L40" s="59"/>
      <c r="M40" s="59"/>
      <c r="N40" s="59"/>
    </row>
    <row r="41" spans="2:14" x14ac:dyDescent="0.2">
      <c r="B41" s="60" t="str">
        <f>+_xlfn.XLOOKUP(C41,'[2]Proyectos (NO FILTRAR)'!$F:$F,'[2]Proyectos (NO FILTRAR)'!$G:$G,"-",0,1)</f>
        <v>Brasil</v>
      </c>
      <c r="C41" s="61" t="s">
        <v>213</v>
      </c>
      <c r="D41" s="62">
        <v>0</v>
      </c>
      <c r="E41" s="64">
        <v>0</v>
      </c>
      <c r="F41" s="62">
        <f t="shared" si="7"/>
        <v>0</v>
      </c>
      <c r="G41" s="59"/>
      <c r="H41" s="59"/>
      <c r="I41" s="59"/>
      <c r="J41" s="59"/>
      <c r="K41" s="59"/>
      <c r="L41" s="59"/>
      <c r="M41" s="59"/>
      <c r="N41" s="59"/>
    </row>
    <row r="42" spans="2:14" x14ac:dyDescent="0.2">
      <c r="B42" s="60" t="str">
        <f>+_xlfn.XLOOKUP(C42,'[2]Proyectos (NO FILTRAR)'!$F:$F,'[2]Proyectos (NO FILTRAR)'!$G:$G,"-",0,1)</f>
        <v>Brasil</v>
      </c>
      <c r="C42" s="61" t="s">
        <v>214</v>
      </c>
      <c r="D42" s="62">
        <v>41097</v>
      </c>
      <c r="E42" s="63">
        <v>38146</v>
      </c>
      <c r="F42" s="62">
        <f t="shared" si="7"/>
        <v>-2951</v>
      </c>
      <c r="G42" s="59"/>
      <c r="H42" s="59"/>
      <c r="I42" s="59"/>
      <c r="J42" s="59"/>
      <c r="K42" s="59"/>
      <c r="L42" s="59"/>
      <c r="M42" s="59"/>
      <c r="N42" s="59"/>
    </row>
    <row r="43" spans="2:14" x14ac:dyDescent="0.2">
      <c r="B43" s="60" t="str">
        <f>+_xlfn.XLOOKUP(C43,'[2]Proyectos (NO FILTRAR)'!$F:$F,'[2]Proyectos (NO FILTRAR)'!$G:$G,"-",0,1)</f>
        <v>Chile</v>
      </c>
      <c r="C43" s="61" t="s">
        <v>215</v>
      </c>
      <c r="D43" s="62">
        <v>0</v>
      </c>
      <c r="E43" s="63">
        <v>0</v>
      </c>
      <c r="F43" s="62">
        <f t="shared" si="7"/>
        <v>0</v>
      </c>
      <c r="G43" s="59"/>
      <c r="H43" s="59"/>
      <c r="I43" s="59"/>
      <c r="J43" s="59"/>
      <c r="K43" s="59"/>
      <c r="L43" s="59"/>
      <c r="M43" s="59"/>
      <c r="N43" s="59"/>
    </row>
    <row r="44" spans="2:14" x14ac:dyDescent="0.2">
      <c r="B44" s="60" t="str">
        <f>+_xlfn.XLOOKUP(C44,'[2]Proyectos (NO FILTRAR)'!$F:$F,'[2]Proyectos (NO FILTRAR)'!$G:$G,"-",0,1)</f>
        <v>Perú</v>
      </c>
      <c r="C44" s="61" t="s">
        <v>219</v>
      </c>
      <c r="D44" s="66">
        <v>125300</v>
      </c>
      <c r="E44" s="63">
        <v>86948</v>
      </c>
      <c r="F44" s="62">
        <f t="shared" si="7"/>
        <v>-38352</v>
      </c>
      <c r="G44" s="59"/>
      <c r="H44" s="59"/>
      <c r="I44" s="59"/>
      <c r="J44" s="59"/>
      <c r="K44" s="59"/>
      <c r="L44" s="59"/>
      <c r="M44" s="59"/>
      <c r="N44" s="59"/>
    </row>
    <row r="45" spans="2:14" x14ac:dyDescent="0.2">
      <c r="B45" s="60" t="str">
        <f>+_xlfn.XLOOKUP(C45,'[2]Proyectos (NO FILTRAR)'!$F:$F,'[2]Proyectos (NO FILTRAR)'!$G:$G,"-",0,1)</f>
        <v>Chile</v>
      </c>
      <c r="C45" s="65" t="s">
        <v>217</v>
      </c>
      <c r="D45" s="66">
        <v>0</v>
      </c>
      <c r="E45" s="63">
        <v>0</v>
      </c>
      <c r="F45" s="62">
        <f t="shared" si="7"/>
        <v>0</v>
      </c>
    </row>
    <row r="46" spans="2:14" x14ac:dyDescent="0.2">
      <c r="B46" s="60" t="str">
        <f>+_xlfn.XLOOKUP(C46,'[2]Proyectos (NO FILTRAR)'!$F:$F,'[2]Proyectos (NO FILTRAR)'!$G:$G,"-",0,1)</f>
        <v>Chile</v>
      </c>
      <c r="C46" s="65" t="s">
        <v>234</v>
      </c>
      <c r="D46" s="66">
        <v>71797</v>
      </c>
      <c r="E46" s="63">
        <v>0</v>
      </c>
      <c r="F46" s="62">
        <f t="shared" si="7"/>
        <v>-71797</v>
      </c>
      <c r="G46" s="51"/>
      <c r="H46" s="51"/>
      <c r="I46" s="51"/>
      <c r="J46" s="51"/>
      <c r="K46" s="51"/>
      <c r="L46" s="51"/>
      <c r="M46" s="51"/>
      <c r="N46" s="51"/>
    </row>
    <row r="47" spans="2:14" x14ac:dyDescent="0.2">
      <c r="B47" s="60" t="str">
        <f>+_xlfn.XLOOKUP(C47,'[2]Proyectos (NO FILTRAR)'!$F:$F,'[2]Proyectos (NO FILTRAR)'!$G:$G,"-",0,1)</f>
        <v>Perú</v>
      </c>
      <c r="C47" s="65" t="s">
        <v>244</v>
      </c>
      <c r="D47" s="66">
        <v>64710</v>
      </c>
      <c r="E47" s="63">
        <v>52252</v>
      </c>
      <c r="F47" s="62">
        <f t="shared" si="7"/>
        <v>-12458</v>
      </c>
      <c r="G47" s="51"/>
      <c r="H47" s="51"/>
      <c r="I47" s="51"/>
      <c r="J47" s="51"/>
      <c r="K47" s="51"/>
      <c r="L47" s="51"/>
      <c r="M47" s="51"/>
      <c r="N47" s="51"/>
    </row>
    <row r="48" spans="2:14" x14ac:dyDescent="0.2">
      <c r="B48" s="60" t="str">
        <f>+_xlfn.XLOOKUP(C48,'[2]Proyectos (NO FILTRAR)'!$F:$F,'[2]Proyectos (NO FILTRAR)'!$G:$G,"-",0,1)</f>
        <v>Chile</v>
      </c>
      <c r="C48" s="61" t="s">
        <v>220</v>
      </c>
      <c r="D48" s="66">
        <v>19065</v>
      </c>
      <c r="E48" s="63">
        <v>19065</v>
      </c>
      <c r="F48" s="62">
        <f t="shared" si="7"/>
        <v>0</v>
      </c>
      <c r="G48" s="51"/>
      <c r="H48" s="51"/>
      <c r="I48" s="51"/>
      <c r="J48" s="51"/>
      <c r="K48" s="51"/>
      <c r="L48" s="51"/>
      <c r="M48" s="51"/>
      <c r="N48" s="51"/>
    </row>
    <row r="49" spans="2:14" x14ac:dyDescent="0.2">
      <c r="B49" s="60" t="str">
        <f>+_xlfn.XLOOKUP(C49,'[2]Proyectos (NO FILTRAR)'!$F:$F,'[2]Proyectos (NO FILTRAR)'!$G:$G,"-",0,1)</f>
        <v>Chile</v>
      </c>
      <c r="C49" s="61" t="s">
        <v>221</v>
      </c>
      <c r="D49" s="66">
        <v>0</v>
      </c>
      <c r="E49" s="63">
        <v>0</v>
      </c>
      <c r="F49" s="62">
        <f t="shared" si="7"/>
        <v>0</v>
      </c>
      <c r="G49" s="51"/>
      <c r="H49" s="51"/>
      <c r="I49" s="51"/>
      <c r="J49" s="51"/>
      <c r="K49" s="51"/>
      <c r="L49" s="51"/>
      <c r="M49" s="51"/>
      <c r="N49" s="51"/>
    </row>
    <row r="50" spans="2:14" x14ac:dyDescent="0.2">
      <c r="B50" s="60" t="str">
        <f>+_xlfn.XLOOKUP(C50,'[2]Proyectos (NO FILTRAR)'!$F:$F,'[2]Proyectos (NO FILTRAR)'!$G:$G,"-",0,1)</f>
        <v>Perú</v>
      </c>
      <c r="C50" s="65" t="s">
        <v>242</v>
      </c>
      <c r="D50" s="66">
        <v>82105</v>
      </c>
      <c r="E50" s="63">
        <v>80438</v>
      </c>
      <c r="F50" s="62">
        <f t="shared" si="7"/>
        <v>-1667</v>
      </c>
      <c r="G50" s="51"/>
      <c r="H50" s="51"/>
      <c r="I50" s="51"/>
      <c r="J50" s="51"/>
      <c r="K50" s="51"/>
      <c r="L50" s="51"/>
      <c r="M50" s="51"/>
      <c r="N50" s="51"/>
    </row>
    <row r="51" spans="2:14" x14ac:dyDescent="0.2">
      <c r="B51" s="60" t="str">
        <f>+_xlfn.XLOOKUP(C51,'[2]Proyectos (NO FILTRAR)'!$F:$F,'[2]Proyectos (NO FILTRAR)'!$G:$G,"-",0,1)</f>
        <v>Chile</v>
      </c>
      <c r="C51" s="65" t="s">
        <v>223</v>
      </c>
      <c r="D51" s="66">
        <v>13837</v>
      </c>
      <c r="E51" s="63">
        <v>13837</v>
      </c>
      <c r="F51" s="62">
        <f t="shared" si="7"/>
        <v>0</v>
      </c>
    </row>
    <row r="52" spans="2:14" x14ac:dyDescent="0.2">
      <c r="B52" s="60" t="str">
        <f>+_xlfn.XLOOKUP(C52,'[2]Proyectos (NO FILTRAR)'!$F:$F,'[2]Proyectos (NO FILTRAR)'!$G:$G,"-",0,1)</f>
        <v>Chile</v>
      </c>
      <c r="C52" s="65" t="s">
        <v>224</v>
      </c>
      <c r="D52" s="66">
        <v>0</v>
      </c>
      <c r="E52" s="63">
        <v>0</v>
      </c>
      <c r="F52" s="62">
        <f t="shared" si="7"/>
        <v>0</v>
      </c>
    </row>
    <row r="53" spans="2:14" x14ac:dyDescent="0.2">
      <c r="B53" s="60" t="str">
        <f>+_xlfn.XLOOKUP(C53,'[2]Proyectos (NO FILTRAR)'!$F:$F,'[2]Proyectos (NO FILTRAR)'!$G:$G,"-",0,1)</f>
        <v>Perú</v>
      </c>
      <c r="C53" s="65" t="s">
        <v>252</v>
      </c>
      <c r="D53" s="66">
        <v>10481</v>
      </c>
      <c r="E53" s="63">
        <v>10264</v>
      </c>
      <c r="F53" s="62">
        <f t="shared" si="7"/>
        <v>-217</v>
      </c>
    </row>
    <row r="54" spans="2:14" x14ac:dyDescent="0.2">
      <c r="B54" s="60" t="str">
        <f>+_xlfn.XLOOKUP(C54,'[2]Proyectos (NO FILTRAR)'!$F:$F,'[2]Proyectos (NO FILTRAR)'!$G:$G,"-",0,1)</f>
        <v>Chile</v>
      </c>
      <c r="C54" s="65" t="s">
        <v>226</v>
      </c>
      <c r="D54" s="66">
        <v>0</v>
      </c>
      <c r="E54" s="63">
        <v>0</v>
      </c>
      <c r="F54" s="62">
        <f t="shared" si="7"/>
        <v>0</v>
      </c>
    </row>
    <row r="55" spans="2:14" x14ac:dyDescent="0.2">
      <c r="B55" s="60" t="str">
        <f>+_xlfn.XLOOKUP(C55,'[2]Proyectos (NO FILTRAR)'!$F:$F,'[2]Proyectos (NO FILTRAR)'!$G:$G,"-",0,1)</f>
        <v>Chile</v>
      </c>
      <c r="C55" s="65" t="s">
        <v>227</v>
      </c>
      <c r="D55" s="66">
        <v>0</v>
      </c>
      <c r="E55" s="63">
        <v>0</v>
      </c>
      <c r="F55" s="62">
        <f t="shared" si="7"/>
        <v>0</v>
      </c>
    </row>
    <row r="56" spans="2:14" x14ac:dyDescent="0.2">
      <c r="B56" s="60" t="str">
        <f>+_xlfn.XLOOKUP(C56,'[2]Proyectos (NO FILTRAR)'!$F:$F,'[2]Proyectos (NO FILTRAR)'!$G:$G,"-",0,1)</f>
        <v>Perú</v>
      </c>
      <c r="C56" s="65" t="s">
        <v>211</v>
      </c>
      <c r="D56" s="66">
        <v>0</v>
      </c>
      <c r="E56" s="64">
        <v>0</v>
      </c>
      <c r="F56" s="62">
        <f t="shared" si="7"/>
        <v>0</v>
      </c>
    </row>
    <row r="57" spans="2:14" x14ac:dyDescent="0.2">
      <c r="B57" s="60" t="str">
        <f>+_xlfn.XLOOKUP(C57,'[2]Proyectos (NO FILTRAR)'!$F:$F,'[2]Proyectos (NO FILTRAR)'!$G:$G,"-",0,1)</f>
        <v>Chile</v>
      </c>
      <c r="C57" s="65" t="s">
        <v>243</v>
      </c>
      <c r="D57" s="66">
        <v>61918</v>
      </c>
      <c r="E57" s="63">
        <v>0</v>
      </c>
      <c r="F57" s="62">
        <f t="shared" si="7"/>
        <v>-61918</v>
      </c>
    </row>
    <row r="58" spans="2:14" x14ac:dyDescent="0.2">
      <c r="B58" s="60" t="str">
        <f>+_xlfn.XLOOKUP(C58,'[2]Proyectos (NO FILTRAR)'!$F:$F,'[2]Proyectos (NO FILTRAR)'!$G:$G,"-",0,1)</f>
        <v>Chile</v>
      </c>
      <c r="C58" s="65" t="s">
        <v>230</v>
      </c>
      <c r="D58" s="66">
        <v>0</v>
      </c>
      <c r="E58" s="63">
        <v>0</v>
      </c>
      <c r="F58" s="62">
        <f t="shared" si="7"/>
        <v>0</v>
      </c>
    </row>
    <row r="59" spans="2:14" x14ac:dyDescent="0.2">
      <c r="B59" s="60" t="str">
        <f>+_xlfn.XLOOKUP(C59,'[2]Proyectos (NO FILTRAR)'!$F:$F,'[2]Proyectos (NO FILTRAR)'!$G:$G,"-",0,1)</f>
        <v>Otros</v>
      </c>
      <c r="C59" s="65" t="s">
        <v>231</v>
      </c>
      <c r="D59" s="66">
        <v>0</v>
      </c>
      <c r="E59" s="63">
        <v>0</v>
      </c>
      <c r="F59" s="62">
        <f t="shared" si="7"/>
        <v>0</v>
      </c>
    </row>
    <row r="60" spans="2:14" x14ac:dyDescent="0.2">
      <c r="B60" s="60" t="str">
        <f>+_xlfn.XLOOKUP(C60,'[2]Proyectos (NO FILTRAR)'!$F:$F,'[2]Proyectos (NO FILTRAR)'!$G:$G,"-",0,1)</f>
        <v>Chile</v>
      </c>
      <c r="C60" s="65" t="s">
        <v>232</v>
      </c>
      <c r="D60" s="66">
        <v>0</v>
      </c>
      <c r="E60" s="63">
        <v>0</v>
      </c>
      <c r="F60" s="62">
        <f t="shared" si="7"/>
        <v>0</v>
      </c>
    </row>
    <row r="61" spans="2:14" x14ac:dyDescent="0.2">
      <c r="B61" s="60" t="str">
        <f>+_xlfn.XLOOKUP(C61,'[2]Proyectos (NO FILTRAR)'!$F:$F,'[2]Proyectos (NO FILTRAR)'!$G:$G,"-",0,1)</f>
        <v>Perú</v>
      </c>
      <c r="C61" s="61" t="s">
        <v>216</v>
      </c>
      <c r="D61" s="62">
        <v>0</v>
      </c>
      <c r="E61" s="63">
        <v>0</v>
      </c>
      <c r="F61" s="62">
        <f t="shared" si="7"/>
        <v>0</v>
      </c>
    </row>
    <row r="62" spans="2:14" x14ac:dyDescent="0.2">
      <c r="B62" s="60" t="str">
        <f>+_xlfn.XLOOKUP(C62,'[2]Proyectos (NO FILTRAR)'!$F:$F,'[2]Proyectos (NO FILTRAR)'!$G:$G,"-",0,1)</f>
        <v>Chile</v>
      </c>
      <c r="C62" s="65" t="s">
        <v>229</v>
      </c>
      <c r="D62" s="66">
        <v>60226</v>
      </c>
      <c r="E62" s="63">
        <v>0</v>
      </c>
      <c r="F62" s="62">
        <f t="shared" si="7"/>
        <v>-60226</v>
      </c>
    </row>
    <row r="63" spans="2:14" x14ac:dyDescent="0.2">
      <c r="B63" s="60" t="str">
        <f>+_xlfn.XLOOKUP(C63,'[2]Proyectos (NO FILTRAR)'!$F:$F,'[2]Proyectos (NO FILTRAR)'!$G:$G,"-",0,1)</f>
        <v>Rusia</v>
      </c>
      <c r="C63" s="65" t="s">
        <v>235</v>
      </c>
      <c r="D63" s="66">
        <v>0</v>
      </c>
      <c r="E63" s="63">
        <v>0</v>
      </c>
      <c r="F63" s="62">
        <f t="shared" si="7"/>
        <v>0</v>
      </c>
    </row>
    <row r="64" spans="2:14" x14ac:dyDescent="0.2">
      <c r="B64" s="60" t="str">
        <f>+_xlfn.XLOOKUP(C64,'[2]Proyectos (NO FILTRAR)'!$F:$F,'[2]Proyectos (NO FILTRAR)'!$G:$G,"-",0,1)</f>
        <v>Chile</v>
      </c>
      <c r="C64" s="65" t="s">
        <v>272</v>
      </c>
      <c r="D64" s="66">
        <v>40000</v>
      </c>
      <c r="E64" s="63">
        <v>0</v>
      </c>
      <c r="F64" s="62">
        <f t="shared" si="7"/>
        <v>-40000</v>
      </c>
    </row>
    <row r="65" spans="2:6" x14ac:dyDescent="0.2">
      <c r="B65" s="60" t="str">
        <f>+_xlfn.XLOOKUP(C65,'[2]Proyectos (NO FILTRAR)'!$F:$F,'[2]Proyectos (NO FILTRAR)'!$G:$G,"-",0,1)</f>
        <v>Chile</v>
      </c>
      <c r="C65" s="65" t="s">
        <v>237</v>
      </c>
      <c r="D65" s="66">
        <v>0</v>
      </c>
      <c r="E65" s="63">
        <v>0</v>
      </c>
      <c r="F65" s="62">
        <f t="shared" si="7"/>
        <v>0</v>
      </c>
    </row>
    <row r="66" spans="2:6" x14ac:dyDescent="0.2">
      <c r="B66" s="60" t="str">
        <f>+_xlfn.XLOOKUP(C66,'[2]Proyectos (NO FILTRAR)'!$F:$F,'[2]Proyectos (NO FILTRAR)'!$G:$G,"-",0,1)</f>
        <v>Chile</v>
      </c>
      <c r="C66" s="65" t="s">
        <v>236</v>
      </c>
      <c r="D66" s="66">
        <v>35000</v>
      </c>
      <c r="E66" s="63">
        <v>0</v>
      </c>
      <c r="F66" s="62">
        <f t="shared" si="7"/>
        <v>-35000</v>
      </c>
    </row>
    <row r="67" spans="2:6" x14ac:dyDescent="0.2">
      <c r="B67" s="60" t="str">
        <f>+_xlfn.XLOOKUP(C67,'[2]Proyectos (NO FILTRAR)'!$F:$F,'[2]Proyectos (NO FILTRAR)'!$G:$G,"-",0,1)</f>
        <v>Perú</v>
      </c>
      <c r="C67" s="65" t="s">
        <v>225</v>
      </c>
      <c r="D67" s="66">
        <v>0</v>
      </c>
      <c r="E67" s="63">
        <v>0</v>
      </c>
      <c r="F67" s="62">
        <f t="shared" si="7"/>
        <v>0</v>
      </c>
    </row>
    <row r="68" spans="2:6" x14ac:dyDescent="0.2">
      <c r="B68" s="60" t="str">
        <f>+_xlfn.XLOOKUP(C68,'[2]Proyectos (NO FILTRAR)'!$F:$F,'[2]Proyectos (NO FILTRAR)'!$G:$G,"-",0,1)</f>
        <v>Perú</v>
      </c>
      <c r="C68" s="65" t="s">
        <v>228</v>
      </c>
      <c r="D68" s="66">
        <v>0</v>
      </c>
      <c r="E68" s="63">
        <v>0</v>
      </c>
      <c r="F68" s="62">
        <f t="shared" si="7"/>
        <v>0</v>
      </c>
    </row>
    <row r="69" spans="2:6" x14ac:dyDescent="0.2">
      <c r="B69" s="60" t="str">
        <f>+_xlfn.XLOOKUP(C69,'[2]Proyectos (NO FILTRAR)'!$F:$F,'[2]Proyectos (NO FILTRAR)'!$G:$G,"-",0,1)</f>
        <v>Chile</v>
      </c>
      <c r="C69" s="65" t="s">
        <v>241</v>
      </c>
      <c r="D69" s="66">
        <v>0</v>
      </c>
      <c r="E69" s="63">
        <v>0</v>
      </c>
      <c r="F69" s="62">
        <f t="shared" si="7"/>
        <v>0</v>
      </c>
    </row>
    <row r="70" spans="2:6" x14ac:dyDescent="0.2">
      <c r="B70" s="60" t="str">
        <f>+_xlfn.XLOOKUP(C70,'[2]Proyectos (NO FILTRAR)'!$F:$F,'[2]Proyectos (NO FILTRAR)'!$G:$G,"-",0,1)</f>
        <v>Perú</v>
      </c>
      <c r="C70" s="65" t="s">
        <v>233</v>
      </c>
      <c r="D70" s="66">
        <v>0</v>
      </c>
      <c r="E70" s="63">
        <v>0</v>
      </c>
      <c r="F70" s="62">
        <f t="shared" si="7"/>
        <v>0</v>
      </c>
    </row>
    <row r="71" spans="2:6" x14ac:dyDescent="0.2">
      <c r="B71" s="60" t="str">
        <f>+_xlfn.XLOOKUP(C71,'[2]Proyectos (NO FILTRAR)'!$F:$F,'[2]Proyectos (NO FILTRAR)'!$G:$G,"-",0,1)</f>
        <v>Chile</v>
      </c>
      <c r="C71" s="65" t="s">
        <v>250</v>
      </c>
      <c r="D71" s="66">
        <v>25500</v>
      </c>
      <c r="E71" s="63">
        <v>0</v>
      </c>
      <c r="F71" s="62">
        <f t="shared" ref="F71:F102" si="8">+E71-D71</f>
        <v>-25500</v>
      </c>
    </row>
    <row r="72" spans="2:6" x14ac:dyDescent="0.2">
      <c r="B72" s="60" t="str">
        <f>+_xlfn.XLOOKUP(C72,'[2]Proyectos (NO FILTRAR)'!$F:$F,'[2]Proyectos (NO FILTRAR)'!$G:$G,"-",0,1)</f>
        <v>Perú</v>
      </c>
      <c r="C72" s="65" t="s">
        <v>256</v>
      </c>
      <c r="D72" s="66">
        <v>0</v>
      </c>
      <c r="E72" s="63">
        <v>0</v>
      </c>
      <c r="F72" s="62">
        <f t="shared" si="8"/>
        <v>0</v>
      </c>
    </row>
    <row r="73" spans="2:6" x14ac:dyDescent="0.2">
      <c r="B73" s="60" t="str">
        <f>+_xlfn.XLOOKUP(C73,'[2]Proyectos (NO FILTRAR)'!$F:$F,'[2]Proyectos (NO FILTRAR)'!$G:$G,"-",0,1)</f>
        <v>Otros</v>
      </c>
      <c r="C73" s="65" t="s">
        <v>245</v>
      </c>
      <c r="D73" s="66">
        <v>0</v>
      </c>
      <c r="E73" s="63">
        <f>38700*0</f>
        <v>0</v>
      </c>
      <c r="F73" s="62">
        <f t="shared" si="8"/>
        <v>0</v>
      </c>
    </row>
    <row r="74" spans="2:6" x14ac:dyDescent="0.2">
      <c r="B74" s="60" t="str">
        <f>+_xlfn.XLOOKUP(C74,'[2]Proyectos (NO FILTRAR)'!$F:$F,'[2]Proyectos (NO FILTRAR)'!$G:$G,"-",0,1)</f>
        <v>Rusia</v>
      </c>
      <c r="C74" s="65" t="s">
        <v>246</v>
      </c>
      <c r="D74" s="66">
        <v>0</v>
      </c>
      <c r="E74" s="63">
        <v>76050</v>
      </c>
      <c r="F74" s="62">
        <f t="shared" si="8"/>
        <v>76050</v>
      </c>
    </row>
    <row r="75" spans="2:6" x14ac:dyDescent="0.2">
      <c r="B75" s="60" t="str">
        <f>+_xlfn.XLOOKUP(C75,'[2]Proyectos (NO FILTRAR)'!$F:$F,'[2]Proyectos (NO FILTRAR)'!$G:$G,"-",0,1)</f>
        <v>Brasil</v>
      </c>
      <c r="C75" s="65" t="s">
        <v>247</v>
      </c>
      <c r="D75" s="66">
        <v>27209</v>
      </c>
      <c r="E75" s="63">
        <v>25263</v>
      </c>
      <c r="F75" s="62">
        <f t="shared" si="8"/>
        <v>-1946</v>
      </c>
    </row>
    <row r="76" spans="2:6" x14ac:dyDescent="0.2">
      <c r="B76" s="60" t="str">
        <f>+_xlfn.XLOOKUP(C76,'[2]Proyectos (NO FILTRAR)'!$F:$F,'[2]Proyectos (NO FILTRAR)'!$G:$G,"-",0,1)</f>
        <v>Chile</v>
      </c>
      <c r="C76" s="65" t="s">
        <v>248</v>
      </c>
      <c r="D76" s="66">
        <v>40000</v>
      </c>
      <c r="E76" s="63">
        <v>40000</v>
      </c>
      <c r="F76" s="62">
        <f t="shared" si="8"/>
        <v>0</v>
      </c>
    </row>
    <row r="77" spans="2:6" x14ac:dyDescent="0.2">
      <c r="B77" s="60" t="str">
        <f>+_xlfn.XLOOKUP(C77,'[2]Proyectos (NO FILTRAR)'!$F:$F,'[2]Proyectos (NO FILTRAR)'!$G:$G,"-",0,1)</f>
        <v>Chile</v>
      </c>
      <c r="C77" s="65" t="s">
        <v>249</v>
      </c>
      <c r="D77" s="66">
        <v>0</v>
      </c>
      <c r="E77" s="63">
        <v>0</v>
      </c>
      <c r="F77" s="62">
        <f t="shared" si="8"/>
        <v>0</v>
      </c>
    </row>
    <row r="78" spans="2:6" x14ac:dyDescent="0.2">
      <c r="B78" s="60" t="str">
        <f>+_xlfn.XLOOKUP(C78,'[2]Proyectos (NO FILTRAR)'!$F:$F,'[2]Proyectos (NO FILTRAR)'!$G:$G,"-",0,1)</f>
        <v>Chile</v>
      </c>
      <c r="C78" s="61" t="s">
        <v>218</v>
      </c>
      <c r="D78" s="66">
        <v>18500</v>
      </c>
      <c r="E78" s="63">
        <v>0</v>
      </c>
      <c r="F78" s="62">
        <f t="shared" si="8"/>
        <v>-18500</v>
      </c>
    </row>
    <row r="79" spans="2:6" x14ac:dyDescent="0.2">
      <c r="B79" s="60" t="str">
        <f>+_xlfn.XLOOKUP(C79,'[2]Proyectos (NO FILTRAR)'!$F:$F,'[2]Proyectos (NO FILTRAR)'!$G:$G,"-",0,1)</f>
        <v>Chile</v>
      </c>
      <c r="C79" s="65" t="s">
        <v>251</v>
      </c>
      <c r="D79" s="66">
        <v>0</v>
      </c>
      <c r="E79" s="63">
        <v>0</v>
      </c>
      <c r="F79" s="62">
        <f t="shared" si="8"/>
        <v>0</v>
      </c>
    </row>
    <row r="80" spans="2:6" x14ac:dyDescent="0.2">
      <c r="B80" s="60" t="str">
        <f>+_xlfn.XLOOKUP(C80,'[2]Proyectos (NO FILTRAR)'!$F:$F,'[2]Proyectos (NO FILTRAR)'!$G:$G,"-",0,1)</f>
        <v>Perú</v>
      </c>
      <c r="C80" s="65" t="s">
        <v>258</v>
      </c>
      <c r="D80" s="66">
        <v>0</v>
      </c>
      <c r="E80" s="63">
        <v>0</v>
      </c>
      <c r="F80" s="62">
        <f t="shared" si="8"/>
        <v>0</v>
      </c>
    </row>
    <row r="81" spans="2:6" x14ac:dyDescent="0.2">
      <c r="B81" s="60" t="str">
        <f>+_xlfn.XLOOKUP(C81,'[2]Proyectos (NO FILTRAR)'!$F:$F,'[2]Proyectos (NO FILTRAR)'!$G:$G,"-",0,1)</f>
        <v>Otros</v>
      </c>
      <c r="C81" s="65" t="s">
        <v>253</v>
      </c>
      <c r="D81" s="66">
        <v>0</v>
      </c>
      <c r="E81" s="67">
        <v>0</v>
      </c>
      <c r="F81" s="62">
        <f t="shared" si="8"/>
        <v>0</v>
      </c>
    </row>
    <row r="82" spans="2:6" x14ac:dyDescent="0.2">
      <c r="B82" s="60" t="str">
        <f>+_xlfn.XLOOKUP(C82,'[2]Proyectos (NO FILTRAR)'!$F:$F,'[2]Proyectos (NO FILTRAR)'!$G:$G,"-",0,1)</f>
        <v>Otros</v>
      </c>
      <c r="C82" s="65" t="s">
        <v>254</v>
      </c>
      <c r="D82" s="66">
        <v>24596</v>
      </c>
      <c r="E82" s="63">
        <v>0</v>
      </c>
      <c r="F82" s="62">
        <f t="shared" si="8"/>
        <v>-24596</v>
      </c>
    </row>
    <row r="83" spans="2:6" x14ac:dyDescent="0.2">
      <c r="B83" s="60" t="str">
        <f>+_xlfn.XLOOKUP(C83,'[2]Proyectos (NO FILTRAR)'!$F:$F,'[2]Proyectos (NO FILTRAR)'!$G:$G,"-",0,1)</f>
        <v>Chile</v>
      </c>
      <c r="C83" s="65" t="s">
        <v>260</v>
      </c>
      <c r="D83" s="66">
        <v>237000</v>
      </c>
      <c r="E83" s="63">
        <v>229439</v>
      </c>
      <c r="F83" s="62">
        <f t="shared" si="8"/>
        <v>-7561</v>
      </c>
    </row>
    <row r="84" spans="2:6" x14ac:dyDescent="0.2">
      <c r="B84" s="60" t="str">
        <f>+_xlfn.XLOOKUP(C84,'[2]Proyectos (NO FILTRAR)'!$F:$F,'[2]Proyectos (NO FILTRAR)'!$G:$G,"-",0,1)</f>
        <v>Perú</v>
      </c>
      <c r="C84" s="65" t="s">
        <v>264</v>
      </c>
      <c r="D84" s="66">
        <v>0</v>
      </c>
      <c r="E84" s="63">
        <v>0</v>
      </c>
      <c r="F84" s="62">
        <f t="shared" si="8"/>
        <v>0</v>
      </c>
    </row>
    <row r="85" spans="2:6" x14ac:dyDescent="0.2">
      <c r="B85" s="60" t="str">
        <f>+_xlfn.XLOOKUP(C85,'[2]Proyectos (NO FILTRAR)'!$F:$F,'[2]Proyectos (NO FILTRAR)'!$G:$G,"-",0,1)</f>
        <v>Otros</v>
      </c>
      <c r="C85" s="65" t="s">
        <v>257</v>
      </c>
      <c r="D85" s="66">
        <v>0</v>
      </c>
      <c r="E85" s="63">
        <v>0</v>
      </c>
      <c r="F85" s="62">
        <f t="shared" si="8"/>
        <v>0</v>
      </c>
    </row>
    <row r="86" spans="2:6" x14ac:dyDescent="0.2">
      <c r="B86" s="60" t="str">
        <f>+_xlfn.XLOOKUP(C86,'[2]Proyectos (NO FILTRAR)'!$F:$F,'[2]Proyectos (NO FILTRAR)'!$G:$G,"-",0,1)</f>
        <v>Perú</v>
      </c>
      <c r="C86" s="65" t="s">
        <v>269</v>
      </c>
      <c r="D86" s="66">
        <v>0</v>
      </c>
      <c r="E86" s="63">
        <v>0</v>
      </c>
      <c r="F86" s="62">
        <f t="shared" si="8"/>
        <v>0</v>
      </c>
    </row>
    <row r="87" spans="2:6" x14ac:dyDescent="0.2">
      <c r="B87" s="60" t="str">
        <f>+_xlfn.XLOOKUP(C87,'[2]Proyectos (NO FILTRAR)'!$F:$F,'[2]Proyectos (NO FILTRAR)'!$G:$G,"-",0,1)</f>
        <v>Brasil</v>
      </c>
      <c r="C87" s="65" t="s">
        <v>259</v>
      </c>
      <c r="D87" s="66">
        <v>0</v>
      </c>
      <c r="E87" s="63">
        <v>0</v>
      </c>
      <c r="F87" s="62">
        <f t="shared" si="8"/>
        <v>0</v>
      </c>
    </row>
    <row r="88" spans="2:6" x14ac:dyDescent="0.2">
      <c r="B88" s="60" t="str">
        <f>+_xlfn.XLOOKUP(C88,'[2]Proyectos (NO FILTRAR)'!$F:$F,'[2]Proyectos (NO FILTRAR)'!$G:$G,"-",0,1)</f>
        <v>Chile</v>
      </c>
      <c r="C88" s="65" t="s">
        <v>267</v>
      </c>
      <c r="D88" s="66">
        <v>20610</v>
      </c>
      <c r="E88" s="63">
        <v>13842</v>
      </c>
      <c r="F88" s="62">
        <f t="shared" si="8"/>
        <v>-6768</v>
      </c>
    </row>
    <row r="89" spans="2:6" x14ac:dyDescent="0.2">
      <c r="B89" s="60" t="str">
        <f>+_xlfn.XLOOKUP(C89,'[2]Proyectos (NO FILTRAR)'!$F:$F,'[2]Proyectos (NO FILTRAR)'!$G:$G,"-",0,1)</f>
        <v>Chile</v>
      </c>
      <c r="C89" s="65" t="s">
        <v>261</v>
      </c>
      <c r="D89" s="66">
        <v>12000</v>
      </c>
      <c r="E89" s="63">
        <v>12000</v>
      </c>
      <c r="F89" s="62">
        <f t="shared" si="8"/>
        <v>0</v>
      </c>
    </row>
    <row r="90" spans="2:6" x14ac:dyDescent="0.2">
      <c r="B90" s="60" t="str">
        <f>+_xlfn.XLOOKUP(C90,'[2]Proyectos (NO FILTRAR)'!$F:$F,'[2]Proyectos (NO FILTRAR)'!$G:$G,"-",0,1)</f>
        <v>Chile</v>
      </c>
      <c r="C90" s="65" t="s">
        <v>263</v>
      </c>
      <c r="D90" s="66">
        <v>5300</v>
      </c>
      <c r="E90" s="63">
        <v>11694</v>
      </c>
      <c r="F90" s="62">
        <f t="shared" si="8"/>
        <v>6394</v>
      </c>
    </row>
    <row r="91" spans="2:6" x14ac:dyDescent="0.2">
      <c r="B91" s="60" t="str">
        <f>+_xlfn.XLOOKUP(C91,'[2]Proyectos (NO FILTRAR)'!$F:$F,'[2]Proyectos (NO FILTRAR)'!$G:$G,"-",0,1)</f>
        <v>Chile</v>
      </c>
      <c r="C91" s="65" t="s">
        <v>262</v>
      </c>
      <c r="D91" s="66">
        <v>6500</v>
      </c>
      <c r="E91" s="63">
        <v>21578</v>
      </c>
      <c r="F91" s="62">
        <f t="shared" si="8"/>
        <v>15078</v>
      </c>
    </row>
    <row r="92" spans="2:6" x14ac:dyDescent="0.2">
      <c r="B92" s="60" t="str">
        <f>+_xlfn.XLOOKUP(C92,'[2]Proyectos (NO FILTRAR)'!$F:$F,'[2]Proyectos (NO FILTRAR)'!$G:$G,"-",0,1)</f>
        <v>Perú</v>
      </c>
      <c r="C92" s="65" t="s">
        <v>271</v>
      </c>
      <c r="D92" s="66">
        <v>0</v>
      </c>
      <c r="E92" s="63">
        <v>0</v>
      </c>
      <c r="F92" s="62">
        <f t="shared" si="8"/>
        <v>0</v>
      </c>
    </row>
    <row r="93" spans="2:6" x14ac:dyDescent="0.2">
      <c r="B93" s="60" t="str">
        <f>+_xlfn.XLOOKUP(C93,'[2]Proyectos (NO FILTRAR)'!$F:$F,'[2]Proyectos (NO FILTRAR)'!$G:$G,"-",0,1)</f>
        <v>Brasil</v>
      </c>
      <c r="C93" s="61" t="s">
        <v>212</v>
      </c>
      <c r="D93" s="62">
        <v>2384.29</v>
      </c>
      <c r="E93" s="63">
        <v>2213.09</v>
      </c>
      <c r="F93" s="62">
        <f t="shared" si="8"/>
        <v>-171.19999999999982</v>
      </c>
    </row>
    <row r="94" spans="2:6" x14ac:dyDescent="0.2">
      <c r="B94" s="60" t="str">
        <f>+_xlfn.XLOOKUP(C94,'[2]Proyectos (NO FILTRAR)'!$F:$F,'[2]Proyectos (NO FILTRAR)'!$G:$G,"-",0,1)</f>
        <v>Brasil</v>
      </c>
      <c r="C94" s="65" t="s">
        <v>266</v>
      </c>
      <c r="D94" s="66">
        <v>0</v>
      </c>
      <c r="E94" s="63">
        <v>0</v>
      </c>
      <c r="F94" s="62">
        <f t="shared" si="8"/>
        <v>0</v>
      </c>
    </row>
    <row r="95" spans="2:6" x14ac:dyDescent="0.2">
      <c r="B95" s="60" t="str">
        <f>+_xlfn.XLOOKUP(C95,'[2]Proyectos (NO FILTRAR)'!$F:$F,'[2]Proyectos (NO FILTRAR)'!$G:$G,"-",0,1)</f>
        <v>Chile</v>
      </c>
      <c r="C95" s="65" t="s">
        <v>238</v>
      </c>
      <c r="D95" s="66">
        <v>0</v>
      </c>
      <c r="E95" s="63">
        <v>19723</v>
      </c>
      <c r="F95" s="62">
        <f t="shared" si="8"/>
        <v>19723</v>
      </c>
    </row>
    <row r="96" spans="2:6" x14ac:dyDescent="0.2">
      <c r="B96" s="60" t="str">
        <f>+_xlfn.XLOOKUP(C96,'[2]Proyectos (NO FILTRAR)'!$F:$F,'[2]Proyectos (NO FILTRAR)'!$G:$G,"-",0,1)</f>
        <v>Chile</v>
      </c>
      <c r="C96" s="65" t="s">
        <v>268</v>
      </c>
      <c r="D96" s="66">
        <v>0</v>
      </c>
      <c r="E96" s="63">
        <v>0</v>
      </c>
      <c r="F96" s="62">
        <f t="shared" si="8"/>
        <v>0</v>
      </c>
    </row>
    <row r="97" spans="2:6" x14ac:dyDescent="0.2">
      <c r="B97" s="60" t="str">
        <f>+_xlfn.XLOOKUP(C97,'[2]Proyectos (NO FILTRAR)'!$F:$F,'[2]Proyectos (NO FILTRAR)'!$G:$G,"-",0,1)</f>
        <v>Perú</v>
      </c>
      <c r="C97" s="65" t="s">
        <v>276</v>
      </c>
      <c r="D97" s="66">
        <v>0</v>
      </c>
      <c r="E97" s="63">
        <v>0</v>
      </c>
      <c r="F97" s="62">
        <f t="shared" si="8"/>
        <v>0</v>
      </c>
    </row>
    <row r="98" spans="2:6" x14ac:dyDescent="0.2">
      <c r="B98" s="60" t="s">
        <v>32</v>
      </c>
      <c r="C98" s="65" t="s">
        <v>270</v>
      </c>
      <c r="D98" s="66">
        <v>0</v>
      </c>
      <c r="E98" s="63">
        <v>0</v>
      </c>
      <c r="F98" s="62">
        <f t="shared" si="8"/>
        <v>0</v>
      </c>
    </row>
    <row r="99" spans="2:6" x14ac:dyDescent="0.2">
      <c r="B99" s="60" t="str">
        <f>+_xlfn.XLOOKUP(C99,'[2]Proyectos (NO FILTRAR)'!$F:$F,'[2]Proyectos (NO FILTRAR)'!$G:$G,"-",0,1)</f>
        <v>Perú</v>
      </c>
      <c r="C99" s="65" t="s">
        <v>239</v>
      </c>
      <c r="D99" s="66">
        <v>39600</v>
      </c>
      <c r="E99" s="63">
        <v>40036</v>
      </c>
      <c r="F99" s="62">
        <f t="shared" si="8"/>
        <v>436</v>
      </c>
    </row>
    <row r="100" spans="2:6" x14ac:dyDescent="0.2">
      <c r="B100" s="68" t="s">
        <v>32</v>
      </c>
      <c r="C100" s="65" t="s">
        <v>278</v>
      </c>
      <c r="D100" s="66">
        <v>0</v>
      </c>
      <c r="E100" s="67">
        <v>52347</v>
      </c>
      <c r="F100" s="62">
        <f t="shared" si="8"/>
        <v>52347</v>
      </c>
    </row>
    <row r="101" spans="2:6" x14ac:dyDescent="0.2">
      <c r="B101" s="60" t="str">
        <f>+_xlfn.XLOOKUP(C101,'[2]Proyectos (NO FILTRAR)'!$F:$F,'[2]Proyectos (NO FILTRAR)'!$G:$G,"-",0,1)</f>
        <v>Chile</v>
      </c>
      <c r="C101" s="65" t="s">
        <v>273</v>
      </c>
      <c r="D101" s="66">
        <v>0</v>
      </c>
      <c r="E101" s="63">
        <v>0</v>
      </c>
      <c r="F101" s="62">
        <f t="shared" si="8"/>
        <v>0</v>
      </c>
    </row>
    <row r="102" spans="2:6" x14ac:dyDescent="0.2">
      <c r="B102" s="60" t="str">
        <f>+_xlfn.XLOOKUP(C102,'[2]Proyectos (NO FILTRAR)'!$F:$F,'[2]Proyectos (NO FILTRAR)'!$G:$G,"-",0,1)</f>
        <v>Chile</v>
      </c>
      <c r="C102" s="65" t="s">
        <v>274</v>
      </c>
      <c r="D102" s="66">
        <v>0</v>
      </c>
      <c r="E102" s="63">
        <v>0</v>
      </c>
      <c r="F102" s="62">
        <f t="shared" si="8"/>
        <v>0</v>
      </c>
    </row>
    <row r="103" spans="2:6" x14ac:dyDescent="0.2">
      <c r="B103" s="60" t="str">
        <f>+_xlfn.XLOOKUP(C103,'[2]Proyectos (NO FILTRAR)'!$F:$F,'[2]Proyectos (NO FILTRAR)'!$G:$G,"-",0,1)</f>
        <v>Chile</v>
      </c>
      <c r="C103" s="65" t="s">
        <v>275</v>
      </c>
      <c r="D103" s="66">
        <v>0</v>
      </c>
      <c r="E103" s="63">
        <v>0</v>
      </c>
      <c r="F103" s="62">
        <f t="shared" ref="F103:F106" si="9">+E103-D103</f>
        <v>0</v>
      </c>
    </row>
    <row r="104" spans="2:6" x14ac:dyDescent="0.2">
      <c r="B104" s="60" t="str">
        <f>+_xlfn.XLOOKUP(C104,'[2]Proyectos (NO FILTRAR)'!$F:$F,'[2]Proyectos (NO FILTRAR)'!$G:$G,"-",0,1)</f>
        <v>Perú</v>
      </c>
      <c r="C104" s="61" t="s">
        <v>222</v>
      </c>
      <c r="D104" s="66">
        <v>0</v>
      </c>
      <c r="E104" s="63">
        <v>23491</v>
      </c>
      <c r="F104" s="62">
        <f t="shared" si="9"/>
        <v>23491</v>
      </c>
    </row>
    <row r="105" spans="2:6" x14ac:dyDescent="0.2">
      <c r="B105" s="60" t="str">
        <f>+_xlfn.XLOOKUP(C105,'[2]Proyectos (NO FILTRAR)'!$F:$F,'[2]Proyectos (NO FILTRAR)'!$G:$G,"-",0,1)</f>
        <v>Brasil</v>
      </c>
      <c r="C105" s="65" t="s">
        <v>277</v>
      </c>
      <c r="D105" s="66">
        <v>0</v>
      </c>
      <c r="E105" s="63">
        <v>0</v>
      </c>
      <c r="F105" s="62">
        <f t="shared" si="9"/>
        <v>0</v>
      </c>
    </row>
    <row r="106" spans="2:6" x14ac:dyDescent="0.2">
      <c r="B106" s="69" t="str">
        <f>+_xlfn.XLOOKUP(C106,'[2]Proyectos (NO FILTRAR)'!$F:$F,'[2]Proyectos (NO FILTRAR)'!$G:$G,"-",0,1)</f>
        <v>Chile</v>
      </c>
      <c r="C106" s="65" t="s">
        <v>255</v>
      </c>
      <c r="D106" s="66">
        <v>0</v>
      </c>
      <c r="E106" s="63">
        <v>71760</v>
      </c>
      <c r="F106" s="62">
        <f t="shared" si="9"/>
        <v>71760</v>
      </c>
    </row>
    <row r="107" spans="2:6" x14ac:dyDescent="0.2">
      <c r="D107" s="51">
        <f t="shared" ref="D107:E107" si="10">SUM(D35:D106)</f>
        <v>1257801.29</v>
      </c>
      <c r="E107" s="51">
        <f t="shared" si="10"/>
        <v>1003565.09</v>
      </c>
      <c r="F107" s="51">
        <f>SUM(F35:F106)</f>
        <v>-254236.2</v>
      </c>
    </row>
  </sheetData>
  <autoFilter ref="B34:F107" xr:uid="{48BFD453-6C0E-440C-BA74-9D44EC1EE4BF}">
    <sortState xmlns:xlrd2="http://schemas.microsoft.com/office/spreadsheetml/2017/richdata2" ref="B40:F93">
      <sortCondition ref="F34:F107"/>
    </sortState>
  </autoFilter>
  <sortState xmlns:xlrd2="http://schemas.microsoft.com/office/spreadsheetml/2017/richdata2" ref="H15:I19">
    <sortCondition ref="I15:I19"/>
  </sortState>
  <phoneticPr fontId="12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9964-FC90-4D97-94E7-868D3E3B02C0}">
  <dimension ref="A1:T33"/>
  <sheetViews>
    <sheetView showGridLines="0" zoomScale="80" zoomScaleNormal="80" workbookViewId="0">
      <selection activeCell="J46" sqref="J46"/>
    </sheetView>
  </sheetViews>
  <sheetFormatPr baseColWidth="10" defaultColWidth="20" defaultRowHeight="15" x14ac:dyDescent="0.2"/>
  <cols>
    <col min="1" max="1" width="18.1640625" bestFit="1" customWidth="1"/>
    <col min="2" max="2" width="20.5" bestFit="1" customWidth="1"/>
    <col min="3" max="13" width="8.83203125" bestFit="1" customWidth="1"/>
  </cols>
  <sheetData>
    <row r="1" spans="1:20" x14ac:dyDescent="0.2">
      <c r="A1" s="3" t="s">
        <v>6</v>
      </c>
      <c r="B1" t="s">
        <v>31</v>
      </c>
    </row>
    <row r="2" spans="1:20" x14ac:dyDescent="0.2">
      <c r="A2" s="3" t="s">
        <v>0</v>
      </c>
      <c r="B2" t="s">
        <v>1</v>
      </c>
    </row>
    <row r="3" spans="1:20" x14ac:dyDescent="0.2">
      <c r="A3" s="3" t="s">
        <v>8</v>
      </c>
      <c r="B3" t="s">
        <v>1</v>
      </c>
    </row>
    <row r="4" spans="1:20" x14ac:dyDescent="0.2">
      <c r="A4" s="3" t="s">
        <v>9</v>
      </c>
      <c r="B4" t="s">
        <v>31</v>
      </c>
    </row>
    <row r="5" spans="1:20" x14ac:dyDescent="0.2">
      <c r="A5" s="3" t="s">
        <v>2</v>
      </c>
      <c r="B5" t="s">
        <v>31</v>
      </c>
    </row>
    <row r="6" spans="1:20" x14ac:dyDescent="0.2">
      <c r="R6" s="1"/>
      <c r="S6" s="1"/>
      <c r="T6" s="1"/>
    </row>
    <row r="7" spans="1:20" x14ac:dyDescent="0.2">
      <c r="A7" s="3" t="s">
        <v>4</v>
      </c>
      <c r="B7" s="3" t="s">
        <v>5</v>
      </c>
      <c r="R7" s="1"/>
      <c r="S7" s="1"/>
      <c r="T7" s="1"/>
    </row>
    <row r="8" spans="1:20" x14ac:dyDescent="0.2">
      <c r="A8" s="3" t="s">
        <v>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35</v>
      </c>
      <c r="R8" s="1"/>
      <c r="S8" s="1"/>
      <c r="T8" s="1"/>
    </row>
    <row r="9" spans="1:20" x14ac:dyDescent="0.2">
      <c r="A9" t="s">
        <v>17</v>
      </c>
      <c r="B9" s="15">
        <v>302505.2644064232</v>
      </c>
      <c r="C9" s="15">
        <v>278500.60116096027</v>
      </c>
      <c r="D9" s="15">
        <v>288865.0014914627</v>
      </c>
      <c r="E9" s="15">
        <v>271765.17839345802</v>
      </c>
      <c r="F9" s="15">
        <v>312956.31121944432</v>
      </c>
      <c r="G9" s="15">
        <v>233211.48417415336</v>
      </c>
      <c r="H9" s="15">
        <v>335851.32426394348</v>
      </c>
      <c r="I9" s="15">
        <v>305650.68347655557</v>
      </c>
      <c r="J9" s="15">
        <v>271583.9231273199</v>
      </c>
      <c r="K9" s="1">
        <v>273439.22736853379</v>
      </c>
      <c r="L9" s="1">
        <v>253552.12039876226</v>
      </c>
      <c r="M9" s="1">
        <v>295805.71405100817</v>
      </c>
      <c r="N9" s="4">
        <f>+SUM(B9:M9)</f>
        <v>3423686.8335320246</v>
      </c>
      <c r="R9" s="1"/>
      <c r="S9" s="1"/>
      <c r="T9" s="1"/>
    </row>
    <row r="10" spans="1:20" x14ac:dyDescent="0.2">
      <c r="A10" t="s">
        <v>18</v>
      </c>
      <c r="B10" s="15">
        <v>123393.41412586258</v>
      </c>
      <c r="C10" s="15">
        <v>95218.966663344952</v>
      </c>
      <c r="D10" s="15">
        <v>63271.157047647059</v>
      </c>
      <c r="E10" s="15">
        <v>9534.9992988309896</v>
      </c>
      <c r="F10" s="15">
        <v>90110.011598630517</v>
      </c>
      <c r="G10" s="15">
        <v>101187.93814098135</v>
      </c>
      <c r="H10" s="15">
        <v>53135.334511133704</v>
      </c>
      <c r="I10" s="15">
        <v>107588.06112842176</v>
      </c>
      <c r="J10" s="15">
        <v>26494.330130580598</v>
      </c>
      <c r="K10" s="1">
        <v>8684.9533151229189</v>
      </c>
      <c r="L10" s="1">
        <v>45956.40514197859</v>
      </c>
      <c r="M10" s="1">
        <v>4660.0939419786009</v>
      </c>
      <c r="N10" s="4">
        <f t="shared" ref="N10:N16" si="0">+SUM(B10:M10)</f>
        <v>729235.66504451365</v>
      </c>
      <c r="R10" s="1"/>
      <c r="S10" s="1"/>
      <c r="T10" s="1"/>
    </row>
    <row r="11" spans="1:20" x14ac:dyDescent="0.2">
      <c r="A11" t="s">
        <v>19</v>
      </c>
      <c r="B11" s="15">
        <v>52168.793962402968</v>
      </c>
      <c r="C11" s="15">
        <v>40819.450916565955</v>
      </c>
      <c r="D11" s="15">
        <v>30188.537608877745</v>
      </c>
      <c r="E11" s="15">
        <v>34665.022587828396</v>
      </c>
      <c r="F11" s="15">
        <v>76691.807575282175</v>
      </c>
      <c r="G11" s="15">
        <v>36712.330924326197</v>
      </c>
      <c r="H11" s="15">
        <v>61656.417381287611</v>
      </c>
      <c r="I11" s="15">
        <v>57328.525153242284</v>
      </c>
      <c r="J11" s="15">
        <v>64252.304477386329</v>
      </c>
      <c r="K11" s="1">
        <v>44285.528908454886</v>
      </c>
      <c r="L11" s="1">
        <v>47416.568305567853</v>
      </c>
      <c r="M11" s="1">
        <v>38844.025361743013</v>
      </c>
      <c r="N11" s="4">
        <f t="shared" si="0"/>
        <v>585029.31316296547</v>
      </c>
      <c r="R11" s="1"/>
      <c r="S11" s="1"/>
      <c r="T11" s="1"/>
    </row>
    <row r="12" spans="1:20" x14ac:dyDescent="0.2">
      <c r="A12" t="s">
        <v>22</v>
      </c>
      <c r="B12" s="15">
        <v>129398.17052669669</v>
      </c>
      <c r="C12" s="15">
        <v>40431.763937187861</v>
      </c>
      <c r="D12" s="15">
        <v>19643.364060830314</v>
      </c>
      <c r="E12" s="15">
        <v>12341.404103388877</v>
      </c>
      <c r="F12" s="15">
        <v>18451.805936010711</v>
      </c>
      <c r="G12" s="15">
        <v>6027.254232895647</v>
      </c>
      <c r="H12" s="15">
        <v>5082.7933346544096</v>
      </c>
      <c r="I12" s="15">
        <v>4927.1873319711804</v>
      </c>
      <c r="J12" s="15">
        <v>4719.149771650058</v>
      </c>
      <c r="K12" s="1">
        <v>3564.5782273998334</v>
      </c>
      <c r="L12" s="1">
        <v>3564.5782273998334</v>
      </c>
      <c r="M12" s="1">
        <v>3564.5782273998334</v>
      </c>
      <c r="N12" s="4">
        <f t="shared" si="0"/>
        <v>251716.62791748522</v>
      </c>
      <c r="R12" s="1"/>
      <c r="S12" s="1"/>
      <c r="T12" s="1"/>
    </row>
    <row r="13" spans="1:20" x14ac:dyDescent="0.2">
      <c r="A13" t="s">
        <v>21</v>
      </c>
      <c r="B13" s="15">
        <v>70940.379610568401</v>
      </c>
      <c r="C13" s="15">
        <v>15541.722628913061</v>
      </c>
      <c r="D13" s="15">
        <v>6425.169713305715</v>
      </c>
      <c r="E13" s="15">
        <v>19654.064265627931</v>
      </c>
      <c r="F13" s="15">
        <v>11217.310658473873</v>
      </c>
      <c r="G13" s="15">
        <v>6643.9180250471682</v>
      </c>
      <c r="H13" s="15">
        <v>10766.462434404199</v>
      </c>
      <c r="I13" s="15">
        <v>12765.451293687493</v>
      </c>
      <c r="J13" s="15">
        <v>11720.977046242213</v>
      </c>
      <c r="K13" s="1">
        <v>6000</v>
      </c>
      <c r="L13" s="1">
        <v>6000</v>
      </c>
      <c r="M13" s="1">
        <v>6000</v>
      </c>
      <c r="N13" s="4">
        <f t="shared" si="0"/>
        <v>183675.45567627007</v>
      </c>
      <c r="R13" s="1"/>
      <c r="S13" s="1"/>
      <c r="T13" s="1"/>
    </row>
    <row r="14" spans="1:20" x14ac:dyDescent="0.2">
      <c r="A14" t="s">
        <v>30</v>
      </c>
      <c r="B14" s="15">
        <v>12901.351336468462</v>
      </c>
      <c r="C14" s="15">
        <v>5280.0589554097814</v>
      </c>
      <c r="D14" s="15">
        <v>2662.6842850206112</v>
      </c>
      <c r="E14" s="15">
        <v>2684.2877080425774</v>
      </c>
      <c r="F14" s="15">
        <v>6920.8513095393737</v>
      </c>
      <c r="G14" s="15">
        <v>0</v>
      </c>
      <c r="H14" s="15">
        <v>5659.0788856179879</v>
      </c>
      <c r="I14" s="15">
        <v>5745.7511560382836</v>
      </c>
      <c r="J14" s="15">
        <v>2782.6216516772652</v>
      </c>
      <c r="K14" s="1">
        <v>3322.8209585299228</v>
      </c>
      <c r="L14" s="1">
        <v>3322.8209585299228</v>
      </c>
      <c r="M14" s="1">
        <v>3322.8209585299228</v>
      </c>
      <c r="N14" s="4">
        <f t="shared" si="0"/>
        <v>54605.148163404097</v>
      </c>
      <c r="R14" s="1"/>
      <c r="S14" s="1"/>
      <c r="T14" s="1"/>
    </row>
    <row r="15" spans="1:20" x14ac:dyDescent="0.2">
      <c r="A15" t="s">
        <v>29</v>
      </c>
      <c r="B15" s="15">
        <v>1146.2879547131577</v>
      </c>
      <c r="C15" s="15">
        <v>864.61014697334542</v>
      </c>
      <c r="D15" s="15">
        <v>1721.1988470240617</v>
      </c>
      <c r="E15" s="15">
        <v>0</v>
      </c>
      <c r="F15" s="15">
        <v>2374.4770558242908</v>
      </c>
      <c r="G15" s="15">
        <v>899.49032480995163</v>
      </c>
      <c r="H15" s="15">
        <v>888.47647083919969</v>
      </c>
      <c r="I15" s="15">
        <v>895.79524680073132</v>
      </c>
      <c r="J15" s="15">
        <v>1130.6291229850681</v>
      </c>
      <c r="K15" s="1">
        <v>899.36407510175877</v>
      </c>
      <c r="L15" s="1">
        <v>899.36407510175877</v>
      </c>
      <c r="M15" s="1">
        <v>899.36407510175877</v>
      </c>
      <c r="N15" s="4">
        <f t="shared" si="0"/>
        <v>12619.057395275084</v>
      </c>
      <c r="R15" s="1"/>
      <c r="S15" s="1"/>
      <c r="T15" s="1"/>
    </row>
    <row r="16" spans="1:20" x14ac:dyDescent="0.2">
      <c r="A16" t="s">
        <v>20</v>
      </c>
      <c r="B16" s="15">
        <v>1010.5019896990377</v>
      </c>
      <c r="C16" s="15">
        <v>719.11980736003238</v>
      </c>
      <c r="D16" s="15">
        <v>472.2815710997067</v>
      </c>
      <c r="E16" s="15">
        <v>364.44023454912826</v>
      </c>
      <c r="F16" s="15">
        <v>813.85955593323752</v>
      </c>
      <c r="G16" s="15">
        <v>1642.0746026261231</v>
      </c>
      <c r="H16" s="15">
        <v>2169.200136524596</v>
      </c>
      <c r="I16" s="15">
        <v>1194.0143993977847</v>
      </c>
      <c r="J16" s="15">
        <v>1128.0278554539468</v>
      </c>
      <c r="K16" s="1">
        <v>887.03314416142018</v>
      </c>
      <c r="L16" s="1">
        <v>887.03314416142018</v>
      </c>
      <c r="M16" s="1">
        <v>887.03314416142018</v>
      </c>
      <c r="N16" s="4">
        <f t="shared" si="0"/>
        <v>12174.619585127853</v>
      </c>
      <c r="R16" s="1"/>
      <c r="S16" s="1"/>
      <c r="T16" s="1"/>
    </row>
    <row r="17" spans="1:20" x14ac:dyDescent="0.2">
      <c r="A17" t="s">
        <v>23</v>
      </c>
      <c r="B17" s="15">
        <v>693464.1639128346</v>
      </c>
      <c r="C17" s="15">
        <v>477376.29421671527</v>
      </c>
      <c r="D17" s="15">
        <v>413249.39462526789</v>
      </c>
      <c r="E17" s="15">
        <v>351009.39659172588</v>
      </c>
      <c r="F17" s="15">
        <v>519536.43490913848</v>
      </c>
      <c r="G17" s="15">
        <v>386324.49042483978</v>
      </c>
      <c r="H17" s="15">
        <v>475209.08741840522</v>
      </c>
      <c r="I17" s="15">
        <v>496095.46918611508</v>
      </c>
      <c r="J17" s="15">
        <v>383811.96318329533</v>
      </c>
      <c r="K17" s="1">
        <v>341083.50599730451</v>
      </c>
      <c r="L17" s="1">
        <v>361598.89025150164</v>
      </c>
      <c r="M17" s="1">
        <v>353983.62975992268</v>
      </c>
      <c r="N17" s="4">
        <f>SUM(N9:N16)</f>
        <v>5252742.7204770651</v>
      </c>
      <c r="R17" s="1"/>
      <c r="S17" s="1"/>
      <c r="T17" s="1"/>
    </row>
    <row r="18" spans="1:20" x14ac:dyDescent="0.2">
      <c r="R18" s="1"/>
      <c r="S18" s="1"/>
      <c r="T18" s="1"/>
    </row>
    <row r="19" spans="1:20" x14ac:dyDescent="0.2">
      <c r="R19" s="1"/>
      <c r="S19" s="1"/>
      <c r="T19" s="1"/>
    </row>
    <row r="22" spans="1:20" x14ac:dyDescent="0.2">
      <c r="A22" s="3" t="s">
        <v>6</v>
      </c>
      <c r="B22" t="s">
        <v>31</v>
      </c>
    </row>
    <row r="23" spans="1:20" x14ac:dyDescent="0.2">
      <c r="A23" s="3" t="s">
        <v>7</v>
      </c>
      <c r="B23" t="s">
        <v>1</v>
      </c>
    </row>
    <row r="24" spans="1:20" x14ac:dyDescent="0.2">
      <c r="A24" s="3" t="s">
        <v>0</v>
      </c>
      <c r="B24" t="s">
        <v>1</v>
      </c>
    </row>
    <row r="25" spans="1:20" x14ac:dyDescent="0.2">
      <c r="A25" s="3" t="s">
        <v>8</v>
      </c>
      <c r="B25" t="s">
        <v>1</v>
      </c>
    </row>
    <row r="26" spans="1:20" x14ac:dyDescent="0.2">
      <c r="A26" s="3" t="s">
        <v>9</v>
      </c>
      <c r="B26" t="s">
        <v>31</v>
      </c>
    </row>
    <row r="28" spans="1:20" x14ac:dyDescent="0.2">
      <c r="A28" s="3" t="s">
        <v>4</v>
      </c>
      <c r="B28" s="3" t="s">
        <v>5</v>
      </c>
    </row>
    <row r="29" spans="1:20" x14ac:dyDescent="0.2">
      <c r="A29" s="3" t="s">
        <v>2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24</v>
      </c>
      <c r="J29" t="s">
        <v>25</v>
      </c>
      <c r="K29" t="s">
        <v>26</v>
      </c>
      <c r="L29" t="s">
        <v>27</v>
      </c>
      <c r="M29" t="s">
        <v>28</v>
      </c>
    </row>
    <row r="30" spans="1:20" x14ac:dyDescent="0.2">
      <c r="A30" t="s">
        <v>32</v>
      </c>
      <c r="B30" s="15">
        <v>481724.50950528152</v>
      </c>
      <c r="C30" s="15">
        <v>318436.17246533243</v>
      </c>
      <c r="D30" s="15">
        <v>280966.04093271209</v>
      </c>
      <c r="E30" s="15">
        <v>231521.27189784832</v>
      </c>
      <c r="F30" s="15">
        <v>317170.05490913859</v>
      </c>
      <c r="G30" s="15">
        <v>288144.9442812716</v>
      </c>
      <c r="H30" s="15">
        <v>312184.08741840516</v>
      </c>
      <c r="I30" s="15">
        <v>318966.17918611487</v>
      </c>
      <c r="J30" s="15">
        <v>282909.96318329533</v>
      </c>
      <c r="K30" s="1">
        <v>227854.25227540196</v>
      </c>
      <c r="L30" s="1">
        <v>217081.52362855084</v>
      </c>
      <c r="M30" s="1">
        <v>226971.31644011629</v>
      </c>
    </row>
    <row r="31" spans="1:20" x14ac:dyDescent="0.2">
      <c r="A31" t="s">
        <v>33</v>
      </c>
      <c r="B31" s="15">
        <v>167140.16440755312</v>
      </c>
      <c r="C31" s="15">
        <v>109669.78175138264</v>
      </c>
      <c r="D31" s="15">
        <v>119903.77369255574</v>
      </c>
      <c r="E31" s="15">
        <v>98132.41</v>
      </c>
      <c r="F31" s="15">
        <v>155440.62999999998</v>
      </c>
      <c r="G31" s="15">
        <v>82824.806143568247</v>
      </c>
      <c r="H31" s="15">
        <v>139674</v>
      </c>
      <c r="I31" s="15">
        <v>152094.22000000003</v>
      </c>
      <c r="J31" s="15">
        <v>73219</v>
      </c>
      <c r="K31" s="1">
        <v>96537.253721902714</v>
      </c>
      <c r="L31" s="1">
        <v>86529.055422950812</v>
      </c>
      <c r="M31" s="1">
        <v>110320.31331980649</v>
      </c>
    </row>
    <row r="32" spans="1:20" x14ac:dyDescent="0.2">
      <c r="A32" t="s">
        <v>3</v>
      </c>
      <c r="B32" s="15">
        <v>44599.490000000005</v>
      </c>
      <c r="C32" s="15">
        <v>49270.340000000004</v>
      </c>
      <c r="D32" s="15">
        <v>12379.58</v>
      </c>
      <c r="E32" s="15">
        <v>21355.714693877551</v>
      </c>
      <c r="F32" s="15">
        <v>46925.750000000007</v>
      </c>
      <c r="G32" s="15">
        <v>15354.74</v>
      </c>
      <c r="H32" s="15">
        <v>23351</v>
      </c>
      <c r="I32" s="15">
        <v>25035.070000000003</v>
      </c>
      <c r="J32" s="15">
        <v>27683</v>
      </c>
      <c r="K32" s="1">
        <v>16692</v>
      </c>
      <c r="L32" s="1">
        <v>57988.311199999989</v>
      </c>
      <c r="M32" s="1">
        <v>16692</v>
      </c>
    </row>
    <row r="33" spans="1:13" x14ac:dyDescent="0.2">
      <c r="A33" t="s">
        <v>23</v>
      </c>
      <c r="B33" s="15">
        <v>693464.1639128346</v>
      </c>
      <c r="C33" s="15">
        <v>477376.29421671509</v>
      </c>
      <c r="D33" s="15">
        <v>413249.39462526783</v>
      </c>
      <c r="E33" s="15">
        <v>351009.39659172588</v>
      </c>
      <c r="F33" s="15">
        <v>519536.4349091386</v>
      </c>
      <c r="G33" s="15">
        <v>386324.49042483984</v>
      </c>
      <c r="H33" s="15">
        <v>475209.08741840516</v>
      </c>
      <c r="I33" s="15">
        <v>496095.4691861149</v>
      </c>
      <c r="J33" s="15">
        <v>383811.96318329533</v>
      </c>
      <c r="K33" s="1">
        <v>341083.50599730469</v>
      </c>
      <c r="L33" s="1">
        <v>361598.89025150164</v>
      </c>
      <c r="M33" s="1">
        <v>353983.6297599228</v>
      </c>
    </row>
  </sheetData>
  <pageMargins left="0.7" right="0.7" top="0.75" bottom="0.75" header="0.3" footer="0.3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07A-45AD-48A7-8577-04905D1873F1}">
  <sheetPr>
    <tabColor theme="9"/>
  </sheetPr>
  <dimension ref="A1:O12"/>
  <sheetViews>
    <sheetView showGridLines="0" view="pageBreakPreview" zoomScaleNormal="80" workbookViewId="0">
      <selection activeCell="K3" sqref="K3"/>
    </sheetView>
  </sheetViews>
  <sheetFormatPr baseColWidth="10" defaultRowHeight="15" x14ac:dyDescent="0.2"/>
  <cols>
    <col min="1" max="1" width="21.6640625" bestFit="1" customWidth="1"/>
  </cols>
  <sheetData>
    <row r="1" spans="1:15" ht="16" thickBot="1" x14ac:dyDescent="0.25">
      <c r="A1" s="6" t="s">
        <v>38</v>
      </c>
      <c r="B1" s="7">
        <v>45292</v>
      </c>
      <c r="C1" s="8">
        <v>45323</v>
      </c>
      <c r="D1" s="8">
        <v>45352</v>
      </c>
      <c r="E1" s="8">
        <v>45383</v>
      </c>
      <c r="F1" s="8">
        <v>45413</v>
      </c>
      <c r="G1" s="8">
        <v>45444</v>
      </c>
      <c r="H1" s="8">
        <v>45474</v>
      </c>
      <c r="I1" s="8">
        <v>45505</v>
      </c>
      <c r="J1" s="8">
        <v>45536</v>
      </c>
      <c r="K1" s="8">
        <v>45566</v>
      </c>
      <c r="L1" s="8">
        <v>45597</v>
      </c>
      <c r="M1" s="8">
        <v>45627</v>
      </c>
      <c r="N1" t="s">
        <v>35</v>
      </c>
    </row>
    <row r="2" spans="1:15" x14ac:dyDescent="0.2">
      <c r="A2" t="s">
        <v>39</v>
      </c>
      <c r="B2" s="96">
        <f>'Ingresos para PPT_Dic'!C4</f>
        <v>782.47265000000004</v>
      </c>
      <c r="C2" s="96">
        <f>'Ingresos para PPT_Dic'!D4</f>
        <v>579.08372999999995</v>
      </c>
      <c r="D2" s="96">
        <f>'Ingresos para PPT_Dic'!E4</f>
        <v>663.71177138443829</v>
      </c>
      <c r="E2" s="96">
        <f>'Ingresos para PPT_Dic'!F4</f>
        <v>492.66419999999999</v>
      </c>
      <c r="F2" s="96">
        <f>'Ingresos para PPT_Dic'!G4</f>
        <v>817.072</v>
      </c>
      <c r="G2" s="96">
        <f>'Ingresos para PPT_Dic'!H4</f>
        <v>398.01100000000002</v>
      </c>
      <c r="H2" s="96">
        <f>'Ingresos para PPT_Dic'!I4</f>
        <v>464.29876726273329</v>
      </c>
      <c r="I2" s="96">
        <f>'Ingresos para PPT_Dic'!J4</f>
        <v>672.28596268656713</v>
      </c>
      <c r="J2" s="96">
        <f>'Ingresos para PPT_Dic'!K4</f>
        <v>1311.681</v>
      </c>
      <c r="K2" s="96">
        <f>'Ingresos para PPT_Dic'!L4</f>
        <v>1003.5650899999999</v>
      </c>
      <c r="L2" s="96">
        <f>'Ingresos para PPT_Dic'!M4</f>
        <v>614.74</v>
      </c>
      <c r="M2" s="96">
        <f>'Ingresos para PPT_Dic'!N4</f>
        <v>475.262</v>
      </c>
      <c r="N2" s="16">
        <f>+SUM(B2:M2)</f>
        <v>8274.8481713337405</v>
      </c>
    </row>
    <row r="3" spans="1:15" x14ac:dyDescent="0.2">
      <c r="A3" t="s">
        <v>40</v>
      </c>
      <c r="B3" s="96">
        <f>'Gasto total_Análisis'!D44</f>
        <v>688.03015980959526</v>
      </c>
      <c r="C3" s="96">
        <f>'Gasto total_Análisis'!E44</f>
        <v>472.25504016872037</v>
      </c>
      <c r="D3" s="96">
        <f>'Gasto total_Análisis'!F44</f>
        <v>437.9579020379939</v>
      </c>
      <c r="E3" s="96">
        <f>'Gasto total_Análisis'!G44</f>
        <v>351.00939659172587</v>
      </c>
      <c r="F3" s="96">
        <f>'Gasto total_Análisis'!H44</f>
        <v>522.7634349091386</v>
      </c>
      <c r="G3" s="96">
        <f>'Gasto total_Análisis'!I44</f>
        <v>394.83649042483984</v>
      </c>
      <c r="H3" s="96">
        <f>'Gasto total_Análisis'!J44</f>
        <v>526.6204905072741</v>
      </c>
      <c r="I3" s="96">
        <f>'Gasto total_Análisis'!K44</f>
        <v>538.31007578341735</v>
      </c>
      <c r="J3" s="96">
        <f>'Gasto total_Análisis'!L44</f>
        <v>383.77724292547038</v>
      </c>
      <c r="K3" s="96">
        <f>'Gasto total_Análisis'!M44</f>
        <v>519.01288933990838</v>
      </c>
      <c r="L3" s="96">
        <f>'Gasto total_Análisis'!N44</f>
        <v>452.20353728346993</v>
      </c>
      <c r="M3" s="96">
        <f>'Gasto total_Análisis'!O44</f>
        <v>681.06638060457897</v>
      </c>
      <c r="N3" s="16">
        <f>+SUM(B3:M3)</f>
        <v>5967.8430403861321</v>
      </c>
    </row>
    <row r="4" spans="1:15" x14ac:dyDescent="0.2">
      <c r="A4" s="82" t="s">
        <v>41</v>
      </c>
      <c r="B4" s="98">
        <f>+B2-B3</f>
        <v>94.442490190404783</v>
      </c>
      <c r="C4" s="98">
        <f t="shared" ref="C4:M4" si="0">+C2-C3</f>
        <v>106.82868983127958</v>
      </c>
      <c r="D4" s="98">
        <f t="shared" si="0"/>
        <v>225.75386934644439</v>
      </c>
      <c r="E4" s="98">
        <f t="shared" si="0"/>
        <v>141.65480340827412</v>
      </c>
      <c r="F4" s="98">
        <f t="shared" si="0"/>
        <v>294.30856509086141</v>
      </c>
      <c r="G4" s="98">
        <f t="shared" si="0"/>
        <v>3.1745095751601866</v>
      </c>
      <c r="H4" s="98">
        <f t="shared" si="0"/>
        <v>-62.321723244540806</v>
      </c>
      <c r="I4" s="98">
        <f t="shared" si="0"/>
        <v>133.97588690314979</v>
      </c>
      <c r="J4" s="98">
        <f t="shared" si="0"/>
        <v>927.90375707452972</v>
      </c>
      <c r="K4" s="98">
        <f t="shared" si="0"/>
        <v>484.55220066009156</v>
      </c>
      <c r="L4" s="98">
        <f t="shared" si="0"/>
        <v>162.53646271653008</v>
      </c>
      <c r="M4" s="98">
        <f t="shared" si="0"/>
        <v>-205.80438060457897</v>
      </c>
      <c r="N4" s="16">
        <f>+SUM(B4:M4)</f>
        <v>2307.0051309476057</v>
      </c>
    </row>
    <row r="5" spans="1:15" x14ac:dyDescent="0.2">
      <c r="A5" t="s">
        <v>42</v>
      </c>
      <c r="B5" s="97">
        <f>+B4/B2</f>
        <v>0.1206974968267642</v>
      </c>
      <c r="C5" s="97">
        <f t="shared" ref="C5:M5" si="1">+C4/C2</f>
        <v>0.18447883146583929</v>
      </c>
      <c r="D5" s="97">
        <f t="shared" si="1"/>
        <v>0.34013841411241469</v>
      </c>
      <c r="E5" s="97">
        <f t="shared" si="1"/>
        <v>0.2875281041493864</v>
      </c>
      <c r="F5" s="97">
        <f t="shared" si="1"/>
        <v>0.3601990584561231</v>
      </c>
      <c r="G5" s="97">
        <f t="shared" si="1"/>
        <v>7.9759342710633285E-3</v>
      </c>
      <c r="H5" s="97">
        <f t="shared" si="1"/>
        <v>-0.13422763022171613</v>
      </c>
      <c r="I5" s="97">
        <f t="shared" si="1"/>
        <v>0.19928407603181203</v>
      </c>
      <c r="J5" s="97">
        <f t="shared" si="1"/>
        <v>0.70741571851275553</v>
      </c>
      <c r="K5" s="97">
        <f t="shared" si="1"/>
        <v>0.48283086517097917</v>
      </c>
      <c r="L5" s="97">
        <f t="shared" si="1"/>
        <v>0.26439870956262823</v>
      </c>
      <c r="M5" s="97">
        <f t="shared" si="1"/>
        <v>-0.43303352804259326</v>
      </c>
      <c r="N5" s="2">
        <f>+N4/N2</f>
        <v>0.27879727617718481</v>
      </c>
    </row>
    <row r="7" spans="1:15" x14ac:dyDescent="0.2">
      <c r="A7" t="s">
        <v>43</v>
      </c>
      <c r="B7" s="16">
        <f>+SUM($B$2:B2)</f>
        <v>782.47265000000004</v>
      </c>
      <c r="C7" s="16">
        <f>+SUM($B$2:C2)</f>
        <v>1361.55638</v>
      </c>
      <c r="D7" s="16">
        <f>+SUM($B$2:D2)</f>
        <v>2025.2681513844382</v>
      </c>
      <c r="E7" s="16">
        <f>+SUM($B$2:E2)</f>
        <v>2517.9323513844383</v>
      </c>
      <c r="F7" s="16">
        <f>+SUM($B$2:F2)</f>
        <v>3335.0043513844385</v>
      </c>
      <c r="G7" s="16">
        <f>+SUM($B$2:G2)</f>
        <v>3733.0153513844384</v>
      </c>
      <c r="H7" s="16">
        <f>+SUM($B$2:H2)</f>
        <v>4197.3141186471721</v>
      </c>
      <c r="I7" s="16">
        <f>+SUM($B$2:I2)</f>
        <v>4869.6000813337396</v>
      </c>
      <c r="J7" s="16">
        <f>+SUM($B$2:J2)</f>
        <v>6181.2810813337401</v>
      </c>
      <c r="K7" s="16">
        <f>+SUM($B$2:K2)</f>
        <v>7184.8461713337401</v>
      </c>
      <c r="L7" s="16">
        <f>+SUM($B$2:L2)</f>
        <v>7799.5861713337399</v>
      </c>
      <c r="M7" s="16">
        <f>+SUM($B$2:M2)</f>
        <v>8274.8481713337405</v>
      </c>
    </row>
    <row r="8" spans="1:15" x14ac:dyDescent="0.2">
      <c r="A8" t="s">
        <v>44</v>
      </c>
      <c r="B8" s="16">
        <f>+SUM($B$3:B3)</f>
        <v>688.03015980959526</v>
      </c>
      <c r="C8" s="16">
        <f>+SUM($B$3:C3)</f>
        <v>1160.2851999783156</v>
      </c>
      <c r="D8" s="16">
        <f>+SUM($B$3:D3)</f>
        <v>1598.2431020163094</v>
      </c>
      <c r="E8" s="16">
        <f>+SUM($B$3:E3)</f>
        <v>1949.2524986080352</v>
      </c>
      <c r="F8" s="16">
        <f>+SUM($B$3:F3)</f>
        <v>2472.0159335171738</v>
      </c>
      <c r="G8" s="16">
        <f>+SUM($B$3:G3)</f>
        <v>2866.8524239420135</v>
      </c>
      <c r="H8" s="16">
        <f>+SUM($B$3:H3)</f>
        <v>3393.4729144492876</v>
      </c>
      <c r="I8" s="16">
        <f>+SUM($B$3:I3)</f>
        <v>3931.7829902327048</v>
      </c>
      <c r="J8" s="16">
        <f>+SUM($B$3:J3)</f>
        <v>4315.5602331581749</v>
      </c>
      <c r="K8" s="16">
        <f>+SUM($B$3:K3)</f>
        <v>4834.5731224980836</v>
      </c>
      <c r="L8" s="16">
        <f>+SUM($B$3:L3)</f>
        <v>5286.7766597815535</v>
      </c>
      <c r="M8" s="16">
        <f>+SUM($B$3:M3)</f>
        <v>5967.8430403861321</v>
      </c>
    </row>
    <row r="9" spans="1:15" x14ac:dyDescent="0.2">
      <c r="A9" s="82" t="s">
        <v>45</v>
      </c>
      <c r="B9" s="98">
        <f>+SUM($B$4:B4)</f>
        <v>94.442490190404783</v>
      </c>
      <c r="C9" s="98">
        <f>+SUM($B$4:C4)</f>
        <v>201.27118002168436</v>
      </c>
      <c r="D9" s="98">
        <f>+SUM($B$4:D4)</f>
        <v>427.02504936812875</v>
      </c>
      <c r="E9" s="98">
        <f>+SUM($B$4:E4)</f>
        <v>568.67985277640287</v>
      </c>
      <c r="F9" s="98">
        <f>+SUM($B$4:F4)</f>
        <v>862.98841786726427</v>
      </c>
      <c r="G9" s="98">
        <f>+SUM($B$4:G4)</f>
        <v>866.16292744242446</v>
      </c>
      <c r="H9" s="98">
        <f>+SUM($B$4:H4)</f>
        <v>803.8412041978836</v>
      </c>
      <c r="I9" s="98">
        <f>+SUM($B$4:I4)</f>
        <v>937.81709110103338</v>
      </c>
      <c r="J9" s="98">
        <f>+SUM($B$4:J4)</f>
        <v>1865.7208481755631</v>
      </c>
      <c r="K9" s="98">
        <f>+SUM($B$4:K4)</f>
        <v>2350.2730488356547</v>
      </c>
      <c r="L9" s="98">
        <f>+SUM($B$4:L4)</f>
        <v>2512.8095115521846</v>
      </c>
      <c r="M9" s="98">
        <f>+SUM($B$4:M4)</f>
        <v>2307.0051309476057</v>
      </c>
      <c r="N9" s="4"/>
      <c r="O9" s="2"/>
    </row>
    <row r="10" spans="1:15" x14ac:dyDescent="0.2">
      <c r="A10" t="s">
        <v>42</v>
      </c>
      <c r="B10" s="97">
        <f>+B9/B7</f>
        <v>0.1206974968267642</v>
      </c>
      <c r="C10" s="97">
        <f t="shared" ref="C10:M10" si="2">+C9/C7</f>
        <v>0.14782434497621344</v>
      </c>
      <c r="D10" s="97">
        <f t="shared" si="2"/>
        <v>0.21084864691928415</v>
      </c>
      <c r="E10" s="97">
        <f t="shared" si="2"/>
        <v>0.22585191872360066</v>
      </c>
      <c r="F10" s="97">
        <f t="shared" si="2"/>
        <v>0.25876680415994585</v>
      </c>
      <c r="G10" s="97">
        <f t="shared" si="2"/>
        <v>0.23202768965876244</v>
      </c>
      <c r="H10" s="97">
        <f t="shared" si="2"/>
        <v>0.19151323476761087</v>
      </c>
      <c r="I10" s="97">
        <f t="shared" si="2"/>
        <v>0.19258605951973243</v>
      </c>
      <c r="J10" s="97">
        <f t="shared" si="2"/>
        <v>0.30183400878010147</v>
      </c>
      <c r="K10" s="97">
        <f t="shared" si="2"/>
        <v>0.32711529137712464</v>
      </c>
      <c r="L10" s="97">
        <f t="shared" si="2"/>
        <v>0.32217215841369323</v>
      </c>
      <c r="M10" s="97">
        <f>+M9/M7</f>
        <v>0.27879727617718481</v>
      </c>
    </row>
    <row r="11" spans="1:15" x14ac:dyDescent="0.2">
      <c r="B11" s="97"/>
    </row>
    <row r="12" spans="1:15" x14ac:dyDescent="0.2">
      <c r="B12" s="97">
        <f>+B9/$M$9</f>
        <v>4.0937269242922056E-2</v>
      </c>
      <c r="C12" s="97">
        <f t="shared" ref="C12:M12" si="3">+C9/$M$9</f>
        <v>8.7243490411749502E-2</v>
      </c>
      <c r="D12" s="97">
        <f t="shared" si="3"/>
        <v>0.18509930629964727</v>
      </c>
      <c r="E12" s="97">
        <f t="shared" si="3"/>
        <v>0.246501338530971</v>
      </c>
      <c r="F12" s="97">
        <f t="shared" si="3"/>
        <v>0.3740730379358933</v>
      </c>
      <c r="G12" s="97">
        <f t="shared" si="3"/>
        <v>0.3754490685014848</v>
      </c>
      <c r="H12" s="97">
        <f t="shared" si="3"/>
        <v>0.34843494425506744</v>
      </c>
      <c r="I12" s="97">
        <f t="shared" si="3"/>
        <v>0.4065084548450153</v>
      </c>
      <c r="J12" s="97">
        <f t="shared" si="3"/>
        <v>0.80871985204871022</v>
      </c>
      <c r="K12" s="97">
        <f t="shared" si="3"/>
        <v>1.0187550158894865</v>
      </c>
      <c r="L12" s="97">
        <f t="shared" si="3"/>
        <v>1.0892084624536766</v>
      </c>
      <c r="M12" s="97">
        <f t="shared" si="3"/>
        <v>1</v>
      </c>
    </row>
  </sheetData>
  <pageMargins left="0.7" right="0.7" top="0.75" bottom="0.75" header="0.3" footer="0.3"/>
  <pageSetup scale="52" orientation="portrait" horizontalDpi="4294967295" verticalDpi="4294967295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A80E-D47E-4E5F-B218-C542D200AADE}">
  <sheetPr>
    <tabColor theme="5"/>
  </sheetPr>
  <dimension ref="A1:V64"/>
  <sheetViews>
    <sheetView zoomScale="80" zoomScaleNormal="80" workbookViewId="0">
      <selection activeCell="F32" sqref="F32"/>
    </sheetView>
  </sheetViews>
  <sheetFormatPr baseColWidth="10" defaultRowHeight="15" x14ac:dyDescent="0.2"/>
  <cols>
    <col min="1" max="1" width="17.5" bestFit="1" customWidth="1"/>
    <col min="2" max="2" width="20" bestFit="1" customWidth="1"/>
    <col min="3" max="3" width="10.33203125" bestFit="1" customWidth="1"/>
    <col min="4" max="4" width="17.83203125" bestFit="1" customWidth="1"/>
    <col min="5" max="15" width="8.5" bestFit="1" customWidth="1"/>
    <col min="16" max="16" width="11.83203125" bestFit="1" customWidth="1"/>
    <col min="17" max="17" width="2.33203125" bestFit="1" customWidth="1"/>
    <col min="18" max="18" width="11" bestFit="1" customWidth="1"/>
    <col min="19" max="19" width="8.83203125" bestFit="1" customWidth="1"/>
    <col min="20" max="20" width="13.83203125" bestFit="1" customWidth="1"/>
    <col min="21" max="21" width="62.6640625" bestFit="1" customWidth="1"/>
    <col min="22" max="22" width="8.5" bestFit="1" customWidth="1"/>
  </cols>
  <sheetData>
    <row r="1" spans="1:22" x14ac:dyDescent="0.2">
      <c r="A1" s="3" t="s">
        <v>6</v>
      </c>
      <c r="B1" t="s">
        <v>31</v>
      </c>
    </row>
    <row r="2" spans="1:22" x14ac:dyDescent="0.2">
      <c r="A2" s="3" t="s">
        <v>0</v>
      </c>
      <c r="B2" t="s">
        <v>1</v>
      </c>
    </row>
    <row r="3" spans="1:22" x14ac:dyDescent="0.2">
      <c r="A3" s="3" t="s">
        <v>2</v>
      </c>
      <c r="B3" t="s">
        <v>31</v>
      </c>
    </row>
    <row r="4" spans="1:22" x14ac:dyDescent="0.2">
      <c r="R4" s="1"/>
      <c r="S4" s="1"/>
      <c r="T4" s="1"/>
    </row>
    <row r="5" spans="1:22" x14ac:dyDescent="0.2">
      <c r="A5" s="3" t="s">
        <v>4</v>
      </c>
      <c r="D5" s="3" t="s">
        <v>5</v>
      </c>
      <c r="R5" s="1"/>
      <c r="S5" s="1"/>
      <c r="T5" s="1"/>
    </row>
    <row r="6" spans="1:22" x14ac:dyDescent="0.2">
      <c r="A6" s="3" t="s">
        <v>7</v>
      </c>
      <c r="B6" s="3" t="s">
        <v>8</v>
      </c>
      <c r="C6" s="3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23</v>
      </c>
      <c r="R6" s="1"/>
      <c r="S6" s="1"/>
      <c r="T6" s="1"/>
    </row>
    <row r="7" spans="1:22" x14ac:dyDescent="0.2">
      <c r="A7" t="s">
        <v>17</v>
      </c>
      <c r="D7" s="15">
        <v>302505.2644064232</v>
      </c>
      <c r="E7" s="15">
        <v>278500.60116096027</v>
      </c>
      <c r="F7" s="15">
        <v>288865.0014914627</v>
      </c>
      <c r="G7" s="15">
        <v>271765.17839345802</v>
      </c>
      <c r="H7" s="15">
        <v>312956.31121944432</v>
      </c>
      <c r="I7" s="15">
        <v>233211.48417415336</v>
      </c>
      <c r="J7" s="15">
        <v>335851.32426394348</v>
      </c>
      <c r="K7" s="15">
        <v>305650.68347655557</v>
      </c>
      <c r="L7" s="15">
        <v>271583.9231273199</v>
      </c>
      <c r="M7" s="1">
        <v>273439.22736853379</v>
      </c>
      <c r="N7" s="1">
        <v>253552.12039876226</v>
      </c>
      <c r="O7" s="1">
        <v>295805.71405100817</v>
      </c>
      <c r="P7" s="4">
        <v>3423686.8335320246</v>
      </c>
      <c r="Q7" s="16"/>
      <c r="R7" s="1"/>
      <c r="S7" s="1"/>
      <c r="T7" s="1"/>
      <c r="U7" s="20"/>
      <c r="V7" s="78"/>
    </row>
    <row r="8" spans="1:22" x14ac:dyDescent="0.2">
      <c r="A8" t="s">
        <v>18</v>
      </c>
      <c r="D8" s="15">
        <v>123393.41412586258</v>
      </c>
      <c r="E8" s="15">
        <v>95218.966663344952</v>
      </c>
      <c r="F8" s="15">
        <v>63271.157047647059</v>
      </c>
      <c r="G8" s="15">
        <v>9534.9992988309896</v>
      </c>
      <c r="H8" s="15">
        <v>90110.011598630517</v>
      </c>
      <c r="I8" s="15">
        <v>101187.93814098135</v>
      </c>
      <c r="J8" s="15">
        <v>53135.334511133704</v>
      </c>
      <c r="K8" s="15">
        <v>107588.06112842176</v>
      </c>
      <c r="L8" s="15">
        <v>26494.330130580598</v>
      </c>
      <c r="M8" s="1">
        <v>8684.9533151229189</v>
      </c>
      <c r="N8" s="1">
        <v>45956.40514197859</v>
      </c>
      <c r="O8" s="1">
        <v>4660.0939419786009</v>
      </c>
      <c r="P8" s="4">
        <v>729235.66504451365</v>
      </c>
      <c r="Q8" s="16"/>
      <c r="R8" s="1"/>
      <c r="S8" s="1"/>
      <c r="T8" s="1"/>
      <c r="U8" s="20"/>
      <c r="V8" s="78"/>
    </row>
    <row r="9" spans="1:22" x14ac:dyDescent="0.2">
      <c r="A9" t="s">
        <v>19</v>
      </c>
      <c r="D9" s="15">
        <v>52168.793962402968</v>
      </c>
      <c r="E9" s="15">
        <v>40819.450916565955</v>
      </c>
      <c r="F9" s="15">
        <v>30188.537608877745</v>
      </c>
      <c r="G9" s="15">
        <v>34665.022587828396</v>
      </c>
      <c r="H9" s="15">
        <v>76691.807575282175</v>
      </c>
      <c r="I9" s="15">
        <v>36712.330924326197</v>
      </c>
      <c r="J9" s="15">
        <v>61656.417381287611</v>
      </c>
      <c r="K9" s="15">
        <v>57328.525153242284</v>
      </c>
      <c r="L9" s="15">
        <v>64252.304477386329</v>
      </c>
      <c r="M9" s="1">
        <v>44285.528908454886</v>
      </c>
      <c r="N9" s="1">
        <v>47416.568305567853</v>
      </c>
      <c r="O9" s="1">
        <v>38844.025361743013</v>
      </c>
      <c r="P9" s="4">
        <v>585029.31316296547</v>
      </c>
      <c r="Q9" s="16"/>
      <c r="R9" s="1"/>
      <c r="S9" s="1"/>
      <c r="T9" s="1"/>
      <c r="U9" s="20"/>
      <c r="V9" s="78"/>
    </row>
    <row r="10" spans="1:22" x14ac:dyDescent="0.2">
      <c r="A10" t="s">
        <v>22</v>
      </c>
      <c r="D10" s="15">
        <v>129398.17052669669</v>
      </c>
      <c r="E10" s="15">
        <v>40431.763937187861</v>
      </c>
      <c r="F10" s="15">
        <v>19643.364060830314</v>
      </c>
      <c r="G10" s="15">
        <v>12341.404103388877</v>
      </c>
      <c r="H10" s="15">
        <v>18451.805936010711</v>
      </c>
      <c r="I10" s="15">
        <v>6027.254232895647</v>
      </c>
      <c r="J10" s="15">
        <v>5082.7933346544096</v>
      </c>
      <c r="K10" s="15">
        <v>4927.1873319711804</v>
      </c>
      <c r="L10" s="15">
        <v>4719.149771650058</v>
      </c>
      <c r="M10" s="1">
        <v>3564.5782273998334</v>
      </c>
      <c r="N10" s="1">
        <v>3564.5782273998334</v>
      </c>
      <c r="O10" s="1">
        <v>3564.5782273998334</v>
      </c>
      <c r="P10" s="4">
        <v>251716.62791748522</v>
      </c>
      <c r="Q10" s="16"/>
      <c r="R10" s="1"/>
      <c r="S10" s="1"/>
      <c r="T10" s="1"/>
      <c r="U10" s="20"/>
      <c r="V10" s="78"/>
    </row>
    <row r="11" spans="1:22" x14ac:dyDescent="0.2">
      <c r="A11" t="s">
        <v>21</v>
      </c>
      <c r="D11" s="15">
        <v>70940.379610568401</v>
      </c>
      <c r="E11" s="15">
        <v>15541.722628913061</v>
      </c>
      <c r="F11" s="15">
        <v>6425.169713305715</v>
      </c>
      <c r="G11" s="15">
        <v>19654.064265627931</v>
      </c>
      <c r="H11" s="15">
        <v>11217.310658473873</v>
      </c>
      <c r="I11" s="15">
        <v>6643.9180250471682</v>
      </c>
      <c r="J11" s="15">
        <v>10766.462434404199</v>
      </c>
      <c r="K11" s="15">
        <v>12765.451293687493</v>
      </c>
      <c r="L11" s="15">
        <v>11720.977046242213</v>
      </c>
      <c r="M11" s="1">
        <v>6000</v>
      </c>
      <c r="N11" s="1">
        <v>6000</v>
      </c>
      <c r="O11" s="1">
        <v>6000</v>
      </c>
      <c r="P11" s="4">
        <v>183675.45567627007</v>
      </c>
      <c r="Q11" s="16"/>
      <c r="R11" s="1"/>
      <c r="S11" s="1"/>
      <c r="T11" s="1"/>
      <c r="U11" s="20"/>
      <c r="V11" s="78"/>
    </row>
    <row r="12" spans="1:22" x14ac:dyDescent="0.2">
      <c r="A12" t="s">
        <v>30</v>
      </c>
      <c r="D12" s="15">
        <v>12901.351336468462</v>
      </c>
      <c r="E12" s="15">
        <v>5280.0589554097814</v>
      </c>
      <c r="F12" s="15">
        <v>2662.6842850206112</v>
      </c>
      <c r="G12" s="15">
        <v>2684.2877080425774</v>
      </c>
      <c r="H12" s="15">
        <v>6920.8513095393737</v>
      </c>
      <c r="I12" s="15">
        <v>0</v>
      </c>
      <c r="J12" s="15">
        <v>5659.0788856179879</v>
      </c>
      <c r="K12" s="15">
        <v>5745.7511560382836</v>
      </c>
      <c r="L12" s="15">
        <v>2782.6216516772652</v>
      </c>
      <c r="M12" s="1">
        <v>3322.8209585299228</v>
      </c>
      <c r="N12" s="1">
        <v>3322.8209585299228</v>
      </c>
      <c r="O12" s="1">
        <v>3322.8209585299228</v>
      </c>
      <c r="P12" s="4">
        <v>54605.148163404097</v>
      </c>
      <c r="Q12" s="16"/>
      <c r="R12" s="1"/>
      <c r="S12" s="1"/>
      <c r="T12" s="1"/>
      <c r="U12" s="20"/>
      <c r="V12" s="78"/>
    </row>
    <row r="13" spans="1:22" x14ac:dyDescent="0.2">
      <c r="A13" t="s">
        <v>29</v>
      </c>
      <c r="D13" s="15">
        <v>1146.2879547131577</v>
      </c>
      <c r="E13" s="15">
        <v>864.61014697334542</v>
      </c>
      <c r="F13" s="15">
        <v>1721.1988470240617</v>
      </c>
      <c r="G13" s="15">
        <v>0</v>
      </c>
      <c r="H13" s="15">
        <v>2374.4770558242908</v>
      </c>
      <c r="I13" s="15">
        <v>899.49032480995163</v>
      </c>
      <c r="J13" s="15">
        <v>888.47647083919969</v>
      </c>
      <c r="K13" s="15">
        <v>895.79524680073132</v>
      </c>
      <c r="L13" s="15">
        <v>1130.6291229850681</v>
      </c>
      <c r="M13" s="1">
        <v>899.36407510175877</v>
      </c>
      <c r="N13" s="1">
        <v>899.36407510175877</v>
      </c>
      <c r="O13" s="1">
        <v>899.36407510175877</v>
      </c>
      <c r="P13" s="4">
        <v>12619.057395275084</v>
      </c>
      <c r="Q13" s="16"/>
      <c r="R13" s="1"/>
      <c r="S13" s="1"/>
      <c r="T13" s="1"/>
      <c r="U13" s="20"/>
      <c r="V13" s="78"/>
    </row>
    <row r="14" spans="1:22" x14ac:dyDescent="0.2">
      <c r="A14" t="s">
        <v>20</v>
      </c>
      <c r="D14" s="15">
        <v>1010.5019896990377</v>
      </c>
      <c r="E14" s="15">
        <v>719.11980736003238</v>
      </c>
      <c r="F14" s="15">
        <v>472.2815710997067</v>
      </c>
      <c r="G14" s="15">
        <v>364.44023454912826</v>
      </c>
      <c r="H14" s="15">
        <v>813.85955593323752</v>
      </c>
      <c r="I14" s="15">
        <v>1642.0746026261231</v>
      </c>
      <c r="J14" s="15">
        <v>2169.200136524596</v>
      </c>
      <c r="K14" s="15">
        <v>1194.0143993977847</v>
      </c>
      <c r="L14" s="15">
        <v>1128.0278554539468</v>
      </c>
      <c r="M14" s="1">
        <v>887.03314416142018</v>
      </c>
      <c r="N14" s="1">
        <v>887.03314416142018</v>
      </c>
      <c r="O14" s="1">
        <v>887.03314416142018</v>
      </c>
      <c r="P14" s="4">
        <v>12174.619585127853</v>
      </c>
      <c r="Q14" s="16"/>
      <c r="R14" s="1"/>
      <c r="S14" s="1"/>
      <c r="T14" s="1"/>
      <c r="U14" s="20"/>
      <c r="V14" s="78"/>
    </row>
    <row r="15" spans="1:22" x14ac:dyDescent="0.2">
      <c r="A15" t="s">
        <v>23</v>
      </c>
      <c r="D15" s="15">
        <v>693464.16391283448</v>
      </c>
      <c r="E15" s="15">
        <v>477376.29421671527</v>
      </c>
      <c r="F15" s="15">
        <v>413249.39462526795</v>
      </c>
      <c r="G15" s="15">
        <v>351009.39659172593</v>
      </c>
      <c r="H15" s="15">
        <v>519536.43490913854</v>
      </c>
      <c r="I15" s="15">
        <v>386324.49042483984</v>
      </c>
      <c r="J15" s="15">
        <v>475209.08741840522</v>
      </c>
      <c r="K15" s="15">
        <v>496095.46918611508</v>
      </c>
      <c r="L15" s="15">
        <v>383811.96318329533</v>
      </c>
      <c r="M15" s="1">
        <v>341083.50599730451</v>
      </c>
      <c r="N15" s="1">
        <v>361598.89025150164</v>
      </c>
      <c r="O15" s="1">
        <v>353983.62975992268</v>
      </c>
      <c r="P15" s="4">
        <v>5252742.7204770651</v>
      </c>
      <c r="Q15" s="16"/>
      <c r="R15" s="1"/>
      <c r="S15" s="1"/>
      <c r="T15" s="1"/>
      <c r="U15" s="20"/>
      <c r="V15" s="78"/>
    </row>
    <row r="16" spans="1:22" x14ac:dyDescent="0.2">
      <c r="Q16" s="16"/>
      <c r="R16" s="1"/>
      <c r="S16" s="1"/>
      <c r="T16" s="1"/>
      <c r="U16" s="20"/>
      <c r="V16" s="78"/>
    </row>
    <row r="17" spans="17:22" x14ac:dyDescent="0.2">
      <c r="Q17" s="16"/>
      <c r="R17" s="1"/>
      <c r="S17" s="1"/>
      <c r="T17" s="1"/>
      <c r="U17" s="20"/>
      <c r="V17" s="78"/>
    </row>
    <row r="18" spans="17:22" x14ac:dyDescent="0.2">
      <c r="Q18" s="16"/>
      <c r="R18" s="1"/>
      <c r="U18" s="20"/>
      <c r="V18" s="78"/>
    </row>
    <row r="19" spans="17:22" x14ac:dyDescent="0.2">
      <c r="Q19" s="16"/>
      <c r="R19" s="1"/>
      <c r="U19" s="20"/>
      <c r="V19" s="78"/>
    </row>
    <row r="20" spans="17:22" x14ac:dyDescent="0.2">
      <c r="Q20" s="16"/>
      <c r="R20" s="1"/>
      <c r="U20" s="20"/>
      <c r="V20" s="78"/>
    </row>
    <row r="21" spans="17:22" x14ac:dyDescent="0.2">
      <c r="Q21" s="16"/>
      <c r="R21" s="1"/>
      <c r="U21" s="20"/>
      <c r="V21" s="78"/>
    </row>
    <row r="22" spans="17:22" x14ac:dyDescent="0.2">
      <c r="Q22" s="16"/>
      <c r="R22" s="1"/>
      <c r="U22" s="20"/>
      <c r="V22" s="78"/>
    </row>
    <row r="23" spans="17:22" x14ac:dyDescent="0.2">
      <c r="Q23" s="16"/>
      <c r="R23" s="1"/>
      <c r="U23" s="20"/>
      <c r="V23" s="78"/>
    </row>
    <row r="24" spans="17:22" x14ac:dyDescent="0.2">
      <c r="Q24" s="16"/>
      <c r="R24" s="1"/>
      <c r="U24" s="20"/>
      <c r="V24" s="78"/>
    </row>
    <row r="25" spans="17:22" x14ac:dyDescent="0.2">
      <c r="Q25" s="16"/>
      <c r="R25" s="1"/>
      <c r="U25" s="20"/>
      <c r="V25" s="78"/>
    </row>
    <row r="26" spans="17:22" x14ac:dyDescent="0.2">
      <c r="Q26" s="16"/>
      <c r="R26" s="1"/>
      <c r="U26" s="20"/>
      <c r="V26" s="78"/>
    </row>
    <row r="27" spans="17:22" x14ac:dyDescent="0.2">
      <c r="Q27" s="16"/>
      <c r="R27" s="1"/>
      <c r="U27" s="20"/>
      <c r="V27" s="78"/>
    </row>
    <row r="28" spans="17:22" x14ac:dyDescent="0.2">
      <c r="Q28" s="16"/>
      <c r="R28" s="1"/>
      <c r="U28" s="20"/>
      <c r="V28" s="78"/>
    </row>
    <row r="29" spans="17:22" x14ac:dyDescent="0.2">
      <c r="Q29" s="16"/>
      <c r="R29" s="1"/>
      <c r="U29" s="20"/>
      <c r="V29" s="78"/>
    </row>
    <row r="30" spans="17:22" x14ac:dyDescent="0.2">
      <c r="Q30" s="16"/>
      <c r="R30" s="1"/>
      <c r="U30" s="20"/>
      <c r="V30" s="78"/>
    </row>
    <row r="31" spans="17:22" x14ac:dyDescent="0.2">
      <c r="Q31" s="16"/>
      <c r="R31" s="1"/>
      <c r="U31" s="20"/>
      <c r="V31" s="78"/>
    </row>
    <row r="32" spans="17:22" x14ac:dyDescent="0.2">
      <c r="Q32" s="16"/>
      <c r="R32" s="1"/>
      <c r="U32" s="20"/>
      <c r="V32" s="78"/>
    </row>
    <row r="33" spans="17:22" x14ac:dyDescent="0.2">
      <c r="Q33" s="16"/>
      <c r="R33" s="1"/>
      <c r="U33" s="20"/>
      <c r="V33" s="78"/>
    </row>
    <row r="34" spans="17:22" x14ac:dyDescent="0.2">
      <c r="Q34" s="16"/>
      <c r="R34" s="1"/>
      <c r="U34" s="20"/>
      <c r="V34" s="78"/>
    </row>
    <row r="35" spans="17:22" x14ac:dyDescent="0.2">
      <c r="Q35" s="16"/>
      <c r="R35" s="1"/>
      <c r="U35" s="20"/>
      <c r="V35" s="78"/>
    </row>
    <row r="36" spans="17:22" x14ac:dyDescent="0.2">
      <c r="Q36" s="16"/>
      <c r="R36" s="1"/>
      <c r="U36" s="20"/>
      <c r="V36" s="78"/>
    </row>
    <row r="37" spans="17:22" x14ac:dyDescent="0.2">
      <c r="Q37" s="16"/>
      <c r="R37" s="1"/>
      <c r="U37" s="20"/>
      <c r="V37" s="78"/>
    </row>
    <row r="38" spans="17:22" x14ac:dyDescent="0.2">
      <c r="Q38" s="16"/>
      <c r="R38" s="1"/>
      <c r="U38" s="20"/>
      <c r="V38" s="78"/>
    </row>
    <row r="39" spans="17:22" x14ac:dyDescent="0.2">
      <c r="Q39" s="16"/>
      <c r="R39" s="1"/>
      <c r="U39" s="20"/>
      <c r="V39" s="78"/>
    </row>
    <row r="40" spans="17:22" x14ac:dyDescent="0.2">
      <c r="Q40" s="16"/>
      <c r="R40" s="1"/>
      <c r="U40" s="20"/>
      <c r="V40" s="78"/>
    </row>
    <row r="41" spans="17:22" x14ac:dyDescent="0.2">
      <c r="Q41" s="16"/>
      <c r="R41" s="1"/>
      <c r="U41" s="20"/>
      <c r="V41" s="78"/>
    </row>
    <row r="42" spans="17:22" x14ac:dyDescent="0.2">
      <c r="Q42" s="16"/>
      <c r="R42" s="1"/>
      <c r="U42" s="20"/>
      <c r="V42" s="78"/>
    </row>
    <row r="43" spans="17:22" x14ac:dyDescent="0.2">
      <c r="Q43" s="16"/>
      <c r="R43" s="1"/>
      <c r="U43" s="20"/>
      <c r="V43" s="78"/>
    </row>
    <row r="44" spans="17:22" x14ac:dyDescent="0.2">
      <c r="Q44" s="16"/>
      <c r="R44" s="1"/>
      <c r="U44" s="20"/>
      <c r="V44" s="78"/>
    </row>
    <row r="45" spans="17:22" x14ac:dyDescent="0.2">
      <c r="Q45" s="16"/>
      <c r="R45" s="1"/>
      <c r="U45" s="20"/>
      <c r="V45" s="78"/>
    </row>
    <row r="46" spans="17:22" x14ac:dyDescent="0.2">
      <c r="Q46" s="16"/>
      <c r="R46" s="1"/>
      <c r="U46" s="20"/>
      <c r="V46" s="78"/>
    </row>
    <row r="47" spans="17:22" x14ac:dyDescent="0.2">
      <c r="Q47" s="16"/>
      <c r="R47" s="1"/>
      <c r="U47" s="20"/>
      <c r="V47" s="78"/>
    </row>
    <row r="48" spans="17:22" x14ac:dyDescent="0.2">
      <c r="Q48" s="16"/>
      <c r="R48" s="1"/>
      <c r="U48" s="20"/>
      <c r="V48" s="78"/>
    </row>
    <row r="49" spans="17:22" x14ac:dyDescent="0.2">
      <c r="Q49" s="16"/>
      <c r="R49" s="1"/>
      <c r="U49" s="20"/>
      <c r="V49" s="78"/>
    </row>
    <row r="50" spans="17:22" x14ac:dyDescent="0.2">
      <c r="Q50" s="16"/>
      <c r="R50" s="1"/>
      <c r="U50" s="20"/>
      <c r="V50" s="78"/>
    </row>
    <row r="51" spans="17:22" x14ac:dyDescent="0.2">
      <c r="Q51" s="16"/>
      <c r="R51" s="1"/>
      <c r="U51" s="20"/>
      <c r="V51" s="78"/>
    </row>
    <row r="52" spans="17:22" x14ac:dyDescent="0.2">
      <c r="Q52" s="16"/>
      <c r="U52" s="20"/>
      <c r="V52" s="78"/>
    </row>
    <row r="53" spans="17:22" x14ac:dyDescent="0.2">
      <c r="Q53" s="16"/>
      <c r="U53" s="20"/>
      <c r="V53" s="78"/>
    </row>
    <row r="54" spans="17:22" x14ac:dyDescent="0.2">
      <c r="Q54" s="16"/>
      <c r="U54" s="20"/>
      <c r="V54" s="78"/>
    </row>
    <row r="55" spans="17:22" x14ac:dyDescent="0.2">
      <c r="Q55" s="16"/>
      <c r="U55" s="20"/>
      <c r="V55" s="78"/>
    </row>
    <row r="56" spans="17:22" x14ac:dyDescent="0.2">
      <c r="Q56" s="16"/>
      <c r="U56" s="20"/>
      <c r="V56" s="78"/>
    </row>
    <row r="57" spans="17:22" x14ac:dyDescent="0.2">
      <c r="Q57" s="16"/>
      <c r="U57" s="20"/>
      <c r="V57" s="78"/>
    </row>
    <row r="58" spans="17:22" x14ac:dyDescent="0.2">
      <c r="Q58" s="16"/>
      <c r="U58" s="20"/>
      <c r="V58" s="78"/>
    </row>
    <row r="59" spans="17:22" x14ac:dyDescent="0.2">
      <c r="Q59" s="16"/>
      <c r="U59" s="20"/>
      <c r="V59" s="78"/>
    </row>
    <row r="60" spans="17:22" x14ac:dyDescent="0.2">
      <c r="Q60" s="16"/>
      <c r="U60" s="20"/>
      <c r="V60" s="78"/>
    </row>
    <row r="61" spans="17:22" x14ac:dyDescent="0.2">
      <c r="Q61" s="16"/>
      <c r="U61" s="20"/>
      <c r="V61" s="78"/>
    </row>
    <row r="62" spans="17:22" x14ac:dyDescent="0.2">
      <c r="Q62" s="16"/>
      <c r="U62" s="20"/>
      <c r="V62" s="78"/>
    </row>
    <row r="63" spans="17:22" x14ac:dyDescent="0.2">
      <c r="U63" s="20"/>
      <c r="V63" s="78"/>
    </row>
    <row r="64" spans="17:22" x14ac:dyDescent="0.2">
      <c r="U64" s="20"/>
      <c r="V64" s="7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DEC3-B272-4CE5-9101-C72DCBE3D15D}">
  <sheetPr>
    <tabColor rgb="FF002060"/>
  </sheetPr>
  <dimension ref="A1:S20"/>
  <sheetViews>
    <sheetView showGridLines="0" zoomScaleNormal="100" zoomScaleSheetLayoutView="100" workbookViewId="0">
      <selection activeCell="O8" sqref="O8"/>
    </sheetView>
  </sheetViews>
  <sheetFormatPr baseColWidth="10" defaultColWidth="11.5" defaultRowHeight="14" x14ac:dyDescent="0.2"/>
  <cols>
    <col min="1" max="1" width="2" style="102" bestFit="1" customWidth="1"/>
    <col min="2" max="2" width="20.6640625" style="102" bestFit="1" customWidth="1"/>
    <col min="3" max="3" width="6.5" style="102" bestFit="1" customWidth="1"/>
    <col min="4" max="4" width="10.5" style="102" bestFit="1" customWidth="1"/>
    <col min="5" max="5" width="5.5" style="102" bestFit="1" customWidth="1"/>
    <col min="6" max="6" width="5.33203125" style="102" bestFit="1" customWidth="1"/>
    <col min="7" max="7" width="7.6640625" style="102" bestFit="1" customWidth="1"/>
    <col min="8" max="8" width="3.83203125" style="102" customWidth="1"/>
    <col min="9" max="9" width="6.5" style="102" bestFit="1" customWidth="1"/>
    <col min="10" max="10" width="6.83203125" style="102" bestFit="1" customWidth="1"/>
    <col min="11" max="11" width="5.33203125" style="102" customWidth="1"/>
    <col min="12" max="12" width="5.33203125" style="102" bestFit="1" customWidth="1"/>
    <col min="13" max="13" width="7.6640625" style="102" bestFit="1" customWidth="1"/>
    <col min="14" max="14" width="3.83203125" style="102" customWidth="1"/>
    <col min="15" max="15" width="5.1640625" style="102" bestFit="1" customWidth="1"/>
    <col min="16" max="16" width="7.5" style="102" bestFit="1" customWidth="1"/>
    <col min="17" max="17" width="5" style="102" bestFit="1" customWidth="1"/>
    <col min="18" max="18" width="6.33203125" style="102" bestFit="1" customWidth="1"/>
    <col min="19" max="19" width="7.6640625" style="102" bestFit="1" customWidth="1"/>
    <col min="20" max="16384" width="11.5" style="102"/>
  </cols>
  <sheetData>
    <row r="1" spans="1:19" x14ac:dyDescent="0.2">
      <c r="B1" s="102" t="s">
        <v>291</v>
      </c>
      <c r="C1" s="102">
        <v>12</v>
      </c>
    </row>
    <row r="2" spans="1:19" x14ac:dyDescent="0.2">
      <c r="B2" s="102" t="s">
        <v>292</v>
      </c>
      <c r="C2" s="102">
        <v>12</v>
      </c>
    </row>
    <row r="4" spans="1:19" x14ac:dyDescent="0.2">
      <c r="B4" s="127">
        <v>2024</v>
      </c>
      <c r="C4" s="127"/>
      <c r="D4" s="127"/>
      <c r="E4" s="127"/>
      <c r="F4" s="127"/>
      <c r="G4" s="127"/>
      <c r="I4" s="127" t="s">
        <v>308</v>
      </c>
      <c r="J4" s="127"/>
      <c r="K4" s="127"/>
      <c r="L4" s="127"/>
      <c r="M4" s="127"/>
      <c r="O4" s="127" t="s">
        <v>164</v>
      </c>
      <c r="P4" s="127"/>
      <c r="Q4" s="127"/>
      <c r="R4" s="127"/>
      <c r="S4" s="127"/>
    </row>
    <row r="5" spans="1:19" x14ac:dyDescent="0.2">
      <c r="A5" s="102" t="s">
        <v>296</v>
      </c>
      <c r="B5" s="102" t="s">
        <v>34</v>
      </c>
      <c r="C5" s="102" t="s">
        <v>288</v>
      </c>
      <c r="D5" s="102" t="s">
        <v>289</v>
      </c>
      <c r="E5" s="102" t="s">
        <v>53</v>
      </c>
      <c r="F5" s="102" t="s">
        <v>279</v>
      </c>
      <c r="G5" s="102" t="s">
        <v>290</v>
      </c>
      <c r="I5" s="102" t="s">
        <v>288</v>
      </c>
      <c r="J5" s="102" t="s">
        <v>289</v>
      </c>
      <c r="K5" s="102" t="s">
        <v>53</v>
      </c>
      <c r="L5" s="102" t="s">
        <v>279</v>
      </c>
      <c r="M5" s="102" t="s">
        <v>290</v>
      </c>
      <c r="O5" s="102" t="s">
        <v>288</v>
      </c>
      <c r="P5" s="102" t="s">
        <v>289</v>
      </c>
      <c r="Q5" s="102" t="s">
        <v>53</v>
      </c>
      <c r="R5" s="102" t="s">
        <v>279</v>
      </c>
      <c r="S5" s="102" t="s">
        <v>290</v>
      </c>
    </row>
    <row r="6" spans="1:19" x14ac:dyDescent="0.2">
      <c r="A6" s="102">
        <v>1</v>
      </c>
      <c r="B6" s="102" t="s">
        <v>285</v>
      </c>
      <c r="C6" s="103">
        <v>10</v>
      </c>
      <c r="D6" s="106">
        <f>8900/1000</f>
        <v>8.9</v>
      </c>
      <c r="E6" s="103">
        <f>+D6-C6</f>
        <v>-1.0999999999999996</v>
      </c>
      <c r="F6" s="104">
        <f>+E6/C6</f>
        <v>-0.10999999999999996</v>
      </c>
      <c r="G6" s="105">
        <f>+D6/C6</f>
        <v>0.89</v>
      </c>
      <c r="I6" s="103">
        <f>+(C6/12)*$C$1</f>
        <v>10</v>
      </c>
      <c r="J6" s="106">
        <f t="shared" ref="J6:J12" si="0">D6</f>
        <v>8.9</v>
      </c>
      <c r="K6" s="103">
        <f>+J6-I6</f>
        <v>-1.0999999999999996</v>
      </c>
      <c r="L6" s="104">
        <f>+K6/I6</f>
        <v>-0.10999999999999996</v>
      </c>
      <c r="M6" s="105">
        <f>+J6/I6</f>
        <v>0.89</v>
      </c>
      <c r="O6" s="107">
        <f>+(C6/$C$1)*1000</f>
        <v>833.33333333333337</v>
      </c>
      <c r="P6" s="108">
        <v>1359</v>
      </c>
      <c r="Q6" s="107">
        <f>+P6-O6</f>
        <v>525.66666666666663</v>
      </c>
      <c r="R6" s="104">
        <f>+Q6/O6</f>
        <v>0.63079999999999992</v>
      </c>
      <c r="S6" s="105">
        <f>+P6/O6</f>
        <v>1.6308</v>
      </c>
    </row>
    <row r="7" spans="1:19" x14ac:dyDescent="0.2">
      <c r="A7" s="102">
        <v>2</v>
      </c>
      <c r="B7" s="117" t="s">
        <v>319</v>
      </c>
      <c r="C7" s="103">
        <v>1.95</v>
      </c>
      <c r="D7" s="106">
        <f>2867/1000</f>
        <v>2.867</v>
      </c>
      <c r="E7" s="103">
        <f>+D7-C7</f>
        <v>0.91700000000000004</v>
      </c>
      <c r="F7" s="104">
        <f>+E7/C7</f>
        <v>0.4702564102564103</v>
      </c>
      <c r="G7" s="105">
        <f>+D7/C7</f>
        <v>1.4702564102564102</v>
      </c>
      <c r="I7" s="103">
        <f>+(C7/12)*$C$1</f>
        <v>1.9500000000000002</v>
      </c>
      <c r="J7" s="106">
        <f t="shared" si="0"/>
        <v>2.867</v>
      </c>
      <c r="K7" s="103">
        <f>+J7-I7</f>
        <v>0.91699999999999982</v>
      </c>
      <c r="L7" s="104">
        <f>+K7/I7</f>
        <v>0.47025641025641013</v>
      </c>
      <c r="M7" s="105">
        <f>+J7/I7</f>
        <v>1.4702564102564102</v>
      </c>
      <c r="O7" s="107">
        <f t="shared" ref="O7:O11" si="1">+(C7/$C$1)*1000</f>
        <v>162.5</v>
      </c>
      <c r="P7" s="108">
        <v>1359</v>
      </c>
      <c r="Q7" s="107">
        <f>+P7-O7</f>
        <v>1196.5</v>
      </c>
      <c r="R7" s="104">
        <f>+Q7/O7</f>
        <v>7.3630769230769229</v>
      </c>
      <c r="S7" s="105">
        <f>+P7/O7</f>
        <v>8.3630769230769229</v>
      </c>
    </row>
    <row r="8" spans="1:19" x14ac:dyDescent="0.2">
      <c r="A8" s="102">
        <v>3</v>
      </c>
      <c r="B8" s="102" t="s">
        <v>55</v>
      </c>
      <c r="C8" s="103">
        <v>10</v>
      </c>
      <c r="D8" s="106">
        <v>8.2959999999999994</v>
      </c>
      <c r="E8" s="103">
        <f t="shared" ref="E8:E12" si="2">+D8-C8</f>
        <v>-1.7040000000000006</v>
      </c>
      <c r="F8" s="104">
        <f t="shared" ref="F8:F12" si="3">+E8/C8</f>
        <v>-0.17040000000000005</v>
      </c>
      <c r="G8" s="105">
        <f t="shared" ref="G8:G12" si="4">+D8/C8</f>
        <v>0.82959999999999989</v>
      </c>
      <c r="I8" s="103">
        <f t="shared" ref="I8:I11" si="5">+(C8/12)*$C$1</f>
        <v>10</v>
      </c>
      <c r="J8" s="106">
        <f t="shared" si="0"/>
        <v>8.2959999999999994</v>
      </c>
      <c r="K8" s="103">
        <f t="shared" ref="K8:K12" si="6">+J8-I8</f>
        <v>-1.7040000000000006</v>
      </c>
      <c r="L8" s="104">
        <f t="shared" ref="L8:L12" si="7">+K8/I8</f>
        <v>-0.17040000000000005</v>
      </c>
      <c r="M8" s="105">
        <f t="shared" ref="M8:M12" si="8">+J8/I8</f>
        <v>0.82959999999999989</v>
      </c>
      <c r="O8" s="107">
        <f t="shared" si="1"/>
        <v>833.33333333333337</v>
      </c>
      <c r="P8" s="108">
        <v>515</v>
      </c>
      <c r="Q8" s="107">
        <f t="shared" ref="Q8:Q12" si="9">+P8-O8</f>
        <v>-318.33333333333337</v>
      </c>
      <c r="R8" s="104">
        <f t="shared" ref="R8:R12" si="10">+Q8/O8</f>
        <v>-0.38200000000000001</v>
      </c>
      <c r="S8" s="105">
        <f t="shared" ref="S8:S12" si="11">+P8/O8</f>
        <v>0.61799999999999999</v>
      </c>
    </row>
    <row r="9" spans="1:19" x14ac:dyDescent="0.2">
      <c r="A9" s="102">
        <v>4</v>
      </c>
      <c r="B9" s="102" t="s">
        <v>286</v>
      </c>
      <c r="C9" s="103">
        <v>10</v>
      </c>
      <c r="D9" s="106">
        <f>+'Ingresos para PPT_Dic'!O4/1000</f>
        <v>8.2748481713337405</v>
      </c>
      <c r="E9" s="103">
        <f t="shared" si="2"/>
        <v>-1.7251518286662595</v>
      </c>
      <c r="F9" s="104">
        <f t="shared" si="3"/>
        <v>-0.17251518286662595</v>
      </c>
      <c r="G9" s="105">
        <f t="shared" si="4"/>
        <v>0.82748481713337407</v>
      </c>
      <c r="I9" s="103">
        <f t="shared" si="5"/>
        <v>10</v>
      </c>
      <c r="J9" s="106">
        <f t="shared" si="0"/>
        <v>8.2748481713337405</v>
      </c>
      <c r="K9" s="103">
        <f t="shared" si="6"/>
        <v>-1.7251518286662595</v>
      </c>
      <c r="L9" s="104">
        <f t="shared" si="7"/>
        <v>-0.17251518286662595</v>
      </c>
      <c r="M9" s="105">
        <f t="shared" si="8"/>
        <v>0.82748481713337407</v>
      </c>
      <c r="O9" s="107">
        <f t="shared" si="1"/>
        <v>833.33333333333337</v>
      </c>
      <c r="P9" s="108">
        <f>+'Ingresos para PPT_Dic'!N4</f>
        <v>475.262</v>
      </c>
      <c r="Q9" s="107">
        <f t="shared" si="9"/>
        <v>-358.07133333333337</v>
      </c>
      <c r="R9" s="104">
        <f t="shared" si="10"/>
        <v>-0.4296856</v>
      </c>
      <c r="S9" s="105">
        <f t="shared" si="11"/>
        <v>0.5703144</v>
      </c>
    </row>
    <row r="10" spans="1:19" x14ac:dyDescent="0.2">
      <c r="A10" s="102">
        <v>5</v>
      </c>
      <c r="B10" s="102" t="s">
        <v>287</v>
      </c>
      <c r="C10" s="103">
        <v>5.3</v>
      </c>
      <c r="D10" s="106">
        <f>+'Gasto total_Análisis'!P56/1000</f>
        <v>5.9678430403861338</v>
      </c>
      <c r="E10" s="103">
        <f t="shared" si="2"/>
        <v>0.66784304038613396</v>
      </c>
      <c r="F10" s="104">
        <f t="shared" si="3"/>
        <v>0.12600812082757246</v>
      </c>
      <c r="G10" s="105">
        <f t="shared" si="4"/>
        <v>1.1260081208275725</v>
      </c>
      <c r="I10" s="103">
        <f t="shared" si="5"/>
        <v>5.3</v>
      </c>
      <c r="J10" s="106">
        <f t="shared" si="0"/>
        <v>5.9678430403861338</v>
      </c>
      <c r="K10" s="103">
        <f t="shared" si="6"/>
        <v>0.66784304038613396</v>
      </c>
      <c r="L10" s="104">
        <f t="shared" si="7"/>
        <v>0.12600812082757246</v>
      </c>
      <c r="M10" s="105">
        <f t="shared" si="8"/>
        <v>1.1260081208275725</v>
      </c>
      <c r="O10" s="107">
        <f t="shared" si="1"/>
        <v>441.66666666666663</v>
      </c>
      <c r="P10" s="108">
        <f>+'Gasto total_Análisis'!O56</f>
        <v>681.06638060457908</v>
      </c>
      <c r="Q10" s="107">
        <f t="shared" si="9"/>
        <v>239.39971393791245</v>
      </c>
      <c r="R10" s="104">
        <f t="shared" si="10"/>
        <v>0.54203708816131124</v>
      </c>
      <c r="S10" s="105">
        <f t="shared" si="11"/>
        <v>1.5420370881613112</v>
      </c>
    </row>
    <row r="11" spans="1:19" x14ac:dyDescent="0.2">
      <c r="A11" s="102">
        <v>6</v>
      </c>
      <c r="B11" s="102" t="s">
        <v>317</v>
      </c>
      <c r="C11" s="103">
        <v>4.7</v>
      </c>
      <c r="D11" s="106">
        <f>+D8-D10</f>
        <v>2.3281569596138656</v>
      </c>
      <c r="E11" s="103">
        <f t="shared" si="2"/>
        <v>-2.3718430403861346</v>
      </c>
      <c r="F11" s="104">
        <f t="shared" si="3"/>
        <v>-0.50464745540130518</v>
      </c>
      <c r="G11" s="105">
        <f t="shared" si="4"/>
        <v>0.49535254459869477</v>
      </c>
      <c r="I11" s="103">
        <f t="shared" si="5"/>
        <v>4.7</v>
      </c>
      <c r="J11" s="106">
        <f t="shared" si="0"/>
        <v>2.3281569596138656</v>
      </c>
      <c r="K11" s="103">
        <f t="shared" si="6"/>
        <v>-2.3718430403861346</v>
      </c>
      <c r="L11" s="104">
        <f t="shared" si="7"/>
        <v>-0.50464745540130518</v>
      </c>
      <c r="M11" s="105">
        <f t="shared" si="8"/>
        <v>0.49535254459869477</v>
      </c>
      <c r="O11" s="107">
        <f t="shared" si="1"/>
        <v>391.66666666666669</v>
      </c>
      <c r="P11" s="108">
        <f>+P9-P10</f>
        <v>-205.80438060457908</v>
      </c>
      <c r="Q11" s="107">
        <f t="shared" si="9"/>
        <v>-597.47104727124577</v>
      </c>
      <c r="R11" s="104">
        <f t="shared" si="10"/>
        <v>-1.5254579930329679</v>
      </c>
      <c r="S11" s="105">
        <f t="shared" si="11"/>
        <v>-0.52545799303296781</v>
      </c>
    </row>
    <row r="12" spans="1:19" x14ac:dyDescent="0.2">
      <c r="A12" s="102">
        <v>7</v>
      </c>
      <c r="B12" s="102" t="s">
        <v>318</v>
      </c>
      <c r="C12" s="104">
        <v>0.47</v>
      </c>
      <c r="D12" s="110">
        <f>+D11/D8</f>
        <v>0.28063608481362895</v>
      </c>
      <c r="E12" s="104">
        <f t="shared" si="2"/>
        <v>-0.18936391518637102</v>
      </c>
      <c r="F12" s="104">
        <f t="shared" si="3"/>
        <v>-0.40290194720504474</v>
      </c>
      <c r="G12" s="105">
        <f t="shared" si="4"/>
        <v>0.5970980527949552</v>
      </c>
      <c r="I12" s="109">
        <f>+I11/I8</f>
        <v>0.47000000000000003</v>
      </c>
      <c r="J12" s="110">
        <f t="shared" si="0"/>
        <v>0.28063608481362895</v>
      </c>
      <c r="K12" s="104">
        <f t="shared" si="6"/>
        <v>-0.18936391518637108</v>
      </c>
      <c r="L12" s="104">
        <f t="shared" si="7"/>
        <v>-0.4029019472050448</v>
      </c>
      <c r="M12" s="105">
        <f t="shared" si="8"/>
        <v>0.5970980527949552</v>
      </c>
      <c r="O12" s="109">
        <f>+O11/O8</f>
        <v>0.47000000000000003</v>
      </c>
      <c r="P12" s="110">
        <f>+P11/P8</f>
        <v>-0.39962015651374577</v>
      </c>
      <c r="Q12" s="104">
        <f t="shared" si="9"/>
        <v>-0.8696201565137458</v>
      </c>
      <c r="R12" s="104">
        <f t="shared" si="10"/>
        <v>-1.8502556521569058</v>
      </c>
      <c r="S12" s="105">
        <f t="shared" si="11"/>
        <v>-0.85025565215690579</v>
      </c>
    </row>
    <row r="15" spans="1:19" x14ac:dyDescent="0.2">
      <c r="C15" s="103"/>
    </row>
    <row r="16" spans="1:19" x14ac:dyDescent="0.2">
      <c r="C16" s="103"/>
    </row>
    <row r="17" spans="3:3" x14ac:dyDescent="0.2">
      <c r="C17" s="103"/>
    </row>
    <row r="18" spans="3:3" x14ac:dyDescent="0.2">
      <c r="C18" s="103"/>
    </row>
    <row r="19" spans="3:3" x14ac:dyDescent="0.2">
      <c r="C19" s="103"/>
    </row>
    <row r="20" spans="3:3" x14ac:dyDescent="0.2">
      <c r="C20" s="105"/>
    </row>
  </sheetData>
  <mergeCells count="3">
    <mergeCell ref="B4:G4"/>
    <mergeCell ref="I4:M4"/>
    <mergeCell ref="O4:S4"/>
  </mergeCells>
  <conditionalFormatting sqref="G6:G9 G11:G12">
    <cfRule type="cellIs" dxfId="371" priority="8" operator="greaterThan">
      <formula>0.85</formula>
    </cfRule>
  </conditionalFormatting>
  <conditionalFormatting sqref="G10">
    <cfRule type="cellIs" dxfId="370" priority="3" operator="greaterThan">
      <formula>1.1</formula>
    </cfRule>
  </conditionalFormatting>
  <conditionalFormatting sqref="M6:M9 M11:M12">
    <cfRule type="cellIs" dxfId="369" priority="7" operator="greaterThan">
      <formula>0.85</formula>
    </cfRule>
  </conditionalFormatting>
  <conditionalFormatting sqref="M10">
    <cfRule type="cellIs" dxfId="368" priority="2" operator="greaterThan">
      <formula>1.1</formula>
    </cfRule>
  </conditionalFormatting>
  <conditionalFormatting sqref="S6:S9 S11:S12">
    <cfRule type="cellIs" dxfId="367" priority="6" operator="greaterThan">
      <formula>0.85</formula>
    </cfRule>
  </conditionalFormatting>
  <conditionalFormatting sqref="S10">
    <cfRule type="cellIs" dxfId="366" priority="1" operator="greaterThan">
      <formula>1.1</formula>
    </cfRule>
  </conditionalFormatting>
  <pageMargins left="0.7" right="0.7" top="0.75" bottom="0.75" header="0.3" footer="0.3"/>
  <pageSetup scale="64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e1408-2888-4c35-8838-6acad26c5d63" xsi:nil="true"/>
    <lcf76f155ced4ddcb4097134ff3c332f xmlns="0aaa94c6-a08a-4f31-80d4-9ed0227976f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B92ACAE07D34EBD9C6E2622D0FB90" ma:contentTypeVersion="12" ma:contentTypeDescription="Create a new document." ma:contentTypeScope="" ma:versionID="c950a43c1f95eefe2e2be81415aeb425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b1d4267c8975f89ddc389e4bb83490ee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9945DD-FBD4-4F19-9057-3B5AF8E67755}">
  <ds:schemaRefs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379e1408-2888-4c35-8838-6acad26c5d63"/>
    <ds:schemaRef ds:uri="0aaa94c6-a08a-4f31-80d4-9ed0227976f0"/>
  </ds:schemaRefs>
</ds:datastoreItem>
</file>

<file path=customXml/itemProps2.xml><?xml version="1.0" encoding="utf-8"?>
<ds:datastoreItem xmlns:ds="http://schemas.openxmlformats.org/officeDocument/2006/customXml" ds:itemID="{F563AA97-5607-4483-82E4-4A679D327F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080F83-44EE-4DEE-BB6E-33F3FFB6A8A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98B7F61-030D-4E81-AA94-AD9A9BD42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a94c6-a08a-4f31-80d4-9ed0227976f0"/>
    <ds:schemaRef ds:uri="379e1408-2888-4c35-8838-6acad26c5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</vt:i4>
      </vt:variant>
    </vt:vector>
  </HeadingPairs>
  <TitlesOfParts>
    <vt:vector size="24" baseType="lpstr">
      <vt:lpstr>Gasto Diciembre (4)</vt:lpstr>
      <vt:lpstr>Gasto total_Análisis (2)</vt:lpstr>
      <vt:lpstr>Ingresos para PPT_Dic</vt:lpstr>
      <vt:lpstr>Gasto Noviembre_Pruebas</vt:lpstr>
      <vt:lpstr>Hoja3</vt:lpstr>
      <vt:lpstr>Gasto Diciembre (3)</vt:lpstr>
      <vt:lpstr>Gasto Diciembre</vt:lpstr>
      <vt:lpstr>Hoja2</vt:lpstr>
      <vt:lpstr>Gasto Diciembre (2)</vt:lpstr>
      <vt:lpstr>Gasto Noviembre</vt:lpstr>
      <vt:lpstr>Gasto Octubre</vt:lpstr>
      <vt:lpstr>Gasto Octubre (2)</vt:lpstr>
      <vt:lpstr>Gasto total_Análisis</vt:lpstr>
      <vt:lpstr>Análisis gastos oct</vt:lpstr>
      <vt:lpstr>Sueldos Septiembre</vt:lpstr>
      <vt:lpstr>Ingresos para PPT_Oct</vt:lpstr>
      <vt:lpstr>Ingresos para PPT_Sept</vt:lpstr>
      <vt:lpstr>Analisis de Ingresos</vt:lpstr>
      <vt:lpstr>Gasto Septiembre</vt:lpstr>
      <vt:lpstr>Beneficio</vt:lpstr>
      <vt:lpstr>Gasto Septiembre (2)</vt:lpstr>
      <vt:lpstr>Resumen KPI</vt:lpstr>
      <vt:lpstr>'Analisis de Ingresos'!Área_de_impresión</vt:lpstr>
      <vt:lpstr>'Resumen KPI'!Área_de_impresión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Cuevas</dc:creator>
  <cp:lastModifiedBy>Daniel Cuero</cp:lastModifiedBy>
  <dcterms:created xsi:type="dcterms:W3CDTF">2024-08-09T18:39:17Z</dcterms:created>
  <dcterms:modified xsi:type="dcterms:W3CDTF">2026-07-06T05:33:05Z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0x0101000E5B92ACAE07D34EBD9C6E2622D0FB90</vt:lpwstr>
  </property>
  <property fmtid="{D5CDD505-2E9C-101B-9397-08002B2CF9AE}" pid="3" name="MediaServiceImageTags">
    <vt:lpwstr/>
  </property>
</Properties>
</file>