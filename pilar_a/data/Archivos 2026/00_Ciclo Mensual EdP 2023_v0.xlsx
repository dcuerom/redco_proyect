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dacm/udd/redco_proyect/pilar_a/data/Archivos 2026/"/>
    </mc:Choice>
  </mc:AlternateContent>
  <xr:revisionPtr revIDLastSave="0" documentId="13_ncr:1_{6C82139F-6491-1146-A251-39C69950F97D}" xr6:coauthVersionLast="47" xr6:coauthVersionMax="47" xr10:uidLastSave="{00000000-0000-0000-0000-000000000000}"/>
  <bookViews>
    <workbookView xWindow="3600" yWindow="-19820" windowWidth="16820" windowHeight="17420" xr2:uid="{8DB51E4E-236D-4D09-858E-EDFEB3985756}"/>
  </bookViews>
  <sheets>
    <sheet name="CicloEdP_2023_v1" sheetId="13" r:id="rId1"/>
    <sheet name="Ingresos" sheetId="28" r:id="rId2"/>
    <sheet name="Facturación" sheetId="29" r:id="rId3"/>
    <sheet name="EDP" sheetId="30" r:id="rId4"/>
    <sheet name="Base" sheetId="6" state="hidden" r:id="rId5"/>
    <sheet name="Reporte_ER" sheetId="31" state="hidden" r:id="rId6"/>
    <sheet name="EDP por facturar" sheetId="33" r:id="rId7"/>
    <sheet name="Facturas por cobrar" sheetId="43" r:id="rId8"/>
    <sheet name="EDP Pendientes - Ejecutivo" sheetId="45" r:id="rId9"/>
  </sheets>
  <externalReferences>
    <externalReference r:id="rId10"/>
  </externalReferences>
  <definedNames>
    <definedName name="_xlnm.Print_Area" localSheetId="0">CicloEdP_2023_v1!$A$1:$V$58</definedName>
    <definedName name="_xlnm.Print_Area" localSheetId="8">'EDP Pendientes - Ejecutivo'!$A$1:$Q$63</definedName>
    <definedName name="SegmentaciónDeDatos_País">#N/A</definedName>
  </definedNames>
  <calcPr calcId="191029"/>
  <pivotCaches>
    <pivotCache cacheId="10" r:id="rId11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2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02" i="13" l="1"/>
  <c r="V702" i="13"/>
  <c r="V704" i="13"/>
  <c r="K70" i="45" l="1"/>
  <c r="F70" i="45"/>
  <c r="K69" i="45"/>
  <c r="F69" i="45"/>
  <c r="K68" i="45"/>
  <c r="J68" i="45"/>
  <c r="F68" i="45"/>
  <c r="F67" i="45"/>
  <c r="E6" i="45"/>
  <c r="L61" i="45"/>
  <c r="K61" i="45"/>
  <c r="J61" i="45"/>
  <c r="I61" i="45"/>
  <c r="K67" i="45" s="1"/>
  <c r="M60" i="45"/>
  <c r="N71" i="45" s="1"/>
  <c r="H60" i="45"/>
  <c r="H61" i="45" s="1"/>
  <c r="L59" i="45"/>
  <c r="J70" i="45" s="1"/>
  <c r="K59" i="45"/>
  <c r="J69" i="45" s="1"/>
  <c r="J59" i="45"/>
  <c r="I59" i="45"/>
  <c r="J67" i="45" s="1"/>
  <c r="M58" i="45"/>
  <c r="H58" i="45"/>
  <c r="H59" i="45" s="1"/>
  <c r="M57" i="45"/>
  <c r="N76" i="45" s="1"/>
  <c r="H57" i="45"/>
  <c r="L56" i="45"/>
  <c r="I70" i="45" s="1"/>
  <c r="K56" i="45"/>
  <c r="I69" i="45" s="1"/>
  <c r="J56" i="45"/>
  <c r="I68" i="45" s="1"/>
  <c r="I56" i="45"/>
  <c r="I67" i="45" s="1"/>
  <c r="M55" i="45"/>
  <c r="H55" i="45"/>
  <c r="H56" i="45" s="1"/>
  <c r="L54" i="45"/>
  <c r="H70" i="45" s="1"/>
  <c r="K54" i="45"/>
  <c r="H69" i="45" s="1"/>
  <c r="J54" i="45"/>
  <c r="H68" i="45" s="1"/>
  <c r="I54" i="45"/>
  <c r="H67" i="45" s="1"/>
  <c r="M53" i="45"/>
  <c r="H53" i="45"/>
  <c r="M52" i="45"/>
  <c r="H52" i="45"/>
  <c r="M51" i="45"/>
  <c r="N69" i="45" s="1"/>
  <c r="H51" i="45"/>
  <c r="M50" i="45"/>
  <c r="N73" i="45" s="1"/>
  <c r="H50" i="45"/>
  <c r="M49" i="45"/>
  <c r="N75" i="45" s="1"/>
  <c r="H49" i="45"/>
  <c r="M48" i="45"/>
  <c r="H48" i="45"/>
  <c r="M47" i="45"/>
  <c r="H47" i="45"/>
  <c r="M46" i="45"/>
  <c r="H46" i="45"/>
  <c r="L45" i="45"/>
  <c r="K45" i="45"/>
  <c r="J45" i="45"/>
  <c r="J62" i="45" s="1"/>
  <c r="I45" i="45"/>
  <c r="I62" i="45" s="1"/>
  <c r="M44" i="45"/>
  <c r="N67" i="45" s="1"/>
  <c r="H44" i="45"/>
  <c r="M43" i="45"/>
  <c r="H43" i="45"/>
  <c r="M42" i="45"/>
  <c r="H42" i="45"/>
  <c r="M41" i="45"/>
  <c r="N74" i="45" s="1"/>
  <c r="H41" i="45"/>
  <c r="M40" i="45"/>
  <c r="N68" i="45" s="1"/>
  <c r="H40" i="45"/>
  <c r="M39" i="45"/>
  <c r="M45" i="45" s="1"/>
  <c r="H39" i="45"/>
  <c r="C38" i="13"/>
  <c r="H38" i="13"/>
  <c r="K38" i="13"/>
  <c r="Q38" i="13"/>
  <c r="S38" i="13"/>
  <c r="C64" i="13"/>
  <c r="H64" i="13"/>
  <c r="K64" i="13"/>
  <c r="Q64" i="13"/>
  <c r="S64" i="13"/>
  <c r="C82" i="13"/>
  <c r="H82" i="13"/>
  <c r="K82" i="13"/>
  <c r="Q82" i="13"/>
  <c r="S82" i="13"/>
  <c r="C17" i="13"/>
  <c r="H17" i="13"/>
  <c r="K17" i="13"/>
  <c r="Q17" i="13"/>
  <c r="S17" i="13"/>
  <c r="M54" i="45" l="1"/>
  <c r="D68" i="45" s="1"/>
  <c r="L62" i="45"/>
  <c r="H45" i="45"/>
  <c r="G70" i="45"/>
  <c r="H54" i="45"/>
  <c r="K62" i="45"/>
  <c r="N6" i="45" s="1" a="1"/>
  <c r="N6" i="45" s="1"/>
  <c r="N41" i="45"/>
  <c r="N40" i="45"/>
  <c r="D67" i="45"/>
  <c r="H62" i="45"/>
  <c r="I6" i="45" s="1"/>
  <c r="N53" i="45"/>
  <c r="N43" i="45"/>
  <c r="G67" i="45"/>
  <c r="G69" i="45"/>
  <c r="M56" i="45"/>
  <c r="G68" i="45"/>
  <c r="M61" i="45"/>
  <c r="N70" i="45"/>
  <c r="M59" i="45"/>
  <c r="N58" i="45" s="1"/>
  <c r="N72" i="45"/>
  <c r="N42" i="45"/>
  <c r="N39" i="45"/>
  <c r="N49" i="45"/>
  <c r="N44" i="45"/>
  <c r="N48" i="45" l="1"/>
  <c r="N46" i="45"/>
  <c r="N47" i="45"/>
  <c r="N50" i="45"/>
  <c r="N52" i="45"/>
  <c r="N51" i="45"/>
  <c r="M62" i="45"/>
  <c r="O59" i="45" s="1"/>
  <c r="D69" i="45"/>
  <c r="N57" i="45"/>
  <c r="N60" i="45"/>
  <c r="N61" i="45"/>
  <c r="D70" i="45"/>
  <c r="N55" i="45"/>
  <c r="D71" i="45"/>
  <c r="C96" i="13"/>
  <c r="H96" i="13"/>
  <c r="K96" i="13"/>
  <c r="Q96" i="13"/>
  <c r="S96" i="13"/>
  <c r="N59" i="45" l="1"/>
  <c r="O61" i="45"/>
  <c r="O56" i="45"/>
  <c r="O44" i="45"/>
  <c r="O58" i="45"/>
  <c r="C6" i="45"/>
  <c r="K6" i="45" s="1"/>
  <c r="O40" i="45"/>
  <c r="O49" i="45"/>
  <c r="O62" i="45"/>
  <c r="O50" i="45"/>
  <c r="N62" i="45"/>
  <c r="O53" i="45"/>
  <c r="O46" i="45"/>
  <c r="N56" i="45"/>
  <c r="O55" i="45"/>
  <c r="O52" i="45"/>
  <c r="O48" i="45"/>
  <c r="O43" i="45"/>
  <c r="O54" i="45"/>
  <c r="N45" i="45"/>
  <c r="O60" i="45"/>
  <c r="O39" i="45"/>
  <c r="O41" i="45"/>
  <c r="O47" i="45"/>
  <c r="O45" i="45"/>
  <c r="O42" i="45"/>
  <c r="O57" i="45"/>
  <c r="N54" i="45"/>
  <c r="O51" i="45"/>
  <c r="H101" i="13"/>
  <c r="K101" i="13"/>
  <c r="Q101" i="13"/>
  <c r="S101" i="13"/>
  <c r="C95" i="13"/>
  <c r="H95" i="13"/>
  <c r="K95" i="13"/>
  <c r="Q95" i="13"/>
  <c r="S95" i="13"/>
  <c r="C148" i="13"/>
  <c r="H148" i="13"/>
  <c r="K148" i="13"/>
  <c r="Q148" i="13"/>
  <c r="S148" i="13"/>
  <c r="C98" i="13"/>
  <c r="H98" i="13"/>
  <c r="K98" i="13"/>
  <c r="Q98" i="13"/>
  <c r="S98" i="13"/>
  <c r="C100" i="13"/>
  <c r="H100" i="13"/>
  <c r="K100" i="13"/>
  <c r="Q100" i="13"/>
  <c r="S100" i="13"/>
  <c r="C97" i="13"/>
  <c r="H97" i="13"/>
  <c r="K97" i="13"/>
  <c r="Q97" i="13"/>
  <c r="S97" i="13"/>
  <c r="H688" i="13" l="1"/>
  <c r="K688" i="13"/>
  <c r="Q688" i="13"/>
  <c r="S688" i="13"/>
  <c r="H252" i="13"/>
  <c r="K252" i="13"/>
  <c r="Q252" i="13"/>
  <c r="S252" i="13"/>
  <c r="H231" i="13"/>
  <c r="K231" i="13"/>
  <c r="Q231" i="13"/>
  <c r="S231" i="13"/>
  <c r="H232" i="13"/>
  <c r="K232" i="13"/>
  <c r="Q232" i="13"/>
  <c r="S232" i="13"/>
  <c r="H230" i="13"/>
  <c r="K230" i="13"/>
  <c r="Q230" i="13"/>
  <c r="S230" i="13"/>
  <c r="H239" i="13"/>
  <c r="K239" i="13"/>
  <c r="Q239" i="13"/>
  <c r="S239" i="13"/>
  <c r="H264" i="13" l="1"/>
  <c r="K264" i="13"/>
  <c r="Q264" i="13"/>
  <c r="S264" i="13"/>
  <c r="U458" i="13" l="1"/>
  <c r="U459" i="13"/>
  <c r="N7" i="45" l="1"/>
  <c r="N419" i="13" l="1"/>
  <c r="S325" i="13" l="1"/>
  <c r="Q325" i="13"/>
  <c r="S326" i="13"/>
  <c r="Q326" i="13"/>
  <c r="S324" i="13"/>
  <c r="Q324" i="13"/>
  <c r="S316" i="13"/>
  <c r="Q316" i="13"/>
  <c r="H301" i="13"/>
  <c r="K301" i="13"/>
  <c r="Q301" i="13"/>
  <c r="S301" i="13"/>
  <c r="H302" i="13"/>
  <c r="H300" i="13"/>
  <c r="H325" i="13"/>
  <c r="K302" i="13"/>
  <c r="K300" i="13"/>
  <c r="K325" i="13"/>
  <c r="Q302" i="13"/>
  <c r="Q300" i="13"/>
  <c r="S302" i="13"/>
  <c r="S300" i="13"/>
  <c r="H297" i="13"/>
  <c r="H37" i="13"/>
  <c r="H298" i="13"/>
  <c r="H312" i="13"/>
  <c r="K297" i="13"/>
  <c r="K37" i="13"/>
  <c r="K298" i="13"/>
  <c r="K312" i="13"/>
  <c r="Q297" i="13"/>
  <c r="Q37" i="13"/>
  <c r="Q298" i="13"/>
  <c r="Q312" i="13"/>
  <c r="S297" i="13"/>
  <c r="S37" i="13"/>
  <c r="S298" i="13"/>
  <c r="S312" i="13"/>
  <c r="H315" i="13"/>
  <c r="H270" i="13"/>
  <c r="H314" i="13"/>
  <c r="H326" i="13"/>
  <c r="K315" i="13"/>
  <c r="K270" i="13"/>
  <c r="K314" i="13"/>
  <c r="K326" i="13"/>
  <c r="Q315" i="13"/>
  <c r="Q270" i="13"/>
  <c r="Q314" i="13"/>
  <c r="S315" i="13"/>
  <c r="S270" i="13"/>
  <c r="S314" i="13"/>
  <c r="H266" i="13"/>
  <c r="H316" i="13"/>
  <c r="H324" i="13"/>
  <c r="K266" i="13"/>
  <c r="K316" i="13"/>
  <c r="K324" i="13"/>
  <c r="Q266" i="13"/>
  <c r="S266" i="13"/>
  <c r="H304" i="13"/>
  <c r="H267" i="13"/>
  <c r="H269" i="13"/>
  <c r="H303" i="13"/>
  <c r="H299" i="13"/>
  <c r="K304" i="13"/>
  <c r="K267" i="13"/>
  <c r="K269" i="13"/>
  <c r="K303" i="13"/>
  <c r="K299" i="13"/>
  <c r="Q304" i="13"/>
  <c r="Q267" i="13"/>
  <c r="Q269" i="13"/>
  <c r="Q303" i="13"/>
  <c r="Q299" i="13"/>
  <c r="S304" i="13"/>
  <c r="S267" i="13"/>
  <c r="S269" i="13"/>
  <c r="S303" i="13"/>
  <c r="S299" i="13"/>
  <c r="H268" i="13"/>
  <c r="H265" i="13"/>
  <c r="K268" i="13"/>
  <c r="K265" i="13"/>
  <c r="Q268" i="13"/>
  <c r="Q265" i="13"/>
  <c r="S268" i="13"/>
  <c r="S265" i="13"/>
  <c r="H313" i="13"/>
  <c r="K313" i="13"/>
  <c r="Q313" i="13"/>
  <c r="S313" i="13"/>
  <c r="U620" i="13" l="1"/>
  <c r="H354" i="13" l="1"/>
  <c r="K354" i="13"/>
  <c r="Q354" i="13"/>
  <c r="S354" i="13"/>
  <c r="H327" i="13"/>
  <c r="K327" i="13"/>
  <c r="Q327" i="13"/>
  <c r="S327" i="13"/>
  <c r="U251" i="13" l="1"/>
  <c r="U250" i="13"/>
  <c r="U249" i="13"/>
  <c r="U637" i="13" l="1"/>
  <c r="H351" i="13" l="1"/>
  <c r="H352" i="13"/>
  <c r="H355" i="13"/>
  <c r="K351" i="13"/>
  <c r="K352" i="13"/>
  <c r="K355" i="13"/>
  <c r="Q351" i="13"/>
  <c r="Q352" i="13"/>
  <c r="Q355" i="13"/>
  <c r="S351" i="13"/>
  <c r="S352" i="13"/>
  <c r="S355" i="13"/>
  <c r="H339" i="13"/>
  <c r="H350" i="13"/>
  <c r="H471" i="13"/>
  <c r="K339" i="13"/>
  <c r="K350" i="13"/>
  <c r="K471" i="13"/>
  <c r="Q339" i="13"/>
  <c r="Q350" i="13"/>
  <c r="Q471" i="13"/>
  <c r="S339" i="13"/>
  <c r="S350" i="13"/>
  <c r="S471" i="13"/>
  <c r="H346" i="13"/>
  <c r="K346" i="13"/>
  <c r="Q346" i="13"/>
  <c r="S346" i="13"/>
  <c r="H347" i="13"/>
  <c r="H349" i="13"/>
  <c r="H353" i="13"/>
  <c r="K347" i="13"/>
  <c r="K349" i="13"/>
  <c r="K353" i="13"/>
  <c r="Q347" i="13"/>
  <c r="Q349" i="13"/>
  <c r="Q353" i="13"/>
  <c r="S347" i="13"/>
  <c r="S349" i="13"/>
  <c r="S353" i="13"/>
  <c r="H459" i="13"/>
  <c r="H348" i="13"/>
  <c r="H338" i="13"/>
  <c r="H458" i="13"/>
  <c r="K459" i="13"/>
  <c r="K348" i="13"/>
  <c r="K338" i="13"/>
  <c r="K458" i="13"/>
  <c r="Q459" i="13"/>
  <c r="Q348" i="13"/>
  <c r="Q338" i="13"/>
  <c r="Q458" i="13"/>
  <c r="S459" i="13"/>
  <c r="S348" i="13"/>
  <c r="S338" i="13"/>
  <c r="S458" i="13"/>
  <c r="H492" i="13" l="1"/>
  <c r="K492" i="13"/>
  <c r="Q492" i="13"/>
  <c r="S492" i="13"/>
  <c r="H476" i="13"/>
  <c r="K476" i="13"/>
  <c r="Q476" i="13"/>
  <c r="S476" i="13"/>
  <c r="U661" i="13" l="1"/>
  <c r="U36" i="13"/>
  <c r="R637" i="13" l="1"/>
  <c r="N637" i="13"/>
  <c r="H531" i="13" l="1"/>
  <c r="K531" i="13"/>
  <c r="Q531" i="13"/>
  <c r="S531" i="13"/>
  <c r="H620" i="13" l="1"/>
  <c r="K620" i="13"/>
  <c r="Q620" i="13"/>
  <c r="S620" i="13"/>
  <c r="H621" i="13"/>
  <c r="K621" i="13"/>
  <c r="Q621" i="13"/>
  <c r="S621" i="13"/>
  <c r="H622" i="13"/>
  <c r="K622" i="13"/>
  <c r="Q622" i="13"/>
  <c r="S622" i="13"/>
  <c r="H529" i="13"/>
  <c r="K529" i="13"/>
  <c r="Q529" i="13"/>
  <c r="S529" i="13"/>
  <c r="H619" i="13"/>
  <c r="K619" i="13"/>
  <c r="Q619" i="13"/>
  <c r="S619" i="13"/>
  <c r="H487" i="13"/>
  <c r="K487" i="13"/>
  <c r="Q487" i="13"/>
  <c r="S487" i="13"/>
  <c r="H501" i="13"/>
  <c r="K501" i="13"/>
  <c r="Q501" i="13"/>
  <c r="S501" i="13"/>
  <c r="H490" i="13"/>
  <c r="K490" i="13"/>
  <c r="Q490" i="13"/>
  <c r="S490" i="13"/>
  <c r="H530" i="13"/>
  <c r="K530" i="13"/>
  <c r="Q530" i="13"/>
  <c r="S530" i="13"/>
  <c r="H491" i="13"/>
  <c r="K491" i="13"/>
  <c r="Q491" i="13"/>
  <c r="S491" i="13"/>
  <c r="H502" i="13"/>
  <c r="K502" i="13"/>
  <c r="Q502" i="13"/>
  <c r="S502" i="13"/>
  <c r="H486" i="13"/>
  <c r="K486" i="13"/>
  <c r="Q486" i="13"/>
  <c r="S486" i="13"/>
  <c r="H417" i="13"/>
  <c r="H418" i="13"/>
  <c r="H419" i="13"/>
  <c r="H357" i="13"/>
  <c r="K417" i="13"/>
  <c r="K418" i="13"/>
  <c r="K419" i="13"/>
  <c r="K357" i="13"/>
  <c r="Q417" i="13"/>
  <c r="Q418" i="13"/>
  <c r="Q419" i="13"/>
  <c r="Q357" i="13"/>
  <c r="S417" i="13"/>
  <c r="S418" i="13"/>
  <c r="S419" i="13"/>
  <c r="S357" i="13"/>
  <c r="H634" i="13" l="1"/>
  <c r="K634" i="13"/>
  <c r="Q634" i="13"/>
  <c r="S634" i="13"/>
  <c r="H263" i="13" l="1"/>
  <c r="K263" i="13"/>
  <c r="Q263" i="13"/>
  <c r="S263" i="13"/>
  <c r="H143" i="13"/>
  <c r="K143" i="13"/>
  <c r="Q143" i="13"/>
  <c r="S143" i="13"/>
  <c r="H144" i="13"/>
  <c r="K144" i="13"/>
  <c r="Q144" i="13"/>
  <c r="S144" i="13"/>
  <c r="R670" i="13" l="1"/>
  <c r="H636" i="13"/>
  <c r="K636" i="13"/>
  <c r="Q636" i="13"/>
  <c r="S636" i="13"/>
  <c r="H635" i="13"/>
  <c r="K635" i="13"/>
  <c r="Q635" i="13"/>
  <c r="S635" i="13"/>
  <c r="H669" i="13" l="1"/>
  <c r="K669" i="13"/>
  <c r="Q669" i="13"/>
  <c r="S669" i="13"/>
  <c r="H662" i="13"/>
  <c r="K662" i="13"/>
  <c r="Q662" i="13"/>
  <c r="S662" i="13"/>
  <c r="H637" i="13"/>
  <c r="K637" i="13"/>
  <c r="Q637" i="13"/>
  <c r="S637" i="13"/>
  <c r="H661" i="13"/>
  <c r="K661" i="13"/>
  <c r="Q661" i="13"/>
  <c r="S661" i="13"/>
  <c r="H671" i="13" l="1"/>
  <c r="K671" i="13"/>
  <c r="Q671" i="13"/>
  <c r="S671" i="13"/>
  <c r="H670" i="13" l="1"/>
  <c r="K670" i="13"/>
  <c r="Q670" i="13"/>
  <c r="S670" i="13"/>
  <c r="H676" i="13"/>
  <c r="K676" i="13"/>
  <c r="Q676" i="13"/>
  <c r="S676" i="13"/>
  <c r="H677" i="13"/>
  <c r="K677" i="13"/>
  <c r="Q677" i="13"/>
  <c r="S677" i="13"/>
  <c r="E15" i="31" l="1"/>
  <c r="F15" i="31"/>
  <c r="G15" i="31"/>
  <c r="H15" i="31"/>
  <c r="I15" i="31"/>
  <c r="J15" i="31"/>
  <c r="R251" i="13" l="1"/>
  <c r="R250" i="13"/>
  <c r="R249" i="13"/>
  <c r="H560" i="13" l="1"/>
  <c r="K560" i="13"/>
  <c r="Q560" i="13"/>
  <c r="S560" i="13"/>
  <c r="H262" i="13"/>
  <c r="K262" i="13"/>
  <c r="Q262" i="13"/>
  <c r="S262" i="13"/>
  <c r="H36" i="13"/>
  <c r="K36" i="13"/>
  <c r="Q36" i="13"/>
  <c r="S36" i="13"/>
  <c r="H675" i="13" l="1"/>
  <c r="K675" i="13"/>
  <c r="Q675" i="13"/>
  <c r="S675" i="13"/>
  <c r="H489" i="13"/>
  <c r="K489" i="13"/>
  <c r="Q489" i="13"/>
  <c r="S489" i="13"/>
  <c r="H63" i="13"/>
  <c r="K63" i="13"/>
  <c r="Q63" i="13"/>
  <c r="S63" i="13"/>
  <c r="H633" i="13"/>
  <c r="K633" i="13"/>
  <c r="Q633" i="13"/>
  <c r="S633" i="13"/>
  <c r="H278" i="13"/>
  <c r="K278" i="13"/>
  <c r="Q278" i="13"/>
  <c r="S278" i="13"/>
  <c r="H277" i="13"/>
  <c r="K277" i="13"/>
  <c r="Q277" i="13"/>
  <c r="S277" i="13"/>
  <c r="U141" i="13"/>
  <c r="H94" i="13" l="1"/>
  <c r="K94" i="13"/>
  <c r="Q94" i="13"/>
  <c r="S94" i="13"/>
  <c r="H323" i="13"/>
  <c r="K323" i="13"/>
  <c r="Q323" i="13"/>
  <c r="S323" i="13"/>
  <c r="H311" i="13"/>
  <c r="K311" i="13"/>
  <c r="Q311" i="13"/>
  <c r="S311" i="13"/>
  <c r="H386" i="13"/>
  <c r="K386" i="13"/>
  <c r="Q386" i="13"/>
  <c r="S386" i="13"/>
  <c r="H344" i="13"/>
  <c r="K344" i="13"/>
  <c r="Q344" i="13"/>
  <c r="S344" i="13"/>
  <c r="R93" i="13" l="1"/>
  <c r="Q93" i="13" s="1"/>
  <c r="H93" i="13"/>
  <c r="K93" i="13"/>
  <c r="S93" i="13"/>
  <c r="H488" i="13"/>
  <c r="K488" i="13"/>
  <c r="Q488" i="13"/>
  <c r="S488" i="13"/>
  <c r="H71" i="13"/>
  <c r="K71" i="13"/>
  <c r="Q71" i="13"/>
  <c r="S71" i="13"/>
  <c r="H425" i="13"/>
  <c r="K425" i="13"/>
  <c r="Q425" i="13"/>
  <c r="S425" i="13"/>
  <c r="H251" i="13"/>
  <c r="K251" i="13"/>
  <c r="Q251" i="13"/>
  <c r="S251" i="13"/>
  <c r="H559" i="13"/>
  <c r="K559" i="13"/>
  <c r="Q559" i="13"/>
  <c r="S559" i="13"/>
  <c r="H261" i="13"/>
  <c r="K261" i="13"/>
  <c r="Q261" i="13"/>
  <c r="S261" i="13"/>
  <c r="H674" i="13"/>
  <c r="K674" i="13"/>
  <c r="Q674" i="13"/>
  <c r="S674" i="13"/>
  <c r="H57" i="13"/>
  <c r="K57" i="13"/>
  <c r="Q57" i="13"/>
  <c r="S57" i="13"/>
  <c r="H35" i="13"/>
  <c r="K35" i="13"/>
  <c r="Q35" i="13"/>
  <c r="S35" i="13"/>
  <c r="H632" i="13"/>
  <c r="K632" i="13"/>
  <c r="Q632" i="13"/>
  <c r="S632" i="13"/>
  <c r="H631" i="13"/>
  <c r="K631" i="13"/>
  <c r="Q631" i="13"/>
  <c r="S631" i="13"/>
  <c r="H385" i="13"/>
  <c r="K385" i="13"/>
  <c r="Q385" i="13"/>
  <c r="S385" i="13"/>
  <c r="H701" i="13" l="1"/>
  <c r="K701" i="13"/>
  <c r="Q701" i="13"/>
  <c r="S701" i="13"/>
  <c r="H343" i="13" l="1"/>
  <c r="K343" i="13"/>
  <c r="Q343" i="13"/>
  <c r="S343" i="13"/>
  <c r="H681" i="13"/>
  <c r="K681" i="13"/>
  <c r="Q681" i="13"/>
  <c r="S681" i="13"/>
  <c r="H310" i="13"/>
  <c r="K310" i="13"/>
  <c r="Q310" i="13"/>
  <c r="S310" i="13"/>
  <c r="H322" i="13" l="1"/>
  <c r="K322" i="13"/>
  <c r="Q322" i="13"/>
  <c r="S322" i="13"/>
  <c r="H147" i="13"/>
  <c r="K147" i="13"/>
  <c r="Q147" i="13"/>
  <c r="S147" i="13"/>
  <c r="H700" i="13"/>
  <c r="K700" i="13"/>
  <c r="Q700" i="13"/>
  <c r="S700" i="13"/>
  <c r="H219" i="13" l="1"/>
  <c r="K219" i="13"/>
  <c r="Q219" i="13"/>
  <c r="S219" i="13"/>
  <c r="U178" i="13" l="1"/>
  <c r="H611" i="13" l="1"/>
  <c r="K611" i="13"/>
  <c r="Q611" i="13"/>
  <c r="S611" i="13"/>
  <c r="H56" i="13" l="1"/>
  <c r="K56" i="13"/>
  <c r="Q56" i="13"/>
  <c r="S56" i="13"/>
  <c r="H81" i="13"/>
  <c r="K81" i="13"/>
  <c r="Q81" i="13"/>
  <c r="S81" i="13"/>
  <c r="H70" i="13"/>
  <c r="K70" i="13"/>
  <c r="Q70" i="13"/>
  <c r="S70" i="13"/>
  <c r="H260" i="13"/>
  <c r="K260" i="13"/>
  <c r="Q260" i="13"/>
  <c r="S260" i="13"/>
  <c r="H142" i="13"/>
  <c r="K142" i="13"/>
  <c r="Q142" i="13"/>
  <c r="S142" i="13"/>
  <c r="H337" i="13" l="1"/>
  <c r="K337" i="13"/>
  <c r="Q337" i="13"/>
  <c r="S337" i="13"/>
  <c r="H250" i="13"/>
  <c r="K250" i="13"/>
  <c r="Q250" i="13"/>
  <c r="S250" i="13"/>
  <c r="H567" i="13"/>
  <c r="K567" i="13"/>
  <c r="Q567" i="13"/>
  <c r="S567" i="13"/>
  <c r="H558" i="13"/>
  <c r="K558" i="13"/>
  <c r="Q558" i="13"/>
  <c r="S558" i="13"/>
  <c r="H698" i="13"/>
  <c r="K698" i="13"/>
  <c r="Q698" i="13"/>
  <c r="S698" i="13"/>
  <c r="H673" i="13"/>
  <c r="K673" i="13"/>
  <c r="Q673" i="13"/>
  <c r="S673" i="13"/>
  <c r="H34" i="13"/>
  <c r="K34" i="13"/>
  <c r="Q34" i="13"/>
  <c r="S34" i="13"/>
  <c r="H424" i="13"/>
  <c r="K424" i="13"/>
  <c r="Q424" i="13"/>
  <c r="S424" i="13"/>
  <c r="H483" i="13"/>
  <c r="K483" i="13"/>
  <c r="Q483" i="13"/>
  <c r="S483" i="13"/>
  <c r="H384" i="13"/>
  <c r="K384" i="13"/>
  <c r="Q384" i="13"/>
  <c r="S384" i="13"/>
  <c r="H309" i="13"/>
  <c r="K309" i="13"/>
  <c r="Q309" i="13"/>
  <c r="S309" i="13"/>
  <c r="H410" i="13"/>
  <c r="K410" i="13"/>
  <c r="Q410" i="13"/>
  <c r="S410" i="13"/>
  <c r="H556" i="13"/>
  <c r="K556" i="13"/>
  <c r="Q556" i="13"/>
  <c r="S556" i="13"/>
  <c r="H92" i="13"/>
  <c r="K92" i="13"/>
  <c r="Q92" i="13"/>
  <c r="S92" i="13"/>
  <c r="H146" i="13" l="1"/>
  <c r="K146" i="13"/>
  <c r="Q146" i="13"/>
  <c r="S146" i="13"/>
  <c r="H321" i="13"/>
  <c r="K321" i="13"/>
  <c r="Q321" i="13"/>
  <c r="S321" i="13"/>
  <c r="H33" i="13" l="1"/>
  <c r="K33" i="13"/>
  <c r="Q33" i="13"/>
  <c r="S33" i="13"/>
  <c r="H178" i="13"/>
  <c r="K178" i="13"/>
  <c r="Q178" i="13"/>
  <c r="S178" i="13"/>
  <c r="H423" i="13"/>
  <c r="K423" i="13"/>
  <c r="Q423" i="13"/>
  <c r="S423" i="13"/>
  <c r="M5" i="31" l="1"/>
  <c r="M4" i="31" l="1"/>
  <c r="M6" i="31" s="1"/>
  <c r="D15" i="31"/>
  <c r="H249" i="13" l="1"/>
  <c r="K249" i="13"/>
  <c r="Q249" i="13"/>
  <c r="S249" i="13"/>
  <c r="H69" i="13"/>
  <c r="K69" i="13"/>
  <c r="Q69" i="13"/>
  <c r="S69" i="13"/>
  <c r="H623" i="13"/>
  <c r="K623" i="13"/>
  <c r="Q623" i="13"/>
  <c r="S623" i="13"/>
  <c r="H141" i="13"/>
  <c r="K141" i="13"/>
  <c r="Q141" i="13"/>
  <c r="S141" i="13"/>
  <c r="H30" i="13"/>
  <c r="K30" i="13"/>
  <c r="Q30" i="13"/>
  <c r="S30" i="13"/>
  <c r="H687" i="13"/>
  <c r="K687" i="13"/>
  <c r="Q687" i="13"/>
  <c r="S687" i="13"/>
  <c r="R145" i="13" l="1"/>
  <c r="R308" i="13"/>
  <c r="R680" i="13"/>
  <c r="R409" i="13"/>
  <c r="H80" i="13" l="1"/>
  <c r="K80" i="13"/>
  <c r="Q80" i="13"/>
  <c r="S80" i="13"/>
  <c r="H308" i="13"/>
  <c r="K308" i="13"/>
  <c r="Q308" i="13"/>
  <c r="S308" i="13"/>
  <c r="H145" i="13"/>
  <c r="K145" i="13"/>
  <c r="Q145" i="13"/>
  <c r="S145" i="13"/>
  <c r="H409" i="13"/>
  <c r="K409" i="13"/>
  <c r="Q409" i="13"/>
  <c r="S409" i="13"/>
  <c r="H680" i="13"/>
  <c r="K680" i="13"/>
  <c r="Q680" i="13"/>
  <c r="S680" i="13"/>
  <c r="H482" i="13"/>
  <c r="K482" i="13"/>
  <c r="Q482" i="13"/>
  <c r="S482" i="13"/>
  <c r="H113" i="13"/>
  <c r="K113" i="13"/>
  <c r="Q113" i="13"/>
  <c r="S113" i="13"/>
  <c r="H91" i="13"/>
  <c r="K91" i="13"/>
  <c r="Q91" i="13"/>
  <c r="S91" i="13"/>
  <c r="Q320" i="13" l="1"/>
  <c r="H320" i="13"/>
  <c r="K320" i="13"/>
  <c r="S320" i="13"/>
  <c r="H555" i="13"/>
  <c r="K555" i="13"/>
  <c r="Q555" i="13"/>
  <c r="S555" i="13"/>
  <c r="H686" i="13" l="1"/>
  <c r="K686" i="13"/>
  <c r="Q686" i="13"/>
  <c r="S686" i="13"/>
  <c r="H467" i="13" l="1"/>
  <c r="K467" i="13"/>
  <c r="Q467" i="13"/>
  <c r="S467" i="13"/>
  <c r="H2" i="13" l="1"/>
  <c r="K2" i="13"/>
  <c r="Q2" i="13"/>
  <c r="S2" i="13"/>
  <c r="H610" i="13" l="1"/>
  <c r="K610" i="13"/>
  <c r="Q610" i="13"/>
  <c r="S610" i="13"/>
  <c r="H697" i="13"/>
  <c r="K697" i="13"/>
  <c r="Q697" i="13"/>
  <c r="S697" i="13"/>
  <c r="H32" i="13"/>
  <c r="K32" i="13"/>
  <c r="Q32" i="13"/>
  <c r="S32" i="13"/>
  <c r="H422" i="13"/>
  <c r="K422" i="13"/>
  <c r="Q422" i="13"/>
  <c r="S422" i="13"/>
  <c r="H140" i="13"/>
  <c r="K140" i="13"/>
  <c r="Q140" i="13"/>
  <c r="S140" i="13"/>
  <c r="H408" i="13"/>
  <c r="K408" i="13"/>
  <c r="Q408" i="13"/>
  <c r="S408" i="13"/>
  <c r="H679" i="13"/>
  <c r="K679" i="13"/>
  <c r="Q679" i="13"/>
  <c r="S679" i="13"/>
  <c r="H123" i="13"/>
  <c r="K123" i="13"/>
  <c r="Q123" i="13"/>
  <c r="S123" i="13"/>
  <c r="H528" i="13"/>
  <c r="K528" i="13"/>
  <c r="Q528" i="13"/>
  <c r="S528" i="13"/>
  <c r="H554" i="13"/>
  <c r="K554" i="13"/>
  <c r="Q554" i="13"/>
  <c r="S554" i="13"/>
  <c r="H481" i="13"/>
  <c r="K481" i="13"/>
  <c r="Q481" i="13"/>
  <c r="S481" i="13"/>
  <c r="H383" i="13"/>
  <c r="K383" i="13"/>
  <c r="Q383" i="13"/>
  <c r="S383" i="13"/>
  <c r="H112" i="13"/>
  <c r="K112" i="13"/>
  <c r="Q112" i="13"/>
  <c r="S112" i="13"/>
  <c r="H90" i="13"/>
  <c r="K90" i="13"/>
  <c r="Q90" i="13"/>
  <c r="S90" i="13"/>
  <c r="H79" i="13"/>
  <c r="K79" i="13"/>
  <c r="Q79" i="13"/>
  <c r="S79" i="13"/>
  <c r="H319" i="13" l="1"/>
  <c r="K319" i="13"/>
  <c r="Q319" i="13"/>
  <c r="S319" i="13"/>
  <c r="H407" i="13"/>
  <c r="K407" i="13"/>
  <c r="Q407" i="13"/>
  <c r="S407" i="13"/>
  <c r="H577" i="13" l="1"/>
  <c r="K577" i="13"/>
  <c r="Q577" i="13"/>
  <c r="S577" i="13"/>
  <c r="H484" i="13" l="1"/>
  <c r="K484" i="13"/>
  <c r="Q484" i="13"/>
  <c r="S484" i="13"/>
  <c r="H31" i="13"/>
  <c r="K31" i="13"/>
  <c r="Q31" i="13"/>
  <c r="S31" i="13"/>
  <c r="H421" i="13"/>
  <c r="K421" i="13"/>
  <c r="Q421" i="13"/>
  <c r="S421" i="13"/>
  <c r="H685" i="13"/>
  <c r="K685" i="13"/>
  <c r="Q685" i="13"/>
  <c r="S685" i="13"/>
  <c r="H122" i="13"/>
  <c r="K122" i="13"/>
  <c r="Q122" i="13"/>
  <c r="S122" i="13"/>
  <c r="H609" i="13"/>
  <c r="K609" i="13"/>
  <c r="Q609" i="13"/>
  <c r="S609" i="13"/>
  <c r="H553" i="13"/>
  <c r="K553" i="13"/>
  <c r="Q553" i="13"/>
  <c r="S553" i="13"/>
  <c r="H208" i="13"/>
  <c r="K208" i="13"/>
  <c r="Q208" i="13"/>
  <c r="S208" i="13"/>
  <c r="H111" i="13"/>
  <c r="K111" i="13"/>
  <c r="Q111" i="13"/>
  <c r="S111" i="13"/>
  <c r="H89" i="13"/>
  <c r="K89" i="13"/>
  <c r="Q89" i="13"/>
  <c r="S89" i="13"/>
  <c r="H78" i="13"/>
  <c r="K78" i="13"/>
  <c r="Q78" i="13"/>
  <c r="S78" i="13"/>
  <c r="H406" i="13" l="1"/>
  <c r="K406" i="13"/>
  <c r="Q406" i="13"/>
  <c r="S406" i="13"/>
  <c r="H420" i="13"/>
  <c r="K420" i="13"/>
  <c r="Q420" i="13"/>
  <c r="S420" i="13"/>
  <c r="H334" i="13" l="1"/>
  <c r="K334" i="13"/>
  <c r="Q334" i="13"/>
  <c r="S334" i="13"/>
  <c r="H527" i="13" l="1"/>
  <c r="Q527" i="13"/>
  <c r="S527" i="13"/>
  <c r="H678" i="13"/>
  <c r="K678" i="13"/>
  <c r="Q678" i="13"/>
  <c r="S678" i="13"/>
  <c r="K527" i="13" l="1"/>
  <c r="H318" i="13" l="1"/>
  <c r="S318" i="13"/>
  <c r="Q318" i="13"/>
  <c r="K318" i="13"/>
  <c r="H576" i="13"/>
  <c r="K576" i="13"/>
  <c r="Q576" i="13"/>
  <c r="S576" i="13"/>
  <c r="H575" i="13"/>
  <c r="K575" i="13"/>
  <c r="Q575" i="13"/>
  <c r="S575" i="13"/>
  <c r="H177" i="13" l="1"/>
  <c r="K177" i="13"/>
  <c r="Q177" i="13"/>
  <c r="S177" i="13"/>
  <c r="H121" i="13"/>
  <c r="K121" i="13"/>
  <c r="Q121" i="13"/>
  <c r="S121" i="13"/>
  <c r="H526" i="13"/>
  <c r="K526" i="13"/>
  <c r="Q526" i="13"/>
  <c r="S526" i="13"/>
  <c r="H608" i="13"/>
  <c r="K608" i="13"/>
  <c r="Q608" i="13"/>
  <c r="S608" i="13"/>
  <c r="H552" i="13"/>
  <c r="K552" i="13"/>
  <c r="Q552" i="13"/>
  <c r="S552" i="13"/>
  <c r="H110" i="13"/>
  <c r="K110" i="13"/>
  <c r="Q110" i="13"/>
  <c r="S110" i="13"/>
  <c r="H88" i="13"/>
  <c r="K88" i="13"/>
  <c r="Q88" i="13"/>
  <c r="S88" i="13"/>
  <c r="H77" i="13"/>
  <c r="K77" i="13"/>
  <c r="Q77" i="13"/>
  <c r="S77" i="13"/>
  <c r="H684" i="13" l="1"/>
  <c r="K684" i="13"/>
  <c r="Q684" i="13"/>
  <c r="S684" i="13"/>
  <c r="H317" i="13"/>
  <c r="K317" i="13"/>
  <c r="Q317" i="13"/>
  <c r="S317" i="13"/>
  <c r="H215" i="13" l="1"/>
  <c r="K215" i="13"/>
  <c r="Q215" i="13"/>
  <c r="S215" i="13"/>
  <c r="H216" i="13"/>
  <c r="K216" i="13"/>
  <c r="Q216" i="13"/>
  <c r="S216" i="13"/>
  <c r="H356" i="13"/>
  <c r="K356" i="13"/>
  <c r="Q356" i="13"/>
  <c r="S356" i="13"/>
  <c r="H470" i="13"/>
  <c r="K470" i="13"/>
  <c r="Q470" i="13"/>
  <c r="S470" i="13"/>
  <c r="H642" i="13"/>
  <c r="K642" i="13"/>
  <c r="Q642" i="13"/>
  <c r="S642" i="13"/>
  <c r="H683" i="13"/>
  <c r="K683" i="13"/>
  <c r="Q683" i="13"/>
  <c r="S683" i="13"/>
  <c r="H120" i="13"/>
  <c r="K120" i="13"/>
  <c r="Q120" i="13"/>
  <c r="S120" i="13"/>
  <c r="H525" i="13"/>
  <c r="K525" i="13"/>
  <c r="Q525" i="13"/>
  <c r="S525" i="13"/>
  <c r="H695" i="13"/>
  <c r="K695" i="13"/>
  <c r="Q695" i="13"/>
  <c r="S695" i="13"/>
  <c r="H607" i="13"/>
  <c r="K607" i="13"/>
  <c r="Q607" i="13"/>
  <c r="S607" i="13"/>
  <c r="H551" i="13"/>
  <c r="K551" i="13"/>
  <c r="Q551" i="13"/>
  <c r="S551" i="13"/>
  <c r="H480" i="13"/>
  <c r="K480" i="13"/>
  <c r="Q480" i="13"/>
  <c r="S480" i="13"/>
  <c r="H444" i="13"/>
  <c r="K444" i="13"/>
  <c r="Q444" i="13"/>
  <c r="S444" i="13"/>
  <c r="H405" i="13"/>
  <c r="K405" i="13"/>
  <c r="Q405" i="13"/>
  <c r="S405" i="13"/>
  <c r="H404" i="13"/>
  <c r="K404" i="13"/>
  <c r="Q404" i="13"/>
  <c r="S404" i="13"/>
  <c r="H382" i="13"/>
  <c r="K382" i="13"/>
  <c r="Q382" i="13"/>
  <c r="S382" i="13"/>
  <c r="H109" i="13"/>
  <c r="K109" i="13"/>
  <c r="Q109" i="13"/>
  <c r="S109" i="13"/>
  <c r="H104" i="13"/>
  <c r="K104" i="13"/>
  <c r="Q104" i="13"/>
  <c r="S104" i="13"/>
  <c r="H87" i="13"/>
  <c r="K87" i="13"/>
  <c r="Q87" i="13"/>
  <c r="S87" i="13"/>
  <c r="H76" i="13" l="1"/>
  <c r="K76" i="13"/>
  <c r="Q76" i="13"/>
  <c r="S76" i="13"/>
  <c r="H119" i="13" l="1"/>
  <c r="K119" i="13"/>
  <c r="Q119" i="13"/>
  <c r="S119" i="13"/>
  <c r="H524" i="13"/>
  <c r="K524" i="13"/>
  <c r="Q524" i="13"/>
  <c r="S524" i="13"/>
  <c r="H606" i="13"/>
  <c r="K606" i="13"/>
  <c r="Q606" i="13"/>
  <c r="S606" i="13"/>
  <c r="H574" i="13"/>
  <c r="K574" i="13"/>
  <c r="Q574" i="13"/>
  <c r="S574" i="13"/>
  <c r="H550" i="13"/>
  <c r="K550" i="13"/>
  <c r="Q550" i="13"/>
  <c r="S550" i="13"/>
  <c r="H479" i="13"/>
  <c r="K479" i="13"/>
  <c r="Q479" i="13"/>
  <c r="S479" i="13"/>
  <c r="H403" i="13"/>
  <c r="K403" i="13"/>
  <c r="Q403" i="13"/>
  <c r="S403" i="13"/>
  <c r="H330" i="13"/>
  <c r="K330" i="13"/>
  <c r="Q330" i="13"/>
  <c r="S330" i="13"/>
  <c r="S108" i="13"/>
  <c r="Q108" i="13"/>
  <c r="K108" i="13"/>
  <c r="H108" i="13"/>
  <c r="S103" i="13"/>
  <c r="Q103" i="13"/>
  <c r="K103" i="13"/>
  <c r="H103" i="13"/>
  <c r="S86" i="13"/>
  <c r="Q86" i="13"/>
  <c r="K86" i="13"/>
  <c r="H86" i="13"/>
  <c r="S72" i="13"/>
  <c r="Q72" i="13"/>
  <c r="K72" i="13"/>
  <c r="H72" i="13"/>
  <c r="S68" i="13"/>
  <c r="Q68" i="13"/>
  <c r="K68" i="13"/>
  <c r="H68" i="13"/>
  <c r="S51" i="13"/>
  <c r="Q51" i="13"/>
  <c r="K51" i="13"/>
  <c r="H51" i="13"/>
  <c r="S694" i="13"/>
  <c r="Q694" i="13"/>
  <c r="K694" i="13"/>
  <c r="H694" i="13"/>
  <c r="H693" i="13"/>
  <c r="K693" i="13"/>
  <c r="Q693" i="13"/>
  <c r="S693" i="13"/>
  <c r="H75" i="13" l="1"/>
  <c r="K75" i="13"/>
  <c r="Q75" i="13"/>
  <c r="S75" i="13"/>
  <c r="H402" i="13" l="1"/>
  <c r="K402" i="13"/>
  <c r="Q402" i="13"/>
  <c r="S402" i="13"/>
  <c r="H400" i="13"/>
  <c r="K400" i="13"/>
  <c r="Q400" i="13"/>
  <c r="S400" i="13"/>
  <c r="H50" i="13"/>
  <c r="K50" i="13"/>
  <c r="Q50" i="13"/>
  <c r="S50" i="13"/>
  <c r="H329" i="13"/>
  <c r="K329" i="13"/>
  <c r="Q329" i="13"/>
  <c r="S329" i="13"/>
  <c r="U150" i="13" l="1"/>
  <c r="U149" i="13"/>
  <c r="U441" i="13"/>
  <c r="U440" i="13"/>
  <c r="H545" i="13" l="1"/>
  <c r="K545" i="13"/>
  <c r="Q545" i="13"/>
  <c r="S545" i="13"/>
  <c r="H380" i="13" l="1"/>
  <c r="K380" i="13"/>
  <c r="Q380" i="13"/>
  <c r="S380" i="13"/>
  <c r="H682" i="13" l="1"/>
  <c r="K682" i="13"/>
  <c r="Q682" i="13"/>
  <c r="S682" i="13"/>
  <c r="H67" i="13"/>
  <c r="K67" i="13"/>
  <c r="Q67" i="13"/>
  <c r="S67" i="13"/>
  <c r="H696" i="13" l="1"/>
  <c r="K696" i="13"/>
  <c r="Q696" i="13"/>
  <c r="S696" i="13"/>
  <c r="H641" i="13"/>
  <c r="K641" i="13"/>
  <c r="Q641" i="13"/>
  <c r="S641" i="13"/>
  <c r="H605" i="13"/>
  <c r="K605" i="13"/>
  <c r="Q605" i="13"/>
  <c r="S605" i="13"/>
  <c r="H573" i="13"/>
  <c r="K573" i="13"/>
  <c r="Q573" i="13"/>
  <c r="S573" i="13"/>
  <c r="H549" i="13"/>
  <c r="K549" i="13"/>
  <c r="Q549" i="13"/>
  <c r="S549" i="13"/>
  <c r="H381" i="13"/>
  <c r="K381" i="13"/>
  <c r="Q381" i="13"/>
  <c r="S381" i="13"/>
  <c r="H207" i="13"/>
  <c r="K207" i="13"/>
  <c r="Q207" i="13"/>
  <c r="S207" i="13"/>
  <c r="H199" i="13"/>
  <c r="K199" i="13"/>
  <c r="Q199" i="13"/>
  <c r="H198" i="13"/>
  <c r="K198" i="13"/>
  <c r="Q198" i="13"/>
  <c r="S198" i="13"/>
  <c r="H107" i="13"/>
  <c r="K107" i="13"/>
  <c r="Q107" i="13"/>
  <c r="S107" i="13"/>
  <c r="H85" i="13"/>
  <c r="K85" i="13"/>
  <c r="Q85" i="13"/>
  <c r="S85" i="13"/>
  <c r="H74" i="13"/>
  <c r="K74" i="13"/>
  <c r="Q74" i="13"/>
  <c r="S74" i="13"/>
  <c r="H66" i="13"/>
  <c r="K66" i="13"/>
  <c r="Q66" i="13"/>
  <c r="S66" i="13"/>
  <c r="H692" i="13" l="1"/>
  <c r="K692" i="13"/>
  <c r="Q692" i="13"/>
  <c r="S692" i="13"/>
  <c r="H640" i="13"/>
  <c r="K640" i="13"/>
  <c r="Q640" i="13"/>
  <c r="S640" i="13"/>
  <c r="H548" i="13"/>
  <c r="K548" i="13"/>
  <c r="Q548" i="13"/>
  <c r="S548" i="13"/>
  <c r="H535" i="13"/>
  <c r="K535" i="13"/>
  <c r="Q535" i="13"/>
  <c r="S535" i="13"/>
  <c r="H443" i="13"/>
  <c r="K443" i="13"/>
  <c r="Q443" i="13"/>
  <c r="S443" i="13"/>
  <c r="H401" i="13"/>
  <c r="K401" i="13"/>
  <c r="Q401" i="13"/>
  <c r="S401" i="13"/>
  <c r="H328" i="13"/>
  <c r="K328" i="13"/>
  <c r="Q328" i="13"/>
  <c r="S328" i="13"/>
  <c r="H229" i="13"/>
  <c r="K229" i="13"/>
  <c r="Q229" i="13"/>
  <c r="S229" i="13"/>
  <c r="H218" i="13"/>
  <c r="K218" i="13"/>
  <c r="Q218" i="13"/>
  <c r="S218" i="13"/>
  <c r="H200" i="13"/>
  <c r="K200" i="13"/>
  <c r="Q200" i="13"/>
  <c r="S200" i="13"/>
  <c r="H197" i="13"/>
  <c r="K197" i="13"/>
  <c r="Q197" i="13"/>
  <c r="S197" i="13"/>
  <c r="H139" i="13"/>
  <c r="K139" i="13"/>
  <c r="Q139" i="13"/>
  <c r="S139" i="13"/>
  <c r="H117" i="13" l="1"/>
  <c r="K117" i="13"/>
  <c r="Q117" i="13"/>
  <c r="S117" i="13"/>
  <c r="H106" i="13"/>
  <c r="K106" i="13"/>
  <c r="Q106" i="13"/>
  <c r="S106" i="13"/>
  <c r="H102" i="13"/>
  <c r="K102" i="13"/>
  <c r="Q102" i="13"/>
  <c r="S102" i="13"/>
  <c r="H84" i="13"/>
  <c r="K84" i="13"/>
  <c r="Q84" i="13"/>
  <c r="S84" i="13"/>
  <c r="H49" i="13"/>
  <c r="K49" i="13"/>
  <c r="Q49" i="13"/>
  <c r="S49" i="13"/>
  <c r="H134" i="13" l="1"/>
  <c r="K134" i="13"/>
  <c r="Q134" i="13"/>
  <c r="S134" i="13"/>
  <c r="H604" i="13" l="1"/>
  <c r="K604" i="13"/>
  <c r="Q604" i="13"/>
  <c r="S604" i="13"/>
  <c r="H73" i="13"/>
  <c r="K73" i="13"/>
  <c r="Q73" i="13"/>
  <c r="S73" i="13"/>
  <c r="H65" i="13"/>
  <c r="K65" i="13"/>
  <c r="Q65" i="13"/>
  <c r="S65" i="13"/>
  <c r="H691" i="13" l="1"/>
  <c r="K691" i="13"/>
  <c r="Q691" i="13"/>
  <c r="S691" i="13"/>
  <c r="H547" i="13"/>
  <c r="K547" i="13"/>
  <c r="Q547" i="13"/>
  <c r="S547" i="13"/>
  <c r="H534" i="13"/>
  <c r="K534" i="13"/>
  <c r="Q534" i="13"/>
  <c r="S534" i="13"/>
  <c r="H478" i="13"/>
  <c r="K478" i="13"/>
  <c r="Q478" i="13"/>
  <c r="S478" i="13"/>
  <c r="H450" i="13"/>
  <c r="K450" i="13"/>
  <c r="Q450" i="13"/>
  <c r="S450" i="13"/>
  <c r="H255" i="13"/>
  <c r="K255" i="13"/>
  <c r="Q255" i="13"/>
  <c r="S255" i="13"/>
  <c r="H245" i="13"/>
  <c r="K245" i="13"/>
  <c r="Q245" i="13"/>
  <c r="S245" i="13"/>
  <c r="H228" i="13"/>
  <c r="K228" i="13"/>
  <c r="Q228" i="13"/>
  <c r="S228" i="13"/>
  <c r="H217" i="13"/>
  <c r="K217" i="13"/>
  <c r="Q217" i="13"/>
  <c r="S217" i="13"/>
  <c r="H206" i="13"/>
  <c r="K206" i="13"/>
  <c r="Q206" i="13"/>
  <c r="S206" i="13"/>
  <c r="H196" i="13"/>
  <c r="K196" i="13"/>
  <c r="Q196" i="13"/>
  <c r="S196" i="13"/>
  <c r="H185" i="13"/>
  <c r="K185" i="13"/>
  <c r="Q185" i="13"/>
  <c r="S185" i="13"/>
  <c r="H138" i="13"/>
  <c r="K138" i="13"/>
  <c r="Q138" i="13"/>
  <c r="S138" i="13"/>
  <c r="H105" i="13"/>
  <c r="K105" i="13"/>
  <c r="Q105" i="13"/>
  <c r="S105" i="13"/>
  <c r="H83" i="13"/>
  <c r="K83" i="13"/>
  <c r="Q83" i="13"/>
  <c r="S83" i="13"/>
  <c r="H48" i="13"/>
  <c r="K48" i="13"/>
  <c r="Q48" i="13"/>
  <c r="S48" i="13"/>
  <c r="H639" i="13"/>
  <c r="K639" i="13"/>
  <c r="Q639" i="13"/>
  <c r="S639" i="13"/>
  <c r="H638" i="13" l="1"/>
  <c r="K638" i="13"/>
  <c r="Q638" i="13"/>
  <c r="S638" i="13"/>
  <c r="H603" i="13" l="1"/>
  <c r="K603" i="13"/>
  <c r="Q603" i="13"/>
  <c r="S603" i="13"/>
  <c r="H442" i="13"/>
  <c r="K442" i="13"/>
  <c r="Q442" i="13"/>
  <c r="S442" i="13"/>
  <c r="H546" i="13" l="1"/>
  <c r="K546" i="13"/>
  <c r="Q546" i="13"/>
  <c r="S546" i="13"/>
  <c r="H227" i="13"/>
  <c r="K227" i="13"/>
  <c r="Q227" i="13"/>
  <c r="S227" i="13"/>
  <c r="H244" i="13"/>
  <c r="K244" i="13"/>
  <c r="Q244" i="13"/>
  <c r="S244" i="13"/>
  <c r="H690" i="13"/>
  <c r="K690" i="13"/>
  <c r="Q690" i="13"/>
  <c r="S690" i="13"/>
  <c r="H150" i="13"/>
  <c r="K150" i="13"/>
  <c r="Q150" i="13"/>
  <c r="S150" i="13"/>
  <c r="H137" i="13"/>
  <c r="K137" i="13"/>
  <c r="Q137" i="13"/>
  <c r="S137" i="13"/>
  <c r="H205" i="13"/>
  <c r="K205" i="13"/>
  <c r="Q205" i="13"/>
  <c r="S205" i="13"/>
  <c r="H184" i="13"/>
  <c r="K184" i="13"/>
  <c r="Q184" i="13"/>
  <c r="S184" i="13"/>
  <c r="H533" i="13"/>
  <c r="K533" i="13"/>
  <c r="Q533" i="13"/>
  <c r="S533" i="13"/>
  <c r="H430" i="13"/>
  <c r="K430" i="13"/>
  <c r="Q430" i="13"/>
  <c r="S430" i="13"/>
  <c r="H466" i="13"/>
  <c r="K466" i="13"/>
  <c r="Q466" i="13"/>
  <c r="S466" i="13"/>
  <c r="H441" i="13"/>
  <c r="K441" i="13"/>
  <c r="Q441" i="13"/>
  <c r="S441" i="13"/>
  <c r="H47" i="13"/>
  <c r="K47" i="13"/>
  <c r="Q47" i="13"/>
  <c r="S47" i="13"/>
  <c r="H214" i="13"/>
  <c r="K214" i="13"/>
  <c r="Q214" i="13"/>
  <c r="S214" i="13"/>
  <c r="H135" i="13"/>
  <c r="K135" i="13"/>
  <c r="Q135" i="13"/>
  <c r="S135" i="13"/>
  <c r="H602" i="13"/>
  <c r="K602" i="13"/>
  <c r="Q602" i="13"/>
  <c r="S602" i="13"/>
  <c r="H259" i="13" l="1"/>
  <c r="K259" i="13"/>
  <c r="Q259" i="13"/>
  <c r="S259" i="13"/>
  <c r="H243" i="13"/>
  <c r="K243" i="13"/>
  <c r="Q243" i="13"/>
  <c r="S243" i="13"/>
  <c r="H689" i="13"/>
  <c r="K689" i="13"/>
  <c r="Q689" i="13"/>
  <c r="S689" i="13"/>
  <c r="H149" i="13"/>
  <c r="K149" i="13"/>
  <c r="Q149" i="13"/>
  <c r="S149" i="13"/>
  <c r="H136" i="13"/>
  <c r="K136" i="13"/>
  <c r="Q136" i="13"/>
  <c r="S136" i="13"/>
  <c r="H195" i="13"/>
  <c r="K195" i="13"/>
  <c r="Q195" i="13"/>
  <c r="S195" i="13"/>
  <c r="H204" i="13"/>
  <c r="K204" i="13"/>
  <c r="Q204" i="13"/>
  <c r="S204" i="13"/>
  <c r="H183" i="13"/>
  <c r="K183" i="13"/>
  <c r="Q183" i="13"/>
  <c r="S183" i="13"/>
  <c r="H532" i="13"/>
  <c r="K532" i="13"/>
  <c r="Q532" i="13"/>
  <c r="S532" i="13"/>
  <c r="H433" i="13"/>
  <c r="K433" i="13"/>
  <c r="Q433" i="13"/>
  <c r="S433" i="13"/>
  <c r="H465" i="13"/>
  <c r="K465" i="13"/>
  <c r="Q465" i="13"/>
  <c r="S465" i="13"/>
  <c r="H440" i="13"/>
  <c r="K440" i="13"/>
  <c r="Q440" i="13"/>
  <c r="S440" i="13"/>
  <c r="H46" i="13"/>
  <c r="K46" i="13"/>
  <c r="Q46" i="13"/>
  <c r="S46" i="13"/>
  <c r="H213" i="13"/>
  <c r="K213" i="13"/>
  <c r="Q213" i="13"/>
  <c r="S213" i="13"/>
  <c r="H601" i="13"/>
  <c r="K601" i="13"/>
  <c r="Q601" i="13"/>
  <c r="S601" i="13"/>
  <c r="H544" i="13"/>
  <c r="K544" i="13"/>
  <c r="Q544" i="13"/>
  <c r="S544" i="13"/>
  <c r="H557" i="13"/>
  <c r="K557" i="13"/>
  <c r="Q557" i="13"/>
  <c r="S557" i="13"/>
  <c r="H500" i="13"/>
  <c r="K500" i="13"/>
  <c r="Q500" i="13"/>
  <c r="S500" i="13"/>
  <c r="H379" i="13"/>
  <c r="K379" i="13"/>
  <c r="Q379" i="13"/>
  <c r="S379" i="13"/>
  <c r="H29" i="13"/>
  <c r="K29" i="13"/>
  <c r="Q29" i="13"/>
  <c r="S29" i="13"/>
  <c r="H373" i="13"/>
  <c r="K373" i="13"/>
  <c r="Q373" i="13"/>
  <c r="S373" i="13"/>
  <c r="H600" i="13"/>
  <c r="K600" i="13"/>
  <c r="Q600" i="13"/>
  <c r="S600" i="13"/>
  <c r="H665" i="13"/>
  <c r="K665" i="13"/>
  <c r="Q665" i="13"/>
  <c r="S665" i="13"/>
  <c r="H203" i="13"/>
  <c r="K203" i="13"/>
  <c r="Q203" i="13"/>
  <c r="S203" i="13"/>
  <c r="H182" i="13"/>
  <c r="K182" i="13"/>
  <c r="Q182" i="13"/>
  <c r="S182" i="13"/>
  <c r="H464" i="13"/>
  <c r="K464" i="13"/>
  <c r="Q464" i="13"/>
  <c r="S464" i="13"/>
  <c r="H363" i="13"/>
  <c r="K363" i="13"/>
  <c r="Q363" i="13"/>
  <c r="S363" i="13"/>
  <c r="H116" i="13"/>
  <c r="K116" i="13"/>
  <c r="Q116" i="13"/>
  <c r="S116" i="13"/>
  <c r="H378" i="13"/>
  <c r="K378" i="13"/>
  <c r="Q378" i="13"/>
  <c r="S378" i="13"/>
  <c r="H133" i="13"/>
  <c r="K133" i="13"/>
  <c r="Q133" i="13"/>
  <c r="S133" i="13"/>
  <c r="H432" i="13"/>
  <c r="K432" i="13"/>
  <c r="Q432" i="13"/>
  <c r="S432" i="13"/>
  <c r="H499" i="13"/>
  <c r="K499" i="13"/>
  <c r="Q499" i="13"/>
  <c r="S499" i="13"/>
  <c r="H439" i="13"/>
  <c r="K439" i="13"/>
  <c r="Q439" i="13"/>
  <c r="S439" i="13"/>
  <c r="H188" i="13"/>
  <c r="K188" i="13"/>
  <c r="Q188" i="13"/>
  <c r="S188" i="13"/>
  <c r="H254" i="13"/>
  <c r="K254" i="13"/>
  <c r="Q254" i="13"/>
  <c r="S254" i="13"/>
  <c r="H449" i="13"/>
  <c r="K449" i="13"/>
  <c r="Q449" i="13"/>
  <c r="S449" i="13"/>
  <c r="H212" i="13"/>
  <c r="K212" i="13"/>
  <c r="Q212" i="13"/>
  <c r="S212" i="13"/>
  <c r="U160" i="13"/>
  <c r="U702" i="13" s="1"/>
  <c r="R13" i="13"/>
  <c r="R24" i="13"/>
  <c r="R162" i="13"/>
  <c r="R650" i="13"/>
  <c r="H333" i="13"/>
  <c r="K333" i="13"/>
  <c r="Q333" i="13"/>
  <c r="S333" i="13"/>
  <c r="H463" i="13"/>
  <c r="K463" i="13"/>
  <c r="Q463" i="13"/>
  <c r="S463" i="13"/>
  <c r="H429" i="13"/>
  <c r="K429" i="13"/>
  <c r="Q429" i="13"/>
  <c r="S429" i="13"/>
  <c r="H45" i="13"/>
  <c r="K45" i="13"/>
  <c r="Q45" i="13"/>
  <c r="S45" i="13"/>
  <c r="H115" i="13"/>
  <c r="K115" i="13"/>
  <c r="Q115" i="13"/>
  <c r="S115" i="13"/>
  <c r="H55" i="13"/>
  <c r="K55" i="13"/>
  <c r="Q55" i="13"/>
  <c r="S55" i="13"/>
  <c r="H202" i="13"/>
  <c r="K202" i="13"/>
  <c r="Q202" i="13"/>
  <c r="S202" i="13"/>
  <c r="H181" i="13"/>
  <c r="K181" i="13"/>
  <c r="Q181" i="13"/>
  <c r="S181" i="13"/>
  <c r="H431" i="13"/>
  <c r="K431" i="13"/>
  <c r="Q431" i="13"/>
  <c r="S431" i="13"/>
  <c r="H452" i="13"/>
  <c r="K452" i="13"/>
  <c r="Q452" i="13"/>
  <c r="S452" i="13"/>
  <c r="H362" i="13"/>
  <c r="K362" i="13"/>
  <c r="Q362" i="13"/>
  <c r="S362" i="13"/>
  <c r="H377" i="13"/>
  <c r="K377" i="13"/>
  <c r="Q377" i="13"/>
  <c r="S377" i="13"/>
  <c r="H226" i="13"/>
  <c r="K226" i="13"/>
  <c r="Q226" i="13"/>
  <c r="S226" i="13"/>
  <c r="H668" i="13"/>
  <c r="K668" i="13"/>
  <c r="Q668" i="13"/>
  <c r="S668" i="13"/>
  <c r="H132" i="13"/>
  <c r="K132" i="13"/>
  <c r="Q132" i="13"/>
  <c r="S132" i="13"/>
  <c r="H253" i="13"/>
  <c r="K253" i="13"/>
  <c r="Q253" i="13"/>
  <c r="S253" i="13"/>
  <c r="H448" i="13"/>
  <c r="K448" i="13"/>
  <c r="Q448" i="13"/>
  <c r="S448" i="13"/>
  <c r="H336" i="13"/>
  <c r="K336" i="13"/>
  <c r="Q336" i="13"/>
  <c r="S336" i="13"/>
  <c r="H211" i="13"/>
  <c r="K211" i="13"/>
  <c r="Q211" i="13"/>
  <c r="S211" i="13"/>
  <c r="H599" i="13"/>
  <c r="K599" i="13"/>
  <c r="Q599" i="13"/>
  <c r="S599" i="13"/>
  <c r="H361" i="13"/>
  <c r="K361" i="13"/>
  <c r="Q361" i="13"/>
  <c r="S361" i="13"/>
  <c r="H345" i="13"/>
  <c r="K345" i="13"/>
  <c r="Q345" i="13"/>
  <c r="S345" i="13"/>
  <c r="H201" i="13"/>
  <c r="K201" i="13"/>
  <c r="Q201" i="13"/>
  <c r="S201" i="13"/>
  <c r="H180" i="13"/>
  <c r="K180" i="13"/>
  <c r="Q180" i="13"/>
  <c r="S180" i="13"/>
  <c r="H473" i="13"/>
  <c r="K473" i="13"/>
  <c r="Q473" i="13"/>
  <c r="S473" i="13"/>
  <c r="H114" i="13"/>
  <c r="K114" i="13"/>
  <c r="Q114" i="13"/>
  <c r="S114" i="13"/>
  <c r="H376" i="13"/>
  <c r="K376" i="13"/>
  <c r="Q376" i="13"/>
  <c r="S376" i="13"/>
  <c r="H667" i="13"/>
  <c r="K667" i="13"/>
  <c r="Q667" i="13"/>
  <c r="S667" i="13"/>
  <c r="H44" i="13"/>
  <c r="K44" i="13"/>
  <c r="Q44" i="13"/>
  <c r="S44" i="13"/>
  <c r="H225" i="13"/>
  <c r="K225" i="13"/>
  <c r="Q225" i="13"/>
  <c r="S225" i="13"/>
  <c r="H428" i="13"/>
  <c r="K428" i="13"/>
  <c r="Q428" i="13"/>
  <c r="S428" i="13"/>
  <c r="H462" i="13"/>
  <c r="K462" i="13"/>
  <c r="Q462" i="13"/>
  <c r="S462" i="13"/>
  <c r="H131" i="13"/>
  <c r="K131" i="13"/>
  <c r="Q131" i="13"/>
  <c r="S131" i="13"/>
  <c r="H598" i="13"/>
  <c r="K598" i="13"/>
  <c r="Q598" i="13"/>
  <c r="S598" i="13"/>
  <c r="H306" i="13"/>
  <c r="K306" i="13"/>
  <c r="Q306" i="13"/>
  <c r="S306" i="13"/>
  <c r="H210" i="13"/>
  <c r="K210" i="13"/>
  <c r="Q210" i="13"/>
  <c r="S210" i="13"/>
  <c r="U28" i="13"/>
  <c r="U179" i="13"/>
  <c r="S179" i="13" s="1"/>
  <c r="U375" i="13"/>
  <c r="U374" i="13"/>
  <c r="U474" i="13"/>
  <c r="U597" i="13"/>
  <c r="H305" i="13"/>
  <c r="K305" i="13"/>
  <c r="Q305" i="13"/>
  <c r="S305" i="13"/>
  <c r="H359" i="13"/>
  <c r="K359" i="13"/>
  <c r="Q359" i="13"/>
  <c r="S359" i="13"/>
  <c r="H699" i="13"/>
  <c r="K699" i="13"/>
  <c r="Q699" i="13"/>
  <c r="S699" i="13"/>
  <c r="H469" i="13"/>
  <c r="K469" i="13"/>
  <c r="Q469" i="13"/>
  <c r="S469" i="13"/>
  <c r="H666" i="13"/>
  <c r="K666" i="13"/>
  <c r="Q666" i="13"/>
  <c r="S666" i="13"/>
  <c r="H372" i="13"/>
  <c r="K372" i="13"/>
  <c r="Q372" i="13"/>
  <c r="S372" i="13"/>
  <c r="H360" i="13"/>
  <c r="K360" i="13"/>
  <c r="Q360" i="13"/>
  <c r="S360" i="13"/>
  <c r="H472" i="13"/>
  <c r="K472" i="13"/>
  <c r="Q472" i="13"/>
  <c r="S472" i="13"/>
  <c r="H209" i="13"/>
  <c r="K209" i="13"/>
  <c r="Q209" i="13"/>
  <c r="S209" i="13"/>
  <c r="H187" i="13"/>
  <c r="K187" i="13"/>
  <c r="Q187" i="13"/>
  <c r="S187" i="13"/>
  <c r="H335" i="13"/>
  <c r="K335" i="13"/>
  <c r="Q335" i="13"/>
  <c r="S335" i="13"/>
  <c r="H477" i="13"/>
  <c r="K477" i="13"/>
  <c r="Q477" i="13"/>
  <c r="S477" i="13"/>
  <c r="H130" i="13"/>
  <c r="K130" i="13"/>
  <c r="Q130" i="13"/>
  <c r="S130" i="13"/>
  <c r="H461" i="13"/>
  <c r="K461" i="13"/>
  <c r="Q461" i="13"/>
  <c r="S461" i="13"/>
  <c r="H186" i="13"/>
  <c r="K186" i="13"/>
  <c r="Q186" i="13"/>
  <c r="S186" i="13"/>
  <c r="H446" i="13"/>
  <c r="K446" i="13"/>
  <c r="Q446" i="13"/>
  <c r="S446" i="13"/>
  <c r="H342" i="13"/>
  <c r="K342" i="13"/>
  <c r="Q342" i="13"/>
  <c r="S342" i="13"/>
  <c r="H54" i="13"/>
  <c r="K54" i="13"/>
  <c r="Q54" i="13"/>
  <c r="S54" i="13"/>
  <c r="H43" i="13"/>
  <c r="K43" i="13"/>
  <c r="Q43" i="13"/>
  <c r="S43" i="13"/>
  <c r="H398" i="13"/>
  <c r="K398" i="13"/>
  <c r="Q398" i="13"/>
  <c r="S398" i="13"/>
  <c r="H399" i="13"/>
  <c r="K399" i="13"/>
  <c r="Q399" i="13"/>
  <c r="S399" i="13"/>
  <c r="H597" i="13"/>
  <c r="K597" i="13"/>
  <c r="Q597" i="13"/>
  <c r="H523" i="13"/>
  <c r="K523" i="13"/>
  <c r="Q523" i="13"/>
  <c r="S523" i="13"/>
  <c r="H518" i="13"/>
  <c r="K518" i="13"/>
  <c r="Q518" i="13"/>
  <c r="S518" i="13"/>
  <c r="H445" i="13"/>
  <c r="K445" i="13"/>
  <c r="Q445" i="13"/>
  <c r="S445" i="13"/>
  <c r="S170" i="13"/>
  <c r="Q170" i="13"/>
  <c r="K170" i="13"/>
  <c r="H170" i="13"/>
  <c r="S194" i="13"/>
  <c r="H194" i="13"/>
  <c r="K194" i="13"/>
  <c r="Q194" i="13"/>
  <c r="H393" i="13"/>
  <c r="K393" i="13"/>
  <c r="Q393" i="13"/>
  <c r="S393" i="13"/>
  <c r="H394" i="13"/>
  <c r="K394" i="13"/>
  <c r="Q394" i="13"/>
  <c r="S394" i="13"/>
  <c r="S447" i="13"/>
  <c r="Q447" i="13"/>
  <c r="K447" i="13"/>
  <c r="H447" i="13"/>
  <c r="S672" i="13"/>
  <c r="Q672" i="13"/>
  <c r="K672" i="13"/>
  <c r="H672" i="13"/>
  <c r="S364" i="13"/>
  <c r="S365" i="13"/>
  <c r="S366" i="13"/>
  <c r="S367" i="13"/>
  <c r="S368" i="13"/>
  <c r="S369" i="13"/>
  <c r="S370" i="13"/>
  <c r="S371" i="13"/>
  <c r="H307" i="13"/>
  <c r="K307" i="13"/>
  <c r="Q307" i="13"/>
  <c r="S307" i="13"/>
  <c r="H375" i="13"/>
  <c r="K375" i="13"/>
  <c r="Q375" i="13"/>
  <c r="H374" i="13"/>
  <c r="K374" i="13"/>
  <c r="Q374" i="13"/>
  <c r="H99" i="13"/>
  <c r="K99" i="13"/>
  <c r="Q99" i="13"/>
  <c r="S99" i="13"/>
  <c r="H53" i="13"/>
  <c r="K53" i="13"/>
  <c r="Q53" i="13"/>
  <c r="S53" i="13"/>
  <c r="H42" i="13"/>
  <c r="K42" i="13"/>
  <c r="Q42" i="13"/>
  <c r="S42" i="13"/>
  <c r="H396" i="13"/>
  <c r="K396" i="13"/>
  <c r="Q396" i="13"/>
  <c r="S396" i="13"/>
  <c r="H397" i="13"/>
  <c r="K397" i="13"/>
  <c r="Q397" i="13"/>
  <c r="S397" i="13"/>
  <c r="H395" i="13"/>
  <c r="K395" i="13"/>
  <c r="Q395" i="13"/>
  <c r="S395" i="13"/>
  <c r="H371" i="13"/>
  <c r="K371" i="13"/>
  <c r="Q371" i="13"/>
  <c r="S596" i="13"/>
  <c r="Q596" i="13"/>
  <c r="K596" i="13"/>
  <c r="H596" i="13"/>
  <c r="H474" i="13"/>
  <c r="H460" i="13"/>
  <c r="K474" i="13"/>
  <c r="K460" i="13"/>
  <c r="Q474" i="13"/>
  <c r="Q460" i="13"/>
  <c r="S460" i="13"/>
  <c r="H125" i="13"/>
  <c r="K125" i="13"/>
  <c r="Q125" i="13"/>
  <c r="S125" i="13"/>
  <c r="H279" i="13"/>
  <c r="K279" i="13"/>
  <c r="Q279" i="13"/>
  <c r="S279" i="13"/>
  <c r="H41" i="13"/>
  <c r="K41" i="13"/>
  <c r="Q41" i="13"/>
  <c r="S41" i="13"/>
  <c r="H118" i="13"/>
  <c r="K118" i="13"/>
  <c r="Q118" i="13"/>
  <c r="S118" i="13"/>
  <c r="Q370" i="13"/>
  <c r="K370" i="13"/>
  <c r="H370" i="13"/>
  <c r="H224" i="13"/>
  <c r="K224" i="13"/>
  <c r="Q224" i="13"/>
  <c r="S224" i="13"/>
  <c r="H392" i="13"/>
  <c r="K392" i="13"/>
  <c r="Q392" i="13"/>
  <c r="S392" i="13"/>
  <c r="H285" i="13"/>
  <c r="K285" i="13"/>
  <c r="Q285" i="13"/>
  <c r="S285" i="13"/>
  <c r="H595" i="13"/>
  <c r="K595" i="13"/>
  <c r="Q595" i="13"/>
  <c r="S595" i="13"/>
  <c r="H566" i="13"/>
  <c r="K566" i="13"/>
  <c r="Q566" i="13"/>
  <c r="S566" i="13"/>
  <c r="H169" i="13"/>
  <c r="K169" i="13"/>
  <c r="Q169" i="13"/>
  <c r="S169" i="13"/>
  <c r="H341" i="13"/>
  <c r="K341" i="13"/>
  <c r="Q341" i="13"/>
  <c r="S341" i="13"/>
  <c r="J168" i="13"/>
  <c r="S582" i="13"/>
  <c r="S583" i="13"/>
  <c r="S584" i="13"/>
  <c r="S585" i="13"/>
  <c r="S586" i="13"/>
  <c r="S587" i="13"/>
  <c r="S588" i="13"/>
  <c r="S286" i="13"/>
  <c r="S618" i="13"/>
  <c r="S617" i="13"/>
  <c r="S630" i="13"/>
  <c r="S643" i="13"/>
  <c r="S644" i="13"/>
  <c r="S645" i="13"/>
  <c r="S646" i="13"/>
  <c r="S647" i="13"/>
  <c r="S648" i="13"/>
  <c r="S649" i="13"/>
  <c r="S650" i="13"/>
  <c r="S651" i="13"/>
  <c r="S652" i="13"/>
  <c r="S220" i="13"/>
  <c r="S221" i="13"/>
  <c r="S222" i="13"/>
  <c r="S223" i="13"/>
  <c r="S453" i="13"/>
  <c r="S454" i="13"/>
  <c r="S455" i="13"/>
  <c r="S456" i="13"/>
  <c r="S457" i="13"/>
  <c r="S3" i="13"/>
  <c r="S271" i="13"/>
  <c r="S272" i="13"/>
  <c r="S273" i="13"/>
  <c r="S274" i="13"/>
  <c r="S275" i="13"/>
  <c r="S276" i="13"/>
  <c r="S287" i="13"/>
  <c r="S288" i="13"/>
  <c r="S289" i="13"/>
  <c r="S290" i="13"/>
  <c r="S291" i="13"/>
  <c r="S331" i="13"/>
  <c r="S332" i="13"/>
  <c r="S340" i="13"/>
  <c r="S387" i="13"/>
  <c r="S388" i="13"/>
  <c r="S389" i="13"/>
  <c r="S390" i="13"/>
  <c r="S391" i="13"/>
  <c r="S451" i="13"/>
  <c r="S435" i="13"/>
  <c r="S436" i="13"/>
  <c r="S437" i="13"/>
  <c r="S438" i="13"/>
  <c r="S468" i="13"/>
  <c r="S475" i="13"/>
  <c r="S658" i="13"/>
  <c r="S659" i="13"/>
  <c r="S660" i="13"/>
  <c r="S485" i="13"/>
  <c r="S493" i="13"/>
  <c r="S494" i="13"/>
  <c r="S495" i="13"/>
  <c r="S496" i="13"/>
  <c r="S497" i="13"/>
  <c r="S498" i="13"/>
  <c r="S358" i="13"/>
  <c r="S589" i="13"/>
  <c r="S590" i="13"/>
  <c r="S591" i="13"/>
  <c r="S592" i="13"/>
  <c r="S593" i="13"/>
  <c r="S594" i="13"/>
  <c r="S624" i="13"/>
  <c r="S625" i="13"/>
  <c r="S626" i="13"/>
  <c r="S627" i="13"/>
  <c r="S628" i="13"/>
  <c r="S629" i="13"/>
  <c r="S653" i="13"/>
  <c r="S654" i="13"/>
  <c r="S655" i="13"/>
  <c r="S656" i="13"/>
  <c r="S657" i="13"/>
  <c r="S663" i="13"/>
  <c r="S664" i="13"/>
  <c r="S14" i="13"/>
  <c r="S15" i="13"/>
  <c r="S16" i="13"/>
  <c r="S568" i="13"/>
  <c r="S569" i="13"/>
  <c r="S570" i="13"/>
  <c r="S571" i="13"/>
  <c r="S572" i="13"/>
  <c r="S578" i="13"/>
  <c r="S579" i="13"/>
  <c r="S580" i="13"/>
  <c r="S581" i="13"/>
  <c r="S505" i="13"/>
  <c r="S506" i="13"/>
  <c r="S507" i="13"/>
  <c r="S508" i="13"/>
  <c r="S509" i="13"/>
  <c r="S510" i="13"/>
  <c r="S511" i="13"/>
  <c r="S512" i="13"/>
  <c r="S513" i="13"/>
  <c r="S514" i="13"/>
  <c r="S515" i="13"/>
  <c r="S516" i="13"/>
  <c r="S517" i="13"/>
  <c r="S519" i="13"/>
  <c r="S520" i="13"/>
  <c r="S521" i="13"/>
  <c r="S522" i="13"/>
  <c r="S536" i="13"/>
  <c r="S537" i="13"/>
  <c r="S538" i="13"/>
  <c r="S539" i="13"/>
  <c r="S540" i="13"/>
  <c r="S541" i="13"/>
  <c r="S542" i="13"/>
  <c r="S543" i="13"/>
  <c r="S561" i="13"/>
  <c r="S562" i="13"/>
  <c r="S563" i="13"/>
  <c r="S564" i="13"/>
  <c r="S565" i="13"/>
  <c r="S4" i="13"/>
  <c r="S5" i="13"/>
  <c r="S6" i="13"/>
  <c r="S7" i="13"/>
  <c r="S8" i="13"/>
  <c r="S9" i="13"/>
  <c r="S10" i="13"/>
  <c r="S11" i="13"/>
  <c r="S12" i="13"/>
  <c r="S13" i="13"/>
  <c r="S18" i="13"/>
  <c r="S19" i="13"/>
  <c r="S20" i="13"/>
  <c r="S21" i="13"/>
  <c r="S22" i="13"/>
  <c r="S23" i="13"/>
  <c r="S24" i="13"/>
  <c r="S25" i="13"/>
  <c r="S26" i="13"/>
  <c r="S27" i="13"/>
  <c r="S39" i="13"/>
  <c r="S40" i="13"/>
  <c r="S52" i="13"/>
  <c r="S58" i="13"/>
  <c r="S59" i="13"/>
  <c r="S60" i="13"/>
  <c r="S61" i="13"/>
  <c r="S62" i="13"/>
  <c r="S124" i="13"/>
  <c r="S292" i="13"/>
  <c r="S293" i="13"/>
  <c r="S294" i="13"/>
  <c r="S295" i="13"/>
  <c r="S296" i="13"/>
  <c r="S126" i="13"/>
  <c r="S127" i="13"/>
  <c r="S128" i="13"/>
  <c r="S129" i="13"/>
  <c r="S612" i="13"/>
  <c r="S613" i="13"/>
  <c r="S614" i="13"/>
  <c r="S615" i="13"/>
  <c r="S616" i="13"/>
  <c r="S171" i="13"/>
  <c r="S172" i="13"/>
  <c r="S173" i="13"/>
  <c r="S174" i="13"/>
  <c r="S175" i="13"/>
  <c r="S176" i="13"/>
  <c r="S189" i="13"/>
  <c r="S190" i="13"/>
  <c r="S191" i="13"/>
  <c r="S192" i="13"/>
  <c r="S193" i="13"/>
  <c r="S238" i="13"/>
  <c r="S241" i="13"/>
  <c r="S242" i="13"/>
  <c r="S246" i="13"/>
  <c r="S247" i="13"/>
  <c r="S257" i="13"/>
  <c r="S258" i="13"/>
  <c r="S233" i="13"/>
  <c r="S234" i="13"/>
  <c r="S235" i="13"/>
  <c r="S151" i="13"/>
  <c r="S152" i="13"/>
  <c r="S153" i="13"/>
  <c r="S154" i="13"/>
  <c r="S155" i="13"/>
  <c r="S156" i="13"/>
  <c r="S157" i="13"/>
  <c r="S158" i="13"/>
  <c r="S159" i="13"/>
  <c r="S161" i="13"/>
  <c r="S162" i="13"/>
  <c r="S163" i="13"/>
  <c r="S164" i="13"/>
  <c r="S165" i="13"/>
  <c r="S166" i="13"/>
  <c r="S167" i="13"/>
  <c r="S168" i="13"/>
  <c r="S411" i="13"/>
  <c r="S280" i="13"/>
  <c r="S281" i="13"/>
  <c r="S282" i="13"/>
  <c r="S283" i="13"/>
  <c r="S284" i="13"/>
  <c r="S412" i="13"/>
  <c r="S413" i="13"/>
  <c r="S414" i="13"/>
  <c r="S415" i="13"/>
  <c r="S416" i="13"/>
  <c r="S426" i="13"/>
  <c r="S427" i="13"/>
  <c r="S434" i="13"/>
  <c r="S504" i="13"/>
  <c r="H28" i="13"/>
  <c r="K28" i="13"/>
  <c r="Q28" i="13"/>
  <c r="H284" i="13"/>
  <c r="K284" i="13"/>
  <c r="Q284" i="13"/>
  <c r="H52" i="13"/>
  <c r="K52" i="13"/>
  <c r="Q52" i="13"/>
  <c r="H40" i="13"/>
  <c r="K40" i="13"/>
  <c r="Q40" i="13"/>
  <c r="H427" i="13"/>
  <c r="K427" i="13"/>
  <c r="Q427" i="13"/>
  <c r="H369" i="13"/>
  <c r="K369" i="13"/>
  <c r="Q369" i="13"/>
  <c r="H391" i="13"/>
  <c r="K391" i="13"/>
  <c r="Q391" i="13"/>
  <c r="H340" i="13"/>
  <c r="K340" i="13"/>
  <c r="Q340" i="13"/>
  <c r="H223" i="13"/>
  <c r="K223" i="13"/>
  <c r="Q223" i="13"/>
  <c r="H193" i="13"/>
  <c r="K193" i="13"/>
  <c r="Q193" i="13"/>
  <c r="H542" i="13"/>
  <c r="K542" i="13"/>
  <c r="Q542" i="13"/>
  <c r="H235" i="13"/>
  <c r="K235" i="13"/>
  <c r="Q235" i="13"/>
  <c r="H498" i="13"/>
  <c r="K498" i="13"/>
  <c r="Q498" i="13"/>
  <c r="K168" i="13"/>
  <c r="Q168" i="13"/>
  <c r="H517" i="13"/>
  <c r="K517" i="13"/>
  <c r="Q517" i="13"/>
  <c r="H522" i="13"/>
  <c r="K522" i="13"/>
  <c r="Q522" i="13"/>
  <c r="H39" i="13"/>
  <c r="K39" i="13"/>
  <c r="Q39" i="13"/>
  <c r="H426" i="13"/>
  <c r="K426" i="13"/>
  <c r="Q426" i="13"/>
  <c r="H283" i="13"/>
  <c r="K283" i="13"/>
  <c r="Q283" i="13"/>
  <c r="H368" i="13"/>
  <c r="K368" i="13"/>
  <c r="Q368" i="13"/>
  <c r="H594" i="13"/>
  <c r="K594" i="13"/>
  <c r="Q594" i="13"/>
  <c r="H222" i="13"/>
  <c r="K222" i="13"/>
  <c r="Q222" i="13"/>
  <c r="H192" i="13"/>
  <c r="K192" i="13"/>
  <c r="Q192" i="13"/>
  <c r="H167" i="13"/>
  <c r="K167" i="13"/>
  <c r="Q167" i="13"/>
  <c r="H516" i="13"/>
  <c r="K516" i="13"/>
  <c r="Q516" i="13"/>
  <c r="H521" i="13"/>
  <c r="K521" i="13"/>
  <c r="Q521" i="13"/>
  <c r="H179" i="13"/>
  <c r="K179" i="13"/>
  <c r="Q179" i="13"/>
  <c r="Q497" i="13"/>
  <c r="K497" i="13"/>
  <c r="H497" i="13"/>
  <c r="H387" i="13"/>
  <c r="K387" i="13"/>
  <c r="Q387" i="13"/>
  <c r="H151" i="13"/>
  <c r="K151" i="13"/>
  <c r="Q151" i="13"/>
  <c r="H543" i="13"/>
  <c r="K543" i="13"/>
  <c r="Q543" i="13"/>
  <c r="H520" i="13"/>
  <c r="K520" i="13"/>
  <c r="Q520" i="13"/>
  <c r="H519" i="13"/>
  <c r="K519" i="13"/>
  <c r="Q519" i="13"/>
  <c r="Q514" i="13"/>
  <c r="K514" i="13"/>
  <c r="H514" i="13"/>
  <c r="Q124" i="13"/>
  <c r="K124" i="13"/>
  <c r="H124" i="13"/>
  <c r="Q366" i="13"/>
  <c r="K366" i="13"/>
  <c r="H366" i="13"/>
  <c r="Q367" i="13"/>
  <c r="K367" i="13"/>
  <c r="H367" i="13"/>
  <c r="Q238" i="13"/>
  <c r="K238" i="13"/>
  <c r="H238" i="13"/>
  <c r="Q221" i="13"/>
  <c r="K221" i="13"/>
  <c r="H221" i="13"/>
  <c r="Q220" i="13"/>
  <c r="K220" i="13"/>
  <c r="H220" i="13"/>
  <c r="H190" i="13"/>
  <c r="K190" i="13"/>
  <c r="Q190" i="13"/>
  <c r="H191" i="13"/>
  <c r="K191" i="13"/>
  <c r="Q191" i="13"/>
  <c r="H242" i="13"/>
  <c r="K242" i="13"/>
  <c r="Q242" i="13"/>
  <c r="H234" i="13"/>
  <c r="K234" i="13"/>
  <c r="Q234" i="13"/>
  <c r="H281" i="13"/>
  <c r="K281" i="13"/>
  <c r="Q281" i="13"/>
  <c r="H282" i="13"/>
  <c r="K282" i="13"/>
  <c r="Q282" i="13"/>
  <c r="H27" i="13"/>
  <c r="K27" i="13"/>
  <c r="Q27" i="13"/>
  <c r="H652" i="13"/>
  <c r="K652" i="13"/>
  <c r="Q652" i="13"/>
  <c r="H565" i="13"/>
  <c r="K565" i="13"/>
  <c r="Q565" i="13"/>
  <c r="H540" i="13"/>
  <c r="K540" i="13"/>
  <c r="Q540" i="13"/>
  <c r="H541" i="13"/>
  <c r="K541" i="13"/>
  <c r="Q541" i="13"/>
  <c r="H515" i="13"/>
  <c r="K515" i="13"/>
  <c r="Q515" i="13"/>
  <c r="H166" i="13"/>
  <c r="K166" i="13"/>
  <c r="Q166" i="13"/>
  <c r="H165" i="13"/>
  <c r="K165" i="13"/>
  <c r="Q165" i="13"/>
  <c r="H233" i="13"/>
  <c r="K233" i="13"/>
  <c r="Q233" i="13"/>
  <c r="H389" i="13"/>
  <c r="K389" i="13"/>
  <c r="Q389" i="13"/>
  <c r="H390" i="13"/>
  <c r="K390" i="13"/>
  <c r="Q390" i="13"/>
  <c r="H592" i="13"/>
  <c r="K592" i="13"/>
  <c r="Q592" i="13"/>
  <c r="H593" i="13"/>
  <c r="K593" i="13"/>
  <c r="Q593" i="13"/>
  <c r="H495" i="13"/>
  <c r="K495" i="13"/>
  <c r="Q495" i="13"/>
  <c r="H496" i="13"/>
  <c r="K496" i="13"/>
  <c r="Q496" i="13"/>
  <c r="U256" i="13"/>
  <c r="U248" i="13"/>
  <c r="U240" i="13"/>
  <c r="U237" i="13"/>
  <c r="U236" i="13"/>
  <c r="H513" i="13"/>
  <c r="K513" i="13"/>
  <c r="Q513" i="13"/>
  <c r="H510" i="13"/>
  <c r="K510" i="13"/>
  <c r="Q510" i="13"/>
  <c r="H511" i="13"/>
  <c r="K511" i="13"/>
  <c r="Q511" i="13"/>
  <c r="H536" i="13"/>
  <c r="K536" i="13"/>
  <c r="Q536" i="13"/>
  <c r="H537" i="13"/>
  <c r="K537" i="13"/>
  <c r="Q537" i="13"/>
  <c r="H538" i="13"/>
  <c r="K538" i="13"/>
  <c r="Q538" i="13"/>
  <c r="H562" i="13"/>
  <c r="K562" i="13"/>
  <c r="Q562" i="13"/>
  <c r="H563" i="13"/>
  <c r="K563" i="13"/>
  <c r="Q563" i="13"/>
  <c r="H236" i="13"/>
  <c r="K236" i="13"/>
  <c r="Q236" i="13"/>
  <c r="H240" i="13"/>
  <c r="K240" i="13"/>
  <c r="Q240" i="13"/>
  <c r="H246" i="13"/>
  <c r="K246" i="13"/>
  <c r="Q246" i="13"/>
  <c r="H247" i="13"/>
  <c r="K247" i="13"/>
  <c r="Q247" i="13"/>
  <c r="H248" i="13"/>
  <c r="K248" i="13"/>
  <c r="Q248" i="13"/>
  <c r="H256" i="13"/>
  <c r="K256" i="13"/>
  <c r="Q256" i="13"/>
  <c r="H257" i="13"/>
  <c r="K257" i="13"/>
  <c r="Q257" i="13"/>
  <c r="H258" i="13"/>
  <c r="K258" i="13"/>
  <c r="Q258" i="13"/>
  <c r="H416" i="13"/>
  <c r="K416" i="13"/>
  <c r="Q416" i="13"/>
  <c r="H651" i="13"/>
  <c r="K651" i="13"/>
  <c r="Q651" i="13"/>
  <c r="H590" i="13"/>
  <c r="K590" i="13"/>
  <c r="Q590" i="13"/>
  <c r="H364" i="13"/>
  <c r="K364" i="13"/>
  <c r="Q364" i="13"/>
  <c r="H280" i="13"/>
  <c r="K280" i="13"/>
  <c r="Q280" i="13"/>
  <c r="H62" i="13"/>
  <c r="K62" i="13"/>
  <c r="Q62" i="13"/>
  <c r="H485" i="13"/>
  <c r="K485" i="13"/>
  <c r="Q485" i="13"/>
  <c r="H365" i="13"/>
  <c r="K365" i="13"/>
  <c r="Q365" i="13"/>
  <c r="H591" i="13"/>
  <c r="K591" i="13"/>
  <c r="Q591" i="13"/>
  <c r="H494" i="13"/>
  <c r="K494" i="13"/>
  <c r="Q494" i="13"/>
  <c r="H388" i="13"/>
  <c r="K388" i="13"/>
  <c r="Q388" i="13"/>
  <c r="H164" i="13"/>
  <c r="K164" i="13"/>
  <c r="Q164" i="13"/>
  <c r="H241" i="13"/>
  <c r="K241" i="13"/>
  <c r="Q241" i="13"/>
  <c r="H237" i="13"/>
  <c r="K237" i="13"/>
  <c r="Q237" i="13"/>
  <c r="H189" i="13"/>
  <c r="K189" i="13"/>
  <c r="Q189" i="13"/>
  <c r="H61" i="13"/>
  <c r="K61" i="13"/>
  <c r="Q61" i="13"/>
  <c r="H26" i="13"/>
  <c r="K26" i="13"/>
  <c r="Q26" i="13"/>
  <c r="H564" i="13"/>
  <c r="K564" i="13"/>
  <c r="Q564" i="13"/>
  <c r="H539" i="13"/>
  <c r="K539" i="13"/>
  <c r="Q539" i="13"/>
  <c r="H512" i="13"/>
  <c r="K512" i="13"/>
  <c r="Q512" i="13"/>
  <c r="H493" i="13"/>
  <c r="K493" i="13"/>
  <c r="Q493" i="13"/>
  <c r="H25" i="13"/>
  <c r="K25" i="13"/>
  <c r="Q25" i="13"/>
  <c r="H475" i="13"/>
  <c r="K475" i="13"/>
  <c r="Q475" i="13"/>
  <c r="H660" i="13"/>
  <c r="K660" i="13"/>
  <c r="Q660" i="13"/>
  <c r="H468" i="13"/>
  <c r="K468" i="13"/>
  <c r="Q468" i="13"/>
  <c r="Q657" i="13"/>
  <c r="K657" i="13"/>
  <c r="H657" i="13"/>
  <c r="H589" i="13"/>
  <c r="K589" i="13"/>
  <c r="Q589" i="13"/>
  <c r="H451" i="13"/>
  <c r="K451" i="13"/>
  <c r="Q451" i="13"/>
  <c r="H60" i="13"/>
  <c r="K60" i="13"/>
  <c r="Q60" i="13"/>
  <c r="H163" i="13"/>
  <c r="K163" i="13"/>
  <c r="Q163" i="13"/>
  <c r="H663" i="13"/>
  <c r="K663" i="13"/>
  <c r="Q663" i="13"/>
  <c r="H572" i="13"/>
  <c r="K572" i="13"/>
  <c r="Q572" i="13"/>
  <c r="H570" i="13"/>
  <c r="K570" i="13"/>
  <c r="Q570" i="13"/>
  <c r="H59" i="13"/>
  <c r="K59" i="13"/>
  <c r="Q59" i="13"/>
  <c r="H630" i="13"/>
  <c r="K630" i="13"/>
  <c r="Q630" i="13"/>
  <c r="H650" i="13"/>
  <c r="H659" i="13"/>
  <c r="H24" i="13"/>
  <c r="K650" i="13"/>
  <c r="K659" i="13"/>
  <c r="K24" i="13"/>
  <c r="Q659" i="13"/>
  <c r="H13" i="13"/>
  <c r="K13" i="13"/>
  <c r="H162" i="13"/>
  <c r="K162" i="13"/>
  <c r="H58" i="13"/>
  <c r="K58" i="13"/>
  <c r="Q58" i="13"/>
  <c r="H412" i="13"/>
  <c r="K412" i="13"/>
  <c r="Q412" i="13"/>
  <c r="H411" i="13"/>
  <c r="K411" i="13"/>
  <c r="Q411" i="13"/>
  <c r="H658" i="13"/>
  <c r="K658" i="13"/>
  <c r="Q658" i="13"/>
  <c r="H649" i="13"/>
  <c r="K649" i="13"/>
  <c r="Q649" i="13"/>
  <c r="H561" i="13"/>
  <c r="K561" i="13"/>
  <c r="Q561" i="13"/>
  <c r="H296" i="13"/>
  <c r="K296" i="13"/>
  <c r="Q296" i="13"/>
  <c r="H509" i="13"/>
  <c r="K509" i="13"/>
  <c r="Q509" i="13"/>
  <c r="H664" i="13"/>
  <c r="K664" i="13"/>
  <c r="Q664" i="13"/>
  <c r="H12" i="13"/>
  <c r="K12" i="13"/>
  <c r="Q12" i="13"/>
  <c r="H161" i="13"/>
  <c r="K161" i="13"/>
  <c r="Q161" i="13"/>
  <c r="Q656" i="13"/>
  <c r="K656" i="13"/>
  <c r="H656" i="13"/>
  <c r="H508" i="13"/>
  <c r="K508" i="13"/>
  <c r="Q508" i="13"/>
  <c r="H415" i="13"/>
  <c r="K415" i="13"/>
  <c r="Q415" i="13"/>
  <c r="H295" i="13"/>
  <c r="K295" i="13"/>
  <c r="Q295" i="13"/>
  <c r="H616" i="13"/>
  <c r="K616" i="13"/>
  <c r="Q616" i="13"/>
  <c r="H160" i="13"/>
  <c r="K160" i="13"/>
  <c r="Q160" i="13"/>
  <c r="H648" i="13"/>
  <c r="K648" i="13"/>
  <c r="Q648" i="13"/>
  <c r="H617" i="13"/>
  <c r="K617" i="13"/>
  <c r="Q617" i="13"/>
  <c r="H171" i="13"/>
  <c r="K171" i="13"/>
  <c r="Q171" i="13"/>
  <c r="H453" i="13"/>
  <c r="K453" i="13"/>
  <c r="Q453" i="13"/>
  <c r="H174" i="13"/>
  <c r="K174" i="13"/>
  <c r="Q174" i="13"/>
  <c r="H584" i="13"/>
  <c r="K584" i="13"/>
  <c r="Q584" i="13"/>
  <c r="H21" i="13"/>
  <c r="K21" i="13"/>
  <c r="Q21" i="13"/>
  <c r="H155" i="13"/>
  <c r="K155" i="13"/>
  <c r="Q155" i="13"/>
  <c r="H643" i="13"/>
  <c r="K643" i="13"/>
  <c r="Q643" i="13"/>
  <c r="H7" i="13"/>
  <c r="K7" i="13"/>
  <c r="Q7" i="13"/>
  <c r="H583" i="13"/>
  <c r="K583" i="13"/>
  <c r="Q583" i="13"/>
  <c r="H20" i="13"/>
  <c r="K20" i="13"/>
  <c r="Q20" i="13"/>
  <c r="H154" i="13"/>
  <c r="K154" i="13"/>
  <c r="Q154" i="13"/>
  <c r="H6" i="13"/>
  <c r="K6" i="13"/>
  <c r="Q6" i="13"/>
  <c r="H582" i="13"/>
  <c r="K582" i="13"/>
  <c r="Q582" i="13"/>
  <c r="H286" i="13"/>
  <c r="K286" i="13"/>
  <c r="Q286" i="13"/>
  <c r="H173" i="13"/>
  <c r="K173" i="13"/>
  <c r="Q173" i="13"/>
  <c r="H456" i="13"/>
  <c r="K456" i="13"/>
  <c r="Q456" i="13"/>
  <c r="H455" i="13"/>
  <c r="K455" i="13"/>
  <c r="Q455" i="13"/>
  <c r="H454" i="13"/>
  <c r="K454" i="13"/>
  <c r="Q454" i="13"/>
  <c r="H5" i="13"/>
  <c r="K5" i="13"/>
  <c r="Q5" i="13"/>
  <c r="H19" i="13"/>
  <c r="K19" i="13"/>
  <c r="Q19" i="13"/>
  <c r="H153" i="13"/>
  <c r="K153" i="13"/>
  <c r="Q153" i="13"/>
  <c r="H172" i="13"/>
  <c r="K172" i="13"/>
  <c r="Q172" i="13"/>
  <c r="H581" i="13"/>
  <c r="K581" i="13"/>
  <c r="Q581" i="13"/>
  <c r="H4" i="13"/>
  <c r="K4" i="13"/>
  <c r="Q4" i="13"/>
  <c r="H152" i="13"/>
  <c r="K152" i="13"/>
  <c r="Q152" i="13"/>
  <c r="H18" i="13"/>
  <c r="K18" i="13"/>
  <c r="Q18" i="13"/>
  <c r="H618" i="13"/>
  <c r="K618" i="13"/>
  <c r="Q618" i="13"/>
  <c r="Q126" i="13"/>
  <c r="K126" i="13"/>
  <c r="H126" i="13"/>
  <c r="Q457" i="13"/>
  <c r="K457" i="13"/>
  <c r="H457" i="13"/>
  <c r="Q507" i="13"/>
  <c r="K507" i="13"/>
  <c r="H507" i="13"/>
  <c r="Q615" i="13"/>
  <c r="K615" i="13"/>
  <c r="H615" i="13"/>
  <c r="Q294" i="13"/>
  <c r="K294" i="13"/>
  <c r="H294" i="13"/>
  <c r="Q129" i="13"/>
  <c r="K129" i="13"/>
  <c r="H129" i="13"/>
  <c r="Q11" i="13"/>
  <c r="K11" i="13"/>
  <c r="H11" i="13"/>
  <c r="Q647" i="13"/>
  <c r="K647" i="13"/>
  <c r="H647" i="13"/>
  <c r="Q159" i="13"/>
  <c r="K159" i="13"/>
  <c r="H159" i="13"/>
  <c r="Q588" i="13"/>
  <c r="K588" i="13"/>
  <c r="H588" i="13"/>
  <c r="Q571" i="13"/>
  <c r="K571" i="13"/>
  <c r="H571" i="13"/>
  <c r="R569" i="13"/>
  <c r="K569" i="13"/>
  <c r="H569" i="13"/>
  <c r="Q580" i="13"/>
  <c r="K580" i="13"/>
  <c r="H580" i="13"/>
  <c r="Q578" i="13"/>
  <c r="K578" i="13"/>
  <c r="H578" i="13"/>
  <c r="Q568" i="13"/>
  <c r="K568" i="13"/>
  <c r="H568" i="13"/>
  <c r="Q414" i="13"/>
  <c r="K414" i="13"/>
  <c r="H414" i="13"/>
  <c r="Q413" i="13"/>
  <c r="K413" i="13"/>
  <c r="H413" i="13"/>
  <c r="Q176" i="13"/>
  <c r="K176" i="13"/>
  <c r="H176" i="13"/>
  <c r="Q506" i="13"/>
  <c r="K506" i="13"/>
  <c r="H506" i="13"/>
  <c r="Q504" i="13"/>
  <c r="K504" i="13"/>
  <c r="H504" i="13"/>
  <c r="S503" i="13"/>
  <c r="Q503" i="13"/>
  <c r="K503" i="13"/>
  <c r="H503" i="13"/>
  <c r="Q3" i="13"/>
  <c r="K3" i="13"/>
  <c r="H3" i="13"/>
  <c r="Q438" i="13"/>
  <c r="K438" i="13"/>
  <c r="H438" i="13"/>
  <c r="Q437" i="13"/>
  <c r="K437" i="13"/>
  <c r="H437" i="13"/>
  <c r="Q436" i="13"/>
  <c r="K436" i="13"/>
  <c r="H436" i="13"/>
  <c r="Q435" i="13"/>
  <c r="K435" i="13"/>
  <c r="H435" i="13"/>
  <c r="Q332" i="13"/>
  <c r="K332" i="13"/>
  <c r="H332" i="13"/>
  <c r="Q331" i="13"/>
  <c r="K331" i="13"/>
  <c r="H331" i="13"/>
  <c r="Q273" i="13"/>
  <c r="K273" i="13"/>
  <c r="H273" i="13"/>
  <c r="Q276" i="13"/>
  <c r="K276" i="13"/>
  <c r="H276" i="13"/>
  <c r="Q275" i="13"/>
  <c r="K275" i="13"/>
  <c r="H275" i="13"/>
  <c r="Q274" i="13"/>
  <c r="K274" i="13"/>
  <c r="H274" i="13"/>
  <c r="Q272" i="13"/>
  <c r="K272" i="13"/>
  <c r="H272" i="13"/>
  <c r="Q271" i="13"/>
  <c r="K271" i="13"/>
  <c r="H271" i="13"/>
  <c r="Q655" i="13"/>
  <c r="K655" i="13"/>
  <c r="H655" i="13"/>
  <c r="Q654" i="13"/>
  <c r="K654" i="13"/>
  <c r="H654" i="13"/>
  <c r="Q653" i="13"/>
  <c r="K653" i="13"/>
  <c r="H653" i="13"/>
  <c r="Q289" i="13"/>
  <c r="K289" i="13"/>
  <c r="H289" i="13"/>
  <c r="Q288" i="13"/>
  <c r="K288" i="13"/>
  <c r="H288" i="13"/>
  <c r="Q358" i="13"/>
  <c r="K358" i="13"/>
  <c r="H358" i="13"/>
  <c r="Q291" i="13"/>
  <c r="K291" i="13"/>
  <c r="H291" i="13"/>
  <c r="Q290" i="13"/>
  <c r="K290" i="13"/>
  <c r="H290" i="13"/>
  <c r="Q629" i="13"/>
  <c r="K629" i="13"/>
  <c r="H629" i="13"/>
  <c r="Q628" i="13"/>
  <c r="K628" i="13"/>
  <c r="H628" i="13"/>
  <c r="Q627" i="13"/>
  <c r="K627" i="13"/>
  <c r="H627" i="13"/>
  <c r="Q626" i="13"/>
  <c r="K626" i="13"/>
  <c r="H626" i="13"/>
  <c r="Q625" i="13"/>
  <c r="K625" i="13"/>
  <c r="H625" i="13"/>
  <c r="Q624" i="13"/>
  <c r="K624" i="13"/>
  <c r="H624" i="13"/>
  <c r="Q16" i="13"/>
  <c r="K16" i="13"/>
  <c r="H16" i="13"/>
  <c r="Q15" i="13"/>
  <c r="K15" i="13"/>
  <c r="H15" i="13"/>
  <c r="Q14" i="13"/>
  <c r="K14" i="13"/>
  <c r="H14" i="13"/>
  <c r="Q287" i="13"/>
  <c r="K287" i="13"/>
  <c r="H287" i="13"/>
  <c r="Q646" i="13"/>
  <c r="K646" i="13"/>
  <c r="H646" i="13"/>
  <c r="Q587" i="13"/>
  <c r="K587" i="13"/>
  <c r="H587" i="13"/>
  <c r="Q586" i="13"/>
  <c r="K586" i="13"/>
  <c r="H586" i="13"/>
  <c r="Q293" i="13"/>
  <c r="K293" i="13"/>
  <c r="H293" i="13"/>
  <c r="Q158" i="13"/>
  <c r="K158" i="13"/>
  <c r="H158" i="13"/>
  <c r="Q614" i="13"/>
  <c r="K614" i="13"/>
  <c r="H614" i="13"/>
  <c r="Q10" i="13"/>
  <c r="K10" i="13"/>
  <c r="H10" i="13"/>
  <c r="Q505" i="13"/>
  <c r="K505" i="13"/>
  <c r="H505" i="13"/>
  <c r="Q579" i="13"/>
  <c r="K579" i="13"/>
  <c r="H579" i="13"/>
  <c r="Q645" i="13"/>
  <c r="K645" i="13"/>
  <c r="H645" i="13"/>
  <c r="Q23" i="13"/>
  <c r="K23" i="13"/>
  <c r="H23" i="13"/>
  <c r="Q292" i="13"/>
  <c r="K292" i="13"/>
  <c r="H292" i="13"/>
  <c r="Q157" i="13"/>
  <c r="K157" i="13"/>
  <c r="H157" i="13"/>
  <c r="Q613" i="13"/>
  <c r="K613" i="13"/>
  <c r="H613" i="13"/>
  <c r="Q128" i="13"/>
  <c r="K128" i="13"/>
  <c r="H128" i="13"/>
  <c r="Q9" i="13"/>
  <c r="K9" i="13"/>
  <c r="H9" i="13"/>
  <c r="Q434" i="13"/>
  <c r="K434" i="13"/>
  <c r="H434" i="13"/>
  <c r="Q175" i="13"/>
  <c r="K175" i="13"/>
  <c r="H175" i="13"/>
  <c r="Q612" i="13"/>
  <c r="K612" i="13"/>
  <c r="H612" i="13"/>
  <c r="Q127" i="13"/>
  <c r="K127" i="13"/>
  <c r="H127" i="13"/>
  <c r="Q8" i="13"/>
  <c r="K8" i="13"/>
  <c r="H8" i="13"/>
  <c r="Q585" i="13"/>
  <c r="K585" i="13"/>
  <c r="H585" i="13"/>
  <c r="Q22" i="13"/>
  <c r="K22" i="13"/>
  <c r="H22" i="13"/>
  <c r="Q156" i="13"/>
  <c r="K156" i="13"/>
  <c r="H156" i="13"/>
  <c r="Q644" i="13"/>
  <c r="K644" i="13"/>
  <c r="H644" i="13"/>
  <c r="R702" i="13" l="1"/>
  <c r="H168" i="13"/>
  <c r="S597" i="13"/>
  <c r="S474" i="13"/>
  <c r="S374" i="13"/>
  <c r="S375" i="13"/>
  <c r="S28" i="13"/>
  <c r="Q569" i="13"/>
  <c r="S236" i="13"/>
  <c r="S237" i="13"/>
  <c r="S240" i="13"/>
  <c r="S248" i="13"/>
  <c r="S256" i="13"/>
  <c r="S160" i="13"/>
  <c r="Q650" i="13"/>
  <c r="Q162" i="13"/>
  <c r="Q24" i="13"/>
  <c r="Q13" i="13"/>
  <c r="C5" i="13" l="1"/>
  <c r="C11" i="13"/>
  <c r="C4" i="13"/>
  <c r="C12" i="13"/>
  <c r="C10" i="13"/>
  <c r="C7" i="13"/>
  <c r="C9" i="13"/>
  <c r="C6" i="13"/>
  <c r="C8" i="13"/>
  <c r="C13" i="13"/>
  <c r="C27" i="13" l="1"/>
  <c r="C29" i="13"/>
  <c r="C19" i="13"/>
  <c r="C18" i="13"/>
  <c r="C286" i="13"/>
  <c r="C24" i="13"/>
  <c r="C20" i="13"/>
  <c r="C28" i="13"/>
  <c r="C21" i="13"/>
  <c r="C23" i="13"/>
  <c r="C25" i="13"/>
  <c r="C22" i="13"/>
  <c r="C26" i="13"/>
  <c r="C128" i="13" l="1"/>
  <c r="C129" i="13"/>
  <c r="C127" i="13"/>
  <c r="C126" i="13"/>
  <c r="C613" i="13" l="1"/>
  <c r="C616" i="13"/>
  <c r="C176" i="13"/>
  <c r="C612" i="13"/>
  <c r="C171" i="13"/>
  <c r="C172" i="13"/>
  <c r="C615" i="13"/>
  <c r="C175" i="13"/>
  <c r="C173" i="13"/>
  <c r="C174" i="13"/>
  <c r="C614" i="13"/>
  <c r="C296" i="13" l="1"/>
  <c r="C101" i="13" l="1"/>
  <c r="C688" i="13" l="1"/>
  <c r="D231" i="13"/>
  <c r="C232" i="13"/>
  <c r="C231" i="13"/>
  <c r="C239" i="13"/>
  <c r="C252" i="13"/>
  <c r="C230" i="13"/>
  <c r="C468" i="13"/>
  <c r="C400" i="13"/>
  <c r="C451" i="13"/>
  <c r="C679" i="13"/>
  <c r="C341" i="13"/>
  <c r="C353" i="13"/>
  <c r="C486" i="13"/>
  <c r="C668" i="13"/>
  <c r="C482" i="13"/>
  <c r="C555" i="13"/>
  <c r="C165" i="13"/>
  <c r="C449" i="13"/>
  <c r="C44" i="13"/>
  <c r="C99" i="13"/>
  <c r="C447" i="13"/>
  <c r="C662" i="13"/>
  <c r="C441" i="13"/>
  <c r="C217" i="13"/>
  <c r="C488" i="13"/>
  <c r="C499" i="13"/>
  <c r="C432" i="13"/>
  <c r="C619" i="13"/>
  <c r="C580" i="13"/>
  <c r="C439" i="13"/>
  <c r="C222" i="13"/>
  <c r="C360" i="13"/>
  <c r="D373" i="13"/>
  <c r="C530" i="13"/>
  <c r="C428" i="13"/>
  <c r="C240" i="13"/>
  <c r="C282" i="13"/>
  <c r="D637" i="13"/>
  <c r="C362" i="13"/>
  <c r="C484" i="13"/>
  <c r="C204" i="13"/>
  <c r="C370" i="13"/>
  <c r="C62" i="13"/>
  <c r="C446" i="13"/>
  <c r="C186" i="13"/>
  <c r="C89" i="13"/>
  <c r="C149" i="13"/>
  <c r="C658" i="13"/>
  <c r="C213" i="13"/>
  <c r="C550" i="13"/>
  <c r="C412" i="13"/>
  <c r="C104" i="13"/>
  <c r="C646" i="13"/>
  <c r="C611" i="13"/>
  <c r="C399" i="13"/>
  <c r="C427" i="13"/>
  <c r="C43" i="13"/>
  <c r="C500" i="13"/>
  <c r="C31" i="13"/>
  <c r="C544" i="13"/>
  <c r="D489" i="13"/>
  <c r="C85" i="13"/>
  <c r="C388" i="13"/>
  <c r="C603" i="13"/>
  <c r="C40" i="13"/>
  <c r="C525" i="13"/>
  <c r="C661" i="13"/>
  <c r="C462" i="13"/>
  <c r="C464" i="13"/>
  <c r="C670" i="13"/>
  <c r="D488" i="13"/>
  <c r="C593" i="13"/>
  <c r="C3" i="13"/>
  <c r="D467" i="13"/>
  <c r="C419" i="13"/>
  <c r="C340" i="13"/>
  <c r="C549" i="13"/>
  <c r="C33" i="13"/>
  <c r="C354" i="13"/>
  <c r="C665" i="13"/>
  <c r="C562" i="13"/>
  <c r="C317" i="13"/>
  <c r="C425" i="13"/>
  <c r="C624" i="13"/>
  <c r="C16" i="13"/>
  <c r="C420" i="13"/>
  <c r="C684" i="13"/>
  <c r="C405" i="13"/>
  <c r="C460" i="13"/>
  <c r="C79" i="13"/>
  <c r="C290" i="13"/>
  <c r="C498" i="13"/>
  <c r="C348" i="13"/>
  <c r="C629" i="13"/>
  <c r="C386" i="13"/>
  <c r="C632" i="13"/>
  <c r="C487" i="13"/>
  <c r="C566" i="13"/>
  <c r="C50" i="13"/>
  <c r="C375" i="13"/>
  <c r="C178" i="13"/>
  <c r="C140" i="13"/>
  <c r="C153" i="13"/>
  <c r="C287" i="13"/>
  <c r="D408" i="13"/>
  <c r="C161" i="13"/>
  <c r="C257" i="13"/>
  <c r="C202" i="13"/>
  <c r="C587" i="13"/>
  <c r="C600" i="13"/>
  <c r="C649" i="13"/>
  <c r="C223" i="13"/>
  <c r="C177" i="13"/>
  <c r="C626" i="13"/>
  <c r="C309" i="13"/>
  <c r="C609" i="13"/>
  <c r="C590" i="13"/>
  <c r="C71" i="13"/>
  <c r="C481" i="13"/>
  <c r="C627" i="13"/>
  <c r="C635" i="13"/>
  <c r="C210" i="13"/>
  <c r="C448" i="13"/>
  <c r="C179" i="13"/>
  <c r="C78" i="13"/>
  <c r="C263" i="13"/>
  <c r="C483" i="13"/>
  <c r="C669" i="13"/>
  <c r="C677" i="13"/>
  <c r="C156" i="13"/>
  <c r="C676" i="13"/>
  <c r="C578" i="13"/>
  <c r="C344" i="13"/>
  <c r="C158" i="13"/>
  <c r="C273" i="13"/>
  <c r="C672" i="13"/>
  <c r="C473" i="13"/>
  <c r="C283" i="13"/>
  <c r="C687" i="13"/>
  <c r="C244" i="13"/>
  <c r="C63" i="13"/>
  <c r="C52" i="13"/>
  <c r="C166" i="13"/>
  <c r="C281" i="13"/>
  <c r="C147" i="13"/>
  <c r="D636" i="13"/>
  <c r="C328" i="13"/>
  <c r="C155" i="13"/>
  <c r="C49" i="13"/>
  <c r="C277" i="13"/>
  <c r="C364" i="13"/>
  <c r="C430" i="13"/>
  <c r="C121" i="13"/>
  <c r="C556" i="13"/>
  <c r="C650" i="13"/>
  <c r="C458" i="13"/>
  <c r="C398" i="13"/>
  <c r="C539" i="13"/>
  <c r="C521" i="13"/>
  <c r="C437" i="13"/>
  <c r="C278" i="13"/>
  <c r="C285" i="13"/>
  <c r="C479" i="13"/>
  <c r="C92" i="13"/>
  <c r="C306" i="13"/>
  <c r="C163" i="13"/>
  <c r="C366" i="13"/>
  <c r="C633" i="13"/>
  <c r="C319" i="13"/>
  <c r="C120" i="13"/>
  <c r="C594" i="13"/>
  <c r="C134" i="13"/>
  <c r="C379" i="13"/>
  <c r="C325" i="13"/>
  <c r="C335" i="13"/>
  <c r="C643" i="13"/>
  <c r="C517" i="13"/>
  <c r="C506" i="13"/>
  <c r="C255" i="13"/>
  <c r="C72" i="13"/>
  <c r="C225" i="13"/>
  <c r="C297" i="13"/>
  <c r="C554" i="13"/>
  <c r="C310" i="13"/>
  <c r="C345" i="13"/>
  <c r="C67" i="13"/>
  <c r="C567" i="13"/>
  <c r="D93" i="13"/>
  <c r="C205" i="13"/>
  <c r="C350" i="13"/>
  <c r="C332" i="13"/>
  <c r="C326" i="13"/>
  <c r="C563" i="13"/>
  <c r="C514" i="13"/>
  <c r="C215" i="13"/>
  <c r="C588" i="13"/>
  <c r="C141" i="13"/>
  <c r="D633" i="13"/>
  <c r="C103" i="13"/>
  <c r="C74" i="13"/>
  <c r="C197" i="13"/>
  <c r="C245" i="13"/>
  <c r="C698" i="13"/>
  <c r="C154" i="13"/>
  <c r="C652" i="13"/>
  <c r="C394" i="13"/>
  <c r="C367" i="13"/>
  <c r="C408" i="13"/>
  <c r="C655" i="13"/>
  <c r="C168" i="13"/>
  <c r="C369" i="13"/>
  <c r="D481" i="13"/>
  <c r="C181" i="13"/>
  <c r="C569" i="13"/>
  <c r="C251" i="13"/>
  <c r="C114" i="13"/>
  <c r="C573" i="13"/>
  <c r="C382" i="13"/>
  <c r="C552" i="13"/>
  <c r="C531" i="13"/>
  <c r="C489" i="13"/>
  <c r="C570" i="13"/>
  <c r="C639" i="13"/>
  <c r="C583" i="13"/>
  <c r="C106" i="13"/>
  <c r="C561" i="13"/>
  <c r="C475" i="13"/>
  <c r="C330" i="13"/>
  <c r="C546" i="13"/>
  <c r="C604" i="13"/>
  <c r="C115" i="13"/>
  <c r="C242" i="13"/>
  <c r="C494" i="13"/>
  <c r="C605" i="13"/>
  <c r="C57" i="13"/>
  <c r="C524" i="13"/>
  <c r="C478" i="13"/>
  <c r="C218" i="13"/>
  <c r="C69" i="13"/>
  <c r="D631" i="13"/>
  <c r="C647" i="13"/>
  <c r="C73" i="13"/>
  <c r="C376" i="13"/>
  <c r="C429" i="13"/>
  <c r="C496" i="13"/>
  <c r="C542" i="13"/>
  <c r="C77" i="13"/>
  <c r="C93" i="13"/>
  <c r="C565" i="13"/>
  <c r="C493" i="13"/>
  <c r="C638" i="13"/>
  <c r="C68" i="13"/>
  <c r="C540" i="13"/>
  <c r="C268" i="13"/>
  <c r="C209" i="13"/>
  <c r="C466" i="13"/>
  <c r="C406" i="13"/>
  <c r="C444" i="13"/>
  <c r="C220" i="13"/>
  <c r="C14" i="13"/>
  <c r="C373" i="13"/>
  <c r="C160" i="13"/>
  <c r="C508" i="13"/>
  <c r="C266" i="13"/>
  <c r="C417" i="13"/>
  <c r="C433" i="13"/>
  <c r="C618" i="13"/>
  <c r="D567" i="13"/>
  <c r="C685" i="13"/>
  <c r="C585" i="13"/>
  <c r="C307" i="13"/>
  <c r="C323" i="13"/>
  <c r="C264" i="13"/>
  <c r="C654" i="13"/>
  <c r="C640" i="13"/>
  <c r="C601" i="13"/>
  <c r="C250" i="13"/>
  <c r="C105" i="13"/>
  <c r="C390" i="13"/>
  <c r="C152" i="13"/>
  <c r="C641" i="13"/>
  <c r="C295" i="13"/>
  <c r="C131" i="13"/>
  <c r="C440" i="13"/>
  <c r="C356" i="13"/>
  <c r="C298" i="13"/>
  <c r="C118" i="13"/>
  <c r="C518" i="13"/>
  <c r="C111" i="13"/>
  <c r="C316" i="13"/>
  <c r="C395" i="13"/>
  <c r="C472" i="13"/>
  <c r="C194" i="13"/>
  <c r="C407" i="13"/>
  <c r="C191" i="13"/>
  <c r="C526" i="13"/>
  <c r="C436" i="13"/>
  <c r="C581" i="13"/>
  <c r="C214" i="13"/>
  <c r="C48" i="13"/>
  <c r="C352" i="13"/>
  <c r="C628" i="13"/>
  <c r="C61" i="13"/>
  <c r="C465" i="13"/>
  <c r="C112" i="13"/>
  <c r="C30" i="13"/>
  <c r="C359" i="13"/>
  <c r="C645" i="13"/>
  <c r="C192" i="13"/>
  <c r="C387" i="13"/>
  <c r="C597" i="13"/>
  <c r="C187" i="13"/>
  <c r="C212" i="13"/>
  <c r="C651" i="13"/>
  <c r="C339" i="13"/>
  <c r="C571" i="13"/>
  <c r="C331" i="13"/>
  <c r="C324" i="13"/>
  <c r="C150" i="13"/>
  <c r="C243" i="13"/>
  <c r="C249" i="13"/>
  <c r="C490" i="13"/>
  <c r="C397" i="13"/>
  <c r="C422" i="13"/>
  <c r="C327" i="13"/>
  <c r="C383" i="13"/>
  <c r="C122" i="13"/>
  <c r="C680" i="13"/>
  <c r="C190" i="13"/>
  <c r="C608" i="13"/>
  <c r="C431" i="13"/>
  <c r="C189" i="13"/>
  <c r="C361" i="13"/>
  <c r="C599" i="13"/>
  <c r="C533" i="13"/>
  <c r="C445" i="13"/>
  <c r="C358" i="13"/>
  <c r="C343" i="13"/>
  <c r="C365" i="13"/>
  <c r="C697" i="13"/>
  <c r="C302" i="13"/>
  <c r="C45" i="13"/>
  <c r="C211" i="13"/>
  <c r="C423" i="13"/>
  <c r="C470" i="13"/>
  <c r="C337" i="13"/>
  <c r="C528" i="13"/>
  <c r="C529" i="13"/>
  <c r="C183" i="13"/>
  <c r="C234" i="13"/>
  <c r="C196" i="13"/>
  <c r="C224" i="13"/>
  <c r="C602" i="13"/>
  <c r="C621" i="13"/>
  <c r="C694" i="13"/>
  <c r="C84" i="13"/>
  <c r="C308" i="13"/>
  <c r="C403" i="13"/>
  <c r="C543" i="13"/>
  <c r="C598" i="13"/>
  <c r="C560" i="13"/>
  <c r="C559" i="13"/>
  <c r="C471" i="13"/>
  <c r="C47" i="13"/>
  <c r="C304" i="13"/>
  <c r="C247" i="13"/>
  <c r="C512" i="13"/>
  <c r="C228" i="13"/>
  <c r="C553" i="13"/>
  <c r="C510" i="13"/>
  <c r="C34" i="13"/>
  <c r="C91" i="13"/>
  <c r="C511" i="13"/>
  <c r="C116" i="13"/>
  <c r="C291" i="13"/>
  <c r="C42" i="13"/>
  <c r="C660" i="13"/>
  <c r="C271" i="13"/>
  <c r="C279" i="13"/>
  <c r="C415" i="13"/>
  <c r="C208" i="13"/>
  <c r="C88" i="13"/>
  <c r="C229" i="13"/>
  <c r="C276" i="13"/>
  <c r="C32" i="13"/>
  <c r="C293" i="13"/>
  <c r="C409" i="13"/>
  <c r="C476" i="13"/>
  <c r="C261" i="13"/>
  <c r="C693" i="13"/>
  <c r="C253" i="13"/>
  <c r="C522" i="13"/>
  <c r="C568" i="13"/>
  <c r="C452" i="13"/>
  <c r="C381" i="13"/>
  <c r="C272" i="13"/>
  <c r="C124" i="13"/>
  <c r="C411" i="13"/>
  <c r="C435" i="13"/>
  <c r="C303" i="13"/>
  <c r="C467" i="13"/>
  <c r="C355" i="13"/>
  <c r="C368" i="13"/>
  <c r="C648" i="13"/>
  <c r="C241" i="13"/>
  <c r="C248" i="13"/>
  <c r="C663" i="13"/>
  <c r="C584" i="13"/>
  <c r="D482" i="13"/>
  <c r="C456" i="13"/>
  <c r="C686" i="13"/>
  <c r="C314" i="13"/>
  <c r="C87" i="13"/>
  <c r="C201" i="13"/>
  <c r="C146" i="13"/>
  <c r="C41" i="13"/>
  <c r="C125" i="13"/>
  <c r="C301" i="13"/>
  <c r="C58" i="13"/>
  <c r="C37" i="13"/>
  <c r="C258" i="13"/>
  <c r="C193" i="13"/>
  <c r="C346" i="13"/>
  <c r="C151" i="13"/>
  <c r="C631" i="13"/>
  <c r="C690" i="13"/>
  <c r="C656" i="13"/>
  <c r="C117" i="13"/>
  <c r="C410" i="13"/>
  <c r="C380" i="13"/>
  <c r="C674" i="13"/>
  <c r="C673" i="13"/>
  <c r="C83" i="13"/>
  <c r="C144" i="13"/>
  <c r="C692" i="13"/>
  <c r="C70" i="13"/>
  <c r="C59" i="13"/>
  <c r="C414" i="13"/>
  <c r="C349" i="13"/>
  <c r="C634" i="13"/>
  <c r="C657" i="13"/>
  <c r="C102" i="13"/>
  <c r="C284" i="13"/>
  <c r="C94" i="13"/>
  <c r="C572" i="13"/>
  <c r="C60" i="13"/>
  <c r="C455" i="13"/>
  <c r="C137" i="13"/>
  <c r="C182" i="13"/>
  <c r="C691" i="13"/>
  <c r="C537" i="13"/>
  <c r="C46" i="13"/>
  <c r="C288" i="13"/>
  <c r="C392" i="13"/>
  <c r="C625" i="13"/>
  <c r="D409" i="13"/>
  <c r="C520" i="13"/>
  <c r="C221" i="13"/>
  <c r="C305" i="13"/>
  <c r="C267" i="13"/>
  <c r="C374" i="13"/>
  <c r="C254" i="13"/>
  <c r="C233" i="13"/>
  <c r="C413" i="13"/>
  <c r="C270" i="13"/>
  <c r="C274" i="13"/>
  <c r="C461" i="13"/>
  <c r="C477" i="13"/>
  <c r="C644" i="13"/>
  <c r="C227" i="13"/>
  <c r="C300" i="13"/>
  <c r="C256" i="13"/>
  <c r="C505" i="13"/>
  <c r="C536" i="13"/>
  <c r="C426" i="13"/>
  <c r="C235" i="13"/>
  <c r="C404" i="13"/>
  <c r="C357" i="13"/>
  <c r="C377" i="13"/>
  <c r="C313" i="13"/>
  <c r="C682" i="13"/>
  <c r="C527" i="13"/>
  <c r="C401" i="13"/>
  <c r="D140" i="13"/>
  <c r="C564" i="13"/>
  <c r="C39" i="13"/>
  <c r="C269" i="13"/>
  <c r="C459" i="13"/>
  <c r="C143" i="13"/>
  <c r="C139" i="13"/>
  <c r="C260" i="13"/>
  <c r="C292" i="13"/>
  <c r="C485" i="13"/>
  <c r="C586" i="13"/>
  <c r="C342" i="13"/>
  <c r="C607" i="13"/>
  <c r="C541" i="13"/>
  <c r="C384" i="13"/>
  <c r="C372" i="13"/>
  <c r="C36" i="13"/>
  <c r="C294" i="13"/>
  <c r="C480" i="13"/>
  <c r="C135" i="13"/>
  <c r="C659" i="13"/>
  <c r="C557" i="13"/>
  <c r="C56" i="13"/>
  <c r="C576" i="13"/>
  <c r="C180" i="13"/>
  <c r="C320" i="13"/>
  <c r="C76" i="13"/>
  <c r="C130" i="13"/>
  <c r="C453" i="13"/>
  <c r="C200" i="13"/>
  <c r="C275" i="13"/>
  <c r="C289" i="13"/>
  <c r="D479" i="13"/>
  <c r="C206" i="13"/>
  <c r="C136" i="13"/>
  <c r="C280" i="13"/>
  <c r="C75" i="13"/>
  <c r="C507" i="13"/>
  <c r="C620" i="13"/>
  <c r="C617" i="13"/>
  <c r="C185" i="13"/>
  <c r="C110" i="13"/>
  <c r="C501" i="13"/>
  <c r="C107" i="13"/>
  <c r="C491" i="13"/>
  <c r="C347" i="13"/>
  <c r="C219" i="13"/>
  <c r="C416" i="13"/>
  <c r="C329" i="13"/>
  <c r="C622" i="13"/>
  <c r="C534" i="13"/>
  <c r="C238" i="13"/>
  <c r="C35" i="13"/>
  <c r="C145" i="13"/>
  <c r="D480" i="13"/>
  <c r="C421" i="13"/>
  <c r="C262" i="13"/>
  <c r="C199" i="13"/>
  <c r="C119" i="13"/>
  <c r="C509" i="13"/>
  <c r="C575" i="13"/>
  <c r="C385" i="13"/>
  <c r="C513" i="13"/>
  <c r="C65" i="13"/>
  <c r="C299" i="13"/>
  <c r="C236" i="13"/>
  <c r="C338" i="13"/>
  <c r="C389" i="13"/>
  <c r="C523" i="13"/>
  <c r="C434" i="13"/>
  <c r="C503" i="13"/>
  <c r="C169" i="13"/>
  <c r="C469" i="13"/>
  <c r="C162" i="13"/>
  <c r="C246" i="13"/>
  <c r="C226" i="13"/>
  <c r="C371" i="13"/>
  <c r="C516" i="13"/>
  <c r="C54" i="13"/>
  <c r="C551" i="13"/>
  <c r="C391" i="13"/>
  <c r="C55" i="13"/>
  <c r="C237" i="13"/>
  <c r="C15" i="13"/>
  <c r="C167" i="13"/>
  <c r="C123" i="13"/>
  <c r="C582" i="13"/>
  <c r="C322" i="13"/>
  <c r="D94" i="13"/>
  <c r="C545" i="13"/>
  <c r="C198" i="13"/>
  <c r="C188" i="13"/>
  <c r="C311" i="13"/>
  <c r="C592" i="13"/>
  <c r="C321" i="13"/>
  <c r="D372" i="13"/>
  <c r="D410" i="13"/>
  <c r="C630" i="13"/>
  <c r="C495" i="13"/>
  <c r="D669" i="13"/>
  <c r="C402" i="13"/>
  <c r="C548" i="13"/>
  <c r="C689" i="13"/>
  <c r="C504" i="13"/>
  <c r="C535" i="13"/>
  <c r="C683" i="13"/>
  <c r="C133" i="13"/>
  <c r="C207" i="13"/>
  <c r="C538" i="13"/>
  <c r="C259" i="13"/>
  <c r="C502" i="13"/>
  <c r="C438" i="13"/>
  <c r="C577" i="13"/>
  <c r="C558" i="13"/>
  <c r="C351" i="13"/>
  <c r="C138" i="13"/>
  <c r="C579" i="13"/>
  <c r="C442" i="13"/>
  <c r="C667" i="13"/>
  <c r="C532" i="13"/>
  <c r="C318" i="13"/>
  <c r="C418" i="13"/>
  <c r="C696" i="13"/>
  <c r="C51" i="13"/>
  <c r="C265" i="13"/>
  <c r="C678" i="13"/>
  <c r="C170" i="13"/>
  <c r="C109" i="13"/>
  <c r="C90" i="13"/>
  <c r="C463" i="13"/>
  <c r="C589" i="13"/>
  <c r="C142" i="13"/>
  <c r="C610" i="13"/>
  <c r="C596" i="13"/>
  <c r="C457" i="13"/>
  <c r="C80" i="13"/>
  <c r="C653" i="13"/>
  <c r="C664" i="13"/>
  <c r="C450" i="13"/>
  <c r="C606" i="13"/>
  <c r="C53" i="13"/>
  <c r="C492" i="13"/>
  <c r="C159" i="13"/>
  <c r="C591" i="13"/>
  <c r="C195" i="13"/>
  <c r="C216" i="13"/>
  <c r="C86" i="13"/>
  <c r="C132" i="13"/>
  <c r="C363" i="13"/>
  <c r="C336" i="13"/>
  <c r="C312" i="13"/>
  <c r="C157" i="13"/>
  <c r="C675" i="13"/>
  <c r="C393" i="13"/>
  <c r="C636" i="13"/>
  <c r="C108" i="13"/>
  <c r="C396" i="13"/>
  <c r="C474" i="13"/>
  <c r="C497" i="13"/>
  <c r="C378" i="13"/>
  <c r="C642" i="13"/>
  <c r="C113" i="13"/>
  <c r="C623" i="13"/>
  <c r="C547" i="13"/>
  <c r="C695" i="13"/>
  <c r="C519" i="13"/>
  <c r="C454" i="13"/>
  <c r="C595" i="13"/>
  <c r="C637" i="13"/>
  <c r="C315" i="13"/>
  <c r="C66" i="13"/>
  <c r="C443" i="13"/>
  <c r="C184" i="13"/>
  <c r="C164" i="13"/>
  <c r="D478" i="13"/>
  <c r="C574" i="13"/>
  <c r="C671" i="13"/>
  <c r="D632" i="13"/>
  <c r="C666" i="13"/>
  <c r="C203" i="13"/>
  <c r="C81" i="13"/>
  <c r="C424" i="13"/>
  <c r="C515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tc={38D936CF-C518-43A1-A3CF-273F3C754A57}</author>
    <author>tc={D2ED7434-10C2-451B-AB49-068BAFB395E5}</author>
    <author>tc={BE6F4F1D-5246-40FF-B6A5-ACE50E71FE5C}</author>
    <author>Eduardo Cuevas</author>
    <author>tc={6C74435E-35A0-4846-A1B9-484A4E3E97D6}</author>
    <author>tc={B71ABC16-9B91-4FDD-981D-8FC059AA72E2}</author>
    <author>tc={E8686A6E-D6C7-457E-A3F4-485097C5379D}</author>
  </authors>
  <commentList>
    <comment ref="N87" authorId="0" shapeId="0" xr:uid="{38D936CF-C518-43A1-A3CF-273F3C754A5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Antes 23.599</t>
      </text>
    </comment>
    <comment ref="N88" authorId="1" shapeId="0" xr:uid="{D2ED7434-10C2-451B-AB49-068BAFB395E5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Antes 30.544</t>
      </text>
    </comment>
    <comment ref="O142" authorId="2" shapeId="0" xr:uid="{BE6F4F1D-5246-40FF-B6A5-ACE50E71FE5C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Reemplazan facturas anteriores dado que cliente indica rechazo de ellas.</t>
      </text>
    </comment>
    <comment ref="O249" authorId="3" shapeId="0" xr:uid="{1F7C7FEC-A45E-40C2-A8DF-95727F0D7C4A}">
      <text>
        <r>
          <rPr>
            <b/>
            <sz val="9"/>
            <color indexed="81"/>
            <rFont val="Tahoma"/>
            <family val="2"/>
          </rPr>
          <t>Eduardo Cuevas:</t>
        </r>
        <r>
          <rPr>
            <sz val="9"/>
            <color indexed="81"/>
            <rFont val="Tahoma"/>
            <family val="2"/>
          </rPr>
          <t xml:space="preserve">
Antes tenía la 379</t>
        </r>
      </text>
    </comment>
    <comment ref="P249" authorId="3" shapeId="0" xr:uid="{6038A0DE-C314-40E6-A3FE-E7CBD06B8720}">
      <text>
        <r>
          <rPr>
            <b/>
            <sz val="9"/>
            <color indexed="81"/>
            <rFont val="Tahoma"/>
            <family val="2"/>
          </rPr>
          <t>Eduardo Cuevas:</t>
        </r>
        <r>
          <rPr>
            <sz val="9"/>
            <color indexed="81"/>
            <rFont val="Tahoma"/>
            <family val="2"/>
          </rPr>
          <t xml:space="preserve">
Fecha factura anterior 09-01-26</t>
        </r>
      </text>
    </comment>
    <comment ref="N334" authorId="4" shapeId="0" xr:uid="{6C74435E-35A0-4846-A1B9-484A4E3E97D6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Monto no está en POM2024, es una emisión de USA, desconozco a que corresponde</t>
      </text>
    </comment>
    <comment ref="U369" authorId="3" shapeId="0" xr:uid="{891C1B3E-87E7-47E3-890D-250A21F0EA7A}">
      <text>
        <r>
          <rPr>
            <b/>
            <sz val="9"/>
            <color indexed="81"/>
            <rFont val="Tahoma"/>
            <family val="2"/>
          </rPr>
          <t>Eduardo Cuevas:</t>
        </r>
        <r>
          <rPr>
            <sz val="9"/>
            <color indexed="81"/>
            <rFont val="Tahoma"/>
            <family val="2"/>
          </rPr>
          <t xml:space="preserve">
Pagada a finales de mayo 2024</t>
        </r>
      </text>
    </comment>
    <comment ref="D485" authorId="5" shapeId="0" xr:uid="{B71ABC16-9B91-4FDD-981D-8FC059AA72E2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@Eduardo Cuevas @Jessica Rojas es el nuevoe proyecto, cambiar el nombre lo cual se le considerará en el teams</t>
      </text>
    </comment>
    <comment ref="U543" authorId="3" shapeId="0" xr:uid="{7A801609-C8C2-4766-953C-D10959756ED2}">
      <text>
        <r>
          <rPr>
            <b/>
            <sz val="9"/>
            <color indexed="81"/>
            <rFont val="Tahoma"/>
            <family val="2"/>
          </rPr>
          <t>Eduardo Cuevas:</t>
        </r>
        <r>
          <rPr>
            <sz val="9"/>
            <color indexed="81"/>
            <rFont val="Tahoma"/>
            <family val="2"/>
          </rPr>
          <t xml:space="preserve">
Corresponde a las despensas reembolsables de los BM 2,3 y 7</t>
        </r>
      </text>
    </comment>
    <comment ref="P553" authorId="6" shapeId="0" xr:uid="{E8686A6E-D6C7-457E-A3F4-485097C5379D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Facturacion real el 22/07 pero no se habia reportado con ese nivel de detalle. EC con licencia, CF de vacaciones.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tc={73C94065-A3CC-42DE-BEE9-1BE60AF66707}</author>
  </authors>
  <commentList>
    <comment ref="J2" authorId="0" shapeId="0" xr:uid="{73C94065-A3CC-42DE-BEE9-1BE60AF6670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No considera efecto BVI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<sst xmlns="http://schemas.openxmlformats.org/spreadsheetml/2006/main" count="3724" uniqueCount="909">
  <si>
    <t>Proyecto</t>
  </si>
  <si>
    <t>AARR</t>
  </si>
  <si>
    <t>Actualizacion LOM Raura</t>
  </si>
  <si>
    <t>Algarrobo</t>
  </si>
  <si>
    <t>Cajati</t>
  </si>
  <si>
    <t>Candelaria Diagnostico</t>
  </si>
  <si>
    <t>Candelaria Estandar</t>
  </si>
  <si>
    <t>Candelaria Pilares</t>
  </si>
  <si>
    <t>CMP Estandar</t>
  </si>
  <si>
    <t>Compilación R&amp;R Mina Justa</t>
  </si>
  <si>
    <t>Compilación R&amp;R Mina Pucamarca</t>
  </si>
  <si>
    <t>Compilación R&amp;R Mina Raura</t>
  </si>
  <si>
    <t>Compilación R&amp;R Mina San Rafael</t>
  </si>
  <si>
    <t>Plan 2YB - Spence</t>
  </si>
  <si>
    <t>Desarrollo casos LOM UM Raura</t>
  </si>
  <si>
    <t>Desarrollo del Plan de Minado</t>
  </si>
  <si>
    <t>Desarrollo plan LOM en Reservas</t>
  </si>
  <si>
    <t>Estudio con Faja Transportadora</t>
  </si>
  <si>
    <t>FEL 2A</t>
  </si>
  <si>
    <t>LOM CNN</t>
  </si>
  <si>
    <t>LOM MLC</t>
  </si>
  <si>
    <t>Lomas Bayas</t>
  </si>
  <si>
    <t>MARA</t>
  </si>
  <si>
    <t>Mina Justa</t>
  </si>
  <si>
    <t>MLP</t>
  </si>
  <si>
    <t>Modificacion MEIA Yauricocha</t>
  </si>
  <si>
    <t>NordGold</t>
  </si>
  <si>
    <t>Norilsk 1</t>
  </si>
  <si>
    <t>Oktyabrsky</t>
  </si>
  <si>
    <t>Planificacion Minera Subterranea</t>
  </si>
  <si>
    <t>Raura Modelo Operacional</t>
  </si>
  <si>
    <t>Romeral</t>
  </si>
  <si>
    <t>San Rafael Contrato Marco</t>
  </si>
  <si>
    <t>San Rafael Modelo Operacional</t>
  </si>
  <si>
    <t>Servicio Enoteca</t>
  </si>
  <si>
    <t>MEL</t>
  </si>
  <si>
    <t>Sistema de Gestion de Avances (AESA)</t>
  </si>
  <si>
    <t>Minsur_SIMPREP San Rafael</t>
  </si>
  <si>
    <t>Codelco_Falla Oeste</t>
  </si>
  <si>
    <t>Codelco_Panel Central</t>
  </si>
  <si>
    <t>Sierra Metals_Plan de Minado</t>
  </si>
  <si>
    <t>Mosaic_Taquari Vassouras</t>
  </si>
  <si>
    <t>NEXA_FEL2 Aripuana</t>
  </si>
  <si>
    <t>Minsur_Forecast_Budget24</t>
  </si>
  <si>
    <t>RDP</t>
  </si>
  <si>
    <t>AMSA_Planificación</t>
  </si>
  <si>
    <t>MEIA Coripuno</t>
  </si>
  <si>
    <t>PFS Los Calatos</t>
  </si>
  <si>
    <t>N</t>
  </si>
  <si>
    <t>Código</t>
  </si>
  <si>
    <t>Cliente</t>
  </si>
  <si>
    <t>País</t>
  </si>
  <si>
    <t>Año</t>
  </si>
  <si>
    <t>Proyección</t>
  </si>
  <si>
    <t>Fecha Proyeccion</t>
  </si>
  <si>
    <t>Proyectado USD</t>
  </si>
  <si>
    <t>Emisión</t>
  </si>
  <si>
    <t>Fecha Emisión</t>
  </si>
  <si>
    <t>N°EDP</t>
  </si>
  <si>
    <t>Emitido USD</t>
  </si>
  <si>
    <t>N° Factura</t>
  </si>
  <si>
    <t>Fecha Facturación</t>
  </si>
  <si>
    <t>Facturación</t>
  </si>
  <si>
    <t>Facturado USD</t>
  </si>
  <si>
    <t>Pagado</t>
  </si>
  <si>
    <t>Fecha Ingreso</t>
  </si>
  <si>
    <t>Ingresado USD</t>
  </si>
  <si>
    <t xml:space="preserve">Observaciones </t>
  </si>
  <si>
    <t>BR-MOS-OU-FEL03-026-A</t>
  </si>
  <si>
    <t>Pendiente</t>
  </si>
  <si>
    <t>Pendiente enteder la diferencia respecto a emisión</t>
  </si>
  <si>
    <t>BR-MOS-UG-FEL01-028-A</t>
  </si>
  <si>
    <t>BR-NEX-UG-FEL2A-027-A</t>
  </si>
  <si>
    <t>CH-CMP-OU-FEL00-001-A</t>
  </si>
  <si>
    <t>-</t>
  </si>
  <si>
    <t>CH-CMP-OT-FEL03-002-A</t>
  </si>
  <si>
    <t>Se emite la diferencia por 100% del proyecto</t>
  </si>
  <si>
    <t>Aprobación de NOC 2</t>
  </si>
  <si>
    <t>CH-AMS-CS-OTR00-029-A</t>
  </si>
  <si>
    <t>CH-LUN-CS-OTR00-007-A</t>
  </si>
  <si>
    <t>Enviado para revision interna EdP 1</t>
  </si>
  <si>
    <t>CH-LUN-CS-OTR00-004-A</t>
  </si>
  <si>
    <t>Resuelto</t>
  </si>
  <si>
    <t>CH-LUN-GM-OTR00-005-A</t>
  </si>
  <si>
    <t>CH-CMP-CS-OTR00-006-A</t>
  </si>
  <si>
    <t xml:space="preserve">Incluye gastos reembolsables </t>
  </si>
  <si>
    <t>CH-CMP-CS-FEL00-040-A</t>
  </si>
  <si>
    <t>CH-CMP-CS-FEL00-038-A</t>
  </si>
  <si>
    <t>CH-COD-UG-FEL00-037-A</t>
  </si>
  <si>
    <t>Cliente solicita valoriza al 50% del valor de proyecto</t>
  </si>
  <si>
    <t>CH-COD-UG-FEL01-039-A</t>
  </si>
  <si>
    <t>CH-COD-UG-FEL01-031-A</t>
  </si>
  <si>
    <t>CH-COD-UG-FEL01-032-A</t>
  </si>
  <si>
    <t>CH-COD-OT-OTR00-030-A</t>
  </si>
  <si>
    <t>CH-CMP-OU-FEL2A-033-A</t>
  </si>
  <si>
    <t>Se genera nota de credito por factura 78 (presentaba un error)</t>
  </si>
  <si>
    <t>Contractual + Adicionales Update modelos</t>
  </si>
  <si>
    <t>CH-CMP-OP-FEL03-010-A</t>
  </si>
  <si>
    <t>Se cobraré en contrato de Plan Largo Plazo Los Colorados (LoM)</t>
  </si>
  <si>
    <t>CH-CMP-OP-FEL03-011-A</t>
  </si>
  <si>
    <t>CH-GLE-OP-FEL01-012-A</t>
  </si>
  <si>
    <t>CH-FLU-CD-OTR00-013-A</t>
  </si>
  <si>
    <t>CH-AMS-OP-FEL01-014-A</t>
  </si>
  <si>
    <t>CH-BHP-CD-OTR00-003-A</t>
  </si>
  <si>
    <t>CH-COD-UG-OTR00-003-B</t>
  </si>
  <si>
    <t>CH-CMP-OT-OTR00-025-A</t>
  </si>
  <si>
    <t>CH-CMP-OP-OTR00-018-A</t>
  </si>
  <si>
    <t>CH-BHP-CD-OTR00-020-A</t>
  </si>
  <si>
    <t>PE-MSR-UG-FEL03-008-A</t>
  </si>
  <si>
    <t>E001-206</t>
  </si>
  <si>
    <t>PE-MSR-OT-OTR00-019-A</t>
  </si>
  <si>
    <t>E001-181</t>
  </si>
  <si>
    <t>E001-194</t>
  </si>
  <si>
    <t>Se respondió en la misma factura</t>
  </si>
  <si>
    <t>E001-182</t>
  </si>
  <si>
    <t>E001-187</t>
  </si>
  <si>
    <t>E001-197</t>
  </si>
  <si>
    <t>PE-MSR-UG-OTR00-003-C</t>
  </si>
  <si>
    <t>E001-174</t>
  </si>
  <si>
    <t>PE-SME-UG-OTR00-003-F</t>
  </si>
  <si>
    <t>E001-188</t>
  </si>
  <si>
    <t>El dia 30/06 se envio el EDP / el 20-11 se conversó con el cliente para que regularic el pago (es pago directo, no hay HES)</t>
  </si>
  <si>
    <t>PE-MSR-OT-OTR00-003-E</t>
  </si>
  <si>
    <t>E001-184</t>
  </si>
  <si>
    <t>E001-183</t>
  </si>
  <si>
    <t>PE-BRO-OT-OTR00-003-D</t>
  </si>
  <si>
    <t>E001-173</t>
  </si>
  <si>
    <t>E001-179</t>
  </si>
  <si>
    <t>PE-MMG-OU-FEL00-022-A</t>
  </si>
  <si>
    <t>PE-COR-UG-FEL2A-035-A</t>
  </si>
  <si>
    <t>PE-MSR-OP-OTR00-024-A</t>
  </si>
  <si>
    <t>E001-189</t>
  </si>
  <si>
    <t>E001-193</t>
  </si>
  <si>
    <t>E001-199</t>
  </si>
  <si>
    <t>E001-204</t>
  </si>
  <si>
    <t>PE-MSR-UG-FEL03-036-A</t>
  </si>
  <si>
    <t>PE-MSR-CS-OTR00-062-A</t>
  </si>
  <si>
    <t>PE-MSR-UG-OTR00-045-A</t>
  </si>
  <si>
    <t>E001-205</t>
  </si>
  <si>
    <t>PE-MMA-OP-FEL00-047-A</t>
  </si>
  <si>
    <t>PE-SME-UG-OTR00-021-A</t>
  </si>
  <si>
    <t>E001-178</t>
  </si>
  <si>
    <t>PE-CSC-UG-FEL2A-023-A</t>
  </si>
  <si>
    <t>En el EDP1 se considerará el anticipo del 10%</t>
  </si>
  <si>
    <t>PE-MSR-UG-OTR00-042-A</t>
  </si>
  <si>
    <t>E001-170</t>
  </si>
  <si>
    <t>E001-171</t>
  </si>
  <si>
    <t>E001-176</t>
  </si>
  <si>
    <t>E001-180</t>
  </si>
  <si>
    <t>E001-196</t>
  </si>
  <si>
    <t>PE-MSR-UG-OTR00-043-A</t>
  </si>
  <si>
    <t>E001-186</t>
  </si>
  <si>
    <t>PE-MSR-UG-OTR00-044-A</t>
  </si>
  <si>
    <t>E001-185</t>
  </si>
  <si>
    <t>E001-192</t>
  </si>
  <si>
    <t>E001-201</t>
  </si>
  <si>
    <t>El dia 29/02 llegó un correo del cliente donde emite la Orden de Cambio / a petición de cliente se separo el monto en 2 EDP</t>
  </si>
  <si>
    <t>E001-203</t>
  </si>
  <si>
    <t>PE-SME-UG-FEL2A-046-A</t>
  </si>
  <si>
    <t>El cliente desea que la totalidad del proyecto este en un EDP</t>
  </si>
  <si>
    <t>E001-177</t>
  </si>
  <si>
    <t>E001-207</t>
  </si>
  <si>
    <t>E001-200</t>
  </si>
  <si>
    <t>RU-OTR-UG-FEL2A-015-A</t>
  </si>
  <si>
    <t>s/F</t>
  </si>
  <si>
    <t>Consultar a Olesya</t>
  </si>
  <si>
    <t>RU-OTR-GM-FEL01-016-A</t>
  </si>
  <si>
    <t>50% restante para 92 dias posteriores al pago. Fecha proyectada 18-09-23</t>
  </si>
  <si>
    <t>Pago proyectado a finales de Agosto 2023. A partir de ahí se emite segundo cobro por USD 29.854</t>
  </si>
  <si>
    <t>RU-OTR-GM-FEL01-017-A</t>
  </si>
  <si>
    <t>OT-IEL-UG-FEL2A-060-A</t>
  </si>
  <si>
    <t>Años (Fecha Ingreso)</t>
  </si>
  <si>
    <t>Suma de Ingresado USD</t>
  </si>
  <si>
    <t>Etiquetas de columna</t>
  </si>
  <si>
    <t>Etiquetas de fila</t>
  </si>
  <si>
    <t>ene</t>
  </si>
  <si>
    <t>feb</t>
  </si>
  <si>
    <t>Total general</t>
  </si>
  <si>
    <t>AMSA_Contrato Marco</t>
  </si>
  <si>
    <t>AMSA_Trade Off Tecnologico NGD</t>
  </si>
  <si>
    <t>AngloAmerican_Tecnología HDD</t>
  </si>
  <si>
    <t>AuraMinerals_Expansión Mina Paiol OP-UG</t>
  </si>
  <si>
    <t>BHP_Análisis LoA 2025 - SCUT</t>
  </si>
  <si>
    <t>BHP_Medidas de Cierre Botaderos</t>
  </si>
  <si>
    <t>BHP_Spence 2YB Analisys</t>
  </si>
  <si>
    <t>BHP_Tunel Exploratorio</t>
  </si>
  <si>
    <t>Capstone Copper_Estimacion confiabilidad de planes</t>
  </si>
  <si>
    <t>Capstone Copper_Estudio Sierra Norte</t>
  </si>
  <si>
    <t>CMC_Capacitación DBS y SIMPLAN</t>
  </si>
  <si>
    <t>CMP_Estrategia Crecimiento Tofo Norte</t>
  </si>
  <si>
    <t>CMP_LOM MLC 2024</t>
  </si>
  <si>
    <t>CMP_Mejoras Operacionales CNN</t>
  </si>
  <si>
    <t>CMP_Nuevos alcances Algarrobo</t>
  </si>
  <si>
    <t>CMP_Plan minero base MLC</t>
  </si>
  <si>
    <t>CMP_Puesta en marcha SLS Romeral</t>
  </si>
  <si>
    <t>Codelco_Actualización norma NCC-31</t>
  </si>
  <si>
    <t>Codelco_Estándar cierre topográfico</t>
  </si>
  <si>
    <t>Codelco_Opciones vaciado mineral via OP</t>
  </si>
  <si>
    <t>Codelco_Prácticas de Planificación DMH</t>
  </si>
  <si>
    <t>Estrategia Cobre Panama</t>
  </si>
  <si>
    <t>J&amp;F_Urucrum_RecuperacionPilares</t>
  </si>
  <si>
    <t>LasBambas_Ferrobamba PFS</t>
  </si>
  <si>
    <t>LasBambas_Ferrobambas UG Escenarios</t>
  </si>
  <si>
    <t>Lundin_Candelaria_EstudiosCugep</t>
  </si>
  <si>
    <t>Lundin_Gaps Planificación y Operación UG</t>
  </si>
  <si>
    <t>Lundin_Oportunidades mejoras Caserones</t>
  </si>
  <si>
    <t>Marcobre_Ingeniería de Perfil Achupallas</t>
  </si>
  <si>
    <t>MCI_Mine Plan Review Los Bronces</t>
  </si>
  <si>
    <t>Minsur_Evaluacion recursos marginales</t>
  </si>
  <si>
    <t>Mosaic_Actualizacion geotecnica OP</t>
  </si>
  <si>
    <t>Mosaic_Secuencia Operaciones Cajati</t>
  </si>
  <si>
    <t>Mosaic_Taquari Vassouras Fase II</t>
  </si>
  <si>
    <t>Mosaic_Taquari Vassouras Fase II CP</t>
  </si>
  <si>
    <t>OCP_Análisis Estratégico Mina Cobriza</t>
  </si>
  <si>
    <t>PFS Los Calatos V3</t>
  </si>
  <si>
    <t>Resolution_MinePlan Review</t>
  </si>
  <si>
    <t>SierraMetals_Update MEIA Yauricocha</t>
  </si>
  <si>
    <t>ThreeCrowns_Litigio Oyu Tolgoi</t>
  </si>
  <si>
    <t>Twin Metals_Pre PFS Birch Lake Maturi</t>
  </si>
  <si>
    <t>TwinMetals_Birch Lake Integration</t>
  </si>
  <si>
    <t>Hudbay_Actualización Riesgo Sísmico</t>
  </si>
  <si>
    <t>Minsur_San Rafael Estudio V MEIA</t>
  </si>
  <si>
    <t>Resolution_UGC 68L Program</t>
  </si>
  <si>
    <t>EroCopper_Scoping Proyecto Furnas</t>
  </si>
  <si>
    <t>Años (Fecha Facturación)</t>
  </si>
  <si>
    <t>Suma de Facturado USD</t>
  </si>
  <si>
    <t>AngloAmerican_Análisis Productividad MLB</t>
  </si>
  <si>
    <t>Mosaic_Cajati Business Case</t>
  </si>
  <si>
    <t>CMP_Actualización Casos de Negocios CNN</t>
  </si>
  <si>
    <t>Años (Fecha Emisión)</t>
  </si>
  <si>
    <t>Suma de Emitido USD</t>
  </si>
  <si>
    <t>Minsur_LOM Integrado San Rafael 2025</t>
  </si>
  <si>
    <t>Nombre Teams</t>
  </si>
  <si>
    <t>BR-AUM-OU-FEL00-130-A</t>
  </si>
  <si>
    <t>AuraMinerals</t>
  </si>
  <si>
    <t>Brasil</t>
  </si>
  <si>
    <t>Mosaic</t>
  </si>
  <si>
    <t>Cajati Optimización OP</t>
  </si>
  <si>
    <t>BR-ERC-UG-FEL00-152-A</t>
  </si>
  <si>
    <t>EroCopper</t>
  </si>
  <si>
    <t>BR-J&amp;F-CS-OTR00-100-A</t>
  </si>
  <si>
    <t>J&amp;F</t>
  </si>
  <si>
    <t>BR-J&amp;F-UG-FEL03-048-A</t>
  </si>
  <si>
    <t>BR-MOS-OP-FEL2A-102-A</t>
  </si>
  <si>
    <t>BR-MOS-OU-FEL03-147-A</t>
  </si>
  <si>
    <t>BR-MOS-CS-OTR00-115-A</t>
  </si>
  <si>
    <t>Mosaic_Taquari Vassouras (Reembolsable)</t>
  </si>
  <si>
    <t>BR-MOS-UG-OTR00-098-A</t>
  </si>
  <si>
    <t>BR-MOS-UG-FEL2A-064-A</t>
  </si>
  <si>
    <t>NEXA</t>
  </si>
  <si>
    <t>CMP</t>
  </si>
  <si>
    <t>Chile</t>
  </si>
  <si>
    <t>CH-AMS-CS-OTR00-075-A</t>
  </si>
  <si>
    <t>AMSA_Asesoria Centinela</t>
  </si>
  <si>
    <t>AMSA</t>
  </si>
  <si>
    <t>CH-AMS-OT-OTR00-108-A</t>
  </si>
  <si>
    <t>CH-AMS-CS-OTR00-063-A</t>
  </si>
  <si>
    <t>AMSA_Estandares Minimos</t>
  </si>
  <si>
    <t>CH-AMS-CS-OTR00-116-A</t>
  </si>
  <si>
    <t>CH-AAM-CS-OTR00-146-A</t>
  </si>
  <si>
    <t>AngloAmerican</t>
  </si>
  <si>
    <t>CH-AAM-OT-FEL03-139-A</t>
  </si>
  <si>
    <t>CH-BHP-OP-OTR00-145-A</t>
  </si>
  <si>
    <t>BHP</t>
  </si>
  <si>
    <t>CH-BHP-OP-FEL00-135-A</t>
  </si>
  <si>
    <t>CH-BHP-OP-FEL00-103-A</t>
  </si>
  <si>
    <t>BHP_Plan e Iniciativas LoA25-26</t>
  </si>
  <si>
    <t>CH-BHP-OP-OTR00-140-A</t>
  </si>
  <si>
    <t>CH-BHP-UG-FEL01-074-A</t>
  </si>
  <si>
    <t>CH-BSC-UG-OTR00-073-A</t>
  </si>
  <si>
    <t>Boston_Inmaculada Hochschild</t>
  </si>
  <si>
    <t>CEOM</t>
  </si>
  <si>
    <t>CH-BSC-UG-OTR00-082-A</t>
  </si>
  <si>
    <t>Boston_Inmaculada Hochschild II</t>
  </si>
  <si>
    <t>Facturado por REDTEC</t>
  </si>
  <si>
    <t>Lundin</t>
  </si>
  <si>
    <t>CH-CCO-OP-FEL00-078-A</t>
  </si>
  <si>
    <t>Capstone Copper</t>
  </si>
  <si>
    <t>CH-CCO-CS-FEL00-117-A</t>
  </si>
  <si>
    <t>CH-CMP-OP-FEL00-155-A</t>
  </si>
  <si>
    <t>CMP_CNN (Update plan LOM )</t>
  </si>
  <si>
    <t>CH-CMP-UG-OTR00-095-A</t>
  </si>
  <si>
    <t>CH-CMP-OP-OTR00-083-A</t>
  </si>
  <si>
    <t>CMP_LOM CNN 2024</t>
  </si>
  <si>
    <t>CH-CMP-OP-OTR00-084-A</t>
  </si>
  <si>
    <t>CMP_Los Colorados Adelantamiento Planta</t>
  </si>
  <si>
    <t>CH-CMP-OP-FEL00-106-A</t>
  </si>
  <si>
    <t>CH-CMP-OT-OTR00-107-A</t>
  </si>
  <si>
    <t>CH-CMP-OP-OTR00-096-A</t>
  </si>
  <si>
    <t>CH-CMP-UG-FEL03-093-A</t>
  </si>
  <si>
    <t>CH-COD-CS-OTR00-129-A</t>
  </si>
  <si>
    <t>Codelco</t>
  </si>
  <si>
    <t>Codelco_Cluster Toki</t>
  </si>
  <si>
    <t>Codelco_Drenaje QT</t>
  </si>
  <si>
    <t>CH-COD-CS-OTR00-128-A</t>
  </si>
  <si>
    <t>CH-COD-OU-FEL00-112-A</t>
  </si>
  <si>
    <t>CH-COD-CS-OTR00-124-A</t>
  </si>
  <si>
    <t>Deswik DET</t>
  </si>
  <si>
    <t>CH-D&amp;P-CS-OTR00-137-A</t>
  </si>
  <si>
    <t>Debevoise&amp;Plimpton</t>
  </si>
  <si>
    <t>BVI</t>
  </si>
  <si>
    <t>CH-GLE-CS-OTR00-094-A</t>
  </si>
  <si>
    <t>Glencore_MineHaul y MinePlan Lomas Bayas</t>
  </si>
  <si>
    <t>CH-CSH-OP-FEL00-034-A</t>
  </si>
  <si>
    <t>LOM Mina Guarello</t>
  </si>
  <si>
    <t>CSH</t>
  </si>
  <si>
    <t>Glencore</t>
  </si>
  <si>
    <t>CH-LUN-CS-OTR00-069-A</t>
  </si>
  <si>
    <t>CH-LUN-OP-FEL00-110-A</t>
  </si>
  <si>
    <t>Fluor</t>
  </si>
  <si>
    <t>CH-MCI-OP-OTR00-089-A</t>
  </si>
  <si>
    <t>Mitsubichi</t>
  </si>
  <si>
    <t>Retenciones LOM Los Colorados</t>
  </si>
  <si>
    <t>CH-CMP-OU-FEL2A-041-A</t>
  </si>
  <si>
    <t>Romeral Estabilizado + PFS UG</t>
  </si>
  <si>
    <t>CH-BHP-OP-OTR00-085-A</t>
  </si>
  <si>
    <t>Spence_Confiabilidad Plan 2YB 2025</t>
  </si>
  <si>
    <t>Minsur</t>
  </si>
  <si>
    <t>Perú</t>
  </si>
  <si>
    <t>Dado que no se tiene la OC, el cliente solicitó agrupar las EDP (Junio, Julio y Agosto) / el cliente solicitó retirar alcance (monto total 165,237</t>
  </si>
  <si>
    <t>CH-BSA-CS-OTR00-052-A</t>
  </si>
  <si>
    <t>Banco Santander_Yauricocha y Bolivar</t>
  </si>
  <si>
    <t>Sierra metals</t>
  </si>
  <si>
    <t>PE-CMC-CD-OTR00-118-A</t>
  </si>
  <si>
    <t>CMC</t>
  </si>
  <si>
    <t>E001-280</t>
  </si>
  <si>
    <t>E001-286</t>
  </si>
  <si>
    <t>PE-COR-UG-FEL00-076-A</t>
  </si>
  <si>
    <t>Coripuno_Metodos de Minado</t>
  </si>
  <si>
    <t>Coripuno</t>
  </si>
  <si>
    <t>E001-260</t>
  </si>
  <si>
    <t>Raura</t>
  </si>
  <si>
    <t>E001-215</t>
  </si>
  <si>
    <t>El Brocal</t>
  </si>
  <si>
    <t>PE-GLE-OP-FEL2A-054-A</t>
  </si>
  <si>
    <t>Glencore_Coroccohuayco_OptimizacionLOM</t>
  </si>
  <si>
    <t>E001-240</t>
  </si>
  <si>
    <t>E001-241</t>
  </si>
  <si>
    <t>E001-262</t>
  </si>
  <si>
    <t>PE-HUD-GM-FEL00-153-A</t>
  </si>
  <si>
    <t>Hudbay</t>
  </si>
  <si>
    <t>E001-313</t>
  </si>
  <si>
    <t>PE-MMG-UG-FEL2A-143-A</t>
  </si>
  <si>
    <t>Las Bambas</t>
  </si>
  <si>
    <t>E001-307</t>
  </si>
  <si>
    <t>LasBambas_Ferrobamba UG</t>
  </si>
  <si>
    <t>E001-216</t>
  </si>
  <si>
    <t>E001-223</t>
  </si>
  <si>
    <t>E001-227</t>
  </si>
  <si>
    <t>E001-230</t>
  </si>
  <si>
    <t>E001-238</t>
  </si>
  <si>
    <t>E001-244</t>
  </si>
  <si>
    <t>E001-245</t>
  </si>
  <si>
    <t>E001-246</t>
  </si>
  <si>
    <t>E001-254</t>
  </si>
  <si>
    <t>E001-250</t>
  </si>
  <si>
    <t>Adicional 01 (80%)</t>
  </si>
  <si>
    <t>E001-251</t>
  </si>
  <si>
    <t>Adicional 02 (50%)</t>
  </si>
  <si>
    <t>E001-255</t>
  </si>
  <si>
    <t>E001-256</t>
  </si>
  <si>
    <t>PE-MMG-UG-FEL00-136-A</t>
  </si>
  <si>
    <t xml:space="preserve">E001-297 </t>
  </si>
  <si>
    <t>E001-298</t>
  </si>
  <si>
    <t>E001-306</t>
  </si>
  <si>
    <t>E001-314</t>
  </si>
  <si>
    <t>E001-315</t>
  </si>
  <si>
    <t>PE-MAR-OU-FEL01-114-A</t>
  </si>
  <si>
    <t>Marcobre</t>
  </si>
  <si>
    <t>E001-275</t>
  </si>
  <si>
    <t>E001-279</t>
  </si>
  <si>
    <t>E001-282</t>
  </si>
  <si>
    <t>E001-291</t>
  </si>
  <si>
    <t>E001-299</t>
  </si>
  <si>
    <t>E001-311</t>
  </si>
  <si>
    <t>E001-267</t>
  </si>
  <si>
    <t>E001-274</t>
  </si>
  <si>
    <t>PE-MSR-CS-OTR00-090-A</t>
  </si>
  <si>
    <t>Minsur_Apoyo MEIA Raura</t>
  </si>
  <si>
    <t>E001-242</t>
  </si>
  <si>
    <t>PE-MSR-UG-OTR00-077-A</t>
  </si>
  <si>
    <t>Minsur_Apoyo Planificacion San Rafael</t>
  </si>
  <si>
    <t>E001-263</t>
  </si>
  <si>
    <t>E001-265</t>
  </si>
  <si>
    <t>E001-271</t>
  </si>
  <si>
    <t>PE-MSR-UG-OTR00-097-A</t>
  </si>
  <si>
    <t>E001-277</t>
  </si>
  <si>
    <t>E001-281</t>
  </si>
  <si>
    <t>E001-288</t>
  </si>
  <si>
    <t>E001-225</t>
  </si>
  <si>
    <t>Aún no se cuenta con Orden de Compra / El cliente solicitó unificar loe EDP</t>
  </si>
  <si>
    <t>PE-MSR-GM-OTR00-109-A</t>
  </si>
  <si>
    <t>Minsur_Integracion Planeamiento Geomecanica</t>
  </si>
  <si>
    <t>E001-249</t>
  </si>
  <si>
    <t>PE-MSR-UG-OTR00-151-A</t>
  </si>
  <si>
    <t>PE-MSR-UG-FEL00-086-A</t>
  </si>
  <si>
    <t>Minsur_LOM San Rafael 2025</t>
  </si>
  <si>
    <t>E001-261</t>
  </si>
  <si>
    <t>E001-266</t>
  </si>
  <si>
    <t>PE-MSR-GM-OTR00-092-A</t>
  </si>
  <si>
    <t>Minsur_Mejoramiento datos geotecnicos SR</t>
  </si>
  <si>
    <t>E001-259</t>
  </si>
  <si>
    <t>Minsur_Ore Sorting Raura</t>
  </si>
  <si>
    <t>E001-220</t>
  </si>
  <si>
    <t>PE-MSR-UG-FEL00-079-A</t>
  </si>
  <si>
    <t>Minsur_Rampa de acceso San German</t>
  </si>
  <si>
    <t>E001-273</t>
  </si>
  <si>
    <t>PE-MSR-UG-OTR00-134-A</t>
  </si>
  <si>
    <t>E001-302</t>
  </si>
  <si>
    <t>Factoring</t>
  </si>
  <si>
    <t>PE-MSR-UG-FEL00-142-A</t>
  </si>
  <si>
    <t>E001-312</t>
  </si>
  <si>
    <t>E001-217</t>
  </si>
  <si>
    <t>E001-221</t>
  </si>
  <si>
    <t>PE-MSR-UG-FEL00-071-A</t>
  </si>
  <si>
    <t>Minsur_Update LOM San Rafael</t>
  </si>
  <si>
    <t>E001-232</t>
  </si>
  <si>
    <t>MiskiMayo_LOM</t>
  </si>
  <si>
    <t>MiskiMayo</t>
  </si>
  <si>
    <t>E001-218</t>
  </si>
  <si>
    <t>E001-226</t>
  </si>
  <si>
    <t>E001-228</t>
  </si>
  <si>
    <t xml:space="preserve"> E001-231 </t>
  </si>
  <si>
    <t xml:space="preserve"> E001-234</t>
  </si>
  <si>
    <t>E001-236</t>
  </si>
  <si>
    <t>PE-OCP-CS-OTR00-138-A</t>
  </si>
  <si>
    <t>OCP</t>
  </si>
  <si>
    <t>E001-294</t>
  </si>
  <si>
    <t>E001-303</t>
  </si>
  <si>
    <t>E001-317</t>
  </si>
  <si>
    <t>E001-318</t>
  </si>
  <si>
    <t>E001-208</t>
  </si>
  <si>
    <t>E001-222</t>
  </si>
  <si>
    <t>E001-224</t>
  </si>
  <si>
    <t>E001-229</t>
  </si>
  <si>
    <t xml:space="preserve"> E001-235</t>
  </si>
  <si>
    <t>E001-237</t>
  </si>
  <si>
    <t>E001-243</t>
  </si>
  <si>
    <t>E001-252</t>
  </si>
  <si>
    <t>E001-253</t>
  </si>
  <si>
    <t>E001-268</t>
  </si>
  <si>
    <t>E001-276</t>
  </si>
  <si>
    <t>E001-278</t>
  </si>
  <si>
    <t>E001-284</t>
  </si>
  <si>
    <t>E001-287</t>
  </si>
  <si>
    <t>PE-CSC-UG-FEL2A-133-A</t>
  </si>
  <si>
    <t>E001-289</t>
  </si>
  <si>
    <t>E001-292</t>
  </si>
  <si>
    <t>E001-295</t>
  </si>
  <si>
    <t>E001-305</t>
  </si>
  <si>
    <t>E001-310</t>
  </si>
  <si>
    <t>E001-319</t>
  </si>
  <si>
    <t>Sierra Metals</t>
  </si>
  <si>
    <t>E001-219</t>
  </si>
  <si>
    <t>E001-239</t>
  </si>
  <si>
    <t>Se acordó con cliente cobrar al 90% del monto contractual</t>
  </si>
  <si>
    <t>E001-269</t>
  </si>
  <si>
    <t>PE-SME-CS-OTR00-099-A</t>
  </si>
  <si>
    <t>E001-264</t>
  </si>
  <si>
    <t>E001-270</t>
  </si>
  <si>
    <t>E001-283</t>
  </si>
  <si>
    <t>PE-MSR-OT-OTR00-009-A</t>
  </si>
  <si>
    <t>RU-ECH-UG-FEL00-081-A</t>
  </si>
  <si>
    <t>Eurochem_Himmelfarb Deposit</t>
  </si>
  <si>
    <t>Eurochem</t>
  </si>
  <si>
    <t>Rusia</t>
  </si>
  <si>
    <t>Otro</t>
  </si>
  <si>
    <t>Se confirma pago por parte de Olesya a finales de diciembre 2023</t>
  </si>
  <si>
    <t xml:space="preserve">Euclidea Consulting </t>
  </si>
  <si>
    <t>USA</t>
  </si>
  <si>
    <t>Factura solicitada por PV mediante correo</t>
  </si>
  <si>
    <t>OT-EMX-CS-OTR00-087-A</t>
  </si>
  <si>
    <t>EMX_Due Diligence de Chapi</t>
  </si>
  <si>
    <t>EMX</t>
  </si>
  <si>
    <t>3_4</t>
  </si>
  <si>
    <t>OT-EMX-CS-OTR00-091-A</t>
  </si>
  <si>
    <t>EMX_Metallurgical expert for review</t>
  </si>
  <si>
    <t>OT-IEL-UG-FEL2A-088-A</t>
  </si>
  <si>
    <t>IvanhoeElectric_Mine Planning Support</t>
  </si>
  <si>
    <t>Ivanhoe</t>
  </si>
  <si>
    <t>IvanhoeElectric_Santa-Cruz_PrePFS</t>
  </si>
  <si>
    <t>CH-LUN-CS-OTR00-113-A</t>
  </si>
  <si>
    <t>OT-MCA-CS-OTR00-080-A</t>
  </si>
  <si>
    <t>McCarthy_Litigio Rio Tinto</t>
  </si>
  <si>
    <t>McCarthy</t>
  </si>
  <si>
    <t>OT-RES-CS-OTR00-131-A</t>
  </si>
  <si>
    <t>VP Mining</t>
  </si>
  <si>
    <t>OT-RES-CS-OTR00-150-A</t>
  </si>
  <si>
    <t>OT-THC-CS-OTR00-122-A</t>
  </si>
  <si>
    <t>ThreeCrowns</t>
  </si>
  <si>
    <t>Invoice fueron ajustados y emitidos el 11/07</t>
  </si>
  <si>
    <t>OT-TWM-CS-FEL00-119-A</t>
  </si>
  <si>
    <t>TwinMetals</t>
  </si>
  <si>
    <t>OT-TWM-CS-FEL00-141-A</t>
  </si>
  <si>
    <t>Tipo</t>
  </si>
  <si>
    <t>Nivel P&amp;C</t>
  </si>
  <si>
    <t>Pais</t>
  </si>
  <si>
    <t>Sigla</t>
  </si>
  <si>
    <t>Periocidad de Informe</t>
  </si>
  <si>
    <t>Se genera Curva S</t>
  </si>
  <si>
    <t>Estado</t>
  </si>
  <si>
    <t xml:space="preserve">Gerencia </t>
  </si>
  <si>
    <t>Codigo</t>
  </si>
  <si>
    <t>Nombre del Proyecto</t>
  </si>
  <si>
    <t>Propuesta</t>
  </si>
  <si>
    <t>Básico</t>
  </si>
  <si>
    <t>CL</t>
  </si>
  <si>
    <t>Semanal</t>
  </si>
  <si>
    <t>Si</t>
  </si>
  <si>
    <t>En proceso</t>
  </si>
  <si>
    <t>Ingenieria</t>
  </si>
  <si>
    <t>Planificación integrada Araxa</t>
  </si>
  <si>
    <t>??</t>
  </si>
  <si>
    <t>Contrato</t>
  </si>
  <si>
    <t>Intermedio</t>
  </si>
  <si>
    <t>BR</t>
  </si>
  <si>
    <t>Mensual</t>
  </si>
  <si>
    <t>No</t>
  </si>
  <si>
    <t>Culminado</t>
  </si>
  <si>
    <t>Operaciones</t>
  </si>
  <si>
    <t>Taquari Vassouras</t>
  </si>
  <si>
    <t>Orden de Compra</t>
  </si>
  <si>
    <t>Full</t>
  </si>
  <si>
    <t>Peru</t>
  </si>
  <si>
    <t>PE</t>
  </si>
  <si>
    <t>No Aplica</t>
  </si>
  <si>
    <t>Excelencia Operacional</t>
  </si>
  <si>
    <t>Los Bronces</t>
  </si>
  <si>
    <t>Carta de Adjudicación</t>
  </si>
  <si>
    <t>RU</t>
  </si>
  <si>
    <t>Servicios Técnicos</t>
  </si>
  <si>
    <t>CEMIN</t>
  </si>
  <si>
    <t>LOM CEMIN</t>
  </si>
  <si>
    <t>Contrato existente</t>
  </si>
  <si>
    <t>Finanzas</t>
  </si>
  <si>
    <t>p40 CMP</t>
  </si>
  <si>
    <t>MASO</t>
  </si>
  <si>
    <t>RRHH</t>
  </si>
  <si>
    <t>SIPNM CMP</t>
  </si>
  <si>
    <t>Mantenimiento</t>
  </si>
  <si>
    <t>SLS Romeral</t>
  </si>
  <si>
    <t>Corporativo</t>
  </si>
  <si>
    <t>Capacitación Deswik</t>
  </si>
  <si>
    <t>Chuquicamata remanantes</t>
  </si>
  <si>
    <t>Drenaje QT</t>
  </si>
  <si>
    <t>Mecanizado DET</t>
  </si>
  <si>
    <t>Mina Guarello</t>
  </si>
  <si>
    <t>Actualización de KPI AESA</t>
  </si>
  <si>
    <t>AESA</t>
  </si>
  <si>
    <t>Sinceramiento De Rendimientos De Equipos Dentro De La Un Raura</t>
  </si>
  <si>
    <t>Gestión del Modelo de Planificación Dinámica de Corto plazo para Raura</t>
  </si>
  <si>
    <t>AMSA Planificación</t>
  </si>
  <si>
    <t>EDP</t>
  </si>
  <si>
    <t>BR-TAB-OP-FEL00-158-A</t>
  </si>
  <si>
    <t>Taboca_Evaluación Mina Pitinga</t>
  </si>
  <si>
    <t>Taboca</t>
  </si>
  <si>
    <t>E001-320</t>
  </si>
  <si>
    <t>CH-LUN-CS-OTR00-154-A</t>
  </si>
  <si>
    <t>Lundin_Análisis Estratégico Caserones</t>
  </si>
  <si>
    <t>Contablemente se pagó el 01/08</t>
  </si>
  <si>
    <t>E001-324</t>
  </si>
  <si>
    <t>PE-ALP-GM-FEL00-156-A</t>
  </si>
  <si>
    <t>Alpayana_Estudio de Sismicidad</t>
  </si>
  <si>
    <t>Alpayana</t>
  </si>
  <si>
    <t>PE-MSR-UG-OTR00-162-A</t>
  </si>
  <si>
    <t>Minsur_Soporte LOM 2025 Raura</t>
  </si>
  <si>
    <t>E001-323</t>
  </si>
  <si>
    <t>E001-321</t>
  </si>
  <si>
    <t>E001-325</t>
  </si>
  <si>
    <t>E001-328</t>
  </si>
  <si>
    <t>E001-327</t>
  </si>
  <si>
    <t>BR-LHG-UG-OTR00-161-A</t>
  </si>
  <si>
    <t>LHG</t>
  </si>
  <si>
    <t>CH-CCO-CS-OTR00-159-A</t>
  </si>
  <si>
    <t>Capstone Copper_Production at Risk</t>
  </si>
  <si>
    <t>PE-VLC-GM-FEL00-166-A</t>
  </si>
  <si>
    <t>Volcan_Estudio Estabilidad Desmonteras</t>
  </si>
  <si>
    <t>Volcan</t>
  </si>
  <si>
    <t>Proyecto de PV</t>
  </si>
  <si>
    <t xml:space="preserve"> Strategy analysis for the Hermosa project </t>
  </si>
  <si>
    <t>Se elimina fee 10% adm</t>
  </si>
  <si>
    <t>E001-330</t>
  </si>
  <si>
    <t>PE-MSR-CS-OTR00-163-A</t>
  </si>
  <si>
    <t>E001-329</t>
  </si>
  <si>
    <t>Meses (Fecha Ingreso)</t>
  </si>
  <si>
    <t>Meses (Fecha Emisión)</t>
  </si>
  <si>
    <t>BR-CBM-CS-OTR00-164-A</t>
  </si>
  <si>
    <t>CBMM_SIMPLAN Initiatives Evaluation</t>
  </si>
  <si>
    <t>CBMM</t>
  </si>
  <si>
    <t>BR-EQG-UG-FEL03-172-A</t>
  </si>
  <si>
    <t>EQUINOX_Actualización Ing. Básica UG</t>
  </si>
  <si>
    <t>EQUINOX</t>
  </si>
  <si>
    <t>341 / 342</t>
  </si>
  <si>
    <t>E001-331</t>
  </si>
  <si>
    <t>E001-332</t>
  </si>
  <si>
    <t>PE-VLC-GM-FEL00-157-A</t>
  </si>
  <si>
    <t>Alpamarca_Estudio de Estabilidad Tajo</t>
  </si>
  <si>
    <t>Alpamarca</t>
  </si>
  <si>
    <t>CH-PUC-CS-OTR00-170-A</t>
  </si>
  <si>
    <t>PUCOBRE_Acompañamiento Reservas Tovaku</t>
  </si>
  <si>
    <t>PUCOBRE</t>
  </si>
  <si>
    <t>CH-AAM-CS-OTR00-179-A</t>
  </si>
  <si>
    <t>Anglo_Production at Risk Mina Rio</t>
  </si>
  <si>
    <t>CH-COD-UG-FEL00-174-A</t>
  </si>
  <si>
    <t>Codelco_Formulación caso de negocio TBM</t>
  </si>
  <si>
    <t>E001-333</t>
  </si>
  <si>
    <t>E001-334</t>
  </si>
  <si>
    <t>Regularizado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</si>
  <si>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</si>
  <si>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</si>
  <si>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</si>
  <si>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</si>
  <si>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</si>
  <si>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</si>
  <si>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</si>
  <si>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</si>
  <si>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</si>
  <si>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Facturas</t>
  </si>
  <si>
    <t>Ingresos</t>
  </si>
  <si>
    <t>Cta Corriente</t>
  </si>
  <si>
    <t>Mes</t>
  </si>
  <si>
    <t>#</t>
  </si>
  <si>
    <t>Saldo Inicial</t>
  </si>
  <si>
    <t>Gasto</t>
  </si>
  <si>
    <t>Otros Ingresos</t>
  </si>
  <si>
    <t>Otros Egresos</t>
  </si>
  <si>
    <t>Total Ingresos</t>
  </si>
  <si>
    <t>Total Egresos</t>
  </si>
  <si>
    <t>Cuenta Corriente</t>
  </si>
  <si>
    <t>Total</t>
  </si>
  <si>
    <t>s/EDP</t>
  </si>
  <si>
    <t>349 / 350</t>
  </si>
  <si>
    <t>Confirmar</t>
  </si>
  <si>
    <t>Sujeto a relatorio final</t>
  </si>
  <si>
    <t>22.409 USD</t>
  </si>
  <si>
    <t>PE-SPM-UG-FEL03-160-A</t>
  </si>
  <si>
    <t>SPM_FS Labores Subterraneas 2da MEIA</t>
  </si>
  <si>
    <t>Santander Peruvian</t>
  </si>
  <si>
    <t>PE-NEX-GM-FEL00-167-A</t>
  </si>
  <si>
    <t>NEXA_Estudio Geomecánico AT y EP</t>
  </si>
  <si>
    <t>PE-NEX-CS-OTR00-168-A</t>
  </si>
  <si>
    <t>OT-FNE-CS-OTR00-176-A</t>
  </si>
  <si>
    <t>FN_Oko West project review</t>
  </si>
  <si>
    <t>Franco Nevada</t>
  </si>
  <si>
    <t>E001-336</t>
  </si>
  <si>
    <t>E001-335</t>
  </si>
  <si>
    <t>CH-COL-CS-OTR00-180-A</t>
  </si>
  <si>
    <t>Collahuasi_Análisis Mine Compliance</t>
  </si>
  <si>
    <t>Collahuasi</t>
  </si>
  <si>
    <t>9.954 USD</t>
  </si>
  <si>
    <t>E001-337</t>
  </si>
  <si>
    <t>CH-AMS-CS-OTR00-165-A</t>
  </si>
  <si>
    <t>AMSA_Mejoras Planificación Centinela</t>
  </si>
  <si>
    <t>E001-339</t>
  </si>
  <si>
    <t>Factura reemplaza la 109 por rechazo. La nueva se emite con fecha 03-11-25</t>
  </si>
  <si>
    <t>Factorizar</t>
  </si>
  <si>
    <t>E001-341</t>
  </si>
  <si>
    <t>E001-342</t>
  </si>
  <si>
    <t>En validación</t>
  </si>
  <si>
    <t>E001-343</t>
  </si>
  <si>
    <t>E001-344</t>
  </si>
  <si>
    <t>E001-345</t>
  </si>
  <si>
    <t>E001-346</t>
  </si>
  <si>
    <t>(Todas)</t>
  </si>
  <si>
    <t>The Boston Consulting Group</t>
  </si>
  <si>
    <t>BCG</t>
  </si>
  <si>
    <t>CH-GLE-CS-OTR00-183-A</t>
  </si>
  <si>
    <t>Glencore_Estrategia de Propiedades CMLB</t>
  </si>
  <si>
    <t>Retenciones AARR</t>
  </si>
  <si>
    <t>OT-RES-CS-OTR00-178-A</t>
  </si>
  <si>
    <t>Resolution</t>
  </si>
  <si>
    <t>PE-MMA-OP-FEL00-182-A</t>
  </si>
  <si>
    <t>BR-AUM-UG-FEL2A-181-A</t>
  </si>
  <si>
    <t>Resolution_General Review</t>
  </si>
  <si>
    <t>Miskimayo_Evaluación Transporte en Mina</t>
  </si>
  <si>
    <t>AuraMinerals_Proyecto Paiol PFS UG</t>
  </si>
  <si>
    <t>Facturas inicialmente mal emitidas</t>
  </si>
  <si>
    <t>E001-348</t>
  </si>
  <si>
    <t>E001-347</t>
  </si>
  <si>
    <t>E001-349</t>
  </si>
  <si>
    <t>Pendiente la F 365</t>
  </si>
  <si>
    <t>Retiene 10%</t>
  </si>
  <si>
    <t>Segmentados en MV y MB</t>
  </si>
  <si>
    <t>Pagadas 349 y 350</t>
  </si>
  <si>
    <t>CH-CRF-CS-FEL00-169-A</t>
  </si>
  <si>
    <t>CORFO_Valorización Boquerón Chañar</t>
  </si>
  <si>
    <t>CORFO</t>
  </si>
  <si>
    <t>CH-AMS-OP-FEL00-171-A</t>
  </si>
  <si>
    <t>AMSA_RIINO BC - Centinela</t>
  </si>
  <si>
    <t>E001-350</t>
  </si>
  <si>
    <t>Fueron facturados juntos</t>
  </si>
  <si>
    <t>Se presentó un EDP al 80% en dic-25</t>
  </si>
  <si>
    <t>2026</t>
  </si>
  <si>
    <t>No procede</t>
  </si>
  <si>
    <t>Octubre</t>
  </si>
  <si>
    <t>Noviembre</t>
  </si>
  <si>
    <t>Diciembre</t>
  </si>
  <si>
    <t>E001-351</t>
  </si>
  <si>
    <t>E001-353</t>
  </si>
  <si>
    <t>E001-352</t>
  </si>
  <si>
    <t>(Varios elementos)</t>
  </si>
  <si>
    <t>Emincar</t>
  </si>
  <si>
    <t>PE-BRO-GM-FEL00-191-A</t>
  </si>
  <si>
    <t>ElBrocal_Estudio Geomecanico Estabilidad</t>
  </si>
  <si>
    <t>PE-HCS-UG-FEL00-190-A</t>
  </si>
  <si>
    <t>Hochschild_FS Metodos de Minado Tesoro</t>
  </si>
  <si>
    <t>Hochschild</t>
  </si>
  <si>
    <t>PE-CSC-CS-OTR00-192-A</t>
  </si>
  <si>
    <t>CD Capitals</t>
  </si>
  <si>
    <t>Los Calatos_Resource Development Plan</t>
  </si>
  <si>
    <t>F-268</t>
  </si>
  <si>
    <t>F-282</t>
  </si>
  <si>
    <t>F-287</t>
  </si>
  <si>
    <t>F-305</t>
  </si>
  <si>
    <t>F-319</t>
  </si>
  <si>
    <t>F-328</t>
  </si>
  <si>
    <t>F-335</t>
  </si>
  <si>
    <t>F paga en Scotiabank</t>
  </si>
  <si>
    <t>USD</t>
  </si>
  <si>
    <t>AtlasMining_Ley de corte optima Malomyr</t>
  </si>
  <si>
    <t>Codelco_Auditoria Recursos y Reservas</t>
  </si>
  <si>
    <t>Collahuasi_Valor Incorporación Chx.03</t>
  </si>
  <si>
    <t>Emincar_Los Castellanos_UG</t>
  </si>
  <si>
    <t>ERG_Parámetros estabilidad taludes</t>
  </si>
  <si>
    <t>Freeport_GBC Restart Strategy Services</t>
  </si>
  <si>
    <t>Collahuasi_Mine Compliance 2026</t>
  </si>
  <si>
    <t>Seligdar_Kyuchus</t>
  </si>
  <si>
    <t>Seligdar</t>
  </si>
  <si>
    <t>Polyus_Evaluacion talud mina Blagodatny</t>
  </si>
  <si>
    <t>Polyus_Olimpiada Cutback 5&amp;6</t>
  </si>
  <si>
    <t>RU-POL-OP-FEL00-149-A</t>
  </si>
  <si>
    <t>RU-POL-OP-FEL00-173-A</t>
  </si>
  <si>
    <t>RU-SEL-UG-FEL2A-072-A</t>
  </si>
  <si>
    <t>RU-ATL-OP-FEL00-148-A</t>
  </si>
  <si>
    <t>Polyus</t>
  </si>
  <si>
    <t>AtlasMining</t>
  </si>
  <si>
    <t>CH-COL-CS-OTR00-185-A</t>
  </si>
  <si>
    <t>CH-COD-CS-OTR00-193-A</t>
  </si>
  <si>
    <t>CH-ERG-GM-FEL00-186-A</t>
  </si>
  <si>
    <t>ERG</t>
  </si>
  <si>
    <t>PE-ECR-UG-FEL00-188-A</t>
  </si>
  <si>
    <t>CH-COL-CS-OTR00-194-A</t>
  </si>
  <si>
    <t>Miskimayo</t>
  </si>
  <si>
    <t>OT-FPT-OU-FEL00-196-A</t>
  </si>
  <si>
    <t>Freeport</t>
  </si>
  <si>
    <t>Adicional #1</t>
  </si>
  <si>
    <t>Adicional #2</t>
  </si>
  <si>
    <t>Anterior #1C</t>
  </si>
  <si>
    <t>Anterior #1A</t>
  </si>
  <si>
    <t>Anterior #1B</t>
  </si>
  <si>
    <t>E001-355</t>
  </si>
  <si>
    <t>E001-356</t>
  </si>
  <si>
    <t>E001-357</t>
  </si>
  <si>
    <t>E001-358</t>
  </si>
  <si>
    <t>E001-359</t>
  </si>
  <si>
    <t>Retenciones FEL 2A y Otros</t>
  </si>
  <si>
    <t>20k cobrados en edp que no estaban reflejados</t>
  </si>
  <si>
    <t>CH-BRR-CS-OTR00-195-A</t>
  </si>
  <si>
    <t>PE-CSC-OT-OTR00-198-A</t>
  </si>
  <si>
    <t>Barrick_Production at Risk Veladero</t>
  </si>
  <si>
    <t>Los Calatos_DD-Support</t>
  </si>
  <si>
    <t>Barrick</t>
  </si>
  <si>
    <t>BR-MOS-OU-FEL00-197-A</t>
  </si>
  <si>
    <t>CH-GLE-CS-OTR00-199-A</t>
  </si>
  <si>
    <t>PE-MSR-UG-OTR00-200-A</t>
  </si>
  <si>
    <t>OT-HCL-CS-OTR00-202-A</t>
  </si>
  <si>
    <t>OT-STH-CS-OTR00-201-A</t>
  </si>
  <si>
    <t>Mosaic_Cajati LOM Open Pit</t>
  </si>
  <si>
    <t>Glencore_Mining Simulation Mara</t>
  </si>
  <si>
    <t>Minsur_LOM Integrado San Rafael 2026</t>
  </si>
  <si>
    <t>Hecla_Lucky Friday Mine</t>
  </si>
  <si>
    <t>South32_Clark Project</t>
  </si>
  <si>
    <t>E001-363</t>
  </si>
  <si>
    <t>mar</t>
  </si>
  <si>
    <t>E001-365/366</t>
  </si>
  <si>
    <t>Total Chile</t>
  </si>
  <si>
    <t>Total Perú</t>
  </si>
  <si>
    <t>E001-368</t>
  </si>
  <si>
    <t>E001-369</t>
  </si>
  <si>
    <t>E001-367</t>
  </si>
  <si>
    <t>PE-AES-UG-FEL00-203-A</t>
  </si>
  <si>
    <t>PE-HCS-UG-OTR00-204-A</t>
  </si>
  <si>
    <t>AESA_Construccion Rampas Mina Justa</t>
  </si>
  <si>
    <t>Hochschild_LOM UG Royropata</t>
  </si>
  <si>
    <t>Total USA</t>
  </si>
  <si>
    <t>abr</t>
  </si>
  <si>
    <t>E001-374</t>
  </si>
  <si>
    <t>Se anuló la F387 emitida el 25/03</t>
  </si>
  <si>
    <t>E001-372/373</t>
  </si>
  <si>
    <t>E001-371</t>
  </si>
  <si>
    <t>E001-375</t>
  </si>
  <si>
    <t>(en blanco)</t>
  </si>
  <si>
    <t>Meses (Fecha Facturación)</t>
  </si>
  <si>
    <t>Total Brasil</t>
  </si>
  <si>
    <t>Total Rusia</t>
  </si>
  <si>
    <t>BR-MOS-GM-FEL00-207-A</t>
  </si>
  <si>
    <t>Mosaic_Análisis de Estabilidad</t>
  </si>
  <si>
    <t>14 / 15</t>
  </si>
  <si>
    <t>E001-376</t>
  </si>
  <si>
    <t>E001-377</t>
  </si>
  <si>
    <t>PE-MMA-CS-OTR00-205-A</t>
  </si>
  <si>
    <t>PE-HUD-GM-FEL00-206-A</t>
  </si>
  <si>
    <t>CH-MIN-CS-FEL00-209-A</t>
  </si>
  <si>
    <t>Miskimayo_Actualizacion R&amp;R Mina Bayovar</t>
  </si>
  <si>
    <t>Hudbay_Ampliacion Peligro Sísmico</t>
  </si>
  <si>
    <t>MineriaIman_PEA Proyecto Iman</t>
  </si>
  <si>
    <t>ElBrocal</t>
  </si>
  <si>
    <t>Hecla</t>
  </si>
  <si>
    <t>South32</t>
  </si>
  <si>
    <t>SPM</t>
  </si>
  <si>
    <t>Incluye el 1 de la adenda</t>
  </si>
  <si>
    <t>Total USD</t>
  </si>
  <si>
    <t>% País</t>
  </si>
  <si>
    <t>Subtotal Chile</t>
  </si>
  <si>
    <t>Subtotal Perú</t>
  </si>
  <si>
    <t>TOTAL GENERAL</t>
  </si>
  <si>
    <t>ANÁLISIS GRÁFICO</t>
  </si>
  <si>
    <t>TOTAL PENDIENTE</t>
  </si>
  <si>
    <t>PROYECTOS</t>
  </si>
  <si>
    <t>EDPs TOTALES</t>
  </si>
  <si>
    <t>DETALLE DE PROYECTOS POR PAÍS</t>
  </si>
  <si>
    <t>EDPs</t>
  </si>
  <si>
    <t>% Total</t>
  </si>
  <si>
    <t>Activos en cartera</t>
  </si>
  <si>
    <t>Barrick_Veladero</t>
  </si>
  <si>
    <t>Miskimayo_Bayovar</t>
  </si>
  <si>
    <t>Hochschild_Tesoro</t>
  </si>
  <si>
    <t>EDP PROMEDIO</t>
  </si>
  <si>
    <t>MES PEAK</t>
  </si>
  <si>
    <t>Monto total facturado 1.343.878 USD</t>
  </si>
  <si>
    <t>Minería Activa</t>
  </si>
  <si>
    <t>E001-379/382</t>
  </si>
  <si>
    <t>E001-380/381</t>
  </si>
  <si>
    <t>may</t>
  </si>
  <si>
    <t>DASHBOARD - ESTADOS DE PAGO POR FACTURAR</t>
  </si>
  <si>
    <t>BR-ERC-GM-FEL00-208-A</t>
  </si>
  <si>
    <t>EroCopper_Surubim OP Mine</t>
  </si>
  <si>
    <t>OT-STC-UG-FEL03-210-A</t>
  </si>
  <si>
    <t>Stantec_I80 Archimedes UG FS</t>
  </si>
  <si>
    <t>Stantec</t>
  </si>
  <si>
    <t>Gastos Reembolsables del estudio</t>
  </si>
  <si>
    <t>E001-385</t>
  </si>
  <si>
    <t>Aprobado</t>
  </si>
  <si>
    <t>Subtotal Brasil</t>
  </si>
  <si>
    <t>USD acumulado feb–may</t>
  </si>
  <si>
    <t>Reporte ejecutivo · Período feb – may 2026 · Montos en USD</t>
  </si>
  <si>
    <t>E001-390</t>
  </si>
  <si>
    <t>E001-389</t>
  </si>
  <si>
    <t>CH-COD-OP-FEL00-211-A</t>
  </si>
  <si>
    <t>Codelco_DET Rajo Sur</t>
  </si>
  <si>
    <t>PE-HSI-GM-OTR00-217-A</t>
  </si>
  <si>
    <t>Highlander_Diagnóstico Geomecánico</t>
  </si>
  <si>
    <t>Highlander</t>
  </si>
  <si>
    <t>CH-COL-CS-OTR00-212-A</t>
  </si>
  <si>
    <t>Collahuasi_Mining Simulation Study</t>
  </si>
  <si>
    <t>Subtotal USA</t>
  </si>
  <si>
    <t>Collahuasi_Mining Sim.</t>
  </si>
  <si>
    <t>MineriaIman_PEA Iman</t>
  </si>
  <si>
    <t>Por EDP</t>
  </si>
  <si>
    <t>Pendientes</t>
  </si>
  <si>
    <t>CD-SGO-CS-OTR00-213-A</t>
  </si>
  <si>
    <t>SeabridgeGold_HoV analysis for the KSM</t>
  </si>
  <si>
    <t>Seabridge Gold</t>
  </si>
  <si>
    <t>Canadá</t>
  </si>
  <si>
    <t>PE-MSR-UG-OTR00-220-A</t>
  </si>
  <si>
    <t xml:space="preserve">Minsur_Proceso adherencia Quenamari - SR </t>
  </si>
  <si>
    <t>jun</t>
  </si>
  <si>
    <t>Total Canadá</t>
  </si>
  <si>
    <t>Minsur_Proceso adherencia Quenamari - SR</t>
  </si>
  <si>
    <t>Subtotal Canadá</t>
  </si>
  <si>
    <t>SeabridgeGold_KSM</t>
  </si>
  <si>
    <t>South32_Clark</t>
  </si>
  <si>
    <t>Minsur_LOM San Rafael</t>
  </si>
  <si>
    <t>ERG_Estabilidad taludes</t>
  </si>
  <si>
    <t>Resolution_General Rev.</t>
  </si>
  <si>
    <t>Adrianita -Raúl</t>
  </si>
  <si>
    <t>AESA Rendimientos</t>
  </si>
  <si>
    <t>Candelaria (Estandar y Planificacion)</t>
  </si>
  <si>
    <t>CMP - FEL 2A</t>
  </si>
  <si>
    <t>CMP Estandar Planificación</t>
  </si>
  <si>
    <t>Compilación de  R&amp;R</t>
  </si>
  <si>
    <t>Cuellos de botella del Plan 2YB - Spence</t>
  </si>
  <si>
    <t>Diagnóstico Operacional Candelaria</t>
  </si>
  <si>
    <t>ITS Yauricocha</t>
  </si>
  <si>
    <t>MARA - Simulación Sistema Manejo Estéril</t>
  </si>
  <si>
    <t>Marcobre - Minajusta</t>
  </si>
  <si>
    <t>NORILSK1-FS</t>
  </si>
  <si>
    <t>Pelambres</t>
  </si>
  <si>
    <t>Planificación Minera Subterránea</t>
  </si>
  <si>
    <t>Raura Operativo</t>
  </si>
  <si>
    <t>San Rafael Gestión Operativa</t>
  </si>
  <si>
    <t>2023</t>
  </si>
  <si>
    <t>AMSA_Planificacion</t>
  </si>
  <si>
    <t>Lomas Bayas - LoA24</t>
  </si>
  <si>
    <t>Mosaic_Cajati</t>
  </si>
  <si>
    <t>jul</t>
  </si>
  <si>
    <t>ago</t>
  </si>
  <si>
    <t>Sierra Metals_Plan de Minado MEIA</t>
  </si>
  <si>
    <t>sept</t>
  </si>
  <si>
    <t>oct</t>
  </si>
  <si>
    <t>nov</t>
  </si>
  <si>
    <t>dic</t>
  </si>
  <si>
    <t>Actualización Lom Raura</t>
  </si>
  <si>
    <t>LOM CNN 2023</t>
  </si>
  <si>
    <t>LOM MLC 2023</t>
  </si>
  <si>
    <t>NorGold</t>
  </si>
  <si>
    <t>OKT-NFM-FS</t>
  </si>
  <si>
    <t>Pilares Mineros - Candelaria</t>
  </si>
  <si>
    <t>San Rafael: Gestión del Corto Plazo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</si>
</sst>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 * #,##0_ ;_ * \-#,##0_ ;_ * &quot;-&quot;_ ;_ @_ "/>
    <numFmt numFmtId="164" formatCode="_(* #,##0.00_);_(* \(#,##0.00\);_(* &quot;-&quot;??_);_(@_)"/>
    <numFmt numFmtId="165" formatCode="_(* #,##0_);_(* \(#,##0\);_(* &quot;-&quot;??_);_(@_)"/>
    <numFmt numFmtId="166" formatCode="[$-409]d\-mmm;@"/>
    <numFmt numFmtId="167" formatCode="_-* #,##0.00\ _€_-;\-* #,##0.00\ _€_-;_-* &quot;-&quot;??\ _€_-;_-@_-"/>
    <numFmt numFmtId="168" formatCode="&quot;$&quot;#,##0;\(&quot;$&quot;#,##0\);\-"/>
    <numFmt numFmtId="169" formatCode="0.0%"/>
    <numFmt numFmtId="170" formatCode="&quot;$&quot;#,##0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9"/>
      <color theme="9" tint="-0.249977111117893"/>
      <name val="Calibri"/>
      <family val="2"/>
      <scheme val="minor"/>
    </font>
    <font>
      <strike/>
      <sz val="9"/>
      <color theme="1"/>
      <name val="Calibri"/>
      <family val="2"/>
      <scheme val="minor"/>
    </font>
    <font>
      <sz val="9"/>
      <color theme="5"/>
      <name val="Calibri"/>
      <family val="2"/>
      <scheme val="minor"/>
    </font>
    <font>
      <sz val="9"/>
      <color rgb="FF00CC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B050"/>
      <name val="Calibri"/>
      <family val="2"/>
      <scheme val="minor"/>
    </font>
    <font>
      <sz val="9"/>
      <color theme="9"/>
      <name val="Calibri"/>
      <family val="2"/>
      <scheme val="minor"/>
    </font>
    <font>
      <sz val="9"/>
      <color rgb="FF7030A0"/>
      <name val="Calibri"/>
      <family val="2"/>
      <scheme val="minor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entury Gothic"/>
      <family val="2"/>
    </font>
    <font>
      <b/>
      <sz val="11"/>
      <color theme="1"/>
      <name val="Calibri"/>
      <family val="2"/>
      <scheme val="minor"/>
    </font>
    <font>
      <sz val="11"/>
      <color rgb="FFFFFFFF"/>
      <name val="Century Gothic"/>
      <family val="2"/>
    </font>
    <font>
      <sz val="11"/>
      <color rgb="FF5B6B8C"/>
      <name val="Century Gothic"/>
      <family val="2"/>
    </font>
    <font>
      <sz val="11"/>
      <color rgb="FF1F2A44"/>
      <name val="Century Gothic"/>
      <family val="2"/>
    </font>
    <font>
      <sz val="9.5"/>
      <color rgb="FF1F2A44"/>
      <name val="Century Gothic"/>
      <family val="2"/>
    </font>
    <font>
      <b/>
      <sz val="11"/>
      <color rgb="FFFFFFFF"/>
      <name val="Century Gothic"/>
      <family val="2"/>
    </font>
    <font>
      <sz val="8"/>
      <color rgb="FF5B6B8C"/>
      <name val="Century Gothic"/>
      <family val="2"/>
    </font>
    <font>
      <b/>
      <sz val="11"/>
      <color rgb="FFFFFFFF"/>
      <name val="Calibri"/>
      <family val="2"/>
    </font>
    <font>
      <sz val="11"/>
      <name val="Calibri"/>
      <family val="2"/>
      <scheme val="minor"/>
    </font>
    <font>
      <sz val="11"/>
      <color rgb="FF003A81"/>
      <name val="Century Gothic"/>
      <family val="2"/>
    </font>
    <font>
      <b/>
      <sz val="9"/>
      <color rgb="FFFFFFFF"/>
      <name val="Century Gothic"/>
      <family val="2"/>
    </font>
    <font>
      <sz val="9"/>
      <color rgb="FF1F2A44"/>
      <name val="Century Gothic"/>
      <family val="2"/>
    </font>
    <font>
      <sz val="10"/>
      <color theme="1"/>
      <name val="Century Gothic"/>
      <family val="2"/>
    </font>
    <font>
      <strike/>
      <sz val="10"/>
      <color rgb="FFFF0000"/>
      <name val="Century Gothic"/>
      <family val="2"/>
    </font>
    <font>
      <sz val="10"/>
      <color theme="1"/>
      <name val="Century Gothic"/>
      <family val="1"/>
    </font>
    <font>
      <sz val="9"/>
      <color theme="4" tint="-0.249977111117893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F0FA"/>
        <bgColor indexed="64"/>
      </patternFill>
    </fill>
    <fill>
      <patternFill patternType="solid">
        <fgColor rgb="FF1F2A44"/>
        <bgColor indexed="64"/>
      </patternFill>
    </fill>
    <fill>
      <patternFill patternType="solid">
        <fgColor rgb="FFF4F6FB"/>
        <bgColor indexed="64"/>
      </patternFill>
    </fill>
    <fill>
      <patternFill patternType="solid">
        <fgColor rgb="FF003A81"/>
        <bgColor indexed="64"/>
      </patternFill>
    </fill>
  </fills>
  <borders count="26">
    <border>
      <left/>
      <right/>
      <top/>
      <bottom/>
      <diagonal/>
    </border>
    <border>
      <left style="dotted">
        <color theme="4" tint="-0.24994659260841701"/>
      </left>
      <right style="dotted">
        <color theme="4" tint="-0.24994659260841701"/>
      </right>
      <top style="dotted">
        <color theme="4" tint="-0.24994659260841701"/>
      </top>
      <bottom style="dotted">
        <color theme="4" tint="-0.24994659260841701"/>
      </bottom>
      <diagonal/>
    </border>
    <border>
      <left style="dotted">
        <color theme="4" tint="-0.24994659260841701"/>
      </left>
      <right style="dotted">
        <color theme="4" tint="-0.24994659260841701"/>
      </right>
      <top style="dotted">
        <color theme="4" tint="-0.2499465926084170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3E64AC"/>
      </top>
      <bottom/>
      <diagonal/>
    </border>
    <border>
      <left/>
      <right/>
      <top/>
      <bottom style="thin">
        <color rgb="FF3E64AC"/>
      </bottom>
      <diagonal/>
    </border>
    <border>
      <left style="thin">
        <color rgb="FF3E64AC"/>
      </left>
      <right/>
      <top style="thin">
        <color rgb="FF3E64AC"/>
      </top>
      <bottom/>
      <diagonal/>
    </border>
    <border>
      <left style="thin">
        <color rgb="FF3E64AC"/>
      </left>
      <right/>
      <top/>
      <bottom style="thin">
        <color rgb="FF3E64AC"/>
      </bottom>
      <diagonal/>
    </border>
    <border>
      <left/>
      <right style="thin">
        <color rgb="FF3E64AC"/>
      </right>
      <top style="thin">
        <color rgb="FF3E64AC"/>
      </top>
      <bottom/>
      <diagonal/>
    </border>
    <border>
      <left/>
      <right style="thin">
        <color rgb="FF3E64AC"/>
      </right>
      <top/>
      <bottom style="thin">
        <color rgb="FF3E64AC"/>
      </bottom>
      <diagonal/>
    </border>
    <border>
      <left/>
      <right/>
      <top/>
      <bottom style="thin">
        <color theme="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94">
    <xf numFmtId="0" fontId="0" fillId="0" borderId="0" xfId="0"/>
    <xf numFmtId="0" fontId="0" fillId="0" borderId="1" xfId="0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65" fontId="5" fillId="0" borderId="0" xfId="1" applyNumberFormat="1" applyFont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166" fontId="5" fillId="0" borderId="0" xfId="1" applyNumberFormat="1" applyFont="1" applyAlignment="1">
      <alignment horizontal="center" vertical="center"/>
    </xf>
    <xf numFmtId="166" fontId="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" fontId="5" fillId="0" borderId="0" xfId="0" applyNumberFormat="1" applyFont="1" applyAlignment="1">
      <alignment horizontal="center" vertical="center" wrapText="1"/>
    </xf>
    <xf numFmtId="16" fontId="5" fillId="0" borderId="0" xfId="0" applyNumberFormat="1" applyFont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center"/>
    </xf>
    <xf numFmtId="0" fontId="8" fillId="4" borderId="2" xfId="0" applyFont="1" applyFill="1" applyBorder="1" applyAlignment="1">
      <alignment vertical="center" wrapText="1"/>
    </xf>
    <xf numFmtId="165" fontId="5" fillId="2" borderId="0" xfId="1" applyNumberFormat="1" applyFont="1" applyFill="1" applyAlignment="1">
      <alignment horizontal="center" vertical="center"/>
    </xf>
    <xf numFmtId="41" fontId="5" fillId="0" borderId="0" xfId="4" applyFont="1" applyFill="1" applyAlignment="1">
      <alignment horizontal="center" vertical="center"/>
    </xf>
    <xf numFmtId="41" fontId="5" fillId="0" borderId="0" xfId="4" applyFont="1" applyAlignment="1">
      <alignment horizontal="center" vertical="center"/>
    </xf>
    <xf numFmtId="41" fontId="5" fillId="0" borderId="0" xfId="0" applyNumberFormat="1" applyFont="1" applyAlignment="1">
      <alignment horizontal="center" vertical="center"/>
    </xf>
    <xf numFmtId="41" fontId="5" fillId="0" borderId="0" xfId="4" applyFont="1" applyFill="1" applyBorder="1" applyAlignment="1">
      <alignment horizontal="center" vertical="center"/>
    </xf>
    <xf numFmtId="165" fontId="5" fillId="0" borderId="0" xfId="1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16" fontId="6" fillId="0" borderId="0" xfId="0" applyNumberFormat="1" applyFont="1" applyAlignment="1">
      <alignment horizontal="center" vertical="center"/>
    </xf>
    <xf numFmtId="41" fontId="6" fillId="0" borderId="0" xfId="4" applyFont="1" applyFill="1" applyAlignment="1">
      <alignment horizontal="center" vertical="center"/>
    </xf>
    <xf numFmtId="9" fontId="5" fillId="0" borderId="0" xfId="5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4" applyNumberFormat="1" applyFont="1" applyFill="1" applyAlignment="1">
      <alignment horizontal="center" vertical="center"/>
    </xf>
    <xf numFmtId="0" fontId="11" fillId="0" borderId="0" xfId="1" applyNumberFormat="1" applyFont="1" applyAlignment="1">
      <alignment horizontal="center" vertical="center"/>
    </xf>
    <xf numFmtId="16" fontId="11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41" fontId="11" fillId="0" borderId="0" xfId="4" applyFont="1" applyAlignment="1">
      <alignment horizontal="center" vertical="center"/>
    </xf>
    <xf numFmtId="41" fontId="5" fillId="0" borderId="0" xfId="4" applyFont="1" applyAlignment="1">
      <alignment horizontal="center" vertical="center" wrapText="1"/>
    </xf>
    <xf numFmtId="41" fontId="5" fillId="2" borderId="0" xfId="4" applyFont="1" applyFill="1" applyAlignment="1">
      <alignment horizontal="center" vertical="center"/>
    </xf>
    <xf numFmtId="41" fontId="10" fillId="0" borderId="0" xfId="4" applyFont="1" applyAlignment="1">
      <alignment horizontal="center" vertical="center"/>
    </xf>
    <xf numFmtId="41" fontId="5" fillId="0" borderId="0" xfId="4" applyFont="1" applyBorder="1" applyAlignment="1">
      <alignment horizontal="center" vertical="center"/>
    </xf>
    <xf numFmtId="0" fontId="5" fillId="2" borderId="0" xfId="1" applyNumberFormat="1" applyFont="1" applyFill="1" applyBorder="1" applyAlignment="1">
      <alignment horizontal="center" vertical="center"/>
    </xf>
    <xf numFmtId="165" fontId="5" fillId="2" borderId="0" xfId="1" applyNumberFormat="1" applyFont="1" applyFill="1" applyBorder="1" applyAlignment="1">
      <alignment horizontal="center" vertical="center"/>
    </xf>
    <xf numFmtId="41" fontId="11" fillId="0" borderId="0" xfId="4" applyFont="1" applyFill="1" applyAlignment="1">
      <alignment horizontal="center" vertical="center"/>
    </xf>
    <xf numFmtId="166" fontId="11" fillId="0" borderId="0" xfId="1" applyNumberFormat="1" applyFont="1" applyAlignment="1">
      <alignment horizontal="center" vertical="center"/>
    </xf>
    <xf numFmtId="165" fontId="11" fillId="0" borderId="0" xfId="1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9" fontId="5" fillId="0" borderId="0" xfId="5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65" fontId="5" fillId="0" borderId="0" xfId="1" applyNumberFormat="1" applyFont="1" applyAlignment="1">
      <alignment horizontal="left" vertical="center"/>
    </xf>
    <xf numFmtId="41" fontId="12" fillId="0" borderId="0" xfId="4" applyFont="1" applyFill="1" applyAlignment="1">
      <alignment horizontal="center" vertical="center"/>
    </xf>
    <xf numFmtId="41" fontId="12" fillId="0" borderId="0" xfId="4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41" fontId="16" fillId="0" borderId="0" xfId="4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41" fontId="5" fillId="7" borderId="0" xfId="4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41" fontId="16" fillId="0" borderId="0" xfId="4" applyFont="1" applyFill="1" applyAlignment="1">
      <alignment horizontal="center" vertical="center"/>
    </xf>
    <xf numFmtId="165" fontId="5" fillId="7" borderId="0" xfId="1" applyNumberFormat="1" applyFont="1" applyFill="1" applyAlignment="1">
      <alignment horizontal="center" vertical="center"/>
    </xf>
    <xf numFmtId="165" fontId="18" fillId="0" borderId="0" xfId="1" applyNumberFormat="1" applyFont="1" applyAlignment="1">
      <alignment horizontal="center" vertical="center"/>
    </xf>
    <xf numFmtId="41" fontId="5" fillId="2" borderId="0" xfId="0" applyNumberFormat="1" applyFont="1" applyFill="1" applyAlignment="1">
      <alignment horizontal="center" vertical="center"/>
    </xf>
    <xf numFmtId="41" fontId="6" fillId="0" borderId="0" xfId="4" applyFont="1" applyAlignment="1">
      <alignment horizontal="center" vertical="center"/>
    </xf>
    <xf numFmtId="0" fontId="19" fillId="0" borderId="0" xfId="0" applyFont="1"/>
    <xf numFmtId="3" fontId="0" fillId="0" borderId="0" xfId="0" applyNumberFormat="1"/>
    <xf numFmtId="16" fontId="5" fillId="2" borderId="0" xfId="0" applyNumberFormat="1" applyFont="1" applyFill="1" applyAlignment="1">
      <alignment horizontal="center" vertical="center"/>
    </xf>
    <xf numFmtId="3" fontId="19" fillId="0" borderId="0" xfId="0" applyNumberFormat="1" applyFont="1"/>
    <xf numFmtId="41" fontId="5" fillId="6" borderId="0" xfId="4" applyFont="1" applyFill="1" applyAlignment="1">
      <alignment horizontal="center" vertical="center"/>
    </xf>
    <xf numFmtId="41" fontId="5" fillId="12" borderId="0" xfId="4" applyFont="1" applyFill="1" applyAlignment="1">
      <alignment horizontal="center" vertical="center"/>
    </xf>
    <xf numFmtId="0" fontId="23" fillId="0" borderId="0" xfId="0" applyFont="1"/>
    <xf numFmtId="3" fontId="23" fillId="0" borderId="0" xfId="0" applyNumberFormat="1" applyFont="1"/>
    <xf numFmtId="16" fontId="0" fillId="0" borderId="0" xfId="0" applyNumberFormat="1"/>
    <xf numFmtId="165" fontId="5" fillId="13" borderId="0" xfId="1" applyNumberFormat="1" applyFont="1" applyFill="1" applyAlignment="1">
      <alignment horizontal="center" vertical="center"/>
    </xf>
    <xf numFmtId="17" fontId="0" fillId="0" borderId="0" xfId="0" applyNumberFormat="1"/>
    <xf numFmtId="15" fontId="5" fillId="0" borderId="0" xfId="0" applyNumberFormat="1" applyFont="1" applyAlignment="1">
      <alignment horizontal="center" vertical="center"/>
    </xf>
    <xf numFmtId="15" fontId="11" fillId="0" borderId="0" xfId="0" applyNumberFormat="1" applyFont="1" applyAlignment="1">
      <alignment horizontal="center" vertical="center"/>
    </xf>
    <xf numFmtId="15" fontId="5" fillId="2" borderId="0" xfId="0" applyNumberFormat="1" applyFont="1" applyFill="1" applyAlignment="1">
      <alignment horizontal="center" vertical="center"/>
    </xf>
    <xf numFmtId="15" fontId="5" fillId="0" borderId="0" xfId="1" applyNumberFormat="1" applyFont="1" applyAlignment="1">
      <alignment horizontal="center" vertical="center"/>
    </xf>
    <xf numFmtId="15" fontId="11" fillId="0" borderId="0" xfId="1" applyNumberFormat="1" applyFont="1" applyAlignment="1">
      <alignment horizontal="center" vertical="center"/>
    </xf>
    <xf numFmtId="15" fontId="5" fillId="0" borderId="0" xfId="1" applyNumberFormat="1" applyFont="1" applyFill="1" applyAlignment="1">
      <alignment horizontal="center" vertical="center"/>
    </xf>
    <xf numFmtId="15" fontId="5" fillId="2" borderId="0" xfId="1" applyNumberFormat="1" applyFont="1" applyFill="1" applyAlignment="1">
      <alignment horizontal="center" vertical="center"/>
    </xf>
    <xf numFmtId="15" fontId="5" fillId="0" borderId="0" xfId="1" applyNumberFormat="1" applyFont="1" applyBorder="1" applyAlignment="1">
      <alignment horizontal="center" vertical="center"/>
    </xf>
    <xf numFmtId="15" fontId="11" fillId="0" borderId="0" xfId="1" applyNumberFormat="1" applyFont="1" applyFill="1" applyAlignment="1">
      <alignment horizontal="center" vertical="center"/>
    </xf>
    <xf numFmtId="15" fontId="5" fillId="6" borderId="0" xfId="1" applyNumberFormat="1" applyFont="1" applyFill="1" applyAlignment="1">
      <alignment horizontal="center" vertical="center"/>
    </xf>
    <xf numFmtId="15" fontId="5" fillId="0" borderId="0" xfId="1" applyNumberFormat="1" applyFont="1" applyFill="1" applyBorder="1" applyAlignment="1">
      <alignment horizontal="center" vertical="center"/>
    </xf>
    <xf numFmtId="15" fontId="5" fillId="7" borderId="0" xfId="1" applyNumberFormat="1" applyFont="1" applyFill="1" applyAlignment="1">
      <alignment horizontal="center" vertical="center"/>
    </xf>
    <xf numFmtId="41" fontId="5" fillId="14" borderId="0" xfId="4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165" fontId="6" fillId="0" borderId="0" xfId="1" applyNumberFormat="1" applyFont="1" applyAlignment="1">
      <alignment horizontal="center" vertical="center"/>
    </xf>
    <xf numFmtId="15" fontId="6" fillId="0" borderId="0" xfId="1" applyNumberFormat="1" applyFont="1" applyFill="1" applyAlignment="1">
      <alignment horizontal="center" vertical="center"/>
    </xf>
    <xf numFmtId="0" fontId="0" fillId="18" borderId="0" xfId="0" applyFill="1" applyAlignment="1">
      <alignment vertical="center"/>
    </xf>
    <xf numFmtId="0" fontId="0" fillId="0" borderId="0" xfId="0" applyAlignment="1">
      <alignment vertical="center"/>
    </xf>
    <xf numFmtId="0" fontId="26" fillId="0" borderId="0" xfId="0" applyFont="1"/>
    <xf numFmtId="3" fontId="26" fillId="0" borderId="0" xfId="0" applyNumberFormat="1" applyFont="1" applyAlignment="1">
      <alignment horizontal="center"/>
    </xf>
    <xf numFmtId="168" fontId="26" fillId="0" borderId="0" xfId="0" applyNumberFormat="1" applyFont="1"/>
    <xf numFmtId="169" fontId="26" fillId="0" borderId="0" xfId="0" applyNumberFormat="1" applyFont="1"/>
    <xf numFmtId="0" fontId="24" fillId="0" borderId="0" xfId="0" applyFont="1" applyAlignment="1">
      <alignment horizontal="left"/>
    </xf>
    <xf numFmtId="0" fontId="25" fillId="0" borderId="0" xfId="0" applyFont="1"/>
    <xf numFmtId="0" fontId="24" fillId="0" borderId="0" xfId="0" applyFont="1" applyAlignment="1">
      <alignment horizontal="center"/>
    </xf>
    <xf numFmtId="16" fontId="24" fillId="0" borderId="0" xfId="0" applyNumberFormat="1" applyFont="1" applyAlignment="1">
      <alignment horizontal="right"/>
    </xf>
    <xf numFmtId="0" fontId="24" fillId="0" borderId="0" xfId="0" applyFont="1" applyAlignment="1">
      <alignment horizontal="right"/>
    </xf>
    <xf numFmtId="0" fontId="24" fillId="0" borderId="0" xfId="0" applyFont="1"/>
    <xf numFmtId="3" fontId="24" fillId="0" borderId="0" xfId="0" applyNumberFormat="1" applyFont="1" applyAlignment="1">
      <alignment horizontal="center"/>
    </xf>
    <xf numFmtId="168" fontId="24" fillId="0" borderId="0" xfId="0" applyNumberFormat="1" applyFont="1"/>
    <xf numFmtId="169" fontId="24" fillId="0" borderId="0" xfId="0" applyNumberFormat="1" applyFont="1"/>
    <xf numFmtId="3" fontId="21" fillId="5" borderId="14" xfId="0" applyNumberFormat="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0" fontId="22" fillId="10" borderId="12" xfId="0" applyFont="1" applyFill="1" applyBorder="1" applyAlignment="1">
      <alignment horizontal="center"/>
    </xf>
    <xf numFmtId="0" fontId="22" fillId="10" borderId="13" xfId="0" applyFont="1" applyFill="1" applyBorder="1" applyAlignment="1">
      <alignment horizontal="center"/>
    </xf>
    <xf numFmtId="0" fontId="22" fillId="10" borderId="14" xfId="0" applyFont="1" applyFill="1" applyBorder="1" applyAlignment="1">
      <alignment horizontal="center"/>
    </xf>
    <xf numFmtId="0" fontId="20" fillId="9" borderId="12" xfId="0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3" fontId="19" fillId="11" borderId="10" xfId="0" applyNumberFormat="1" applyFont="1" applyFill="1" applyBorder="1" applyAlignment="1">
      <alignment horizontal="center"/>
    </xf>
    <xf numFmtId="3" fontId="19" fillId="0" borderId="10" xfId="0" applyNumberFormat="1" applyFont="1" applyBorder="1" applyAlignment="1">
      <alignment horizontal="center"/>
    </xf>
    <xf numFmtId="3" fontId="19" fillId="11" borderId="11" xfId="0" applyNumberFormat="1" applyFont="1" applyFill="1" applyBorder="1" applyAlignment="1">
      <alignment horizontal="center"/>
    </xf>
    <xf numFmtId="3" fontId="19" fillId="0" borderId="0" xfId="0" applyNumberFormat="1" applyFont="1" applyAlignment="1">
      <alignment horizontal="center"/>
    </xf>
    <xf numFmtId="1" fontId="19" fillId="0" borderId="0" xfId="0" applyNumberFormat="1" applyFont="1" applyAlignment="1">
      <alignment horizontal="center"/>
    </xf>
    <xf numFmtId="0" fontId="20" fillId="0" borderId="4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3" fontId="19" fillId="11" borderId="3" xfId="0" applyNumberFormat="1" applyFont="1" applyFill="1" applyBorder="1" applyAlignment="1">
      <alignment horizontal="center"/>
    </xf>
    <xf numFmtId="3" fontId="19" fillId="0" borderId="3" xfId="0" applyNumberFormat="1" applyFont="1" applyBorder="1" applyAlignment="1">
      <alignment horizontal="center"/>
    </xf>
    <xf numFmtId="3" fontId="19" fillId="11" borderId="5" xfId="0" applyNumberFormat="1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3" fontId="19" fillId="0" borderId="16" xfId="0" applyNumberFormat="1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3" fontId="19" fillId="0" borderId="5" xfId="0" applyNumberFormat="1" applyFont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3" fontId="20" fillId="5" borderId="8" xfId="0" applyNumberFormat="1" applyFont="1" applyFill="1" applyBorder="1" applyAlignment="1">
      <alignment horizontal="center"/>
    </xf>
    <xf numFmtId="3" fontId="20" fillId="5" borderId="7" xfId="0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31" fillId="18" borderId="0" xfId="0" applyFont="1" applyFill="1" applyAlignment="1">
      <alignment vertical="center"/>
    </xf>
    <xf numFmtId="0" fontId="31" fillId="0" borderId="0" xfId="0" applyFont="1" applyAlignment="1">
      <alignment vertical="center"/>
    </xf>
    <xf numFmtId="0" fontId="28" fillId="19" borderId="0" xfId="0" applyFont="1" applyFill="1" applyAlignment="1">
      <alignment horizontal="center" vertical="center"/>
    </xf>
    <xf numFmtId="0" fontId="27" fillId="16" borderId="0" xfId="0" applyFont="1" applyFill="1" applyAlignment="1">
      <alignment vertical="center"/>
    </xf>
    <xf numFmtId="3" fontId="27" fillId="16" borderId="0" xfId="0" applyNumberFormat="1" applyFont="1" applyFill="1" applyAlignment="1">
      <alignment horizontal="center" vertical="center"/>
    </xf>
    <xf numFmtId="168" fontId="27" fillId="16" borderId="0" xfId="0" applyNumberFormat="1" applyFont="1" applyFill="1" applyAlignment="1">
      <alignment horizontal="center" vertical="center"/>
    </xf>
    <xf numFmtId="169" fontId="27" fillId="16" borderId="0" xfId="0" applyNumberFormat="1" applyFont="1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34" fillId="16" borderId="0" xfId="0" applyFont="1" applyFill="1" applyAlignment="1">
      <alignment vertical="center"/>
    </xf>
    <xf numFmtId="0" fontId="34" fillId="16" borderId="0" xfId="0" applyFont="1" applyFill="1" applyAlignment="1">
      <alignment horizontal="left" vertical="center"/>
    </xf>
    <xf numFmtId="170" fontId="34" fillId="16" borderId="0" xfId="0" applyNumberFormat="1" applyFont="1" applyFill="1" applyAlignment="1">
      <alignment horizontal="center" vertical="center"/>
    </xf>
    <xf numFmtId="0" fontId="34" fillId="15" borderId="0" xfId="0" applyFont="1" applyFill="1" applyAlignment="1">
      <alignment vertical="center"/>
    </xf>
    <xf numFmtId="0" fontId="34" fillId="15" borderId="0" xfId="0" applyFont="1" applyFill="1" applyAlignment="1">
      <alignment horizontal="left" vertical="center"/>
    </xf>
    <xf numFmtId="170" fontId="34" fillId="15" borderId="0" xfId="0" applyNumberFormat="1" applyFont="1" applyFill="1" applyAlignment="1">
      <alignment horizontal="center" vertical="center"/>
    </xf>
    <xf numFmtId="17" fontId="28" fillId="19" borderId="0" xfId="0" applyNumberFormat="1" applyFont="1" applyFill="1" applyAlignment="1">
      <alignment horizontal="center" vertical="center"/>
    </xf>
    <xf numFmtId="0" fontId="27" fillId="15" borderId="0" xfId="0" applyFont="1" applyFill="1" applyAlignment="1">
      <alignment vertical="center"/>
    </xf>
    <xf numFmtId="3" fontId="27" fillId="15" borderId="0" xfId="0" applyNumberFormat="1" applyFont="1" applyFill="1" applyAlignment="1">
      <alignment horizontal="center" vertical="center"/>
    </xf>
    <xf numFmtId="168" fontId="27" fillId="15" borderId="0" xfId="0" applyNumberFormat="1" applyFont="1" applyFill="1" applyAlignment="1">
      <alignment horizontal="center" vertical="center"/>
    </xf>
    <xf numFmtId="169" fontId="27" fillId="15" borderId="0" xfId="0" applyNumberFormat="1" applyFont="1" applyFill="1" applyAlignment="1">
      <alignment horizontal="center" vertical="center"/>
    </xf>
    <xf numFmtId="0" fontId="30" fillId="19" borderId="0" xfId="0" applyFont="1" applyFill="1" applyAlignment="1">
      <alignment horizontal="left" vertical="center"/>
    </xf>
    <xf numFmtId="0" fontId="30" fillId="19" borderId="0" xfId="0" applyFont="1" applyFill="1" applyAlignment="1">
      <alignment horizontal="center" vertical="center"/>
    </xf>
    <xf numFmtId="3" fontId="30" fillId="19" borderId="0" xfId="0" applyNumberFormat="1" applyFont="1" applyFill="1" applyAlignment="1">
      <alignment horizontal="center" vertical="center"/>
    </xf>
    <xf numFmtId="168" fontId="30" fillId="19" borderId="0" xfId="0" applyNumberFormat="1" applyFont="1" applyFill="1" applyAlignment="1">
      <alignment horizontal="center" vertical="center"/>
    </xf>
    <xf numFmtId="169" fontId="30" fillId="19" borderId="0" xfId="0" applyNumberFormat="1" applyFont="1" applyFill="1" applyAlignment="1">
      <alignment horizontal="center" vertical="center"/>
    </xf>
    <xf numFmtId="0" fontId="30" fillId="17" borderId="0" xfId="0" applyFont="1" applyFill="1" applyAlignment="1">
      <alignment horizontal="left" vertical="center"/>
    </xf>
    <xf numFmtId="0" fontId="30" fillId="17" borderId="0" xfId="0" applyFont="1" applyFill="1" applyAlignment="1">
      <alignment horizontal="center" vertical="center"/>
    </xf>
    <xf numFmtId="3" fontId="30" fillId="17" borderId="0" xfId="0" applyNumberFormat="1" applyFont="1" applyFill="1" applyAlignment="1">
      <alignment horizontal="center" vertical="center"/>
    </xf>
    <xf numFmtId="168" fontId="30" fillId="17" borderId="0" xfId="0" applyNumberFormat="1" applyFont="1" applyFill="1" applyAlignment="1">
      <alignment horizontal="center" vertical="center"/>
    </xf>
    <xf numFmtId="169" fontId="30" fillId="17" borderId="0" xfId="0" applyNumberFormat="1" applyFont="1" applyFill="1" applyAlignment="1">
      <alignment horizontal="center" vertical="center"/>
    </xf>
    <xf numFmtId="0" fontId="33" fillId="19" borderId="0" xfId="0" applyFont="1" applyFill="1" applyAlignment="1">
      <alignment horizontal="center" vertical="center"/>
    </xf>
    <xf numFmtId="17" fontId="34" fillId="16" borderId="0" xfId="0" applyNumberFormat="1" applyFont="1" applyFill="1" applyAlignment="1">
      <alignment horizontal="center" vertical="center"/>
    </xf>
    <xf numFmtId="168" fontId="34" fillId="16" borderId="0" xfId="0" applyNumberFormat="1" applyFont="1" applyFill="1" applyAlignment="1">
      <alignment horizontal="center" vertical="center"/>
    </xf>
    <xf numFmtId="17" fontId="34" fillId="15" borderId="0" xfId="0" applyNumberFormat="1" applyFont="1" applyFill="1" applyAlignment="1">
      <alignment horizontal="center" vertical="center"/>
    </xf>
    <xf numFmtId="168" fontId="34" fillId="15" borderId="0" xfId="0" applyNumberFormat="1" applyFont="1" applyFill="1" applyAlignment="1">
      <alignment horizontal="center" vertical="center"/>
    </xf>
    <xf numFmtId="0" fontId="35" fillId="0" borderId="0" xfId="0" pivotButton="1" applyFont="1"/>
    <xf numFmtId="0" fontId="35" fillId="0" borderId="0" xfId="0" applyFont="1"/>
    <xf numFmtId="3" fontId="35" fillId="0" borderId="0" xfId="0" applyNumberFormat="1" applyFont="1"/>
    <xf numFmtId="0" fontId="35" fillId="0" borderId="0" xfId="0" applyFont="1" applyAlignment="1">
      <alignment horizontal="left"/>
    </xf>
    <xf numFmtId="3" fontId="36" fillId="0" borderId="0" xfId="0" applyNumberFormat="1" applyFont="1"/>
    <xf numFmtId="0" fontId="37" fillId="0" borderId="0" xfId="0" pivotButton="1" applyFont="1"/>
    <xf numFmtId="0" fontId="37" fillId="0" borderId="0" xfId="0" applyFont="1"/>
    <xf numFmtId="3" fontId="37" fillId="0" borderId="0" xfId="0" applyNumberFormat="1" applyFont="1"/>
    <xf numFmtId="41" fontId="38" fillId="4" borderId="0" xfId="4" applyFont="1" applyFill="1" applyAlignment="1">
      <alignment horizontal="center" vertical="center"/>
    </xf>
    <xf numFmtId="41" fontId="38" fillId="0" borderId="0" xfId="4" applyFont="1" applyAlignment="1">
      <alignment horizontal="center" vertical="center"/>
    </xf>
    <xf numFmtId="41" fontId="38" fillId="6" borderId="0" xfId="4" applyFont="1" applyFill="1" applyAlignment="1">
      <alignment horizontal="center" vertical="center"/>
    </xf>
    <xf numFmtId="41" fontId="38" fillId="14" borderId="0" xfId="4" applyFont="1" applyFill="1" applyAlignment="1">
      <alignment horizontal="center" vertical="center"/>
    </xf>
    <xf numFmtId="41" fontId="38" fillId="14" borderId="25" xfId="4" applyFont="1" applyFill="1" applyBorder="1" applyAlignment="1">
      <alignment horizontal="center" vertical="center"/>
    </xf>
    <xf numFmtId="0" fontId="20" fillId="0" borderId="17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28" fillId="19" borderId="0" xfId="0" applyFont="1" applyFill="1" applyAlignment="1">
      <alignment horizontal="left" vertical="center"/>
    </xf>
    <xf numFmtId="0" fontId="25" fillId="18" borderId="0" xfId="0" applyFont="1" applyFill="1" applyAlignment="1">
      <alignment horizontal="left" vertical="center"/>
    </xf>
    <xf numFmtId="0" fontId="28" fillId="19" borderId="0" xfId="0" applyFont="1" applyFill="1" applyAlignment="1">
      <alignment horizontal="center" vertical="center"/>
    </xf>
    <xf numFmtId="0" fontId="29" fillId="15" borderId="22" xfId="0" applyFont="1" applyFill="1" applyBorder="1" applyAlignment="1">
      <alignment horizontal="center" vertical="center"/>
    </xf>
    <xf numFmtId="0" fontId="29" fillId="15" borderId="24" xfId="0" applyFont="1" applyFill="1" applyBorder="1" applyAlignment="1">
      <alignment horizontal="center" vertical="center"/>
    </xf>
    <xf numFmtId="0" fontId="28" fillId="19" borderId="0" xfId="0" applyFont="1" applyFill="1" applyAlignment="1">
      <alignment vertical="center"/>
    </xf>
    <xf numFmtId="0" fontId="0" fillId="0" borderId="0" xfId="0" applyAlignment="1">
      <alignment vertical="center"/>
    </xf>
    <xf numFmtId="170" fontId="32" fillId="15" borderId="21" xfId="0" applyNumberFormat="1" applyFont="1" applyFill="1" applyBorder="1" applyAlignment="1">
      <alignment horizontal="center" vertical="center"/>
    </xf>
    <xf numFmtId="170" fontId="32" fillId="15" borderId="19" xfId="0" applyNumberFormat="1" applyFont="1" applyFill="1" applyBorder="1" applyAlignment="1">
      <alignment horizontal="center" vertical="center"/>
    </xf>
    <xf numFmtId="3" fontId="32" fillId="15" borderId="21" xfId="0" applyNumberFormat="1" applyFont="1" applyFill="1" applyBorder="1" applyAlignment="1">
      <alignment horizontal="center" vertical="center"/>
    </xf>
    <xf numFmtId="3" fontId="32" fillId="15" borderId="23" xfId="0" applyNumberFormat="1" applyFont="1" applyFill="1" applyBorder="1" applyAlignment="1">
      <alignment horizontal="center" vertical="center"/>
    </xf>
    <xf numFmtId="3" fontId="32" fillId="15" borderId="19" xfId="0" applyNumberFormat="1" applyFont="1" applyFill="1" applyBorder="1" applyAlignment="1">
      <alignment horizontal="center" vertical="center"/>
    </xf>
    <xf numFmtId="0" fontId="32" fillId="15" borderId="21" xfId="0" applyFont="1" applyFill="1" applyBorder="1" applyAlignment="1">
      <alignment horizontal="center" vertical="center"/>
    </xf>
    <xf numFmtId="0" fontId="32" fillId="15" borderId="23" xfId="0" applyFont="1" applyFill="1" applyBorder="1" applyAlignment="1">
      <alignment horizontal="center" vertical="center"/>
    </xf>
    <xf numFmtId="0" fontId="29" fillId="15" borderId="20" xfId="0" applyFont="1" applyFill="1" applyBorder="1" applyAlignment="1">
      <alignment horizontal="center" vertical="center"/>
    </xf>
  </cellXfs>
  <cellStyles count="7">
    <cellStyle name="Hyperlink" xfId="3" xr:uid="{00000000-000B-0000-0000-000008000000}"/>
    <cellStyle name="Millares" xfId="1" builtinId="3"/>
    <cellStyle name="Millares [0]" xfId="4" builtinId="6"/>
    <cellStyle name="Millares [0] 2" xfId="6" xr:uid="{767BD81A-2563-4696-9101-66910ED69789}"/>
    <cellStyle name="Millares 2" xfId="2" xr:uid="{D0EC41FF-FA2A-411C-BD08-B168B647FB43}"/>
    <cellStyle name="Normal" xfId="0" builtinId="0"/>
    <cellStyle name="Porcentaje" xfId="5" builtinId="5"/>
  </cellStyles>
  <dxfs count="247"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FFF00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numFmt numFmtId="3" formatCode="#,##0"/>
    </dxf>
    <dxf>
      <font>
        <b/>
      </font>
    </dxf>
    <dxf>
      <font>
        <b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numFmt numFmtId="3" formatCode="#,##0"/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rgb="FF00CC00"/>
        </patternFill>
      </fill>
    </dxf>
    <dxf>
      <fill>
        <patternFill patternType="solid">
          <bgColor rgb="FF00CC00"/>
        </patternFill>
      </fill>
    </dxf>
    <dxf>
      <fill>
        <patternFill patternType="none">
          <bgColor auto="1"/>
        </patternFill>
      </fill>
    </dxf>
    <dxf>
      <fill>
        <patternFill>
          <bgColor rgb="FF00CC00"/>
        </patternFill>
      </fill>
    </dxf>
    <dxf>
      <fill>
        <patternFill patternType="solid">
          <bgColor rgb="FF00B05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ont>
        <b val="0"/>
        <strike/>
      </font>
    </dxf>
    <dxf>
      <font>
        <color rgb="FFFF0000"/>
      </font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</font>
    </dxf>
    <dxf>
      <font>
        <b/>
      </font>
    </dxf>
    <dxf>
      <fill>
        <patternFill patternType="solid">
          <bgColor rgb="FF00B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numFmt numFmtId="3" formatCode="#,##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numFmt numFmtId="3" formatCode="#,##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numFmt numFmtId="3" formatCode="#,##0"/>
    </dxf>
    <dxf>
      <font>
        <color rgb="FFFF000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00CC00"/>
        </patternFill>
      </fill>
    </dxf>
    <dxf>
      <fill>
        <patternFill patternType="solid">
          <fgColor indexed="64"/>
          <bgColor rgb="FF00CC00"/>
        </patternFill>
      </fill>
    </dxf>
    <dxf>
      <fill>
        <patternFill patternType="solid">
          <fgColor indexed="64"/>
          <bgColor rgb="FF00CC00"/>
        </patternFill>
      </fill>
    </dxf>
    <dxf>
      <fill>
        <patternFill patternType="solid">
          <fgColor indexed="64"/>
          <bgColor rgb="FF00CC00"/>
        </patternFill>
      </fill>
    </dxf>
    <dxf>
      <fill>
        <patternFill patternType="solid">
          <fgColor indexed="64"/>
          <bgColor rgb="FF00CC00"/>
        </patternFill>
      </fill>
    </dxf>
    <dxf>
      <fill>
        <patternFill patternType="solid">
          <fgColor indexed="64"/>
          <bgColor rgb="FF00CC00"/>
        </patternFill>
      </fill>
    </dxf>
    <dxf>
      <fill>
        <patternFill patternType="solid">
          <fgColor indexed="64"/>
          <bgColor rgb="FF00CC00"/>
        </patternFill>
      </fill>
    </dxf>
    <dxf>
      <fill>
        <patternFill patternType="solid">
          <fgColor indexed="64"/>
          <bgColor rgb="FF00CC00"/>
        </patternFill>
      </fill>
    </dxf>
    <dxf>
      <fill>
        <patternFill patternType="solid">
          <fgColor indexed="64"/>
          <bgColor rgb="FF00CC00"/>
        </patternFill>
      </fill>
    </dxf>
    <dxf>
      <fill>
        <patternFill patternType="solid">
          <fgColor indexed="64"/>
          <bgColor rgb="FF00CC00"/>
        </patternFill>
      </fill>
    </dxf>
    <dxf>
      <fill>
        <patternFill patternType="solid">
          <fgColor indexed="64"/>
          <bgColor rgb="FF00CC00"/>
        </patternFill>
      </fill>
    </dxf>
    <dxf>
      <fill>
        <patternFill patternType="solid">
          <fgColor indexed="64"/>
          <bgColor rgb="FF00CC00"/>
        </patternFill>
      </fill>
    </dxf>
    <dxf>
      <fill>
        <patternFill patternType="solid">
          <fgColor indexed="64"/>
          <bgColor rgb="FF00CC00"/>
        </patternFill>
      </fill>
    </dxf>
    <dxf>
      <fill>
        <patternFill patternType="solid">
          <fgColor indexed="64"/>
          <bgColor rgb="FF00CC00"/>
        </patternFill>
      </fill>
    </dxf>
    <dxf>
      <fill>
        <patternFill patternType="solid">
          <bgColor rgb="FF00CC00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3" formatCode="_ * #,##0_ ;_ * \-#,##0_ ;_ * &quot;-&quot;_ ;_ @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3" formatCode="_ * #,##0_ ;_ * \-#,##0_ ;_ * &quot;-&quot;_ ;_ @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0" formatCode="dd/mmm/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0" formatCode="dd/mmm/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0" formatCode="dd/mmm/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0" formatCode="dd/mmm/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0" formatCode="dd/mmm/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0" formatCode="dd/mmm/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1" formatCode="dd/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1" formatCode="dd/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3E64AC"/>
      <color rgb="FF1F2A44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1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F2A44"/>
                </a:solidFill>
                <a:latin typeface="Century Gothic"/>
                <a:ea typeface="Century Gothic"/>
                <a:cs typeface="Century Gothic"/>
              </a:defRPr>
            </a:pPr>
            <a:r>
              <a:rPr lang="en-US"/>
              <a:t>Distribución por país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F2A44"/>
              </a:solidFill>
              <a:latin typeface="Century Gothic"/>
              <a:ea typeface="Century Gothic"/>
              <a:cs typeface="Century Gothic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7771211766845976"/>
          <c:y val="0.18628498066864732"/>
          <c:w val="0.46689561082092462"/>
          <c:h val="0.75875232007905691"/>
        </c:manualLayout>
      </c:layout>
      <c:doughnutChart>
        <c:varyColors val="1"/>
        <c:ser>
          <c:idx val="0"/>
          <c:order val="0"/>
          <c:tx>
            <c:strRef>
              <c:f>'EDP Pendientes - Ejecutivo'!$D$66</c:f>
              <c:strCache>
                <c:ptCount val="1"/>
                <c:pt idx="0">
                  <c:v>USD</c:v>
                </c:pt>
              </c:strCache>
            </c:strRef>
          </c:tx>
          <c:dPt>
            <c:idx val="0"/>
            <c:bubble3D val="0"/>
            <c:spPr>
              <a:solidFill>
                <a:srgbClr val="003A8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4F0-47E3-9870-EB58A7B5F2DF}"/>
              </c:ext>
            </c:extLst>
          </c:dPt>
          <c:dPt>
            <c:idx val="1"/>
            <c:bubble3D val="0"/>
            <c:spPr>
              <a:solidFill>
                <a:srgbClr val="3E64A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4F0-47E3-9870-EB58A7B5F2DF}"/>
              </c:ext>
            </c:extLst>
          </c:dPt>
          <c:dPt>
            <c:idx val="2"/>
            <c:bubble3D val="0"/>
            <c:spPr>
              <a:solidFill>
                <a:srgbClr val="8EA9D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4F0-47E3-9870-EB58A7B5F2DF}"/>
              </c:ext>
            </c:extLst>
          </c:dPt>
          <c:dPt>
            <c:idx val="3"/>
            <c:bubble3D val="0"/>
            <c:spPr>
              <a:solidFill>
                <a:srgbClr val="5B6B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4F0-47E3-9870-EB58A7B5F2DF}"/>
              </c:ext>
            </c:extLst>
          </c:dPt>
          <c:dPt>
            <c:idx val="4"/>
            <c:bubble3D val="0"/>
            <c:spPr>
              <a:solidFill>
                <a:srgbClr val="C9D6E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4F0-47E3-9870-EB58A7B5F2DF}"/>
              </c:ext>
            </c:extLst>
          </c:dPt>
          <c:dLbls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'EDP Pendientes - Ejecutivo'!$C$67:$C$71</c:f>
              <c:strCache>
                <c:ptCount val="5"/>
                <c:pt idx="0">
                  <c:v>Chile</c:v>
                </c:pt>
                <c:pt idx="1">
                  <c:v>Perú</c:v>
                </c:pt>
                <c:pt idx="2">
                  <c:v>USA</c:v>
                </c:pt>
                <c:pt idx="3">
                  <c:v>Canadá</c:v>
                </c:pt>
                <c:pt idx="4">
                  <c:v>Brasil</c:v>
                </c:pt>
              </c:strCache>
            </c:strRef>
          </c:cat>
          <c:val>
            <c:numRef>
              <c:f>'EDP Pendientes - Ejecutivo'!$D$67:$D$71</c:f>
              <c:numCache>
                <c:formatCode>"$"#,##0</c:formatCode>
                <c:ptCount val="5"/>
                <c:pt idx="0">
                  <c:v>287268</c:v>
                </c:pt>
                <c:pt idx="1">
                  <c:v>215094</c:v>
                </c:pt>
                <c:pt idx="2">
                  <c:v>72083</c:v>
                </c:pt>
                <c:pt idx="3">
                  <c:v>47121</c:v>
                </c:pt>
                <c:pt idx="4">
                  <c:v>4210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F0-47E3-9870-EB58A7B5F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/>
              <a:ea typeface="Century Gothic"/>
              <a:cs typeface="Century Gothic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F2A44"/>
                </a:solidFill>
                <a:latin typeface="Century Gothic"/>
                <a:ea typeface="Century Gothic"/>
                <a:cs typeface="Century Gothic"/>
              </a:defRPr>
            </a:pPr>
            <a:r>
              <a:rPr lang="en-US"/>
              <a:t>Monto pendiente por mes y país (kUSD)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F2A44"/>
              </a:solidFill>
              <a:latin typeface="Century Gothic"/>
              <a:ea typeface="Century Gothic"/>
              <a:cs typeface="Century Gothic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'EDP Pendientes - Ejecutivo'!$G$66</c:f>
              <c:strCache>
                <c:ptCount val="1"/>
                <c:pt idx="0">
                  <c:v>Chile</c:v>
                </c:pt>
              </c:strCache>
            </c:strRef>
          </c:tx>
          <c:spPr>
            <a:solidFill>
              <a:srgbClr val="003A8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'EDP Pendientes - Ejecutivo'!$F$67:$F$70</c:f>
              <c:numCache>
                <c:formatCode>mmm\-yy</c:formatCode>
                <c:ptCount val="4"/>
                <c:pt idx="0">
                  <c:v>46054</c:v>
                </c:pt>
                <c:pt idx="1">
                  <c:v>46082</c:v>
                </c:pt>
                <c:pt idx="2">
                  <c:v>46113</c:v>
                </c:pt>
                <c:pt idx="3">
                  <c:v>46173</c:v>
                </c:pt>
              </c:numCache>
            </c:numRef>
          </c:cat>
          <c:val>
            <c:numRef>
              <c:f>'EDP Pendientes - Ejecutivo'!$G$67:$G$70</c:f>
              <c:numCache>
                <c:formatCode>"$"#,##0;\("$"#,##0\);\-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54160</c:v>
                </c:pt>
                <c:pt idx="3">
                  <c:v>233108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CE-4C6D-A023-90F4F02E05CD}"/>
            </c:ext>
          </c:extLst>
        </c:ser>
        <c:ser>
          <c:idx val="1"/>
          <c:order val="1"/>
          <c:tx>
            <c:strRef>
              <c:f>'EDP Pendientes - Ejecutivo'!$H$66</c:f>
              <c:strCache>
                <c:ptCount val="1"/>
                <c:pt idx="0">
                  <c:v>Perú</c:v>
                </c:pt>
              </c:strCache>
            </c:strRef>
          </c:tx>
          <c:spPr>
            <a:solidFill>
              <a:srgbClr val="3E64A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'EDP Pendientes - Ejecutivo'!$F$67:$F$70</c:f>
              <c:numCache>
                <c:formatCode>mmm\-yy</c:formatCode>
                <c:ptCount val="4"/>
                <c:pt idx="0">
                  <c:v>46054</c:v>
                </c:pt>
                <c:pt idx="1">
                  <c:v>46082</c:v>
                </c:pt>
                <c:pt idx="2">
                  <c:v>46113</c:v>
                </c:pt>
                <c:pt idx="3">
                  <c:v>46173</c:v>
                </c:pt>
              </c:numCache>
            </c:numRef>
          </c:cat>
          <c:val>
            <c:numRef>
              <c:f>'EDP Pendientes - Ejecutivo'!$H$67:$H$70</c:f>
              <c:numCache>
                <c:formatCode>"$"#,##0;\("$"#,##0\);\-</c:formatCode>
                <c:ptCount val="4"/>
                <c:pt idx="0">
                  <c:v>20228</c:v>
                </c:pt>
                <c:pt idx="1">
                  <c:v>20091</c:v>
                </c:pt>
                <c:pt idx="2">
                  <c:v>60080</c:v>
                </c:pt>
                <c:pt idx="3">
                  <c:v>114695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CE-4C6D-A023-90F4F02E05CD}"/>
            </c:ext>
          </c:extLst>
        </c:ser>
        <c:ser>
          <c:idx val="2"/>
          <c:order val="2"/>
          <c:tx>
            <c:strRef>
              <c:f>'EDP Pendientes - Ejecutivo'!$I$66</c:f>
              <c:strCache>
                <c:ptCount val="1"/>
                <c:pt idx="0">
                  <c:v>Brasil</c:v>
                </c:pt>
              </c:strCache>
            </c:strRef>
          </c:tx>
          <c:spPr>
            <a:solidFill>
              <a:srgbClr val="8EA9D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'EDP Pendientes - Ejecutivo'!$F$67:$F$70</c:f>
              <c:numCache>
                <c:formatCode>mmm\-yy</c:formatCode>
                <c:ptCount val="4"/>
                <c:pt idx="0">
                  <c:v>46054</c:v>
                </c:pt>
                <c:pt idx="1">
                  <c:v>46082</c:v>
                </c:pt>
                <c:pt idx="2">
                  <c:v>46113</c:v>
                </c:pt>
                <c:pt idx="3">
                  <c:v>46173</c:v>
                </c:pt>
              </c:numCache>
            </c:numRef>
          </c:cat>
          <c:val>
            <c:numRef>
              <c:f>'EDP Pendientes - Ejecutivo'!$I$67:$I$70</c:f>
              <c:numCache>
                <c:formatCode>"$"#,##0;\("$"#,##0\);\-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CE-4C6D-A023-90F4F02E05CD}"/>
            </c:ext>
          </c:extLst>
        </c:ser>
        <c:ser>
          <c:idx val="3"/>
          <c:order val="3"/>
          <c:tx>
            <c:strRef>
              <c:f>'EDP Pendientes - Ejecutivo'!$J$66</c:f>
              <c:strCache>
                <c:ptCount val="1"/>
                <c:pt idx="0">
                  <c:v>USA</c:v>
                </c:pt>
              </c:strCache>
            </c:strRef>
          </c:tx>
          <c:spPr>
            <a:solidFill>
              <a:srgbClr val="5B6B8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'EDP Pendientes - Ejecutivo'!$F$67:$F$70</c:f>
              <c:numCache>
                <c:formatCode>mmm\-yy</c:formatCode>
                <c:ptCount val="4"/>
                <c:pt idx="0">
                  <c:v>46054</c:v>
                </c:pt>
                <c:pt idx="1">
                  <c:v>46082</c:v>
                </c:pt>
                <c:pt idx="2">
                  <c:v>46113</c:v>
                </c:pt>
                <c:pt idx="3">
                  <c:v>46173</c:v>
                </c:pt>
              </c:numCache>
            </c:numRef>
          </c:cat>
          <c:val>
            <c:numRef>
              <c:f>'EDP Pendientes - Ejecutivo'!$J$67:$J$70</c:f>
              <c:numCache>
                <c:formatCode>"$"#,##0;\("$"#,##0\);\-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72083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CE-4C6D-A023-90F4F02E05CD}"/>
            </c:ext>
          </c:extLst>
        </c:ser>
        <c:ser>
          <c:idx val="4"/>
          <c:order val="4"/>
          <c:tx>
            <c:strRef>
              <c:f>'EDP Pendientes - Ejecutivo'!$K$66</c:f>
              <c:strCache>
                <c:ptCount val="1"/>
                <c:pt idx="0">
                  <c:v>Canadá</c:v>
                </c:pt>
              </c:strCache>
            </c:strRef>
          </c:tx>
          <c:spPr>
            <a:solidFill>
              <a:srgbClr val="C9D6E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'EDP Pendientes - Ejecutivo'!$F$67:$F$70</c:f>
              <c:numCache>
                <c:formatCode>mmm\-yy</c:formatCode>
                <c:ptCount val="4"/>
                <c:pt idx="0">
                  <c:v>46054</c:v>
                </c:pt>
                <c:pt idx="1">
                  <c:v>46082</c:v>
                </c:pt>
                <c:pt idx="2">
                  <c:v>46113</c:v>
                </c:pt>
                <c:pt idx="3">
                  <c:v>46173</c:v>
                </c:pt>
              </c:numCache>
            </c:numRef>
          </c:cat>
          <c:val>
            <c:numRef>
              <c:f>'EDP Pendientes - Ejecutivo'!$K$67:$K$70</c:f>
              <c:numCache>
                <c:formatCode>"$"#,##0;\("$"#,##0\);\-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4CE-4C6D-A023-90F4F02E0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561168"/>
        <c:axId val="96569808"/>
      </c:barChart>
      <c:dateAx>
        <c:axId val="9656116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6569808"/>
        <c:crosses val="autoZero"/>
        <c:auto val="1"/>
        <c:lblOffset val="100"/>
        <c:baseTimeUnit val="months"/>
      </c:dateAx>
      <c:valAx>
        <c:axId val="96569808"/>
        <c:scaling>
          <c:orientation val="minMax"/>
        </c:scaling>
        <c:delete val="0"/>
        <c:axPos val="l"/>
        <c:numFmt formatCode="&quot;$&quot;#,##0;\(&quot;$&quot;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6561168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/>
              <a:ea typeface="Century Gothic"/>
              <a:cs typeface="Century Gothic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F2A44"/>
                </a:solidFill>
                <a:latin typeface="Century Gothic"/>
                <a:ea typeface="Century Gothic"/>
                <a:cs typeface="Century Gothic"/>
              </a:defRPr>
            </a:pPr>
            <a:r>
              <a:rPr lang="en-US"/>
              <a:t>Top 10 proyectos por monto pendiente (kUSD)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F2A44"/>
              </a:solidFill>
              <a:latin typeface="Century Gothic"/>
              <a:ea typeface="Century Gothic"/>
              <a:cs typeface="Century Gothic"/>
            </a:defRPr>
          </a:pPr>
          <a:endParaRPr lang="es-C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'EDP Pendientes - Ejecutivo'!$N$66</c:f>
              <c:strCache>
                <c:ptCount val="1"/>
                <c:pt idx="0">
                  <c:v>USD</c:v>
                </c:pt>
              </c:strCache>
            </c:strRef>
          </c:tx>
          <c:spPr>
            <a:solidFill>
              <a:srgbClr val="003A8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'EDP Pendientes - Ejecutivo'!$M$67:$M$76</c:f>
              <c:strCache>
                <c:ptCount val="10"/>
                <c:pt idx="0">
                  <c:v>Collahuasi_Mining Sim.</c:v>
                </c:pt>
                <c:pt idx="1">
                  <c:v>Barrick_Veladero</c:v>
                </c:pt>
                <c:pt idx="2">
                  <c:v>Miskimayo_Bayovar</c:v>
                </c:pt>
                <c:pt idx="3">
                  <c:v>MineriaIman_PEA Iman</c:v>
                </c:pt>
                <c:pt idx="4">
                  <c:v>SeabridgeGold_KSM</c:v>
                </c:pt>
                <c:pt idx="5">
                  <c:v>South32_Clark</c:v>
                </c:pt>
                <c:pt idx="6">
                  <c:v>Minsur_LOM San Rafael</c:v>
                </c:pt>
                <c:pt idx="7">
                  <c:v>ERG_Estabilidad taludes</c:v>
                </c:pt>
                <c:pt idx="8">
                  <c:v>Hochschild_Tesoro</c:v>
                </c:pt>
                <c:pt idx="9">
                  <c:v>Resolution_General Rev.</c:v>
                </c:pt>
              </c:strCache>
            </c:strRef>
          </c:cat>
          <c:val>
            <c:numRef>
              <c:f>'EDP Pendientes - Ejecutivo'!$N$67:$N$76</c:f>
              <c:numCache>
                <c:formatCode>"$"#,##0</c:formatCode>
                <c:ptCount val="10"/>
                <c:pt idx="0">
                  <c:v>106628</c:v>
                </c:pt>
                <c:pt idx="1">
                  <c:v>78100</c:v>
                </c:pt>
                <c:pt idx="2">
                  <c:v>52431</c:v>
                </c:pt>
                <c:pt idx="3">
                  <c:v>50707</c:v>
                </c:pt>
                <c:pt idx="4">
                  <c:v>47121</c:v>
                </c:pt>
                <c:pt idx="5">
                  <c:v>41003</c:v>
                </c:pt>
                <c:pt idx="6">
                  <c:v>40271</c:v>
                </c:pt>
                <c:pt idx="7">
                  <c:v>32980</c:v>
                </c:pt>
                <c:pt idx="8">
                  <c:v>32185</c:v>
                </c:pt>
                <c:pt idx="9">
                  <c:v>31080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76-44DD-866C-4A505BB28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0012351"/>
        <c:axId val="1720034431"/>
      </c:barChart>
      <c:catAx>
        <c:axId val="1720012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20034431"/>
        <c:crosses val="autoZero"/>
        <c:auto val="1"/>
        <c:lblAlgn val="ctr"/>
        <c:lblOffset val="100"/>
        <c:noMultiLvlLbl val="0"/>
      </c:catAx>
      <c:valAx>
        <c:axId val="1720034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20012351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21</xdr:col>
      <xdr:colOff>673689</xdr:colOff>
      <xdr:row>2793</xdr:row>
      <xdr:rowOff>28060</xdr:rowOff>
    </xdr:from>
    <xdr:to>
      <xdr:col>22</xdr:col>
      <xdr:colOff>107525</xdr:colOff>
      <xdr:row>2803</xdr:row>
      <xdr:rowOff>27977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País">
              <a:extLst>
                <a:ext uri="{FF2B5EF4-FFF2-40B4-BE49-F238E27FC236}">
                  <a16:creationId xmlns:a16="http://schemas.microsoft.com/office/drawing/2014/main" id="{B050F542-3891-A09D-967B-0EA9E8112C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í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285239" y="826241"/>
              <a:ext cx="1806788" cy="17588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9</xdr:row>
      <xdr:rowOff>20321</xdr:rowOff>
    </xdr:from>
    <xdr:to>
      <xdr:col>6</xdr:col>
      <xdr:colOff>0</xdr:colOff>
      <xdr:row>22</xdr:row>
      <xdr:rowOff>35561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D70962D-3E02-21FF-41BC-945D46A50C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962024</xdr:colOff>
      <xdr:row>9</xdr:row>
      <xdr:rowOff>20321</xdr:rowOff>
    </xdr:from>
    <xdr:to>
      <xdr:col>14</xdr:col>
      <xdr:colOff>962024</xdr:colOff>
      <xdr:row>22</xdr:row>
      <xdr:rowOff>35561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2465D02-7B32-DFCC-9A6D-BF27A8D519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161924</xdr:colOff>
      <xdr:row>22</xdr:row>
      <xdr:rowOff>29845</xdr:rowOff>
    </xdr:from>
    <xdr:to>
      <xdr:col>14</xdr:col>
      <xdr:colOff>962024</xdr:colOff>
      <xdr:row>34</xdr:row>
      <xdr:rowOff>55880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50F1FF1-8FEE-5FAB-A579-1A73944911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edcoglobalcl.sharepoint.com/sites/GestinREDCO/Shared%20Documents/General/Registro%20de%20Proyectos.xlsx" TargetMode="External"/><Relationship Id="rId1" Type="http://schemas.openxmlformats.org/officeDocument/2006/relationships/externalLinkPath" Target="https://redcoglobalcl.sharepoint.com/sites/GestinREDCO/Shared%20Documents/General/Registro%20de%20Proyect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NiFLNqqH3UiNQ52w4MjHkaJekJNSkitOjf-Us92CSmxxGzt9tJH6TI48Zmid9mwi" itemId="01X4HTLNCMVR5IX53OFBFKQNG4BGLQPHFN">
      <xxl21:absoluteUrl r:id="rId2"/>
    </xxl21:alternateUrls>
    <sheetNames>
      <sheetName val="Hoja1"/>
      <sheetName val="Códigos"/>
      <sheetName val="Índice de Planillas"/>
      <sheetName val="Proyectos (NO FILTRAR)"/>
      <sheetName val="Proyectos Manejo de información"/>
      <sheetName val="Tabla Resumen"/>
      <sheetName val="Hoja Base"/>
    </sheetNames>
    <sheetDataSet>
      <sheetData sheetId="0"/>
      <sheetData sheetId="1"/>
      <sheetData sheetId="2"/>
      <sheetData sheetId="3">
        <row r="2">
          <cell r="B2" t="str">
            <v>Código Total</v>
          </cell>
          <cell r="F2" t="str">
            <v>Proyecto Contrato Original</v>
          </cell>
          <cell r="H2" t="str">
            <v>Proyecto</v>
          </cell>
        </row>
        <row r="3">
          <cell r="B3" t="str">
            <v>CH-CMP-OU-FEL00-001-A</v>
          </cell>
          <cell r="F3" t="str">
            <v>Adrianita -Raúl</v>
          </cell>
          <cell r="H3" t="str">
            <v>AARR</v>
          </cell>
        </row>
        <row r="4">
          <cell r="B4" t="str">
            <v>CH-CMP-OT-FEL00-001-B</v>
          </cell>
          <cell r="F4" t="str">
            <v>Adrianita -Raúl</v>
          </cell>
          <cell r="H4" t="str">
            <v>AARR -Informe Vida Util</v>
          </cell>
        </row>
        <row r="5">
          <cell r="B5" t="str">
            <v>CH-CMP-OT-FEL03-002-A</v>
          </cell>
          <cell r="F5" t="str">
            <v>Algarrobo</v>
          </cell>
          <cell r="H5" t="str">
            <v>Algarrobo</v>
          </cell>
        </row>
        <row r="6">
          <cell r="B6" t="str">
            <v>CH-BHP-CD-OTR00-003-A</v>
          </cell>
          <cell r="F6" t="str">
            <v>NO_ESPECIFICADO</v>
          </cell>
          <cell r="H6" t="str">
            <v>Cuellos de botella del Plan 2YB - Spence</v>
          </cell>
        </row>
        <row r="7">
          <cell r="B7" t="str">
            <v>CH-LUN-CS-OTR00-004-A</v>
          </cell>
          <cell r="F7" t="str">
            <v>Candelaria (Estandar y Planificacion)</v>
          </cell>
          <cell r="H7" t="str">
            <v>Candelaria (Estandar y Planificacion)</v>
          </cell>
        </row>
        <row r="8">
          <cell r="B8" t="str">
            <v>CH-LUN-GM-OTR00-005-A</v>
          </cell>
          <cell r="F8" t="str">
            <v>Pilares Mineros - Candelaria</v>
          </cell>
          <cell r="H8" t="str">
            <v>Candelaria Pilares</v>
          </cell>
        </row>
        <row r="9">
          <cell r="B9" t="str">
            <v>CH-CMP-CS-OTR00-006-A</v>
          </cell>
          <cell r="F9" t="str">
            <v>CMP Estandar Planificación</v>
          </cell>
          <cell r="H9" t="str">
            <v>CMP Estandar</v>
          </cell>
        </row>
        <row r="10">
          <cell r="B10" t="str">
            <v>CH-LUN-CS-OTR00-007-A</v>
          </cell>
          <cell r="F10" t="str">
            <v>Diagnóstico Operacional Candelaria</v>
          </cell>
          <cell r="H10" t="str">
            <v>Diagnóstico Operacional Candelaria</v>
          </cell>
        </row>
        <row r="11">
          <cell r="B11" t="str">
            <v>PE-MSR-UG-FEL03-008-A</v>
          </cell>
          <cell r="F11" t="str">
            <v>Actualización Lom Raura</v>
          </cell>
          <cell r="H11" t="str">
            <v>Actualización LOM Raura</v>
          </cell>
        </row>
        <row r="12">
          <cell r="B12" t="str">
            <v>PE-MSR-OT-OTR00-009-A</v>
          </cell>
          <cell r="F12" t="str">
            <v>AESA Rendimientos</v>
          </cell>
          <cell r="H12" t="str">
            <v>AESA Rendimientos</v>
          </cell>
        </row>
        <row r="13">
          <cell r="B13" t="str">
            <v>CH-CMP-OP-FEL03-010-A</v>
          </cell>
          <cell r="F13" t="str">
            <v>LOM CNN 2023</v>
          </cell>
          <cell r="H13" t="str">
            <v>LOM CNN</v>
          </cell>
        </row>
        <row r="14">
          <cell r="B14" t="str">
            <v>CH-CMP-OP-FEL03-011-A</v>
          </cell>
          <cell r="F14" t="str">
            <v>LOM MLC 2023</v>
          </cell>
          <cell r="H14" t="str">
            <v>LOM MLC</v>
          </cell>
        </row>
        <row r="15">
          <cell r="B15" t="str">
            <v>CH-GLE-OP-FEL01-012-A</v>
          </cell>
          <cell r="F15" t="str">
            <v>Lomas Bayas - LoA24</v>
          </cell>
          <cell r="H15" t="str">
            <v>Lomas Bayas</v>
          </cell>
        </row>
        <row r="16">
          <cell r="B16" t="str">
            <v>CH-FLU-CD-OTR00-013-A</v>
          </cell>
          <cell r="F16" t="str">
            <v>MARA - Simulación Sistema Manejo Estéril</v>
          </cell>
          <cell r="H16" t="str">
            <v>MARA - Modelo de Simulación Desmonte</v>
          </cell>
        </row>
        <row r="17">
          <cell r="B17" t="str">
            <v>CH-AMS-OP-FEL01-014-A</v>
          </cell>
          <cell r="F17" t="str">
            <v>Pelambres</v>
          </cell>
          <cell r="H17" t="str">
            <v>MLP</v>
          </cell>
        </row>
        <row r="18">
          <cell r="B18" t="str">
            <v>RU-OTR-UG-FEL2A-015-A</v>
          </cell>
          <cell r="F18" t="str">
            <v>NorGold</v>
          </cell>
          <cell r="H18" t="str">
            <v>Norgold</v>
          </cell>
        </row>
        <row r="19">
          <cell r="B19" t="str">
            <v>RU-OTR-GM-FEL01-016-A</v>
          </cell>
          <cell r="F19" t="str">
            <v>NORILSK1-FS</v>
          </cell>
          <cell r="H19" t="str">
            <v>Norilsk 1</v>
          </cell>
        </row>
        <row r="20">
          <cell r="B20" t="str">
            <v>RU-OTR-GM-FEL01-017-A</v>
          </cell>
          <cell r="F20" t="str">
            <v>OKT-NFM-FS</v>
          </cell>
          <cell r="H20" t="str">
            <v>Oktyabrsky</v>
          </cell>
        </row>
        <row r="21">
          <cell r="B21" t="str">
            <v>CH-COD-UG-OTR00-003-B</v>
          </cell>
          <cell r="F21" t="str">
            <v>NO_ESPECIFICADO</v>
          </cell>
          <cell r="H21" t="str">
            <v>Planificación Minera Subterránea</v>
          </cell>
        </row>
        <row r="22">
          <cell r="B22" t="str">
            <v>CH-CMP-OP-OTR00-018-A</v>
          </cell>
          <cell r="F22" t="str">
            <v>Romeral</v>
          </cell>
          <cell r="H22" t="str">
            <v>Romeral</v>
          </cell>
        </row>
        <row r="23">
          <cell r="B23" t="str">
            <v>PE-MSR-OT-OTR00-019-A</v>
          </cell>
          <cell r="F23" t="str">
            <v>Compilación de  R&amp;R</v>
          </cell>
          <cell r="H23" t="str">
            <v>Compilación de  R&amp;R</v>
          </cell>
        </row>
        <row r="24">
          <cell r="B24" t="str">
            <v>CH-BHP-CD-OTR00-020-A</v>
          </cell>
          <cell r="F24" t="str">
            <v>MEL</v>
          </cell>
          <cell r="H24" t="str">
            <v>Simulación Dinámica - Enoteca</v>
          </cell>
        </row>
        <row r="25">
          <cell r="B25" t="str">
            <v>PE-SME-UG-OTR00-021-A</v>
          </cell>
          <cell r="F25" t="str">
            <v>ITS Yauricocha</v>
          </cell>
          <cell r="H25" t="str">
            <v>ITS Yauricocha</v>
          </cell>
        </row>
        <row r="26">
          <cell r="B26" t="str">
            <v>PE-MMG-OU-FEL00-022-A</v>
          </cell>
          <cell r="F26" t="str">
            <v>LasBambas_Ferrobamba_OP_UG</v>
          </cell>
          <cell r="H26" t="str">
            <v>Transición OP/UG de Ferrobamba</v>
          </cell>
        </row>
        <row r="27">
          <cell r="B27" t="str">
            <v>PE-CSC-UG-FEL2A-023-A</v>
          </cell>
          <cell r="F27" t="str">
            <v>PFS Los Calatos</v>
          </cell>
          <cell r="H27" t="str">
            <v>PFS Los Calatos</v>
          </cell>
        </row>
        <row r="28">
          <cell r="B28" t="str">
            <v>PE-MSR-OP-OTR00-024-A</v>
          </cell>
          <cell r="F28" t="str">
            <v>Marcobre - Minajusta</v>
          </cell>
          <cell r="H28" t="str">
            <v>Marcobre</v>
          </cell>
        </row>
        <row r="29">
          <cell r="B29" t="str">
            <v>CH-CMP-OT-OTR00-002-B</v>
          </cell>
          <cell r="F29" t="str">
            <v>Algarrobo</v>
          </cell>
          <cell r="H29" t="str">
            <v>Algarrobo ICSARA</v>
          </cell>
        </row>
        <row r="30">
          <cell r="B30" t="str">
            <v>CH-CMP-OT-OTR00-002-C</v>
          </cell>
          <cell r="F30" t="str">
            <v>Algarrobo</v>
          </cell>
          <cell r="H30" t="str">
            <v>Algarrobo FORSIPA 05</v>
          </cell>
        </row>
        <row r="31">
          <cell r="B31" t="str">
            <v>CH-CMP-OT-OTR00-025-A</v>
          </cell>
          <cell r="F31" t="str">
            <v>RDP</v>
          </cell>
          <cell r="H31" t="str">
            <v>Optimizar procesos RDP</v>
          </cell>
        </row>
        <row r="32">
          <cell r="B32" t="str">
            <v>BR-MOS-OU-FEL03-026-A</v>
          </cell>
          <cell r="F32" t="str">
            <v>Mosaic_Cajati</v>
          </cell>
          <cell r="H32" t="str">
            <v>Cajati</v>
          </cell>
        </row>
        <row r="33">
          <cell r="B33" t="str">
            <v>BR-NEX-UG-FEL2A-027-A</v>
          </cell>
          <cell r="F33" t="str">
            <v>NEXA_FEL2 Aripuana</v>
          </cell>
          <cell r="H33" t="str">
            <v>FEL2 Aripuana</v>
          </cell>
        </row>
        <row r="34">
          <cell r="B34" t="str">
            <v>BR-MOS-UG-FEL01-028-A</v>
          </cell>
          <cell r="F34" t="str">
            <v>Mosaic_Taquari Vassouras</v>
          </cell>
          <cell r="H34" t="str">
            <v>Taquari Vassouras</v>
          </cell>
        </row>
        <row r="35">
          <cell r="B35" t="str">
            <v>CH-AMS-CS-OTR00-029-A</v>
          </cell>
          <cell r="F35" t="str">
            <v>AMSA_Planificacion</v>
          </cell>
          <cell r="H35" t="str">
            <v>Apoyo planificación minas AMSA</v>
          </cell>
        </row>
        <row r="36">
          <cell r="B36" t="str">
            <v>CH-COD-OT-OTR00-030-A</v>
          </cell>
          <cell r="F36" t="str">
            <v>Codelco_Capacitacion Deswik DET</v>
          </cell>
          <cell r="H36" t="str">
            <v>Capacitación Deswik</v>
          </cell>
        </row>
        <row r="37">
          <cell r="B37" t="str">
            <v>CH-COD-UG-FEL01-031-A</v>
          </cell>
          <cell r="F37" t="str">
            <v>Codelco_Falla Oeste</v>
          </cell>
          <cell r="H37" t="str">
            <v>Chuquicamata Falla Oeste</v>
          </cell>
        </row>
        <row r="38">
          <cell r="B38" t="str">
            <v>CH-COD-UG-FEL01-032-A</v>
          </cell>
          <cell r="F38" t="str">
            <v>Codelco_Panel Central</v>
          </cell>
          <cell r="H38" t="str">
            <v>Chuquicamata Panel Central</v>
          </cell>
        </row>
        <row r="39">
          <cell r="B39" t="str">
            <v>CH-CMP-OU-FEL2A-033-A</v>
          </cell>
          <cell r="F39" t="str">
            <v>CMP - FEL 2A</v>
          </cell>
          <cell r="H39" t="str">
            <v>CMP - FEL 2A</v>
          </cell>
        </row>
        <row r="40">
          <cell r="B40" t="str">
            <v>CH-CMP-OU-FEL2A-033-B</v>
          </cell>
          <cell r="F40" t="str">
            <v>CMP - FEL 2A</v>
          </cell>
          <cell r="H40" t="str">
            <v>CMP -FEL-2A (Extensión Modelos)</v>
          </cell>
        </row>
        <row r="41">
          <cell r="B41" t="str">
            <v>CH-CSH-OP-FEL00-034-A</v>
          </cell>
          <cell r="F41" t="str">
            <v>CSH_LOM Mina Guarello</v>
          </cell>
          <cell r="H41" t="str">
            <v>Mina Guarello</v>
          </cell>
        </row>
        <row r="42">
          <cell r="B42" t="str">
            <v>PE-COR-UG-FEL2A-035-A</v>
          </cell>
          <cell r="F42" t="str">
            <v>MEIA Coripuno</v>
          </cell>
          <cell r="H42" t="str">
            <v>Coripuno MEIA</v>
          </cell>
        </row>
        <row r="43">
          <cell r="B43" t="str">
            <v>PE-MSR-UG-FEL03-036-A</v>
          </cell>
          <cell r="F43" t="str">
            <v>Minsur_Forecast_Budget24</v>
          </cell>
          <cell r="H43" t="str">
            <v>Forecast_Budget24 SR</v>
          </cell>
        </row>
        <row r="44">
          <cell r="B44" t="str">
            <v>PE-MSR-UG-OTR00-003-C</v>
          </cell>
          <cell r="F44" t="str">
            <v>NO_ESPECIFICADO</v>
          </cell>
          <cell r="H44" t="str">
            <v>Desarrollo casos LOM UM Raura</v>
          </cell>
        </row>
        <row r="45">
          <cell r="B45" t="str">
            <v>CH-COD-UG-FEL00-037-A</v>
          </cell>
          <cell r="F45" t="str">
            <v>Codelco_Cluster Toki</v>
          </cell>
          <cell r="H45" t="str">
            <v>Proyecto Cluster Toqui Subterraneo</v>
          </cell>
        </row>
        <row r="46">
          <cell r="B46" t="str">
            <v>CH-CMP-CS-FEL00-038-A</v>
          </cell>
          <cell r="F46" t="str">
            <v>CMP_Los Colorados Adelantamiento Planta</v>
          </cell>
          <cell r="H46" t="str">
            <v>Impacto adelantamiento nueva planta MLC</v>
          </cell>
        </row>
        <row r="47">
          <cell r="B47" t="str">
            <v>CH-COD-UG-FEL01-039-A</v>
          </cell>
          <cell r="F47" t="str">
            <v>Codelco_Drenaje QT</v>
          </cell>
          <cell r="H47" t="str">
            <v>Drenaje QT Recursos Norte</v>
          </cell>
        </row>
        <row r="48">
          <cell r="B48" t="str">
            <v>CH-CMP-CS-FEL00-040-A</v>
          </cell>
          <cell r="F48" t="str">
            <v>CMP_CNN Update plan LOM</v>
          </cell>
          <cell r="H48" t="str">
            <v>Capacidad de tratamiento óptima de CNN</v>
          </cell>
        </row>
        <row r="49">
          <cell r="B49" t="str">
            <v>CH-CMP-OU-FEL2A-041-A</v>
          </cell>
          <cell r="F49" t="str">
            <v>CMP_Romeral Estabilización + UG PFS</v>
          </cell>
          <cell r="H49" t="str">
            <v>Plan Estabilizado, PFS UG, Sistema Gestión Corto plazo Romeral</v>
          </cell>
        </row>
        <row r="50">
          <cell r="B50" t="str">
            <v>PE-BRO-OT-OTR00-003-D</v>
          </cell>
          <cell r="F50" t="str">
            <v>NO_ESPECIFICADO</v>
          </cell>
          <cell r="H50" t="str">
            <v>Estudio con Faja Transportadora</v>
          </cell>
        </row>
        <row r="51">
          <cell r="B51" t="str">
            <v>PE-MSR-OT-OTR00-003-E</v>
          </cell>
          <cell r="F51" t="str">
            <v>NO_ESPECIFICADO</v>
          </cell>
          <cell r="H51" t="str">
            <v>Desarrollo plan LOM en Reservas</v>
          </cell>
        </row>
        <row r="52">
          <cell r="B52" t="str">
            <v>PE-SME-UG-OTR00-003-F</v>
          </cell>
          <cell r="F52" t="str">
            <v>NO_ESPECIFICADO</v>
          </cell>
          <cell r="H52" t="str">
            <v>Desarrollo del Plan de Minado</v>
          </cell>
        </row>
        <row r="53">
          <cell r="B53" t="str">
            <v>PE-MSR-UG-OTR00-042-A</v>
          </cell>
          <cell r="F53" t="str">
            <v>Raura Operativo</v>
          </cell>
          <cell r="H53" t="str">
            <v>Raura Modelo Operacional</v>
          </cell>
        </row>
        <row r="54">
          <cell r="B54" t="str">
            <v>PE-MSR-UG-OTR00-043-A</v>
          </cell>
          <cell r="F54" t="str">
            <v>San Rafael Contrato Marco</v>
          </cell>
          <cell r="H54" t="str">
            <v>San Rafael Contrato Marco</v>
          </cell>
        </row>
        <row r="55">
          <cell r="B55" t="str">
            <v>PE-MSR-UG-OTR00-044-A</v>
          </cell>
          <cell r="F55" t="str">
            <v>San Rafael Gestión Operativa</v>
          </cell>
          <cell r="H55" t="str">
            <v>San Rafael Gestión Operativa</v>
          </cell>
        </row>
        <row r="56">
          <cell r="B56" t="str">
            <v>PE-MSR-UG-OTR00-045-A</v>
          </cell>
          <cell r="F56" t="str">
            <v>San Rafael: Gestión del Corto Plazo</v>
          </cell>
          <cell r="H56" t="str">
            <v>Gestión corto plazo SR</v>
          </cell>
        </row>
        <row r="57">
          <cell r="B57" t="str">
            <v>PE-SME-UG-FEL2A-046-A</v>
          </cell>
          <cell r="F57" t="str">
            <v>Sierra Metals_Plan de Minado MEIA</v>
          </cell>
          <cell r="H57" t="str">
            <v>Plan de minado MEIA Yauricocha</v>
          </cell>
        </row>
        <row r="58">
          <cell r="B58" t="str">
            <v>PE-MMA-OP-FEL00-047-A</v>
          </cell>
          <cell r="F58" t="str">
            <v>MiskiMayo_LOM</v>
          </cell>
          <cell r="H58" t="str">
            <v>Evaluacion de operaciones y plan de minado LOM</v>
          </cell>
        </row>
        <row r="59">
          <cell r="B59" t="str">
            <v>BR-J&amp;F-UG-FEL03-048-A</v>
          </cell>
          <cell r="F59" t="str">
            <v>J&amp;F_Urucrum_RecuperacionPilares</v>
          </cell>
          <cell r="H59" t="str">
            <v>Recuperación de Pilares Mina Urucum</v>
          </cell>
        </row>
        <row r="60">
          <cell r="B60" t="str">
            <v>CH-COD-UG-OTR00-049-A</v>
          </cell>
          <cell r="F60" t="str">
            <v>Analisis de Riesgo MB4-1</v>
          </cell>
          <cell r="H60" t="str">
            <v>Analisis de Riesgo MB4-1</v>
          </cell>
        </row>
        <row r="61">
          <cell r="B61" t="str">
            <v>PE-AES-OT-OTR00-050-A</v>
          </cell>
          <cell r="F61" t="str">
            <v>AESA_Gestión tiempos</v>
          </cell>
          <cell r="H61" t="str">
            <v>Gestión Tiempos AESA - Raura</v>
          </cell>
        </row>
        <row r="62">
          <cell r="B62" t="str">
            <v>PE-ANT-OU-FEL2A-051-A</v>
          </cell>
          <cell r="F62" t="str">
            <v>Antamina_Transición OP-UG</v>
          </cell>
          <cell r="H62" t="str">
            <v>Antamina Transición OP-UG</v>
          </cell>
        </row>
        <row r="63">
          <cell r="B63" t="str">
            <v>CH-BSA-CS-OTR00-052-A</v>
          </cell>
          <cell r="F63" t="str">
            <v>Banco Santander_Yauricocha y Bolivar</v>
          </cell>
          <cell r="H63" t="str">
            <v>Gap Analisis &amp; Auditoria de Recursos - Yauricocha y Bolivar</v>
          </cell>
        </row>
        <row r="64">
          <cell r="B64" t="str">
            <v>PE-MSR-CS-OTR00-053-A</v>
          </cell>
          <cell r="F64" t="str">
            <v>Gestión del Corto Plazo Raura</v>
          </cell>
          <cell r="H64" t="str">
            <v>Gestión del Corto Plazo Raura</v>
          </cell>
        </row>
        <row r="65">
          <cell r="B65" t="str">
            <v>PE-GLE-OP-FEL2A-054-A</v>
          </cell>
          <cell r="F65" t="str">
            <v>Glencore_Coroccohuayco_OptimizacionLOM</v>
          </cell>
          <cell r="H65" t="str">
            <v>Optimizacion LOM y Mejoras Coroccohuayco</v>
          </cell>
        </row>
        <row r="66">
          <cell r="B66" t="str">
            <v>PE-MSR-UG-OTR00-055-A</v>
          </cell>
          <cell r="F66" t="str">
            <v>Minsur_SanRafael_VetasAngostas</v>
          </cell>
          <cell r="H66" t="str">
            <v>Solucion Vetas Angostas San Rafael</v>
          </cell>
        </row>
        <row r="67">
          <cell r="B67" t="str">
            <v>CH-CMP-CS-OTR00-056-A</v>
          </cell>
          <cell r="F67" t="str">
            <v>Optimización Negocio P40 - foco Romeral</v>
          </cell>
          <cell r="H67" t="str">
            <v>Optimización Negocio P40 - foco Romeral</v>
          </cell>
        </row>
        <row r="68">
          <cell r="B68" t="str">
            <v>BR-VAL-OP-PIPEL-057-A</v>
          </cell>
          <cell r="F68" t="str">
            <v>Secuenciamiento y Planificacion Estabilizada Gongo Soco</v>
          </cell>
          <cell r="H68" t="str">
            <v>Secuenciamiento y Planificacion Estabilizada Gongo Soco</v>
          </cell>
        </row>
        <row r="69">
          <cell r="B69" t="str">
            <v>RU-ALR-UG-PIPEL-058-A</v>
          </cell>
          <cell r="F69" t="str">
            <v>Diseño y Planificacion de Block Caving</v>
          </cell>
          <cell r="H69" t="str">
            <v>Diseño y Planificacion de Block Caving</v>
          </cell>
        </row>
        <row r="70">
          <cell r="B70" t="str">
            <v>RU-EVR-OT-OTR00-059-A</v>
          </cell>
          <cell r="F70" t="str">
            <v>Selección de equipos mineros</v>
          </cell>
          <cell r="H70" t="str">
            <v>Selección de equipos mineros</v>
          </cell>
        </row>
        <row r="71">
          <cell r="B71" t="str">
            <v>OT-IEL-UG-FEL2A-060-A</v>
          </cell>
          <cell r="F71" t="str">
            <v>IvanhoeElectric_Santa-Cruz_PrePFS</v>
          </cell>
          <cell r="H71" t="str">
            <v>Pre-PFS Santa Cruz Project UG</v>
          </cell>
        </row>
        <row r="72">
          <cell r="B72" t="str">
            <v>CH-ZUB-CS-OTR00-061-A</v>
          </cell>
          <cell r="F72" t="str">
            <v>Aplicación Simprep</v>
          </cell>
          <cell r="H72" t="str">
            <v>Aplicación Simprep</v>
          </cell>
        </row>
        <row r="73">
          <cell r="B73" t="str">
            <v>PE-MSR-CS-OTR00-062-A</v>
          </cell>
          <cell r="F73" t="str">
            <v>Minsur_Ore Sorting Raura</v>
          </cell>
          <cell r="H73" t="str">
            <v>Minsur_Ore Sorting Raura</v>
          </cell>
        </row>
        <row r="74">
          <cell r="B74" t="str">
            <v>CH-AMS-CS-OTR00-063-A</v>
          </cell>
          <cell r="F74" t="str">
            <v>AMSA_Estandares Minimos</v>
          </cell>
          <cell r="H74" t="str">
            <v>AMSA_Estandares Minimos</v>
          </cell>
        </row>
        <row r="75">
          <cell r="B75" t="str">
            <v>BR-MOS-UG-FEL2A-064-A</v>
          </cell>
          <cell r="F75" t="str">
            <v>Mosaic_Taquari Vassouras Fase II CP</v>
          </cell>
          <cell r="H75" t="str">
            <v>Taquari Vassouras Fase II CP</v>
          </cell>
        </row>
        <row r="76">
          <cell r="B76" t="str">
            <v>BR-MOS-UG-FEL2A-065-A</v>
          </cell>
          <cell r="F76" t="str">
            <v>Mosaic_Planeamiento Mina Tapira</v>
          </cell>
          <cell r="H76" t="str">
            <v>Mosaic_Planeamiento Mina Tapira</v>
          </cell>
        </row>
        <row r="77">
          <cell r="B77" t="str">
            <v>BR-MOS-UG-FEL2A-066-A</v>
          </cell>
          <cell r="F77" t="str">
            <v>Mosaic_CMA_CMP</v>
          </cell>
          <cell r="H77" t="str">
            <v>Mosaic_CMA_CMP</v>
          </cell>
        </row>
        <row r="78">
          <cell r="B78" t="str">
            <v>CH-CMP-CS-FEL00-067-A</v>
          </cell>
          <cell r="F78" t="str">
            <v>CMP_CNN Update Analisis Estrategico LOM</v>
          </cell>
          <cell r="H78" t="str">
            <v>CMP_CNN Update Analisis Estrategico LOM</v>
          </cell>
        </row>
        <row r="79">
          <cell r="B79" t="str">
            <v>CH-LUN-OP-FEL00-068-A</v>
          </cell>
          <cell r="F79" t="str">
            <v>Lundin_Candelaria_LOM-OP</v>
          </cell>
          <cell r="H79" t="str">
            <v>Lundin_Candelaria_LOM-OP</v>
          </cell>
        </row>
        <row r="80">
          <cell r="B80" t="str">
            <v>CH-LUN-CS-OTR00-069-A</v>
          </cell>
          <cell r="F80" t="str">
            <v>Lundin_Candelaria_EstudiosCugep</v>
          </cell>
          <cell r="H80" t="str">
            <v>Ingeniería de valor para robustecer el proyecto CUGEP</v>
          </cell>
        </row>
        <row r="81">
          <cell r="B81" t="str">
            <v>PE-MSR-CS-OTR00-070-A</v>
          </cell>
          <cell r="F81" t="str">
            <v>Minsur_Raura_SGOP</v>
          </cell>
          <cell r="H81" t="str">
            <v>Minsur_Raura_SGOP</v>
          </cell>
        </row>
        <row r="82">
          <cell r="B82" t="str">
            <v>PE-MSR-UG-FEL00-071-A</v>
          </cell>
          <cell r="F82" t="str">
            <v>Minsur_Update LOM San Rafael</v>
          </cell>
          <cell r="H82" t="str">
            <v>Minsur_Update LOM San Rafael</v>
          </cell>
        </row>
        <row r="83">
          <cell r="B83" t="str">
            <v>RU-SEL-UG-FEL2A-072-A</v>
          </cell>
          <cell r="F83" t="str">
            <v>Seligdar_Kyuchus</v>
          </cell>
          <cell r="H83" t="str">
            <v>Estudio de Prefactibilidad Explotación Proyecto Minero, Rusia</v>
          </cell>
        </row>
        <row r="84">
          <cell r="B84" t="str">
            <v>CH-CMP-OU-FEL2A-033-C</v>
          </cell>
          <cell r="F84" t="str">
            <v>CMP - FEL 2A</v>
          </cell>
          <cell r="H84" t="str">
            <v>Análisis adicionales Tofo Sur BC</v>
          </cell>
        </row>
        <row r="85">
          <cell r="B85" t="str">
            <v>CH-CMP-OU-FEL2A-033-D</v>
          </cell>
          <cell r="F85" t="str">
            <v>CMP - FEL 2A</v>
          </cell>
          <cell r="H85" t="str">
            <v>Re Ingenería de Yacimientos</v>
          </cell>
        </row>
        <row r="86">
          <cell r="B86" t="str">
            <v>CH-CMP-OU-FEL2A-033-E</v>
          </cell>
          <cell r="F86" t="str">
            <v>CMP - FEL 2A</v>
          </cell>
          <cell r="H86" t="str">
            <v>Actualización formato CAPEX</v>
          </cell>
        </row>
        <row r="87">
          <cell r="B87" t="str">
            <v>BR-MOS-OU-FEL03-026-B</v>
          </cell>
          <cell r="F87" t="str">
            <v>Mosaic_Cajati</v>
          </cell>
          <cell r="H87" t="str">
            <v>Optimización de OP</v>
          </cell>
        </row>
        <row r="88">
          <cell r="B88" t="str">
            <v>CH-CMP-OP-OTR00-018-B</v>
          </cell>
          <cell r="F88" t="str">
            <v>Romeral</v>
          </cell>
          <cell r="H88" t="str">
            <v>Trabajos en MB2</v>
          </cell>
        </row>
        <row r="89">
          <cell r="B89" t="str">
            <v>CH-CMP-OP-OTR00-018-C</v>
          </cell>
          <cell r="F89" t="str">
            <v>Romeral</v>
          </cell>
          <cell r="H89" t="str">
            <v>Planta tratamiento de aguas</v>
          </cell>
        </row>
        <row r="90">
          <cell r="B90" t="str">
            <v>CH-CMP-OP-OTR00-018-D</v>
          </cell>
          <cell r="F90" t="str">
            <v>Romeral</v>
          </cell>
          <cell r="H90" t="str">
            <v>Asistencia MB2 Juan Rivera</v>
          </cell>
        </row>
        <row r="91">
          <cell r="B91" t="str">
            <v>PE-CSC-UG-FEL2A-023-B</v>
          </cell>
          <cell r="F91" t="str">
            <v>PFS Los Calatos</v>
          </cell>
          <cell r="H91" t="str">
            <v>Elaboración de Modelo Geomecánico</v>
          </cell>
        </row>
        <row r="92">
          <cell r="B92" t="str">
            <v>CH-CMP-OT-OTR00-002-D</v>
          </cell>
          <cell r="F92" t="str">
            <v>Algarrobo</v>
          </cell>
          <cell r="H92" t="str">
            <v>SDC1 - Cambio en la cantidad de entregables</v>
          </cell>
        </row>
        <row r="93">
          <cell r="B93" t="str">
            <v>CH-CMP-OT-FEL00-001-C</v>
          </cell>
          <cell r="F93" t="str">
            <v>Adrianita -Raúl</v>
          </cell>
          <cell r="H93" t="str">
            <v>AARR -SDC 1 Inconformidad en modelo de recursos</v>
          </cell>
        </row>
        <row r="94">
          <cell r="B94" t="str">
            <v>CH-BSC-UG-OTR00-073-A</v>
          </cell>
          <cell r="F94" t="str">
            <v>Boston_Inmaculada Hochschild</v>
          </cell>
          <cell r="H94" t="str">
            <v>Boston_Inmaculada Hochschild</v>
          </cell>
        </row>
        <row r="95">
          <cell r="B95" t="str">
            <v>CH-BHP-UG-FEL01-074-A</v>
          </cell>
          <cell r="F95" t="str">
            <v>BHP_Tunel Exploratorio</v>
          </cell>
          <cell r="H95" t="str">
            <v>BHP_Tunel Exploratorio</v>
          </cell>
        </row>
        <row r="96">
          <cell r="B96" t="str">
            <v>CH-AMS-CS-OTR00-075-A</v>
          </cell>
          <cell r="F96" t="str">
            <v>AMSA_Asesoria Centinela</v>
          </cell>
          <cell r="H96" t="str">
            <v>AMSA_Asesoria Centinela</v>
          </cell>
        </row>
        <row r="97">
          <cell r="B97" t="str">
            <v>PE-MMG-OU-FEL00-022-B</v>
          </cell>
          <cell r="F97" t="str">
            <v>LasBambas_Ferrobamba_OP_UG</v>
          </cell>
          <cell r="H97" t="str">
            <v>SDC1 - Cambio modelo de recursos</v>
          </cell>
        </row>
        <row r="98">
          <cell r="B98" t="str">
            <v>PE-COR-UG-FEL00-076-A</v>
          </cell>
          <cell r="F98" t="str">
            <v>Coripuno_Metodos de Minado</v>
          </cell>
          <cell r="H98" t="str">
            <v>Alternativas de Métodos de Minado de Proyecto Torremani</v>
          </cell>
        </row>
        <row r="99">
          <cell r="B99" t="str">
            <v>PE-MSR-UG-OTR00-077-A</v>
          </cell>
          <cell r="F99" t="str">
            <v>Minsur_Apoyo Planificacion San Rafael</v>
          </cell>
          <cell r="H99" t="str">
            <v>Minsur_Apoyo Planificacion San Rafael</v>
          </cell>
        </row>
        <row r="100">
          <cell r="B100" t="str">
            <v>CH-CCO-OP-FEL00-078-A</v>
          </cell>
          <cell r="F100" t="str">
            <v>Capstone Copper_Estimacion confiabilidad de planes</v>
          </cell>
          <cell r="H100" t="str">
            <v>Capstone Copper_Estimacion confiabilidad</v>
          </cell>
        </row>
        <row r="101">
          <cell r="B101" t="str">
            <v>PE-MSR-UG-FEL00-079-A</v>
          </cell>
          <cell r="F101" t="str">
            <v>Minsur_Rampa de acceso San German</v>
          </cell>
          <cell r="H101" t="str">
            <v>Minsur_Rampa de acceso San German</v>
          </cell>
        </row>
        <row r="102">
          <cell r="B102" t="str">
            <v>OT-MCA-CS-OTR00-080-A</v>
          </cell>
          <cell r="F102" t="str">
            <v>McCarthy_Litigio Rio Tinto</v>
          </cell>
          <cell r="H102" t="str">
            <v>McCarthy_Litigio Rio Tinto</v>
          </cell>
        </row>
        <row r="103">
          <cell r="B103" t="str">
            <v>RU-ECH-UG-FEL00-081-A</v>
          </cell>
          <cell r="F103" t="str">
            <v>Eurochem_Himmelfarb Deposit</v>
          </cell>
          <cell r="H103" t="str">
            <v>Eurochem_Himmelfarb Deposit</v>
          </cell>
        </row>
        <row r="104">
          <cell r="B104" t="str">
            <v>CH-BSC-UG-OTR00-082-A</v>
          </cell>
          <cell r="F104" t="str">
            <v>Boston_Inmaculada Hochschild II</v>
          </cell>
          <cell r="H104" t="str">
            <v>Boston_Inmaculada Hochschild II</v>
          </cell>
        </row>
        <row r="105">
          <cell r="B105" t="str">
            <v>CH-CMP-OP-OTR00-083-A</v>
          </cell>
          <cell r="F105" t="str">
            <v>CMP_LOM CNN 2024</v>
          </cell>
          <cell r="H105" t="str">
            <v>CMP_LOM CNN 2024</v>
          </cell>
        </row>
        <row r="106">
          <cell r="B106" t="str">
            <v>CH-CMP-OP-OTR00-084-A</v>
          </cell>
          <cell r="F106" t="str">
            <v>CMP_LOM MLC 2024</v>
          </cell>
          <cell r="H106" t="str">
            <v>CMP_LOM MLC 2024</v>
          </cell>
        </row>
        <row r="107">
          <cell r="B107" t="str">
            <v>CH-BHP-OP-OTR00-085-A</v>
          </cell>
          <cell r="F107" t="str">
            <v>Spence_Confiabilidad Plan 2YB 2025</v>
          </cell>
          <cell r="H107" t="str">
            <v>Spence_Confiabilidad Plan 2YB 2025</v>
          </cell>
        </row>
        <row r="108">
          <cell r="B108" t="str">
            <v>PE-MSR-UG-FEL00-086-A</v>
          </cell>
          <cell r="F108" t="str">
            <v>Minsur_LOM San Rafael 2025</v>
          </cell>
          <cell r="H108" t="str">
            <v>Minsur_LOM San Rafael 2025</v>
          </cell>
        </row>
        <row r="109">
          <cell r="B109" t="str">
            <v>OT-EMX-CS-OTR00-087-A</v>
          </cell>
          <cell r="F109" t="str">
            <v>EMX_Due Diligence de Chapi</v>
          </cell>
          <cell r="H109" t="str">
            <v>EMX_Due Diligence de Chapi</v>
          </cell>
        </row>
        <row r="110">
          <cell r="B110" t="str">
            <v>OT-IEL-UG-FEL2A-088-A</v>
          </cell>
          <cell r="F110" t="str">
            <v>IvanhoeElectric_Mine Planning Support</v>
          </cell>
          <cell r="H110" t="str">
            <v>IvanhoeElectric_Mine Planning Support</v>
          </cell>
        </row>
        <row r="111">
          <cell r="B111" t="str">
            <v>CH-MCI-OP-OTR00-089-A</v>
          </cell>
          <cell r="F111" t="str">
            <v>MCI_Mine Plan Review Los Bronces</v>
          </cell>
          <cell r="H111" t="str">
            <v xml:space="preserve">Revisión y evaluación de oportunidades para el plan minero de largo plazo de Los Bronces (LB) </v>
          </cell>
        </row>
        <row r="112">
          <cell r="B112" t="str">
            <v>PE-MSR-CS-OTR00-090-A</v>
          </cell>
          <cell r="F112" t="str">
            <v>Minsur_Apoyo MEIA Raura</v>
          </cell>
          <cell r="H112" t="str">
            <v>Minsur_Apoyo MEIA Raura</v>
          </cell>
        </row>
        <row r="113">
          <cell r="B113" t="str">
            <v>OT-EMX-CS-OTR00-091-A</v>
          </cell>
          <cell r="F113" t="str">
            <v>EMX_Metallurgical expert for review</v>
          </cell>
          <cell r="H113" t="str">
            <v>EMX_Metallurgical expert for review</v>
          </cell>
        </row>
        <row r="114">
          <cell r="B114" t="str">
            <v>PE-MSR-GM-OTR00-092-A</v>
          </cell>
          <cell r="F114" t="str">
            <v>Minsur_Mejoramiento datos geotecnicos SR</v>
          </cell>
          <cell r="H114" t="str">
            <v>Minsur_Mejoramiento datos geotecnicos SR</v>
          </cell>
        </row>
        <row r="115">
          <cell r="B115" t="str">
            <v>CH-CMP-UG-FEL03-093-A</v>
          </cell>
          <cell r="F115" t="str">
            <v>CMP_Puesta en marcha SLS Romeral</v>
          </cell>
          <cell r="H115" t="str">
            <v>CMP_Puesta en marcha SLS Romeral</v>
          </cell>
        </row>
        <row r="116">
          <cell r="B116" t="str">
            <v>CH-GLE-CS-OTR00-094-A</v>
          </cell>
          <cell r="F116" t="str">
            <v>Glencore_MineHaul y MinePlan Lomas Bayas</v>
          </cell>
          <cell r="H116" t="str">
            <v>Glencore_MineHaul y MinePlan Lomas Bayas</v>
          </cell>
        </row>
        <row r="117">
          <cell r="B117" t="str">
            <v>CH-CMP-UG-OTR00-095-A</v>
          </cell>
          <cell r="F117" t="str">
            <v>CMP_Estrategia Crecimiento Tofo Norte</v>
          </cell>
          <cell r="H117" t="str">
            <v>Estrategia de Crecimiento Modularizado para Tofo Norte</v>
          </cell>
        </row>
        <row r="118">
          <cell r="B118" t="str">
            <v>CH-CMP-OP-OTR00-096-A</v>
          </cell>
          <cell r="F118" t="str">
            <v>CMP_Plan minero base MLC</v>
          </cell>
          <cell r="H118" t="str">
            <v>CMP_Plan minero base MLC</v>
          </cell>
        </row>
        <row r="119">
          <cell r="B119" t="str">
            <v>PE-MSR-UG-OTR00-097-A</v>
          </cell>
          <cell r="F119" t="str">
            <v>Minsur_Evaluacion recursos marginales</v>
          </cell>
          <cell r="H119" t="str">
            <v>Minsur_Evaluacion recursos marginales</v>
          </cell>
        </row>
        <row r="120">
          <cell r="B120" t="str">
            <v>BR-MOS-UG-OTR00-098-A</v>
          </cell>
          <cell r="F120" t="str">
            <v>Mosaic_Taquari Vassouras Fase II</v>
          </cell>
          <cell r="H120" t="str">
            <v>Mosaic_Taquari Vassouras Fase II</v>
          </cell>
        </row>
        <row r="121">
          <cell r="B121" t="str">
            <v>CH-CMP-OU-FEL2A-033-F</v>
          </cell>
          <cell r="F121" t="str">
            <v>CMP - FEL 2A</v>
          </cell>
          <cell r="H121" t="str">
            <v>SDC 09 Gastos Generales y Utilidades</v>
          </cell>
        </row>
        <row r="122">
          <cell r="B122" t="str">
            <v>PE-SME-CS-OTR00-099-A</v>
          </cell>
          <cell r="F122" t="str">
            <v>SierraMetals_Update MEIA Yauricocha</v>
          </cell>
          <cell r="H122" t="str">
            <v>SierraMetals_Update MEIA Yauricocha</v>
          </cell>
        </row>
        <row r="123">
          <cell r="B123" t="str">
            <v>BR-J&amp;F-CS-OTR00-100-A</v>
          </cell>
          <cell r="F123" t="str">
            <v>J&amp;F_Autazes Due Diligence</v>
          </cell>
          <cell r="H123" t="str">
            <v>J&amp;F_Autazes Due Diligence</v>
          </cell>
        </row>
        <row r="124">
          <cell r="B124" t="str">
            <v>CH-RED-CS-OTR00-101-A</v>
          </cell>
          <cell r="F124" t="str">
            <v>Equipo P&amp;C</v>
          </cell>
          <cell r="H124" t="str">
            <v>Equipo P&amp;C</v>
          </cell>
        </row>
        <row r="125">
          <cell r="B125" t="str">
            <v>PE-MMG-OU-FEL00-022-C</v>
          </cell>
          <cell r="F125" t="str">
            <v>LasBambas_Ferrobamba_OP_UG</v>
          </cell>
          <cell r="H125" t="str">
            <v>SDC2 - Cambio modelo de recursos</v>
          </cell>
        </row>
        <row r="126">
          <cell r="B126" t="str">
            <v>BR-MOS-OP-FEL2A-102-A</v>
          </cell>
          <cell r="F126" t="str">
            <v>Mosaic_Actualizacion geotecnica OP</v>
          </cell>
          <cell r="H126" t="str">
            <v>Mosaic_Actualizacion geotecnica OP</v>
          </cell>
        </row>
        <row r="127">
          <cell r="B127" t="str">
            <v>CH-BHP-OP-FEL00-103-A</v>
          </cell>
          <cell r="F127" t="str">
            <v>BHP_Plan e Iniciativas LoA25-26</v>
          </cell>
          <cell r="H127" t="str">
            <v>Análisis de cumplimiento del plan y evaluación de iniciativas LoA25-26</v>
          </cell>
        </row>
        <row r="128">
          <cell r="B128" t="str">
            <v>PE-MSR-CS-OTR00-104-A</v>
          </cell>
          <cell r="F128" t="str">
            <v>Minsur_Control y seguimiento KPIs</v>
          </cell>
          <cell r="H128" t="str">
            <v>Estandarización, control y seguimiento de KPIs/resultados de corto/mediano plazo para Minsur</v>
          </cell>
        </row>
        <row r="129">
          <cell r="B129" t="str">
            <v>PE-HUD-GM-FEL00-105-A</v>
          </cell>
          <cell r="F129" t="str">
            <v>Hudbay_Analisis estabilidad OP</v>
          </cell>
          <cell r="H129" t="str">
            <v>Análisis de estabilidad OP Constancia</v>
          </cell>
        </row>
        <row r="130">
          <cell r="B130" t="str">
            <v>CH-CMP-OP-FEL00-106-A</v>
          </cell>
          <cell r="F130" t="str">
            <v>CMP_Mejoras Operacionales CNN</v>
          </cell>
          <cell r="H130" t="str">
            <v>Upgrade Plan Minero CNN - 4.5 Mt Pellet Fee</v>
          </cell>
        </row>
        <row r="131">
          <cell r="B131" t="str">
            <v>CH-CMP-OT-OTR00-107-A</v>
          </cell>
          <cell r="F131" t="str">
            <v>CMP_Nuevos alcances Algarrobo</v>
          </cell>
          <cell r="H131" t="str">
            <v>Nuevos alcances: Proyecto Algarrobo Finos</v>
          </cell>
        </row>
        <row r="132">
          <cell r="B132" t="str">
            <v>CH-AMS-OT-OTR00-108-A</v>
          </cell>
          <cell r="F132" t="str">
            <v>AMSA_Contrato Marco</v>
          </cell>
          <cell r="H132" t="str">
            <v>AMSA_Contrato Marco</v>
          </cell>
        </row>
        <row r="133">
          <cell r="B133" t="str">
            <v>PE-MSR-GM-OTR00-109-A</v>
          </cell>
          <cell r="F133" t="str">
            <v>Minsur_Integracion Planeamiento Geomecanica</v>
          </cell>
          <cell r="H133" t="str">
            <v>Minsur_Integracion Planeamiento Geomecanica</v>
          </cell>
        </row>
        <row r="134">
          <cell r="B134" t="str">
            <v>CH-LUN-OP-FEL00-110-A</v>
          </cell>
          <cell r="F134" t="str">
            <v>Lundin_Oportunidades mejoras Caserones</v>
          </cell>
          <cell r="H134" t="str">
            <v>Lundin_Oportunidades mejoras Caserones</v>
          </cell>
        </row>
        <row r="135">
          <cell r="B135" t="str">
            <v>BR-MOS-CS-OTR00-111-A</v>
          </cell>
          <cell r="F135" t="str">
            <v>Mosaic_Cumplimiento plan con KPIs</v>
          </cell>
          <cell r="H135" t="str">
            <v>Metodologia para evaluar cumplimiento del plan con KPIs reales</v>
          </cell>
        </row>
        <row r="136">
          <cell r="B136" t="str">
            <v>CH-COD-OU-FEL00-112-A</v>
          </cell>
          <cell r="F136" t="str">
            <v>Codelco_Opciones vaciado mineral via OP</v>
          </cell>
          <cell r="H136" t="str">
            <v>Estudio Análisis Opciones de Vaciado Mineral Subterránea Vía Rajo Horizonte Corto-Mediano Plazo</v>
          </cell>
        </row>
        <row r="137">
          <cell r="B137" t="str">
            <v>CH-LUN-CS-OTR00-113-A</v>
          </cell>
          <cell r="F137" t="str">
            <v>Lundin_Gaps Planificación y Operación UG</v>
          </cell>
          <cell r="H137" t="str">
            <v>Diagnóstico de GAPs de Planificación y Operación UG</v>
          </cell>
        </row>
        <row r="138">
          <cell r="B138" t="str">
            <v>PE-MAR-OU-FEL01-114-A</v>
          </cell>
          <cell r="F138" t="str">
            <v>Marcobre_Ingeniería de Perfil Achupallas</v>
          </cell>
          <cell r="H138" t="str">
            <v>Estudio técnico – económico para fase de Perfil del proyecto Achupallas</v>
          </cell>
        </row>
        <row r="139">
          <cell r="B139" t="str">
            <v>BR-MOS-CS-OTR00-115-A</v>
          </cell>
          <cell r="F139" t="str">
            <v>Mosaic_Secuencia Operaciones Cajati</v>
          </cell>
          <cell r="H139" t="str">
            <v>Secuenciamiento de Operaciones Cajati</v>
          </cell>
        </row>
        <row r="140">
          <cell r="B140" t="str">
            <v>PE-CSC-UG-FEL2A-023-C</v>
          </cell>
          <cell r="F140" t="str">
            <v>PFS Los Calatos</v>
          </cell>
          <cell r="H140" t="str">
            <v>Elaboración de Modelo Geomecánico</v>
          </cell>
        </row>
        <row r="141">
          <cell r="B141" t="str">
            <v>PE-CSC-UG-FEL2A-023-D</v>
          </cell>
          <cell r="F141" t="str">
            <v>PFS Los Calatos</v>
          </cell>
          <cell r="H141" t="str">
            <v>Elaboración de Modelo Geomecánico</v>
          </cell>
        </row>
        <row r="142">
          <cell r="B142" t="str">
            <v>CH-AMS-CS-OTR00-116-A</v>
          </cell>
          <cell r="F142" t="str">
            <v>AMSA_Trade Off Tecnologico NGD</v>
          </cell>
          <cell r="H142" t="str">
            <v>Trade Off Tecnologico NGD</v>
          </cell>
        </row>
        <row r="143">
          <cell r="B143" t="str">
            <v>CH-CCO-CS-FEL00-117-A</v>
          </cell>
          <cell r="F143" t="str">
            <v>Capstone Copper_Estudio Sierra Norte</v>
          </cell>
          <cell r="H143" t="str">
            <v>Estudio conceptual Sierra Norte</v>
          </cell>
        </row>
        <row r="144">
          <cell r="B144" t="str">
            <v>PE-CMC-CD-OTR00-118-A</v>
          </cell>
          <cell r="F144" t="str">
            <v>CMC_Capacitación DBS y SIMPLAN</v>
          </cell>
          <cell r="H144" t="str">
            <v>Capacitación DBS y SIMPLAN</v>
          </cell>
        </row>
        <row r="145">
          <cell r="B145" t="str">
            <v>OT-TWM-CS-FEL00-119-A</v>
          </cell>
          <cell r="F145" t="str">
            <v>Twin Metals_Pre PFS Birch Lake Maturi</v>
          </cell>
          <cell r="H145" t="str">
            <v>Pre-PFS Twin Metals Birch Lake - Maturi</v>
          </cell>
        </row>
        <row r="146">
          <cell r="B146" t="str">
            <v>CH-CMP-CS-FEL00-120-A</v>
          </cell>
          <cell r="F146" t="str">
            <v>CMP_Capacidad Optima Tofo Norte</v>
          </cell>
          <cell r="H146" t="str">
            <v>Análisis de Capacidad Óptima Tofo Norte</v>
          </cell>
        </row>
        <row r="147">
          <cell r="B147" t="str">
            <v>CH-CMP-UG-FEL00-121-A</v>
          </cell>
          <cell r="F147" t="str">
            <v>CMP_Scoping Study Algarrobo</v>
          </cell>
          <cell r="H147" t="str">
            <v>Scoping Study Algarrobo</v>
          </cell>
        </row>
        <row r="148">
          <cell r="B148" t="str">
            <v>OT-THC-CS-OTR00-122-A</v>
          </cell>
          <cell r="F148" t="str">
            <v>ThreeCrowns_Litigio Oyu Tolgoi</v>
          </cell>
          <cell r="H148" t="str">
            <v>Litigio OT - Gobierno Mongolia</v>
          </cell>
        </row>
        <row r="149">
          <cell r="B149" t="str">
            <v>PE-MMG-OU-FEL2A-123-A</v>
          </cell>
          <cell r="F149" t="str">
            <v>LasBambas_PFS Ferrobamba UG</v>
          </cell>
          <cell r="H149" t="str">
            <v>PFS Ferrobamba UG</v>
          </cell>
        </row>
        <row r="150">
          <cell r="B150" t="str">
            <v>CH-COD-CS-OTR00-124-A</v>
          </cell>
          <cell r="F150" t="str">
            <v>Codelco_Prácticas de Planificación DMH</v>
          </cell>
          <cell r="H150" t="str">
            <v>Practicas de planificación de corto plazo DMH</v>
          </cell>
        </row>
        <row r="151">
          <cell r="B151" t="str">
            <v>CH-COD-CS-OTR00-125-A</v>
          </cell>
          <cell r="F151" t="str">
            <v>Codelco_Normativa Recursos y Reservas</v>
          </cell>
          <cell r="H151" t="str">
            <v>Revision Normativa Recursos y Reservas Codelco</v>
          </cell>
        </row>
        <row r="152">
          <cell r="B152" t="str">
            <v>PE-VLC-CS-OTR00-126-A</v>
          </cell>
          <cell r="F152" t="str">
            <v>Volcan_MEIA Romina</v>
          </cell>
          <cell r="H152" t="str">
            <v>Romina Apoyo MEIA</v>
          </cell>
        </row>
        <row r="153">
          <cell r="B153" t="str">
            <v>CH-AAM-CS-OTR00-127-A</v>
          </cell>
          <cell r="F153" t="str">
            <v>AngloAmerican_Due Dilligence Andina</v>
          </cell>
          <cell r="H153" t="str">
            <v>AngloAmerican Due Dilligence Andina</v>
          </cell>
        </row>
        <row r="154">
          <cell r="B154" t="str">
            <v>PE-CSC-UG-FEL2A-023-E</v>
          </cell>
          <cell r="F154" t="str">
            <v>PFS Los Calatos</v>
          </cell>
          <cell r="H154" t="str">
            <v>Trabajos adicionales</v>
          </cell>
        </row>
        <row r="155">
          <cell r="B155" t="str">
            <v>CH-COD-CS-OTR00-128-A</v>
          </cell>
          <cell r="F155" t="str">
            <v>Codelco_Estándar cierre topográfico</v>
          </cell>
          <cell r="H155" t="str">
            <v>Estándar cierre topográfico</v>
          </cell>
        </row>
        <row r="156">
          <cell r="B156" t="str">
            <v>CH-COD-CS-OTR00-129-A</v>
          </cell>
          <cell r="F156" t="str">
            <v>Codelco_Actualización norma NCC-31</v>
          </cell>
          <cell r="H156" t="str">
            <v>Codelco_Actualización norma NCC-31</v>
          </cell>
        </row>
        <row r="157">
          <cell r="B157" t="str">
            <v>BR-AUM-OU-FEL00-130-A</v>
          </cell>
          <cell r="F157" t="str">
            <v>AuraMinerals_Expansión Mina Paiol OP-UG</v>
          </cell>
          <cell r="H157" t="str">
            <v>Estudio técnico-económico para evaluar la expansión del Proyecto Mina Paiol mediante la integración de minería subterránea (UG) y a cielo abierto (OP)</v>
          </cell>
        </row>
        <row r="158">
          <cell r="B158" t="str">
            <v>OT-RES-CS-OTR00-131-A</v>
          </cell>
          <cell r="F158" t="str">
            <v>Resolution_MinePlan Review</v>
          </cell>
          <cell r="H158" t="str">
            <v>Resolution_MinePlan Review</v>
          </cell>
        </row>
        <row r="159">
          <cell r="B159" t="str">
            <v>CH-COD-UG-FEL00-132-A</v>
          </cell>
          <cell r="F159" t="str">
            <v>Codelco_Alternativas de acceso UG DMH</v>
          </cell>
          <cell r="H159" t="str">
            <v>Codelco_Alternativas de acceso UG DMH</v>
          </cell>
        </row>
        <row r="160">
          <cell r="B160" t="str">
            <v>PE-CSC-UG-FEL2A-133-A</v>
          </cell>
          <cell r="F160" t="str">
            <v>PFS Los Calatos V3</v>
          </cell>
          <cell r="H160" t="str">
            <v>PFS Los Calatos V3</v>
          </cell>
        </row>
        <row r="161">
          <cell r="B161" t="str">
            <v>PE-MSR-UG-OTR00-134-A</v>
          </cell>
          <cell r="F161" t="str">
            <v>Minsur_Raura Análisis LOM25</v>
          </cell>
          <cell r="H161" t="str">
            <v>Raura Análisis LOM25</v>
          </cell>
        </row>
        <row r="162">
          <cell r="B162" t="str">
            <v>CH-BHP-OP-FEL00-135-A</v>
          </cell>
          <cell r="F162" t="str">
            <v>BHP_Medidas de Cierre Botaderos</v>
          </cell>
          <cell r="H162" t="str">
            <v>Diseño de Medidas de Cierre para los Botaderos de Lastre Quebrada Parca</v>
          </cell>
        </row>
        <row r="163">
          <cell r="B163" t="str">
            <v>CH-CMP-UG-OTR00-095-B</v>
          </cell>
          <cell r="F163" t="str">
            <v>CMP_Estrategia Crecimiento Tofo Norte</v>
          </cell>
          <cell r="H163" t="str">
            <v>Estrategia de Crecimiento Modularizado para Tofo Norte</v>
          </cell>
        </row>
        <row r="164">
          <cell r="B164" t="str">
            <v>CH-CMP-OP-OTR00-096-B</v>
          </cell>
          <cell r="F164" t="str">
            <v>CMP_Plan minero base MLC</v>
          </cell>
          <cell r="H164" t="str">
            <v>CMP_Plan minero base MLC</v>
          </cell>
        </row>
        <row r="165">
          <cell r="B165" t="str">
            <v>PE-MMG-UG-FEL00-136-A</v>
          </cell>
          <cell r="F165" t="str">
            <v>LasBambas_Ferrobambas UG Escenarios</v>
          </cell>
          <cell r="H165" t="str">
            <v>Escenarios adicionales Ferrobamba UG (Scoping Study)</v>
          </cell>
        </row>
        <row r="166">
          <cell r="B166" t="str">
            <v>CH-D&amp;P-CS-OTR00-137-A</v>
          </cell>
          <cell r="F166" t="str">
            <v>Estrategia Cobre Panama</v>
          </cell>
          <cell r="H166" t="str">
            <v>Estrategia Cobre Panama</v>
          </cell>
        </row>
        <row r="167">
          <cell r="B167" t="str">
            <v>PE-OCP-CS-OTR00-138-A</v>
          </cell>
          <cell r="F167" t="str">
            <v>OCP_Análisis Estratégico Mina Cobriza</v>
          </cell>
          <cell r="H167" t="str">
            <v>Estrategia de Valor para Mina Cobriza</v>
          </cell>
        </row>
        <row r="168">
          <cell r="B168" t="str">
            <v>CH-AAM-OT-FEL03-139-A</v>
          </cell>
          <cell r="F168" t="str">
            <v>AngloAmerican_Tecnología HDD</v>
          </cell>
          <cell r="H168" t="str">
            <v>AngloAmerican_Tecnología HDD captación aguas claras</v>
          </cell>
        </row>
        <row r="169">
          <cell r="B169" t="str">
            <v>CH-BHP-OP-OTR00-140-A</v>
          </cell>
          <cell r="F169" t="str">
            <v>BHP_Spence 2YB Analisys</v>
          </cell>
          <cell r="H169" t="str">
            <v>BHP_Spence 2YB Analisys</v>
          </cell>
        </row>
        <row r="170">
          <cell r="B170" t="str">
            <v>OT-TWM-CS-FEL00-141-A</v>
          </cell>
          <cell r="F170" t="str">
            <v>TwinMetals_Birch Lake Integration</v>
          </cell>
          <cell r="H170" t="str">
            <v>TwinMetals_Birch Lake Integration Planning</v>
          </cell>
        </row>
        <row r="171">
          <cell r="B171" t="str">
            <v>PE-MSR-UG-FEL00-142-A</v>
          </cell>
          <cell r="F171" t="str">
            <v>Minsur_San Rafael Estudio V MEIA</v>
          </cell>
          <cell r="H171" t="str">
            <v>Minsur_San Rafael Estudio V MEIA</v>
          </cell>
        </row>
        <row r="172">
          <cell r="B172" t="str">
            <v>PE-MMG-UG-FEL2A-143-A</v>
          </cell>
          <cell r="F172" t="str">
            <v>LasBambas_Ferrobamba PFS</v>
          </cell>
          <cell r="H172" t="str">
            <v>LasBambas_Ferrobamba PFS</v>
          </cell>
        </row>
        <row r="173">
          <cell r="B173" t="str">
            <v>PE--CS-OTR00-144-A</v>
          </cell>
          <cell r="F173" t="str">
            <v>Simulaciones LB</v>
          </cell>
          <cell r="H173" t="str">
            <v>Simulaciones LB</v>
          </cell>
        </row>
        <row r="174">
          <cell r="B174" t="str">
            <v>CH-BHP-OP-OTR00-145-A</v>
          </cell>
          <cell r="F174" t="str">
            <v>BHP_Análisis LoA 2025 - SCUT</v>
          </cell>
          <cell r="H174" t="str">
            <v>BHP_Análisis de confiabilidad y detección de cuellos de botella del LoA 2025 - SCUT</v>
          </cell>
        </row>
        <row r="175">
          <cell r="B175" t="str">
            <v>CH-AAM-CS-OTR00-146-A</v>
          </cell>
          <cell r="F175" t="str">
            <v>AngloAmerican_Análisis Productividad MLB</v>
          </cell>
          <cell r="H175" t="str">
            <v>AngloAmerican_Análisis de Productividad Mina Los Bronces</v>
          </cell>
        </row>
        <row r="176">
          <cell r="B176" t="str">
            <v>BR-MOS-OU-FEL03-147-A</v>
          </cell>
          <cell r="F176" t="str">
            <v>Mosaic_Cajati Business Case</v>
          </cell>
          <cell r="H176" t="str">
            <v>Mosaic_Cajati Business Case</v>
          </cell>
        </row>
        <row r="177">
          <cell r="B177" t="str">
            <v>CH-CMP-OP-OTR00-096-C</v>
          </cell>
          <cell r="F177" t="str">
            <v>CMP_Plan minero base MLC</v>
          </cell>
          <cell r="H177" t="str">
            <v>CMP_Plan minero base MLC</v>
          </cell>
        </row>
        <row r="178">
          <cell r="B178" t="str">
            <v>RU-ATL-OP-FEL00-148-A</v>
          </cell>
          <cell r="F178" t="str">
            <v>AtlasMining_Ley de corte optima Malomyr</v>
          </cell>
          <cell r="H178" t="str">
            <v>AtlasMining_Ley de corte optima Malomyr</v>
          </cell>
        </row>
        <row r="179">
          <cell r="B179" t="str">
            <v>RU-POL-OP-FEL00-149-A</v>
          </cell>
          <cell r="F179" t="str">
            <v>Polyus_Evaluacion talud mina Blagodatny</v>
          </cell>
          <cell r="H179" t="str">
            <v>Polyus_Evaluacion talud mina Blagodatny</v>
          </cell>
        </row>
        <row r="180">
          <cell r="B180" t="str">
            <v>OT-RES-CS-OTR00-150-A</v>
          </cell>
          <cell r="F180" t="str">
            <v>Resolution_UGC 68L Program</v>
          </cell>
          <cell r="H180" t="str">
            <v>Resolution_UGC 68L Program</v>
          </cell>
        </row>
        <row r="181">
          <cell r="B181" t="str">
            <v>PE-MSR-UG-OTR00-151-A</v>
          </cell>
          <cell r="F181" t="str">
            <v>Minsur_LOM Integrado San Rafael 2025</v>
          </cell>
          <cell r="H181" t="str">
            <v>Minsur_LOM Integrado San Rafael 2025</v>
          </cell>
        </row>
        <row r="182">
          <cell r="B182" t="str">
            <v>BR-ERC-UG-FEL00-152-A</v>
          </cell>
          <cell r="F182" t="str">
            <v>EroCopper_Scoping Proyecto Furnas</v>
          </cell>
          <cell r="H182" t="str">
            <v>EroCopper_Scoping Proyecto Furnas</v>
          </cell>
        </row>
        <row r="183">
          <cell r="B183" t="str">
            <v>BR-AUM-OU-FEL2A-130-B</v>
          </cell>
          <cell r="F183" t="str">
            <v>AuraMinerals_Expansión Mina Paiol OP-UG</v>
          </cell>
          <cell r="H183" t="str">
            <v>Ingenieria para construcción tunel de exploración</v>
          </cell>
        </row>
        <row r="184">
          <cell r="B184" t="str">
            <v>PE-HUD-GM-FEL00-153-A</v>
          </cell>
          <cell r="F184" t="str">
            <v>Hudbay_Actualización Riesgo Sísmico</v>
          </cell>
          <cell r="H184" t="str">
            <v>Hudbay_Actualización Riesgo Sísmico</v>
          </cell>
        </row>
        <row r="185">
          <cell r="B185" t="str">
            <v>CH-LUN-CS-OTR00-154-A</v>
          </cell>
          <cell r="F185" t="str">
            <v>Lundin_Análisis Estratégico Caserones</v>
          </cell>
          <cell r="H185" t="str">
            <v>Lundin_Análisis Estratégico Caserones</v>
          </cell>
        </row>
        <row r="186">
          <cell r="B186" t="str">
            <v>CH-BHP-OP-FEL00-135-B</v>
          </cell>
          <cell r="F186" t="str">
            <v>BHP_Medidas de Cierre Botaderos</v>
          </cell>
          <cell r="H186" t="str">
            <v>Diseño de Medidas de Cierre para los Botaderos de Lastre Quebrada Parca</v>
          </cell>
        </row>
        <row r="187">
          <cell r="B187" t="str">
            <v>CH-BHP-OP-FEL00-135-C</v>
          </cell>
          <cell r="F187" t="str">
            <v>BHP_Medidas de Cierre Botaderos</v>
          </cell>
          <cell r="H187" t="str">
            <v>Diseño de Medidas de Cierre para los Botaderos de Lastre Quebrada Parca</v>
          </cell>
        </row>
        <row r="188">
          <cell r="B188" t="str">
            <v>PE-MMG-UG-FEL00-136-B</v>
          </cell>
          <cell r="F188" t="str">
            <v>LasBambas_Ferrobambas UG Escenarios</v>
          </cell>
          <cell r="H188" t="str">
            <v>Escenarios adicionales Ferrobamba UG (Scoping Study)</v>
          </cell>
        </row>
        <row r="189">
          <cell r="B189" t="str">
            <v>PE-CSC-UG-FEL2A-133-B</v>
          </cell>
          <cell r="F189" t="str">
            <v>PFS Los Calatos V3</v>
          </cell>
          <cell r="H189" t="str">
            <v>PFS Los Calatos V3</v>
          </cell>
        </row>
        <row r="190">
          <cell r="B190" t="str">
            <v>CH-CMP-OP-FEL00-155-A</v>
          </cell>
          <cell r="F190" t="str">
            <v>CMP_Actualización Casos de Negocios CNN</v>
          </cell>
          <cell r="H190" t="str">
            <v>Análisis de Factibilidad Minera para Mejoras Operacionales CNN y Desarrollo del Caso de Expansión – Actualización de Planes</v>
          </cell>
        </row>
        <row r="191">
          <cell r="B191" t="str">
            <v>PE-ALP-GM-FEL00-156-A</v>
          </cell>
          <cell r="F191" t="str">
            <v>Alpayana_Estudio de Sismicidad</v>
          </cell>
          <cell r="H191" t="str">
            <v>Alpayana_Estudio de Sismicidad y Control de Daños</v>
          </cell>
        </row>
        <row r="192">
          <cell r="B192" t="str">
            <v>PE-VLC-GM-FEL00-157-A</v>
          </cell>
          <cell r="F192" t="str">
            <v>Alpamarca_Estudio de Estabilidad Tajo</v>
          </cell>
          <cell r="H192" t="str">
            <v>Alpamarca_Estudio de Estabilidad Tajo</v>
          </cell>
        </row>
        <row r="193">
          <cell r="B193" t="str">
            <v>BR-TAB-OP-FEL00-158-A</v>
          </cell>
          <cell r="F193" t="str">
            <v>Taboca_Evaluación Mina Pitinga</v>
          </cell>
          <cell r="H193" t="str">
            <v>Taboca_Evaluación Mina Pitinga</v>
          </cell>
        </row>
        <row r="194">
          <cell r="B194" t="str">
            <v>CH-CCO-CS-OTR00-159-A</v>
          </cell>
          <cell r="F194" t="str">
            <v>Capstone Copper_Production at Risk</v>
          </cell>
          <cell r="H194" t="str">
            <v>Capstone Copper_Production at Risk</v>
          </cell>
        </row>
        <row r="195">
          <cell r="B195" t="str">
            <v>PE-SPM-UG-FEL03-160-A</v>
          </cell>
          <cell r="F195" t="str">
            <v>SPM_FS Labores Subterraneas 2da MEIA</v>
          </cell>
          <cell r="H195" t="str">
            <v>SPM_FS Labores Subterraneas 2da MEIA</v>
          </cell>
        </row>
        <row r="196">
          <cell r="B196" t="str">
            <v>BR-LHG-UG-OTR00-161-A</v>
          </cell>
          <cell r="F196" t="str">
            <v>LHG_LOM Urucum</v>
          </cell>
          <cell r="H196" t="str">
            <v>LHG_LOM Urucum</v>
          </cell>
        </row>
        <row r="197">
          <cell r="B197" t="str">
            <v>PE-MSR-UG-OTR00-162-A</v>
          </cell>
          <cell r="F197" t="str">
            <v>Minsur_Soporte LOM 2025 Raura</v>
          </cell>
          <cell r="H197" t="str">
            <v>Soporte Estimación Plan LOM 2025 Raura</v>
          </cell>
        </row>
        <row r="198">
          <cell r="B198" t="str">
            <v>PE-MSR-CS-OTR00-163-A</v>
          </cell>
          <cell r="F198" t="str">
            <v>Minsur_Factibilidad Infraestructura Coreshack</v>
          </cell>
          <cell r="H198" t="str">
            <v>Minsur_Factibilidad Infraestructura Coreshack</v>
          </cell>
        </row>
        <row r="199">
          <cell r="B199" t="str">
            <v>BR-CBM-CS-OTR00-164-A</v>
          </cell>
          <cell r="F199" t="str">
            <v>CBMM_SIMPLAN Initiatives Evaluation</v>
          </cell>
          <cell r="H199" t="str">
            <v>CBMM_Methodology for Evaluate and Quantifying Initiatives in Mine Plans</v>
          </cell>
        </row>
        <row r="200">
          <cell r="B200" t="str">
            <v>CH-AMS-CS-OTR00-165-A</v>
          </cell>
          <cell r="F200" t="str">
            <v>AMSA_Mejoras Planificación Centinela</v>
          </cell>
          <cell r="H200" t="str">
            <v>AMSA_Mejoras Planificación Centinela</v>
          </cell>
        </row>
        <row r="201">
          <cell r="B201" t="str">
            <v>PE-VLC-GM-FEL00-166-A</v>
          </cell>
          <cell r="F201" t="str">
            <v>Volcan_Estudio Estabilidad Desmonteras</v>
          </cell>
          <cell r="H201" t="str">
            <v>Volcan_Análisis de Rotura Hipotética Desmonteras Proyecto Romina</v>
          </cell>
        </row>
        <row r="202">
          <cell r="B202" t="str">
            <v>PE-NEX-GM-FEL00-167-A</v>
          </cell>
          <cell r="F202" t="str">
            <v>NEXA_Estudio Geomecánico AT y EP</v>
          </cell>
          <cell r="H202" t="str">
            <v>NEXA_Actualización del Estudio Geomecánico en la Unidad El Porvenir</v>
          </cell>
        </row>
        <row r="203">
          <cell r="B203" t="str">
            <v>PE-NEX-CS-OTR00-168-A</v>
          </cell>
          <cell r="F203" t="str">
            <v>NEXA_Peer Review Cerro Lindo</v>
          </cell>
          <cell r="H203" t="str">
            <v>Revisión prácticas operacionales para puesta en marcha de BC</v>
          </cell>
        </row>
        <row r="204">
          <cell r="B204" t="str">
            <v>CH-CRF-CS-FEL00-169-A</v>
          </cell>
          <cell r="F204" t="str">
            <v>CORFO_Valorización Boquerón Chañar</v>
          </cell>
          <cell r="H204" t="str">
            <v>Estudio de Valorización Yacimiento de Hierro Boquerón Chañar - CORFO</v>
          </cell>
        </row>
        <row r="205">
          <cell r="B205" t="str">
            <v>CH-PUC-CS-OTR00-170-A</v>
          </cell>
          <cell r="F205" t="str">
            <v>PUCOBRE_Acompañamiento Reservas Tovaku</v>
          </cell>
          <cell r="H205" t="str">
            <v>Acompañamiento Especialista en Reservas Tovaku</v>
          </cell>
        </row>
        <row r="206">
          <cell r="B206" t="str">
            <v>CH-AMS-OP-FEL00-171-A</v>
          </cell>
          <cell r="F206" t="str">
            <v>AMSA_RIINO BC - Centinela</v>
          </cell>
          <cell r="H206" t="str">
            <v>AMSA_RIINO BC - Centinela</v>
          </cell>
        </row>
        <row r="207">
          <cell r="B207" t="str">
            <v>BR-EQG-UG-FEL03-172-A</v>
          </cell>
          <cell r="F207" t="str">
            <v>EQUINOX_Actualización Ing. Básica UG</v>
          </cell>
          <cell r="H207" t="str">
            <v>EQUINOX_Atualização de Engenharia Básica para o Projeto de Mina Subterrânea – MASA Mineração Aurizona</v>
          </cell>
        </row>
        <row r="208">
          <cell r="B208" t="str">
            <v>RU-POL-OP-FEL00-173-A</v>
          </cell>
          <cell r="F208" t="str">
            <v>Polyus_Olimpiada Cutback 5&amp;6</v>
          </cell>
          <cell r="H208" t="str">
            <v>Polyus_Olimpiada Cutback 5&amp;6</v>
          </cell>
        </row>
        <row r="209">
          <cell r="B209" t="str">
            <v>CH-COD-UG-FEL00-174-A</v>
          </cell>
          <cell r="F209" t="str">
            <v>Codelco_Formulación caso de negocio TBM</v>
          </cell>
          <cell r="H209" t="str">
            <v>Codelco_Formulación caso de negocio TBM</v>
          </cell>
        </row>
        <row r="210">
          <cell r="B210" t="str">
            <v>CH-COL-OT-FEL2A-175-A</v>
          </cell>
          <cell r="F210" t="str">
            <v>Collahuasi_PFS Perforación pozos con HDD</v>
          </cell>
          <cell r="H210" t="str">
            <v>Collahuasi_PFS Perforación pozos con HDD</v>
          </cell>
        </row>
        <row r="211">
          <cell r="B211" t="str">
            <v>OT-FNE-CS-OTR00-176-A</v>
          </cell>
          <cell r="F211" t="str">
            <v>FN_Oko West project review</v>
          </cell>
          <cell r="H211" t="str">
            <v>FN_Oko West project review</v>
          </cell>
        </row>
        <row r="212">
          <cell r="B212" t="str">
            <v>OT-RES-CS-OTR00-177-A</v>
          </cell>
          <cell r="F212" t="str">
            <v>Resolution_Narrow Panel Caving UGC</v>
          </cell>
          <cell r="H212" t="str">
            <v>BHP_Resolution_NarrowPanelCaving_UGC</v>
          </cell>
        </row>
        <row r="213">
          <cell r="B213" t="str">
            <v>OT-RES-CS-OTR00-178-A</v>
          </cell>
          <cell r="F213" t="str">
            <v>Resolution_General Review</v>
          </cell>
          <cell r="H213" t="str">
            <v>Resolution_General Review</v>
          </cell>
        </row>
        <row r="214">
          <cell r="B214" t="str">
            <v>CH-AAM-CS-OTR00-179-A</v>
          </cell>
          <cell r="F214" t="str">
            <v>Anglo_Production at Risk Mina Rio</v>
          </cell>
          <cell r="H214" t="str">
            <v>Anglo_Production at Risk Mina Rio</v>
          </cell>
        </row>
        <row r="215">
          <cell r="B215" t="str">
            <v>CH-COL-CS-OTR00-180-A</v>
          </cell>
          <cell r="F215" t="str">
            <v>Collahuasi_Análisis Mine Compliance</v>
          </cell>
          <cell r="H215" t="str">
            <v>Collahuasi_Análisis Mine Compliance</v>
          </cell>
        </row>
        <row r="216">
          <cell r="B216" t="str">
            <v>BR-AUM-UG-FEL2A-181-A</v>
          </cell>
          <cell r="F216" t="str">
            <v>AuraMinerals_Proyecto Paiol PFS UG</v>
          </cell>
          <cell r="H216" t="str">
            <v>AuraMinerals_Proyecto Paiol PFS UG</v>
          </cell>
        </row>
        <row r="217">
          <cell r="B217" t="str">
            <v>PE-MMA-OP-FEL00-182-A</v>
          </cell>
          <cell r="F217" t="str">
            <v>Miskimayo_Evaluación Transporte en Mina</v>
          </cell>
          <cell r="H217" t="str">
            <v>Miskimayo_Evaluación Transporte en Mina</v>
          </cell>
        </row>
        <row r="218">
          <cell r="B218" t="str">
            <v>CH-GLE-CS-OTR00-183-A</v>
          </cell>
          <cell r="F218" t="str">
            <v>Glencore_Estrategia de Propiedades CMLB</v>
          </cell>
          <cell r="H218" t="str">
            <v>Blancos de Exploración y Estrategia de Propiedades de CMLB</v>
          </cell>
        </row>
        <row r="219">
          <cell r="B219" t="str">
            <v>CH-CAP-CS-OTR00-184-A</v>
          </cell>
          <cell r="F219" t="str">
            <v>CAP_Due Diligence Costa Fuego</v>
          </cell>
          <cell r="H219" t="str">
            <v>CAP_Due Diligence Costa Fuego</v>
          </cell>
        </row>
        <row r="220">
          <cell r="B220" t="str">
            <v>CH-COL-CS-OTR00-185-A</v>
          </cell>
          <cell r="F220" t="str">
            <v>Collahuasi_Valor Incorporación Chx.03</v>
          </cell>
          <cell r="H220" t="str">
            <v>Collahuasi_Valor Incorporación Chx.03</v>
          </cell>
        </row>
        <row r="221">
          <cell r="B221" t="str">
            <v>CH-ERG-GM-FEL00-186-A</v>
          </cell>
          <cell r="F221" t="str">
            <v>ERG_Parámetros estabilidad taludes</v>
          </cell>
          <cell r="H221" t="str">
            <v>ERG_Parámetros estabilidad taludes</v>
          </cell>
        </row>
        <row r="222">
          <cell r="B222" t="str">
            <v>PE-CSC-CS-OTR00-187-A</v>
          </cell>
          <cell r="F222" t="str">
            <v>Los Calatos_MR&amp;MR y Estrategia Distrital</v>
          </cell>
          <cell r="H222" t="str">
            <v>Los Calatos_MR&amp;MR y Estrategia Distrital</v>
          </cell>
        </row>
        <row r="223">
          <cell r="B223" t="str">
            <v>PE-ECR-UG-FEL00-188-A</v>
          </cell>
          <cell r="F223" t="str">
            <v>Emincar_Los Castellanos_UG</v>
          </cell>
          <cell r="H223" t="str">
            <v>Emincar_Los Castellanos_UG</v>
          </cell>
        </row>
        <row r="224">
          <cell r="B224" t="str">
            <v>CH-ERG-GM-FEL00-189-A</v>
          </cell>
          <cell r="F224" t="str">
            <v>ERG_Structural Model Update</v>
          </cell>
          <cell r="H224" t="str">
            <v>ERG_Structural Model Update</v>
          </cell>
        </row>
        <row r="225">
          <cell r="B225" t="str">
            <v>PE-HCS-UG-FEL00-190-A</v>
          </cell>
          <cell r="F225" t="str">
            <v>Hochschild_FS Metodos de Minado Tesoro</v>
          </cell>
          <cell r="H225" t="str">
            <v>Hochschild_FS Metodos de Minado Tesoro</v>
          </cell>
        </row>
        <row r="226">
          <cell r="B226" t="str">
            <v>PE-BRO-GM-FEL00-191-A</v>
          </cell>
          <cell r="F226" t="str">
            <v>ElBrocal_Estudio Geomecanico Estabilidad</v>
          </cell>
          <cell r="H226" t="str">
            <v>ElBrocal_Estudio Geomecanico Estabilidad</v>
          </cell>
        </row>
        <row r="227">
          <cell r="B227" t="str">
            <v>PE-CSC-CS-OTR00-192-A</v>
          </cell>
          <cell r="F227" t="str">
            <v>Los Calatos_Resource Development Plan</v>
          </cell>
          <cell r="H227" t="str">
            <v>Los Calatos_Resource Development Plan</v>
          </cell>
        </row>
        <row r="228">
          <cell r="B228" t="str">
            <v>CH-COD-CS-OTR00-193-A</v>
          </cell>
          <cell r="F228" t="str">
            <v>Codelco_Auditoria Recursos y Reservas</v>
          </cell>
          <cell r="H228" t="str">
            <v>Codelco_Auditoria Recursos y Reservas</v>
          </cell>
        </row>
        <row r="229">
          <cell r="B229" t="str">
            <v>CH-COL-CS-OTR00-194-A</v>
          </cell>
          <cell r="F229" t="str">
            <v>Collahuasi_Mine Compliance 2026</v>
          </cell>
          <cell r="H229" t="str">
            <v>Collahuasi_Mine Compliance 2026</v>
          </cell>
        </row>
        <row r="230">
          <cell r="B230" t="str">
            <v>CH-BRR-CS-OTR00-195-A</v>
          </cell>
          <cell r="F230" t="str">
            <v>Barrick_Production at Risk Veladero</v>
          </cell>
          <cell r="H230" t="str">
            <v>Barrick_Production at Risk Veladero</v>
          </cell>
        </row>
        <row r="231">
          <cell r="B231" t="str">
            <v>OT-FPT-OU-FEL00-196-A</v>
          </cell>
          <cell r="F231" t="str">
            <v>Freeport_GBC Restart Strategy Services</v>
          </cell>
          <cell r="H231" t="str">
            <v>Freeport_GBC Restart Strategy Services</v>
          </cell>
        </row>
        <row r="232">
          <cell r="B232" t="str">
            <v>BR-MOS-OU-FEL00-197-A</v>
          </cell>
          <cell r="F232" t="str">
            <v>Mosaic_Cajati LOM Open Pit</v>
          </cell>
          <cell r="H232" t="str">
            <v>Mosaic_Cajati LOM Open Pit</v>
          </cell>
        </row>
        <row r="233">
          <cell r="B233" t="str">
            <v>PE-CSC-OT-OTR00-198-A</v>
          </cell>
          <cell r="F233" t="str">
            <v>Los Calatos_DD-Support</v>
          </cell>
          <cell r="H233" t="str">
            <v>Los Calatos_DD-Support</v>
          </cell>
        </row>
        <row r="234">
          <cell r="B234" t="str">
            <v>CH-GLE-CS-OTR00-199-A</v>
          </cell>
          <cell r="F234" t="str">
            <v>Glencore_Mining Simulation Mara</v>
          </cell>
          <cell r="H234" t="str">
            <v>Glencore_Mining Simulation Mara</v>
          </cell>
        </row>
        <row r="235">
          <cell r="B235" t="str">
            <v>PE-MSR-UG-OTR00-200-A</v>
          </cell>
          <cell r="F235" t="str">
            <v>Minsur_LOM Integrado San Rafael 2026</v>
          </cell>
          <cell r="H235" t="str">
            <v>Minsur_LOM Integrado San Rafael 2026</v>
          </cell>
        </row>
        <row r="236">
          <cell r="B236" t="str">
            <v>OT-STH-CS-OTR00-201-A</v>
          </cell>
          <cell r="F236" t="str">
            <v>South32_Clark Project</v>
          </cell>
          <cell r="H236" t="str">
            <v>South32_Clark Project</v>
          </cell>
        </row>
        <row r="237">
          <cell r="B237" t="str">
            <v>OT-HCL-CS-OTR00-202-A</v>
          </cell>
          <cell r="F237" t="str">
            <v>Hecla_Lucky Friday Mine</v>
          </cell>
          <cell r="H237" t="str">
            <v>Hecla_Lucky Friday Mine</v>
          </cell>
        </row>
        <row r="238">
          <cell r="B238" t="str">
            <v>PE-AES-UG-FEL00-203-A</v>
          </cell>
          <cell r="F238" t="str">
            <v>AESA_Construccion Rampas Mina Justa</v>
          </cell>
          <cell r="H238" t="str">
            <v>Escenarios Construcción Rampas – Mina Justa UG</v>
          </cell>
        </row>
        <row r="239">
          <cell r="B239" t="str">
            <v>PE-HCS-UG-OTR00-204-A</v>
          </cell>
          <cell r="F239" t="str">
            <v>Hochschild_LOM UG Royropata</v>
          </cell>
          <cell r="H239" t="str">
            <v>Hochschild – LOM UG Royropata</v>
          </cell>
        </row>
        <row r="240">
          <cell r="B240" t="str">
            <v>PE-MMA-CS-OTR00-205-A</v>
          </cell>
          <cell r="F240" t="str">
            <v>Miskimayo_Actualizacion R&amp;R Mina Bayovar</v>
          </cell>
          <cell r="H240" t="str">
            <v>Miskimayo_Actualizacion R&amp;R Mina Bayovar</v>
          </cell>
        </row>
        <row r="241">
          <cell r="B241" t="str">
            <v>PE-HUD-GM-FEL00-206-A</v>
          </cell>
          <cell r="F241" t="str">
            <v>Hudbay_Ampliacion Peligro Sísmico</v>
          </cell>
          <cell r="H241" t="str">
            <v>Hudbay_Ampliacion Peligro Sísmico</v>
          </cell>
        </row>
        <row r="242">
          <cell r="B242" t="str">
            <v>BR-MOS-GM-FEL00-207-A</v>
          </cell>
          <cell r="F242" t="str">
            <v>Mosaic_Análisis de Estabilidad</v>
          </cell>
          <cell r="H242" t="str">
            <v>Mosaic_Análisis de Estabilidad</v>
          </cell>
        </row>
        <row r="243">
          <cell r="B243" t="str">
            <v>BR-ERC-GM-FEL00-208-A</v>
          </cell>
          <cell r="F243" t="str">
            <v>EroCopper_Surubim OP Mine</v>
          </cell>
          <cell r="H243" t="str">
            <v>EroCopper_Surubim OP Mine</v>
          </cell>
        </row>
        <row r="244">
          <cell r="B244" t="str">
            <v>CH-MIN-CS-FEL00-209-A</v>
          </cell>
          <cell r="F244" t="str">
            <v>MineriaIman_PEA Proyecto Iman</v>
          </cell>
          <cell r="H244" t="str">
            <v>MineriaIman_PEA Proyecto Iman</v>
          </cell>
        </row>
        <row r="245">
          <cell r="B245" t="str">
            <v>OT-STC-UG-FEL03-210-A</v>
          </cell>
          <cell r="F245" t="str">
            <v>Stantec_I80 Archimedes UG FS</v>
          </cell>
          <cell r="H245" t="str">
            <v>Stantec_I80 Archimedes UG FS</v>
          </cell>
        </row>
        <row r="246">
          <cell r="B246" t="str">
            <v>CH-COD-OP-FEL00-211-A</v>
          </cell>
          <cell r="F246" t="str">
            <v>Codelco_DET Rajo Sur</v>
          </cell>
          <cell r="H246" t="str">
            <v>Codelco_DET Rajo Sur</v>
          </cell>
        </row>
        <row r="247">
          <cell r="B247" t="str">
            <v>CH-COL-CS-OTR00-212-A</v>
          </cell>
          <cell r="F247" t="str">
            <v>Collahuasi_Mining Simulation Study</v>
          </cell>
          <cell r="H247" t="str">
            <v>Collahuasi_Mining Simulation Study</v>
          </cell>
        </row>
        <row r="248">
          <cell r="B248" t="str">
            <v>CD-SGO-CS-OTR00-213-A</v>
          </cell>
          <cell r="F248" t="str">
            <v>SeabridgeGold_HoV analysis for the KSM</v>
          </cell>
          <cell r="H248" t="str">
            <v>SeabridgeGold_HoV analysis for the KSM</v>
          </cell>
        </row>
        <row r="249">
          <cell r="B249" t="str">
            <v>BR-ERC-UG-FEL00-214-A</v>
          </cell>
          <cell r="F249" t="str">
            <v>EroCopper_Análisis Expansión Xavantina</v>
          </cell>
          <cell r="H249" t="str">
            <v>EroCopper_Análisis Expansión Xavantina</v>
          </cell>
        </row>
        <row r="250">
          <cell r="B250" t="str">
            <v>CH-COD-CS-OTR00-215-A</v>
          </cell>
          <cell r="F250" t="str">
            <v>Codelco_Peritaje División El Teniente</v>
          </cell>
          <cell r="H250" t="str">
            <v>Codelco_Peritaje División El Teniente</v>
          </cell>
        </row>
        <row r="251">
          <cell r="B251" t="str">
            <v>BR-ERC-UG-FEL00-216-A</v>
          </cell>
          <cell r="F251" t="str">
            <v>EroCopper_PEA Update Furnas Project</v>
          </cell>
          <cell r="H251" t="str">
            <v>EroCopper_PEA Update Furnas Project</v>
          </cell>
        </row>
        <row r="252">
          <cell r="B252" t="str">
            <v>PE-HSI-GM-OTR00-217-A</v>
          </cell>
          <cell r="F252" t="str">
            <v>Highlander_Diagnóstico Geomecánico</v>
          </cell>
          <cell r="H252" t="str">
            <v>Highlander_Diagnóstico Geomecánico</v>
          </cell>
        </row>
        <row r="253">
          <cell r="B253" t="str">
            <v>PE-FMI-GM-OTR00-218-A</v>
          </cell>
          <cell r="F253" t="str">
            <v>FortunaMining_Sismicidad inducida Bateas</v>
          </cell>
          <cell r="H253" t="str">
            <v>FortunaMining_Sismicidad inducida Bateas</v>
          </cell>
        </row>
        <row r="254">
          <cell r="B254" t="str">
            <v>PE-VLC-CS-OTR00-219-A</v>
          </cell>
          <cell r="F254" t="str">
            <v>Volcan_Simulación sistema de transporte</v>
          </cell>
          <cell r="H254" t="str">
            <v>Volcan_Simulación sistema de transporte</v>
          </cell>
        </row>
        <row r="255">
          <cell r="B255" t="str">
            <v>PE-MSR-UG-OTR00-220-A</v>
          </cell>
          <cell r="F255" t="str">
            <v xml:space="preserve">Minsur_Proceso adherencia Quenamari - SR </v>
          </cell>
          <cell r="H255" t="str">
            <v xml:space="preserve">Minsur_Proceso adherencia Quenamari - SR </v>
          </cell>
        </row>
        <row r="256">
          <cell r="B256" t="str">
            <v>OT-STH-CS-OTR00-221-A</v>
          </cell>
          <cell r="F256" t="str">
            <v>South32_HoV and optimized cut-off grade</v>
          </cell>
          <cell r="H256" t="str">
            <v>South32_HoV and optimized cut-off grade</v>
          </cell>
        </row>
        <row r="257">
          <cell r="B257" t="str">
            <v>----222-!</v>
          </cell>
        </row>
        <row r="258">
          <cell r="B258" t="str">
            <v>----223-!</v>
          </cell>
        </row>
        <row r="259">
          <cell r="B259" t="str">
            <v>----224-!</v>
          </cell>
        </row>
        <row r="260">
          <cell r="B260" t="str">
            <v>----225-!</v>
          </cell>
        </row>
        <row r="261">
          <cell r="B261" t="str">
            <v>----226-!</v>
          </cell>
        </row>
        <row r="262">
          <cell r="B262" t="str">
            <v>----227-!</v>
          </cell>
        </row>
        <row r="263">
          <cell r="B263" t="str">
            <v>----228-!</v>
          </cell>
        </row>
        <row r="264">
          <cell r="B264" t="str">
            <v>----229-!</v>
          </cell>
        </row>
        <row r="265">
          <cell r="B265" t="str">
            <v>----230-!</v>
          </cell>
        </row>
        <row r="266">
          <cell r="B266" t="str">
            <v>----231-!</v>
          </cell>
        </row>
        <row r="267">
          <cell r="B267" t="str">
            <v>----232-!</v>
          </cell>
        </row>
        <row r="268">
          <cell r="B268" t="str">
            <v>----233-!</v>
          </cell>
        </row>
        <row r="269">
          <cell r="B269" t="str">
            <v>----234-!</v>
          </cell>
        </row>
        <row r="270">
          <cell r="B270" t="str">
            <v>----235-!</v>
          </cell>
        </row>
        <row r="271">
          <cell r="B271" t="str">
            <v>----236-!</v>
          </cell>
        </row>
        <row r="272">
          <cell r="B272" t="str">
            <v>----237-!</v>
          </cell>
        </row>
        <row r="273">
          <cell r="B273" t="str">
            <v>----238-!</v>
          </cell>
        </row>
        <row r="274">
          <cell r="B274" t="str">
            <v>----239-!</v>
          </cell>
        </row>
        <row r="275">
          <cell r="B275" t="str">
            <v>----240-!</v>
          </cell>
        </row>
        <row r="276">
          <cell r="B276" t="str">
            <v>----241-!</v>
          </cell>
        </row>
        <row r="277">
          <cell r="B277" t="str">
            <v>----242-!</v>
          </cell>
        </row>
        <row r="278">
          <cell r="B278" t="str">
            <v>----243-!</v>
          </cell>
        </row>
        <row r="279">
          <cell r="B279" t="str">
            <v>----244-!</v>
          </cell>
        </row>
        <row r="280">
          <cell r="B280" t="str">
            <v>----245-!</v>
          </cell>
        </row>
        <row r="281">
          <cell r="B281" t="str">
            <v>----246-!</v>
          </cell>
        </row>
        <row r="282">
          <cell r="B282" t="str">
            <v>----247-!</v>
          </cell>
        </row>
        <row r="283">
          <cell r="B283" t="str">
            <v>----248-!</v>
          </cell>
        </row>
        <row r="284">
          <cell r="B284" t="str">
            <v>----249-!</v>
          </cell>
        </row>
        <row r="285">
          <cell r="B285" t="str">
            <v>----250-!</v>
          </cell>
        </row>
        <row r="286">
          <cell r="B286" t="str">
            <v>----251-!</v>
          </cell>
        </row>
        <row r="287">
          <cell r="B287" t="str">
            <v>----252-!</v>
          </cell>
        </row>
        <row r="288">
          <cell r="B288" t="str">
            <v>----253-!</v>
          </cell>
        </row>
        <row r="289">
          <cell r="B289" t="str">
            <v>----254-!</v>
          </cell>
        </row>
        <row r="290">
          <cell r="B290" t="str">
            <v>----255-!</v>
          </cell>
        </row>
        <row r="291">
          <cell r="B291" t="str">
            <v>----256-!</v>
          </cell>
        </row>
        <row r="292">
          <cell r="B292" t="str">
            <v>----257-!</v>
          </cell>
        </row>
        <row r="293">
          <cell r="B293" t="str">
            <v>----258-!</v>
          </cell>
        </row>
        <row r="294">
          <cell r="B294" t="str">
            <v>----259-!</v>
          </cell>
        </row>
        <row r="295">
          <cell r="B295" t="str">
            <v>----260-!</v>
          </cell>
        </row>
        <row r="296">
          <cell r="B296" t="str">
            <v>----261-!</v>
          </cell>
        </row>
        <row r="297">
          <cell r="B297" t="str">
            <v>----262-!</v>
          </cell>
        </row>
        <row r="298">
          <cell r="B298" t="str">
            <v>----263-!</v>
          </cell>
        </row>
        <row r="299">
          <cell r="B299" t="str">
            <v>----264-!</v>
          </cell>
        </row>
        <row r="300">
          <cell r="B300" t="str">
            <v>----265-!</v>
          </cell>
        </row>
      </sheetData>
      <sheetData sheetId="4"/>
      <sheetData sheetId="5"/>
      <sheetData sheetId="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essica Rojas" id="{454A22F3-B1FE-4DC7-B4D9-FB60527F8755}" userId="jrojas@redcoglobal.com" providerId="PeoplePicker"/>
  <person displayName="Eduardo Cuevas" id="{1D654248-C289-4F3D-A117-2F43D7690862}" userId="ecuevas@redcoglobal.com" providerId="PeoplePicker"/>
  <person displayName="Eduardo Cuevas" id="{F36D43BF-4784-48B5-957D-1737756D9FC1}" userId="S::ecuevas@redcoglobal.com::1895eeda-fe30-4958-a15c-75961a407efe" providerId="AD"/>
  <person displayName="Roxana Avilés Diaz" id="{643E9037-7099-4767-AC42-CD65B30C2AFA}" userId="S::raviles@redcoglobal.com::d7a277ab-b868-404e-8391-5c4bdbdc73d5" providerId="AD"/>
  <person displayName="Victor Arias" id="{076E8368-F4D0-4787-B860-E3F8CDD961DB}" userId="S::victorarias@redcoglobal.com::15c54426-e988-4e59-a0c8-5e629734f01d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uardo Cuevas" refreshedDate="46183.472944097222" createdVersion="8" refreshedVersion="8" minRefreshableVersion="3" recordCount="700" xr:uid="{938602B5-6BB1-4FF8-BD19-CA82555A9570}">
  <cacheSource type="worksheet">
    <worksheetSource name="Tabla13"/>
  </cacheSource>
  <cacheFields count="31">
    <cacheField name="N" numFmtId="0">
      <sharedItems containsSemiMixedTypes="0" containsString="0" containsNumber="1" containsInteger="1" minValue="1" maxValue="700"/>
    </cacheField>
    <cacheField name="Código" numFmtId="0">
      <sharedItems containsBlank="1"/>
    </cacheField>
    <cacheField name="Nombre Teams" numFmtId="0">
      <sharedItems containsMixedTypes="1" containsNumber="1" containsInteger="1" minValue="0" maxValue="0" count="195">
        <s v=" Strategy analysis for the Hermosa project "/>
        <s v="Actualización Lom Raura"/>
        <s v="Adrianita -Raúl"/>
        <s v="AESA Rendimientos"/>
        <s v="AESA_Construccion Rampas Mina Justa"/>
        <s v="Algarrobo"/>
        <s v="Alpamarca_Estudio de Estabilidad Tajo"/>
        <s v="Alpayana_Estudio de Sismicidad"/>
        <s v="AMSA_Asesoria Centinela"/>
        <s v="AMSA_Contrato Marco"/>
        <s v="AMSA_Estandares Minimos"/>
        <s v="AMSA_Mejoras Planificación Centinela"/>
        <s v="AMSA_Planificacion"/>
        <s v="AMSA_RIINO BC - Centinela"/>
        <s v="AMSA_Trade Off Tecnologico NGD"/>
        <s v="Anglo_Production at Risk Mina Rio"/>
        <s v="AngloAmerican_Análisis Productividad MLB"/>
        <s v="AngloAmerican_Tecnología HDD"/>
        <s v="AtlasMining_Ley de corte optima Malomyr"/>
        <s v="AuraMinerals_Expansión Mina Paiol OP-UG"/>
        <s v="AuraMinerals_Proyecto Paiol PFS UG"/>
        <s v="Banco Santander_Yauricocha y Bolivar"/>
        <s v="Barrick_Production at Risk Veladero"/>
        <s v="BHP_Análisis LoA 2025 - SCUT"/>
        <s v="BHP_Medidas de Cierre Botaderos"/>
        <s v="BHP_Plan e Iniciativas LoA25-26"/>
        <s v="BHP_Spence 2YB Analisys"/>
        <s v="BHP_Tunel Exploratorio"/>
        <s v="Boston_Inmaculada Hochschild"/>
        <s v="Boston_Inmaculada Hochschild II"/>
        <s v="Candelaria (Estandar y Planificacion)"/>
        <s v="Capstone Copper_Estimacion confiabilidad de planes"/>
        <s v="Capstone Copper_Estudio Sierra Norte"/>
        <s v="Capstone Copper_Production at Risk"/>
        <s v="CBMM_SIMPLAN Initiatives Evaluation"/>
        <s v="CMC_Capacitación DBS y SIMPLAN"/>
        <s v="CMP - FEL 2A"/>
        <s v="CMP Estandar Planificación"/>
        <s v="CMP_Actualización Casos de Negocios CNN"/>
        <s v="CMP_CNN Update plan LOM"/>
        <s v="CMP_Estrategia Crecimiento Tofo Norte"/>
        <s v="CMP_LOM CNN 2024"/>
        <s v="CMP_LOM MLC 2024"/>
        <s v="CMP_Los Colorados Adelantamiento Planta"/>
        <s v="CMP_Mejoras Operacionales CNN"/>
        <s v="CMP_Nuevos alcances Algarrobo"/>
        <s v="CMP_Plan minero base MLC"/>
        <s v="CMP_Puesta en marcha SLS Romeral"/>
        <s v="CMP_Romeral Estabilización + UG PFS"/>
        <s v="Codelco_Actualización norma NCC-31"/>
        <s v="Codelco_Auditoria Recursos y Reservas"/>
        <s v="Codelco_Capacitacion Deswik DET"/>
        <s v="Codelco_Cluster Toki"/>
        <s v="Codelco_DET Rajo Sur"/>
        <s v="Codelco_Drenaje QT"/>
        <s v="Codelco_Estándar cierre topográfico"/>
        <s v="Codelco_Falla Oeste"/>
        <s v="Codelco_Formulación caso de negocio TBM"/>
        <s v="Codelco_Opciones vaciado mineral via OP"/>
        <s v="Codelco_Panel Central"/>
        <s v="Codelco_Prácticas de Planificación DMH"/>
        <s v="Collahuasi_Análisis Mine Compliance"/>
        <s v="Collahuasi_Mine Compliance 2026"/>
        <s v="Collahuasi_Mining Simulation Study"/>
        <s v="Collahuasi_Valor Incorporación Chx.03"/>
        <s v="Compilación de  R&amp;R"/>
        <s v="CORFO_Valorización Boquerón Chañar"/>
        <s v="Coripuno_Metodos de Minado"/>
        <s v="CSH_LOM Mina Guarello"/>
        <s v="Cuellos de botella del Plan 2YB - Spence"/>
        <s v="Desarrollo casos LOM UM Raura"/>
        <s v="Desarrollo del Plan de Minado"/>
        <s v="Desarrollo plan LOM en Reservas"/>
        <s v="Diagnóstico Operacional Candelaria"/>
        <s v="ElBrocal_Estudio Geomecanico Estabilidad"/>
        <s v="Emincar_Los Castellanos_UG"/>
        <s v="EMX_Due Diligence de Chapi"/>
        <s v="EMX_Metallurgical expert for review"/>
        <s v="EQUINOX_Actualización Ing. Básica UG"/>
        <s v="ERG_Parámetros estabilidad taludes"/>
        <s v="EroCopper_Scoping Proyecto Furnas"/>
        <s v="EroCopper_Surubim OP Mine"/>
        <s v="Estrategia Cobre Panama"/>
        <s v="Estudio con Faja Transportadora"/>
        <s v="Euclidea Consulting "/>
        <s v="Eurochem_Himmelfarb Deposit"/>
        <s v="FN_Oko West project review"/>
        <s v="Freeport_GBC Restart Strategy Services"/>
        <s v="Glencore_Coroccohuayco_OptimizacionLOM"/>
        <s v="Glencore_Estrategia de Propiedades CMLB"/>
        <s v="Glencore_MineHaul y MinePlan Lomas Bayas"/>
        <s v="Glencore_Mining Simulation Mara"/>
        <s v="Hecla_Lucky Friday Mine"/>
        <s v="Highlander_Diagnóstico Geomecánico"/>
        <s v="Hochschild_FS Metodos de Minado Tesoro"/>
        <s v="Hochschild_LOM UG Royropata"/>
        <s v="Hudbay_Actualización Riesgo Sísmico"/>
        <s v="Hudbay_Ampliacion Peligro Sísmico"/>
        <s v="ITS Yauricocha"/>
        <s v="IvanhoeElectric_Mine Planning Support"/>
        <s v="IvanhoeElectric_Santa-Cruz_PrePFS"/>
        <s v="J&amp;F_Autazes Due Diligence"/>
        <s v="J&amp;F_Urucrum_RecuperacionPilares"/>
        <s v="LasBambas_Ferrobamba PFS"/>
        <s v="LasBambas_Ferrobamba_OP_UG"/>
        <s v="LasBambas_Ferrobambas UG Escenarios"/>
        <s v="LHG_LOM Urucum"/>
        <s v="LOM CNN 2023"/>
        <s v="LOM MLC 2023"/>
        <s v="Lomas Bayas - LoA24"/>
        <s v="Los Calatos_DD-Support"/>
        <s v="Los Calatos_Resource Development Plan"/>
        <s v="Lundin_Análisis Estratégico Caserones"/>
        <s v="Lundin_Candelaria_EstudiosCugep"/>
        <s v="Lundin_Gaps Planificación y Operación UG"/>
        <s v="Lundin_Oportunidades mejoras Caserones"/>
        <s v="MARA - Simulación Sistema Manejo Estéril"/>
        <s v="Marcobre - Minajusta"/>
        <s v="Marcobre_Ingeniería de Perfil Achupallas"/>
        <s v="McCarthy_Litigio Rio Tinto"/>
        <s v="MCI_Mine Plan Review Los Bronces"/>
        <s v="MEIA Coripuno"/>
        <s v="MEL"/>
        <s v="MineriaIman_PEA Proyecto Iman"/>
        <s v="Minsur_Apoyo MEIA Raura"/>
        <s v="Minsur_Apoyo Planificacion San Rafael"/>
        <s v="Minsur_Evaluacion recursos marginales"/>
        <s v="Minsur_Factibilidad Infraestructura Coreshack"/>
        <s v="Minsur_Forecast_Budget24"/>
        <s v="Minsur_Integracion Planeamiento Geomecanica"/>
        <s v="Minsur_LOM Integrado San Rafael 2025"/>
        <s v="Minsur_LOM Integrado San Rafael 2026"/>
        <s v="Minsur_LOM San Rafael 2025"/>
        <s v="Minsur_Mejoramiento datos geotecnicos SR"/>
        <s v="Minsur_Ore Sorting Raura"/>
        <s v="Minsur_Proceso adherencia Quenamari - SR "/>
        <s v="Minsur_Rampa de acceso San German"/>
        <s v="Minsur_Raura Análisis LOM25"/>
        <s v="Minsur_San Rafael Estudio V MEIA"/>
        <s v="Minsur_Soporte LOM 2025 Raura"/>
        <s v="Minsur_Update LOM San Rafael"/>
        <s v="Miskimayo_Actualizacion R&amp;R Mina Bayovar"/>
        <s v="Miskimayo_Evaluación Transporte en Mina"/>
        <s v="MiskiMayo_LOM"/>
        <s v="Mosaic_Actualizacion geotecnica OP"/>
        <s v="Mosaic_Análisis de Estabilidad"/>
        <s v="Mosaic_Cajati"/>
        <s v="Mosaic_Cajati Business Case"/>
        <s v="Mosaic_Cajati LOM Open Pit"/>
        <s v="Mosaic_Secuencia Operaciones Cajati"/>
        <s v="Mosaic_Taquari Vassouras"/>
        <s v="Mosaic_Taquari Vassouras Fase II"/>
        <s v="Mosaic_Taquari Vassouras Fase II CP"/>
        <s v="NEXA_Estudio Geomecánico AT y EP"/>
        <s v="NEXA_FEL2 Aripuana"/>
        <s v="NEXA_Peer Review Cerro Lindo"/>
        <s v="NorGold"/>
        <s v="NORILSK1-FS"/>
        <s v="OCP_Análisis Estratégico Mina Cobriza"/>
        <s v="OKT-NFM-FS"/>
        <s v="Pelambres"/>
        <s v="PFS Los Calatos"/>
        <s v="PFS Los Calatos V3"/>
        <s v="Pilares Mineros - Candelaria"/>
        <s v="Planificación Minera Subterránea"/>
        <s v="Polyus_Evaluacion talud mina Blagodatny"/>
        <s v="Polyus_Olimpiada Cutback 5&amp;6"/>
        <s v="PUCOBRE_Acompañamiento Reservas Tovaku"/>
        <s v="Raura Operativo"/>
        <s v="RDP"/>
        <s v="Resolution_General Review"/>
        <s v="Resolution_MinePlan Review"/>
        <s v="Resolution_UGC 68L Program"/>
        <s v="Romeral"/>
        <s v="San Rafael Contrato Marco"/>
        <s v="San Rafael Gestión Operativa"/>
        <s v="San Rafael: Gestión del Corto Plazo"/>
        <s v="SeabridgeGold_HoV analysis for the KSM"/>
        <s v="Seligdar_Kyuchus"/>
        <s v="Sierra Metals_Plan de Minado MEIA"/>
        <s v="SierraMetals_Update MEIA Yauricocha"/>
        <s v="South32_Clark Project"/>
        <s v="Spence_Confiabilidad Plan 2YB 2025"/>
        <s v="SPM_FS Labores Subterraneas 2da MEIA"/>
        <s v="Stantec_I80 Archimedes UG FS"/>
        <s v="Taboca_Evaluación Mina Pitinga"/>
        <s v="The Boston Consulting Group"/>
        <s v="ThreeCrowns_Litigio Oyu Tolgoi"/>
        <s v="Twin Metals_Pre PFS Birch Lake Maturi"/>
        <s v="TwinMetals_Birch Lake Integration"/>
        <s v="Volcan_Estudio Estabilidad Desmonteras"/>
        <s v="Retenciones LOM Los Colorados"/>
        <s v="Retenciones FEL 2A y Otros"/>
        <s v="Retenciones AARR"/>
        <n v="0" u="1"/>
      </sharedItems>
    </cacheField>
    <cacheField name="Proyecto" numFmtId="0">
      <sharedItems/>
    </cacheField>
    <cacheField name="Cliente" numFmtId="0">
      <sharedItems/>
    </cacheField>
    <cacheField name="País" numFmtId="0">
      <sharedItems count="8">
        <s v="USA"/>
        <s v="Perú"/>
        <s v="Chile"/>
        <s v="Rusia"/>
        <s v="Brasil"/>
        <s v="BVI"/>
        <s v="Canadá"/>
        <s v="Otros" u="1"/>
      </sharedItems>
    </cacheField>
    <cacheField name="Año" numFmtId="0">
      <sharedItems containsSemiMixedTypes="0" containsString="0" containsNumber="1" containsInteger="1" minValue="2022" maxValue="2026"/>
    </cacheField>
    <cacheField name="Proyección" numFmtId="0">
      <sharedItems containsSemiMixedTypes="0" containsString="0" containsNumber="1" containsInteger="1" minValue="-1" maxValue="1"/>
    </cacheField>
    <cacheField name="Fecha Proyeccion" numFmtId="0">
      <sharedItems containsNonDate="0" containsDate="1" containsString="0" containsBlank="1" minDate="2023-09-01T00:00:00" maxDate="2026-03-02T00:00:00"/>
    </cacheField>
    <cacheField name="Proyectado USD" numFmtId="0">
      <sharedItems containsString="0" containsBlank="1" containsNumber="1" minValue="0" maxValue="1217640"/>
    </cacheField>
    <cacheField name="Emisión" numFmtId="0">
      <sharedItems containsSemiMixedTypes="0" containsString="0" containsNumber="1" containsInteger="1" minValue="-1" maxValue="1"/>
    </cacheField>
    <cacheField name="Fecha Emisión" numFmtId="15">
      <sharedItems containsNonDate="0" containsDate="1" containsString="0" containsBlank="1" minDate="2022-11-21T00:00:00" maxDate="2026-05-31T00:00:00" count="211">
        <d v="2025-08-29T00:00:00"/>
        <d v="2023-09-25T00:00:00"/>
        <d v="2022-12-21T00:00:00"/>
        <d v="2023-02-21T00:00:00"/>
        <d v="2023-03-21T00:00:00"/>
        <d v="2023-04-21T00:00:00"/>
        <d v="2023-05-21T00:00:00"/>
        <d v="2023-06-21T00:00:00"/>
        <d v="2023-07-27T00:00:00"/>
        <d v="2023-10-23T00:00:00"/>
        <d v="2026-03-30T00:00:00"/>
        <d v="2023-01-21T00:00:00"/>
        <d v="2023-11-20T00:00:00"/>
        <d v="2023-12-21T00:00:00"/>
        <d v="2024-02-25T00:00:00"/>
        <d v="2024-04-25T00:00:00"/>
        <d v="2024-09-27T00:00:00"/>
        <d v="2025-09-30T00:00:00"/>
        <d v="2025-07-25T00:00:00"/>
        <d v="2025-10-24T00:00:00"/>
        <d v="2025-11-25T00:00:00"/>
        <d v="2025-12-24T00:00:00"/>
        <d v="2026-01-26T00:00:00"/>
        <d v="2026-02-27T00:00:00"/>
        <d v="2024-03-25T00:00:00"/>
        <d v="2024-05-28T00:00:00"/>
        <d v="2024-06-26T00:00:00"/>
        <d v="2024-07-25T00:00:00"/>
        <d v="2024-08-29T00:00:00"/>
        <d v="2024-09-30T00:00:00"/>
        <d v="2024-11-29T00:00:00"/>
        <d v="2024-12-26T00:00:00"/>
        <d v="2025-01-30T00:00:00"/>
        <d v="2025-02-25T00:00:00"/>
        <d v="2025-03-31T00:00:00"/>
        <d v="2025-04-29T00:00:00"/>
        <d v="2025-10-30T00:00:00"/>
        <d v="2026-02-02T00:00:00"/>
        <d v="2023-12-28T00:00:00"/>
        <d v="2025-12-23T00:00:00"/>
        <d v="2026-02-04T00:00:00"/>
        <d v="2025-02-20T00:00:00"/>
        <d v="2025-03-06T00:00:00"/>
        <d v="2025-09-25T00:00:00"/>
        <d v="2025-03-20T00:00:00"/>
        <d v="2025-04-20T00:00:00"/>
        <d v="2025-05-20T00:00:00"/>
        <d v="2025-06-20T00:00:00"/>
        <d v="2025-07-20T00:00:00"/>
        <d v="2025-08-20T00:00:00"/>
        <d v="2025-09-23T00:00:00"/>
        <d v="2026-03-26T00:00:00"/>
        <d v="2025-01-21T00:00:00"/>
        <d v="2025-02-21T00:00:00"/>
        <d v="2025-03-21T00:00:00"/>
        <d v="2025-04-21T00:00:00"/>
        <d v="2025-05-21T00:00:00"/>
        <d v="2025-06-21T00:00:00"/>
        <d v="2025-07-21T00:00:00"/>
        <d v="2025-09-15T00:00:00"/>
        <d v="2025-10-15T00:00:00"/>
        <d v="2025-11-15T00:00:00"/>
        <d v="2025-12-15T00:00:00"/>
        <d v="2026-01-20T00:00:00"/>
        <d v="2026-02-16T00:00:00"/>
        <d v="2026-03-16T00:00:00"/>
        <d v="2026-05-05T00:00:00"/>
        <d v="2024-06-24T00:00:00"/>
        <d v="2026-04-24T00:00:00"/>
        <d v="2026-05-25T00:00:00"/>
        <d v="2025-04-09T00:00:00"/>
        <d v="2025-05-30T00:00:00"/>
        <d v="2025-01-23T00:00:00"/>
        <d v="2025-02-15T00:00:00"/>
        <d v="2025-03-24T00:00:00"/>
        <d v="2025-04-24T00:00:00"/>
        <d v="2025-05-26T00:00:00"/>
        <d v="2025-06-26T00:00:00"/>
        <d v="2025-07-26T00:00:00"/>
        <d v="2024-08-28T00:00:00"/>
        <d v="2024-09-26T00:00:00"/>
        <d v="2024-10-24T00:00:00"/>
        <d v="2024-05-29T00:00:00"/>
        <d v="2025-08-25T00:00:00"/>
        <d v="2024-03-07T00:00:00"/>
        <d v="2023-03-24T00:00:00"/>
        <d v="2023-07-25T00:00:00"/>
        <d v="2024-08-26T00:00:00"/>
        <d v="2024-11-26T00:00:00"/>
        <d v="2024-11-23T00:00:00"/>
        <d v="2024-12-23T00:00:00"/>
        <d v="2025-01-28T00:00:00"/>
        <d v="2025-10-25T00:00:00"/>
        <m/>
        <d v="2022-11-21T00:00:00"/>
        <d v="2023-08-25T00:00:00"/>
        <d v="2024-01-25T00:00:00"/>
        <d v="2024-06-25T00:00:00"/>
        <d v="2025-06-25T00:00:00"/>
        <d v="2024-08-27T00:00:00"/>
        <d v="2024-09-25T00:00:00"/>
        <d v="2024-10-23T00:00:00"/>
        <d v="2025-01-24T00:00:00"/>
        <d v="2025-03-25T00:00:00"/>
        <d v="2025-07-31T00:00:00"/>
        <d v="2024-11-24T00:00:00"/>
        <d v="2025-01-03T00:00:00"/>
        <d v="2025-11-05T00:00:00"/>
        <d v="2026-02-25T00:00:00"/>
        <d v="2026-04-30T00:00:00"/>
        <d v="2026-05-29T00:00:00"/>
        <d v="2024-01-31T00:00:00"/>
        <d v="2026-02-24T00:00:00"/>
        <d v="2026-02-11T00:00:00"/>
        <d v="2025-12-21T00:00:00"/>
        <d v="2024-07-08T00:00:00"/>
        <d v="2024-08-20T00:00:00"/>
        <d v="2024-06-10T00:00:00"/>
        <d v="2026-05-30T00:00:00"/>
        <d v="2025-07-14T00:00:00"/>
        <d v="2025-08-19T00:00:00"/>
        <d v="2025-09-12T00:00:00"/>
        <d v="2026-01-19T00:00:00"/>
        <d v="2026-05-15T00:00:00"/>
        <d v="2024-09-06T00:00:00"/>
        <d v="2024-12-25T00:00:00"/>
        <d v="2024-04-18T00:00:00"/>
        <d v="2024-05-18T00:00:00"/>
        <d v="2025-11-23T00:00:00"/>
        <d v="2025-12-17T00:00:00"/>
        <d v="2024-08-23T00:00:00"/>
        <d v="2026-01-30T00:00:00"/>
        <d v="2025-05-27T00:00:00"/>
        <d v="2024-08-30T00:00:00"/>
        <d v="2024-10-31T00:00:00"/>
        <d v="2023-12-29T00:00:00"/>
        <d v="2024-01-29T00:00:00"/>
        <d v="2024-02-29T00:00:00"/>
        <d v="2024-05-23T00:00:00"/>
        <d v="2024-10-15T00:00:00"/>
        <d v="2024-06-13T00:00:00"/>
        <d v="2024-06-16T00:00:00"/>
        <d v="2024-08-19T00:00:00"/>
        <d v="2024-09-17T00:00:00"/>
        <d v="2024-11-19T00:00:00"/>
        <d v="2025-03-27T00:00:00"/>
        <d v="2025-08-18T00:00:00"/>
        <d v="2025-12-19T00:00:00"/>
        <d v="2023-11-27T00:00:00"/>
        <d v="2024-04-24T00:00:00"/>
        <d v="2025-01-25T00:00:00"/>
        <d v="2025-05-28T00:00:00"/>
        <d v="2025-06-28T00:00:00"/>
        <d v="2023-03-23T00:00:00"/>
        <d v="2023-07-21T00:00:00"/>
        <d v="2025-06-30T00:00:00"/>
        <d v="2024-12-31T00:00:00"/>
        <d v="2023-07-01T00:00:00"/>
        <d v="2024-10-20T00:00:00"/>
        <d v="2024-11-20T00:00:00"/>
        <d v="2024-12-20T00:00:00"/>
        <d v="2025-05-05T00:00:00"/>
        <d v="2024-06-28T00:00:00"/>
        <d v="2024-06-27T00:00:00"/>
        <d v="2023-06-01T00:00:00"/>
        <d v="2023-12-22T00:00:00"/>
        <d v="2024-07-14T00:00:00"/>
        <d v="2025-03-26T00:00:00"/>
        <d v="2025-06-15T00:00:00"/>
        <d v="2024-02-28T00:00:00"/>
        <d v="2026-05-20T00:00:00"/>
        <d v="2025-12-25T00:00:00"/>
        <d v="2026-02-17T00:00:00"/>
        <d v="2023-12-15T00:00:00"/>
        <d v="2023-12-31T00:00:00"/>
        <d v="2024-03-20T00:00:00"/>
        <d v="2024-04-20T00:00:00"/>
        <d v="2024-10-11T00:00:00"/>
        <d v="2026-04-15T00:00:00"/>
        <d v="2023-07-14T00:00:00"/>
        <d v="2024-01-20T00:00:00"/>
        <d v="2024-02-20T00:00:00"/>
        <d v="2025-07-15T00:00:00"/>
        <d v="2024-11-15T00:00:00"/>
        <d v="2024-12-15T00:00:00"/>
        <d v="2025-04-30T00:00:00"/>
        <d v="2025-09-20T00:00:00"/>
        <d v="2025-12-31T00:00:00"/>
        <d v="2023-08-21T00:00:00"/>
        <d v="2023-11-23T00:00:00"/>
        <d v="2024-04-23T00:00:00"/>
        <d v="2025-02-24T00:00:00"/>
        <d v="2025-04-26T00:00:00"/>
        <d v="2025-10-31T00:00:00"/>
        <d v="2025-11-10T00:00:00"/>
        <d v="2025-12-22T00:00:00"/>
        <d v="2026-01-27T00:00:00"/>
        <d v="2025-01-27T00:00:00"/>
        <d v="2025-05-23T00:00:00"/>
        <d v="2023-08-31T00:00:00"/>
        <d v="2026-03-24T00:00:00"/>
        <d v="2024-02-05T00:00:00"/>
        <d v="2025-12-18T00:00:00"/>
        <d v="2025-07-17T00:00:00"/>
        <d v="2025-09-29T00:00:00"/>
        <d v="2024-11-18T00:00:00"/>
        <d v="2025-08-31T00:00:00"/>
        <d v="2025-04-03T00:00:00"/>
        <d v="2024-07-12T00:00:00"/>
        <d v="2025-11-19T00:00:00"/>
        <d v="2025-10-10T00:00:00"/>
      </sharedItems>
      <fieldGroup par="30"/>
    </cacheField>
    <cacheField name="N°EDP" numFmtId="0">
      <sharedItems containsMixedTypes="1" containsNumber="1" containsInteger="1" minValue="0" maxValue="26" count="28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s v="s/EDP"/>
        <n v="18"/>
        <n v="19"/>
        <n v="20"/>
        <n v="21"/>
        <n v="22"/>
        <n v="23"/>
        <n v="24"/>
        <n v="25"/>
        <n v="26"/>
        <n v="0" u="1"/>
      </sharedItems>
    </cacheField>
    <cacheField name="Emitido USD" numFmtId="41">
      <sharedItems containsString="0" containsBlank="1" containsNumber="1" minValue="0" maxValue="453390.59"/>
    </cacheField>
    <cacheField name="N° Factura" numFmtId="0">
      <sharedItems containsMixedTypes="1" containsNumber="1" containsInteger="1" minValue="1" maxValue="508" count="503">
        <s v="s/F"/>
        <s v="E001-206"/>
        <n v="42"/>
        <n v="47"/>
        <n v="54"/>
        <n v="59"/>
        <n v="74"/>
        <n v="76"/>
        <n v="88"/>
        <n v="98"/>
        <n v="120"/>
        <n v="123"/>
        <s v="E001-177"/>
        <s v="E001-207"/>
        <s v="E001-200"/>
        <s v="E001-376"/>
        <n v="39"/>
        <n v="46"/>
        <n v="57"/>
        <n v="63"/>
        <n v="67"/>
        <n v="77"/>
        <n v="126"/>
        <n v="129"/>
        <n v="136"/>
        <n v="180"/>
        <n v="198"/>
        <n v="233"/>
        <s v="E001-336"/>
        <s v="E001-343"/>
        <s v="E001-344"/>
        <s v="E001-345"/>
        <s v="E001-346"/>
        <s v="E001-357"/>
        <s v="E001-358"/>
        <s v="E001-359"/>
        <s v="Pendiente"/>
        <n v="178"/>
        <n v="185"/>
        <n v="196"/>
        <n v="199"/>
        <n v="207"/>
        <n v="220"/>
        <n v="222"/>
        <n v="244"/>
        <n v="260"/>
        <n v="262"/>
        <n v="280"/>
        <n v="294"/>
        <n v="295"/>
        <n v="183"/>
        <n v="200"/>
        <n v="210"/>
        <n v="225"/>
        <n v="378"/>
        <n v="384"/>
        <n v="115"/>
        <n v="122"/>
        <n v="128"/>
        <n v="132"/>
        <n v="133"/>
        <n v="377"/>
        <n v="388"/>
        <n v="266"/>
        <n v="283"/>
        <n v="284"/>
        <n v="315"/>
        <n v="370"/>
        <n v="371"/>
        <n v="372"/>
        <n v="320"/>
        <s v="No procede"/>
        <n v="60"/>
        <n v="62"/>
        <n v="66"/>
        <n v="68"/>
        <n v="83"/>
        <n v="91"/>
        <n v="110"/>
        <n v="116"/>
        <n v="119"/>
        <n v="4"/>
        <n v="7"/>
        <n v="12"/>
        <n v="16"/>
        <n v="275"/>
        <n v="303"/>
        <n v="312"/>
        <n v="273"/>
        <n v="274"/>
        <n v="292"/>
        <n v="307"/>
        <n v="318"/>
        <n v="323"/>
        <n v="338"/>
        <n v="356"/>
        <n v="358"/>
        <n v="212"/>
        <n v="224"/>
        <n v="239"/>
        <n v="278"/>
        <n v="293"/>
        <n v="296"/>
        <n v="310"/>
        <n v="316"/>
        <n v="330"/>
        <n v="339"/>
        <n v="174"/>
        <n v="1"/>
        <n v="69"/>
        <n v="84"/>
        <n v="85"/>
        <n v="114"/>
        <n v="204"/>
        <n v="217"/>
        <n v="235"/>
        <n v="236"/>
        <n v="247"/>
        <n v="248"/>
        <n v="298"/>
        <n v="299"/>
        <s v="341 / 342"/>
        <s v="349 / 350"/>
        <n v="366"/>
        <n v="365"/>
        <n v="97"/>
        <n v="109"/>
        <n v="112"/>
        <s v="E001-280"/>
        <s v="E001-286"/>
        <n v="494"/>
        <n v="40"/>
        <n v="45"/>
        <n v="56"/>
        <n v="61"/>
        <n v="79"/>
        <n v="89"/>
        <n v="101"/>
        <n v="102"/>
        <n v="113"/>
        <n v="125"/>
        <n v="127"/>
        <n v="137"/>
        <n v="160"/>
        <n v="173"/>
        <n v="177"/>
        <n v="187"/>
        <n v="189"/>
        <n v="195"/>
        <n v="506"/>
        <n v="44"/>
        <n v="51"/>
        <n v="65"/>
        <n v="73"/>
        <n v="93"/>
        <n v="317"/>
        <n v="352"/>
        <n v="203"/>
        <n v="211"/>
        <n v="223"/>
        <n v="234"/>
        <n v="243"/>
        <n v="265"/>
        <n v="301"/>
        <n v="209"/>
        <n v="261"/>
        <n v="251"/>
        <n v="263"/>
        <n v="277"/>
        <n v="289"/>
        <n v="314"/>
        <n v="306"/>
        <n v="313"/>
        <n v="346"/>
        <n v="208"/>
        <n v="214"/>
        <n v="228"/>
        <n v="237"/>
        <n v="245"/>
        <n v="252"/>
        <n v="309"/>
        <n v="308"/>
        <n v="264"/>
        <n v="279"/>
        <n v="359"/>
        <n v="163"/>
        <n v="169"/>
        <n v="176"/>
        <n v="182"/>
        <n v="192"/>
        <n v="231"/>
        <n v="230"/>
        <n v="255"/>
        <n v="333"/>
        <n v="337"/>
        <n v="392"/>
        <s v="Aprobado"/>
        <n v="168"/>
        <n v="175"/>
        <n v="218"/>
        <n v="146"/>
        <n v="147"/>
        <n v="162"/>
        <n v="158"/>
        <n v="170"/>
        <n v="197"/>
        <n v="256"/>
        <n v="257"/>
        <n v="336"/>
        <n v="164"/>
        <n v="165"/>
        <n v="150"/>
        <n v="381"/>
        <n v="395"/>
        <n v="241"/>
        <n v="242"/>
        <n v="311"/>
        <n v="151"/>
        <n v="166"/>
        <n v="167"/>
        <n v="254"/>
        <n v="355"/>
        <n v="367"/>
        <n v="382"/>
        <n v="383"/>
        <n v="391"/>
        <n v="390"/>
        <n v="394"/>
        <n v="389"/>
        <n v="396"/>
        <s v="E001-181"/>
        <s v="E001-187"/>
        <s v="E001-194"/>
        <s v="E001-182"/>
        <s v="E001-197"/>
        <n v="374"/>
        <n v="375"/>
        <s v="E001-260"/>
        <n v="157"/>
        <n v="171"/>
        <n v="172"/>
        <n v="179"/>
        <n v="181"/>
        <n v="216"/>
        <n v="52"/>
        <s v="E001-174"/>
        <s v="E001-188"/>
        <s v="E001-215"/>
        <s v="E001-184"/>
        <s v="E001-183"/>
        <n v="80"/>
        <n v="107"/>
        <n v="108"/>
        <n v="111"/>
        <s v="E001-355"/>
        <s v="E001-365/366"/>
        <s v="E001-372/373"/>
        <s v="E001-379/382"/>
        <s v="E001-363"/>
        <s v="E001-371"/>
        <s v="E001-380/381"/>
        <s v="3_4"/>
        <n v="104"/>
        <n v="118"/>
        <n v="5"/>
        <n v="78"/>
        <n v="100"/>
        <n v="117"/>
        <n v="3"/>
        <n v="6"/>
        <n v="9"/>
        <s v="E001-173"/>
        <s v="E001-179"/>
        <s v="E001-240"/>
        <s v="E001-241"/>
        <s v="E001-262"/>
        <n v="361"/>
        <n v="373"/>
        <n v="215"/>
        <s v="E001-375"/>
        <s v="E001-377"/>
        <s v="E001-374"/>
        <s v="E001-313"/>
        <s v="E001-390"/>
        <s v="E001-178"/>
        <n v="10"/>
        <n v="11"/>
        <n v="13"/>
        <n v="2"/>
        <n v="8"/>
        <n v="43"/>
        <n v="50"/>
        <s v="E001-307"/>
        <s v="E001-324"/>
        <s v="E001-332"/>
        <s v="E001-341"/>
        <s v="E001-349"/>
        <s v="E001-216"/>
        <s v="E001-223"/>
        <s v="E001-227"/>
        <s v="E001-230"/>
        <s v="E001-238"/>
        <s v="E001-244"/>
        <s v="E001-245"/>
        <s v="E001-246"/>
        <s v="E001-254"/>
        <s v="E001-250"/>
        <s v="E001-251"/>
        <s v="E001-255"/>
        <s v="E001-256"/>
        <s v="E001-297 "/>
        <s v="E001-298"/>
        <s v="E001-306"/>
        <s v="E001-314"/>
        <s v="E001-315"/>
        <s v="E001-320"/>
        <s v="E001-328"/>
        <s v="E001-327"/>
        <n v="94"/>
        <n v="131"/>
        <s v="E001-368"/>
        <s v="E001-367"/>
        <n v="329"/>
        <n v="331"/>
        <n v="340"/>
        <n v="351"/>
        <n v="360"/>
        <n v="376"/>
        <n v="186"/>
        <n v="205"/>
        <n v="226"/>
        <n v="253"/>
        <n v="232"/>
        <n v="240"/>
        <n v="276"/>
        <s v="E001-189"/>
        <s v="E001-193"/>
        <s v="E001-199"/>
        <s v="E001-204"/>
        <s v="E001-275"/>
        <s v="E001-279"/>
        <s v="E001-282"/>
        <s v="E001-291"/>
        <s v="E001-299"/>
        <s v="E001-311"/>
        <n v="194"/>
        <n v="219"/>
        <n v="227"/>
        <n v="269"/>
        <s v="E001-267"/>
        <s v="E001-274"/>
        <n v="507"/>
        <n v="48"/>
        <n v="49"/>
        <n v="81"/>
        <n v="393"/>
        <s v="E001-242"/>
        <s v="E001-263"/>
        <s v="E001-265"/>
        <s v="E001-271"/>
        <s v="E001-277"/>
        <s v="E001-281"/>
        <s v="E001-288"/>
        <s v="E001-329"/>
        <s v="E001-225"/>
        <s v="E001-249"/>
        <s v="E001-352"/>
        <s v="E001-261"/>
        <s v="E001-266"/>
        <s v="E001-259"/>
        <s v="E001-220"/>
        <s v="E001-273"/>
        <s v="E001-302"/>
        <s v="E001-312"/>
        <s v="E001-321"/>
        <s v="E001-330"/>
        <s v="E001-333"/>
        <s v="E001-232"/>
        <s v="E001-347"/>
        <s v="E001-353"/>
        <s v="E001-356"/>
        <s v="E001-385"/>
        <s v="E001-218"/>
        <s v="E001-226"/>
        <s v="E001-228"/>
        <s v=" E001-231 "/>
        <s v=" E001-234"/>
        <s v="E001-236"/>
        <n v="53"/>
        <s v="14 / 15"/>
        <n v="17"/>
        <n v="14"/>
        <n v="19"/>
        <n v="23"/>
        <n v="25"/>
        <n v="33"/>
        <n v="34"/>
        <n v="35"/>
        <n v="31"/>
        <n v="32"/>
        <n v="36"/>
        <n v="37"/>
        <n v="41"/>
        <n v="70"/>
        <n v="71"/>
        <n v="75"/>
        <n v="87"/>
        <n v="18"/>
        <n v="58"/>
        <n v="64"/>
        <n v="20"/>
        <n v="21"/>
        <n v="27"/>
        <n v="28"/>
        <n v="38"/>
        <n v="55"/>
        <n v="72"/>
        <n v="86"/>
        <n v="92"/>
        <s v="E001-350"/>
        <s v="E001-369"/>
        <n v="15"/>
        <n v="22"/>
        <n v="26"/>
        <s v="E001-337"/>
        <s v="E001-294"/>
        <s v="E001-303"/>
        <s v="E001-317"/>
        <s v="E001-318"/>
        <s v="E001-323"/>
        <n v="82"/>
        <n v="90"/>
        <s v="E001-208"/>
        <s v="E001-222"/>
        <s v="E001-224"/>
        <s v="E001-229"/>
        <s v=" E001-235"/>
        <s v="E001-237"/>
        <s v="E001-243"/>
        <s v="E001-252"/>
        <s v="E001-253"/>
        <s v="E001-268"/>
        <s v="E001-276"/>
        <s v="E001-278"/>
        <s v="E001-284"/>
        <s v="E001-287"/>
        <s v="E001-289"/>
        <s v="E001-292"/>
        <s v="E001-295"/>
        <s v="E001-305"/>
        <s v="E001-310"/>
        <s v="E001-319"/>
        <s v="E001-325"/>
        <s v="E001-331"/>
        <s v="E001-339"/>
        <n v="103"/>
        <n v="105"/>
        <n v="106"/>
        <n v="504"/>
        <n v="508"/>
        <n v="348"/>
        <s v="E001-170"/>
        <s v="E001-171"/>
        <s v="E001-176"/>
        <s v="E001-180"/>
        <s v="E001-196"/>
        <n v="121"/>
        <n v="99"/>
        <n v="124"/>
        <n v="155"/>
        <n v="161"/>
        <s v="E001-186"/>
        <s v="E001-185"/>
        <s v="E001-192"/>
        <s v="E001-201"/>
        <s v="E001-203"/>
        <s v="E001-205"/>
        <s v="E001-217"/>
        <s v="E001-221"/>
        <s v="E001-219"/>
        <s v="E001-239"/>
        <s v="E001-264"/>
        <s v="E001-270"/>
        <s v="E001-283"/>
        <n v="188"/>
        <s v="E001-342"/>
        <s v="E001-348"/>
        <s v="E001-351"/>
        <s v="E001-389"/>
        <n v="345"/>
        <s v="E001-334"/>
        <s v="E001-335"/>
        <n v="386" u="1"/>
        <n v="387" u="1"/>
        <n v="385" u="1"/>
        <n v="379" u="1"/>
        <n v="268" u="1"/>
        <n v="282" u="1"/>
        <n v="287" u="1"/>
        <n v="305" u="1"/>
        <n v="319" u="1"/>
        <n v="328" u="1"/>
        <n v="335" u="1"/>
      </sharedItems>
    </cacheField>
    <cacheField name="Fecha Facturación" numFmtId="15">
      <sharedItems containsNonDate="0" containsDate="1" containsString="0" containsBlank="1" minDate="2022-12-06T00:00:00" maxDate="2026-06-05T00:00:00" count="403">
        <d v="2025-08-29T00:00:00"/>
        <d v="2023-10-23T00:00:00"/>
        <d v="2023-01-10T00:00:00"/>
        <d v="2023-02-23T00:00:00"/>
        <d v="2023-03-07T00:00:00"/>
        <d v="2023-04-05T00:00:00"/>
        <d v="2023-05-31T00:00:00"/>
        <d v="2023-07-05T00:00:00"/>
        <d v="2023-08-04T00:00:00"/>
        <d v="2023-10-18T00:00:00"/>
        <d v="2023-11-07T00:00:00"/>
        <d v="2023-03-23T00:00:00"/>
        <d v="2023-10-24T00:00:00"/>
        <d v="2023-07-27T00:00:00"/>
        <d v="2026-04-20T00:00:00"/>
        <d v="2023-01-05T00:00:00"/>
        <d v="2023-02-07T00:00:00"/>
        <d v="2023-03-09T00:00:00"/>
        <d v="2023-04-14T00:00:00"/>
        <d v="2023-05-10T00:00:00"/>
        <d v="2023-06-01T00:00:00"/>
        <d v="2023-11-14T00:00:00"/>
        <d v="2023-12-07T00:00:00"/>
        <d v="2024-01-05T00:00:00"/>
        <d v="2024-04-26T00:00:00"/>
        <d v="2024-07-24T00:00:00"/>
        <d v="2024-11-08T00:00:00"/>
        <d v="2025-10-28T00:00:00"/>
        <d v="2025-11-17T00:00:00"/>
        <d v="2026-02-10T00:00:00"/>
        <d v="2026-02-11T00:00:00"/>
        <m/>
        <d v="2024-04-17T00:00:00"/>
        <d v="2024-05-16T00:00:00"/>
        <d v="2024-07-05T00:00:00"/>
        <d v="2024-08-01T00:00:00"/>
        <d v="2024-08-27T00:00:00"/>
        <d v="2024-10-10T00:00:00"/>
        <d v="2024-12-19T00:00:00"/>
        <d v="2025-01-27T00:00:00"/>
        <d v="2025-02-24T00:00:00"/>
        <d v="2025-03-21T00:00:00"/>
        <d v="2025-05-05T00:00:00"/>
        <d v="2024-05-15T00:00:00"/>
        <d v="2024-10-14T00:00:00"/>
        <d v="2026-01-06T00:00:00"/>
        <d v="2026-02-17T00:00:00"/>
        <d v="2023-10-06T00:00:00"/>
        <d v="2023-10-25T00:00:00"/>
        <d v="2023-12-05T00:00:00"/>
        <d v="2023-12-29T00:00:00"/>
        <d v="2026-01-05T00:00:00"/>
        <d v="2026-03-31T00:00:00"/>
        <d v="2025-04-02T00:00:00"/>
        <d v="2025-07-04T00:00:00"/>
        <d v="2025-12-03T00:00:00"/>
        <d v="2025-12-12T00:00:00"/>
        <d v="2025-07-09T00:00:00"/>
        <d v="2025-02-28T00:00:00"/>
        <d v="2025-03-28T00:00:00"/>
        <d v="2025-04-21T00:00:00"/>
        <d v="2025-05-27T00:00:00"/>
        <d v="2025-07-08T00:00:00"/>
        <d v="2025-08-04T00:00:00"/>
        <d v="2025-08-27T00:00:00"/>
        <d v="2026-03-26T00:00:00"/>
        <d v="2025-03-11T00:00:00"/>
        <d v="2025-03-24T00:00:00"/>
        <d v="2025-05-09T00:00:00"/>
        <d v="2025-07-14T00:00:00"/>
        <d v="2025-08-05T00:00:00"/>
        <d v="2025-09-05T00:00:00"/>
        <d v="2025-10-06T00:00:00"/>
        <d v="2025-11-13T00:00:00"/>
        <d v="2025-12-05T00:00:00"/>
        <d v="2025-12-23T00:00:00"/>
        <d v="2026-01-28T00:00:00"/>
        <d v="2026-02-23T00:00:00"/>
        <d v="2026-03-25T00:00:00"/>
        <d v="2026-05-08T00:00:00"/>
        <d v="2024-06-24T00:00:00"/>
        <d v="2025-03-12T00:00:00"/>
        <d v="2025-05-26T00:00:00"/>
        <d v="2025-06-09T00:00:00"/>
        <d v="2025-04-30T00:00:00"/>
        <d v="2025-05-28T00:00:00"/>
        <d v="2025-07-24T00:00:00"/>
        <d v="2025-09-08T00:00:00"/>
        <d v="2025-10-30T00:00:00"/>
        <d v="2024-09-11T00:00:00"/>
        <d v="2024-11-27T00:00:00"/>
        <d v="2025-03-20T00:00:00"/>
        <d v="2025-05-06T00:00:00"/>
        <d v="2025-06-04T00:00:00"/>
        <d v="2025-08-08T00:00:00"/>
        <d v="2024-03-21T00:00:00"/>
        <d v="2024-09-09T00:00:00"/>
        <d v="2023-05-15T00:00:00"/>
        <d v="2023-06-30T00:00:00"/>
        <d v="2023-10-05T00:00:00"/>
        <d v="2024-08-16T00:00:00"/>
        <d v="2024-09-24T00:00:00"/>
        <d v="2024-11-19T00:00:00"/>
        <d v="2025-01-08T00:00:00"/>
        <d v="2024-12-27T00:00:00"/>
        <d v="2025-05-08T00:00:00"/>
        <d v="2025-09-25T00:00:00"/>
        <d v="2025-10-17T00:00:00"/>
        <d v="2025-12-02T00:00:00"/>
        <d v="2025-10-29T00:00:00"/>
        <d v="2025-09-24T00:00:00"/>
        <d v="2026-01-22T00:00:00"/>
        <d v="2024-12-06T00:00:00"/>
        <d v="2022-12-06T00:00:00"/>
        <d v="2023-01-06T00:00:00"/>
        <d v="2023-05-09T00:00:00"/>
        <d v="2023-06-06T00:00:00"/>
        <d v="2023-07-07T00:00:00"/>
        <d v="2023-08-09T00:00:00"/>
        <d v="2023-08-31T00:00:00"/>
        <d v="2023-10-03T00:00:00"/>
        <d v="2024-02-07T00:00:00"/>
        <d v="2024-03-18T00:00:00"/>
        <d v="2024-04-12T00:00:00"/>
        <d v="2024-05-17T00:00:00"/>
        <d v="2024-06-06T00:00:00"/>
        <d v="2022-12-29T00:00:00"/>
        <d v="2023-02-06T00:00:00"/>
        <d v="2023-03-03T00:00:00"/>
        <d v="2023-04-19T00:00:00"/>
        <d v="2023-05-22T00:00:00"/>
        <d v="2023-07-26T00:00:00"/>
        <d v="2024-08-05T00:00:00"/>
        <d v="2024-12-05T00:00:00"/>
        <d v="2025-05-12T00:00:00"/>
        <d v="2025-03-17T00:00:00"/>
        <d v="2025-04-25T00:00:00"/>
        <d v="2025-06-26T00:00:00"/>
        <d v="2025-06-16T00:00:00"/>
        <d v="2025-10-03T00:00:00"/>
        <d v="2024-09-12T00:00:00"/>
        <d v="2024-10-23T00:00:00"/>
        <d v="2024-12-24T00:00:00"/>
        <d v="2025-01-10T00:00:00"/>
        <d v="2025-06-03T00:00:00"/>
        <d v="2025-11-05T00:00:00"/>
        <d v="2024-02-20T00:00:00"/>
        <d v="2024-03-04T00:00:00"/>
        <d v="2024-04-08T00:00:00"/>
        <d v="2024-05-08T00:00:00"/>
        <d v="2024-06-13T00:00:00"/>
        <d v="2025-08-21T00:00:00"/>
        <d v="2026-04-15T00:00:00"/>
        <d v="2024-02-26T00:00:00"/>
        <d v="2024-04-04T00:00:00"/>
        <d v="2024-09-26T00:00:00"/>
        <d v="2024-01-10T00:00:00"/>
        <d v="2024-02-15T00:00:00"/>
        <d v="2024-01-22T00:00:00"/>
        <d v="2024-03-11T00:00:00"/>
        <d v="2024-07-18T00:00:00"/>
        <d v="2026-01-30T00:00:00"/>
        <d v="2026-05-04T00:00:00"/>
        <d v="2024-11-28T00:00:00"/>
        <d v="2026-02-04T00:00:00"/>
        <d v="2026-04-07T00:00:00"/>
        <d v="2026-04-06T00:00:00"/>
        <d v="2026-05-01T00:00:00"/>
        <d v="2026-05-27T00:00:00"/>
        <d v="2023-04-10T00:00:00"/>
        <d v="2023-05-04T00:00:00"/>
        <d v="2023-06-26T00:00:00"/>
        <d v="2023-07-12T00:00:00"/>
        <d v="2025-12-24T00:00:00"/>
        <d v="2024-01-17T00:00:00"/>
        <d v="2024-03-13T00:00:00"/>
        <d v="2024-03-14T00:00:00"/>
        <d v="2024-04-25T00:00:00"/>
        <d v="2024-05-07T00:00:00"/>
        <d v="2024-09-16T00:00:00"/>
        <d v="2023-03-06T00:00:00"/>
        <d v="2023-01-27T00:00:00"/>
        <d v="2023-12-06T00:00:00"/>
        <d v="2023-06-08T00:00:00"/>
        <d v="2023-09-14T00:00:00"/>
        <d v="2026-02-09T00:00:00"/>
        <d v="2026-03-19T00:00:00"/>
        <d v="2026-05-06T00:00:00"/>
        <d v="2026-03-11T00:00:00"/>
        <d v="2026-04-01T00:00:00"/>
        <d v="2026-05-05T00:00:00"/>
        <d v="2024-07-08T00:00:00"/>
        <d v="2024-08-20T00:00:00"/>
        <d v="2024-06-30T00:00:00"/>
        <d v="2025-10-24T00:00:00"/>
        <d v="2025-11-25T00:00:00"/>
        <d v="2026-02-19T00:00:00"/>
        <d v="2026-03-23T00:00:00"/>
        <d v="2026-04-17T00:00:00"/>
        <d v="2025-06-25T00:00:00"/>
        <d v="2025-07-15T00:00:00"/>
        <d v="2025-08-20T00:00:00"/>
        <d v="2025-09-19T00:00:00"/>
        <d v="2025-11-18T00:00:00"/>
        <d v="2025-12-19T00:00:00"/>
        <d v="2026-03-20T00:00:00"/>
        <d v="2024-09-06T00:00:00"/>
        <d v="2025-07-30T00:00:00"/>
        <d v="2024-10-17T00:00:00"/>
        <d v="2024-12-25T00:00:00"/>
        <d v="2025-10-15T00:00:00"/>
        <d v="2026-05-11T00:00:00"/>
        <d v="2024-05-29T00:00:00"/>
        <d v="2025-12-17T00:00:00"/>
        <d v="2026-06-04T00:00:00"/>
        <d v="2026-04-14T00:00:00"/>
        <d v="2026-04-09T00:00:00"/>
        <d v="2025-06-12T00:00:00"/>
        <d v="2026-05-25T00:00:00"/>
        <d v="2023-02-28T00:00:00"/>
        <d v="2024-08-06T00:00:00"/>
        <d v="2024-09-03T00:00:00"/>
        <d v="2024-10-03T00:00:00"/>
        <d v="2024-11-01T00:00:00"/>
        <d v="2024-02-05T00:00:00"/>
        <d v="2024-03-05T00:00:00"/>
        <d v="2024-04-02T00:00:00"/>
        <d v="2024-05-02T00:00:00"/>
        <d v="2024-06-04T00:00:00"/>
        <d v="2024-07-01T00:00:00"/>
        <d v="2024-10-15T00:00:00"/>
        <d v="2024-07-04T00:00:00"/>
        <d v="2024-08-23T00:00:00"/>
        <d v="2024-09-23T00:00:00"/>
        <d v="2024-11-04T00:00:00"/>
        <d v="2024-11-22T00:00:00"/>
        <d v="2025-08-07T00:00:00"/>
        <d v="2025-09-26T00:00:00"/>
        <d v="2025-11-11T00:00:00"/>
        <d v="2023-12-26T00:00:00"/>
        <d v="2024-01-31T00:00:00"/>
        <d v="2024-03-06T00:00:00"/>
        <d v="2024-08-14T00:00:00"/>
        <d v="2024-07-10T00:00:00"/>
        <d v="2025-04-15T00:00:00"/>
        <d v="2025-05-22T00:00:00"/>
        <d v="2025-06-27T00:00:00"/>
        <d v="2025-08-22T00:00:00"/>
        <d v="2025-09-22T00:00:00"/>
        <d v="2025-11-14T00:00:00"/>
        <d v="2023-10-11T00:00:00"/>
        <d v="2023-09-29T00:00:00"/>
        <d v="2026-03-27T00:00:00"/>
        <d v="2025-12-31T00:00:00"/>
        <d v="2024-10-21T00:00:00"/>
        <d v="2024-12-31T00:00:00"/>
        <d v="2024-10-25T00:00:00"/>
        <d v="2023-06-21T00:00:00"/>
        <d v="2023-10-04T00:00:00"/>
        <d v="2024-10-29T00:00:00"/>
        <d v="2024-12-03T00:00:00"/>
        <d v="2024-12-18T00:00:00"/>
        <d v="2025-01-31T00:00:00"/>
        <d v="2025-06-05T00:00:00"/>
        <d v="2024-08-13T00:00:00"/>
        <d v="2024-06-27T00:00:00"/>
        <d v="2024-09-27T00:00:00"/>
        <d v="2025-03-03T00:00:00"/>
        <d v="2024-09-20T00:00:00"/>
        <d v="2024-10-22T00:00:00"/>
        <d v="2022-12-30T00:00:00"/>
        <d v="2023-03-02T00:00:00"/>
        <d v="2023-06-09T00:00:00"/>
        <d v="2026-04-23T00:00:00"/>
        <d v="2024-06-17T00:00:00"/>
        <d v="2024-08-21T00:00:00"/>
        <d v="2024-11-11T00:00:00"/>
        <d v="2024-12-12T00:00:00"/>
        <d v="2025-01-03T00:00:00"/>
        <d v="2025-09-01T00:00:00"/>
        <d v="2024-01-16T00:00:00"/>
        <d v="2026-01-20T00:00:00"/>
        <d v="2024-08-19T00:00:00"/>
        <d v="2023-12-20T00:00:00"/>
        <d v="2024-03-20T00:00:00"/>
        <d v="2025-12-11T00:00:00"/>
        <d v="2026-05-21T00:00:00"/>
        <d v="2023-12-18T00:00:00"/>
        <d v="2024-01-23T00:00:00"/>
        <d v="2024-11-25T00:00:00"/>
        <d v="2026-04-25T00:00:00"/>
        <d v="2023-05-25T00:00:00"/>
        <d v="2023-06-23T00:00:00"/>
        <d v="2023-07-25T00:00:00"/>
        <d v="2023-09-01T00:00:00"/>
        <d v="2023-10-02T00:00:00"/>
        <d v="2023-11-08T00:00:00"/>
        <d v="2023-12-01T00:00:00"/>
        <d v="2023-12-12T00:00:00"/>
        <d v="2024-01-01T00:00:00"/>
        <d v="2024-02-02T00:00:00"/>
        <d v="2024-03-24T00:00:00"/>
        <d v="2024-03-31T00:00:00"/>
        <d v="2024-05-22T00:00:00"/>
        <d v="2024-09-05T00:00:00"/>
        <d v="2024-06-03T00:00:00"/>
        <d v="2024-07-25T00:00:00"/>
        <d v="2025-06-18T00:00:00"/>
        <d v="2025-07-22T00:00:00"/>
        <d v="2026-03-24T00:00:00"/>
        <d v="2024-12-11T00:00:00"/>
        <d v="2024-12-14T00:00:00"/>
        <d v="2025-01-23T00:00:00"/>
        <d v="2023-12-13T00:00:00"/>
        <d v="2024-02-23T00:00:00"/>
        <d v="2024-02-19T00:00:00"/>
        <d v="2024-06-14T00:00:00"/>
        <d v="2025-01-24T00:00:00"/>
        <d v="2025-04-11T00:00:00"/>
        <d v="2025-05-20T00:00:00"/>
        <d v="2025-09-17T00:00:00"/>
        <d v="2025-10-21T00:00:00"/>
        <d v="2025-12-29T00:00:00"/>
        <d v="2026-03-30T00:00:00"/>
        <d v="2023-11-24T00:00:00"/>
        <d v="2024-01-02T00:00:00"/>
        <d v="2024-02-08T00:00:00"/>
        <d v="2023-06-15T00:00:00"/>
        <d v="2023-09-18T00:00:00"/>
        <d v="2023-07-21T00:00:00"/>
        <d v="2025-04-04T00:00:00"/>
        <d v="2025-05-14T00:00:00"/>
        <d v="2025-06-30T00:00:00"/>
        <d v="2023-03-24T00:00:00"/>
        <d v="2023-05-21T00:00:00"/>
        <d v="2023-01-18T00:00:00"/>
        <d v="2023-03-28T00:00:00"/>
        <d v="2023-06-13T00:00:00"/>
        <d v="2023-06-19T00:00:00"/>
        <d v="2023-07-10T00:00:00"/>
        <d v="2023-08-03T00:00:00"/>
        <d v="2023-11-29T00:00:00"/>
        <d v="2023-12-22T00:00:00"/>
        <d v="2024-02-12T00:00:00"/>
        <d v="2024-03-25T00:00:00"/>
        <d v="2024-07-22T00:00:00"/>
        <d v="2024-10-30T00:00:00"/>
        <d v="2024-12-20T00:00:00"/>
        <d v="2025-01-02T00:00:00"/>
        <d v="2025-01-30T00:00:00"/>
        <d v="2025-02-26T00:00:00"/>
        <d v="2025-04-10T00:00:00"/>
        <d v="2025-05-19T00:00:00"/>
        <d v="2025-07-02T00:00:00"/>
        <d v="2025-08-12T00:00:00"/>
        <d v="2025-09-23T00:00:00"/>
        <d v="2025-11-03T00:00:00"/>
        <d v="2023-09-07T00:00:00"/>
        <d v="2023-09-28T00:00:00"/>
        <d v="2022-12-28T00:00:00"/>
        <d v="2023-01-09T00:00:00"/>
        <d v="2026-04-24T00:00:00"/>
        <d v="2025-10-13T00:00:00"/>
        <d v="2022-12-20T00:00:00"/>
        <d v="2023-01-02T00:00:00"/>
        <d v="2023-04-04T00:00:00"/>
        <d v="2023-07-03T00:00:00"/>
        <d v="2025-12-22T00:00:00"/>
        <d v="2026-02-25T00:00:00"/>
        <d v="2026-04-30T00:00:00"/>
        <d v="2025-01-15T00:00:00"/>
        <d v="2025-02-19T00:00:00"/>
        <d v="2025-03-16T00:00:00"/>
        <d v="2025-05-23T00:00:00"/>
        <d v="2023-05-11T00:00:00"/>
        <d v="2023-10-10T00:00:00"/>
        <d v="2023-02-09T00:00:00"/>
        <d v="2023-05-02T00:00:00"/>
        <d v="2023-06-20T00:00:00"/>
        <d v="2023-09-23T00:00:00"/>
        <d v="2023-10-16T00:00:00"/>
        <d v="2023-12-21T00:00:00"/>
        <d v="2024-05-13T00:00:00"/>
        <d v="2024-10-04T00:00:00"/>
        <d v="2026-05-14T00:00:00"/>
        <d v="2024-05-28T00:00:00"/>
        <d v="2026-05-26T00:00:00"/>
        <d v="2026-05-15T00:00:00"/>
        <d v="2025-07-25T00:00:00"/>
        <d v="2025-08-26T00:00:00"/>
        <d v="2025-09-29T00:00:00"/>
        <d v="2024-11-18T00:00:00"/>
        <d v="2025-06-06T00:00:00"/>
        <d v="2025-10-20T00:00:00"/>
        <d v="2025-01-07T00:00:00"/>
        <d v="2025-03-05T00:00:00"/>
        <d v="2025-04-03T00:00:00"/>
        <d v="2025-04-29T00:00:00"/>
        <d v="2025-04-01T00:00:00"/>
        <d v="2025-10-07T00:00:00"/>
        <d v="2024-07-12T00:00:00"/>
        <d v="2025-11-19T00:00:00"/>
        <d v="2025-10-10T00:00:00"/>
      </sharedItems>
      <fieldGroup par="27"/>
    </cacheField>
    <cacheField name="Facturación" numFmtId="0">
      <sharedItems containsSemiMixedTypes="0" containsString="0" containsNumber="1" containsInteger="1" minValue="-1" maxValue="1"/>
    </cacheField>
    <cacheField name="Facturado USD" numFmtId="0">
      <sharedItems containsString="0" containsBlank="1" containsNumber="1" minValue="0" maxValue="453390.59"/>
    </cacheField>
    <cacheField name="Pagado" numFmtId="0">
      <sharedItems containsSemiMixedTypes="0" containsString="0" containsNumber="1" containsInteger="1" minValue="-1" maxValue="8"/>
    </cacheField>
    <cacheField name="Fecha Ingreso" numFmtId="15">
      <sharedItems containsNonDate="0" containsDate="1" containsString="0" containsBlank="1" minDate="2022-12-30T00:00:00" maxDate="2026-08-26T00:00:00" count="383">
        <d v="2025-10-09T00:00:00"/>
        <d v="2023-11-01T00:00:00"/>
        <d v="2023-01-25T00:00:00"/>
        <d v="2023-03-01T00:00:00"/>
        <d v="2023-03-15T00:00:00"/>
        <d v="2023-04-21T00:00:00"/>
        <d v="2023-06-14T00:00:00"/>
        <d v="2023-07-21T00:00:00"/>
        <d v="2023-09-01T00:00:00"/>
        <d v="2023-11-02T00:00:00"/>
        <d v="2023-11-17T00:00:00"/>
        <d v="2023-03-03T00:00:00"/>
        <d v="2023-11-04T00:00:00"/>
        <d v="2023-08-03T00:00:00"/>
        <d v="2026-04-27T00:00:00"/>
        <d v="2023-02-01T00:00:00"/>
        <d v="2023-02-15T00:00:00"/>
        <d v="2023-03-17T00:00:00"/>
        <d v="2023-04-26T00:00:00"/>
        <d v="2023-05-24T00:00:00"/>
        <d v="2023-11-24T00:00:00"/>
        <d v="2023-12-20T00:00:00"/>
        <d v="2024-01-19T00:00:00"/>
        <d v="2024-05-26T00:00:00"/>
        <d v="2024-08-02T00:00:00"/>
        <d v="2024-11-20T00:00:00"/>
        <d v="2025-11-18T00:00:00"/>
        <d v="2025-12-05T00:00:00"/>
        <d v="2026-03-10T00:00:00"/>
        <d v="2026-02-18T00:00:00"/>
        <m/>
        <d v="2024-04-26T00:00:00"/>
        <d v="2024-05-31T00:00:00"/>
        <d v="2024-07-12T00:00:00"/>
        <d v="2024-08-09T00:00:00"/>
        <d v="2024-09-27T00:00:00"/>
        <d v="2024-10-18T00:00:00"/>
        <d v="2024-12-27T00:00:00"/>
        <d v="2025-02-07T00:00:00"/>
        <d v="2025-03-07T00:00:00"/>
        <d v="2025-04-04T00:00:00"/>
        <d v="2025-05-16T00:00:00"/>
        <d v="2024-05-24T00:00:00"/>
        <d v="2026-01-16T00:00:00"/>
        <d v="2026-02-27T00:00:00"/>
        <d v="2023-10-20T00:00:00"/>
        <d v="2023-11-03T00:00:00"/>
        <d v="2023-12-15T00:00:00"/>
        <d v="2024-01-05T00:00:00"/>
        <d v="2024-01-12T00:00:00"/>
        <d v="2026-04-10T00:00:00"/>
        <d v="2025-04-11T00:00:00"/>
        <d v="2025-07-18T00:00:00"/>
        <d v="2025-12-29T00:00:00"/>
        <d v="2025-08-07T00:00:00"/>
        <d v="2025-03-27T00:00:00"/>
        <d v="2025-04-24T00:00:00"/>
        <d v="2025-05-15T00:00:00"/>
        <d v="2025-07-01T00:00:00"/>
        <d v="2025-08-28T00:00:00"/>
        <d v="2025-09-25T00:00:00"/>
        <d v="2026-04-26T00:00:00"/>
        <d v="2025-03-05T00:00:00"/>
        <d v="2025-04-22T00:00:00"/>
        <d v="2025-05-20T00:00:00"/>
        <d v="2025-06-20T00:00:00"/>
        <d v="2025-07-25T00:00:00"/>
        <d v="2025-09-05T00:00:00"/>
        <d v="2025-10-20T00:00:00"/>
        <d v="2025-11-05T00:00:00"/>
        <d v="2025-12-20T00:00:00"/>
        <d v="2026-01-05T00:00:00"/>
        <d v="2026-02-05T00:00:00"/>
        <d v="2026-03-05T00:00:00"/>
        <d v="2026-04-06T00:00:00"/>
        <d v="2026-05-05T00:00:00"/>
        <d v="2026-06-25T00:00:00"/>
        <d v="2024-06-27T00:00:00"/>
        <d v="2025-03-19T00:00:00"/>
        <d v="2025-06-26T00:00:00"/>
        <d v="2025-06-16T00:00:00"/>
        <d v="2025-05-08T00:00:00"/>
        <d v="2025-06-04T00:00:00"/>
        <d v="2025-07-15T00:00:00"/>
        <d v="2025-07-31T00:00:00"/>
        <d v="2025-09-15T00:00:00"/>
        <d v="2025-11-06T00:00:00"/>
        <d v="2025-11-10T00:00:00"/>
        <d v="2024-09-17T00:00:00"/>
        <d v="2024-10-21T00:00:00"/>
        <d v="2024-12-04T00:00:00"/>
        <d v="2025-05-13T00:00:00"/>
        <d v="2025-06-11T00:00:00"/>
        <d v="2025-07-11T00:00:00"/>
        <d v="2025-08-14T00:00:00"/>
        <d v="2024-04-19T00:00:00"/>
        <d v="2024-10-14T00:00:00"/>
        <d v="2023-06-12T00:00:00"/>
        <d v="2023-10-26T00:00:00"/>
        <d v="2024-11-22T00:00:00"/>
        <d v="2024-12-20T00:00:00"/>
        <d v="2025-01-17T00:00:00"/>
        <d v="2025-03-04T00:00:00"/>
        <d v="2025-02-14T00:00:00"/>
        <d v="2025-02-10T00:00:00"/>
        <d v="2025-10-10T00:00:00"/>
        <d v="2025-12-12T00:00:00"/>
        <d v="2026-01-02T00:00:00"/>
        <d v="2026-02-13T00:00:00"/>
        <d v="2026-04-09T00:00:00"/>
        <d v="2025-11-24T00:00:00"/>
        <d v="2026-01-23T00:00:00"/>
        <d v="2026-03-23T00:00:00"/>
        <d v="2025-01-24T00:00:00"/>
        <d v="2025-01-27T00:00:00"/>
        <d v="2022-12-31T00:00:00"/>
        <d v="2023-06-23T00:00:00"/>
        <d v="2023-09-08T00:00:00"/>
        <d v="2023-10-13T00:00:00"/>
        <d v="2024-02-28T00:00:00"/>
        <d v="2024-03-22T00:00:00"/>
        <d v="2024-04-30T00:00:00"/>
        <d v="2024-06-13T00:00:00"/>
        <d v="2024-07-20T00:00:00"/>
        <d v="2023-01-27T00:00:00"/>
        <d v="2023-03-08T00:00:00"/>
        <d v="2023-04-28T00:00:00"/>
        <d v="2023-06-02T00:00:00"/>
        <d v="2023-08-02T00:00:00"/>
        <d v="2024-08-14T00:00:00"/>
        <d v="2024-10-11T00:00:00"/>
        <d v="2024-12-18T00:00:00"/>
        <d v="2025-02-28T00:00:00"/>
        <d v="2025-05-28T00:00:00"/>
        <d v="2025-02-26T00:00:00"/>
        <d v="2025-01-15T00:00:00"/>
        <d v="2025-03-21T00:00:00"/>
        <d v="2025-05-22T00:00:00"/>
        <d v="2025-07-04T00:00:00"/>
        <d v="2025-10-15T00:00:00"/>
        <d v="2025-01-03T00:00:00"/>
        <d v="2025-01-22T00:00:00"/>
        <d v="2025-02-12T00:00:00"/>
        <d v="2025-06-18T00:00:00"/>
        <d v="2025-03-26T00:00:00"/>
        <d v="2025-04-16T00:00:00"/>
        <d v="2025-11-14T00:00:00"/>
        <d v="2024-03-13T00:00:00"/>
        <d v="2024-05-29T00:00:00"/>
        <d v="2024-07-24T00:00:00"/>
        <d v="2025-01-08T00:00:00"/>
        <d v="2025-09-17T00:00:00"/>
        <d v="2025-09-26T00:00:00"/>
        <d v="2026-05-15T00:00:00"/>
        <d v="2024-03-01T00:00:00"/>
        <d v="2024-05-05T00:00:00"/>
        <d v="2024-10-26T00:00:00"/>
        <d v="2024-02-09T00:00:00"/>
        <d v="2024-03-15T00:00:00"/>
        <d v="2024-02-20T00:00:00"/>
        <d v="2024-04-10T00:00:00"/>
        <d v="2026-03-04T00:00:00"/>
        <d v="2026-06-03T00:00:00"/>
        <d v="2024-12-26T00:00:00"/>
        <d v="2025-11-07T00:00:00"/>
        <d v="2026-04-17T00:00:00"/>
        <d v="2026-05-08T00:00:00"/>
        <d v="2026-06-05T00:00:00"/>
        <d v="2023-04-24T00:00:00"/>
        <d v="2023-05-19T00:00:00"/>
        <d v="2024-11-26T00:00:00"/>
        <d v="2024-04-13T00:00:00"/>
        <d v="2024-04-14T00:00:00"/>
        <d v="2024-05-25T00:00:00"/>
        <d v="2024-06-07T00:00:00"/>
        <d v="2024-10-16T00:00:00"/>
        <d v="2023-03-13T00:00:00"/>
        <d v="2023-02-16T00:00:00"/>
        <d v="2023-06-13T00:00:00"/>
        <d v="2023-12-09T00:00:00"/>
        <d v="2023-06-30T00:00:00"/>
        <d v="2023-10-06T00:00:00"/>
        <d v="2026-03-27T00:00:00"/>
        <d v="2026-03-24T00:00:00"/>
        <d v="2026-04-24T00:00:00"/>
        <d v="2026-06-06T00:00:00"/>
        <d v="2026-06-01T00:00:00"/>
        <d v="2024-07-15T00:00:00"/>
        <d v="2024-08-30T00:00:00"/>
        <d v="2024-07-31T00:00:00"/>
        <d v="2025-11-19T00:00:00"/>
        <d v="2025-12-23T00:00:00"/>
        <d v="2026-01-21T00:00:00"/>
        <d v="2026-03-19T00:00:00"/>
        <d v="2026-04-23T00:00:00"/>
        <d v="2026-05-17T00:00:00"/>
        <d v="2025-08-20T00:00:00"/>
        <d v="2025-09-22T00:00:00"/>
        <d v="2025-12-18T00:00:00"/>
        <d v="2026-01-19T00:00:00"/>
        <d v="2026-02-20T00:00:00"/>
        <d v="2025-06-02T00:00:00"/>
        <d v="2023-07-03T00:00:00"/>
        <d v="2024-09-23T00:00:00"/>
        <d v="2025-08-08T00:00:00"/>
        <d v="2024-10-17T00:00:00"/>
        <d v="2025-12-11T00:00:00"/>
        <d v="2026-06-10T00:00:00"/>
        <d v="2026-07-04T00:00:00"/>
        <d v="2026-04-16T00:00:00"/>
        <d v="2026-05-21T00:00:00"/>
        <d v="2026-06-24T00:00:00"/>
        <d v="2024-08-27T00:00:00"/>
        <d v="2024-09-09T00:00:00"/>
        <d v="2024-09-25T00:00:00"/>
        <d v="2024-11-07T00:00:00"/>
        <d v="2024-12-06T00:00:00"/>
        <d v="2024-02-14T00:00:00"/>
        <d v="2024-03-29T00:00:00"/>
        <d v="2024-05-17T00:00:00"/>
        <d v="2024-06-25T00:00:00"/>
        <d v="2024-07-25T00:00:00"/>
        <d v="2024-11-29T00:00:00"/>
        <d v="2024-08-16T00:00:00"/>
        <d v="2024-10-07T00:00:00"/>
        <d v="2024-12-16T00:00:00"/>
        <d v="2025-01-06T00:00:00"/>
        <d v="2025-05-19T00:00:00"/>
        <d v="2025-08-21T00:00:00"/>
        <d v="2025-12-10T00:00:00"/>
        <d v="2026-01-07T00:00:00"/>
        <d v="2024-02-07T00:00:00"/>
        <d v="2024-02-26T00:00:00"/>
        <d v="2024-03-26T00:00:00"/>
        <d v="2024-04-04T00:00:00"/>
        <d v="2024-07-05T00:00:00"/>
        <d v="2024-08-25T00:00:00"/>
        <d v="2025-09-29T00:00:00"/>
        <d v="2025-09-11T00:00:00"/>
        <d v="2025-11-17T00:00:00"/>
        <d v="2023-10-25T00:00:00"/>
        <d v="2023-07-07T00:00:00"/>
        <d v="2023-08-25T00:00:00"/>
        <d v="2024-01-26T00:00:00"/>
        <d v="2025-08-29T00:00:00"/>
        <d v="2025-09-12T00:00:00"/>
        <d v="2025-10-24T00:00:00"/>
        <d v="2025-11-21T00:00:00"/>
        <d v="2025-12-19T00:00:00"/>
        <d v="2026-01-30T00:00:00"/>
        <d v="2024-06-16T00:00:00"/>
        <d v="2024-11-15T00:00:00"/>
        <d v="2024-12-30T00:00:00"/>
        <d v="2025-04-12T00:00:00"/>
        <d v="2023-05-04T00:00:00"/>
        <d v="2023-06-08T00:00:00"/>
        <d v="2023-06-26T00:00:00"/>
        <d v="2023-10-08T00:00:00"/>
        <d v="2024-12-05T00:00:00"/>
        <d v="2025-01-16T00:00:00"/>
        <d v="2025-07-10T00:00:00"/>
        <d v="2024-09-12T00:00:00"/>
        <d v="2024-10-10T00:00:00"/>
        <d v="2025-04-07T00:00:00"/>
        <d v="2024-10-25T00:00:00"/>
        <d v="2025-02-17T00:00:00"/>
        <d v="2023-01-06T00:00:00"/>
        <d v="2023-03-09T00:00:00"/>
        <d v="2023-06-16T00:00:00"/>
        <d v="2026-05-14T00:00:00"/>
        <d v="2024-07-11T00:00:00"/>
        <d v="2024-09-20T00:00:00"/>
        <d v="2024-10-04T00:00:00"/>
        <d v="2024-11-21T00:00:00"/>
        <d v="2025-10-23T00:00:00"/>
        <d v="2024-01-28T00:00:00"/>
        <d v="2024-07-18T00:00:00"/>
        <d v="2026-02-03T00:00:00"/>
        <d v="2024-09-19T00:00:00"/>
        <d v="2024-08-26T00:00:00"/>
        <d v="2023-12-29T00:00:00"/>
        <d v="2024-10-31T00:00:00"/>
        <d v="2025-05-21T00:00:00"/>
        <d v="2025-07-24T00:00:00"/>
        <d v="2025-09-04T00:00:00"/>
        <d v="2025-10-07T00:00:00"/>
        <d v="2024-03-21T00:00:00"/>
        <d v="2026-01-20T00:00:00"/>
        <d v="2026-02-19T00:00:00"/>
        <d v="2026-03-26T00:00:00"/>
        <d v="2026-07-05T00:00:00"/>
        <d v="2023-12-22T00:00:00"/>
        <d v="2024-02-23T00:00:00"/>
        <d v="2024-05-04T00:00:00"/>
        <d v="2024-04-21T00:00:00"/>
        <d v="2025-01-25T00:00:00"/>
        <d v="2025-02-24T00:00:00"/>
        <d v="2026-07-25T00:00:00"/>
        <d v="2026-08-25T00:00:00"/>
        <d v="2023-07-24T00:00:00"/>
        <d v="2023-08-22T00:00:00"/>
        <d v="2023-09-23T00:00:00"/>
        <d v="2023-10-31T00:00:00"/>
        <d v="2023-12-01T00:00:00"/>
        <d v="2024-01-07T00:00:00"/>
        <d v="2024-01-31T00:00:00"/>
        <d v="2024-03-03T00:00:00"/>
        <d v="2024-04-02T00:00:00"/>
        <d v="2024-07-22T00:00:00"/>
        <d v="2024-05-19T00:00:00"/>
        <d v="2024-10-23T00:00:00"/>
        <d v="2025-09-18T00:00:00"/>
        <d v="2026-06-20T00:00:00"/>
        <d v="2025-03-11T00:00:00"/>
        <d v="2025-03-14T00:00:00"/>
        <d v="2024-02-11T00:00:00"/>
        <d v="2024-04-23T00:00:00"/>
        <d v="2024-05-06T00:00:00"/>
        <d v="2024-08-13T00:00:00"/>
        <d v="2025-08-18T00:00:00"/>
        <d v="2025-10-06T00:00:00"/>
        <d v="2026-03-09T00:00:00"/>
        <d v="2026-04-01T00:00:00"/>
        <d v="2023-12-07T00:00:00"/>
        <d v="2024-03-02T00:00:00"/>
        <d v="2024-04-22T00:00:00"/>
        <d v="2023-10-24T00:00:00"/>
        <d v="2023-06-15T00:00:00"/>
        <d v="2023-09-18T00:00:00"/>
        <d v="2023-08-31T00:00:00"/>
        <d v="2025-04-08T00:00:00"/>
        <d v="2025-07-02T00:00:00"/>
        <d v="2023-07-27T00:00:00"/>
        <d v="2023-08-30T00:00:00"/>
        <d v="2023-03-10T00:00:00"/>
        <d v="2023-04-06T00:00:00"/>
        <d v="2023-07-14T00:00:00"/>
        <d v="2023-08-11T00:00:00"/>
        <d v="2024-04-25T00:00:00"/>
        <d v="2024-05-22T00:00:00"/>
        <d v="2024-10-30T00:00:00"/>
        <d v="2024-12-19T00:00:00"/>
        <d v="2025-01-21T00:00:00"/>
        <d v="2025-06-06T00:00:00"/>
        <d v="2025-08-13T00:00:00"/>
        <d v="2025-10-28T00:00:00"/>
        <d v="2023-09-29T00:00:00"/>
        <d v="2023-02-07T00:00:00"/>
        <d v="2026-06-12T00:00:00"/>
        <d v="2026-06-19T00:00:00"/>
        <d v="2022-12-30T00:00:00"/>
        <d v="2023-02-28T00:00:00"/>
        <d v="2023-04-13T00:00:00"/>
        <d v="2023-07-11T00:00:00"/>
        <d v="2025-12-17T00:00:00"/>
        <d v="2026-01-08T00:00:00"/>
        <d v="2026-03-02T00:00:00"/>
        <d v="2026-03-31T00:00:00"/>
        <d v="2026-05-11T00:00:00"/>
        <d v="2025-02-19T00:00:00"/>
        <d v="2023-05-26T00:00:00"/>
        <d v="2023-05-09T00:00:00"/>
        <d v="2023-07-05T00:00:00"/>
        <d v="2023-10-02T00:00:00"/>
        <d v="2023-10-10T00:00:00"/>
        <d v="2023-10-23T00:00:00"/>
        <d v="2026-06-08T00:00:00"/>
        <d v="2024-08-19T00:00:00"/>
        <d v="2024-11-11T00:00:00"/>
        <d v="2025-01-20T00:00:00"/>
        <d v="2025-06-09T00:00:00"/>
        <d v="2026-05-02T00:00:00"/>
        <d v="2026-06-14T00:00:00"/>
        <d v="2025-11-20T00:00:00"/>
        <d v="2026-01-28T00:00:00"/>
        <d v="2026-06-15T00:00:00"/>
        <d v="2025-10-02T00:00:00"/>
        <d v="2025-11-27T00:00:00"/>
        <d v="2026-01-27T00:00:00"/>
        <d v="2025-01-29T00:00:00"/>
        <d v="2025-05-29T00:00:00"/>
        <d v="2025-04-30T00:00:00"/>
        <d v="2025-12-31T00:00:00"/>
      </sharedItems>
      <fieldGroup par="24"/>
    </cacheField>
    <cacheField name="Ingresado USD" numFmtId="0">
      <sharedItems containsString="0" containsBlank="1" containsNumber="1" minValue="0" maxValue="444151.6874113208" count="625">
        <n v="44465"/>
        <n v="165194.82999999999"/>
        <n v="46513.548499999997"/>
        <n v="2736.1645281249994"/>
        <n v="33688.864374999997"/>
        <n v="19248.976000000002"/>
        <n v="39633.353999999999"/>
        <n v="27746.317500000001"/>
        <n v="23028"/>
        <n v="10059.549999999999"/>
        <n v="260.3"/>
        <n v="48585.85"/>
        <n v="19250.8"/>
        <n v="17907.507532000003"/>
        <n v="8656.69"/>
        <n v="19302"/>
        <n v="44037.25"/>
        <n v="109866.69261874998"/>
        <n v="74540.849875"/>
        <n v="31472.811249999999"/>
        <n v="53056.1"/>
        <n v="18313.150000000001"/>
        <n v="55786.85"/>
        <n v="61381.399999999994"/>
        <n v="60184.399999999994"/>
        <n v="11328.75"/>
        <n v="29529.8"/>
        <n v="23603.699999999997"/>
        <n v="22807"/>
        <n v="14336"/>
        <n v="13601"/>
        <n v="15255"/>
        <n v="19850"/>
        <n v="34334"/>
        <n v="28728.27"/>
        <n v="31339.14"/>
        <m/>
        <n v="62048"/>
        <n v="44853"/>
        <n v="35249.999466125679"/>
        <n v="75523.474218724834"/>
        <n v="8759"/>
        <n v="34347"/>
        <n v="18000"/>
        <n v="11821"/>
        <n v="12823"/>
        <n v="8110.6632000000009"/>
        <n v="11158"/>
        <n v="8828"/>
        <n v="4263"/>
        <n v="31730"/>
        <n v="24919.504235150136"/>
        <n v="15305"/>
        <n v="19723"/>
        <n v="54264"/>
        <n v="25487"/>
        <n v="30338"/>
        <n v="105098"/>
        <n v="60311"/>
        <n v="186082"/>
        <n v="45403"/>
        <n v="129692"/>
        <n v="23913"/>
        <n v="33087.0645"/>
        <n v="32888"/>
        <n v="30365"/>
        <n v="39293"/>
        <n v="26973"/>
        <n v="51957"/>
        <n v="5940"/>
        <n v="62417"/>
        <n v="15000"/>
        <n v="52931.26"/>
        <n v="54268"/>
        <n v="28982"/>
        <n v="41295"/>
        <n v="21546.13"/>
        <n v="25680.84"/>
        <n v="28549"/>
        <n v="19014.259259259259"/>
        <n v="16041"/>
        <n v="9828"/>
        <n v="8310"/>
        <n v="23622"/>
        <n v="14431.28"/>
        <n v="64144.721689059501"/>
        <n v="62020.934959349594"/>
        <n v="88166"/>
        <n v="31079.115000000002"/>
        <n v="11230"/>
        <n v="6410"/>
        <n v="84436.611300000004"/>
        <n v="132046.2873"/>
        <n v="87736"/>
        <n v="70761"/>
        <n v="196358"/>
        <n v="137233"/>
        <n v="159375.44"/>
        <n v="4640"/>
        <n v="38602"/>
        <n v="24680"/>
        <n v="13842"/>
        <n v="7683"/>
        <n v="38176.983"/>
        <n v="35036"/>
        <n v="48790"/>
        <n v="32748"/>
        <n v="40426"/>
        <n v="30025"/>
        <n v="11895"/>
        <n v="54706"/>
        <n v="40000"/>
        <n v="90837"/>
        <n v="28476"/>
        <n v="8190"/>
        <n v="13446"/>
        <n v="61918"/>
        <n v="82408"/>
        <n v="38659.513500000001"/>
        <n v="13296.0501"/>
        <n v="45478"/>
        <n v="21682"/>
        <n v="33657.799500000001"/>
        <n v="138684.45420000001"/>
        <n v="31129"/>
        <n v="4648"/>
        <n v="39515"/>
        <n v="33550"/>
        <n v="28270"/>
        <n v="15496"/>
        <n v="38000"/>
        <n v="27222"/>
        <n v="30711"/>
        <n v="11459"/>
        <n v="8749"/>
        <n v="13240"/>
        <n v="7216"/>
        <n v="32087"/>
        <n v="38336.299999999996"/>
        <n v="47165.39681875"/>
        <n v="91931.036874999991"/>
        <n v="74275.2856875"/>
        <n v="56674.739000000001"/>
        <n v="90591.056359214781"/>
        <n v="23442.199999999997"/>
        <n v="32015"/>
        <n v="9989.25"/>
        <n v="39413.599999999999"/>
        <n v="33000.15"/>
        <n v="29906.949999999997"/>
        <n v="14672.75"/>
        <n v="16383.699999999999"/>
        <n v="9608.2999999999993"/>
        <n v="1754.6499999999999"/>
        <n v="1801.1999999999998"/>
        <n v="9774.5499999999993"/>
        <n v="20195.099999999999"/>
        <n v="32039.291499999999"/>
        <n v="24834.434499999996"/>
        <n v="35079.981437499999"/>
        <n v="25685.410062499999"/>
        <n v="24609.75"/>
        <n v="11499.75"/>
        <n v="5398"/>
        <n v="14568.25"/>
        <n v="15122.7"/>
        <n v="8460.6999999999989"/>
        <n v="13117.599999999999"/>
        <n v="3051.3999999999996"/>
        <n v="16443.55"/>
        <n v="36195.183539999998"/>
        <n v="21246.75"/>
        <n v="34401"/>
        <n v="26563"/>
        <n v="36147.023883000002"/>
        <n v="31977.949999999997"/>
        <n v="15338.699999999999"/>
        <n v="24362.75"/>
        <n v="4720.55"/>
        <n v="8964.1999999999989"/>
        <n v="2825.2999999999997"/>
        <n v="45558.454410000006"/>
        <n v="9714.2210099999993"/>
        <n v="16208.444911049999"/>
        <n v="11041.85"/>
        <n v="31139"/>
        <n v="101815.29999999999"/>
        <n v="7320.7"/>
        <n v="4372.8499999999995"/>
        <n v="3519.75"/>
        <n v="4172.3999999999996"/>
        <n v="34239.326580000001"/>
        <n v="11728.699999999999"/>
        <n v="14008.699999999999"/>
        <n v="32590.699999999997"/>
        <n v="141357"/>
        <n v="229439"/>
        <n v="108299"/>
        <n v="90004.909500000009"/>
        <n v="85051.967400000009"/>
        <n v="127900.67580000001"/>
        <n v="32097"/>
        <n v="15398"/>
        <n v="48236.446800000005"/>
        <n v="41744"/>
        <n v="21494"/>
        <n v="57556"/>
        <n v="57902.441384438243"/>
        <n v="61641"/>
        <n v="61831"/>
        <n v="34926"/>
        <n v="63096.310800000007"/>
        <n v="29477.943900000002"/>
        <n v="32910.655500000001"/>
        <n v="28753"/>
        <n v="11360"/>
        <n v="103193"/>
        <n v="27862"/>
        <n v="12534"/>
        <n v="13837"/>
        <n v="38832.15"/>
        <n v="35425.560000000005"/>
        <n v="2940"/>
        <n v="13659.84"/>
        <n v="77671"/>
        <n v="44268"/>
        <n v="11418.8508"/>
        <n v="18835.292700000002"/>
        <n v="7263"/>
        <n v="63264"/>
        <n v="17923"/>
        <n v="6331.4400000000005"/>
        <n v="21121.039499999999"/>
        <n v="23592.812999999998"/>
        <n v="23600.8995"/>
        <n v="17056"/>
        <n v="35127"/>
        <n v="10263"/>
        <n v="58439.340000000004"/>
        <n v="16109"/>
        <n v="8131"/>
        <n v="14882.6934"/>
        <n v="33407"/>
        <n v="7660"/>
        <n v="7599"/>
        <n v="5661"/>
        <n v="13169"/>
        <n v="40729"/>
        <n v="16667"/>
        <n v="25294"/>
        <n v="13416"/>
        <n v="18302.61"/>
        <n v="7732.4"/>
        <n v="18639.75"/>
        <n v="14736"/>
        <n v="6840.375"/>
        <n v="22837.5"/>
        <n v="20125"/>
        <n v="21713"/>
        <n v="102860"/>
        <n v="19065"/>
        <n v="50688.322500000002"/>
        <n v="14112"/>
        <n v="36335.699999999997"/>
        <n v="3345.3000000000029"/>
        <n v="32480"/>
        <n v="32320"/>
        <n v="96154"/>
        <n v="14927"/>
        <n v="20074"/>
        <n v="20556"/>
        <n v="29101"/>
        <n v="9596"/>
        <n v="26814"/>
        <n v="35429"/>
        <n v="58242.5"/>
        <n v="26649"/>
        <n v="133045"/>
        <n v="14850"/>
        <n v="11652.002862385321"/>
        <n v="48503.2428"/>
        <n v="130948"/>
        <n v="97034"/>
        <n v="45201"/>
        <n v="50063"/>
        <n v="19610.669999999998"/>
        <n v="61585"/>
        <n v="58240"/>
        <n v="32689"/>
        <n v="51794"/>
        <n v="44627"/>
        <n v="42693"/>
        <n v="59943"/>
        <n v="27889.024390243903"/>
        <n v="82861"/>
        <n v="89646"/>
        <n v="99524"/>
        <n v="15176"/>
        <n v="35043.75"/>
        <n v="7150"/>
        <n v="20000"/>
        <n v="76050"/>
        <n v="52075"/>
        <n v="82549.91"/>
        <n v="70709.97"/>
        <n v="40036"/>
        <n v="87783"/>
        <n v="110857"/>
        <n v="12000"/>
        <n v="0"/>
        <n v="27609"/>
        <n v="20200"/>
        <n v="40415"/>
        <n v="15900"/>
        <n v="36720"/>
        <n v="18991"/>
        <n v="16776"/>
        <n v="21370"/>
        <n v="24596"/>
        <n v="45925"/>
        <n v="46640"/>
        <n v="52804"/>
        <n v="66664"/>
        <n v="96319"/>
        <n v="102905"/>
        <n v="118166"/>
        <n v="70467"/>
        <n v="44291"/>
        <n v="10240"/>
        <n v="63179"/>
        <n v="34563"/>
        <n v="22903.034100000001"/>
        <n v="91116.781900000002"/>
        <n v="25263"/>
        <n v="26332"/>
        <n v="10026.379999999999"/>
        <n v="9454"/>
        <n v="8092"/>
        <n v="58150"/>
        <n v="444151.6874113208"/>
        <n v="152334.5"/>
        <n v="200900.43396226413"/>
        <n v="119590"/>
        <n v="28417"/>
        <n v="11977"/>
        <n v="31780"/>
        <n v="23974"/>
        <n v="15573"/>
        <n v="33863"/>
        <n v="9855"/>
        <n v="11436"/>
        <n v="18775.82"/>
        <n v="7897.3499999999995"/>
        <n v="6749.75"/>
        <n v="16355.22"/>
        <n v="6962.9"/>
        <n v="9930"/>
        <n v="27785"/>
        <n v="10082"/>
        <n v="14780.546415094339"/>
        <n v="3964.5328301886793"/>
        <n v="15798.37433962264"/>
        <n v="2228"/>
        <n v="2233"/>
        <n v="33533"/>
        <n v="36818"/>
        <n v="33676"/>
        <n v="38221.35"/>
        <n v="26093.649999999998"/>
        <n v="62800"/>
        <n v="104003"/>
        <n v="88161"/>
        <n v="3577"/>
        <n v="24635"/>
        <n v="51680"/>
        <n v="9825"/>
        <n v="54620"/>
        <n v="70025"/>
        <n v="70020"/>
        <n v="53961"/>
        <n v="31113"/>
        <n v="19531"/>
        <n v="26615"/>
        <n v="73718"/>
        <n v="61499"/>
        <n v="35295.290100000006"/>
        <n v="66652"/>
        <n v="20675"/>
        <n v="16456"/>
        <n v="87432"/>
        <n v="23642"/>
        <n v="87438.38"/>
        <n v="10028.25"/>
        <n v="29431.125"/>
        <n v="10934.25"/>
        <n v="31947.45"/>
        <n v="21632"/>
        <n v="20771"/>
        <n v="59963"/>
        <n v="24935"/>
        <n v="5265"/>
        <n v="288500"/>
        <n v="283900"/>
        <n v="71760"/>
        <n v="23720"/>
        <n v="23491.29"/>
        <n v="22411"/>
        <n v="39901.11"/>
        <n v="46667.988749999997"/>
        <n v="27689.485000000001"/>
        <n v="35526.91375"/>
        <n v="40773.79"/>
        <n v="60007"/>
        <n v="8262"/>
        <n v="32242"/>
        <n v="80437.743399999992"/>
        <n v="5513"/>
        <n v="26104"/>
        <n v="25000"/>
        <n v="13823"/>
        <n v="65088"/>
        <n v="13797"/>
        <n v="33892"/>
        <n v="84862"/>
        <n v="10264.043299999999"/>
        <n v="23814.47"/>
        <n v="52252"/>
        <n v="48608"/>
        <n v="76361"/>
        <n v="112344"/>
        <n v="23019"/>
        <n v="33707.714285714283"/>
        <n v="25600"/>
        <n v="20102"/>
        <n v="24414"/>
        <n v="46313"/>
        <n v="23659"/>
        <n v="26902"/>
        <n v="11222"/>
        <n v="7526"/>
        <n v="15246"/>
        <n v="30669"/>
        <n v="28019"/>
        <n v="34759"/>
        <n v="36434"/>
        <n v="10770"/>
        <n v="29445"/>
        <n v="14894"/>
        <n v="36435"/>
        <n v="40124"/>
        <n v="27377"/>
        <n v="22589"/>
        <n v="96993"/>
        <n v="34165"/>
        <n v="11307.28"/>
        <n v="11094"/>
        <n v="39533"/>
        <n v="172280.11"/>
        <n v="20440"/>
        <n v="9927.7099999999991"/>
        <n v="18697"/>
        <n v="23210.240000000002"/>
        <n v="10133.24"/>
        <n v="8345"/>
        <n v="2213"/>
        <n v="35729.724770642199"/>
        <n v="38491.192660550456"/>
        <n v="37011"/>
        <n v="22524.814814814814"/>
        <n v="14517"/>
        <n v="7054"/>
        <n v="16407"/>
        <n v="21327.41"/>
        <n v="11785"/>
        <n v="31824"/>
        <n v="37752"/>
        <n v="86507"/>
        <n v="61669"/>
        <n v="39081"/>
        <n v="6510"/>
        <n v="6018"/>
        <n v="6765"/>
        <n v="24924"/>
        <n v="5952"/>
        <n v="9743"/>
        <n v="18747.16"/>
        <n v="9499"/>
        <n v="5421"/>
        <n v="11024.51"/>
        <n v="33778.899082568809"/>
        <n v="32622"/>
        <n v="20835.925925925923"/>
        <n v="24115"/>
        <n v="28287"/>
        <n v="24387"/>
        <n v="43045"/>
        <n v="20759"/>
        <n v="42800"/>
        <n v="16723"/>
        <n v="11644"/>
        <n v="15405"/>
        <n v="27986"/>
        <n v="67339"/>
        <n v="24421"/>
        <n v="38146"/>
        <n v="29716"/>
        <n v="43371"/>
        <n v="46805"/>
        <n v="29854"/>
        <n v="110077"/>
        <n v="52800"/>
        <n v="26382"/>
        <n v="41183"/>
        <n v="42832"/>
        <n v="24055"/>
        <n v="57086"/>
        <n v="101539.27"/>
        <n v="44245.945"/>
        <n v="51627.707499999997"/>
        <n v="30102.715"/>
        <n v="46950.23"/>
        <n v="8548.0499999999993"/>
        <n v="44745"/>
        <n v="10549"/>
        <n v="91731.278397791742"/>
        <n v="100441"/>
        <n v="29776"/>
        <n v="70005"/>
        <n v="29387"/>
        <n v="50531"/>
        <n v="172201.19"/>
        <n v="106751.41"/>
        <n v="82677.95"/>
        <n v="109093.95999999999"/>
        <n v="86948"/>
        <n v="62160"/>
        <n v="17812"/>
        <n v="6266"/>
        <n v="36175"/>
        <n v="49640"/>
        <n v="34217"/>
        <n v="23832"/>
        <n v="57648"/>
        <n v="57921.168301886784"/>
        <n v="28722.396226415094"/>
        <n v="5300"/>
        <n v="40785"/>
        <n v="27669"/>
        <n v="29365"/>
        <n v="8901"/>
        <n v="5427"/>
        <n v="1745"/>
        <n v="48365.26"/>
        <n v="43637"/>
        <n v="10175"/>
        <n v="76385.09"/>
        <n v="49915.51"/>
        <n v="56217.41"/>
        <n v="40587.46"/>
        <n v="23129.599999999999"/>
        <n v="5339.1999999999825"/>
        <n v="42740.5"/>
        <n v="74044"/>
        <n v="52266"/>
        <n v="28311"/>
        <n v="38737"/>
        <n v="6418"/>
        <n v="18720"/>
        <n v="37712"/>
        <n v="96628"/>
        <n v="84975"/>
        <n v="33475"/>
        <n v="47800"/>
        <n v="187714.63487499999"/>
        <n v="81163.60149999999"/>
        <n v="52793.552000000003"/>
        <n v="70961.2"/>
        <n v="43415.95"/>
        <n v="26316.899999999998"/>
        <n v="36467.65"/>
        <n v="20169.45"/>
        <n v="85888.55"/>
        <n v="9039"/>
        <n v="49792"/>
        <n v="170704"/>
        <n v="32056"/>
        <n v="30392"/>
        <n v="30000"/>
        <n v="32480.2"/>
        <n v="19649"/>
        <n v="36682"/>
        <n v="14729"/>
        <n v="20085"/>
        <n v="34109"/>
        <n v="24174"/>
        <n v="38204"/>
        <n v="35073"/>
        <n v="20841"/>
        <n v="39809"/>
        <n v="33598"/>
        <n v="18487.98"/>
        <n v="39998"/>
        <n v="102865"/>
        <n v="27834"/>
        <n v="22182"/>
        <n v="28545"/>
        <n v="74100"/>
        <n v="129000"/>
        <n v="114100"/>
        <n v="150000"/>
        <n v="178500"/>
        <n v="31720"/>
        <n v="51319"/>
        <n v="61422"/>
        <n v="80209"/>
        <n v="112980"/>
        <n v="101319"/>
        <n v="60269"/>
        <n v="13995"/>
        <n v="84225"/>
        <n v="34388"/>
        <n v="3821"/>
        <n v="43052.599788760286"/>
        <n v="50646"/>
        <n v="12155"/>
      </sharedItems>
    </cacheField>
    <cacheField name="Observaciones " numFmtId="0">
      <sharedItems containsBlank="1"/>
    </cacheField>
    <cacheField name="Meses (Fecha Ingreso)" numFmtId="0" databaseField="0">
      <fieldGroup base="19">
        <rangePr groupBy="months" startDate="2022-12-30T00:00:00" endDate="2026-08-26T00:00:00"/>
        <groupItems count="14">
          <s v="&lt;30-12-2022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26-08-2026"/>
        </groupItems>
      </fieldGroup>
    </cacheField>
    <cacheField name="Trimestres (Fecha Ingreso)" numFmtId="0" databaseField="0">
      <fieldGroup base="19">
        <rangePr groupBy="quarters" startDate="2022-12-30T00:00:00" endDate="2026-08-26T00:00:00"/>
        <groupItems count="6">
          <s v="&lt;30-12-2022"/>
          <s v="Trim.1"/>
          <s v="Trim.2"/>
          <s v="Trim.3"/>
          <s v="Trim.4"/>
          <s v="&gt;26-08-2026"/>
        </groupItems>
      </fieldGroup>
    </cacheField>
    <cacheField name="Años (Fecha Ingreso)" numFmtId="0" databaseField="0">
      <fieldGroup base="19">
        <rangePr groupBy="years" startDate="2022-12-30T00:00:00" endDate="2026-08-26T00:00:00"/>
        <groupItems count="7">
          <s v="&lt;30-12-2022"/>
          <s v="2022"/>
          <s v="2023"/>
          <s v="2024"/>
          <s v="2025"/>
          <s v="2026"/>
          <s v="&gt;26-08-2026"/>
        </groupItems>
      </fieldGroup>
    </cacheField>
    <cacheField name="Meses (Fecha Facturación)" numFmtId="0" databaseField="0">
      <fieldGroup base="15">
        <rangePr groupBy="months" startDate="2022-12-06T00:00:00" endDate="2026-06-05T00:00:00"/>
        <groupItems count="14">
          <s v="&lt;06-12-2022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05-06-2026"/>
        </groupItems>
      </fieldGroup>
    </cacheField>
    <cacheField name="Trimestres (Fecha Facturación)" numFmtId="0" databaseField="0">
      <fieldGroup base="15">
        <rangePr groupBy="quarters" startDate="2022-12-06T00:00:00" endDate="2026-06-05T00:00:00"/>
        <groupItems count="6">
          <s v="&lt;06-12-2022"/>
          <s v="Trim.1"/>
          <s v="Trim.2"/>
          <s v="Trim.3"/>
          <s v="Trim.4"/>
          <s v="&gt;05-06-2026"/>
        </groupItems>
      </fieldGroup>
    </cacheField>
    <cacheField name="Años (Fecha Facturación)" numFmtId="0" databaseField="0">
      <fieldGroup base="15">
        <rangePr groupBy="years" startDate="2022-12-06T00:00:00" endDate="2026-06-05T00:00:00"/>
        <groupItems count="7">
          <s v="&lt;06-12-2022"/>
          <s v="2022"/>
          <s v="2023"/>
          <s v="2024"/>
          <s v="2025"/>
          <s v="2026"/>
          <s v="&gt;05-06-2026"/>
        </groupItems>
      </fieldGroup>
    </cacheField>
    <cacheField name="Meses (Fecha Emisión)" numFmtId="0" databaseField="0">
      <fieldGroup base="11">
        <rangePr groupBy="months" startDate="2022-11-21T00:00:00" endDate="2026-05-31T00:00:00"/>
        <groupItems count="14">
          <s v="&lt;21-11-2022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31-05-2026"/>
        </groupItems>
      </fieldGroup>
    </cacheField>
    <cacheField name="Trimestres (Fecha Emisión)" numFmtId="0" databaseField="0">
      <fieldGroup base="11">
        <rangePr groupBy="quarters" startDate="2022-11-21T00:00:00" endDate="2026-05-31T00:00:00"/>
        <groupItems count="6">
          <s v="&lt;21-11-2022"/>
          <s v="Trim.1"/>
          <s v="Trim.2"/>
          <s v="Trim.3"/>
          <s v="Trim.4"/>
          <s v="&gt;31-05-2026"/>
        </groupItems>
      </fieldGroup>
    </cacheField>
    <cacheField name="Años (Fecha Emisión)" numFmtId="0" databaseField="0">
      <fieldGroup base="11">
        <rangePr groupBy="years" startDate="2022-11-21T00:00:00" endDate="2026-05-31T00:00:00"/>
        <groupItems count="7">
          <s v="&lt;21-11-2022"/>
          <s v="2022"/>
          <s v="2023"/>
          <s v="2024"/>
          <s v="2025"/>
          <s v="2026"/>
          <s v="&gt;31-05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n v="1"/>
    <m/>
    <x v="0"/>
    <s v=" Strategy analysis for the Hermosa project "/>
    <s v="South32"/>
    <x v="0"/>
    <n v="2025"/>
    <n v="-1"/>
    <m/>
    <m/>
    <n v="1"/>
    <x v="0"/>
    <x v="0"/>
    <n v="44465"/>
    <x v="0"/>
    <x v="0"/>
    <n v="1"/>
    <n v="44465"/>
    <n v="1"/>
    <x v="0"/>
    <x v="0"/>
    <s v="Proyecto de PV"/>
  </r>
  <r>
    <n v="2"/>
    <s v="PE-MSR-UG-FEL03-008-A"/>
    <x v="1"/>
    <s v="Actualizacion LOM Raura"/>
    <s v="Minsur"/>
    <x v="1"/>
    <n v="2023"/>
    <n v="1"/>
    <d v="2023-09-01T00:00:00"/>
    <n v="165237"/>
    <n v="1"/>
    <x v="1"/>
    <x v="0"/>
    <n v="165237"/>
    <x v="1"/>
    <x v="1"/>
    <n v="1"/>
    <n v="165237"/>
    <n v="1"/>
    <x v="1"/>
    <x v="1"/>
    <s v="Dado que no se tiene la OC, el cliente solicitó agrupar las EDP (Junio, Julio y Agosto) / el cliente solicitó retirar alcance (monto total 165,237"/>
  </r>
  <r>
    <n v="3"/>
    <s v="CH-CMP-OU-FEL00-001-A"/>
    <x v="2"/>
    <s v="AARR"/>
    <s v="CMP"/>
    <x v="2"/>
    <n v="2023"/>
    <n v="-1"/>
    <m/>
    <m/>
    <n v="1"/>
    <x v="2"/>
    <x v="0"/>
    <n v="48961.63"/>
    <x v="2"/>
    <x v="2"/>
    <n v="1"/>
    <n v="48961.63"/>
    <n v="1"/>
    <x v="2"/>
    <x v="2"/>
    <m/>
  </r>
  <r>
    <n v="4"/>
    <s v="CH-CMP-OU-FEL00-001-A"/>
    <x v="2"/>
    <s v="AARR"/>
    <s v="CMP"/>
    <x v="2"/>
    <n v="2023"/>
    <n v="-1"/>
    <m/>
    <m/>
    <n v="1"/>
    <x v="2"/>
    <x v="0"/>
    <n v="2880.1731874999996"/>
    <x v="3"/>
    <x v="3"/>
    <n v="1"/>
    <n v="2880.1731874999996"/>
    <n v="1"/>
    <x v="3"/>
    <x v="3"/>
    <m/>
  </r>
  <r>
    <n v="5"/>
    <s v="CH-CMP-OU-FEL00-001-A"/>
    <x v="2"/>
    <s v="AARR"/>
    <s v="CMP"/>
    <x v="2"/>
    <n v="2023"/>
    <n v="-1"/>
    <m/>
    <m/>
    <n v="1"/>
    <x v="3"/>
    <x v="1"/>
    <n v="35461.962500000001"/>
    <x v="4"/>
    <x v="4"/>
    <n v="1"/>
    <n v="35461.962500000001"/>
    <n v="1"/>
    <x v="4"/>
    <x v="4"/>
    <m/>
  </r>
  <r>
    <n v="6"/>
    <s v="CH-CMP-OU-FEL00-001-A"/>
    <x v="2"/>
    <s v="AARR"/>
    <s v="CMP"/>
    <x v="2"/>
    <n v="2023"/>
    <n v="-1"/>
    <m/>
    <m/>
    <n v="1"/>
    <x v="4"/>
    <x v="2"/>
    <n v="20262.080000000002"/>
    <x v="5"/>
    <x v="5"/>
    <n v="1"/>
    <n v="20262.080000000002"/>
    <n v="1"/>
    <x v="5"/>
    <x v="5"/>
    <m/>
  </r>
  <r>
    <n v="7"/>
    <s v="CH-CMP-OU-FEL00-001-A"/>
    <x v="2"/>
    <s v="AARR"/>
    <s v="CMP"/>
    <x v="2"/>
    <n v="2023"/>
    <n v="-1"/>
    <m/>
    <m/>
    <n v="1"/>
    <x v="5"/>
    <x v="3"/>
    <n v="41629"/>
    <x v="6"/>
    <x v="6"/>
    <n v="1"/>
    <n v="41719.32"/>
    <n v="1"/>
    <x v="6"/>
    <x v="6"/>
    <m/>
  </r>
  <r>
    <n v="8"/>
    <s v="CH-CMP-OU-FEL00-001-A"/>
    <x v="2"/>
    <s v="AARR"/>
    <s v="CMP"/>
    <x v="2"/>
    <n v="2023"/>
    <n v="-1"/>
    <m/>
    <m/>
    <n v="1"/>
    <x v="6"/>
    <x v="4"/>
    <n v="29206.65"/>
    <x v="7"/>
    <x v="6"/>
    <n v="1"/>
    <n v="29206.65"/>
    <n v="1"/>
    <x v="6"/>
    <x v="7"/>
    <s v="-"/>
  </r>
  <r>
    <n v="9"/>
    <s v="CH-CMP-OU-FEL00-001-A"/>
    <x v="2"/>
    <s v="AARR"/>
    <s v="CMP"/>
    <x v="2"/>
    <n v="2023"/>
    <n v="-1"/>
    <m/>
    <m/>
    <n v="1"/>
    <x v="7"/>
    <x v="5"/>
    <n v="24240"/>
    <x v="8"/>
    <x v="7"/>
    <n v="1"/>
    <n v="24240"/>
    <n v="1"/>
    <x v="7"/>
    <x v="8"/>
    <m/>
  </r>
  <r>
    <n v="10"/>
    <s v="CH-CMP-OU-FEL00-001-A"/>
    <x v="2"/>
    <s v="AARR"/>
    <s v="CMP"/>
    <x v="2"/>
    <n v="2023"/>
    <n v="-1"/>
    <m/>
    <m/>
    <n v="1"/>
    <x v="8"/>
    <x v="6"/>
    <n v="10588.84"/>
    <x v="9"/>
    <x v="8"/>
    <n v="1"/>
    <n v="10589"/>
    <n v="1"/>
    <x v="8"/>
    <x v="9"/>
    <m/>
  </r>
  <r>
    <n v="11"/>
    <s v="CH-CMP-OU-FEL00-001-A"/>
    <x v="2"/>
    <s v="AARR"/>
    <s v="CMP"/>
    <x v="2"/>
    <n v="2023"/>
    <n v="1"/>
    <d v="2023-09-01T00:00:00"/>
    <n v="1136"/>
    <n v="1"/>
    <x v="1"/>
    <x v="7"/>
    <n v="274"/>
    <x v="10"/>
    <x v="9"/>
    <n v="1"/>
    <n v="274"/>
    <n v="1"/>
    <x v="9"/>
    <x v="10"/>
    <m/>
  </r>
  <r>
    <n v="12"/>
    <s v="CH-CMP-OU-FEL00-001-A"/>
    <x v="2"/>
    <s v="AARR"/>
    <s v="CMP"/>
    <x v="2"/>
    <n v="2023"/>
    <n v="1"/>
    <d v="2023-10-01T00:00:00"/>
    <n v="51143"/>
    <n v="1"/>
    <x v="9"/>
    <x v="8"/>
    <n v="51143"/>
    <x v="11"/>
    <x v="10"/>
    <n v="1"/>
    <n v="51143"/>
    <n v="1"/>
    <x v="10"/>
    <x v="11"/>
    <m/>
  </r>
  <r>
    <n v="13"/>
    <s v="PE-MSR-OT-OTR00-009-A"/>
    <x v="3"/>
    <s v="Sistema de Gestion de Avances (AESA)"/>
    <s v="Minsur"/>
    <x v="1"/>
    <n v="2023"/>
    <n v="-1"/>
    <m/>
    <m/>
    <n v="1"/>
    <x v="2"/>
    <x v="0"/>
    <n v="19250.8"/>
    <x v="12"/>
    <x v="11"/>
    <n v="1"/>
    <n v="19250.8"/>
    <n v="1"/>
    <x v="11"/>
    <x v="12"/>
    <m/>
  </r>
  <r>
    <n v="14"/>
    <s v="PE-MSR-OT-OTR00-009-A"/>
    <x v="3"/>
    <s v="Sistema de Gestion de Avances (AESA)"/>
    <s v="Minsur"/>
    <x v="1"/>
    <n v="2023"/>
    <n v="-1"/>
    <m/>
    <m/>
    <n v="1"/>
    <x v="7"/>
    <x v="1"/>
    <n v="17907.507532000003"/>
    <x v="13"/>
    <x v="12"/>
    <n v="1"/>
    <n v="17907.507532000003"/>
    <n v="1"/>
    <x v="12"/>
    <x v="13"/>
    <m/>
  </r>
  <r>
    <n v="15"/>
    <s v="PE-MSR-OT-OTR00-009-A"/>
    <x v="3"/>
    <s v="Sistema de Gestion de Avances (AESA)"/>
    <s v="Minsur"/>
    <x v="1"/>
    <n v="2023"/>
    <n v="-1"/>
    <m/>
    <m/>
    <n v="1"/>
    <x v="7"/>
    <x v="2"/>
    <n v="8656.69"/>
    <x v="14"/>
    <x v="13"/>
    <n v="1"/>
    <n v="8656.69"/>
    <n v="1"/>
    <x v="13"/>
    <x v="14"/>
    <m/>
  </r>
  <r>
    <n v="16"/>
    <s v="PE-AES-UG-FEL00-203-A"/>
    <x v="4"/>
    <s v="AESA_Construccion Rampas Mina Justa"/>
    <s v="AESA"/>
    <x v="1"/>
    <n v="2026"/>
    <n v="-1"/>
    <m/>
    <m/>
    <n v="1"/>
    <x v="10"/>
    <x v="0"/>
    <n v="19302"/>
    <x v="15"/>
    <x v="14"/>
    <n v="1"/>
    <n v="19302"/>
    <n v="1"/>
    <x v="14"/>
    <x v="15"/>
    <m/>
  </r>
  <r>
    <n v="17"/>
    <s v="CH-CMP-OT-FEL03-002-A"/>
    <x v="5"/>
    <s v="Algarrobo"/>
    <s v="CMP"/>
    <x v="2"/>
    <n v="2023"/>
    <n v="-1"/>
    <m/>
    <m/>
    <n v="1"/>
    <x v="2"/>
    <x v="5"/>
    <n v="46355"/>
    <x v="16"/>
    <x v="15"/>
    <n v="1"/>
    <n v="46355"/>
    <n v="1"/>
    <x v="15"/>
    <x v="16"/>
    <m/>
  </r>
  <r>
    <n v="18"/>
    <s v="CH-CMP-OT-FEL03-002-A"/>
    <x v="5"/>
    <s v="Algarrobo"/>
    <s v="CMP"/>
    <x v="2"/>
    <n v="2023"/>
    <n v="-1"/>
    <m/>
    <m/>
    <n v="1"/>
    <x v="11"/>
    <x v="6"/>
    <n v="115649.15012499999"/>
    <x v="17"/>
    <x v="16"/>
    <n v="1"/>
    <n v="115649.15012499999"/>
    <n v="1"/>
    <x v="16"/>
    <x v="17"/>
    <m/>
  </r>
  <r>
    <n v="19"/>
    <s v="CH-CMP-OT-FEL03-002-A"/>
    <x v="5"/>
    <s v="Algarrobo"/>
    <s v="CMP"/>
    <x v="2"/>
    <n v="2023"/>
    <n v="-1"/>
    <m/>
    <m/>
    <n v="1"/>
    <x v="3"/>
    <x v="7"/>
    <n v="78464.052500000005"/>
    <x v="18"/>
    <x v="17"/>
    <n v="1"/>
    <n v="78464.052500000005"/>
    <n v="1"/>
    <x v="17"/>
    <x v="18"/>
    <m/>
  </r>
  <r>
    <n v="20"/>
    <s v="CH-CMP-OT-FEL03-002-A"/>
    <x v="5"/>
    <s v="Algarrobo"/>
    <s v="CMP"/>
    <x v="2"/>
    <n v="2023"/>
    <n v="-1"/>
    <m/>
    <m/>
    <n v="1"/>
    <x v="4"/>
    <x v="8"/>
    <n v="33129.275000000001"/>
    <x v="19"/>
    <x v="18"/>
    <n v="1"/>
    <n v="33129.275000000001"/>
    <n v="1"/>
    <x v="18"/>
    <x v="19"/>
    <m/>
  </r>
  <r>
    <n v="21"/>
    <s v="CH-CMP-OT-FEL03-002-A"/>
    <x v="5"/>
    <s v="Algarrobo"/>
    <s v="CMP"/>
    <x v="2"/>
    <n v="2023"/>
    <n v="-1"/>
    <m/>
    <m/>
    <n v="1"/>
    <x v="5"/>
    <x v="9"/>
    <n v="55089"/>
    <x v="20"/>
    <x v="19"/>
    <n v="1"/>
    <n v="55848.53"/>
    <n v="1"/>
    <x v="19"/>
    <x v="20"/>
    <m/>
  </r>
  <r>
    <n v="22"/>
    <s v="CH-CMP-OT-FEL03-002-A"/>
    <x v="5"/>
    <s v="Algarrobo"/>
    <s v="CMP"/>
    <x v="2"/>
    <n v="2023"/>
    <n v="-1"/>
    <m/>
    <m/>
    <n v="1"/>
    <x v="6"/>
    <x v="10"/>
    <n v="19271.57"/>
    <x v="21"/>
    <x v="20"/>
    <n v="1"/>
    <n v="19277"/>
    <n v="1"/>
    <x v="6"/>
    <x v="21"/>
    <s v="Se emite la diferencia por 100% del proyecto"/>
  </r>
  <r>
    <n v="23"/>
    <s v="CH-CMP-OT-FEL03-002-A"/>
    <x v="5"/>
    <s v="Algarrobo"/>
    <s v="CMP"/>
    <x v="2"/>
    <n v="2023"/>
    <n v="1"/>
    <d v="2023-10-01T00:00:00"/>
    <n v="266974"/>
    <n v="1"/>
    <x v="9"/>
    <x v="11"/>
    <n v="58723"/>
    <x v="22"/>
    <x v="21"/>
    <n v="1"/>
    <n v="58723"/>
    <n v="1"/>
    <x v="20"/>
    <x v="22"/>
    <s v="Aprobación de NOC 2"/>
  </r>
  <r>
    <n v="24"/>
    <s v="CH-CMP-OT-FEL03-002-A"/>
    <x v="5"/>
    <s v="Algarrobo"/>
    <s v="CMP"/>
    <x v="2"/>
    <n v="2023"/>
    <n v="1"/>
    <d v="2023-11-01T00:00:00"/>
    <n v="83300.391999999993"/>
    <n v="1"/>
    <x v="12"/>
    <x v="12"/>
    <n v="64612"/>
    <x v="23"/>
    <x v="22"/>
    <n v="1"/>
    <n v="64612"/>
    <n v="1"/>
    <x v="21"/>
    <x v="23"/>
    <m/>
  </r>
  <r>
    <n v="25"/>
    <s v="CH-CMP-OT-FEL03-002-A"/>
    <x v="5"/>
    <s v="Algarrobo"/>
    <s v="CMP"/>
    <x v="2"/>
    <n v="2023"/>
    <n v="1"/>
    <d v="2023-12-01T00:00:00"/>
    <n v="57455.591999999997"/>
    <n v="1"/>
    <x v="13"/>
    <x v="13"/>
    <n v="63352"/>
    <x v="24"/>
    <x v="23"/>
    <n v="1"/>
    <n v="63352"/>
    <n v="1"/>
    <x v="22"/>
    <x v="24"/>
    <m/>
  </r>
  <r>
    <n v="26"/>
    <s v="CH-CMP-OT-FEL03-002-A"/>
    <x v="5"/>
    <s v="Algarrobo"/>
    <s v="CMP"/>
    <x v="2"/>
    <n v="2024"/>
    <n v="-1"/>
    <d v="2024-02-01T00:00:00"/>
    <n v="0"/>
    <n v="1"/>
    <x v="14"/>
    <x v="14"/>
    <n v="11925"/>
    <x v="25"/>
    <x v="24"/>
    <n v="1"/>
    <n v="11925"/>
    <n v="1"/>
    <x v="23"/>
    <x v="25"/>
    <m/>
  </r>
  <r>
    <n v="27"/>
    <s v="CH-CMP-OT-FEL03-002-A"/>
    <x v="5"/>
    <s v="Algarrobo"/>
    <s v="CMP"/>
    <x v="2"/>
    <n v="2024"/>
    <n v="-1"/>
    <d v="2024-04-01T00:00:00"/>
    <n v="0"/>
    <n v="1"/>
    <x v="15"/>
    <x v="15"/>
    <n v="37470"/>
    <x v="26"/>
    <x v="25"/>
    <n v="1"/>
    <n v="31084.113067635655"/>
    <n v="1"/>
    <x v="24"/>
    <x v="26"/>
    <m/>
  </r>
  <r>
    <n v="28"/>
    <s v="CH-CMP-OT-FEL03-002-A"/>
    <x v="5"/>
    <s v="Algarrobo"/>
    <s v="CMP"/>
    <x v="2"/>
    <n v="2024"/>
    <n v="-1"/>
    <m/>
    <m/>
    <n v="1"/>
    <x v="16"/>
    <x v="16"/>
    <n v="24846"/>
    <x v="27"/>
    <x v="26"/>
    <n v="1"/>
    <n v="24846"/>
    <n v="1"/>
    <x v="25"/>
    <x v="27"/>
    <m/>
  </r>
  <r>
    <n v="29"/>
    <s v="PE-VLC-GM-FEL00-157-A"/>
    <x v="6"/>
    <s v="Alpamarca_Estudio de Estabilidad Tajo"/>
    <s v="Alpamarca"/>
    <x v="1"/>
    <n v="2025"/>
    <n v="-1"/>
    <m/>
    <m/>
    <n v="1"/>
    <x v="17"/>
    <x v="0"/>
    <n v="24440"/>
    <x v="28"/>
    <x v="27"/>
    <n v="1"/>
    <n v="24440"/>
    <n v="1"/>
    <x v="26"/>
    <x v="28"/>
    <m/>
  </r>
  <r>
    <n v="30"/>
    <s v="PE-ALP-GM-FEL00-156-A"/>
    <x v="7"/>
    <s v="Alpayana_Estudio de Sismicidad"/>
    <s v="Alpayana"/>
    <x v="1"/>
    <n v="2025"/>
    <n v="-1"/>
    <m/>
    <m/>
    <n v="1"/>
    <x v="18"/>
    <x v="0"/>
    <n v="14455"/>
    <x v="29"/>
    <x v="28"/>
    <n v="1"/>
    <n v="14634"/>
    <n v="1"/>
    <x v="27"/>
    <x v="29"/>
    <m/>
  </r>
  <r>
    <n v="31"/>
    <s v="PE-ALP-GM-FEL00-156-A"/>
    <x v="7"/>
    <s v="Alpayana_Estudio de Sismicidad"/>
    <s v="Alpayana"/>
    <x v="1"/>
    <n v="2025"/>
    <n v="-1"/>
    <m/>
    <m/>
    <n v="1"/>
    <x v="0"/>
    <x v="1"/>
    <n v="13779"/>
    <x v="30"/>
    <x v="28"/>
    <n v="1"/>
    <n v="13884"/>
    <n v="1"/>
    <x v="27"/>
    <x v="30"/>
    <m/>
  </r>
  <r>
    <n v="32"/>
    <s v="PE-ALP-GM-FEL00-156-A"/>
    <x v="7"/>
    <s v="Alpayana_Estudio de Sismicidad"/>
    <s v="Alpayana"/>
    <x v="1"/>
    <n v="2025"/>
    <n v="-1"/>
    <m/>
    <m/>
    <n v="1"/>
    <x v="17"/>
    <x v="2"/>
    <n v="15554"/>
    <x v="31"/>
    <x v="28"/>
    <n v="1"/>
    <n v="15572"/>
    <n v="1"/>
    <x v="27"/>
    <x v="31"/>
    <m/>
  </r>
  <r>
    <n v="33"/>
    <s v="PE-ALP-GM-FEL00-156-A"/>
    <x v="7"/>
    <s v="Alpayana_Estudio de Sismicidad"/>
    <s v="Alpayana"/>
    <x v="1"/>
    <n v="2025"/>
    <n v="-1"/>
    <m/>
    <m/>
    <n v="1"/>
    <x v="19"/>
    <x v="3"/>
    <n v="20205"/>
    <x v="32"/>
    <x v="28"/>
    <n v="1"/>
    <n v="20263"/>
    <n v="1"/>
    <x v="27"/>
    <x v="32"/>
    <m/>
  </r>
  <r>
    <n v="34"/>
    <s v="PE-ALP-GM-FEL00-156-A"/>
    <x v="7"/>
    <s v="Alpayana_Estudio de Sismicidad"/>
    <s v="Alpayana"/>
    <x v="1"/>
    <n v="2025"/>
    <n v="-1"/>
    <m/>
    <m/>
    <n v="1"/>
    <x v="20"/>
    <x v="4"/>
    <n v="34300"/>
    <x v="33"/>
    <x v="29"/>
    <n v="1"/>
    <n v="34334"/>
    <n v="1"/>
    <x v="28"/>
    <x v="33"/>
    <m/>
  </r>
  <r>
    <n v="35"/>
    <s v="PE-ALP-GM-FEL00-156-A"/>
    <x v="7"/>
    <s v="Alpayana_Estudio de Sismicidad"/>
    <s v="Alpayana"/>
    <x v="1"/>
    <n v="2025"/>
    <n v="-1"/>
    <m/>
    <m/>
    <n v="1"/>
    <x v="21"/>
    <x v="5"/>
    <n v="33020"/>
    <x v="34"/>
    <x v="30"/>
    <n v="1"/>
    <n v="33021"/>
    <n v="1"/>
    <x v="29"/>
    <x v="34"/>
    <m/>
  </r>
  <r>
    <n v="36"/>
    <s v="PE-ALP-GM-FEL00-156-A"/>
    <x v="7"/>
    <s v="Alpayana_Estudio de Sismicidad"/>
    <s v="Alpayana"/>
    <x v="1"/>
    <n v="2026"/>
    <n v="-1"/>
    <m/>
    <m/>
    <n v="1"/>
    <x v="22"/>
    <x v="6"/>
    <n v="36078"/>
    <x v="35"/>
    <x v="30"/>
    <n v="1"/>
    <n v="36022"/>
    <n v="1"/>
    <x v="29"/>
    <x v="35"/>
    <m/>
  </r>
  <r>
    <n v="37"/>
    <s v="PE-ALP-GM-FEL00-156-A"/>
    <x v="7"/>
    <s v="Alpayana_Estudio de Sismicidad"/>
    <s v="Alpayana"/>
    <x v="1"/>
    <n v="2026"/>
    <n v="-1"/>
    <m/>
    <m/>
    <n v="1"/>
    <x v="23"/>
    <x v="7"/>
    <n v="20228"/>
    <x v="36"/>
    <x v="31"/>
    <n v="-1"/>
    <m/>
    <n v="-1"/>
    <x v="30"/>
    <x v="36"/>
    <m/>
  </r>
  <r>
    <n v="38"/>
    <s v="CH-AMS-CS-OTR00-075-A"/>
    <x v="8"/>
    <s v="AMSA_Asesoria Centinela"/>
    <s v="AMSA"/>
    <x v="2"/>
    <n v="2024"/>
    <n v="-1"/>
    <d v="2024-03-01T00:00:00"/>
    <n v="0"/>
    <n v="1"/>
    <x v="24"/>
    <x v="0"/>
    <n v="62048"/>
    <x v="37"/>
    <x v="32"/>
    <n v="1"/>
    <n v="62048"/>
    <n v="1"/>
    <x v="31"/>
    <x v="37"/>
    <m/>
  </r>
  <r>
    <n v="39"/>
    <s v="CH-AMS-CS-OTR00-075-A"/>
    <x v="8"/>
    <s v="AMSA_Asesoria Centinela"/>
    <s v="AMSA"/>
    <x v="2"/>
    <n v="2024"/>
    <n v="1"/>
    <d v="2024-04-01T00:00:00"/>
    <n v="61813"/>
    <n v="1"/>
    <x v="15"/>
    <x v="1"/>
    <n v="44853"/>
    <x v="38"/>
    <x v="33"/>
    <n v="1"/>
    <n v="44853"/>
    <n v="1"/>
    <x v="32"/>
    <x v="38"/>
    <m/>
  </r>
  <r>
    <n v="40"/>
    <s v="CH-AMS-CS-OTR00-075-A"/>
    <x v="8"/>
    <s v="AMSA_Asesoria Centinela"/>
    <s v="AMSA"/>
    <x v="2"/>
    <n v="2024"/>
    <n v="1"/>
    <d v="2024-05-01T00:00:00"/>
    <n v="118299.5"/>
    <n v="1"/>
    <x v="25"/>
    <x v="2"/>
    <n v="35250"/>
    <x v="39"/>
    <x v="34"/>
    <n v="1"/>
    <n v="35250"/>
    <n v="1"/>
    <x v="33"/>
    <x v="39"/>
    <m/>
  </r>
  <r>
    <n v="41"/>
    <s v="CH-AMS-CS-OTR00-075-A"/>
    <x v="8"/>
    <s v="AMSA_Asesoria Centinela"/>
    <s v="AMSA"/>
    <x v="2"/>
    <n v="2024"/>
    <n v="1"/>
    <d v="2024-06-01T00:00:00"/>
    <n v="83049.5"/>
    <n v="1"/>
    <x v="26"/>
    <x v="3"/>
    <n v="74540"/>
    <x v="40"/>
    <x v="35"/>
    <n v="1"/>
    <n v="74540"/>
    <n v="1"/>
    <x v="34"/>
    <x v="40"/>
    <m/>
  </r>
  <r>
    <n v="42"/>
    <s v="CH-AMS-CS-OTR00-075-A"/>
    <x v="8"/>
    <s v="AMSA_Asesoria Centinela"/>
    <s v="AMSA"/>
    <x v="2"/>
    <n v="2024"/>
    <n v="-1"/>
    <m/>
    <m/>
    <n v="1"/>
    <x v="27"/>
    <x v="4"/>
    <n v="8760"/>
    <x v="41"/>
    <x v="36"/>
    <n v="1"/>
    <n v="8759"/>
    <n v="1"/>
    <x v="35"/>
    <x v="41"/>
    <m/>
  </r>
  <r>
    <n v="43"/>
    <s v="CH-AMS-OT-OTR00-108-A"/>
    <x v="9"/>
    <s v="AMSA_Contrato Marco"/>
    <s v="AMSA"/>
    <x v="2"/>
    <n v="2024"/>
    <n v="-1"/>
    <m/>
    <m/>
    <n v="1"/>
    <x v="28"/>
    <x v="0"/>
    <n v="34347"/>
    <x v="42"/>
    <x v="37"/>
    <n v="1"/>
    <n v="34347"/>
    <n v="1"/>
    <x v="36"/>
    <x v="42"/>
    <m/>
  </r>
  <r>
    <n v="44"/>
    <s v="CH-AMS-OT-OTR00-108-A"/>
    <x v="9"/>
    <s v="AMSA_Contrato Marco"/>
    <s v="AMSA"/>
    <x v="2"/>
    <n v="2024"/>
    <n v="-1"/>
    <m/>
    <m/>
    <n v="1"/>
    <x v="29"/>
    <x v="1"/>
    <n v="18000"/>
    <x v="43"/>
    <x v="37"/>
    <n v="1"/>
    <n v="18000"/>
    <n v="1"/>
    <x v="36"/>
    <x v="43"/>
    <m/>
  </r>
  <r>
    <n v="45"/>
    <s v="CH-AMS-OT-OTR00-108-A"/>
    <x v="9"/>
    <s v="AMSA_Contrato Marco"/>
    <s v="AMSA"/>
    <x v="2"/>
    <n v="2024"/>
    <n v="-1"/>
    <m/>
    <m/>
    <n v="1"/>
    <x v="30"/>
    <x v="2"/>
    <n v="11821"/>
    <x v="44"/>
    <x v="38"/>
    <n v="1"/>
    <n v="11821"/>
    <n v="1"/>
    <x v="37"/>
    <x v="44"/>
    <m/>
  </r>
  <r>
    <n v="46"/>
    <s v="CH-AMS-OT-OTR00-108-A"/>
    <x v="9"/>
    <s v="AMSA_Contrato Marco"/>
    <s v="AMSA"/>
    <x v="2"/>
    <n v="2024"/>
    <n v="-1"/>
    <m/>
    <m/>
    <n v="1"/>
    <x v="31"/>
    <x v="3"/>
    <n v="12357"/>
    <x v="45"/>
    <x v="39"/>
    <n v="1"/>
    <n v="12357"/>
    <n v="1"/>
    <x v="38"/>
    <x v="45"/>
    <m/>
  </r>
  <r>
    <n v="47"/>
    <s v="CH-AMS-OT-OTR00-108-A"/>
    <x v="9"/>
    <s v="AMSA_Contrato Marco"/>
    <s v="AMSA"/>
    <x v="2"/>
    <n v="2025"/>
    <n v="-1"/>
    <m/>
    <m/>
    <n v="1"/>
    <x v="32"/>
    <x v="4"/>
    <n v="7816"/>
    <x v="46"/>
    <x v="40"/>
    <n v="1"/>
    <n v="7816"/>
    <n v="1"/>
    <x v="39"/>
    <x v="46"/>
    <m/>
  </r>
  <r>
    <n v="48"/>
    <s v="CH-AMS-OT-OTR00-108-A"/>
    <x v="9"/>
    <s v="AMSA_Contrato Marco"/>
    <s v="AMSA"/>
    <x v="2"/>
    <n v="2025"/>
    <n v="-1"/>
    <m/>
    <m/>
    <n v="1"/>
    <x v="33"/>
    <x v="5"/>
    <n v="10739"/>
    <x v="47"/>
    <x v="41"/>
    <n v="1"/>
    <n v="10739"/>
    <n v="1"/>
    <x v="40"/>
    <x v="47"/>
    <m/>
  </r>
  <r>
    <n v="49"/>
    <s v="CH-AMS-OT-OTR00-108-A"/>
    <x v="9"/>
    <s v="AMSA_Contrato Marco"/>
    <s v="AMSA"/>
    <x v="2"/>
    <n v="2025"/>
    <n v="-1"/>
    <m/>
    <m/>
    <n v="1"/>
    <x v="34"/>
    <x v="6"/>
    <n v="8828"/>
    <x v="48"/>
    <x v="42"/>
    <n v="1"/>
    <n v="8828"/>
    <n v="1"/>
    <x v="41"/>
    <x v="48"/>
    <m/>
  </r>
  <r>
    <n v="50"/>
    <s v="CH-AMS-OT-OTR00-108-A"/>
    <x v="9"/>
    <s v="AMSA_Contrato Marco"/>
    <s v="AMSA"/>
    <x v="2"/>
    <n v="2025"/>
    <n v="-1"/>
    <m/>
    <m/>
    <n v="1"/>
    <x v="35"/>
    <x v="7"/>
    <n v="4263"/>
    <x v="49"/>
    <x v="42"/>
    <n v="1"/>
    <n v="4263"/>
    <n v="1"/>
    <x v="41"/>
    <x v="49"/>
    <m/>
  </r>
  <r>
    <n v="51"/>
    <s v="CH-AMS-CS-OTR00-063-A"/>
    <x v="10"/>
    <s v="AMSA_Estandares Minimos"/>
    <s v="AMSA"/>
    <x v="2"/>
    <n v="2024"/>
    <n v="1"/>
    <d v="2024-04-01T00:00:00"/>
    <n v="54990"/>
    <n v="1"/>
    <x v="15"/>
    <x v="0"/>
    <n v="31730"/>
    <x v="50"/>
    <x v="43"/>
    <n v="1"/>
    <n v="31730"/>
    <n v="1"/>
    <x v="42"/>
    <x v="50"/>
    <m/>
  </r>
  <r>
    <n v="52"/>
    <s v="CH-AMS-CS-OTR00-063-A"/>
    <x v="10"/>
    <s v="AMSA_Estandares Minimos"/>
    <s v="AMSA"/>
    <x v="2"/>
    <n v="2024"/>
    <n v="1"/>
    <d v="2024-06-01T00:00:00"/>
    <n v="33341.5"/>
    <n v="1"/>
    <x v="26"/>
    <x v="1"/>
    <n v="21884"/>
    <x v="51"/>
    <x v="35"/>
    <n v="1"/>
    <n v="21884"/>
    <n v="1"/>
    <x v="34"/>
    <x v="51"/>
    <m/>
  </r>
  <r>
    <n v="53"/>
    <s v="CH-AMS-CS-OTR00-063-A"/>
    <x v="10"/>
    <s v="AMSA_Estandares Minimos"/>
    <s v="AMSA"/>
    <x v="2"/>
    <n v="2024"/>
    <n v="-1"/>
    <m/>
    <m/>
    <n v="1"/>
    <x v="27"/>
    <x v="2"/>
    <n v="15305"/>
    <x v="52"/>
    <x v="36"/>
    <n v="1"/>
    <n v="15305"/>
    <n v="1"/>
    <x v="35"/>
    <x v="52"/>
    <m/>
  </r>
  <r>
    <n v="54"/>
    <s v="CH-AMS-CS-OTR00-063-A"/>
    <x v="10"/>
    <s v="AMSA_Estandares Minimos"/>
    <s v="AMSA"/>
    <x v="2"/>
    <n v="2024"/>
    <n v="-1"/>
    <m/>
    <m/>
    <n v="1"/>
    <x v="29"/>
    <x v="3"/>
    <n v="19723"/>
    <x v="53"/>
    <x v="44"/>
    <n v="1"/>
    <n v="19723"/>
    <n v="1"/>
    <x v="36"/>
    <x v="53"/>
    <m/>
  </r>
  <r>
    <n v="55"/>
    <s v="CH-AMS-CS-OTR00-165-A"/>
    <x v="11"/>
    <s v="AMSA_Mejoras Planificación Centinela"/>
    <s v="AMSA"/>
    <x v="2"/>
    <n v="2025"/>
    <n v="-1"/>
    <m/>
    <m/>
    <n v="1"/>
    <x v="36"/>
    <x v="0"/>
    <n v="54264"/>
    <x v="54"/>
    <x v="45"/>
    <n v="1"/>
    <n v="54264"/>
    <n v="1"/>
    <x v="43"/>
    <x v="54"/>
    <m/>
  </r>
  <r>
    <n v="56"/>
    <s v="CH-AMS-CS-OTR00-165-A"/>
    <x v="11"/>
    <s v="AMSA_Mejoras Planificación Centinela"/>
    <s v="AMSA"/>
    <x v="2"/>
    <n v="2025"/>
    <n v="-1"/>
    <m/>
    <m/>
    <n v="1"/>
    <x v="37"/>
    <x v="1"/>
    <n v="25487"/>
    <x v="55"/>
    <x v="46"/>
    <n v="1"/>
    <n v="25487"/>
    <n v="1"/>
    <x v="44"/>
    <x v="55"/>
    <m/>
  </r>
  <r>
    <n v="57"/>
    <s v="CH-AMS-CS-OTR00-029-A"/>
    <x v="12"/>
    <s v="AMSA_Planificación"/>
    <s v="AMSA"/>
    <x v="2"/>
    <n v="2023"/>
    <n v="-1"/>
    <d v="2023-09-01T00:00:00"/>
    <n v="0"/>
    <n v="1"/>
    <x v="1"/>
    <x v="0"/>
    <n v="30338"/>
    <x v="56"/>
    <x v="47"/>
    <n v="1"/>
    <n v="30338"/>
    <n v="1"/>
    <x v="45"/>
    <x v="56"/>
    <m/>
  </r>
  <r>
    <n v="58"/>
    <s v="CH-AMS-CS-OTR00-029-A"/>
    <x v="12"/>
    <s v="AMSA_Planificación"/>
    <s v="AMSA"/>
    <x v="2"/>
    <n v="2023"/>
    <n v="1"/>
    <d v="2023-10-01T00:00:00"/>
    <n v="40000"/>
    <n v="1"/>
    <x v="9"/>
    <x v="1"/>
    <n v="105098"/>
    <x v="57"/>
    <x v="48"/>
    <n v="1"/>
    <n v="105098"/>
    <n v="1"/>
    <x v="46"/>
    <x v="57"/>
    <m/>
  </r>
  <r>
    <n v="59"/>
    <s v="CH-AMS-CS-OTR00-029-A"/>
    <x v="12"/>
    <s v="AMSA_Planificación"/>
    <s v="AMSA"/>
    <x v="2"/>
    <n v="2023"/>
    <n v="1"/>
    <d v="2023-11-01T00:00:00"/>
    <n v="43769.1"/>
    <n v="1"/>
    <x v="12"/>
    <x v="2"/>
    <n v="60311"/>
    <x v="58"/>
    <x v="49"/>
    <n v="1"/>
    <n v="60311"/>
    <n v="1"/>
    <x v="47"/>
    <x v="58"/>
    <m/>
  </r>
  <r>
    <n v="60"/>
    <s v="CH-AMS-CS-OTR00-029-A"/>
    <x v="12"/>
    <s v="AMSA_Planificación"/>
    <s v="AMSA"/>
    <x v="2"/>
    <n v="2023"/>
    <n v="1"/>
    <d v="2023-12-01T00:00:00"/>
    <n v="172360"/>
    <n v="1"/>
    <x v="13"/>
    <x v="3"/>
    <n v="186082"/>
    <x v="59"/>
    <x v="50"/>
    <n v="1"/>
    <n v="186082"/>
    <n v="1"/>
    <x v="48"/>
    <x v="59"/>
    <m/>
  </r>
  <r>
    <n v="61"/>
    <s v="CH-AMS-CS-OTR00-029-A"/>
    <x v="12"/>
    <s v="AMSA_Planificación"/>
    <s v="AMSA"/>
    <x v="2"/>
    <n v="2023"/>
    <n v="-1"/>
    <d v="2023-12-01T00:00:00"/>
    <n v="0"/>
    <n v="1"/>
    <x v="38"/>
    <x v="4"/>
    <n v="45403"/>
    <x v="60"/>
    <x v="50"/>
    <n v="1"/>
    <n v="45403"/>
    <n v="1"/>
    <x v="49"/>
    <x v="60"/>
    <m/>
  </r>
  <r>
    <n v="62"/>
    <s v="CH-AMS-OP-FEL00-171-A"/>
    <x v="13"/>
    <s v="AMSA_RIINO BC - Centinela"/>
    <s v="AMSA"/>
    <x v="2"/>
    <n v="2025"/>
    <n v="-1"/>
    <m/>
    <m/>
    <n v="1"/>
    <x v="39"/>
    <x v="0"/>
    <n v="129692"/>
    <x v="61"/>
    <x v="51"/>
    <n v="1"/>
    <n v="129692"/>
    <n v="1"/>
    <x v="43"/>
    <x v="61"/>
    <m/>
  </r>
  <r>
    <n v="63"/>
    <s v="CH-AMS-OP-FEL00-171-A"/>
    <x v="13"/>
    <s v="AMSA_RIINO BC - Centinela"/>
    <s v="AMSA"/>
    <x v="2"/>
    <n v="2026"/>
    <n v="-1"/>
    <m/>
    <m/>
    <n v="1"/>
    <x v="40"/>
    <x v="1"/>
    <n v="23913"/>
    <x v="62"/>
    <x v="52"/>
    <n v="1"/>
    <n v="23913"/>
    <n v="1"/>
    <x v="50"/>
    <x v="62"/>
    <m/>
  </r>
  <r>
    <n v="64"/>
    <s v="CH-AMS-CS-OTR00-116-A"/>
    <x v="14"/>
    <s v="AMSA_Trade Off Tecnologico NGD"/>
    <s v="AMSA"/>
    <x v="2"/>
    <n v="2025"/>
    <n v="-1"/>
    <m/>
    <m/>
    <n v="1"/>
    <x v="41"/>
    <x v="0"/>
    <n v="31900"/>
    <x v="63"/>
    <x v="40"/>
    <n v="1"/>
    <n v="31885"/>
    <n v="1"/>
    <x v="39"/>
    <x v="63"/>
    <m/>
  </r>
  <r>
    <n v="65"/>
    <s v="CH-AMS-CS-OTR00-116-A"/>
    <x v="14"/>
    <s v="AMSA_Trade Off Tecnologico NGD"/>
    <s v="AMSA"/>
    <x v="2"/>
    <n v="2025"/>
    <n v="-1"/>
    <m/>
    <m/>
    <n v="1"/>
    <x v="42"/>
    <x v="1"/>
    <n v="32888"/>
    <x v="64"/>
    <x v="53"/>
    <n v="1"/>
    <n v="32888"/>
    <n v="1"/>
    <x v="51"/>
    <x v="64"/>
    <m/>
  </r>
  <r>
    <n v="66"/>
    <s v="CH-AMS-CS-OTR00-116-A"/>
    <x v="14"/>
    <s v="AMSA_Trade Off Tecnologico NGD"/>
    <s v="AMSA"/>
    <x v="2"/>
    <n v="2025"/>
    <n v="-1"/>
    <m/>
    <m/>
    <n v="1"/>
    <x v="34"/>
    <x v="2"/>
    <n v="30364.67"/>
    <x v="65"/>
    <x v="53"/>
    <n v="1"/>
    <n v="30365"/>
    <n v="1"/>
    <x v="51"/>
    <x v="65"/>
    <m/>
  </r>
  <r>
    <n v="67"/>
    <s v="CH-AMS-CS-OTR00-116-A"/>
    <x v="14"/>
    <s v="AMSA_Trade Off Tecnologico NGD"/>
    <s v="AMSA"/>
    <x v="2"/>
    <n v="2025"/>
    <n v="-1"/>
    <m/>
    <m/>
    <n v="1"/>
    <x v="35"/>
    <x v="3"/>
    <n v="39293"/>
    <x v="66"/>
    <x v="54"/>
    <n v="1"/>
    <n v="39293"/>
    <n v="1"/>
    <x v="52"/>
    <x v="66"/>
    <m/>
  </r>
  <r>
    <n v="68"/>
    <s v="CH-AAM-CS-OTR00-179-A"/>
    <x v="15"/>
    <s v="Anglo_Production at Risk Mina Rio"/>
    <s v="AngloAmerican"/>
    <x v="2"/>
    <n v="2025"/>
    <n v="-1"/>
    <m/>
    <m/>
    <n v="1"/>
    <x v="43"/>
    <x v="0"/>
    <n v="26973"/>
    <x v="67"/>
    <x v="55"/>
    <n v="1"/>
    <n v="26973"/>
    <n v="1"/>
    <x v="53"/>
    <x v="67"/>
    <s v="Facturas inicialmente mal emitidas"/>
  </r>
  <r>
    <n v="69"/>
    <s v="CH-AAM-CS-OTR00-179-A"/>
    <x v="15"/>
    <s v="Anglo_Production at Risk Mina Rio"/>
    <s v="AngloAmerican"/>
    <x v="2"/>
    <n v="2025"/>
    <n v="-1"/>
    <m/>
    <m/>
    <n v="1"/>
    <x v="19"/>
    <x v="1"/>
    <n v="51957"/>
    <x v="68"/>
    <x v="55"/>
    <n v="1"/>
    <n v="51957"/>
    <n v="1"/>
    <x v="53"/>
    <x v="68"/>
    <s v="Facturas inicialmente mal emitidas"/>
  </r>
  <r>
    <n v="70"/>
    <s v="CH-AAM-CS-OTR00-179-A"/>
    <x v="15"/>
    <s v="Anglo_Production at Risk Mina Rio"/>
    <s v="AngloAmerican"/>
    <x v="2"/>
    <n v="2025"/>
    <n v="-1"/>
    <m/>
    <m/>
    <n v="1"/>
    <x v="20"/>
    <x v="2"/>
    <n v="5940"/>
    <x v="69"/>
    <x v="56"/>
    <n v="1"/>
    <n v="5940"/>
    <n v="1"/>
    <x v="43"/>
    <x v="69"/>
    <m/>
  </r>
  <r>
    <n v="71"/>
    <s v="CH-AAM-CS-OTR00-146-A"/>
    <x v="16"/>
    <s v="AngloAmerican_Análisis Productividad MLB"/>
    <s v="AngloAmerican"/>
    <x v="2"/>
    <n v="2025"/>
    <n v="-1"/>
    <m/>
    <m/>
    <n v="1"/>
    <x v="35"/>
    <x v="0"/>
    <n v="62417"/>
    <x v="70"/>
    <x v="57"/>
    <n v="1"/>
    <n v="62417"/>
    <n v="1"/>
    <x v="54"/>
    <x v="70"/>
    <m/>
  </r>
  <r>
    <n v="72"/>
    <s v="CH-AAM-OT-FEL03-139-A"/>
    <x v="17"/>
    <s v="AngloAmerican_Tecnología HDD"/>
    <s v="AngloAmerican"/>
    <x v="2"/>
    <n v="2025"/>
    <n v="-1"/>
    <m/>
    <m/>
    <n v="1"/>
    <x v="41"/>
    <x v="0"/>
    <n v="5211"/>
    <x v="71"/>
    <x v="58"/>
    <n v="1"/>
    <n v="5211"/>
    <n v="-1"/>
    <x v="55"/>
    <x v="36"/>
    <s v="F-268"/>
  </r>
  <r>
    <n v="73"/>
    <s v="CH-AAM-OT-FEL03-139-A"/>
    <x v="17"/>
    <s v="AngloAmerican_Tecnología HDD"/>
    <s v="AngloAmerican"/>
    <x v="2"/>
    <n v="2025"/>
    <n v="-1"/>
    <m/>
    <m/>
    <n v="1"/>
    <x v="44"/>
    <x v="1"/>
    <n v="10435"/>
    <x v="71"/>
    <x v="59"/>
    <n v="1"/>
    <n v="10435"/>
    <n v="-1"/>
    <x v="56"/>
    <x v="36"/>
    <s v="F-282"/>
  </r>
  <r>
    <n v="74"/>
    <s v="CH-AAM-OT-FEL03-139-A"/>
    <x v="17"/>
    <s v="AngloAmerican_Tecnología HDD"/>
    <s v="AngloAmerican"/>
    <x v="2"/>
    <n v="2025"/>
    <n v="-1"/>
    <m/>
    <m/>
    <n v="1"/>
    <x v="45"/>
    <x v="2"/>
    <n v="38772.33"/>
    <x v="71"/>
    <x v="60"/>
    <n v="1"/>
    <n v="38772"/>
    <n v="-1"/>
    <x v="57"/>
    <x v="36"/>
    <s v="F-287"/>
  </r>
  <r>
    <n v="75"/>
    <s v="CH-AAM-OT-FEL03-139-A"/>
    <x v="17"/>
    <s v="AngloAmerican_Tecnología HDD"/>
    <s v="AngloAmerican"/>
    <x v="2"/>
    <n v="2025"/>
    <n v="-1"/>
    <m/>
    <m/>
    <n v="1"/>
    <x v="46"/>
    <x v="3"/>
    <n v="66963"/>
    <x v="71"/>
    <x v="61"/>
    <n v="1"/>
    <n v="66963"/>
    <n v="-1"/>
    <x v="58"/>
    <x v="36"/>
    <s v="F-305"/>
  </r>
  <r>
    <n v="76"/>
    <s v="CH-AAM-OT-FEL03-139-A"/>
    <x v="17"/>
    <s v="AngloAmerican_Tecnología HDD"/>
    <s v="AngloAmerican"/>
    <x v="2"/>
    <n v="2025"/>
    <n v="-1"/>
    <m/>
    <m/>
    <n v="1"/>
    <x v="47"/>
    <x v="4"/>
    <n v="17604"/>
    <x v="71"/>
    <x v="62"/>
    <n v="1"/>
    <n v="17604"/>
    <n v="-1"/>
    <x v="54"/>
    <x v="36"/>
    <s v="F-319"/>
  </r>
  <r>
    <n v="77"/>
    <s v="CH-AAM-OT-FEL03-139-A"/>
    <x v="17"/>
    <s v="AngloAmerican_Tecnología HDD"/>
    <s v="AngloAmerican"/>
    <x v="2"/>
    <n v="2025"/>
    <n v="-1"/>
    <m/>
    <m/>
    <n v="1"/>
    <x v="48"/>
    <x v="5"/>
    <n v="18605"/>
    <x v="71"/>
    <x v="63"/>
    <n v="1"/>
    <n v="18605"/>
    <n v="-1"/>
    <x v="59"/>
    <x v="36"/>
    <s v="F-328"/>
  </r>
  <r>
    <n v="78"/>
    <s v="CH-AAM-OT-FEL03-139-A"/>
    <x v="17"/>
    <s v="AngloAmerican_Tecnología HDD"/>
    <s v="AngloAmerican"/>
    <x v="2"/>
    <n v="2025"/>
    <n v="-1"/>
    <m/>
    <m/>
    <n v="1"/>
    <x v="49"/>
    <x v="6"/>
    <n v="3431"/>
    <x v="71"/>
    <x v="64"/>
    <n v="1"/>
    <n v="3431"/>
    <n v="-1"/>
    <x v="60"/>
    <x v="36"/>
    <s v="F-335"/>
  </r>
  <r>
    <n v="79"/>
    <s v="CH-AAM-OT-FEL03-139-A"/>
    <x v="17"/>
    <s v="AngloAmerican_Tecnología HDD"/>
    <s v="AngloAmerican"/>
    <x v="2"/>
    <n v="2025"/>
    <n v="-1"/>
    <m/>
    <m/>
    <n v="1"/>
    <x v="50"/>
    <x v="7"/>
    <n v="22409"/>
    <x v="71"/>
    <x v="31"/>
    <n v="-1"/>
    <m/>
    <n v="-1"/>
    <x v="30"/>
    <x v="36"/>
    <s v="22.409 USD"/>
  </r>
  <r>
    <n v="80"/>
    <s v="CH-AAM-OT-FEL03-139-A"/>
    <x v="17"/>
    <s v="AngloAmerican_Tecnología HDD"/>
    <s v="AngloAmerican"/>
    <x v="2"/>
    <n v="2025"/>
    <n v="-1"/>
    <m/>
    <m/>
    <n v="1"/>
    <x v="19"/>
    <x v="8"/>
    <n v="9954"/>
    <x v="71"/>
    <x v="31"/>
    <n v="-1"/>
    <m/>
    <n v="-1"/>
    <x v="30"/>
    <x v="36"/>
    <s v="9.954 USD"/>
  </r>
  <r>
    <n v="81"/>
    <s v="RU-ATL-OP-FEL00-148-A"/>
    <x v="18"/>
    <s v="AtlasMining_Ley de corte optima Malomyr"/>
    <s v="AtlasMining"/>
    <x v="3"/>
    <n v="2026"/>
    <n v="1"/>
    <d v="2026-02-25T00:00:00"/>
    <n v="27078.712469569924"/>
    <n v="1"/>
    <x v="51"/>
    <x v="2"/>
    <n v="15000"/>
    <x v="0"/>
    <x v="65"/>
    <n v="1"/>
    <n v="15000"/>
    <n v="1"/>
    <x v="61"/>
    <x v="71"/>
    <m/>
  </r>
  <r>
    <n v="82"/>
    <s v="BR-AUM-OU-FEL00-130-A"/>
    <x v="19"/>
    <s v="AuraMinerals_Expansión Mina Paiol OP-UG"/>
    <s v="AuraMinerals"/>
    <x v="4"/>
    <n v="2025"/>
    <n v="-1"/>
    <m/>
    <m/>
    <n v="1"/>
    <x v="52"/>
    <x v="0"/>
    <n v="54144"/>
    <x v="72"/>
    <x v="39"/>
    <n v="1"/>
    <n v="52931"/>
    <n v="1"/>
    <x v="62"/>
    <x v="72"/>
    <m/>
  </r>
  <r>
    <n v="83"/>
    <s v="BR-AUM-OU-FEL00-130-A"/>
    <x v="19"/>
    <s v="AuraMinerals_Expansión Mina Paiol OP-UG"/>
    <s v="AuraMinerals"/>
    <x v="4"/>
    <n v="2025"/>
    <n v="-1"/>
    <m/>
    <m/>
    <n v="1"/>
    <x v="53"/>
    <x v="1"/>
    <n v="58804"/>
    <x v="73"/>
    <x v="66"/>
    <n v="1"/>
    <n v="54268"/>
    <n v="1"/>
    <x v="63"/>
    <x v="73"/>
    <m/>
  </r>
  <r>
    <n v="84"/>
    <s v="BR-AUM-OU-FEL00-130-A"/>
    <x v="19"/>
    <s v="AuraMinerals_Expansión Mina Paiol OP-UG"/>
    <s v="AuraMinerals"/>
    <x v="4"/>
    <n v="2025"/>
    <n v="-1"/>
    <m/>
    <m/>
    <n v="1"/>
    <x v="54"/>
    <x v="2"/>
    <n v="20260.62"/>
    <x v="74"/>
    <x v="67"/>
    <n v="1"/>
    <n v="28982"/>
    <n v="1"/>
    <x v="64"/>
    <x v="74"/>
    <m/>
  </r>
  <r>
    <n v="85"/>
    <s v="BR-AUM-OU-FEL00-130-A"/>
    <x v="19"/>
    <s v="AuraMinerals_Expansión Mina Paiol OP-UG"/>
    <s v="AuraMinerals"/>
    <x v="4"/>
    <n v="2025"/>
    <n v="-1"/>
    <m/>
    <m/>
    <n v="1"/>
    <x v="55"/>
    <x v="3"/>
    <n v="46562"/>
    <x v="75"/>
    <x v="68"/>
    <n v="1"/>
    <n v="41295"/>
    <n v="1"/>
    <x v="65"/>
    <x v="75"/>
    <m/>
  </r>
  <r>
    <n v="86"/>
    <s v="BR-AUM-OU-FEL00-130-A"/>
    <x v="19"/>
    <s v="AuraMinerals_Expansión Mina Paiol OP-UG"/>
    <s v="AuraMinerals"/>
    <x v="4"/>
    <n v="2025"/>
    <n v="-1"/>
    <m/>
    <m/>
    <n v="1"/>
    <x v="56"/>
    <x v="4"/>
    <n v="23599"/>
    <x v="7"/>
    <x v="69"/>
    <n v="1"/>
    <n v="21546.13"/>
    <n v="1"/>
    <x v="66"/>
    <x v="76"/>
    <m/>
  </r>
  <r>
    <n v="87"/>
    <s v="BR-AUM-OU-FEL00-130-A"/>
    <x v="19"/>
    <s v="AuraMinerals_Expansión Mina Paiol OP-UG"/>
    <s v="AuraMinerals"/>
    <x v="4"/>
    <n v="2025"/>
    <n v="-1"/>
    <m/>
    <m/>
    <n v="1"/>
    <x v="57"/>
    <x v="5"/>
    <n v="30544"/>
    <x v="21"/>
    <x v="69"/>
    <n v="1"/>
    <n v="25680.84"/>
    <n v="1"/>
    <x v="66"/>
    <x v="77"/>
    <m/>
  </r>
  <r>
    <n v="88"/>
    <s v="BR-AUM-OU-FEL00-130-A"/>
    <x v="19"/>
    <s v="AuraMinerals_Expansión Mina Paiol OP-UG"/>
    <s v="AuraMinerals"/>
    <x v="4"/>
    <n v="2025"/>
    <n v="-1"/>
    <m/>
    <m/>
    <n v="1"/>
    <x v="58"/>
    <x v="6"/>
    <n v="29078"/>
    <x v="76"/>
    <x v="70"/>
    <n v="1"/>
    <n v="28239"/>
    <n v="1"/>
    <x v="67"/>
    <x v="78"/>
    <m/>
  </r>
  <r>
    <n v="89"/>
    <s v="BR-AUM-OU-FEL00-130-A"/>
    <x v="19"/>
    <s v="AuraMinerals_Expansión Mina Paiol OP-UG"/>
    <s v="AuraMinerals"/>
    <x v="4"/>
    <n v="2025"/>
    <n v="-1"/>
    <m/>
    <m/>
    <n v="1"/>
    <x v="49"/>
    <x v="7"/>
    <n v="19194"/>
    <x v="77"/>
    <x v="71"/>
    <n v="1"/>
    <n v="20203"/>
    <n v="1"/>
    <x v="68"/>
    <x v="79"/>
    <m/>
  </r>
  <r>
    <n v="90"/>
    <s v="BR-AUM-OU-FEL00-130-A"/>
    <x v="19"/>
    <s v="AuraMinerals_Expansión Mina Paiol OP-UG"/>
    <s v="AuraMinerals"/>
    <x v="4"/>
    <n v="2025"/>
    <n v="-1"/>
    <m/>
    <m/>
    <n v="1"/>
    <x v="59"/>
    <x v="8"/>
    <n v="16193"/>
    <x v="9"/>
    <x v="72"/>
    <n v="1"/>
    <n v="17271"/>
    <n v="1"/>
    <x v="69"/>
    <x v="80"/>
    <m/>
  </r>
  <r>
    <n v="91"/>
    <s v="BR-AUM-OU-FEL00-130-A"/>
    <x v="19"/>
    <s v="AuraMinerals_Expansión Mina Paiol OP-UG"/>
    <s v="AuraMinerals"/>
    <x v="4"/>
    <n v="2025"/>
    <n v="-1"/>
    <m/>
    <m/>
    <n v="1"/>
    <x v="60"/>
    <x v="9"/>
    <n v="11621"/>
    <x v="78"/>
    <x v="73"/>
    <n v="1"/>
    <n v="9828"/>
    <n v="1"/>
    <x v="70"/>
    <x v="81"/>
    <m/>
  </r>
  <r>
    <n v="92"/>
    <s v="BR-AUM-UG-FEL2A-181-A"/>
    <x v="20"/>
    <s v="AuraMinerals_Proyecto Paiol PFS UG"/>
    <s v="AuraMinerals"/>
    <x v="4"/>
    <n v="2025"/>
    <n v="-1"/>
    <m/>
    <m/>
    <n v="1"/>
    <x v="61"/>
    <x v="0"/>
    <n v="8652"/>
    <x v="79"/>
    <x v="74"/>
    <n v="1"/>
    <n v="8654.6772983114442"/>
    <n v="1"/>
    <x v="71"/>
    <x v="82"/>
    <m/>
  </r>
  <r>
    <n v="93"/>
    <s v="BR-AUM-UG-FEL2A-181-A"/>
    <x v="20"/>
    <s v="AuraMinerals_Proyecto Paiol PFS UG"/>
    <s v="AuraMinerals"/>
    <x v="4"/>
    <n v="2025"/>
    <n v="-1"/>
    <m/>
    <m/>
    <n v="1"/>
    <x v="62"/>
    <x v="1"/>
    <n v="23872"/>
    <x v="80"/>
    <x v="75"/>
    <n v="1"/>
    <n v="23872"/>
    <n v="1"/>
    <x v="72"/>
    <x v="83"/>
    <m/>
  </r>
  <r>
    <n v="94"/>
    <s v="BR-AUM-UG-FEL2A-181-A"/>
    <x v="20"/>
    <s v="AuraMinerals_Proyecto Paiol PFS UG"/>
    <s v="AuraMinerals"/>
    <x v="4"/>
    <n v="2026"/>
    <n v="-1"/>
    <m/>
    <m/>
    <n v="1"/>
    <x v="63"/>
    <x v="2"/>
    <n v="15152"/>
    <x v="81"/>
    <x v="76"/>
    <n v="1"/>
    <n v="15376.967370441458"/>
    <n v="1"/>
    <x v="73"/>
    <x v="84"/>
    <m/>
  </r>
  <r>
    <n v="95"/>
    <s v="BR-AUM-UG-FEL2A-181-A"/>
    <x v="20"/>
    <s v="AuraMinerals_Proyecto Paiol PFS UG"/>
    <s v="AuraMinerals"/>
    <x v="4"/>
    <n v="2026"/>
    <n v="1"/>
    <d v="2026-02-25T00:00:00"/>
    <n v="75316"/>
    <n v="1"/>
    <x v="64"/>
    <x v="3"/>
    <n v="69222"/>
    <x v="82"/>
    <x v="77"/>
    <n v="1"/>
    <n v="68348"/>
    <n v="1"/>
    <x v="74"/>
    <x v="85"/>
    <m/>
  </r>
  <r>
    <n v="96"/>
    <s v="BR-AUM-UG-FEL2A-181-A"/>
    <x v="20"/>
    <s v="AuraMinerals_Proyecto Paiol PFS UG"/>
    <s v="AuraMinerals"/>
    <x v="4"/>
    <n v="2026"/>
    <n v="1"/>
    <d v="2026-03-01T00:00:00"/>
    <n v="60000"/>
    <n v="1"/>
    <x v="65"/>
    <x v="4"/>
    <n v="61931.199999999997"/>
    <x v="83"/>
    <x v="78"/>
    <n v="1"/>
    <n v="61931.199999999997"/>
    <n v="1"/>
    <x v="75"/>
    <x v="86"/>
    <m/>
  </r>
  <r>
    <n v="97"/>
    <s v="BR-AUM-UG-FEL2A-181-A"/>
    <x v="20"/>
    <s v="AuraMinerals_Proyecto Paiol PFS UG"/>
    <s v="AuraMinerals"/>
    <x v="4"/>
    <n v="2026"/>
    <n v="-1"/>
    <m/>
    <m/>
    <n v="1"/>
    <x v="66"/>
    <x v="5"/>
    <n v="13253"/>
    <x v="84"/>
    <x v="79"/>
    <n v="1"/>
    <n v="12558"/>
    <n v="-1"/>
    <x v="76"/>
    <x v="36"/>
    <m/>
  </r>
  <r>
    <n v="98"/>
    <s v="CH-BSA-CS-OTR00-052-A"/>
    <x v="21"/>
    <s v="Banco Santander_Yauricocha y Bolivar"/>
    <s v="Sierra metals"/>
    <x v="1"/>
    <n v="2024"/>
    <n v="1"/>
    <d v="2024-06-01T00:00:00"/>
    <n v="13339.999999999998"/>
    <n v="1"/>
    <x v="67"/>
    <x v="0"/>
    <n v="88166"/>
    <x v="0"/>
    <x v="80"/>
    <n v="1"/>
    <n v="88166"/>
    <n v="1"/>
    <x v="77"/>
    <x v="87"/>
    <s v="BVI"/>
  </r>
  <r>
    <n v="99"/>
    <s v="CH-BRR-CS-OTR00-195-A"/>
    <x v="22"/>
    <s v="Barrick_Production at Risk Veladero"/>
    <s v="Barrick"/>
    <x v="2"/>
    <n v="2026"/>
    <n v="-1"/>
    <m/>
    <m/>
    <n v="1"/>
    <x v="68"/>
    <x v="0"/>
    <n v="52750"/>
    <x v="36"/>
    <x v="31"/>
    <n v="-1"/>
    <m/>
    <n v="-1"/>
    <x v="30"/>
    <x v="36"/>
    <m/>
  </r>
  <r>
    <n v="100"/>
    <s v="CH-BRR-CS-OTR00-195-A"/>
    <x v="22"/>
    <s v="Barrick_Production at Risk Veladero"/>
    <s v="Barrick"/>
    <x v="2"/>
    <n v="2026"/>
    <n v="-1"/>
    <m/>
    <m/>
    <n v="1"/>
    <x v="69"/>
    <x v="1"/>
    <n v="25350"/>
    <x v="36"/>
    <x v="31"/>
    <n v="-1"/>
    <m/>
    <n v="-1"/>
    <x v="30"/>
    <x v="36"/>
    <m/>
  </r>
  <r>
    <n v="101"/>
    <s v="CH-BHP-OP-OTR00-145-A"/>
    <x v="23"/>
    <s v="BHP_Análisis LoA 2025 - SCUT"/>
    <s v="BHP"/>
    <x v="2"/>
    <n v="2025"/>
    <n v="-1"/>
    <m/>
    <m/>
    <n v="1"/>
    <x v="33"/>
    <x v="0"/>
    <n v="29950"/>
    <x v="85"/>
    <x v="81"/>
    <n v="1"/>
    <n v="29950"/>
    <n v="1"/>
    <x v="78"/>
    <x v="88"/>
    <m/>
  </r>
  <r>
    <n v="102"/>
    <s v="CH-BHP-OP-OTR00-145-A"/>
    <x v="23"/>
    <s v="BHP_Análisis LoA 2025 - SCUT"/>
    <s v="BHP"/>
    <x v="2"/>
    <n v="2025"/>
    <n v="-1"/>
    <m/>
    <m/>
    <n v="1"/>
    <x v="70"/>
    <x v="1"/>
    <n v="11230"/>
    <x v="86"/>
    <x v="82"/>
    <n v="1"/>
    <n v="11230"/>
    <n v="1"/>
    <x v="79"/>
    <x v="89"/>
    <m/>
  </r>
  <r>
    <n v="103"/>
    <s v="CH-BHP-OP-OTR00-145-A"/>
    <x v="23"/>
    <s v="BHP_Análisis LoA 2025 - SCUT"/>
    <s v="BHP"/>
    <x v="2"/>
    <n v="2025"/>
    <n v="-1"/>
    <m/>
    <m/>
    <n v="1"/>
    <x v="71"/>
    <x v="2"/>
    <n v="6410"/>
    <x v="87"/>
    <x v="83"/>
    <n v="1"/>
    <n v="6410"/>
    <n v="1"/>
    <x v="80"/>
    <x v="90"/>
    <m/>
  </r>
  <r>
    <n v="104"/>
    <s v="CH-BHP-OP-FEL00-135-A"/>
    <x v="24"/>
    <s v="BHP_Medidas de Cierre Botaderos"/>
    <s v="BHP"/>
    <x v="2"/>
    <n v="2025"/>
    <n v="-1"/>
    <m/>
    <m/>
    <n v="1"/>
    <x v="72"/>
    <x v="0"/>
    <n v="81369"/>
    <x v="88"/>
    <x v="81"/>
    <n v="1"/>
    <n v="81369"/>
    <n v="1"/>
    <x v="78"/>
    <x v="91"/>
    <m/>
  </r>
  <r>
    <n v="105"/>
    <s v="CH-BHP-OP-FEL00-135-A"/>
    <x v="24"/>
    <s v="BHP_Medidas de Cierre Botaderos"/>
    <s v="BHP"/>
    <x v="2"/>
    <n v="2025"/>
    <n v="-1"/>
    <m/>
    <m/>
    <n v="1"/>
    <x v="73"/>
    <x v="1"/>
    <n v="127260"/>
    <x v="89"/>
    <x v="81"/>
    <n v="1"/>
    <n v="127249.49"/>
    <n v="1"/>
    <x v="78"/>
    <x v="92"/>
    <m/>
  </r>
  <r>
    <n v="106"/>
    <s v="CH-BHP-OP-FEL00-135-A"/>
    <x v="24"/>
    <s v="BHP_Medidas de Cierre Botaderos"/>
    <s v="BHP"/>
    <x v="2"/>
    <n v="2025"/>
    <n v="-1"/>
    <m/>
    <m/>
    <n v="1"/>
    <x v="74"/>
    <x v="2"/>
    <n v="87736"/>
    <x v="90"/>
    <x v="84"/>
    <n v="1"/>
    <n v="87736"/>
    <n v="1"/>
    <x v="81"/>
    <x v="93"/>
    <m/>
  </r>
  <r>
    <n v="107"/>
    <s v="CH-BHP-OP-FEL00-135-A"/>
    <x v="24"/>
    <s v="BHP_Medidas de Cierre Botaderos"/>
    <s v="BHP"/>
    <x v="2"/>
    <n v="2025"/>
    <n v="-1"/>
    <m/>
    <m/>
    <n v="1"/>
    <x v="75"/>
    <x v="3"/>
    <n v="70761"/>
    <x v="91"/>
    <x v="85"/>
    <n v="1"/>
    <n v="70761"/>
    <n v="1"/>
    <x v="82"/>
    <x v="94"/>
    <m/>
  </r>
  <r>
    <n v="108"/>
    <s v="CH-BHP-OP-FEL00-135-A"/>
    <x v="24"/>
    <s v="BHP_Medidas de Cierre Botaderos"/>
    <s v="BHP"/>
    <x v="2"/>
    <n v="2025"/>
    <n v="-1"/>
    <m/>
    <m/>
    <n v="1"/>
    <x v="76"/>
    <x v="4"/>
    <n v="196358"/>
    <x v="92"/>
    <x v="62"/>
    <n v="1"/>
    <n v="196358"/>
    <n v="1"/>
    <x v="83"/>
    <x v="95"/>
    <m/>
  </r>
  <r>
    <n v="109"/>
    <s v="CH-BHP-OP-FEL00-135-A"/>
    <x v="24"/>
    <s v="BHP_Medidas de Cierre Botaderos"/>
    <s v="BHP"/>
    <x v="2"/>
    <n v="2025"/>
    <n v="-1"/>
    <m/>
    <m/>
    <n v="1"/>
    <x v="77"/>
    <x v="5"/>
    <n v="137233"/>
    <x v="93"/>
    <x v="86"/>
    <n v="1"/>
    <n v="137233"/>
    <n v="1"/>
    <x v="84"/>
    <x v="96"/>
    <m/>
  </r>
  <r>
    <n v="110"/>
    <s v="CH-BHP-OP-FEL00-135-A"/>
    <x v="24"/>
    <s v="BHP_Medidas de Cierre Botaderos"/>
    <s v="BHP"/>
    <x v="2"/>
    <n v="2025"/>
    <n v="-1"/>
    <m/>
    <m/>
    <n v="1"/>
    <x v="78"/>
    <x v="6"/>
    <n v="159375.44"/>
    <x v="94"/>
    <x v="87"/>
    <n v="1"/>
    <n v="159375.44"/>
    <n v="1"/>
    <x v="85"/>
    <x v="97"/>
    <m/>
  </r>
  <r>
    <n v="111"/>
    <s v="CH-BHP-OP-FEL00-135-A"/>
    <x v="24"/>
    <s v="BHP_Medidas de Cierre Botaderos"/>
    <s v="BHP"/>
    <x v="2"/>
    <n v="2025"/>
    <n v="-1"/>
    <m/>
    <m/>
    <n v="1"/>
    <x v="49"/>
    <x v="7"/>
    <n v="4640"/>
    <x v="95"/>
    <x v="88"/>
    <n v="1"/>
    <n v="4640"/>
    <n v="1"/>
    <x v="86"/>
    <x v="98"/>
    <m/>
  </r>
  <r>
    <n v="112"/>
    <s v="CH-BHP-OP-FEL00-135-A"/>
    <x v="24"/>
    <s v="BHP_Medidas de Cierre Botaderos"/>
    <s v="BHP"/>
    <x v="2"/>
    <n v="2025"/>
    <n v="-1"/>
    <m/>
    <m/>
    <n v="1"/>
    <x v="43"/>
    <x v="8"/>
    <n v="40120"/>
    <x v="96"/>
    <x v="88"/>
    <n v="1"/>
    <n v="38602"/>
    <n v="1"/>
    <x v="87"/>
    <x v="99"/>
    <m/>
  </r>
  <r>
    <n v="113"/>
    <s v="CH-BHP-OP-FEL00-103-A"/>
    <x v="25"/>
    <s v="BHP_Plan e Iniciativas LoA25-26"/>
    <s v="BHP"/>
    <x v="2"/>
    <n v="2024"/>
    <n v="-1"/>
    <m/>
    <m/>
    <n v="1"/>
    <x v="79"/>
    <x v="0"/>
    <n v="24680"/>
    <x v="97"/>
    <x v="89"/>
    <n v="1"/>
    <n v="24680"/>
    <n v="1"/>
    <x v="88"/>
    <x v="100"/>
    <m/>
  </r>
  <r>
    <n v="114"/>
    <s v="CH-BHP-OP-FEL00-103-A"/>
    <x v="25"/>
    <s v="BHP_Plan e Iniciativas LoA25-26"/>
    <s v="BHP"/>
    <x v="2"/>
    <n v="2024"/>
    <n v="-1"/>
    <m/>
    <m/>
    <n v="1"/>
    <x v="80"/>
    <x v="1"/>
    <n v="13842"/>
    <x v="98"/>
    <x v="44"/>
    <n v="1"/>
    <n v="13842"/>
    <n v="1"/>
    <x v="89"/>
    <x v="101"/>
    <m/>
  </r>
  <r>
    <n v="115"/>
    <s v="CH-BHP-OP-FEL00-103-A"/>
    <x v="25"/>
    <s v="BHP_Plan e Iniciativas LoA25-26"/>
    <s v="BHP"/>
    <x v="2"/>
    <n v="2024"/>
    <n v="-1"/>
    <m/>
    <m/>
    <n v="1"/>
    <x v="81"/>
    <x v="2"/>
    <n v="7683"/>
    <x v="99"/>
    <x v="90"/>
    <n v="1"/>
    <n v="7683"/>
    <n v="1"/>
    <x v="90"/>
    <x v="102"/>
    <m/>
  </r>
  <r>
    <n v="116"/>
    <s v="CH-BHP-OP-OTR00-140-A"/>
    <x v="26"/>
    <s v="BHP_Spence 2YB Analisys"/>
    <s v="BHP"/>
    <x v="2"/>
    <n v="2025"/>
    <n v="-1"/>
    <m/>
    <m/>
    <n v="1"/>
    <x v="33"/>
    <x v="0"/>
    <n v="37400"/>
    <x v="100"/>
    <x v="91"/>
    <n v="1"/>
    <n v="37400"/>
    <n v="1"/>
    <x v="55"/>
    <x v="103"/>
    <m/>
  </r>
  <r>
    <n v="117"/>
    <s v="CH-BHP-UG-FEL01-074-A"/>
    <x v="27"/>
    <s v="BHP_Tunel Exploratorio"/>
    <s v="BHP"/>
    <x v="2"/>
    <n v="2024"/>
    <n v="-1"/>
    <m/>
    <m/>
    <n v="1"/>
    <x v="82"/>
    <x v="0"/>
    <n v="35036"/>
    <x v="101"/>
    <x v="84"/>
    <n v="1"/>
    <n v="35036"/>
    <n v="1"/>
    <x v="81"/>
    <x v="104"/>
    <m/>
  </r>
  <r>
    <n v="118"/>
    <s v="CH-BHP-UG-FEL01-074-A"/>
    <x v="27"/>
    <s v="BHP_Tunel Exploratorio"/>
    <s v="BHP"/>
    <x v="2"/>
    <n v="2025"/>
    <n v="-1"/>
    <m/>
    <m/>
    <n v="1"/>
    <x v="35"/>
    <x v="1"/>
    <n v="48790"/>
    <x v="102"/>
    <x v="92"/>
    <n v="1"/>
    <n v="48790"/>
    <n v="1"/>
    <x v="91"/>
    <x v="105"/>
    <m/>
  </r>
  <r>
    <n v="119"/>
    <s v="CH-BHP-UG-FEL01-074-A"/>
    <x v="27"/>
    <s v="BHP_Tunel Exploratorio"/>
    <s v="BHP"/>
    <x v="2"/>
    <n v="2025"/>
    <n v="-1"/>
    <m/>
    <m/>
    <n v="1"/>
    <x v="76"/>
    <x v="2"/>
    <n v="32748"/>
    <x v="103"/>
    <x v="93"/>
    <n v="1"/>
    <n v="32748"/>
    <n v="1"/>
    <x v="92"/>
    <x v="106"/>
    <m/>
  </r>
  <r>
    <n v="120"/>
    <s v="CH-BHP-UG-FEL01-074-A"/>
    <x v="27"/>
    <s v="BHP_Tunel Exploratorio"/>
    <s v="BHP"/>
    <x v="2"/>
    <n v="2025"/>
    <n v="-1"/>
    <m/>
    <m/>
    <n v="1"/>
    <x v="77"/>
    <x v="3"/>
    <n v="40426"/>
    <x v="104"/>
    <x v="54"/>
    <n v="1"/>
    <n v="40426"/>
    <n v="1"/>
    <x v="93"/>
    <x v="107"/>
    <m/>
  </r>
  <r>
    <n v="121"/>
    <s v="CH-BHP-UG-FEL01-074-A"/>
    <x v="27"/>
    <s v="BHP_Tunel Exploratorio"/>
    <s v="BHP"/>
    <x v="2"/>
    <n v="2025"/>
    <n v="-1"/>
    <m/>
    <m/>
    <n v="1"/>
    <x v="78"/>
    <x v="4"/>
    <n v="30025"/>
    <x v="105"/>
    <x v="94"/>
    <n v="1"/>
    <n v="30025"/>
    <n v="1"/>
    <x v="94"/>
    <x v="108"/>
    <m/>
  </r>
  <r>
    <n v="122"/>
    <s v="CH-BHP-UG-FEL01-074-A"/>
    <x v="27"/>
    <s v="BHP_Tunel Exploratorio"/>
    <s v="BHP"/>
    <x v="2"/>
    <n v="2025"/>
    <n v="-1"/>
    <m/>
    <m/>
    <n v="1"/>
    <x v="83"/>
    <x v="5"/>
    <n v="11895"/>
    <x v="106"/>
    <x v="87"/>
    <n v="1"/>
    <n v="11895"/>
    <n v="1"/>
    <x v="85"/>
    <x v="109"/>
    <m/>
  </r>
  <r>
    <n v="123"/>
    <s v="CH-BSC-UG-OTR00-073-A"/>
    <x v="28"/>
    <s v="Boston_Inmaculada Hochschild"/>
    <s v="CEOM"/>
    <x v="2"/>
    <n v="2024"/>
    <n v="1"/>
    <d v="2024-03-01T00:00:00"/>
    <n v="50000"/>
    <n v="1"/>
    <x v="84"/>
    <x v="0"/>
    <n v="54706"/>
    <x v="107"/>
    <x v="95"/>
    <n v="1"/>
    <n v="54706"/>
    <n v="1"/>
    <x v="95"/>
    <x v="110"/>
    <m/>
  </r>
  <r>
    <n v="124"/>
    <s v="CH-BSC-UG-OTR00-082-A"/>
    <x v="29"/>
    <s v="Boston_Inmaculada Hochschild II"/>
    <s v="CEOM"/>
    <x v="2"/>
    <n v="2024"/>
    <n v="-1"/>
    <m/>
    <m/>
    <n v="1"/>
    <x v="27"/>
    <x v="0"/>
    <n v="40000"/>
    <x v="108"/>
    <x v="96"/>
    <n v="1"/>
    <n v="40000"/>
    <n v="1"/>
    <x v="96"/>
    <x v="111"/>
    <s v="Facturado por REDTEC"/>
  </r>
  <r>
    <n v="125"/>
    <s v="CH-LUN-CS-OTR00-004-A"/>
    <x v="30"/>
    <s v="Candelaria Estandar"/>
    <s v="Lundin"/>
    <x v="2"/>
    <n v="2023"/>
    <n v="-1"/>
    <m/>
    <m/>
    <n v="1"/>
    <x v="85"/>
    <x v="0"/>
    <n v="88780"/>
    <x v="109"/>
    <x v="97"/>
    <n v="1"/>
    <n v="90837"/>
    <n v="1"/>
    <x v="97"/>
    <x v="112"/>
    <m/>
  </r>
  <r>
    <n v="126"/>
    <s v="CH-LUN-CS-OTR00-004-A"/>
    <x v="30"/>
    <s v="Candelaria Estandar"/>
    <s v="Lundin"/>
    <x v="2"/>
    <n v="2023"/>
    <n v="-1"/>
    <m/>
    <m/>
    <n v="1"/>
    <x v="5"/>
    <x v="1"/>
    <n v="28476"/>
    <x v="110"/>
    <x v="98"/>
    <n v="1"/>
    <n v="28476"/>
    <n v="1"/>
    <x v="7"/>
    <x v="113"/>
    <m/>
  </r>
  <r>
    <n v="127"/>
    <s v="CH-LUN-CS-OTR00-004-A"/>
    <x v="30"/>
    <s v="Candelaria Estandar"/>
    <s v="Lundin"/>
    <x v="2"/>
    <n v="2023"/>
    <n v="-1"/>
    <m/>
    <m/>
    <n v="1"/>
    <x v="6"/>
    <x v="2"/>
    <n v="8190"/>
    <x v="111"/>
    <x v="98"/>
    <n v="1"/>
    <n v="8190"/>
    <n v="1"/>
    <x v="7"/>
    <x v="114"/>
    <s v="Resuelto"/>
  </r>
  <r>
    <n v="128"/>
    <s v="CH-LUN-CS-OTR00-004-A"/>
    <x v="30"/>
    <s v="Candelaria Estandar"/>
    <s v="Lundin"/>
    <x v="2"/>
    <n v="2023"/>
    <n v="-1"/>
    <m/>
    <m/>
    <n v="1"/>
    <x v="86"/>
    <x v="3"/>
    <n v="13446"/>
    <x v="112"/>
    <x v="99"/>
    <n v="1"/>
    <n v="13446"/>
    <n v="1"/>
    <x v="98"/>
    <x v="115"/>
    <m/>
  </r>
  <r>
    <n v="129"/>
    <s v="CH-CCO-OP-FEL00-078-A"/>
    <x v="31"/>
    <s v="Capstone Copper_Estimacion confiabilidad de planes"/>
    <s v="Capstone Copper"/>
    <x v="2"/>
    <n v="2024"/>
    <n v="-1"/>
    <m/>
    <m/>
    <n v="1"/>
    <x v="27"/>
    <x v="0"/>
    <n v="62422"/>
    <x v="113"/>
    <x v="100"/>
    <n v="1"/>
    <n v="61918"/>
    <n v="1"/>
    <x v="99"/>
    <x v="116"/>
    <m/>
  </r>
  <r>
    <n v="130"/>
    <s v="CH-CCO-OP-FEL00-078-A"/>
    <x v="31"/>
    <s v="Capstone Copper_Estimacion confiabilidad de planes"/>
    <s v="Capstone Copper"/>
    <x v="2"/>
    <n v="2024"/>
    <n v="-1"/>
    <m/>
    <m/>
    <n v="1"/>
    <x v="87"/>
    <x v="1"/>
    <n v="82409"/>
    <x v="114"/>
    <x v="101"/>
    <n v="1"/>
    <n v="82408"/>
    <n v="1"/>
    <x v="100"/>
    <x v="117"/>
    <m/>
  </r>
  <r>
    <n v="131"/>
    <s v="CH-CCO-OP-FEL00-078-A"/>
    <x v="31"/>
    <s v="Capstone Copper_Estimacion confiabilidad de planes"/>
    <s v="Capstone Copper"/>
    <x v="2"/>
    <n v="2024"/>
    <n v="-1"/>
    <m/>
    <m/>
    <n v="1"/>
    <x v="80"/>
    <x v="2"/>
    <n v="37000"/>
    <x v="115"/>
    <x v="102"/>
    <n v="1"/>
    <n v="37255"/>
    <n v="1"/>
    <x v="101"/>
    <x v="118"/>
    <m/>
  </r>
  <r>
    <n v="132"/>
    <s v="CH-CCO-OP-FEL00-078-A"/>
    <x v="31"/>
    <s v="Capstone Copper_Estimacion confiabilidad de planes"/>
    <s v="Capstone Copper"/>
    <x v="2"/>
    <n v="2024"/>
    <n v="-1"/>
    <m/>
    <m/>
    <n v="1"/>
    <x v="81"/>
    <x v="3"/>
    <n v="12795"/>
    <x v="116"/>
    <x v="102"/>
    <n v="1"/>
    <n v="12813"/>
    <n v="1"/>
    <x v="101"/>
    <x v="119"/>
    <m/>
  </r>
  <r>
    <n v="133"/>
    <s v="CH-CCO-OP-FEL00-078-A"/>
    <x v="31"/>
    <s v="Capstone Copper_Estimacion confiabilidad de planes"/>
    <s v="Capstone Copper"/>
    <x v="5"/>
    <n v="2024"/>
    <n v="-1"/>
    <m/>
    <m/>
    <n v="1"/>
    <x v="88"/>
    <x v="4"/>
    <n v="45478"/>
    <x v="0"/>
    <x v="103"/>
    <n v="1"/>
    <n v="45478"/>
    <n v="1"/>
    <x v="102"/>
    <x v="120"/>
    <s v="BVI"/>
  </r>
  <r>
    <n v="134"/>
    <s v="CH-CCO-OP-FEL00-078-A"/>
    <x v="31"/>
    <s v="Capstone Copper_Estimacion confiabilidad de planes"/>
    <s v="Capstone Copper"/>
    <x v="5"/>
    <n v="2024"/>
    <n v="-1"/>
    <m/>
    <m/>
    <n v="1"/>
    <x v="31"/>
    <x v="5"/>
    <n v="21682"/>
    <x v="0"/>
    <x v="103"/>
    <n v="1"/>
    <n v="21682"/>
    <n v="1"/>
    <x v="103"/>
    <x v="121"/>
    <s v="BVI"/>
  </r>
  <r>
    <n v="135"/>
    <s v="CH-CCO-CS-FEL00-117-A"/>
    <x v="32"/>
    <s v="Capstone Copper_Estudio Sierra Norte"/>
    <s v="Capstone Copper"/>
    <x v="2"/>
    <n v="2024"/>
    <n v="-1"/>
    <m/>
    <m/>
    <n v="1"/>
    <x v="89"/>
    <x v="0"/>
    <n v="31291"/>
    <x v="117"/>
    <x v="104"/>
    <n v="1"/>
    <n v="31291"/>
    <n v="1"/>
    <x v="104"/>
    <x v="122"/>
    <m/>
  </r>
  <r>
    <n v="136"/>
    <s v="CH-CCO-CS-FEL00-117-A"/>
    <x v="32"/>
    <s v="Capstone Copper_Estudio Sierra Norte"/>
    <s v="Capstone Copper"/>
    <x v="2"/>
    <n v="2024"/>
    <n v="-1"/>
    <m/>
    <m/>
    <n v="1"/>
    <x v="90"/>
    <x v="1"/>
    <n v="128932"/>
    <x v="118"/>
    <x v="104"/>
    <n v="1"/>
    <n v="128932"/>
    <n v="1"/>
    <x v="104"/>
    <x v="123"/>
    <m/>
  </r>
  <r>
    <n v="137"/>
    <s v="CH-CCO-CS-FEL00-117-A"/>
    <x v="32"/>
    <s v="Capstone Copper_Estudio Sierra Norte"/>
    <s v="Capstone Copper"/>
    <x v="2"/>
    <n v="2025"/>
    <n v="-1"/>
    <m/>
    <m/>
    <n v="1"/>
    <x v="91"/>
    <x v="2"/>
    <n v="31129"/>
    <x v="119"/>
    <x v="105"/>
    <n v="1"/>
    <n v="31129"/>
    <n v="1"/>
    <x v="41"/>
    <x v="124"/>
    <m/>
  </r>
  <r>
    <n v="138"/>
    <s v="CH-CCO-CS-FEL00-117-A"/>
    <x v="32"/>
    <s v="Capstone Copper_Estudio Sierra Norte"/>
    <s v="Capstone Copper"/>
    <x v="2"/>
    <n v="2025"/>
    <n v="-1"/>
    <m/>
    <m/>
    <n v="1"/>
    <x v="33"/>
    <x v="3"/>
    <n v="4648"/>
    <x v="120"/>
    <x v="105"/>
    <n v="1"/>
    <n v="4648"/>
    <n v="1"/>
    <x v="41"/>
    <x v="125"/>
    <m/>
  </r>
  <r>
    <n v="139"/>
    <s v="CH-CCO-CS-OTR00-159-A"/>
    <x v="33"/>
    <s v="Capstone Copper_Production at Risk"/>
    <s v="Capstone Copper"/>
    <x v="2"/>
    <n v="2025"/>
    <n v="-1"/>
    <m/>
    <m/>
    <n v="1"/>
    <x v="0"/>
    <x v="0"/>
    <n v="39515"/>
    <x v="121"/>
    <x v="106"/>
    <n v="1"/>
    <n v="39515"/>
    <n v="1"/>
    <x v="105"/>
    <x v="126"/>
    <s v="Segmentados en MV y MB"/>
  </r>
  <r>
    <n v="140"/>
    <s v="CH-CCO-CS-OTR00-159-A"/>
    <x v="33"/>
    <s v="Capstone Copper_Production at Risk"/>
    <s v="Capstone Copper"/>
    <x v="2"/>
    <n v="2025"/>
    <n v="-1"/>
    <m/>
    <m/>
    <n v="1"/>
    <x v="43"/>
    <x v="1"/>
    <n v="48782"/>
    <x v="122"/>
    <x v="107"/>
    <n v="1"/>
    <n v="27100"/>
    <n v="1"/>
    <x v="106"/>
    <x v="127"/>
    <s v="Pagadas 349 y 350"/>
  </r>
  <r>
    <n v="141"/>
    <s v="CH-CCO-CS-OTR00-159-A"/>
    <x v="33"/>
    <s v="Capstone Copper_Production at Risk"/>
    <s v="Capstone Copper"/>
    <x v="2"/>
    <n v="2025"/>
    <n v="-1"/>
    <m/>
    <m/>
    <n v="1"/>
    <x v="92"/>
    <x v="2"/>
    <n v="59984"/>
    <x v="123"/>
    <x v="108"/>
    <n v="1"/>
    <n v="28270"/>
    <n v="1"/>
    <x v="107"/>
    <x v="128"/>
    <s v="Pendiente la F 365"/>
  </r>
  <r>
    <n v="142"/>
    <s v="CH-CCO-CS-OTR00-159-A"/>
    <x v="33"/>
    <s v="Capstone Copper_Production at Risk"/>
    <s v="Capstone Copper"/>
    <x v="2"/>
    <n v="2025"/>
    <n v="-1"/>
    <m/>
    <m/>
    <n v="-1"/>
    <x v="93"/>
    <x v="17"/>
    <n v="0"/>
    <x v="124"/>
    <x v="108"/>
    <n v="1"/>
    <n v="15496"/>
    <n v="1"/>
    <x v="108"/>
    <x v="129"/>
    <m/>
  </r>
  <r>
    <n v="143"/>
    <s v="CH-CCO-CS-OTR00-159-A"/>
    <x v="33"/>
    <s v="Capstone Copper_Production at Risk"/>
    <s v="Capstone Copper"/>
    <x v="0"/>
    <n v="2025"/>
    <n v="-1"/>
    <m/>
    <m/>
    <n v="-1"/>
    <x v="93"/>
    <x v="17"/>
    <n v="0"/>
    <x v="0"/>
    <x v="109"/>
    <n v="1"/>
    <n v="38000"/>
    <n v="1"/>
    <x v="109"/>
    <x v="130"/>
    <m/>
  </r>
  <r>
    <n v="144"/>
    <s v="BR-CBM-CS-OTR00-164-A"/>
    <x v="34"/>
    <s v="CBMM_SIMPLAN Initiatives Evaluation"/>
    <s v="CBMM"/>
    <x v="4"/>
    <n v="2025"/>
    <n v="-1"/>
    <m/>
    <m/>
    <n v="1"/>
    <x v="59"/>
    <x v="0"/>
    <n v="28949"/>
    <x v="125"/>
    <x v="110"/>
    <n v="1"/>
    <n v="28366.788990825688"/>
    <n v="1"/>
    <x v="110"/>
    <x v="131"/>
    <m/>
  </r>
  <r>
    <n v="145"/>
    <s v="BR-CBM-CS-OTR00-164-A"/>
    <x v="34"/>
    <s v="CBMM_SIMPLAN Initiatives Evaluation"/>
    <s v="CBMM"/>
    <x v="4"/>
    <n v="2025"/>
    <n v="-1"/>
    <m/>
    <m/>
    <n v="1"/>
    <x v="60"/>
    <x v="1"/>
    <n v="31572"/>
    <x v="126"/>
    <x v="107"/>
    <n v="1"/>
    <n v="29686"/>
    <n v="1"/>
    <x v="71"/>
    <x v="132"/>
    <s v="Factura reemplaza la 109 por rechazo. La nueva se emite con fecha 03-11-25"/>
  </r>
  <r>
    <n v="146"/>
    <s v="BR-CBM-CS-OTR00-164-A"/>
    <x v="34"/>
    <s v="CBMM_SIMPLAN Initiatives Evaluation"/>
    <s v="CBMM"/>
    <x v="4"/>
    <n v="2025"/>
    <n v="-1"/>
    <m/>
    <m/>
    <n v="1"/>
    <x v="61"/>
    <x v="2"/>
    <n v="11994"/>
    <x v="127"/>
    <x v="28"/>
    <n v="1"/>
    <n v="11994"/>
    <n v="1"/>
    <x v="111"/>
    <x v="133"/>
    <m/>
  </r>
  <r>
    <n v="147"/>
    <s v="BR-CBM-CS-OTR00-164-A"/>
    <x v="34"/>
    <s v="CBMM_SIMPLAN Initiatives Evaluation"/>
    <s v="CBMM"/>
    <x v="4"/>
    <n v="2026"/>
    <n v="-1"/>
    <m/>
    <m/>
    <n v="1"/>
    <x v="63"/>
    <x v="3"/>
    <n v="7778"/>
    <x v="108"/>
    <x v="111"/>
    <n v="1"/>
    <n v="7778"/>
    <n v="1"/>
    <x v="112"/>
    <x v="134"/>
    <m/>
  </r>
  <r>
    <n v="148"/>
    <s v="PE-CMC-CD-OTR00-118-A"/>
    <x v="35"/>
    <s v="CMC_Capacitación DBS y SIMPLAN"/>
    <s v="CMC"/>
    <x v="1"/>
    <n v="2024"/>
    <n v="-1"/>
    <m/>
    <m/>
    <n v="1"/>
    <x v="89"/>
    <x v="0"/>
    <n v="12843"/>
    <x v="128"/>
    <x v="112"/>
    <n v="1"/>
    <n v="12843"/>
    <n v="1"/>
    <x v="113"/>
    <x v="135"/>
    <m/>
  </r>
  <r>
    <n v="149"/>
    <s v="PE-CMC-CD-OTR00-118-A"/>
    <x v="35"/>
    <s v="CMC_Capacitación DBS y SIMPLAN"/>
    <s v="CMC"/>
    <x v="1"/>
    <n v="2024"/>
    <n v="-1"/>
    <m/>
    <m/>
    <n v="1"/>
    <x v="90"/>
    <x v="1"/>
    <n v="6857"/>
    <x v="129"/>
    <x v="104"/>
    <n v="1"/>
    <n v="6857"/>
    <n v="1"/>
    <x v="114"/>
    <x v="136"/>
    <m/>
  </r>
  <r>
    <n v="150"/>
    <s v="CH-CMP-OU-FEL2A-033-A"/>
    <x v="36"/>
    <s v="FEL 2A"/>
    <s v="CMP"/>
    <x v="2"/>
    <n v="2022"/>
    <n v="-1"/>
    <m/>
    <m/>
    <n v="1"/>
    <x v="94"/>
    <x v="0"/>
    <n v="33776"/>
    <x v="130"/>
    <x v="113"/>
    <n v="1"/>
    <n v="33776"/>
    <n v="1"/>
    <x v="115"/>
    <x v="137"/>
    <m/>
  </r>
  <r>
    <n v="151"/>
    <s v="CH-CMP-OU-FEL2A-033-A"/>
    <x v="36"/>
    <s v="FEL 2A"/>
    <s v="CMP"/>
    <x v="2"/>
    <n v="2022"/>
    <n v="-1"/>
    <m/>
    <m/>
    <n v="1"/>
    <x v="2"/>
    <x v="1"/>
    <n v="40354.33"/>
    <x v="131"/>
    <x v="114"/>
    <n v="1"/>
    <n v="40354"/>
    <n v="1"/>
    <x v="15"/>
    <x v="138"/>
    <m/>
  </r>
  <r>
    <n v="152"/>
    <s v="CH-CMP-OU-FEL2A-033-A"/>
    <x v="36"/>
    <s v="FEL 2A"/>
    <s v="CMP"/>
    <x v="2"/>
    <n v="2023"/>
    <n v="-1"/>
    <m/>
    <m/>
    <n v="1"/>
    <x v="11"/>
    <x v="2"/>
    <n v="49647.786124999999"/>
    <x v="132"/>
    <x v="16"/>
    <n v="1"/>
    <n v="49647.786124999999"/>
    <n v="1"/>
    <x v="16"/>
    <x v="139"/>
    <m/>
  </r>
  <r>
    <n v="153"/>
    <s v="CH-CMP-OU-FEL2A-033-A"/>
    <x v="36"/>
    <s v="FEL 2A"/>
    <s v="CMP"/>
    <x v="2"/>
    <n v="2023"/>
    <n v="-1"/>
    <m/>
    <m/>
    <n v="1"/>
    <x v="3"/>
    <x v="3"/>
    <n v="96769.512499999997"/>
    <x v="133"/>
    <x v="17"/>
    <n v="1"/>
    <n v="96769.512499999997"/>
    <n v="1"/>
    <x v="17"/>
    <x v="140"/>
    <m/>
  </r>
  <r>
    <n v="154"/>
    <s v="CH-CMP-OU-FEL2A-033-A"/>
    <x v="36"/>
    <s v="FEL 2A"/>
    <s v="CMP"/>
    <x v="2"/>
    <n v="2023"/>
    <n v="-1"/>
    <m/>
    <m/>
    <n v="1"/>
    <x v="4"/>
    <x v="4"/>
    <n v="78184.511249999996"/>
    <x v="134"/>
    <x v="5"/>
    <n v="1"/>
    <n v="78184.511249999996"/>
    <n v="1"/>
    <x v="5"/>
    <x v="141"/>
    <m/>
  </r>
  <r>
    <n v="155"/>
    <s v="CH-CMP-OU-FEL2A-033-A"/>
    <x v="36"/>
    <s v="FEL 2A"/>
    <s v="CMP"/>
    <x v="2"/>
    <n v="2023"/>
    <n v="-1"/>
    <m/>
    <m/>
    <n v="1"/>
    <x v="5"/>
    <x v="5"/>
    <n v="58833"/>
    <x v="74"/>
    <x v="115"/>
    <n v="1"/>
    <n v="59657.62"/>
    <n v="1"/>
    <x v="19"/>
    <x v="142"/>
    <m/>
  </r>
  <r>
    <n v="156"/>
    <s v="CH-CMP-OU-FEL2A-033-A"/>
    <x v="36"/>
    <s v="FEL 2A"/>
    <s v="CMP"/>
    <x v="2"/>
    <n v="2023"/>
    <n v="-1"/>
    <m/>
    <m/>
    <n v="1"/>
    <x v="6"/>
    <x v="6"/>
    <n v="99216.85"/>
    <x v="135"/>
    <x v="116"/>
    <n v="1"/>
    <n v="95359.006693910298"/>
    <n v="1"/>
    <x v="116"/>
    <x v="143"/>
    <s v="Se genera nota de credito por factura 78 (presentaba un error)"/>
  </r>
  <r>
    <n v="157"/>
    <s v="CH-CMP-OU-FEL2A-033-A"/>
    <x v="36"/>
    <s v="FEL 2A"/>
    <s v="CMP"/>
    <x v="2"/>
    <n v="2023"/>
    <n v="-1"/>
    <m/>
    <m/>
    <n v="1"/>
    <x v="7"/>
    <x v="7"/>
    <n v="24676"/>
    <x v="136"/>
    <x v="117"/>
    <n v="1"/>
    <n v="24676"/>
    <n v="1"/>
    <x v="7"/>
    <x v="144"/>
    <m/>
  </r>
  <r>
    <n v="158"/>
    <s v="CH-CMP-OU-FEL2A-033-A"/>
    <x v="36"/>
    <s v="FEL 2A"/>
    <s v="CMP"/>
    <x v="2"/>
    <n v="2023"/>
    <n v="-1"/>
    <m/>
    <m/>
    <n v="1"/>
    <x v="86"/>
    <x v="8"/>
    <n v="33700.07"/>
    <x v="137"/>
    <x v="118"/>
    <n v="1"/>
    <n v="33700"/>
    <n v="1"/>
    <x v="8"/>
    <x v="145"/>
    <m/>
  </r>
  <r>
    <n v="159"/>
    <s v="CH-CMP-OU-FEL2A-033-A"/>
    <x v="36"/>
    <s v="FEL 2A"/>
    <s v="CMP"/>
    <x v="2"/>
    <n v="2023"/>
    <n v="-1"/>
    <m/>
    <m/>
    <n v="1"/>
    <x v="95"/>
    <x v="9"/>
    <n v="10515"/>
    <x v="138"/>
    <x v="119"/>
    <n v="1"/>
    <n v="10515"/>
    <n v="1"/>
    <x v="117"/>
    <x v="146"/>
    <m/>
  </r>
  <r>
    <n v="160"/>
    <s v="CH-CMP-OU-FEL2A-033-A"/>
    <x v="36"/>
    <s v="FEL 2A"/>
    <s v="CMP"/>
    <x v="2"/>
    <n v="2023"/>
    <n v="1"/>
    <d v="2023-09-01T00:00:00"/>
    <n v="45078"/>
    <n v="1"/>
    <x v="1"/>
    <x v="10"/>
    <n v="41488"/>
    <x v="139"/>
    <x v="120"/>
    <n v="1"/>
    <n v="41488"/>
    <n v="1"/>
    <x v="118"/>
    <x v="147"/>
    <s v="Contractual + Adicionales Update modelos"/>
  </r>
  <r>
    <n v="161"/>
    <s v="CH-CMP-OU-FEL2A-033-A"/>
    <x v="36"/>
    <s v="FEL 2A"/>
    <s v="CMP"/>
    <x v="2"/>
    <n v="2023"/>
    <n v="1"/>
    <d v="2023-10-01T00:00:00"/>
    <n v="53215"/>
    <n v="1"/>
    <x v="9"/>
    <x v="11"/>
    <n v="34737"/>
    <x v="140"/>
    <x v="10"/>
    <n v="1"/>
    <n v="34737"/>
    <n v="1"/>
    <x v="10"/>
    <x v="148"/>
    <m/>
  </r>
  <r>
    <n v="162"/>
    <s v="CH-CMP-OU-FEL2A-033-A"/>
    <x v="36"/>
    <s v="FEL 2A"/>
    <s v="CMP"/>
    <x v="2"/>
    <n v="2023"/>
    <n v="1"/>
    <d v="2023-11-01T00:00:00"/>
    <n v="78129"/>
    <n v="1"/>
    <x v="12"/>
    <x v="12"/>
    <n v="31481"/>
    <x v="141"/>
    <x v="49"/>
    <n v="1"/>
    <n v="31481"/>
    <n v="1"/>
    <x v="47"/>
    <x v="149"/>
    <m/>
  </r>
  <r>
    <n v="163"/>
    <s v="CH-CMP-OU-FEL2A-033-A"/>
    <x v="36"/>
    <s v="FEL 2A"/>
    <s v="CMP"/>
    <x v="2"/>
    <n v="2023"/>
    <n v="1"/>
    <d v="2023-12-01T00:00:00"/>
    <n v="46648"/>
    <n v="1"/>
    <x v="13"/>
    <x v="13"/>
    <n v="15445"/>
    <x v="142"/>
    <x v="23"/>
    <n v="1"/>
    <n v="15445"/>
    <n v="1"/>
    <x v="22"/>
    <x v="150"/>
    <m/>
  </r>
  <r>
    <n v="164"/>
    <s v="CH-CMP-OU-FEL2A-033-A"/>
    <x v="36"/>
    <s v="FEL 2A"/>
    <s v="CMP"/>
    <x v="2"/>
    <n v="2024"/>
    <n v="1"/>
    <d v="2024-01-01T00:00:00"/>
    <n v="31203"/>
    <n v="1"/>
    <x v="96"/>
    <x v="14"/>
    <n v="17246"/>
    <x v="143"/>
    <x v="121"/>
    <n v="1"/>
    <n v="17246"/>
    <n v="1"/>
    <x v="119"/>
    <x v="151"/>
    <m/>
  </r>
  <r>
    <n v="165"/>
    <s v="CH-CMP-OU-FEL2A-033-A"/>
    <x v="36"/>
    <s v="FEL 2A"/>
    <s v="CMP"/>
    <x v="2"/>
    <n v="2024"/>
    <n v="1"/>
    <d v="2024-02-01T00:00:00"/>
    <n v="13957"/>
    <n v="1"/>
    <x v="14"/>
    <x v="15"/>
    <n v="10114"/>
    <x v="144"/>
    <x v="122"/>
    <n v="1"/>
    <n v="10114"/>
    <n v="1"/>
    <x v="120"/>
    <x v="152"/>
    <m/>
  </r>
  <r>
    <n v="166"/>
    <s v="CH-CMP-OU-FEL2A-033-A"/>
    <x v="36"/>
    <s v="FEL 2A"/>
    <s v="CMP"/>
    <x v="2"/>
    <n v="2024"/>
    <n v="1"/>
    <d v="2024-03-01T00:00:00"/>
    <n v="3161"/>
    <n v="1"/>
    <x v="24"/>
    <x v="16"/>
    <n v="1847"/>
    <x v="145"/>
    <x v="123"/>
    <n v="1"/>
    <n v="1847"/>
    <n v="1"/>
    <x v="121"/>
    <x v="153"/>
    <m/>
  </r>
  <r>
    <n v="167"/>
    <s v="CH-CMP-OU-FEL2A-033-A"/>
    <x v="36"/>
    <s v="FEL 2A"/>
    <s v="CMP"/>
    <x v="2"/>
    <n v="2024"/>
    <n v="1"/>
    <d v="2024-04-01T00:00:00"/>
    <n v="12005"/>
    <n v="1"/>
    <x v="15"/>
    <x v="18"/>
    <n v="1896"/>
    <x v="146"/>
    <x v="124"/>
    <n v="1"/>
    <n v="1896"/>
    <n v="1"/>
    <x v="42"/>
    <x v="154"/>
    <m/>
  </r>
  <r>
    <n v="168"/>
    <s v="CH-CMP-OU-FEL2A-033-A"/>
    <x v="36"/>
    <s v="FEL 2A"/>
    <s v="CMP"/>
    <x v="2"/>
    <n v="2024"/>
    <n v="1"/>
    <d v="2024-05-01T00:00:00"/>
    <n v="5015"/>
    <n v="1"/>
    <x v="25"/>
    <x v="19"/>
    <n v="10289"/>
    <x v="147"/>
    <x v="125"/>
    <n v="1"/>
    <n v="10289"/>
    <n v="1"/>
    <x v="122"/>
    <x v="155"/>
    <m/>
  </r>
  <r>
    <n v="169"/>
    <s v="CH-CMP-OU-FEL2A-033-A"/>
    <x v="36"/>
    <s v="FEL 2A"/>
    <s v="CMP"/>
    <x v="2"/>
    <n v="2024"/>
    <n v="-1"/>
    <m/>
    <m/>
    <n v="1"/>
    <x v="97"/>
    <x v="20"/>
    <n v="21258"/>
    <x v="148"/>
    <x v="34"/>
    <n v="1"/>
    <n v="21258"/>
    <n v="1"/>
    <x v="123"/>
    <x v="156"/>
    <m/>
  </r>
  <r>
    <n v="170"/>
    <s v="CH-CMP-CS-OTR00-006-A"/>
    <x v="37"/>
    <s v="CMP Estandar"/>
    <s v="CMP"/>
    <x v="2"/>
    <n v="2022"/>
    <n v="-1"/>
    <m/>
    <m/>
    <n v="1"/>
    <x v="94"/>
    <x v="16"/>
    <n v="33725.57"/>
    <x v="149"/>
    <x v="126"/>
    <n v="1"/>
    <n v="33725.57"/>
    <n v="1"/>
    <x v="124"/>
    <x v="157"/>
    <m/>
  </r>
  <r>
    <n v="171"/>
    <s v="CH-CMP-CS-OTR00-006-A"/>
    <x v="37"/>
    <s v="CMP Estandar"/>
    <s v="CMP"/>
    <x v="2"/>
    <n v="2023"/>
    <n v="-1"/>
    <m/>
    <m/>
    <n v="1"/>
    <x v="11"/>
    <x v="18"/>
    <n v="26141.51"/>
    <x v="150"/>
    <x v="127"/>
    <n v="1"/>
    <n v="26141.51"/>
    <n v="1"/>
    <x v="125"/>
    <x v="158"/>
    <m/>
  </r>
  <r>
    <n v="172"/>
    <s v="CH-CMP-CS-OTR00-006-A"/>
    <x v="37"/>
    <s v="CMP Estandar"/>
    <s v="CMP"/>
    <x v="2"/>
    <n v="2023"/>
    <n v="-1"/>
    <m/>
    <m/>
    <n v="1"/>
    <x v="3"/>
    <x v="19"/>
    <n v="36926.296249999999"/>
    <x v="151"/>
    <x v="128"/>
    <n v="1"/>
    <n v="36926.296249999999"/>
    <n v="1"/>
    <x v="4"/>
    <x v="159"/>
    <m/>
  </r>
  <r>
    <n v="173"/>
    <s v="CH-CMP-CS-OTR00-006-A"/>
    <x v="37"/>
    <s v="CMP Estandar"/>
    <s v="CMP"/>
    <x v="2"/>
    <n v="2023"/>
    <n v="-1"/>
    <m/>
    <m/>
    <n v="1"/>
    <x v="4"/>
    <x v="20"/>
    <n v="27037.27375"/>
    <x v="152"/>
    <x v="129"/>
    <n v="1"/>
    <n v="27037.27375"/>
    <n v="1"/>
    <x v="126"/>
    <x v="160"/>
    <m/>
  </r>
  <r>
    <n v="174"/>
    <s v="CH-CMP-CS-OTR00-006-A"/>
    <x v="37"/>
    <s v="CMP Estandar"/>
    <s v="CMP"/>
    <x v="2"/>
    <n v="2023"/>
    <n v="-1"/>
    <m/>
    <m/>
    <n v="1"/>
    <x v="5"/>
    <x v="21"/>
    <n v="25905"/>
    <x v="153"/>
    <x v="130"/>
    <n v="1"/>
    <n v="25905"/>
    <n v="1"/>
    <x v="127"/>
    <x v="161"/>
    <m/>
  </r>
  <r>
    <n v="175"/>
    <s v="CH-CMP-CS-OTR00-006-A"/>
    <x v="37"/>
    <s v="CMP Estandar"/>
    <s v="CMP"/>
    <x v="2"/>
    <n v="2023"/>
    <n v="-1"/>
    <m/>
    <m/>
    <n v="1"/>
    <x v="7"/>
    <x v="22"/>
    <n v="12105"/>
    <x v="154"/>
    <x v="131"/>
    <n v="1"/>
    <n v="12105"/>
    <n v="1"/>
    <x v="128"/>
    <x v="162"/>
    <s v="Incluye gastos reembolsables "/>
  </r>
  <r>
    <n v="176"/>
    <s v="CH-CMP-OP-FEL00-155-A"/>
    <x v="38"/>
    <s v="CMP_Actualización Casos de Negocios CNN"/>
    <s v="CMP"/>
    <x v="2"/>
    <n v="2025"/>
    <n v="-1"/>
    <m/>
    <m/>
    <n v="1"/>
    <x v="98"/>
    <x v="0"/>
    <n v="5398"/>
    <x v="155"/>
    <x v="54"/>
    <n v="1"/>
    <n v="5398"/>
    <n v="1"/>
    <x v="52"/>
    <x v="163"/>
    <m/>
  </r>
  <r>
    <n v="177"/>
    <s v="CH-CMP-OP-FEL00-155-A"/>
    <x v="38"/>
    <s v="CMP_Actualización Casos de Negocios CNN"/>
    <s v="CMP"/>
    <x v="2"/>
    <n v="2025"/>
    <n v="-1"/>
    <m/>
    <m/>
    <n v="1"/>
    <x v="17"/>
    <x v="1"/>
    <n v="15335"/>
    <x v="156"/>
    <x v="27"/>
    <n v="1"/>
    <n v="15335"/>
    <n v="1"/>
    <x v="69"/>
    <x v="164"/>
    <m/>
  </r>
  <r>
    <n v="178"/>
    <s v="CH-CMP-CS-FEL00-040-A"/>
    <x v="39"/>
    <s v="CMP_CNN (Update plan LOM )"/>
    <s v="CMP"/>
    <x v="2"/>
    <n v="2024"/>
    <n v="1"/>
    <d v="2024-03-01T00:00:00"/>
    <n v="5642"/>
    <n v="1"/>
    <x v="27"/>
    <x v="0"/>
    <n v="18800"/>
    <x v="157"/>
    <x v="132"/>
    <n v="1"/>
    <n v="16803"/>
    <n v="1"/>
    <x v="129"/>
    <x v="165"/>
    <m/>
  </r>
  <r>
    <n v="179"/>
    <s v="CH-CMP-UG-OTR00-095-A"/>
    <x v="40"/>
    <s v="CMP_Estrategia Crecimiento Tofo Norte"/>
    <s v="CMP"/>
    <x v="2"/>
    <n v="2024"/>
    <n v="-1"/>
    <m/>
    <m/>
    <n v="1"/>
    <x v="99"/>
    <x v="0"/>
    <n v="8906"/>
    <x v="158"/>
    <x v="89"/>
    <n v="1"/>
    <n v="8906"/>
    <n v="1"/>
    <x v="130"/>
    <x v="166"/>
    <m/>
  </r>
  <r>
    <n v="180"/>
    <s v="CH-CMP-UG-OTR00-095-A"/>
    <x v="40"/>
    <s v="CMP_Estrategia Crecimiento Tofo Norte"/>
    <s v="CMP"/>
    <x v="2"/>
    <n v="2024"/>
    <n v="-1"/>
    <m/>
    <m/>
    <n v="1"/>
    <x v="100"/>
    <x v="1"/>
    <n v="13808"/>
    <x v="159"/>
    <x v="37"/>
    <n v="1"/>
    <n v="13808"/>
    <n v="1"/>
    <x v="36"/>
    <x v="167"/>
    <m/>
  </r>
  <r>
    <n v="181"/>
    <s v="CH-CMP-UG-OTR00-095-A"/>
    <x v="40"/>
    <s v="CMP_Estrategia Crecimiento Tofo Norte"/>
    <s v="CMP"/>
    <x v="2"/>
    <n v="2024"/>
    <n v="-1"/>
    <m/>
    <m/>
    <n v="1"/>
    <x v="101"/>
    <x v="2"/>
    <n v="3212"/>
    <x v="160"/>
    <x v="26"/>
    <n v="1"/>
    <n v="3212"/>
    <n v="1"/>
    <x v="25"/>
    <x v="168"/>
    <m/>
  </r>
  <r>
    <n v="182"/>
    <s v="CH-CMP-UG-OTR00-095-A"/>
    <x v="40"/>
    <s v="CMP_Estrategia Crecimiento Tofo Norte"/>
    <s v="CMP"/>
    <x v="2"/>
    <n v="2024"/>
    <n v="-1"/>
    <m/>
    <m/>
    <n v="1"/>
    <x v="89"/>
    <x v="3"/>
    <n v="17309"/>
    <x v="161"/>
    <x v="133"/>
    <n v="1"/>
    <n v="17309"/>
    <n v="1"/>
    <x v="131"/>
    <x v="169"/>
    <m/>
  </r>
  <r>
    <n v="183"/>
    <s v="CH-CMP-UG-OTR00-095-A"/>
    <x v="40"/>
    <s v="CMP_Estrategia Crecimiento Tofo Norte"/>
    <s v="CMP"/>
    <x v="2"/>
    <n v="2024"/>
    <n v="-1"/>
    <m/>
    <m/>
    <n v="1"/>
    <x v="90"/>
    <x v="4"/>
    <n v="36716"/>
    <x v="162"/>
    <x v="40"/>
    <n v="1"/>
    <n v="36716"/>
    <n v="1"/>
    <x v="132"/>
    <x v="170"/>
    <m/>
  </r>
  <r>
    <n v="184"/>
    <s v="CH-CMP-UG-OTR00-095-A"/>
    <x v="40"/>
    <s v="CMP_Estrategia Crecimiento Tofo Norte"/>
    <s v="CMP"/>
    <x v="2"/>
    <n v="2025"/>
    <n v="-1"/>
    <m/>
    <m/>
    <n v="1"/>
    <x v="102"/>
    <x v="5"/>
    <n v="14903"/>
    <x v="163"/>
    <x v="134"/>
    <n v="1"/>
    <n v="22365"/>
    <n v="1"/>
    <x v="133"/>
    <x v="171"/>
    <m/>
  </r>
  <r>
    <n v="185"/>
    <s v="CH-CMP-OP-OTR00-083-A"/>
    <x v="41"/>
    <s v="CMP_LOM CNN 2024"/>
    <s v="CMP"/>
    <x v="2"/>
    <n v="2024"/>
    <n v="-1"/>
    <m/>
    <m/>
    <n v="1"/>
    <x v="27"/>
    <x v="0"/>
    <n v="34041"/>
    <x v="164"/>
    <x v="36"/>
    <n v="1"/>
    <n v="34401"/>
    <n v="1"/>
    <x v="35"/>
    <x v="172"/>
    <m/>
  </r>
  <r>
    <n v="186"/>
    <s v="CH-CMP-OP-OTR00-084-A"/>
    <x v="42"/>
    <s v="CMP_LOM MLC 2024"/>
    <s v="CMP"/>
    <x v="2"/>
    <n v="2024"/>
    <n v="-1"/>
    <m/>
    <m/>
    <n v="1"/>
    <x v="27"/>
    <x v="0"/>
    <n v="26563"/>
    <x v="164"/>
    <x v="36"/>
    <n v="1"/>
    <n v="26563"/>
    <n v="1"/>
    <x v="35"/>
    <x v="173"/>
    <m/>
  </r>
  <r>
    <n v="187"/>
    <s v="CH-CMP-OP-OTR00-084-A"/>
    <x v="42"/>
    <s v="CMP_LOM MLC 2024"/>
    <s v="CMP"/>
    <x v="2"/>
    <n v="2024"/>
    <n v="-1"/>
    <m/>
    <m/>
    <n v="1"/>
    <x v="81"/>
    <x v="1"/>
    <n v="34586"/>
    <x v="165"/>
    <x v="39"/>
    <n v="1"/>
    <n v="33111"/>
    <n v="1"/>
    <x v="134"/>
    <x v="174"/>
    <m/>
  </r>
  <r>
    <n v="188"/>
    <s v="CH-CMP-CS-FEL00-038-A"/>
    <x v="43"/>
    <s v="CMP_Los Colorados Adelantamiento Planta"/>
    <s v="CMP"/>
    <x v="2"/>
    <n v="2023"/>
    <n v="-1"/>
    <d v="2023-12-01T00:00:00"/>
    <n v="0"/>
    <n v="1"/>
    <x v="13"/>
    <x v="0"/>
    <n v="33661"/>
    <x v="142"/>
    <x v="23"/>
    <n v="1"/>
    <n v="33661"/>
    <n v="1"/>
    <x v="22"/>
    <x v="175"/>
    <m/>
  </r>
  <r>
    <n v="189"/>
    <s v="CH-CMP-CS-FEL00-038-A"/>
    <x v="43"/>
    <s v="CMP_Los Colorados Adelantamiento Planta"/>
    <s v="CMP"/>
    <x v="2"/>
    <n v="2024"/>
    <n v="1"/>
    <d v="2024-01-01T00:00:00"/>
    <n v="93026"/>
    <n v="1"/>
    <x v="96"/>
    <x v="1"/>
    <n v="16146"/>
    <x v="143"/>
    <x v="121"/>
    <n v="1"/>
    <n v="16146"/>
    <n v="1"/>
    <x v="119"/>
    <x v="176"/>
    <m/>
  </r>
  <r>
    <n v="190"/>
    <s v="CH-CMP-CS-FEL00-038-A"/>
    <x v="43"/>
    <s v="CMP_Los Colorados Adelantamiento Planta"/>
    <s v="CMP"/>
    <x v="2"/>
    <n v="2024"/>
    <n v="1"/>
    <d v="2024-02-01T00:00:00"/>
    <n v="42563"/>
    <n v="1"/>
    <x v="14"/>
    <x v="2"/>
    <n v="25645"/>
    <x v="144"/>
    <x v="122"/>
    <n v="1"/>
    <n v="25645"/>
    <n v="1"/>
    <x v="120"/>
    <x v="177"/>
    <m/>
  </r>
  <r>
    <n v="191"/>
    <s v="CH-CMP-CS-FEL00-038-A"/>
    <x v="43"/>
    <s v="CMP_Los Colorados Adelantamiento Planta"/>
    <s v="CMP"/>
    <x v="2"/>
    <n v="2024"/>
    <n v="1"/>
    <d v="2024-03-01T00:00:00"/>
    <n v="12000"/>
    <n v="1"/>
    <x v="24"/>
    <x v="3"/>
    <n v="4969"/>
    <x v="145"/>
    <x v="123"/>
    <n v="1"/>
    <n v="4969"/>
    <n v="1"/>
    <x v="121"/>
    <x v="178"/>
    <m/>
  </r>
  <r>
    <n v="192"/>
    <s v="CH-CMP-CS-FEL00-038-A"/>
    <x v="43"/>
    <s v="CMP_Los Colorados Adelantamiento Planta"/>
    <s v="CMP"/>
    <x v="2"/>
    <n v="2024"/>
    <n v="1"/>
    <d v="2024-04-01T00:00:00"/>
    <n v="8629"/>
    <n v="1"/>
    <x v="15"/>
    <x v="4"/>
    <n v="9436"/>
    <x v="146"/>
    <x v="124"/>
    <n v="1"/>
    <n v="9436"/>
    <n v="1"/>
    <x v="42"/>
    <x v="179"/>
    <m/>
  </r>
  <r>
    <n v="193"/>
    <s v="CH-CMP-CS-FEL00-038-A"/>
    <x v="43"/>
    <s v="CMP_Los Colorados Adelantamiento Planta"/>
    <s v="CMP"/>
    <x v="2"/>
    <n v="2024"/>
    <n v="-1"/>
    <m/>
    <m/>
    <n v="1"/>
    <x v="25"/>
    <x v="5"/>
    <n v="2974"/>
    <x v="147"/>
    <x v="125"/>
    <n v="1"/>
    <n v="2974"/>
    <n v="1"/>
    <x v="122"/>
    <x v="180"/>
    <m/>
  </r>
  <r>
    <n v="194"/>
    <s v="CH-CMP-OP-FEL00-106-A"/>
    <x v="44"/>
    <s v="CMP_Mejoras Operacionales CNN"/>
    <s v="CMP"/>
    <x v="2"/>
    <n v="2024"/>
    <n v="-1"/>
    <m/>
    <m/>
    <n v="1"/>
    <x v="31"/>
    <x v="0"/>
    <n v="46214.27"/>
    <x v="166"/>
    <x v="103"/>
    <n v="1"/>
    <n v="46214"/>
    <n v="1"/>
    <x v="135"/>
    <x v="181"/>
    <m/>
  </r>
  <r>
    <n v="195"/>
    <s v="CH-CMP-OP-FEL00-106-A"/>
    <x v="44"/>
    <s v="CMP_Mejoras Operacionales CNN"/>
    <s v="CMP"/>
    <x v="2"/>
    <n v="2025"/>
    <n v="-1"/>
    <m/>
    <m/>
    <n v="1"/>
    <x v="32"/>
    <x v="1"/>
    <n v="9854"/>
    <x v="167"/>
    <x v="40"/>
    <n v="1"/>
    <n v="9854"/>
    <n v="1"/>
    <x v="132"/>
    <x v="182"/>
    <m/>
  </r>
  <r>
    <n v="196"/>
    <s v="CH-CMP-OP-FEL00-106-A"/>
    <x v="44"/>
    <s v="CMP_Mejoras Operacionales CNN"/>
    <s v="CMP"/>
    <x v="2"/>
    <n v="2025"/>
    <n v="-1"/>
    <m/>
    <m/>
    <n v="1"/>
    <x v="33"/>
    <x v="2"/>
    <n v="16216"/>
    <x v="168"/>
    <x v="135"/>
    <n v="1"/>
    <n v="16441.669999999998"/>
    <n v="1"/>
    <x v="136"/>
    <x v="183"/>
    <m/>
  </r>
  <r>
    <n v="197"/>
    <s v="CH-CMP-OP-FEL00-106-A"/>
    <x v="44"/>
    <s v="CMP_Mejoras Operacionales CNN"/>
    <s v="CMP"/>
    <x v="2"/>
    <n v="2025"/>
    <n v="-1"/>
    <m/>
    <m/>
    <n v="1"/>
    <x v="44"/>
    <x v="3"/>
    <n v="12182"/>
    <x v="169"/>
    <x v="136"/>
    <n v="1"/>
    <n v="11623"/>
    <n v="1"/>
    <x v="137"/>
    <x v="184"/>
    <m/>
  </r>
  <r>
    <n v="198"/>
    <s v="CH-CMP-OP-FEL00-106-A"/>
    <x v="44"/>
    <s v="CMP_Mejoras Operacionales CNN"/>
    <s v="CMP"/>
    <x v="2"/>
    <n v="2025"/>
    <n v="-1"/>
    <m/>
    <m/>
    <n v="1"/>
    <x v="44"/>
    <x v="4"/>
    <n v="36573"/>
    <x v="170"/>
    <x v="137"/>
    <n v="1"/>
    <n v="31139"/>
    <n v="8"/>
    <x v="138"/>
    <x v="185"/>
    <m/>
  </r>
  <r>
    <n v="199"/>
    <s v="CH-CMP-OT-OTR00-107-A"/>
    <x v="45"/>
    <s v="CMP_Nuevos alcances Algarrobo"/>
    <s v="CMP"/>
    <x v="2"/>
    <n v="2025"/>
    <n v="-1"/>
    <m/>
    <m/>
    <n v="1"/>
    <x v="33"/>
    <x v="0"/>
    <n v="112506"/>
    <x v="171"/>
    <x v="61"/>
    <n v="1"/>
    <n v="107174"/>
    <n v="1"/>
    <x v="82"/>
    <x v="186"/>
    <m/>
  </r>
  <r>
    <n v="200"/>
    <s v="CH-CMP-OP-OTR00-096-A"/>
    <x v="46"/>
    <s v="CMP_Plan minero base MLC"/>
    <s v="CMP"/>
    <x v="2"/>
    <n v="2024"/>
    <n v="-1"/>
    <m/>
    <m/>
    <n v="1"/>
    <x v="99"/>
    <x v="0"/>
    <n v="7706"/>
    <x v="158"/>
    <x v="89"/>
    <n v="1"/>
    <n v="7706"/>
    <n v="1"/>
    <x v="130"/>
    <x v="187"/>
    <m/>
  </r>
  <r>
    <n v="201"/>
    <s v="CH-CMP-OP-OTR00-096-A"/>
    <x v="46"/>
    <s v="CMP_Plan minero base MLC"/>
    <s v="CMP"/>
    <x v="2"/>
    <n v="2024"/>
    <n v="-1"/>
    <m/>
    <m/>
    <n v="1"/>
    <x v="100"/>
    <x v="1"/>
    <n v="4603"/>
    <x v="159"/>
    <x v="37"/>
    <n v="1"/>
    <n v="4603"/>
    <n v="1"/>
    <x v="36"/>
    <x v="188"/>
    <m/>
  </r>
  <r>
    <n v="202"/>
    <s v="CH-CMP-OP-OTR00-096-A"/>
    <x v="46"/>
    <s v="CMP_Plan minero base MLC"/>
    <s v="CMP"/>
    <x v="2"/>
    <n v="2024"/>
    <n v="-1"/>
    <m/>
    <m/>
    <n v="1"/>
    <x v="101"/>
    <x v="2"/>
    <n v="3705"/>
    <x v="160"/>
    <x v="26"/>
    <n v="1"/>
    <n v="3705"/>
    <n v="1"/>
    <x v="25"/>
    <x v="189"/>
    <m/>
  </r>
  <r>
    <n v="203"/>
    <s v="CH-CMP-OP-OTR00-096-A"/>
    <x v="46"/>
    <s v="CMP_Plan minero base MLC"/>
    <s v="CMP"/>
    <x v="2"/>
    <n v="2024"/>
    <n v="-1"/>
    <m/>
    <m/>
    <n v="1"/>
    <x v="89"/>
    <x v="3"/>
    <n v="4392"/>
    <x v="161"/>
    <x v="133"/>
    <n v="1"/>
    <n v="4392"/>
    <n v="1"/>
    <x v="131"/>
    <x v="190"/>
    <m/>
  </r>
  <r>
    <n v="204"/>
    <s v="CH-CMP-OP-OTR00-096-A"/>
    <x v="46"/>
    <s v="CMP_Plan minero base MLC"/>
    <s v="CMP"/>
    <x v="2"/>
    <n v="2024"/>
    <n v="-1"/>
    <m/>
    <m/>
    <n v="1"/>
    <x v="90"/>
    <x v="4"/>
    <n v="34732"/>
    <x v="162"/>
    <x v="40"/>
    <n v="1"/>
    <n v="34732"/>
    <n v="1"/>
    <x v="132"/>
    <x v="191"/>
    <m/>
  </r>
  <r>
    <n v="205"/>
    <s v="CH-CMP-OP-OTR00-096-A"/>
    <x v="46"/>
    <s v="CMP_Plan minero base MLC"/>
    <s v="CMP"/>
    <x v="2"/>
    <n v="2025"/>
    <n v="-1"/>
    <m/>
    <m/>
    <n v="1"/>
    <x v="102"/>
    <x v="5"/>
    <n v="8755"/>
    <x v="163"/>
    <x v="134"/>
    <n v="1"/>
    <n v="12346"/>
    <n v="1"/>
    <x v="133"/>
    <x v="192"/>
    <m/>
  </r>
  <r>
    <n v="206"/>
    <s v="CH-CMP-OP-OTR00-096-A"/>
    <x v="46"/>
    <s v="CMP_Plan minero base MLC"/>
    <s v="CMP"/>
    <x v="2"/>
    <n v="2025"/>
    <n v="-1"/>
    <m/>
    <m/>
    <n v="1"/>
    <x v="103"/>
    <x v="6"/>
    <n v="14746"/>
    <x v="172"/>
    <x v="138"/>
    <n v="1"/>
    <n v="14746"/>
    <n v="1"/>
    <x v="93"/>
    <x v="193"/>
    <m/>
  </r>
  <r>
    <n v="207"/>
    <s v="CH-CMP-OP-OTR00-096-A"/>
    <x v="46"/>
    <s v="CMP_Plan minero base MLC"/>
    <s v="CMP"/>
    <x v="2"/>
    <n v="2025"/>
    <n v="-1"/>
    <m/>
    <m/>
    <n v="1"/>
    <x v="104"/>
    <x v="0"/>
    <n v="34306"/>
    <x v="173"/>
    <x v="139"/>
    <n v="1"/>
    <n v="34306"/>
    <n v="1"/>
    <x v="139"/>
    <x v="194"/>
    <m/>
  </r>
  <r>
    <n v="208"/>
    <s v="CH-CMP-UG-FEL03-093-A"/>
    <x v="47"/>
    <s v="CMP_Puesta en marcha SLS Romeral"/>
    <s v="CMP"/>
    <x v="2"/>
    <n v="2024"/>
    <n v="-1"/>
    <m/>
    <m/>
    <n v="1"/>
    <x v="27"/>
    <x v="0"/>
    <n v="135485"/>
    <x v="174"/>
    <x v="36"/>
    <n v="1"/>
    <n v="141357"/>
    <n v="1"/>
    <x v="35"/>
    <x v="195"/>
    <m/>
  </r>
  <r>
    <n v="209"/>
    <s v="CH-CMP-UG-FEL03-093-A"/>
    <x v="47"/>
    <s v="CMP_Puesta en marcha SLS Romeral"/>
    <s v="CMP"/>
    <x v="2"/>
    <n v="2024"/>
    <n v="-1"/>
    <m/>
    <m/>
    <n v="1"/>
    <x v="99"/>
    <x v="1"/>
    <n v="237714"/>
    <x v="175"/>
    <x v="140"/>
    <n v="1"/>
    <n v="229439.04116848976"/>
    <n v="1"/>
    <x v="130"/>
    <x v="196"/>
    <m/>
  </r>
  <r>
    <n v="210"/>
    <s v="CH-CMP-UG-FEL03-093-A"/>
    <x v="47"/>
    <s v="CMP_Puesta en marcha SLS Romeral"/>
    <s v="CMP"/>
    <x v="2"/>
    <n v="2024"/>
    <n v="-1"/>
    <m/>
    <m/>
    <n v="1"/>
    <x v="16"/>
    <x v="2"/>
    <n v="108299"/>
    <x v="176"/>
    <x v="141"/>
    <n v="1"/>
    <n v="108299"/>
    <n v="1"/>
    <x v="99"/>
    <x v="197"/>
    <m/>
  </r>
  <r>
    <n v="211"/>
    <s v="CH-CMP-UG-FEL03-093-A"/>
    <x v="47"/>
    <s v="CMP_Puesta en marcha SLS Romeral"/>
    <s v="CMP"/>
    <x v="2"/>
    <n v="2024"/>
    <n v="-1"/>
    <m/>
    <m/>
    <n v="1"/>
    <x v="81"/>
    <x v="3"/>
    <n v="86735"/>
    <x v="177"/>
    <x v="90"/>
    <n v="1"/>
    <n v="86735"/>
    <n v="1"/>
    <x v="140"/>
    <x v="198"/>
    <m/>
  </r>
  <r>
    <n v="212"/>
    <s v="CH-CMP-UG-FEL03-093-A"/>
    <x v="47"/>
    <s v="CMP_Puesta en marcha SLS Romeral"/>
    <s v="CMP"/>
    <x v="2"/>
    <n v="2024"/>
    <n v="-1"/>
    <m/>
    <m/>
    <n v="1"/>
    <x v="105"/>
    <x v="4"/>
    <n v="81962"/>
    <x v="178"/>
    <x v="142"/>
    <n v="1"/>
    <n v="81962"/>
    <n v="1"/>
    <x v="141"/>
    <x v="199"/>
    <m/>
  </r>
  <r>
    <n v="213"/>
    <s v="CH-CMP-UG-FEL03-093-A"/>
    <x v="47"/>
    <s v="CMP_Puesta en marcha SLS Romeral"/>
    <s v="CMP"/>
    <x v="2"/>
    <n v="2024"/>
    <n v="-1"/>
    <m/>
    <m/>
    <n v="1"/>
    <x v="31"/>
    <x v="5"/>
    <n v="118872.36"/>
    <x v="179"/>
    <x v="143"/>
    <n v="1"/>
    <n v="118872"/>
    <n v="1"/>
    <x v="142"/>
    <x v="200"/>
    <m/>
  </r>
  <r>
    <n v="214"/>
    <s v="CH-CMP-UG-FEL03-093-A"/>
    <x v="47"/>
    <s v="CMP_Puesta en marcha SLS Romeral"/>
    <s v="CMP"/>
    <x v="2"/>
    <n v="2025"/>
    <n v="-1"/>
    <m/>
    <m/>
    <n v="1"/>
    <x v="71"/>
    <x v="8"/>
    <n v="32097"/>
    <x v="180"/>
    <x v="144"/>
    <n v="1"/>
    <n v="32097"/>
    <n v="1"/>
    <x v="143"/>
    <x v="201"/>
    <s v="Anterior #1A"/>
  </r>
  <r>
    <n v="215"/>
    <s v="CH-CMP-UG-FEL03-093-A"/>
    <x v="47"/>
    <s v="CMP_Puesta en marcha SLS Romeral"/>
    <s v="CMP"/>
    <x v="2"/>
    <n v="2025"/>
    <n v="-1"/>
    <m/>
    <m/>
    <n v="1"/>
    <x v="71"/>
    <x v="9"/>
    <n v="15398"/>
    <x v="181"/>
    <x v="144"/>
    <n v="1"/>
    <n v="15398"/>
    <n v="1"/>
    <x v="143"/>
    <x v="202"/>
    <s v="Anterior #1B"/>
  </r>
  <r>
    <n v="216"/>
    <s v="CH-CMP-UG-FEL03-093-A"/>
    <x v="47"/>
    <s v="CMP_Puesta en marcha SLS Romeral"/>
    <s v="CMP"/>
    <x v="2"/>
    <n v="2025"/>
    <n v="-1"/>
    <m/>
    <m/>
    <n v="1"/>
    <x v="106"/>
    <x v="6"/>
    <n v="31918"/>
    <x v="182"/>
    <x v="40"/>
    <n v="1"/>
    <n v="46484"/>
    <n v="1"/>
    <x v="144"/>
    <x v="203"/>
    <m/>
  </r>
  <r>
    <n v="217"/>
    <s v="CH-CMP-UG-FEL03-093-A"/>
    <x v="47"/>
    <s v="CMP_Puesta en marcha SLS Romeral"/>
    <s v="CMP"/>
    <x v="2"/>
    <n v="2025"/>
    <n v="-1"/>
    <m/>
    <m/>
    <n v="1"/>
    <x v="33"/>
    <x v="7"/>
    <n v="41744"/>
    <x v="183"/>
    <x v="91"/>
    <n v="1"/>
    <n v="42469"/>
    <n v="1"/>
    <x v="145"/>
    <x v="204"/>
    <m/>
  </r>
  <r>
    <n v="218"/>
    <s v="CH-CMP-UG-FEL03-093-A"/>
    <x v="47"/>
    <s v="CMP_Puesta en marcha SLS Romeral"/>
    <s v="CMP"/>
    <x v="2"/>
    <n v="2025"/>
    <n v="-1"/>
    <m/>
    <m/>
    <n v="1"/>
    <x v="107"/>
    <x v="10"/>
    <n v="21494"/>
    <x v="184"/>
    <x v="145"/>
    <n v="1"/>
    <n v="21494"/>
    <n v="1"/>
    <x v="146"/>
    <x v="205"/>
    <s v="Anterior #1C"/>
  </r>
  <r>
    <n v="219"/>
    <s v="CH-CMP-OU-FEL2A-041-A"/>
    <x v="48"/>
    <s v="Romeral Estabilizado + PFS UG"/>
    <s v="CMP"/>
    <x v="2"/>
    <n v="2024"/>
    <n v="1"/>
    <d v="2024-01-01T00:00:00"/>
    <n v="29620"/>
    <n v="1"/>
    <x v="96"/>
    <x v="0"/>
    <n v="61461"/>
    <x v="185"/>
    <x v="146"/>
    <n v="1"/>
    <n v="61461"/>
    <n v="1"/>
    <x v="147"/>
    <x v="206"/>
    <m/>
  </r>
  <r>
    <n v="220"/>
    <s v="CH-CMP-OU-FEL2A-041-A"/>
    <x v="48"/>
    <s v="Romeral Estabilizado + PFS UG"/>
    <s v="CMP"/>
    <x v="2"/>
    <n v="2024"/>
    <n v="1"/>
    <d v="2024-02-01T00:00:00"/>
    <n v="80000"/>
    <n v="1"/>
    <x v="14"/>
    <x v="1"/>
    <n v="61831"/>
    <x v="186"/>
    <x v="147"/>
    <n v="1"/>
    <n v="61831"/>
    <n v="1"/>
    <x v="147"/>
    <x v="207"/>
    <m/>
  </r>
  <r>
    <n v="221"/>
    <s v="CH-CMP-OU-FEL2A-041-A"/>
    <x v="48"/>
    <s v="Romeral Estabilizado + PFS UG"/>
    <s v="CMP"/>
    <x v="2"/>
    <n v="2024"/>
    <n v="1"/>
    <d v="2024-03-01T00:00:00"/>
    <n v="80000"/>
    <n v="1"/>
    <x v="24"/>
    <x v="2"/>
    <n v="61641"/>
    <x v="187"/>
    <x v="148"/>
    <n v="1"/>
    <n v="61641"/>
    <n v="1"/>
    <x v="148"/>
    <x v="208"/>
    <m/>
  </r>
  <r>
    <n v="222"/>
    <s v="CH-CMP-OU-FEL2A-041-A"/>
    <x v="48"/>
    <s v="Romeral Estabilizado + PFS UG"/>
    <s v="CMP"/>
    <x v="2"/>
    <n v="2024"/>
    <n v="1"/>
    <d v="2024-04-01T00:00:00"/>
    <n v="6872"/>
    <n v="1"/>
    <x v="15"/>
    <x v="3"/>
    <n v="61831"/>
    <x v="188"/>
    <x v="149"/>
    <n v="1"/>
    <n v="61831"/>
    <n v="1"/>
    <x v="148"/>
    <x v="209"/>
    <m/>
  </r>
  <r>
    <n v="223"/>
    <s v="CH-CMP-OU-FEL2A-041-A"/>
    <x v="48"/>
    <s v="Romeral Estabilizado + PFS UG"/>
    <s v="CMP"/>
    <x v="2"/>
    <n v="2024"/>
    <n v="1"/>
    <d v="2024-05-01T00:00:00"/>
    <n v="61831"/>
    <n v="1"/>
    <x v="25"/>
    <x v="4"/>
    <n v="34925.9"/>
    <x v="189"/>
    <x v="150"/>
    <n v="1"/>
    <n v="34926"/>
    <n v="1"/>
    <x v="149"/>
    <x v="210"/>
    <m/>
  </r>
  <r>
    <n v="224"/>
    <s v="CH-CMP-OU-FEL2A-041-A"/>
    <x v="48"/>
    <s v="Romeral Estabilizado + PFS UG"/>
    <s v="CMP"/>
    <x v="2"/>
    <n v="2024"/>
    <n v="-1"/>
    <m/>
    <m/>
    <n v="1"/>
    <x v="87"/>
    <x v="5"/>
    <n v="60227"/>
    <x v="190"/>
    <x v="141"/>
    <n v="1"/>
    <n v="60804"/>
    <n v="1"/>
    <x v="150"/>
    <x v="211"/>
    <m/>
  </r>
  <r>
    <n v="225"/>
    <s v="CH-CMP-OU-FEL2A-041-A"/>
    <x v="48"/>
    <s v="Romeral Estabilizado + PFS UG"/>
    <s v="CMP"/>
    <x v="2"/>
    <n v="2024"/>
    <n v="-1"/>
    <m/>
    <m/>
    <n v="1"/>
    <x v="29"/>
    <x v="6"/>
    <n v="28407"/>
    <x v="191"/>
    <x v="141"/>
    <n v="1"/>
    <n v="28407"/>
    <n v="1"/>
    <x v="150"/>
    <x v="212"/>
    <m/>
  </r>
  <r>
    <n v="226"/>
    <s v="CH-COD-CS-OTR00-129-A"/>
    <x v="49"/>
    <s v="Codelco_Actualización norma NCC-31"/>
    <s v="Codelco"/>
    <x v="2"/>
    <n v="2024"/>
    <n v="-1"/>
    <m/>
    <m/>
    <n v="1"/>
    <x v="90"/>
    <x v="0"/>
    <n v="23268"/>
    <x v="192"/>
    <x v="143"/>
    <n v="1"/>
    <n v="31715"/>
    <n v="1"/>
    <x v="142"/>
    <x v="213"/>
    <m/>
  </r>
  <r>
    <n v="227"/>
    <s v="CH-COD-CS-OTR00-129-A"/>
    <x v="49"/>
    <s v="Codelco_Actualización norma NCC-31"/>
    <s v="Codelco"/>
    <x v="2"/>
    <n v="2025"/>
    <n v="-1"/>
    <m/>
    <m/>
    <n v="1"/>
    <x v="91"/>
    <x v="1"/>
    <n v="28753"/>
    <x v="193"/>
    <x v="151"/>
    <n v="1"/>
    <n v="28753"/>
    <n v="1"/>
    <x v="151"/>
    <x v="214"/>
    <m/>
  </r>
  <r>
    <n v="228"/>
    <s v="CH-COD-CS-OTR00-129-A"/>
    <x v="49"/>
    <s v="Codelco_Actualización norma NCC-31"/>
    <s v="Codelco"/>
    <x v="2"/>
    <n v="2025"/>
    <n v="-1"/>
    <m/>
    <m/>
    <n v="1"/>
    <x v="33"/>
    <x v="2"/>
    <n v="11360"/>
    <x v="194"/>
    <x v="64"/>
    <n v="1"/>
    <n v="11360"/>
    <n v="1"/>
    <x v="152"/>
    <x v="215"/>
    <m/>
  </r>
  <r>
    <n v="229"/>
    <s v="CH-COD-CS-OTR00-193-A"/>
    <x v="50"/>
    <s v="Codelco_Auditoria Recursos y Reservas"/>
    <s v="Codelco"/>
    <x v="2"/>
    <n v="2026"/>
    <n v="1"/>
    <d v="2026-02-25T00:00:00"/>
    <n v="132679"/>
    <n v="1"/>
    <x v="108"/>
    <x v="0"/>
    <n v="103193"/>
    <x v="195"/>
    <x v="152"/>
    <n v="1"/>
    <n v="103193"/>
    <n v="1"/>
    <x v="153"/>
    <x v="216"/>
    <m/>
  </r>
  <r>
    <n v="230"/>
    <s v="CH-COD-CS-OTR00-193-A"/>
    <x v="50"/>
    <s v="Codelco_Auditoria Recursos y Reservas"/>
    <s v="Codelco"/>
    <x v="2"/>
    <n v="2026"/>
    <n v="1"/>
    <d v="2026-03-01T00:00:00"/>
    <n v="154795"/>
    <n v="1"/>
    <x v="10"/>
    <x v="1"/>
    <n v="94715"/>
    <x v="196"/>
    <x v="31"/>
    <n v="-1"/>
    <m/>
    <n v="-1"/>
    <x v="30"/>
    <x v="36"/>
    <m/>
  </r>
  <r>
    <n v="231"/>
    <s v="CH-COD-CS-OTR00-193-A"/>
    <x v="50"/>
    <s v="Codelco_Auditoria Recursos y Reservas"/>
    <s v="Codelco"/>
    <x v="2"/>
    <n v="2026"/>
    <n v="-1"/>
    <m/>
    <m/>
    <n v="1"/>
    <x v="109"/>
    <x v="2"/>
    <n v="60080"/>
    <x v="196"/>
    <x v="31"/>
    <n v="-1"/>
    <m/>
    <n v="-1"/>
    <x v="30"/>
    <x v="36"/>
    <m/>
  </r>
  <r>
    <n v="232"/>
    <s v="CH-COD-OT-OTR00-030-A"/>
    <x v="51"/>
    <s v="Deswik DET"/>
    <s v="Codelco"/>
    <x v="2"/>
    <n v="2023"/>
    <n v="1"/>
    <d v="2023-12-01T00:00:00"/>
    <n v="21600"/>
    <n v="1"/>
    <x v="13"/>
    <x v="0"/>
    <n v="29752"/>
    <x v="197"/>
    <x v="153"/>
    <n v="1"/>
    <n v="29752"/>
    <n v="1"/>
    <x v="154"/>
    <x v="217"/>
    <m/>
  </r>
  <r>
    <n v="233"/>
    <s v="CH-COD-OT-OTR00-030-A"/>
    <x v="51"/>
    <s v="Deswik DET"/>
    <s v="Codelco"/>
    <x v="2"/>
    <n v="2024"/>
    <n v="1"/>
    <d v="2024-02-01T00:00:00"/>
    <n v="14600"/>
    <n v="1"/>
    <x v="14"/>
    <x v="1"/>
    <n v="12534"/>
    <x v="198"/>
    <x v="154"/>
    <n v="1"/>
    <n v="12534"/>
    <n v="1"/>
    <x v="155"/>
    <x v="218"/>
    <m/>
  </r>
  <r>
    <n v="234"/>
    <s v="CH-COD-OT-OTR00-030-A"/>
    <x v="51"/>
    <s v="Deswik DET"/>
    <s v="Codelco"/>
    <x v="2"/>
    <n v="2024"/>
    <n v="1"/>
    <d v="2024-04-01T00:00:00"/>
    <n v="26714"/>
    <n v="1"/>
    <x v="27"/>
    <x v="2"/>
    <n v="13837"/>
    <x v="199"/>
    <x v="155"/>
    <n v="1"/>
    <n v="13837"/>
    <n v="1"/>
    <x v="156"/>
    <x v="219"/>
    <m/>
  </r>
  <r>
    <n v="235"/>
    <s v="CH-COD-UG-FEL00-037-A"/>
    <x v="52"/>
    <s v="Codelco_Cluster Toki"/>
    <s v="Codelco"/>
    <x v="2"/>
    <n v="2023"/>
    <n v="1"/>
    <d v="2023-11-01T00:00:00"/>
    <n v="5000"/>
    <n v="1"/>
    <x v="12"/>
    <x v="0"/>
    <n v="41755"/>
    <x v="200"/>
    <x v="156"/>
    <n v="1"/>
    <n v="41755"/>
    <n v="1"/>
    <x v="157"/>
    <x v="220"/>
    <s v="Cliente solicita valoriza al 50% del valor de proyecto"/>
  </r>
  <r>
    <n v="236"/>
    <s v="CH-COD-UG-FEL00-037-A"/>
    <x v="52"/>
    <s v="Codelco_Cluster Toki"/>
    <s v="Codelco"/>
    <x v="2"/>
    <n v="2023"/>
    <n v="1"/>
    <d v="2023-12-01T00:00:00"/>
    <n v="37700"/>
    <n v="1"/>
    <x v="13"/>
    <x v="1"/>
    <n v="38092"/>
    <x v="201"/>
    <x v="156"/>
    <n v="1"/>
    <n v="38092"/>
    <n v="1"/>
    <x v="157"/>
    <x v="221"/>
    <m/>
  </r>
  <r>
    <n v="237"/>
    <s v="CH-COD-UG-FEL00-037-A"/>
    <x v="52"/>
    <s v="Codelco_Cluster Toki"/>
    <s v="Codelco"/>
    <x v="2"/>
    <n v="2024"/>
    <n v="1"/>
    <d v="2024-01-01T00:00:00"/>
    <n v="2940"/>
    <n v="1"/>
    <x v="96"/>
    <x v="2"/>
    <n v="2940"/>
    <x v="202"/>
    <x v="157"/>
    <n v="1"/>
    <n v="2940"/>
    <n v="1"/>
    <x v="158"/>
    <x v="222"/>
    <m/>
  </r>
  <r>
    <n v="238"/>
    <s v="CH-COD-OP-FEL00-211-A"/>
    <x v="53"/>
    <s v="Codelco_DET Rajo Sur"/>
    <s v="Codelco"/>
    <x v="2"/>
    <n v="2026"/>
    <n v="-1"/>
    <m/>
    <m/>
    <n v="1"/>
    <x v="110"/>
    <x v="0"/>
    <n v="17443"/>
    <x v="36"/>
    <x v="31"/>
    <n v="-1"/>
    <m/>
    <n v="-1"/>
    <x v="30"/>
    <x v="36"/>
    <m/>
  </r>
  <r>
    <n v="239"/>
    <s v="CH-COD-UG-FEL01-039-A"/>
    <x v="54"/>
    <s v="Codelco_Drenaje QT"/>
    <s v="Codelco"/>
    <x v="2"/>
    <n v="2023"/>
    <n v="1"/>
    <d v="2023-11-01T00:00:00"/>
    <n v="7500"/>
    <n v="1"/>
    <x v="12"/>
    <x v="0"/>
    <n v="14688"/>
    <x v="203"/>
    <x v="158"/>
    <n v="1"/>
    <n v="14688"/>
    <n v="1"/>
    <x v="159"/>
    <x v="223"/>
    <m/>
  </r>
  <r>
    <n v="240"/>
    <s v="CH-COD-UG-FEL01-039-A"/>
    <x v="54"/>
    <s v="Codelco_Drenaje QT"/>
    <s v="Codelco"/>
    <x v="2"/>
    <n v="2024"/>
    <n v="1"/>
    <d v="2024-01-01T00:00:00"/>
    <n v="63612"/>
    <n v="1"/>
    <x v="111"/>
    <x v="1"/>
    <n v="77671"/>
    <x v="204"/>
    <x v="159"/>
    <n v="1"/>
    <n v="77671"/>
    <n v="1"/>
    <x v="160"/>
    <x v="224"/>
    <m/>
  </r>
  <r>
    <n v="241"/>
    <s v="CH-COD-UG-FEL01-039-A"/>
    <x v="54"/>
    <s v="Codelco_Drenaje QT"/>
    <s v="Codelco"/>
    <x v="2"/>
    <n v="2024"/>
    <n v="1"/>
    <d v="2024-03-01T00:00:00"/>
    <n v="37545"/>
    <n v="1"/>
    <x v="24"/>
    <x v="2"/>
    <n v="41027"/>
    <x v="205"/>
    <x v="160"/>
    <n v="1"/>
    <n v="44268.23008753566"/>
    <n v="1"/>
    <x v="129"/>
    <x v="225"/>
    <m/>
  </r>
  <r>
    <n v="242"/>
    <s v="CH-COD-CS-OTR00-128-A"/>
    <x v="55"/>
    <s v="Codelco_Estándar cierre topográfico"/>
    <s v="Codelco"/>
    <x v="2"/>
    <n v="2024"/>
    <n v="-1"/>
    <m/>
    <m/>
    <n v="1"/>
    <x v="89"/>
    <x v="0"/>
    <n v="11004"/>
    <x v="206"/>
    <x v="143"/>
    <n v="1"/>
    <n v="11004"/>
    <n v="1"/>
    <x v="142"/>
    <x v="226"/>
    <m/>
  </r>
  <r>
    <n v="243"/>
    <s v="CH-COD-CS-OTR00-128-A"/>
    <x v="55"/>
    <s v="Codelco_Estándar cierre topográfico"/>
    <s v="Codelco"/>
    <x v="2"/>
    <n v="2024"/>
    <n v="-1"/>
    <m/>
    <m/>
    <n v="1"/>
    <x v="90"/>
    <x v="1"/>
    <n v="18151"/>
    <x v="207"/>
    <x v="143"/>
    <n v="1"/>
    <n v="18151"/>
    <n v="1"/>
    <x v="142"/>
    <x v="227"/>
    <m/>
  </r>
  <r>
    <n v="244"/>
    <s v="CH-COD-CS-OTR00-128-A"/>
    <x v="55"/>
    <s v="Codelco_Estándar cierre topográfico"/>
    <s v="Codelco"/>
    <x v="2"/>
    <n v="2025"/>
    <n v="-1"/>
    <m/>
    <m/>
    <n v="1"/>
    <x v="91"/>
    <x v="2"/>
    <n v="7263"/>
    <x v="208"/>
    <x v="64"/>
    <n v="1"/>
    <n v="7263"/>
    <n v="1"/>
    <x v="152"/>
    <x v="228"/>
    <m/>
  </r>
  <r>
    <n v="245"/>
    <s v="CH-COD-UG-FEL01-031-A"/>
    <x v="56"/>
    <s v="Codelco_Falla Oeste"/>
    <s v="Codelco"/>
    <x v="2"/>
    <n v="2023"/>
    <n v="1"/>
    <d v="2023-09-01T00:00:00"/>
    <n v="61712"/>
    <n v="1"/>
    <x v="1"/>
    <x v="0"/>
    <n v="67556"/>
    <x v="209"/>
    <x v="153"/>
    <n v="1"/>
    <n v="67556"/>
    <n v="1"/>
    <x v="154"/>
    <x v="229"/>
    <m/>
  </r>
  <r>
    <n v="246"/>
    <s v="CH-COD-UG-FEL01-031-A"/>
    <x v="56"/>
    <s v="Codelco_Falla Oeste"/>
    <s v="Codelco"/>
    <x v="2"/>
    <n v="2023"/>
    <n v="1"/>
    <d v="2023-10-01T00:00:00"/>
    <n v="20571"/>
    <n v="1"/>
    <x v="9"/>
    <x v="1"/>
    <n v="19139"/>
    <x v="210"/>
    <x v="153"/>
    <n v="1"/>
    <n v="19139"/>
    <n v="1"/>
    <x v="154"/>
    <x v="230"/>
    <m/>
  </r>
  <r>
    <n v="247"/>
    <s v="CH-COD-UG-FEL01-031-A"/>
    <x v="56"/>
    <s v="Codelco_Falla Oeste"/>
    <s v="Codelco"/>
    <x v="2"/>
    <n v="2023"/>
    <n v="1"/>
    <d v="2023-11-01T00:00:00"/>
    <n v="6808"/>
    <n v="1"/>
    <x v="12"/>
    <x v="2"/>
    <n v="6808"/>
    <x v="211"/>
    <x v="156"/>
    <n v="1"/>
    <n v="6808"/>
    <n v="1"/>
    <x v="157"/>
    <x v="231"/>
    <m/>
  </r>
  <r>
    <n v="248"/>
    <s v="CH-COD-UG-FEL00-174-A"/>
    <x v="57"/>
    <s v="Codelco_Formulación caso de negocio TBM"/>
    <s v="Codelco"/>
    <x v="2"/>
    <n v="2025"/>
    <n v="-1"/>
    <m/>
    <m/>
    <n v="1"/>
    <x v="43"/>
    <x v="0"/>
    <n v="21121.039499999999"/>
    <x v="212"/>
    <x v="161"/>
    <n v="1"/>
    <n v="21121.039499999999"/>
    <n v="1"/>
    <x v="161"/>
    <x v="232"/>
    <s v="Se presentó un EDP al 80% en dic-25"/>
  </r>
  <r>
    <n v="249"/>
    <s v="CH-COD-UG-FEL00-174-A"/>
    <x v="57"/>
    <s v="Codelco_Formulación caso de negocio TBM"/>
    <s v="Codelco"/>
    <x v="2"/>
    <n v="2025"/>
    <n v="-1"/>
    <m/>
    <m/>
    <n v="1"/>
    <x v="19"/>
    <x v="1"/>
    <n v="23592.812999999998"/>
    <x v="212"/>
    <x v="161"/>
    <n v="1"/>
    <n v="23592.812999999998"/>
    <n v="1"/>
    <x v="161"/>
    <x v="233"/>
    <s v="Se presentó un EDP al 80% en dic-25"/>
  </r>
  <r>
    <n v="250"/>
    <s v="CH-COD-UG-FEL00-174-A"/>
    <x v="57"/>
    <s v="Codelco_Formulación caso de negocio TBM"/>
    <s v="Codelco"/>
    <x v="2"/>
    <n v="2025"/>
    <n v="-1"/>
    <m/>
    <m/>
    <n v="1"/>
    <x v="20"/>
    <x v="2"/>
    <n v="23600.8995"/>
    <x v="212"/>
    <x v="161"/>
    <n v="1"/>
    <n v="23600.8995"/>
    <n v="1"/>
    <x v="161"/>
    <x v="234"/>
    <s v="Se presentó un EDP al 80% en dic-25"/>
  </r>
  <r>
    <n v="251"/>
    <s v="CH-COD-UG-FEL00-174-A"/>
    <x v="57"/>
    <s v="Codelco_Formulación caso de negocio TBM"/>
    <s v="Codelco"/>
    <x v="2"/>
    <n v="2026"/>
    <n v="-1"/>
    <m/>
    <m/>
    <n v="1"/>
    <x v="112"/>
    <x v="3"/>
    <n v="17056"/>
    <x v="213"/>
    <x v="162"/>
    <n v="1"/>
    <n v="17056"/>
    <n v="1"/>
    <x v="162"/>
    <x v="235"/>
    <m/>
  </r>
  <r>
    <n v="252"/>
    <s v="CH-COD-OU-FEL00-112-A"/>
    <x v="58"/>
    <s v="Codelco_Opciones vaciado mineral via OP"/>
    <s v="Codelco"/>
    <x v="2"/>
    <n v="2024"/>
    <n v="-1"/>
    <m/>
    <m/>
    <n v="1"/>
    <x v="16"/>
    <x v="0"/>
    <n v="40000"/>
    <x v="214"/>
    <x v="163"/>
    <n v="1"/>
    <n v="40000"/>
    <n v="1"/>
    <x v="163"/>
    <x v="111"/>
    <m/>
  </r>
  <r>
    <n v="253"/>
    <s v="CH-COD-OU-FEL00-112-A"/>
    <x v="58"/>
    <s v="Codelco_Opciones vaciado mineral via OP"/>
    <s v="Codelco"/>
    <x v="2"/>
    <n v="2024"/>
    <n v="-1"/>
    <m/>
    <m/>
    <n v="1"/>
    <x v="81"/>
    <x v="1"/>
    <n v="35127"/>
    <x v="215"/>
    <x v="163"/>
    <n v="1"/>
    <n v="35127"/>
    <n v="1"/>
    <x v="163"/>
    <x v="236"/>
    <m/>
  </r>
  <r>
    <n v="254"/>
    <s v="CH-COD-OU-FEL00-112-A"/>
    <x v="58"/>
    <s v="Codelco_Opciones vaciado mineral via OP"/>
    <s v="Codelco"/>
    <x v="2"/>
    <n v="2025"/>
    <n v="-1"/>
    <m/>
    <m/>
    <n v="1"/>
    <x v="91"/>
    <x v="2"/>
    <n v="10236"/>
    <x v="216"/>
    <x v="93"/>
    <n v="1"/>
    <n v="10236"/>
    <n v="1"/>
    <x v="138"/>
    <x v="237"/>
    <m/>
  </r>
  <r>
    <n v="255"/>
    <s v="CH-COD-UG-FEL01-032-A"/>
    <x v="59"/>
    <s v="Codelco_Panel Central"/>
    <s v="Codelco"/>
    <x v="2"/>
    <n v="2023"/>
    <n v="1"/>
    <d v="2023-09-01T00:00:00"/>
    <n v="55586"/>
    <n v="1"/>
    <x v="1"/>
    <x v="0"/>
    <n v="62838"/>
    <x v="217"/>
    <x v="156"/>
    <n v="1"/>
    <n v="62838"/>
    <n v="1"/>
    <x v="157"/>
    <x v="238"/>
    <m/>
  </r>
  <r>
    <n v="256"/>
    <s v="CH-COD-UG-FEL01-032-A"/>
    <x v="59"/>
    <s v="Codelco_Panel Central"/>
    <s v="Codelco"/>
    <x v="2"/>
    <n v="2023"/>
    <n v="1"/>
    <d v="2023-10-01T00:00:00"/>
    <n v="19411"/>
    <n v="1"/>
    <x v="9"/>
    <x v="1"/>
    <n v="17202"/>
    <x v="218"/>
    <x v="153"/>
    <n v="1"/>
    <n v="17202"/>
    <n v="1"/>
    <x v="154"/>
    <x v="239"/>
    <m/>
  </r>
  <r>
    <n v="257"/>
    <s v="CH-COD-UG-FEL01-032-A"/>
    <x v="59"/>
    <s v="Codelco_Panel Central"/>
    <s v="Codelco"/>
    <x v="2"/>
    <n v="2023"/>
    <n v="1"/>
    <d v="2023-11-01T00:00:00"/>
    <n v="8191"/>
    <n v="1"/>
    <x v="12"/>
    <x v="2"/>
    <n v="8131"/>
    <x v="219"/>
    <x v="153"/>
    <n v="1"/>
    <n v="8131"/>
    <n v="1"/>
    <x v="154"/>
    <x v="240"/>
    <m/>
  </r>
  <r>
    <n v="258"/>
    <s v="CH-COD-CS-OTR00-124-A"/>
    <x v="60"/>
    <s v="Codelco_Prácticas de Planificación DMH"/>
    <s v="Codelco"/>
    <x v="2"/>
    <n v="2024"/>
    <n v="-1"/>
    <m/>
    <m/>
    <n v="1"/>
    <x v="89"/>
    <x v="0"/>
    <n v="14342"/>
    <x v="220"/>
    <x v="143"/>
    <n v="1"/>
    <n v="14342"/>
    <n v="1"/>
    <x v="142"/>
    <x v="241"/>
    <m/>
  </r>
  <r>
    <n v="259"/>
    <s v="CH-COL-CS-OTR00-180-A"/>
    <x v="61"/>
    <s v="Collahuasi_Análisis Mine Compliance"/>
    <s v="Collahuasi"/>
    <x v="2"/>
    <n v="2025"/>
    <n v="-1"/>
    <m/>
    <m/>
    <n v="1"/>
    <x v="19"/>
    <x v="0"/>
    <n v="33407"/>
    <x v="221"/>
    <x v="88"/>
    <n v="1"/>
    <n v="33407"/>
    <n v="1"/>
    <x v="164"/>
    <x v="242"/>
    <m/>
  </r>
  <r>
    <n v="260"/>
    <s v="CH-COL-CS-OTR00-180-A"/>
    <x v="61"/>
    <s v="Collahuasi_Análisis Mine Compliance"/>
    <s v="Collahuasi"/>
    <x v="2"/>
    <n v="2025"/>
    <n v="-1"/>
    <m/>
    <m/>
    <n v="1"/>
    <x v="20"/>
    <x v="1"/>
    <n v="7599"/>
    <x v="222"/>
    <x v="55"/>
    <n v="1"/>
    <n v="7660"/>
    <n v="1"/>
    <x v="106"/>
    <x v="243"/>
    <m/>
  </r>
  <r>
    <n v="261"/>
    <s v="CH-COL-CS-OTR00-180-A"/>
    <x v="61"/>
    <s v="Collahuasi_Análisis Mine Compliance"/>
    <s v="Collahuasi"/>
    <x v="2"/>
    <n v="2025"/>
    <n v="-1"/>
    <m/>
    <m/>
    <n v="1"/>
    <x v="21"/>
    <x v="2"/>
    <n v="7599"/>
    <x v="223"/>
    <x v="164"/>
    <n v="1"/>
    <n v="7599"/>
    <n v="1"/>
    <x v="108"/>
    <x v="244"/>
    <m/>
  </r>
  <r>
    <n v="262"/>
    <s v="CH-COL-CS-OTR00-180-A"/>
    <x v="61"/>
    <s v="Collahuasi_Análisis Mine Compliance"/>
    <s v="Collahuasi"/>
    <x v="2"/>
    <n v="2025"/>
    <n v="-1"/>
    <m/>
    <m/>
    <n v="1"/>
    <x v="21"/>
    <x v="3"/>
    <n v="5661"/>
    <x v="224"/>
    <x v="46"/>
    <n v="1"/>
    <n v="5661"/>
    <n v="1"/>
    <x v="44"/>
    <x v="245"/>
    <m/>
  </r>
  <r>
    <n v="263"/>
    <s v="CH-COL-CS-OTR00-194-A"/>
    <x v="62"/>
    <s v="Collahuasi_Mine Compliance 2026"/>
    <s v="Collahuasi"/>
    <x v="2"/>
    <n v="2026"/>
    <n v="1"/>
    <d v="2026-02-25T00:00:00"/>
    <n v="4497"/>
    <n v="1"/>
    <x v="113"/>
    <x v="0"/>
    <n v="13169"/>
    <x v="225"/>
    <x v="165"/>
    <n v="1"/>
    <n v="13169"/>
    <n v="1"/>
    <x v="165"/>
    <x v="246"/>
    <s v="Se anuló la F387 emitida el 25/03"/>
  </r>
  <r>
    <n v="264"/>
    <s v="CH-COL-CS-OTR00-194-A"/>
    <x v="62"/>
    <s v="Collahuasi_Mine Compliance 2026"/>
    <s v="Collahuasi"/>
    <x v="2"/>
    <n v="2026"/>
    <n v="1"/>
    <d v="2026-03-01T00:00:00"/>
    <n v="13143"/>
    <n v="1"/>
    <x v="10"/>
    <x v="1"/>
    <n v="40729"/>
    <x v="226"/>
    <x v="166"/>
    <n v="1"/>
    <n v="40729"/>
    <n v="1"/>
    <x v="165"/>
    <x v="247"/>
    <m/>
  </r>
  <r>
    <n v="265"/>
    <s v="CH-COL-CS-OTR00-194-A"/>
    <x v="62"/>
    <s v="Collahuasi_Mine Compliance 2026"/>
    <s v="Collahuasi"/>
    <x v="2"/>
    <n v="2026"/>
    <n v="-1"/>
    <m/>
    <m/>
    <n v="1"/>
    <x v="68"/>
    <x v="2"/>
    <n v="16667"/>
    <x v="227"/>
    <x v="167"/>
    <n v="1"/>
    <n v="16667"/>
    <n v="1"/>
    <x v="166"/>
    <x v="248"/>
    <m/>
  </r>
  <r>
    <n v="266"/>
    <s v="CH-COL-CS-OTR00-212-A"/>
    <x v="63"/>
    <s v="Collahuasi_Mining Simulation Study"/>
    <s v="Glencore"/>
    <x v="2"/>
    <n v="2026"/>
    <n v="-1"/>
    <m/>
    <m/>
    <n v="1"/>
    <x v="110"/>
    <x v="0"/>
    <n v="106628"/>
    <x v="36"/>
    <x v="31"/>
    <n v="-1"/>
    <m/>
    <n v="-1"/>
    <x v="30"/>
    <x v="36"/>
    <m/>
  </r>
  <r>
    <n v="267"/>
    <s v="CH-COL-CS-OTR00-185-A"/>
    <x v="64"/>
    <s v="Collahuasi_Valor Incorporación Chx.03"/>
    <s v="Collahuasi"/>
    <x v="2"/>
    <n v="2026"/>
    <n v="1"/>
    <d v="2026-02-25T00:00:00"/>
    <n v="22302"/>
    <n v="1"/>
    <x v="23"/>
    <x v="0"/>
    <n v="25294"/>
    <x v="228"/>
    <x v="166"/>
    <n v="1"/>
    <n v="25294"/>
    <n v="1"/>
    <x v="165"/>
    <x v="249"/>
    <m/>
  </r>
  <r>
    <n v="268"/>
    <s v="CH-COL-CS-OTR00-185-A"/>
    <x v="64"/>
    <s v="Collahuasi_Valor Incorporación Chx.03"/>
    <s v="Collahuasi"/>
    <x v="2"/>
    <n v="2026"/>
    <n v="1"/>
    <d v="2026-03-01T00:00:00"/>
    <n v="14826"/>
    <n v="1"/>
    <x v="10"/>
    <x v="1"/>
    <n v="13416"/>
    <x v="229"/>
    <x v="168"/>
    <n v="1"/>
    <n v="13416"/>
    <n v="1"/>
    <x v="167"/>
    <x v="250"/>
    <m/>
  </r>
  <r>
    <n v="269"/>
    <s v="CH-COL-CS-OTR00-185-A"/>
    <x v="64"/>
    <s v="Collahuasi_Valor Incorporación Chx.03"/>
    <s v="Collahuasi"/>
    <x v="2"/>
    <n v="2026"/>
    <n v="-1"/>
    <m/>
    <m/>
    <n v="1"/>
    <x v="109"/>
    <x v="2"/>
    <n v="1410"/>
    <x v="36"/>
    <x v="31"/>
    <n v="-1"/>
    <m/>
    <n v="-1"/>
    <x v="30"/>
    <x v="36"/>
    <m/>
  </r>
  <r>
    <n v="270"/>
    <s v="PE-MSR-OT-OTR00-019-A"/>
    <x v="65"/>
    <s v="Compilación R&amp;R Mina Justa"/>
    <s v="Minsur"/>
    <x v="1"/>
    <n v="2023"/>
    <n v="-1"/>
    <m/>
    <m/>
    <n v="1"/>
    <x v="85"/>
    <x v="0"/>
    <n v="18302.625"/>
    <x v="230"/>
    <x v="169"/>
    <n v="1"/>
    <n v="18302.61"/>
    <n v="1"/>
    <x v="168"/>
    <x v="251"/>
    <m/>
  </r>
  <r>
    <n v="271"/>
    <s v="PE-MSR-OT-OTR00-019-A"/>
    <x v="65"/>
    <s v="Compilación R&amp;R Mina Justa"/>
    <s v="Minsur"/>
    <x v="1"/>
    <n v="2023"/>
    <n v="-1"/>
    <m/>
    <m/>
    <n v="1"/>
    <x v="5"/>
    <x v="1"/>
    <n v="7732.125"/>
    <x v="231"/>
    <x v="170"/>
    <n v="1"/>
    <n v="7732.4"/>
    <n v="1"/>
    <x v="169"/>
    <x v="252"/>
    <m/>
  </r>
  <r>
    <n v="272"/>
    <s v="PE-MSR-OT-OTR00-019-A"/>
    <x v="65"/>
    <s v="Compilación R&amp;R Mina Pucamarca"/>
    <s v="Minsur"/>
    <x v="1"/>
    <n v="2023"/>
    <n v="-1"/>
    <m/>
    <m/>
    <n v="1"/>
    <x v="6"/>
    <x v="0"/>
    <n v="18639.75"/>
    <x v="232"/>
    <x v="171"/>
    <n v="1"/>
    <n v="18639.75"/>
    <n v="1"/>
    <x v="13"/>
    <x v="253"/>
    <s v="Se respondió en la misma factura"/>
  </r>
  <r>
    <n v="273"/>
    <s v="PE-MSR-OT-OTR00-019-A"/>
    <x v="65"/>
    <s v="Compilación R&amp;R Mina Raura"/>
    <s v="Minsur"/>
    <x v="1"/>
    <n v="2023"/>
    <n v="-1"/>
    <m/>
    <m/>
    <n v="1"/>
    <x v="85"/>
    <x v="0"/>
    <n v="14735.625"/>
    <x v="233"/>
    <x v="169"/>
    <n v="1"/>
    <n v="14736"/>
    <n v="1"/>
    <x v="168"/>
    <x v="254"/>
    <m/>
  </r>
  <r>
    <n v="274"/>
    <s v="PE-MSR-OT-OTR00-019-A"/>
    <x v="65"/>
    <s v="Compilación R&amp;R Mina Raura"/>
    <s v="Minsur"/>
    <x v="1"/>
    <n v="2023"/>
    <n v="-1"/>
    <m/>
    <m/>
    <n v="1"/>
    <x v="5"/>
    <x v="1"/>
    <n v="6840.375"/>
    <x v="234"/>
    <x v="172"/>
    <n v="1"/>
    <n v="6840.375"/>
    <n v="1"/>
    <x v="7"/>
    <x v="255"/>
    <m/>
  </r>
  <r>
    <n v="275"/>
    <s v="PE-MSR-OT-OTR00-019-A"/>
    <x v="65"/>
    <s v="Compilación R&amp;R Mina San Rafael"/>
    <s v="Minsur"/>
    <x v="1"/>
    <n v="2023"/>
    <n v="-1"/>
    <m/>
    <m/>
    <n v="1"/>
    <x v="6"/>
    <x v="0"/>
    <n v="22837.5"/>
    <x v="232"/>
    <x v="171"/>
    <n v="1"/>
    <n v="22837.5"/>
    <n v="1"/>
    <x v="13"/>
    <x v="256"/>
    <s v="Se respondió en la misma factura"/>
  </r>
  <r>
    <n v="276"/>
    <s v="CH-CRF-CS-FEL00-169-A"/>
    <x v="66"/>
    <s v="CORFO_Valorización Boquerón Chañar"/>
    <s v="CORFO"/>
    <x v="2"/>
    <n v="2025"/>
    <n v="-1"/>
    <m/>
    <m/>
    <n v="1"/>
    <x v="114"/>
    <x v="0"/>
    <n v="20125"/>
    <x v="235"/>
    <x v="173"/>
    <n v="1"/>
    <n v="20125"/>
    <n v="1"/>
    <x v="107"/>
    <x v="257"/>
    <m/>
  </r>
  <r>
    <n v="277"/>
    <s v="CH-CRF-CS-FEL00-169-A"/>
    <x v="66"/>
    <s v="CORFO_Valorización Boquerón Chañar"/>
    <s v="CORFO"/>
    <x v="2"/>
    <n v="2025"/>
    <n v="-1"/>
    <m/>
    <m/>
    <n v="1"/>
    <x v="21"/>
    <x v="1"/>
    <n v="21713"/>
    <x v="236"/>
    <x v="173"/>
    <n v="1"/>
    <n v="21713"/>
    <n v="1"/>
    <x v="107"/>
    <x v="258"/>
    <m/>
  </r>
  <r>
    <n v="278"/>
    <s v="PE-COR-UG-FEL00-076-A"/>
    <x v="67"/>
    <s v="Coripuno_Metodos de Minado"/>
    <s v="Coripuno"/>
    <x v="1"/>
    <n v="2024"/>
    <n v="1"/>
    <d v="2024-05-01T00:00:00"/>
    <n v="46933.000000000007"/>
    <n v="1"/>
    <x v="27"/>
    <x v="0"/>
    <n v="105000"/>
    <x v="237"/>
    <x v="100"/>
    <n v="1"/>
    <n v="105000"/>
    <n v="1"/>
    <x v="170"/>
    <x v="259"/>
    <m/>
  </r>
  <r>
    <n v="279"/>
    <s v="CH-CSH-OP-FEL00-034-A"/>
    <x v="68"/>
    <s v="LOM Mina Guarello"/>
    <s v="CSH"/>
    <x v="2"/>
    <n v="2023"/>
    <n v="1"/>
    <d v="2023-12-01T00:00:00"/>
    <n v="19065"/>
    <n v="1"/>
    <x v="13"/>
    <x v="0"/>
    <n v="19065"/>
    <x v="238"/>
    <x v="174"/>
    <n v="1"/>
    <n v="19065"/>
    <n v="1"/>
    <x v="159"/>
    <x v="260"/>
    <m/>
  </r>
  <r>
    <n v="280"/>
    <s v="CH-CSH-OP-FEL00-034-A"/>
    <x v="68"/>
    <s v="LOM Mina Guarello"/>
    <s v="CSH"/>
    <x v="2"/>
    <n v="2024"/>
    <n v="1"/>
    <d v="2024-01-01T00:00:00"/>
    <n v="19064"/>
    <n v="1"/>
    <x v="96"/>
    <x v="1"/>
    <n v="19065"/>
    <x v="239"/>
    <x v="175"/>
    <n v="1"/>
    <n v="19065"/>
    <n v="1"/>
    <x v="171"/>
    <x v="260"/>
    <m/>
  </r>
  <r>
    <n v="281"/>
    <s v="CH-CSH-OP-FEL00-034-A"/>
    <x v="68"/>
    <s v="LOM Mina Guarello"/>
    <s v="CSH"/>
    <x v="2"/>
    <n v="2024"/>
    <n v="1"/>
    <d v="2024-02-01T00:00:00"/>
    <n v="19065"/>
    <n v="1"/>
    <x v="14"/>
    <x v="2"/>
    <n v="19065"/>
    <x v="240"/>
    <x v="176"/>
    <n v="1"/>
    <n v="19065"/>
    <n v="1"/>
    <x v="172"/>
    <x v="260"/>
    <m/>
  </r>
  <r>
    <n v="282"/>
    <s v="CH-CSH-OP-FEL00-034-A"/>
    <x v="68"/>
    <s v="LOM Mina Guarello"/>
    <s v="CSH"/>
    <x v="2"/>
    <n v="2024"/>
    <n v="1"/>
    <d v="2024-03-01T00:00:00"/>
    <n v="19065"/>
    <n v="1"/>
    <x v="24"/>
    <x v="3"/>
    <n v="19065"/>
    <x v="241"/>
    <x v="177"/>
    <n v="1"/>
    <n v="19065"/>
    <n v="1"/>
    <x v="173"/>
    <x v="260"/>
    <m/>
  </r>
  <r>
    <n v="283"/>
    <s v="CH-CSH-OP-FEL00-034-A"/>
    <x v="68"/>
    <s v="LOM Mina Guarello"/>
    <s v="CSH"/>
    <x v="2"/>
    <n v="2024"/>
    <n v="1"/>
    <d v="2024-04-01T00:00:00"/>
    <n v="19065"/>
    <n v="1"/>
    <x v="15"/>
    <x v="4"/>
    <n v="19065"/>
    <x v="242"/>
    <x v="178"/>
    <n v="1"/>
    <n v="19065"/>
    <n v="1"/>
    <x v="174"/>
    <x v="260"/>
    <m/>
  </r>
  <r>
    <n v="284"/>
    <s v="CH-CSH-OP-FEL00-034-A"/>
    <x v="68"/>
    <s v="LOM Mina Guarello"/>
    <s v="CSH"/>
    <x v="2"/>
    <n v="2024"/>
    <n v="1"/>
    <d v="2024-05-01T00:00:00"/>
    <n v="19065"/>
    <n v="1"/>
    <x v="27"/>
    <x v="5"/>
    <n v="19065"/>
    <x v="243"/>
    <x v="179"/>
    <n v="1"/>
    <n v="19065"/>
    <n v="1"/>
    <x v="175"/>
    <x v="260"/>
    <m/>
  </r>
  <r>
    <n v="285"/>
    <s v="CH-BHP-CD-OTR00-003-A"/>
    <x v="69"/>
    <s v="Plan 2YB - Spence"/>
    <s v="BHP"/>
    <x v="2"/>
    <n v="2023"/>
    <n v="-1"/>
    <m/>
    <m/>
    <n v="1"/>
    <x v="3"/>
    <x v="0"/>
    <n v="50688.322500000002"/>
    <x v="244"/>
    <x v="180"/>
    <n v="1"/>
    <n v="50688.322500000002"/>
    <n v="1"/>
    <x v="176"/>
    <x v="261"/>
    <m/>
  </r>
  <r>
    <n v="286"/>
    <s v="PE-MSR-UG-OTR00-003-C"/>
    <x v="70"/>
    <s v="Desarrollo casos LOM UM Raura"/>
    <s v="Raura"/>
    <x v="1"/>
    <n v="2023"/>
    <n v="-1"/>
    <m/>
    <m/>
    <n v="1"/>
    <x v="94"/>
    <x v="0"/>
    <n v="14112"/>
    <x v="245"/>
    <x v="181"/>
    <n v="1"/>
    <n v="14112"/>
    <n v="1"/>
    <x v="177"/>
    <x v="262"/>
    <m/>
  </r>
  <r>
    <n v="287"/>
    <s v="PE-SME-UG-OTR00-003-F"/>
    <x v="71"/>
    <s v="Desarrollo del Plan de Minado"/>
    <s v="Sierra metals"/>
    <x v="1"/>
    <n v="2023"/>
    <n v="-1"/>
    <m/>
    <m/>
    <n v="1"/>
    <x v="5"/>
    <x v="0"/>
    <n v="36335.699999999997"/>
    <x v="246"/>
    <x v="115"/>
    <n v="1"/>
    <n v="36335.699999999997"/>
    <n v="1"/>
    <x v="178"/>
    <x v="263"/>
    <m/>
  </r>
  <r>
    <n v="288"/>
    <s v="PE-SME-UG-OTR00-003-F"/>
    <x v="71"/>
    <s v="Desarrollo del Plan de Minado"/>
    <s v="Sierra metals"/>
    <x v="1"/>
    <n v="2023"/>
    <n v="-1"/>
    <m/>
    <m/>
    <n v="1"/>
    <x v="7"/>
    <x v="1"/>
    <n v="3345.3000000000029"/>
    <x v="247"/>
    <x v="182"/>
    <n v="1"/>
    <n v="3345.3000000000029"/>
    <n v="1"/>
    <x v="179"/>
    <x v="264"/>
    <s v="El dia 30/06 se envio el EDP / el 20-11 se conversó con el cliente para que regularic el pago (es pago directo, no hay HES)"/>
  </r>
  <r>
    <n v="289"/>
    <s v="PE-MSR-OT-OTR00-003-E"/>
    <x v="72"/>
    <s v="Desarrollo plan LOM en Reservas"/>
    <s v="Raura"/>
    <x v="1"/>
    <n v="2023"/>
    <n v="-1"/>
    <m/>
    <m/>
    <n v="1"/>
    <x v="2"/>
    <x v="0"/>
    <n v="32480"/>
    <x v="248"/>
    <x v="169"/>
    <n v="1"/>
    <n v="32480"/>
    <n v="1"/>
    <x v="168"/>
    <x v="265"/>
    <m/>
  </r>
  <r>
    <n v="290"/>
    <s v="PE-MSR-OT-OTR00-003-E"/>
    <x v="72"/>
    <s v="Desarrollo plan LOM en Reservas"/>
    <s v="Minsur"/>
    <x v="1"/>
    <n v="2023"/>
    <n v="-1"/>
    <m/>
    <m/>
    <n v="1"/>
    <x v="3"/>
    <x v="1"/>
    <n v="32320"/>
    <x v="249"/>
    <x v="169"/>
    <n v="1"/>
    <n v="32320"/>
    <n v="1"/>
    <x v="168"/>
    <x v="266"/>
    <m/>
  </r>
  <r>
    <n v="291"/>
    <s v="CH-LUN-CS-OTR00-007-A"/>
    <x v="73"/>
    <s v="Candelaria Diagnostico"/>
    <s v="Lundin"/>
    <x v="2"/>
    <n v="2023"/>
    <n v="-1"/>
    <m/>
    <m/>
    <n v="1"/>
    <x v="6"/>
    <x v="0"/>
    <n v="93882.67"/>
    <x v="250"/>
    <x v="183"/>
    <n v="1"/>
    <n v="96154"/>
    <n v="1"/>
    <x v="180"/>
    <x v="267"/>
    <s v="Enviado para revision interna EdP 1"/>
  </r>
  <r>
    <n v="292"/>
    <s v="CH-LUN-CS-OTR00-007-A"/>
    <x v="73"/>
    <s v="Candelaria Diagnostico"/>
    <s v="Lundin"/>
    <x v="2"/>
    <n v="2023"/>
    <n v="-1"/>
    <m/>
    <m/>
    <n v="1"/>
    <x v="7"/>
    <x v="1"/>
    <n v="14927"/>
    <x v="251"/>
    <x v="184"/>
    <n v="1"/>
    <n v="14927"/>
    <n v="1"/>
    <x v="181"/>
    <x v="268"/>
    <m/>
  </r>
  <r>
    <n v="293"/>
    <s v="CH-LUN-CS-OTR00-007-A"/>
    <x v="73"/>
    <s v="Candelaria Diagnostico"/>
    <s v="Lundin"/>
    <x v="2"/>
    <n v="2023"/>
    <n v="-1"/>
    <m/>
    <m/>
    <n v="1"/>
    <x v="8"/>
    <x v="2"/>
    <n v="20074.29"/>
    <x v="252"/>
    <x v="184"/>
    <n v="1"/>
    <n v="20074"/>
    <n v="1"/>
    <x v="181"/>
    <x v="269"/>
    <m/>
  </r>
  <r>
    <n v="294"/>
    <s v="CH-LUN-CS-OTR00-007-A"/>
    <x v="73"/>
    <s v="Candelaria Diagnostico"/>
    <s v="Lundin"/>
    <x v="2"/>
    <n v="2023"/>
    <n v="-1"/>
    <m/>
    <m/>
    <n v="1"/>
    <x v="95"/>
    <x v="3"/>
    <n v="20556"/>
    <x v="253"/>
    <x v="120"/>
    <n v="1"/>
    <n v="20556"/>
    <n v="1"/>
    <x v="98"/>
    <x v="270"/>
    <m/>
  </r>
  <r>
    <n v="295"/>
    <s v="CH-LUN-CS-OTR00-007-A"/>
    <x v="73"/>
    <s v="Candelaria Diagnostico"/>
    <s v="Lundin"/>
    <x v="2"/>
    <n v="2023"/>
    <n v="1"/>
    <d v="2023-09-01T00:00:00"/>
    <n v="21776"/>
    <n v="1"/>
    <x v="1"/>
    <x v="4"/>
    <n v="29101"/>
    <x v="127"/>
    <x v="120"/>
    <n v="1"/>
    <n v="29101"/>
    <n v="1"/>
    <x v="98"/>
    <x v="271"/>
    <m/>
  </r>
  <r>
    <n v="296"/>
    <s v="PE-BRO-GM-FEL00-191-A"/>
    <x v="74"/>
    <s v="ElBrocal_Estudio Geomecanico Estabilidad"/>
    <s v="El Brocal"/>
    <x v="1"/>
    <n v="2026"/>
    <n v="-1"/>
    <m/>
    <m/>
    <n v="1"/>
    <x v="22"/>
    <x v="0"/>
    <n v="9596"/>
    <x v="254"/>
    <x v="185"/>
    <n v="1"/>
    <n v="9596"/>
    <n v="1"/>
    <x v="182"/>
    <x v="272"/>
    <m/>
  </r>
  <r>
    <n v="297"/>
    <s v="PE-BRO-GM-FEL00-191-A"/>
    <x v="74"/>
    <s v="ElBrocal_Estudio Geomecanico Estabilidad"/>
    <s v="El Brocal"/>
    <x v="1"/>
    <n v="2026"/>
    <n v="1"/>
    <d v="2026-02-25T00:00:00"/>
    <n v="54480"/>
    <n v="1"/>
    <x v="23"/>
    <x v="1"/>
    <n v="26815"/>
    <x v="255"/>
    <x v="186"/>
    <n v="1"/>
    <n v="26815"/>
    <n v="1"/>
    <x v="183"/>
    <x v="273"/>
    <m/>
  </r>
  <r>
    <n v="298"/>
    <s v="PE-BRO-GM-FEL00-191-A"/>
    <x v="74"/>
    <s v="ElBrocal_Estudio Geomecanico Estabilidad"/>
    <s v="El Brocal"/>
    <x v="1"/>
    <n v="2026"/>
    <n v="1"/>
    <d v="2026-03-01T00:00:00"/>
    <n v="35000"/>
    <n v="1"/>
    <x v="10"/>
    <x v="2"/>
    <n v="35429"/>
    <x v="256"/>
    <x v="166"/>
    <n v="1"/>
    <n v="35429"/>
    <n v="1"/>
    <x v="184"/>
    <x v="274"/>
    <m/>
  </r>
  <r>
    <n v="299"/>
    <s v="PE-BRO-GM-FEL00-191-A"/>
    <x v="74"/>
    <s v="ElBrocal_Estudio Geomecanico Estabilidad"/>
    <s v="ElBrocal"/>
    <x v="1"/>
    <n v="2026"/>
    <n v="-1"/>
    <m/>
    <m/>
    <n v="1"/>
    <x v="109"/>
    <x v="3"/>
    <n v="41725"/>
    <x v="257"/>
    <x v="187"/>
    <n v="1"/>
    <n v="41725"/>
    <n v="-1"/>
    <x v="185"/>
    <x v="36"/>
    <m/>
  </r>
  <r>
    <n v="300"/>
    <s v="PE-BRO-GM-FEL00-191-A"/>
    <x v="74"/>
    <s v="ElBrocal_Estudio Geomecanico Estabilidad"/>
    <s v="ElBrocal"/>
    <x v="1"/>
    <n v="2026"/>
    <n v="-1"/>
    <m/>
    <m/>
    <n v="1"/>
    <x v="69"/>
    <x v="4"/>
    <n v="28838"/>
    <x v="36"/>
    <x v="31"/>
    <n v="-1"/>
    <m/>
    <n v="-1"/>
    <x v="30"/>
    <x v="36"/>
    <m/>
  </r>
  <r>
    <n v="301"/>
    <s v="PE-ECR-UG-FEL00-188-A"/>
    <x v="75"/>
    <s v="Emincar_Los Castellanos_UG"/>
    <s v="Emincar"/>
    <x v="1"/>
    <n v="2026"/>
    <n v="1"/>
    <d v="2026-02-25T00:00:00"/>
    <n v="45170"/>
    <n v="1"/>
    <x v="23"/>
    <x v="0"/>
    <n v="66050"/>
    <x v="258"/>
    <x v="188"/>
    <n v="1"/>
    <n v="66044"/>
    <n v="1"/>
    <x v="165"/>
    <x v="275"/>
    <m/>
  </r>
  <r>
    <n v="302"/>
    <s v="PE-ECR-UG-FEL00-188-A"/>
    <x v="75"/>
    <s v="Emincar_Los Castellanos_UG"/>
    <s v="Emincar"/>
    <x v="1"/>
    <n v="2026"/>
    <n v="1"/>
    <d v="2026-03-01T00:00:00"/>
    <n v="62000"/>
    <n v="1"/>
    <x v="10"/>
    <x v="1"/>
    <n v="60047"/>
    <x v="259"/>
    <x v="189"/>
    <n v="1"/>
    <n v="60047"/>
    <n v="-1"/>
    <x v="186"/>
    <x v="36"/>
    <m/>
  </r>
  <r>
    <n v="303"/>
    <s v="PE-ECR-UG-FEL00-188-A"/>
    <x v="75"/>
    <s v="Emincar_Los Castellanos_UG"/>
    <s v="Emincar"/>
    <x v="1"/>
    <n v="2026"/>
    <n v="-1"/>
    <m/>
    <m/>
    <n v="1"/>
    <x v="109"/>
    <x v="2"/>
    <n v="57399"/>
    <x v="260"/>
    <x v="190"/>
    <n v="1"/>
    <n v="57399"/>
    <n v="-1"/>
    <x v="167"/>
    <x v="36"/>
    <m/>
  </r>
  <r>
    <n v="304"/>
    <s v="OT-EMX-CS-OTR00-087-A"/>
    <x v="76"/>
    <s v="EMX_Due Diligence de Chapi"/>
    <s v="EMX"/>
    <x v="0"/>
    <n v="2024"/>
    <n v="-1"/>
    <m/>
    <m/>
    <n v="1"/>
    <x v="115"/>
    <x v="0"/>
    <n v="26649"/>
    <x v="108"/>
    <x v="191"/>
    <n v="1"/>
    <n v="26649"/>
    <n v="1"/>
    <x v="187"/>
    <x v="276"/>
    <m/>
  </r>
  <r>
    <n v="305"/>
    <s v="OT-EMX-CS-OTR00-087-A"/>
    <x v="76"/>
    <s v="EMX_Due Diligence de Chapi"/>
    <s v="EMX"/>
    <x v="0"/>
    <n v="2024"/>
    <n v="-1"/>
    <m/>
    <m/>
    <n v="1"/>
    <x v="116"/>
    <x v="1"/>
    <n v="133045"/>
    <x v="261"/>
    <x v="192"/>
    <n v="1"/>
    <n v="133045"/>
    <n v="1"/>
    <x v="188"/>
    <x v="277"/>
    <m/>
  </r>
  <r>
    <n v="306"/>
    <s v="OT-EMX-CS-OTR00-091-A"/>
    <x v="77"/>
    <s v="EMX_Metallurgical expert for review"/>
    <s v="EMX"/>
    <x v="0"/>
    <n v="2024"/>
    <n v="-1"/>
    <m/>
    <m/>
    <n v="1"/>
    <x v="117"/>
    <x v="0"/>
    <n v="15000"/>
    <x v="108"/>
    <x v="193"/>
    <n v="1"/>
    <n v="14850"/>
    <n v="1"/>
    <x v="189"/>
    <x v="278"/>
    <m/>
  </r>
  <r>
    <n v="307"/>
    <s v="BR-EQG-UG-FEL03-172-A"/>
    <x v="78"/>
    <s v="EQUINOX_Actualización Ing. Básica UG"/>
    <s v="EQUINOX"/>
    <x v="4"/>
    <n v="2025"/>
    <n v="-1"/>
    <m/>
    <m/>
    <n v="1"/>
    <x v="59"/>
    <x v="0"/>
    <n v="12415"/>
    <x v="262"/>
    <x v="110"/>
    <n v="1"/>
    <n v="12155.229357798165"/>
    <n v="1"/>
    <x v="190"/>
    <x v="279"/>
    <m/>
  </r>
  <r>
    <n v="308"/>
    <s v="BR-EQG-UG-FEL03-172-A"/>
    <x v="78"/>
    <s v="EQUINOX_Actualización Ing. Básica UG"/>
    <s v="EQUINOX"/>
    <x v="4"/>
    <n v="2025"/>
    <n v="-1"/>
    <m/>
    <m/>
    <n v="1"/>
    <x v="60"/>
    <x v="1"/>
    <n v="50598"/>
    <x v="251"/>
    <x v="194"/>
    <n v="1"/>
    <n v="50598"/>
    <n v="1"/>
    <x v="190"/>
    <x v="280"/>
    <m/>
  </r>
  <r>
    <n v="309"/>
    <s v="BR-EQG-UG-FEL03-172-A"/>
    <x v="78"/>
    <s v="EQUINOX_Actualización Ing. Básica UG"/>
    <s v="EQUINOX"/>
    <x v="4"/>
    <n v="2025"/>
    <n v="-1"/>
    <m/>
    <m/>
    <n v="1"/>
    <x v="61"/>
    <x v="2"/>
    <n v="146624"/>
    <x v="56"/>
    <x v="195"/>
    <n v="1"/>
    <n v="145467"/>
    <n v="1"/>
    <x v="191"/>
    <x v="281"/>
    <m/>
  </r>
  <r>
    <n v="310"/>
    <s v="BR-EQG-UG-FEL03-172-A"/>
    <x v="78"/>
    <s v="EQUINOX_Actualización Ing. Básica UG"/>
    <s v="EQUINOX"/>
    <x v="4"/>
    <n v="2025"/>
    <n v="-1"/>
    <m/>
    <m/>
    <n v="1"/>
    <x v="62"/>
    <x v="3"/>
    <n v="97211"/>
    <x v="263"/>
    <x v="75"/>
    <n v="1"/>
    <n v="97211"/>
    <n v="1"/>
    <x v="192"/>
    <x v="282"/>
    <m/>
  </r>
  <r>
    <n v="311"/>
    <s v="BR-EQG-UG-FEL03-172-A"/>
    <x v="78"/>
    <s v="EQUINOX_Actualización Ing. Básica UG"/>
    <s v="EQUINOX"/>
    <x v="4"/>
    <n v="2026"/>
    <n v="-1"/>
    <m/>
    <m/>
    <n v="1"/>
    <x v="63"/>
    <x v="4"/>
    <n v="47145"/>
    <x v="264"/>
    <x v="196"/>
    <n v="1"/>
    <n v="48163"/>
    <n v="1"/>
    <x v="193"/>
    <x v="283"/>
    <m/>
  </r>
  <r>
    <n v="312"/>
    <s v="CH-ERG-GM-FEL00-186-A"/>
    <x v="79"/>
    <s v="ERG_Parámetros estabilidad taludes"/>
    <s v="ERG"/>
    <x v="2"/>
    <n v="2026"/>
    <n v="1"/>
    <d v="2026-02-25T00:00:00"/>
    <n v="22509"/>
    <n v="1"/>
    <x v="23"/>
    <x v="0"/>
    <n v="30588"/>
    <x v="0"/>
    <x v="197"/>
    <n v="1"/>
    <n v="30588"/>
    <n v="-1"/>
    <x v="194"/>
    <x v="36"/>
    <m/>
  </r>
  <r>
    <n v="313"/>
    <s v="CH-ERG-GM-FEL00-186-A"/>
    <x v="79"/>
    <s v="ERG_Parámetros estabilidad taludes"/>
    <s v="ERG"/>
    <x v="2"/>
    <n v="2026"/>
    <n v="1"/>
    <d v="2026-03-01T00:00:00"/>
    <n v="35000"/>
    <n v="1"/>
    <x v="10"/>
    <x v="1"/>
    <n v="41900"/>
    <x v="0"/>
    <x v="198"/>
    <n v="1"/>
    <n v="41900"/>
    <n v="-1"/>
    <x v="195"/>
    <x v="36"/>
    <m/>
  </r>
  <r>
    <n v="314"/>
    <s v="CH-ERG-GM-FEL00-186-A"/>
    <x v="79"/>
    <s v="ERG_Parámetros estabilidad taludes"/>
    <s v="ERG"/>
    <x v="2"/>
    <n v="2026"/>
    <n v="-1"/>
    <m/>
    <m/>
    <n v="1"/>
    <x v="109"/>
    <x v="2"/>
    <n v="34768"/>
    <x v="196"/>
    <x v="31"/>
    <n v="-1"/>
    <m/>
    <n v="-1"/>
    <x v="30"/>
    <x v="36"/>
    <m/>
  </r>
  <r>
    <n v="315"/>
    <s v="CH-ERG-GM-FEL00-186-A"/>
    <x v="79"/>
    <s v="ERG_Parámetros estabilidad taludes"/>
    <s v="ERG"/>
    <x v="2"/>
    <n v="2026"/>
    <n v="-1"/>
    <m/>
    <m/>
    <n v="1"/>
    <x v="118"/>
    <x v="3"/>
    <n v="32980"/>
    <x v="36"/>
    <x v="31"/>
    <n v="-1"/>
    <m/>
    <n v="-1"/>
    <x v="30"/>
    <x v="36"/>
    <m/>
  </r>
  <r>
    <n v="316"/>
    <s v="BR-ERC-UG-FEL00-152-A"/>
    <x v="80"/>
    <s v="EroCopper_Scoping Proyecto Furnas"/>
    <s v="EroCopper"/>
    <x v="4"/>
    <n v="2025"/>
    <n v="-1"/>
    <m/>
    <m/>
    <n v="1"/>
    <x v="47"/>
    <x v="0"/>
    <n v="86279.595471698107"/>
    <x v="153"/>
    <x v="199"/>
    <n v="1"/>
    <n v="50063"/>
    <n v="1"/>
    <x v="84"/>
    <x v="284"/>
    <s v="Contablemente se pagó el 01/08"/>
  </r>
  <r>
    <n v="317"/>
    <s v="BR-ERC-UG-FEL00-152-A"/>
    <x v="80"/>
    <s v="EroCopper_Scoping Proyecto Furnas"/>
    <s v="EroCopper"/>
    <x v="4"/>
    <n v="2025"/>
    <n v="-1"/>
    <m/>
    <m/>
    <n v="1"/>
    <x v="119"/>
    <x v="1"/>
    <n v="23873.155943396225"/>
    <x v="265"/>
    <x v="200"/>
    <n v="1"/>
    <n v="22640.41"/>
    <n v="1"/>
    <x v="196"/>
    <x v="285"/>
    <m/>
  </r>
  <r>
    <n v="318"/>
    <s v="BR-ERC-UG-FEL00-152-A"/>
    <x v="80"/>
    <s v="EroCopper_Scoping Proyecto Furnas"/>
    <s v="EroCopper"/>
    <x v="4"/>
    <n v="2025"/>
    <n v="-1"/>
    <m/>
    <m/>
    <n v="1"/>
    <x v="120"/>
    <x v="2"/>
    <n v="74156.001226415086"/>
    <x v="111"/>
    <x v="201"/>
    <n v="1"/>
    <n v="73795"/>
    <n v="1"/>
    <x v="197"/>
    <x v="286"/>
    <m/>
  </r>
  <r>
    <n v="319"/>
    <s v="BR-ERC-UG-FEL00-152-A"/>
    <x v="80"/>
    <s v="EroCopper_Scoping Proyecto Furnas"/>
    <s v="EroCopper"/>
    <x v="4"/>
    <n v="2025"/>
    <n v="-1"/>
    <m/>
    <m/>
    <n v="1"/>
    <x v="121"/>
    <x v="3"/>
    <n v="68993.162358490576"/>
    <x v="154"/>
    <x v="202"/>
    <n v="1"/>
    <n v="68819.633027522927"/>
    <n v="1"/>
    <x v="68"/>
    <x v="287"/>
    <m/>
  </r>
  <r>
    <n v="320"/>
    <s v="BR-ERC-UG-FEL00-152-A"/>
    <x v="80"/>
    <s v="EroCopper_Scoping Proyecto Furnas"/>
    <s v="EroCopper"/>
    <x v="4"/>
    <n v="2025"/>
    <n v="-1"/>
    <m/>
    <m/>
    <n v="1"/>
    <x v="60"/>
    <x v="4"/>
    <n v="39205.773773584908"/>
    <x v="266"/>
    <x v="107"/>
    <n v="1"/>
    <n v="34046"/>
    <n v="1"/>
    <x v="190"/>
    <x v="288"/>
    <m/>
  </r>
  <r>
    <n v="321"/>
    <s v="BR-ERC-UG-FEL00-152-A"/>
    <x v="80"/>
    <s v="EroCopper_Scoping Proyecto Furnas"/>
    <s v="EroCopper"/>
    <x v="4"/>
    <n v="2025"/>
    <n v="-1"/>
    <m/>
    <m/>
    <n v="1"/>
    <x v="61"/>
    <x v="5"/>
    <n v="61666.713867924518"/>
    <x v="139"/>
    <x v="203"/>
    <n v="1"/>
    <n v="61627"/>
    <n v="1"/>
    <x v="198"/>
    <x v="289"/>
    <s v="Retiene 10%"/>
  </r>
  <r>
    <n v="322"/>
    <s v="BR-ERC-UG-FEL00-152-A"/>
    <x v="80"/>
    <s v="EroCopper_Scoping Proyecto Furnas"/>
    <s v="EroCopper"/>
    <x v="4"/>
    <n v="2025"/>
    <n v="-1"/>
    <m/>
    <m/>
    <n v="1"/>
    <x v="62"/>
    <x v="6"/>
    <n v="52319.196320754709"/>
    <x v="267"/>
    <x v="204"/>
    <n v="1"/>
    <n v="50479"/>
    <n v="1"/>
    <x v="199"/>
    <x v="290"/>
    <m/>
  </r>
  <r>
    <n v="323"/>
    <s v="BR-ERC-UG-FEL00-152-A"/>
    <x v="80"/>
    <s v="EroCopper_Scoping Proyecto Furnas"/>
    <s v="EroCopper"/>
    <x v="4"/>
    <n v="2026"/>
    <n v="-1"/>
    <m/>
    <m/>
    <n v="1"/>
    <x v="122"/>
    <x v="7"/>
    <n v="46571.709904761905"/>
    <x v="268"/>
    <x v="111"/>
    <n v="1"/>
    <n v="45265"/>
    <n v="1"/>
    <x v="200"/>
    <x v="291"/>
    <m/>
  </r>
  <r>
    <n v="324"/>
    <s v="BR-ERC-UG-FEL00-152-A"/>
    <x v="80"/>
    <s v="EroCopper_Scoping Proyecto Furnas"/>
    <s v="EroCopper"/>
    <x v="4"/>
    <n v="2026"/>
    <n v="1"/>
    <d v="2026-02-25T00:00:00"/>
    <n v="59681"/>
    <n v="1"/>
    <x v="64"/>
    <x v="8"/>
    <n v="70943.787809523827"/>
    <x v="269"/>
    <x v="196"/>
    <n v="1"/>
    <n v="71488"/>
    <n v="1"/>
    <x v="193"/>
    <x v="292"/>
    <m/>
  </r>
  <r>
    <n v="325"/>
    <s v="BR-ERC-UG-FEL00-152-A"/>
    <x v="80"/>
    <s v="EroCopper_Scoping Proyecto Furnas"/>
    <s v="EroCopper"/>
    <x v="4"/>
    <n v="2026"/>
    <n v="1"/>
    <d v="2026-03-01T00:00:00"/>
    <n v="23621"/>
    <n v="1"/>
    <x v="65"/>
    <x v="9"/>
    <n v="29753"/>
    <x v="270"/>
    <x v="205"/>
    <n v="1"/>
    <n v="29753"/>
    <n v="1"/>
    <x v="75"/>
    <x v="293"/>
    <m/>
  </r>
  <r>
    <n v="326"/>
    <s v="BR-ERC-GM-FEL00-208-A"/>
    <x v="81"/>
    <s v="EroCopper_Surubim OP Mine"/>
    <s v="EroCopper"/>
    <x v="4"/>
    <n v="2026"/>
    <n v="-1"/>
    <m/>
    <m/>
    <n v="1"/>
    <x v="123"/>
    <x v="0"/>
    <n v="4210"/>
    <x v="36"/>
    <x v="31"/>
    <n v="-1"/>
    <m/>
    <n v="-1"/>
    <x v="30"/>
    <x v="36"/>
    <m/>
  </r>
  <r>
    <n v="327"/>
    <s v="CH-D&amp;P-CS-OTR00-137-A"/>
    <x v="82"/>
    <s v="Estrategia Cobre Panama"/>
    <s v="Debevoise&amp;Plimpton"/>
    <x v="5"/>
    <n v="2025"/>
    <n v="-1"/>
    <m/>
    <m/>
    <n v="1"/>
    <x v="33"/>
    <x v="0"/>
    <n v="82861"/>
    <x v="0"/>
    <x v="82"/>
    <n v="1"/>
    <n v="82861"/>
    <n v="1"/>
    <x v="201"/>
    <x v="294"/>
    <s v="BVI"/>
  </r>
  <r>
    <n v="328"/>
    <s v="CH-D&amp;P-CS-OTR00-137-A"/>
    <x v="82"/>
    <s v="Estrategia Cobre Panama"/>
    <s v="Debevoise&amp;Plimpton"/>
    <x v="5"/>
    <n v="2025"/>
    <n v="-1"/>
    <m/>
    <m/>
    <n v="1"/>
    <x v="103"/>
    <x v="1"/>
    <n v="89646"/>
    <x v="0"/>
    <x v="82"/>
    <n v="1"/>
    <n v="89646"/>
    <n v="1"/>
    <x v="201"/>
    <x v="295"/>
    <s v="BVI"/>
  </r>
  <r>
    <n v="329"/>
    <s v="CH-D&amp;P-CS-OTR00-137-A"/>
    <x v="82"/>
    <s v="Estrategia Cobre Panama"/>
    <s v="Debevoise&amp;Plimpton"/>
    <x v="5"/>
    <n v="2025"/>
    <n v="-1"/>
    <m/>
    <m/>
    <n v="1"/>
    <x v="58"/>
    <x v="2"/>
    <n v="99524"/>
    <x v="0"/>
    <x v="86"/>
    <n v="1"/>
    <n v="99524"/>
    <n v="1"/>
    <x v="59"/>
    <x v="296"/>
    <s v="BVI"/>
  </r>
  <r>
    <n v="330"/>
    <s v="PE-BRO-OT-OTR00-003-D"/>
    <x v="83"/>
    <s v="Estudio con Faja Transportadora"/>
    <s v="El Brocal"/>
    <x v="1"/>
    <n v="2023"/>
    <n v="-1"/>
    <m/>
    <m/>
    <n v="1"/>
    <x v="2"/>
    <x v="0"/>
    <n v="15716.25"/>
    <x v="271"/>
    <x v="181"/>
    <n v="1"/>
    <n v="15176"/>
    <n v="1"/>
    <x v="177"/>
    <x v="297"/>
    <m/>
  </r>
  <r>
    <n v="331"/>
    <s v="PE-BRO-OT-OTR00-003-D"/>
    <x v="83"/>
    <s v="Estudio con Faja Transportadora"/>
    <s v="El Brocal"/>
    <x v="1"/>
    <n v="2023"/>
    <n v="-1"/>
    <m/>
    <m/>
    <n v="1"/>
    <x v="3"/>
    <x v="1"/>
    <n v="35043.75"/>
    <x v="272"/>
    <x v="128"/>
    <n v="1"/>
    <n v="35043.75"/>
    <n v="1"/>
    <x v="202"/>
    <x v="298"/>
    <m/>
  </r>
  <r>
    <n v="332"/>
    <m/>
    <x v="84"/>
    <s v="Euclidea Consulting "/>
    <s v="Euclidea Consulting "/>
    <x v="0"/>
    <n v="2024"/>
    <n v="-1"/>
    <m/>
    <m/>
    <n v="1"/>
    <x v="124"/>
    <x v="0"/>
    <n v="7150"/>
    <x v="0"/>
    <x v="206"/>
    <n v="1"/>
    <n v="7150"/>
    <n v="1"/>
    <x v="203"/>
    <x v="299"/>
    <s v="Factura solicitada por PV mediante correo"/>
  </r>
  <r>
    <n v="333"/>
    <m/>
    <x v="84"/>
    <s v="Euclidea Consulting "/>
    <s v="Euclidea Consulting "/>
    <x v="0"/>
    <n v="2025"/>
    <n v="-1"/>
    <m/>
    <m/>
    <n v="-1"/>
    <x v="93"/>
    <x v="17"/>
    <n v="0"/>
    <x v="0"/>
    <x v="207"/>
    <n v="1"/>
    <n v="20000"/>
    <n v="1"/>
    <x v="204"/>
    <x v="300"/>
    <m/>
  </r>
  <r>
    <n v="334"/>
    <s v="RU-ECH-UG-FEL00-081-A"/>
    <x v="85"/>
    <s v="Eurochem_Himmelfarb Deposit"/>
    <s v="Eurochem"/>
    <x v="3"/>
    <n v="2024"/>
    <n v="-1"/>
    <m/>
    <m/>
    <n v="1"/>
    <x v="27"/>
    <x v="0"/>
    <n v="76050"/>
    <x v="0"/>
    <x v="208"/>
    <n v="1"/>
    <n v="76050"/>
    <n v="1"/>
    <x v="205"/>
    <x v="301"/>
    <m/>
  </r>
  <r>
    <n v="335"/>
    <s v="RU-ECH-UG-FEL00-081-A"/>
    <x v="85"/>
    <s v="Eurochem_Himmelfarb Deposit"/>
    <s v="Eurochem"/>
    <x v="3"/>
    <n v="2024"/>
    <n v="-1"/>
    <m/>
    <m/>
    <n v="1"/>
    <x v="125"/>
    <x v="1"/>
    <n v="76050"/>
    <x v="0"/>
    <x v="209"/>
    <n v="1"/>
    <n v="76050"/>
    <n v="1"/>
    <x v="163"/>
    <x v="301"/>
    <m/>
  </r>
  <r>
    <n v="336"/>
    <s v="OT-FNE-CS-OTR00-176-A"/>
    <x v="86"/>
    <s v="FN_Oko West project review"/>
    <s v="Franco Nevada"/>
    <x v="0"/>
    <n v="2025"/>
    <n v="-1"/>
    <m/>
    <m/>
    <n v="1"/>
    <x v="60"/>
    <x v="0"/>
    <n v="52075"/>
    <x v="0"/>
    <x v="210"/>
    <n v="1"/>
    <n v="52075"/>
    <n v="1"/>
    <x v="206"/>
    <x v="302"/>
    <m/>
  </r>
  <r>
    <n v="337"/>
    <s v="OT-FPT-OU-FEL00-196-A"/>
    <x v="87"/>
    <s v="Freeport_GBC Restart Strategy Services"/>
    <s v="Freeport"/>
    <x v="0"/>
    <n v="2026"/>
    <n v="1"/>
    <d v="2026-03-01T00:00:00"/>
    <n v="90000"/>
    <n v="1"/>
    <x v="10"/>
    <x v="0"/>
    <n v="169414"/>
    <x v="0"/>
    <x v="211"/>
    <n v="1"/>
    <n v="169414"/>
    <n v="-1"/>
    <x v="207"/>
    <x v="36"/>
    <m/>
  </r>
  <r>
    <n v="338"/>
    <s v="OT-FPT-OU-FEL00-196-A"/>
    <x v="87"/>
    <s v="Freeport_GBC Restart Strategy Services"/>
    <s v="Freeport"/>
    <x v="0"/>
    <n v="2026"/>
    <n v="-1"/>
    <m/>
    <m/>
    <n v="1"/>
    <x v="109"/>
    <x v="1"/>
    <n v="70429.5"/>
    <x v="0"/>
    <x v="211"/>
    <n v="1"/>
    <n v="70429.5"/>
    <n v="-1"/>
    <x v="207"/>
    <x v="36"/>
    <m/>
  </r>
  <r>
    <n v="339"/>
    <s v="PE-GLE-OP-FEL2A-054-A"/>
    <x v="88"/>
    <s v="Glencore_Coroccohuayco_OptimizacionLOM"/>
    <s v="Glencore"/>
    <x v="1"/>
    <n v="2024"/>
    <n v="1"/>
    <d v="2024-04-01T00:00:00"/>
    <n v="88024"/>
    <n v="1"/>
    <x v="126"/>
    <x v="0"/>
    <n v="85103"/>
    <x v="273"/>
    <x v="43"/>
    <n v="1"/>
    <n v="85103"/>
    <n v="1"/>
    <x v="35"/>
    <x v="303"/>
    <m/>
  </r>
  <r>
    <n v="340"/>
    <s v="PE-GLE-OP-FEL2A-054-A"/>
    <x v="88"/>
    <s v="Glencore_Coroccohuayco_OptimizacionLOM"/>
    <s v="Glencore"/>
    <x v="1"/>
    <n v="2024"/>
    <n v="-1"/>
    <m/>
    <m/>
    <n v="1"/>
    <x v="127"/>
    <x v="1"/>
    <n v="70709"/>
    <x v="274"/>
    <x v="212"/>
    <n v="1"/>
    <n v="70709"/>
    <n v="1"/>
    <x v="35"/>
    <x v="304"/>
    <m/>
  </r>
  <r>
    <n v="341"/>
    <s v="PE-GLE-OP-FEL2A-054-A"/>
    <x v="88"/>
    <s v="Glencore_Coroccohuayco_OptimizacionLOM"/>
    <s v="Glencore"/>
    <x v="1"/>
    <n v="2024"/>
    <n v="-1"/>
    <m/>
    <m/>
    <n v="1"/>
    <x v="27"/>
    <x v="2"/>
    <n v="42188"/>
    <x v="275"/>
    <x v="192"/>
    <n v="1"/>
    <n v="40869"/>
    <n v="1"/>
    <x v="36"/>
    <x v="305"/>
    <m/>
  </r>
  <r>
    <n v="342"/>
    <s v="CH-GLE-CS-OTR00-183-A"/>
    <x v="89"/>
    <s v="Glencore_Estrategia de Propiedades CMLB"/>
    <s v="Glencore"/>
    <x v="2"/>
    <n v="2025"/>
    <n v="-1"/>
    <m/>
    <m/>
    <n v="1"/>
    <x v="128"/>
    <x v="0"/>
    <n v="87783"/>
    <x v="276"/>
    <x v="195"/>
    <n v="1"/>
    <n v="87783"/>
    <n v="1"/>
    <x v="43"/>
    <x v="306"/>
    <m/>
  </r>
  <r>
    <n v="343"/>
    <s v="CH-GLE-CS-OTR00-183-A"/>
    <x v="89"/>
    <s v="Glencore_Estrategia de Propiedades CMLB"/>
    <s v="Glencore"/>
    <x v="2"/>
    <n v="2025"/>
    <n v="-1"/>
    <m/>
    <m/>
    <n v="1"/>
    <x v="129"/>
    <x v="1"/>
    <n v="110857"/>
    <x v="277"/>
    <x v="213"/>
    <n v="1"/>
    <n v="110857"/>
    <n v="1"/>
    <x v="111"/>
    <x v="307"/>
    <m/>
  </r>
  <r>
    <n v="344"/>
    <s v="CH-GLE-CS-OTR00-094-A"/>
    <x v="90"/>
    <s v="Glencore_MineHaul y MinePlan Lomas Bayas"/>
    <s v="CMP"/>
    <x v="2"/>
    <n v="2024"/>
    <n v="-1"/>
    <m/>
    <m/>
    <n v="1"/>
    <x v="130"/>
    <x v="0"/>
    <n v="12000"/>
    <x v="278"/>
    <x v="140"/>
    <n v="1"/>
    <n v="12000"/>
    <n v="1"/>
    <x v="130"/>
    <x v="308"/>
    <m/>
  </r>
  <r>
    <n v="345"/>
    <s v="CH-GLE-CS-OTR00-199-A"/>
    <x v="91"/>
    <s v="Glencore_Mining Simulation Mara"/>
    <s v="Glencore"/>
    <x v="2"/>
    <n v="2026"/>
    <n v="1"/>
    <d v="2026-03-01T00:00:00"/>
    <n v="50000"/>
    <n v="1"/>
    <x v="10"/>
    <x v="0"/>
    <n v="56120"/>
    <x v="266"/>
    <x v="214"/>
    <n v="1"/>
    <n v="76190"/>
    <n v="-1"/>
    <x v="208"/>
    <x v="36"/>
    <m/>
  </r>
  <r>
    <n v="346"/>
    <s v="CH-GLE-CS-OTR00-199-A"/>
    <x v="91"/>
    <s v="Glencore_Mining Simulation Mara"/>
    <s v="Glencore"/>
    <x v="2"/>
    <n v="2026"/>
    <n v="-1"/>
    <m/>
    <m/>
    <n v="1"/>
    <x v="109"/>
    <x v="1"/>
    <n v="24080"/>
    <x v="266"/>
    <x v="214"/>
    <n v="-1"/>
    <n v="0"/>
    <n v="-1"/>
    <x v="208"/>
    <x v="309"/>
    <m/>
  </r>
  <r>
    <n v="347"/>
    <s v="OT-HCL-CS-OTR00-202-A"/>
    <x v="92"/>
    <s v="Hecla_Lucky Friday Mine"/>
    <s v="Hecla"/>
    <x v="0"/>
    <n v="2026"/>
    <n v="1"/>
    <d v="2026-03-01T00:00:00"/>
    <n v="28500"/>
    <n v="1"/>
    <x v="10"/>
    <x v="0"/>
    <n v="27609"/>
    <x v="0"/>
    <x v="165"/>
    <n v="1"/>
    <n v="27609"/>
    <n v="1"/>
    <x v="166"/>
    <x v="310"/>
    <m/>
  </r>
  <r>
    <n v="348"/>
    <s v="OT-HCL-CS-OTR00-202-A"/>
    <x v="92"/>
    <s v="Hecla_Lucky Friday Mine"/>
    <s v="Hecla"/>
    <x v="0"/>
    <n v="2026"/>
    <n v="-1"/>
    <m/>
    <m/>
    <n v="1"/>
    <x v="109"/>
    <x v="1"/>
    <n v="5180"/>
    <x v="0"/>
    <x v="190"/>
    <n v="1"/>
    <n v="5180"/>
    <n v="-1"/>
    <x v="167"/>
    <x v="36"/>
    <m/>
  </r>
  <r>
    <n v="349"/>
    <s v="PE-HSI-GM-OTR00-217-A"/>
    <x v="93"/>
    <s v="Highlander_Diagnóstico Geomecánico"/>
    <s v="Highlander"/>
    <x v="1"/>
    <n v="2026"/>
    <n v="-1"/>
    <m/>
    <m/>
    <n v="1"/>
    <x v="69"/>
    <x v="0"/>
    <n v="14939"/>
    <x v="36"/>
    <x v="31"/>
    <n v="-1"/>
    <m/>
    <n v="-1"/>
    <x v="30"/>
    <x v="36"/>
    <m/>
  </r>
  <r>
    <n v="350"/>
    <s v="PE-HCS-UG-FEL00-190-A"/>
    <x v="94"/>
    <s v="Hochschild_FS Metodos de Minado Tesoro"/>
    <s v="Hochschild"/>
    <x v="1"/>
    <n v="2026"/>
    <n v="-1"/>
    <m/>
    <m/>
    <n v="1"/>
    <x v="131"/>
    <x v="0"/>
    <n v="20200"/>
    <x v="279"/>
    <x v="215"/>
    <n v="1"/>
    <n v="20200"/>
    <n v="1"/>
    <x v="209"/>
    <x v="311"/>
    <m/>
  </r>
  <r>
    <n v="351"/>
    <s v="PE-HCS-UG-FEL00-190-A"/>
    <x v="94"/>
    <s v="Hochschild_FS Metodos de Minado Tesoro"/>
    <s v="Hochschild"/>
    <x v="1"/>
    <n v="2026"/>
    <n v="1"/>
    <d v="2026-02-25T00:00:00"/>
    <n v="40594"/>
    <n v="1"/>
    <x v="108"/>
    <x v="1"/>
    <n v="40415"/>
    <x v="280"/>
    <x v="14"/>
    <n v="1"/>
    <n v="40415"/>
    <n v="1"/>
    <x v="210"/>
    <x v="312"/>
    <m/>
  </r>
  <r>
    <n v="352"/>
    <s v="PE-HCS-UG-FEL00-190-A"/>
    <x v="94"/>
    <s v="Hochschild_FS Metodos de Minado Tesoro"/>
    <s v="Hochschild"/>
    <x v="1"/>
    <n v="2026"/>
    <n v="1"/>
    <d v="2026-03-01T00:00:00"/>
    <n v="32185"/>
    <n v="1"/>
    <x v="10"/>
    <x v="2"/>
    <n v="20091"/>
    <x v="36"/>
    <x v="31"/>
    <n v="-1"/>
    <m/>
    <n v="-1"/>
    <x v="30"/>
    <x v="36"/>
    <m/>
  </r>
  <r>
    <n v="353"/>
    <s v="PE-HCS-UG-FEL00-190-A"/>
    <x v="94"/>
    <s v="Hochschild_FS Metodos de Minado Tesoro"/>
    <s v="Hochschild"/>
    <x v="1"/>
    <n v="2026"/>
    <n v="-1"/>
    <m/>
    <m/>
    <n v="1"/>
    <x v="109"/>
    <x v="3"/>
    <n v="12094"/>
    <x v="36"/>
    <x v="31"/>
    <n v="-1"/>
    <m/>
    <n v="-1"/>
    <x v="30"/>
    <x v="36"/>
    <m/>
  </r>
  <r>
    <n v="354"/>
    <s v="PE-HCS-UG-OTR00-204-A"/>
    <x v="95"/>
    <s v="Hochschild_LOM UG Royropata"/>
    <s v="Hochschild"/>
    <x v="1"/>
    <n v="2026"/>
    <n v="-1"/>
    <m/>
    <m/>
    <n v="1"/>
    <x v="10"/>
    <x v="0"/>
    <n v="15900"/>
    <x v="281"/>
    <x v="216"/>
    <n v="1"/>
    <n v="15900"/>
    <n v="1"/>
    <x v="14"/>
    <x v="313"/>
    <m/>
  </r>
  <r>
    <n v="355"/>
    <s v="PE-HUD-GM-FEL00-153-A"/>
    <x v="96"/>
    <s v="Hudbay_Actualización Riesgo Sísmico"/>
    <s v="Hudbay"/>
    <x v="1"/>
    <n v="2025"/>
    <n v="-1"/>
    <m/>
    <m/>
    <n v="1"/>
    <x v="132"/>
    <x v="0"/>
    <n v="36720"/>
    <x v="282"/>
    <x v="217"/>
    <n v="1"/>
    <n v="36720"/>
    <n v="1"/>
    <x v="204"/>
    <x v="314"/>
    <m/>
  </r>
  <r>
    <n v="356"/>
    <s v="PE-HUD-GM-FEL00-206-A"/>
    <x v="97"/>
    <s v="Hudbay_Ampliacion Peligro Sísmico"/>
    <s v="Hudbay"/>
    <x v="1"/>
    <n v="2026"/>
    <n v="-1"/>
    <m/>
    <m/>
    <n v="1"/>
    <x v="109"/>
    <x v="0"/>
    <n v="18420"/>
    <x v="283"/>
    <x v="218"/>
    <n v="1"/>
    <n v="18420"/>
    <n v="-1"/>
    <x v="211"/>
    <x v="36"/>
    <m/>
  </r>
  <r>
    <n v="357"/>
    <s v="PE-SME-UG-OTR00-021-A"/>
    <x v="98"/>
    <s v="Modificacion MEIA Yauricocha"/>
    <s v="Sierra metals"/>
    <x v="1"/>
    <n v="2023"/>
    <n v="-1"/>
    <m/>
    <m/>
    <n v="1"/>
    <x v="3"/>
    <x v="0"/>
    <n v="18991"/>
    <x v="284"/>
    <x v="219"/>
    <n v="1"/>
    <n v="18991"/>
    <n v="1"/>
    <x v="125"/>
    <x v="315"/>
    <m/>
  </r>
  <r>
    <n v="358"/>
    <s v="OT-IEL-UG-FEL2A-088-A"/>
    <x v="99"/>
    <s v="IvanhoeElectric_Mine Planning Support"/>
    <s v="Ivanhoe"/>
    <x v="0"/>
    <n v="2024"/>
    <n v="-1"/>
    <m/>
    <m/>
    <n v="1"/>
    <x v="27"/>
    <x v="8"/>
    <n v="16776"/>
    <x v="270"/>
    <x v="220"/>
    <n v="1"/>
    <n v="16776"/>
    <n v="1"/>
    <x v="212"/>
    <x v="316"/>
    <m/>
  </r>
  <r>
    <n v="359"/>
    <s v="OT-IEL-UG-FEL2A-088-A"/>
    <x v="99"/>
    <s v="IvanhoeElectric_Mine Planning Support"/>
    <s v="Ivanhoe"/>
    <x v="0"/>
    <n v="2024"/>
    <n v="-1"/>
    <m/>
    <m/>
    <n v="1"/>
    <x v="27"/>
    <x v="9"/>
    <n v="21370"/>
    <x v="285"/>
    <x v="220"/>
    <n v="1"/>
    <n v="21370"/>
    <n v="1"/>
    <x v="213"/>
    <x v="317"/>
    <m/>
  </r>
  <r>
    <n v="360"/>
    <s v="OT-IEL-UG-FEL2A-088-A"/>
    <x v="99"/>
    <s v="IvanhoeElectric_Mine Planning Support"/>
    <s v="Ivanhoe"/>
    <x v="0"/>
    <n v="2024"/>
    <n v="-1"/>
    <m/>
    <m/>
    <n v="1"/>
    <x v="133"/>
    <x v="10"/>
    <n v="24596"/>
    <x v="286"/>
    <x v="221"/>
    <n v="1"/>
    <n v="24596"/>
    <n v="1"/>
    <x v="214"/>
    <x v="318"/>
    <m/>
  </r>
  <r>
    <n v="361"/>
    <s v="OT-IEL-UG-FEL2A-088-A"/>
    <x v="99"/>
    <s v="IvanhoeElectric_Mine Planning Support"/>
    <s v="Ivanhoe"/>
    <x v="0"/>
    <n v="2024"/>
    <n v="-1"/>
    <m/>
    <m/>
    <n v="1"/>
    <x v="29"/>
    <x v="11"/>
    <n v="45925"/>
    <x v="83"/>
    <x v="222"/>
    <n v="1"/>
    <n v="45925"/>
    <n v="1"/>
    <x v="215"/>
    <x v="319"/>
    <m/>
  </r>
  <r>
    <n v="362"/>
    <s v="OT-IEL-UG-FEL2A-088-A"/>
    <x v="99"/>
    <s v="IvanhoeElectric_Mine Planning Support"/>
    <s v="Ivanhoe"/>
    <x v="0"/>
    <n v="2024"/>
    <n v="-1"/>
    <m/>
    <m/>
    <n v="1"/>
    <x v="134"/>
    <x v="12"/>
    <n v="46640"/>
    <x v="287"/>
    <x v="223"/>
    <n v="1"/>
    <n v="46640"/>
    <n v="1"/>
    <x v="216"/>
    <x v="320"/>
    <m/>
  </r>
  <r>
    <n v="363"/>
    <s v="OT-IEL-UG-FEL2A-060-A"/>
    <x v="100"/>
    <s v="IvanhoeElectric_Santa-Cruz_PrePFS"/>
    <s v="Ivanhoe"/>
    <x v="0"/>
    <n v="2023"/>
    <n v="1"/>
    <d v="2023-11-01T00:00:00"/>
    <n v="26000"/>
    <n v="1"/>
    <x v="12"/>
    <x v="0"/>
    <n v="35720"/>
    <x v="108"/>
    <x v="49"/>
    <n v="1"/>
    <n v="52804"/>
    <n v="1"/>
    <x v="217"/>
    <x v="321"/>
    <m/>
  </r>
  <r>
    <n v="364"/>
    <s v="OT-IEL-UG-FEL2A-060-A"/>
    <x v="100"/>
    <s v="IvanhoeElectric_Santa-Cruz_PrePFS"/>
    <s v="Ivanhoe"/>
    <x v="0"/>
    <n v="2023"/>
    <n v="1"/>
    <d v="2023-12-01T00:00:00"/>
    <n v="35720"/>
    <n v="1"/>
    <x v="135"/>
    <x v="1"/>
    <n v="66664"/>
    <x v="288"/>
    <x v="23"/>
    <n v="1"/>
    <n v="66664"/>
    <n v="1"/>
    <x v="154"/>
    <x v="322"/>
    <m/>
  </r>
  <r>
    <n v="365"/>
    <s v="OT-IEL-UG-FEL2A-060-A"/>
    <x v="100"/>
    <s v="IvanhoeElectric_Santa-Cruz_PrePFS"/>
    <s v="Ivanhoe"/>
    <x v="0"/>
    <n v="2024"/>
    <n v="1"/>
    <d v="2024-01-01T00:00:00"/>
    <n v="96554"/>
    <n v="1"/>
    <x v="136"/>
    <x v="2"/>
    <n v="96319"/>
    <x v="268"/>
    <x v="224"/>
    <n v="1"/>
    <n v="96319"/>
    <n v="1"/>
    <x v="154"/>
    <x v="323"/>
    <m/>
  </r>
  <r>
    <n v="366"/>
    <s v="OT-IEL-UG-FEL2A-060-A"/>
    <x v="100"/>
    <s v="IvanhoeElectric_Santa-Cruz_PrePFS"/>
    <s v="Ivanhoe"/>
    <x v="0"/>
    <n v="2024"/>
    <n v="1"/>
    <d v="2024-02-01T00:00:00"/>
    <n v="118000"/>
    <n v="1"/>
    <x v="137"/>
    <x v="3"/>
    <n v="94543"/>
    <x v="81"/>
    <x v="225"/>
    <n v="1"/>
    <n v="102905"/>
    <n v="1"/>
    <x v="218"/>
    <x v="324"/>
    <m/>
  </r>
  <r>
    <n v="367"/>
    <s v="OT-IEL-UG-FEL2A-060-A"/>
    <x v="100"/>
    <s v="IvanhoeElectric_Santa-Cruz_PrePFS"/>
    <s v="Ivanhoe"/>
    <x v="0"/>
    <n v="2024"/>
    <n v="1"/>
    <d v="2024-03-01T00:00:00"/>
    <n v="118010"/>
    <n v="1"/>
    <x v="24"/>
    <x v="4"/>
    <n v="118166"/>
    <x v="264"/>
    <x v="226"/>
    <n v="1"/>
    <n v="118166"/>
    <n v="1"/>
    <x v="219"/>
    <x v="325"/>
    <m/>
  </r>
  <r>
    <n v="368"/>
    <s v="OT-IEL-UG-FEL2A-060-A"/>
    <x v="100"/>
    <s v="IvanhoeElectric_Santa-Cruz_PrePFS"/>
    <s v="Ivanhoe"/>
    <x v="0"/>
    <n v="2024"/>
    <n v="1"/>
    <d v="2024-04-01T00:00:00"/>
    <n v="101918"/>
    <n v="1"/>
    <x v="15"/>
    <x v="5"/>
    <n v="82732"/>
    <x v="269"/>
    <x v="227"/>
    <n v="1"/>
    <n v="70467"/>
    <n v="1"/>
    <x v="42"/>
    <x v="326"/>
    <m/>
  </r>
  <r>
    <n v="369"/>
    <s v="OT-IEL-UG-FEL2A-060-A"/>
    <x v="100"/>
    <s v="IvanhoeElectric_Santa-Cruz_PrePFS"/>
    <s v="Ivanhoe"/>
    <x v="0"/>
    <n v="2024"/>
    <n v="1"/>
    <d v="2024-05-01T00:00:00"/>
    <n v="44291"/>
    <n v="1"/>
    <x v="138"/>
    <x v="6"/>
    <n v="44291"/>
    <x v="82"/>
    <x v="228"/>
    <n v="1"/>
    <n v="44291"/>
    <n v="1"/>
    <x v="220"/>
    <x v="327"/>
    <m/>
  </r>
  <r>
    <n v="370"/>
    <s v="OT-IEL-UG-FEL2A-060-A"/>
    <x v="100"/>
    <s v="IvanhoeElectric_Santa-Cruz_PrePFS"/>
    <s v="Ivanhoe"/>
    <x v="0"/>
    <n v="2024"/>
    <n v="1"/>
    <d v="2024-06-01T00:00:00"/>
    <n v="10240"/>
    <n v="1"/>
    <x v="97"/>
    <x v="7"/>
    <n v="10240"/>
    <x v="289"/>
    <x v="229"/>
    <n v="1"/>
    <n v="10240"/>
    <n v="1"/>
    <x v="221"/>
    <x v="328"/>
    <m/>
  </r>
  <r>
    <n v="371"/>
    <s v="BR-J&amp;F-CS-OTR00-100-A"/>
    <x v="101"/>
    <s v="J&amp;F_Autazes Due Diligence"/>
    <s v="J&amp;F"/>
    <x v="4"/>
    <n v="2024"/>
    <n v="-1"/>
    <m/>
    <m/>
    <n v="1"/>
    <x v="27"/>
    <x v="0"/>
    <n v="72664"/>
    <x v="150"/>
    <x v="36"/>
    <n v="1"/>
    <n v="64906"/>
    <n v="1"/>
    <x v="130"/>
    <x v="329"/>
    <m/>
  </r>
  <r>
    <n v="372"/>
    <s v="BR-J&amp;F-CS-OTR00-100-A"/>
    <x v="101"/>
    <s v="J&amp;F_Autazes Due Diligence"/>
    <s v="J&amp;F"/>
    <x v="4"/>
    <n v="2024"/>
    <n v="-1"/>
    <m/>
    <m/>
    <n v="1"/>
    <x v="139"/>
    <x v="1"/>
    <n v="38209"/>
    <x v="3"/>
    <x v="230"/>
    <n v="1"/>
    <n v="38209"/>
    <n v="1"/>
    <x v="222"/>
    <x v="330"/>
    <m/>
  </r>
  <r>
    <n v="373"/>
    <s v="BR-J&amp;F-UG-FEL03-048-A"/>
    <x v="102"/>
    <s v="J&amp;F_Urucrum_RecuperacionPilares"/>
    <s v="J&amp;F"/>
    <x v="4"/>
    <n v="2024"/>
    <n v="-1"/>
    <d v="2024-05-01T00:00:00"/>
    <m/>
    <n v="1"/>
    <x v="140"/>
    <x v="0"/>
    <n v="33440"/>
    <x v="16"/>
    <x v="231"/>
    <n v="1"/>
    <n v="23784"/>
    <n v="1"/>
    <x v="223"/>
    <x v="331"/>
    <m/>
  </r>
  <r>
    <n v="374"/>
    <s v="BR-J&amp;F-UG-FEL03-048-A"/>
    <x v="102"/>
    <s v="J&amp;F_Urucrum_RecuperacionPilares"/>
    <s v="J&amp;F"/>
    <x v="4"/>
    <n v="2024"/>
    <n v="1"/>
    <d v="2024-06-01T00:00:00"/>
    <n v="131619.5"/>
    <n v="1"/>
    <x v="141"/>
    <x v="1"/>
    <n v="97282"/>
    <x v="131"/>
    <x v="231"/>
    <n v="1"/>
    <n v="94621"/>
    <n v="1"/>
    <x v="223"/>
    <x v="332"/>
    <m/>
  </r>
  <r>
    <n v="375"/>
    <s v="BR-J&amp;F-UG-FEL03-048-A"/>
    <x v="102"/>
    <s v="J&amp;F_Urucrum_RecuperacionPilares"/>
    <s v="J&amp;F"/>
    <x v="4"/>
    <n v="2024"/>
    <n v="-1"/>
    <m/>
    <m/>
    <n v="1"/>
    <x v="142"/>
    <x v="2"/>
    <n v="27947"/>
    <x v="290"/>
    <x v="232"/>
    <n v="1"/>
    <n v="27216"/>
    <n v="1"/>
    <x v="224"/>
    <x v="333"/>
    <m/>
  </r>
  <r>
    <n v="376"/>
    <s v="BR-J&amp;F-UG-FEL03-048-A"/>
    <x v="102"/>
    <s v="J&amp;F_Urucrum_RecuperacionPilares"/>
    <s v="J&amp;F"/>
    <x v="4"/>
    <n v="2024"/>
    <n v="-1"/>
    <m/>
    <m/>
    <n v="1"/>
    <x v="143"/>
    <x v="3"/>
    <n v="26332"/>
    <x v="17"/>
    <x v="233"/>
    <n v="1"/>
    <n v="26332"/>
    <n v="1"/>
    <x v="215"/>
    <x v="334"/>
    <m/>
  </r>
  <r>
    <n v="377"/>
    <s v="BR-J&amp;F-UG-FEL03-048-A"/>
    <x v="102"/>
    <s v="J&amp;F_Urucrum_RecuperacionPilares"/>
    <s v="J&amp;F"/>
    <x v="4"/>
    <n v="2024"/>
    <n v="-1"/>
    <m/>
    <m/>
    <n v="1"/>
    <x v="81"/>
    <x v="4"/>
    <n v="11169"/>
    <x v="291"/>
    <x v="234"/>
    <n v="1"/>
    <n v="11350"/>
    <n v="1"/>
    <x v="225"/>
    <x v="335"/>
    <m/>
  </r>
  <r>
    <n v="378"/>
    <s v="BR-J&amp;F-UG-FEL03-048-A"/>
    <x v="102"/>
    <s v="J&amp;F_Urucrum_RecuperacionPilares"/>
    <s v="J&amp;F"/>
    <x v="4"/>
    <n v="2024"/>
    <n v="-1"/>
    <m/>
    <m/>
    <n v="1"/>
    <x v="144"/>
    <x v="5"/>
    <n v="12089"/>
    <x v="151"/>
    <x v="235"/>
    <n v="1"/>
    <n v="10703"/>
    <n v="1"/>
    <x v="226"/>
    <x v="336"/>
    <m/>
  </r>
  <r>
    <n v="379"/>
    <s v="BR-J&amp;F-UG-FEL03-048-A"/>
    <x v="102"/>
    <s v="J&amp;F_Urucrum_RecuperacionPilares"/>
    <s v="J&amp;F"/>
    <x v="4"/>
    <n v="2025"/>
    <n v="-1"/>
    <m/>
    <m/>
    <n v="1"/>
    <x v="44"/>
    <x v="6"/>
    <n v="8092"/>
    <x v="152"/>
    <x v="53"/>
    <n v="1"/>
    <n v="8092"/>
    <n v="1"/>
    <x v="227"/>
    <x v="337"/>
    <m/>
  </r>
  <r>
    <n v="380"/>
    <s v="PE-MMG-UG-FEL2A-143-A"/>
    <x v="103"/>
    <s v="LasBambas_Ferrobamba PFS"/>
    <s v="Las Bambas"/>
    <x v="1"/>
    <n v="2025"/>
    <n v="-1"/>
    <m/>
    <m/>
    <n v="1"/>
    <x v="145"/>
    <x v="0"/>
    <n v="58150"/>
    <x v="292"/>
    <x v="61"/>
    <n v="1"/>
    <n v="58150"/>
    <n v="1"/>
    <x v="58"/>
    <x v="338"/>
    <m/>
  </r>
  <r>
    <n v="381"/>
    <s v="PE-MMG-UG-FEL2A-143-A"/>
    <x v="103"/>
    <s v="LasBambas_Ferrobamba PFS"/>
    <s v="Las Bambas"/>
    <x v="1"/>
    <n v="2025"/>
    <n v="-1"/>
    <m/>
    <m/>
    <n v="1"/>
    <x v="98"/>
    <x v="1"/>
    <n v="453390.59"/>
    <x v="293"/>
    <x v="236"/>
    <n v="1"/>
    <n v="453390.59"/>
    <n v="1"/>
    <x v="228"/>
    <x v="339"/>
    <m/>
  </r>
  <r>
    <n v="382"/>
    <s v="PE-MMG-UG-FEL2A-143-A"/>
    <x v="103"/>
    <s v="LasBambas_Ferrobamba PFS"/>
    <s v="Las Bambas"/>
    <x v="1"/>
    <n v="2025"/>
    <n v="-1"/>
    <m/>
    <m/>
    <n v="1"/>
    <x v="146"/>
    <x v="2"/>
    <n v="153520"/>
    <x v="294"/>
    <x v="237"/>
    <n v="1"/>
    <n v="153520"/>
    <n v="1"/>
    <x v="68"/>
    <x v="340"/>
    <m/>
  </r>
  <r>
    <n v="383"/>
    <s v="PE-MMG-UG-FEL2A-143-A"/>
    <x v="103"/>
    <s v="LasBambas_Ferrobamba PFS"/>
    <s v="Las Bambas"/>
    <x v="1"/>
    <n v="2025"/>
    <n v="-1"/>
    <m/>
    <m/>
    <n v="1"/>
    <x v="19"/>
    <x v="3"/>
    <n v="205079"/>
    <x v="295"/>
    <x v="238"/>
    <n v="1"/>
    <n v="205079"/>
    <n v="1"/>
    <x v="229"/>
    <x v="341"/>
    <m/>
  </r>
  <r>
    <n v="384"/>
    <s v="PE-MMG-UG-FEL2A-143-A"/>
    <x v="103"/>
    <s v="LasBambas_Ferrobamba PFS"/>
    <s v="Las Bambas"/>
    <x v="1"/>
    <n v="2025"/>
    <n v="-1"/>
    <m/>
    <m/>
    <n v="1"/>
    <x v="20"/>
    <x v="4"/>
    <n v="119590"/>
    <x v="296"/>
    <x v="204"/>
    <n v="1"/>
    <n v="119590"/>
    <n v="1"/>
    <x v="230"/>
    <x v="342"/>
    <m/>
  </r>
  <r>
    <n v="385"/>
    <s v="PE-MMG-UG-FEL2A-143-A"/>
    <x v="103"/>
    <s v="LasBambas_Ferrobamba PFS"/>
    <s v="Las Bambas"/>
    <x v="1"/>
    <n v="2025"/>
    <n v="-1"/>
    <m/>
    <m/>
    <n v="1"/>
    <x v="147"/>
    <x v="5"/>
    <n v="8480"/>
    <x v="71"/>
    <x v="31"/>
    <n v="-1"/>
    <m/>
    <n v="-1"/>
    <x v="30"/>
    <x v="36"/>
    <m/>
  </r>
  <r>
    <n v="386"/>
    <s v="PE-MMG-OU-FEL00-022-A"/>
    <x v="104"/>
    <s v="LasBambas_Ferrobamba UG"/>
    <s v="Las Bambas"/>
    <x v="1"/>
    <n v="2023"/>
    <n v="1"/>
    <d v="2023-11-01T00:00:00"/>
    <n v="5300"/>
    <n v="1"/>
    <x v="148"/>
    <x v="0"/>
    <n v="28417"/>
    <x v="297"/>
    <x v="182"/>
    <n v="1"/>
    <n v="28416.995200000001"/>
    <n v="1"/>
    <x v="231"/>
    <x v="343"/>
    <m/>
  </r>
  <r>
    <n v="387"/>
    <s v="PE-MMG-OU-FEL00-022-A"/>
    <x v="104"/>
    <s v="LasBambas_Ferrobamba UG"/>
    <s v="Las Bambas"/>
    <x v="1"/>
    <n v="2023"/>
    <n v="1"/>
    <d v="2023-12-01T00:00:00"/>
    <n v="30053"/>
    <n v="1"/>
    <x v="13"/>
    <x v="1"/>
    <n v="11977"/>
    <x v="298"/>
    <x v="239"/>
    <n v="1"/>
    <n v="11977"/>
    <n v="1"/>
    <x v="232"/>
    <x v="344"/>
    <m/>
  </r>
  <r>
    <n v="388"/>
    <s v="PE-MMG-OU-FEL00-022-A"/>
    <x v="104"/>
    <s v="LasBambas_Ferrobamba UG"/>
    <s v="Las Bambas"/>
    <x v="1"/>
    <n v="2024"/>
    <n v="1"/>
    <d v="2024-01-01T00:00:00"/>
    <n v="45000"/>
    <n v="1"/>
    <x v="96"/>
    <x v="2"/>
    <n v="31780"/>
    <x v="299"/>
    <x v="240"/>
    <n v="1"/>
    <n v="31780"/>
    <n v="1"/>
    <x v="233"/>
    <x v="345"/>
    <m/>
  </r>
  <r>
    <n v="389"/>
    <s v="PE-MMG-OU-FEL00-022-A"/>
    <x v="104"/>
    <s v="LasBambas_Ferrobamba UG"/>
    <s v="Las Bambas"/>
    <x v="1"/>
    <n v="2024"/>
    <n v="1"/>
    <d v="2024-02-01T00:00:00"/>
    <n v="40000"/>
    <n v="1"/>
    <x v="14"/>
    <x v="3"/>
    <n v="23974"/>
    <x v="300"/>
    <x v="241"/>
    <n v="1"/>
    <n v="23974"/>
    <n v="1"/>
    <x v="234"/>
    <x v="346"/>
    <m/>
  </r>
  <r>
    <n v="390"/>
    <s v="PE-MMG-OU-FEL00-022-A"/>
    <x v="104"/>
    <s v="LasBambas_Ferrobamba UG"/>
    <s v="Las Bambas"/>
    <x v="1"/>
    <n v="2024"/>
    <n v="1"/>
    <d v="2024-04-01T00:00:00"/>
    <n v="13986"/>
    <n v="1"/>
    <x v="149"/>
    <x v="4"/>
    <n v="15573"/>
    <x v="301"/>
    <x v="227"/>
    <n v="1"/>
    <n v="15573"/>
    <n v="1"/>
    <x v="23"/>
    <x v="347"/>
    <m/>
  </r>
  <r>
    <n v="391"/>
    <s v="PE-MMG-OU-FEL00-022-A"/>
    <x v="104"/>
    <s v="LasBambas_Ferrobamba UG"/>
    <s v="Las Bambas"/>
    <x v="1"/>
    <n v="2024"/>
    <n v="1"/>
    <d v="2024-05-01T00:00:00"/>
    <n v="56860"/>
    <n v="1"/>
    <x v="82"/>
    <x v="5"/>
    <n v="34910"/>
    <x v="302"/>
    <x v="80"/>
    <n v="1"/>
    <n v="34910"/>
    <n v="1"/>
    <x v="235"/>
    <x v="348"/>
    <m/>
  </r>
  <r>
    <n v="392"/>
    <s v="PE-MMG-OU-FEL00-022-A"/>
    <x v="104"/>
    <s v="LasBambas_Ferrobamba UG"/>
    <s v="Las Bambas"/>
    <x v="1"/>
    <n v="2024"/>
    <n v="-1"/>
    <m/>
    <m/>
    <n v="1"/>
    <x v="82"/>
    <x v="5"/>
    <n v="10160"/>
    <x v="303"/>
    <x v="80"/>
    <n v="1"/>
    <n v="10160"/>
    <n v="1"/>
    <x v="235"/>
    <x v="349"/>
    <m/>
  </r>
  <r>
    <n v="393"/>
    <s v="PE-MMG-OU-FEL00-022-A"/>
    <x v="104"/>
    <s v="LasBambas_Ferrobamba UG"/>
    <s v="Las Bambas"/>
    <x v="1"/>
    <n v="2024"/>
    <n v="-1"/>
    <m/>
    <m/>
    <n v="1"/>
    <x v="82"/>
    <x v="5"/>
    <n v="11790"/>
    <x v="304"/>
    <x v="80"/>
    <n v="1"/>
    <n v="11790"/>
    <n v="1"/>
    <x v="235"/>
    <x v="350"/>
    <m/>
  </r>
  <r>
    <n v="394"/>
    <s v="PE-MMG-OU-FEL00-022-A"/>
    <x v="104"/>
    <s v="LasBambas_Ferrobamba UG"/>
    <s v="Las Bambas"/>
    <x v="1"/>
    <n v="2024"/>
    <n v="1"/>
    <d v="2024-06-01T00:00:00"/>
    <n v="17015.324800000002"/>
    <n v="1"/>
    <x v="27"/>
    <x v="6"/>
    <n v="19158"/>
    <x v="305"/>
    <x v="242"/>
    <n v="1"/>
    <n v="19159"/>
    <n v="1"/>
    <x v="236"/>
    <x v="351"/>
    <m/>
  </r>
  <r>
    <n v="395"/>
    <s v="PE-MMG-OU-FEL00-022-A"/>
    <x v="104"/>
    <s v="LasBambas_Ferrobamba UG"/>
    <s v="Las Bambas"/>
    <x v="1"/>
    <n v="2024"/>
    <n v="-1"/>
    <d v="2024-06-01T00:00:00"/>
    <n v="0"/>
    <n v="1"/>
    <x v="26"/>
    <x v="7"/>
    <n v="8313"/>
    <x v="306"/>
    <x v="243"/>
    <n v="1"/>
    <n v="8313"/>
    <n v="1"/>
    <x v="24"/>
    <x v="352"/>
    <s v="Adicional 01 (80%)"/>
  </r>
  <r>
    <n v="396"/>
    <s v="PE-MMG-OU-FEL00-022-A"/>
    <x v="104"/>
    <s v="LasBambas_Ferrobamba UG"/>
    <s v="Las Bambas"/>
    <x v="1"/>
    <n v="2024"/>
    <n v="-1"/>
    <d v="2024-06-01T00:00:00"/>
    <n v="0"/>
    <n v="1"/>
    <x v="26"/>
    <x v="8"/>
    <n v="7105"/>
    <x v="307"/>
    <x v="243"/>
    <n v="1"/>
    <n v="7105"/>
    <n v="1"/>
    <x v="24"/>
    <x v="353"/>
    <s v="Adicional 02 (50%)"/>
  </r>
  <r>
    <n v="397"/>
    <s v="PE-MMG-OU-FEL00-022-A"/>
    <x v="104"/>
    <s v="LasBambas_Ferrobamba UG"/>
    <s v="Las Bambas"/>
    <x v="1"/>
    <n v="2024"/>
    <n v="-1"/>
    <m/>
    <m/>
    <n v="1"/>
    <x v="27"/>
    <x v="9"/>
    <n v="19689"/>
    <x v="308"/>
    <x v="242"/>
    <n v="1"/>
    <n v="16689"/>
    <n v="1"/>
    <x v="236"/>
    <x v="354"/>
    <m/>
  </r>
  <r>
    <n v="398"/>
    <s v="PE-MMG-OU-FEL00-022-A"/>
    <x v="104"/>
    <s v="LasBambas_Ferrobamba UG"/>
    <s v="Las Bambas"/>
    <x v="1"/>
    <n v="2024"/>
    <n v="-1"/>
    <m/>
    <m/>
    <n v="1"/>
    <x v="27"/>
    <x v="10"/>
    <n v="7105"/>
    <x v="309"/>
    <x v="242"/>
    <n v="1"/>
    <n v="7105"/>
    <n v="1"/>
    <x v="236"/>
    <x v="355"/>
    <m/>
  </r>
  <r>
    <n v="399"/>
    <s v="PE-MMG-UG-FEL00-136-A"/>
    <x v="105"/>
    <s v="LasBambas_Ferrobambas UG Escenarios"/>
    <s v="Las Bambas"/>
    <x v="1"/>
    <n v="2025"/>
    <n v="-1"/>
    <m/>
    <m/>
    <n v="1"/>
    <x v="150"/>
    <x v="0"/>
    <n v="9930"/>
    <x v="310"/>
    <x v="244"/>
    <n v="1"/>
    <n v="9930"/>
    <n v="1"/>
    <x v="80"/>
    <x v="356"/>
    <m/>
  </r>
  <r>
    <n v="400"/>
    <s v="PE-MMG-UG-FEL00-136-A"/>
    <x v="105"/>
    <s v="LasBambas_Ferrobambas UG Escenarios"/>
    <s v="Las Bambas"/>
    <x v="1"/>
    <n v="2025"/>
    <n v="-1"/>
    <m/>
    <m/>
    <n v="1"/>
    <x v="33"/>
    <x v="1"/>
    <n v="27785"/>
    <x v="311"/>
    <x v="244"/>
    <n v="1"/>
    <n v="27785"/>
    <n v="1"/>
    <x v="80"/>
    <x v="357"/>
    <m/>
  </r>
  <r>
    <n v="401"/>
    <s v="PE-MMG-UG-FEL00-136-A"/>
    <x v="105"/>
    <s v="LasBambas_Ferrobambas UG Escenarios"/>
    <s v="Las Bambas"/>
    <x v="1"/>
    <n v="2025"/>
    <n v="-1"/>
    <m/>
    <m/>
    <n v="1"/>
    <x v="34"/>
    <x v="2"/>
    <n v="10082"/>
    <x v="312"/>
    <x v="245"/>
    <n v="1"/>
    <n v="10082"/>
    <n v="1"/>
    <x v="237"/>
    <x v="358"/>
    <m/>
  </r>
  <r>
    <n v="402"/>
    <s v="PE-MMG-UG-FEL00-136-A"/>
    <x v="105"/>
    <s v="LasBambas_Ferrobambas UG Escenarios"/>
    <s v="Las Bambas"/>
    <x v="1"/>
    <n v="2025"/>
    <n v="-1"/>
    <m/>
    <m/>
    <n v="1"/>
    <x v="35"/>
    <x v="3"/>
    <n v="15088"/>
    <x v="313"/>
    <x v="246"/>
    <n v="1"/>
    <n v="15088"/>
    <n v="1"/>
    <x v="228"/>
    <x v="359"/>
    <m/>
  </r>
  <r>
    <n v="403"/>
    <s v="PE-MMG-UG-FEL00-136-A"/>
    <x v="105"/>
    <s v="LasBambas_Ferrobambas UG Escenarios"/>
    <s v="Las Bambas"/>
    <x v="1"/>
    <n v="2025"/>
    <n v="-1"/>
    <m/>
    <m/>
    <n v="1"/>
    <x v="151"/>
    <x v="4"/>
    <n v="4047"/>
    <x v="314"/>
    <x v="246"/>
    <n v="1"/>
    <n v="4047"/>
    <n v="1"/>
    <x v="228"/>
    <x v="360"/>
    <m/>
  </r>
  <r>
    <n v="404"/>
    <s v="PE-MMG-UG-FEL00-136-A"/>
    <x v="105"/>
    <s v="LasBambas_Ferrobambas UG Escenarios"/>
    <s v="Las Bambas"/>
    <x v="1"/>
    <n v="2025"/>
    <n v="-1"/>
    <m/>
    <m/>
    <n v="1"/>
    <x v="151"/>
    <x v="6"/>
    <n v="16127"/>
    <x v="315"/>
    <x v="69"/>
    <n v="1"/>
    <n v="16127"/>
    <n v="1"/>
    <x v="228"/>
    <x v="361"/>
    <s v="Adicional #1"/>
  </r>
  <r>
    <n v="405"/>
    <s v="PE-MMG-UG-FEL00-136-A"/>
    <x v="105"/>
    <s v="LasBambas_Ferrobambas UG Escenarios"/>
    <s v="Las Bambas"/>
    <x v="1"/>
    <n v="2025"/>
    <n v="-1"/>
    <m/>
    <m/>
    <n v="1"/>
    <x v="152"/>
    <x v="5"/>
    <n v="2228"/>
    <x v="316"/>
    <x v="201"/>
    <n v="1"/>
    <n v="2228"/>
    <n v="1"/>
    <x v="238"/>
    <x v="362"/>
    <m/>
  </r>
  <r>
    <n v="406"/>
    <s v="PE-MMG-UG-FEL00-136-A"/>
    <x v="105"/>
    <s v="LasBambas_Ferrobambas UG Escenarios"/>
    <s v="Las Bambas"/>
    <x v="1"/>
    <n v="2025"/>
    <n v="-1"/>
    <m/>
    <m/>
    <n v="1"/>
    <x v="152"/>
    <x v="7"/>
    <n v="2233"/>
    <x v="317"/>
    <x v="201"/>
    <n v="1"/>
    <n v="2233"/>
    <n v="1"/>
    <x v="238"/>
    <x v="363"/>
    <s v="Adicional #2"/>
  </r>
  <r>
    <n v="407"/>
    <s v="BR-LHG-UG-OTR00-161-A"/>
    <x v="106"/>
    <s v="LHG_LOM Urucum"/>
    <s v="LHG"/>
    <x v="4"/>
    <n v="2025"/>
    <n v="-1"/>
    <m/>
    <m/>
    <n v="1"/>
    <x v="49"/>
    <x v="7"/>
    <n v="35225"/>
    <x v="8"/>
    <x v="247"/>
    <n v="1"/>
    <n v="35660"/>
    <n v="1"/>
    <x v="139"/>
    <x v="364"/>
    <m/>
  </r>
  <r>
    <n v="408"/>
    <s v="BR-LHG-UG-OTR00-161-A"/>
    <x v="106"/>
    <s v="LHG_LOM Urucum"/>
    <s v="LHG"/>
    <x v="4"/>
    <n v="2025"/>
    <n v="-1"/>
    <m/>
    <m/>
    <n v="1"/>
    <x v="59"/>
    <x v="8"/>
    <n v="39154"/>
    <x v="318"/>
    <x v="248"/>
    <n v="1"/>
    <n v="38366.605504587154"/>
    <n v="1"/>
    <x v="239"/>
    <x v="365"/>
    <m/>
  </r>
  <r>
    <n v="409"/>
    <s v="BR-LHG-UG-OTR00-161-A"/>
    <x v="106"/>
    <s v="LHG_LOM Urucum"/>
    <s v="LHG"/>
    <x v="4"/>
    <n v="2025"/>
    <n v="-1"/>
    <m/>
    <m/>
    <n v="1"/>
    <x v="60"/>
    <x v="9"/>
    <n v="38758"/>
    <x v="253"/>
    <x v="249"/>
    <n v="1"/>
    <n v="35406.818181818177"/>
    <n v="1"/>
    <x v="71"/>
    <x v="366"/>
    <s v="Sujeto a relatorio final"/>
  </r>
  <r>
    <n v="410"/>
    <s v="CH-CMP-OP-FEL03-010-A"/>
    <x v="107"/>
    <s v="LOM CNN"/>
    <s v="CMP"/>
    <x v="2"/>
    <n v="2023"/>
    <n v="1"/>
    <d v="2023-09-01T00:00:00"/>
    <n v="37831"/>
    <n v="1"/>
    <x v="1"/>
    <x v="23"/>
    <n v="40233"/>
    <x v="80"/>
    <x v="250"/>
    <n v="1"/>
    <n v="40233"/>
    <n v="1"/>
    <x v="240"/>
    <x v="367"/>
    <s v="Se cobraré en contrato de Plan Largo Plazo Los Colorados (LoM)"/>
  </r>
  <r>
    <n v="411"/>
    <s v="CH-CMP-OP-FEL03-011-A"/>
    <x v="108"/>
    <s v="LOM MLC"/>
    <s v="CMP"/>
    <x v="2"/>
    <n v="2023"/>
    <n v="1"/>
    <d v="2023-09-01T00:00:00"/>
    <n v="25796"/>
    <n v="1"/>
    <x v="1"/>
    <x v="23"/>
    <n v="27467"/>
    <x v="80"/>
    <x v="250"/>
    <n v="1"/>
    <n v="27467"/>
    <n v="1"/>
    <x v="240"/>
    <x v="368"/>
    <s v="Se cobraré en contrato de Plan Largo Plazo Los Colorados (LoM)"/>
  </r>
  <r>
    <n v="412"/>
    <s v="CH-GLE-OP-FEL01-012-A"/>
    <x v="109"/>
    <s v="Lomas Bayas"/>
    <s v="Glencore"/>
    <x v="2"/>
    <n v="2023"/>
    <n v="-1"/>
    <m/>
    <m/>
    <n v="1"/>
    <x v="153"/>
    <x v="0"/>
    <n v="62800"/>
    <x v="73"/>
    <x v="18"/>
    <n v="1"/>
    <n v="62800"/>
    <n v="1"/>
    <x v="241"/>
    <x v="369"/>
    <m/>
  </r>
  <r>
    <n v="413"/>
    <s v="CH-GLE-OP-FEL01-012-A"/>
    <x v="109"/>
    <s v="Lomas Bayas"/>
    <s v="Glencore"/>
    <x v="2"/>
    <n v="2023"/>
    <n v="-1"/>
    <m/>
    <m/>
    <n v="1"/>
    <x v="154"/>
    <x v="1"/>
    <n v="104002.7"/>
    <x v="318"/>
    <x v="13"/>
    <n v="1"/>
    <n v="104003"/>
    <n v="1"/>
    <x v="242"/>
    <x v="370"/>
    <m/>
  </r>
  <r>
    <n v="414"/>
    <s v="CH-GLE-OP-FEL01-012-A"/>
    <x v="109"/>
    <s v="Lomas Bayas"/>
    <s v="Glencore"/>
    <x v="2"/>
    <n v="2023"/>
    <n v="-1"/>
    <m/>
    <m/>
    <n v="1"/>
    <x v="95"/>
    <x v="2"/>
    <n v="88160.83"/>
    <x v="78"/>
    <x v="251"/>
    <n v="1"/>
    <n v="88161"/>
    <n v="1"/>
    <x v="98"/>
    <x v="371"/>
    <m/>
  </r>
  <r>
    <n v="415"/>
    <s v="CH-GLE-OP-FEL01-012-A"/>
    <x v="109"/>
    <s v="Lomas Bayas"/>
    <s v="Glencore"/>
    <x v="2"/>
    <n v="2023"/>
    <n v="1"/>
    <d v="2023-10-01T00:00:00"/>
    <n v="42260"/>
    <n v="1"/>
    <x v="9"/>
    <x v="3"/>
    <n v="3577"/>
    <x v="319"/>
    <x v="50"/>
    <n v="1"/>
    <n v="3577"/>
    <n v="1"/>
    <x v="243"/>
    <x v="372"/>
    <m/>
  </r>
  <r>
    <n v="416"/>
    <s v="PE-CSC-OT-OTR00-198-A"/>
    <x v="110"/>
    <s v="Los Calatos_DD-Support"/>
    <s v="CD Capitals"/>
    <x v="1"/>
    <n v="2026"/>
    <n v="-1"/>
    <m/>
    <m/>
    <n v="1"/>
    <x v="23"/>
    <x v="0"/>
    <n v="24635"/>
    <x v="320"/>
    <x v="252"/>
    <n v="1"/>
    <n v="24635"/>
    <n v="1"/>
    <x v="74"/>
    <x v="373"/>
    <s v="Factoring"/>
  </r>
  <r>
    <n v="417"/>
    <s v="PE-CSC-CS-OTR00-192-A"/>
    <x v="111"/>
    <s v="Los Calatos_Resource Development Plan"/>
    <s v="CD Capitals"/>
    <x v="1"/>
    <n v="2026"/>
    <n v="-1"/>
    <m/>
    <m/>
    <n v="1"/>
    <x v="131"/>
    <x v="0"/>
    <n v="51680"/>
    <x v="321"/>
    <x v="252"/>
    <n v="1"/>
    <n v="51680"/>
    <n v="1"/>
    <x v="74"/>
    <x v="374"/>
    <s v="Factoring"/>
  </r>
  <r>
    <n v="418"/>
    <s v="PE-CSC-CS-OTR00-192-A"/>
    <x v="111"/>
    <s v="Los Calatos_Resource Development Plan"/>
    <s v="CD Capitals"/>
    <x v="1"/>
    <n v="2026"/>
    <n v="1"/>
    <d v="2026-02-25T00:00:00"/>
    <n v="4918"/>
    <n v="1"/>
    <x v="23"/>
    <x v="1"/>
    <n v="9825"/>
    <x v="321"/>
    <x v="252"/>
    <n v="1"/>
    <n v="9825"/>
    <n v="1"/>
    <x v="74"/>
    <x v="375"/>
    <s v="Factoring"/>
  </r>
  <r>
    <n v="419"/>
    <s v="CH-LUN-CS-OTR00-154-A"/>
    <x v="112"/>
    <s v="Lundin_Análisis Estratégico Caserones"/>
    <s v="Lundin"/>
    <x v="2"/>
    <n v="2025"/>
    <n v="-1"/>
    <m/>
    <m/>
    <n v="1"/>
    <x v="155"/>
    <x v="0"/>
    <n v="54620"/>
    <x v="322"/>
    <x v="63"/>
    <n v="1"/>
    <n v="54620"/>
    <n v="1"/>
    <x v="244"/>
    <x v="376"/>
    <m/>
  </r>
  <r>
    <n v="420"/>
    <s v="CH-LUN-CS-OTR00-154-A"/>
    <x v="112"/>
    <s v="Lundin_Análisis Estratégico Caserones"/>
    <s v="Lundin"/>
    <x v="2"/>
    <n v="2025"/>
    <n v="-1"/>
    <m/>
    <m/>
    <n v="1"/>
    <x v="104"/>
    <x v="1"/>
    <n v="70025"/>
    <x v="323"/>
    <x v="151"/>
    <n v="1"/>
    <n v="70025"/>
    <n v="1"/>
    <x v="245"/>
    <x v="377"/>
    <m/>
  </r>
  <r>
    <n v="421"/>
    <s v="CH-LUN-CS-OTR00-154-A"/>
    <x v="112"/>
    <s v="Lundin_Análisis Estratégico Caserones"/>
    <s v="Lundin"/>
    <x v="2"/>
    <n v="2025"/>
    <n v="-1"/>
    <m/>
    <m/>
    <n v="1"/>
    <x v="0"/>
    <x v="2"/>
    <n v="70020"/>
    <x v="324"/>
    <x v="106"/>
    <n v="1"/>
    <n v="70020"/>
    <n v="1"/>
    <x v="246"/>
    <x v="378"/>
    <m/>
  </r>
  <r>
    <n v="422"/>
    <s v="CH-LUN-CS-OTR00-154-A"/>
    <x v="112"/>
    <s v="Lundin_Análisis Estratégico Caserones"/>
    <s v="Lundin"/>
    <x v="2"/>
    <n v="2025"/>
    <n v="-1"/>
    <m/>
    <m/>
    <n v="1"/>
    <x v="17"/>
    <x v="3"/>
    <n v="53961"/>
    <x v="325"/>
    <x v="194"/>
    <n v="1"/>
    <n v="53961"/>
    <n v="1"/>
    <x v="247"/>
    <x v="379"/>
    <m/>
  </r>
  <r>
    <n v="423"/>
    <s v="CH-LUN-CS-OTR00-154-A"/>
    <x v="112"/>
    <s v="Lundin_Análisis Estratégico Caserones"/>
    <s v="Lundin"/>
    <x v="2"/>
    <n v="2025"/>
    <n v="-1"/>
    <m/>
    <m/>
    <n v="1"/>
    <x v="19"/>
    <x v="4"/>
    <n v="31113"/>
    <x v="326"/>
    <x v="195"/>
    <n v="1"/>
    <n v="31113"/>
    <n v="1"/>
    <x v="248"/>
    <x v="380"/>
    <m/>
  </r>
  <r>
    <n v="424"/>
    <s v="CH-LUN-CS-OTR00-154-A"/>
    <x v="112"/>
    <s v="Lundin_Análisis Estratégico Caserones"/>
    <s v="Lundin"/>
    <x v="2"/>
    <n v="2025"/>
    <n v="-1"/>
    <m/>
    <m/>
    <n v="1"/>
    <x v="20"/>
    <x v="5"/>
    <n v="19531"/>
    <x v="327"/>
    <x v="253"/>
    <n v="1"/>
    <n v="19531"/>
    <n v="1"/>
    <x v="249"/>
    <x v="381"/>
    <m/>
  </r>
  <r>
    <n v="425"/>
    <s v="CH-LUN-CS-OTR00-069-A"/>
    <x v="113"/>
    <s v="Lundin_Candelaria_EstudiosCugep"/>
    <s v="Lundin"/>
    <x v="2"/>
    <n v="2024"/>
    <n v="1"/>
    <d v="2024-03-01T00:00:00"/>
    <n v="19917"/>
    <n v="1"/>
    <x v="24"/>
    <x v="0"/>
    <n v="26615"/>
    <x v="328"/>
    <x v="33"/>
    <n v="1"/>
    <n v="26615"/>
    <n v="1"/>
    <x v="250"/>
    <x v="382"/>
    <m/>
  </r>
  <r>
    <n v="426"/>
    <s v="CH-LUN-CS-OTR00-069-A"/>
    <x v="113"/>
    <s v="Lundin_Candelaria_EstudiosCugep"/>
    <s v="Lundin"/>
    <x v="2"/>
    <n v="2024"/>
    <n v="1"/>
    <d v="2024-04-01T00:00:00"/>
    <n v="93740"/>
    <n v="1"/>
    <x v="27"/>
    <x v="1"/>
    <n v="71980"/>
    <x v="329"/>
    <x v="232"/>
    <n v="1"/>
    <n v="73718"/>
    <n v="1"/>
    <x v="203"/>
    <x v="383"/>
    <m/>
  </r>
  <r>
    <n v="427"/>
    <s v="CH-LUN-CS-OTR00-069-A"/>
    <x v="113"/>
    <s v="Lundin_Candelaria_EstudiosCugep"/>
    <s v="Lundin"/>
    <x v="2"/>
    <n v="2024"/>
    <n v="-1"/>
    <m/>
    <m/>
    <n v="1"/>
    <x v="99"/>
    <x v="2"/>
    <n v="60342"/>
    <x v="330"/>
    <x v="254"/>
    <n v="1"/>
    <n v="61499"/>
    <n v="1"/>
    <x v="251"/>
    <x v="384"/>
    <m/>
  </r>
  <r>
    <n v="428"/>
    <s v="CH-LUN-CS-OTR00-069-A"/>
    <x v="113"/>
    <s v="Lundin_Candelaria_EstudiosCugep"/>
    <s v="Lundin"/>
    <x v="2"/>
    <n v="2024"/>
    <n v="-1"/>
    <m/>
    <m/>
    <n v="1"/>
    <x v="30"/>
    <x v="3"/>
    <n v="34013"/>
    <x v="331"/>
    <x v="143"/>
    <n v="1"/>
    <n v="34013"/>
    <n v="1"/>
    <x v="38"/>
    <x v="385"/>
    <m/>
  </r>
  <r>
    <n v="429"/>
    <s v="CH-LUN-CS-OTR00-113-A"/>
    <x v="114"/>
    <s v="Lundin_Gaps Planificación y Operación UG"/>
    <s v="Lundin"/>
    <x v="0"/>
    <n v="2024"/>
    <n v="-1"/>
    <m/>
    <m/>
    <n v="1"/>
    <x v="156"/>
    <x v="0"/>
    <n v="66652"/>
    <x v="0"/>
    <x v="255"/>
    <n v="1"/>
    <n v="66652"/>
    <n v="1"/>
    <x v="103"/>
    <x v="386"/>
    <m/>
  </r>
  <r>
    <n v="430"/>
    <s v="CH-LUN-OP-FEL00-110-A"/>
    <x v="115"/>
    <s v="Lundin_Oportunidades mejoras Caserones"/>
    <s v="Lundin"/>
    <x v="2"/>
    <n v="2024"/>
    <n v="-1"/>
    <m/>
    <m/>
    <n v="1"/>
    <x v="16"/>
    <x v="0"/>
    <n v="20675"/>
    <x v="332"/>
    <x v="256"/>
    <n v="1"/>
    <n v="20675"/>
    <n v="1"/>
    <x v="99"/>
    <x v="387"/>
    <m/>
  </r>
  <r>
    <n v="431"/>
    <s v="CH-LUN-OP-FEL00-110-A"/>
    <x v="115"/>
    <s v="Lundin_Oportunidades mejoras Caserones"/>
    <s v="Lundin"/>
    <x v="2"/>
    <n v="2024"/>
    <n v="-1"/>
    <m/>
    <m/>
    <n v="1"/>
    <x v="81"/>
    <x v="1"/>
    <n v="17060"/>
    <x v="333"/>
    <x v="163"/>
    <n v="1"/>
    <n v="17060"/>
    <n v="1"/>
    <x v="252"/>
    <x v="388"/>
    <m/>
  </r>
  <r>
    <n v="432"/>
    <s v="CH-LUN-OP-FEL00-110-A"/>
    <x v="115"/>
    <s v="Lundin_Oportunidades mejoras Caserones"/>
    <s v="Lundin"/>
    <x v="2"/>
    <n v="2024"/>
    <n v="-1"/>
    <m/>
    <m/>
    <n v="1"/>
    <x v="31"/>
    <x v="2"/>
    <n v="82420.94"/>
    <x v="334"/>
    <x v="81"/>
    <n v="1"/>
    <n v="82421"/>
    <n v="1"/>
    <x v="253"/>
    <x v="389"/>
    <m/>
  </r>
  <r>
    <n v="433"/>
    <s v="CH-FLU-CD-OTR00-013-A"/>
    <x v="116"/>
    <s v="MARA"/>
    <s v="Fluor"/>
    <x v="2"/>
    <n v="2023"/>
    <n v="-1"/>
    <m/>
    <m/>
    <n v="1"/>
    <x v="3"/>
    <x v="0"/>
    <n v="23220"/>
    <x v="8"/>
    <x v="128"/>
    <n v="1"/>
    <n v="23216.87"/>
    <n v="1"/>
    <x v="254"/>
    <x v="390"/>
    <m/>
  </r>
  <r>
    <n v="434"/>
    <s v="PE-MSR-OP-OTR00-024-A"/>
    <x v="117"/>
    <s v="Mina Justa"/>
    <s v="Marcobre"/>
    <x v="1"/>
    <n v="2023"/>
    <n v="-1"/>
    <m/>
    <m/>
    <n v="1"/>
    <x v="5"/>
    <x v="0"/>
    <n v="87438.375"/>
    <x v="335"/>
    <x v="6"/>
    <n v="1"/>
    <n v="87438.38"/>
    <n v="1"/>
    <x v="255"/>
    <x v="391"/>
    <m/>
  </r>
  <r>
    <n v="435"/>
    <s v="PE-MSR-OP-OTR00-024-A"/>
    <x v="117"/>
    <s v="Mina Justa"/>
    <s v="Marcobre"/>
    <x v="1"/>
    <n v="2023"/>
    <n v="-1"/>
    <m/>
    <m/>
    <n v="1"/>
    <x v="6"/>
    <x v="1"/>
    <n v="10028.25"/>
    <x v="336"/>
    <x v="257"/>
    <n v="1"/>
    <n v="10028.25"/>
    <n v="1"/>
    <x v="256"/>
    <x v="392"/>
    <m/>
  </r>
  <r>
    <n v="436"/>
    <s v="PE-MSR-OP-OTR00-024-A"/>
    <x v="117"/>
    <s v="Mina Justa"/>
    <s v="Marcobre"/>
    <x v="1"/>
    <n v="2023"/>
    <n v="-1"/>
    <m/>
    <m/>
    <n v="1"/>
    <x v="157"/>
    <x v="2"/>
    <n v="29431.125"/>
    <x v="337"/>
    <x v="131"/>
    <n v="1"/>
    <n v="29431.125"/>
    <n v="1"/>
    <x v="13"/>
    <x v="393"/>
    <m/>
  </r>
  <r>
    <n v="437"/>
    <s v="PE-MSR-OP-OTR00-024-A"/>
    <x v="117"/>
    <s v="Mina Justa"/>
    <s v="Marcobre"/>
    <x v="1"/>
    <n v="2023"/>
    <n v="-1"/>
    <m/>
    <m/>
    <n v="1"/>
    <x v="8"/>
    <x v="3"/>
    <n v="10934.25"/>
    <x v="338"/>
    <x v="258"/>
    <n v="1"/>
    <n v="10934.25"/>
    <n v="1"/>
    <x v="257"/>
    <x v="394"/>
    <m/>
  </r>
  <r>
    <n v="438"/>
    <s v="PE-MAR-OU-FEL01-114-A"/>
    <x v="118"/>
    <s v="Marcobre_Ingeniería de Perfil Achupallas"/>
    <s v="Marcobre"/>
    <x v="1"/>
    <n v="2024"/>
    <n v="-1"/>
    <m/>
    <m/>
    <n v="1"/>
    <x v="158"/>
    <x v="0"/>
    <n v="33000"/>
    <x v="339"/>
    <x v="259"/>
    <n v="1"/>
    <n v="32612"/>
    <n v="1"/>
    <x v="258"/>
    <x v="395"/>
    <m/>
  </r>
  <r>
    <n v="439"/>
    <s v="PE-MAR-OU-FEL01-114-A"/>
    <x v="118"/>
    <s v="Marcobre_Ingeniería de Perfil Achupallas"/>
    <s v="Marcobre"/>
    <x v="1"/>
    <n v="2024"/>
    <n v="-1"/>
    <m/>
    <m/>
    <n v="1"/>
    <x v="159"/>
    <x v="1"/>
    <n v="21062"/>
    <x v="340"/>
    <x v="260"/>
    <n v="1"/>
    <n v="21062"/>
    <n v="1"/>
    <x v="140"/>
    <x v="396"/>
    <m/>
  </r>
  <r>
    <n v="440"/>
    <s v="PE-MAR-OU-FEL01-114-A"/>
    <x v="118"/>
    <s v="Marcobre_Ingeniería de Perfil Achupallas"/>
    <s v="Marcobre"/>
    <x v="1"/>
    <n v="2024"/>
    <n v="-1"/>
    <m/>
    <m/>
    <n v="1"/>
    <x v="160"/>
    <x v="2"/>
    <n v="19771"/>
    <x v="341"/>
    <x v="261"/>
    <n v="1"/>
    <n v="19771"/>
    <n v="1"/>
    <x v="259"/>
    <x v="397"/>
    <m/>
  </r>
  <r>
    <n v="441"/>
    <s v="PE-MAR-OU-FEL01-114-A"/>
    <x v="118"/>
    <s v="Marcobre_Ingeniería de Perfil Achupallas"/>
    <s v="Marcobre"/>
    <x v="1"/>
    <n v="2025"/>
    <n v="-1"/>
    <m/>
    <m/>
    <n v="1"/>
    <x v="102"/>
    <x v="3"/>
    <n v="57745"/>
    <x v="342"/>
    <x v="262"/>
    <n v="1"/>
    <n v="57745"/>
    <n v="1"/>
    <x v="102"/>
    <x v="398"/>
    <m/>
  </r>
  <r>
    <n v="442"/>
    <s v="PE-MAR-OU-FEL01-114-A"/>
    <x v="118"/>
    <s v="Marcobre_Ingeniería de Perfil Achupallas"/>
    <s v="Marcobre"/>
    <x v="1"/>
    <n v="2025"/>
    <n v="-1"/>
    <m/>
    <m/>
    <n v="1"/>
    <x v="33"/>
    <x v="4"/>
    <n v="24935"/>
    <x v="343"/>
    <x v="244"/>
    <n v="1"/>
    <n v="24935"/>
    <n v="1"/>
    <x v="137"/>
    <x v="399"/>
    <m/>
  </r>
  <r>
    <n v="443"/>
    <s v="PE-MAR-OU-FEL01-114-A"/>
    <x v="118"/>
    <s v="Marcobre_Ingeniería de Perfil Achupallas"/>
    <s v="Marcobre"/>
    <x v="1"/>
    <n v="2025"/>
    <n v="-1"/>
    <m/>
    <m/>
    <n v="1"/>
    <x v="161"/>
    <x v="5"/>
    <n v="5265"/>
    <x v="344"/>
    <x v="263"/>
    <n v="1"/>
    <n v="5265"/>
    <n v="1"/>
    <x v="260"/>
    <x v="400"/>
    <m/>
  </r>
  <r>
    <n v="444"/>
    <s v="OT-MCA-CS-OTR00-080-A"/>
    <x v="119"/>
    <s v="McCarthy_Litigio Rio Tinto"/>
    <s v="McCarthy"/>
    <x v="0"/>
    <n v="2024"/>
    <n v="-1"/>
    <m/>
    <m/>
    <n v="1"/>
    <x v="162"/>
    <x v="0"/>
    <n v="288500"/>
    <x v="108"/>
    <x v="264"/>
    <n v="1"/>
    <n v="288500"/>
    <n v="1"/>
    <x v="261"/>
    <x v="401"/>
    <s v="BVI"/>
  </r>
  <r>
    <n v="445"/>
    <s v="OT-MCA-CS-OTR00-080-A"/>
    <x v="119"/>
    <s v="McCarthy_Litigio Rio Tinto"/>
    <s v="McCarthy"/>
    <x v="0"/>
    <n v="2024"/>
    <n v="-1"/>
    <m/>
    <m/>
    <n v="1"/>
    <x v="27"/>
    <x v="1"/>
    <n v="283900"/>
    <x v="288"/>
    <x v="264"/>
    <n v="1"/>
    <n v="283900"/>
    <n v="1"/>
    <x v="261"/>
    <x v="402"/>
    <s v="BVI"/>
  </r>
  <r>
    <n v="446"/>
    <s v="CH-MCI-OP-OTR00-089-A"/>
    <x v="120"/>
    <s v="MCI_Mine Plan Review Los Bronces"/>
    <s v="Mitsubichi"/>
    <x v="2"/>
    <n v="2024"/>
    <n v="-1"/>
    <m/>
    <m/>
    <n v="1"/>
    <x v="163"/>
    <x v="0"/>
    <n v="71760"/>
    <x v="345"/>
    <x v="265"/>
    <n v="1"/>
    <n v="71760"/>
    <n v="1"/>
    <x v="149"/>
    <x v="403"/>
    <m/>
  </r>
  <r>
    <n v="447"/>
    <s v="CH-MCI-OP-OTR00-089-A"/>
    <x v="120"/>
    <s v="MCI_Mine Plan Review Los Bronces"/>
    <s v="Mitsubichi"/>
    <x v="2"/>
    <n v="2024"/>
    <n v="-1"/>
    <m/>
    <m/>
    <n v="1"/>
    <x v="16"/>
    <x v="1"/>
    <n v="71760"/>
    <x v="346"/>
    <x v="266"/>
    <n v="1"/>
    <n v="71760"/>
    <n v="1"/>
    <x v="262"/>
    <x v="403"/>
    <m/>
  </r>
  <r>
    <n v="448"/>
    <s v="CH-MCI-OP-OTR00-089-A"/>
    <x v="120"/>
    <s v="MCI_Mine Plan Review Los Bronces"/>
    <s v="Mitsubichi"/>
    <x v="2"/>
    <n v="2024"/>
    <n v="-1"/>
    <m/>
    <m/>
    <n v="1"/>
    <x v="81"/>
    <x v="2"/>
    <n v="71760"/>
    <x v="347"/>
    <x v="141"/>
    <n v="1"/>
    <n v="71760"/>
    <n v="1"/>
    <x v="251"/>
    <x v="403"/>
    <m/>
  </r>
  <r>
    <n v="449"/>
    <s v="CH-MCI-OP-OTR00-089-A"/>
    <x v="120"/>
    <s v="MCI_Mine Plan Review Los Bronces"/>
    <s v="Mitsubichi"/>
    <x v="2"/>
    <n v="2025"/>
    <n v="-1"/>
    <m/>
    <m/>
    <n v="1"/>
    <x v="32"/>
    <x v="3"/>
    <n v="23720"/>
    <x v="348"/>
    <x v="267"/>
    <n v="1"/>
    <n v="23720"/>
    <n v="1"/>
    <x v="263"/>
    <x v="404"/>
    <m/>
  </r>
  <r>
    <n v="450"/>
    <s v="PE-COR-UG-FEL2A-035-A"/>
    <x v="121"/>
    <s v="MEIA Coripuno"/>
    <s v="Coripuno"/>
    <x v="1"/>
    <n v="2024"/>
    <n v="-1"/>
    <m/>
    <m/>
    <n v="1"/>
    <x v="27"/>
    <x v="0"/>
    <n v="23980"/>
    <x v="349"/>
    <x v="268"/>
    <n v="1"/>
    <n v="23980"/>
    <n v="1"/>
    <x v="264"/>
    <x v="405"/>
    <m/>
  </r>
  <r>
    <n v="451"/>
    <s v="PE-COR-UG-FEL2A-035-A"/>
    <x v="121"/>
    <s v="MEIA Coripuno"/>
    <s v="Coripuno"/>
    <x v="1"/>
    <n v="2024"/>
    <n v="-1"/>
    <m/>
    <m/>
    <n v="1"/>
    <x v="29"/>
    <x v="1"/>
    <n v="21582"/>
    <x v="350"/>
    <x v="269"/>
    <n v="1"/>
    <n v="21582"/>
    <n v="1"/>
    <x v="265"/>
    <x v="406"/>
    <m/>
  </r>
  <r>
    <n v="452"/>
    <s v="CH-BHP-CD-OTR00-020-A"/>
    <x v="122"/>
    <s v="Servicio Enoteca"/>
    <s v="MEL"/>
    <x v="2"/>
    <n v="2022"/>
    <n v="-1"/>
    <m/>
    <m/>
    <n v="1"/>
    <x v="94"/>
    <x v="2"/>
    <n v="39901.11"/>
    <x v="351"/>
    <x v="270"/>
    <n v="1"/>
    <n v="39901.11"/>
    <n v="1"/>
    <x v="266"/>
    <x v="407"/>
    <m/>
  </r>
  <r>
    <n v="453"/>
    <s v="CH-BHP-CD-OTR00-020-A"/>
    <x v="122"/>
    <s v="Servicio Enoteca"/>
    <s v="MEL"/>
    <x v="2"/>
    <n v="2023"/>
    <n v="-1"/>
    <m/>
    <m/>
    <n v="1"/>
    <x v="2"/>
    <x v="4"/>
    <n v="46667.988749999997"/>
    <x v="352"/>
    <x v="271"/>
    <n v="1"/>
    <n v="46667.988749999997"/>
    <n v="1"/>
    <x v="267"/>
    <x v="408"/>
    <m/>
  </r>
  <r>
    <n v="454"/>
    <s v="CH-BHP-CD-OTR00-020-A"/>
    <x v="122"/>
    <s v="Servicio Enoteca"/>
    <s v="MEL"/>
    <x v="2"/>
    <n v="2023"/>
    <n v="-1"/>
    <m/>
    <m/>
    <n v="1"/>
    <x v="11"/>
    <x v="5"/>
    <n v="27689.485000000001"/>
    <x v="353"/>
    <x v="271"/>
    <n v="1"/>
    <n v="27689.485000000001"/>
    <n v="1"/>
    <x v="267"/>
    <x v="409"/>
    <m/>
  </r>
  <r>
    <n v="455"/>
    <s v="CH-BHP-CD-OTR00-020-A"/>
    <x v="122"/>
    <s v="Servicio Enoteca"/>
    <s v="MEL"/>
    <x v="2"/>
    <n v="2023"/>
    <n v="-1"/>
    <m/>
    <m/>
    <n v="1"/>
    <x v="3"/>
    <x v="6"/>
    <n v="35526.91375"/>
    <x v="291"/>
    <x v="271"/>
    <n v="1"/>
    <n v="35526.91375"/>
    <n v="1"/>
    <x v="267"/>
    <x v="410"/>
    <m/>
  </r>
  <r>
    <n v="456"/>
    <s v="CH-BHP-CD-OTR00-020-A"/>
    <x v="122"/>
    <s v="Servicio Enoteca"/>
    <s v="MEL"/>
    <x v="2"/>
    <n v="2023"/>
    <n v="-1"/>
    <m/>
    <m/>
    <n v="1"/>
    <x v="164"/>
    <x v="7"/>
    <n v="40733.79"/>
    <x v="354"/>
    <x v="272"/>
    <n v="1"/>
    <n v="40773.79"/>
    <n v="1"/>
    <x v="268"/>
    <x v="411"/>
    <m/>
  </r>
  <r>
    <n v="457"/>
    <s v="CH-MIN-CS-FEL00-209-A"/>
    <x v="123"/>
    <s v="MineriaIman_PEA Proyecto Iman"/>
    <s v="Minería Activa"/>
    <x v="2"/>
    <n v="2026"/>
    <n v="-1"/>
    <m/>
    <m/>
    <n v="1"/>
    <x v="109"/>
    <x v="0"/>
    <n v="60007"/>
    <x v="355"/>
    <x v="273"/>
    <n v="1"/>
    <n v="60007"/>
    <n v="1"/>
    <x v="269"/>
    <x v="412"/>
    <m/>
  </r>
  <r>
    <n v="458"/>
    <s v="CH-MIN-CS-FEL00-209-A"/>
    <x v="123"/>
    <s v="MineriaIman_PEA Proyecto Iman"/>
    <s v="Minería Activa"/>
    <x v="2"/>
    <n v="2026"/>
    <n v="-1"/>
    <m/>
    <m/>
    <n v="1"/>
    <x v="69"/>
    <x v="1"/>
    <n v="50707"/>
    <x v="36"/>
    <x v="31"/>
    <n v="-1"/>
    <m/>
    <n v="-1"/>
    <x v="30"/>
    <x v="36"/>
    <m/>
  </r>
  <r>
    <n v="459"/>
    <s v="PE-MSR-CS-OTR00-090-A"/>
    <x v="124"/>
    <s v="Minsur_Apoyo MEIA Raura"/>
    <s v="Minsur"/>
    <x v="1"/>
    <n v="2024"/>
    <n v="-1"/>
    <m/>
    <m/>
    <n v="1"/>
    <x v="25"/>
    <x v="0"/>
    <n v="8262"/>
    <x v="356"/>
    <x v="274"/>
    <n v="1"/>
    <n v="8262"/>
    <n v="1"/>
    <x v="270"/>
    <x v="413"/>
    <m/>
  </r>
  <r>
    <n v="460"/>
    <s v="PE-MSR-UG-OTR00-077-A"/>
    <x v="125"/>
    <s v="Minsur_Apoyo Planificacion San Rafael"/>
    <s v="Minsur"/>
    <x v="1"/>
    <n v="2024"/>
    <n v="-1"/>
    <m/>
    <m/>
    <n v="1"/>
    <x v="27"/>
    <x v="0"/>
    <n v="32242"/>
    <x v="357"/>
    <x v="275"/>
    <n v="1"/>
    <n v="32242"/>
    <n v="1"/>
    <x v="271"/>
    <x v="414"/>
    <m/>
  </r>
  <r>
    <n v="461"/>
    <s v="PE-MSR-UG-OTR00-077-A"/>
    <x v="125"/>
    <s v="Minsur_Apoyo Planificacion San Rafael"/>
    <s v="Minsur"/>
    <x v="1"/>
    <n v="2024"/>
    <n v="-1"/>
    <m/>
    <m/>
    <n v="1"/>
    <x v="133"/>
    <x v="1"/>
    <n v="82138"/>
    <x v="358"/>
    <x v="221"/>
    <n v="1"/>
    <n v="82138"/>
    <n v="1"/>
    <x v="272"/>
    <x v="415"/>
    <m/>
  </r>
  <r>
    <n v="462"/>
    <s v="PE-MSR-UG-OTR00-077-A"/>
    <x v="125"/>
    <s v="Minsur_Apoyo Planificacion San Rafael"/>
    <s v="Minsur"/>
    <x v="1"/>
    <n v="2024"/>
    <n v="-1"/>
    <m/>
    <m/>
    <n v="1"/>
    <x v="29"/>
    <x v="2"/>
    <n v="5513"/>
    <x v="359"/>
    <x v="269"/>
    <n v="1"/>
    <n v="5513"/>
    <n v="1"/>
    <x v="273"/>
    <x v="416"/>
    <m/>
  </r>
  <r>
    <n v="463"/>
    <s v="PE-MSR-UG-OTR00-097-A"/>
    <x v="126"/>
    <s v="Minsur_Evaluacion recursos marginales"/>
    <s v="Minsur"/>
    <x v="1"/>
    <n v="2024"/>
    <n v="-1"/>
    <m/>
    <m/>
    <n v="1"/>
    <x v="134"/>
    <x v="0"/>
    <n v="26104"/>
    <x v="360"/>
    <x v="276"/>
    <n v="1"/>
    <n v="26104"/>
    <n v="1"/>
    <x v="273"/>
    <x v="417"/>
    <m/>
  </r>
  <r>
    <n v="464"/>
    <s v="PE-MSR-UG-OTR00-097-A"/>
    <x v="126"/>
    <s v="Minsur_Evaluacion recursos marginales"/>
    <s v="Minsur"/>
    <x v="1"/>
    <n v="2024"/>
    <n v="-1"/>
    <m/>
    <m/>
    <n v="1"/>
    <x v="30"/>
    <x v="1"/>
    <n v="25519"/>
    <x v="361"/>
    <x v="277"/>
    <n v="1"/>
    <n v="25519"/>
    <n v="1"/>
    <x v="37"/>
    <x v="418"/>
    <m/>
  </r>
  <r>
    <n v="465"/>
    <s v="PE-MSR-UG-OTR00-097-A"/>
    <x v="126"/>
    <s v="Minsur_Evaluacion recursos marginales"/>
    <s v="Minsur"/>
    <x v="1"/>
    <n v="2024"/>
    <n v="-1"/>
    <m/>
    <m/>
    <n v="1"/>
    <x v="31"/>
    <x v="2"/>
    <n v="13312"/>
    <x v="362"/>
    <x v="278"/>
    <n v="1"/>
    <n v="13312"/>
    <n v="1"/>
    <x v="259"/>
    <x v="419"/>
    <m/>
  </r>
  <r>
    <n v="466"/>
    <s v="PE-MSR-CS-OTR00-163-A"/>
    <x v="127"/>
    <s v="Minsur_Factibilidad Infraestructura Coreshack"/>
    <s v="Minsur"/>
    <x v="1"/>
    <n v="2025"/>
    <n v="-1"/>
    <m/>
    <m/>
    <n v="-1"/>
    <x v="93"/>
    <x v="17"/>
    <n v="0"/>
    <x v="363"/>
    <x v="279"/>
    <n v="1"/>
    <n v="12000"/>
    <n v="1"/>
    <x v="274"/>
    <x v="308"/>
    <s v="Confirmar"/>
  </r>
  <r>
    <n v="467"/>
    <s v="PE-MSR-UG-FEL03-036-A"/>
    <x v="128"/>
    <s v="Minsur_Forecast_Budget24"/>
    <s v="Minsur"/>
    <x v="1"/>
    <n v="2023"/>
    <n v="-1"/>
    <m/>
    <m/>
    <n v="1"/>
    <x v="165"/>
    <x v="0"/>
    <n v="65088"/>
    <x v="364"/>
    <x v="280"/>
    <n v="1"/>
    <n v="65088"/>
    <n v="1"/>
    <x v="275"/>
    <x v="420"/>
    <s v="Aún no se cuenta con Orden de Compra / El cliente solicitó unificar loe EDP"/>
  </r>
  <r>
    <n v="468"/>
    <s v="PE-MSR-GM-OTR00-109-A"/>
    <x v="129"/>
    <s v="Minsur_Integracion Planeamiento Geomecanica"/>
    <s v="Minsur"/>
    <x v="1"/>
    <n v="2024"/>
    <n v="-1"/>
    <m/>
    <m/>
    <n v="1"/>
    <x v="97"/>
    <x v="0"/>
    <n v="13797"/>
    <x v="365"/>
    <x v="191"/>
    <n v="1"/>
    <n v="13797"/>
    <n v="1"/>
    <x v="276"/>
    <x v="421"/>
    <m/>
  </r>
  <r>
    <n v="469"/>
    <s v="PE-MSR-UG-OTR00-151-A"/>
    <x v="130"/>
    <s v="Minsur_LOM Integrado San Rafael 2025"/>
    <s v="Minsur"/>
    <x v="1"/>
    <n v="2025"/>
    <n v="-1"/>
    <m/>
    <m/>
    <n v="1"/>
    <x v="71"/>
    <x v="0"/>
    <n v="29207"/>
    <x v="366"/>
    <x v="281"/>
    <n v="1"/>
    <n v="33892"/>
    <n v="1"/>
    <x v="277"/>
    <x v="422"/>
    <m/>
  </r>
  <r>
    <n v="470"/>
    <s v="PE-MSR-UG-OTR00-200-A"/>
    <x v="131"/>
    <s v="Minsur_LOM Integrado San Rafael 2026"/>
    <s v="Minsur"/>
    <x v="1"/>
    <n v="2026"/>
    <n v="-1"/>
    <m/>
    <m/>
    <n v="1"/>
    <x v="118"/>
    <x v="0"/>
    <n v="40271"/>
    <x v="36"/>
    <x v="31"/>
    <n v="-1"/>
    <m/>
    <n v="-1"/>
    <x v="30"/>
    <x v="36"/>
    <m/>
  </r>
  <r>
    <n v="471"/>
    <s v="PE-MSR-UG-FEL00-086-A"/>
    <x v="132"/>
    <s v="Minsur_LOM San Rafael 2025"/>
    <s v="Minsur"/>
    <x v="1"/>
    <n v="2024"/>
    <n v="-1"/>
    <m/>
    <m/>
    <n v="1"/>
    <x v="27"/>
    <x v="0"/>
    <n v="84801.87"/>
    <x v="367"/>
    <x v="282"/>
    <n v="1"/>
    <n v="84862"/>
    <n v="1"/>
    <x v="278"/>
    <x v="423"/>
    <m/>
  </r>
  <r>
    <n v="472"/>
    <s v="PE-MSR-UG-FEL00-086-A"/>
    <x v="132"/>
    <s v="Minsur_LOM San Rafael 2025"/>
    <s v="Minsur"/>
    <x v="1"/>
    <n v="2024"/>
    <n v="-1"/>
    <m/>
    <m/>
    <n v="1"/>
    <x v="133"/>
    <x v="1"/>
    <n v="10481"/>
    <x v="368"/>
    <x v="221"/>
    <n v="1"/>
    <n v="10481"/>
    <n v="1"/>
    <x v="272"/>
    <x v="424"/>
    <m/>
  </r>
  <r>
    <n v="473"/>
    <s v="PE-MSR-GM-OTR00-092-A"/>
    <x v="133"/>
    <s v="Minsur_Mejoramiento datos geotecnicos SR"/>
    <s v="Minsur"/>
    <x v="1"/>
    <n v="2024"/>
    <n v="-1"/>
    <m/>
    <m/>
    <n v="1"/>
    <x v="27"/>
    <x v="0"/>
    <n v="24551"/>
    <x v="369"/>
    <x v="100"/>
    <n v="1"/>
    <n v="24551"/>
    <n v="1"/>
    <x v="279"/>
    <x v="425"/>
    <m/>
  </r>
  <r>
    <n v="474"/>
    <s v="PE-MSR-CS-OTR00-062-A"/>
    <x v="134"/>
    <s v="Minsur_Ore Sorting Raura"/>
    <s v="Minsur"/>
    <x v="1"/>
    <n v="2023"/>
    <n v="-1"/>
    <d v="2023-11-01T00:00:00"/>
    <n v="0"/>
    <n v="1"/>
    <x v="148"/>
    <x v="0"/>
    <n v="15000"/>
    <x v="370"/>
    <x v="283"/>
    <n v="1"/>
    <n v="15000"/>
    <n v="1"/>
    <x v="280"/>
    <x v="71"/>
    <m/>
  </r>
  <r>
    <n v="475"/>
    <s v="PE-MSR-UG-OTR00-220-A"/>
    <x v="135"/>
    <s v="Minsur_Proceso adherencia Quenamari - SR "/>
    <s v="Minsur"/>
    <x v="1"/>
    <n v="2026"/>
    <n v="-1"/>
    <m/>
    <m/>
    <n v="1"/>
    <x v="118"/>
    <x v="0"/>
    <n v="10527"/>
    <x v="36"/>
    <x v="31"/>
    <n v="-1"/>
    <m/>
    <n v="-1"/>
    <x v="30"/>
    <x v="36"/>
    <m/>
  </r>
  <r>
    <n v="476"/>
    <s v="PE-MSR-UG-FEL00-079-A"/>
    <x v="136"/>
    <s v="Minsur_Rampa de acceso San German"/>
    <s v="Minsur"/>
    <x v="1"/>
    <n v="2024"/>
    <n v="-1"/>
    <m/>
    <m/>
    <n v="1"/>
    <x v="166"/>
    <x v="0"/>
    <n v="53339"/>
    <x v="371"/>
    <x v="254"/>
    <n v="1"/>
    <n v="53339"/>
    <n v="1"/>
    <x v="281"/>
    <x v="426"/>
    <m/>
  </r>
  <r>
    <n v="477"/>
    <s v="PE-MSR-UG-OTR00-134-A"/>
    <x v="137"/>
    <s v="Minsur_Raura Análisis LOM25"/>
    <s v="Minsur"/>
    <x v="1"/>
    <n v="2025"/>
    <n v="-1"/>
    <m/>
    <m/>
    <n v="1"/>
    <x v="167"/>
    <x v="0"/>
    <n v="51870"/>
    <x v="372"/>
    <x v="68"/>
    <n v="1"/>
    <n v="51870"/>
    <n v="1"/>
    <x v="282"/>
    <x v="427"/>
    <s v="Factoring"/>
  </r>
  <r>
    <n v="478"/>
    <s v="PE-MSR-UG-FEL00-142-A"/>
    <x v="138"/>
    <s v="Minsur_San Rafael Estudio V MEIA"/>
    <s v="Minsur"/>
    <x v="1"/>
    <n v="2025"/>
    <n v="-1"/>
    <m/>
    <m/>
    <n v="1"/>
    <x v="35"/>
    <x v="0"/>
    <n v="76361"/>
    <x v="373"/>
    <x v="263"/>
    <n v="1"/>
    <n v="76361"/>
    <n v="1"/>
    <x v="283"/>
    <x v="428"/>
    <m/>
  </r>
  <r>
    <n v="479"/>
    <s v="PE-MSR-UG-FEL00-142-A"/>
    <x v="138"/>
    <s v="Minsur_San Rafael Estudio V MEIA"/>
    <s v="Minsur"/>
    <x v="1"/>
    <n v="2025"/>
    <n v="-1"/>
    <m/>
    <m/>
    <n v="1"/>
    <x v="168"/>
    <x v="1"/>
    <n v="114681"/>
    <x v="374"/>
    <x v="63"/>
    <n v="1"/>
    <n v="114681"/>
    <n v="1"/>
    <x v="284"/>
    <x v="429"/>
    <m/>
  </r>
  <r>
    <n v="480"/>
    <s v="PE-MSR-UG-FEL00-142-A"/>
    <x v="138"/>
    <s v="Minsur_San Rafael Estudio V MEIA"/>
    <s v="Minsur"/>
    <x v="1"/>
    <n v="2025"/>
    <n v="-1"/>
    <m/>
    <m/>
    <n v="1"/>
    <x v="49"/>
    <x v="2"/>
    <n v="23019"/>
    <x v="375"/>
    <x v="279"/>
    <n v="1"/>
    <n v="23019"/>
    <n v="1"/>
    <x v="274"/>
    <x v="430"/>
    <s v="Confirmar"/>
  </r>
  <r>
    <n v="481"/>
    <s v="PE-MSR-UG-FEL00-142-A"/>
    <x v="138"/>
    <s v="Minsur_San Rafael Estudio V MEIA"/>
    <s v="Minsur"/>
    <x v="1"/>
    <n v="2025"/>
    <n v="-1"/>
    <m/>
    <m/>
    <n v="1"/>
    <x v="43"/>
    <x v="3"/>
    <n v="8564"/>
    <x v="71"/>
    <x v="31"/>
    <n v="-1"/>
    <m/>
    <n v="-1"/>
    <x v="30"/>
    <x v="36"/>
    <m/>
  </r>
  <r>
    <n v="482"/>
    <s v="PE-MSR-UG-FEL00-142-A"/>
    <x v="138"/>
    <s v="Minsur_San Rafael Estudio V MEIA"/>
    <s v="Minsur"/>
    <x v="1"/>
    <n v="2025"/>
    <n v="-1"/>
    <m/>
    <m/>
    <n v="1"/>
    <x v="19"/>
    <x v="4"/>
    <n v="17010"/>
    <x v="71"/>
    <x v="31"/>
    <n v="-1"/>
    <m/>
    <n v="-1"/>
    <x v="30"/>
    <x v="36"/>
    <m/>
  </r>
  <r>
    <n v="483"/>
    <s v="PE-MSR-UG-OTR00-162-A"/>
    <x v="139"/>
    <s v="Minsur_Soporte LOM 2025 Raura"/>
    <s v="Minsur"/>
    <x v="1"/>
    <n v="2025"/>
    <n v="-1"/>
    <m/>
    <m/>
    <n v="1"/>
    <x v="104"/>
    <x v="0"/>
    <n v="35690"/>
    <x v="376"/>
    <x v="72"/>
    <n v="1"/>
    <n v="37221"/>
    <n v="1"/>
    <x v="285"/>
    <x v="431"/>
    <s v="Regularizado"/>
  </r>
  <r>
    <n v="484"/>
    <s v="PE-MSR-UG-FEL00-071-A"/>
    <x v="140"/>
    <s v="Minsur_Update LOM San Rafael"/>
    <s v="Minsur"/>
    <x v="1"/>
    <n v="2024"/>
    <n v="1"/>
    <d v="2024-02-01T00:00:00"/>
    <n v="25600"/>
    <n v="1"/>
    <x v="169"/>
    <x v="0"/>
    <n v="25600"/>
    <x v="377"/>
    <x v="284"/>
    <n v="1"/>
    <n v="25600"/>
    <n v="1"/>
    <x v="286"/>
    <x v="432"/>
    <m/>
  </r>
  <r>
    <n v="485"/>
    <s v="PE-MMA-CS-OTR00-205-A"/>
    <x v="141"/>
    <s v="Miskimayo_Actualizacion R&amp;R Mina Bayovar"/>
    <s v="Miskimayo"/>
    <x v="1"/>
    <n v="2026"/>
    <n v="-1"/>
    <m/>
    <m/>
    <n v="1"/>
    <x v="109"/>
    <x v="0"/>
    <n v="23962"/>
    <x v="36"/>
    <x v="31"/>
    <n v="-1"/>
    <m/>
    <n v="-1"/>
    <x v="30"/>
    <x v="36"/>
    <m/>
  </r>
  <r>
    <n v="486"/>
    <s v="PE-MMA-CS-OTR00-205-A"/>
    <x v="141"/>
    <s v="Miskimayo_Actualizacion R&amp;R Mina Bayovar"/>
    <s v="Miskimayo"/>
    <x v="1"/>
    <n v="2026"/>
    <n v="-1"/>
    <m/>
    <m/>
    <n v="1"/>
    <x v="170"/>
    <x v="1"/>
    <n v="7741"/>
    <x v="36"/>
    <x v="31"/>
    <n v="-1"/>
    <m/>
    <n v="-1"/>
    <x v="30"/>
    <x v="36"/>
    <m/>
  </r>
  <r>
    <n v="487"/>
    <s v="PE-MMA-OP-FEL00-182-A"/>
    <x v="142"/>
    <s v="Miskimayo_Evaluación Transporte en Mina"/>
    <s v="MiskiMayo"/>
    <x v="1"/>
    <n v="2025"/>
    <n v="-1"/>
    <m/>
    <m/>
    <n v="1"/>
    <x v="20"/>
    <x v="0"/>
    <n v="20102"/>
    <x v="378"/>
    <x v="285"/>
    <n v="1"/>
    <n v="20102"/>
    <n v="1"/>
    <x v="287"/>
    <x v="433"/>
    <s v="F paga en Scotiabank"/>
  </r>
  <r>
    <n v="488"/>
    <s v="PE-MMA-OP-FEL00-182-A"/>
    <x v="142"/>
    <s v="Miskimayo_Evaluación Transporte en Mina"/>
    <s v="MiskiMayo"/>
    <x v="1"/>
    <n v="2025"/>
    <n v="-1"/>
    <m/>
    <m/>
    <n v="1"/>
    <x v="171"/>
    <x v="1"/>
    <n v="23931"/>
    <x v="379"/>
    <x v="281"/>
    <n v="1"/>
    <n v="25531"/>
    <n v="1"/>
    <x v="288"/>
    <x v="434"/>
    <m/>
  </r>
  <r>
    <n v="489"/>
    <s v="PE-MMA-OP-FEL00-182-A"/>
    <x v="142"/>
    <s v="Miskimayo_Evaluación Transporte en Mina"/>
    <s v="MiskiMayo"/>
    <x v="1"/>
    <n v="2026"/>
    <n v="-1"/>
    <m/>
    <m/>
    <n v="1"/>
    <x v="22"/>
    <x v="2"/>
    <n v="46313"/>
    <x v="380"/>
    <x v="185"/>
    <n v="1"/>
    <n v="46313"/>
    <n v="1"/>
    <x v="289"/>
    <x v="435"/>
    <m/>
  </r>
  <r>
    <n v="490"/>
    <s v="PE-MMA-OP-FEL00-182-A"/>
    <x v="142"/>
    <s v="Miskimayo_Evaluación Transporte en Mina"/>
    <s v="Miskimayo"/>
    <x v="1"/>
    <n v="2026"/>
    <n v="1"/>
    <d v="2026-02-25T00:00:00"/>
    <n v="34000"/>
    <n v="1"/>
    <x v="172"/>
    <x v="3"/>
    <n v="32927"/>
    <x v="381"/>
    <x v="286"/>
    <n v="1"/>
    <n v="32927"/>
    <n v="-1"/>
    <x v="290"/>
    <x v="36"/>
    <m/>
  </r>
  <r>
    <n v="491"/>
    <s v="PE-MMA-OP-FEL00-182-A"/>
    <x v="142"/>
    <s v="Miskimayo_Evaluación Transporte en Mina"/>
    <s v="Miskimayo"/>
    <x v="1"/>
    <n v="2026"/>
    <n v="-1"/>
    <m/>
    <m/>
    <n v="1"/>
    <x v="109"/>
    <x v="4"/>
    <n v="15675"/>
    <x v="36"/>
    <x v="31"/>
    <n v="-1"/>
    <m/>
    <n v="-1"/>
    <x v="30"/>
    <x v="36"/>
    <m/>
  </r>
  <r>
    <n v="492"/>
    <s v="PE-MMA-OP-FEL00-047-A"/>
    <x v="143"/>
    <s v="MiskiMayo_LOM"/>
    <s v="MiskiMayo"/>
    <x v="1"/>
    <n v="2023"/>
    <n v="1"/>
    <d v="2023-11-01T00:00:00"/>
    <n v="9666.6666666666679"/>
    <n v="1"/>
    <x v="173"/>
    <x v="0"/>
    <n v="23659.07"/>
    <x v="382"/>
    <x v="287"/>
    <n v="1"/>
    <n v="23659"/>
    <n v="1"/>
    <x v="291"/>
    <x v="436"/>
    <m/>
  </r>
  <r>
    <n v="493"/>
    <s v="PE-MMA-OP-FEL00-047-A"/>
    <x v="143"/>
    <s v="MiskiMayo_LOM"/>
    <s v="MiskiMayo"/>
    <x v="1"/>
    <n v="2023"/>
    <n v="1"/>
    <d v="2023-12-01T00:00:00"/>
    <n v="23027.200000000001"/>
    <n v="1"/>
    <x v="174"/>
    <x v="1"/>
    <n v="26813.83"/>
    <x v="383"/>
    <x v="288"/>
    <n v="1"/>
    <n v="26813.83"/>
    <n v="1"/>
    <x v="292"/>
    <x v="437"/>
    <m/>
  </r>
  <r>
    <n v="494"/>
    <s v="PE-MMA-OP-FEL00-047-A"/>
    <x v="143"/>
    <s v="MiskiMayo_LOM"/>
    <s v="MiskiMayo"/>
    <x v="1"/>
    <n v="2024"/>
    <n v="1"/>
    <d v="2024-01-01T00:00:00"/>
    <n v="32332"/>
    <n v="1"/>
    <x v="96"/>
    <x v="2"/>
    <n v="11221.900000000001"/>
    <x v="384"/>
    <x v="224"/>
    <n v="1"/>
    <n v="11221.900000000001"/>
    <n v="1"/>
    <x v="293"/>
    <x v="438"/>
    <m/>
  </r>
  <r>
    <n v="495"/>
    <s v="PE-MMA-OP-FEL00-047-A"/>
    <x v="143"/>
    <s v="MiskiMayo_LOM"/>
    <s v="MiskiMayo"/>
    <x v="1"/>
    <n v="2024"/>
    <n v="1"/>
    <d v="2024-02-01T00:00:00"/>
    <n v="33133"/>
    <n v="1"/>
    <x v="137"/>
    <x v="3"/>
    <n v="7526"/>
    <x v="385"/>
    <x v="159"/>
    <n v="1"/>
    <n v="7526"/>
    <n v="1"/>
    <x v="294"/>
    <x v="439"/>
    <m/>
  </r>
  <r>
    <n v="496"/>
    <s v="PE-MMA-OP-FEL00-047-A"/>
    <x v="143"/>
    <s v="MiskiMayo_LOM"/>
    <s v="MiskiMayo"/>
    <x v="1"/>
    <n v="2024"/>
    <n v="1"/>
    <d v="2024-03-01T00:00:00"/>
    <n v="30481"/>
    <n v="1"/>
    <x v="175"/>
    <x v="4"/>
    <n v="15246"/>
    <x v="386"/>
    <x v="95"/>
    <n v="1"/>
    <n v="15246"/>
    <n v="1"/>
    <x v="294"/>
    <x v="440"/>
    <m/>
  </r>
  <r>
    <n v="497"/>
    <s v="PE-MMA-OP-FEL00-047-A"/>
    <x v="143"/>
    <s v="MiskiMayo_LOM"/>
    <s v="MiskiMayo"/>
    <x v="1"/>
    <n v="2024"/>
    <n v="1"/>
    <d v="2024-04-01T00:00:00"/>
    <n v="22893"/>
    <n v="1"/>
    <x v="176"/>
    <x v="5"/>
    <n v="30669.3"/>
    <x v="387"/>
    <x v="24"/>
    <n v="1"/>
    <n v="30669"/>
    <n v="1"/>
    <x v="23"/>
    <x v="441"/>
    <m/>
  </r>
  <r>
    <n v="498"/>
    <s v="BR-MOS-OP-FEL2A-102-A"/>
    <x v="144"/>
    <s v="Mosaic_Actualizacion geotecnica OP"/>
    <s v="Mosaic"/>
    <x v="4"/>
    <n v="2024"/>
    <n v="-1"/>
    <m/>
    <m/>
    <n v="1"/>
    <x v="177"/>
    <x v="0"/>
    <n v="31426"/>
    <x v="353"/>
    <x v="256"/>
    <n v="1"/>
    <n v="31720"/>
    <n v="1"/>
    <x v="295"/>
    <x v="442"/>
    <m/>
  </r>
  <r>
    <n v="499"/>
    <s v="BR-MOS-OP-FEL2A-102-A"/>
    <x v="144"/>
    <s v="Mosaic_Actualizacion geotecnica OP"/>
    <s v="Mosaic"/>
    <x v="4"/>
    <n v="2024"/>
    <n v="-1"/>
    <m/>
    <m/>
    <n v="1"/>
    <x v="144"/>
    <x v="1"/>
    <n v="43703"/>
    <x v="388"/>
    <x v="289"/>
    <n v="1"/>
    <n v="38694"/>
    <n v="1"/>
    <x v="296"/>
    <x v="443"/>
    <m/>
  </r>
  <r>
    <n v="500"/>
    <s v="BR-MOS-GM-FEL00-207-A"/>
    <x v="145"/>
    <s v="Mosaic_Análisis de Estabilidad"/>
    <s v="Mosaic"/>
    <x v="4"/>
    <n v="2026"/>
    <n v="-1"/>
    <m/>
    <m/>
    <n v="1"/>
    <x v="178"/>
    <x v="0"/>
    <n v="23282"/>
    <x v="389"/>
    <x v="290"/>
    <n v="1"/>
    <n v="23282"/>
    <n v="-1"/>
    <x v="297"/>
    <x v="36"/>
    <m/>
  </r>
  <r>
    <n v="501"/>
    <s v="BR-MOS-GM-FEL00-207-A"/>
    <x v="145"/>
    <s v="Mosaic_Análisis de Estabilidad"/>
    <s v="Mosaic"/>
    <x v="4"/>
    <n v="2026"/>
    <n v="-1"/>
    <m/>
    <m/>
    <n v="1"/>
    <x v="123"/>
    <x v="1"/>
    <n v="17983"/>
    <x v="390"/>
    <x v="218"/>
    <n v="1"/>
    <n v="16411"/>
    <n v="-1"/>
    <x v="298"/>
    <x v="36"/>
    <m/>
  </r>
  <r>
    <n v="502"/>
    <s v="BR-MOS-OU-FEL03-026-A"/>
    <x v="146"/>
    <s v="Cajati"/>
    <s v="Mosaic"/>
    <x v="4"/>
    <n v="2023"/>
    <n v="-1"/>
    <m/>
    <m/>
    <n v="1"/>
    <x v="4"/>
    <x v="5"/>
    <n v="35960"/>
    <x v="264"/>
    <x v="291"/>
    <n v="1"/>
    <n v="38046"/>
    <n v="1"/>
    <x v="299"/>
    <x v="444"/>
    <m/>
  </r>
  <r>
    <n v="503"/>
    <s v="BR-MOS-OU-FEL03-026-A"/>
    <x v="146"/>
    <s v="Cajati"/>
    <s v="Mosaic"/>
    <x v="4"/>
    <n v="2023"/>
    <n v="-1"/>
    <m/>
    <m/>
    <n v="1"/>
    <x v="5"/>
    <x v="6"/>
    <n v="11589"/>
    <x v="268"/>
    <x v="291"/>
    <n v="1"/>
    <n v="11247"/>
    <n v="1"/>
    <x v="299"/>
    <x v="445"/>
    <m/>
  </r>
  <r>
    <n v="504"/>
    <s v="BR-MOS-OU-FEL03-026-A"/>
    <x v="146"/>
    <s v="Cajati"/>
    <s v="Mosaic"/>
    <x v="4"/>
    <n v="2023"/>
    <n v="-1"/>
    <m/>
    <m/>
    <n v="1"/>
    <x v="6"/>
    <x v="7"/>
    <n v="26229.48"/>
    <x v="81"/>
    <x v="291"/>
    <n v="1"/>
    <n v="26048"/>
    <n v="1"/>
    <x v="299"/>
    <x v="446"/>
    <m/>
  </r>
  <r>
    <n v="505"/>
    <s v="BR-MOS-OU-FEL03-026-A"/>
    <x v="146"/>
    <s v="Cajati"/>
    <s v="Mosaic"/>
    <x v="4"/>
    <n v="2023"/>
    <n v="-1"/>
    <m/>
    <m/>
    <n v="1"/>
    <x v="7"/>
    <x v="8"/>
    <n v="16026"/>
    <x v="269"/>
    <x v="292"/>
    <n v="1"/>
    <n v="15553"/>
    <n v="1"/>
    <x v="300"/>
    <x v="447"/>
    <m/>
  </r>
  <r>
    <n v="506"/>
    <s v="BR-MOS-OU-FEL03-026-A"/>
    <x v="146"/>
    <s v="Cajati"/>
    <s v="Mosaic"/>
    <x v="4"/>
    <n v="2023"/>
    <n v="-1"/>
    <m/>
    <m/>
    <n v="1"/>
    <x v="179"/>
    <x v="9"/>
    <n v="45952.98"/>
    <x v="82"/>
    <x v="293"/>
    <n v="1"/>
    <n v="43600"/>
    <n v="1"/>
    <x v="301"/>
    <x v="448"/>
    <m/>
  </r>
  <r>
    <n v="507"/>
    <s v="BR-MOS-OU-FEL03-026-A"/>
    <x v="146"/>
    <s v="Cajati"/>
    <s v="Mosaic"/>
    <x v="4"/>
    <n v="2023"/>
    <n v="-1"/>
    <m/>
    <m/>
    <n v="1"/>
    <x v="95"/>
    <x v="10"/>
    <n v="28092"/>
    <x v="289"/>
    <x v="294"/>
    <n v="1"/>
    <n v="39321.186000000002"/>
    <n v="1"/>
    <x v="302"/>
    <x v="449"/>
    <s v="Pendiente enteder la diferencia respecto a emisión"/>
  </r>
  <r>
    <n v="508"/>
    <s v="BR-MOS-OU-FEL03-026-A"/>
    <x v="146"/>
    <s v="Cajati"/>
    <s v="Mosaic"/>
    <x v="4"/>
    <n v="2023"/>
    <n v="1"/>
    <d v="2023-09-01T00:00:00"/>
    <n v="87653"/>
    <n v="1"/>
    <x v="1"/>
    <x v="11"/>
    <n v="29306"/>
    <x v="270"/>
    <x v="295"/>
    <n v="1"/>
    <n v="29306"/>
    <n v="1"/>
    <x v="303"/>
    <x v="450"/>
    <m/>
  </r>
  <r>
    <n v="509"/>
    <s v="BR-MOS-OU-FEL03-026-A"/>
    <x v="146"/>
    <s v="Cajati"/>
    <s v="Mosaic"/>
    <x v="4"/>
    <n v="2023"/>
    <n v="1"/>
    <d v="2023-10-01T00:00:00"/>
    <n v="103661"/>
    <n v="1"/>
    <x v="9"/>
    <x v="12"/>
    <n v="23474"/>
    <x v="391"/>
    <x v="296"/>
    <n v="1"/>
    <n v="22142"/>
    <n v="1"/>
    <x v="304"/>
    <x v="451"/>
    <m/>
  </r>
  <r>
    <n v="510"/>
    <s v="BR-MOS-OU-FEL03-026-A"/>
    <x v="146"/>
    <s v="Cajati"/>
    <s v="Mosaic"/>
    <x v="4"/>
    <n v="2023"/>
    <n v="1"/>
    <d v="2023-11-01T00:00:00"/>
    <n v="175963.60080000001"/>
    <n v="1"/>
    <x v="12"/>
    <x v="13"/>
    <n v="103264"/>
    <x v="84"/>
    <x v="297"/>
    <n v="1"/>
    <n v="100293"/>
    <n v="1"/>
    <x v="305"/>
    <x v="452"/>
    <m/>
  </r>
  <r>
    <n v="511"/>
    <s v="BR-MOS-OU-FEL03-026-A"/>
    <x v="146"/>
    <s v="Cajati"/>
    <s v="Mosaic"/>
    <x v="4"/>
    <n v="2023"/>
    <n v="1"/>
    <d v="2023-12-01T00:00:00"/>
    <n v="188102"/>
    <n v="1"/>
    <x v="13"/>
    <x v="14"/>
    <n v="36224"/>
    <x v="392"/>
    <x v="298"/>
    <n v="1"/>
    <n v="33481.699999999997"/>
    <n v="1"/>
    <x v="231"/>
    <x v="453"/>
    <m/>
  </r>
  <r>
    <n v="512"/>
    <s v="BR-MOS-OU-FEL03-026-A"/>
    <x v="146"/>
    <s v="Cajati"/>
    <s v="Mosaic"/>
    <x v="4"/>
    <n v="2023"/>
    <n v="-1"/>
    <d v="2023-12-15T00:00:00"/>
    <n v="0"/>
    <n v="1"/>
    <x v="135"/>
    <x v="15"/>
    <n v="11989"/>
    <x v="393"/>
    <x v="299"/>
    <n v="1"/>
    <n v="11081.13"/>
    <n v="1"/>
    <x v="306"/>
    <x v="454"/>
    <m/>
  </r>
  <r>
    <n v="513"/>
    <s v="BR-MOS-OU-FEL03-026-A"/>
    <x v="146"/>
    <s v="Cajati"/>
    <s v="Mosaic"/>
    <x v="4"/>
    <n v="2024"/>
    <n v="1"/>
    <d v="2024-01-01T00:00:00"/>
    <n v="20000"/>
    <n v="1"/>
    <x v="180"/>
    <x v="16"/>
    <n v="11822"/>
    <x v="394"/>
    <x v="300"/>
    <n v="1"/>
    <n v="11094"/>
    <n v="1"/>
    <x v="307"/>
    <x v="455"/>
    <m/>
  </r>
  <r>
    <n v="514"/>
    <s v="BR-MOS-OU-FEL03-026-A"/>
    <x v="146"/>
    <s v="Cajati"/>
    <s v="Mosaic"/>
    <x v="4"/>
    <n v="2024"/>
    <n v="1"/>
    <d v="2024-02-01T00:00:00"/>
    <n v="40000"/>
    <n v="1"/>
    <x v="181"/>
    <x v="18"/>
    <n v="42124"/>
    <x v="395"/>
    <x v="301"/>
    <n v="1"/>
    <n v="39532.92"/>
    <n v="1"/>
    <x v="42"/>
    <x v="456"/>
    <m/>
  </r>
  <r>
    <n v="515"/>
    <s v="BR-MOS-OU-FEL03-026-A"/>
    <x v="146"/>
    <s v="Cajati"/>
    <s v="Mosaic"/>
    <x v="4"/>
    <n v="2024"/>
    <n v="1"/>
    <d v="2024-03-01T00:00:00"/>
    <n v="127854"/>
    <n v="1"/>
    <x v="175"/>
    <x v="19"/>
    <n v="186908"/>
    <x v="396"/>
    <x v="302"/>
    <n v="1"/>
    <n v="172280.11"/>
    <n v="1"/>
    <x v="32"/>
    <x v="457"/>
    <m/>
  </r>
  <r>
    <n v="516"/>
    <s v="BR-MOS-OU-FEL03-026-A"/>
    <x v="146"/>
    <s v="Cajati"/>
    <s v="Mosaic"/>
    <x v="4"/>
    <n v="2024"/>
    <n v="1"/>
    <d v="2024-04-01T00:00:00"/>
    <n v="25112"/>
    <n v="1"/>
    <x v="176"/>
    <x v="20"/>
    <n v="22215"/>
    <x v="397"/>
    <x v="303"/>
    <n v="1"/>
    <n v="20440"/>
    <n v="1"/>
    <x v="308"/>
    <x v="458"/>
    <m/>
  </r>
  <r>
    <n v="517"/>
    <s v="BR-MOS-OU-FEL03-026-A"/>
    <x v="146"/>
    <s v="Cajati"/>
    <s v="Mosaic"/>
    <x v="4"/>
    <n v="2024"/>
    <n v="-1"/>
    <m/>
    <m/>
    <n v="1"/>
    <x v="27"/>
    <x v="21"/>
    <n v="12694"/>
    <x v="132"/>
    <x v="304"/>
    <n v="1"/>
    <n v="11239"/>
    <n v="1"/>
    <x v="90"/>
    <x v="459"/>
    <m/>
  </r>
  <r>
    <n v="518"/>
    <s v="BR-MOS-OU-FEL03-026-A"/>
    <x v="146"/>
    <s v="Cajati Optimización OP"/>
    <s v="Mosaic"/>
    <x v="4"/>
    <n v="2024"/>
    <n v="-1"/>
    <d v="2024-01-01T00:00:00"/>
    <n v="0"/>
    <n v="1"/>
    <x v="180"/>
    <x v="0"/>
    <n v="19641"/>
    <x v="398"/>
    <x v="284"/>
    <n v="1"/>
    <n v="18697.22"/>
    <n v="1"/>
    <x v="309"/>
    <x v="460"/>
    <m/>
  </r>
  <r>
    <n v="519"/>
    <s v="BR-MOS-OU-FEL03-026-A"/>
    <x v="146"/>
    <s v="Cajati Optimización OP"/>
    <s v="Mosaic"/>
    <x v="4"/>
    <n v="2024"/>
    <n v="-1"/>
    <d v="2024-02-01T00:00:00"/>
    <n v="0"/>
    <n v="1"/>
    <x v="181"/>
    <x v="1"/>
    <n v="29998"/>
    <x v="399"/>
    <x v="284"/>
    <n v="1"/>
    <n v="23210.240000000002"/>
    <n v="1"/>
    <x v="309"/>
    <x v="461"/>
    <m/>
  </r>
  <r>
    <n v="520"/>
    <s v="BR-MOS-OU-FEL03-026-A"/>
    <x v="146"/>
    <s v="Cajati Optimización OP"/>
    <s v="Mosaic"/>
    <x v="4"/>
    <n v="2024"/>
    <n v="-1"/>
    <d v="2024-03-01T00:00:00"/>
    <n v="0"/>
    <n v="1"/>
    <x v="175"/>
    <x v="2"/>
    <n v="11425"/>
    <x v="400"/>
    <x v="305"/>
    <n v="1"/>
    <n v="10960.4"/>
    <n v="1"/>
    <x v="24"/>
    <x v="462"/>
    <m/>
  </r>
  <r>
    <n v="521"/>
    <s v="BR-MOS-OU-FEL03-026-A"/>
    <x v="146"/>
    <s v="Cajati Optimización OP"/>
    <s v="Mosaic"/>
    <x v="4"/>
    <n v="2024"/>
    <n v="-1"/>
    <d v="2024-04-01T00:00:00"/>
    <n v="0"/>
    <n v="1"/>
    <x v="176"/>
    <x v="3"/>
    <n v="9425"/>
    <x v="401"/>
    <x v="305"/>
    <n v="1"/>
    <n v="9026.25"/>
    <n v="1"/>
    <x v="24"/>
    <x v="463"/>
    <m/>
  </r>
  <r>
    <n v="522"/>
    <s v="BR-MOS-OU-FEL03-026-A"/>
    <x v="146"/>
    <s v="Cajati Optimización OP"/>
    <s v="Mosaic"/>
    <x v="4"/>
    <n v="2024"/>
    <n v="-1"/>
    <m/>
    <m/>
    <n v="1"/>
    <x v="27"/>
    <x v="4"/>
    <n v="2748"/>
    <x v="402"/>
    <x v="306"/>
    <n v="1"/>
    <n v="2384"/>
    <n v="1"/>
    <x v="310"/>
    <x v="464"/>
    <m/>
  </r>
  <r>
    <n v="523"/>
    <s v="BR-MOS-OU-FEL03-147-A"/>
    <x v="147"/>
    <s v="Mosaic_Cajati Business Case"/>
    <s v="Mosaic"/>
    <x v="4"/>
    <n v="2025"/>
    <n v="-1"/>
    <m/>
    <m/>
    <n v="1"/>
    <x v="55"/>
    <x v="22"/>
    <n v="32268"/>
    <x v="403"/>
    <x v="307"/>
    <n v="1"/>
    <n v="32454"/>
    <n v="1"/>
    <x v="311"/>
    <x v="465"/>
    <m/>
  </r>
  <r>
    <n v="524"/>
    <s v="BR-MOS-OU-FEL03-147-A"/>
    <x v="147"/>
    <s v="Mosaic_Cajati Business Case"/>
    <s v="Mosaic"/>
    <x v="4"/>
    <n v="2025"/>
    <n v="-1"/>
    <m/>
    <m/>
    <n v="1"/>
    <x v="56"/>
    <x v="23"/>
    <n v="39074"/>
    <x v="404"/>
    <x v="307"/>
    <n v="1"/>
    <n v="34963"/>
    <n v="1"/>
    <x v="311"/>
    <x v="466"/>
    <m/>
  </r>
  <r>
    <n v="525"/>
    <s v="BR-MOS-OU-FEL03-147-A"/>
    <x v="147"/>
    <s v="Mosaic_Cajati Business Case"/>
    <s v="Mosaic"/>
    <x v="4"/>
    <n v="2025"/>
    <n v="-1"/>
    <m/>
    <m/>
    <n v="1"/>
    <x v="57"/>
    <x v="24"/>
    <n v="38732"/>
    <x v="405"/>
    <x v="57"/>
    <n v="1"/>
    <n v="38732"/>
    <n v="1"/>
    <x v="285"/>
    <x v="467"/>
    <m/>
  </r>
  <r>
    <n v="526"/>
    <s v="BR-MOS-OU-FEL03-147-A"/>
    <x v="147"/>
    <s v="Mosaic_Cajati Business Case"/>
    <s v="Mosaic"/>
    <x v="4"/>
    <n v="2025"/>
    <n v="-1"/>
    <m/>
    <m/>
    <n v="1"/>
    <x v="182"/>
    <x v="25"/>
    <n v="22700"/>
    <x v="250"/>
    <x v="308"/>
    <n v="1"/>
    <n v="22700"/>
    <n v="1"/>
    <x v="68"/>
    <x v="468"/>
    <m/>
  </r>
  <r>
    <n v="527"/>
    <s v="BR-MOS-OU-FEL03-147-A"/>
    <x v="147"/>
    <s v="Mosaic_Cajati Business Case"/>
    <s v="Mosaic"/>
    <x v="4"/>
    <n v="2025"/>
    <n v="-1"/>
    <m/>
    <m/>
    <n v="1"/>
    <x v="49"/>
    <x v="26"/>
    <n v="15161"/>
    <x v="406"/>
    <x v="247"/>
    <n v="1"/>
    <n v="15265"/>
    <n v="1"/>
    <x v="247"/>
    <x v="469"/>
    <m/>
  </r>
  <r>
    <n v="528"/>
    <s v="BR-MOS-OU-FEL00-197-A"/>
    <x v="148"/>
    <s v="Mosaic_Cajati LOM Open Pit"/>
    <s v="Mosaic"/>
    <x v="4"/>
    <n v="2026"/>
    <n v="1"/>
    <d v="2026-03-01T00:00:00"/>
    <n v="26863.64"/>
    <n v="1"/>
    <x v="65"/>
    <x v="0"/>
    <n v="14895"/>
    <x v="285"/>
    <x v="309"/>
    <n v="1"/>
    <n v="14895"/>
    <n v="-1"/>
    <x v="312"/>
    <x v="36"/>
    <m/>
  </r>
  <r>
    <n v="529"/>
    <s v="BR-MOS-OU-FEL00-197-A"/>
    <x v="148"/>
    <s v="Mosaic_Cajati LOM Open Pit"/>
    <s v="Mosaic"/>
    <x v="4"/>
    <n v="2026"/>
    <n v="-1"/>
    <m/>
    <m/>
    <n v="1"/>
    <x v="178"/>
    <x v="1"/>
    <n v="24000"/>
    <x v="287"/>
    <x v="290"/>
    <n v="1"/>
    <n v="24000"/>
    <n v="-1"/>
    <x v="297"/>
    <x v="36"/>
    <m/>
  </r>
  <r>
    <n v="530"/>
    <s v="BR-MOS-OU-FEL00-197-A"/>
    <x v="148"/>
    <s v="Mosaic_Cajati LOM Open Pit"/>
    <s v="Mosaic"/>
    <x v="4"/>
    <n v="2026"/>
    <n v="-1"/>
    <m/>
    <m/>
    <n v="1"/>
    <x v="123"/>
    <x v="2"/>
    <n v="21050"/>
    <x v="407"/>
    <x v="218"/>
    <n v="1"/>
    <n v="21477"/>
    <n v="-1"/>
    <x v="298"/>
    <x v="36"/>
    <m/>
  </r>
  <r>
    <n v="531"/>
    <s v="BR-MOS-CS-OTR00-115-A"/>
    <x v="149"/>
    <s v="Mosaic_Secuencia Operaciones Cajati"/>
    <s v="Mosaic"/>
    <x v="4"/>
    <n v="2024"/>
    <n v="-1"/>
    <m/>
    <m/>
    <n v="1"/>
    <x v="183"/>
    <x v="0"/>
    <n v="8053"/>
    <x v="4"/>
    <x v="310"/>
    <n v="1"/>
    <n v="7558"/>
    <n v="1"/>
    <x v="313"/>
    <x v="470"/>
    <m/>
  </r>
  <r>
    <n v="532"/>
    <s v="BR-MOS-CS-OTR00-115-A"/>
    <x v="149"/>
    <s v="Mosaic_Secuencia Operaciones Cajati"/>
    <s v="Mosaic"/>
    <x v="4"/>
    <n v="2024"/>
    <n v="-1"/>
    <m/>
    <m/>
    <n v="1"/>
    <x v="184"/>
    <x v="1"/>
    <n v="17461"/>
    <x v="18"/>
    <x v="311"/>
    <n v="1"/>
    <n v="17578"/>
    <n v="1"/>
    <x v="314"/>
    <x v="471"/>
    <m/>
  </r>
  <r>
    <n v="533"/>
    <s v="BR-MOS-CS-OTR00-115-A"/>
    <x v="149"/>
    <s v="Mosaic_Secuencia Operaciones Cajati"/>
    <s v="Mosaic"/>
    <x v="4"/>
    <n v="2025"/>
    <n v="-1"/>
    <m/>
    <m/>
    <n v="1"/>
    <x v="72"/>
    <x v="2"/>
    <n v="21816"/>
    <x v="408"/>
    <x v="312"/>
    <n v="1"/>
    <n v="21327"/>
    <n v="1"/>
    <x v="63"/>
    <x v="472"/>
    <m/>
  </r>
  <r>
    <n v="534"/>
    <s v="BR-MOS-CS-OTR00-115-A"/>
    <x v="149"/>
    <s v="Mosaic_Secuencia Operaciones Cajati"/>
    <s v="Mosaic"/>
    <x v="4"/>
    <n v="2025"/>
    <n v="-1"/>
    <m/>
    <m/>
    <n v="1"/>
    <x v="41"/>
    <x v="3"/>
    <n v="12770"/>
    <x v="409"/>
    <x v="135"/>
    <n v="1"/>
    <n v="11785"/>
    <n v="1"/>
    <x v="80"/>
    <x v="473"/>
    <m/>
  </r>
  <r>
    <n v="535"/>
    <s v="BR-MOS-UG-FEL01-028-A"/>
    <x v="150"/>
    <s v="Mosaic_Taquari Vassouras"/>
    <s v="Mosaic"/>
    <x v="4"/>
    <n v="2023"/>
    <n v="1"/>
    <d v="2023-09-01T00:00:00"/>
    <n v="24662"/>
    <n v="1"/>
    <x v="1"/>
    <x v="0"/>
    <n v="34067"/>
    <x v="83"/>
    <x v="296"/>
    <n v="1"/>
    <n v="31187.856"/>
    <n v="1"/>
    <x v="304"/>
    <x v="474"/>
    <m/>
  </r>
  <r>
    <n v="536"/>
    <s v="BR-MOS-UG-FEL01-028-A"/>
    <x v="150"/>
    <s v="Mosaic_Taquari Vassouras"/>
    <s v="Mosaic"/>
    <x v="4"/>
    <n v="2023"/>
    <n v="1"/>
    <d v="2023-10-01T00:00:00"/>
    <n v="98625"/>
    <n v="1"/>
    <x v="9"/>
    <x v="1"/>
    <n v="39226"/>
    <x v="287"/>
    <x v="296"/>
    <n v="1"/>
    <n v="36997.358"/>
    <n v="1"/>
    <x v="304"/>
    <x v="475"/>
    <m/>
  </r>
  <r>
    <n v="537"/>
    <s v="BR-MOS-UG-FEL01-028-A"/>
    <x v="150"/>
    <s v="Mosaic_Taquari Vassouras"/>
    <s v="Mosaic"/>
    <x v="4"/>
    <n v="2023"/>
    <n v="1"/>
    <d v="2023-11-01T00:00:00"/>
    <n v="129266.28"/>
    <n v="1"/>
    <x v="12"/>
    <x v="2"/>
    <n v="92851"/>
    <x v="410"/>
    <x v="313"/>
    <n v="1"/>
    <n v="84777.332800000004"/>
    <n v="1"/>
    <x v="315"/>
    <x v="476"/>
    <m/>
  </r>
  <r>
    <n v="538"/>
    <s v="BR-MOS-UG-FEL01-028-A"/>
    <x v="150"/>
    <s v="Mosaic_Taquari Vassouras"/>
    <s v="Mosaic"/>
    <x v="4"/>
    <n v="2023"/>
    <n v="1"/>
    <d v="2023-12-01T00:00:00"/>
    <n v="93670.894800000009"/>
    <n v="1"/>
    <x v="13"/>
    <x v="3"/>
    <n v="66118"/>
    <x v="411"/>
    <x v="313"/>
    <n v="1"/>
    <n v="60435.83"/>
    <n v="1"/>
    <x v="315"/>
    <x v="477"/>
    <m/>
  </r>
  <r>
    <n v="539"/>
    <s v="BR-MOS-UG-FEL01-028-A"/>
    <x v="150"/>
    <s v="Mosaic_Taquari Vassouras"/>
    <s v="Mosaic"/>
    <x v="4"/>
    <n v="2024"/>
    <n v="1"/>
    <d v="2024-01-01T00:00:00"/>
    <n v="52371"/>
    <n v="1"/>
    <x v="180"/>
    <x v="4"/>
    <n v="41400"/>
    <x v="412"/>
    <x v="314"/>
    <n v="1"/>
    <n v="39081"/>
    <n v="1"/>
    <x v="316"/>
    <x v="478"/>
    <m/>
  </r>
  <r>
    <n v="540"/>
    <s v="BR-MOS-UG-FEL01-028-A"/>
    <x v="150"/>
    <s v="Mosaic_Taquari Vassouras"/>
    <s v="Mosaic"/>
    <x v="4"/>
    <n v="2024"/>
    <n v="1"/>
    <d v="2024-02-01T00:00:00"/>
    <n v="10971"/>
    <n v="1"/>
    <x v="181"/>
    <x v="5"/>
    <n v="6768"/>
    <x v="413"/>
    <x v="315"/>
    <n v="1"/>
    <n v="6510"/>
    <n v="1"/>
    <x v="317"/>
    <x v="479"/>
    <m/>
  </r>
  <r>
    <n v="541"/>
    <s v="BR-MOS-UG-FEL01-028-A"/>
    <x v="150"/>
    <s v="Mosaic_Taquari Vassouras"/>
    <s v="Mosaic"/>
    <x v="4"/>
    <n v="2024"/>
    <n v="1"/>
    <d v="2024-04-01T00:00:00"/>
    <n v="4173"/>
    <n v="1"/>
    <x v="176"/>
    <x v="6"/>
    <n v="4173"/>
    <x v="414"/>
    <x v="316"/>
    <n v="1"/>
    <n v="6509.9"/>
    <n v="1"/>
    <x v="318"/>
    <x v="480"/>
    <m/>
  </r>
  <r>
    <n v="542"/>
    <s v="BR-MOS-UG-FEL01-028-A"/>
    <x v="150"/>
    <s v="Mosaic_Taquari Vassouras (Reembolsable)"/>
    <s v="Mosaic"/>
    <x v="4"/>
    <n v="2024"/>
    <n v="-1"/>
    <d v="2024-02-01T00:00:00"/>
    <n v="0"/>
    <n v="1"/>
    <x v="181"/>
    <x v="0"/>
    <n v="6765"/>
    <x v="0"/>
    <x v="100"/>
    <n v="1"/>
    <n v="6765"/>
    <n v="1"/>
    <x v="223"/>
    <x v="481"/>
    <m/>
  </r>
  <r>
    <n v="543"/>
    <s v="BR-MOS-UG-OTR00-098-A"/>
    <x v="151"/>
    <s v="Mosaic_Taquari Vassouras Fase II"/>
    <s v="Mosaic"/>
    <x v="4"/>
    <n v="2024"/>
    <n v="-1"/>
    <m/>
    <m/>
    <n v="1"/>
    <x v="183"/>
    <x v="0"/>
    <n v="31337"/>
    <x v="244"/>
    <x v="289"/>
    <n v="1"/>
    <n v="27745"/>
    <n v="1"/>
    <x v="296"/>
    <x v="482"/>
    <m/>
  </r>
  <r>
    <n v="544"/>
    <s v="BR-MOS-UG-OTR00-098-A"/>
    <x v="151"/>
    <s v="Mosaic_Taquari Vassouras Fase II"/>
    <s v="Mosaic"/>
    <x v="4"/>
    <n v="2024"/>
    <n v="-1"/>
    <m/>
    <m/>
    <n v="1"/>
    <x v="184"/>
    <x v="1"/>
    <n v="5952"/>
    <x v="415"/>
    <x v="310"/>
    <n v="1"/>
    <n v="5952"/>
    <n v="1"/>
    <x v="313"/>
    <x v="483"/>
    <m/>
  </r>
  <r>
    <n v="545"/>
    <s v="BR-MOS-UG-OTR00-098-A"/>
    <x v="151"/>
    <s v="Mosaic_Taquari Vassouras Fase II"/>
    <s v="Mosaic"/>
    <x v="4"/>
    <n v="2024"/>
    <n v="-1"/>
    <m/>
    <m/>
    <n v="1"/>
    <x v="184"/>
    <x v="1"/>
    <n v="14000"/>
    <x v="133"/>
    <x v="311"/>
    <n v="1"/>
    <n v="10364"/>
    <n v="1"/>
    <x v="314"/>
    <x v="484"/>
    <m/>
  </r>
  <r>
    <n v="546"/>
    <s v="BR-MOS-UG-OTR00-098-A"/>
    <x v="151"/>
    <s v="Mosaic_Taquari Vassouras Fase II"/>
    <s v="Mosaic"/>
    <x v="4"/>
    <n v="2025"/>
    <n v="-1"/>
    <m/>
    <m/>
    <n v="1"/>
    <x v="102"/>
    <x v="2"/>
    <n v="22948"/>
    <x v="5"/>
    <x v="317"/>
    <n v="1"/>
    <n v="18747"/>
    <n v="1"/>
    <x v="56"/>
    <x v="485"/>
    <m/>
  </r>
  <r>
    <n v="547"/>
    <s v="BR-MOS-UG-OTR00-098-A"/>
    <x v="151"/>
    <s v="Mosaic_Taquari Vassouras Fase II"/>
    <s v="Mosaic"/>
    <x v="4"/>
    <n v="2025"/>
    <n v="-1"/>
    <m/>
    <m/>
    <n v="1"/>
    <x v="41"/>
    <x v="3"/>
    <n v="10293"/>
    <x v="19"/>
    <x v="135"/>
    <n v="1"/>
    <n v="9499"/>
    <n v="1"/>
    <x v="80"/>
    <x v="486"/>
    <m/>
  </r>
  <r>
    <n v="548"/>
    <s v="BR-MOS-UG-OTR00-098-A"/>
    <x v="151"/>
    <s v="Mosaic_Taquari Vassouras Fase II"/>
    <s v="Mosaic"/>
    <x v="4"/>
    <n v="2025"/>
    <n v="-1"/>
    <m/>
    <m/>
    <n v="1"/>
    <x v="167"/>
    <x v="4"/>
    <n v="5393"/>
    <x v="20"/>
    <x v="318"/>
    <n v="1"/>
    <n v="4858.46"/>
    <n v="1"/>
    <x v="93"/>
    <x v="487"/>
    <m/>
  </r>
  <r>
    <n v="549"/>
    <s v="BR-MOS-UG-OTR00-098-A"/>
    <x v="151"/>
    <s v="Mosaic_Taquari Vassouras Fase II"/>
    <s v="Mosaic"/>
    <x v="4"/>
    <n v="2025"/>
    <n v="-1"/>
    <m/>
    <m/>
    <n v="1"/>
    <x v="185"/>
    <x v="5"/>
    <n v="11237"/>
    <x v="109"/>
    <x v="319"/>
    <n v="1"/>
    <n v="10592"/>
    <n v="1"/>
    <x v="319"/>
    <x v="488"/>
    <m/>
  </r>
  <r>
    <n v="550"/>
    <s v="BR-MOS-UG-OTR00-098-A"/>
    <x v="151"/>
    <s v="Mosaic_Taquari Vassouras Fase II"/>
    <s v="Mosaic"/>
    <x v="4"/>
    <n v="2025"/>
    <n v="-1"/>
    <m/>
    <m/>
    <n v="1"/>
    <x v="71"/>
    <x v="6"/>
    <n v="32693"/>
    <x v="416"/>
    <x v="307"/>
    <n v="1"/>
    <n v="30683"/>
    <n v="1"/>
    <x v="311"/>
    <x v="489"/>
    <m/>
  </r>
  <r>
    <n v="551"/>
    <s v="BR-MOS-UG-OTR00-098-A"/>
    <x v="151"/>
    <s v="Mosaic_Taquari Vassouras Fase II"/>
    <s v="Mosaic"/>
    <x v="4"/>
    <n v="2025"/>
    <n v="-1"/>
    <m/>
    <m/>
    <n v="1"/>
    <x v="98"/>
    <x v="7"/>
    <n v="34273"/>
    <x v="6"/>
    <x v="62"/>
    <n v="1"/>
    <n v="29305.88"/>
    <n v="1"/>
    <x v="320"/>
    <x v="490"/>
    <m/>
  </r>
  <r>
    <n v="552"/>
    <s v="BR-MOS-UG-OTR00-098-A"/>
    <x v="151"/>
    <s v="Mosaic_Taquari Vassouras Fase II"/>
    <s v="Mosaic"/>
    <x v="4"/>
    <n v="2025"/>
    <n v="-1"/>
    <m/>
    <m/>
    <n v="1"/>
    <x v="58"/>
    <x v="8"/>
    <n v="21033"/>
    <x v="135"/>
    <x v="201"/>
    <n v="1"/>
    <n v="21927"/>
    <n v="1"/>
    <x v="68"/>
    <x v="491"/>
    <m/>
  </r>
  <r>
    <n v="553"/>
    <s v="BR-MOS-UG-OTR00-098-A"/>
    <x v="151"/>
    <s v="Mosaic_Taquari Vassouras Fase II"/>
    <s v="Mosaic"/>
    <x v="4"/>
    <n v="2025"/>
    <n v="-1"/>
    <m/>
    <m/>
    <n v="1"/>
    <x v="49"/>
    <x v="9"/>
    <n v="25050"/>
    <x v="417"/>
    <x v="247"/>
    <n v="1"/>
    <n v="25358"/>
    <n v="1"/>
    <x v="247"/>
    <x v="492"/>
    <m/>
  </r>
  <r>
    <n v="554"/>
    <s v="BR-MOS-UG-OTR00-098-A"/>
    <x v="151"/>
    <s v="Mosaic_Taquari Vassouras Fase II"/>
    <s v="Mosaic"/>
    <x v="4"/>
    <n v="2025"/>
    <n v="-1"/>
    <m/>
    <m/>
    <n v="1"/>
    <x v="186"/>
    <x v="10"/>
    <n v="33890"/>
    <x v="418"/>
    <x v="320"/>
    <n v="1"/>
    <n v="33182.018348623853"/>
    <n v="1"/>
    <x v="70"/>
    <x v="493"/>
    <m/>
  </r>
  <r>
    <n v="555"/>
    <s v="BR-MOS-UG-OTR00-098-A"/>
    <x v="151"/>
    <s v="Mosaic_Taquari Vassouras Fase II"/>
    <s v="Mosaic"/>
    <x v="4"/>
    <n v="2025"/>
    <n v="-1"/>
    <m/>
    <m/>
    <n v="1"/>
    <x v="60"/>
    <x v="11"/>
    <n v="24873"/>
    <x v="138"/>
    <x v="321"/>
    <n v="1"/>
    <n v="25194"/>
    <n v="1"/>
    <x v="199"/>
    <x v="494"/>
    <m/>
  </r>
  <r>
    <n v="556"/>
    <s v="BR-MOS-UG-FEL2A-064-A"/>
    <x v="152"/>
    <s v="Mosaic_Taquari Vassouras Fase II CP"/>
    <s v="Mosaic"/>
    <x v="4"/>
    <n v="2024"/>
    <n v="-1"/>
    <m/>
    <m/>
    <n v="1"/>
    <x v="80"/>
    <x v="0"/>
    <n v="52744"/>
    <x v="352"/>
    <x v="256"/>
    <n v="1"/>
    <n v="48730"/>
    <n v="1"/>
    <x v="295"/>
    <x v="495"/>
    <m/>
  </r>
  <r>
    <n v="557"/>
    <s v="PE-NEX-GM-FEL00-167-A"/>
    <x v="153"/>
    <s v="NEXA_Estudio Geomecánico AT y EP"/>
    <s v="NEXA"/>
    <x v="1"/>
    <n v="2025"/>
    <n v="-1"/>
    <m/>
    <m/>
    <n v="1"/>
    <x v="19"/>
    <x v="0"/>
    <n v="20759"/>
    <x v="419"/>
    <x v="322"/>
    <n v="1"/>
    <n v="20759"/>
    <n v="1"/>
    <x v="321"/>
    <x v="496"/>
    <s v="Fueron facturados juntos"/>
  </r>
  <r>
    <n v="558"/>
    <s v="PE-NEX-GM-FEL00-167-A"/>
    <x v="153"/>
    <s v="NEXA_Estudio Geomecánico AT y EP"/>
    <s v="NEXA"/>
    <x v="1"/>
    <n v="2025"/>
    <n v="-1"/>
    <m/>
    <m/>
    <n v="1"/>
    <x v="20"/>
    <x v="1"/>
    <n v="42800"/>
    <x v="419"/>
    <x v="322"/>
    <n v="1"/>
    <n v="42800"/>
    <n v="1"/>
    <x v="321"/>
    <x v="497"/>
    <s v="Fueron facturados juntos"/>
  </r>
  <r>
    <n v="559"/>
    <s v="PE-NEX-GM-FEL00-167-A"/>
    <x v="153"/>
    <s v="NEXA_Estudio Geomecánico AT y EP"/>
    <s v="NEXA"/>
    <x v="1"/>
    <n v="2025"/>
    <n v="-1"/>
    <m/>
    <m/>
    <n v="1"/>
    <x v="187"/>
    <x v="2"/>
    <n v="16723"/>
    <x v="420"/>
    <x v="323"/>
    <n v="1"/>
    <n v="16723"/>
    <n v="1"/>
    <x v="322"/>
    <x v="498"/>
    <s v="Factoring"/>
  </r>
  <r>
    <n v="560"/>
    <s v="BR-NEX-UG-FEL2A-027-A"/>
    <x v="154"/>
    <s v="NEXA_FEL2 Aripuana"/>
    <s v="NEXA"/>
    <x v="4"/>
    <n v="2023"/>
    <n v="1"/>
    <d v="2023-09-01T00:00:00"/>
    <n v="52279"/>
    <n v="1"/>
    <x v="1"/>
    <x v="0"/>
    <n v="11756"/>
    <x v="285"/>
    <x v="258"/>
    <n v="1"/>
    <n v="11644"/>
    <n v="1"/>
    <x v="323"/>
    <x v="499"/>
    <m/>
  </r>
  <r>
    <n v="561"/>
    <s v="BR-NEX-UG-FEL2A-027-A"/>
    <x v="154"/>
    <s v="NEXA_FEL2 Aripuana"/>
    <s v="NEXA"/>
    <x v="4"/>
    <n v="2023"/>
    <n v="1"/>
    <d v="2023-10-01T00:00:00"/>
    <n v="106671"/>
    <n v="1"/>
    <x v="9"/>
    <x v="1"/>
    <n v="16248.228013587199"/>
    <x v="421"/>
    <x v="324"/>
    <n v="1"/>
    <n v="15096.472620999999"/>
    <n v="1"/>
    <x v="231"/>
    <x v="500"/>
    <m/>
  </r>
  <r>
    <n v="562"/>
    <s v="BR-NEX-UG-FEL2A-027-A"/>
    <x v="154"/>
    <s v="NEXA_FEL2 Aripuana"/>
    <s v="NEXA"/>
    <x v="4"/>
    <n v="2023"/>
    <n v="1"/>
    <d v="2023-11-01T00:00:00"/>
    <n v="71041.960000000006"/>
    <n v="1"/>
    <x v="12"/>
    <x v="2"/>
    <n v="29518.362250826849"/>
    <x v="407"/>
    <x v="297"/>
    <n v="1"/>
    <n v="27425.952553000003"/>
    <n v="1"/>
    <x v="231"/>
    <x v="501"/>
    <m/>
  </r>
  <r>
    <n v="563"/>
    <s v="BR-NEX-UG-FEL2A-027-A"/>
    <x v="154"/>
    <s v="NEXA_FEL2 Aripuana"/>
    <s v="NEXA"/>
    <x v="4"/>
    <n v="2023"/>
    <n v="1"/>
    <d v="2023-12-01T00:00:00"/>
    <n v="112739"/>
    <n v="1"/>
    <x v="13"/>
    <x v="3"/>
    <n v="71027"/>
    <x v="422"/>
    <x v="325"/>
    <n v="1"/>
    <n v="67339"/>
    <n v="1"/>
    <x v="324"/>
    <x v="502"/>
    <m/>
  </r>
  <r>
    <n v="564"/>
    <s v="BR-NEX-UG-FEL2A-027-A"/>
    <x v="154"/>
    <s v="NEXA_FEL2 Aripuana"/>
    <s v="NEXA"/>
    <x v="4"/>
    <n v="2024"/>
    <n v="1"/>
    <d v="2024-01-01T00:00:00"/>
    <n v="71918"/>
    <n v="1"/>
    <x v="180"/>
    <x v="4"/>
    <n v="31925"/>
    <x v="423"/>
    <x v="326"/>
    <n v="1"/>
    <n v="24421"/>
    <n v="1"/>
    <x v="325"/>
    <x v="503"/>
    <m/>
  </r>
  <r>
    <n v="565"/>
    <s v="BR-NEX-UG-FEL2A-027-A"/>
    <x v="154"/>
    <s v="NEXA_FEL2 Aripuana"/>
    <s v="NEXA"/>
    <x v="4"/>
    <n v="2024"/>
    <n v="1"/>
    <d v="2024-05-01T00:00:00"/>
    <n v="47364.081632653055"/>
    <n v="1"/>
    <x v="27"/>
    <x v="5"/>
    <n v="43869"/>
    <x v="2"/>
    <x v="306"/>
    <n v="1"/>
    <n v="41088"/>
    <n v="1"/>
    <x v="224"/>
    <x v="504"/>
    <m/>
  </r>
  <r>
    <n v="566"/>
    <s v="PE-NEX-CS-OTR00-168-A"/>
    <x v="155"/>
    <s v="NEXA_Peer Review Cerro Lindo"/>
    <s v="NEXA"/>
    <x v="1"/>
    <n v="2025"/>
    <n v="-1"/>
    <m/>
    <m/>
    <n v="1"/>
    <x v="19"/>
    <x v="0"/>
    <n v="29716"/>
    <x v="424"/>
    <x v="88"/>
    <n v="1"/>
    <n v="29716"/>
    <n v="1"/>
    <x v="230"/>
    <x v="505"/>
    <m/>
  </r>
  <r>
    <n v="567"/>
    <s v="RU-OTR-UG-FEL2A-015-A"/>
    <x v="156"/>
    <s v="NordGold"/>
    <s v="Otro"/>
    <x v="3"/>
    <n v="2023"/>
    <n v="-1"/>
    <m/>
    <m/>
    <n v="1"/>
    <x v="7"/>
    <x v="0"/>
    <n v="43371"/>
    <x v="0"/>
    <x v="257"/>
    <n v="1"/>
    <n v="43371"/>
    <n v="1"/>
    <x v="326"/>
    <x v="506"/>
    <s v="Consultar a Olesya"/>
  </r>
  <r>
    <n v="568"/>
    <s v="RU-OTR-GM-FEL01-016-A"/>
    <x v="157"/>
    <s v="Norilsk 1"/>
    <s v="Otro"/>
    <x v="3"/>
    <n v="2023"/>
    <n v="-1"/>
    <m/>
    <m/>
    <n v="1"/>
    <x v="85"/>
    <x v="1"/>
    <n v="46805"/>
    <x v="0"/>
    <x v="327"/>
    <n v="1"/>
    <n v="46805"/>
    <n v="1"/>
    <x v="327"/>
    <x v="507"/>
    <s v="50% restante para 92 dias posteriores al pago. Fecha proyectada 18-09-23"/>
  </r>
  <r>
    <n v="569"/>
    <s v="RU-OTR-GM-FEL01-016-A"/>
    <x v="157"/>
    <s v="Norilsk 1"/>
    <s v="Otro"/>
    <x v="3"/>
    <n v="2023"/>
    <n v="-1"/>
    <m/>
    <m/>
    <n v="1"/>
    <x v="85"/>
    <x v="2"/>
    <n v="46805"/>
    <x v="0"/>
    <x v="328"/>
    <n v="1"/>
    <n v="46805"/>
    <n v="1"/>
    <x v="328"/>
    <x v="507"/>
    <m/>
  </r>
  <r>
    <n v="570"/>
    <s v="RU-OTR-GM-FEL01-016-A"/>
    <x v="157"/>
    <s v="Norilsk 1"/>
    <s v="Otro"/>
    <x v="3"/>
    <n v="2023"/>
    <n v="-1"/>
    <m/>
    <m/>
    <n v="1"/>
    <x v="154"/>
    <x v="3"/>
    <n v="29854"/>
    <x v="0"/>
    <x v="329"/>
    <n v="1"/>
    <n v="29854"/>
    <n v="1"/>
    <x v="329"/>
    <x v="508"/>
    <s v="Pago proyectado a finales de Agosto 2023. A partir de ahí se emite segundo cobro por USD 29.854"/>
  </r>
  <r>
    <n v="571"/>
    <s v="RU-OTR-GM-FEL01-016-A"/>
    <x v="157"/>
    <s v="Norilsk 1"/>
    <s v="Otro"/>
    <x v="3"/>
    <n v="2023"/>
    <n v="-1"/>
    <m/>
    <m/>
    <n v="1"/>
    <x v="188"/>
    <x v="4"/>
    <n v="29854"/>
    <x v="0"/>
    <x v="50"/>
    <n v="1"/>
    <n v="29854"/>
    <n v="1"/>
    <x v="280"/>
    <x v="508"/>
    <s v="Se confirma pago por parte de Olesya a finales de diciembre 2023"/>
  </r>
  <r>
    <n v="572"/>
    <s v="PE-OCP-CS-OTR00-138-A"/>
    <x v="158"/>
    <s v="OCP_Análisis Estratégico Mina Cobriza"/>
    <s v="OCP"/>
    <x v="1"/>
    <n v="2025"/>
    <n v="-1"/>
    <m/>
    <m/>
    <n v="1"/>
    <x v="34"/>
    <x v="0"/>
    <n v="59500"/>
    <x v="425"/>
    <x v="330"/>
    <n v="1"/>
    <n v="110077"/>
    <n v="1"/>
    <x v="330"/>
    <x v="509"/>
    <m/>
  </r>
  <r>
    <n v="573"/>
    <s v="PE-OCP-CS-OTR00-138-A"/>
    <x v="158"/>
    <s v="OCP_Análisis Estratégico Mina Cobriza"/>
    <s v="OCP"/>
    <x v="1"/>
    <n v="2025"/>
    <n v="-1"/>
    <m/>
    <m/>
    <n v="1"/>
    <x v="35"/>
    <x v="1"/>
    <n v="60000"/>
    <x v="426"/>
    <x v="331"/>
    <n v="1"/>
    <n v="110077"/>
    <n v="1"/>
    <x v="143"/>
    <x v="509"/>
    <m/>
  </r>
  <r>
    <n v="574"/>
    <s v="PE-OCP-CS-OTR00-138-A"/>
    <x v="158"/>
    <s v="OCP_Análisis Estratégico Mina Cobriza"/>
    <s v="OCP"/>
    <x v="1"/>
    <n v="2025"/>
    <n v="-1"/>
    <m/>
    <m/>
    <n v="-1"/>
    <x v="93"/>
    <x v="17"/>
    <n v="0"/>
    <x v="427"/>
    <x v="332"/>
    <n v="1"/>
    <n v="52800"/>
    <n v="1"/>
    <x v="331"/>
    <x v="510"/>
    <m/>
  </r>
  <r>
    <n v="575"/>
    <s v="PE-OCP-CS-OTR00-138-A"/>
    <x v="158"/>
    <s v="OCP_Análisis Estratégico Mina Cobriza"/>
    <s v="OCP"/>
    <x v="1"/>
    <n v="2025"/>
    <n v="-1"/>
    <m/>
    <m/>
    <n v="-1"/>
    <x v="93"/>
    <x v="17"/>
    <n v="0"/>
    <x v="428"/>
    <x v="332"/>
    <n v="1"/>
    <n v="26382"/>
    <n v="1"/>
    <x v="54"/>
    <x v="511"/>
    <m/>
  </r>
  <r>
    <n v="576"/>
    <s v="PE-OCP-CS-OTR00-138-A"/>
    <x v="158"/>
    <s v="OCP_Análisis Estratégico Mina Cobriza"/>
    <s v="OCP"/>
    <x v="1"/>
    <n v="2025"/>
    <n v="-1"/>
    <m/>
    <m/>
    <n v="-1"/>
    <x v="93"/>
    <x v="17"/>
    <n v="0"/>
    <x v="429"/>
    <x v="236"/>
    <n v="1"/>
    <n v="41183"/>
    <n v="1"/>
    <x v="319"/>
    <x v="512"/>
    <m/>
  </r>
  <r>
    <n v="577"/>
    <s v="RU-OTR-GM-FEL01-017-A"/>
    <x v="159"/>
    <s v="Oktyabrsky"/>
    <s v="Otro"/>
    <x v="3"/>
    <n v="2023"/>
    <n v="-1"/>
    <m/>
    <m/>
    <n v="1"/>
    <x v="85"/>
    <x v="0"/>
    <n v="42832"/>
    <x v="0"/>
    <x v="333"/>
    <n v="1"/>
    <n v="42832"/>
    <n v="1"/>
    <x v="332"/>
    <x v="513"/>
    <s v="Consultar a Olesya"/>
  </r>
  <r>
    <n v="578"/>
    <s v="RU-OTR-GM-FEL01-017-A"/>
    <x v="159"/>
    <s v="Oktyabrsky"/>
    <s v="Otro"/>
    <x v="3"/>
    <n v="2023"/>
    <n v="-1"/>
    <m/>
    <m/>
    <n v="1"/>
    <x v="6"/>
    <x v="1"/>
    <n v="24055"/>
    <x v="0"/>
    <x v="334"/>
    <n v="1"/>
    <n v="24055"/>
    <n v="1"/>
    <x v="332"/>
    <x v="514"/>
    <s v="Consultar a Olesya"/>
  </r>
  <r>
    <n v="579"/>
    <s v="RU-OTR-GM-FEL01-017-A"/>
    <x v="159"/>
    <s v="Oktyabrsky"/>
    <s v="Otro"/>
    <x v="3"/>
    <n v="2023"/>
    <n v="-1"/>
    <m/>
    <m/>
    <n v="1"/>
    <x v="7"/>
    <x v="2"/>
    <n v="57086"/>
    <x v="0"/>
    <x v="257"/>
    <n v="1"/>
    <n v="57086"/>
    <n v="1"/>
    <x v="333"/>
    <x v="515"/>
    <s v="Consultar a Olesya"/>
  </r>
  <r>
    <n v="580"/>
    <s v="CH-AMS-OP-FEL01-014-A"/>
    <x v="160"/>
    <s v="MLP"/>
    <s v="AMSA"/>
    <x v="2"/>
    <n v="2023"/>
    <n v="-1"/>
    <m/>
    <m/>
    <n v="1"/>
    <x v="2"/>
    <x v="1"/>
    <n v="101539.27374999999"/>
    <x v="290"/>
    <x v="335"/>
    <n v="1"/>
    <n v="101539.27374999999"/>
    <n v="1"/>
    <x v="124"/>
    <x v="516"/>
    <m/>
  </r>
  <r>
    <n v="581"/>
    <s v="CH-AMS-OP-FEL01-014-A"/>
    <x v="160"/>
    <s v="MLP"/>
    <s v="AMSA"/>
    <x v="2"/>
    <n v="2023"/>
    <n v="-1"/>
    <m/>
    <m/>
    <n v="1"/>
    <x v="3"/>
    <x v="2"/>
    <n v="44245.945"/>
    <x v="388"/>
    <x v="180"/>
    <n v="1"/>
    <n v="44245.945"/>
    <n v="1"/>
    <x v="334"/>
    <x v="517"/>
    <m/>
  </r>
  <r>
    <n v="582"/>
    <s v="CH-AMS-OP-FEL01-014-A"/>
    <x v="160"/>
    <s v="MLP"/>
    <s v="AMSA"/>
    <x v="2"/>
    <n v="2023"/>
    <n v="-1"/>
    <m/>
    <m/>
    <n v="1"/>
    <x v="3"/>
    <x v="3"/>
    <n v="51627.707499999997"/>
    <x v="408"/>
    <x v="336"/>
    <n v="1"/>
    <n v="51627.707499999997"/>
    <n v="1"/>
    <x v="335"/>
    <x v="518"/>
    <m/>
  </r>
  <r>
    <n v="583"/>
    <s v="CH-AMS-OP-FEL01-014-A"/>
    <x v="160"/>
    <s v="MLP"/>
    <s v="AMSA"/>
    <x v="2"/>
    <n v="2023"/>
    <n v="-1"/>
    <m/>
    <m/>
    <n v="1"/>
    <x v="4"/>
    <x v="4"/>
    <n v="30102.715"/>
    <x v="409"/>
    <x v="18"/>
    <n v="1"/>
    <n v="30102.715"/>
    <n v="1"/>
    <x v="5"/>
    <x v="519"/>
    <m/>
  </r>
  <r>
    <n v="584"/>
    <s v="CH-AMS-OP-FEL01-014-A"/>
    <x v="160"/>
    <s v="MLP"/>
    <s v="AMSA"/>
    <x v="2"/>
    <n v="2023"/>
    <n v="-1"/>
    <m/>
    <m/>
    <n v="1"/>
    <x v="5"/>
    <x v="5"/>
    <n v="47249"/>
    <x v="430"/>
    <x v="337"/>
    <n v="1"/>
    <n v="47227"/>
    <n v="1"/>
    <x v="268"/>
    <x v="520"/>
    <m/>
  </r>
  <r>
    <n v="585"/>
    <s v="CH-AMS-OP-FEL01-014-A"/>
    <x v="160"/>
    <s v="MLP"/>
    <s v="AMSA"/>
    <x v="2"/>
    <n v="2023"/>
    <n v="-1"/>
    <m/>
    <m/>
    <n v="1"/>
    <x v="7"/>
    <x v="6"/>
    <n v="8632.2900000000009"/>
    <x v="76"/>
    <x v="338"/>
    <n v="1"/>
    <n v="8548.0499999999993"/>
    <n v="1"/>
    <x v="116"/>
    <x v="521"/>
    <m/>
  </r>
  <r>
    <n v="586"/>
    <s v="CH-AMS-OP-FEL01-014-A"/>
    <x v="160"/>
    <s v="MLP"/>
    <s v="AMSA"/>
    <x v="2"/>
    <n v="2023"/>
    <n v="-1"/>
    <m/>
    <m/>
    <n v="1"/>
    <x v="7"/>
    <x v="7"/>
    <n v="44744.56"/>
    <x v="431"/>
    <x v="339"/>
    <n v="1"/>
    <n v="44745"/>
    <n v="1"/>
    <x v="336"/>
    <x v="522"/>
    <m/>
  </r>
  <r>
    <n v="587"/>
    <s v="CH-AMS-OP-FEL01-014-A"/>
    <x v="160"/>
    <s v="MLP"/>
    <s v="AMSA"/>
    <x v="2"/>
    <n v="2023"/>
    <n v="-1"/>
    <m/>
    <m/>
    <n v="1"/>
    <x v="154"/>
    <x v="8"/>
    <n v="10549.27"/>
    <x v="125"/>
    <x v="340"/>
    <n v="1"/>
    <n v="10549"/>
    <n v="1"/>
    <x v="337"/>
    <x v="523"/>
    <m/>
  </r>
  <r>
    <n v="588"/>
    <s v="PE-CSC-UG-FEL2A-023-A"/>
    <x v="161"/>
    <s v="PFS Los Calatos"/>
    <s v="CD Capitals"/>
    <x v="1"/>
    <n v="2023"/>
    <n v="1"/>
    <d v="2023-10-01T00:00:00"/>
    <n v="91270"/>
    <n v="1"/>
    <x v="189"/>
    <x v="0"/>
    <n v="91731.278397791742"/>
    <x v="432"/>
    <x v="341"/>
    <n v="1"/>
    <n v="91731.278397791742"/>
    <n v="1"/>
    <x v="280"/>
    <x v="524"/>
    <s v="En el EDP1 se considerará el anticipo del 10%"/>
  </r>
  <r>
    <n v="589"/>
    <s v="PE-CSC-UG-FEL2A-023-A"/>
    <x v="161"/>
    <s v="PFS Los Calatos"/>
    <s v="CD Capitals"/>
    <x v="1"/>
    <n v="2023"/>
    <n v="1"/>
    <d v="2023-11-01T00:00:00"/>
    <n v="82558.17"/>
    <n v="1"/>
    <x v="148"/>
    <x v="1"/>
    <n v="100441"/>
    <x v="433"/>
    <x v="342"/>
    <n v="1"/>
    <n v="100441"/>
    <n v="1"/>
    <x v="48"/>
    <x v="525"/>
    <m/>
  </r>
  <r>
    <n v="590"/>
    <s v="PE-CSC-UG-FEL2A-023-A"/>
    <x v="161"/>
    <s v="PFS Los Calatos"/>
    <s v="CD Capitals"/>
    <x v="1"/>
    <n v="2023"/>
    <n v="1"/>
    <d v="2023-12-01T00:00:00"/>
    <n v="137777"/>
    <n v="1"/>
    <x v="135"/>
    <x v="2"/>
    <n v="29776"/>
    <x v="434"/>
    <x v="156"/>
    <n v="1"/>
    <n v="29776"/>
    <n v="1"/>
    <x v="119"/>
    <x v="526"/>
    <m/>
  </r>
  <r>
    <n v="591"/>
    <s v="PE-CSC-UG-FEL2A-023-A"/>
    <x v="161"/>
    <s v="PFS Los Calatos"/>
    <s v="CD Capitals"/>
    <x v="1"/>
    <n v="2024"/>
    <n v="1"/>
    <d v="2024-01-01T00:00:00"/>
    <n v="60000"/>
    <n v="1"/>
    <x v="96"/>
    <x v="3"/>
    <n v="70005"/>
    <x v="435"/>
    <x v="343"/>
    <n v="1"/>
    <n v="70005"/>
    <n v="1"/>
    <x v="286"/>
    <x v="527"/>
    <s v="Pendiente"/>
  </r>
  <r>
    <n v="592"/>
    <s v="PE-CSC-UG-FEL2A-023-A"/>
    <x v="161"/>
    <s v="PFS Los Calatos"/>
    <s v="CD Capitals"/>
    <x v="1"/>
    <n v="2024"/>
    <n v="1"/>
    <d v="2024-02-01T00:00:00"/>
    <n v="58000"/>
    <n v="1"/>
    <x v="14"/>
    <x v="4"/>
    <n v="29387"/>
    <x v="436"/>
    <x v="344"/>
    <n v="1"/>
    <n v="29387"/>
    <n v="1"/>
    <x v="338"/>
    <x v="528"/>
    <m/>
  </r>
  <r>
    <n v="593"/>
    <s v="PE-CSC-UG-FEL2A-023-A"/>
    <x v="161"/>
    <s v="PFS Los Calatos"/>
    <s v="CD Capitals"/>
    <x v="1"/>
    <n v="2024"/>
    <n v="1"/>
    <d v="2024-04-01T00:00:00"/>
    <n v="125015"/>
    <n v="1"/>
    <x v="190"/>
    <x v="5"/>
    <n v="50531"/>
    <x v="437"/>
    <x v="227"/>
    <n v="1"/>
    <n v="50531"/>
    <n v="1"/>
    <x v="339"/>
    <x v="529"/>
    <m/>
  </r>
  <r>
    <n v="594"/>
    <s v="PE-CSC-UG-FEL2A-023-A"/>
    <x v="161"/>
    <s v="PFS Los Calatos"/>
    <s v="CD Capitals"/>
    <x v="1"/>
    <n v="2024"/>
    <n v="1"/>
    <d v="2024-05-01T00:00:00"/>
    <n v="61467"/>
    <n v="1"/>
    <x v="25"/>
    <x v="6"/>
    <n v="177527"/>
    <x v="438"/>
    <x v="274"/>
    <n v="1"/>
    <n v="177527"/>
    <n v="1"/>
    <x v="220"/>
    <x v="530"/>
    <m/>
  </r>
  <r>
    <n v="595"/>
    <s v="PE-CSC-UG-FEL2A-023-A"/>
    <x v="161"/>
    <s v="PFS Los Calatos"/>
    <s v="CD Capitals"/>
    <x v="1"/>
    <n v="2024"/>
    <n v="1"/>
    <d v="2024-05-01T00:00:00"/>
    <n v="114880.69999999995"/>
    <n v="1"/>
    <x v="163"/>
    <x v="7"/>
    <n v="110053"/>
    <x v="439"/>
    <x v="345"/>
    <n v="1"/>
    <n v="110053"/>
    <n v="1"/>
    <x v="221"/>
    <x v="531"/>
    <m/>
  </r>
  <r>
    <n v="596"/>
    <s v="PE-CSC-UG-FEL2A-023-A"/>
    <x v="161"/>
    <s v="PFS Los Calatos"/>
    <s v="CD Capitals"/>
    <x v="1"/>
    <n v="2024"/>
    <n v="-1"/>
    <m/>
    <m/>
    <n v="1"/>
    <x v="27"/>
    <x v="8"/>
    <n v="85235"/>
    <x v="440"/>
    <x v="264"/>
    <n v="1"/>
    <n v="85235"/>
    <n v="1"/>
    <x v="279"/>
    <x v="532"/>
    <m/>
  </r>
  <r>
    <n v="597"/>
    <s v="PE-CSC-UG-FEL2A-023-A"/>
    <x v="161"/>
    <s v="PFS Los Calatos"/>
    <s v="CD Capitals"/>
    <x v="1"/>
    <n v="2024"/>
    <n v="-1"/>
    <m/>
    <m/>
    <n v="1"/>
    <x v="133"/>
    <x v="9"/>
    <n v="112468"/>
    <x v="441"/>
    <x v="101"/>
    <n v="1"/>
    <n v="112468"/>
    <n v="1"/>
    <x v="35"/>
    <x v="533"/>
    <m/>
  </r>
  <r>
    <n v="598"/>
    <s v="PE-CSC-UG-FEL2A-023-A"/>
    <x v="161"/>
    <s v="PFS Los Calatos"/>
    <s v="CD Capitals"/>
    <x v="1"/>
    <n v="2024"/>
    <n v="-1"/>
    <m/>
    <m/>
    <n v="1"/>
    <x v="29"/>
    <x v="10"/>
    <n v="93254"/>
    <x v="442"/>
    <x v="346"/>
    <n v="1"/>
    <n v="92288"/>
    <n v="1"/>
    <x v="340"/>
    <x v="534"/>
    <m/>
  </r>
  <r>
    <n v="599"/>
    <s v="PE-CSC-UG-FEL2A-023-A"/>
    <x v="161"/>
    <s v="PFS Los Calatos"/>
    <s v="CD Capitals"/>
    <x v="1"/>
    <n v="2024"/>
    <n v="-1"/>
    <m/>
    <m/>
    <n v="1"/>
    <x v="134"/>
    <x v="11"/>
    <n v="67403"/>
    <x v="443"/>
    <x v="102"/>
    <n v="1"/>
    <n v="63453"/>
    <n v="1"/>
    <x v="341"/>
    <x v="535"/>
    <m/>
  </r>
  <r>
    <n v="600"/>
    <s v="PE-CSC-UG-FEL2A-023-A"/>
    <x v="161"/>
    <s v="PFS Los Calatos"/>
    <s v="CD Capitals"/>
    <x v="1"/>
    <n v="2024"/>
    <n v="-1"/>
    <m/>
    <m/>
    <n v="1"/>
    <x v="30"/>
    <x v="12"/>
    <n v="17153"/>
    <x v="444"/>
    <x v="347"/>
    <n v="1"/>
    <n v="17153"/>
    <n v="1"/>
    <x v="342"/>
    <x v="536"/>
    <m/>
  </r>
  <r>
    <n v="601"/>
    <s v="PE-CSC-UG-FEL2A-023-A"/>
    <x v="161"/>
    <s v="PFS Los Calatos"/>
    <s v="CD Capitals"/>
    <x v="1"/>
    <n v="2024"/>
    <n v="-1"/>
    <m/>
    <m/>
    <n v="1"/>
    <x v="31"/>
    <x v="13"/>
    <n v="4697"/>
    <x v="445"/>
    <x v="348"/>
    <n v="1"/>
    <n v="4697"/>
    <n v="1"/>
    <x v="104"/>
    <x v="537"/>
    <m/>
  </r>
  <r>
    <n v="602"/>
    <s v="PE-CSC-UG-FEL2A-133-A"/>
    <x v="162"/>
    <s v="PFS Los Calatos V3"/>
    <s v="CD Capitals"/>
    <x v="1"/>
    <n v="2025"/>
    <n v="-1"/>
    <m/>
    <m/>
    <n v="1"/>
    <x v="102"/>
    <x v="0"/>
    <n v="36175"/>
    <x v="446"/>
    <x v="349"/>
    <n v="1"/>
    <n v="36175"/>
    <n v="1"/>
    <x v="132"/>
    <x v="538"/>
    <m/>
  </r>
  <r>
    <n v="603"/>
    <s v="PE-CSC-UG-FEL2A-133-A"/>
    <x v="162"/>
    <s v="PFS Los Calatos V3"/>
    <s v="CD Capitals"/>
    <x v="1"/>
    <n v="2025"/>
    <n v="-1"/>
    <m/>
    <m/>
    <n v="1"/>
    <x v="191"/>
    <x v="1"/>
    <n v="47631"/>
    <x v="447"/>
    <x v="350"/>
    <n v="1"/>
    <n v="47631"/>
    <n v="1"/>
    <x v="144"/>
    <x v="539"/>
    <m/>
  </r>
  <r>
    <n v="604"/>
    <s v="PE-CSC-UG-FEL2A-133-A"/>
    <x v="162"/>
    <s v="PFS Los Calatos V3"/>
    <s v="CD Capitals"/>
    <x v="1"/>
    <n v="2025"/>
    <n v="-1"/>
    <m/>
    <m/>
    <n v="1"/>
    <x v="167"/>
    <x v="2"/>
    <n v="34217"/>
    <x v="448"/>
    <x v="351"/>
    <n v="1"/>
    <n v="34217"/>
    <n v="1"/>
    <x v="64"/>
    <x v="540"/>
    <m/>
  </r>
  <r>
    <n v="605"/>
    <s v="PE-CSC-UG-FEL2A-133-A"/>
    <x v="162"/>
    <s v="PFS Los Calatos V3"/>
    <s v="CD Capitals"/>
    <x v="1"/>
    <n v="2025"/>
    <n v="-1"/>
    <m/>
    <m/>
    <n v="1"/>
    <x v="192"/>
    <x v="3"/>
    <n v="25392"/>
    <x v="449"/>
    <x v="352"/>
    <n v="1"/>
    <n v="25392"/>
    <n v="1"/>
    <x v="282"/>
    <x v="541"/>
    <s v="Factoring"/>
  </r>
  <r>
    <n v="606"/>
    <s v="PE-CSC-UG-FEL2A-133-A"/>
    <x v="162"/>
    <s v="PFS Los Calatos V3"/>
    <s v="CD Capitals"/>
    <x v="1"/>
    <n v="2025"/>
    <n v="-1"/>
    <m/>
    <m/>
    <n v="1"/>
    <x v="76"/>
    <x v="4"/>
    <n v="57648"/>
    <x v="450"/>
    <x v="144"/>
    <n v="1"/>
    <n v="57648"/>
    <n v="1"/>
    <x v="343"/>
    <x v="542"/>
    <m/>
  </r>
  <r>
    <n v="607"/>
    <s v="PE-CSC-UG-FEL2A-133-A"/>
    <x v="162"/>
    <s v="PFS Los Calatos V3"/>
    <s v="CD Capitals"/>
    <x v="1"/>
    <n v="2025"/>
    <n v="-1"/>
    <m/>
    <m/>
    <n v="1"/>
    <x v="77"/>
    <x v="5"/>
    <n v="59126"/>
    <x v="451"/>
    <x v="353"/>
    <n v="1"/>
    <n v="59126"/>
    <n v="1"/>
    <x v="260"/>
    <x v="543"/>
    <s v="Factoring"/>
  </r>
  <r>
    <n v="608"/>
    <s v="PE-CSC-UG-FEL2A-133-A"/>
    <x v="162"/>
    <s v="PFS Los Calatos V3"/>
    <s v="CD Capitals"/>
    <x v="1"/>
    <n v="2025"/>
    <n v="-1"/>
    <m/>
    <m/>
    <n v="1"/>
    <x v="78"/>
    <x v="6"/>
    <n v="30280"/>
    <x v="452"/>
    <x v="354"/>
    <n v="1"/>
    <n v="30280"/>
    <n v="1"/>
    <x v="344"/>
    <x v="544"/>
    <m/>
  </r>
  <r>
    <n v="609"/>
    <s v="PE-CSC-UG-FEL2A-133-A"/>
    <x v="162"/>
    <s v="PFS Los Calatos V3"/>
    <s v="CD Capitals"/>
    <x v="1"/>
    <n v="2025"/>
    <n v="-1"/>
    <m/>
    <m/>
    <n v="1"/>
    <x v="0"/>
    <x v="7"/>
    <n v="5300"/>
    <x v="453"/>
    <x v="355"/>
    <n v="1"/>
    <n v="5300"/>
    <n v="1"/>
    <x v="345"/>
    <x v="545"/>
    <m/>
  </r>
  <r>
    <n v="610"/>
    <s v="PE-CSC-UG-FEL2A-133-A"/>
    <x v="162"/>
    <s v="PFS Los Calatos V3"/>
    <s v="CD Capitals"/>
    <x v="1"/>
    <n v="2025"/>
    <n v="-1"/>
    <m/>
    <m/>
    <n v="1"/>
    <x v="193"/>
    <x v="8"/>
    <n v="40785"/>
    <x v="454"/>
    <x v="356"/>
    <n v="1"/>
    <n v="40785"/>
    <n v="1"/>
    <x v="146"/>
    <x v="546"/>
    <m/>
  </r>
  <r>
    <n v="611"/>
    <s v="CH-LUN-GM-OTR00-005-A"/>
    <x v="163"/>
    <s v="Candelaria Pilares"/>
    <s v="Lundin"/>
    <x v="2"/>
    <n v="2023"/>
    <n v="-1"/>
    <m/>
    <m/>
    <n v="1"/>
    <x v="5"/>
    <x v="0"/>
    <n v="27669.200000000001"/>
    <x v="455"/>
    <x v="357"/>
    <n v="1"/>
    <n v="27669"/>
    <n v="1"/>
    <x v="346"/>
    <x v="547"/>
    <m/>
  </r>
  <r>
    <n v="612"/>
    <s v="CH-LUN-GM-OTR00-005-A"/>
    <x v="163"/>
    <s v="Candelaria Pilares"/>
    <s v="Lundin"/>
    <x v="2"/>
    <n v="2023"/>
    <n v="-1"/>
    <m/>
    <m/>
    <n v="1"/>
    <x v="6"/>
    <x v="1"/>
    <n v="29365"/>
    <x v="262"/>
    <x v="357"/>
    <n v="1"/>
    <n v="29365"/>
    <n v="1"/>
    <x v="346"/>
    <x v="548"/>
    <m/>
  </r>
  <r>
    <n v="613"/>
    <s v="CH-LUN-GM-OTR00-005-A"/>
    <x v="163"/>
    <s v="Candelaria Pilares"/>
    <s v="Lundin"/>
    <x v="2"/>
    <n v="2023"/>
    <n v="-1"/>
    <m/>
    <m/>
    <n v="1"/>
    <x v="7"/>
    <x v="2"/>
    <n v="8901"/>
    <x v="456"/>
    <x v="357"/>
    <n v="1"/>
    <n v="8901"/>
    <n v="1"/>
    <x v="346"/>
    <x v="549"/>
    <m/>
  </r>
  <r>
    <n v="614"/>
    <s v="CH-LUN-GM-OTR00-005-A"/>
    <x v="163"/>
    <s v="Candelaria Pilares"/>
    <s v="Lundin"/>
    <x v="2"/>
    <n v="2023"/>
    <n v="-1"/>
    <m/>
    <m/>
    <n v="1"/>
    <x v="86"/>
    <x v="3"/>
    <n v="5427"/>
    <x v="457"/>
    <x v="357"/>
    <n v="1"/>
    <n v="5427"/>
    <n v="1"/>
    <x v="346"/>
    <x v="550"/>
    <m/>
  </r>
  <r>
    <n v="615"/>
    <s v="CH-LUN-GM-OTR00-005-A"/>
    <x v="163"/>
    <s v="Candelaria Pilares"/>
    <s v="Lundin"/>
    <x v="2"/>
    <n v="2023"/>
    <n v="-1"/>
    <m/>
    <m/>
    <n v="1"/>
    <x v="95"/>
    <x v="4"/>
    <n v="1745"/>
    <x v="126"/>
    <x v="358"/>
    <n v="1"/>
    <n v="1745"/>
    <n v="1"/>
    <x v="45"/>
    <x v="551"/>
    <m/>
  </r>
  <r>
    <n v="616"/>
    <s v="CH-COD-UG-OTR00-003-B"/>
    <x v="164"/>
    <s v="Planificacion Minera Subterranea"/>
    <s v="Codelco"/>
    <x v="2"/>
    <n v="2022"/>
    <n v="-1"/>
    <m/>
    <m/>
    <n v="1"/>
    <x v="94"/>
    <x v="0"/>
    <n v="48365.26"/>
    <x v="458"/>
    <x v="359"/>
    <n v="1"/>
    <n v="48365.26"/>
    <n v="1"/>
    <x v="124"/>
    <x v="552"/>
    <m/>
  </r>
  <r>
    <n v="617"/>
    <s v="CH-COD-UG-OTR00-003-B"/>
    <x v="164"/>
    <s v="Planificacion Minera Subterranea"/>
    <s v="Codelco"/>
    <x v="2"/>
    <n v="2023"/>
    <n v="-1"/>
    <m/>
    <m/>
    <n v="1"/>
    <x v="2"/>
    <x v="0"/>
    <n v="43637"/>
    <x v="459"/>
    <x v="360"/>
    <n v="1"/>
    <n v="43637"/>
    <n v="1"/>
    <x v="347"/>
    <x v="553"/>
    <m/>
  </r>
  <r>
    <n v="618"/>
    <s v="RU-POL-OP-FEL00-149-A"/>
    <x v="165"/>
    <s v="Polyus_Evaluacion talud mina Blagodatny"/>
    <s v="Polyus"/>
    <x v="3"/>
    <n v="2026"/>
    <n v="1"/>
    <d v="2026-02-25T00:00:00"/>
    <n v="87873"/>
    <n v="1"/>
    <x v="51"/>
    <x v="17"/>
    <n v="138023"/>
    <x v="0"/>
    <x v="65"/>
    <n v="1"/>
    <n v="138023"/>
    <n v="-1"/>
    <x v="348"/>
    <x v="36"/>
    <m/>
  </r>
  <r>
    <n v="619"/>
    <s v="RU-POL-OP-FEL00-149-A"/>
    <x v="165"/>
    <s v="Polyus_Evaluacion talud mina Blagodatny"/>
    <s v="Polyus"/>
    <x v="3"/>
    <n v="2026"/>
    <n v="-1"/>
    <m/>
    <m/>
    <n v="1"/>
    <x v="68"/>
    <x v="17"/>
    <n v="15725"/>
    <x v="0"/>
    <x v="361"/>
    <n v="1"/>
    <n v="15725"/>
    <n v="-1"/>
    <x v="348"/>
    <x v="36"/>
    <m/>
  </r>
  <r>
    <n v="620"/>
    <s v="RU-POL-OP-FEL00-173-A"/>
    <x v="166"/>
    <s v="Polyus_Olimpiada Cutback 5&amp;6"/>
    <s v="Polyus"/>
    <x v="3"/>
    <n v="2026"/>
    <n v="1"/>
    <d v="2026-02-25T00:00:00"/>
    <n v="33597"/>
    <n v="1"/>
    <x v="51"/>
    <x v="17"/>
    <n v="113391"/>
    <x v="0"/>
    <x v="65"/>
    <n v="1"/>
    <n v="113391"/>
    <n v="-1"/>
    <x v="349"/>
    <x v="36"/>
    <m/>
  </r>
  <r>
    <n v="621"/>
    <s v="RU-POL-OP-FEL00-173-A"/>
    <x v="166"/>
    <s v="Polyus_Olimpiada Cutback 5&amp;6"/>
    <s v="Polyus"/>
    <x v="3"/>
    <n v="2026"/>
    <n v="-1"/>
    <m/>
    <m/>
    <n v="1"/>
    <x v="68"/>
    <x v="17"/>
    <n v="65295"/>
    <x v="0"/>
    <x v="361"/>
    <n v="1"/>
    <n v="65295"/>
    <n v="-1"/>
    <x v="349"/>
    <x v="36"/>
    <m/>
  </r>
  <r>
    <n v="622"/>
    <s v="CH-PUC-CS-OTR00-170-A"/>
    <x v="167"/>
    <s v="PUCOBRE_Acompañamiento Reservas Tovaku"/>
    <s v="PUCOBRE"/>
    <x v="2"/>
    <n v="2025"/>
    <n v="-1"/>
    <m/>
    <m/>
    <n v="1"/>
    <x v="17"/>
    <x v="0"/>
    <n v="10175"/>
    <x v="460"/>
    <x v="362"/>
    <n v="1"/>
    <n v="10175"/>
    <n v="1"/>
    <x v="247"/>
    <x v="554"/>
    <m/>
  </r>
  <r>
    <n v="623"/>
    <s v="PE-MSR-UG-OTR00-042-A"/>
    <x v="168"/>
    <s v="Raura Modelo Operacional"/>
    <s v="Raura"/>
    <x v="1"/>
    <n v="2022"/>
    <n v="-1"/>
    <m/>
    <m/>
    <n v="1"/>
    <x v="94"/>
    <x v="0"/>
    <n v="76480"/>
    <x v="461"/>
    <x v="363"/>
    <n v="1"/>
    <n v="76385.09"/>
    <n v="1"/>
    <x v="350"/>
    <x v="555"/>
    <m/>
  </r>
  <r>
    <n v="624"/>
    <s v="PE-MSR-UG-OTR00-042-A"/>
    <x v="168"/>
    <s v="Raura Modelo Operacional"/>
    <s v="Raura"/>
    <x v="1"/>
    <n v="2023"/>
    <n v="-1"/>
    <m/>
    <m/>
    <n v="1"/>
    <x v="2"/>
    <x v="1"/>
    <n v="50046.400000000001"/>
    <x v="462"/>
    <x v="364"/>
    <n v="1"/>
    <n v="49915.51"/>
    <n v="1"/>
    <x v="2"/>
    <x v="556"/>
    <m/>
  </r>
  <r>
    <n v="625"/>
    <s v="PE-MSR-UG-OTR00-042-A"/>
    <x v="168"/>
    <s v="Raura Modelo Operacional"/>
    <s v="Minsur"/>
    <x v="1"/>
    <n v="2023"/>
    <n v="-1"/>
    <m/>
    <m/>
    <n v="1"/>
    <x v="11"/>
    <x v="2"/>
    <n v="56368"/>
    <x v="463"/>
    <x v="364"/>
    <n v="1"/>
    <n v="56217.41"/>
    <n v="1"/>
    <x v="351"/>
    <x v="557"/>
    <m/>
  </r>
  <r>
    <n v="626"/>
    <s v="PE-MSR-UG-OTR00-042-A"/>
    <x v="168"/>
    <s v="Raura Modelo Operacional"/>
    <s v="Minsur"/>
    <x v="1"/>
    <n v="2023"/>
    <n v="-1"/>
    <m/>
    <m/>
    <n v="1"/>
    <x v="3"/>
    <x v="3"/>
    <n v="40732.800000000003"/>
    <x v="464"/>
    <x v="365"/>
    <n v="1"/>
    <n v="40587.46"/>
    <n v="1"/>
    <x v="352"/>
    <x v="558"/>
    <m/>
  </r>
  <r>
    <n v="627"/>
    <s v="PE-MSR-UG-OTR00-042-A"/>
    <x v="168"/>
    <s v="Raura Modelo Operacional"/>
    <s v="Minsur"/>
    <x v="1"/>
    <n v="2023"/>
    <n v="-1"/>
    <m/>
    <m/>
    <n v="1"/>
    <x v="4"/>
    <x v="4"/>
    <n v="23129.600000000002"/>
    <x v="465"/>
    <x v="366"/>
    <n v="1"/>
    <n v="23129.599999999999"/>
    <n v="1"/>
    <x v="353"/>
    <x v="559"/>
    <s v="Se respondió en la misma factura"/>
  </r>
  <r>
    <n v="628"/>
    <s v="PE-MSR-UG-OTR00-042-A"/>
    <x v="168"/>
    <s v="Raura Modelo Operacional"/>
    <s v="Minsur"/>
    <x v="1"/>
    <n v="2023"/>
    <n v="-1"/>
    <m/>
    <m/>
    <n v="1"/>
    <x v="5"/>
    <x v="5"/>
    <n v="5339.1999999999825"/>
    <x v="465"/>
    <x v="366"/>
    <n v="1"/>
    <n v="5339.1999999999825"/>
    <n v="1"/>
    <x v="353"/>
    <x v="560"/>
    <s v="Se respondió en la misma factura"/>
  </r>
  <r>
    <n v="629"/>
    <s v="CH-CMP-OT-OTR00-025-A"/>
    <x v="169"/>
    <s v="RDP"/>
    <s v="CMP"/>
    <x v="2"/>
    <n v="2023"/>
    <n v="1"/>
    <d v="2023-10-01T00:00:00"/>
    <n v="34790"/>
    <n v="1"/>
    <x v="9"/>
    <x v="0"/>
    <n v="44990"/>
    <x v="466"/>
    <x v="12"/>
    <n v="1"/>
    <n v="44990"/>
    <n v="1"/>
    <x v="9"/>
    <x v="561"/>
    <m/>
  </r>
  <r>
    <n v="630"/>
    <s v="OT-RES-CS-OTR00-178-A"/>
    <x v="170"/>
    <s v="Resolution_General Review"/>
    <s v="Resolution"/>
    <x v="0"/>
    <n v="2025"/>
    <n v="-1"/>
    <m/>
    <m/>
    <n v="1"/>
    <x v="194"/>
    <x v="0"/>
    <n v="74044"/>
    <x v="0"/>
    <x v="213"/>
    <n v="1"/>
    <n v="74044"/>
    <n v="1"/>
    <x v="354"/>
    <x v="562"/>
    <m/>
  </r>
  <r>
    <n v="631"/>
    <s v="OT-RES-CS-OTR00-178-A"/>
    <x v="170"/>
    <s v="Resolution_General Review"/>
    <s v="Resolution"/>
    <x v="0"/>
    <n v="2025"/>
    <n v="-1"/>
    <m/>
    <m/>
    <n v="1"/>
    <x v="20"/>
    <x v="1"/>
    <n v="52266"/>
    <x v="0"/>
    <x v="204"/>
    <n v="1"/>
    <n v="52266"/>
    <n v="1"/>
    <x v="70"/>
    <x v="563"/>
    <m/>
  </r>
  <r>
    <n v="632"/>
    <s v="OT-RES-CS-OTR00-178-A"/>
    <x v="170"/>
    <s v="Resolution_General Review"/>
    <s v="Resolution"/>
    <x v="0"/>
    <n v="2025"/>
    <n v="-1"/>
    <m/>
    <m/>
    <n v="1"/>
    <x v="195"/>
    <x v="2"/>
    <n v="28311"/>
    <x v="0"/>
    <x v="367"/>
    <n v="1"/>
    <n v="28311"/>
    <n v="1"/>
    <x v="355"/>
    <x v="564"/>
    <m/>
  </r>
  <r>
    <n v="633"/>
    <s v="OT-RES-CS-OTR00-178-A"/>
    <x v="170"/>
    <s v="Resolution_General Review"/>
    <s v="Resolution"/>
    <x v="0"/>
    <n v="2026"/>
    <n v="-1"/>
    <m/>
    <m/>
    <n v="1"/>
    <x v="196"/>
    <x v="3"/>
    <n v="38737"/>
    <x v="0"/>
    <x v="76"/>
    <n v="1"/>
    <n v="38737"/>
    <n v="1"/>
    <x v="356"/>
    <x v="565"/>
    <s v="20k cobrados en edp que no estaban reflejados"/>
  </r>
  <r>
    <n v="634"/>
    <s v="OT-RES-CS-OTR00-178-A"/>
    <x v="170"/>
    <s v="Resolution_General Review"/>
    <s v="Resolution"/>
    <x v="0"/>
    <n v="2026"/>
    <n v="1"/>
    <d v="2026-02-25T00:00:00"/>
    <n v="28836"/>
    <n v="1"/>
    <x v="108"/>
    <x v="4"/>
    <n v="6418"/>
    <x v="0"/>
    <x v="368"/>
    <n v="1"/>
    <n v="6418"/>
    <n v="1"/>
    <x v="357"/>
    <x v="566"/>
    <m/>
  </r>
  <r>
    <n v="635"/>
    <s v="OT-RES-CS-OTR00-178-A"/>
    <x v="170"/>
    <s v="Resolution_General Review"/>
    <s v="Resolution"/>
    <x v="0"/>
    <n v="2026"/>
    <n v="-1"/>
    <m/>
    <m/>
    <n v="1"/>
    <x v="109"/>
    <x v="5"/>
    <n v="18720"/>
    <x v="0"/>
    <x v="369"/>
    <n v="1"/>
    <n v="18720"/>
    <n v="1"/>
    <x v="358"/>
    <x v="567"/>
    <m/>
  </r>
  <r>
    <n v="636"/>
    <s v="OT-RES-CS-OTR00-178-A"/>
    <x v="170"/>
    <s v="Resolution_General Review"/>
    <s v="Resolution"/>
    <x v="0"/>
    <n v="2026"/>
    <n v="-1"/>
    <m/>
    <m/>
    <n v="1"/>
    <x v="110"/>
    <x v="6"/>
    <n v="31080"/>
    <x v="36"/>
    <x v="31"/>
    <n v="-1"/>
    <m/>
    <n v="-1"/>
    <x v="30"/>
    <x v="36"/>
    <m/>
  </r>
  <r>
    <n v="637"/>
    <s v="OT-RES-CS-OTR00-131-A"/>
    <x v="171"/>
    <s v="Resolution_MinePlan Review"/>
    <s v="VP Mining"/>
    <x v="0"/>
    <n v="2025"/>
    <n v="-1"/>
    <m/>
    <m/>
    <n v="1"/>
    <x v="106"/>
    <x v="0"/>
    <n v="37712"/>
    <x v="0"/>
    <x v="370"/>
    <n v="1"/>
    <n v="37712"/>
    <n v="1"/>
    <x v="342"/>
    <x v="568"/>
    <m/>
  </r>
  <r>
    <n v="638"/>
    <s v="OT-RES-CS-OTR00-131-A"/>
    <x v="171"/>
    <s v="Resolution_MinePlan Review"/>
    <s v="VP Mining"/>
    <x v="0"/>
    <n v="2025"/>
    <n v="-1"/>
    <m/>
    <m/>
    <n v="1"/>
    <x v="197"/>
    <x v="1"/>
    <n v="92700"/>
    <x v="0"/>
    <x v="371"/>
    <n v="1"/>
    <n v="92700"/>
    <n v="1"/>
    <x v="359"/>
    <x v="569"/>
    <m/>
  </r>
  <r>
    <n v="639"/>
    <s v="OT-RES-CS-OTR00-131-A"/>
    <x v="171"/>
    <s v="Resolution_MinePlan Review"/>
    <s v="VP Mining"/>
    <x v="0"/>
    <n v="2025"/>
    <n v="-1"/>
    <m/>
    <m/>
    <n v="1"/>
    <x v="33"/>
    <x v="2"/>
    <n v="84975"/>
    <x v="0"/>
    <x v="66"/>
    <n v="1"/>
    <n v="84975"/>
    <n v="1"/>
    <x v="330"/>
    <x v="570"/>
    <m/>
  </r>
  <r>
    <n v="640"/>
    <s v="OT-RES-CS-OTR00-131-A"/>
    <x v="171"/>
    <s v="Resolution_MinePlan Review"/>
    <s v="VP Mining"/>
    <x v="0"/>
    <n v="2025"/>
    <n v="-1"/>
    <m/>
    <m/>
    <n v="1"/>
    <x v="103"/>
    <x v="3"/>
    <n v="38625"/>
    <x v="0"/>
    <x v="372"/>
    <n v="1"/>
    <n v="33475"/>
    <n v="1"/>
    <x v="41"/>
    <x v="571"/>
    <m/>
  </r>
  <r>
    <n v="641"/>
    <s v="OT-RES-CS-OTR00-150-A"/>
    <x v="172"/>
    <s v="Resolution_UGC 68L Program"/>
    <s v="VP Mining"/>
    <x v="0"/>
    <n v="2025"/>
    <n v="-1"/>
    <m/>
    <m/>
    <n v="1"/>
    <x v="198"/>
    <x v="0"/>
    <n v="47808"/>
    <x v="0"/>
    <x v="373"/>
    <n v="1"/>
    <n v="47800"/>
    <n v="1"/>
    <x v="201"/>
    <x v="572"/>
    <m/>
  </r>
  <r>
    <n v="642"/>
    <s v="CH-CMP-OP-OTR00-018-A"/>
    <x v="173"/>
    <s v="Romeral"/>
    <s v="CMP"/>
    <x v="2"/>
    <n v="2023"/>
    <n v="-1"/>
    <m/>
    <m/>
    <n v="1"/>
    <x v="4"/>
    <x v="0"/>
    <n v="197594.35250000001"/>
    <x v="72"/>
    <x v="5"/>
    <n v="1"/>
    <n v="197594.35250000001"/>
    <n v="1"/>
    <x v="5"/>
    <x v="573"/>
    <m/>
  </r>
  <r>
    <n v="643"/>
    <s v="CH-CMP-OP-OTR00-018-A"/>
    <x v="173"/>
    <s v="Romeral"/>
    <s v="CMP"/>
    <x v="2"/>
    <n v="2023"/>
    <n v="-1"/>
    <m/>
    <m/>
    <n v="1"/>
    <x v="5"/>
    <x v="1"/>
    <n v="84238"/>
    <x v="75"/>
    <x v="374"/>
    <n v="1"/>
    <n v="85435.37"/>
    <n v="1"/>
    <x v="360"/>
    <x v="574"/>
    <m/>
  </r>
  <r>
    <n v="644"/>
    <s v="CH-CMP-OP-OTR00-018-A"/>
    <x v="173"/>
    <s v="Romeral"/>
    <s v="CMP"/>
    <x v="2"/>
    <n v="2023"/>
    <n v="-1"/>
    <m/>
    <m/>
    <n v="1"/>
    <x v="6"/>
    <x v="2"/>
    <n v="55572"/>
    <x v="405"/>
    <x v="6"/>
    <n v="1"/>
    <n v="55572.160000000003"/>
    <n v="1"/>
    <x v="6"/>
    <x v="575"/>
    <s v="-"/>
  </r>
  <r>
    <n v="645"/>
    <s v="CH-CMP-OP-OTR00-018-A"/>
    <x v="173"/>
    <s v="Romeral"/>
    <s v="CMP"/>
    <x v="2"/>
    <n v="2023"/>
    <n v="-1"/>
    <m/>
    <m/>
    <n v="1"/>
    <x v="7"/>
    <x v="3"/>
    <n v="74696"/>
    <x v="406"/>
    <x v="7"/>
    <n v="1"/>
    <n v="74696"/>
    <n v="1"/>
    <x v="7"/>
    <x v="576"/>
    <m/>
  </r>
  <r>
    <n v="646"/>
    <s v="CH-CMP-OP-OTR00-018-A"/>
    <x v="173"/>
    <s v="Romeral"/>
    <s v="CMP"/>
    <x v="2"/>
    <n v="2023"/>
    <n v="-1"/>
    <m/>
    <m/>
    <n v="1"/>
    <x v="8"/>
    <x v="4"/>
    <n v="45701.05"/>
    <x v="467"/>
    <x v="8"/>
    <n v="1"/>
    <n v="45701"/>
    <n v="1"/>
    <x v="8"/>
    <x v="577"/>
    <m/>
  </r>
  <r>
    <n v="647"/>
    <s v="CH-CMP-OP-OTR00-018-A"/>
    <x v="173"/>
    <s v="Romeral"/>
    <s v="CMP"/>
    <x v="2"/>
    <n v="2023"/>
    <n v="-1"/>
    <m/>
    <m/>
    <n v="1"/>
    <x v="95"/>
    <x v="5"/>
    <n v="27702"/>
    <x v="79"/>
    <x v="375"/>
    <n v="1"/>
    <n v="27702"/>
    <n v="1"/>
    <x v="45"/>
    <x v="578"/>
    <m/>
  </r>
  <r>
    <n v="648"/>
    <s v="CH-CMP-OP-OTR00-018-A"/>
    <x v="173"/>
    <s v="Romeral"/>
    <s v="CMP"/>
    <x v="2"/>
    <n v="2023"/>
    <n v="1"/>
    <d v="2023-09-01T00:00:00"/>
    <n v="61272"/>
    <n v="1"/>
    <x v="1"/>
    <x v="6"/>
    <n v="38387"/>
    <x v="267"/>
    <x v="375"/>
    <n v="1"/>
    <n v="38387"/>
    <n v="1"/>
    <x v="45"/>
    <x v="579"/>
    <m/>
  </r>
  <r>
    <n v="649"/>
    <s v="CH-CMP-OP-OTR00-018-A"/>
    <x v="173"/>
    <s v="Romeral"/>
    <s v="CMP"/>
    <x v="2"/>
    <n v="2023"/>
    <n v="1"/>
    <d v="2023-10-01T00:00:00"/>
    <n v="22885"/>
    <n v="1"/>
    <x v="9"/>
    <x v="7"/>
    <n v="21231"/>
    <x v="468"/>
    <x v="10"/>
    <n v="1"/>
    <n v="21231"/>
    <n v="1"/>
    <x v="10"/>
    <x v="580"/>
    <m/>
  </r>
  <r>
    <n v="650"/>
    <s v="CH-CMP-OP-OTR00-018-A"/>
    <x v="173"/>
    <s v="Romeral"/>
    <s v="CMP"/>
    <x v="2"/>
    <n v="2023"/>
    <n v="1"/>
    <d v="2023-11-01T00:00:00"/>
    <n v="1654"/>
    <n v="1"/>
    <x v="12"/>
    <x v="8"/>
    <n v="90409"/>
    <x v="469"/>
    <x v="156"/>
    <n v="1"/>
    <n v="90409"/>
    <n v="1"/>
    <x v="22"/>
    <x v="581"/>
    <m/>
  </r>
  <r>
    <n v="651"/>
    <s v="CH-CMP-OP-OTR00-018-A"/>
    <x v="173"/>
    <s v="Romeral"/>
    <s v="CMP"/>
    <x v="2"/>
    <n v="2024"/>
    <n v="-1"/>
    <d v="2024-01-01T00:00:00"/>
    <n v="0"/>
    <n v="1"/>
    <x v="96"/>
    <x v="9"/>
    <n v="9515"/>
    <x v="470"/>
    <x v="376"/>
    <n v="1"/>
    <n v="9515"/>
    <n v="1"/>
    <x v="154"/>
    <x v="582"/>
    <m/>
  </r>
  <r>
    <n v="652"/>
    <s v="PE-MSR-UG-OTR00-043-A"/>
    <x v="174"/>
    <s v="San Rafael Contrato Marco"/>
    <s v="Minsur"/>
    <x v="1"/>
    <n v="2023"/>
    <n v="-1"/>
    <m/>
    <m/>
    <n v="1"/>
    <x v="5"/>
    <x v="0"/>
    <n v="49792"/>
    <x v="471"/>
    <x v="377"/>
    <n v="1"/>
    <n v="49792"/>
    <n v="1"/>
    <x v="361"/>
    <x v="583"/>
    <m/>
  </r>
  <r>
    <n v="653"/>
    <s v="PE-MSR-UG-OTR00-044-A"/>
    <x v="175"/>
    <s v="San Rafael Modelo Operacional"/>
    <s v="Minsur"/>
    <x v="1"/>
    <n v="2023"/>
    <n v="-1"/>
    <m/>
    <m/>
    <n v="1"/>
    <x v="5"/>
    <x v="0"/>
    <n v="170704"/>
    <x v="472"/>
    <x v="377"/>
    <n v="1"/>
    <n v="170704"/>
    <n v="1"/>
    <x v="361"/>
    <x v="584"/>
    <m/>
  </r>
  <r>
    <n v="654"/>
    <s v="PE-MSR-UG-OTR00-044-A"/>
    <x v="175"/>
    <s v="San Rafael Modelo Operacional"/>
    <s v="Minsur"/>
    <x v="1"/>
    <n v="2023"/>
    <n v="-1"/>
    <m/>
    <m/>
    <n v="1"/>
    <x v="6"/>
    <x v="1"/>
    <n v="32056"/>
    <x v="473"/>
    <x v="378"/>
    <n v="1"/>
    <n v="32056"/>
    <n v="1"/>
    <x v="362"/>
    <x v="585"/>
    <m/>
  </r>
  <r>
    <n v="655"/>
    <s v="PE-MSR-UG-OTR00-044-A"/>
    <x v="175"/>
    <s v="San Rafael Modelo Operacional"/>
    <s v="Minsur"/>
    <x v="1"/>
    <n v="2023"/>
    <n v="-1"/>
    <m/>
    <m/>
    <n v="1"/>
    <x v="199"/>
    <x v="2"/>
    <n v="30392"/>
    <x v="474"/>
    <x v="379"/>
    <n v="1"/>
    <n v="30392"/>
    <n v="1"/>
    <x v="363"/>
    <x v="586"/>
    <s v="El dia 29/02 llegó un correo del cliente donde emite la Orden de Cambio / a petición de cliente se separo el monto en 2 EDP"/>
  </r>
  <r>
    <n v="656"/>
    <s v="PE-MSR-UG-OTR00-044-A"/>
    <x v="175"/>
    <s v="San Rafael Modelo Operacional"/>
    <s v="Minsur"/>
    <x v="1"/>
    <n v="2023"/>
    <n v="-1"/>
    <m/>
    <m/>
    <n v="1"/>
    <x v="199"/>
    <x v="3"/>
    <n v="30392"/>
    <x v="475"/>
    <x v="120"/>
    <n v="1"/>
    <n v="30392"/>
    <n v="1"/>
    <x v="364"/>
    <x v="586"/>
    <s v="El dia 29/02 llegó un correo del cliente donde emite la Orden de Cambio / a petición de cliente se separo el monto en 2 EDP"/>
  </r>
  <r>
    <n v="657"/>
    <s v="PE-MSR-UG-OTR00-045-A"/>
    <x v="176"/>
    <s v="Minsur_SIMPREP San Rafael"/>
    <s v="Minsur"/>
    <x v="1"/>
    <n v="2023"/>
    <n v="1"/>
    <d v="2023-09-01T00:00:00"/>
    <n v="19715"/>
    <n v="1"/>
    <x v="1"/>
    <x v="0"/>
    <n v="30014.519999999997"/>
    <x v="476"/>
    <x v="380"/>
    <n v="1"/>
    <n v="30000"/>
    <n v="1"/>
    <x v="365"/>
    <x v="587"/>
    <m/>
  </r>
  <r>
    <n v="658"/>
    <s v="PE-MSR-UG-OTR00-045-A"/>
    <x v="176"/>
    <s v="Minsur_SIMPREP San Rafael"/>
    <s v="Minsur"/>
    <x v="1"/>
    <n v="2023"/>
    <n v="1"/>
    <d v="2023-10-01T00:00:00"/>
    <n v="50809"/>
    <n v="1"/>
    <x v="9"/>
    <x v="1"/>
    <n v="32480.2"/>
    <x v="477"/>
    <x v="182"/>
    <n v="1"/>
    <n v="32480.2"/>
    <n v="1"/>
    <x v="280"/>
    <x v="588"/>
    <m/>
  </r>
  <r>
    <n v="659"/>
    <s v="PE-MSR-UG-OTR00-045-A"/>
    <x v="176"/>
    <s v="Minsur_SIMPREP San Rafael"/>
    <s v="Minsur"/>
    <x v="1"/>
    <n v="2023"/>
    <n v="1"/>
    <d v="2023-12-01T00:00:00"/>
    <n v="19354"/>
    <n v="1"/>
    <x v="165"/>
    <x v="2"/>
    <n v="19649.28"/>
    <x v="478"/>
    <x v="381"/>
    <n v="1"/>
    <n v="19649.28"/>
    <n v="1"/>
    <x v="280"/>
    <x v="589"/>
    <m/>
  </r>
  <r>
    <n v="660"/>
    <s v="CD-SGO-CS-OTR00-213-A"/>
    <x v="177"/>
    <s v="SeabridgeGold_HoV analysis for the KSM"/>
    <s v="Seabridge Gold"/>
    <x v="6"/>
    <n v="2026"/>
    <n v="-1"/>
    <m/>
    <m/>
    <n v="1"/>
    <x v="118"/>
    <x v="0"/>
    <n v="47121"/>
    <x v="36"/>
    <x v="31"/>
    <n v="-1"/>
    <m/>
    <n v="-1"/>
    <x v="30"/>
    <x v="36"/>
    <m/>
  </r>
  <r>
    <n v="661"/>
    <s v="RU-SEL-UG-FEL2A-072-A"/>
    <x v="178"/>
    <s v="Seligdar_Kyuchus"/>
    <s v="Seligdar"/>
    <x v="3"/>
    <n v="2026"/>
    <n v="1"/>
    <d v="2026-02-25T00:00:00"/>
    <n v="1217640"/>
    <n v="1"/>
    <x v="200"/>
    <x v="17"/>
    <n v="400000"/>
    <x v="0"/>
    <x v="78"/>
    <n v="1"/>
    <n v="400000"/>
    <n v="-1"/>
    <x v="366"/>
    <x v="36"/>
    <s v="Monto total facturado 1.343.878 USD"/>
  </r>
  <r>
    <n v="662"/>
    <s v="PE-SME-UG-FEL2A-046-A"/>
    <x v="179"/>
    <s v="Sierra Metals_Plan de Minado"/>
    <s v="Sierra metals"/>
    <x v="1"/>
    <n v="2023"/>
    <n v="1"/>
    <d v="2023-11-01T00:00:00"/>
    <n v="18705"/>
    <n v="1"/>
    <x v="38"/>
    <x v="0"/>
    <n v="36681.875"/>
    <x v="479"/>
    <x v="22"/>
    <n v="1"/>
    <n v="36682"/>
    <n v="1"/>
    <x v="280"/>
    <x v="590"/>
    <s v="El cliente desea que la totalidad del proyecto este en un EDP"/>
  </r>
  <r>
    <n v="663"/>
    <s v="PE-SME-UG-FEL2A-046-A"/>
    <x v="179"/>
    <s v="Sierra Metals_Plan de Minado"/>
    <s v="Sierra metals"/>
    <x v="1"/>
    <n v="2024"/>
    <n v="1"/>
    <d v="2024-02-01T00:00:00"/>
    <n v="19948"/>
    <n v="1"/>
    <x v="201"/>
    <x v="1"/>
    <n v="14729"/>
    <x v="480"/>
    <x v="382"/>
    <n v="1"/>
    <n v="14729"/>
    <n v="1"/>
    <x v="367"/>
    <x v="591"/>
    <s v="Se acordó con cliente cobrar al 90% del monto contractual"/>
  </r>
  <r>
    <n v="664"/>
    <s v="PE-SME-UG-FEL2A-046-A"/>
    <x v="179"/>
    <s v="Sierra Metals_Plan de Minado"/>
    <s v="Sierra metals"/>
    <x v="1"/>
    <n v="2024"/>
    <n v="-1"/>
    <m/>
    <m/>
    <n v="1"/>
    <x v="28"/>
    <x v="2"/>
    <n v="5218"/>
    <x v="71"/>
    <x v="31"/>
    <n v="-1"/>
    <m/>
    <n v="-1"/>
    <x v="30"/>
    <x v="36"/>
    <s v="E001-269"/>
  </r>
  <r>
    <n v="665"/>
    <s v="PE-SME-CS-OTR00-099-A"/>
    <x v="180"/>
    <s v="SierraMetals_Update MEIA Yauricocha"/>
    <s v="Sierra metals"/>
    <x v="1"/>
    <n v="2024"/>
    <n v="-1"/>
    <m/>
    <m/>
    <n v="1"/>
    <x v="27"/>
    <x v="0"/>
    <n v="20941"/>
    <x v="481"/>
    <x v="221"/>
    <n v="1"/>
    <n v="20503"/>
    <n v="1"/>
    <x v="368"/>
    <x v="592"/>
    <m/>
  </r>
  <r>
    <n v="666"/>
    <s v="PE-SME-CS-OTR00-099-A"/>
    <x v="180"/>
    <s v="SierraMetals_Update MEIA Yauricocha"/>
    <s v="Sierra metals"/>
    <x v="1"/>
    <n v="2024"/>
    <n v="-1"/>
    <m/>
    <m/>
    <n v="1"/>
    <x v="133"/>
    <x v="1"/>
    <n v="32848"/>
    <x v="482"/>
    <x v="383"/>
    <n v="1"/>
    <n v="32848"/>
    <n v="1"/>
    <x v="369"/>
    <x v="593"/>
    <m/>
  </r>
  <r>
    <n v="667"/>
    <s v="PE-SME-CS-OTR00-099-A"/>
    <x v="180"/>
    <s v="SierraMetals_Update MEIA Yauricocha"/>
    <s v="Sierra metals"/>
    <x v="1"/>
    <n v="2024"/>
    <n v="-1"/>
    <m/>
    <m/>
    <n v="1"/>
    <x v="29"/>
    <x v="2"/>
    <n v="24147"/>
    <x v="483"/>
    <x v="38"/>
    <n v="1"/>
    <n v="24147"/>
    <n v="1"/>
    <x v="370"/>
    <x v="594"/>
    <m/>
  </r>
  <r>
    <n v="668"/>
    <s v="OT-STH-CS-OTR00-201-A"/>
    <x v="181"/>
    <s v="South32_Clark Project"/>
    <s v="South32"/>
    <x v="0"/>
    <n v="2026"/>
    <n v="1"/>
    <d v="2026-03-01T00:00:00"/>
    <n v="28325"/>
    <n v="1"/>
    <x v="10"/>
    <x v="0"/>
    <n v="38203"/>
    <x v="0"/>
    <x v="189"/>
    <n v="1"/>
    <n v="38203"/>
    <n v="1"/>
    <x v="371"/>
    <x v="595"/>
    <m/>
  </r>
  <r>
    <n v="669"/>
    <s v="OT-STH-CS-OTR00-201-A"/>
    <x v="181"/>
    <s v="South32_Clark Project"/>
    <s v="South32"/>
    <x v="0"/>
    <n v="2026"/>
    <n v="-1"/>
    <m/>
    <m/>
    <n v="1"/>
    <x v="109"/>
    <x v="1"/>
    <n v="30030"/>
    <x v="0"/>
    <x v="384"/>
    <n v="1"/>
    <n v="30030"/>
    <n v="-1"/>
    <x v="372"/>
    <x v="36"/>
    <m/>
  </r>
  <r>
    <n v="670"/>
    <s v="OT-STH-CS-OTR00-201-A"/>
    <x v="181"/>
    <s v="South32_Clark Project"/>
    <s v="South32"/>
    <x v="0"/>
    <n v="2026"/>
    <n v="-1"/>
    <m/>
    <m/>
    <n v="1"/>
    <x v="118"/>
    <x v="2"/>
    <n v="41003"/>
    <x v="36"/>
    <x v="31"/>
    <n v="-1"/>
    <m/>
    <n v="-1"/>
    <x v="30"/>
    <x v="36"/>
    <m/>
  </r>
  <r>
    <n v="671"/>
    <s v="CH-BHP-OP-OTR00-085-A"/>
    <x v="182"/>
    <s v="Spence_Confiabilidad Plan 2YB 2025"/>
    <s v="BHP"/>
    <x v="2"/>
    <n v="2024"/>
    <n v="-1"/>
    <m/>
    <m/>
    <n v="1"/>
    <x v="25"/>
    <x v="0"/>
    <n v="35073"/>
    <x v="484"/>
    <x v="385"/>
    <n v="1"/>
    <n v="35073"/>
    <n v="1"/>
    <x v="174"/>
    <x v="596"/>
    <m/>
  </r>
  <r>
    <n v="672"/>
    <s v="PE-SPM-UG-FEL03-160-A"/>
    <x v="183"/>
    <s v="SPM_FS Labores Subterraneas 2da MEIA"/>
    <s v="Santander Peruvian"/>
    <x v="1"/>
    <n v="2025"/>
    <n v="-1"/>
    <m/>
    <m/>
    <n v="1"/>
    <x v="19"/>
    <x v="0"/>
    <n v="20803"/>
    <x v="485"/>
    <x v="238"/>
    <n v="1"/>
    <n v="20841"/>
    <n v="1"/>
    <x v="373"/>
    <x v="597"/>
    <s v="Factorizar"/>
  </r>
  <r>
    <n v="673"/>
    <s v="PE-SPM-UG-FEL03-160-A"/>
    <x v="183"/>
    <s v="SPM_FS Labores Subterraneas 2da MEIA"/>
    <s v="Santander Peruvian"/>
    <x v="1"/>
    <n v="2025"/>
    <n v="-1"/>
    <m/>
    <m/>
    <n v="1"/>
    <x v="20"/>
    <x v="1"/>
    <n v="39809"/>
    <x v="486"/>
    <x v="56"/>
    <n v="1"/>
    <n v="39809"/>
    <n v="1"/>
    <x v="355"/>
    <x v="598"/>
    <m/>
  </r>
  <r>
    <n v="674"/>
    <s v="PE-SPM-UG-FEL03-160-A"/>
    <x v="183"/>
    <s v="SPM_FS Labores Subterraneas 2da MEIA"/>
    <s v="Santander Peruvian"/>
    <x v="1"/>
    <n v="2025"/>
    <n v="-1"/>
    <m/>
    <m/>
    <n v="1"/>
    <x v="202"/>
    <x v="2"/>
    <n v="33598"/>
    <x v="487"/>
    <x v="281"/>
    <n v="1"/>
    <n v="33598"/>
    <n v="1"/>
    <x v="374"/>
    <x v="599"/>
    <m/>
  </r>
  <r>
    <n v="675"/>
    <s v="PE-SPM-UG-FEL03-160-A"/>
    <x v="183"/>
    <s v="SPM_FS Labores Subterraneas 2da MEIA"/>
    <s v="SPM"/>
    <x v="1"/>
    <n v="2026"/>
    <n v="-1"/>
    <m/>
    <m/>
    <n v="1"/>
    <x v="109"/>
    <x v="3"/>
    <n v="28029.29"/>
    <x v="488"/>
    <x v="386"/>
    <n v="1"/>
    <n v="18487.98"/>
    <n v="1"/>
    <x v="162"/>
    <x v="600"/>
    <s v="Incluye el 1 de la adenda"/>
  </r>
  <r>
    <n v="676"/>
    <s v="OT-STC-UG-FEL03-210-A"/>
    <x v="184"/>
    <s v="Stantec_I80 Archimedes UG FS"/>
    <s v="Stantec"/>
    <x v="0"/>
    <n v="2026"/>
    <n v="-1"/>
    <m/>
    <m/>
    <n v="1"/>
    <x v="123"/>
    <x v="0"/>
    <n v="37804"/>
    <x v="0"/>
    <x v="387"/>
    <n v="1"/>
    <n v="37804"/>
    <n v="-1"/>
    <x v="375"/>
    <x v="36"/>
    <m/>
  </r>
  <r>
    <n v="677"/>
    <s v="BR-TAB-OP-FEL00-158-A"/>
    <x v="185"/>
    <s v="Taboca_Evaluación Mina Pitinga"/>
    <s v="Taboca"/>
    <x v="4"/>
    <n v="2025"/>
    <n v="-1"/>
    <m/>
    <m/>
    <n v="1"/>
    <x v="203"/>
    <x v="0"/>
    <n v="40750"/>
    <x v="430"/>
    <x v="388"/>
    <n v="1"/>
    <n v="40750"/>
    <n v="1"/>
    <x v="59"/>
    <x v="601"/>
    <m/>
  </r>
  <r>
    <n v="678"/>
    <s v="BR-TAB-OP-FEL00-158-A"/>
    <x v="185"/>
    <s v="Taboca_Evaluación Mina Pitinga"/>
    <s v="Taboca"/>
    <x v="4"/>
    <n v="2025"/>
    <n v="-1"/>
    <m/>
    <m/>
    <n v="1"/>
    <x v="49"/>
    <x v="1"/>
    <n v="107370"/>
    <x v="431"/>
    <x v="389"/>
    <n v="1"/>
    <n v="107128"/>
    <n v="1"/>
    <x v="376"/>
    <x v="602"/>
    <m/>
  </r>
  <r>
    <n v="679"/>
    <s v="BR-TAB-OP-FEL00-158-A"/>
    <x v="185"/>
    <s v="Taboca_Evaluación Mina Pitinga"/>
    <s v="Taboca"/>
    <x v="4"/>
    <n v="2025"/>
    <n v="-1"/>
    <m/>
    <m/>
    <n v="1"/>
    <x v="59"/>
    <x v="2"/>
    <n v="31880"/>
    <x v="467"/>
    <x v="355"/>
    <n v="1"/>
    <n v="29004.770642201835"/>
    <n v="1"/>
    <x v="190"/>
    <x v="603"/>
    <m/>
  </r>
  <r>
    <n v="680"/>
    <m/>
    <x v="186"/>
    <s v="The Boston Consulting Group"/>
    <s v="BCG"/>
    <x v="2"/>
    <n v="2025"/>
    <n v="-1"/>
    <m/>
    <m/>
    <n v="1"/>
    <x v="204"/>
    <x v="0"/>
    <n v="22182"/>
    <x v="489"/>
    <x v="390"/>
    <n v="1"/>
    <n v="22182"/>
    <n v="1"/>
    <x v="377"/>
    <x v="604"/>
    <m/>
  </r>
  <r>
    <n v="681"/>
    <s v="OT-THC-CS-OTR00-122-A"/>
    <x v="187"/>
    <s v="ThreeCrowns_Litigio Oyu Tolgoi"/>
    <s v="ThreeCrowns"/>
    <x v="0"/>
    <n v="2024"/>
    <n v="-1"/>
    <m/>
    <m/>
    <n v="1"/>
    <x v="205"/>
    <x v="0"/>
    <n v="28545"/>
    <x v="0"/>
    <x v="391"/>
    <n v="1"/>
    <n v="28545"/>
    <n v="1"/>
    <x v="314"/>
    <x v="605"/>
    <m/>
  </r>
  <r>
    <n v="682"/>
    <s v="OT-THC-CS-OTR00-122-A"/>
    <x v="187"/>
    <s v="ThreeCrowns_Litigio Oyu Tolgoi"/>
    <s v="ThreeCrowns"/>
    <x v="0"/>
    <n v="2025"/>
    <n v="-1"/>
    <m/>
    <m/>
    <n v="1"/>
    <x v="71"/>
    <x v="1"/>
    <n v="74100"/>
    <x v="0"/>
    <x v="392"/>
    <n v="1"/>
    <n v="74100"/>
    <n v="1"/>
    <x v="378"/>
    <x v="606"/>
    <s v="Invoice fueron ajustados y emitidos el 11/07"/>
  </r>
  <r>
    <n v="683"/>
    <s v="OT-THC-CS-OTR00-122-A"/>
    <x v="187"/>
    <s v="ThreeCrowns_Litigio Oyu Tolgoi"/>
    <s v="ThreeCrowns"/>
    <x v="0"/>
    <n v="2025"/>
    <n v="-1"/>
    <m/>
    <m/>
    <n v="1"/>
    <x v="77"/>
    <x v="2"/>
    <n v="129000"/>
    <x v="0"/>
    <x v="137"/>
    <n v="1"/>
    <n v="129000"/>
    <n v="1"/>
    <x v="378"/>
    <x v="607"/>
    <s v="Invoice fueron ajustados y emitidos el 11/07"/>
  </r>
  <r>
    <n v="684"/>
    <s v="OT-THC-CS-OTR00-122-A"/>
    <x v="187"/>
    <s v="ThreeCrowns_Litigio Oyu Tolgoi"/>
    <s v="ThreeCrowns"/>
    <x v="0"/>
    <n v="2025"/>
    <n v="-1"/>
    <m/>
    <m/>
    <n v="1"/>
    <x v="78"/>
    <x v="3"/>
    <n v="114100"/>
    <x v="0"/>
    <x v="70"/>
    <n v="1"/>
    <n v="114100"/>
    <n v="1"/>
    <x v="378"/>
    <x v="608"/>
    <s v="Se elimina fee 10% adm"/>
  </r>
  <r>
    <n v="685"/>
    <s v="OT-THC-CS-OTR00-122-A"/>
    <x v="187"/>
    <s v="ThreeCrowns_Litigio Oyu Tolgoi"/>
    <s v="ThreeCrowns"/>
    <x v="0"/>
    <n v="2025"/>
    <n v="-1"/>
    <m/>
    <m/>
    <n v="1"/>
    <x v="206"/>
    <x v="4"/>
    <n v="150000"/>
    <x v="0"/>
    <x v="393"/>
    <n v="1"/>
    <n v="150000"/>
    <n v="1"/>
    <x v="378"/>
    <x v="609"/>
    <m/>
  </r>
  <r>
    <n v="686"/>
    <s v="OT-THC-CS-OTR00-122-A"/>
    <x v="187"/>
    <s v="ThreeCrowns_Litigio Oyu Tolgoi"/>
    <s v="ThreeCrowns"/>
    <x v="0"/>
    <n v="2025"/>
    <n v="-1"/>
    <m/>
    <m/>
    <n v="1"/>
    <x v="17"/>
    <x v="5"/>
    <n v="178500"/>
    <x v="0"/>
    <x v="393"/>
    <n v="1"/>
    <n v="178500"/>
    <n v="1"/>
    <x v="378"/>
    <x v="610"/>
    <m/>
  </r>
  <r>
    <n v="687"/>
    <s v="OT-THC-CS-OTR00-122-A"/>
    <x v="187"/>
    <s v="ThreeCrowns_Litigio Oyu Tolgoi"/>
    <s v="ThreeCrowns"/>
    <x v="0"/>
    <n v="2025"/>
    <n v="-1"/>
    <m/>
    <m/>
    <n v="-1"/>
    <x v="93"/>
    <x v="17"/>
    <m/>
    <x v="0"/>
    <x v="31"/>
    <n v="-1"/>
    <m/>
    <n v="1"/>
    <x v="153"/>
    <x v="611"/>
    <s v="Gastos Reembolsables del estudio"/>
  </r>
  <r>
    <n v="688"/>
    <s v="OT-TWM-CS-FEL00-119-A"/>
    <x v="188"/>
    <s v="Twin Metals_Pre PFS Birch Lake Maturi"/>
    <s v="TwinMetals"/>
    <x v="0"/>
    <n v="2024"/>
    <n v="-1"/>
    <m/>
    <m/>
    <n v="1"/>
    <x v="89"/>
    <x v="0"/>
    <n v="51319"/>
    <x v="0"/>
    <x v="394"/>
    <n v="1"/>
    <n v="51319"/>
    <n v="1"/>
    <x v="379"/>
    <x v="612"/>
    <m/>
  </r>
  <r>
    <n v="689"/>
    <s v="OT-TWM-CS-FEL00-119-A"/>
    <x v="188"/>
    <s v="Twin Metals_Pre PFS Birch Lake Maturi"/>
    <s v="TwinMetals"/>
    <x v="0"/>
    <n v="2024"/>
    <n v="-1"/>
    <m/>
    <m/>
    <n v="1"/>
    <x v="90"/>
    <x v="1"/>
    <n v="61422"/>
    <x v="0"/>
    <x v="394"/>
    <n v="1"/>
    <n v="61422"/>
    <n v="1"/>
    <x v="379"/>
    <x v="613"/>
    <m/>
  </r>
  <r>
    <n v="690"/>
    <s v="OT-TWM-CS-FEL00-119-A"/>
    <x v="188"/>
    <s v="Twin Metals_Pre PFS Birch Lake Maturi"/>
    <s v="TwinMetals"/>
    <x v="0"/>
    <n v="2025"/>
    <n v="-1"/>
    <m/>
    <m/>
    <n v="1"/>
    <x v="91"/>
    <x v="2"/>
    <n v="80209"/>
    <x v="0"/>
    <x v="349"/>
    <n v="1"/>
    <n v="80209"/>
    <n v="1"/>
    <x v="132"/>
    <x v="614"/>
    <m/>
  </r>
  <r>
    <n v="691"/>
    <s v="OT-TWM-CS-FEL00-119-A"/>
    <x v="188"/>
    <s v="Twin Metals_Pre PFS Birch Lake Maturi"/>
    <s v="TwinMetals"/>
    <x v="0"/>
    <n v="2025"/>
    <n v="-1"/>
    <m/>
    <m/>
    <n v="1"/>
    <x v="33"/>
    <x v="3"/>
    <n v="112980.7"/>
    <x v="0"/>
    <x v="395"/>
    <n v="1"/>
    <n v="112981"/>
    <n v="1"/>
    <x v="144"/>
    <x v="615"/>
    <m/>
  </r>
  <r>
    <n v="692"/>
    <s v="OT-TWM-CS-FEL00-119-A"/>
    <x v="188"/>
    <s v="Twin Metals_Pre PFS Birch Lake Maturi"/>
    <s v="TwinMetals"/>
    <x v="0"/>
    <n v="2025"/>
    <n v="-1"/>
    <m/>
    <m/>
    <n v="1"/>
    <x v="207"/>
    <x v="4"/>
    <n v="101319.4"/>
    <x v="0"/>
    <x v="396"/>
    <n v="1"/>
    <n v="101319.4"/>
    <n v="1"/>
    <x v="380"/>
    <x v="616"/>
    <m/>
  </r>
  <r>
    <n v="693"/>
    <s v="OT-TWM-CS-FEL00-119-A"/>
    <x v="188"/>
    <s v="Twin Metals_Pre PFS Birch Lake Maturi"/>
    <s v="TwinMetals"/>
    <x v="0"/>
    <n v="2025"/>
    <n v="-1"/>
    <m/>
    <m/>
    <n v="1"/>
    <x v="35"/>
    <x v="5"/>
    <n v="60296"/>
    <x v="0"/>
    <x v="397"/>
    <n v="1"/>
    <n v="60269"/>
    <n v="1"/>
    <x v="380"/>
    <x v="617"/>
    <m/>
  </r>
  <r>
    <n v="694"/>
    <s v="OT-TWM-CS-FEL00-119-A"/>
    <x v="188"/>
    <s v="Twin Metals_Pre PFS Birch Lake Maturi"/>
    <s v="TwinMetals"/>
    <x v="0"/>
    <n v="2025"/>
    <n v="-1"/>
    <m/>
    <m/>
    <n v="1"/>
    <x v="71"/>
    <x v="6"/>
    <n v="13995"/>
    <x v="0"/>
    <x v="144"/>
    <n v="1"/>
    <n v="13995"/>
    <n v="1"/>
    <x v="79"/>
    <x v="618"/>
    <m/>
  </r>
  <r>
    <n v="695"/>
    <s v="OT-TWM-CS-FEL00-141-A"/>
    <x v="189"/>
    <s v="TwinMetals_Birch Lake Integration"/>
    <s v="TwinMetals"/>
    <x v="0"/>
    <n v="2025"/>
    <n v="-1"/>
    <m/>
    <m/>
    <n v="1"/>
    <x v="34"/>
    <x v="0"/>
    <n v="84225"/>
    <x v="0"/>
    <x v="398"/>
    <n v="1"/>
    <n v="84225"/>
    <n v="1"/>
    <x v="381"/>
    <x v="619"/>
    <m/>
  </r>
  <r>
    <n v="696"/>
    <s v="PE-VLC-GM-FEL00-166-A"/>
    <x v="190"/>
    <s v="Volcan_Estudio Estabilidad Desmonteras"/>
    <s v="Volcan"/>
    <x v="1"/>
    <n v="2025"/>
    <n v="-1"/>
    <m/>
    <m/>
    <n v="1"/>
    <x v="0"/>
    <x v="0"/>
    <n v="34388"/>
    <x v="490"/>
    <x v="399"/>
    <n v="1"/>
    <n v="34388"/>
    <n v="1"/>
    <x v="139"/>
    <x v="620"/>
    <m/>
  </r>
  <r>
    <n v="697"/>
    <s v="PE-VLC-GM-FEL00-166-A"/>
    <x v="190"/>
    <s v="Volcan_Estudio Estabilidad Desmonteras"/>
    <s v="Volcan"/>
    <x v="1"/>
    <n v="2025"/>
    <n v="-1"/>
    <m/>
    <m/>
    <n v="1"/>
    <x v="19"/>
    <x v="1"/>
    <n v="3821"/>
    <x v="491"/>
    <x v="27"/>
    <n v="1"/>
    <n v="3821"/>
    <n v="1"/>
    <x v="382"/>
    <x v="621"/>
    <m/>
  </r>
  <r>
    <n v="698"/>
    <m/>
    <x v="191"/>
    <s v="Retenciones LOM Los Colorados"/>
    <s v="CMP"/>
    <x v="2"/>
    <n v="2024"/>
    <n v="-1"/>
    <m/>
    <m/>
    <n v="-1"/>
    <x v="208"/>
    <x v="17"/>
    <n v="0"/>
    <x v="0"/>
    <x v="400"/>
    <n v="-1"/>
    <n v="0"/>
    <n v="1"/>
    <x v="33"/>
    <x v="622"/>
    <m/>
  </r>
  <r>
    <n v="699"/>
    <m/>
    <x v="192"/>
    <s v="Retenciones FEL 2A y Otros"/>
    <s v="CMP"/>
    <x v="2"/>
    <n v="2025"/>
    <n v="-1"/>
    <m/>
    <m/>
    <n v="-1"/>
    <x v="209"/>
    <x v="17"/>
    <n v="0"/>
    <x v="0"/>
    <x v="401"/>
    <n v="-1"/>
    <n v="0"/>
    <n v="1"/>
    <x v="190"/>
    <x v="623"/>
    <s v="En validación"/>
  </r>
  <r>
    <n v="700"/>
    <m/>
    <x v="193"/>
    <s v="Retenciones AARR"/>
    <s v="CMP"/>
    <x v="2"/>
    <n v="2025"/>
    <n v="-1"/>
    <m/>
    <m/>
    <n v="-1"/>
    <x v="210"/>
    <x v="17"/>
    <n v="0"/>
    <x v="0"/>
    <x v="402"/>
    <n v="-1"/>
    <n v="0"/>
    <n v="1"/>
    <x v="105"/>
    <x v="62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330550-56A4-4A04-8E28-54E72AD45F89}" name="TablaDinámica5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4:N46" firstHeaderRow="1" firstDataRow="2" firstDataCol="1" rowPageCount="2" colPageCount="1"/>
  <pivotFields count="31">
    <pivotField compact="0" outline="0" showAll="0"/>
    <pivotField compact="0" outline="0" showAll="0"/>
    <pivotField axis="axisRow" compact="0" outline="0" showAll="0" defaultSubtotal="0">
      <items count="195">
        <item m="1" x="194"/>
        <item x="1"/>
        <item x="2"/>
        <item x="3"/>
        <item x="5"/>
        <item x="8"/>
        <item x="9"/>
        <item x="10"/>
        <item x="12"/>
        <item x="14"/>
        <item x="17"/>
        <item x="19"/>
        <item x="21"/>
        <item x="23"/>
        <item x="24"/>
        <item x="25"/>
        <item x="26"/>
        <item x="27"/>
        <item x="28"/>
        <item x="29"/>
        <item x="30"/>
        <item sd="0" x="31"/>
        <item x="32"/>
        <item x="35"/>
        <item x="36"/>
        <item x="37"/>
        <item x="39"/>
        <item x="40"/>
        <item x="41"/>
        <item x="42"/>
        <item x="43"/>
        <item x="44"/>
        <item x="45"/>
        <item x="46"/>
        <item x="47"/>
        <item x="48"/>
        <item x="49"/>
        <item x="51"/>
        <item x="52"/>
        <item x="54"/>
        <item x="55"/>
        <item x="56"/>
        <item x="58"/>
        <item x="59"/>
        <item x="60"/>
        <item x="65"/>
        <item x="67"/>
        <item x="68"/>
        <item x="69"/>
        <item x="70"/>
        <item x="71"/>
        <item x="72"/>
        <item x="73"/>
        <item x="76"/>
        <item x="77"/>
        <item x="82"/>
        <item x="83"/>
        <item x="85"/>
        <item x="88"/>
        <item x="90"/>
        <item x="98"/>
        <item x="99"/>
        <item x="100"/>
        <item x="101"/>
        <item x="102"/>
        <item x="103"/>
        <item x="104"/>
        <item x="105"/>
        <item x="107"/>
        <item x="108"/>
        <item x="109"/>
        <item x="113"/>
        <item x="114"/>
        <item x="115"/>
        <item x="116"/>
        <item x="117"/>
        <item x="118"/>
        <item x="119"/>
        <item x="120"/>
        <item x="121"/>
        <item x="122"/>
        <item x="124"/>
        <item x="125"/>
        <item x="126"/>
        <item x="128"/>
        <item x="129"/>
        <item x="132"/>
        <item x="133"/>
        <item x="134"/>
        <item x="136"/>
        <item x="137"/>
        <item x="140"/>
        <item x="143"/>
        <item x="144"/>
        <item x="146"/>
        <item x="149"/>
        <item x="150"/>
        <item x="151"/>
        <item x="152"/>
        <item x="154"/>
        <item x="156"/>
        <item x="157"/>
        <item x="158"/>
        <item x="159"/>
        <item x="160"/>
        <item x="161"/>
        <item x="162"/>
        <item x="163"/>
        <item x="164"/>
        <item x="168"/>
        <item x="169"/>
        <item x="171"/>
        <item x="173"/>
        <item x="174"/>
        <item x="175"/>
        <item x="176"/>
        <item x="179"/>
        <item x="180"/>
        <item x="182"/>
        <item x="187"/>
        <item x="188"/>
        <item x="189"/>
        <item x="147"/>
        <item x="16"/>
        <item x="96"/>
        <item x="130"/>
        <item x="138"/>
        <item x="172"/>
        <item x="80"/>
        <item x="38"/>
        <item x="185"/>
        <item x="112"/>
        <item x="7"/>
        <item x="139"/>
        <item x="106"/>
        <item x="33"/>
        <item x="190"/>
        <item x="127"/>
        <item x="84"/>
        <item x="34"/>
        <item x="78"/>
        <item x="6"/>
        <item x="167"/>
        <item x="15"/>
        <item x="57"/>
        <item x="183"/>
        <item x="153"/>
        <item x="155"/>
        <item x="86"/>
        <item x="61"/>
        <item x="11"/>
        <item x="89"/>
        <item x="170"/>
        <item x="142"/>
        <item x="20"/>
        <item x="66"/>
        <item x="13"/>
        <item x="74"/>
        <item x="94"/>
        <item x="111"/>
        <item x="186"/>
        <item x="0"/>
        <item x="165"/>
        <item x="166"/>
        <item x="178"/>
        <item x="18"/>
        <item x="64"/>
        <item x="50"/>
        <item x="79"/>
        <item x="75"/>
        <item x="62"/>
        <item x="87"/>
        <item x="22"/>
        <item x="110"/>
        <item x="148"/>
        <item x="91"/>
        <item x="131"/>
        <item x="92"/>
        <item x="181"/>
        <item x="4"/>
        <item x="95"/>
        <item x="145"/>
        <item x="141"/>
        <item x="97"/>
        <item x="123"/>
        <item x="81"/>
        <item x="184"/>
        <item x="53"/>
        <item x="93"/>
        <item x="63"/>
        <item x="135"/>
        <item x="177"/>
        <item x="191"/>
        <item x="192"/>
        <item x="193"/>
      </items>
    </pivotField>
    <pivotField compact="0" outline="0" showAll="0"/>
    <pivotField compact="0" outline="0" showAll="0"/>
    <pivotField axis="axisPage" compact="0" outline="0" multipleItemSelectionAllowed="1" showAll="0">
      <items count="9">
        <item x="4"/>
        <item x="5"/>
        <item x="2"/>
        <item x="1"/>
        <item x="3"/>
        <item x="0"/>
        <item m="1" x="7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212">
        <item x="94"/>
        <item x="2"/>
        <item x="11"/>
        <item x="3"/>
        <item x="4"/>
        <item x="153"/>
        <item x="85"/>
        <item x="5"/>
        <item x="6"/>
        <item x="164"/>
        <item x="7"/>
        <item x="157"/>
        <item x="179"/>
        <item x="154"/>
        <item x="86"/>
        <item x="8"/>
        <item x="188"/>
        <item x="95"/>
        <item x="199"/>
        <item x="1"/>
        <item x="9"/>
        <item x="12"/>
        <item x="189"/>
        <item x="148"/>
        <item x="173"/>
        <item x="13"/>
        <item x="165"/>
        <item x="38"/>
        <item x="135"/>
        <item x="174"/>
        <item x="180"/>
        <item x="96"/>
        <item x="136"/>
        <item x="111"/>
        <item x="201"/>
        <item x="181"/>
        <item x="14"/>
        <item x="169"/>
        <item x="137"/>
        <item x="84"/>
        <item x="175"/>
        <item x="24"/>
        <item x="126"/>
        <item x="176"/>
        <item x="190"/>
        <item x="149"/>
        <item x="15"/>
        <item x="127"/>
        <item x="138"/>
        <item x="25"/>
        <item x="82"/>
        <item x="117"/>
        <item x="140"/>
        <item x="141"/>
        <item x="67"/>
        <item x="97"/>
        <item x="26"/>
        <item x="163"/>
        <item x="162"/>
        <item x="115"/>
        <item x="208"/>
        <item x="166"/>
        <item x="27"/>
        <item x="142"/>
        <item x="116"/>
        <item x="130"/>
        <item x="87"/>
        <item x="99"/>
        <item x="79"/>
        <item x="28"/>
        <item x="133"/>
        <item x="124"/>
        <item x="143"/>
        <item x="100"/>
        <item x="80"/>
        <item x="16"/>
        <item x="29"/>
        <item x="177"/>
        <item x="139"/>
        <item x="158"/>
        <item x="101"/>
        <item x="81"/>
        <item x="134"/>
        <item x="183"/>
        <item x="205"/>
        <item x="144"/>
        <item x="159"/>
        <item x="89"/>
        <item x="105"/>
        <item x="88"/>
        <item x="30"/>
        <item x="184"/>
        <item x="160"/>
        <item x="90"/>
        <item x="125"/>
        <item x="31"/>
        <item x="156"/>
        <item x="106"/>
        <item x="52"/>
        <item x="72"/>
        <item x="102"/>
        <item x="150"/>
        <item x="197"/>
        <item x="91"/>
        <item x="32"/>
        <item x="73"/>
        <item x="41"/>
        <item x="53"/>
        <item x="191"/>
        <item x="33"/>
        <item x="42"/>
        <item x="44"/>
        <item x="54"/>
        <item x="74"/>
        <item x="103"/>
        <item x="167"/>
        <item x="145"/>
        <item x="34"/>
        <item x="207"/>
        <item x="70"/>
        <item x="45"/>
        <item x="55"/>
        <item x="75"/>
        <item x="192"/>
        <item x="35"/>
        <item x="185"/>
        <item x="161"/>
        <item x="46"/>
        <item x="56"/>
        <item x="198"/>
        <item x="76"/>
        <item x="132"/>
        <item x="151"/>
        <item x="71"/>
        <item x="168"/>
        <item x="47"/>
        <item x="57"/>
        <item x="98"/>
        <item x="77"/>
        <item x="93"/>
        <item x="119"/>
        <item x="182"/>
        <item x="203"/>
        <item x="58"/>
        <item x="155"/>
        <item x="152"/>
        <item x="18"/>
        <item x="48"/>
        <item x="78"/>
        <item x="104"/>
        <item x="120"/>
        <item x="49"/>
        <item x="83"/>
        <item x="146"/>
        <item x="0"/>
        <item x="206"/>
        <item x="121"/>
        <item x="186"/>
        <item x="59"/>
        <item x="43"/>
        <item x="50"/>
        <item x="17"/>
        <item x="60"/>
        <item x="19"/>
        <item x="92"/>
        <item x="36"/>
        <item x="193"/>
        <item x="107"/>
        <item x="209"/>
        <item x="61"/>
        <item x="128"/>
        <item x="210"/>
        <item x="204"/>
        <item x="20"/>
        <item x="194"/>
        <item x="62"/>
        <item x="147"/>
        <item x="129"/>
        <item x="114"/>
        <item x="21"/>
        <item x="195"/>
        <item x="171"/>
        <item x="39"/>
        <item x="202"/>
        <item x="187"/>
        <item x="122"/>
        <item x="63"/>
        <item x="22"/>
        <item x="196"/>
        <item x="131"/>
        <item x="37"/>
        <item x="40"/>
        <item x="113"/>
        <item x="64"/>
        <item x="112"/>
        <item x="172"/>
        <item x="108"/>
        <item x="23"/>
        <item x="65"/>
        <item x="200"/>
        <item x="51"/>
        <item x="10"/>
        <item x="68"/>
        <item x="178"/>
        <item x="109"/>
        <item x="66"/>
        <item x="123"/>
        <item x="170"/>
        <item x="69"/>
        <item x="110"/>
        <item x="118"/>
        <item t="default"/>
      </items>
    </pivotField>
    <pivotField compact="0" outline="0" showAll="0"/>
    <pivotField compact="0" numFmtId="41" outline="0" showAll="0"/>
    <pivotField compact="0" outline="0" showAll="0"/>
    <pivotField compact="0" outline="0" showAll="0">
      <items count="404">
        <item x="113"/>
        <item x="363"/>
        <item x="359"/>
        <item x="126"/>
        <item x="270"/>
        <item x="364"/>
        <item x="15"/>
        <item x="114"/>
        <item x="360"/>
        <item x="2"/>
        <item x="335"/>
        <item x="181"/>
        <item x="127"/>
        <item x="16"/>
        <item x="376"/>
        <item x="3"/>
        <item x="219"/>
        <item x="271"/>
        <item x="128"/>
        <item x="180"/>
        <item x="4"/>
        <item x="17"/>
        <item x="11"/>
        <item x="333"/>
        <item x="336"/>
        <item x="365"/>
        <item x="5"/>
        <item x="169"/>
        <item x="18"/>
        <item x="129"/>
        <item x="377"/>
        <item x="170"/>
        <item x="115"/>
        <item x="19"/>
        <item x="374"/>
        <item x="97"/>
        <item x="334"/>
        <item x="130"/>
        <item x="291"/>
        <item x="6"/>
        <item x="20"/>
        <item x="116"/>
        <item x="183"/>
        <item x="272"/>
        <item x="337"/>
        <item x="327"/>
        <item x="338"/>
        <item x="378"/>
        <item x="257"/>
        <item x="292"/>
        <item x="171"/>
        <item x="98"/>
        <item x="366"/>
        <item x="7"/>
        <item x="117"/>
        <item x="339"/>
        <item x="172"/>
        <item x="329"/>
        <item x="293"/>
        <item x="131"/>
        <item x="13"/>
        <item x="340"/>
        <item x="8"/>
        <item x="118"/>
        <item x="119"/>
        <item x="294"/>
        <item x="357"/>
        <item x="184"/>
        <item x="328"/>
        <item x="379"/>
        <item x="358"/>
        <item x="251"/>
        <item x="295"/>
        <item x="120"/>
        <item x="258"/>
        <item x="99"/>
        <item x="47"/>
        <item x="375"/>
        <item x="250"/>
        <item x="380"/>
        <item x="9"/>
        <item x="1"/>
        <item x="12"/>
        <item x="48"/>
        <item x="10"/>
        <item x="296"/>
        <item x="21"/>
        <item x="324"/>
        <item x="341"/>
        <item x="297"/>
        <item x="49"/>
        <item x="182"/>
        <item x="22"/>
        <item x="298"/>
        <item x="313"/>
        <item x="287"/>
        <item x="283"/>
        <item x="381"/>
        <item x="342"/>
        <item x="239"/>
        <item x="50"/>
        <item x="299"/>
        <item x="325"/>
        <item x="23"/>
        <item x="156"/>
        <item x="280"/>
        <item x="174"/>
        <item x="158"/>
        <item x="288"/>
        <item x="240"/>
        <item x="300"/>
        <item x="224"/>
        <item x="121"/>
        <item x="326"/>
        <item x="343"/>
        <item x="157"/>
        <item x="315"/>
        <item x="146"/>
        <item x="314"/>
        <item x="153"/>
        <item x="147"/>
        <item x="225"/>
        <item x="241"/>
        <item x="159"/>
        <item x="175"/>
        <item x="176"/>
        <item x="122"/>
        <item x="284"/>
        <item x="95"/>
        <item x="301"/>
        <item x="344"/>
        <item x="302"/>
        <item x="226"/>
        <item x="154"/>
        <item x="148"/>
        <item x="123"/>
        <item x="32"/>
        <item x="177"/>
        <item x="24"/>
        <item x="227"/>
        <item x="178"/>
        <item x="149"/>
        <item x="382"/>
        <item x="43"/>
        <item x="33"/>
        <item x="124"/>
        <item x="303"/>
        <item x="385"/>
        <item x="212"/>
        <item x="305"/>
        <item x="228"/>
        <item x="125"/>
        <item x="150"/>
        <item x="316"/>
        <item x="274"/>
        <item x="80"/>
        <item x="265"/>
        <item x="193"/>
        <item x="229"/>
        <item x="231"/>
        <item x="34"/>
        <item x="191"/>
        <item x="243"/>
        <item x="400"/>
        <item x="160"/>
        <item x="345"/>
        <item x="25"/>
        <item x="306"/>
        <item x="35"/>
        <item x="132"/>
        <item x="220"/>
        <item x="264"/>
        <item x="242"/>
        <item x="100"/>
        <item x="282"/>
        <item x="192"/>
        <item x="275"/>
        <item x="232"/>
        <item x="36"/>
        <item x="221"/>
        <item x="304"/>
        <item x="206"/>
        <item x="96"/>
        <item x="89"/>
        <item x="140"/>
        <item x="179"/>
        <item x="268"/>
        <item x="233"/>
        <item x="101"/>
        <item x="155"/>
        <item x="266"/>
        <item x="222"/>
        <item x="383"/>
        <item x="37"/>
        <item x="44"/>
        <item x="230"/>
        <item x="208"/>
        <item x="254"/>
        <item x="269"/>
        <item x="141"/>
        <item x="256"/>
        <item x="259"/>
        <item x="346"/>
        <item x="223"/>
        <item x="234"/>
        <item x="26"/>
        <item x="276"/>
        <item x="391"/>
        <item x="102"/>
        <item x="235"/>
        <item x="289"/>
        <item x="90"/>
        <item x="163"/>
        <item x="260"/>
        <item x="133"/>
        <item x="112"/>
        <item x="310"/>
        <item x="277"/>
        <item x="311"/>
        <item x="261"/>
        <item x="38"/>
        <item x="347"/>
        <item x="142"/>
        <item x="209"/>
        <item x="104"/>
        <item x="255"/>
        <item x="348"/>
        <item x="278"/>
        <item x="394"/>
        <item x="103"/>
        <item x="143"/>
        <item x="370"/>
        <item x="312"/>
        <item x="317"/>
        <item x="39"/>
        <item x="349"/>
        <item x="262"/>
        <item x="371"/>
        <item x="40"/>
        <item x="350"/>
        <item x="58"/>
        <item x="267"/>
        <item x="395"/>
        <item x="66"/>
        <item x="81"/>
        <item x="135"/>
        <item x="91"/>
        <item x="41"/>
        <item x="67"/>
        <item x="59"/>
        <item x="398"/>
        <item x="53"/>
        <item x="330"/>
        <item x="351"/>
        <item x="318"/>
        <item x="244"/>
        <item x="60"/>
        <item x="136"/>
        <item x="31"/>
        <item x="68"/>
        <item x="42"/>
        <item x="61"/>
        <item x="82"/>
        <item x="83"/>
        <item x="84"/>
        <item x="85"/>
        <item x="92"/>
        <item x="93"/>
        <item x="105"/>
        <item x="134"/>
        <item x="144"/>
        <item x="245"/>
        <item x="331"/>
        <item x="352"/>
        <item x="372"/>
        <item x="373"/>
        <item x="396"/>
        <item x="397"/>
        <item x="199"/>
        <item x="307"/>
        <item x="319"/>
        <item x="137"/>
        <item x="138"/>
        <item x="217"/>
        <item x="246"/>
        <item x="263"/>
        <item x="392"/>
        <item x="62"/>
        <item x="54"/>
        <item x="332"/>
        <item x="353"/>
        <item x="57"/>
        <item x="69"/>
        <item x="200"/>
        <item x="388"/>
        <item x="86"/>
        <item x="207"/>
        <item x="63"/>
        <item x="70"/>
        <item x="94"/>
        <item x="236"/>
        <item x="354"/>
        <item x="151"/>
        <item x="201"/>
        <item x="0"/>
        <item x="389"/>
        <item x="64"/>
        <item x="247"/>
        <item x="71"/>
        <item x="279"/>
        <item x="87"/>
        <item x="202"/>
        <item x="320"/>
        <item x="106"/>
        <item x="237"/>
        <item x="355"/>
        <item x="110"/>
        <item x="248"/>
        <item x="139"/>
        <item x="72"/>
        <item x="399"/>
        <item x="107"/>
        <item x="393"/>
        <item x="362"/>
        <item x="194"/>
        <item x="308"/>
        <item x="321"/>
        <item x="210"/>
        <item x="27"/>
        <item x="88"/>
        <item x="109"/>
        <item x="356"/>
        <item x="73"/>
        <item x="145"/>
        <item x="238"/>
        <item x="249"/>
        <item x="401"/>
        <item x="28"/>
        <item x="203"/>
        <item x="390"/>
        <item x="195"/>
        <item x="402"/>
        <item x="55"/>
        <item x="74"/>
        <item x="108"/>
        <item x="56"/>
        <item x="204"/>
        <item x="213"/>
        <item x="285"/>
        <item x="75"/>
        <item x="173"/>
        <item x="367"/>
        <item x="322"/>
        <item x="253"/>
        <item x="45"/>
        <item x="51"/>
        <item x="281"/>
        <item x="111"/>
        <item x="76"/>
        <item x="164"/>
        <item x="46"/>
        <item x="29"/>
        <item x="30"/>
        <item x="185"/>
        <item x="196"/>
        <item x="368"/>
        <item x="77"/>
        <item x="188"/>
        <item x="161"/>
        <item x="186"/>
        <item x="197"/>
        <item x="65"/>
        <item x="78"/>
        <item x="205"/>
        <item x="309"/>
        <item x="323"/>
        <item x="252"/>
        <item x="52"/>
        <item x="189"/>
        <item x="216"/>
        <item x="166"/>
        <item x="165"/>
        <item x="215"/>
        <item x="152"/>
        <item x="198"/>
        <item x="361"/>
        <item x="290"/>
        <item x="14"/>
        <item x="369"/>
        <item x="273"/>
        <item x="162"/>
        <item x="167"/>
        <item x="187"/>
        <item x="190"/>
        <item x="211"/>
        <item x="384"/>
        <item x="79"/>
        <item x="387"/>
        <item x="286"/>
        <item x="168"/>
        <item x="218"/>
        <item x="386"/>
        <item x="214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384">
        <item x="350"/>
        <item x="115"/>
        <item x="266"/>
        <item x="2"/>
        <item x="124"/>
        <item x="15"/>
        <item x="347"/>
        <item x="16"/>
        <item x="177"/>
        <item x="351"/>
        <item x="3"/>
        <item x="11"/>
        <item x="125"/>
        <item x="267"/>
        <item x="334"/>
        <item x="176"/>
        <item x="4"/>
        <item x="17"/>
        <item x="335"/>
        <item x="352"/>
        <item x="5"/>
        <item x="168"/>
        <item x="18"/>
        <item x="126"/>
        <item x="254"/>
        <item x="361"/>
        <item x="169"/>
        <item x="19"/>
        <item x="360"/>
        <item x="127"/>
        <item x="255"/>
        <item x="97"/>
        <item x="178"/>
        <item x="6"/>
        <item x="327"/>
        <item x="268"/>
        <item x="116"/>
        <item x="256"/>
        <item x="180"/>
        <item x="202"/>
        <item x="362"/>
        <item x="241"/>
        <item x="353"/>
        <item x="336"/>
        <item x="7"/>
        <item x="299"/>
        <item x="332"/>
        <item x="128"/>
        <item x="13"/>
        <item x="337"/>
        <item x="300"/>
        <item x="242"/>
        <item x="333"/>
        <item x="329"/>
        <item x="8"/>
        <item x="117"/>
        <item x="328"/>
        <item x="301"/>
        <item x="346"/>
        <item x="363"/>
        <item x="181"/>
        <item x="257"/>
        <item x="364"/>
        <item x="118"/>
        <item x="45"/>
        <item x="365"/>
        <item x="326"/>
        <item x="240"/>
        <item x="98"/>
        <item x="302"/>
        <item x="1"/>
        <item x="9"/>
        <item x="46"/>
        <item x="12"/>
        <item x="10"/>
        <item x="20"/>
        <item x="303"/>
        <item x="323"/>
        <item x="179"/>
        <item x="47"/>
        <item x="21"/>
        <item x="291"/>
        <item x="280"/>
        <item x="48"/>
        <item x="304"/>
        <item x="49"/>
        <item x="22"/>
        <item x="243"/>
        <item x="275"/>
        <item x="305"/>
        <item x="231"/>
        <item x="157"/>
        <item x="315"/>
        <item x="217"/>
        <item x="159"/>
        <item x="292"/>
        <item x="232"/>
        <item x="119"/>
        <item x="154"/>
        <item x="324"/>
        <item x="306"/>
        <item x="147"/>
        <item x="158"/>
        <item x="286"/>
        <item x="120"/>
        <item x="233"/>
        <item x="218"/>
        <item x="307"/>
        <item x="234"/>
        <item x="160"/>
        <item x="171"/>
        <item x="172"/>
        <item x="95"/>
        <item x="294"/>
        <item x="325"/>
        <item x="316"/>
        <item x="338"/>
        <item x="31"/>
        <item x="121"/>
        <item x="293"/>
        <item x="155"/>
        <item x="317"/>
        <item x="219"/>
        <item x="309"/>
        <item x="339"/>
        <item x="42"/>
        <item x="173"/>
        <item x="23"/>
        <item x="148"/>
        <item x="32"/>
        <item x="174"/>
        <item x="122"/>
        <item x="250"/>
        <item x="220"/>
        <item x="77"/>
        <item x="235"/>
        <item x="270"/>
        <item x="33"/>
        <item x="187"/>
        <item x="276"/>
        <item x="123"/>
        <item x="308"/>
        <item x="149"/>
        <item x="221"/>
        <item x="189"/>
        <item x="24"/>
        <item x="34"/>
        <item x="318"/>
        <item x="129"/>
        <item x="223"/>
        <item x="367"/>
        <item x="236"/>
        <item x="279"/>
        <item x="212"/>
        <item x="188"/>
        <item x="213"/>
        <item x="261"/>
        <item x="88"/>
        <item x="278"/>
        <item x="271"/>
        <item x="203"/>
        <item x="214"/>
        <item x="35"/>
        <item x="272"/>
        <item x="224"/>
        <item x="262"/>
        <item x="130"/>
        <item x="96"/>
        <item x="175"/>
        <item x="205"/>
        <item x="36"/>
        <item x="89"/>
        <item x="310"/>
        <item x="264"/>
        <item x="156"/>
        <item x="340"/>
        <item x="281"/>
        <item x="215"/>
        <item x="368"/>
        <item x="251"/>
        <item x="25"/>
        <item x="273"/>
        <item x="99"/>
        <item x="170"/>
        <item x="222"/>
        <item x="90"/>
        <item x="258"/>
        <item x="216"/>
        <item x="225"/>
        <item x="131"/>
        <item x="341"/>
        <item x="100"/>
        <item x="163"/>
        <item x="37"/>
        <item x="252"/>
        <item x="140"/>
        <item x="226"/>
        <item x="150"/>
        <item x="135"/>
        <item x="259"/>
        <item x="101"/>
        <item x="369"/>
        <item x="342"/>
        <item x="141"/>
        <item x="113"/>
        <item x="295"/>
        <item x="114"/>
        <item x="379"/>
        <item x="38"/>
        <item x="104"/>
        <item x="142"/>
        <item x="103"/>
        <item x="265"/>
        <item x="359"/>
        <item x="296"/>
        <item x="134"/>
        <item x="132"/>
        <item x="102"/>
        <item x="62"/>
        <item x="39"/>
        <item x="313"/>
        <item x="314"/>
        <item x="78"/>
        <item x="136"/>
        <item x="144"/>
        <item x="55"/>
        <item x="40"/>
        <item x="263"/>
        <item x="330"/>
        <item x="51"/>
        <item x="253"/>
        <item x="145"/>
        <item x="63"/>
        <item x="56"/>
        <item x="381"/>
        <item x="57"/>
        <item x="64"/>
        <item x="282"/>
        <item x="133"/>
        <item x="93"/>
        <item x="30"/>
        <item x="370"/>
        <item x="227"/>
        <item x="41"/>
        <item x="79"/>
        <item x="81"/>
        <item x="82"/>
        <item x="91"/>
        <item x="138"/>
        <item x="137"/>
        <item x="201"/>
        <item x="83"/>
        <item x="380"/>
        <item x="65"/>
        <item x="66"/>
        <item x="311"/>
        <item x="80"/>
        <item x="196"/>
        <item x="92"/>
        <item x="143"/>
        <item x="343"/>
        <item x="58"/>
        <item x="331"/>
        <item x="0"/>
        <item x="204"/>
        <item x="260"/>
        <item x="52"/>
        <item x="283"/>
        <item x="84"/>
        <item x="54"/>
        <item x="284"/>
        <item x="67"/>
        <item x="285"/>
        <item x="94"/>
        <item x="344"/>
        <item x="68"/>
        <item x="245"/>
        <item x="228"/>
        <item x="319"/>
        <item x="59"/>
        <item x="237"/>
        <item x="152"/>
        <item x="244"/>
        <item x="197"/>
        <item x="238"/>
        <item x="354"/>
        <item x="85"/>
        <item x="151"/>
        <item x="60"/>
        <item x="274"/>
        <item x="110"/>
        <item x="246"/>
        <item x="86"/>
        <item x="376"/>
        <item x="164"/>
        <item x="320"/>
        <item x="239"/>
        <item x="139"/>
        <item x="373"/>
        <item x="377"/>
        <item x="192"/>
        <item x="70"/>
        <item x="146"/>
        <item x="345"/>
        <item x="69"/>
        <item x="87"/>
        <item x="206"/>
        <item x="190"/>
        <item x="247"/>
        <item x="198"/>
        <item x="26"/>
        <item x="105"/>
        <item x="382"/>
        <item x="27"/>
        <item x="71"/>
        <item x="106"/>
        <item x="107"/>
        <item x="229"/>
        <item x="248"/>
        <item x="199"/>
        <item x="53"/>
        <item x="191"/>
        <item x="111"/>
        <item x="230"/>
        <item x="355"/>
        <item x="72"/>
        <item x="43"/>
        <item x="321"/>
        <item x="200"/>
        <item x="73"/>
        <item x="378"/>
        <item x="374"/>
        <item x="249"/>
        <item x="44"/>
        <item x="161"/>
        <item x="287"/>
        <item x="108"/>
        <item x="277"/>
        <item x="28"/>
        <item x="289"/>
        <item x="193"/>
        <item x="29"/>
        <item x="288"/>
        <item x="112"/>
        <item x="109"/>
        <item x="356"/>
        <item x="194"/>
        <item x="61"/>
        <item x="184"/>
        <item x="75"/>
        <item x="312"/>
        <item x="182"/>
        <item x="183"/>
        <item x="366"/>
        <item x="357"/>
        <item x="166"/>
        <item x="74"/>
        <item x="210"/>
        <item x="50"/>
        <item x="269"/>
        <item x="165"/>
        <item x="153"/>
        <item x="195"/>
        <item x="322"/>
        <item x="209"/>
        <item x="297"/>
        <item x="14"/>
        <item x="185"/>
        <item x="167"/>
        <item x="371"/>
        <item x="207"/>
        <item x="358"/>
        <item x="372"/>
        <item x="76"/>
        <item x="375"/>
        <item x="290"/>
        <item x="298"/>
        <item x="211"/>
        <item x="186"/>
        <item x="348"/>
        <item x="349"/>
        <item x="208"/>
        <item x="162"/>
        <item t="default"/>
      </items>
    </pivotField>
    <pivotField dataField="1" compact="0" outline="0" showAll="0"/>
    <pivotField compact="0" outline="0" showAll="0"/>
    <pivotField axis="axisCol" compact="0" outline="0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</pivotField>
    <pivotField compact="0" outline="0"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axis="axisPage" compact="0" outline="0" multipleItemSelectionAllowed="1" showAll="0">
      <items count="8">
        <item h="1" sd="0" x="0"/>
        <item h="1" sd="0" x="1"/>
        <item sd="0" x="2"/>
        <item h="1" sd="0" x="3"/>
        <item h="1" sd="0" x="4"/>
        <item h="1" x="5"/>
        <item h="1" x="6"/>
        <item t="default"/>
      </items>
    </pivotField>
    <pivotField compact="0" outline="0" showAll="0"/>
    <pivotField compact="0" outline="0" showAll="0"/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2"/>
  </rowFields>
  <rowItems count="41">
    <i>
      <x v="1"/>
    </i>
    <i>
      <x v="2"/>
    </i>
    <i>
      <x v="3"/>
    </i>
    <i>
      <x v="4"/>
    </i>
    <i>
      <x v="8"/>
    </i>
    <i>
      <x v="20"/>
    </i>
    <i>
      <x v="24"/>
    </i>
    <i>
      <x v="25"/>
    </i>
    <i>
      <x v="45"/>
    </i>
    <i>
      <x v="48"/>
    </i>
    <i>
      <x v="49"/>
    </i>
    <i>
      <x v="50"/>
    </i>
    <i>
      <x v="51"/>
    </i>
    <i>
      <x v="52"/>
    </i>
    <i>
      <x v="56"/>
    </i>
    <i>
      <x v="60"/>
    </i>
    <i>
      <x v="68"/>
    </i>
    <i>
      <x v="69"/>
    </i>
    <i>
      <x v="70"/>
    </i>
    <i>
      <x v="74"/>
    </i>
    <i>
      <x v="75"/>
    </i>
    <i>
      <x v="80"/>
    </i>
    <i>
      <x v="88"/>
    </i>
    <i>
      <x v="92"/>
    </i>
    <i>
      <x v="94"/>
    </i>
    <i>
      <x v="99"/>
    </i>
    <i>
      <x v="100"/>
    </i>
    <i>
      <x v="101"/>
    </i>
    <i>
      <x v="103"/>
    </i>
    <i>
      <x v="104"/>
    </i>
    <i>
      <x v="105"/>
    </i>
    <i>
      <x v="107"/>
    </i>
    <i>
      <x v="108"/>
    </i>
    <i>
      <x v="109"/>
    </i>
    <i>
      <x v="110"/>
    </i>
    <i>
      <x v="112"/>
    </i>
    <i>
      <x v="113"/>
    </i>
    <i>
      <x v="114"/>
    </i>
    <i>
      <x v="115"/>
    </i>
    <i>
      <x v="116"/>
    </i>
    <i t="grand">
      <x/>
    </i>
  </rowItems>
  <colFields count="1">
    <field x="22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2">
    <pageField fld="24" hier="-1"/>
    <pageField fld="5" hier="-1"/>
  </pageFields>
  <dataFields count="1">
    <dataField name="Suma de Ingresado USD" fld="20" baseField="0" baseItem="0"/>
  </dataFields>
  <formats count="46">
    <format dxfId="199">
      <pivotArea outline="0" collapsedLevelsAreSubtotals="1" fieldPosition="0"/>
    </format>
    <format dxfId="198">
      <pivotArea type="all" dataOnly="0" outline="0" fieldPosition="0"/>
    </format>
    <format dxfId="197">
      <pivotArea outline="0" collapsedLevelsAreSubtotals="1" fieldPosition="0"/>
    </format>
    <format dxfId="196">
      <pivotArea type="origin" dataOnly="0" labelOnly="1" outline="0" fieldPosition="0"/>
    </format>
    <format dxfId="195">
      <pivotArea field="22" type="button" dataOnly="0" labelOnly="1" outline="0" axis="axisCol" fieldPosition="0"/>
    </format>
    <format dxfId="194">
      <pivotArea type="topRight" dataOnly="0" labelOnly="1" outline="0" fieldPosition="0"/>
    </format>
    <format dxfId="193">
      <pivotArea field="2" type="button" dataOnly="0" labelOnly="1" outline="0" axis="axisRow" fieldPosition="0"/>
    </format>
    <format dxfId="192">
      <pivotArea dataOnly="0" labelOnly="1" fieldPosition="0">
        <references count="1">
          <reference field="2" count="50">
            <x v="6"/>
            <x v="9"/>
            <x v="10"/>
            <x v="11"/>
            <x v="13"/>
            <x v="14"/>
            <x v="16"/>
            <x v="17"/>
            <x v="21"/>
            <x v="22"/>
            <x v="23"/>
            <x v="27"/>
            <x v="29"/>
            <x v="31"/>
            <x v="32"/>
            <x v="33"/>
            <x v="34"/>
            <x v="35"/>
            <x v="36"/>
            <x v="40"/>
            <x v="42"/>
            <x v="44"/>
            <x v="55"/>
            <x v="64"/>
            <x v="65"/>
            <x v="67"/>
            <x v="71"/>
            <x v="72"/>
            <x v="73"/>
            <x v="76"/>
            <x v="78"/>
            <x v="79"/>
            <x v="83"/>
            <x v="90"/>
            <x v="93"/>
            <x v="95"/>
            <x v="97"/>
            <x v="98"/>
            <x v="102"/>
            <x v="105"/>
            <x v="106"/>
            <x v="111"/>
            <x v="116"/>
            <x v="117"/>
            <x v="119"/>
            <x v="120"/>
            <x v="121"/>
            <x v="122"/>
            <x v="124"/>
            <x v="126"/>
          </reference>
        </references>
      </pivotArea>
    </format>
    <format dxfId="191">
      <pivotArea dataOnly="0" labelOnly="1" fieldPosition="0">
        <references count="1">
          <reference field="2" count="2">
            <x v="127"/>
            <x v="128"/>
          </reference>
        </references>
      </pivotArea>
    </format>
    <format dxfId="190">
      <pivotArea dataOnly="0" labelOnly="1" grandRow="1" outline="0" fieldPosition="0"/>
    </format>
    <format dxfId="189">
      <pivotArea dataOnly="0" labelOnly="1" fieldPosition="0">
        <references count="1">
          <reference field="22" count="9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188">
      <pivotArea dataOnly="0" labelOnly="1" grandCol="1" outline="0" fieldPosition="0"/>
    </format>
    <format dxfId="187">
      <pivotArea type="all" dataOnly="0" outline="0" fieldPosition="0"/>
    </format>
    <format dxfId="186">
      <pivotArea outline="0" collapsedLevelsAreSubtotals="1" fieldPosition="0"/>
    </format>
    <format dxfId="185">
      <pivotArea type="origin" dataOnly="0" labelOnly="1" outline="0" fieldPosition="0"/>
    </format>
    <format dxfId="184">
      <pivotArea field="22" type="button" dataOnly="0" labelOnly="1" outline="0" axis="axisCol" fieldPosition="0"/>
    </format>
    <format dxfId="183">
      <pivotArea type="topRight" dataOnly="0" labelOnly="1" outline="0" fieldPosition="0"/>
    </format>
    <format dxfId="182">
      <pivotArea field="2" type="button" dataOnly="0" labelOnly="1" outline="0" axis="axisRow" fieldPosition="0"/>
    </format>
    <format dxfId="181">
      <pivotArea dataOnly="0" labelOnly="1" fieldPosition="0">
        <references count="1">
          <reference field="2" count="50">
            <x v="6"/>
            <x v="9"/>
            <x v="10"/>
            <x v="11"/>
            <x v="13"/>
            <x v="14"/>
            <x v="16"/>
            <x v="17"/>
            <x v="21"/>
            <x v="22"/>
            <x v="23"/>
            <x v="27"/>
            <x v="29"/>
            <x v="31"/>
            <x v="32"/>
            <x v="33"/>
            <x v="34"/>
            <x v="35"/>
            <x v="36"/>
            <x v="40"/>
            <x v="42"/>
            <x v="44"/>
            <x v="55"/>
            <x v="64"/>
            <x v="65"/>
            <x v="67"/>
            <x v="71"/>
            <x v="72"/>
            <x v="73"/>
            <x v="76"/>
            <x v="78"/>
            <x v="79"/>
            <x v="83"/>
            <x v="90"/>
            <x v="93"/>
            <x v="95"/>
            <x v="97"/>
            <x v="98"/>
            <x v="102"/>
            <x v="105"/>
            <x v="106"/>
            <x v="111"/>
            <x v="116"/>
            <x v="117"/>
            <x v="119"/>
            <x v="120"/>
            <x v="121"/>
            <x v="122"/>
            <x v="124"/>
            <x v="126"/>
          </reference>
        </references>
      </pivotArea>
    </format>
    <format dxfId="180">
      <pivotArea dataOnly="0" labelOnly="1" fieldPosition="0">
        <references count="1">
          <reference field="2" count="2">
            <x v="127"/>
            <x v="128"/>
          </reference>
        </references>
      </pivotArea>
    </format>
    <format dxfId="179">
      <pivotArea dataOnly="0" labelOnly="1" grandRow="1" outline="0" fieldPosition="0"/>
    </format>
    <format dxfId="178">
      <pivotArea dataOnly="0" labelOnly="1" fieldPosition="0">
        <references count="1">
          <reference field="22" count="9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177">
      <pivotArea dataOnly="0" labelOnly="1" grandCol="1" outline="0" fieldPosition="0"/>
    </format>
    <format dxfId="176">
      <pivotArea collapsedLevelsAreSubtotals="1" fieldPosition="0">
        <references count="2">
          <reference field="2" count="1">
            <x v="11"/>
          </reference>
          <reference field="22" count="0" selected="0"/>
        </references>
      </pivotArea>
    </format>
    <format dxfId="175">
      <pivotArea collapsedLevelsAreSubtotals="1" fieldPosition="0">
        <references count="2">
          <reference field="2" count="1">
            <x v="13"/>
          </reference>
          <reference field="22" count="0" selected="0"/>
        </references>
      </pivotArea>
    </format>
    <format dxfId="174">
      <pivotArea collapsedLevelsAreSubtotals="1" fieldPosition="0">
        <references count="2">
          <reference field="2" count="1">
            <x v="14"/>
          </reference>
          <reference field="22" count="0" selected="0"/>
        </references>
      </pivotArea>
    </format>
    <format dxfId="173">
      <pivotArea collapsedLevelsAreSubtotals="1" fieldPosition="0">
        <references count="2">
          <reference field="2" count="1">
            <x v="17"/>
          </reference>
          <reference field="22" count="0" selected="0"/>
        </references>
      </pivotArea>
    </format>
    <format dxfId="172">
      <pivotArea collapsedLevelsAreSubtotals="1" fieldPosition="0">
        <references count="2">
          <reference field="2" count="1">
            <x v="32"/>
          </reference>
          <reference field="22" count="0" selected="0"/>
        </references>
      </pivotArea>
    </format>
    <format dxfId="171">
      <pivotArea collapsedLevelsAreSubtotals="1" fieldPosition="0">
        <references count="2">
          <reference field="2" count="1">
            <x v="34"/>
          </reference>
          <reference field="22" count="0" selected="0"/>
        </references>
      </pivotArea>
    </format>
    <format dxfId="170">
      <pivotArea collapsedLevelsAreSubtotals="1" fieldPosition="0">
        <references count="2">
          <reference field="2" count="1">
            <x v="102"/>
          </reference>
          <reference field="22" count="0" selected="0"/>
        </references>
      </pivotArea>
    </format>
    <format dxfId="169">
      <pivotArea collapsedLevelsAreSubtotals="1" fieldPosition="0">
        <references count="2">
          <reference field="2" count="1">
            <x v="55"/>
          </reference>
          <reference field="22" count="0" selected="0"/>
        </references>
      </pivotArea>
    </format>
    <format dxfId="168">
      <pivotArea collapsedLevelsAreSubtotals="1" fieldPosition="0">
        <references count="2">
          <reference field="2" count="1">
            <x v="67"/>
          </reference>
          <reference field="22" count="0" selected="0"/>
        </references>
      </pivotArea>
    </format>
    <format dxfId="167">
      <pivotArea collapsedLevelsAreSubtotals="1" fieldPosition="0">
        <references count="2">
          <reference field="2" count="1">
            <x v="95"/>
          </reference>
          <reference field="22" count="0" selected="0"/>
        </references>
      </pivotArea>
    </format>
    <format dxfId="166">
      <pivotArea collapsedLevelsAreSubtotals="1" fieldPosition="0">
        <references count="2">
          <reference field="2" count="1">
            <x v="97"/>
          </reference>
          <reference field="22" count="0" selected="0"/>
        </references>
      </pivotArea>
    </format>
    <format dxfId="165">
      <pivotArea collapsedLevelsAreSubtotals="1" fieldPosition="0">
        <references count="2">
          <reference field="2" count="1">
            <x v="106"/>
          </reference>
          <reference field="22" count="0" selected="0"/>
        </references>
      </pivotArea>
    </format>
    <format dxfId="164">
      <pivotArea collapsedLevelsAreSubtotals="1" fieldPosition="0">
        <references count="2">
          <reference field="2" count="1">
            <x v="117"/>
          </reference>
          <reference field="22" count="0" selected="0"/>
        </references>
      </pivotArea>
    </format>
    <format dxfId="163">
      <pivotArea collapsedLevelsAreSubtotals="1" fieldPosition="0">
        <references count="2">
          <reference field="2" count="1">
            <x v="120"/>
          </reference>
          <reference field="22" count="0" selected="0"/>
        </references>
      </pivotArea>
    </format>
    <format dxfId="162">
      <pivotArea collapsedLevelsAreSubtotals="1" fieldPosition="0">
        <references count="2">
          <reference field="2" count="1">
            <x v="127"/>
          </reference>
          <reference field="22" count="0" selected="0"/>
        </references>
      </pivotArea>
    </format>
    <format dxfId="161">
      <pivotArea collapsedLevelsAreSubtotals="1" fieldPosition="0">
        <references count="2">
          <reference field="2" count="55">
            <x v="0"/>
            <x v="6"/>
            <x v="9"/>
            <x v="10"/>
            <x v="11"/>
            <x v="13"/>
            <x v="14"/>
            <x v="16"/>
            <x v="17"/>
            <x v="21"/>
            <x v="22"/>
            <x v="23"/>
            <x v="27"/>
            <x v="29"/>
            <x v="31"/>
            <x v="32"/>
            <x v="33"/>
            <x v="34"/>
            <x v="35"/>
            <x v="36"/>
            <x v="40"/>
            <x v="42"/>
            <x v="44"/>
            <x v="55"/>
            <x v="64"/>
            <x v="65"/>
            <x v="67"/>
            <x v="71"/>
            <x v="72"/>
            <x v="73"/>
            <x v="76"/>
            <x v="78"/>
            <x v="79"/>
            <x v="83"/>
            <x v="90"/>
            <x v="93"/>
            <x v="95"/>
            <x v="97"/>
            <x v="98"/>
            <x v="102"/>
            <x v="105"/>
            <x v="106"/>
            <x v="111"/>
            <x v="116"/>
            <x v="117"/>
            <x v="119"/>
            <x v="120"/>
            <x v="121"/>
            <x v="123"/>
            <x v="124"/>
            <x v="126"/>
            <x v="127"/>
            <x v="128"/>
            <x v="129"/>
            <x v="130"/>
          </reference>
          <reference field="22" count="8" selected="0"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60">
      <pivotArea collapsedLevelsAreSubtotals="1" fieldPosition="0">
        <references count="2">
          <reference field="2" count="58">
            <x v="0"/>
            <x v="6"/>
            <x v="9"/>
            <x v="10"/>
            <x v="11"/>
            <x v="13"/>
            <x v="14"/>
            <x v="16"/>
            <x v="17"/>
            <x v="21"/>
            <x v="22"/>
            <x v="23"/>
            <x v="27"/>
            <x v="29"/>
            <x v="31"/>
            <x v="32"/>
            <x v="33"/>
            <x v="34"/>
            <x v="35"/>
            <x v="36"/>
            <x v="40"/>
            <x v="42"/>
            <x v="44"/>
            <x v="55"/>
            <x v="64"/>
            <x v="65"/>
            <x v="67"/>
            <x v="71"/>
            <x v="72"/>
            <x v="73"/>
            <x v="76"/>
            <x v="78"/>
            <x v="79"/>
            <x v="83"/>
            <x v="90"/>
            <x v="93"/>
            <x v="95"/>
            <x v="97"/>
            <x v="98"/>
            <x v="102"/>
            <x v="105"/>
            <x v="106"/>
            <x v="111"/>
            <x v="116"/>
            <x v="117"/>
            <x v="119"/>
            <x v="120"/>
            <x v="121"/>
            <x v="122"/>
            <x v="123"/>
            <x v="124"/>
            <x v="126"/>
            <x v="127"/>
            <x v="128"/>
            <x v="129"/>
            <x v="130"/>
            <x v="131"/>
            <x v="134"/>
          </reference>
          <reference field="22" count="1" selected="0">
            <x v="9"/>
          </reference>
        </references>
      </pivotArea>
    </format>
    <format dxfId="159">
      <pivotArea outline="0" fieldPosition="0">
        <references count="2">
          <reference field="2" count="61" selected="0">
            <x v="6"/>
            <x v="9"/>
            <x v="10"/>
            <x v="11"/>
            <x v="13"/>
            <x v="14"/>
            <x v="16"/>
            <x v="17"/>
            <x v="21"/>
            <x v="22"/>
            <x v="23"/>
            <x v="27"/>
            <x v="29"/>
            <x v="31"/>
            <x v="32"/>
            <x v="33"/>
            <x v="34"/>
            <x v="35"/>
            <x v="36"/>
            <x v="40"/>
            <x v="42"/>
            <x v="44"/>
            <x v="55"/>
            <x v="64"/>
            <x v="65"/>
            <x v="67"/>
            <x v="71"/>
            <x v="72"/>
            <x v="73"/>
            <x v="76"/>
            <x v="78"/>
            <x v="79"/>
            <x v="83"/>
            <x v="90"/>
            <x v="93"/>
            <x v="95"/>
            <x v="97"/>
            <x v="98"/>
            <x v="102"/>
            <x v="105"/>
            <x v="106"/>
            <x v="111"/>
            <x v="116"/>
            <x v="117"/>
            <x v="119"/>
            <x v="120"/>
            <x v="121"/>
            <x v="122"/>
            <x v="123"/>
            <x v="124"/>
            <x v="126"/>
            <x v="127"/>
            <x v="128"/>
            <x v="129"/>
            <x v="130"/>
            <x v="131"/>
            <x v="133"/>
            <x v="134"/>
            <x v="135"/>
            <x v="136"/>
            <x v="138"/>
          </reference>
          <reference field="22" count="1" selected="0">
            <x v="10"/>
          </reference>
        </references>
      </pivotArea>
    </format>
    <format dxfId="158">
      <pivotArea outline="0" fieldPosition="0">
        <references count="2">
          <reference field="2" count="65" selected="0">
            <x v="11"/>
            <x v="13"/>
            <x v="14"/>
            <x v="16"/>
            <x v="17"/>
            <x v="21"/>
            <x v="22"/>
            <x v="23"/>
            <x v="27"/>
            <x v="29"/>
            <x v="31"/>
            <x v="32"/>
            <x v="33"/>
            <x v="34"/>
            <x v="35"/>
            <x v="36"/>
            <x v="40"/>
            <x v="42"/>
            <x v="44"/>
            <x v="55"/>
            <x v="64"/>
            <x v="65"/>
            <x v="67"/>
            <x v="71"/>
            <x v="72"/>
            <x v="73"/>
            <x v="76"/>
            <x v="78"/>
            <x v="79"/>
            <x v="83"/>
            <x v="90"/>
            <x v="93"/>
            <x v="95"/>
            <x v="97"/>
            <x v="98"/>
            <x v="102"/>
            <x v="105"/>
            <x v="106"/>
            <x v="111"/>
            <x v="116"/>
            <x v="117"/>
            <x v="119"/>
            <x v="120"/>
            <x v="121"/>
            <x v="122"/>
            <x v="123"/>
            <x v="124"/>
            <x v="126"/>
            <x v="127"/>
            <x v="128"/>
            <x v="129"/>
            <x v="130"/>
            <x v="131"/>
            <x v="133"/>
            <x v="134"/>
            <x v="135"/>
            <x v="136"/>
            <x v="137"/>
            <x v="138"/>
            <x v="139"/>
            <x v="140"/>
            <x v="142"/>
            <x v="143"/>
            <x v="148"/>
            <x v="149"/>
          </reference>
          <reference field="22" count="1" selected="0">
            <x v="11"/>
          </reference>
        </references>
      </pivotArea>
    </format>
    <format dxfId="157">
      <pivotArea outline="0" fieldPosition="0">
        <references count="2">
          <reference field="2" count="16" selected="0">
            <x v="0"/>
            <x v="11"/>
            <x v="33"/>
            <x v="65"/>
            <x v="97"/>
            <x v="106"/>
            <x v="122"/>
            <x v="126"/>
            <x v="128"/>
            <x v="130"/>
            <x v="131"/>
            <x v="133"/>
            <x v="134"/>
            <x v="135"/>
            <x v="136"/>
            <x v="137"/>
          </reference>
          <reference field="22" count="0" selected="0"/>
        </references>
      </pivotArea>
    </format>
    <format dxfId="156">
      <pivotArea outline="0" fieldPosition="0">
        <references count="2">
          <reference field="2" count="72" selected="0">
            <x v="0"/>
            <x v="6"/>
            <x v="9"/>
            <x v="10"/>
            <x v="11"/>
            <x v="13"/>
            <x v="14"/>
            <x v="16"/>
            <x v="17"/>
            <x v="21"/>
            <x v="22"/>
            <x v="23"/>
            <x v="27"/>
            <x v="29"/>
            <x v="31"/>
            <x v="32"/>
            <x v="33"/>
            <x v="34"/>
            <x v="35"/>
            <x v="36"/>
            <x v="40"/>
            <x v="42"/>
            <x v="44"/>
            <x v="55"/>
            <x v="64"/>
            <x v="65"/>
            <x v="67"/>
            <x v="71"/>
            <x v="72"/>
            <x v="73"/>
            <x v="76"/>
            <x v="78"/>
            <x v="79"/>
            <x v="83"/>
            <x v="90"/>
            <x v="93"/>
            <x v="95"/>
            <x v="97"/>
            <x v="98"/>
            <x v="102"/>
            <x v="105"/>
            <x v="106"/>
            <x v="111"/>
            <x v="116"/>
            <x v="117"/>
            <x v="119"/>
            <x v="120"/>
            <x v="121"/>
            <x v="122"/>
            <x v="123"/>
            <x v="124"/>
            <x v="126"/>
            <x v="127"/>
            <x v="128"/>
            <x v="129"/>
            <x v="130"/>
            <x v="131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5"/>
            <x v="147"/>
            <x v="148"/>
            <x v="149"/>
          </reference>
          <reference field="22" count="1" selected="0">
            <x v="12"/>
          </reference>
        </references>
      </pivotArea>
    </format>
    <format dxfId="155">
      <pivotArea outline="0" fieldPosition="0">
        <references count="2">
          <reference field="2" count="25" selected="0">
            <x v="65"/>
            <x v="97"/>
            <x v="119"/>
            <x v="125"/>
            <x v="128"/>
            <x v="131"/>
            <x v="132"/>
            <x v="134"/>
            <x v="135"/>
            <x v="139"/>
            <x v="140"/>
            <x v="143"/>
            <x v="144"/>
            <x v="145"/>
            <x v="146"/>
            <x v="147"/>
            <x v="149"/>
            <x v="150"/>
            <x v="151"/>
            <x v="152"/>
            <x v="153"/>
            <x v="154"/>
            <x v="155"/>
            <x v="156"/>
            <x v="157"/>
          </reference>
          <reference field="22" count="0" selected="0"/>
        </references>
      </pivotArea>
    </format>
    <format dxfId="154">
      <pivotArea outline="0" fieldPosition="0">
        <references count="2">
          <reference field="2" count="1" selected="0">
            <x v="135"/>
          </reference>
          <reference field="22" count="1" selected="0">
            <x v="1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A6DE40-F2EF-4720-8317-839A4AE4D65F}" name="TablaDinámica1" cacheId="1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4:H44" firstHeaderRow="1" firstDataRow="2" firstDataCol="1" rowPageCount="2" colPageCount="1"/>
  <pivotFields count="31">
    <pivotField showAll="0"/>
    <pivotField showAll="0"/>
    <pivotField axis="axisRow" showAll="0">
      <items count="196">
        <item m="1" x="194"/>
        <item x="1"/>
        <item x="2"/>
        <item x="3"/>
        <item x="5"/>
        <item x="8"/>
        <item x="9"/>
        <item x="10"/>
        <item x="12"/>
        <item x="14"/>
        <item x="16"/>
        <item x="17"/>
        <item x="19"/>
        <item x="21"/>
        <item x="23"/>
        <item x="24"/>
        <item x="25"/>
        <item x="26"/>
        <item x="27"/>
        <item x="28"/>
        <item x="29"/>
        <item x="30"/>
        <item x="31"/>
        <item x="32"/>
        <item x="35"/>
        <item x="36"/>
        <item x="37"/>
        <item x="39"/>
        <item x="40"/>
        <item x="41"/>
        <item x="42"/>
        <item x="43"/>
        <item x="44"/>
        <item x="45"/>
        <item x="46"/>
        <item x="47"/>
        <item x="48"/>
        <item x="49"/>
        <item x="51"/>
        <item x="52"/>
        <item x="54"/>
        <item x="55"/>
        <item x="56"/>
        <item x="58"/>
        <item x="59"/>
        <item x="60"/>
        <item x="65"/>
        <item x="67"/>
        <item x="68"/>
        <item x="69"/>
        <item x="70"/>
        <item x="71"/>
        <item x="72"/>
        <item x="73"/>
        <item x="76"/>
        <item x="77"/>
        <item x="80"/>
        <item x="82"/>
        <item x="83"/>
        <item x="85"/>
        <item x="88"/>
        <item x="90"/>
        <item x="96"/>
        <item x="98"/>
        <item x="99"/>
        <item x="100"/>
        <item x="101"/>
        <item x="102"/>
        <item x="103"/>
        <item x="104"/>
        <item x="105"/>
        <item x="107"/>
        <item x="108"/>
        <item x="109"/>
        <item x="113"/>
        <item x="114"/>
        <item x="115"/>
        <item x="116"/>
        <item x="117"/>
        <item x="118"/>
        <item x="119"/>
        <item x="120"/>
        <item x="121"/>
        <item x="122"/>
        <item x="124"/>
        <item x="125"/>
        <item x="126"/>
        <item x="128"/>
        <item x="129"/>
        <item x="130"/>
        <item x="132"/>
        <item x="133"/>
        <item x="134"/>
        <item x="136"/>
        <item x="137"/>
        <item x="138"/>
        <item x="140"/>
        <item x="143"/>
        <item x="144"/>
        <item x="146"/>
        <item x="147"/>
        <item x="149"/>
        <item x="150"/>
        <item x="151"/>
        <item x="152"/>
        <item x="154"/>
        <item x="156"/>
        <item x="157"/>
        <item x="158"/>
        <item x="159"/>
        <item x="160"/>
        <item x="161"/>
        <item x="162"/>
        <item x="163"/>
        <item x="164"/>
        <item x="168"/>
        <item x="169"/>
        <item x="171"/>
        <item x="172"/>
        <item x="173"/>
        <item x="174"/>
        <item x="175"/>
        <item x="176"/>
        <item x="179"/>
        <item x="180"/>
        <item x="182"/>
        <item x="187"/>
        <item x="188"/>
        <item x="189"/>
        <item x="38"/>
        <item x="185"/>
        <item x="112"/>
        <item x="7"/>
        <item x="139"/>
        <item x="106"/>
        <item x="33"/>
        <item x="190"/>
        <item x="127"/>
        <item x="84"/>
        <item x="34"/>
        <item x="78"/>
        <item x="6"/>
        <item x="167"/>
        <item x="15"/>
        <item x="57"/>
        <item x="183"/>
        <item x="153"/>
        <item x="155"/>
        <item x="86"/>
        <item x="61"/>
        <item x="11"/>
        <item x="89"/>
        <item x="170"/>
        <item x="142"/>
        <item x="20"/>
        <item x="66"/>
        <item x="13"/>
        <item x="74"/>
        <item x="94"/>
        <item x="111"/>
        <item x="186"/>
        <item x="0"/>
        <item x="165"/>
        <item x="166"/>
        <item x="178"/>
        <item x="18"/>
        <item x="64"/>
        <item x="50"/>
        <item x="79"/>
        <item x="75"/>
        <item x="62"/>
        <item x="87"/>
        <item x="22"/>
        <item x="110"/>
        <item x="148"/>
        <item x="91"/>
        <item x="131"/>
        <item x="92"/>
        <item x="181"/>
        <item x="4"/>
        <item x="95"/>
        <item x="145"/>
        <item x="141"/>
        <item x="97"/>
        <item x="123"/>
        <item x="81"/>
        <item x="184"/>
        <item x="53"/>
        <item x="93"/>
        <item x="63"/>
        <item x="135"/>
        <item x="177"/>
        <item x="191"/>
        <item x="192"/>
        <item x="193"/>
        <item t="default"/>
      </items>
    </pivotField>
    <pivotField showAll="0"/>
    <pivotField showAll="0"/>
    <pivotField axis="axisPage" multipleItemSelectionAllowed="1" showAll="0">
      <items count="9">
        <item x="4"/>
        <item x="5"/>
        <item x="2"/>
        <item m="1" x="7"/>
        <item x="1"/>
        <item x="3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>
      <items count="212">
        <item x="94"/>
        <item x="2"/>
        <item x="11"/>
        <item x="3"/>
        <item x="4"/>
        <item x="153"/>
        <item x="85"/>
        <item x="5"/>
        <item x="6"/>
        <item x="164"/>
        <item x="7"/>
        <item x="157"/>
        <item x="179"/>
        <item x="154"/>
        <item x="86"/>
        <item x="8"/>
        <item x="188"/>
        <item x="95"/>
        <item x="199"/>
        <item x="1"/>
        <item x="9"/>
        <item x="12"/>
        <item x="189"/>
        <item x="148"/>
        <item x="173"/>
        <item x="13"/>
        <item x="165"/>
        <item x="38"/>
        <item x="135"/>
        <item x="174"/>
        <item x="180"/>
        <item x="96"/>
        <item x="136"/>
        <item x="111"/>
        <item x="201"/>
        <item x="181"/>
        <item x="14"/>
        <item x="169"/>
        <item x="137"/>
        <item x="84"/>
        <item x="175"/>
        <item x="24"/>
        <item x="126"/>
        <item x="176"/>
        <item x="190"/>
        <item x="149"/>
        <item x="15"/>
        <item x="127"/>
        <item x="138"/>
        <item x="25"/>
        <item x="82"/>
        <item x="117"/>
        <item x="140"/>
        <item x="141"/>
        <item x="67"/>
        <item x="97"/>
        <item x="26"/>
        <item x="163"/>
        <item x="162"/>
        <item x="115"/>
        <item x="208"/>
        <item x="166"/>
        <item x="27"/>
        <item x="142"/>
        <item x="116"/>
        <item x="130"/>
        <item x="87"/>
        <item x="99"/>
        <item x="79"/>
        <item x="28"/>
        <item x="133"/>
        <item x="124"/>
        <item x="143"/>
        <item x="100"/>
        <item x="80"/>
        <item x="16"/>
        <item x="29"/>
        <item x="177"/>
        <item x="139"/>
        <item x="158"/>
        <item x="101"/>
        <item x="81"/>
        <item x="134"/>
        <item x="183"/>
        <item x="205"/>
        <item x="144"/>
        <item x="159"/>
        <item x="89"/>
        <item x="105"/>
        <item x="88"/>
        <item x="30"/>
        <item x="184"/>
        <item x="160"/>
        <item x="90"/>
        <item x="125"/>
        <item x="31"/>
        <item x="156"/>
        <item x="106"/>
        <item x="52"/>
        <item x="72"/>
        <item x="102"/>
        <item x="150"/>
        <item x="197"/>
        <item x="91"/>
        <item x="32"/>
        <item x="73"/>
        <item x="41"/>
        <item x="53"/>
        <item x="191"/>
        <item x="33"/>
        <item x="42"/>
        <item x="44"/>
        <item x="54"/>
        <item x="74"/>
        <item x="103"/>
        <item x="167"/>
        <item x="145"/>
        <item x="34"/>
        <item x="207"/>
        <item x="70"/>
        <item x="45"/>
        <item x="55"/>
        <item x="75"/>
        <item x="192"/>
        <item x="35"/>
        <item x="185"/>
        <item x="161"/>
        <item x="46"/>
        <item x="56"/>
        <item x="198"/>
        <item x="76"/>
        <item x="132"/>
        <item x="151"/>
        <item x="71"/>
        <item x="168"/>
        <item x="47"/>
        <item x="57"/>
        <item x="98"/>
        <item x="77"/>
        <item x="93"/>
        <item x="119"/>
        <item x="182"/>
        <item x="203"/>
        <item x="58"/>
        <item x="155"/>
        <item x="152"/>
        <item x="18"/>
        <item x="48"/>
        <item x="78"/>
        <item x="104"/>
        <item x="120"/>
        <item x="49"/>
        <item x="83"/>
        <item x="146"/>
        <item x="0"/>
        <item x="206"/>
        <item x="121"/>
        <item x="186"/>
        <item x="59"/>
        <item x="43"/>
        <item x="50"/>
        <item x="17"/>
        <item x="60"/>
        <item x="19"/>
        <item x="92"/>
        <item x="36"/>
        <item x="193"/>
        <item x="107"/>
        <item x="209"/>
        <item x="61"/>
        <item x="128"/>
        <item x="210"/>
        <item x="204"/>
        <item x="20"/>
        <item x="194"/>
        <item x="62"/>
        <item x="147"/>
        <item x="129"/>
        <item x="114"/>
        <item x="21"/>
        <item x="195"/>
        <item x="171"/>
        <item x="39"/>
        <item x="202"/>
        <item x="187"/>
        <item x="122"/>
        <item x="63"/>
        <item x="22"/>
        <item x="196"/>
        <item x="131"/>
        <item x="37"/>
        <item x="40"/>
        <item x="113"/>
        <item x="64"/>
        <item x="112"/>
        <item x="172"/>
        <item x="108"/>
        <item x="23"/>
        <item x="65"/>
        <item x="200"/>
        <item x="51"/>
        <item x="10"/>
        <item x="68"/>
        <item x="178"/>
        <item x="109"/>
        <item x="66"/>
        <item x="123"/>
        <item x="170"/>
        <item x="69"/>
        <item x="110"/>
        <item x="118"/>
        <item t="default"/>
      </items>
    </pivotField>
    <pivotField showAll="0"/>
    <pivotField numFmtId="41" showAll="0"/>
    <pivotField showAll="0"/>
    <pivotField showAll="0">
      <items count="404">
        <item x="113"/>
        <item x="363"/>
        <item x="359"/>
        <item x="126"/>
        <item x="270"/>
        <item x="364"/>
        <item x="15"/>
        <item x="114"/>
        <item x="360"/>
        <item x="2"/>
        <item x="335"/>
        <item x="181"/>
        <item x="127"/>
        <item x="16"/>
        <item x="376"/>
        <item x="3"/>
        <item x="219"/>
        <item x="271"/>
        <item x="128"/>
        <item x="180"/>
        <item x="4"/>
        <item x="17"/>
        <item x="11"/>
        <item x="333"/>
        <item x="336"/>
        <item x="365"/>
        <item x="5"/>
        <item x="169"/>
        <item x="18"/>
        <item x="129"/>
        <item x="377"/>
        <item x="170"/>
        <item x="115"/>
        <item x="19"/>
        <item x="374"/>
        <item x="97"/>
        <item x="334"/>
        <item x="130"/>
        <item x="291"/>
        <item x="6"/>
        <item x="20"/>
        <item x="116"/>
        <item x="183"/>
        <item x="272"/>
        <item x="337"/>
        <item x="327"/>
        <item x="338"/>
        <item x="378"/>
        <item x="257"/>
        <item x="292"/>
        <item x="171"/>
        <item x="98"/>
        <item x="366"/>
        <item x="7"/>
        <item x="117"/>
        <item x="339"/>
        <item x="172"/>
        <item x="329"/>
        <item x="293"/>
        <item x="131"/>
        <item x="13"/>
        <item x="340"/>
        <item x="8"/>
        <item x="118"/>
        <item x="119"/>
        <item x="294"/>
        <item x="357"/>
        <item x="184"/>
        <item x="328"/>
        <item x="379"/>
        <item x="358"/>
        <item x="251"/>
        <item x="295"/>
        <item x="120"/>
        <item x="258"/>
        <item x="99"/>
        <item x="47"/>
        <item x="375"/>
        <item x="250"/>
        <item x="380"/>
        <item x="9"/>
        <item x="1"/>
        <item x="12"/>
        <item x="48"/>
        <item x="10"/>
        <item x="296"/>
        <item x="21"/>
        <item x="324"/>
        <item x="341"/>
        <item x="297"/>
        <item x="49"/>
        <item x="182"/>
        <item x="22"/>
        <item x="298"/>
        <item x="313"/>
        <item x="287"/>
        <item x="283"/>
        <item x="381"/>
        <item x="342"/>
        <item x="239"/>
        <item x="50"/>
        <item x="299"/>
        <item x="325"/>
        <item x="23"/>
        <item x="156"/>
        <item x="280"/>
        <item x="174"/>
        <item x="158"/>
        <item x="288"/>
        <item x="240"/>
        <item x="300"/>
        <item x="224"/>
        <item x="121"/>
        <item x="326"/>
        <item x="343"/>
        <item x="157"/>
        <item x="315"/>
        <item x="146"/>
        <item x="314"/>
        <item x="153"/>
        <item x="147"/>
        <item x="225"/>
        <item x="241"/>
        <item x="159"/>
        <item x="175"/>
        <item x="176"/>
        <item x="122"/>
        <item x="284"/>
        <item x="95"/>
        <item x="301"/>
        <item x="344"/>
        <item x="302"/>
        <item x="226"/>
        <item x="154"/>
        <item x="148"/>
        <item x="123"/>
        <item x="32"/>
        <item x="177"/>
        <item x="24"/>
        <item x="227"/>
        <item x="178"/>
        <item x="149"/>
        <item x="382"/>
        <item x="43"/>
        <item x="33"/>
        <item x="124"/>
        <item x="303"/>
        <item x="385"/>
        <item x="212"/>
        <item x="305"/>
        <item x="228"/>
        <item x="125"/>
        <item x="150"/>
        <item x="316"/>
        <item x="274"/>
        <item x="80"/>
        <item x="265"/>
        <item x="193"/>
        <item x="229"/>
        <item x="231"/>
        <item x="34"/>
        <item x="191"/>
        <item x="243"/>
        <item x="400"/>
        <item x="160"/>
        <item x="345"/>
        <item x="25"/>
        <item x="306"/>
        <item x="35"/>
        <item x="132"/>
        <item x="220"/>
        <item x="264"/>
        <item x="242"/>
        <item x="100"/>
        <item x="282"/>
        <item x="192"/>
        <item x="275"/>
        <item x="232"/>
        <item x="36"/>
        <item x="221"/>
        <item x="304"/>
        <item x="206"/>
        <item x="96"/>
        <item x="89"/>
        <item x="140"/>
        <item x="179"/>
        <item x="268"/>
        <item x="233"/>
        <item x="101"/>
        <item x="155"/>
        <item x="266"/>
        <item x="222"/>
        <item x="383"/>
        <item x="37"/>
        <item x="44"/>
        <item x="230"/>
        <item x="208"/>
        <item x="254"/>
        <item x="269"/>
        <item x="141"/>
        <item x="256"/>
        <item x="259"/>
        <item x="346"/>
        <item x="223"/>
        <item x="234"/>
        <item x="26"/>
        <item x="276"/>
        <item x="391"/>
        <item x="102"/>
        <item x="235"/>
        <item x="289"/>
        <item x="90"/>
        <item x="163"/>
        <item x="260"/>
        <item x="133"/>
        <item x="112"/>
        <item x="310"/>
        <item x="277"/>
        <item x="311"/>
        <item x="261"/>
        <item x="38"/>
        <item x="347"/>
        <item x="142"/>
        <item x="209"/>
        <item x="104"/>
        <item x="255"/>
        <item x="348"/>
        <item x="278"/>
        <item x="394"/>
        <item x="103"/>
        <item x="143"/>
        <item x="370"/>
        <item x="312"/>
        <item x="317"/>
        <item x="39"/>
        <item x="349"/>
        <item x="262"/>
        <item x="371"/>
        <item x="40"/>
        <item x="350"/>
        <item x="58"/>
        <item x="267"/>
        <item x="395"/>
        <item x="66"/>
        <item x="81"/>
        <item x="372"/>
        <item x="135"/>
        <item x="91"/>
        <item x="41"/>
        <item x="67"/>
        <item x="59"/>
        <item x="398"/>
        <item x="53"/>
        <item x="396"/>
        <item x="330"/>
        <item x="351"/>
        <item x="318"/>
        <item x="244"/>
        <item x="60"/>
        <item x="136"/>
        <item x="397"/>
        <item x="84"/>
        <item x="42"/>
        <item x="92"/>
        <item x="105"/>
        <item x="68"/>
        <item x="134"/>
        <item x="331"/>
        <item x="352"/>
        <item x="319"/>
        <item x="245"/>
        <item x="373"/>
        <item x="82"/>
        <item x="61"/>
        <item x="85"/>
        <item x="144"/>
        <item x="93"/>
        <item x="263"/>
        <item x="392"/>
        <item x="83"/>
        <item x="217"/>
        <item x="138"/>
        <item x="307"/>
        <item x="199"/>
        <item x="137"/>
        <item x="246"/>
        <item x="31"/>
        <item x="62"/>
        <item x="54"/>
        <item x="332"/>
        <item x="353"/>
        <item x="57"/>
        <item x="69"/>
        <item x="200"/>
        <item x="388"/>
        <item x="86"/>
        <item x="207"/>
        <item x="63"/>
        <item x="70"/>
        <item x="94"/>
        <item x="236"/>
        <item x="354"/>
        <item x="151"/>
        <item x="201"/>
        <item x="0"/>
        <item x="389"/>
        <item x="64"/>
        <item x="247"/>
        <item x="71"/>
        <item x="279"/>
        <item x="87"/>
        <item x="202"/>
        <item x="320"/>
        <item x="106"/>
        <item x="237"/>
        <item x="355"/>
        <item x="110"/>
        <item x="248"/>
        <item x="139"/>
        <item x="72"/>
        <item x="399"/>
        <item x="107"/>
        <item x="393"/>
        <item x="362"/>
        <item x="194"/>
        <item x="308"/>
        <item x="321"/>
        <item x="210"/>
        <item x="27"/>
        <item x="88"/>
        <item x="109"/>
        <item x="356"/>
        <item x="73"/>
        <item x="145"/>
        <item x="238"/>
        <item x="249"/>
        <item x="401"/>
        <item x="28"/>
        <item x="203"/>
        <item x="390"/>
        <item x="195"/>
        <item x="402"/>
        <item x="55"/>
        <item x="74"/>
        <item x="108"/>
        <item x="56"/>
        <item x="204"/>
        <item x="213"/>
        <item x="285"/>
        <item x="75"/>
        <item x="173"/>
        <item x="367"/>
        <item x="322"/>
        <item x="253"/>
        <item x="45"/>
        <item x="51"/>
        <item x="281"/>
        <item x="111"/>
        <item x="76"/>
        <item x="164"/>
        <item x="46"/>
        <item x="29"/>
        <item x="30"/>
        <item x="185"/>
        <item x="196"/>
        <item x="368"/>
        <item x="77"/>
        <item x="188"/>
        <item x="161"/>
        <item x="186"/>
        <item x="197"/>
        <item x="65"/>
        <item x="78"/>
        <item x="205"/>
        <item x="309"/>
        <item x="323"/>
        <item x="252"/>
        <item x="52"/>
        <item x="189"/>
        <item x="216"/>
        <item x="166"/>
        <item x="165"/>
        <item x="215"/>
        <item x="152"/>
        <item x="198"/>
        <item x="361"/>
        <item x="290"/>
        <item x="14"/>
        <item x="369"/>
        <item x="273"/>
        <item x="162"/>
        <item x="167"/>
        <item x="187"/>
        <item x="190"/>
        <item x="211"/>
        <item x="384"/>
        <item x="79"/>
        <item x="387"/>
        <item x="286"/>
        <item x="168"/>
        <item x="218"/>
        <item x="386"/>
        <item x="214"/>
        <item t="default"/>
      </items>
    </pivotField>
    <pivotField showAll="0"/>
    <pivotField dataField="1" showAll="0"/>
    <pivotField showAll="0"/>
    <pivotField showAll="0">
      <items count="384">
        <item x="350"/>
        <item x="115"/>
        <item x="266"/>
        <item x="2"/>
        <item x="124"/>
        <item x="15"/>
        <item x="347"/>
        <item x="16"/>
        <item x="177"/>
        <item x="351"/>
        <item x="3"/>
        <item x="11"/>
        <item x="125"/>
        <item x="267"/>
        <item x="334"/>
        <item x="176"/>
        <item x="4"/>
        <item x="17"/>
        <item x="335"/>
        <item x="352"/>
        <item x="5"/>
        <item x="168"/>
        <item x="18"/>
        <item x="126"/>
        <item x="254"/>
        <item x="361"/>
        <item x="169"/>
        <item x="19"/>
        <item x="360"/>
        <item x="127"/>
        <item x="255"/>
        <item x="97"/>
        <item x="178"/>
        <item x="6"/>
        <item x="327"/>
        <item x="268"/>
        <item x="116"/>
        <item x="256"/>
        <item x="180"/>
        <item x="202"/>
        <item x="362"/>
        <item x="241"/>
        <item x="353"/>
        <item x="336"/>
        <item x="7"/>
        <item x="299"/>
        <item x="332"/>
        <item x="128"/>
        <item x="13"/>
        <item x="337"/>
        <item x="300"/>
        <item x="242"/>
        <item x="333"/>
        <item x="329"/>
        <item x="8"/>
        <item x="117"/>
        <item x="328"/>
        <item x="301"/>
        <item x="346"/>
        <item x="363"/>
        <item x="181"/>
        <item x="257"/>
        <item x="364"/>
        <item x="118"/>
        <item x="45"/>
        <item x="365"/>
        <item x="326"/>
        <item x="240"/>
        <item x="98"/>
        <item x="302"/>
        <item x="1"/>
        <item x="9"/>
        <item x="46"/>
        <item x="12"/>
        <item x="10"/>
        <item x="20"/>
        <item x="303"/>
        <item x="323"/>
        <item x="179"/>
        <item x="47"/>
        <item x="21"/>
        <item x="291"/>
        <item x="280"/>
        <item x="48"/>
        <item x="304"/>
        <item x="49"/>
        <item x="22"/>
        <item x="243"/>
        <item x="275"/>
        <item x="305"/>
        <item x="231"/>
        <item x="157"/>
        <item x="315"/>
        <item x="217"/>
        <item x="159"/>
        <item x="292"/>
        <item x="232"/>
        <item x="119"/>
        <item x="154"/>
        <item x="324"/>
        <item x="306"/>
        <item x="147"/>
        <item x="158"/>
        <item x="286"/>
        <item x="120"/>
        <item x="233"/>
        <item x="218"/>
        <item x="307"/>
        <item x="234"/>
        <item x="160"/>
        <item x="171"/>
        <item x="172"/>
        <item x="95"/>
        <item x="294"/>
        <item x="325"/>
        <item x="316"/>
        <item x="338"/>
        <item x="31"/>
        <item x="121"/>
        <item x="293"/>
        <item x="155"/>
        <item x="317"/>
        <item x="219"/>
        <item x="309"/>
        <item x="339"/>
        <item x="42"/>
        <item x="173"/>
        <item x="23"/>
        <item x="148"/>
        <item x="32"/>
        <item x="174"/>
        <item x="122"/>
        <item x="250"/>
        <item x="220"/>
        <item x="77"/>
        <item x="235"/>
        <item x="270"/>
        <item x="33"/>
        <item x="187"/>
        <item x="276"/>
        <item x="123"/>
        <item x="308"/>
        <item x="149"/>
        <item x="221"/>
        <item x="189"/>
        <item x="24"/>
        <item x="34"/>
        <item x="318"/>
        <item x="129"/>
        <item x="223"/>
        <item x="367"/>
        <item x="236"/>
        <item x="279"/>
        <item x="212"/>
        <item x="188"/>
        <item x="213"/>
        <item x="261"/>
        <item x="88"/>
        <item x="278"/>
        <item x="271"/>
        <item x="203"/>
        <item x="214"/>
        <item x="35"/>
        <item x="272"/>
        <item x="224"/>
        <item x="262"/>
        <item x="130"/>
        <item x="96"/>
        <item x="175"/>
        <item x="205"/>
        <item x="36"/>
        <item x="89"/>
        <item x="310"/>
        <item x="264"/>
        <item x="156"/>
        <item x="340"/>
        <item x="281"/>
        <item x="215"/>
        <item x="368"/>
        <item x="251"/>
        <item x="25"/>
        <item x="273"/>
        <item x="99"/>
        <item x="170"/>
        <item x="222"/>
        <item x="90"/>
        <item x="258"/>
        <item x="216"/>
        <item x="225"/>
        <item x="131"/>
        <item x="341"/>
        <item x="100"/>
        <item x="163"/>
        <item x="37"/>
        <item x="252"/>
        <item x="140"/>
        <item x="226"/>
        <item x="150"/>
        <item x="135"/>
        <item x="259"/>
        <item x="101"/>
        <item x="369"/>
        <item x="342"/>
        <item x="141"/>
        <item x="113"/>
        <item x="295"/>
        <item x="114"/>
        <item x="379"/>
        <item x="38"/>
        <item x="104"/>
        <item x="142"/>
        <item x="103"/>
        <item x="265"/>
        <item x="359"/>
        <item x="296"/>
        <item x="134"/>
        <item x="132"/>
        <item x="102"/>
        <item x="62"/>
        <item x="39"/>
        <item x="313"/>
        <item x="314"/>
        <item x="78"/>
        <item x="136"/>
        <item x="144"/>
        <item x="55"/>
        <item x="40"/>
        <item x="263"/>
        <item x="330"/>
        <item x="51"/>
        <item x="253"/>
        <item x="145"/>
        <item x="63"/>
        <item x="56"/>
        <item x="381"/>
        <item x="81"/>
        <item x="91"/>
        <item x="57"/>
        <item x="41"/>
        <item x="227"/>
        <item x="64"/>
        <item x="282"/>
        <item x="137"/>
        <item x="133"/>
        <item x="380"/>
        <item x="201"/>
        <item x="82"/>
        <item x="343"/>
        <item x="370"/>
        <item x="92"/>
        <item x="80"/>
        <item x="143"/>
        <item x="65"/>
        <item x="79"/>
        <item x="58"/>
        <item x="138"/>
        <item x="93"/>
        <item x="83"/>
        <item x="66"/>
        <item x="196"/>
        <item x="311"/>
        <item x="30"/>
        <item x="331"/>
        <item x="0"/>
        <item x="204"/>
        <item x="260"/>
        <item x="52"/>
        <item x="283"/>
        <item x="84"/>
        <item x="54"/>
        <item x="284"/>
        <item x="67"/>
        <item x="285"/>
        <item x="94"/>
        <item x="344"/>
        <item x="68"/>
        <item x="245"/>
        <item x="228"/>
        <item x="319"/>
        <item x="59"/>
        <item x="237"/>
        <item x="152"/>
        <item x="244"/>
        <item x="197"/>
        <item x="238"/>
        <item x="354"/>
        <item x="85"/>
        <item x="151"/>
        <item x="60"/>
        <item x="274"/>
        <item x="110"/>
        <item x="246"/>
        <item x="86"/>
        <item x="376"/>
        <item x="164"/>
        <item x="320"/>
        <item x="239"/>
        <item x="139"/>
        <item x="373"/>
        <item x="377"/>
        <item x="192"/>
        <item x="70"/>
        <item x="146"/>
        <item x="345"/>
        <item x="69"/>
        <item x="87"/>
        <item x="206"/>
        <item x="190"/>
        <item x="247"/>
        <item x="198"/>
        <item x="26"/>
        <item x="105"/>
        <item x="382"/>
        <item x="27"/>
        <item x="71"/>
        <item x="106"/>
        <item x="107"/>
        <item x="229"/>
        <item x="248"/>
        <item x="199"/>
        <item x="53"/>
        <item x="191"/>
        <item x="111"/>
        <item x="230"/>
        <item x="355"/>
        <item x="72"/>
        <item x="43"/>
        <item x="321"/>
        <item x="200"/>
        <item x="73"/>
        <item x="378"/>
        <item x="374"/>
        <item x="249"/>
        <item x="44"/>
        <item x="161"/>
        <item x="287"/>
        <item x="108"/>
        <item x="277"/>
        <item x="28"/>
        <item x="289"/>
        <item x="193"/>
        <item x="29"/>
        <item x="288"/>
        <item x="112"/>
        <item x="109"/>
        <item x="356"/>
        <item x="194"/>
        <item x="61"/>
        <item x="184"/>
        <item x="75"/>
        <item x="312"/>
        <item x="182"/>
        <item x="183"/>
        <item x="366"/>
        <item x="357"/>
        <item x="166"/>
        <item x="74"/>
        <item x="210"/>
        <item x="50"/>
        <item x="269"/>
        <item x="165"/>
        <item x="153"/>
        <item x="195"/>
        <item x="322"/>
        <item x="209"/>
        <item x="297"/>
        <item x="14"/>
        <item x="185"/>
        <item x="167"/>
        <item x="371"/>
        <item x="207"/>
        <item x="358"/>
        <item x="372"/>
        <item x="76"/>
        <item x="375"/>
        <item x="290"/>
        <item x="298"/>
        <item x="211"/>
        <item x="186"/>
        <item x="348"/>
        <item x="349"/>
        <item x="208"/>
        <item x="162"/>
        <item t="default"/>
      </items>
    </pivotField>
    <pivotField showAll="0"/>
    <pivotField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  <pivotField axis="axisCol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x="5"/>
      </items>
    </pivotField>
    <pivotField axis="axisPage" multipleItemSelectionAllowed="1" showAll="0" defaultSubtotal="0">
      <items count="7">
        <item h="1" sd="0" x="0"/>
        <item h="1" sd="0" x="1"/>
        <item h="1" sd="0" x="2"/>
        <item h="1" sd="0" x="3"/>
        <item h="1" sd="0" x="4"/>
        <item x="5"/>
        <item h="1" x="6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2"/>
  </rowFields>
  <rowItems count="39">
    <i>
      <x v="56"/>
    </i>
    <i>
      <x v="89"/>
    </i>
    <i>
      <x v="132"/>
    </i>
    <i>
      <x v="139"/>
    </i>
    <i>
      <x v="140"/>
    </i>
    <i>
      <x v="144"/>
    </i>
    <i>
      <x v="145"/>
    </i>
    <i>
      <x v="146"/>
    </i>
    <i>
      <x v="149"/>
    </i>
    <i>
      <x v="150"/>
    </i>
    <i>
      <x v="152"/>
    </i>
    <i>
      <x v="153"/>
    </i>
    <i>
      <x v="154"/>
    </i>
    <i>
      <x v="156"/>
    </i>
    <i>
      <x v="157"/>
    </i>
    <i>
      <x v="158"/>
    </i>
    <i>
      <x v="159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3"/>
    </i>
    <i>
      <x v="174"/>
    </i>
    <i>
      <x v="175"/>
    </i>
    <i>
      <x v="177"/>
    </i>
    <i>
      <x v="178"/>
    </i>
    <i>
      <x v="179"/>
    </i>
    <i>
      <x v="180"/>
    </i>
    <i>
      <x v="181"/>
    </i>
    <i>
      <x v="183"/>
    </i>
    <i>
      <x v="184"/>
    </i>
    <i>
      <x v="186"/>
    </i>
    <i t="grand">
      <x/>
    </i>
  </rowItems>
  <colFields count="1">
    <field x="25"/>
  </colFields>
  <colItems count="7">
    <i>
      <x v="1"/>
    </i>
    <i>
      <x v="2"/>
    </i>
    <i>
      <x v="3"/>
    </i>
    <i>
      <x v="4"/>
    </i>
    <i>
      <x v="5"/>
    </i>
    <i>
      <x v="6"/>
    </i>
    <i t="grand">
      <x/>
    </i>
  </colItems>
  <pageFields count="2">
    <pageField fld="27" hier="-1"/>
    <pageField fld="5" hier="-1"/>
  </pageFields>
  <dataFields count="1">
    <dataField name="Suma de Facturado USD" fld="17" baseField="0" baseItem="0" numFmtId="3"/>
  </dataFields>
  <formats count="21">
    <format dxfId="153">
      <pivotArea outline="0" collapsedLevelsAreSubtotals="1" fieldPosition="0"/>
    </format>
    <format dxfId="152">
      <pivotArea type="all" dataOnly="0" outline="0" fieldPosition="0"/>
    </format>
    <format dxfId="151">
      <pivotArea outline="0" collapsedLevelsAreSubtotals="1" fieldPosition="0"/>
    </format>
    <format dxfId="150">
      <pivotArea type="origin" dataOnly="0" labelOnly="1" outline="0" fieldPosition="0"/>
    </format>
    <format dxfId="149">
      <pivotArea field="25" type="button" dataOnly="0" labelOnly="1" outline="0" axis="axisCol" fieldPosition="0"/>
    </format>
    <format dxfId="148">
      <pivotArea type="topRight" dataOnly="0" labelOnly="1" outline="0" fieldPosition="0"/>
    </format>
    <format dxfId="147">
      <pivotArea field="2" type="button" dataOnly="0" labelOnly="1" outline="0" axis="axisRow" fieldPosition="0"/>
    </format>
    <format dxfId="146">
      <pivotArea dataOnly="0" labelOnly="1" fieldPosition="0">
        <references count="1">
          <reference field="2" count="46">
            <x v="6"/>
            <x v="9"/>
            <x v="10"/>
            <x v="11"/>
            <x v="12"/>
            <x v="14"/>
            <x v="15"/>
            <x v="17"/>
            <x v="18"/>
            <x v="22"/>
            <x v="23"/>
            <x v="28"/>
            <x v="30"/>
            <x v="32"/>
            <x v="33"/>
            <x v="34"/>
            <x v="35"/>
            <x v="37"/>
            <x v="41"/>
            <x v="43"/>
            <x v="45"/>
            <x v="56"/>
            <x v="57"/>
            <x v="62"/>
            <x v="67"/>
            <x v="68"/>
            <x v="70"/>
            <x v="74"/>
            <x v="76"/>
            <x v="79"/>
            <x v="81"/>
            <x v="86"/>
            <x v="94"/>
            <x v="95"/>
            <x v="100"/>
            <x v="101"/>
            <x v="103"/>
            <x v="108"/>
            <x v="111"/>
            <x v="112"/>
            <x v="117"/>
            <x v="118"/>
            <x v="126"/>
            <x v="127"/>
            <x v="128"/>
            <x v="129"/>
          </reference>
        </references>
      </pivotArea>
    </format>
    <format dxfId="145">
      <pivotArea dataOnly="0" labelOnly="1" grandRow="1" outline="0" fieldPosition="0"/>
    </format>
    <format dxfId="144">
      <pivotArea dataOnly="0" labelOnly="1" fieldPosition="0">
        <references count="1">
          <reference field="25" count="7">
            <x v="1"/>
            <x v="2"/>
            <x v="3"/>
            <x v="4"/>
            <x v="5"/>
            <x v="6"/>
            <x v="7"/>
          </reference>
        </references>
      </pivotArea>
    </format>
    <format dxfId="143">
      <pivotArea dataOnly="0" labelOnly="1" grandCol="1" outline="0" fieldPosition="0"/>
    </format>
    <format dxfId="142">
      <pivotArea type="all" dataOnly="0" outline="0" fieldPosition="0"/>
    </format>
    <format dxfId="141">
      <pivotArea outline="0" collapsedLevelsAreSubtotals="1" fieldPosition="0"/>
    </format>
    <format dxfId="140">
      <pivotArea type="origin" dataOnly="0" labelOnly="1" outline="0" fieldPosition="0"/>
    </format>
    <format dxfId="139">
      <pivotArea field="25" type="button" dataOnly="0" labelOnly="1" outline="0" axis="axisCol" fieldPosition="0"/>
    </format>
    <format dxfId="138">
      <pivotArea type="topRight" dataOnly="0" labelOnly="1" outline="0" fieldPosition="0"/>
    </format>
    <format dxfId="137">
      <pivotArea field="2" type="button" dataOnly="0" labelOnly="1" outline="0" axis="axisRow" fieldPosition="0"/>
    </format>
    <format dxfId="136">
      <pivotArea dataOnly="0" labelOnly="1" fieldPosition="0">
        <references count="1">
          <reference field="2" count="46">
            <x v="6"/>
            <x v="9"/>
            <x v="10"/>
            <x v="11"/>
            <x v="12"/>
            <x v="14"/>
            <x v="15"/>
            <x v="17"/>
            <x v="18"/>
            <x v="22"/>
            <x v="23"/>
            <x v="28"/>
            <x v="30"/>
            <x v="32"/>
            <x v="33"/>
            <x v="34"/>
            <x v="35"/>
            <x v="37"/>
            <x v="41"/>
            <x v="43"/>
            <x v="45"/>
            <x v="56"/>
            <x v="57"/>
            <x v="62"/>
            <x v="67"/>
            <x v="68"/>
            <x v="70"/>
            <x v="74"/>
            <x v="76"/>
            <x v="79"/>
            <x v="81"/>
            <x v="86"/>
            <x v="94"/>
            <x v="95"/>
            <x v="100"/>
            <x v="101"/>
            <x v="103"/>
            <x v="108"/>
            <x v="111"/>
            <x v="112"/>
            <x v="117"/>
            <x v="118"/>
            <x v="126"/>
            <x v="127"/>
            <x v="128"/>
            <x v="129"/>
          </reference>
        </references>
      </pivotArea>
    </format>
    <format dxfId="135">
      <pivotArea dataOnly="0" labelOnly="1" grandRow="1" outline="0" fieldPosition="0"/>
    </format>
    <format dxfId="134">
      <pivotArea dataOnly="0" labelOnly="1" fieldPosition="0">
        <references count="1">
          <reference field="25" count="7">
            <x v="1"/>
            <x v="2"/>
            <x v="3"/>
            <x v="4"/>
            <x v="5"/>
            <x v="6"/>
            <x v="7"/>
          </reference>
        </references>
      </pivotArea>
    </format>
    <format dxfId="133">
      <pivotArea dataOnly="0" labelOnly="1" grandCol="1" outline="0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3538AA-87F3-43E3-B8B4-0E6641EF2700}" name="TablaDinámica1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4:G50" firstHeaderRow="1" firstDataRow="2" firstDataCol="1" rowPageCount="2" colPageCount="1"/>
  <pivotFields count="31">
    <pivotField compact="0" outline="0" showAll="0"/>
    <pivotField compact="0" outline="0" showAll="0"/>
    <pivotField axis="axisRow" compact="0" outline="0" showAll="0" defaultSubtotal="0">
      <items count="195">
        <item sd="0" m="1" x="194"/>
        <item x="1"/>
        <item x="2"/>
        <item x="3"/>
        <item x="5"/>
        <item x="8"/>
        <item x="9"/>
        <item x="10"/>
        <item x="12"/>
        <item x="14"/>
        <item x="16"/>
        <item x="17"/>
        <item x="19"/>
        <item x="21"/>
        <item x="23"/>
        <item x="24"/>
        <item x="25"/>
        <item x="26"/>
        <item x="27"/>
        <item x="28"/>
        <item x="29"/>
        <item x="30"/>
        <item x="31"/>
        <item x="32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1"/>
        <item x="52"/>
        <item x="54"/>
        <item x="55"/>
        <item x="56"/>
        <item x="58"/>
        <item x="59"/>
        <item x="60"/>
        <item x="65"/>
        <item x="67"/>
        <item x="68"/>
        <item x="69"/>
        <item x="70"/>
        <item x="71"/>
        <item x="72"/>
        <item x="73"/>
        <item x="76"/>
        <item x="77"/>
        <item x="80"/>
        <item x="82"/>
        <item x="83"/>
        <item x="85"/>
        <item x="88"/>
        <item x="90"/>
        <item x="96"/>
        <item x="98"/>
        <item x="99"/>
        <item x="100"/>
        <item x="101"/>
        <item x="102"/>
        <item x="103"/>
        <item x="104"/>
        <item x="105"/>
        <item x="107"/>
        <item x="108"/>
        <item x="109"/>
        <item x="113"/>
        <item x="114"/>
        <item x="115"/>
        <item x="116"/>
        <item x="117"/>
        <item x="118"/>
        <item x="119"/>
        <item x="120"/>
        <item x="121"/>
        <item x="122"/>
        <item x="124"/>
        <item x="125"/>
        <item x="126"/>
        <item x="128"/>
        <item x="129"/>
        <item x="130"/>
        <item x="132"/>
        <item x="133"/>
        <item x="134"/>
        <item x="136"/>
        <item x="137"/>
        <item x="138"/>
        <item x="140"/>
        <item x="143"/>
        <item x="144"/>
        <item x="146"/>
        <item x="147"/>
        <item x="149"/>
        <item x="150"/>
        <item x="151"/>
        <item x="152"/>
        <item x="154"/>
        <item x="156"/>
        <item x="157"/>
        <item x="158"/>
        <item x="159"/>
        <item x="160"/>
        <item x="161"/>
        <item x="162"/>
        <item x="163"/>
        <item x="164"/>
        <item x="168"/>
        <item x="169"/>
        <item x="171"/>
        <item x="172"/>
        <item x="173"/>
        <item x="174"/>
        <item x="175"/>
        <item x="176"/>
        <item x="179"/>
        <item x="180"/>
        <item x="182"/>
        <item x="187"/>
        <item x="188"/>
        <item x="189"/>
        <item x="185"/>
        <item x="112"/>
        <item x="7"/>
        <item x="139"/>
        <item x="106"/>
        <item x="33"/>
        <item x="190"/>
        <item x="127"/>
        <item x="84"/>
        <item x="34"/>
        <item x="78"/>
        <item x="6"/>
        <item x="167"/>
        <item x="15"/>
        <item x="57"/>
        <item x="183"/>
        <item x="153"/>
        <item x="155"/>
        <item x="86"/>
        <item x="61"/>
        <item x="11"/>
        <item x="89"/>
        <item x="170"/>
        <item x="142"/>
        <item x="20"/>
        <item x="66"/>
        <item x="13"/>
        <item x="74"/>
        <item x="94"/>
        <item x="111"/>
        <item x="186"/>
        <item x="0"/>
        <item x="165"/>
        <item x="166"/>
        <item x="178"/>
        <item x="18"/>
        <item x="64"/>
        <item x="50"/>
        <item x="79"/>
        <item x="75"/>
        <item x="62"/>
        <item x="87"/>
        <item x="22"/>
        <item x="110"/>
        <item x="148"/>
        <item x="91"/>
        <item x="131"/>
        <item x="92"/>
        <item x="181"/>
        <item x="4"/>
        <item x="95"/>
        <item x="145"/>
        <item x="141"/>
        <item x="97"/>
        <item x="123"/>
        <item x="81"/>
        <item x="184"/>
        <item x="53"/>
        <item x="93"/>
        <item x="63"/>
        <item x="135"/>
        <item x="177"/>
        <item x="191"/>
        <item x="192"/>
        <item x="193"/>
      </items>
    </pivotField>
    <pivotField compact="0" outline="0" showAll="0"/>
    <pivotField compact="0" outline="0" showAll="0"/>
    <pivotField axis="axisPage" compact="0" outline="0" multipleItemSelectionAllowed="1" showAll="0">
      <items count="9">
        <item x="4"/>
        <item x="5"/>
        <item x="2"/>
        <item x="1"/>
        <item x="3"/>
        <item x="0"/>
        <item m="1" x="7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212">
        <item x="94"/>
        <item x="2"/>
        <item x="11"/>
        <item x="3"/>
        <item x="4"/>
        <item x="153"/>
        <item x="85"/>
        <item x="5"/>
        <item x="6"/>
        <item x="164"/>
        <item x="7"/>
        <item x="157"/>
        <item x="179"/>
        <item x="154"/>
        <item x="86"/>
        <item x="8"/>
        <item x="188"/>
        <item x="95"/>
        <item x="199"/>
        <item x="1"/>
        <item x="9"/>
        <item x="12"/>
        <item x="189"/>
        <item x="148"/>
        <item x="173"/>
        <item x="13"/>
        <item x="165"/>
        <item x="38"/>
        <item x="135"/>
        <item x="174"/>
        <item x="180"/>
        <item x="96"/>
        <item x="136"/>
        <item x="111"/>
        <item x="201"/>
        <item x="181"/>
        <item x="14"/>
        <item x="169"/>
        <item x="137"/>
        <item x="84"/>
        <item x="175"/>
        <item x="24"/>
        <item x="126"/>
        <item x="176"/>
        <item x="190"/>
        <item x="149"/>
        <item x="15"/>
        <item x="127"/>
        <item x="138"/>
        <item x="25"/>
        <item x="82"/>
        <item x="117"/>
        <item x="140"/>
        <item x="141"/>
        <item x="67"/>
        <item x="97"/>
        <item x="26"/>
        <item x="163"/>
        <item x="162"/>
        <item x="115"/>
        <item x="208"/>
        <item x="166"/>
        <item x="27"/>
        <item x="142"/>
        <item x="116"/>
        <item x="130"/>
        <item x="87"/>
        <item x="99"/>
        <item x="79"/>
        <item x="28"/>
        <item x="133"/>
        <item x="124"/>
        <item x="143"/>
        <item x="100"/>
        <item x="80"/>
        <item x="16"/>
        <item x="29"/>
        <item x="177"/>
        <item x="139"/>
        <item x="158"/>
        <item x="101"/>
        <item x="81"/>
        <item x="134"/>
        <item x="183"/>
        <item x="205"/>
        <item x="144"/>
        <item x="159"/>
        <item x="89"/>
        <item x="105"/>
        <item x="88"/>
        <item x="30"/>
        <item x="184"/>
        <item x="160"/>
        <item x="90"/>
        <item x="125"/>
        <item x="31"/>
        <item x="156"/>
        <item x="106"/>
        <item x="52"/>
        <item x="72"/>
        <item x="102"/>
        <item x="150"/>
        <item x="197"/>
        <item x="91"/>
        <item x="32"/>
        <item x="73"/>
        <item x="41"/>
        <item x="53"/>
        <item x="191"/>
        <item x="33"/>
        <item x="42"/>
        <item x="44"/>
        <item x="54"/>
        <item x="74"/>
        <item x="103"/>
        <item x="167"/>
        <item x="145"/>
        <item x="34"/>
        <item x="207"/>
        <item x="70"/>
        <item x="45"/>
        <item x="55"/>
        <item x="75"/>
        <item x="192"/>
        <item x="35"/>
        <item x="185"/>
        <item x="161"/>
        <item x="46"/>
        <item x="56"/>
        <item x="198"/>
        <item x="76"/>
        <item x="132"/>
        <item x="151"/>
        <item x="71"/>
        <item x="168"/>
        <item x="47"/>
        <item x="57"/>
        <item x="98"/>
        <item x="77"/>
        <item x="93"/>
        <item x="119"/>
        <item x="182"/>
        <item x="203"/>
        <item x="58"/>
        <item x="155"/>
        <item x="152"/>
        <item x="18"/>
        <item x="48"/>
        <item x="78"/>
        <item x="104"/>
        <item x="120"/>
        <item x="49"/>
        <item x="83"/>
        <item x="146"/>
        <item x="0"/>
        <item x="206"/>
        <item x="121"/>
        <item x="186"/>
        <item x="59"/>
        <item x="43"/>
        <item x="50"/>
        <item x="17"/>
        <item x="60"/>
        <item x="19"/>
        <item x="92"/>
        <item x="36"/>
        <item x="193"/>
        <item x="107"/>
        <item x="209"/>
        <item x="61"/>
        <item x="128"/>
        <item x="210"/>
        <item x="204"/>
        <item x="20"/>
        <item x="194"/>
        <item x="62"/>
        <item x="147"/>
        <item x="129"/>
        <item x="114"/>
        <item x="21"/>
        <item x="195"/>
        <item x="171"/>
        <item x="39"/>
        <item x="202"/>
        <item x="187"/>
        <item x="122"/>
        <item x="63"/>
        <item x="22"/>
        <item x="196"/>
        <item x="131"/>
        <item x="37"/>
        <item x="40"/>
        <item x="113"/>
        <item x="64"/>
        <item x="112"/>
        <item x="172"/>
        <item x="108"/>
        <item x="23"/>
        <item x="65"/>
        <item x="200"/>
        <item x="51"/>
        <item x="10"/>
        <item x="68"/>
        <item x="178"/>
        <item x="109"/>
        <item x="66"/>
        <item x="123"/>
        <item x="170"/>
        <item x="69"/>
        <item x="110"/>
        <item x="118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>
      <items count="404">
        <item x="113"/>
        <item x="363"/>
        <item x="359"/>
        <item x="126"/>
        <item x="270"/>
        <item x="364"/>
        <item x="15"/>
        <item x="114"/>
        <item x="360"/>
        <item x="2"/>
        <item x="335"/>
        <item x="181"/>
        <item x="127"/>
        <item x="16"/>
        <item x="376"/>
        <item x="3"/>
        <item x="219"/>
        <item x="271"/>
        <item x="128"/>
        <item x="180"/>
        <item x="4"/>
        <item x="17"/>
        <item x="11"/>
        <item x="333"/>
        <item x="336"/>
        <item x="365"/>
        <item x="5"/>
        <item x="169"/>
        <item x="18"/>
        <item x="129"/>
        <item x="377"/>
        <item x="170"/>
        <item x="115"/>
        <item x="19"/>
        <item x="374"/>
        <item x="97"/>
        <item x="334"/>
        <item x="130"/>
        <item x="291"/>
        <item x="6"/>
        <item x="20"/>
        <item x="116"/>
        <item x="183"/>
        <item x="272"/>
        <item x="337"/>
        <item x="327"/>
        <item x="338"/>
        <item x="378"/>
        <item x="257"/>
        <item x="292"/>
        <item x="171"/>
        <item x="98"/>
        <item x="366"/>
        <item x="7"/>
        <item x="117"/>
        <item x="339"/>
        <item x="172"/>
        <item x="329"/>
        <item x="293"/>
        <item x="131"/>
        <item x="13"/>
        <item x="340"/>
        <item x="8"/>
        <item x="118"/>
        <item x="119"/>
        <item x="294"/>
        <item x="357"/>
        <item x="184"/>
        <item x="328"/>
        <item x="379"/>
        <item x="358"/>
        <item x="251"/>
        <item x="295"/>
        <item x="120"/>
        <item x="258"/>
        <item x="99"/>
        <item x="47"/>
        <item x="375"/>
        <item x="250"/>
        <item x="380"/>
        <item x="9"/>
        <item x="1"/>
        <item x="12"/>
        <item x="48"/>
        <item x="10"/>
        <item x="296"/>
        <item x="21"/>
        <item x="324"/>
        <item x="341"/>
        <item x="297"/>
        <item x="49"/>
        <item x="182"/>
        <item x="22"/>
        <item x="298"/>
        <item x="313"/>
        <item x="287"/>
        <item x="283"/>
        <item x="381"/>
        <item x="342"/>
        <item x="239"/>
        <item x="50"/>
        <item x="299"/>
        <item x="325"/>
        <item x="23"/>
        <item x="156"/>
        <item x="280"/>
        <item x="174"/>
        <item x="158"/>
        <item x="288"/>
        <item x="240"/>
        <item x="300"/>
        <item x="224"/>
        <item x="121"/>
        <item x="326"/>
        <item x="343"/>
        <item x="157"/>
        <item x="315"/>
        <item x="146"/>
        <item x="314"/>
        <item x="153"/>
        <item x="147"/>
        <item x="225"/>
        <item x="241"/>
        <item x="159"/>
        <item x="175"/>
        <item x="176"/>
        <item x="122"/>
        <item x="284"/>
        <item x="95"/>
        <item x="301"/>
        <item x="344"/>
        <item x="302"/>
        <item x="226"/>
        <item x="154"/>
        <item x="148"/>
        <item x="123"/>
        <item x="32"/>
        <item x="177"/>
        <item x="24"/>
        <item x="227"/>
        <item x="178"/>
        <item x="149"/>
        <item x="382"/>
        <item x="43"/>
        <item x="33"/>
        <item x="124"/>
        <item x="303"/>
        <item x="385"/>
        <item x="212"/>
        <item x="305"/>
        <item x="228"/>
        <item x="125"/>
        <item x="150"/>
        <item x="316"/>
        <item x="274"/>
        <item x="80"/>
        <item x="265"/>
        <item x="193"/>
        <item x="229"/>
        <item x="231"/>
        <item x="34"/>
        <item x="191"/>
        <item x="243"/>
        <item x="400"/>
        <item x="160"/>
        <item x="345"/>
        <item x="25"/>
        <item x="306"/>
        <item x="35"/>
        <item x="132"/>
        <item x="220"/>
        <item x="264"/>
        <item x="242"/>
        <item x="100"/>
        <item x="282"/>
        <item x="192"/>
        <item x="275"/>
        <item x="232"/>
        <item x="36"/>
        <item x="221"/>
        <item x="304"/>
        <item x="206"/>
        <item x="96"/>
        <item x="89"/>
        <item x="140"/>
        <item x="179"/>
        <item x="268"/>
        <item x="233"/>
        <item x="101"/>
        <item x="155"/>
        <item x="266"/>
        <item x="222"/>
        <item x="383"/>
        <item x="37"/>
        <item x="44"/>
        <item x="230"/>
        <item x="208"/>
        <item x="254"/>
        <item x="269"/>
        <item x="141"/>
        <item x="256"/>
        <item x="259"/>
        <item x="346"/>
        <item x="223"/>
        <item x="234"/>
        <item x="26"/>
        <item x="276"/>
        <item x="391"/>
        <item x="102"/>
        <item x="235"/>
        <item x="289"/>
        <item x="90"/>
        <item x="163"/>
        <item x="260"/>
        <item x="133"/>
        <item x="112"/>
        <item x="310"/>
        <item x="277"/>
        <item x="311"/>
        <item x="261"/>
        <item x="38"/>
        <item x="347"/>
        <item x="142"/>
        <item x="209"/>
        <item x="104"/>
        <item x="255"/>
        <item x="348"/>
        <item x="278"/>
        <item x="394"/>
        <item x="103"/>
        <item x="143"/>
        <item x="370"/>
        <item x="312"/>
        <item x="317"/>
        <item x="39"/>
        <item x="349"/>
        <item x="262"/>
        <item x="371"/>
        <item x="40"/>
        <item x="350"/>
        <item x="58"/>
        <item x="267"/>
        <item x="395"/>
        <item x="66"/>
        <item x="81"/>
        <item x="372"/>
        <item x="135"/>
        <item x="91"/>
        <item x="41"/>
        <item x="67"/>
        <item x="59"/>
        <item x="398"/>
        <item x="53"/>
        <item x="396"/>
        <item x="330"/>
        <item x="351"/>
        <item x="318"/>
        <item x="244"/>
        <item x="60"/>
        <item x="136"/>
        <item x="397"/>
        <item x="84"/>
        <item x="42"/>
        <item x="92"/>
        <item x="105"/>
        <item x="68"/>
        <item x="134"/>
        <item x="331"/>
        <item x="352"/>
        <item x="319"/>
        <item x="245"/>
        <item x="373"/>
        <item x="82"/>
        <item x="61"/>
        <item x="85"/>
        <item x="144"/>
        <item x="93"/>
        <item x="263"/>
        <item x="392"/>
        <item x="83"/>
        <item x="217"/>
        <item x="138"/>
        <item x="307"/>
        <item x="199"/>
        <item x="137"/>
        <item x="246"/>
        <item x="332"/>
        <item x="353"/>
        <item x="54"/>
        <item x="62"/>
        <item x="57"/>
        <item x="31"/>
        <item x="69"/>
        <item x="200"/>
        <item x="388"/>
        <item x="86"/>
        <item x="207"/>
        <item x="63"/>
        <item x="70"/>
        <item x="94"/>
        <item x="236"/>
        <item x="354"/>
        <item x="151"/>
        <item x="201"/>
        <item x="0"/>
        <item x="389"/>
        <item x="64"/>
        <item x="247"/>
        <item x="71"/>
        <item x="279"/>
        <item x="87"/>
        <item x="202"/>
        <item x="320"/>
        <item x="106"/>
        <item x="237"/>
        <item x="355"/>
        <item x="110"/>
        <item x="248"/>
        <item x="139"/>
        <item x="72"/>
        <item x="399"/>
        <item x="107"/>
        <item x="393"/>
        <item x="362"/>
        <item x="194"/>
        <item x="308"/>
        <item x="321"/>
        <item x="210"/>
        <item x="27"/>
        <item x="88"/>
        <item x="109"/>
        <item x="356"/>
        <item x="73"/>
        <item x="145"/>
        <item x="238"/>
        <item x="249"/>
        <item x="401"/>
        <item x="28"/>
        <item x="203"/>
        <item x="390"/>
        <item x="195"/>
        <item x="402"/>
        <item x="55"/>
        <item x="74"/>
        <item x="108"/>
        <item x="56"/>
        <item x="204"/>
        <item x="213"/>
        <item x="285"/>
        <item x="75"/>
        <item x="173"/>
        <item x="367"/>
        <item x="322"/>
        <item x="253"/>
        <item x="45"/>
        <item x="51"/>
        <item x="281"/>
        <item x="111"/>
        <item x="76"/>
        <item x="164"/>
        <item x="46"/>
        <item x="29"/>
        <item x="30"/>
        <item x="185"/>
        <item x="196"/>
        <item x="368"/>
        <item x="77"/>
        <item x="188"/>
        <item x="161"/>
        <item x="186"/>
        <item x="197"/>
        <item x="65"/>
        <item x="78"/>
        <item x="205"/>
        <item x="309"/>
        <item x="323"/>
        <item x="252"/>
        <item x="52"/>
        <item x="189"/>
        <item x="216"/>
        <item x="166"/>
        <item x="165"/>
        <item x="215"/>
        <item x="152"/>
        <item x="198"/>
        <item x="361"/>
        <item x="290"/>
        <item x="14"/>
        <item x="369"/>
        <item x="273"/>
        <item x="162"/>
        <item x="167"/>
        <item x="187"/>
        <item x="190"/>
        <item x="211"/>
        <item x="384"/>
        <item x="79"/>
        <item x="387"/>
        <item x="286"/>
        <item x="168"/>
        <item x="218"/>
        <item x="386"/>
        <item x="214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384">
        <item x="350"/>
        <item x="115"/>
        <item x="266"/>
        <item x="2"/>
        <item x="124"/>
        <item x="15"/>
        <item x="347"/>
        <item x="16"/>
        <item x="177"/>
        <item x="351"/>
        <item x="3"/>
        <item x="11"/>
        <item x="125"/>
        <item x="267"/>
        <item x="334"/>
        <item x="176"/>
        <item x="4"/>
        <item x="17"/>
        <item x="335"/>
        <item x="352"/>
        <item x="5"/>
        <item x="168"/>
        <item x="18"/>
        <item x="126"/>
        <item x="254"/>
        <item x="361"/>
        <item x="169"/>
        <item x="19"/>
        <item x="360"/>
        <item x="127"/>
        <item x="255"/>
        <item x="97"/>
        <item x="178"/>
        <item x="6"/>
        <item x="327"/>
        <item x="268"/>
        <item x="116"/>
        <item x="256"/>
        <item x="180"/>
        <item x="202"/>
        <item x="362"/>
        <item x="241"/>
        <item x="353"/>
        <item x="336"/>
        <item x="7"/>
        <item x="299"/>
        <item x="332"/>
        <item x="128"/>
        <item x="13"/>
        <item x="337"/>
        <item x="300"/>
        <item x="242"/>
        <item x="333"/>
        <item x="329"/>
        <item x="8"/>
        <item x="117"/>
        <item x="328"/>
        <item x="301"/>
        <item x="346"/>
        <item x="363"/>
        <item x="181"/>
        <item x="257"/>
        <item x="364"/>
        <item x="118"/>
        <item x="45"/>
        <item x="365"/>
        <item x="326"/>
        <item x="240"/>
        <item x="98"/>
        <item x="302"/>
        <item x="1"/>
        <item x="9"/>
        <item x="46"/>
        <item x="12"/>
        <item x="10"/>
        <item x="20"/>
        <item x="303"/>
        <item x="323"/>
        <item x="179"/>
        <item x="47"/>
        <item x="21"/>
        <item x="291"/>
        <item x="280"/>
        <item x="48"/>
        <item x="304"/>
        <item x="49"/>
        <item x="22"/>
        <item x="243"/>
        <item x="275"/>
        <item x="305"/>
        <item x="231"/>
        <item x="157"/>
        <item x="315"/>
        <item x="217"/>
        <item x="159"/>
        <item x="292"/>
        <item x="232"/>
        <item x="119"/>
        <item x="154"/>
        <item x="324"/>
        <item x="306"/>
        <item x="147"/>
        <item x="158"/>
        <item x="286"/>
        <item x="120"/>
        <item x="233"/>
        <item x="218"/>
        <item x="307"/>
        <item x="234"/>
        <item x="160"/>
        <item x="171"/>
        <item x="172"/>
        <item x="95"/>
        <item x="294"/>
        <item x="325"/>
        <item x="316"/>
        <item x="338"/>
        <item x="31"/>
        <item x="121"/>
        <item x="293"/>
        <item x="155"/>
        <item x="317"/>
        <item x="219"/>
        <item x="309"/>
        <item x="339"/>
        <item x="42"/>
        <item x="173"/>
        <item x="23"/>
        <item x="148"/>
        <item x="32"/>
        <item x="174"/>
        <item x="122"/>
        <item x="250"/>
        <item x="220"/>
        <item x="77"/>
        <item x="235"/>
        <item x="270"/>
        <item x="33"/>
        <item x="187"/>
        <item x="276"/>
        <item x="123"/>
        <item x="308"/>
        <item x="149"/>
        <item x="221"/>
        <item x="189"/>
        <item x="24"/>
        <item x="34"/>
        <item x="318"/>
        <item x="129"/>
        <item x="223"/>
        <item x="367"/>
        <item x="236"/>
        <item x="279"/>
        <item x="212"/>
        <item x="188"/>
        <item x="213"/>
        <item x="261"/>
        <item x="88"/>
        <item x="278"/>
        <item x="271"/>
        <item x="203"/>
        <item x="214"/>
        <item x="35"/>
        <item x="272"/>
        <item x="224"/>
        <item x="262"/>
        <item x="130"/>
        <item x="96"/>
        <item x="175"/>
        <item x="205"/>
        <item x="36"/>
        <item x="89"/>
        <item x="310"/>
        <item x="264"/>
        <item x="156"/>
        <item x="340"/>
        <item x="281"/>
        <item x="215"/>
        <item x="368"/>
        <item x="251"/>
        <item x="25"/>
        <item x="273"/>
        <item x="99"/>
        <item x="170"/>
        <item x="222"/>
        <item x="90"/>
        <item x="258"/>
        <item x="216"/>
        <item x="225"/>
        <item x="131"/>
        <item x="341"/>
        <item x="100"/>
        <item x="163"/>
        <item x="37"/>
        <item x="252"/>
        <item x="140"/>
        <item x="226"/>
        <item x="150"/>
        <item x="135"/>
        <item x="259"/>
        <item x="101"/>
        <item x="369"/>
        <item x="342"/>
        <item x="141"/>
        <item x="113"/>
        <item x="295"/>
        <item x="114"/>
        <item x="379"/>
        <item x="38"/>
        <item x="104"/>
        <item x="142"/>
        <item x="103"/>
        <item x="265"/>
        <item x="359"/>
        <item x="296"/>
        <item x="134"/>
        <item x="132"/>
        <item x="102"/>
        <item x="62"/>
        <item x="39"/>
        <item x="313"/>
        <item x="314"/>
        <item x="78"/>
        <item x="136"/>
        <item x="144"/>
        <item x="55"/>
        <item x="40"/>
        <item x="263"/>
        <item x="330"/>
        <item x="51"/>
        <item x="253"/>
        <item x="145"/>
        <item x="63"/>
        <item x="56"/>
        <item x="381"/>
        <item x="81"/>
        <item x="91"/>
        <item x="57"/>
        <item x="41"/>
        <item x="227"/>
        <item x="64"/>
        <item x="282"/>
        <item x="137"/>
        <item x="133"/>
        <item x="380"/>
        <item x="201"/>
        <item x="82"/>
        <item x="343"/>
        <item x="370"/>
        <item x="92"/>
        <item x="80"/>
        <item x="143"/>
        <item x="65"/>
        <item x="79"/>
        <item x="58"/>
        <item x="331"/>
        <item x="138"/>
        <item x="260"/>
        <item x="93"/>
        <item x="83"/>
        <item x="66"/>
        <item x="204"/>
        <item x="196"/>
        <item x="311"/>
        <item x="0"/>
        <item x="30"/>
        <item x="52"/>
        <item x="283"/>
        <item x="84"/>
        <item x="54"/>
        <item x="284"/>
        <item x="67"/>
        <item x="285"/>
        <item x="94"/>
        <item x="344"/>
        <item x="68"/>
        <item x="245"/>
        <item x="228"/>
        <item x="319"/>
        <item x="59"/>
        <item x="237"/>
        <item x="152"/>
        <item x="244"/>
        <item x="197"/>
        <item x="238"/>
        <item x="354"/>
        <item x="85"/>
        <item x="151"/>
        <item x="60"/>
        <item x="274"/>
        <item x="110"/>
        <item x="246"/>
        <item x="86"/>
        <item x="376"/>
        <item x="164"/>
        <item x="320"/>
        <item x="239"/>
        <item x="139"/>
        <item x="373"/>
        <item x="377"/>
        <item x="192"/>
        <item x="70"/>
        <item x="146"/>
        <item x="345"/>
        <item x="69"/>
        <item x="87"/>
        <item x="206"/>
        <item x="190"/>
        <item x="247"/>
        <item x="198"/>
        <item x="26"/>
        <item x="105"/>
        <item x="382"/>
        <item x="27"/>
        <item x="71"/>
        <item x="106"/>
        <item x="107"/>
        <item x="229"/>
        <item x="248"/>
        <item x="199"/>
        <item x="53"/>
        <item x="191"/>
        <item x="111"/>
        <item x="230"/>
        <item x="355"/>
        <item x="72"/>
        <item x="43"/>
        <item x="321"/>
        <item x="200"/>
        <item x="73"/>
        <item x="378"/>
        <item x="374"/>
        <item x="249"/>
        <item x="44"/>
        <item x="161"/>
        <item x="287"/>
        <item x="108"/>
        <item x="277"/>
        <item x="28"/>
        <item x="289"/>
        <item x="193"/>
        <item x="29"/>
        <item x="288"/>
        <item x="112"/>
        <item x="109"/>
        <item x="356"/>
        <item x="194"/>
        <item x="61"/>
        <item x="184"/>
        <item x="75"/>
        <item x="312"/>
        <item x="182"/>
        <item x="183"/>
        <item x="366"/>
        <item x="357"/>
        <item x="166"/>
        <item x="74"/>
        <item x="210"/>
        <item x="50"/>
        <item x="269"/>
        <item x="165"/>
        <item x="153"/>
        <item x="195"/>
        <item x="322"/>
        <item x="209"/>
        <item x="297"/>
        <item x="14"/>
        <item x="185"/>
        <item x="167"/>
        <item x="371"/>
        <item x="207"/>
        <item x="358"/>
        <item x="372"/>
        <item x="76"/>
        <item x="375"/>
        <item x="290"/>
        <item x="298"/>
        <item x="211"/>
        <item x="186"/>
        <item x="348"/>
        <item x="349"/>
        <item x="208"/>
        <item x="162"/>
        <item t="default"/>
      </items>
    </pivotField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>
      <items count="7">
        <item x="0"/>
        <item x="1"/>
        <item x="2"/>
        <item x="3"/>
        <item x="4"/>
        <item x="5"/>
        <item x="6"/>
      </items>
    </pivotField>
    <pivotField compact="0" outline="0" showAll="0" defaultSubtotal="0"/>
    <pivotField compact="0" outline="0" showAll="0" defaultSubtotal="0"/>
    <pivotField compact="0" outline="0" showAll="0" defaultSubtotal="0">
      <items count="7">
        <item x="0"/>
        <item x="1"/>
        <item x="2"/>
        <item x="3"/>
        <item x="4"/>
        <item x="5"/>
        <item x="6"/>
      </items>
    </pivotField>
    <pivotField axis="axisCol" compact="0" outline="0" showAll="0">
      <items count="15">
        <item h="1" sd="0" x="0"/>
        <item sd="0" x="1"/>
        <item sd="0" x="2"/>
        <item sd="0" x="3"/>
        <item sd="0" x="4"/>
        <item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  <pivotField compact="0" outline="0"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axis="axisPage" compact="0" outline="0" multipleItemSelectionAllowed="1" showAll="0">
      <items count="8">
        <item h="1" sd="0" x="0"/>
        <item h="1" sd="0" x="1"/>
        <item h="1" sd="0" x="2"/>
        <item h="1" sd="0" x="3"/>
        <item h="1" sd="0" x="4"/>
        <item x="5"/>
        <item h="1" x="6"/>
        <item t="default"/>
      </items>
    </pivotField>
  </pivotFields>
  <rowFields count="1">
    <field x="2"/>
  </rowFields>
  <rowItems count="45">
    <i>
      <x v="57"/>
    </i>
    <i>
      <x v="132"/>
    </i>
    <i>
      <x v="139"/>
    </i>
    <i>
      <x v="140"/>
    </i>
    <i>
      <x v="144"/>
    </i>
    <i>
      <x v="145"/>
    </i>
    <i>
      <x v="150"/>
    </i>
    <i>
      <x v="152"/>
    </i>
    <i>
      <x v="153"/>
    </i>
    <i>
      <x v="154"/>
    </i>
    <i>
      <x v="156"/>
    </i>
    <i>
      <x v="157"/>
    </i>
    <i>
      <x v="158"/>
    </i>
    <i>
      <x v="159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 t="grand">
      <x/>
    </i>
  </rowItems>
  <colFields count="1">
    <field x="28"/>
  </colFields>
  <colItems count="6">
    <i>
      <x v="1"/>
    </i>
    <i>
      <x v="2"/>
    </i>
    <i>
      <x v="3"/>
    </i>
    <i>
      <x v="4"/>
    </i>
    <i>
      <x v="5"/>
    </i>
    <i t="grand">
      <x/>
    </i>
  </colItems>
  <pageFields count="2">
    <pageField fld="30" hier="-1"/>
    <pageField fld="5" hier="-1"/>
  </pageFields>
  <dataFields count="1">
    <dataField name="Suma de Emitido USD" fld="13" baseField="0" baseItem="0" numFmtId="3"/>
  </dataFields>
  <formats count="24">
    <format dxfId="132">
      <pivotArea outline="0" collapsedLevelsAreSubtotals="1" fieldPosition="0"/>
    </format>
    <format dxfId="131">
      <pivotArea type="all" dataOnly="0" outline="0" fieldPosition="0"/>
    </format>
    <format dxfId="130">
      <pivotArea outline="0" collapsedLevelsAreSubtotals="1" fieldPosition="0"/>
    </format>
    <format dxfId="129">
      <pivotArea type="origin" dataOnly="0" labelOnly="1" outline="0" fieldPosition="0"/>
    </format>
    <format dxfId="128">
      <pivotArea field="28" type="button" dataOnly="0" labelOnly="1" outline="0" axis="axisCol" fieldPosition="0"/>
    </format>
    <format dxfId="127">
      <pivotArea type="topRight" dataOnly="0" labelOnly="1" outline="0" fieldPosition="0"/>
    </format>
    <format dxfId="126">
      <pivotArea field="2" type="button" dataOnly="0" labelOnly="1" outline="0" axis="axisRow" fieldPosition="0"/>
    </format>
    <format dxfId="125">
      <pivotArea dataOnly="0" labelOnly="1" fieldPosition="0">
        <references count="1">
          <reference field="2" count="40">
            <x v="6"/>
            <x v="9"/>
            <x v="10"/>
            <x v="11"/>
            <x v="12"/>
            <x v="14"/>
            <x v="15"/>
            <x v="17"/>
            <x v="18"/>
            <x v="23"/>
            <x v="27"/>
            <x v="29"/>
            <x v="33"/>
            <x v="34"/>
            <x v="35"/>
            <x v="36"/>
            <x v="38"/>
            <x v="42"/>
            <x v="44"/>
            <x v="57"/>
            <x v="58"/>
            <x v="63"/>
            <x v="68"/>
            <x v="69"/>
            <x v="71"/>
            <x v="80"/>
            <x v="82"/>
            <x v="90"/>
            <x v="95"/>
            <x v="96"/>
            <x v="101"/>
            <x v="102"/>
            <x v="104"/>
            <x v="109"/>
            <x v="113"/>
            <x v="118"/>
            <x v="119"/>
            <x v="127"/>
            <x v="128"/>
            <x v="129"/>
          </reference>
        </references>
      </pivotArea>
    </format>
    <format dxfId="124">
      <pivotArea dataOnly="0" labelOnly="1" grandRow="1" outline="0" fieldPosition="0"/>
    </format>
    <format dxfId="123">
      <pivotArea dataOnly="0" labelOnly="1" fieldPosition="0">
        <references count="1">
          <reference field="28" count="6">
            <x v="1"/>
            <x v="2"/>
            <x v="3"/>
            <x v="4"/>
            <x v="5"/>
            <x v="6"/>
          </reference>
        </references>
      </pivotArea>
    </format>
    <format dxfId="122">
      <pivotArea dataOnly="0" labelOnly="1" grandCol="1" outline="0" fieldPosition="0"/>
    </format>
    <format dxfId="121">
      <pivotArea type="all" dataOnly="0" outline="0" fieldPosition="0"/>
    </format>
    <format dxfId="120">
      <pivotArea outline="0" collapsedLevelsAreSubtotals="1" fieldPosition="0"/>
    </format>
    <format dxfId="119">
      <pivotArea type="origin" dataOnly="0" labelOnly="1" outline="0" fieldPosition="0"/>
    </format>
    <format dxfId="118">
      <pivotArea field="28" type="button" dataOnly="0" labelOnly="1" outline="0" axis="axisCol" fieldPosition="0"/>
    </format>
    <format dxfId="117">
      <pivotArea type="topRight" dataOnly="0" labelOnly="1" outline="0" fieldPosition="0"/>
    </format>
    <format dxfId="116">
      <pivotArea field="2" type="button" dataOnly="0" labelOnly="1" outline="0" axis="axisRow" fieldPosition="0"/>
    </format>
    <format dxfId="115">
      <pivotArea dataOnly="0" labelOnly="1" fieldPosition="0">
        <references count="1">
          <reference field="2" count="40">
            <x v="6"/>
            <x v="9"/>
            <x v="10"/>
            <x v="11"/>
            <x v="12"/>
            <x v="14"/>
            <x v="15"/>
            <x v="17"/>
            <x v="18"/>
            <x v="23"/>
            <x v="27"/>
            <x v="29"/>
            <x v="33"/>
            <x v="34"/>
            <x v="35"/>
            <x v="36"/>
            <x v="38"/>
            <x v="42"/>
            <x v="44"/>
            <x v="57"/>
            <x v="58"/>
            <x v="63"/>
            <x v="68"/>
            <x v="69"/>
            <x v="71"/>
            <x v="80"/>
            <x v="82"/>
            <x v="90"/>
            <x v="95"/>
            <x v="96"/>
            <x v="101"/>
            <x v="102"/>
            <x v="104"/>
            <x v="109"/>
            <x v="113"/>
            <x v="118"/>
            <x v="119"/>
            <x v="127"/>
            <x v="128"/>
            <x v="129"/>
          </reference>
        </references>
      </pivotArea>
    </format>
    <format dxfId="114">
      <pivotArea dataOnly="0" labelOnly="1" grandRow="1" outline="0" fieldPosition="0"/>
    </format>
    <format dxfId="113">
      <pivotArea dataOnly="0" labelOnly="1" fieldPosition="0">
        <references count="1">
          <reference field="28" count="6">
            <x v="1"/>
            <x v="2"/>
            <x v="3"/>
            <x v="4"/>
            <x v="5"/>
            <x v="6"/>
          </reference>
        </references>
      </pivotArea>
    </format>
    <format dxfId="112">
      <pivotArea dataOnly="0" labelOnly="1" grandCol="1" outline="0" fieldPosition="0"/>
    </format>
    <format dxfId="111">
      <pivotArea field="28" grandRow="1" outline="0" collapsedLevelsAreSubtotals="1" axis="axisCol" fieldPosition="0">
        <references count="1">
          <reference field="28" count="1" selected="0">
            <x v="5"/>
          </reference>
        </references>
      </pivotArea>
    </format>
    <format dxfId="110">
      <pivotArea field="28" grandRow="1" outline="0" collapsedLevelsAreSubtotals="1" axis="axisCol" fieldPosition="0">
        <references count="1">
          <reference field="28" count="1" selected="0">
            <x v="6"/>
          </reference>
        </references>
      </pivotArea>
    </format>
    <format dxfId="109">
      <pivotArea outline="0" fieldPosition="0">
        <references count="2">
          <reference field="2" count="14" selected="0">
            <x v="57"/>
            <x v="132"/>
            <x v="139"/>
            <x v="140"/>
            <x v="144"/>
            <x v="145"/>
            <x v="150"/>
            <x v="152"/>
            <x v="153"/>
            <x v="154"/>
            <x v="156"/>
            <x v="157"/>
            <x v="158"/>
            <x v="159"/>
          </reference>
          <reference field="28" count="1" selected="0">
            <x v="1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EED68B-441A-4C38-9572-18B2849A1422}" name="TablaDinámica24" cacheId="10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multipleFieldFilters="0">
  <location ref="K6:L12" firstHeaderRow="1" firstDataRow="1" firstDataCol="1" rowPageCount="3" colPageCount="1"/>
  <pivotFields count="31">
    <pivotField compact="0" outline="0" showAll="0"/>
    <pivotField compact="0" outline="0" showAll="0"/>
    <pivotField compact="0" outline="0" showAll="0" defaultSubtotal="0">
      <items count="195">
        <item sd="0" m="1" x="194"/>
        <item x="1"/>
        <item x="2"/>
        <item x="3"/>
        <item x="5"/>
        <item x="8"/>
        <item x="9"/>
        <item x="10"/>
        <item x="12"/>
        <item x="14"/>
        <item x="16"/>
        <item x="17"/>
        <item x="19"/>
        <item x="21"/>
        <item x="23"/>
        <item x="24"/>
        <item x="25"/>
        <item x="26"/>
        <item x="27"/>
        <item x="28"/>
        <item x="29"/>
        <item x="30"/>
        <item x="31"/>
        <item x="32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1"/>
        <item x="52"/>
        <item x="54"/>
        <item x="55"/>
        <item x="56"/>
        <item x="58"/>
        <item x="59"/>
        <item x="60"/>
        <item x="65"/>
        <item x="67"/>
        <item x="68"/>
        <item x="69"/>
        <item x="70"/>
        <item x="71"/>
        <item x="72"/>
        <item x="73"/>
        <item x="76"/>
        <item x="77"/>
        <item x="80"/>
        <item x="82"/>
        <item x="83"/>
        <item x="85"/>
        <item x="88"/>
        <item x="90"/>
        <item x="96"/>
        <item x="98"/>
        <item x="99"/>
        <item x="100"/>
        <item x="101"/>
        <item x="102"/>
        <item x="103"/>
        <item x="104"/>
        <item x="105"/>
        <item x="107"/>
        <item x="108"/>
        <item x="109"/>
        <item x="113"/>
        <item x="114"/>
        <item x="115"/>
        <item x="116"/>
        <item x="117"/>
        <item x="118"/>
        <item x="119"/>
        <item x="120"/>
        <item x="121"/>
        <item x="122"/>
        <item x="124"/>
        <item x="125"/>
        <item x="126"/>
        <item x="128"/>
        <item x="129"/>
        <item x="130"/>
        <item x="132"/>
        <item x="133"/>
        <item x="134"/>
        <item x="136"/>
        <item x="137"/>
        <item x="138"/>
        <item x="140"/>
        <item x="143"/>
        <item x="144"/>
        <item x="146"/>
        <item x="147"/>
        <item x="149"/>
        <item x="150"/>
        <item x="151"/>
        <item x="152"/>
        <item x="154"/>
        <item x="156"/>
        <item x="157"/>
        <item x="158"/>
        <item x="159"/>
        <item x="160"/>
        <item x="161"/>
        <item x="162"/>
        <item x="163"/>
        <item x="164"/>
        <item x="168"/>
        <item x="169"/>
        <item x="171"/>
        <item x="172"/>
        <item x="173"/>
        <item x="174"/>
        <item x="175"/>
        <item x="176"/>
        <item x="179"/>
        <item x="180"/>
        <item x="182"/>
        <item x="187"/>
        <item x="188"/>
        <item x="189"/>
        <item x="185"/>
        <item x="112"/>
        <item x="7"/>
        <item x="139"/>
        <item x="106"/>
        <item x="33"/>
        <item x="190"/>
        <item x="127"/>
        <item x="84"/>
        <item x="34"/>
        <item x="78"/>
        <item x="6"/>
        <item x="167"/>
        <item x="15"/>
        <item x="57"/>
        <item x="183"/>
        <item x="153"/>
        <item x="155"/>
        <item x="86"/>
        <item x="61"/>
        <item x="11"/>
        <item x="89"/>
        <item x="170"/>
        <item x="142"/>
        <item x="20"/>
        <item x="66"/>
        <item x="13"/>
        <item x="74"/>
        <item x="94"/>
        <item x="111"/>
        <item x="186"/>
        <item x="0"/>
        <item x="165"/>
        <item x="166"/>
        <item x="178"/>
        <item x="18"/>
        <item x="64"/>
        <item x="50"/>
        <item x="79"/>
        <item x="75"/>
        <item x="62"/>
        <item x="87"/>
        <item x="22"/>
        <item x="110"/>
        <item x="148"/>
        <item x="91"/>
        <item x="131"/>
        <item x="92"/>
        <item x="181"/>
        <item x="4"/>
        <item x="95"/>
        <item x="145"/>
        <item x="141"/>
        <item x="97"/>
        <item x="123"/>
        <item x="81"/>
        <item x="184"/>
        <item x="53"/>
        <item x="93"/>
        <item x="63"/>
        <item x="135"/>
        <item x="177"/>
        <item x="191"/>
        <item x="192"/>
        <item x="193"/>
      </items>
    </pivotField>
    <pivotField compact="0" outline="0" showAll="0"/>
    <pivotField compact="0" outline="0" showAll="0"/>
    <pivotField axis="axisRow" compact="0" outline="0" showAll="0" sortType="descending">
      <items count="9">
        <item sd="0" x="4"/>
        <item sd="0" x="5"/>
        <item sd="0" x="2"/>
        <item sd="0" x="1"/>
        <item sd="0" x="3"/>
        <item sd="0" x="0"/>
        <item m="1" x="7"/>
        <item x="6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212">
        <item x="94"/>
        <item x="2"/>
        <item x="11"/>
        <item x="3"/>
        <item x="4"/>
        <item x="153"/>
        <item x="85"/>
        <item x="5"/>
        <item x="6"/>
        <item x="164"/>
        <item x="7"/>
        <item x="157"/>
        <item x="179"/>
        <item x="154"/>
        <item x="86"/>
        <item x="8"/>
        <item x="188"/>
        <item x="95"/>
        <item x="199"/>
        <item x="1"/>
        <item x="9"/>
        <item x="12"/>
        <item x="189"/>
        <item x="148"/>
        <item x="173"/>
        <item x="13"/>
        <item x="165"/>
        <item x="38"/>
        <item x="135"/>
        <item x="174"/>
        <item x="180"/>
        <item x="96"/>
        <item x="136"/>
        <item x="111"/>
        <item x="201"/>
        <item x="181"/>
        <item x="14"/>
        <item x="169"/>
        <item x="137"/>
        <item x="84"/>
        <item x="175"/>
        <item x="24"/>
        <item x="126"/>
        <item x="176"/>
        <item x="190"/>
        <item x="149"/>
        <item x="15"/>
        <item x="127"/>
        <item x="138"/>
        <item x="25"/>
        <item x="82"/>
        <item x="117"/>
        <item x="140"/>
        <item x="141"/>
        <item x="67"/>
        <item x="97"/>
        <item x="26"/>
        <item x="163"/>
        <item x="162"/>
        <item x="115"/>
        <item x="208"/>
        <item x="166"/>
        <item x="27"/>
        <item x="142"/>
        <item x="116"/>
        <item x="130"/>
        <item x="87"/>
        <item x="99"/>
        <item x="79"/>
        <item x="28"/>
        <item x="133"/>
        <item x="124"/>
        <item x="143"/>
        <item x="100"/>
        <item x="80"/>
        <item x="16"/>
        <item x="29"/>
        <item x="177"/>
        <item x="139"/>
        <item x="158"/>
        <item x="101"/>
        <item x="81"/>
        <item x="134"/>
        <item x="183"/>
        <item x="205"/>
        <item x="144"/>
        <item x="159"/>
        <item x="89"/>
        <item x="105"/>
        <item x="88"/>
        <item x="30"/>
        <item x="184"/>
        <item x="160"/>
        <item x="90"/>
        <item x="125"/>
        <item x="31"/>
        <item x="156"/>
        <item x="106"/>
        <item x="52"/>
        <item x="72"/>
        <item x="102"/>
        <item x="150"/>
        <item x="197"/>
        <item x="91"/>
        <item x="32"/>
        <item x="73"/>
        <item x="41"/>
        <item x="53"/>
        <item x="191"/>
        <item x="33"/>
        <item x="42"/>
        <item x="44"/>
        <item x="54"/>
        <item x="74"/>
        <item x="103"/>
        <item x="167"/>
        <item x="145"/>
        <item x="34"/>
        <item x="207"/>
        <item x="70"/>
        <item x="45"/>
        <item x="55"/>
        <item x="75"/>
        <item x="192"/>
        <item x="35"/>
        <item x="185"/>
        <item x="161"/>
        <item x="46"/>
        <item x="56"/>
        <item x="198"/>
        <item x="76"/>
        <item x="132"/>
        <item x="151"/>
        <item x="71"/>
        <item x="168"/>
        <item x="47"/>
        <item x="57"/>
        <item x="98"/>
        <item x="77"/>
        <item x="93"/>
        <item x="119"/>
        <item x="182"/>
        <item x="203"/>
        <item x="58"/>
        <item x="155"/>
        <item x="152"/>
        <item x="18"/>
        <item x="48"/>
        <item x="78"/>
        <item x="104"/>
        <item x="120"/>
        <item x="49"/>
        <item x="83"/>
        <item x="146"/>
        <item x="0"/>
        <item x="206"/>
        <item x="121"/>
        <item x="186"/>
        <item x="59"/>
        <item x="43"/>
        <item x="50"/>
        <item x="17"/>
        <item x="60"/>
        <item x="19"/>
        <item x="92"/>
        <item x="36"/>
        <item x="193"/>
        <item x="107"/>
        <item x="209"/>
        <item x="61"/>
        <item x="128"/>
        <item x="210"/>
        <item x="204"/>
        <item x="20"/>
        <item x="194"/>
        <item x="62"/>
        <item x="147"/>
        <item x="129"/>
        <item x="114"/>
        <item x="21"/>
        <item x="195"/>
        <item x="171"/>
        <item x="39"/>
        <item x="202"/>
        <item x="187"/>
        <item x="122"/>
        <item x="63"/>
        <item x="22"/>
        <item x="196"/>
        <item x="131"/>
        <item x="37"/>
        <item x="40"/>
        <item x="113"/>
        <item x="64"/>
        <item x="112"/>
        <item x="172"/>
        <item x="108"/>
        <item x="23"/>
        <item x="65"/>
        <item x="200"/>
        <item x="51"/>
        <item x="10"/>
        <item x="68"/>
        <item x="178"/>
        <item x="109"/>
        <item x="66"/>
        <item x="123"/>
        <item x="170"/>
        <item x="69"/>
        <item x="110"/>
        <item x="118"/>
        <item t="default"/>
      </items>
    </pivotField>
    <pivotField compact="0" outline="0" showAll="0"/>
    <pivotField dataField="1" compact="0" outline="0" showAll="0"/>
    <pivotField axis="axisPage" compact="0" outline="0" multipleItemSelectionAllowed="1" showAll="0">
      <items count="504">
        <item h="1" x="108"/>
        <item h="1" x="288"/>
        <item h="1" x="268"/>
        <item h="1" x="81"/>
        <item h="1" x="264"/>
        <item h="1" x="269"/>
        <item h="1" x="82"/>
        <item h="1" x="289"/>
        <item h="1" x="270"/>
        <item h="1" x="285"/>
        <item h="1" x="286"/>
        <item h="1" x="83"/>
        <item h="1" x="287"/>
        <item h="1" x="391"/>
        <item h="1" x="421"/>
        <item h="1" x="84"/>
        <item h="1" x="407"/>
        <item h="1" x="392"/>
        <item h="1" x="410"/>
        <item h="1" x="411"/>
        <item h="1" x="422"/>
        <item h="1" x="393"/>
        <item h="1" x="394"/>
        <item h="1" x="423"/>
        <item h="1" x="412"/>
        <item h="1" x="413"/>
        <item h="1" x="398"/>
        <item h="1" x="399"/>
        <item h="1" x="395"/>
        <item h="1" x="396"/>
        <item h="1" x="397"/>
        <item h="1" x="400"/>
        <item h="1" x="401"/>
        <item h="1" x="414"/>
        <item h="1" x="16"/>
        <item h="1" x="131"/>
        <item h="1" x="402"/>
        <item h="1" x="2"/>
        <item h="1" x="290"/>
        <item h="1" x="150"/>
        <item h="1" x="132"/>
        <item h="1" x="17"/>
        <item h="1" x="3"/>
        <item h="1" x="352"/>
        <item h="1" x="353"/>
        <item h="1" x="291"/>
        <item h="1" x="151"/>
        <item h="1" x="244"/>
        <item h="1" x="388"/>
        <item h="1" x="4"/>
        <item h="1" x="415"/>
        <item h="1" x="133"/>
        <item h="1" x="18"/>
        <item h="1" x="408"/>
        <item h="1" x="5"/>
        <item h="1" x="72"/>
        <item h="1" x="134"/>
        <item h="1" x="73"/>
        <item h="1" x="19"/>
        <item h="1" x="409"/>
        <item h="1" x="152"/>
        <item h="1" x="74"/>
        <item h="1" x="20"/>
        <item h="1" x="75"/>
        <item h="1" x="109"/>
        <item h="1" x="403"/>
        <item h="1" x="404"/>
        <item h="1" x="416"/>
        <item h="1" x="153"/>
        <item h="1" x="6"/>
        <item h="1" x="405"/>
        <item h="1" x="7"/>
        <item h="1" x="21"/>
        <item h="1" x="265"/>
        <item h="1" x="135"/>
        <item h="1" x="250"/>
        <item h="1" x="354"/>
        <item h="1" x="430"/>
        <item h="1" x="76"/>
        <item h="1" x="110"/>
        <item h="1" x="111"/>
        <item h="1" x="417"/>
        <item h="1" x="406"/>
        <item h="1" x="8"/>
        <item h="1" x="136"/>
        <item h="1" x="431"/>
        <item h="1" x="77"/>
        <item h="1" x="418"/>
        <item h="1" x="154"/>
        <item h="1" x="318"/>
        <item h="1" x="125"/>
        <item h="1" x="9"/>
        <item h="1" x="467"/>
        <item h="1" x="266"/>
        <item h="1" x="137"/>
        <item h="1" x="138"/>
        <item h="1" x="455"/>
        <item h="1" x="262"/>
        <item h="1" x="456"/>
        <item h="1" x="457"/>
        <item h="1" x="251"/>
        <item h="1" x="252"/>
        <item h="1" x="126"/>
        <item h="1" x="78"/>
        <item h="1" x="253"/>
        <item h="1" x="127"/>
        <item h="1" x="139"/>
        <item h="1" x="112"/>
        <item h="1" x="56"/>
        <item h="1" x="79"/>
        <item h="1" x="267"/>
        <item h="1" x="263"/>
        <item h="1" x="80"/>
        <item h="1" x="10"/>
        <item h="1" x="466"/>
        <item h="1" x="57"/>
        <item h="1" x="11"/>
        <item h="1" x="468"/>
        <item h="1" x="140"/>
        <item h="1" x="22"/>
        <item h="1" x="141"/>
        <item h="1" x="58"/>
        <item h="1" x="23"/>
        <item h="1" x="319"/>
        <item h="1" x="59"/>
        <item h="1" x="60"/>
        <item h="1" x="24"/>
        <item h="1" x="142"/>
        <item h="1" x="200"/>
        <item h="1" x="201"/>
        <item h="1" x="211"/>
        <item h="1" x="217"/>
        <item h="1" x="469"/>
        <item h="1" x="238"/>
        <item h="1" x="203"/>
        <item h="1" x="143"/>
        <item h="1" x="470"/>
        <item h="1" x="202"/>
        <item h="1" x="185"/>
        <item h="1" x="209"/>
        <item h="1" x="210"/>
        <item h="1" x="218"/>
        <item h="1" x="219"/>
        <item h="1" x="197"/>
        <item h="1" x="186"/>
        <item h="1" x="204"/>
        <item h="1" x="239"/>
        <item h="1" x="240"/>
        <item h="1" x="144"/>
        <item h="1" x="107"/>
        <item h="1" x="198"/>
        <item h="1" x="187"/>
        <item h="1" x="145"/>
        <item h="1" x="37"/>
        <item h="1" x="241"/>
        <item h="1" x="25"/>
        <item h="1" x="242"/>
        <item h="1" x="188"/>
        <item h="1" x="50"/>
        <item h="1" x="38"/>
        <item h="1" x="328"/>
        <item h="1" x="146"/>
        <item h="1" x="484"/>
        <item h="1" x="147"/>
        <item h="1" x="189"/>
        <item h="1" x="345"/>
        <item h="1" x="148"/>
        <item h="1" x="39"/>
        <item h="1" x="205"/>
        <item h="1" x="26"/>
        <item h="1" x="40"/>
        <item h="1" x="51"/>
        <item h="1" x="157"/>
        <item h="1" x="113"/>
        <item h="1" x="329"/>
        <item h="1" x="41"/>
        <item h="1" x="174"/>
        <item h="1" x="164"/>
        <item h="1" x="52"/>
        <item h="1" x="158"/>
        <item h="1" x="97"/>
        <item h="1" x="175"/>
        <item h="1" x="278"/>
        <item h="1" x="243"/>
        <item h="1" x="114"/>
        <item h="1" x="199"/>
        <item h="1" x="346"/>
        <item h="1" x="42"/>
        <item h="1" x="43"/>
        <item h="1" x="159"/>
        <item h="1" x="98"/>
        <item h="1" x="53"/>
        <item h="1" x="330"/>
        <item h="1" x="347"/>
        <item h="1" x="176"/>
        <item h="1" x="191"/>
        <item h="1" x="190"/>
        <item h="1" x="332"/>
        <item h="1" x="27"/>
        <item h="1" x="160"/>
        <item h="1" x="115"/>
        <item h="1" x="116"/>
        <item h="1" x="177"/>
        <item h="1" x="99"/>
        <item h="1" x="333"/>
        <item h="1" x="214"/>
        <item h="1" x="215"/>
        <item h="1" x="161"/>
        <item h="1" x="44"/>
        <item h="1" x="178"/>
        <item h="1" x="117"/>
        <item h="1" x="118"/>
        <item h="1" x="166"/>
        <item h="1" x="179"/>
        <item h="1" x="331"/>
        <item h="1" x="220"/>
        <item h="1" x="192"/>
        <item h="1" x="206"/>
        <item h="1" x="207"/>
        <item h="1" x="45"/>
        <item h="1" x="165"/>
        <item h="1" x="46"/>
        <item h="1" x="167"/>
        <item h="1" x="182"/>
        <item h="1" x="162"/>
        <item h="1" x="63"/>
        <item h="1" m="1" x="496"/>
        <item h="1" x="348"/>
        <item h="1" x="88"/>
        <item h="1" x="89"/>
        <item h="1" x="85"/>
        <item h="1" x="334"/>
        <item h="1" x="168"/>
        <item h="1" x="100"/>
        <item h="1" x="183"/>
        <item h="1" x="47"/>
        <item h="1" m="1" x="497"/>
        <item h="1" x="64"/>
        <item h="1" x="65"/>
        <item h="1" m="1" x="498"/>
        <item h="1" x="169"/>
        <item h="1" x="90"/>
        <item h="1" x="101"/>
        <item h="1" x="48"/>
        <item h="1" x="49"/>
        <item h="1" x="102"/>
        <item h="1" x="119"/>
        <item h="1" x="120"/>
        <item h="1" x="163"/>
        <item h="1" x="86"/>
        <item h="1" m="1" x="499"/>
        <item h="1" x="171"/>
        <item h="1" x="91"/>
        <item h="1" x="181"/>
        <item h="1" x="180"/>
        <item h="1" x="103"/>
        <item h="1" x="216"/>
        <item h="1" x="87"/>
        <item h="1" x="172"/>
        <item h="1" x="170"/>
        <item h="1" x="66"/>
        <item h="1" x="104"/>
        <item h="1" x="155"/>
        <item h="1" x="92"/>
        <item h="1" m="1" x="500"/>
        <item h="1" x="70"/>
        <item h="1" x="93"/>
        <item h="1" m="1" x="501"/>
        <item h="1" x="322"/>
        <item h="1" x="105"/>
        <item h="1" x="323"/>
        <item h="1" x="193"/>
        <item h="1" m="1" x="502"/>
        <item h="1" x="208"/>
        <item h="1" x="194"/>
        <item h="1" x="94"/>
        <item h="1" x="106"/>
        <item h="1" x="324"/>
        <item h="1" x="489"/>
        <item h="1" x="173"/>
        <item h="1" x="460"/>
        <item h="1" x="325"/>
        <item h="1" x="156"/>
        <item h="1" x="221"/>
        <item h="1" x="95"/>
        <item h="1" x="96"/>
        <item h="1" x="184"/>
        <item h="1" x="326"/>
        <item h="1" x="276"/>
        <item h="1" x="222"/>
        <item h="1" x="67"/>
        <item h="1" x="68"/>
        <item h="1" x="69"/>
        <item h="1" x="277"/>
        <item h="1" x="235"/>
        <item h="1" x="236"/>
        <item h="1" x="327"/>
        <item h="1" x="61"/>
        <item h="1" x="54"/>
        <item h="1" m="1" x="495"/>
        <item h="1" x="130"/>
        <item h="1" x="458"/>
        <item h="1" x="149"/>
        <item h="1" x="351"/>
        <item h="1" x="459"/>
        <item h="1" x="385"/>
        <item h="1" x="386"/>
        <item h="1" x="436"/>
        <item h="1" x="261"/>
        <item h="1" x="121"/>
        <item h="1" x="122"/>
        <item h="1" x="461"/>
        <item h="1" x="462"/>
        <item h="1" x="271"/>
        <item h="1" x="245"/>
        <item h="1" x="463"/>
        <item h="1" x="12"/>
        <item h="1" x="284"/>
        <item h="1" x="272"/>
        <item h="1" x="464"/>
        <item h="1" x="230"/>
        <item h="1" x="233"/>
        <item h="1" x="249"/>
        <item h="1" x="248"/>
        <item h="1" x="472"/>
        <item h="1" x="471"/>
        <item h="1" x="231"/>
        <item h="1" x="246"/>
        <item h="1" x="335"/>
        <item h="1" x="473"/>
        <item h="1" x="336"/>
        <item h="1" x="232"/>
        <item h="1" x="465"/>
        <item h="1" x="234"/>
        <item h="1" x="337"/>
        <item h="1" x="14"/>
        <item h="1" x="474"/>
        <item h="1" x="475"/>
        <item h="1" x="338"/>
        <item h="1" x="476"/>
        <item h="1" x="1"/>
        <item h="1" x="13"/>
        <item h="1" x="432"/>
        <item h="1" x="247"/>
        <item h="1" x="297"/>
        <item h="1" x="477"/>
        <item h="1" x="382"/>
        <item h="1" x="479"/>
        <item h="1" x="370"/>
        <item h="1" x="478"/>
        <item h="1" x="433"/>
        <item h="1" x="298"/>
        <item h="1" x="434"/>
        <item h="1" x="364"/>
        <item h="1" x="383"/>
        <item h="1" x="299"/>
        <item h="1" x="384"/>
        <item h="1" x="435"/>
        <item h="1" x="300"/>
        <item h="1" x="377"/>
        <item h="1" x="387"/>
        <item h="1" x="437"/>
        <item h="1" x="301"/>
        <item h="1" x="480"/>
        <item h="1" x="273"/>
        <item h="1" x="274"/>
        <item h="1" x="356"/>
        <item h="1" x="438"/>
        <item h="1" x="302"/>
        <item h="1" x="303"/>
        <item h="1" x="304"/>
        <item h="1" x="365"/>
        <item h="1" x="306"/>
        <item h="1" x="307"/>
        <item h="1" x="439"/>
        <item h="1" x="440"/>
        <item h="1" x="305"/>
        <item h="1" x="308"/>
        <item h="1" x="309"/>
        <item h="1" x="369"/>
        <item h="1" x="237"/>
        <item h="1" x="367"/>
        <item h="1" x="275"/>
        <item h="1" x="357"/>
        <item h="1" x="481"/>
        <item h="1" x="358"/>
        <item h="1" x="368"/>
        <item h="1" x="349"/>
        <item h="1" x="441"/>
        <item h="1" x="482"/>
        <item h="1" x="359"/>
        <item h="1" x="371"/>
        <item h="1" x="350"/>
        <item h="1" x="339"/>
        <item h="1" x="442"/>
        <item h="1" x="360"/>
        <item h="1" x="443"/>
        <item h="1" x="340"/>
        <item h="1" x="128"/>
        <item h="1" x="361"/>
        <item h="1" x="341"/>
        <item h="1" x="483"/>
        <item h="1" x="444"/>
        <item h="1" x="129"/>
        <item h="1" x="445"/>
        <item h="1" x="362"/>
        <item h="1" x="446"/>
        <item h="1" x="342"/>
        <item h="1" x="447"/>
        <item h="1" x="425"/>
        <item h="1" x="448"/>
        <item h="1" x="310"/>
        <item h="1" x="311"/>
        <item h="1" x="343"/>
        <item h="1" x="372"/>
        <item h="1" x="426"/>
        <item h="1" x="449"/>
        <item h="1" x="312"/>
        <item h="1" x="292"/>
        <item h="1" x="450"/>
        <item h="1" x="344"/>
        <item h="1" x="373"/>
        <item h="1" x="282"/>
        <item h="1" x="313"/>
        <item h="1" x="314"/>
        <item h="1" x="427"/>
        <item h="1" x="428"/>
        <item h="1" x="451"/>
        <item h="1" x="315"/>
        <item h="1" x="374"/>
        <item h="1" x="429"/>
        <item h="1" x="293"/>
        <item h="1" x="452"/>
        <item h="1" x="317"/>
        <item h="1" x="316"/>
        <item h="1" x="363"/>
        <item h="1" x="375"/>
        <item h="1" x="453"/>
        <item h="1" x="294"/>
        <item h="1" x="376"/>
        <item h="1" x="490"/>
        <item h="1" x="491"/>
        <item h="1" x="28"/>
        <item h="1" x="424"/>
        <item h="1" x="454"/>
        <item h="1" x="295"/>
        <item h="1" x="485"/>
        <item h="1" x="29"/>
        <item h="1" x="30"/>
        <item h="1" x="31"/>
        <item h="1" x="32"/>
        <item h="1" x="378"/>
        <item h="1" x="486"/>
        <item h="1" x="296"/>
        <item h="1" x="419"/>
        <item h="1" x="71"/>
        <item x="36"/>
        <item h="1" x="0"/>
        <item h="1" x="366"/>
        <item h="1" x="487"/>
        <item h="1" x="379"/>
        <item h="1" x="123"/>
        <item h="1" x="124"/>
        <item h="1" x="223"/>
        <item h="1" x="224"/>
        <item h="1" x="55"/>
        <item h="1" x="33"/>
        <item h="1" x="34"/>
        <item h="1" x="35"/>
        <item h="1" x="380"/>
        <item h="1" x="254"/>
        <item h="1" m="1" x="494"/>
        <item h="1" x="258"/>
        <item h="1" x="212"/>
        <item h="1" x="255"/>
        <item h="1" m="1" x="492"/>
        <item h="1" x="420"/>
        <item h="1" x="320"/>
        <item h="1" x="321"/>
        <item h="1" x="62"/>
        <item h="1" m="1" x="493"/>
        <item h="1" x="281"/>
        <item h="1" x="228"/>
        <item h="1" x="225"/>
        <item h="1" x="226"/>
        <item h="1" x="279"/>
        <item h="1" x="195"/>
        <item h="1" x="259"/>
        <item h="1" x="256"/>
        <item h="1" x="389"/>
        <item h="1" x="15"/>
        <item h="1" x="280"/>
        <item h="1" x="355"/>
        <item h="1" x="213"/>
        <item h="1" x="227"/>
        <item h="1" x="257"/>
        <item h="1" x="260"/>
        <item h="1" x="381"/>
        <item h="1" x="196"/>
        <item h="1" x="229"/>
        <item h="1" x="390"/>
        <item h="1" x="283"/>
        <item h="1" x="488"/>
        <item t="default"/>
      </items>
    </pivotField>
    <pivotField compact="0" outline="0" showAll="0">
      <items count="404">
        <item x="113"/>
        <item x="363"/>
        <item x="359"/>
        <item x="126"/>
        <item x="270"/>
        <item x="364"/>
        <item x="15"/>
        <item x="114"/>
        <item x="360"/>
        <item x="2"/>
        <item x="335"/>
        <item x="181"/>
        <item x="127"/>
        <item x="16"/>
        <item x="376"/>
        <item x="3"/>
        <item x="219"/>
        <item x="271"/>
        <item x="128"/>
        <item x="180"/>
        <item x="4"/>
        <item x="17"/>
        <item x="11"/>
        <item x="333"/>
        <item x="336"/>
        <item x="365"/>
        <item x="5"/>
        <item x="169"/>
        <item x="18"/>
        <item x="129"/>
        <item x="377"/>
        <item x="170"/>
        <item x="115"/>
        <item x="19"/>
        <item x="374"/>
        <item x="97"/>
        <item x="334"/>
        <item x="130"/>
        <item x="291"/>
        <item x="6"/>
        <item x="20"/>
        <item x="116"/>
        <item x="183"/>
        <item x="272"/>
        <item x="337"/>
        <item x="327"/>
        <item x="338"/>
        <item x="378"/>
        <item x="257"/>
        <item x="292"/>
        <item x="171"/>
        <item x="98"/>
        <item x="366"/>
        <item x="7"/>
        <item x="117"/>
        <item x="339"/>
        <item x="172"/>
        <item x="329"/>
        <item x="293"/>
        <item x="131"/>
        <item x="13"/>
        <item x="340"/>
        <item x="8"/>
        <item x="118"/>
        <item x="119"/>
        <item x="294"/>
        <item x="357"/>
        <item x="184"/>
        <item x="328"/>
        <item x="379"/>
        <item x="358"/>
        <item x="251"/>
        <item x="295"/>
        <item x="120"/>
        <item x="258"/>
        <item x="99"/>
        <item x="47"/>
        <item x="375"/>
        <item x="250"/>
        <item x="380"/>
        <item x="9"/>
        <item x="1"/>
        <item x="12"/>
        <item x="48"/>
        <item x="10"/>
        <item x="296"/>
        <item x="21"/>
        <item x="324"/>
        <item x="341"/>
        <item x="297"/>
        <item x="49"/>
        <item x="182"/>
        <item x="22"/>
        <item x="298"/>
        <item x="313"/>
        <item x="287"/>
        <item x="283"/>
        <item x="381"/>
        <item x="342"/>
        <item x="239"/>
        <item x="50"/>
        <item x="299"/>
        <item x="325"/>
        <item x="23"/>
        <item x="156"/>
        <item x="280"/>
        <item x="174"/>
        <item x="158"/>
        <item x="288"/>
        <item x="240"/>
        <item x="300"/>
        <item x="224"/>
        <item x="121"/>
        <item x="326"/>
        <item x="343"/>
        <item x="157"/>
        <item x="315"/>
        <item x="146"/>
        <item x="314"/>
        <item x="153"/>
        <item x="147"/>
        <item x="225"/>
        <item x="241"/>
        <item x="159"/>
        <item x="175"/>
        <item x="176"/>
        <item x="122"/>
        <item x="284"/>
        <item x="95"/>
        <item x="301"/>
        <item x="344"/>
        <item x="302"/>
        <item x="226"/>
        <item x="154"/>
        <item x="148"/>
        <item x="123"/>
        <item x="32"/>
        <item x="177"/>
        <item x="24"/>
        <item x="227"/>
        <item x="178"/>
        <item x="149"/>
        <item x="382"/>
        <item x="43"/>
        <item x="33"/>
        <item x="124"/>
        <item x="303"/>
        <item x="385"/>
        <item x="212"/>
        <item x="305"/>
        <item x="228"/>
        <item x="125"/>
        <item x="150"/>
        <item x="316"/>
        <item x="274"/>
        <item x="80"/>
        <item x="265"/>
        <item x="193"/>
        <item x="229"/>
        <item x="231"/>
        <item x="34"/>
        <item x="191"/>
        <item x="243"/>
        <item x="400"/>
        <item x="160"/>
        <item x="345"/>
        <item x="25"/>
        <item x="306"/>
        <item x="35"/>
        <item x="132"/>
        <item x="220"/>
        <item x="264"/>
        <item x="242"/>
        <item x="100"/>
        <item x="282"/>
        <item x="192"/>
        <item x="275"/>
        <item x="232"/>
        <item x="36"/>
        <item x="221"/>
        <item x="304"/>
        <item x="206"/>
        <item x="96"/>
        <item x="89"/>
        <item x="140"/>
        <item x="179"/>
        <item x="268"/>
        <item x="233"/>
        <item x="101"/>
        <item x="155"/>
        <item x="266"/>
        <item x="222"/>
        <item x="383"/>
        <item x="37"/>
        <item x="44"/>
        <item x="230"/>
        <item x="208"/>
        <item x="254"/>
        <item x="269"/>
        <item x="141"/>
        <item x="256"/>
        <item x="259"/>
        <item x="346"/>
        <item x="223"/>
        <item x="234"/>
        <item x="26"/>
        <item x="276"/>
        <item x="391"/>
        <item x="102"/>
        <item x="235"/>
        <item x="289"/>
        <item x="90"/>
        <item x="163"/>
        <item x="260"/>
        <item x="133"/>
        <item x="112"/>
        <item x="310"/>
        <item x="277"/>
        <item x="311"/>
        <item x="261"/>
        <item x="38"/>
        <item x="347"/>
        <item x="142"/>
        <item x="209"/>
        <item x="104"/>
        <item x="255"/>
        <item x="348"/>
        <item x="278"/>
        <item x="394"/>
        <item x="103"/>
        <item x="143"/>
        <item x="370"/>
        <item x="312"/>
        <item x="317"/>
        <item x="39"/>
        <item x="349"/>
        <item x="262"/>
        <item x="371"/>
        <item x="40"/>
        <item x="350"/>
        <item x="58"/>
        <item x="267"/>
        <item x="395"/>
        <item x="66"/>
        <item x="81"/>
        <item x="372"/>
        <item x="135"/>
        <item x="91"/>
        <item x="41"/>
        <item x="67"/>
        <item x="59"/>
        <item x="398"/>
        <item x="53"/>
        <item x="396"/>
        <item x="330"/>
        <item x="351"/>
        <item x="318"/>
        <item x="244"/>
        <item x="60"/>
        <item x="136"/>
        <item x="397"/>
        <item x="84"/>
        <item x="42"/>
        <item x="92"/>
        <item x="105"/>
        <item x="68"/>
        <item x="134"/>
        <item x="331"/>
        <item x="352"/>
        <item x="319"/>
        <item x="245"/>
        <item x="373"/>
        <item x="82"/>
        <item x="61"/>
        <item x="85"/>
        <item x="144"/>
        <item x="93"/>
        <item x="263"/>
        <item x="392"/>
        <item x="83"/>
        <item x="217"/>
        <item x="138"/>
        <item x="307"/>
        <item x="199"/>
        <item x="137"/>
        <item x="246"/>
        <item x="332"/>
        <item x="353"/>
        <item x="54"/>
        <item x="62"/>
        <item x="57"/>
        <item x="31"/>
        <item x="69"/>
        <item x="200"/>
        <item x="388"/>
        <item x="86"/>
        <item x="207"/>
        <item x="63"/>
        <item x="70"/>
        <item x="94"/>
        <item x="236"/>
        <item x="354"/>
        <item x="151"/>
        <item x="201"/>
        <item x="0"/>
        <item x="389"/>
        <item x="64"/>
        <item x="247"/>
        <item x="71"/>
        <item x="279"/>
        <item x="87"/>
        <item x="202"/>
        <item x="320"/>
        <item x="106"/>
        <item x="237"/>
        <item x="355"/>
        <item x="110"/>
        <item x="248"/>
        <item x="139"/>
        <item x="72"/>
        <item x="399"/>
        <item x="107"/>
        <item x="393"/>
        <item x="362"/>
        <item x="194"/>
        <item x="308"/>
        <item x="321"/>
        <item x="210"/>
        <item x="27"/>
        <item x="88"/>
        <item x="109"/>
        <item x="356"/>
        <item x="73"/>
        <item x="145"/>
        <item x="238"/>
        <item x="249"/>
        <item x="401"/>
        <item x="28"/>
        <item x="203"/>
        <item x="390"/>
        <item x="195"/>
        <item x="402"/>
        <item x="55"/>
        <item x="74"/>
        <item x="108"/>
        <item x="56"/>
        <item x="204"/>
        <item x="213"/>
        <item x="285"/>
        <item x="75"/>
        <item x="173"/>
        <item x="367"/>
        <item x="322"/>
        <item x="253"/>
        <item x="45"/>
        <item x="51"/>
        <item x="281"/>
        <item x="111"/>
        <item x="76"/>
        <item x="164"/>
        <item x="46"/>
        <item x="29"/>
        <item x="30"/>
        <item x="185"/>
        <item x="196"/>
        <item x="368"/>
        <item x="77"/>
        <item x="188"/>
        <item x="161"/>
        <item x="186"/>
        <item x="197"/>
        <item x="65"/>
        <item x="78"/>
        <item x="205"/>
        <item x="309"/>
        <item x="323"/>
        <item x="252"/>
        <item x="52"/>
        <item x="189"/>
        <item x="216"/>
        <item x="166"/>
        <item x="165"/>
        <item x="215"/>
        <item x="152"/>
        <item x="198"/>
        <item x="361"/>
        <item x="290"/>
        <item x="14"/>
        <item x="369"/>
        <item x="273"/>
        <item x="162"/>
        <item x="167"/>
        <item x="187"/>
        <item x="190"/>
        <item x="211"/>
        <item x="384"/>
        <item x="79"/>
        <item x="387"/>
        <item x="286"/>
        <item x="168"/>
        <item x="218"/>
        <item x="386"/>
        <item x="214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384">
        <item x="350"/>
        <item x="115"/>
        <item x="266"/>
        <item x="2"/>
        <item x="124"/>
        <item x="15"/>
        <item x="347"/>
        <item x="16"/>
        <item x="177"/>
        <item x="351"/>
        <item x="3"/>
        <item x="11"/>
        <item x="125"/>
        <item x="267"/>
        <item x="334"/>
        <item x="176"/>
        <item x="4"/>
        <item x="17"/>
        <item x="335"/>
        <item x="352"/>
        <item x="5"/>
        <item x="168"/>
        <item x="18"/>
        <item x="126"/>
        <item x="254"/>
        <item x="361"/>
        <item x="169"/>
        <item x="19"/>
        <item x="360"/>
        <item x="127"/>
        <item x="255"/>
        <item x="97"/>
        <item x="178"/>
        <item x="6"/>
        <item x="327"/>
        <item x="268"/>
        <item x="116"/>
        <item x="256"/>
        <item x="180"/>
        <item x="202"/>
        <item x="362"/>
        <item x="241"/>
        <item x="353"/>
        <item x="336"/>
        <item x="7"/>
        <item x="299"/>
        <item x="332"/>
        <item x="128"/>
        <item x="13"/>
        <item x="337"/>
        <item x="300"/>
        <item x="242"/>
        <item x="333"/>
        <item x="329"/>
        <item x="8"/>
        <item x="117"/>
        <item x="328"/>
        <item x="301"/>
        <item x="346"/>
        <item x="363"/>
        <item x="181"/>
        <item x="257"/>
        <item x="364"/>
        <item x="118"/>
        <item x="45"/>
        <item x="365"/>
        <item x="326"/>
        <item x="240"/>
        <item x="98"/>
        <item x="302"/>
        <item x="1"/>
        <item x="9"/>
        <item x="46"/>
        <item x="12"/>
        <item x="10"/>
        <item x="20"/>
        <item x="303"/>
        <item x="323"/>
        <item x="179"/>
        <item x="47"/>
        <item x="21"/>
        <item x="291"/>
        <item x="280"/>
        <item x="48"/>
        <item x="304"/>
        <item x="49"/>
        <item x="22"/>
        <item x="243"/>
        <item x="275"/>
        <item x="305"/>
        <item x="231"/>
        <item x="157"/>
        <item x="315"/>
        <item x="217"/>
        <item x="159"/>
        <item x="292"/>
        <item x="232"/>
        <item x="119"/>
        <item x="154"/>
        <item x="324"/>
        <item x="306"/>
        <item x="147"/>
        <item x="158"/>
        <item x="286"/>
        <item x="120"/>
        <item x="233"/>
        <item x="218"/>
        <item x="307"/>
        <item x="234"/>
        <item x="160"/>
        <item x="171"/>
        <item x="172"/>
        <item x="95"/>
        <item x="294"/>
        <item x="325"/>
        <item x="316"/>
        <item x="338"/>
        <item x="31"/>
        <item x="121"/>
        <item x="293"/>
        <item x="155"/>
        <item x="317"/>
        <item x="219"/>
        <item x="309"/>
        <item x="339"/>
        <item x="42"/>
        <item x="173"/>
        <item x="23"/>
        <item x="148"/>
        <item x="32"/>
        <item x="174"/>
        <item x="122"/>
        <item x="250"/>
        <item x="220"/>
        <item x="77"/>
        <item x="235"/>
        <item x="270"/>
        <item x="33"/>
        <item x="187"/>
        <item x="276"/>
        <item x="123"/>
        <item x="308"/>
        <item x="149"/>
        <item x="221"/>
        <item x="189"/>
        <item x="24"/>
        <item x="34"/>
        <item x="318"/>
        <item x="129"/>
        <item x="223"/>
        <item x="367"/>
        <item x="236"/>
        <item x="279"/>
        <item x="212"/>
        <item x="188"/>
        <item x="213"/>
        <item x="261"/>
        <item x="88"/>
        <item x="278"/>
        <item x="271"/>
        <item x="203"/>
        <item x="214"/>
        <item x="35"/>
        <item x="272"/>
        <item x="224"/>
        <item x="262"/>
        <item x="130"/>
        <item x="96"/>
        <item x="175"/>
        <item x="205"/>
        <item x="36"/>
        <item x="89"/>
        <item x="310"/>
        <item x="264"/>
        <item x="156"/>
        <item x="340"/>
        <item x="281"/>
        <item x="215"/>
        <item x="368"/>
        <item x="251"/>
        <item x="25"/>
        <item x="273"/>
        <item x="99"/>
        <item x="170"/>
        <item x="222"/>
        <item x="90"/>
        <item x="258"/>
        <item x="216"/>
        <item x="225"/>
        <item x="131"/>
        <item x="341"/>
        <item x="100"/>
        <item x="163"/>
        <item x="37"/>
        <item x="252"/>
        <item x="140"/>
        <item x="226"/>
        <item x="150"/>
        <item x="135"/>
        <item x="259"/>
        <item x="101"/>
        <item x="369"/>
        <item x="342"/>
        <item x="141"/>
        <item x="113"/>
        <item x="295"/>
        <item x="114"/>
        <item x="379"/>
        <item x="38"/>
        <item x="104"/>
        <item x="142"/>
        <item x="103"/>
        <item x="265"/>
        <item x="359"/>
        <item x="296"/>
        <item x="134"/>
        <item x="132"/>
        <item x="102"/>
        <item x="62"/>
        <item x="39"/>
        <item x="313"/>
        <item x="314"/>
        <item x="78"/>
        <item x="136"/>
        <item x="144"/>
        <item x="55"/>
        <item x="40"/>
        <item x="263"/>
        <item x="330"/>
        <item x="51"/>
        <item x="253"/>
        <item x="145"/>
        <item x="63"/>
        <item x="56"/>
        <item x="381"/>
        <item x="81"/>
        <item x="91"/>
        <item x="57"/>
        <item x="41"/>
        <item x="227"/>
        <item x="64"/>
        <item x="282"/>
        <item x="137"/>
        <item x="133"/>
        <item x="380"/>
        <item x="201"/>
        <item x="82"/>
        <item x="343"/>
        <item x="370"/>
        <item x="92"/>
        <item x="80"/>
        <item x="143"/>
        <item x="65"/>
        <item x="79"/>
        <item x="58"/>
        <item x="331"/>
        <item x="138"/>
        <item x="260"/>
        <item x="93"/>
        <item x="83"/>
        <item x="66"/>
        <item x="204"/>
        <item x="196"/>
        <item x="311"/>
        <item x="0"/>
        <item x="30"/>
        <item x="52"/>
        <item x="283"/>
        <item x="84"/>
        <item x="54"/>
        <item x="284"/>
        <item x="67"/>
        <item x="285"/>
        <item x="94"/>
        <item x="344"/>
        <item x="68"/>
        <item x="245"/>
        <item x="228"/>
        <item x="319"/>
        <item x="59"/>
        <item x="237"/>
        <item x="152"/>
        <item x="244"/>
        <item x="197"/>
        <item x="238"/>
        <item x="354"/>
        <item x="85"/>
        <item x="151"/>
        <item x="60"/>
        <item x="274"/>
        <item x="110"/>
        <item x="246"/>
        <item x="86"/>
        <item x="376"/>
        <item x="164"/>
        <item x="320"/>
        <item x="239"/>
        <item x="139"/>
        <item x="373"/>
        <item x="377"/>
        <item x="192"/>
        <item x="70"/>
        <item x="146"/>
        <item x="345"/>
        <item x="69"/>
        <item x="87"/>
        <item x="206"/>
        <item x="190"/>
        <item x="247"/>
        <item x="198"/>
        <item x="26"/>
        <item x="105"/>
        <item x="382"/>
        <item x="27"/>
        <item x="71"/>
        <item x="106"/>
        <item x="107"/>
        <item x="229"/>
        <item x="248"/>
        <item x="199"/>
        <item x="53"/>
        <item x="191"/>
        <item x="111"/>
        <item x="230"/>
        <item x="355"/>
        <item x="72"/>
        <item x="43"/>
        <item x="321"/>
        <item x="200"/>
        <item x="73"/>
        <item x="378"/>
        <item x="374"/>
        <item x="249"/>
        <item x="44"/>
        <item x="161"/>
        <item x="287"/>
        <item x="108"/>
        <item x="277"/>
        <item x="28"/>
        <item x="289"/>
        <item x="193"/>
        <item x="29"/>
        <item x="288"/>
        <item x="112"/>
        <item x="109"/>
        <item x="356"/>
        <item x="194"/>
        <item x="61"/>
        <item x="184"/>
        <item x="75"/>
        <item x="312"/>
        <item x="182"/>
        <item x="183"/>
        <item x="366"/>
        <item x="357"/>
        <item x="166"/>
        <item x="74"/>
        <item x="210"/>
        <item x="50"/>
        <item x="269"/>
        <item x="165"/>
        <item x="153"/>
        <item x="195"/>
        <item x="322"/>
        <item x="209"/>
        <item x="297"/>
        <item x="14"/>
        <item x="185"/>
        <item x="167"/>
        <item x="371"/>
        <item x="207"/>
        <item x="358"/>
        <item x="372"/>
        <item x="76"/>
        <item x="375"/>
        <item x="290"/>
        <item x="298"/>
        <item x="211"/>
        <item x="186"/>
        <item x="348"/>
        <item x="349"/>
        <item x="208"/>
        <item x="162"/>
        <item t="default"/>
      </items>
    </pivotField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>
      <items count="7">
        <item x="0"/>
        <item x="1"/>
        <item x="2"/>
        <item x="3"/>
        <item x="4"/>
        <item x="5"/>
        <item x="6"/>
      </items>
    </pivotField>
    <pivotField compact="0" outline="0" showAll="0" defaultSubtotal="0"/>
    <pivotField compact="0" outline="0" showAll="0" defaultSubtotal="0"/>
    <pivotField compact="0" outline="0" showAll="0" defaultSubtotal="0">
      <items count="7">
        <item x="0"/>
        <item x="1"/>
        <item x="2"/>
        <item x="3"/>
        <item x="4"/>
        <item x="5"/>
        <item x="6"/>
      </items>
    </pivotField>
    <pivotField axis="axisPage" compact="0" outline="0" multipleItemSelectionAllowed="1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axis="axisPage" compact="0" outline="0" multipleItemSelectionAllowed="1" showAll="0" defaultSubtotal="0">
      <items count="7">
        <item h="1" sd="0" x="0"/>
        <item h="1" sd="0" x="1"/>
        <item h="1" sd="0" x="2"/>
        <item h="1" sd="0" x="3"/>
        <item x="4"/>
        <item x="5"/>
        <item h="1" x="6"/>
      </items>
    </pivotField>
  </pivotFields>
  <rowFields count="1">
    <field x="5"/>
  </rowFields>
  <rowItems count="6">
    <i>
      <x v="2"/>
    </i>
    <i>
      <x v="3"/>
    </i>
    <i>
      <x v="5"/>
    </i>
    <i>
      <x v="7"/>
    </i>
    <i>
      <x/>
    </i>
    <i t="grand">
      <x/>
    </i>
  </rowItems>
  <colItems count="1">
    <i/>
  </colItems>
  <pageFields count="3">
    <pageField fld="14" hier="-1"/>
    <pageField fld="30" hier="-1"/>
    <pageField fld="28" hier="-1"/>
  </pageFields>
  <dataFields count="1">
    <dataField name="Suma de Emitido USD" fld="13" baseField="0" baseItem="0" numFmtId="3"/>
  </dataFields>
  <formats count="23">
    <format dxfId="55">
      <pivotArea outline="0" collapsedLevelsAreSubtotals="1" fieldPosition="0"/>
    </format>
    <format dxfId="54">
      <pivotArea type="all" dataOnly="0" outline="0" fieldPosition="0"/>
    </format>
    <format dxfId="53">
      <pivotArea outline="0" collapsedLevelsAreSubtotals="1" fieldPosition="0"/>
    </format>
    <format dxfId="52">
      <pivotArea type="origin" dataOnly="0" labelOnly="1" outline="0" fieldPosition="0"/>
    </format>
    <format dxfId="51">
      <pivotArea field="28" type="button" dataOnly="0" labelOnly="1" outline="0" axis="axisPage" fieldPosition="2"/>
    </format>
    <format dxfId="50">
      <pivotArea type="topRight" dataOnly="0" labelOnly="1" outline="0" fieldPosition="0"/>
    </format>
    <format dxfId="49">
      <pivotArea field="2" type="button" dataOnly="0" labelOnly="1" outline="0"/>
    </format>
    <format dxfId="48">
      <pivotArea dataOnly="0" labelOnly="1" grandRow="1" outline="0" fieldPosition="0"/>
    </format>
    <format dxfId="47">
      <pivotArea dataOnly="0" labelOnly="1" fieldPosition="0">
        <references count="1">
          <reference field="28" count="6">
            <x v="1"/>
            <x v="2"/>
            <x v="3"/>
            <x v="4"/>
            <x v="5"/>
            <x v="6"/>
          </reference>
        </references>
      </pivotArea>
    </format>
    <format dxfId="46">
      <pivotArea dataOnly="0" labelOnly="1" grandCol="1" outline="0" fieldPosition="0"/>
    </format>
    <format dxfId="45">
      <pivotArea type="all" dataOnly="0" outline="0" fieldPosition="0"/>
    </format>
    <format dxfId="44">
      <pivotArea outline="0" collapsedLevelsAreSubtotals="1" fieldPosition="0"/>
    </format>
    <format dxfId="43">
      <pivotArea type="origin" dataOnly="0" labelOnly="1" outline="0" fieldPosition="0"/>
    </format>
    <format dxfId="42">
      <pivotArea field="28" type="button" dataOnly="0" labelOnly="1" outline="0" axis="axisPage" fieldPosition="2"/>
    </format>
    <format dxfId="41">
      <pivotArea type="topRight" dataOnly="0" labelOnly="1" outline="0" fieldPosition="0"/>
    </format>
    <format dxfId="40">
      <pivotArea field="2" type="button" dataOnly="0" labelOnly="1" outline="0"/>
    </format>
    <format dxfId="39">
      <pivotArea dataOnly="0" labelOnly="1" grandRow="1" outline="0" fieldPosition="0"/>
    </format>
    <format dxfId="38">
      <pivotArea dataOnly="0" labelOnly="1" fieldPosition="0">
        <references count="1">
          <reference field="28" count="6">
            <x v="1"/>
            <x v="2"/>
            <x v="3"/>
            <x v="4"/>
            <x v="5"/>
            <x v="6"/>
          </reference>
        </references>
      </pivotArea>
    </format>
    <format dxfId="37">
      <pivotArea dataOnly="0" labelOnly="1" grandCol="1" outline="0" fieldPosition="0"/>
    </format>
    <format dxfId="36">
      <pivotArea field="28" grandRow="1" outline="0" collapsedLevelsAreSubtotals="1" axis="axisPage" fieldPosition="2">
        <references count="1">
          <reference field="28" count="1" selected="0">
            <x v="5"/>
          </reference>
        </references>
      </pivotArea>
    </format>
    <format dxfId="35">
      <pivotArea field="28" grandRow="1" outline="0" collapsedLevelsAreSubtotals="1" axis="axisPage" fieldPosition="2">
        <references count="1">
          <reference field="28" count="1" selected="0">
            <x v="6"/>
          </reference>
        </references>
      </pivotArea>
    </format>
    <format dxfId="34">
      <pivotArea dataOnly="0" labelOnly="1" outline="0" fieldPosition="0">
        <references count="1">
          <reference field="30" count="1" defaultSubtotal="1">
            <x v="4"/>
          </reference>
        </references>
      </pivotArea>
    </format>
    <format dxfId="33">
      <pivotArea dataOnly="0" labelOnly="1" outline="0" fieldPosition="0">
        <references count="1">
          <reference field="30" count="1" defaultSubtotal="1">
            <x v="5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807045-7A71-44EE-9F50-CDF1E63BCEC6}" name="TablaDinámica1" cacheId="10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>
  <location ref="A4:H33" firstHeaderRow="1" firstDataRow="3" firstDataCol="3" rowPageCount="1" colPageCount="1"/>
  <pivotFields count="31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5">
        <item m="1" x="194"/>
        <item x="1"/>
        <item x="2"/>
        <item x="3"/>
        <item x="5"/>
        <item x="8"/>
        <item x="9"/>
        <item x="10"/>
        <item x="12"/>
        <item x="14"/>
        <item x="16"/>
        <item x="17"/>
        <item x="19"/>
        <item x="21"/>
        <item x="23"/>
        <item x="24"/>
        <item x="25"/>
        <item x="26"/>
        <item x="27"/>
        <item x="28"/>
        <item x="29"/>
        <item x="30"/>
        <item x="31"/>
        <item x="32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1"/>
        <item x="52"/>
        <item x="54"/>
        <item x="55"/>
        <item x="56"/>
        <item x="58"/>
        <item x="59"/>
        <item x="60"/>
        <item x="65"/>
        <item x="67"/>
        <item x="68"/>
        <item x="69"/>
        <item x="70"/>
        <item x="71"/>
        <item x="72"/>
        <item x="73"/>
        <item x="76"/>
        <item x="77"/>
        <item x="80"/>
        <item x="82"/>
        <item x="83"/>
        <item x="85"/>
        <item x="88"/>
        <item x="90"/>
        <item x="96"/>
        <item x="98"/>
        <item x="99"/>
        <item x="100"/>
        <item x="101"/>
        <item x="102"/>
        <item x="103"/>
        <item x="104"/>
        <item x="105"/>
        <item x="107"/>
        <item x="108"/>
        <item x="109"/>
        <item x="113"/>
        <item x="114"/>
        <item x="115"/>
        <item x="116"/>
        <item x="117"/>
        <item x="118"/>
        <item x="119"/>
        <item x="120"/>
        <item x="121"/>
        <item x="122"/>
        <item x="124"/>
        <item x="125"/>
        <item x="126"/>
        <item x="128"/>
        <item x="129"/>
        <item x="130"/>
        <item x="132"/>
        <item x="133"/>
        <item x="134"/>
        <item x="136"/>
        <item x="137"/>
        <item x="138"/>
        <item x="140"/>
        <item x="143"/>
        <item x="144"/>
        <item x="146"/>
        <item x="147"/>
        <item x="149"/>
        <item x="150"/>
        <item x="151"/>
        <item x="152"/>
        <item x="154"/>
        <item x="156"/>
        <item x="157"/>
        <item x="158"/>
        <item x="159"/>
        <item x="160"/>
        <item x="161"/>
        <item x="162"/>
        <item x="163"/>
        <item x="164"/>
        <item x="168"/>
        <item x="169"/>
        <item x="171"/>
        <item x="172"/>
        <item x="173"/>
        <item x="174"/>
        <item x="175"/>
        <item x="176"/>
        <item x="179"/>
        <item x="180"/>
        <item x="182"/>
        <item x="187"/>
        <item x="188"/>
        <item x="189"/>
        <item x="185"/>
        <item x="112"/>
        <item x="7"/>
        <item x="139"/>
        <item x="106"/>
        <item x="33"/>
        <item x="190"/>
        <item x="127"/>
        <item x="84"/>
        <item x="34"/>
        <item x="78"/>
        <item x="6"/>
        <item x="167"/>
        <item x="15"/>
        <item x="57"/>
        <item x="183"/>
        <item x="153"/>
        <item x="155"/>
        <item x="86"/>
        <item x="61"/>
        <item x="11"/>
        <item x="89"/>
        <item x="170"/>
        <item x="142"/>
        <item x="20"/>
        <item x="66"/>
        <item x="13"/>
        <item x="74"/>
        <item x="94"/>
        <item x="111"/>
        <item x="186"/>
        <item x="0"/>
        <item x="165"/>
        <item x="166"/>
        <item x="178"/>
        <item x="18"/>
        <item x="64"/>
        <item x="50"/>
        <item x="79"/>
        <item x="75"/>
        <item x="62"/>
        <item x="87"/>
        <item x="22"/>
        <item x="110"/>
        <item x="148"/>
        <item x="91"/>
        <item x="131"/>
        <item x="92"/>
        <item x="181"/>
        <item x="4"/>
        <item x="95"/>
        <item x="145"/>
        <item x="141"/>
        <item x="97"/>
        <item x="123"/>
        <item x="81"/>
        <item x="184"/>
        <item x="53"/>
        <item x="93"/>
        <item x="63"/>
        <item x="135"/>
        <item x="177"/>
        <item x="191"/>
        <item x="192"/>
        <item x="19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>
      <items count="9">
        <item x="4"/>
        <item x="5"/>
        <item x="2"/>
        <item x="1"/>
        <item x="3"/>
        <item x="0"/>
        <item m="1" x="7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212">
        <item x="94"/>
        <item x="2"/>
        <item x="11"/>
        <item x="3"/>
        <item x="4"/>
        <item x="153"/>
        <item x="85"/>
        <item x="5"/>
        <item x="6"/>
        <item x="164"/>
        <item x="7"/>
        <item x="157"/>
        <item x="179"/>
        <item x="154"/>
        <item x="86"/>
        <item x="8"/>
        <item x="188"/>
        <item x="95"/>
        <item x="199"/>
        <item x="1"/>
        <item x="9"/>
        <item x="12"/>
        <item x="189"/>
        <item x="148"/>
        <item x="173"/>
        <item x="13"/>
        <item x="165"/>
        <item x="38"/>
        <item x="135"/>
        <item x="174"/>
        <item x="180"/>
        <item x="96"/>
        <item x="136"/>
        <item x="111"/>
        <item x="201"/>
        <item x="181"/>
        <item x="14"/>
        <item x="169"/>
        <item x="137"/>
        <item x="84"/>
        <item x="175"/>
        <item x="24"/>
        <item x="126"/>
        <item x="176"/>
        <item x="190"/>
        <item x="149"/>
        <item x="15"/>
        <item x="127"/>
        <item x="138"/>
        <item x="25"/>
        <item x="82"/>
        <item x="117"/>
        <item x="140"/>
        <item x="141"/>
        <item x="67"/>
        <item x="97"/>
        <item x="26"/>
        <item x="163"/>
        <item x="162"/>
        <item x="115"/>
        <item x="208"/>
        <item x="166"/>
        <item x="27"/>
        <item x="142"/>
        <item x="116"/>
        <item x="130"/>
        <item x="87"/>
        <item x="99"/>
        <item x="79"/>
        <item x="28"/>
        <item x="133"/>
        <item x="124"/>
        <item x="143"/>
        <item x="100"/>
        <item x="80"/>
        <item x="16"/>
        <item x="29"/>
        <item x="177"/>
        <item x="139"/>
        <item x="158"/>
        <item x="101"/>
        <item x="81"/>
        <item x="134"/>
        <item x="183"/>
        <item x="205"/>
        <item x="144"/>
        <item x="159"/>
        <item x="89"/>
        <item x="105"/>
        <item x="88"/>
        <item x="30"/>
        <item x="184"/>
        <item x="160"/>
        <item x="90"/>
        <item x="125"/>
        <item x="31"/>
        <item x="156"/>
        <item x="106"/>
        <item x="52"/>
        <item x="72"/>
        <item x="102"/>
        <item x="150"/>
        <item x="197"/>
        <item x="91"/>
        <item x="32"/>
        <item x="73"/>
        <item x="41"/>
        <item x="53"/>
        <item x="191"/>
        <item x="33"/>
        <item x="42"/>
        <item x="44"/>
        <item x="54"/>
        <item x="74"/>
        <item x="103"/>
        <item x="167"/>
        <item x="145"/>
        <item x="34"/>
        <item x="207"/>
        <item x="70"/>
        <item x="45"/>
        <item x="55"/>
        <item x="75"/>
        <item x="192"/>
        <item x="35"/>
        <item x="185"/>
        <item x="161"/>
        <item x="46"/>
        <item x="56"/>
        <item x="198"/>
        <item x="76"/>
        <item x="132"/>
        <item x="151"/>
        <item x="71"/>
        <item x="168"/>
        <item x="47"/>
        <item x="57"/>
        <item x="98"/>
        <item x="77"/>
        <item x="93"/>
        <item x="119"/>
        <item x="182"/>
        <item x="203"/>
        <item x="58"/>
        <item x="155"/>
        <item x="152"/>
        <item x="18"/>
        <item x="48"/>
        <item x="78"/>
        <item x="104"/>
        <item x="120"/>
        <item x="49"/>
        <item x="83"/>
        <item x="146"/>
        <item x="0"/>
        <item x="206"/>
        <item x="121"/>
        <item x="186"/>
        <item x="59"/>
        <item x="43"/>
        <item x="50"/>
        <item x="17"/>
        <item x="60"/>
        <item x="19"/>
        <item x="92"/>
        <item x="36"/>
        <item x="193"/>
        <item x="107"/>
        <item x="209"/>
        <item x="61"/>
        <item x="128"/>
        <item x="210"/>
        <item x="204"/>
        <item x="20"/>
        <item x="194"/>
        <item x="62"/>
        <item x="147"/>
        <item x="129"/>
        <item x="114"/>
        <item x="21"/>
        <item x="195"/>
        <item x="171"/>
        <item x="39"/>
        <item x="202"/>
        <item x="187"/>
        <item x="122"/>
        <item x="63"/>
        <item x="22"/>
        <item x="196"/>
        <item x="131"/>
        <item x="37"/>
        <item x="40"/>
        <item x="113"/>
        <item x="64"/>
        <item x="112"/>
        <item x="172"/>
        <item x="108"/>
        <item x="23"/>
        <item x="65"/>
        <item x="200"/>
        <item x="51"/>
        <item x="10"/>
        <item x="68"/>
        <item x="178"/>
        <item x="109"/>
        <item x="66"/>
        <item x="123"/>
        <item x="170"/>
        <item x="69"/>
        <item x="110"/>
        <item x="11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29">
        <item m="1"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1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504">
        <item h="1" x="108"/>
        <item h="1" x="288"/>
        <item h="1" x="268"/>
        <item h="1" x="81"/>
        <item h="1" x="264"/>
        <item h="1" x="269"/>
        <item h="1" x="82"/>
        <item h="1" x="289"/>
        <item h="1" x="270"/>
        <item h="1" x="285"/>
        <item h="1" x="286"/>
        <item h="1" x="83"/>
        <item h="1" x="287"/>
        <item h="1" x="391"/>
        <item h="1" x="421"/>
        <item h="1" x="84"/>
        <item h="1" x="407"/>
        <item h="1" x="392"/>
        <item h="1" x="410"/>
        <item h="1" x="411"/>
        <item h="1" x="422"/>
        <item h="1" x="393"/>
        <item h="1" x="394"/>
        <item h="1" x="423"/>
        <item h="1" x="412"/>
        <item h="1" x="413"/>
        <item h="1" x="398"/>
        <item h="1" x="399"/>
        <item h="1" x="395"/>
        <item h="1" x="396"/>
        <item h="1" x="397"/>
        <item h="1" x="400"/>
        <item h="1" x="401"/>
        <item h="1" x="414"/>
        <item h="1" x="16"/>
        <item h="1" x="131"/>
        <item h="1" x="402"/>
        <item h="1" x="2"/>
        <item h="1" x="290"/>
        <item h="1" x="150"/>
        <item h="1" x="132"/>
        <item h="1" x="17"/>
        <item h="1" x="3"/>
        <item h="1" x="352"/>
        <item h="1" x="353"/>
        <item h="1" x="291"/>
        <item h="1" x="151"/>
        <item h="1" x="244"/>
        <item h="1" x="388"/>
        <item h="1" x="4"/>
        <item h="1" x="415"/>
        <item h="1" x="133"/>
        <item h="1" x="18"/>
        <item h="1" x="408"/>
        <item h="1" x="5"/>
        <item h="1" x="72"/>
        <item h="1" x="134"/>
        <item h="1" x="73"/>
        <item h="1" x="19"/>
        <item h="1" x="409"/>
        <item h="1" x="152"/>
        <item h="1" x="74"/>
        <item h="1" x="20"/>
        <item h="1" x="75"/>
        <item h="1" x="109"/>
        <item h="1" x="403"/>
        <item h="1" x="404"/>
        <item h="1" x="416"/>
        <item h="1" x="153"/>
        <item h="1" x="6"/>
        <item h="1" x="405"/>
        <item h="1" x="7"/>
        <item h="1" x="21"/>
        <item h="1" x="265"/>
        <item h="1" x="135"/>
        <item h="1" x="250"/>
        <item h="1" x="354"/>
        <item h="1" x="430"/>
        <item h="1" x="76"/>
        <item h="1" x="110"/>
        <item h="1" x="111"/>
        <item h="1" x="417"/>
        <item h="1" x="406"/>
        <item h="1" x="8"/>
        <item h="1" x="136"/>
        <item h="1" x="431"/>
        <item h="1" x="77"/>
        <item h="1" x="418"/>
        <item h="1" x="154"/>
        <item h="1" x="318"/>
        <item h="1" x="125"/>
        <item h="1" x="9"/>
        <item h="1" x="467"/>
        <item h="1" x="266"/>
        <item h="1" x="137"/>
        <item h="1" x="138"/>
        <item h="1" x="455"/>
        <item h="1" x="262"/>
        <item h="1" x="456"/>
        <item h="1" x="457"/>
        <item h="1" x="251"/>
        <item h="1" x="252"/>
        <item h="1" x="126"/>
        <item h="1" x="78"/>
        <item h="1" x="253"/>
        <item h="1" x="127"/>
        <item h="1" x="139"/>
        <item h="1" x="112"/>
        <item h="1" x="56"/>
        <item h="1" x="79"/>
        <item h="1" x="267"/>
        <item h="1" x="263"/>
        <item h="1" x="80"/>
        <item h="1" x="10"/>
        <item h="1" x="466"/>
        <item h="1" x="57"/>
        <item h="1" x="11"/>
        <item h="1" x="468"/>
        <item h="1" x="140"/>
        <item h="1" x="22"/>
        <item h="1" x="141"/>
        <item h="1" x="58"/>
        <item h="1" x="23"/>
        <item h="1" x="319"/>
        <item h="1" x="59"/>
        <item h="1" x="60"/>
        <item h="1" x="24"/>
        <item h="1" x="142"/>
        <item h="1" x="200"/>
        <item h="1" x="201"/>
        <item h="1" x="211"/>
        <item h="1" x="217"/>
        <item h="1" x="469"/>
        <item h="1" x="238"/>
        <item h="1" x="203"/>
        <item h="1" x="143"/>
        <item h="1" x="470"/>
        <item h="1" x="202"/>
        <item h="1" x="185"/>
        <item h="1" x="209"/>
        <item h="1" x="210"/>
        <item h="1" x="218"/>
        <item h="1" x="219"/>
        <item h="1" x="197"/>
        <item h="1" x="186"/>
        <item h="1" x="204"/>
        <item h="1" x="239"/>
        <item h="1" x="240"/>
        <item h="1" x="144"/>
        <item h="1" x="107"/>
        <item h="1" x="198"/>
        <item h="1" x="187"/>
        <item h="1" x="145"/>
        <item h="1" x="37"/>
        <item h="1" x="241"/>
        <item h="1" x="25"/>
        <item h="1" x="242"/>
        <item h="1" x="188"/>
        <item h="1" x="50"/>
        <item h="1" x="38"/>
        <item h="1" x="328"/>
        <item h="1" x="146"/>
        <item h="1" x="484"/>
        <item h="1" x="147"/>
        <item h="1" x="189"/>
        <item h="1" x="345"/>
        <item h="1" x="148"/>
        <item h="1" x="39"/>
        <item h="1" x="205"/>
        <item h="1" x="26"/>
        <item h="1" x="40"/>
        <item h="1" x="51"/>
        <item h="1" x="157"/>
        <item h="1" x="113"/>
        <item h="1" x="329"/>
        <item h="1" x="41"/>
        <item h="1" x="174"/>
        <item h="1" x="164"/>
        <item h="1" x="52"/>
        <item h="1" x="158"/>
        <item h="1" x="97"/>
        <item h="1" x="175"/>
        <item h="1" x="278"/>
        <item h="1" x="243"/>
        <item h="1" x="114"/>
        <item h="1" x="199"/>
        <item h="1" x="346"/>
        <item h="1" x="42"/>
        <item h="1" x="43"/>
        <item h="1" x="159"/>
        <item h="1" x="98"/>
        <item h="1" x="53"/>
        <item h="1" x="330"/>
        <item h="1" x="347"/>
        <item h="1" x="176"/>
        <item h="1" x="191"/>
        <item h="1" x="190"/>
        <item h="1" x="332"/>
        <item h="1" x="27"/>
        <item h="1" x="160"/>
        <item h="1" x="115"/>
        <item h="1" x="116"/>
        <item h="1" x="177"/>
        <item h="1" x="99"/>
        <item h="1" x="333"/>
        <item h="1" x="214"/>
        <item h="1" x="215"/>
        <item h="1" x="161"/>
        <item h="1" x="44"/>
        <item h="1" x="178"/>
        <item h="1" x="117"/>
        <item h="1" x="118"/>
        <item h="1" x="166"/>
        <item h="1" x="179"/>
        <item h="1" x="331"/>
        <item h="1" x="220"/>
        <item h="1" x="192"/>
        <item h="1" x="206"/>
        <item h="1" x="207"/>
        <item h="1" x="45"/>
        <item h="1" x="165"/>
        <item h="1" x="46"/>
        <item h="1" x="167"/>
        <item h="1" x="182"/>
        <item h="1" x="162"/>
        <item h="1" x="63"/>
        <item h="1" m="1" x="496"/>
        <item h="1" x="348"/>
        <item h="1" x="88"/>
        <item h="1" x="89"/>
        <item h="1" x="85"/>
        <item h="1" x="334"/>
        <item h="1" x="168"/>
        <item h="1" x="100"/>
        <item h="1" x="183"/>
        <item h="1" x="47"/>
        <item h="1" m="1" x="497"/>
        <item h="1" x="64"/>
        <item h="1" x="65"/>
        <item h="1" m="1" x="498"/>
        <item h="1" x="169"/>
        <item h="1" x="90"/>
        <item h="1" x="101"/>
        <item h="1" x="48"/>
        <item h="1" x="49"/>
        <item h="1" x="102"/>
        <item h="1" x="119"/>
        <item h="1" x="120"/>
        <item h="1" x="163"/>
        <item h="1" x="86"/>
        <item h="1" m="1" x="499"/>
        <item h="1" x="171"/>
        <item h="1" x="91"/>
        <item h="1" x="181"/>
        <item h="1" x="180"/>
        <item h="1" x="103"/>
        <item h="1" x="216"/>
        <item h="1" x="87"/>
        <item h="1" x="172"/>
        <item h="1" x="170"/>
        <item h="1" x="66"/>
        <item h="1" x="104"/>
        <item h="1" x="155"/>
        <item h="1" x="92"/>
        <item h="1" m="1" x="500"/>
        <item h="1" x="70"/>
        <item h="1" x="93"/>
        <item h="1" m="1" x="501"/>
        <item h="1" x="322"/>
        <item h="1" x="105"/>
        <item h="1" x="323"/>
        <item h="1" x="193"/>
        <item h="1" m="1" x="502"/>
        <item h="1" x="208"/>
        <item h="1" x="194"/>
        <item h="1" x="94"/>
        <item h="1" x="106"/>
        <item h="1" x="324"/>
        <item h="1" x="489"/>
        <item h="1" x="173"/>
        <item h="1" x="460"/>
        <item h="1" x="325"/>
        <item h="1" x="156"/>
        <item h="1" x="221"/>
        <item h="1" x="95"/>
        <item h="1" x="96"/>
        <item h="1" x="184"/>
        <item h="1" x="326"/>
        <item h="1" x="276"/>
        <item h="1" x="222"/>
        <item h="1" x="67"/>
        <item h="1" x="68"/>
        <item h="1" x="69"/>
        <item h="1" x="277"/>
        <item h="1" x="235"/>
        <item h="1" x="236"/>
        <item h="1" x="327"/>
        <item h="1" x="61"/>
        <item h="1" x="54"/>
        <item h="1" m="1" x="495"/>
        <item h="1" x="130"/>
        <item h="1" x="458"/>
        <item h="1" x="149"/>
        <item h="1" x="351"/>
        <item h="1" x="459"/>
        <item h="1" x="385"/>
        <item h="1" x="386"/>
        <item h="1" x="436"/>
        <item h="1" x="261"/>
        <item h="1" x="121"/>
        <item h="1" x="122"/>
        <item h="1" x="461"/>
        <item h="1" x="462"/>
        <item h="1" x="271"/>
        <item h="1" x="245"/>
        <item h="1" x="463"/>
        <item h="1" x="12"/>
        <item h="1" x="284"/>
        <item h="1" x="272"/>
        <item h="1" x="464"/>
        <item h="1" x="230"/>
        <item h="1" x="233"/>
        <item h="1" x="249"/>
        <item h="1" x="248"/>
        <item h="1" x="472"/>
        <item h="1" x="471"/>
        <item h="1" x="231"/>
        <item h="1" x="246"/>
        <item h="1" x="335"/>
        <item h="1" x="473"/>
        <item h="1" x="336"/>
        <item h="1" x="232"/>
        <item h="1" x="465"/>
        <item h="1" x="234"/>
        <item h="1" x="337"/>
        <item h="1" x="14"/>
        <item h="1" x="474"/>
        <item h="1" x="475"/>
        <item h="1" x="338"/>
        <item h="1" x="476"/>
        <item h="1" x="1"/>
        <item h="1" x="13"/>
        <item h="1" x="432"/>
        <item h="1" x="247"/>
        <item h="1" x="297"/>
        <item h="1" x="477"/>
        <item h="1" x="382"/>
        <item h="1" x="479"/>
        <item h="1" x="370"/>
        <item h="1" x="478"/>
        <item h="1" x="433"/>
        <item h="1" x="298"/>
        <item h="1" x="434"/>
        <item h="1" x="364"/>
        <item h="1" x="383"/>
        <item h="1" x="299"/>
        <item h="1" x="384"/>
        <item h="1" x="435"/>
        <item h="1" x="300"/>
        <item h="1" x="377"/>
        <item h="1" x="387"/>
        <item h="1" x="437"/>
        <item h="1" x="301"/>
        <item h="1" x="480"/>
        <item h="1" x="273"/>
        <item h="1" x="274"/>
        <item h="1" x="356"/>
        <item h="1" x="438"/>
        <item h="1" x="302"/>
        <item h="1" x="303"/>
        <item h="1" x="304"/>
        <item h="1" x="365"/>
        <item h="1" x="306"/>
        <item h="1" x="307"/>
        <item h="1" x="439"/>
        <item h="1" x="440"/>
        <item h="1" x="305"/>
        <item h="1" x="308"/>
        <item h="1" x="309"/>
        <item h="1" x="369"/>
        <item h="1" x="237"/>
        <item h="1" x="367"/>
        <item h="1" x="275"/>
        <item h="1" x="357"/>
        <item h="1" x="481"/>
        <item h="1" x="358"/>
        <item h="1" x="368"/>
        <item h="1" x="349"/>
        <item h="1" x="441"/>
        <item h="1" x="482"/>
        <item h="1" x="359"/>
        <item h="1" x="371"/>
        <item h="1" x="350"/>
        <item h="1" x="339"/>
        <item h="1" x="442"/>
        <item h="1" x="360"/>
        <item h="1" x="443"/>
        <item h="1" x="340"/>
        <item h="1" x="128"/>
        <item h="1" x="361"/>
        <item h="1" x="341"/>
        <item h="1" x="483"/>
        <item h="1" x="444"/>
        <item h="1" x="129"/>
        <item h="1" x="445"/>
        <item h="1" x="362"/>
        <item h="1" x="446"/>
        <item h="1" x="342"/>
        <item h="1" x="447"/>
        <item h="1" x="425"/>
        <item h="1" x="448"/>
        <item h="1" x="310"/>
        <item h="1" x="311"/>
        <item h="1" x="343"/>
        <item h="1" x="372"/>
        <item h="1" x="426"/>
        <item h="1" x="449"/>
        <item h="1" x="312"/>
        <item h="1" x="292"/>
        <item h="1" x="450"/>
        <item h="1" x="344"/>
        <item h="1" x="373"/>
        <item h="1" x="282"/>
        <item h="1" x="313"/>
        <item h="1" x="314"/>
        <item h="1" x="427"/>
        <item h="1" x="428"/>
        <item h="1" x="451"/>
        <item h="1" x="315"/>
        <item h="1" x="374"/>
        <item h="1" x="429"/>
        <item h="1" x="293"/>
        <item h="1" x="452"/>
        <item h="1" x="317"/>
        <item h="1" x="316"/>
        <item h="1" x="363"/>
        <item h="1" x="375"/>
        <item h="1" x="453"/>
        <item h="1" x="294"/>
        <item h="1" x="376"/>
        <item h="1" x="490"/>
        <item h="1" x="491"/>
        <item h="1" x="28"/>
        <item h="1" x="424"/>
        <item h="1" x="454"/>
        <item h="1" x="295"/>
        <item h="1" x="485"/>
        <item h="1" x="29"/>
        <item h="1" x="30"/>
        <item h="1" x="31"/>
        <item h="1" x="32"/>
        <item h="1" x="378"/>
        <item h="1" x="486"/>
        <item h="1" x="296"/>
        <item h="1" x="419"/>
        <item h="1" x="71"/>
        <item x="36"/>
        <item h="1" x="0"/>
        <item h="1" x="366"/>
        <item h="1" x="487"/>
        <item h="1" x="379"/>
        <item h="1" x="123"/>
        <item h="1" x="124"/>
        <item h="1" x="223"/>
        <item h="1" x="224"/>
        <item h="1" x="55"/>
        <item h="1" x="33"/>
        <item h="1" x="34"/>
        <item h="1" x="35"/>
        <item h="1" x="380"/>
        <item h="1" x="254"/>
        <item h="1" m="1" x="494"/>
        <item h="1" x="258"/>
        <item h="1" x="212"/>
        <item h="1" x="255"/>
        <item h="1" m="1" x="492"/>
        <item h="1" x="420"/>
        <item h="1" x="320"/>
        <item h="1" x="321"/>
        <item h="1" x="62"/>
        <item h="1" m="1" x="493"/>
        <item h="1" x="281"/>
        <item h="1" x="228"/>
        <item h="1" x="225"/>
        <item h="1" x="226"/>
        <item h="1" x="279"/>
        <item h="1" x="195"/>
        <item h="1" x="259"/>
        <item h="1" x="256"/>
        <item h="1" x="389"/>
        <item h="1" x="15"/>
        <item h="1" x="280"/>
        <item h="1" x="355"/>
        <item h="1" x="213"/>
        <item h="1" x="227"/>
        <item h="1" x="257"/>
        <item h="1" x="260"/>
        <item h="1" x="381"/>
        <item h="1" x="196"/>
        <item h="1" x="229"/>
        <item h="1" x="390"/>
        <item h="1" x="283"/>
        <item h="1" x="48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404">
        <item x="113"/>
        <item x="363"/>
        <item x="359"/>
        <item x="126"/>
        <item x="270"/>
        <item x="364"/>
        <item x="15"/>
        <item x="114"/>
        <item x="360"/>
        <item x="2"/>
        <item x="335"/>
        <item x="181"/>
        <item x="127"/>
        <item x="16"/>
        <item x="376"/>
        <item x="3"/>
        <item x="219"/>
        <item x="271"/>
        <item x="128"/>
        <item x="180"/>
        <item x="4"/>
        <item x="17"/>
        <item x="11"/>
        <item x="333"/>
        <item x="336"/>
        <item x="365"/>
        <item x="5"/>
        <item x="169"/>
        <item x="18"/>
        <item x="129"/>
        <item x="377"/>
        <item x="170"/>
        <item x="115"/>
        <item x="19"/>
        <item x="374"/>
        <item x="97"/>
        <item x="334"/>
        <item x="130"/>
        <item x="291"/>
        <item x="6"/>
        <item x="20"/>
        <item x="116"/>
        <item x="183"/>
        <item x="272"/>
        <item x="337"/>
        <item x="327"/>
        <item x="338"/>
        <item x="378"/>
        <item x="257"/>
        <item x="292"/>
        <item x="171"/>
        <item x="98"/>
        <item x="366"/>
        <item x="7"/>
        <item x="117"/>
        <item x="339"/>
        <item x="172"/>
        <item x="329"/>
        <item x="293"/>
        <item x="131"/>
        <item x="13"/>
        <item x="340"/>
        <item x="8"/>
        <item x="118"/>
        <item x="119"/>
        <item x="294"/>
        <item x="357"/>
        <item x="184"/>
        <item x="328"/>
        <item x="379"/>
        <item x="358"/>
        <item x="251"/>
        <item x="295"/>
        <item x="120"/>
        <item x="258"/>
        <item x="99"/>
        <item x="47"/>
        <item x="375"/>
        <item x="250"/>
        <item x="380"/>
        <item x="9"/>
        <item x="1"/>
        <item x="12"/>
        <item x="48"/>
        <item x="10"/>
        <item x="296"/>
        <item x="21"/>
        <item x="324"/>
        <item x="341"/>
        <item x="297"/>
        <item x="49"/>
        <item x="182"/>
        <item x="22"/>
        <item x="298"/>
        <item x="313"/>
        <item x="287"/>
        <item x="283"/>
        <item x="381"/>
        <item x="342"/>
        <item x="239"/>
        <item x="50"/>
        <item x="299"/>
        <item x="325"/>
        <item x="23"/>
        <item x="156"/>
        <item x="280"/>
        <item x="174"/>
        <item x="158"/>
        <item x="288"/>
        <item x="240"/>
        <item x="300"/>
        <item x="224"/>
        <item x="121"/>
        <item x="326"/>
        <item x="343"/>
        <item x="157"/>
        <item x="315"/>
        <item x="146"/>
        <item x="314"/>
        <item x="153"/>
        <item x="147"/>
        <item x="225"/>
        <item x="241"/>
        <item x="159"/>
        <item x="175"/>
        <item x="176"/>
        <item x="122"/>
        <item x="284"/>
        <item x="95"/>
        <item x="301"/>
        <item x="344"/>
        <item x="302"/>
        <item x="226"/>
        <item x="154"/>
        <item x="148"/>
        <item x="123"/>
        <item x="32"/>
        <item x="177"/>
        <item x="24"/>
        <item x="227"/>
        <item x="178"/>
        <item x="149"/>
        <item x="382"/>
        <item x="43"/>
        <item x="33"/>
        <item x="124"/>
        <item x="303"/>
        <item x="385"/>
        <item x="212"/>
        <item x="305"/>
        <item x="228"/>
        <item x="125"/>
        <item x="150"/>
        <item x="316"/>
        <item x="274"/>
        <item x="80"/>
        <item x="265"/>
        <item x="193"/>
        <item x="229"/>
        <item x="231"/>
        <item x="34"/>
        <item x="191"/>
        <item x="243"/>
        <item x="400"/>
        <item x="160"/>
        <item x="345"/>
        <item x="25"/>
        <item x="306"/>
        <item x="35"/>
        <item x="132"/>
        <item x="220"/>
        <item x="264"/>
        <item x="242"/>
        <item x="100"/>
        <item x="282"/>
        <item x="192"/>
        <item x="275"/>
        <item x="232"/>
        <item x="36"/>
        <item x="221"/>
        <item x="304"/>
        <item x="206"/>
        <item x="96"/>
        <item x="89"/>
        <item x="140"/>
        <item x="179"/>
        <item x="268"/>
        <item x="233"/>
        <item x="101"/>
        <item x="155"/>
        <item x="266"/>
        <item x="222"/>
        <item x="383"/>
        <item x="37"/>
        <item x="44"/>
        <item x="230"/>
        <item x="208"/>
        <item x="254"/>
        <item x="269"/>
        <item x="141"/>
        <item x="256"/>
        <item x="259"/>
        <item x="346"/>
        <item x="223"/>
        <item x="234"/>
        <item x="26"/>
        <item x="276"/>
        <item x="391"/>
        <item x="102"/>
        <item x="235"/>
        <item x="289"/>
        <item x="90"/>
        <item x="163"/>
        <item x="260"/>
        <item x="133"/>
        <item x="112"/>
        <item x="310"/>
        <item x="277"/>
        <item x="311"/>
        <item x="261"/>
        <item x="38"/>
        <item x="347"/>
        <item x="142"/>
        <item x="209"/>
        <item x="104"/>
        <item x="255"/>
        <item x="348"/>
        <item x="278"/>
        <item x="394"/>
        <item x="103"/>
        <item x="143"/>
        <item x="370"/>
        <item x="312"/>
        <item x="317"/>
        <item x="39"/>
        <item x="349"/>
        <item x="262"/>
        <item x="371"/>
        <item x="40"/>
        <item x="350"/>
        <item x="58"/>
        <item x="267"/>
        <item x="395"/>
        <item x="66"/>
        <item x="81"/>
        <item x="372"/>
        <item x="135"/>
        <item x="91"/>
        <item x="41"/>
        <item x="67"/>
        <item x="59"/>
        <item x="398"/>
        <item x="53"/>
        <item x="396"/>
        <item x="330"/>
        <item x="351"/>
        <item x="318"/>
        <item x="244"/>
        <item x="60"/>
        <item x="136"/>
        <item x="397"/>
        <item x="84"/>
        <item x="42"/>
        <item x="92"/>
        <item x="105"/>
        <item x="68"/>
        <item x="134"/>
        <item x="331"/>
        <item x="352"/>
        <item x="319"/>
        <item x="245"/>
        <item x="373"/>
        <item x="82"/>
        <item x="61"/>
        <item x="85"/>
        <item x="144"/>
        <item x="93"/>
        <item x="263"/>
        <item x="392"/>
        <item x="83"/>
        <item x="217"/>
        <item x="138"/>
        <item x="307"/>
        <item x="199"/>
        <item x="137"/>
        <item x="246"/>
        <item x="332"/>
        <item x="353"/>
        <item x="54"/>
        <item x="62"/>
        <item x="57"/>
        <item x="31"/>
        <item x="69"/>
        <item x="200"/>
        <item x="388"/>
        <item x="86"/>
        <item x="207"/>
        <item x="63"/>
        <item x="70"/>
        <item x="94"/>
        <item x="236"/>
        <item x="354"/>
        <item x="151"/>
        <item x="201"/>
        <item x="0"/>
        <item x="389"/>
        <item x="64"/>
        <item x="247"/>
        <item x="71"/>
        <item x="279"/>
        <item x="87"/>
        <item x="202"/>
        <item x="320"/>
        <item x="106"/>
        <item x="237"/>
        <item x="355"/>
        <item x="110"/>
        <item x="248"/>
        <item x="139"/>
        <item x="72"/>
        <item x="399"/>
        <item x="107"/>
        <item x="393"/>
        <item x="362"/>
        <item x="194"/>
        <item x="308"/>
        <item x="321"/>
        <item x="210"/>
        <item x="27"/>
        <item x="88"/>
        <item x="109"/>
        <item x="356"/>
        <item x="73"/>
        <item x="145"/>
        <item x="238"/>
        <item x="249"/>
        <item x="401"/>
        <item x="28"/>
        <item x="203"/>
        <item x="390"/>
        <item x="195"/>
        <item x="402"/>
        <item x="55"/>
        <item x="74"/>
        <item x="108"/>
        <item x="56"/>
        <item x="204"/>
        <item x="213"/>
        <item x="285"/>
        <item x="75"/>
        <item x="173"/>
        <item x="367"/>
        <item x="322"/>
        <item x="253"/>
        <item x="45"/>
        <item x="51"/>
        <item x="281"/>
        <item x="111"/>
        <item x="76"/>
        <item x="164"/>
        <item x="46"/>
        <item x="29"/>
        <item x="30"/>
        <item x="185"/>
        <item x="196"/>
        <item x="368"/>
        <item x="77"/>
        <item x="188"/>
        <item x="161"/>
        <item x="186"/>
        <item x="197"/>
        <item x="65"/>
        <item x="78"/>
        <item x="205"/>
        <item x="309"/>
        <item x="323"/>
        <item x="252"/>
        <item x="52"/>
        <item x="189"/>
        <item x="216"/>
        <item x="166"/>
        <item x="165"/>
        <item x="215"/>
        <item x="152"/>
        <item x="198"/>
        <item x="361"/>
        <item x="290"/>
        <item x="14"/>
        <item x="369"/>
        <item x="273"/>
        <item x="162"/>
        <item x="167"/>
        <item x="187"/>
        <item x="190"/>
        <item x="211"/>
        <item x="384"/>
        <item x="79"/>
        <item x="387"/>
        <item x="286"/>
        <item x="168"/>
        <item x="218"/>
        <item x="386"/>
        <item x="21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84">
        <item x="350"/>
        <item x="115"/>
        <item x="266"/>
        <item x="2"/>
        <item x="124"/>
        <item x="15"/>
        <item x="347"/>
        <item x="16"/>
        <item x="177"/>
        <item x="351"/>
        <item x="3"/>
        <item x="11"/>
        <item x="125"/>
        <item x="267"/>
        <item x="334"/>
        <item x="176"/>
        <item x="4"/>
        <item x="17"/>
        <item x="335"/>
        <item x="352"/>
        <item x="5"/>
        <item x="168"/>
        <item x="18"/>
        <item x="126"/>
        <item x="254"/>
        <item x="361"/>
        <item x="169"/>
        <item x="19"/>
        <item x="360"/>
        <item x="127"/>
        <item x="255"/>
        <item x="97"/>
        <item x="178"/>
        <item x="6"/>
        <item x="327"/>
        <item x="268"/>
        <item x="116"/>
        <item x="256"/>
        <item x="180"/>
        <item x="202"/>
        <item x="362"/>
        <item x="241"/>
        <item x="353"/>
        <item x="336"/>
        <item x="7"/>
        <item x="299"/>
        <item x="332"/>
        <item x="128"/>
        <item x="13"/>
        <item x="337"/>
        <item x="300"/>
        <item x="242"/>
        <item x="333"/>
        <item x="329"/>
        <item x="8"/>
        <item x="117"/>
        <item x="328"/>
        <item x="301"/>
        <item x="346"/>
        <item x="363"/>
        <item x="181"/>
        <item x="257"/>
        <item x="364"/>
        <item x="118"/>
        <item x="45"/>
        <item x="365"/>
        <item x="326"/>
        <item x="240"/>
        <item x="98"/>
        <item x="302"/>
        <item x="1"/>
        <item x="9"/>
        <item x="46"/>
        <item x="12"/>
        <item x="10"/>
        <item x="20"/>
        <item x="303"/>
        <item x="323"/>
        <item x="179"/>
        <item x="47"/>
        <item x="21"/>
        <item x="291"/>
        <item x="280"/>
        <item x="48"/>
        <item x="304"/>
        <item x="49"/>
        <item x="22"/>
        <item x="243"/>
        <item x="275"/>
        <item x="305"/>
        <item x="231"/>
        <item x="157"/>
        <item x="315"/>
        <item x="217"/>
        <item x="159"/>
        <item x="292"/>
        <item x="232"/>
        <item x="119"/>
        <item x="154"/>
        <item x="324"/>
        <item x="306"/>
        <item x="147"/>
        <item x="158"/>
        <item x="286"/>
        <item x="120"/>
        <item x="233"/>
        <item x="218"/>
        <item x="307"/>
        <item x="234"/>
        <item x="160"/>
        <item x="171"/>
        <item x="172"/>
        <item x="95"/>
        <item x="294"/>
        <item x="325"/>
        <item x="316"/>
        <item x="338"/>
        <item x="31"/>
        <item x="121"/>
        <item x="293"/>
        <item x="155"/>
        <item x="317"/>
        <item x="219"/>
        <item x="309"/>
        <item x="339"/>
        <item x="42"/>
        <item x="173"/>
        <item x="23"/>
        <item x="148"/>
        <item x="32"/>
        <item x="174"/>
        <item x="122"/>
        <item x="250"/>
        <item x="220"/>
        <item x="77"/>
        <item x="235"/>
        <item x="270"/>
        <item x="33"/>
        <item x="187"/>
        <item x="276"/>
        <item x="123"/>
        <item x="308"/>
        <item x="149"/>
        <item x="221"/>
        <item x="189"/>
        <item x="24"/>
        <item x="34"/>
        <item x="318"/>
        <item x="129"/>
        <item x="223"/>
        <item x="367"/>
        <item x="236"/>
        <item x="279"/>
        <item x="212"/>
        <item x="188"/>
        <item x="213"/>
        <item x="261"/>
        <item x="88"/>
        <item x="278"/>
        <item x="271"/>
        <item x="203"/>
        <item x="214"/>
        <item x="35"/>
        <item x="272"/>
        <item x="224"/>
        <item x="262"/>
        <item x="130"/>
        <item x="96"/>
        <item x="175"/>
        <item x="205"/>
        <item x="36"/>
        <item x="89"/>
        <item x="310"/>
        <item x="264"/>
        <item x="156"/>
        <item x="340"/>
        <item x="281"/>
        <item x="215"/>
        <item x="368"/>
        <item x="251"/>
        <item x="25"/>
        <item x="273"/>
        <item x="99"/>
        <item x="170"/>
        <item x="222"/>
        <item x="90"/>
        <item x="258"/>
        <item x="216"/>
        <item x="225"/>
        <item x="131"/>
        <item x="341"/>
        <item x="100"/>
        <item x="163"/>
        <item x="37"/>
        <item x="252"/>
        <item x="140"/>
        <item x="226"/>
        <item x="150"/>
        <item x="135"/>
        <item x="259"/>
        <item x="101"/>
        <item x="369"/>
        <item x="342"/>
        <item x="141"/>
        <item x="113"/>
        <item x="295"/>
        <item x="114"/>
        <item x="379"/>
        <item x="38"/>
        <item x="104"/>
        <item x="142"/>
        <item x="103"/>
        <item x="265"/>
        <item x="359"/>
        <item x="296"/>
        <item x="134"/>
        <item x="132"/>
        <item x="102"/>
        <item x="62"/>
        <item x="39"/>
        <item x="313"/>
        <item x="314"/>
        <item x="78"/>
        <item x="136"/>
        <item x="144"/>
        <item x="55"/>
        <item x="40"/>
        <item x="263"/>
        <item x="330"/>
        <item x="51"/>
        <item x="253"/>
        <item x="145"/>
        <item x="63"/>
        <item x="56"/>
        <item x="381"/>
        <item x="81"/>
        <item x="91"/>
        <item x="57"/>
        <item x="41"/>
        <item x="227"/>
        <item x="64"/>
        <item x="282"/>
        <item x="137"/>
        <item x="133"/>
        <item x="380"/>
        <item x="201"/>
        <item x="82"/>
        <item x="343"/>
        <item x="370"/>
        <item x="92"/>
        <item x="80"/>
        <item x="143"/>
        <item x="65"/>
        <item x="79"/>
        <item x="58"/>
        <item x="331"/>
        <item x="138"/>
        <item x="260"/>
        <item x="93"/>
        <item x="83"/>
        <item x="66"/>
        <item x="204"/>
        <item x="196"/>
        <item x="311"/>
        <item x="0"/>
        <item x="30"/>
        <item x="52"/>
        <item x="283"/>
        <item x="84"/>
        <item x="54"/>
        <item x="284"/>
        <item x="67"/>
        <item x="285"/>
        <item x="94"/>
        <item x="344"/>
        <item x="68"/>
        <item x="245"/>
        <item x="228"/>
        <item x="319"/>
        <item x="59"/>
        <item x="237"/>
        <item x="152"/>
        <item x="244"/>
        <item x="197"/>
        <item x="238"/>
        <item x="354"/>
        <item x="85"/>
        <item x="151"/>
        <item x="60"/>
        <item x="274"/>
        <item x="110"/>
        <item x="246"/>
        <item x="86"/>
        <item x="376"/>
        <item x="164"/>
        <item x="320"/>
        <item x="239"/>
        <item x="139"/>
        <item x="373"/>
        <item x="377"/>
        <item x="192"/>
        <item x="70"/>
        <item x="146"/>
        <item x="345"/>
        <item x="69"/>
        <item x="87"/>
        <item x="206"/>
        <item x="190"/>
        <item x="247"/>
        <item x="198"/>
        <item x="26"/>
        <item x="105"/>
        <item x="382"/>
        <item x="27"/>
        <item x="71"/>
        <item x="106"/>
        <item x="107"/>
        <item x="229"/>
        <item x="248"/>
        <item x="199"/>
        <item x="53"/>
        <item x="191"/>
        <item x="111"/>
        <item x="230"/>
        <item x="355"/>
        <item x="72"/>
        <item x="43"/>
        <item x="321"/>
        <item x="200"/>
        <item x="73"/>
        <item x="378"/>
        <item x="374"/>
        <item x="249"/>
        <item x="44"/>
        <item x="161"/>
        <item x="287"/>
        <item x="108"/>
        <item x="277"/>
        <item x="28"/>
        <item x="289"/>
        <item x="193"/>
        <item x="29"/>
        <item x="288"/>
        <item x="112"/>
        <item x="109"/>
        <item x="356"/>
        <item x="194"/>
        <item x="61"/>
        <item x="184"/>
        <item x="75"/>
        <item x="312"/>
        <item x="182"/>
        <item x="183"/>
        <item x="366"/>
        <item x="357"/>
        <item x="166"/>
        <item x="74"/>
        <item x="210"/>
        <item x="50"/>
        <item x="269"/>
        <item x="165"/>
        <item x="153"/>
        <item x="195"/>
        <item x="322"/>
        <item x="209"/>
        <item x="297"/>
        <item x="14"/>
        <item x="185"/>
        <item x="167"/>
        <item x="371"/>
        <item x="207"/>
        <item x="358"/>
        <item x="372"/>
        <item x="76"/>
        <item x="375"/>
        <item x="290"/>
        <item x="298"/>
        <item x="211"/>
        <item x="186"/>
        <item x="348"/>
        <item x="349"/>
        <item x="208"/>
        <item x="16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15">
        <item sd="0" x="0"/>
        <item sd="0" x="1"/>
        <item sd="0" x="2"/>
        <item sd="0" x="3"/>
        <item sd="0" x="4"/>
        <item sd="0" x="5"/>
        <item h="1" sd="0" x="6"/>
        <item h="1" sd="0" x="7"/>
        <item h="1" sd="0" x="8"/>
        <item h="1" sd="0" x="9"/>
        <item h="1" sd="0" x="10"/>
        <item h="1" sd="0" x="11"/>
        <item sd="0" x="12"/>
        <item h="1"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7">
        <item sd="0" x="0"/>
        <item sd="0" x="1"/>
        <item sd="0" x="2"/>
        <item sd="0" x="3"/>
        <item sd="0" x="4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multipleItemSelectionAllowed="1" showAll="0" defaultSubtotal="0">
      <items count="7">
        <item h="1" sd="0" x="0"/>
        <item h="1" sd="0" x="1"/>
        <item h="1" sd="0" x="2"/>
        <item h="1" sd="0" x="3"/>
        <item x="4"/>
        <item x="5"/>
        <item h="1" x="6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5"/>
    <field x="2"/>
    <field x="12"/>
  </rowFields>
  <rowItems count="27">
    <i>
      <x/>
      <x v="185"/>
      <x v="1"/>
    </i>
    <i t="default">
      <x/>
    </i>
    <i>
      <x v="2"/>
      <x v="166"/>
      <x v="3"/>
    </i>
    <i r="1">
      <x v="168"/>
      <x v="4"/>
    </i>
    <i r="1">
      <x v="172"/>
      <x v="1"/>
    </i>
    <i r="2">
      <x v="2"/>
    </i>
    <i r="1">
      <x v="184"/>
      <x v="2"/>
    </i>
    <i r="1">
      <x v="187"/>
      <x v="1"/>
    </i>
    <i r="1">
      <x v="189"/>
      <x v="1"/>
    </i>
    <i t="default">
      <x v="2"/>
    </i>
    <i>
      <x v="3"/>
      <x v="132"/>
      <x v="8"/>
    </i>
    <i r="1">
      <x v="153"/>
      <x v="5"/>
    </i>
    <i r="1">
      <x v="157"/>
      <x v="5"/>
    </i>
    <i r="1">
      <x v="158"/>
      <x v="3"/>
    </i>
    <i r="2">
      <x v="4"/>
    </i>
    <i r="1">
      <x v="176"/>
      <x v="1"/>
    </i>
    <i r="1">
      <x v="182"/>
      <x v="1"/>
    </i>
    <i r="2">
      <x v="2"/>
    </i>
    <i r="1">
      <x v="188"/>
      <x v="1"/>
    </i>
    <i r="1">
      <x v="190"/>
      <x v="1"/>
    </i>
    <i t="default">
      <x v="3"/>
    </i>
    <i>
      <x v="5"/>
      <x v="152"/>
      <x v="7"/>
    </i>
    <i r="1">
      <x v="178"/>
      <x v="3"/>
    </i>
    <i t="default">
      <x v="5"/>
    </i>
    <i>
      <x v="7"/>
      <x v="191"/>
      <x v="1"/>
    </i>
    <i t="default">
      <x v="7"/>
    </i>
    <i t="grand">
      <x/>
    </i>
  </rowItems>
  <colFields count="2">
    <field x="30"/>
    <field x="28"/>
  </colFields>
  <colItems count="5">
    <i>
      <x v="5"/>
      <x v="2"/>
    </i>
    <i r="1">
      <x v="3"/>
    </i>
    <i r="1">
      <x v="4"/>
    </i>
    <i r="1">
      <x v="5"/>
    </i>
    <i t="grand">
      <x/>
    </i>
  </colItems>
  <pageFields count="1">
    <pageField fld="14" hier="-1"/>
  </pageFields>
  <dataFields count="1">
    <dataField name="Suma de Emitido USD" fld="13" baseField="0" baseItem="0" numFmtId="3"/>
  </dataFields>
  <formats count="53">
    <format dxfId="108">
      <pivotArea outline="0" collapsedLevelsAreSubtotals="1" fieldPosition="0"/>
    </format>
    <format dxfId="107">
      <pivotArea type="all" dataOnly="0" outline="0" fieldPosition="0"/>
    </format>
    <format dxfId="106">
      <pivotArea outline="0" collapsedLevelsAreSubtotals="1" fieldPosition="0"/>
    </format>
    <format dxfId="105">
      <pivotArea type="origin" dataOnly="0" labelOnly="1" outline="0" fieldPosition="0"/>
    </format>
    <format dxfId="104">
      <pivotArea field="28" type="button" dataOnly="0" labelOnly="1" outline="0" axis="axisCol" fieldPosition="1"/>
    </format>
    <format dxfId="103">
      <pivotArea type="topRight" dataOnly="0" labelOnly="1" outline="0" fieldPosition="0"/>
    </format>
    <format dxfId="102">
      <pivotArea field="2" type="button" dataOnly="0" labelOnly="1" outline="0" axis="axisRow" fieldPosition="1"/>
    </format>
    <format dxfId="101">
      <pivotArea dataOnly="0" labelOnly="1" fieldPosition="0">
        <references count="1">
          <reference field="2" count="40">
            <x v="6"/>
            <x v="9"/>
            <x v="10"/>
            <x v="11"/>
            <x v="12"/>
            <x v="14"/>
            <x v="15"/>
            <x v="17"/>
            <x v="18"/>
            <x v="23"/>
            <x v="27"/>
            <x v="29"/>
            <x v="33"/>
            <x v="34"/>
            <x v="35"/>
            <x v="36"/>
            <x v="38"/>
            <x v="42"/>
            <x v="44"/>
            <x v="57"/>
            <x v="58"/>
            <x v="63"/>
            <x v="68"/>
            <x v="69"/>
            <x v="71"/>
            <x v="80"/>
            <x v="82"/>
            <x v="90"/>
            <x v="95"/>
            <x v="96"/>
            <x v="101"/>
            <x v="102"/>
            <x v="104"/>
            <x v="109"/>
            <x v="113"/>
            <x v="118"/>
            <x v="119"/>
            <x v="127"/>
            <x v="128"/>
            <x v="129"/>
          </reference>
        </references>
      </pivotArea>
    </format>
    <format dxfId="100">
      <pivotArea dataOnly="0" labelOnly="1" grandRow="1" outline="0" fieldPosition="0"/>
    </format>
    <format dxfId="99">
      <pivotArea dataOnly="0" labelOnly="1" fieldPosition="0">
        <references count="1">
          <reference field="28" count="6">
            <x v="1"/>
            <x v="2"/>
            <x v="3"/>
            <x v="4"/>
            <x v="5"/>
            <x v="6"/>
          </reference>
        </references>
      </pivotArea>
    </format>
    <format dxfId="98">
      <pivotArea dataOnly="0" labelOnly="1" grandCol="1" outline="0" fieldPosition="0"/>
    </format>
    <format dxfId="97">
      <pivotArea type="all" dataOnly="0" outline="0" fieldPosition="0"/>
    </format>
    <format dxfId="96">
      <pivotArea outline="0" collapsedLevelsAreSubtotals="1" fieldPosition="0"/>
    </format>
    <format dxfId="95">
      <pivotArea type="origin" dataOnly="0" labelOnly="1" outline="0" fieldPosition="0"/>
    </format>
    <format dxfId="94">
      <pivotArea field="28" type="button" dataOnly="0" labelOnly="1" outline="0" axis="axisCol" fieldPosition="1"/>
    </format>
    <format dxfId="93">
      <pivotArea type="topRight" dataOnly="0" labelOnly="1" outline="0" fieldPosition="0"/>
    </format>
    <format dxfId="92">
      <pivotArea field="2" type="button" dataOnly="0" labelOnly="1" outline="0" axis="axisRow" fieldPosition="1"/>
    </format>
    <format dxfId="91">
      <pivotArea dataOnly="0" labelOnly="1" fieldPosition="0">
        <references count="1">
          <reference field="2" count="40">
            <x v="6"/>
            <x v="9"/>
            <x v="10"/>
            <x v="11"/>
            <x v="12"/>
            <x v="14"/>
            <x v="15"/>
            <x v="17"/>
            <x v="18"/>
            <x v="23"/>
            <x v="27"/>
            <x v="29"/>
            <x v="33"/>
            <x v="34"/>
            <x v="35"/>
            <x v="36"/>
            <x v="38"/>
            <x v="42"/>
            <x v="44"/>
            <x v="57"/>
            <x v="58"/>
            <x v="63"/>
            <x v="68"/>
            <x v="69"/>
            <x v="71"/>
            <x v="80"/>
            <x v="82"/>
            <x v="90"/>
            <x v="95"/>
            <x v="96"/>
            <x v="101"/>
            <x v="102"/>
            <x v="104"/>
            <x v="109"/>
            <x v="113"/>
            <x v="118"/>
            <x v="119"/>
            <x v="127"/>
            <x v="128"/>
            <x v="129"/>
          </reference>
        </references>
      </pivotArea>
    </format>
    <format dxfId="90">
      <pivotArea dataOnly="0" labelOnly="1" grandRow="1" outline="0" fieldPosition="0"/>
    </format>
    <format dxfId="89">
      <pivotArea dataOnly="0" labelOnly="1" fieldPosition="0">
        <references count="1">
          <reference field="28" count="6">
            <x v="1"/>
            <x v="2"/>
            <x v="3"/>
            <x v="4"/>
            <x v="5"/>
            <x v="6"/>
          </reference>
        </references>
      </pivotArea>
    </format>
    <format dxfId="88">
      <pivotArea dataOnly="0" labelOnly="1" grandCol="1" outline="0" fieldPosition="0"/>
    </format>
    <format dxfId="87">
      <pivotArea field="28" grandRow="1" outline="0" collapsedLevelsAreSubtotals="1" axis="axisCol" fieldPosition="1">
        <references count="1">
          <reference field="28" count="1" selected="0">
            <x v="5"/>
          </reference>
        </references>
      </pivotArea>
    </format>
    <format dxfId="86">
      <pivotArea field="28" grandRow="1" outline="0" collapsedLevelsAreSubtotals="1" axis="axisCol" fieldPosition="1">
        <references count="1">
          <reference field="28" count="1" selected="0">
            <x v="6"/>
          </reference>
        </references>
      </pivotArea>
    </format>
    <format dxfId="85">
      <pivotArea outline="0" fieldPosition="0">
        <references count="2">
          <reference field="2" count="1" selected="0">
            <x v="90"/>
          </reference>
          <reference field="28" count="1" selected="0">
            <x v="5"/>
          </reference>
        </references>
      </pivotArea>
    </format>
    <format dxfId="84">
      <pivotArea dataOnly="0" labelOnly="1" outline="0" fieldPosition="0">
        <references count="1">
          <reference field="30" count="1" defaultSubtotal="1">
            <x v="4"/>
          </reference>
        </references>
      </pivotArea>
    </format>
    <format dxfId="83">
      <pivotArea dataOnly="0" labelOnly="1" outline="0" fieldPosition="0">
        <references count="1">
          <reference field="30" count="1" defaultSubtotal="1">
            <x v="5"/>
          </reference>
        </references>
      </pivotArea>
    </format>
    <format dxfId="82">
      <pivotArea outline="0" fieldPosition="0">
        <references count="4">
          <reference field="2" count="1" selected="0">
            <x v="149"/>
          </reference>
          <reference field="12" count="1" selected="0">
            <x v="3"/>
          </reference>
          <reference field="28" count="1" selected="0">
            <x v="12"/>
          </reference>
          <reference field="30" count="1" selected="0">
            <x v="4"/>
          </reference>
        </references>
      </pivotArea>
    </format>
    <format dxfId="81">
      <pivotArea outline="0" fieldPosition="0">
        <references count="4">
          <reference field="2" count="1" selected="0">
            <x v="152"/>
          </reference>
          <reference field="12" count="1" selected="0">
            <x v="4"/>
          </reference>
          <reference field="28" count="1" selected="0">
            <x v="1"/>
          </reference>
          <reference field="30" count="1" selected="0">
            <x v="5"/>
          </reference>
        </references>
      </pivotArea>
    </format>
    <format dxfId="80">
      <pivotArea outline="0" fieldPosition="0">
        <references count="4">
          <reference field="2" count="1" selected="0">
            <x v="168"/>
          </reference>
          <reference field="12" count="1" selected="0">
            <x v="1"/>
          </reference>
          <reference field="28" count="1" selected="0">
            <x v="2"/>
          </reference>
          <reference field="30" count="1" selected="0">
            <x v="5"/>
          </reference>
        </references>
      </pivotArea>
    </format>
    <format dxfId="79">
      <pivotArea outline="0" fieldPosition="0">
        <references count="4">
          <reference field="2" count="1" selected="0">
            <x v="156"/>
          </reference>
          <reference field="12" count="1" selected="0">
            <x v="2"/>
          </reference>
          <reference field="28" count="1" selected="0">
            <x v="2"/>
          </reference>
          <reference field="30" count="1" selected="0">
            <x v="5"/>
          </reference>
        </references>
      </pivotArea>
    </format>
    <format dxfId="78">
      <pivotArea outline="0" fieldPosition="0">
        <references count="4">
          <reference field="2" count="1" selected="0">
            <x v="162"/>
          </reference>
          <reference field="12" count="1" selected="0">
            <x v="1"/>
          </reference>
          <reference field="28" count="1" selected="0">
            <x v="2"/>
          </reference>
          <reference field="30" count="1" selected="0">
            <x v="5"/>
          </reference>
        </references>
      </pivotArea>
    </format>
    <format dxfId="77">
      <pivotArea outline="0" fieldPosition="0">
        <references count="4">
          <reference field="2" count="1" selected="0">
            <x v="163"/>
          </reference>
          <reference field="12" count="1" selected="0">
            <x v="1"/>
          </reference>
          <reference field="28" count="1" selected="0">
            <x v="2"/>
          </reference>
          <reference field="30" count="1" selected="0">
            <x v="5"/>
          </reference>
        </references>
      </pivotArea>
    </format>
    <format dxfId="76">
      <pivotArea outline="0" fieldPosition="0">
        <references count="5">
          <reference field="2" count="1" selected="0">
            <x v="172"/>
          </reference>
          <reference field="5" count="1" selected="0">
            <x v="2"/>
          </reference>
          <reference field="12" count="1" selected="0">
            <x v="1"/>
          </reference>
          <reference field="28" count="1" selected="0">
            <x v="2"/>
          </reference>
          <reference field="30" count="1" selected="0">
            <x v="5"/>
          </reference>
        </references>
      </pivotArea>
    </format>
    <format dxfId="75">
      <pivotArea outline="0" fieldPosition="0">
        <references count="5">
          <reference field="2" count="1" selected="0">
            <x v="172"/>
          </reference>
          <reference field="5" count="1" selected="0">
            <x v="2"/>
          </reference>
          <reference field="12" count="1" selected="0">
            <x v="1"/>
          </reference>
          <reference field="28" count="1" selected="0">
            <x v="2"/>
          </reference>
          <reference field="30" count="1" selected="0">
            <x v="5"/>
          </reference>
        </references>
      </pivotArea>
    </format>
    <format dxfId="74">
      <pivotArea outline="0" fieldPosition="0">
        <references count="5">
          <reference field="2" count="1" selected="0">
            <x v="146"/>
          </reference>
          <reference field="5" count="1" selected="0">
            <x v="3"/>
          </reference>
          <reference field="12" count="1" selected="0">
            <x v="3"/>
          </reference>
          <reference field="28" count="1" selected="0">
            <x v="12"/>
          </reference>
          <reference field="30" count="1" selected="0">
            <x v="4"/>
          </reference>
        </references>
      </pivotArea>
    </format>
    <format dxfId="73">
      <pivotArea outline="0" fieldPosition="0">
        <references count="5">
          <reference field="2" count="1" selected="0">
            <x v="173"/>
          </reference>
          <reference field="5" count="1" selected="0">
            <x v="3"/>
          </reference>
          <reference field="12" count="1" selected="0">
            <x v="1"/>
          </reference>
          <reference field="28" count="1" selected="0">
            <x v="2"/>
          </reference>
          <reference field="30" count="1" selected="0">
            <x v="5"/>
          </reference>
        </references>
      </pivotArea>
    </format>
    <format dxfId="72">
      <pivotArea outline="0" fieldPosition="0">
        <references count="5">
          <reference field="2" count="1" selected="0">
            <x v="177"/>
          </reference>
          <reference field="5" count="1" selected="0">
            <x v="5"/>
          </reference>
          <reference field="12" count="1" selected="0">
            <x v="1"/>
          </reference>
          <reference field="28" count="1" selected="0">
            <x v="3"/>
          </reference>
          <reference field="30" count="1" selected="0">
            <x v="5"/>
          </reference>
        </references>
      </pivotArea>
    </format>
    <format dxfId="71">
      <pivotArea outline="0" fieldPosition="0">
        <references count="5">
          <reference field="2" count="1" selected="0">
            <x v="158"/>
          </reference>
          <reference field="5" count="1" selected="0">
            <x v="3"/>
          </reference>
          <reference field="12" count="1" selected="0">
            <x v="1"/>
          </reference>
          <reference field="28" count="1" selected="0">
            <x v="1"/>
          </reference>
          <reference field="30" count="1" selected="0">
            <x v="5"/>
          </reference>
        </references>
      </pivotArea>
    </format>
    <format dxfId="70">
      <pivotArea outline="0" fieldPosition="0">
        <references count="5">
          <reference field="2" count="1" selected="0">
            <x v="158"/>
          </reference>
          <reference field="5" count="1" selected="0">
            <x v="3"/>
          </reference>
          <reference field="12" count="1" selected="0">
            <x v="1"/>
          </reference>
          <reference field="28" count="1" selected="0">
            <x v="1"/>
          </reference>
          <reference field="30" count="1" selected="0">
            <x v="5"/>
          </reference>
        </references>
      </pivotArea>
    </format>
    <format dxfId="69">
      <pivotArea outline="0" fieldPosition="0">
        <references count="3">
          <reference field="5" count="2" selected="0" defaultSubtotal="1">
            <x v="2"/>
            <x v="3"/>
          </reference>
          <reference field="28" count="2" selected="0">
            <x v="3"/>
            <x v="4"/>
          </reference>
          <reference field="30" count="1" selected="0">
            <x v="5"/>
          </reference>
        </references>
      </pivotArea>
    </format>
    <format dxfId="68">
      <pivotArea outline="0" fieldPosition="0">
        <references count="5">
          <reference field="2" count="1" selected="0">
            <x v="169"/>
          </reference>
          <reference field="5" count="1" selected="0">
            <x v="3"/>
          </reference>
          <reference field="12" count="1" selected="0">
            <x v="3"/>
          </reference>
          <reference field="28" count="1" selected="0">
            <x v="4"/>
          </reference>
          <reference field="30" count="1" selected="0">
            <x v="5"/>
          </reference>
        </references>
      </pivotArea>
    </format>
    <format dxfId="67">
      <pivotArea outline="0" fieldPosition="0">
        <references count="5">
          <reference field="2" count="2" selected="0">
            <x v="177"/>
            <x v="178"/>
          </reference>
          <reference field="5" count="1" selected="0">
            <x v="5"/>
          </reference>
          <reference field="12" count="1" selected="0">
            <x v="2"/>
          </reference>
          <reference field="28" count="1" selected="0">
            <x v="4"/>
          </reference>
          <reference field="30" count="1" selected="0">
            <x v="5"/>
          </reference>
        </references>
      </pivotArea>
    </format>
    <format dxfId="66">
      <pivotArea dataOnly="0" labelOnly="1" outline="0" offset="A256" fieldPosition="0">
        <references count="2">
          <reference field="2" count="1">
            <x v="175"/>
          </reference>
          <reference field="5" count="1" selected="0">
            <x v="2"/>
          </reference>
        </references>
      </pivotArea>
    </format>
    <format dxfId="65">
      <pivotArea outline="0" fieldPosition="0">
        <references count="5">
          <reference field="2" count="2" selected="0">
            <x v="171"/>
            <x v="178"/>
          </reference>
          <reference field="5" count="1" selected="0">
            <x v="5"/>
          </reference>
          <reference field="12" count="2" selected="0">
            <x v="1"/>
            <x v="2"/>
          </reference>
          <reference field="28" count="3" selected="0">
            <x v="2"/>
            <x v="3"/>
            <x v="4"/>
          </reference>
          <reference field="30" count="1" selected="0">
            <x v="5"/>
          </reference>
        </references>
      </pivotArea>
    </format>
    <format dxfId="64">
      <pivotArea dataOnly="0" labelOnly="1" outline="0" fieldPosition="0">
        <references count="2">
          <reference field="2" count="1">
            <x v="172"/>
          </reference>
          <reference field="5" count="1" selected="0">
            <x v="2"/>
          </reference>
        </references>
      </pivotArea>
    </format>
    <format dxfId="63">
      <pivotArea dataOnly="0" labelOnly="1" outline="0" offset="IV256" fieldPosition="0">
        <references count="2">
          <reference field="2" count="1">
            <x v="175"/>
          </reference>
          <reference field="5" count="1" selected="0">
            <x v="2"/>
          </reference>
        </references>
      </pivotArea>
    </format>
    <format dxfId="62">
      <pivotArea outline="0" fieldPosition="0">
        <references count="4">
          <reference field="2" count="1" selected="0">
            <x v="178"/>
          </reference>
          <reference field="5" count="1" selected="0">
            <x v="5"/>
          </reference>
          <reference field="28" count="1" selected="0">
            <x v="4"/>
          </reference>
          <reference field="30" count="1" selected="0">
            <x v="5"/>
          </reference>
        </references>
      </pivotArea>
    </format>
    <format dxfId="61">
      <pivotArea outline="0" fieldPosition="0">
        <references count="3">
          <reference field="5" count="1" selected="0" defaultSubtotal="1">
            <x v="2"/>
          </reference>
          <reference field="28" count="3" selected="0">
            <x v="2"/>
            <x v="3"/>
            <x v="4"/>
          </reference>
          <reference field="30" count="1" selected="0">
            <x v="5"/>
          </reference>
        </references>
      </pivotArea>
    </format>
    <format dxfId="60">
      <pivotArea outline="0" fieldPosition="0">
        <references count="4">
          <reference field="2" count="6" selected="0">
            <x v="132"/>
            <x v="145"/>
            <x v="153"/>
            <x v="158"/>
            <x v="182"/>
            <x v="183"/>
          </reference>
          <reference field="5" count="1" selected="0">
            <x v="3"/>
          </reference>
          <reference field="28" count="3" selected="0">
            <x v="2"/>
            <x v="3"/>
            <x v="4"/>
          </reference>
          <reference field="30" count="1" selected="0">
            <x v="5"/>
          </reference>
        </references>
      </pivotArea>
    </format>
    <format dxfId="59">
      <pivotArea outline="0" fieldPosition="0">
        <references count="5">
          <reference field="2" count="1" selected="0">
            <x v="153"/>
          </reference>
          <reference field="5" count="1" selected="0">
            <x v="3"/>
          </reference>
          <reference field="12" count="1" selected="0">
            <x v="4"/>
          </reference>
          <reference field="28" count="1" selected="0">
            <x v="2"/>
          </reference>
          <reference field="30" count="1" selected="0">
            <x v="5"/>
          </reference>
        </references>
      </pivotArea>
    </format>
    <format dxfId="58">
      <pivotArea outline="0" fieldPosition="0">
        <references count="5">
          <reference field="2" count="1" selected="0">
            <x v="167"/>
          </reference>
          <reference field="5" count="1" selected="0">
            <x v="2"/>
          </reference>
          <reference field="12" count="1" selected="0">
            <x v="2"/>
          </reference>
          <reference field="28" count="1" selected="0">
            <x v="3"/>
          </reference>
          <reference field="30" count="1" selected="0">
            <x v="5"/>
          </reference>
        </references>
      </pivotArea>
    </format>
    <format dxfId="57">
      <pivotArea outline="0" fieldPosition="0">
        <references count="5">
          <reference field="2" count="1" selected="0">
            <x v="167"/>
          </reference>
          <reference field="5" count="1" selected="0">
            <x v="2"/>
          </reference>
          <reference field="12" count="1" selected="0">
            <x v="2"/>
          </reference>
          <reference field="28" count="1" selected="0">
            <x v="3"/>
          </reference>
          <reference field="30" count="1" selected="0">
            <x v="5"/>
          </reference>
        </references>
      </pivotArea>
    </format>
    <format dxfId="56">
      <pivotArea outline="0" fieldPosition="0">
        <references count="5">
          <reference field="2" count="1" selected="0">
            <x v="178"/>
          </reference>
          <reference field="5" count="1" selected="0">
            <x v="5"/>
          </reference>
          <reference field="12" count="1" selected="0">
            <x v="3"/>
          </reference>
          <reference field="28" count="1" selected="0">
            <x v="4"/>
          </reference>
          <reference field="30" count="1" selected="0">
            <x v="5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5EDD13-2C1B-487A-A53E-6AFDF79AE82D}" name="TablaDinámica1" cacheId="10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>
  <location ref="A5:H32" firstHeaderRow="1" firstDataRow="2" firstDataCol="3" rowPageCount="2" colPageCount="1"/>
  <pivotFields count="31">
    <pivotField compact="0" outline="0" showAll="0"/>
    <pivotField compact="0" outline="0" showAll="0"/>
    <pivotField axis="axisRow" compact="0" outline="0" showAll="0" defaultSubtotal="0">
      <items count="195">
        <item sd="0" m="1" x="194"/>
        <item x="1"/>
        <item x="2"/>
        <item x="3"/>
        <item x="5"/>
        <item x="8"/>
        <item x="9"/>
        <item x="10"/>
        <item x="12"/>
        <item x="14"/>
        <item x="16"/>
        <item x="17"/>
        <item x="19"/>
        <item x="21"/>
        <item x="23"/>
        <item x="24"/>
        <item x="25"/>
        <item x="26"/>
        <item x="27"/>
        <item x="28"/>
        <item x="29"/>
        <item x="30"/>
        <item x="31"/>
        <item x="32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1"/>
        <item x="52"/>
        <item x="54"/>
        <item x="55"/>
        <item x="56"/>
        <item x="58"/>
        <item x="59"/>
        <item x="60"/>
        <item x="65"/>
        <item x="67"/>
        <item x="68"/>
        <item x="69"/>
        <item x="70"/>
        <item x="71"/>
        <item x="72"/>
        <item x="73"/>
        <item x="76"/>
        <item x="77"/>
        <item x="80"/>
        <item x="82"/>
        <item x="83"/>
        <item x="85"/>
        <item x="88"/>
        <item x="90"/>
        <item x="96"/>
        <item x="98"/>
        <item x="99"/>
        <item x="100"/>
        <item x="101"/>
        <item x="102"/>
        <item x="103"/>
        <item x="104"/>
        <item x="105"/>
        <item x="107"/>
        <item x="108"/>
        <item x="109"/>
        <item x="113"/>
        <item x="114"/>
        <item x="115"/>
        <item x="116"/>
        <item x="117"/>
        <item x="118"/>
        <item x="119"/>
        <item x="120"/>
        <item x="121"/>
        <item x="122"/>
        <item x="124"/>
        <item x="125"/>
        <item x="126"/>
        <item x="128"/>
        <item x="129"/>
        <item x="130"/>
        <item x="132"/>
        <item x="133"/>
        <item x="134"/>
        <item x="136"/>
        <item x="137"/>
        <item x="138"/>
        <item x="140"/>
        <item x="143"/>
        <item x="144"/>
        <item x="146"/>
        <item x="147"/>
        <item x="149"/>
        <item x="150"/>
        <item x="151"/>
        <item x="152"/>
        <item x="154"/>
        <item x="156"/>
        <item x="157"/>
        <item x="158"/>
        <item x="159"/>
        <item x="160"/>
        <item x="161"/>
        <item x="162"/>
        <item x="163"/>
        <item x="164"/>
        <item x="168"/>
        <item x="169"/>
        <item x="171"/>
        <item x="172"/>
        <item x="173"/>
        <item x="174"/>
        <item x="175"/>
        <item x="176"/>
        <item x="179"/>
        <item x="180"/>
        <item x="182"/>
        <item x="187"/>
        <item x="188"/>
        <item x="189"/>
        <item x="185"/>
        <item x="112"/>
        <item x="7"/>
        <item x="139"/>
        <item x="106"/>
        <item x="33"/>
        <item x="190"/>
        <item x="127"/>
        <item x="84"/>
        <item x="34"/>
        <item x="78"/>
        <item x="6"/>
        <item x="167"/>
        <item x="15"/>
        <item x="57"/>
        <item x="183"/>
        <item x="153"/>
        <item x="155"/>
        <item x="86"/>
        <item x="61"/>
        <item x="11"/>
        <item x="89"/>
        <item x="170"/>
        <item x="142"/>
        <item x="20"/>
        <item x="66"/>
        <item x="13"/>
        <item x="74"/>
        <item x="94"/>
        <item x="111"/>
        <item x="186"/>
        <item x="0"/>
        <item x="165"/>
        <item x="166"/>
        <item x="178"/>
        <item x="18"/>
        <item x="64"/>
        <item x="50"/>
        <item x="79"/>
        <item x="75"/>
        <item x="62"/>
        <item x="87"/>
        <item x="22"/>
        <item x="110"/>
        <item x="148"/>
        <item x="91"/>
        <item x="131"/>
        <item x="92"/>
        <item x="181"/>
        <item x="4"/>
        <item x="95"/>
        <item x="145"/>
        <item x="141"/>
        <item x="97"/>
        <item x="123"/>
        <item x="81"/>
        <item x="184"/>
        <item x="53"/>
        <item x="93"/>
        <item x="63"/>
        <item x="135"/>
        <item x="177"/>
        <item x="191"/>
        <item x="192"/>
        <item x="193"/>
      </items>
    </pivotField>
    <pivotField compact="0" outline="0" showAll="0"/>
    <pivotField compact="0" outline="0" showAll="0"/>
    <pivotField axis="axisRow" compact="0" outline="0" multipleItemSelectionAllowed="1" showAll="0">
      <items count="9">
        <item x="4"/>
        <item x="5"/>
        <item x="2"/>
        <item x="1"/>
        <item x="3"/>
        <item x="0"/>
        <item m="1" x="7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212">
        <item x="94"/>
        <item x="2"/>
        <item x="11"/>
        <item x="3"/>
        <item x="4"/>
        <item x="153"/>
        <item x="85"/>
        <item x="5"/>
        <item x="6"/>
        <item x="164"/>
        <item x="7"/>
        <item x="157"/>
        <item x="179"/>
        <item x="154"/>
        <item x="86"/>
        <item x="8"/>
        <item x="188"/>
        <item x="95"/>
        <item x="199"/>
        <item x="1"/>
        <item x="9"/>
        <item x="12"/>
        <item x="189"/>
        <item x="148"/>
        <item x="173"/>
        <item x="13"/>
        <item x="165"/>
        <item x="38"/>
        <item x="135"/>
        <item x="174"/>
        <item x="180"/>
        <item x="96"/>
        <item x="136"/>
        <item x="111"/>
        <item x="201"/>
        <item x="181"/>
        <item x="14"/>
        <item x="169"/>
        <item x="137"/>
        <item x="84"/>
        <item x="175"/>
        <item x="24"/>
        <item x="126"/>
        <item x="176"/>
        <item x="190"/>
        <item x="149"/>
        <item x="15"/>
        <item x="127"/>
        <item x="138"/>
        <item x="25"/>
        <item x="82"/>
        <item x="117"/>
        <item x="140"/>
        <item x="141"/>
        <item x="67"/>
        <item x="97"/>
        <item x="26"/>
        <item x="163"/>
        <item x="162"/>
        <item x="115"/>
        <item x="208"/>
        <item x="166"/>
        <item x="27"/>
        <item x="142"/>
        <item x="116"/>
        <item x="130"/>
        <item x="87"/>
        <item x="99"/>
        <item x="79"/>
        <item x="28"/>
        <item x="133"/>
        <item x="124"/>
        <item x="143"/>
        <item x="100"/>
        <item x="80"/>
        <item x="16"/>
        <item x="29"/>
        <item x="177"/>
        <item x="139"/>
        <item x="158"/>
        <item x="101"/>
        <item x="81"/>
        <item x="134"/>
        <item x="183"/>
        <item x="205"/>
        <item x="144"/>
        <item x="159"/>
        <item x="89"/>
        <item x="105"/>
        <item x="88"/>
        <item x="30"/>
        <item x="184"/>
        <item x="160"/>
        <item x="90"/>
        <item x="125"/>
        <item x="31"/>
        <item x="156"/>
        <item x="106"/>
        <item x="52"/>
        <item x="72"/>
        <item x="102"/>
        <item x="150"/>
        <item x="197"/>
        <item x="91"/>
        <item x="32"/>
        <item x="73"/>
        <item x="41"/>
        <item x="53"/>
        <item x="191"/>
        <item x="33"/>
        <item x="42"/>
        <item x="44"/>
        <item x="54"/>
        <item x="74"/>
        <item x="103"/>
        <item x="167"/>
        <item x="145"/>
        <item x="34"/>
        <item x="207"/>
        <item x="70"/>
        <item x="45"/>
        <item x="55"/>
        <item x="75"/>
        <item x="192"/>
        <item x="35"/>
        <item x="185"/>
        <item x="161"/>
        <item x="46"/>
        <item x="56"/>
        <item x="198"/>
        <item x="76"/>
        <item x="132"/>
        <item x="151"/>
        <item x="71"/>
        <item x="168"/>
        <item x="47"/>
        <item x="57"/>
        <item x="98"/>
        <item x="77"/>
        <item x="93"/>
        <item x="119"/>
        <item x="182"/>
        <item x="203"/>
        <item x="58"/>
        <item x="155"/>
        <item x="152"/>
        <item x="18"/>
        <item x="48"/>
        <item x="78"/>
        <item x="104"/>
        <item x="120"/>
        <item x="49"/>
        <item x="83"/>
        <item x="146"/>
        <item x="0"/>
        <item x="206"/>
        <item x="121"/>
        <item x="186"/>
        <item x="59"/>
        <item x="43"/>
        <item x="50"/>
        <item x="17"/>
        <item x="60"/>
        <item x="19"/>
        <item x="92"/>
        <item x="36"/>
        <item x="193"/>
        <item x="107"/>
        <item x="209"/>
        <item x="61"/>
        <item x="128"/>
        <item x="210"/>
        <item x="204"/>
        <item x="20"/>
        <item x="194"/>
        <item x="62"/>
        <item x="147"/>
        <item x="129"/>
        <item x="114"/>
        <item x="21"/>
        <item x="195"/>
        <item x="171"/>
        <item x="39"/>
        <item x="202"/>
        <item x="187"/>
        <item x="122"/>
        <item x="63"/>
        <item x="22"/>
        <item x="196"/>
        <item x="131"/>
        <item x="37"/>
        <item x="40"/>
        <item x="113"/>
        <item x="64"/>
        <item x="112"/>
        <item x="172"/>
        <item x="108"/>
        <item x="23"/>
        <item x="65"/>
        <item x="200"/>
        <item x="51"/>
        <item x="10"/>
        <item x="68"/>
        <item x="178"/>
        <item x="109"/>
        <item x="66"/>
        <item x="123"/>
        <item x="170"/>
        <item x="69"/>
        <item x="110"/>
        <item x="118"/>
        <item t="default"/>
      </items>
    </pivotField>
    <pivotField compact="0" outline="0" showAll="0"/>
    <pivotField compact="0" outline="0" showAll="0"/>
    <pivotField axis="axisRow" compact="0" outline="0" multipleItemSelectionAllowed="1" showAll="0">
      <items count="504">
        <item x="108"/>
        <item x="288"/>
        <item x="268"/>
        <item x="81"/>
        <item x="264"/>
        <item x="269"/>
        <item x="82"/>
        <item x="289"/>
        <item x="270"/>
        <item x="285"/>
        <item x="286"/>
        <item x="83"/>
        <item x="287"/>
        <item x="391"/>
        <item x="421"/>
        <item x="84"/>
        <item x="407"/>
        <item x="392"/>
        <item x="410"/>
        <item x="411"/>
        <item x="422"/>
        <item x="393"/>
        <item x="394"/>
        <item x="423"/>
        <item x="412"/>
        <item x="413"/>
        <item x="398"/>
        <item x="399"/>
        <item x="395"/>
        <item x="396"/>
        <item x="397"/>
        <item x="400"/>
        <item x="401"/>
        <item x="414"/>
        <item x="16"/>
        <item x="131"/>
        <item x="402"/>
        <item x="2"/>
        <item x="290"/>
        <item x="150"/>
        <item x="132"/>
        <item x="17"/>
        <item x="3"/>
        <item x="352"/>
        <item x="353"/>
        <item x="291"/>
        <item x="151"/>
        <item x="244"/>
        <item x="388"/>
        <item x="4"/>
        <item x="415"/>
        <item x="133"/>
        <item x="18"/>
        <item x="408"/>
        <item x="5"/>
        <item x="72"/>
        <item x="134"/>
        <item x="73"/>
        <item x="19"/>
        <item x="409"/>
        <item x="152"/>
        <item x="74"/>
        <item x="20"/>
        <item x="75"/>
        <item x="109"/>
        <item x="403"/>
        <item x="404"/>
        <item x="416"/>
        <item x="153"/>
        <item x="6"/>
        <item x="405"/>
        <item x="7"/>
        <item x="21"/>
        <item x="265"/>
        <item x="135"/>
        <item x="250"/>
        <item x="354"/>
        <item x="430"/>
        <item x="76"/>
        <item x="110"/>
        <item x="111"/>
        <item x="417"/>
        <item x="406"/>
        <item x="8"/>
        <item x="136"/>
        <item x="431"/>
        <item x="77"/>
        <item x="418"/>
        <item x="154"/>
        <item x="318"/>
        <item x="125"/>
        <item x="9"/>
        <item x="467"/>
        <item x="266"/>
        <item x="137"/>
        <item x="138"/>
        <item x="455"/>
        <item x="262"/>
        <item x="456"/>
        <item x="457"/>
        <item x="251"/>
        <item x="252"/>
        <item x="126"/>
        <item x="78"/>
        <item x="253"/>
        <item x="127"/>
        <item x="139"/>
        <item x="112"/>
        <item x="56"/>
        <item x="79"/>
        <item x="267"/>
        <item x="263"/>
        <item x="80"/>
        <item x="10"/>
        <item x="466"/>
        <item x="57"/>
        <item x="11"/>
        <item x="468"/>
        <item x="140"/>
        <item x="22"/>
        <item x="141"/>
        <item x="58"/>
        <item x="23"/>
        <item x="319"/>
        <item x="59"/>
        <item x="60"/>
        <item x="24"/>
        <item x="142"/>
        <item x="200"/>
        <item x="201"/>
        <item x="211"/>
        <item x="217"/>
        <item x="469"/>
        <item x="238"/>
        <item x="203"/>
        <item x="143"/>
        <item x="470"/>
        <item x="202"/>
        <item x="185"/>
        <item x="209"/>
        <item x="210"/>
        <item x="218"/>
        <item x="219"/>
        <item x="197"/>
        <item x="186"/>
        <item x="204"/>
        <item x="239"/>
        <item x="240"/>
        <item x="144"/>
        <item x="107"/>
        <item x="198"/>
        <item x="187"/>
        <item x="145"/>
        <item x="37"/>
        <item x="241"/>
        <item x="25"/>
        <item x="242"/>
        <item x="188"/>
        <item x="50"/>
        <item x="38"/>
        <item x="328"/>
        <item x="146"/>
        <item x="484"/>
        <item x="147"/>
        <item x="189"/>
        <item x="345"/>
        <item x="148"/>
        <item x="39"/>
        <item x="205"/>
        <item x="26"/>
        <item x="40"/>
        <item x="51"/>
        <item x="157"/>
        <item x="113"/>
        <item x="329"/>
        <item x="41"/>
        <item x="174"/>
        <item x="164"/>
        <item x="52"/>
        <item x="158"/>
        <item x="97"/>
        <item x="175"/>
        <item x="278"/>
        <item x="243"/>
        <item x="114"/>
        <item x="199"/>
        <item x="346"/>
        <item x="42"/>
        <item x="43"/>
        <item x="159"/>
        <item x="98"/>
        <item x="53"/>
        <item x="330"/>
        <item x="347"/>
        <item x="176"/>
        <item x="191"/>
        <item x="190"/>
        <item x="332"/>
        <item x="27"/>
        <item x="160"/>
        <item x="115"/>
        <item x="116"/>
        <item x="177"/>
        <item x="99"/>
        <item x="333"/>
        <item x="214"/>
        <item x="215"/>
        <item x="161"/>
        <item x="44"/>
        <item x="178"/>
        <item x="117"/>
        <item x="118"/>
        <item x="166"/>
        <item x="179"/>
        <item x="331"/>
        <item x="220"/>
        <item x="192"/>
        <item x="206"/>
        <item x="207"/>
        <item x="45"/>
        <item x="165"/>
        <item x="46"/>
        <item x="167"/>
        <item x="182"/>
        <item x="162"/>
        <item x="63"/>
        <item m="1" x="496"/>
        <item x="348"/>
        <item x="88"/>
        <item x="89"/>
        <item x="85"/>
        <item x="334"/>
        <item x="168"/>
        <item x="100"/>
        <item x="183"/>
        <item x="47"/>
        <item m="1" x="497"/>
        <item x="64"/>
        <item x="65"/>
        <item m="1" x="498"/>
        <item x="169"/>
        <item x="90"/>
        <item x="101"/>
        <item x="48"/>
        <item x="49"/>
        <item x="102"/>
        <item x="119"/>
        <item x="120"/>
        <item x="163"/>
        <item x="86"/>
        <item m="1" x="499"/>
        <item x="171"/>
        <item x="91"/>
        <item x="181"/>
        <item x="180"/>
        <item x="103"/>
        <item x="216"/>
        <item x="87"/>
        <item x="172"/>
        <item x="170"/>
        <item x="66"/>
        <item x="104"/>
        <item x="155"/>
        <item x="92"/>
        <item m="1" x="500"/>
        <item x="70"/>
        <item x="93"/>
        <item m="1" x="501"/>
        <item x="322"/>
        <item x="105"/>
        <item x="323"/>
        <item x="193"/>
        <item m="1" x="502"/>
        <item x="208"/>
        <item x="194"/>
        <item x="94"/>
        <item x="106"/>
        <item x="324"/>
        <item x="489"/>
        <item x="173"/>
        <item x="460"/>
        <item x="325"/>
        <item x="156"/>
        <item x="221"/>
        <item x="95"/>
        <item x="96"/>
        <item x="184"/>
        <item x="326"/>
        <item x="276"/>
        <item x="222"/>
        <item x="67"/>
        <item x="68"/>
        <item x="69"/>
        <item x="277"/>
        <item x="235"/>
        <item x="236"/>
        <item x="327"/>
        <item x="61"/>
        <item x="54"/>
        <item m="1" x="495"/>
        <item x="130"/>
        <item x="458"/>
        <item x="149"/>
        <item x="351"/>
        <item x="459"/>
        <item x="385"/>
        <item x="386"/>
        <item x="436"/>
        <item x="261"/>
        <item x="121"/>
        <item x="122"/>
        <item x="461"/>
        <item x="462"/>
        <item x="271"/>
        <item x="245"/>
        <item x="463"/>
        <item x="12"/>
        <item x="284"/>
        <item x="272"/>
        <item x="464"/>
        <item x="230"/>
        <item x="233"/>
        <item x="249"/>
        <item x="248"/>
        <item x="472"/>
        <item x="471"/>
        <item x="231"/>
        <item x="246"/>
        <item x="335"/>
        <item x="473"/>
        <item x="336"/>
        <item x="232"/>
        <item x="465"/>
        <item x="234"/>
        <item x="337"/>
        <item x="14"/>
        <item x="474"/>
        <item x="475"/>
        <item x="338"/>
        <item x="476"/>
        <item x="1"/>
        <item x="13"/>
        <item x="432"/>
        <item x="247"/>
        <item x="297"/>
        <item x="477"/>
        <item x="382"/>
        <item x="479"/>
        <item x="370"/>
        <item x="478"/>
        <item x="433"/>
        <item x="298"/>
        <item x="434"/>
        <item x="364"/>
        <item x="383"/>
        <item x="299"/>
        <item x="384"/>
        <item x="435"/>
        <item x="300"/>
        <item x="377"/>
        <item x="387"/>
        <item x="437"/>
        <item x="301"/>
        <item x="480"/>
        <item x="273"/>
        <item x="274"/>
        <item x="356"/>
        <item x="438"/>
        <item x="302"/>
        <item x="303"/>
        <item x="304"/>
        <item x="365"/>
        <item x="306"/>
        <item x="307"/>
        <item x="439"/>
        <item x="440"/>
        <item x="305"/>
        <item x="308"/>
        <item x="309"/>
        <item x="369"/>
        <item x="237"/>
        <item x="367"/>
        <item x="275"/>
        <item x="357"/>
        <item x="481"/>
        <item x="358"/>
        <item x="368"/>
        <item x="349"/>
        <item x="441"/>
        <item x="482"/>
        <item x="359"/>
        <item x="371"/>
        <item x="350"/>
        <item x="339"/>
        <item x="442"/>
        <item x="360"/>
        <item x="443"/>
        <item x="340"/>
        <item x="128"/>
        <item x="361"/>
        <item x="341"/>
        <item x="483"/>
        <item x="444"/>
        <item x="129"/>
        <item x="445"/>
        <item x="362"/>
        <item x="446"/>
        <item x="342"/>
        <item x="447"/>
        <item x="425"/>
        <item x="448"/>
        <item x="310"/>
        <item x="311"/>
        <item x="343"/>
        <item x="372"/>
        <item x="426"/>
        <item x="449"/>
        <item x="312"/>
        <item x="292"/>
        <item x="450"/>
        <item x="344"/>
        <item x="373"/>
        <item x="282"/>
        <item x="313"/>
        <item x="314"/>
        <item x="427"/>
        <item x="428"/>
        <item x="451"/>
        <item x="315"/>
        <item x="374"/>
        <item x="429"/>
        <item x="293"/>
        <item x="452"/>
        <item x="317"/>
        <item x="316"/>
        <item x="363"/>
        <item x="375"/>
        <item x="453"/>
        <item x="294"/>
        <item x="376"/>
        <item x="490"/>
        <item x="491"/>
        <item x="28"/>
        <item x="424"/>
        <item x="454"/>
        <item x="295"/>
        <item x="485"/>
        <item x="29"/>
        <item x="30"/>
        <item x="31"/>
        <item x="32"/>
        <item x="378"/>
        <item x="486"/>
        <item x="296"/>
        <item x="419"/>
        <item x="71"/>
        <item x="36"/>
        <item x="0"/>
        <item x="366"/>
        <item x="487"/>
        <item x="379"/>
        <item x="123"/>
        <item x="124"/>
        <item x="223"/>
        <item x="224"/>
        <item x="55"/>
        <item x="33"/>
        <item x="34"/>
        <item x="35"/>
        <item x="380"/>
        <item x="254"/>
        <item m="1" x="494"/>
        <item x="258"/>
        <item x="212"/>
        <item x="255"/>
        <item m="1" x="492"/>
        <item x="420"/>
        <item x="320"/>
        <item x="321"/>
        <item x="62"/>
        <item m="1" x="493"/>
        <item x="281"/>
        <item x="228"/>
        <item x="225"/>
        <item x="226"/>
        <item x="279"/>
        <item x="195"/>
        <item x="259"/>
        <item x="256"/>
        <item x="389"/>
        <item x="15"/>
        <item x="280"/>
        <item x="355"/>
        <item x="213"/>
        <item x="227"/>
        <item x="257"/>
        <item x="260"/>
        <item x="381"/>
        <item x="196"/>
        <item x="229"/>
        <item x="390"/>
        <item x="283"/>
        <item x="488"/>
        <item t="default"/>
      </items>
    </pivotField>
    <pivotField compact="0" outline="0" showAll="0">
      <items count="404">
        <item x="113"/>
        <item x="363"/>
        <item x="359"/>
        <item x="126"/>
        <item x="270"/>
        <item x="364"/>
        <item x="15"/>
        <item x="114"/>
        <item x="360"/>
        <item x="2"/>
        <item x="335"/>
        <item x="181"/>
        <item x="127"/>
        <item x="16"/>
        <item x="376"/>
        <item x="3"/>
        <item x="219"/>
        <item x="271"/>
        <item x="128"/>
        <item x="180"/>
        <item x="4"/>
        <item x="17"/>
        <item x="11"/>
        <item x="333"/>
        <item x="336"/>
        <item x="365"/>
        <item x="5"/>
        <item x="169"/>
        <item x="18"/>
        <item x="129"/>
        <item x="377"/>
        <item x="170"/>
        <item x="115"/>
        <item x="19"/>
        <item x="374"/>
        <item x="97"/>
        <item x="334"/>
        <item x="130"/>
        <item x="291"/>
        <item x="6"/>
        <item x="20"/>
        <item x="116"/>
        <item x="183"/>
        <item x="272"/>
        <item x="337"/>
        <item x="327"/>
        <item x="338"/>
        <item x="378"/>
        <item x="257"/>
        <item x="292"/>
        <item x="171"/>
        <item x="98"/>
        <item x="366"/>
        <item x="7"/>
        <item x="117"/>
        <item x="339"/>
        <item x="172"/>
        <item x="329"/>
        <item x="293"/>
        <item x="131"/>
        <item x="13"/>
        <item x="340"/>
        <item x="8"/>
        <item x="118"/>
        <item x="119"/>
        <item x="294"/>
        <item x="357"/>
        <item x="184"/>
        <item x="328"/>
        <item x="379"/>
        <item x="358"/>
        <item x="251"/>
        <item x="295"/>
        <item x="120"/>
        <item x="258"/>
        <item x="99"/>
        <item x="47"/>
        <item x="375"/>
        <item x="250"/>
        <item x="380"/>
        <item x="9"/>
        <item x="1"/>
        <item x="12"/>
        <item x="48"/>
        <item x="10"/>
        <item x="296"/>
        <item x="21"/>
        <item x="324"/>
        <item x="341"/>
        <item x="297"/>
        <item x="49"/>
        <item x="182"/>
        <item x="22"/>
        <item x="298"/>
        <item x="313"/>
        <item x="287"/>
        <item x="283"/>
        <item x="381"/>
        <item x="342"/>
        <item x="239"/>
        <item x="50"/>
        <item x="299"/>
        <item x="325"/>
        <item x="23"/>
        <item x="156"/>
        <item x="280"/>
        <item x="174"/>
        <item x="158"/>
        <item x="288"/>
        <item x="240"/>
        <item x="300"/>
        <item x="224"/>
        <item x="121"/>
        <item x="326"/>
        <item x="343"/>
        <item x="157"/>
        <item x="315"/>
        <item x="146"/>
        <item x="314"/>
        <item x="153"/>
        <item x="147"/>
        <item x="225"/>
        <item x="241"/>
        <item x="159"/>
        <item x="175"/>
        <item x="176"/>
        <item x="122"/>
        <item x="284"/>
        <item x="95"/>
        <item x="301"/>
        <item x="344"/>
        <item x="302"/>
        <item x="226"/>
        <item x="154"/>
        <item x="148"/>
        <item x="123"/>
        <item x="32"/>
        <item x="177"/>
        <item x="24"/>
        <item x="227"/>
        <item x="178"/>
        <item x="149"/>
        <item x="382"/>
        <item x="43"/>
        <item x="33"/>
        <item x="124"/>
        <item x="303"/>
        <item x="385"/>
        <item x="212"/>
        <item x="305"/>
        <item x="228"/>
        <item x="125"/>
        <item x="150"/>
        <item x="316"/>
        <item x="274"/>
        <item x="80"/>
        <item x="265"/>
        <item x="193"/>
        <item x="229"/>
        <item x="231"/>
        <item x="34"/>
        <item x="191"/>
        <item x="243"/>
        <item x="400"/>
        <item x="160"/>
        <item x="345"/>
        <item x="25"/>
        <item x="306"/>
        <item x="35"/>
        <item x="132"/>
        <item x="220"/>
        <item x="264"/>
        <item x="242"/>
        <item x="100"/>
        <item x="282"/>
        <item x="192"/>
        <item x="275"/>
        <item x="232"/>
        <item x="36"/>
        <item x="221"/>
        <item x="304"/>
        <item x="206"/>
        <item x="96"/>
        <item x="89"/>
        <item x="140"/>
        <item x="179"/>
        <item x="268"/>
        <item x="233"/>
        <item x="101"/>
        <item x="155"/>
        <item x="266"/>
        <item x="222"/>
        <item x="383"/>
        <item x="37"/>
        <item x="44"/>
        <item x="230"/>
        <item x="208"/>
        <item x="254"/>
        <item x="269"/>
        <item x="141"/>
        <item x="256"/>
        <item x="259"/>
        <item x="346"/>
        <item x="223"/>
        <item x="234"/>
        <item x="26"/>
        <item x="276"/>
        <item x="391"/>
        <item x="102"/>
        <item x="235"/>
        <item x="289"/>
        <item x="90"/>
        <item x="163"/>
        <item x="260"/>
        <item x="133"/>
        <item x="112"/>
        <item x="310"/>
        <item x="277"/>
        <item x="311"/>
        <item x="261"/>
        <item x="38"/>
        <item x="347"/>
        <item x="142"/>
        <item x="209"/>
        <item x="104"/>
        <item x="255"/>
        <item x="348"/>
        <item x="278"/>
        <item x="394"/>
        <item x="103"/>
        <item x="143"/>
        <item x="370"/>
        <item x="312"/>
        <item x="317"/>
        <item x="39"/>
        <item x="349"/>
        <item x="262"/>
        <item x="371"/>
        <item x="40"/>
        <item x="350"/>
        <item x="58"/>
        <item x="267"/>
        <item x="395"/>
        <item x="66"/>
        <item x="81"/>
        <item x="372"/>
        <item x="135"/>
        <item x="91"/>
        <item x="41"/>
        <item x="67"/>
        <item x="59"/>
        <item x="398"/>
        <item x="53"/>
        <item x="396"/>
        <item x="330"/>
        <item x="351"/>
        <item x="318"/>
        <item x="244"/>
        <item x="60"/>
        <item x="136"/>
        <item x="397"/>
        <item x="84"/>
        <item x="42"/>
        <item x="92"/>
        <item x="105"/>
        <item x="68"/>
        <item x="134"/>
        <item x="331"/>
        <item x="352"/>
        <item x="319"/>
        <item x="245"/>
        <item x="373"/>
        <item x="82"/>
        <item x="61"/>
        <item x="85"/>
        <item x="144"/>
        <item x="93"/>
        <item x="263"/>
        <item x="392"/>
        <item x="83"/>
        <item x="217"/>
        <item x="138"/>
        <item x="307"/>
        <item x="199"/>
        <item x="137"/>
        <item x="246"/>
        <item x="332"/>
        <item x="353"/>
        <item x="54"/>
        <item x="62"/>
        <item x="57"/>
        <item x="31"/>
        <item x="69"/>
        <item x="200"/>
        <item x="388"/>
        <item x="86"/>
        <item x="207"/>
        <item x="63"/>
        <item x="70"/>
        <item x="94"/>
        <item x="236"/>
        <item x="354"/>
        <item x="151"/>
        <item x="201"/>
        <item x="0"/>
        <item x="389"/>
        <item x="64"/>
        <item x="247"/>
        <item x="71"/>
        <item x="279"/>
        <item x="87"/>
        <item x="202"/>
        <item x="320"/>
        <item x="106"/>
        <item x="237"/>
        <item x="355"/>
        <item x="110"/>
        <item x="248"/>
        <item x="139"/>
        <item x="72"/>
        <item x="399"/>
        <item x="107"/>
        <item x="393"/>
        <item x="362"/>
        <item x="194"/>
        <item x="308"/>
        <item x="321"/>
        <item x="210"/>
        <item x="27"/>
        <item x="88"/>
        <item x="109"/>
        <item x="356"/>
        <item x="73"/>
        <item x="145"/>
        <item x="238"/>
        <item x="249"/>
        <item x="401"/>
        <item x="28"/>
        <item x="203"/>
        <item x="390"/>
        <item x="195"/>
        <item x="402"/>
        <item x="55"/>
        <item x="74"/>
        <item x="108"/>
        <item x="56"/>
        <item x="204"/>
        <item x="213"/>
        <item x="285"/>
        <item x="75"/>
        <item x="173"/>
        <item x="367"/>
        <item x="322"/>
        <item x="253"/>
        <item x="45"/>
        <item x="51"/>
        <item x="281"/>
        <item x="111"/>
        <item x="76"/>
        <item x="164"/>
        <item x="46"/>
        <item x="29"/>
        <item x="30"/>
        <item x="185"/>
        <item x="196"/>
        <item x="368"/>
        <item x="77"/>
        <item x="188"/>
        <item x="161"/>
        <item x="186"/>
        <item x="197"/>
        <item x="65"/>
        <item x="78"/>
        <item x="205"/>
        <item x="309"/>
        <item x="323"/>
        <item x="252"/>
        <item x="52"/>
        <item x="189"/>
        <item x="216"/>
        <item x="166"/>
        <item x="165"/>
        <item x="215"/>
        <item x="152"/>
        <item x="198"/>
        <item x="361"/>
        <item x="290"/>
        <item x="14"/>
        <item x="369"/>
        <item x="273"/>
        <item x="162"/>
        <item x="167"/>
        <item x="187"/>
        <item x="190"/>
        <item x="211"/>
        <item x="384"/>
        <item x="79"/>
        <item x="387"/>
        <item x="286"/>
        <item x="168"/>
        <item x="218"/>
        <item x="386"/>
        <item x="214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>
      <items count="384">
        <item x="350"/>
        <item x="115"/>
        <item x="266"/>
        <item x="2"/>
        <item x="124"/>
        <item x="15"/>
        <item x="347"/>
        <item x="16"/>
        <item x="177"/>
        <item x="351"/>
        <item x="3"/>
        <item x="11"/>
        <item x="125"/>
        <item x="267"/>
        <item x="334"/>
        <item x="176"/>
        <item x="4"/>
        <item x="17"/>
        <item x="335"/>
        <item x="352"/>
        <item x="5"/>
        <item x="168"/>
        <item x="18"/>
        <item x="126"/>
        <item x="254"/>
        <item x="361"/>
        <item x="169"/>
        <item x="19"/>
        <item x="360"/>
        <item x="127"/>
        <item x="255"/>
        <item x="97"/>
        <item x="178"/>
        <item x="6"/>
        <item x="327"/>
        <item x="268"/>
        <item x="116"/>
        <item x="256"/>
        <item x="180"/>
        <item x="202"/>
        <item x="362"/>
        <item x="241"/>
        <item x="353"/>
        <item x="336"/>
        <item x="7"/>
        <item x="299"/>
        <item x="332"/>
        <item x="128"/>
        <item x="13"/>
        <item x="337"/>
        <item x="300"/>
        <item x="242"/>
        <item x="333"/>
        <item x="329"/>
        <item x="8"/>
        <item x="117"/>
        <item x="328"/>
        <item x="301"/>
        <item x="346"/>
        <item x="363"/>
        <item x="181"/>
        <item x="257"/>
        <item x="364"/>
        <item x="118"/>
        <item x="45"/>
        <item x="365"/>
        <item x="326"/>
        <item x="240"/>
        <item x="98"/>
        <item x="302"/>
        <item x="1"/>
        <item x="9"/>
        <item x="46"/>
        <item x="12"/>
        <item x="10"/>
        <item x="20"/>
        <item x="303"/>
        <item x="323"/>
        <item x="179"/>
        <item x="47"/>
        <item x="21"/>
        <item x="291"/>
        <item x="280"/>
        <item x="48"/>
        <item x="304"/>
        <item x="49"/>
        <item x="22"/>
        <item x="243"/>
        <item x="275"/>
        <item x="305"/>
        <item x="231"/>
        <item x="157"/>
        <item x="315"/>
        <item x="217"/>
        <item x="159"/>
        <item x="292"/>
        <item x="232"/>
        <item x="119"/>
        <item x="154"/>
        <item x="324"/>
        <item x="306"/>
        <item x="147"/>
        <item x="158"/>
        <item x="286"/>
        <item x="120"/>
        <item x="233"/>
        <item x="218"/>
        <item x="307"/>
        <item x="234"/>
        <item x="160"/>
        <item x="171"/>
        <item x="172"/>
        <item x="95"/>
        <item x="294"/>
        <item x="325"/>
        <item x="316"/>
        <item x="338"/>
        <item x="31"/>
        <item x="121"/>
        <item x="293"/>
        <item x="155"/>
        <item x="317"/>
        <item x="219"/>
        <item x="309"/>
        <item x="339"/>
        <item x="42"/>
        <item x="173"/>
        <item x="23"/>
        <item x="148"/>
        <item x="32"/>
        <item x="174"/>
        <item x="122"/>
        <item x="250"/>
        <item x="220"/>
        <item x="77"/>
        <item x="235"/>
        <item x="270"/>
        <item x="33"/>
        <item x="187"/>
        <item x="276"/>
        <item x="123"/>
        <item x="308"/>
        <item x="149"/>
        <item x="221"/>
        <item x="189"/>
        <item x="24"/>
        <item x="34"/>
        <item x="318"/>
        <item x="129"/>
        <item x="223"/>
        <item x="367"/>
        <item x="236"/>
        <item x="279"/>
        <item x="212"/>
        <item x="188"/>
        <item x="213"/>
        <item x="261"/>
        <item x="88"/>
        <item x="278"/>
        <item x="271"/>
        <item x="203"/>
        <item x="214"/>
        <item x="35"/>
        <item x="272"/>
        <item x="224"/>
        <item x="262"/>
        <item x="130"/>
        <item x="96"/>
        <item x="175"/>
        <item x="205"/>
        <item x="36"/>
        <item x="89"/>
        <item x="310"/>
        <item x="264"/>
        <item x="156"/>
        <item x="340"/>
        <item x="281"/>
        <item x="215"/>
        <item x="368"/>
        <item x="251"/>
        <item x="25"/>
        <item x="273"/>
        <item x="99"/>
        <item x="170"/>
        <item x="222"/>
        <item x="90"/>
        <item x="258"/>
        <item x="216"/>
        <item x="225"/>
        <item x="131"/>
        <item x="341"/>
        <item x="100"/>
        <item x="163"/>
        <item x="37"/>
        <item x="252"/>
        <item x="140"/>
        <item x="226"/>
        <item x="150"/>
        <item x="135"/>
        <item x="259"/>
        <item x="101"/>
        <item x="369"/>
        <item x="342"/>
        <item x="141"/>
        <item x="113"/>
        <item x="295"/>
        <item x="114"/>
        <item x="379"/>
        <item x="38"/>
        <item x="104"/>
        <item x="142"/>
        <item x="103"/>
        <item x="265"/>
        <item x="359"/>
        <item x="296"/>
        <item x="134"/>
        <item x="132"/>
        <item x="102"/>
        <item x="62"/>
        <item x="39"/>
        <item x="313"/>
        <item x="314"/>
        <item x="78"/>
        <item x="136"/>
        <item x="144"/>
        <item x="55"/>
        <item x="40"/>
        <item x="263"/>
        <item x="330"/>
        <item x="51"/>
        <item x="253"/>
        <item x="145"/>
        <item x="63"/>
        <item x="56"/>
        <item x="381"/>
        <item x="81"/>
        <item x="91"/>
        <item x="57"/>
        <item x="41"/>
        <item x="227"/>
        <item x="64"/>
        <item x="282"/>
        <item x="137"/>
        <item x="133"/>
        <item x="380"/>
        <item x="201"/>
        <item x="82"/>
        <item x="343"/>
        <item x="370"/>
        <item x="92"/>
        <item x="80"/>
        <item x="143"/>
        <item x="65"/>
        <item x="79"/>
        <item x="58"/>
        <item x="331"/>
        <item x="138"/>
        <item x="260"/>
        <item x="93"/>
        <item x="83"/>
        <item x="66"/>
        <item x="204"/>
        <item x="196"/>
        <item x="311"/>
        <item x="0"/>
        <item x="30"/>
        <item x="52"/>
        <item x="283"/>
        <item x="84"/>
        <item x="54"/>
        <item x="284"/>
        <item x="67"/>
        <item x="285"/>
        <item x="94"/>
        <item x="344"/>
        <item x="68"/>
        <item x="245"/>
        <item x="228"/>
        <item x="319"/>
        <item x="59"/>
        <item x="237"/>
        <item x="152"/>
        <item x="244"/>
        <item x="197"/>
        <item x="238"/>
        <item x="354"/>
        <item x="85"/>
        <item x="151"/>
        <item x="60"/>
        <item x="274"/>
        <item x="110"/>
        <item x="246"/>
        <item x="86"/>
        <item x="376"/>
        <item x="164"/>
        <item x="320"/>
        <item x="239"/>
        <item x="139"/>
        <item x="373"/>
        <item x="377"/>
        <item x="192"/>
        <item x="70"/>
        <item x="146"/>
        <item x="345"/>
        <item x="69"/>
        <item x="87"/>
        <item x="206"/>
        <item x="190"/>
        <item x="247"/>
        <item x="198"/>
        <item x="26"/>
        <item x="105"/>
        <item x="382"/>
        <item x="27"/>
        <item x="71"/>
        <item x="106"/>
        <item x="107"/>
        <item x="229"/>
        <item x="248"/>
        <item x="199"/>
        <item x="53"/>
        <item x="191"/>
        <item x="111"/>
        <item x="230"/>
        <item x="355"/>
        <item x="72"/>
        <item x="43"/>
        <item x="321"/>
        <item x="200"/>
        <item x="73"/>
        <item x="378"/>
        <item x="374"/>
        <item x="249"/>
        <item x="44"/>
        <item x="161"/>
        <item x="287"/>
        <item x="108"/>
        <item x="277"/>
        <item x="28"/>
        <item x="289"/>
        <item x="193"/>
        <item x="29"/>
        <item x="288"/>
        <item x="112"/>
        <item x="109"/>
        <item x="356"/>
        <item x="194"/>
        <item x="61"/>
        <item x="184"/>
        <item x="75"/>
        <item x="312"/>
        <item x="182"/>
        <item x="183"/>
        <item x="366"/>
        <item x="357"/>
        <item x="166"/>
        <item x="74"/>
        <item x="210"/>
        <item x="50"/>
        <item x="269"/>
        <item x="165"/>
        <item x="153"/>
        <item x="195"/>
        <item x="322"/>
        <item x="209"/>
        <item x="297"/>
        <item x="14"/>
        <item x="185"/>
        <item x="167"/>
        <item x="371"/>
        <item x="207"/>
        <item x="358"/>
        <item x="372"/>
        <item x="76"/>
        <item x="375"/>
        <item x="290"/>
        <item x="298"/>
        <item x="211"/>
        <item x="186"/>
        <item x="348"/>
        <item x="349"/>
        <item x="208"/>
        <item x="162"/>
        <item t="default"/>
      </items>
    </pivotField>
    <pivotField axis="axisPage" compact="0" outline="0" multipleItemSelectionAllowed="1" showAll="0">
      <items count="626">
        <item h="1" x="10"/>
        <item h="1" x="551"/>
        <item h="1" x="153"/>
        <item h="1" x="154"/>
        <item h="1" x="464"/>
        <item h="1" x="362"/>
        <item h="1" x="363"/>
        <item h="1" x="3"/>
        <item h="1" x="180"/>
        <item h="1" x="222"/>
        <item h="1" x="168"/>
        <item h="1" x="264"/>
        <item h="1" x="189"/>
        <item h="1" x="372"/>
        <item h="1" x="621"/>
        <item h="1" x="360"/>
        <item h="1" x="190"/>
        <item h="1" x="49"/>
        <item h="1" x="188"/>
        <item h="1" x="98"/>
        <item h="1" x="125"/>
        <item h="1" x="178"/>
        <item h="1" x="400"/>
        <item h="1" x="545"/>
        <item h="1" x="560"/>
        <item h="1" x="163"/>
        <item h="1" x="487"/>
        <item h="1" x="550"/>
        <item h="1" x="416"/>
        <item h="1" x="245"/>
        <item h="1" x="69"/>
        <item h="1" x="483"/>
        <item h="1" x="480"/>
        <item h="1" x="537"/>
        <item h="1" x="231"/>
        <item h="1" x="90"/>
        <item h="1" x="566"/>
        <item h="1" x="479"/>
        <item h="1" x="353"/>
        <item h="1" x="481"/>
        <item h="1" x="255"/>
        <item h="1" x="355"/>
        <item h="1" x="470"/>
        <item h="1" x="299"/>
        <item h="1" x="136"/>
        <item h="1" x="228"/>
        <item h="1" x="187"/>
        <item h="1" x="439"/>
        <item h="1" x="244"/>
        <item h="1" x="243"/>
        <item h="1" x="102"/>
        <item h="1" x="252"/>
        <item h="1" x="352"/>
        <item h="1" x="337"/>
        <item h="1" x="46"/>
        <item h="1" x="240"/>
        <item h="1" x="114"/>
        <item h="1" x="413"/>
        <item h="1" x="82"/>
        <item h="1" x="463"/>
        <item h="1" x="166"/>
        <item h="1" x="521"/>
        <item h="1" x="14"/>
        <item h="1" x="134"/>
        <item h="1" x="41"/>
        <item h="1" x="48"/>
        <item h="1" x="549"/>
        <item h="1" x="179"/>
        <item h="1" x="582"/>
        <item h="1" x="336"/>
        <item h="1" x="486"/>
        <item h="1" x="272"/>
        <item h="1" x="152"/>
        <item h="1" x="182"/>
        <item h="1" x="484"/>
        <item h="1" x="155"/>
        <item h="1" x="375"/>
        <item h="1" x="81"/>
        <item h="1" x="349"/>
        <item h="1" x="459"/>
        <item h="1" x="356"/>
        <item h="1" x="146"/>
        <item h="1" x="335"/>
        <item h="1" x="392"/>
        <item h="1" x="9"/>
        <item h="1" x="358"/>
        <item h="1" x="462"/>
        <item h="1" x="554"/>
        <item h="1" x="328"/>
        <item h="1" x="237"/>
        <item h="1" x="424"/>
        <item h="1" x="523"/>
        <item h="1" x="445"/>
        <item h="1" x="394"/>
        <item h="1" x="488"/>
        <item h="1" x="184"/>
        <item h="1" x="455"/>
        <item h="1" x="47"/>
        <item h="1" x="438"/>
        <item h="1" x="89"/>
        <item h="1" x="454"/>
        <item h="1" x="25"/>
        <item h="1" x="215"/>
        <item h="1" x="226"/>
        <item h="1" x="350"/>
        <item h="1" x="133"/>
        <item h="1" x="162"/>
        <item h="1" x="499"/>
        <item h="1" x="279"/>
        <item h="1" x="192"/>
        <item h="1" x="473"/>
        <item h="1" x="44"/>
        <item h="1" x="109"/>
        <item h="1" x="344"/>
        <item h="1" x="308"/>
        <item h="1" x="624"/>
        <item h="1" x="218"/>
        <item h="1" x="45"/>
        <item h="1" x="167"/>
        <item h="1" x="246"/>
        <item h="1" x="135"/>
        <item h="1" x="119"/>
        <item h="1" x="115"/>
        <item h="1" x="30"/>
        <item h="1" x="223"/>
        <item h="1" x="421"/>
        <item h="1" x="419"/>
        <item h="1" x="219"/>
        <item h="1" x="101"/>
        <item h="1" x="618"/>
        <item h="1" x="193"/>
        <item h="1" x="262"/>
        <item h="1" x="29"/>
        <item h="1" x="84"/>
        <item h="1" x="469"/>
        <item h="1" x="164"/>
        <item h="1" x="150"/>
        <item h="1" x="591"/>
        <item h="1" x="254"/>
        <item h="1" x="359"/>
        <item h="1" x="278"/>
        <item h="1" x="241"/>
        <item h="1" x="447"/>
        <item h="1" x="268"/>
        <item h="1" x="71"/>
        <item h="1" x="165"/>
        <item h="1" x="297"/>
        <item h="1" x="440"/>
        <item h="1" x="31"/>
        <item h="1" x="52"/>
        <item h="1" x="176"/>
        <item h="1" x="202"/>
        <item h="1" x="500"/>
        <item h="1" x="129"/>
        <item h="1" x="347"/>
        <item h="1" x="361"/>
        <item h="1" x="80"/>
        <item h="1" x="239"/>
        <item h="1" x="183"/>
        <item h="1" x="354"/>
        <item h="1" x="151"/>
        <item h="1" x="471"/>
        <item h="1" x="169"/>
        <item h="1" x="388"/>
        <item h="1" x="498"/>
        <item h="1" x="316"/>
        <item h="1" x="536"/>
        <item h="1" x="13"/>
        <item h="1" x="230"/>
        <item h="1" x="43"/>
        <item h="1" x="251"/>
        <item h="1" x="21"/>
        <item h="1" x="253"/>
        <item h="1" x="460"/>
        <item h="1" x="485"/>
        <item h="1" x="351"/>
        <item h="1" x="227"/>
        <item h="1" x="315"/>
        <item h="1" x="79"/>
        <item h="1" x="260"/>
        <item h="1" x="5"/>
        <item h="1" x="12"/>
        <item h="1" x="381"/>
        <item h="1" x="285"/>
        <item h="1" x="589"/>
        <item h="1" x="53"/>
        <item h="1" x="32"/>
        <item h="1" x="300"/>
        <item h="1" x="269"/>
        <item h="1" x="592"/>
        <item h="1" x="433"/>
        <item h="1" x="257"/>
        <item h="1" x="580"/>
        <item h="1" x="156"/>
        <item h="1" x="311"/>
        <item h="1" x="458"/>
        <item h="1" x="270"/>
        <item h="1" x="387"/>
        <item h="1" x="496"/>
        <item h="1" x="397"/>
        <item h="1" x="491"/>
        <item h="1" x="597"/>
        <item h="1" x="232"/>
        <item h="1" x="171"/>
        <item h="1" x="472"/>
        <item h="1" x="317"/>
        <item h="1" x="205"/>
        <item h="1" x="76"/>
        <item h="1" x="396"/>
        <item h="1" x="121"/>
        <item h="1" x="258"/>
        <item h="1" x="604"/>
        <item h="1" x="406"/>
        <item h="1" x="468"/>
        <item h="1" x="451"/>
        <item h="1" x="28"/>
        <item h="1" x="256"/>
        <item h="1" x="331"/>
        <item h="1" x="430"/>
        <item h="1" x="8"/>
        <item h="1" x="559"/>
        <item h="1" x="461"/>
        <item h="1" x="144"/>
        <item h="1" x="405"/>
        <item h="1" x="233"/>
        <item h="1" x="234"/>
        <item h="1" x="27"/>
        <item h="1" x="83"/>
        <item h="1" x="390"/>
        <item h="1" x="436"/>
        <item h="1" x="404"/>
        <item h="1" x="425"/>
        <item h="1" x="541"/>
        <item h="1" x="62"/>
        <item h="1" x="346"/>
        <item h="1" x="514"/>
        <item h="1" x="492"/>
        <item h="1" x="594"/>
        <item h="1" x="177"/>
        <item h="1" x="494"/>
        <item h="1" x="434"/>
        <item h="1" x="503"/>
        <item h="1" x="318"/>
        <item h="1" x="161"/>
        <item h="1" x="373"/>
        <item h="1" x="100"/>
        <item h="1" x="158"/>
        <item h="1" x="51"/>
        <item h="1" x="482"/>
        <item h="1" x="399"/>
        <item h="1" x="418"/>
        <item h="1" x="333"/>
        <item h="1" x="249"/>
        <item h="1" x="55"/>
        <item h="1" x="432"/>
        <item h="1" x="77"/>
        <item h="1" x="160"/>
        <item h="1" x="368"/>
        <item h="1" x="417"/>
        <item h="1" x="578"/>
        <item h="1" x="334"/>
        <item h="1" x="511"/>
        <item h="1" x="173"/>
        <item h="1" x="382"/>
        <item h="1" x="276"/>
        <item h="1" x="273"/>
        <item h="1" x="437"/>
        <item h="1" x="67"/>
        <item h="1" x="131"/>
        <item h="1" x="450"/>
        <item h="1" x="547"/>
        <item h="1" x="409"/>
        <item h="1" x="7"/>
        <item h="1" x="357"/>
        <item h="1" x="603"/>
        <item h="1" x="217"/>
        <item h="1" x="501"/>
        <item h="1" x="442"/>
        <item h="1" x="128"/>
        <item h="1" x="493"/>
        <item h="1" x="564"/>
        <item h="1" x="343"/>
        <item h="1" x="113"/>
        <item h="1" x="605"/>
        <item h="1" x="78"/>
        <item h="1" x="544"/>
        <item h="1" x="34"/>
        <item h="1" x="214"/>
        <item h="1" x="74"/>
        <item h="1" x="271"/>
        <item h="1" x="548"/>
        <item h="1" x="528"/>
        <item h="1" x="393"/>
        <item h="1" x="446"/>
        <item h="1" x="212"/>
        <item h="1" x="26"/>
        <item h="1" x="505"/>
        <item h="1" x="526"/>
        <item h="1" x="508"/>
        <item h="1" x="149"/>
        <item h="1" x="587"/>
        <item h="1" x="108"/>
        <item h="1" x="519"/>
        <item h="1" x="56"/>
        <item h="1" x="65"/>
        <item h="1" x="586"/>
        <item h="1" x="441"/>
        <item h="1" x="132"/>
        <item h="1" x="88"/>
        <item h="1" x="380"/>
        <item h="1" x="124"/>
        <item h="1" x="185"/>
        <item h="1" x="35"/>
        <item h="1" x="19"/>
        <item h="1" x="50"/>
        <item h="1" x="345"/>
        <item h="1" x="474"/>
        <item h="1" x="395"/>
        <item h="1" x="175"/>
        <item h="1" x="145"/>
        <item h="1" x="157"/>
        <item h="1" x="585"/>
        <item h="1" x="137"/>
        <item h="1" x="201"/>
        <item h="1" x="414"/>
        <item h="1" x="266"/>
        <item h="1" x="265"/>
        <item h="1" x="588"/>
        <item h="1" x="194"/>
        <item h="1" x="490"/>
        <item h="1" x="288"/>
        <item h="1" x="106"/>
        <item h="1" x="64"/>
        <item h="1" x="213"/>
        <item h="1" x="148"/>
        <item h="1" x="63"/>
        <item h="1" x="242"/>
        <item h="1" x="571"/>
        <item h="1" x="364"/>
        <item h="1" x="127"/>
        <item h="1" x="599"/>
        <item h="1" x="122"/>
        <item h="1" x="366"/>
        <item h="1" x="4"/>
        <item h="1" x="431"/>
        <item h="1" x="489"/>
        <item h="1" x="348"/>
        <item h="1" x="422"/>
        <item h="1" x="593"/>
        <item h="1" x="453"/>
        <item h="1" x="540"/>
        <item h="1" x="191"/>
        <item h="1" x="33"/>
        <item h="1" x="42"/>
        <item h="1" x="620"/>
        <item h="1" x="172"/>
        <item h="1" x="330"/>
        <item h="1" x="443"/>
        <item h="1" x="210"/>
        <item h="1" x="104"/>
        <item h="1" x="298"/>
        <item h="1" x="596"/>
        <item h="1" x="159"/>
        <item h="1" x="236"/>
        <item h="1" x="39"/>
        <item h="1" x="385"/>
        <item h="1" x="221"/>
        <item h="1" x="410"/>
        <item h="1" x="465"/>
        <item h="1" x="174"/>
        <item h="1" x="538"/>
        <item h="1" x="170"/>
        <item h="1" x="263"/>
        <item h="1" x="444"/>
        <item h="1" x="448"/>
        <item h="1" x="579"/>
        <item h="1" x="590"/>
        <item h="1" x="314"/>
        <item h="1" x="365"/>
        <item h="1" x="467"/>
        <item h="1" x="568"/>
        <item h="1" x="475"/>
        <item h="1" x="130"/>
        <item h="1" x="504"/>
        <item h="1" x="103"/>
        <item h="1" x="367"/>
        <item h="1" x="138"/>
        <item h="1" x="466"/>
        <item h="1" x="99"/>
        <item h="1" x="118"/>
        <item h="1" x="565"/>
        <item h="1" x="220"/>
        <item h="1" x="478"/>
        <item h="1" x="66"/>
        <item h="1" x="147"/>
        <item h="1" x="126"/>
        <item h="1" x="456"/>
        <item h="1" x="6"/>
        <item h="1" x="598"/>
        <item h="1" x="407"/>
        <item h="1" x="601"/>
        <item h="1" x="111"/>
        <item h="1" x="305"/>
        <item h="1" x="449"/>
        <item h="1" x="107"/>
        <item h="1" x="558"/>
        <item h="1" x="247"/>
        <item h="1" x="411"/>
        <item h="1" x="546"/>
        <item h="1" x="512"/>
        <item h="1" x="75"/>
        <item h="1" x="204"/>
        <item h="1" x="291"/>
        <item h="1" x="561"/>
        <item h="1" x="497"/>
        <item h="1" x="513"/>
        <item h="1" x="495"/>
        <item h="1" x="622"/>
        <item h="1" x="506"/>
        <item h="1" x="577"/>
        <item h="1" x="553"/>
        <item h="1" x="16"/>
        <item h="1" x="517"/>
        <item h="1" x="225"/>
        <item h="1" x="327"/>
        <item h="1" x="0"/>
        <item h="1" x="290"/>
        <item h="1" x="522"/>
        <item h="1" x="38"/>
        <item h="1" x="283"/>
        <item h="1" x="60"/>
        <item h="1" x="120"/>
        <item h="1" x="181"/>
        <item h="1" x="319"/>
        <item h="1" x="435"/>
        <item h="1" x="2"/>
        <item h="1" x="320"/>
        <item h="1" x="408"/>
        <item h="1" x="507"/>
        <item h="1" x="520"/>
        <item h="1" x="139"/>
        <item h="1" x="572"/>
        <item h="1" x="203"/>
        <item h="1" x="552"/>
        <item h="1" x="280"/>
        <item h="1" x="11"/>
        <item h="1" x="427"/>
        <item h="1" x="105"/>
        <item h="1" x="539"/>
        <item h="1" x="583"/>
        <item h="1" x="556"/>
        <item h="1" x="284"/>
        <item h="1" x="529"/>
        <item h="1" x="623"/>
        <item h="1" x="261"/>
        <item h="1" x="612"/>
        <item h="1" x="518"/>
        <item h="1" x="374"/>
        <item h="1" x="289"/>
        <item h="1" x="68"/>
        <item h="1" x="302"/>
        <item h="1" x="426"/>
        <item h="1" x="563"/>
        <item h="1" x="575"/>
        <item h="1" x="510"/>
        <item h="1" x="321"/>
        <item h="1" x="72"/>
        <item h="1" x="20"/>
        <item h="1" x="379"/>
        <item h="1" x="54"/>
        <item h="1" x="73"/>
        <item h="1" x="376"/>
        <item h="1" x="110"/>
        <item h="1" x="22"/>
        <item h="1" x="557"/>
        <item h="1" x="142"/>
        <item h="1" x="515"/>
        <item h="1" x="206"/>
        <item h="1" x="542"/>
        <item h="1" x="207"/>
        <item h="1" x="543"/>
        <item h="1" x="338"/>
        <item h="1" x="287"/>
        <item h="1" x="275"/>
        <item h="1" x="238"/>
        <item h="1" x="292"/>
        <item h="1" x="398"/>
        <item h="1" x="24"/>
        <item h="1" x="617"/>
        <item h="1" x="58"/>
        <item h="1" x="23"/>
        <item h="1" x="613"/>
        <item h="1" x="384"/>
        <item h="1" x="286"/>
        <item h="1" x="208"/>
        <item h="1" x="477"/>
        <item h="1" x="209"/>
        <item h="1" x="116"/>
        <item h="1" x="37"/>
        <item h="1" x="535"/>
        <item h="1" x="70"/>
        <item h="1" x="369"/>
        <item h="1" x="211"/>
        <item h="1" x="329"/>
        <item h="1" x="229"/>
        <item h="1" x="85"/>
        <item h="1" x="420"/>
        <item h="1" x="386"/>
        <item h="1" x="322"/>
        <item h="1" x="502"/>
        <item h="1" x="527"/>
        <item h="1" x="378"/>
        <item h="1" x="377"/>
        <item h="1" x="326"/>
        <item h="1" x="304"/>
        <item h="1" x="94"/>
        <item h="1" x="576"/>
        <item h="1" x="403"/>
        <item h="1" x="383"/>
        <item h="1" x="562"/>
        <item h="1" x="606"/>
        <item h="1" x="141"/>
        <item h="1" x="18"/>
        <item h="1" x="40"/>
        <item h="1" x="301"/>
        <item h="1" x="428"/>
        <item h="1" x="555"/>
        <item h="1" x="224"/>
        <item h="1" x="614"/>
        <item h="1" x="415"/>
        <item h="1" x="574"/>
        <item h="1" x="117"/>
        <item h="1" x="303"/>
        <item h="1" x="532"/>
        <item h="1" x="294"/>
        <item h="1" x="619"/>
        <item h="1" x="91"/>
        <item h="1" x="423"/>
        <item h="1" x="570"/>
        <item h="1" x="199"/>
        <item h="1" x="581"/>
        <item h="1" x="476"/>
        <item h="1" x="534"/>
        <item h="1" x="389"/>
        <item h="1" x="391"/>
        <item h="1" x="93"/>
        <item h="1" x="306"/>
        <item h="1" x="371"/>
        <item h="1" x="87"/>
        <item h="1" x="295"/>
        <item h="1" x="198"/>
        <item h="1" x="143"/>
        <item h="1" x="112"/>
        <item h="1" x="332"/>
        <item h="1" x="524"/>
        <item h="1" x="140"/>
        <item h="1" x="267"/>
        <item h="1" x="323"/>
        <item h="1" x="569"/>
        <item h="1" x="452"/>
        <item h="1" x="282"/>
        <item h="1" x="296"/>
        <item h="1" x="525"/>
        <item h="1" x="616"/>
        <item h="1" x="516"/>
        <item h="1" x="186"/>
        <item h="1" x="259"/>
        <item h="1" x="602"/>
        <item h="1" x="324"/>
        <item h="1" x="370"/>
        <item h="1" x="57"/>
        <item h="1" x="531"/>
        <item h="1" x="197"/>
        <item h="1" x="533"/>
        <item h="1" x="17"/>
        <item h="1" x="509"/>
        <item h="1" x="307"/>
        <item h="1" x="429"/>
        <item h="1" x="615"/>
        <item h="1" x="608"/>
        <item h="1" x="325"/>
        <item h="1" x="342"/>
        <item h="1" x="200"/>
        <item h="1" x="607"/>
        <item h="1" x="61"/>
        <item h="1" x="281"/>
        <item h="1" x="92"/>
        <item h="1" x="277"/>
        <item h="1" x="96"/>
        <item h="1" x="123"/>
        <item h="1" x="195"/>
        <item h="1" x="609"/>
        <item h="1" x="340"/>
        <item h="1" x="97"/>
        <item h="1" x="1"/>
        <item h="1" x="584"/>
        <item h="1" x="530"/>
        <item h="1" x="457"/>
        <item h="1" x="610"/>
        <item h="1" x="59"/>
        <item h="1" x="573"/>
        <item h="1" x="95"/>
        <item h="1" x="341"/>
        <item h="1" x="196"/>
        <item h="1" x="402"/>
        <item h="1" x="401"/>
        <item h="1" x="339"/>
        <item x="36"/>
        <item h="1" x="274"/>
        <item h="1" x="15"/>
        <item h="1" x="313"/>
        <item h="1" x="595"/>
        <item h="1" x="86"/>
        <item h="1" x="293"/>
        <item h="1" x="248"/>
        <item h="1" x="412"/>
        <item h="1" x="310"/>
        <item h="1" x="567"/>
        <item h="1" x="611"/>
        <item h="1" x="312"/>
        <item h="1" x="216"/>
        <item h="1" x="309"/>
        <item h="1" x="235"/>
        <item h="1" x="250"/>
        <item h="1" x="600"/>
        <item t="default"/>
      </items>
    </pivotField>
    <pivotField compact="0" outline="0" showAll="0"/>
    <pivotField compact="0" outline="0" showAll="0" defaultSubtotal="0"/>
    <pivotField compact="0" outline="0" showAll="0" defaultSubtotal="0"/>
    <pivotField compact="0" outline="0" showAll="0" defaultSubtotal="0">
      <items count="7">
        <item x="0"/>
        <item x="1"/>
        <item x="2"/>
        <item x="3"/>
        <item x="4"/>
        <item x="5"/>
        <item x="6"/>
      </items>
    </pivotField>
    <pivotField axis="axisCol"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compact="0" outline="0" showAll="0" defaultSubtotal="0">
      <items count="6">
        <item sd="0" x="0"/>
        <item sd="0" x="1"/>
        <item sd="0" x="2"/>
        <item sd="0" x="3"/>
        <item sd="0" x="4"/>
        <item x="5"/>
      </items>
    </pivotField>
    <pivotField axis="axisPage" compact="0" outline="0" multipleItemSelectionAllowed="1" showAll="0" defaultSubtotal="0">
      <items count="7">
        <item h="1" sd="0" x="0"/>
        <item h="1" sd="0" x="1"/>
        <item h="1" sd="0" x="2"/>
        <item h="1" sd="0" x="3"/>
        <item h="1" sd="0" x="4"/>
        <item sd="0" x="5"/>
        <item h="1" x="6"/>
      </items>
    </pivotField>
    <pivotField compact="0" outline="0" showAll="0">
      <items count="15">
        <item sd="0" x="0"/>
        <item sd="0" x="1"/>
        <item sd="0" x="2"/>
        <item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sd="0" x="12"/>
        <item h="1" sd="0" x="13"/>
        <item t="default"/>
      </items>
    </pivotField>
    <pivotField compact="0" outline="0"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compact="0" outline="0" multipleItemSelectionAllowed="1" showAll="0" defaultSubtotal="0">
      <items count="7">
        <item h="1" sd="0" x="0"/>
        <item h="1" sd="0" x="1"/>
        <item h="1" sd="0" x="2"/>
        <item h="1" sd="0" x="3"/>
        <item x="4"/>
        <item x="5"/>
        <item h="1" x="6"/>
      </items>
    </pivotField>
  </pivotFields>
  <rowFields count="3">
    <field x="5"/>
    <field x="2"/>
    <field x="14"/>
  </rowFields>
  <rowItems count="26">
    <i>
      <x/>
      <x v="154"/>
      <x v="15"/>
    </i>
    <i r="1">
      <x v="174"/>
      <x v="9"/>
    </i>
    <i r="2">
      <x v="12"/>
    </i>
    <i r="2">
      <x v="16"/>
    </i>
    <i r="1">
      <x v="181"/>
      <x v="489"/>
    </i>
    <i r="2">
      <x v="500"/>
    </i>
    <i t="default">
      <x/>
    </i>
    <i>
      <x v="2"/>
      <x v="168"/>
      <x v="457"/>
    </i>
    <i r="1">
      <x v="175"/>
      <x v="93"/>
    </i>
    <i t="default">
      <x v="2"/>
    </i>
    <i>
      <x v="3"/>
      <x v="153"/>
      <x v="497"/>
    </i>
    <i r="1">
      <x v="157"/>
      <x v="495"/>
    </i>
    <i r="1">
      <x v="169"/>
      <x v="487"/>
    </i>
    <i r="2">
      <x v="496"/>
    </i>
    <i r="1">
      <x v="183"/>
      <x v="501"/>
    </i>
    <i t="default">
      <x v="3"/>
    </i>
    <i>
      <x v="4"/>
      <x v="162"/>
      <x v="457"/>
    </i>
    <i r="1">
      <x v="163"/>
      <x v="457"/>
    </i>
    <i r="1">
      <x v="164"/>
      <x v="457"/>
    </i>
    <i t="default">
      <x v="4"/>
    </i>
    <i>
      <x v="5"/>
      <x v="171"/>
      <x v="457"/>
    </i>
    <i r="1">
      <x v="177"/>
      <x v="457"/>
    </i>
    <i r="1">
      <x v="178"/>
      <x v="457"/>
    </i>
    <i r="1">
      <x v="186"/>
      <x v="457"/>
    </i>
    <i t="default">
      <x v="5"/>
    </i>
    <i t="grand">
      <x/>
    </i>
  </rowItems>
  <colFields count="1">
    <field x="25"/>
  </colFields>
  <colItems count="5">
    <i>
      <x v="3"/>
    </i>
    <i>
      <x v="4"/>
    </i>
    <i>
      <x v="5"/>
    </i>
    <i>
      <x v="6"/>
    </i>
    <i t="grand">
      <x/>
    </i>
  </colItems>
  <pageFields count="2">
    <pageField fld="27" hier="-1"/>
    <pageField fld="20" hier="-1"/>
  </pageFields>
  <dataFields count="1">
    <dataField name="Suma de Facturado USD" fld="17" baseField="0" baseItem="0"/>
  </dataFields>
  <formats count="22">
    <format dxfId="32">
      <pivotArea outline="0" collapsedLevelsAreSubtotals="1" fieldPosition="0"/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type="origin" dataOnly="0" labelOnly="1" outline="0" fieldPosition="0"/>
    </format>
    <format dxfId="28">
      <pivotArea field="28" type="button" dataOnly="0" labelOnly="1" outline="0"/>
    </format>
    <format dxfId="27">
      <pivotArea type="topRight" dataOnly="0" labelOnly="1" outline="0" fieldPosition="0"/>
    </format>
    <format dxfId="26">
      <pivotArea field="2" type="button" dataOnly="0" labelOnly="1" outline="0" axis="axisRow" fieldPosition="1"/>
    </format>
    <format dxfId="25">
      <pivotArea dataOnly="0" labelOnly="1" fieldPosition="0">
        <references count="1">
          <reference field="2" count="40">
            <x v="6"/>
            <x v="9"/>
            <x v="10"/>
            <x v="11"/>
            <x v="12"/>
            <x v="14"/>
            <x v="15"/>
            <x v="17"/>
            <x v="18"/>
            <x v="23"/>
            <x v="27"/>
            <x v="29"/>
            <x v="33"/>
            <x v="34"/>
            <x v="35"/>
            <x v="36"/>
            <x v="38"/>
            <x v="42"/>
            <x v="44"/>
            <x v="57"/>
            <x v="58"/>
            <x v="63"/>
            <x v="68"/>
            <x v="69"/>
            <x v="71"/>
            <x v="80"/>
            <x v="82"/>
            <x v="90"/>
            <x v="95"/>
            <x v="96"/>
            <x v="101"/>
            <x v="102"/>
            <x v="104"/>
            <x v="109"/>
            <x v="113"/>
            <x v="118"/>
            <x v="119"/>
            <x v="127"/>
            <x v="128"/>
            <x v="129"/>
          </reference>
        </references>
      </pivotArea>
    </format>
    <format dxfId="24">
      <pivotArea dataOnly="0" labelOnly="1" grandRow="1" outline="0" fieldPosition="0"/>
    </format>
    <format dxfId="23">
      <pivotArea dataOnly="0" labelOnly="1" grandCol="1" outline="0" fieldPosition="0"/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type="origin" dataOnly="0" labelOnly="1" outline="0" fieldPosition="0"/>
    </format>
    <format dxfId="19">
      <pivotArea field="28" type="button" dataOnly="0" labelOnly="1" outline="0"/>
    </format>
    <format dxfId="18">
      <pivotArea type="topRight" dataOnly="0" labelOnly="1" outline="0" fieldPosition="0"/>
    </format>
    <format dxfId="17">
      <pivotArea field="2" type="button" dataOnly="0" labelOnly="1" outline="0" axis="axisRow" fieldPosition="1"/>
    </format>
    <format dxfId="16">
      <pivotArea dataOnly="0" labelOnly="1" fieldPosition="0">
        <references count="1">
          <reference field="2" count="40">
            <x v="6"/>
            <x v="9"/>
            <x v="10"/>
            <x v="11"/>
            <x v="12"/>
            <x v="14"/>
            <x v="15"/>
            <x v="17"/>
            <x v="18"/>
            <x v="23"/>
            <x v="27"/>
            <x v="29"/>
            <x v="33"/>
            <x v="34"/>
            <x v="35"/>
            <x v="36"/>
            <x v="38"/>
            <x v="42"/>
            <x v="44"/>
            <x v="57"/>
            <x v="58"/>
            <x v="63"/>
            <x v="68"/>
            <x v="69"/>
            <x v="71"/>
            <x v="80"/>
            <x v="82"/>
            <x v="90"/>
            <x v="95"/>
            <x v="96"/>
            <x v="101"/>
            <x v="102"/>
            <x v="104"/>
            <x v="109"/>
            <x v="113"/>
            <x v="118"/>
            <x v="119"/>
            <x v="127"/>
            <x v="128"/>
            <x v="129"/>
          </reference>
        </references>
      </pivotArea>
    </format>
    <format dxfId="15">
      <pivotArea dataOnly="0" labelOnly="1" grandRow="1" outline="0" fieldPosition="0"/>
    </format>
    <format dxfId="14">
      <pivotArea dataOnly="0" labelOnly="1" grandCol="1" outline="0" fieldPosition="0"/>
    </format>
    <format dxfId="13">
      <pivotArea outline="0" fieldPosition="0">
        <references count="4">
          <reference field="2" count="1" selected="0">
            <x v="184"/>
          </reference>
          <reference field="5" count="1" selected="0">
            <x v="2"/>
          </reference>
          <reference field="14" count="1" selected="0">
            <x v="492"/>
          </reference>
          <reference field="25" count="1" selected="0">
            <x v="4"/>
          </reference>
        </references>
      </pivotArea>
    </format>
    <format dxfId="12">
      <pivotArea outline="0" fieldPosition="0">
        <references count="4">
          <reference field="2" count="2" selected="0">
            <x v="144"/>
            <x v="166"/>
          </reference>
          <reference field="5" count="1" selected="0">
            <x v="2"/>
          </reference>
          <reference field="14" count="2" selected="0">
            <x v="493"/>
            <x v="499"/>
          </reference>
          <reference field="25" count="1" selected="0">
            <x v="5"/>
          </reference>
        </references>
      </pivotArea>
    </format>
    <format dxfId="11">
      <pivotArea outline="0" fieldPosition="0">
        <references count="4">
          <reference field="2" count="1" selected="0">
            <x v="145"/>
          </reference>
          <reference field="5" count="1" selected="0">
            <x v="3"/>
          </reference>
          <reference field="14" count="1" selected="0">
            <x v="502"/>
          </reference>
          <reference field="25" count="1" selected="0">
            <x v="5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aís" xr10:uid="{490179E5-D881-48C2-A935-9577283C1817}" sourceName="País">
  <extLst>
    <x:ext xmlns:x15="http://schemas.microsoft.com/office/spreadsheetml/2010/11/main" uri="{2F2917AC-EB37-4324-AD4E-5DD8C200BD13}">
      <x15:tableSlicerCache tableId="2" column="12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aís" xr10:uid="{9C4244EF-3563-4DE9-8F3E-7A80E25CCD13}" cache="SegmentaciónDeDatos_País" caption="País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0EDE53-6CEC-484E-BBBE-2269E73231F8}" name="Tabla13" displayName="Tabla13" ref="A1:V702" totalsRowCount="1" headerRowDxfId="246" dataDxfId="245" totalsRowDxfId="244">
  <autoFilter ref="A1:V701" xr:uid="{3C0EDE53-6CEC-484E-BBBE-2269E73231F8}">
    <filterColumn colId="5">
      <filters>
        <filter val="Rusia"/>
      </filters>
    </filterColumn>
  </autoFilter>
  <sortState xmlns:xlrd2="http://schemas.microsoft.com/office/spreadsheetml/2017/richdata2" ref="A17:V677">
    <sortCondition descending="1" ref="L1:L701"/>
  </sortState>
  <tableColumns count="22">
    <tableColumn id="21" xr3:uid="{24B4A6A9-1A83-441E-AE83-0B9E29BE6536}" name="N" dataDxfId="243" totalsRowDxfId="242"/>
    <tableColumn id="22" xr3:uid="{02274CC3-FE46-422D-A632-C1277BF29261}" name="Código" dataDxfId="241" totalsRowDxfId="240"/>
    <tableColumn id="20" xr3:uid="{101F84EB-DA45-47F8-B1A2-69644A4F59DC}" name="Nombre Teams" dataDxfId="239" totalsRowDxfId="238">
      <calculatedColumnFormula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calculatedColumnFormula>
    </tableColumn>
    <tableColumn id="1" xr3:uid="{46EB11BB-05D1-43C6-BB03-C08265E41C83}" name="Proyecto" totalsRowLabel="Total" dataDxfId="237" totalsRowDxfId="236"/>
    <tableColumn id="14" xr3:uid="{C45D4813-ED71-45FC-B624-890F4A8D4FF8}" name="Cliente" dataDxfId="235" totalsRowDxfId="234"/>
    <tableColumn id="12" xr3:uid="{E29096BC-CD6E-429E-875C-07F6A276B9AF}" name="País" dataDxfId="233" totalsRowDxfId="232"/>
    <tableColumn id="13" xr3:uid="{18794EC1-504E-46E7-BA1D-274FF8B161E1}" name="Año" dataDxfId="231" totalsRowDxfId="230"/>
    <tableColumn id="3" xr3:uid="{AB1E8517-2B41-4BAF-8CC3-9BA9846905D4}" name="Proyección" dataDxfId="229" totalsRowDxfId="228">
      <calculatedColumnFormula>+IF(Tabla13[[#This Row],[Proyectado USD]]&gt;0,1,-1)</calculatedColumnFormula>
    </tableColumn>
    <tableColumn id="2" xr3:uid="{73C17AC7-DD2E-40EA-BF10-E173C7384A3F}" name="Fecha Proyeccion" dataDxfId="227" totalsRowDxfId="226"/>
    <tableColumn id="4" xr3:uid="{3F50E481-2D95-43A1-B172-02A64D2127E9}" name="Proyectado USD" dataDxfId="225" totalsRowDxfId="224" dataCellStyle="Millares [0]" totalsRowCellStyle="Millares [0]"/>
    <tableColumn id="5" xr3:uid="{3683EC95-7804-46AF-8549-2F4A794CB5D8}" name="Emisión" dataDxfId="223" totalsRowDxfId="222">
      <calculatedColumnFormula>+IF(Tabla13[[#This Row],[Emitido USD]]&gt;0,1,-1)</calculatedColumnFormula>
    </tableColumn>
    <tableColumn id="16" xr3:uid="{DCE2419D-D68E-48DF-BFF2-333AAAA0ECF5}" name="Fecha Emisión" dataDxfId="221" totalsRowDxfId="220"/>
    <tableColumn id="19" xr3:uid="{371F292E-9601-4E13-BFE9-352659206349}" name="N°EDP" dataDxfId="219" totalsRowDxfId="218"/>
    <tableColumn id="6" xr3:uid="{C879F490-4D96-4B7D-9CEC-A891A872C38D}" name="Emitido USD" totalsRowFunction="custom" dataDxfId="217" totalsRowDxfId="216" dataCellStyle="Millares [0]" totalsRowCellStyle="Millares [0]">
      <totalsRowFormula>SUBTOTAL(9,N2:N701)</totalsRowFormula>
    </tableColumn>
    <tableColumn id="15" xr3:uid="{39E18C7F-2166-49C7-8388-ABC01E2132F2}" name="N° Factura" dataDxfId="215" totalsRowDxfId="214" dataCellStyle="Millares" totalsRowCellStyle="Millares"/>
    <tableColumn id="17" xr3:uid="{27713281-17B9-45A7-B6E8-66E359A94605}" name="Fecha Facturación" dataDxfId="213" totalsRowDxfId="212" dataCellStyle="Millares" totalsRowCellStyle="Millares"/>
    <tableColumn id="7" xr3:uid="{5E3317D6-78F2-4647-B49E-A1DDD784A429}" name="Facturación" dataDxfId="211" totalsRowDxfId="210">
      <calculatedColumnFormula>+IF(Tabla13[[#This Row],[Facturado USD]]&gt;0,1,-1)</calculatedColumnFormula>
    </tableColumn>
    <tableColumn id="8" xr3:uid="{BBF601EB-32F9-4DDA-BF4E-9A50A5DCE4BC}" name="Facturado USD" totalsRowFunction="custom" dataDxfId="209" totalsRowDxfId="208" dataCellStyle="Millares [0]" totalsRowCellStyle="Millares [0]">
      <totalsRowFormula>SUBTOTAL(9,R2:R701)</totalsRowFormula>
    </tableColumn>
    <tableColumn id="9" xr3:uid="{62880A90-9C80-45AD-9AF4-F214F503E5C1}" name="Pagado" dataDxfId="207" totalsRowDxfId="206">
      <calculatedColumnFormula>+IF(Tabla13[[#This Row],[Ingresado USD]]&gt;0,1,-1)</calculatedColumnFormula>
    </tableColumn>
    <tableColumn id="18" xr3:uid="{80411BF1-7242-4DE7-86FE-2200D88AFD27}" name="Fecha Ingreso" dataDxfId="205" totalsRowDxfId="204" dataCellStyle="Millares" totalsRowCellStyle="Millares"/>
    <tableColumn id="10" xr3:uid="{1BE44F98-39A7-4580-A338-4ED80B8CEAAE}" name="Ingresado USD" totalsRowFunction="custom" dataDxfId="203" totalsRowDxfId="202" dataCellStyle="Millares [0]" totalsRowCellStyle="Millares [0]">
      <totalsRowFormula>SUBTOTAL(9,U2:U701)</totalsRowFormula>
    </tableColumn>
    <tableColumn id="11" xr3:uid="{81F53D79-FD10-478E-BCBB-AE29BAF8EB99}" name="Observaciones " totalsRowFunction="count" dataDxfId="201" totalsRowDxfId="20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87" dT="2025-07-21T22:26:25.91" personId="{643E9037-7099-4767-AC42-CD65B30C2AFA}" id="{38D936CF-C518-43A1-A3CF-273F3C754A57}">
    <text>Antes 23.599</text>
  </threadedComment>
  <threadedComment ref="N88" dT="2025-07-21T22:26:47.80" personId="{643E9037-7099-4767-AC42-CD65B30C2AFA}" id="{D2ED7434-10C2-451B-AB49-068BAFB395E5}">
    <text>Antes 30.544</text>
  </threadedComment>
  <threadedComment ref="O142" dT="2025-12-10T12:55:35.72" personId="{F36D43BF-4784-48B5-957D-1737756D9FC1}" id="{BE6F4F1D-5246-40FF-B6A5-ACE50E71FE5C}">
    <text>Reemplazan facturas anteriores dado que cliente indica rechazo de ellas.</text>
  </threadedComment>
  <threadedComment ref="N334" dT="2025-08-11T14:35:45.00" personId="{F36D43BF-4784-48B5-957D-1737756D9FC1}" id="{6C74435E-35A0-4846-A1B9-484A4E3E97D6}">
    <text>Monto no está en POM2024, es una emisión de USA, desconozco a que corresponde</text>
  </threadedComment>
  <threadedComment ref="D485" dT="2023-12-29T15:51:28.52" personId="{076E8368-F4D0-4787-B860-E3F8CDD961DB}" id="{B71ABC16-9B91-4FDD-981D-8FC059AA72E2}">
    <text>@Eduardo Cuevas @Jessica Rojas es el nuevoe proyecto, cambiar el nombre lo cual se le considerará en el teams</text>
    <mentions>
      <mention mentionpersonId="{1D654248-C289-4F3D-A117-2F43D7690862}" mentionId="{2116531A-2AB5-46D2-8A90-9866642FA29F}" startIndex="0" length="15"/>
      <mention mentionpersonId="{454A22F3-B1FE-4DC7-B4D9-FB60527F8755}" mentionId="{2CCD47F1-ADEA-4E7A-BA8F-AEDB810AD64E}" startIndex="16" length="14"/>
    </mentions>
  </threadedComment>
  <threadedComment ref="P553" dT="2025-08-20T20:33:49.55" personId="{F36D43BF-4784-48B5-957D-1737756D9FC1}" id="{E8686A6E-D6C7-457E-A3F4-485097C5379D}">
    <text>Facturacion real el 22/07 pero no se habia reportado con ese nivel de detalle. EC con licencia, CF de vacaciones.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2" dT="2025-10-13T18:26:27.76" personId="{F36D43BF-4784-48B5-957D-1737756D9FC1}" id="{73C94065-A3CC-42DE-BEE9-1BE60AF66707}">
    <text>No considera efecto BVI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A8420C1-BBA4-4F59-A8BC-435CF78C613B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17b7ffeb-b199-4dea-b3dc-ff9312ba027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microsoft.com/office/2017/10/relationships/threadedComment" Target="../threadedComments/threadedComment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microsoft.com/office/2007/relationships/slicer" Target="../slicers/slicer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A88F1-7A24-416C-8288-7048DBFF3795}">
  <sheetPr codeName="Hoja3">
    <tabColor rgb="FF002060"/>
  </sheetPr>
  <dimension ref="A1:V729"/>
  <sheetViews>
    <sheetView tabSelected="1" topLeftCell="F1" zoomScale="112" zoomScaleNormal="80" workbookViewId="0">
      <selection activeCell="J713" sqref="J713"/>
    </sheetView>
  </sheetViews>
  <sheetFormatPr baseColWidth="10" defaultColWidth="11.5" defaultRowHeight="15" outlineLevelCol="1" x14ac:dyDescent="0.2"/>
  <cols>
    <col min="1" max="1" width="6.6640625" style="3" bestFit="1" customWidth="1"/>
    <col min="2" max="2" width="24.5" style="3" bestFit="1" customWidth="1"/>
    <col min="3" max="3" width="43.6640625" style="3" bestFit="1" customWidth="1"/>
    <col min="4" max="4" width="44.5" style="3" customWidth="1" outlineLevel="1"/>
    <col min="5" max="5" width="18.5" style="5" customWidth="1" outlineLevel="1"/>
    <col min="6" max="6" width="8" style="3" customWidth="1" outlineLevel="1"/>
    <col min="7" max="7" width="9.5" style="3" customWidth="1" outlineLevel="1"/>
    <col min="8" max="8" width="16.5" style="3" customWidth="1" outlineLevel="1"/>
    <col min="9" max="9" width="14.33203125" style="3" customWidth="1" outlineLevel="1"/>
    <col min="10" max="10" width="14.5" style="3" customWidth="1" outlineLevel="1"/>
    <col min="11" max="11" width="8.33203125" style="3" customWidth="1" outlineLevel="1"/>
    <col min="12" max="12" width="14.5" style="3" customWidth="1"/>
    <col min="13" max="13" width="9.5" style="15" customWidth="1"/>
    <col min="14" max="14" width="15.6640625" style="22" customWidth="1"/>
    <col min="15" max="15" width="15" style="3" customWidth="1"/>
    <col min="16" max="16" width="14.33203125" style="3" customWidth="1"/>
    <col min="17" max="17" width="10.5" style="3" customWidth="1"/>
    <col min="18" max="18" width="12" style="22" customWidth="1"/>
    <col min="19" max="19" width="10.5" style="3" customWidth="1"/>
    <col min="20" max="20" width="14.33203125" style="3" customWidth="1"/>
    <col min="21" max="21" width="14" style="22" customWidth="1"/>
    <col min="22" max="22" width="36.6640625" style="3" customWidth="1"/>
    <col min="23" max="16384" width="11.5" style="3"/>
  </cols>
  <sheetData>
    <row r="1" spans="1:22" s="4" customFormat="1" ht="13" x14ac:dyDescent="0.2">
      <c r="A1" s="4" t="s">
        <v>48</v>
      </c>
      <c r="B1" s="4" t="s">
        <v>49</v>
      </c>
      <c r="C1" s="4" t="s">
        <v>232</v>
      </c>
      <c r="D1" s="4" t="s">
        <v>0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  <c r="J1" s="4" t="s">
        <v>55</v>
      </c>
      <c r="K1" s="4" t="s">
        <v>56</v>
      </c>
      <c r="L1" s="14" t="s">
        <v>57</v>
      </c>
      <c r="M1" s="4" t="s">
        <v>58</v>
      </c>
      <c r="N1" s="36" t="s">
        <v>59</v>
      </c>
      <c r="O1" s="4" t="s">
        <v>60</v>
      </c>
      <c r="P1" s="4" t="s">
        <v>61</v>
      </c>
      <c r="Q1" s="4" t="s">
        <v>62</v>
      </c>
      <c r="R1" s="36" t="s">
        <v>63</v>
      </c>
      <c r="S1" s="4" t="s">
        <v>64</v>
      </c>
      <c r="T1" s="4" t="s">
        <v>65</v>
      </c>
      <c r="U1" s="36" t="s">
        <v>66</v>
      </c>
      <c r="V1" s="4" t="s">
        <v>67</v>
      </c>
    </row>
    <row r="2" spans="1:22" ht="12" hidden="1" x14ac:dyDescent="0.2">
      <c r="A2" s="3">
        <v>1</v>
      </c>
      <c r="C2" s="3" t="s">
        <v>579</v>
      </c>
      <c r="D2" s="3" t="s">
        <v>579</v>
      </c>
      <c r="E2" s="3" t="s">
        <v>808</v>
      </c>
      <c r="F2" s="3" t="s">
        <v>469</v>
      </c>
      <c r="G2" s="3">
        <v>2025</v>
      </c>
      <c r="H2" s="3">
        <f>+IF(Tabla13[[#This Row],[Proyectado USD]]&gt;0,1,-1)</f>
        <v>-1</v>
      </c>
      <c r="I2" s="15"/>
      <c r="J2" s="21"/>
      <c r="K2" s="3">
        <f>+IF(Tabla13[[#This Row],[Emitido USD]]&gt;0,1,-1)</f>
        <v>1</v>
      </c>
      <c r="L2" s="73">
        <v>45898</v>
      </c>
      <c r="M2" s="3">
        <v>1</v>
      </c>
      <c r="N2" s="22">
        <v>44465</v>
      </c>
      <c r="O2" s="6" t="s">
        <v>164</v>
      </c>
      <c r="P2" s="76">
        <v>45898</v>
      </c>
      <c r="Q2" s="3">
        <f>+IF(Tabla13[[#This Row],[Facturado USD]]&gt;0,1,-1)</f>
        <v>1</v>
      </c>
      <c r="R2" s="22">
        <v>44465</v>
      </c>
      <c r="S2" s="3">
        <f>+IF(Tabla13[[#This Row],[Ingresado USD]]&gt;0,1,-1)</f>
        <v>1</v>
      </c>
      <c r="T2" s="78">
        <v>45939</v>
      </c>
      <c r="U2" s="22">
        <v>44465</v>
      </c>
      <c r="V2" s="3" t="s">
        <v>578</v>
      </c>
    </row>
    <row r="3" spans="1:22" ht="12" hidden="1" x14ac:dyDescent="0.2">
      <c r="A3" s="3">
        <v>2</v>
      </c>
      <c r="B3" s="30" t="s">
        <v>108</v>
      </c>
      <c r="C3" s="30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Actualización Lom Raura</v>
      </c>
      <c r="D3" s="30" t="s">
        <v>2</v>
      </c>
      <c r="E3" s="30" t="s">
        <v>317</v>
      </c>
      <c r="F3" s="30" t="s">
        <v>318</v>
      </c>
      <c r="G3" s="30">
        <v>2023</v>
      </c>
      <c r="H3" s="30">
        <f>+IF(Tabla13[[#This Row],[Proyectado USD]]&gt;0,1,-1)</f>
        <v>1</v>
      </c>
      <c r="I3" s="33">
        <v>45170</v>
      </c>
      <c r="J3" s="35">
        <v>165237</v>
      </c>
      <c r="K3" s="30">
        <f>+IF(Tabla13[[#This Row],[Emitido USD]]&gt;0,1,-1)</f>
        <v>1</v>
      </c>
      <c r="L3" s="74">
        <v>45194</v>
      </c>
      <c r="M3" s="30">
        <v>1</v>
      </c>
      <c r="N3" s="35">
        <v>165237</v>
      </c>
      <c r="O3" s="44" t="s">
        <v>109</v>
      </c>
      <c r="P3" s="77">
        <v>45222</v>
      </c>
      <c r="Q3" s="30">
        <f>+IF(Tabla13[[#This Row],[Facturado USD]]&gt;0,1,-1)</f>
        <v>1</v>
      </c>
      <c r="R3" s="35">
        <v>165237</v>
      </c>
      <c r="S3" s="3">
        <f>+IF(Tabla13[[#This Row],[Ingresado USD]]&gt;0,1,-1)</f>
        <v>1</v>
      </c>
      <c r="T3" s="81">
        <v>45231</v>
      </c>
      <c r="U3" s="35">
        <v>165194.82999999999</v>
      </c>
      <c r="V3" s="30" t="s">
        <v>319</v>
      </c>
    </row>
    <row r="4" spans="1:22" ht="12" hidden="1" x14ac:dyDescent="0.2">
      <c r="A4" s="3">
        <v>3</v>
      </c>
      <c r="B4" s="3" t="s">
        <v>73</v>
      </c>
      <c r="C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Adrianita -Raúl</v>
      </c>
      <c r="D4" s="3" t="s">
        <v>1</v>
      </c>
      <c r="E4" s="3" t="s">
        <v>250</v>
      </c>
      <c r="F4" s="3" t="s">
        <v>251</v>
      </c>
      <c r="G4" s="3">
        <v>2023</v>
      </c>
      <c r="H4" s="3">
        <f>+IF(Tabla13[[#This Row],[Proyectado USD]]&gt;0,1,-1)</f>
        <v>-1</v>
      </c>
      <c r="I4" s="15"/>
      <c r="J4" s="21"/>
      <c r="K4" s="3">
        <f>+IF(Tabla13[[#This Row],[Emitido USD]]&gt;0,1,-1)</f>
        <v>1</v>
      </c>
      <c r="L4" s="73">
        <v>44916</v>
      </c>
      <c r="M4" s="3">
        <v>1</v>
      </c>
      <c r="N4" s="22">
        <v>48961.63</v>
      </c>
      <c r="O4" s="6">
        <v>42</v>
      </c>
      <c r="P4" s="76">
        <v>44936</v>
      </c>
      <c r="Q4" s="3">
        <f>+IF(Tabla13[[#This Row],[Facturado USD]]&gt;0,1,-1)</f>
        <v>1</v>
      </c>
      <c r="R4" s="22">
        <v>48961.63</v>
      </c>
      <c r="S4" s="3">
        <f>+IF(Tabla13[[#This Row],[Ingresado USD]]&gt;0,1,-1)</f>
        <v>1</v>
      </c>
      <c r="T4" s="78">
        <v>44951</v>
      </c>
      <c r="U4" s="22">
        <v>46513.548499999997</v>
      </c>
    </row>
    <row r="5" spans="1:22" ht="12" hidden="1" x14ac:dyDescent="0.2">
      <c r="A5" s="3">
        <v>4</v>
      </c>
      <c r="B5" s="3" t="s">
        <v>73</v>
      </c>
      <c r="C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Adrianita -Raúl</v>
      </c>
      <c r="D5" s="3" t="s">
        <v>1</v>
      </c>
      <c r="E5" s="3" t="s">
        <v>250</v>
      </c>
      <c r="F5" s="3" t="s">
        <v>251</v>
      </c>
      <c r="G5" s="3">
        <v>2023</v>
      </c>
      <c r="H5" s="3">
        <f>+IF(Tabla13[[#This Row],[Proyectado USD]]&gt;0,1,-1)</f>
        <v>-1</v>
      </c>
      <c r="I5" s="15"/>
      <c r="J5" s="21"/>
      <c r="K5" s="3">
        <f>+IF(Tabla13[[#This Row],[Emitido USD]]&gt;0,1,-1)</f>
        <v>1</v>
      </c>
      <c r="L5" s="73">
        <v>44916</v>
      </c>
      <c r="M5" s="3">
        <v>1</v>
      </c>
      <c r="N5" s="37">
        <v>2880.1731874999996</v>
      </c>
      <c r="O5" s="6">
        <v>47</v>
      </c>
      <c r="P5" s="76">
        <v>44980</v>
      </c>
      <c r="Q5" s="3">
        <f>+IF(Tabla13[[#This Row],[Facturado USD]]&gt;0,1,-1)</f>
        <v>1</v>
      </c>
      <c r="R5" s="22">
        <v>2880.1731874999996</v>
      </c>
      <c r="S5" s="3">
        <f>+IF(Tabla13[[#This Row],[Ingresado USD]]&gt;0,1,-1)</f>
        <v>1</v>
      </c>
      <c r="T5" s="78">
        <v>44986</v>
      </c>
      <c r="U5" s="22">
        <v>2736.1645281249994</v>
      </c>
    </row>
    <row r="6" spans="1:22" ht="12" hidden="1" x14ac:dyDescent="0.2">
      <c r="A6" s="3">
        <v>5</v>
      </c>
      <c r="B6" s="3" t="s">
        <v>73</v>
      </c>
      <c r="C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Adrianita -Raúl</v>
      </c>
      <c r="D6" s="3" t="s">
        <v>1</v>
      </c>
      <c r="E6" s="3" t="s">
        <v>250</v>
      </c>
      <c r="F6" s="3" t="s">
        <v>251</v>
      </c>
      <c r="G6" s="3">
        <v>2023</v>
      </c>
      <c r="H6" s="3">
        <f>+IF(Tabla13[[#This Row],[Proyectado USD]]&gt;0,1,-1)</f>
        <v>-1</v>
      </c>
      <c r="I6" s="15"/>
      <c r="J6" s="21"/>
      <c r="K6" s="3">
        <f>+IF(Tabla13[[#This Row],[Emitido USD]]&gt;0,1,-1)</f>
        <v>1</v>
      </c>
      <c r="L6" s="73">
        <v>44978</v>
      </c>
      <c r="M6" s="3">
        <v>2</v>
      </c>
      <c r="N6" s="22">
        <v>35461.962500000001</v>
      </c>
      <c r="O6" s="6">
        <v>54</v>
      </c>
      <c r="P6" s="76">
        <v>44992</v>
      </c>
      <c r="Q6" s="3">
        <f>+IF(Tabla13[[#This Row],[Facturado USD]]&gt;0,1,-1)</f>
        <v>1</v>
      </c>
      <c r="R6" s="22">
        <v>35461.962500000001</v>
      </c>
      <c r="S6" s="3">
        <f>+IF(Tabla13[[#This Row],[Ingresado USD]]&gt;0,1,-1)</f>
        <v>1</v>
      </c>
      <c r="T6" s="78">
        <v>45000</v>
      </c>
      <c r="U6" s="22">
        <v>33688.864374999997</v>
      </c>
    </row>
    <row r="7" spans="1:22" ht="12" hidden="1" x14ac:dyDescent="0.2">
      <c r="A7" s="3">
        <v>6</v>
      </c>
      <c r="B7" s="3" t="s">
        <v>73</v>
      </c>
      <c r="C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Adrianita -Raúl</v>
      </c>
      <c r="D7" s="3" t="s">
        <v>1</v>
      </c>
      <c r="E7" s="3" t="s">
        <v>250</v>
      </c>
      <c r="F7" s="3" t="s">
        <v>251</v>
      </c>
      <c r="G7" s="3">
        <v>2023</v>
      </c>
      <c r="H7" s="3">
        <f>+IF(Tabla13[[#This Row],[Proyectado USD]]&gt;0,1,-1)</f>
        <v>-1</v>
      </c>
      <c r="I7" s="15"/>
      <c r="J7" s="21"/>
      <c r="K7" s="3">
        <f>+IF(Tabla13[[#This Row],[Emitido USD]]&gt;0,1,-1)</f>
        <v>1</v>
      </c>
      <c r="L7" s="73">
        <v>45006</v>
      </c>
      <c r="M7" s="3">
        <v>3</v>
      </c>
      <c r="N7" s="22">
        <v>20262.080000000002</v>
      </c>
      <c r="O7" s="6">
        <v>59</v>
      </c>
      <c r="P7" s="76">
        <v>45021</v>
      </c>
      <c r="Q7" s="3">
        <f>+IF(Tabla13[[#This Row],[Facturado USD]]&gt;0,1,-1)</f>
        <v>1</v>
      </c>
      <c r="R7" s="22">
        <v>20262.080000000002</v>
      </c>
      <c r="S7" s="3">
        <f>+IF(Tabla13[[#This Row],[Ingresado USD]]&gt;0,1,-1)</f>
        <v>1</v>
      </c>
      <c r="T7" s="78">
        <v>45037</v>
      </c>
      <c r="U7" s="22">
        <v>19248.976000000002</v>
      </c>
    </row>
    <row r="8" spans="1:22" ht="12" hidden="1" x14ac:dyDescent="0.2">
      <c r="A8" s="3">
        <v>7</v>
      </c>
      <c r="B8" s="3" t="s">
        <v>73</v>
      </c>
      <c r="C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Adrianita -Raúl</v>
      </c>
      <c r="D8" s="3" t="s">
        <v>1</v>
      </c>
      <c r="E8" s="3" t="s">
        <v>250</v>
      </c>
      <c r="F8" s="3" t="s">
        <v>251</v>
      </c>
      <c r="G8" s="3">
        <v>2023</v>
      </c>
      <c r="H8" s="3">
        <f>+IF(Tabla13[[#This Row],[Proyectado USD]]&gt;0,1,-1)</f>
        <v>-1</v>
      </c>
      <c r="I8" s="15"/>
      <c r="J8" s="21"/>
      <c r="K8" s="3">
        <f>+IF(Tabla13[[#This Row],[Emitido USD]]&gt;0,1,-1)</f>
        <v>1</v>
      </c>
      <c r="L8" s="73">
        <v>45037</v>
      </c>
      <c r="M8" s="3">
        <v>4</v>
      </c>
      <c r="N8" s="22">
        <v>41629</v>
      </c>
      <c r="O8" s="6">
        <v>74</v>
      </c>
      <c r="P8" s="76">
        <v>45077</v>
      </c>
      <c r="Q8" s="3">
        <f>+IF(Tabla13[[#This Row],[Facturado USD]]&gt;0,1,-1)</f>
        <v>1</v>
      </c>
      <c r="R8" s="22">
        <v>41719.32</v>
      </c>
      <c r="S8" s="3">
        <f>+IF(Tabla13[[#This Row],[Ingresado USD]]&gt;0,1,-1)</f>
        <v>1</v>
      </c>
      <c r="T8" s="76">
        <v>45091</v>
      </c>
      <c r="U8" s="22">
        <v>39633.353999999999</v>
      </c>
    </row>
    <row r="9" spans="1:22" ht="12" hidden="1" x14ac:dyDescent="0.2">
      <c r="A9" s="3">
        <v>8</v>
      </c>
      <c r="B9" s="3" t="s">
        <v>73</v>
      </c>
      <c r="C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Adrianita -Raúl</v>
      </c>
      <c r="D9" s="3" t="s">
        <v>1</v>
      </c>
      <c r="E9" s="3" t="s">
        <v>250</v>
      </c>
      <c r="F9" s="3" t="s">
        <v>251</v>
      </c>
      <c r="G9" s="3">
        <v>2023</v>
      </c>
      <c r="H9" s="3">
        <f>+IF(Tabla13[[#This Row],[Proyectado USD]]&gt;0,1,-1)</f>
        <v>-1</v>
      </c>
      <c r="I9" s="15"/>
      <c r="J9" s="21"/>
      <c r="K9" s="3">
        <f>+IF(Tabla13[[#This Row],[Emitido USD]]&gt;0,1,-1)</f>
        <v>1</v>
      </c>
      <c r="L9" s="73">
        <v>45067</v>
      </c>
      <c r="M9" s="3">
        <v>5</v>
      </c>
      <c r="N9" s="22">
        <v>29206.65</v>
      </c>
      <c r="O9" s="6">
        <v>76</v>
      </c>
      <c r="P9" s="76">
        <v>45077</v>
      </c>
      <c r="Q9" s="3">
        <f>+IF(Tabla13[[#This Row],[Facturado USD]]&gt;0,1,-1)</f>
        <v>1</v>
      </c>
      <c r="R9" s="22">
        <v>29206.65</v>
      </c>
      <c r="S9" s="3">
        <f>+IF(Tabla13[[#This Row],[Ingresado USD]]&gt;0,1,-1)</f>
        <v>1</v>
      </c>
      <c r="T9" s="76">
        <v>45091</v>
      </c>
      <c r="U9" s="22">
        <v>27746.317500000001</v>
      </c>
      <c r="V9" s="3" t="s">
        <v>74</v>
      </c>
    </row>
    <row r="10" spans="1:22" ht="12" hidden="1" x14ac:dyDescent="0.2">
      <c r="A10" s="3">
        <v>9</v>
      </c>
      <c r="B10" s="3" t="s">
        <v>73</v>
      </c>
      <c r="C1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Adrianita -Raúl</v>
      </c>
      <c r="D10" s="3" t="s">
        <v>1</v>
      </c>
      <c r="E10" s="3" t="s">
        <v>250</v>
      </c>
      <c r="F10" s="3" t="s">
        <v>251</v>
      </c>
      <c r="G10" s="3">
        <v>2023</v>
      </c>
      <c r="H10" s="3">
        <f>+IF(Tabla13[[#This Row],[Proyectado USD]]&gt;0,1,-1)</f>
        <v>-1</v>
      </c>
      <c r="I10" s="15"/>
      <c r="J10" s="21"/>
      <c r="K10" s="3">
        <f>+IF(Tabla13[[#This Row],[Emitido USD]]&gt;0,1,-1)</f>
        <v>1</v>
      </c>
      <c r="L10" s="73">
        <v>45098</v>
      </c>
      <c r="M10" s="3">
        <v>6</v>
      </c>
      <c r="N10" s="22">
        <v>24240</v>
      </c>
      <c r="O10" s="6">
        <v>88</v>
      </c>
      <c r="P10" s="76">
        <v>45112</v>
      </c>
      <c r="Q10" s="3">
        <f>+IF(Tabla13[[#This Row],[Facturado USD]]&gt;0,1,-1)</f>
        <v>1</v>
      </c>
      <c r="R10" s="22">
        <v>24240</v>
      </c>
      <c r="S10" s="3">
        <f>+IF(Tabla13[[#This Row],[Ingresado USD]]&gt;0,1,-1)</f>
        <v>1</v>
      </c>
      <c r="T10" s="78">
        <v>45128</v>
      </c>
      <c r="U10" s="22">
        <v>23028</v>
      </c>
    </row>
    <row r="11" spans="1:22" ht="12" hidden="1" x14ac:dyDescent="0.2">
      <c r="A11" s="3">
        <v>10</v>
      </c>
      <c r="B11" s="3" t="s">
        <v>73</v>
      </c>
      <c r="C1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Adrianita -Raúl</v>
      </c>
      <c r="D11" s="3" t="s">
        <v>1</v>
      </c>
      <c r="E11" s="3" t="s">
        <v>250</v>
      </c>
      <c r="F11" s="3" t="s">
        <v>251</v>
      </c>
      <c r="G11" s="3">
        <v>2023</v>
      </c>
      <c r="H11" s="3">
        <f>+IF(Tabla13[[#This Row],[Proyectado USD]]&gt;0,1,-1)</f>
        <v>-1</v>
      </c>
      <c r="I11" s="15"/>
      <c r="J11" s="21"/>
      <c r="K11" s="3">
        <f>+IF(Tabla13[[#This Row],[Emitido USD]]&gt;0,1,-1)</f>
        <v>1</v>
      </c>
      <c r="L11" s="73">
        <v>45134</v>
      </c>
      <c r="M11" s="3">
        <v>7</v>
      </c>
      <c r="N11" s="22">
        <v>10588.84</v>
      </c>
      <c r="O11" s="6">
        <v>98</v>
      </c>
      <c r="P11" s="76">
        <v>45142</v>
      </c>
      <c r="Q11" s="3">
        <f>+IF(Tabla13[[#This Row],[Facturado USD]]&gt;0,1,-1)</f>
        <v>1</v>
      </c>
      <c r="R11" s="22">
        <v>10589</v>
      </c>
      <c r="S11" s="3">
        <f>+IF(Tabla13[[#This Row],[Ingresado USD]]&gt;0,1,-1)</f>
        <v>1</v>
      </c>
      <c r="T11" s="78">
        <v>45170</v>
      </c>
      <c r="U11" s="22">
        <v>10059.549999999999</v>
      </c>
    </row>
    <row r="12" spans="1:22" ht="12" hidden="1" x14ac:dyDescent="0.2">
      <c r="A12" s="3">
        <v>11</v>
      </c>
      <c r="B12" s="3" t="s">
        <v>73</v>
      </c>
      <c r="C1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Adrianita -Raúl</v>
      </c>
      <c r="D12" s="3" t="s">
        <v>1</v>
      </c>
      <c r="E12" s="3" t="s">
        <v>250</v>
      </c>
      <c r="F12" s="3" t="s">
        <v>251</v>
      </c>
      <c r="G12" s="3">
        <v>2023</v>
      </c>
      <c r="H12" s="3">
        <f>+IF(Tabla13[[#This Row],[Proyectado USD]]&gt;0,1,-1)</f>
        <v>1</v>
      </c>
      <c r="I12" s="15">
        <v>45170</v>
      </c>
      <c r="J12" s="21">
        <v>1136</v>
      </c>
      <c r="K12" s="3">
        <f>+IF(Tabla13[[#This Row],[Emitido USD]]&gt;0,1,-1)</f>
        <v>1</v>
      </c>
      <c r="L12" s="73">
        <v>45194</v>
      </c>
      <c r="M12" s="3">
        <v>8</v>
      </c>
      <c r="N12" s="22">
        <v>274</v>
      </c>
      <c r="O12" s="6">
        <v>120</v>
      </c>
      <c r="P12" s="76">
        <v>45217</v>
      </c>
      <c r="Q12" s="3">
        <f>+IF(Tabla13[[#This Row],[Facturado USD]]&gt;0,1,-1)</f>
        <v>1</v>
      </c>
      <c r="R12" s="22">
        <v>274</v>
      </c>
      <c r="S12" s="3">
        <f>+IF(Tabla13[[#This Row],[Ingresado USD]]&gt;0,1,-1)</f>
        <v>1</v>
      </c>
      <c r="T12" s="78">
        <v>45232</v>
      </c>
      <c r="U12" s="22">
        <v>260.3</v>
      </c>
    </row>
    <row r="13" spans="1:22" ht="12" hidden="1" x14ac:dyDescent="0.2">
      <c r="A13" s="3">
        <v>12</v>
      </c>
      <c r="B13" s="3" t="s">
        <v>73</v>
      </c>
      <c r="C1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Adrianita -Raúl</v>
      </c>
      <c r="D13" s="3" t="s">
        <v>1</v>
      </c>
      <c r="E13" s="3" t="s">
        <v>250</v>
      </c>
      <c r="F13" s="3" t="s">
        <v>251</v>
      </c>
      <c r="G13" s="3">
        <v>2023</v>
      </c>
      <c r="H13" s="3">
        <f>+IF(Tabla13[[#This Row],[Proyectado USD]]&gt;0,1,-1)</f>
        <v>1</v>
      </c>
      <c r="I13" s="15">
        <v>45200</v>
      </c>
      <c r="J13" s="21">
        <v>51143</v>
      </c>
      <c r="K13" s="3">
        <f>+IF(Tabla13[[#This Row],[Emitido USD]]&gt;0,1,-1)</f>
        <v>1</v>
      </c>
      <c r="L13" s="73">
        <v>45222</v>
      </c>
      <c r="M13" s="3">
        <v>9</v>
      </c>
      <c r="N13" s="38">
        <v>51143</v>
      </c>
      <c r="O13" s="6">
        <v>123</v>
      </c>
      <c r="P13" s="76">
        <v>45237</v>
      </c>
      <c r="Q13" s="3">
        <f>+IF(Tabla13[[#This Row],[Facturado USD]]&gt;0,1,-1)</f>
        <v>1</v>
      </c>
      <c r="R13" s="22">
        <f>Tabla13[[#This Row],[Emitido USD]]</f>
        <v>51143</v>
      </c>
      <c r="S13" s="3">
        <f>+IF(Tabla13[[#This Row],[Ingresado USD]]&gt;0,1,-1)</f>
        <v>1</v>
      </c>
      <c r="T13" s="78">
        <v>45247</v>
      </c>
      <c r="U13" s="22">
        <v>48585.85</v>
      </c>
    </row>
    <row r="14" spans="1:22" ht="12" hidden="1" x14ac:dyDescent="0.2">
      <c r="A14" s="3">
        <v>13</v>
      </c>
      <c r="B14" s="30" t="s">
        <v>461</v>
      </c>
      <c r="C14" s="30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AESA Rendimientos</v>
      </c>
      <c r="D14" s="30" t="s">
        <v>36</v>
      </c>
      <c r="E14" s="30" t="s">
        <v>317</v>
      </c>
      <c r="F14" s="30" t="s">
        <v>318</v>
      </c>
      <c r="G14" s="30">
        <v>2023</v>
      </c>
      <c r="H14" s="30">
        <f>+IF(Tabla13[[#This Row],[Proyectado USD]]&gt;0,1,-1)</f>
        <v>-1</v>
      </c>
      <c r="I14" s="33"/>
      <c r="J14" s="42"/>
      <c r="K14" s="30">
        <f>+IF(Tabla13[[#This Row],[Emitido USD]]&gt;0,1,-1)</f>
        <v>1</v>
      </c>
      <c r="L14" s="74">
        <v>44916</v>
      </c>
      <c r="M14" s="30">
        <v>1</v>
      </c>
      <c r="N14" s="35">
        <v>19250.8</v>
      </c>
      <c r="O14" s="44" t="s">
        <v>160</v>
      </c>
      <c r="P14" s="77">
        <v>45008</v>
      </c>
      <c r="Q14" s="30">
        <f>+IF(Tabla13[[#This Row],[Facturado USD]]&gt;0,1,-1)</f>
        <v>1</v>
      </c>
      <c r="R14" s="35">
        <v>19250.8</v>
      </c>
      <c r="S14" s="3">
        <f>+IF(Tabla13[[#This Row],[Ingresado USD]]&gt;0,1,-1)</f>
        <v>1</v>
      </c>
      <c r="T14" s="81">
        <v>44988</v>
      </c>
      <c r="U14" s="35">
        <v>19250.8</v>
      </c>
      <c r="V14" s="30"/>
    </row>
    <row r="15" spans="1:22" ht="12" hidden="1" x14ac:dyDescent="0.2">
      <c r="A15" s="3">
        <v>14</v>
      </c>
      <c r="B15" s="30" t="s">
        <v>461</v>
      </c>
      <c r="C15" s="30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AESA Rendimientos</v>
      </c>
      <c r="D15" s="30" t="s">
        <v>36</v>
      </c>
      <c r="E15" s="30" t="s">
        <v>317</v>
      </c>
      <c r="F15" s="30" t="s">
        <v>318</v>
      </c>
      <c r="G15" s="30">
        <v>2023</v>
      </c>
      <c r="H15" s="30">
        <f>+IF(Tabla13[[#This Row],[Proyectado USD]]&gt;0,1,-1)</f>
        <v>-1</v>
      </c>
      <c r="I15" s="33"/>
      <c r="J15" s="42"/>
      <c r="K15" s="30">
        <f>+IF(Tabla13[[#This Row],[Emitido USD]]&gt;0,1,-1)</f>
        <v>1</v>
      </c>
      <c r="L15" s="74">
        <v>45098</v>
      </c>
      <c r="M15" s="30">
        <v>2</v>
      </c>
      <c r="N15" s="35">
        <v>17907.507532000003</v>
      </c>
      <c r="O15" s="44" t="s">
        <v>161</v>
      </c>
      <c r="P15" s="77">
        <v>45223</v>
      </c>
      <c r="Q15" s="30">
        <f>+IF(Tabla13[[#This Row],[Facturado USD]]&gt;0,1,-1)</f>
        <v>1</v>
      </c>
      <c r="R15" s="35">
        <v>17907.507532000003</v>
      </c>
      <c r="S15" s="3">
        <f>+IF(Tabla13[[#This Row],[Ingresado USD]]&gt;0,1,-1)</f>
        <v>1</v>
      </c>
      <c r="T15" s="81">
        <v>45234</v>
      </c>
      <c r="U15" s="35">
        <v>17907.507532000003</v>
      </c>
      <c r="V15" s="47"/>
    </row>
    <row r="16" spans="1:22" ht="12" hidden="1" x14ac:dyDescent="0.2">
      <c r="A16" s="3">
        <v>15</v>
      </c>
      <c r="B16" s="30" t="s">
        <v>461</v>
      </c>
      <c r="C16" s="30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AESA Rendimientos</v>
      </c>
      <c r="D16" s="30" t="s">
        <v>36</v>
      </c>
      <c r="E16" s="30" t="s">
        <v>317</v>
      </c>
      <c r="F16" s="30" t="s">
        <v>318</v>
      </c>
      <c r="G16" s="30">
        <v>2023</v>
      </c>
      <c r="H16" s="30">
        <f>+IF(Tabla13[[#This Row],[Proyectado USD]]&gt;0,1,-1)</f>
        <v>-1</v>
      </c>
      <c r="I16" s="33"/>
      <c r="J16" s="42"/>
      <c r="K16" s="30">
        <f>+IF(Tabla13[[#This Row],[Emitido USD]]&gt;0,1,-1)</f>
        <v>1</v>
      </c>
      <c r="L16" s="74">
        <v>45098</v>
      </c>
      <c r="M16" s="30">
        <v>3</v>
      </c>
      <c r="N16" s="35">
        <v>8656.69</v>
      </c>
      <c r="O16" s="44" t="s">
        <v>162</v>
      </c>
      <c r="P16" s="77">
        <v>45134</v>
      </c>
      <c r="Q16" s="30">
        <f>+IF(Tabla13[[#This Row],[Facturado USD]]&gt;0,1,-1)</f>
        <v>1</v>
      </c>
      <c r="R16" s="35">
        <v>8656.69</v>
      </c>
      <c r="S16" s="3">
        <f>+IF(Tabla13[[#This Row],[Ingresado USD]]&gt;0,1,-1)</f>
        <v>1</v>
      </c>
      <c r="T16" s="81">
        <v>45141</v>
      </c>
      <c r="U16" s="35">
        <v>8656.69</v>
      </c>
      <c r="V16" s="47"/>
    </row>
    <row r="17" spans="1:22" ht="12" hidden="1" x14ac:dyDescent="0.2">
      <c r="A17" s="3">
        <v>315</v>
      </c>
      <c r="B17" s="3" t="s">
        <v>738</v>
      </c>
      <c r="C1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ERG_Parámetros estabilidad taludes</v>
      </c>
      <c r="D17" s="3" t="s">
        <v>723</v>
      </c>
      <c r="E17" s="3" t="s">
        <v>739</v>
      </c>
      <c r="F17" s="3" t="s">
        <v>251</v>
      </c>
      <c r="G17" s="3">
        <v>2026</v>
      </c>
      <c r="H17" s="3">
        <f>+IF(Tabla13[[#This Row],[Proyectado USD]]&gt;0,1,-1)</f>
        <v>-1</v>
      </c>
      <c r="I17" s="15"/>
      <c r="J17" s="21"/>
      <c r="K17" s="3">
        <f>+IF(Tabla13[[#This Row],[Emitido USD]]&gt;0,1,-1)</f>
        <v>1</v>
      </c>
      <c r="L17" s="73">
        <v>46172</v>
      </c>
      <c r="M17" s="3">
        <v>4</v>
      </c>
      <c r="N17" s="22">
        <v>32980</v>
      </c>
      <c r="O17" s="6" t="s">
        <v>69</v>
      </c>
      <c r="P17" s="76"/>
      <c r="Q17" s="3">
        <f>+IF(Tabla13[[#This Row],[Facturado USD]]&gt;0,1,-1)</f>
        <v>-1</v>
      </c>
      <c r="S17" s="3">
        <f>+IF(Tabla13[[#This Row],[Ingresado USD]]&gt;0,1,-1)</f>
        <v>-1</v>
      </c>
      <c r="T17" s="78"/>
    </row>
    <row r="18" spans="1:22" ht="12" hidden="1" x14ac:dyDescent="0.2">
      <c r="A18" s="3">
        <v>17</v>
      </c>
      <c r="B18" s="3" t="s">
        <v>75</v>
      </c>
      <c r="C1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Algarrobo</v>
      </c>
      <c r="D18" s="3" t="s">
        <v>3</v>
      </c>
      <c r="E18" s="3" t="s">
        <v>250</v>
      </c>
      <c r="F18" s="3" t="s">
        <v>251</v>
      </c>
      <c r="G18" s="3">
        <v>2023</v>
      </c>
      <c r="H18" s="3">
        <f>+IF(Tabla13[[#This Row],[Proyectado USD]]&gt;0,1,-1)</f>
        <v>-1</v>
      </c>
      <c r="I18" s="15"/>
      <c r="J18" s="21"/>
      <c r="K18" s="3">
        <f>+IF(Tabla13[[#This Row],[Emitido USD]]&gt;0,1,-1)</f>
        <v>1</v>
      </c>
      <c r="L18" s="73">
        <v>44916</v>
      </c>
      <c r="M18" s="3">
        <v>6</v>
      </c>
      <c r="N18" s="22">
        <v>46355</v>
      </c>
      <c r="O18" s="6">
        <v>39</v>
      </c>
      <c r="P18" s="76">
        <v>44931</v>
      </c>
      <c r="Q18" s="3">
        <f>+IF(Tabla13[[#This Row],[Facturado USD]]&gt;0,1,-1)</f>
        <v>1</v>
      </c>
      <c r="R18" s="22">
        <v>46355</v>
      </c>
      <c r="S18" s="3">
        <f>+IF(Tabla13[[#This Row],[Ingresado USD]]&gt;0,1,-1)</f>
        <v>1</v>
      </c>
      <c r="T18" s="78">
        <v>44958</v>
      </c>
      <c r="U18" s="22">
        <v>44037.25</v>
      </c>
    </row>
    <row r="19" spans="1:22" ht="12" hidden="1" x14ac:dyDescent="0.2">
      <c r="A19" s="3">
        <v>18</v>
      </c>
      <c r="B19" s="3" t="s">
        <v>75</v>
      </c>
      <c r="C1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Algarrobo</v>
      </c>
      <c r="D19" s="3" t="s">
        <v>3</v>
      </c>
      <c r="E19" s="3" t="s">
        <v>250</v>
      </c>
      <c r="F19" s="3" t="s">
        <v>251</v>
      </c>
      <c r="G19" s="3">
        <v>2023</v>
      </c>
      <c r="H19" s="3">
        <f>+IF(Tabla13[[#This Row],[Proyectado USD]]&gt;0,1,-1)</f>
        <v>-1</v>
      </c>
      <c r="I19" s="15"/>
      <c r="J19" s="21"/>
      <c r="K19" s="3">
        <f>+IF(Tabla13[[#This Row],[Emitido USD]]&gt;0,1,-1)</f>
        <v>1</v>
      </c>
      <c r="L19" s="73">
        <v>44947</v>
      </c>
      <c r="M19" s="3">
        <v>7</v>
      </c>
      <c r="N19" s="22">
        <v>115649.15012499999</v>
      </c>
      <c r="O19" s="6">
        <v>46</v>
      </c>
      <c r="P19" s="76">
        <v>44964</v>
      </c>
      <c r="Q19" s="3">
        <f>+IF(Tabla13[[#This Row],[Facturado USD]]&gt;0,1,-1)</f>
        <v>1</v>
      </c>
      <c r="R19" s="22">
        <v>115649.15012499999</v>
      </c>
      <c r="S19" s="3">
        <f>+IF(Tabla13[[#This Row],[Ingresado USD]]&gt;0,1,-1)</f>
        <v>1</v>
      </c>
      <c r="T19" s="78">
        <v>44972</v>
      </c>
      <c r="U19" s="22">
        <v>109866.69261874998</v>
      </c>
    </row>
    <row r="20" spans="1:22" ht="12" hidden="1" x14ac:dyDescent="0.2">
      <c r="A20" s="3">
        <v>19</v>
      </c>
      <c r="B20" s="3" t="s">
        <v>75</v>
      </c>
      <c r="C2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Algarrobo</v>
      </c>
      <c r="D20" s="3" t="s">
        <v>3</v>
      </c>
      <c r="E20" s="3" t="s">
        <v>250</v>
      </c>
      <c r="F20" s="3" t="s">
        <v>251</v>
      </c>
      <c r="G20" s="3">
        <v>2023</v>
      </c>
      <c r="H20" s="3">
        <f>+IF(Tabla13[[#This Row],[Proyectado USD]]&gt;0,1,-1)</f>
        <v>-1</v>
      </c>
      <c r="I20" s="15"/>
      <c r="J20" s="21"/>
      <c r="K20" s="3">
        <f>+IF(Tabla13[[#This Row],[Emitido USD]]&gt;0,1,-1)</f>
        <v>1</v>
      </c>
      <c r="L20" s="73">
        <v>44978</v>
      </c>
      <c r="M20" s="3">
        <v>8</v>
      </c>
      <c r="N20" s="22">
        <v>78464.052500000005</v>
      </c>
      <c r="O20" s="6">
        <v>57</v>
      </c>
      <c r="P20" s="76">
        <v>44994</v>
      </c>
      <c r="Q20" s="3">
        <f>+IF(Tabla13[[#This Row],[Facturado USD]]&gt;0,1,-1)</f>
        <v>1</v>
      </c>
      <c r="R20" s="22">
        <v>78464.052500000005</v>
      </c>
      <c r="S20" s="3">
        <f>+IF(Tabla13[[#This Row],[Ingresado USD]]&gt;0,1,-1)</f>
        <v>1</v>
      </c>
      <c r="T20" s="78">
        <v>45002</v>
      </c>
      <c r="U20" s="22">
        <v>74540.849875</v>
      </c>
    </row>
    <row r="21" spans="1:22" ht="12" hidden="1" x14ac:dyDescent="0.2">
      <c r="A21" s="3">
        <v>20</v>
      </c>
      <c r="B21" s="3" t="s">
        <v>75</v>
      </c>
      <c r="C2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Algarrobo</v>
      </c>
      <c r="D21" s="3" t="s">
        <v>3</v>
      </c>
      <c r="E21" s="3" t="s">
        <v>250</v>
      </c>
      <c r="F21" s="3" t="s">
        <v>251</v>
      </c>
      <c r="G21" s="3">
        <v>2023</v>
      </c>
      <c r="H21" s="3">
        <f>+IF(Tabla13[[#This Row],[Proyectado USD]]&gt;0,1,-1)</f>
        <v>-1</v>
      </c>
      <c r="I21" s="15"/>
      <c r="J21" s="21"/>
      <c r="K21" s="3">
        <f>+IF(Tabla13[[#This Row],[Emitido USD]]&gt;0,1,-1)</f>
        <v>1</v>
      </c>
      <c r="L21" s="73">
        <v>45006</v>
      </c>
      <c r="M21" s="3">
        <v>9</v>
      </c>
      <c r="N21" s="22">
        <v>33129.275000000001</v>
      </c>
      <c r="O21" s="6">
        <v>63</v>
      </c>
      <c r="P21" s="76">
        <v>45030</v>
      </c>
      <c r="Q21" s="3">
        <f>+IF(Tabla13[[#This Row],[Facturado USD]]&gt;0,1,-1)</f>
        <v>1</v>
      </c>
      <c r="R21" s="22">
        <v>33129.275000000001</v>
      </c>
      <c r="S21" s="3">
        <f>+IF(Tabla13[[#This Row],[Ingresado USD]]&gt;0,1,-1)</f>
        <v>1</v>
      </c>
      <c r="T21" s="78">
        <v>45042</v>
      </c>
      <c r="U21" s="22">
        <v>31472.811249999999</v>
      </c>
    </row>
    <row r="22" spans="1:22" ht="12" hidden="1" x14ac:dyDescent="0.2">
      <c r="A22" s="3">
        <v>21</v>
      </c>
      <c r="B22" s="3" t="s">
        <v>75</v>
      </c>
      <c r="C2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Algarrobo</v>
      </c>
      <c r="D22" s="3" t="s">
        <v>3</v>
      </c>
      <c r="E22" s="3" t="s">
        <v>250</v>
      </c>
      <c r="F22" s="3" t="s">
        <v>251</v>
      </c>
      <c r="G22" s="3">
        <v>2023</v>
      </c>
      <c r="H22" s="3">
        <f>+IF(Tabla13[[#This Row],[Proyectado USD]]&gt;0,1,-1)</f>
        <v>-1</v>
      </c>
      <c r="I22" s="15"/>
      <c r="J22" s="21"/>
      <c r="K22" s="3">
        <f>+IF(Tabla13[[#This Row],[Emitido USD]]&gt;0,1,-1)</f>
        <v>1</v>
      </c>
      <c r="L22" s="73">
        <v>45037</v>
      </c>
      <c r="M22" s="3">
        <v>10</v>
      </c>
      <c r="N22" s="22">
        <v>55089</v>
      </c>
      <c r="O22" s="6">
        <v>67</v>
      </c>
      <c r="P22" s="76">
        <v>45056</v>
      </c>
      <c r="Q22" s="3">
        <f>+IF(Tabla13[[#This Row],[Facturado USD]]&gt;0,1,-1)</f>
        <v>1</v>
      </c>
      <c r="R22" s="22">
        <v>55848.53</v>
      </c>
      <c r="S22" s="3">
        <f>+IF(Tabla13[[#This Row],[Ingresado USD]]&gt;0,1,-1)</f>
        <v>1</v>
      </c>
      <c r="T22" s="76">
        <v>45070</v>
      </c>
      <c r="U22" s="22">
        <v>53056.1</v>
      </c>
    </row>
    <row r="23" spans="1:22" ht="12" hidden="1" x14ac:dyDescent="0.2">
      <c r="A23" s="3">
        <v>22</v>
      </c>
      <c r="B23" s="3" t="s">
        <v>75</v>
      </c>
      <c r="C2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Algarrobo</v>
      </c>
      <c r="D23" s="3" t="s">
        <v>3</v>
      </c>
      <c r="E23" s="3" t="s">
        <v>250</v>
      </c>
      <c r="F23" s="3" t="s">
        <v>251</v>
      </c>
      <c r="G23" s="3">
        <v>2023</v>
      </c>
      <c r="H23" s="3">
        <f>+IF(Tabla13[[#This Row],[Proyectado USD]]&gt;0,1,-1)</f>
        <v>-1</v>
      </c>
      <c r="I23" s="15"/>
      <c r="J23" s="21"/>
      <c r="K23" s="3">
        <f>+IF(Tabla13[[#This Row],[Emitido USD]]&gt;0,1,-1)</f>
        <v>1</v>
      </c>
      <c r="L23" s="73">
        <v>45067</v>
      </c>
      <c r="M23" s="3">
        <v>11</v>
      </c>
      <c r="N23" s="22">
        <v>19271.57</v>
      </c>
      <c r="O23" s="6">
        <v>77</v>
      </c>
      <c r="P23" s="76">
        <v>45078</v>
      </c>
      <c r="Q23" s="3">
        <f>+IF(Tabla13[[#This Row],[Facturado USD]]&gt;0,1,-1)</f>
        <v>1</v>
      </c>
      <c r="R23" s="22">
        <v>19277</v>
      </c>
      <c r="S23" s="3">
        <f>+IF(Tabla13[[#This Row],[Ingresado USD]]&gt;0,1,-1)</f>
        <v>1</v>
      </c>
      <c r="T23" s="76">
        <v>45091</v>
      </c>
      <c r="U23" s="22">
        <v>18313.150000000001</v>
      </c>
      <c r="V23" s="3" t="s">
        <v>76</v>
      </c>
    </row>
    <row r="24" spans="1:22" ht="12" hidden="1" x14ac:dyDescent="0.2">
      <c r="A24" s="3">
        <v>23</v>
      </c>
      <c r="B24" s="3" t="s">
        <v>75</v>
      </c>
      <c r="C2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Algarrobo</v>
      </c>
      <c r="D24" s="3" t="s">
        <v>3</v>
      </c>
      <c r="E24" s="3" t="s">
        <v>250</v>
      </c>
      <c r="F24" s="3" t="s">
        <v>251</v>
      </c>
      <c r="G24" s="3">
        <v>2023</v>
      </c>
      <c r="H24" s="3">
        <f>+IF(Tabla13[[#This Row],[Proyectado USD]]&gt;0,1,-1)</f>
        <v>1</v>
      </c>
      <c r="I24" s="15">
        <v>45200</v>
      </c>
      <c r="J24" s="21">
        <v>266974</v>
      </c>
      <c r="K24" s="3">
        <f>+IF(Tabla13[[#This Row],[Emitido USD]]&gt;0,1,-1)</f>
        <v>1</v>
      </c>
      <c r="L24" s="73">
        <v>45222</v>
      </c>
      <c r="M24" s="3">
        <v>12</v>
      </c>
      <c r="N24" s="38">
        <v>58723</v>
      </c>
      <c r="O24" s="6">
        <v>126</v>
      </c>
      <c r="P24" s="76">
        <v>45244</v>
      </c>
      <c r="Q24" s="3">
        <f>+IF(Tabla13[[#This Row],[Facturado USD]]&gt;0,1,-1)</f>
        <v>1</v>
      </c>
      <c r="R24" s="22">
        <f>Tabla13[[#This Row],[Emitido USD]]</f>
        <v>58723</v>
      </c>
      <c r="S24" s="3">
        <f>+IF(Tabla13[[#This Row],[Ingresado USD]]&gt;0,1,-1)</f>
        <v>1</v>
      </c>
      <c r="T24" s="78">
        <v>45254</v>
      </c>
      <c r="U24" s="22">
        <v>55786.85</v>
      </c>
      <c r="V24" s="3" t="s">
        <v>77</v>
      </c>
    </row>
    <row r="25" spans="1:22" ht="12" hidden="1" x14ac:dyDescent="0.2">
      <c r="A25" s="3">
        <v>24</v>
      </c>
      <c r="B25" s="3" t="s">
        <v>75</v>
      </c>
      <c r="C2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Algarrobo</v>
      </c>
      <c r="D25" s="3" t="s">
        <v>3</v>
      </c>
      <c r="E25" s="3" t="s">
        <v>250</v>
      </c>
      <c r="F25" s="3" t="s">
        <v>251</v>
      </c>
      <c r="G25" s="3">
        <v>2023</v>
      </c>
      <c r="H25" s="3">
        <f>+IF(Tabla13[[#This Row],[Proyectado USD]]&gt;0,1,-1)</f>
        <v>1</v>
      </c>
      <c r="I25" s="15">
        <v>45231</v>
      </c>
      <c r="J25" s="21">
        <v>83300.391999999993</v>
      </c>
      <c r="K25" s="3">
        <f>+IF(Tabla13[[#This Row],[Emitido USD]]&gt;0,1,-1)</f>
        <v>1</v>
      </c>
      <c r="L25" s="73">
        <v>45250</v>
      </c>
      <c r="M25" s="3">
        <v>13</v>
      </c>
      <c r="N25" s="22">
        <v>64612</v>
      </c>
      <c r="O25" s="6">
        <v>129</v>
      </c>
      <c r="P25" s="76">
        <v>45267</v>
      </c>
      <c r="Q25" s="3">
        <f>+IF(Tabla13[[#This Row],[Facturado USD]]&gt;0,1,-1)</f>
        <v>1</v>
      </c>
      <c r="R25" s="22">
        <v>64612</v>
      </c>
      <c r="S25" s="3">
        <f>+IF(Tabla13[[#This Row],[Ingresado USD]]&gt;0,1,-1)</f>
        <v>1</v>
      </c>
      <c r="T25" s="78">
        <v>45280</v>
      </c>
      <c r="U25" s="22">
        <v>61381.399999999994</v>
      </c>
    </row>
    <row r="26" spans="1:22" ht="12" hidden="1" x14ac:dyDescent="0.2">
      <c r="A26" s="3">
        <v>25</v>
      </c>
      <c r="B26" s="3" t="s">
        <v>75</v>
      </c>
      <c r="C2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Algarrobo</v>
      </c>
      <c r="D26" s="3" t="s">
        <v>3</v>
      </c>
      <c r="E26" s="3" t="s">
        <v>250</v>
      </c>
      <c r="F26" s="3" t="s">
        <v>251</v>
      </c>
      <c r="G26" s="3">
        <v>2023</v>
      </c>
      <c r="H26" s="3">
        <f>+IF(Tabla13[[#This Row],[Proyectado USD]]&gt;0,1,-1)</f>
        <v>1</v>
      </c>
      <c r="I26" s="15">
        <v>45261</v>
      </c>
      <c r="J26" s="21">
        <v>57455.591999999997</v>
      </c>
      <c r="K26" s="3">
        <f>+IF(Tabla13[[#This Row],[Emitido USD]]&gt;0,1,-1)</f>
        <v>1</v>
      </c>
      <c r="L26" s="73">
        <v>45281</v>
      </c>
      <c r="M26" s="3">
        <v>14</v>
      </c>
      <c r="N26" s="22">
        <v>63352</v>
      </c>
      <c r="O26" s="6">
        <v>136</v>
      </c>
      <c r="P26" s="76">
        <v>45296</v>
      </c>
      <c r="Q26" s="3">
        <f>+IF(Tabla13[[#This Row],[Facturado USD]]&gt;0,1,-1)</f>
        <v>1</v>
      </c>
      <c r="R26" s="22">
        <v>63352</v>
      </c>
      <c r="S26" s="3">
        <f>+IF(Tabla13[[#This Row],[Ingresado USD]]&gt;0,1,-1)</f>
        <v>1</v>
      </c>
      <c r="T26" s="78">
        <v>45310</v>
      </c>
      <c r="U26" s="22">
        <v>60184.399999999994</v>
      </c>
    </row>
    <row r="27" spans="1:22" ht="12" hidden="1" x14ac:dyDescent="0.2">
      <c r="A27" s="3">
        <v>26</v>
      </c>
      <c r="B27" s="3" t="s">
        <v>75</v>
      </c>
      <c r="C2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Algarrobo</v>
      </c>
      <c r="D27" s="3" t="s">
        <v>3</v>
      </c>
      <c r="E27" s="3" t="s">
        <v>250</v>
      </c>
      <c r="F27" s="3" t="s">
        <v>251</v>
      </c>
      <c r="G27" s="3">
        <v>2024</v>
      </c>
      <c r="H27" s="3">
        <f>+IF(Tabla13[[#This Row],[Proyectado USD]]&gt;0,1,-1)</f>
        <v>-1</v>
      </c>
      <c r="I27" s="15">
        <v>45323</v>
      </c>
      <c r="J27" s="21">
        <v>0</v>
      </c>
      <c r="K27" s="3">
        <f>+IF(Tabla13[[#This Row],[Emitido USD]]&gt;0,1,-1)</f>
        <v>1</v>
      </c>
      <c r="L27" s="73">
        <v>45347</v>
      </c>
      <c r="M27" s="3">
        <v>15</v>
      </c>
      <c r="N27" s="22">
        <v>11925</v>
      </c>
      <c r="O27" s="6">
        <v>180</v>
      </c>
      <c r="P27" s="76">
        <v>45408</v>
      </c>
      <c r="Q27" s="3">
        <f>+IF(Tabla13[[#This Row],[Facturado USD]]&gt;0,1,-1)</f>
        <v>1</v>
      </c>
      <c r="R27" s="22">
        <v>11925</v>
      </c>
      <c r="S27" s="3">
        <f>+IF(Tabla13[[#This Row],[Ingresado USD]]&gt;0,1,-1)</f>
        <v>1</v>
      </c>
      <c r="T27" s="78">
        <v>45438</v>
      </c>
      <c r="U27" s="52">
        <v>11328.75</v>
      </c>
    </row>
    <row r="28" spans="1:22" ht="12" hidden="1" x14ac:dyDescent="0.2">
      <c r="A28" s="3">
        <v>27</v>
      </c>
      <c r="B28" s="3" t="s">
        <v>75</v>
      </c>
      <c r="C2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Algarrobo</v>
      </c>
      <c r="D28" s="3" t="s">
        <v>3</v>
      </c>
      <c r="E28" s="3" t="s">
        <v>250</v>
      </c>
      <c r="F28" s="3" t="s">
        <v>251</v>
      </c>
      <c r="G28" s="3">
        <v>2024</v>
      </c>
      <c r="H28" s="3">
        <f>+IF(Tabla13[[#This Row],[Proyectado USD]]&gt;0,1,-1)</f>
        <v>-1</v>
      </c>
      <c r="I28" s="15">
        <v>45383</v>
      </c>
      <c r="J28" s="21">
        <v>0</v>
      </c>
      <c r="K28" s="3">
        <f>+IF(Tabla13[[#This Row],[Emitido USD]]&gt;0,1,-1)</f>
        <v>1</v>
      </c>
      <c r="L28" s="73">
        <v>45407</v>
      </c>
      <c r="M28" s="3">
        <v>16</v>
      </c>
      <c r="N28" s="22">
        <v>37470</v>
      </c>
      <c r="O28" s="6">
        <v>198</v>
      </c>
      <c r="P28" s="76">
        <v>45497</v>
      </c>
      <c r="Q28" s="3">
        <f>+IF(Tabla13[[#This Row],[Facturado USD]]&gt;0,1,-1)</f>
        <v>1</v>
      </c>
      <c r="R28" s="22">
        <v>31084.113067635655</v>
      </c>
      <c r="S28" s="3">
        <f>+IF(Tabla13[[#This Row],[Ingresado USD]]&gt;0,1,-1)</f>
        <v>1</v>
      </c>
      <c r="T28" s="78">
        <v>45506</v>
      </c>
      <c r="U28" s="22">
        <f>31084*95%</f>
        <v>29529.8</v>
      </c>
    </row>
    <row r="29" spans="1:22" ht="12" hidden="1" x14ac:dyDescent="0.2">
      <c r="A29" s="3">
        <v>28</v>
      </c>
      <c r="B29" s="3" t="s">
        <v>75</v>
      </c>
      <c r="C2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Algarrobo</v>
      </c>
      <c r="D29" s="3" t="s">
        <v>3</v>
      </c>
      <c r="E29" s="3" t="s">
        <v>250</v>
      </c>
      <c r="F29" s="3" t="s">
        <v>251</v>
      </c>
      <c r="G29" s="3">
        <v>2024</v>
      </c>
      <c r="H29" s="3">
        <f>+IF(Tabla13[[#This Row],[Proyectado USD]]&gt;0,1,-1)</f>
        <v>-1</v>
      </c>
      <c r="I29" s="15"/>
      <c r="J29" s="21"/>
      <c r="K29" s="3">
        <f>+IF(Tabla13[[#This Row],[Emitido USD]]&gt;0,1,-1)</f>
        <v>1</v>
      </c>
      <c r="L29" s="73">
        <v>45562</v>
      </c>
      <c r="M29" s="3">
        <v>17</v>
      </c>
      <c r="N29" s="22">
        <v>24846</v>
      </c>
      <c r="O29" s="6">
        <v>233</v>
      </c>
      <c r="P29" s="76">
        <v>45604</v>
      </c>
      <c r="Q29" s="3">
        <f>+IF(Tabla13[[#This Row],[Facturado USD]]&gt;0,1,-1)</f>
        <v>1</v>
      </c>
      <c r="R29" s="22">
        <v>24846</v>
      </c>
      <c r="S29" s="3">
        <f>+IF(Tabla13[[#This Row],[Ingresado USD]]&gt;0,1,-1)</f>
        <v>1</v>
      </c>
      <c r="T29" s="78">
        <v>45616</v>
      </c>
      <c r="U29" s="22">
        <v>23603.699999999997</v>
      </c>
    </row>
    <row r="30" spans="1:22" ht="12" hidden="1" x14ac:dyDescent="0.2">
      <c r="A30" s="3">
        <v>29</v>
      </c>
      <c r="B30" s="3" t="s">
        <v>595</v>
      </c>
      <c r="C3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Alpamarca_Estudio de Estabilidad Tajo</v>
      </c>
      <c r="D30" s="3" t="s">
        <v>596</v>
      </c>
      <c r="E30" s="3" t="s">
        <v>597</v>
      </c>
      <c r="F30" s="3" t="s">
        <v>318</v>
      </c>
      <c r="G30" s="3">
        <v>2025</v>
      </c>
      <c r="H30" s="3">
        <f>+IF(Tabla13[[#This Row],[Proyectado USD]]&gt;0,1,-1)</f>
        <v>-1</v>
      </c>
      <c r="I30" s="15"/>
      <c r="J30" s="21"/>
      <c r="K30" s="3">
        <f>+IF(Tabla13[[#This Row],[Emitido USD]]&gt;0,1,-1)</f>
        <v>1</v>
      </c>
      <c r="L30" s="73">
        <v>45930</v>
      </c>
      <c r="M30" s="3">
        <v>1</v>
      </c>
      <c r="N30" s="22">
        <v>24440</v>
      </c>
      <c r="O30" s="6" t="s">
        <v>644</v>
      </c>
      <c r="P30" s="76">
        <v>45958</v>
      </c>
      <c r="Q30" s="3">
        <f>+IF(Tabla13[[#This Row],[Facturado USD]]&gt;0,1,-1)</f>
        <v>1</v>
      </c>
      <c r="R30" s="22">
        <v>24440</v>
      </c>
      <c r="S30" s="3">
        <f>+IF(Tabla13[[#This Row],[Ingresado USD]]&gt;0,1,-1)</f>
        <v>1</v>
      </c>
      <c r="T30" s="78">
        <v>45979</v>
      </c>
      <c r="U30" s="22">
        <v>22807</v>
      </c>
    </row>
    <row r="31" spans="1:22" ht="12" hidden="1" x14ac:dyDescent="0.2">
      <c r="A31" s="3">
        <v>30</v>
      </c>
      <c r="B31" s="3" t="s">
        <v>561</v>
      </c>
      <c r="C3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Alpayana_Estudio de Sismicidad</v>
      </c>
      <c r="D31" s="3" t="s">
        <v>562</v>
      </c>
      <c r="E31" s="3" t="s">
        <v>563</v>
      </c>
      <c r="F31" s="3" t="s">
        <v>318</v>
      </c>
      <c r="G31" s="3">
        <v>2025</v>
      </c>
      <c r="H31" s="3">
        <f>+IF(Tabla13[[#This Row],[Proyectado USD]]&gt;0,1,-1)</f>
        <v>-1</v>
      </c>
      <c r="I31" s="15"/>
      <c r="J31" s="21"/>
      <c r="K31" s="3">
        <f>+IF(Tabla13[[#This Row],[Emitido USD]]&gt;0,1,-1)</f>
        <v>1</v>
      </c>
      <c r="L31" s="73">
        <v>45863</v>
      </c>
      <c r="M31" s="3">
        <v>1</v>
      </c>
      <c r="N31" s="22">
        <v>14455</v>
      </c>
      <c r="O31" s="6" t="s">
        <v>659</v>
      </c>
      <c r="P31" s="76">
        <v>45978</v>
      </c>
      <c r="Q31" s="3">
        <f>+IF(Tabla13[[#This Row],[Facturado USD]]&gt;0,1,-1)</f>
        <v>1</v>
      </c>
      <c r="R31" s="22">
        <v>14634</v>
      </c>
      <c r="S31" s="3">
        <f>+IF(Tabla13[[#This Row],[Ingresado USD]]&gt;0,1,-1)</f>
        <v>1</v>
      </c>
      <c r="T31" s="78">
        <v>45996</v>
      </c>
      <c r="U31" s="22">
        <v>14336</v>
      </c>
    </row>
    <row r="32" spans="1:22" ht="12" hidden="1" x14ac:dyDescent="0.2">
      <c r="A32" s="3">
        <v>31</v>
      </c>
      <c r="B32" s="3" t="s">
        <v>561</v>
      </c>
      <c r="C3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Alpayana_Estudio de Sismicidad</v>
      </c>
      <c r="D32" s="3" t="s">
        <v>562</v>
      </c>
      <c r="E32" s="3" t="s">
        <v>563</v>
      </c>
      <c r="F32" s="3" t="s">
        <v>318</v>
      </c>
      <c r="G32" s="3">
        <v>2025</v>
      </c>
      <c r="H32" s="3">
        <f>+IF(Tabla13[[#This Row],[Proyectado USD]]&gt;0,1,-1)</f>
        <v>-1</v>
      </c>
      <c r="I32" s="15"/>
      <c r="J32" s="21"/>
      <c r="K32" s="3">
        <f>+IF(Tabla13[[#This Row],[Emitido USD]]&gt;0,1,-1)</f>
        <v>1</v>
      </c>
      <c r="L32" s="73">
        <v>45898</v>
      </c>
      <c r="M32" s="3">
        <v>2</v>
      </c>
      <c r="N32" s="22">
        <v>13779</v>
      </c>
      <c r="O32" s="6" t="s">
        <v>660</v>
      </c>
      <c r="P32" s="76">
        <v>45978</v>
      </c>
      <c r="Q32" s="3">
        <f>+IF(Tabla13[[#This Row],[Facturado USD]]&gt;0,1,-1)</f>
        <v>1</v>
      </c>
      <c r="R32" s="22">
        <v>13884</v>
      </c>
      <c r="S32" s="3">
        <f>+IF(Tabla13[[#This Row],[Ingresado USD]]&gt;0,1,-1)</f>
        <v>1</v>
      </c>
      <c r="T32" s="78">
        <v>45996</v>
      </c>
      <c r="U32" s="22">
        <v>13601</v>
      </c>
    </row>
    <row r="33" spans="1:21" ht="12" hidden="1" x14ac:dyDescent="0.2">
      <c r="A33" s="3">
        <v>32</v>
      </c>
      <c r="B33" s="3" t="s">
        <v>561</v>
      </c>
      <c r="C3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Alpayana_Estudio de Sismicidad</v>
      </c>
      <c r="D33" s="3" t="s">
        <v>562</v>
      </c>
      <c r="E33" s="3" t="s">
        <v>563</v>
      </c>
      <c r="F33" s="3" t="s">
        <v>318</v>
      </c>
      <c r="G33" s="3">
        <v>2025</v>
      </c>
      <c r="H33" s="3">
        <f>+IF(Tabla13[[#This Row],[Proyectado USD]]&gt;0,1,-1)</f>
        <v>-1</v>
      </c>
      <c r="I33" s="15"/>
      <c r="J33" s="21"/>
      <c r="K33" s="3">
        <f>+IF(Tabla13[[#This Row],[Emitido USD]]&gt;0,1,-1)</f>
        <v>1</v>
      </c>
      <c r="L33" s="73">
        <v>45930</v>
      </c>
      <c r="M33" s="3">
        <v>3</v>
      </c>
      <c r="N33" s="22">
        <v>15554</v>
      </c>
      <c r="O33" s="6" t="s">
        <v>661</v>
      </c>
      <c r="P33" s="76">
        <v>45978</v>
      </c>
      <c r="Q33" s="3">
        <f>+IF(Tabla13[[#This Row],[Facturado USD]]&gt;0,1,-1)</f>
        <v>1</v>
      </c>
      <c r="R33" s="22">
        <v>15572</v>
      </c>
      <c r="S33" s="3">
        <f>+IF(Tabla13[[#This Row],[Ingresado USD]]&gt;0,1,-1)</f>
        <v>1</v>
      </c>
      <c r="T33" s="78">
        <v>45996</v>
      </c>
      <c r="U33" s="22">
        <v>15255</v>
      </c>
    </row>
    <row r="34" spans="1:21" ht="12" hidden="1" x14ac:dyDescent="0.2">
      <c r="A34" s="3">
        <v>33</v>
      </c>
      <c r="B34" s="3" t="s">
        <v>561</v>
      </c>
      <c r="C3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Alpayana_Estudio de Sismicidad</v>
      </c>
      <c r="D34" s="3" t="s">
        <v>562</v>
      </c>
      <c r="E34" s="3" t="s">
        <v>563</v>
      </c>
      <c r="F34" s="3" t="s">
        <v>318</v>
      </c>
      <c r="G34" s="3">
        <v>2025</v>
      </c>
      <c r="H34" s="3">
        <f>+IF(Tabla13[[#This Row],[Proyectado USD]]&gt;0,1,-1)</f>
        <v>-1</v>
      </c>
      <c r="I34" s="15"/>
      <c r="J34" s="21"/>
      <c r="K34" s="3">
        <f>+IF(Tabla13[[#This Row],[Emitido USD]]&gt;0,1,-1)</f>
        <v>1</v>
      </c>
      <c r="L34" s="73">
        <v>45954</v>
      </c>
      <c r="M34" s="3">
        <v>4</v>
      </c>
      <c r="N34" s="22">
        <v>20205</v>
      </c>
      <c r="O34" s="6" t="s">
        <v>662</v>
      </c>
      <c r="P34" s="76">
        <v>45978</v>
      </c>
      <c r="Q34" s="3">
        <f>+IF(Tabla13[[#This Row],[Facturado USD]]&gt;0,1,-1)</f>
        <v>1</v>
      </c>
      <c r="R34" s="22">
        <v>20263</v>
      </c>
      <c r="S34" s="3">
        <f>+IF(Tabla13[[#This Row],[Ingresado USD]]&gt;0,1,-1)</f>
        <v>1</v>
      </c>
      <c r="T34" s="78">
        <v>45996</v>
      </c>
      <c r="U34" s="22">
        <v>19850</v>
      </c>
    </row>
    <row r="35" spans="1:21" ht="12" hidden="1" x14ac:dyDescent="0.2">
      <c r="A35" s="3">
        <v>34</v>
      </c>
      <c r="B35" s="3" t="s">
        <v>561</v>
      </c>
      <c r="C3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Alpayana_Estudio de Sismicidad</v>
      </c>
      <c r="D35" s="3" t="s">
        <v>562</v>
      </c>
      <c r="E35" s="3" t="s">
        <v>563</v>
      </c>
      <c r="F35" s="3" t="s">
        <v>318</v>
      </c>
      <c r="G35" s="3">
        <v>2025</v>
      </c>
      <c r="H35" s="3">
        <f>+IF(Tabla13[[#This Row],[Proyectado USD]]&gt;0,1,-1)</f>
        <v>-1</v>
      </c>
      <c r="I35" s="15"/>
      <c r="J35" s="21"/>
      <c r="K35" s="3">
        <f>+IF(Tabla13[[#This Row],[Emitido USD]]&gt;0,1,-1)</f>
        <v>1</v>
      </c>
      <c r="L35" s="73">
        <v>45986</v>
      </c>
      <c r="M35" s="3">
        <v>5</v>
      </c>
      <c r="N35" s="22">
        <v>34300</v>
      </c>
      <c r="O35" s="6" t="s">
        <v>752</v>
      </c>
      <c r="P35" s="76">
        <v>46063</v>
      </c>
      <c r="Q35" s="3">
        <f>+IF(Tabla13[[#This Row],[Facturado USD]]&gt;0,1,-1)</f>
        <v>1</v>
      </c>
      <c r="R35" s="22">
        <v>34334</v>
      </c>
      <c r="S35" s="3">
        <f>+IF(Tabla13[[#This Row],[Ingresado USD]]&gt;0,1,-1)</f>
        <v>1</v>
      </c>
      <c r="T35" s="78">
        <v>46091</v>
      </c>
      <c r="U35" s="22">
        <v>34334</v>
      </c>
    </row>
    <row r="36" spans="1:21" ht="12" hidden="1" x14ac:dyDescent="0.2">
      <c r="A36" s="3">
        <v>35</v>
      </c>
      <c r="B36" s="3" t="s">
        <v>561</v>
      </c>
      <c r="C3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Alpayana_Estudio de Sismicidad</v>
      </c>
      <c r="D36" s="3" t="s">
        <v>562</v>
      </c>
      <c r="E36" s="3" t="s">
        <v>563</v>
      </c>
      <c r="F36" s="3" t="s">
        <v>318</v>
      </c>
      <c r="G36" s="3">
        <v>2025</v>
      </c>
      <c r="H36" s="3">
        <f>+IF(Tabla13[[#This Row],[Proyectado USD]]&gt;0,1,-1)</f>
        <v>-1</v>
      </c>
      <c r="I36" s="15"/>
      <c r="J36" s="21"/>
      <c r="K36" s="3">
        <f>+IF(Tabla13[[#This Row],[Emitido USD]]&gt;0,1,-1)</f>
        <v>1</v>
      </c>
      <c r="L36" s="73">
        <v>46015</v>
      </c>
      <c r="M36" s="3">
        <v>6</v>
      </c>
      <c r="N36" s="22">
        <v>33020</v>
      </c>
      <c r="O36" s="6" t="s">
        <v>753</v>
      </c>
      <c r="P36" s="76">
        <v>46064</v>
      </c>
      <c r="Q36" s="3">
        <f>+IF(Tabla13[[#This Row],[Facturado USD]]&gt;0,1,-1)</f>
        <v>1</v>
      </c>
      <c r="R36" s="22">
        <v>33021</v>
      </c>
      <c r="S36" s="3">
        <f>+IF(Tabla13[[#This Row],[Ingresado USD]]&gt;0,1,-1)</f>
        <v>1</v>
      </c>
      <c r="T36" s="78">
        <v>46071</v>
      </c>
      <c r="U36" s="85">
        <f>+Tabla13[[#This Row],[Facturado USD]]*0.87</f>
        <v>28728.27</v>
      </c>
    </row>
    <row r="37" spans="1:21" ht="12" hidden="1" x14ac:dyDescent="0.2">
      <c r="A37" s="3">
        <v>470</v>
      </c>
      <c r="B37" s="3" t="s">
        <v>764</v>
      </c>
      <c r="C3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Minsur_LOM Integrado San Rafael 2026</v>
      </c>
      <c r="D37" s="3" t="s">
        <v>769</v>
      </c>
      <c r="E37" s="3" t="s">
        <v>317</v>
      </c>
      <c r="F37" s="3" t="s">
        <v>318</v>
      </c>
      <c r="G37" s="3">
        <v>2026</v>
      </c>
      <c r="H37" s="3">
        <f>+IF(Tabla13[[#This Row],[Proyectado USD]]&gt;0,1,-1)</f>
        <v>-1</v>
      </c>
      <c r="I37" s="15"/>
      <c r="J37" s="21"/>
      <c r="K37" s="3">
        <f>+IF(Tabla13[[#This Row],[Emitido USD]]&gt;0,1,-1)</f>
        <v>1</v>
      </c>
      <c r="L37" s="73">
        <v>46172</v>
      </c>
      <c r="M37" s="3">
        <v>1</v>
      </c>
      <c r="N37" s="22">
        <v>40271</v>
      </c>
      <c r="O37" s="6" t="s">
        <v>69</v>
      </c>
      <c r="P37" s="76"/>
      <c r="Q37" s="3">
        <f>+IF(Tabla13[[#This Row],[Facturado USD]]&gt;0,1,-1)</f>
        <v>-1</v>
      </c>
      <c r="S37" s="3">
        <f>+IF(Tabla13[[#This Row],[Ingresado USD]]&gt;0,1,-1)</f>
        <v>-1</v>
      </c>
      <c r="T37" s="78"/>
    </row>
    <row r="38" spans="1:21" ht="12" hidden="1" x14ac:dyDescent="0.2">
      <c r="A38" s="3">
        <v>475</v>
      </c>
      <c r="B38" s="3" t="s">
        <v>864</v>
      </c>
      <c r="C3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 xml:space="preserve">Minsur_Proceso adherencia Quenamari - SR </v>
      </c>
      <c r="D38" s="3" t="s">
        <v>865</v>
      </c>
      <c r="E38" s="3" t="s">
        <v>317</v>
      </c>
      <c r="F38" s="3" t="s">
        <v>318</v>
      </c>
      <c r="G38" s="3">
        <v>2026</v>
      </c>
      <c r="H38" s="3">
        <f>+IF(Tabla13[[#This Row],[Proyectado USD]]&gt;0,1,-1)</f>
        <v>-1</v>
      </c>
      <c r="I38" s="15"/>
      <c r="J38" s="21"/>
      <c r="K38" s="3">
        <f>+IF(Tabla13[[#This Row],[Emitido USD]]&gt;0,1,-1)</f>
        <v>1</v>
      </c>
      <c r="L38" s="73">
        <v>46172</v>
      </c>
      <c r="M38" s="3">
        <v>1</v>
      </c>
      <c r="N38" s="22">
        <v>10527</v>
      </c>
      <c r="O38" s="6" t="s">
        <v>69</v>
      </c>
      <c r="P38" s="76"/>
      <c r="Q38" s="3">
        <f>+IF(Tabla13[[#This Row],[Facturado USD]]&gt;0,1,-1)</f>
        <v>-1</v>
      </c>
      <c r="S38" s="3">
        <f>+IF(Tabla13[[#This Row],[Ingresado USD]]&gt;0,1,-1)</f>
        <v>-1</v>
      </c>
      <c r="T38" s="78"/>
    </row>
    <row r="39" spans="1:21" ht="12" hidden="1" x14ac:dyDescent="0.2">
      <c r="A39" s="3">
        <v>38</v>
      </c>
      <c r="B39" s="3" t="s">
        <v>252</v>
      </c>
      <c r="C3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AMSA_Asesoria Centinela</v>
      </c>
      <c r="D39" s="3" t="s">
        <v>253</v>
      </c>
      <c r="E39" s="3" t="s">
        <v>254</v>
      </c>
      <c r="F39" s="3" t="s">
        <v>251</v>
      </c>
      <c r="G39" s="3">
        <v>2024</v>
      </c>
      <c r="H39" s="3">
        <f>+IF(Tabla13[[#This Row],[Proyectado USD]]&gt;0,1,-1)</f>
        <v>-1</v>
      </c>
      <c r="I39" s="15">
        <v>45352</v>
      </c>
      <c r="J39" s="21">
        <v>0</v>
      </c>
      <c r="K39" s="3">
        <f>+IF(Tabla13[[#This Row],[Emitido USD]]&gt;0,1,-1)</f>
        <v>1</v>
      </c>
      <c r="L39" s="73">
        <v>45376</v>
      </c>
      <c r="M39" s="3">
        <v>1</v>
      </c>
      <c r="N39" s="50">
        <v>62048</v>
      </c>
      <c r="O39" s="6">
        <v>178</v>
      </c>
      <c r="P39" s="76">
        <v>45399</v>
      </c>
      <c r="Q39" s="3">
        <f>+IF(Tabla13[[#This Row],[Facturado USD]]&gt;0,1,-1)</f>
        <v>1</v>
      </c>
      <c r="R39" s="22">
        <v>62048</v>
      </c>
      <c r="S39" s="3">
        <f>+IF(Tabla13[[#This Row],[Ingresado USD]]&gt;0,1,-1)</f>
        <v>1</v>
      </c>
      <c r="T39" s="82">
        <v>45408</v>
      </c>
      <c r="U39" s="22">
        <v>62048</v>
      </c>
    </row>
    <row r="40" spans="1:21" ht="12" hidden="1" x14ac:dyDescent="0.2">
      <c r="A40" s="3">
        <v>39</v>
      </c>
      <c r="B40" s="3" t="s">
        <v>252</v>
      </c>
      <c r="C4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AMSA_Asesoria Centinela</v>
      </c>
      <c r="D40" s="3" t="s">
        <v>253</v>
      </c>
      <c r="E40" s="3" t="s">
        <v>254</v>
      </c>
      <c r="F40" s="3" t="s">
        <v>251</v>
      </c>
      <c r="G40" s="3">
        <v>2024</v>
      </c>
      <c r="H40" s="3">
        <f>+IF(Tabla13[[#This Row],[Proyectado USD]]&gt;0,1,-1)</f>
        <v>1</v>
      </c>
      <c r="I40" s="15">
        <v>45383</v>
      </c>
      <c r="J40" s="21">
        <v>61813</v>
      </c>
      <c r="K40" s="3">
        <f>+IF(Tabla13[[#This Row],[Emitido USD]]&gt;0,1,-1)</f>
        <v>1</v>
      </c>
      <c r="L40" s="73">
        <v>45407</v>
      </c>
      <c r="M40" s="3">
        <v>2</v>
      </c>
      <c r="N40" s="22">
        <v>44853</v>
      </c>
      <c r="O40" s="6">
        <v>185</v>
      </c>
      <c r="P40" s="76">
        <v>45428</v>
      </c>
      <c r="Q40" s="3">
        <f>+IF(Tabla13[[#This Row],[Facturado USD]]&gt;0,1,-1)</f>
        <v>1</v>
      </c>
      <c r="R40" s="22">
        <v>44853</v>
      </c>
      <c r="S40" s="3">
        <f>+IF(Tabla13[[#This Row],[Ingresado USD]]&gt;0,1,-1)</f>
        <v>1</v>
      </c>
      <c r="T40" s="78">
        <v>45443</v>
      </c>
      <c r="U40" s="52">
        <v>44853</v>
      </c>
    </row>
    <row r="41" spans="1:21" ht="12" hidden="1" x14ac:dyDescent="0.2">
      <c r="A41" s="3">
        <v>40</v>
      </c>
      <c r="B41" s="3" t="s">
        <v>252</v>
      </c>
      <c r="C4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AMSA_Asesoria Centinela</v>
      </c>
      <c r="D41" s="3" t="s">
        <v>253</v>
      </c>
      <c r="E41" s="3" t="s">
        <v>254</v>
      </c>
      <c r="F41" s="3" t="s">
        <v>251</v>
      </c>
      <c r="G41" s="3">
        <v>2024</v>
      </c>
      <c r="H41" s="3">
        <f>+IF(Tabla13[[#This Row],[Proyectado USD]]&gt;0,1,-1)</f>
        <v>1</v>
      </c>
      <c r="I41" s="15">
        <v>45413</v>
      </c>
      <c r="J41" s="21">
        <v>118299.5</v>
      </c>
      <c r="K41" s="3">
        <f>+IF(Tabla13[[#This Row],[Emitido USD]]&gt;0,1,-1)</f>
        <v>1</v>
      </c>
      <c r="L41" s="73">
        <v>45440</v>
      </c>
      <c r="M41" s="3">
        <v>3</v>
      </c>
      <c r="N41" s="22">
        <v>35250</v>
      </c>
      <c r="O41" s="6">
        <v>196</v>
      </c>
      <c r="P41" s="76">
        <v>45478</v>
      </c>
      <c r="Q41" s="3">
        <f>+IF(Tabla13[[#This Row],[Facturado USD]]&gt;0,1,-1)</f>
        <v>1</v>
      </c>
      <c r="R41" s="22">
        <v>35250</v>
      </c>
      <c r="S41" s="3">
        <f>+IF(Tabla13[[#This Row],[Ingresado USD]]&gt;0,1,-1)</f>
        <v>1</v>
      </c>
      <c r="T41" s="78">
        <v>45485</v>
      </c>
      <c r="U41" s="22">
        <v>35249.999466125679</v>
      </c>
    </row>
    <row r="42" spans="1:21" ht="12" hidden="1" x14ac:dyDescent="0.2">
      <c r="A42" s="3">
        <v>41</v>
      </c>
      <c r="B42" s="3" t="s">
        <v>252</v>
      </c>
      <c r="C4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AMSA_Asesoria Centinela</v>
      </c>
      <c r="D42" s="3" t="s">
        <v>253</v>
      </c>
      <c r="E42" s="3" t="s">
        <v>254</v>
      </c>
      <c r="F42" s="3" t="s">
        <v>251</v>
      </c>
      <c r="G42" s="3">
        <v>2024</v>
      </c>
      <c r="H42" s="3">
        <f>+IF(Tabla13[[#This Row],[Proyectado USD]]&gt;0,1,-1)</f>
        <v>1</v>
      </c>
      <c r="I42" s="15">
        <v>45444</v>
      </c>
      <c r="J42" s="21">
        <v>83049.5</v>
      </c>
      <c r="K42" s="3">
        <f>+IF(Tabla13[[#This Row],[Emitido USD]]&gt;0,1,-1)</f>
        <v>1</v>
      </c>
      <c r="L42" s="73">
        <v>45469</v>
      </c>
      <c r="M42" s="3">
        <v>4</v>
      </c>
      <c r="N42" s="52">
        <v>74540</v>
      </c>
      <c r="O42" s="6">
        <v>199</v>
      </c>
      <c r="P42" s="76">
        <v>45505</v>
      </c>
      <c r="Q42" s="3">
        <f>+IF(Tabla13[[#This Row],[Facturado USD]]&gt;0,1,-1)</f>
        <v>1</v>
      </c>
      <c r="R42" s="22">
        <v>74540</v>
      </c>
      <c r="S42" s="3">
        <f>+IF(Tabla13[[#This Row],[Ingresado USD]]&gt;0,1,-1)</f>
        <v>1</v>
      </c>
      <c r="T42" s="78">
        <v>45513</v>
      </c>
      <c r="U42" s="22">
        <v>75523.474218724834</v>
      </c>
    </row>
    <row r="43" spans="1:21" ht="12" hidden="1" x14ac:dyDescent="0.2">
      <c r="A43" s="3">
        <v>42</v>
      </c>
      <c r="B43" s="3" t="s">
        <v>252</v>
      </c>
      <c r="C4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AMSA_Asesoria Centinela</v>
      </c>
      <c r="D43" s="56" t="s">
        <v>253</v>
      </c>
      <c r="E43" s="3" t="s">
        <v>254</v>
      </c>
      <c r="F43" s="3" t="s">
        <v>251</v>
      </c>
      <c r="G43" s="3">
        <v>2024</v>
      </c>
      <c r="H43" s="3">
        <f>+IF(Tabla13[[#This Row],[Proyectado USD]]&gt;0,1,-1)</f>
        <v>-1</v>
      </c>
      <c r="I43" s="15"/>
      <c r="J43" s="21"/>
      <c r="K43" s="3">
        <f>+IF(Tabla13[[#This Row],[Emitido USD]]&gt;0,1,-1)</f>
        <v>1</v>
      </c>
      <c r="L43" s="73">
        <v>45498</v>
      </c>
      <c r="M43" s="3">
        <v>5</v>
      </c>
      <c r="N43" s="22">
        <v>8760</v>
      </c>
      <c r="O43" s="6">
        <v>207</v>
      </c>
      <c r="P43" s="76">
        <v>45531</v>
      </c>
      <c r="Q43" s="3">
        <f>+IF(Tabla13[[#This Row],[Facturado USD]]&gt;0,1,-1)</f>
        <v>1</v>
      </c>
      <c r="R43" s="22">
        <v>8759</v>
      </c>
      <c r="S43" s="3">
        <f>+IF(Tabla13[[#This Row],[Ingresado USD]]&gt;0,1,-1)</f>
        <v>1</v>
      </c>
      <c r="T43" s="78">
        <v>45562</v>
      </c>
      <c r="U43" s="52">
        <v>8759</v>
      </c>
    </row>
    <row r="44" spans="1:21" ht="12" hidden="1" x14ac:dyDescent="0.2">
      <c r="A44" s="3">
        <v>43</v>
      </c>
      <c r="B44" s="3" t="s">
        <v>255</v>
      </c>
      <c r="C4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AMSA_Contrato Marco</v>
      </c>
      <c r="D44" s="3" t="s">
        <v>178</v>
      </c>
      <c r="E44" s="3" t="s">
        <v>254</v>
      </c>
      <c r="F44" s="3" t="s">
        <v>251</v>
      </c>
      <c r="G44" s="3">
        <v>2024</v>
      </c>
      <c r="H44" s="3">
        <f>+IF(Tabla13[[#This Row],[Proyectado USD]]&gt;0,1,-1)</f>
        <v>-1</v>
      </c>
      <c r="I44" s="15"/>
      <c r="J44" s="21"/>
      <c r="K44" s="3">
        <f>+IF(Tabla13[[#This Row],[Emitido USD]]&gt;0,1,-1)</f>
        <v>1</v>
      </c>
      <c r="L44" s="73">
        <v>45533</v>
      </c>
      <c r="M44" s="3">
        <v>1</v>
      </c>
      <c r="N44" s="22">
        <v>34347</v>
      </c>
      <c r="O44" s="6">
        <v>220</v>
      </c>
      <c r="P44" s="76">
        <v>45575</v>
      </c>
      <c r="Q44" s="3">
        <f>+IF(Tabla13[[#This Row],[Facturado USD]]&gt;0,1,-1)</f>
        <v>1</v>
      </c>
      <c r="R44" s="22">
        <v>34347</v>
      </c>
      <c r="S44" s="3">
        <f>+IF(Tabla13[[#This Row],[Ingresado USD]]&gt;0,1,-1)</f>
        <v>1</v>
      </c>
      <c r="T44" s="78">
        <v>45583</v>
      </c>
      <c r="U44" s="22">
        <v>34347</v>
      </c>
    </row>
    <row r="45" spans="1:21" ht="12" hidden="1" x14ac:dyDescent="0.2">
      <c r="A45" s="3">
        <v>44</v>
      </c>
      <c r="B45" s="3" t="s">
        <v>255</v>
      </c>
      <c r="C4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AMSA_Contrato Marco</v>
      </c>
      <c r="D45" s="3" t="s">
        <v>178</v>
      </c>
      <c r="E45" s="3" t="s">
        <v>254</v>
      </c>
      <c r="F45" s="3" t="s">
        <v>251</v>
      </c>
      <c r="G45" s="3">
        <v>2024</v>
      </c>
      <c r="H45" s="3">
        <f>+IF(Tabla13[[#This Row],[Proyectado USD]]&gt;0,1,-1)</f>
        <v>-1</v>
      </c>
      <c r="I45" s="15"/>
      <c r="J45" s="21"/>
      <c r="K45" s="3">
        <f>+IF(Tabla13[[#This Row],[Emitido USD]]&gt;0,1,-1)</f>
        <v>1</v>
      </c>
      <c r="L45" s="73">
        <v>45565</v>
      </c>
      <c r="M45" s="3">
        <v>2</v>
      </c>
      <c r="N45" s="22">
        <v>18000</v>
      </c>
      <c r="O45" s="6">
        <v>222</v>
      </c>
      <c r="P45" s="76">
        <v>45575</v>
      </c>
      <c r="Q45" s="3">
        <f>+IF(Tabla13[[#This Row],[Facturado USD]]&gt;0,1,-1)</f>
        <v>1</v>
      </c>
      <c r="R45" s="22">
        <v>18000</v>
      </c>
      <c r="S45" s="3">
        <f>+IF(Tabla13[[#This Row],[Ingresado USD]]&gt;0,1,-1)</f>
        <v>1</v>
      </c>
      <c r="T45" s="78">
        <v>45583</v>
      </c>
      <c r="U45" s="22">
        <v>18000</v>
      </c>
    </row>
    <row r="46" spans="1:21" ht="12" hidden="1" x14ac:dyDescent="0.2">
      <c r="A46" s="3">
        <v>45</v>
      </c>
      <c r="B46" s="3" t="s">
        <v>255</v>
      </c>
      <c r="C4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AMSA_Contrato Marco</v>
      </c>
      <c r="D46" s="3" t="s">
        <v>178</v>
      </c>
      <c r="E46" s="3" t="s">
        <v>254</v>
      </c>
      <c r="F46" s="3" t="s">
        <v>251</v>
      </c>
      <c r="G46" s="3">
        <v>2024</v>
      </c>
      <c r="H46" s="3">
        <f>+IF(Tabla13[[#This Row],[Proyectado USD]]&gt;0,1,-1)</f>
        <v>-1</v>
      </c>
      <c r="I46" s="15"/>
      <c r="J46" s="21"/>
      <c r="K46" s="3">
        <f>+IF(Tabla13[[#This Row],[Emitido USD]]&gt;0,1,-1)</f>
        <v>1</v>
      </c>
      <c r="L46" s="73">
        <v>45625</v>
      </c>
      <c r="M46" s="3">
        <v>3</v>
      </c>
      <c r="N46" s="22">
        <v>11821</v>
      </c>
      <c r="O46" s="6">
        <v>244</v>
      </c>
      <c r="P46" s="76">
        <v>45645</v>
      </c>
      <c r="Q46" s="3">
        <f>+IF(Tabla13[[#This Row],[Facturado USD]]&gt;0,1,-1)</f>
        <v>1</v>
      </c>
      <c r="R46" s="22">
        <v>11821</v>
      </c>
      <c r="S46" s="3">
        <f>+IF(Tabla13[[#This Row],[Ingresado USD]]&gt;0,1,-1)</f>
        <v>1</v>
      </c>
      <c r="T46" s="78">
        <v>45653</v>
      </c>
      <c r="U46" s="22">
        <v>11821</v>
      </c>
    </row>
    <row r="47" spans="1:21" ht="12" hidden="1" x14ac:dyDescent="0.2">
      <c r="A47" s="3">
        <v>46</v>
      </c>
      <c r="B47" s="3" t="s">
        <v>255</v>
      </c>
      <c r="C4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AMSA_Contrato Marco</v>
      </c>
      <c r="D47" s="3" t="s">
        <v>178</v>
      </c>
      <c r="E47" s="3" t="s">
        <v>254</v>
      </c>
      <c r="F47" s="3" t="s">
        <v>251</v>
      </c>
      <c r="G47" s="3">
        <v>2024</v>
      </c>
      <c r="H47" s="3">
        <f>+IF(Tabla13[[#This Row],[Proyectado USD]]&gt;0,1,-1)</f>
        <v>-1</v>
      </c>
      <c r="I47" s="15"/>
      <c r="J47" s="21"/>
      <c r="K47" s="3">
        <f>+IF(Tabla13[[#This Row],[Emitido USD]]&gt;0,1,-1)</f>
        <v>1</v>
      </c>
      <c r="L47" s="73">
        <v>45652</v>
      </c>
      <c r="M47" s="3">
        <v>4</v>
      </c>
      <c r="N47" s="22">
        <v>12357</v>
      </c>
      <c r="O47" s="59">
        <v>260</v>
      </c>
      <c r="P47" s="76">
        <v>45684</v>
      </c>
      <c r="Q47" s="3">
        <f>+IF(Tabla13[[#This Row],[Facturado USD]]&gt;0,1,-1)</f>
        <v>1</v>
      </c>
      <c r="R47" s="22">
        <v>12357</v>
      </c>
      <c r="S47" s="3">
        <f>+IF(Tabla13[[#This Row],[Ingresado USD]]&gt;0,1,-1)</f>
        <v>1</v>
      </c>
      <c r="T47" s="78">
        <v>45695</v>
      </c>
      <c r="U47" s="23">
        <v>12823</v>
      </c>
    </row>
    <row r="48" spans="1:21" ht="12" hidden="1" x14ac:dyDescent="0.2">
      <c r="A48" s="3">
        <v>47</v>
      </c>
      <c r="B48" s="3" t="s">
        <v>255</v>
      </c>
      <c r="C4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AMSA_Contrato Marco</v>
      </c>
      <c r="D48" s="3" t="s">
        <v>178</v>
      </c>
      <c r="E48" s="3" t="s">
        <v>254</v>
      </c>
      <c r="F48" s="3" t="s">
        <v>251</v>
      </c>
      <c r="G48" s="3">
        <v>2025</v>
      </c>
      <c r="H48" s="3">
        <f>+IF(Tabla13[[#This Row],[Proyectado USD]]&gt;0,1,-1)</f>
        <v>-1</v>
      </c>
      <c r="I48" s="15"/>
      <c r="J48" s="21"/>
      <c r="K48" s="3">
        <f>+IF(Tabla13[[#This Row],[Emitido USD]]&gt;0,1,-1)</f>
        <v>1</v>
      </c>
      <c r="L48" s="73">
        <v>45687</v>
      </c>
      <c r="M48" s="3">
        <v>5</v>
      </c>
      <c r="N48" s="22">
        <v>7816</v>
      </c>
      <c r="O48" s="6">
        <v>262</v>
      </c>
      <c r="P48" s="76">
        <v>45712</v>
      </c>
      <c r="Q48" s="3">
        <f>+IF(Tabla13[[#This Row],[Facturado USD]]&gt;0,1,-1)</f>
        <v>1</v>
      </c>
      <c r="R48" s="22">
        <v>7816</v>
      </c>
      <c r="S48" s="3">
        <f>+IF(Tabla13[[#This Row],[Ingresado USD]]&gt;0,1,-1)</f>
        <v>1</v>
      </c>
      <c r="T48" s="78">
        <v>45723</v>
      </c>
      <c r="U48" s="23">
        <v>8110.6632000000009</v>
      </c>
    </row>
    <row r="49" spans="1:21" ht="12" hidden="1" x14ac:dyDescent="0.2">
      <c r="A49" s="3">
        <v>48</v>
      </c>
      <c r="B49" s="3" t="s">
        <v>255</v>
      </c>
      <c r="C4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AMSA_Contrato Marco</v>
      </c>
      <c r="D49" s="3" t="s">
        <v>178</v>
      </c>
      <c r="E49" s="3" t="s">
        <v>254</v>
      </c>
      <c r="F49" s="3" t="s">
        <v>251</v>
      </c>
      <c r="G49" s="3">
        <v>2025</v>
      </c>
      <c r="H49" s="3">
        <f>+IF(Tabla13[[#This Row],[Proyectado USD]]&gt;0,1,-1)</f>
        <v>-1</v>
      </c>
      <c r="I49" s="15"/>
      <c r="J49" s="21"/>
      <c r="K49" s="3">
        <f>+IF(Tabla13[[#This Row],[Emitido USD]]&gt;0,1,-1)</f>
        <v>1</v>
      </c>
      <c r="L49" s="73">
        <v>45713</v>
      </c>
      <c r="M49" s="3">
        <v>6</v>
      </c>
      <c r="N49" s="22">
        <v>10739</v>
      </c>
      <c r="O49" s="6">
        <v>280</v>
      </c>
      <c r="P49" s="76">
        <v>45737</v>
      </c>
      <c r="Q49" s="3">
        <f>+IF(Tabla13[[#This Row],[Facturado USD]]&gt;0,1,-1)</f>
        <v>1</v>
      </c>
      <c r="R49" s="22">
        <v>10739</v>
      </c>
      <c r="S49" s="3">
        <f>+IF(Tabla13[[#This Row],[Ingresado USD]]&gt;0,1,-1)</f>
        <v>1</v>
      </c>
      <c r="T49" s="78">
        <v>45751</v>
      </c>
      <c r="U49" s="22">
        <v>11158</v>
      </c>
    </row>
    <row r="50" spans="1:21" ht="12" hidden="1" x14ac:dyDescent="0.2">
      <c r="A50" s="3">
        <v>49</v>
      </c>
      <c r="B50" s="3" t="s">
        <v>255</v>
      </c>
      <c r="C5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AMSA_Contrato Marco</v>
      </c>
      <c r="D50" s="3" t="s">
        <v>178</v>
      </c>
      <c r="E50" s="3" t="s">
        <v>254</v>
      </c>
      <c r="F50" s="3" t="s">
        <v>251</v>
      </c>
      <c r="G50" s="3">
        <v>2025</v>
      </c>
      <c r="H50" s="3">
        <f>+IF(Tabla13[[#This Row],[Proyectado USD]]&gt;0,1,-1)</f>
        <v>-1</v>
      </c>
      <c r="I50" s="15"/>
      <c r="J50" s="21"/>
      <c r="K50" s="3">
        <f>+IF(Tabla13[[#This Row],[Emitido USD]]&gt;0,1,-1)</f>
        <v>1</v>
      </c>
      <c r="L50" s="73">
        <v>45747</v>
      </c>
      <c r="M50" s="3">
        <v>7</v>
      </c>
      <c r="N50" s="22">
        <v>8828</v>
      </c>
      <c r="O50" s="6">
        <v>294</v>
      </c>
      <c r="P50" s="76">
        <v>45782</v>
      </c>
      <c r="Q50" s="3">
        <f>+IF(Tabla13[[#This Row],[Facturado USD]]&gt;0,1,-1)</f>
        <v>1</v>
      </c>
      <c r="R50" s="22">
        <v>8828</v>
      </c>
      <c r="S50" s="3">
        <f>+IF(Tabla13[[#This Row],[Ingresado USD]]&gt;0,1,-1)</f>
        <v>1</v>
      </c>
      <c r="T50" s="78">
        <v>45793</v>
      </c>
      <c r="U50" s="22">
        <v>8828</v>
      </c>
    </row>
    <row r="51" spans="1:21" ht="12" hidden="1" customHeight="1" x14ac:dyDescent="0.2">
      <c r="A51" s="3">
        <v>50</v>
      </c>
      <c r="B51" s="3" t="s">
        <v>255</v>
      </c>
      <c r="C5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AMSA_Contrato Marco</v>
      </c>
      <c r="D51" s="3" t="s">
        <v>178</v>
      </c>
      <c r="E51" s="3" t="s">
        <v>254</v>
      </c>
      <c r="F51" s="3" t="s">
        <v>251</v>
      </c>
      <c r="G51" s="3">
        <v>2025</v>
      </c>
      <c r="H51" s="3">
        <f>+IF(Tabla13[[#This Row],[Proyectado USD]]&gt;0,1,-1)</f>
        <v>-1</v>
      </c>
      <c r="I51" s="15"/>
      <c r="J51" s="21"/>
      <c r="K51" s="3">
        <f>+IF(Tabla13[[#This Row],[Emitido USD]]&gt;0,1,-1)</f>
        <v>1</v>
      </c>
      <c r="L51" s="73">
        <v>45776</v>
      </c>
      <c r="M51" s="3">
        <v>8</v>
      </c>
      <c r="N51" s="22">
        <v>4263</v>
      </c>
      <c r="O51" s="6">
        <v>295</v>
      </c>
      <c r="P51" s="76">
        <v>45782</v>
      </c>
      <c r="Q51" s="3">
        <f>+IF(Tabla13[[#This Row],[Facturado USD]]&gt;0,1,-1)</f>
        <v>1</v>
      </c>
      <c r="R51" s="22">
        <v>4263</v>
      </c>
      <c r="S51" s="3">
        <f>+IF(Tabla13[[#This Row],[Ingresado USD]]&gt;0,1,-1)</f>
        <v>1</v>
      </c>
      <c r="T51" s="78">
        <v>45793</v>
      </c>
      <c r="U51" s="22">
        <v>4263</v>
      </c>
    </row>
    <row r="52" spans="1:21" ht="12" hidden="1" customHeight="1" x14ac:dyDescent="0.2">
      <c r="A52" s="3">
        <v>51</v>
      </c>
      <c r="B52" s="3" t="s">
        <v>256</v>
      </c>
      <c r="C5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AMSA_Estandares Minimos</v>
      </c>
      <c r="D52" s="3" t="s">
        <v>257</v>
      </c>
      <c r="E52" s="3" t="s">
        <v>254</v>
      </c>
      <c r="F52" s="3" t="s">
        <v>251</v>
      </c>
      <c r="G52" s="3">
        <v>2024</v>
      </c>
      <c r="H52" s="3">
        <f>+IF(Tabla13[[#This Row],[Proyectado USD]]&gt;0,1,-1)</f>
        <v>1</v>
      </c>
      <c r="I52" s="15">
        <v>45383</v>
      </c>
      <c r="J52" s="21">
        <v>54990</v>
      </c>
      <c r="K52" s="3">
        <f>+IF(Tabla13[[#This Row],[Emitido USD]]&gt;0,1,-1)</f>
        <v>1</v>
      </c>
      <c r="L52" s="73">
        <v>45407</v>
      </c>
      <c r="M52" s="3">
        <v>1</v>
      </c>
      <c r="N52" s="22">
        <v>31730</v>
      </c>
      <c r="O52" s="6">
        <v>183</v>
      </c>
      <c r="P52" s="76">
        <v>45427</v>
      </c>
      <c r="Q52" s="3">
        <f>+IF(Tabla13[[#This Row],[Facturado USD]]&gt;0,1,-1)</f>
        <v>1</v>
      </c>
      <c r="R52" s="22">
        <v>31730</v>
      </c>
      <c r="S52" s="3">
        <f>+IF(Tabla13[[#This Row],[Ingresado USD]]&gt;0,1,-1)</f>
        <v>1</v>
      </c>
      <c r="T52" s="78">
        <v>45436</v>
      </c>
      <c r="U52" s="52">
        <v>31730</v>
      </c>
    </row>
    <row r="53" spans="1:21" ht="12" hidden="1" x14ac:dyDescent="0.2">
      <c r="A53" s="3">
        <v>52</v>
      </c>
      <c r="B53" s="3" t="s">
        <v>256</v>
      </c>
      <c r="C5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AMSA_Estandares Minimos</v>
      </c>
      <c r="D53" s="3" t="s">
        <v>257</v>
      </c>
      <c r="E53" s="3" t="s">
        <v>254</v>
      </c>
      <c r="F53" s="3" t="s">
        <v>251</v>
      </c>
      <c r="G53" s="3">
        <v>2024</v>
      </c>
      <c r="H53" s="3">
        <f>+IF(Tabla13[[#This Row],[Proyectado USD]]&gt;0,1,-1)</f>
        <v>1</v>
      </c>
      <c r="I53" s="15">
        <v>45444</v>
      </c>
      <c r="J53" s="21">
        <v>33341.5</v>
      </c>
      <c r="K53" s="3">
        <f>+IF(Tabla13[[#This Row],[Emitido USD]]&gt;0,1,-1)</f>
        <v>1</v>
      </c>
      <c r="L53" s="73">
        <v>45469</v>
      </c>
      <c r="M53" s="3">
        <v>2</v>
      </c>
      <c r="N53" s="52">
        <v>21884</v>
      </c>
      <c r="O53" s="6">
        <v>200</v>
      </c>
      <c r="P53" s="76">
        <v>45505</v>
      </c>
      <c r="Q53" s="3">
        <f>+IF(Tabla13[[#This Row],[Facturado USD]]&gt;0,1,-1)</f>
        <v>1</v>
      </c>
      <c r="R53" s="22">
        <v>21884</v>
      </c>
      <c r="S53" s="3">
        <f>+IF(Tabla13[[#This Row],[Ingresado USD]]&gt;0,1,-1)</f>
        <v>1</v>
      </c>
      <c r="T53" s="78">
        <v>45513</v>
      </c>
      <c r="U53" s="22">
        <v>24919.504235150136</v>
      </c>
    </row>
    <row r="54" spans="1:21" ht="12" hidden="1" x14ac:dyDescent="0.2">
      <c r="A54" s="3">
        <v>53</v>
      </c>
      <c r="B54" s="3" t="s">
        <v>256</v>
      </c>
      <c r="C5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AMSA_Estandares Minimos</v>
      </c>
      <c r="D54" s="56" t="s">
        <v>257</v>
      </c>
      <c r="E54" s="3" t="s">
        <v>254</v>
      </c>
      <c r="F54" s="3" t="s">
        <v>251</v>
      </c>
      <c r="G54" s="3">
        <v>2024</v>
      </c>
      <c r="H54" s="3">
        <f>+IF(Tabla13[[#This Row],[Proyectado USD]]&gt;0,1,-1)</f>
        <v>-1</v>
      </c>
      <c r="I54" s="15"/>
      <c r="J54" s="21"/>
      <c r="K54" s="3">
        <f>+IF(Tabla13[[#This Row],[Emitido USD]]&gt;0,1,-1)</f>
        <v>1</v>
      </c>
      <c r="L54" s="73">
        <v>45498</v>
      </c>
      <c r="M54" s="3">
        <v>3</v>
      </c>
      <c r="N54" s="22">
        <v>15305</v>
      </c>
      <c r="O54" s="6">
        <v>210</v>
      </c>
      <c r="P54" s="76">
        <v>45531</v>
      </c>
      <c r="Q54" s="3">
        <f>+IF(Tabla13[[#This Row],[Facturado USD]]&gt;0,1,-1)</f>
        <v>1</v>
      </c>
      <c r="R54" s="22">
        <v>15305</v>
      </c>
      <c r="S54" s="3">
        <f>+IF(Tabla13[[#This Row],[Ingresado USD]]&gt;0,1,-1)</f>
        <v>1</v>
      </c>
      <c r="T54" s="78">
        <v>45562</v>
      </c>
      <c r="U54" s="52">
        <v>15305</v>
      </c>
    </row>
    <row r="55" spans="1:21" ht="12" hidden="1" x14ac:dyDescent="0.2">
      <c r="A55" s="3">
        <v>54</v>
      </c>
      <c r="B55" s="3" t="s">
        <v>256</v>
      </c>
      <c r="C5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AMSA_Estandares Minimos</v>
      </c>
      <c r="D55" s="3" t="s">
        <v>257</v>
      </c>
      <c r="E55" s="3" t="s">
        <v>254</v>
      </c>
      <c r="F55" s="3" t="s">
        <v>251</v>
      </c>
      <c r="G55" s="3">
        <v>2024</v>
      </c>
      <c r="H55" s="3">
        <f>+IF(Tabla13[[#This Row],[Proyectado USD]]&gt;0,1,-1)</f>
        <v>-1</v>
      </c>
      <c r="I55" s="15"/>
      <c r="J55" s="21"/>
      <c r="K55" s="3">
        <f>+IF(Tabla13[[#This Row],[Emitido USD]]&gt;0,1,-1)</f>
        <v>1</v>
      </c>
      <c r="L55" s="73">
        <v>45565</v>
      </c>
      <c r="M55" s="3">
        <v>4</v>
      </c>
      <c r="N55" s="22">
        <v>19723</v>
      </c>
      <c r="O55" s="6">
        <v>225</v>
      </c>
      <c r="P55" s="76">
        <v>45579</v>
      </c>
      <c r="Q55" s="3">
        <f>+IF(Tabla13[[#This Row],[Facturado USD]]&gt;0,1,-1)</f>
        <v>1</v>
      </c>
      <c r="R55" s="22">
        <v>19723</v>
      </c>
      <c r="S55" s="3">
        <f>+IF(Tabla13[[#This Row],[Ingresado USD]]&gt;0,1,-1)</f>
        <v>1</v>
      </c>
      <c r="T55" s="78">
        <v>45583</v>
      </c>
      <c r="U55" s="52">
        <v>19723</v>
      </c>
    </row>
    <row r="56" spans="1:21" ht="12" hidden="1" x14ac:dyDescent="0.2">
      <c r="A56" s="3">
        <v>55</v>
      </c>
      <c r="B56" s="3" t="s">
        <v>651</v>
      </c>
      <c r="C5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AMSA_Mejoras Planificación Centinela</v>
      </c>
      <c r="D56" s="3" t="s">
        <v>652</v>
      </c>
      <c r="E56" s="3" t="s">
        <v>254</v>
      </c>
      <c r="F56" s="3" t="s">
        <v>251</v>
      </c>
      <c r="G56" s="3">
        <v>2025</v>
      </c>
      <c r="H56" s="3">
        <f>+IF(Tabla13[[#This Row],[Proyectado USD]]&gt;0,1,-1)</f>
        <v>-1</v>
      </c>
      <c r="I56" s="15"/>
      <c r="J56" s="21"/>
      <c r="K56" s="3">
        <f>+IF(Tabla13[[#This Row],[Emitido USD]]&gt;0,1,-1)</f>
        <v>1</v>
      </c>
      <c r="L56" s="73">
        <v>45960</v>
      </c>
      <c r="M56" s="3">
        <v>1</v>
      </c>
      <c r="N56" s="21">
        <v>54264</v>
      </c>
      <c r="O56" s="6">
        <v>378</v>
      </c>
      <c r="P56" s="76">
        <v>46028</v>
      </c>
      <c r="Q56" s="3">
        <f>+IF(Tabla13[[#This Row],[Facturado USD]]&gt;0,1,-1)</f>
        <v>1</v>
      </c>
      <c r="R56" s="22">
        <v>54264</v>
      </c>
      <c r="S56" s="3">
        <f>+IF(Tabla13[[#This Row],[Ingresado USD]]&gt;0,1,-1)</f>
        <v>1</v>
      </c>
      <c r="T56" s="78">
        <v>46038</v>
      </c>
      <c r="U56" s="22">
        <v>54264</v>
      </c>
    </row>
    <row r="57" spans="1:21" ht="12" hidden="1" x14ac:dyDescent="0.2">
      <c r="A57" s="3">
        <v>56</v>
      </c>
      <c r="B57" s="3" t="s">
        <v>651</v>
      </c>
      <c r="C5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AMSA_Mejoras Planificación Centinela</v>
      </c>
      <c r="D57" s="3" t="s">
        <v>652</v>
      </c>
      <c r="E57" s="3" t="s">
        <v>254</v>
      </c>
      <c r="F57" s="3" t="s">
        <v>251</v>
      </c>
      <c r="G57" s="3">
        <v>2025</v>
      </c>
      <c r="H57" s="3">
        <f>+IF(Tabla13[[#This Row],[Proyectado USD]]&gt;0,1,-1)</f>
        <v>-1</v>
      </c>
      <c r="I57" s="15"/>
      <c r="J57" s="21"/>
      <c r="K57" s="3">
        <f>+IF(Tabla13[[#This Row],[Emitido USD]]&gt;0,1,-1)</f>
        <v>1</v>
      </c>
      <c r="L57" s="73">
        <v>46055</v>
      </c>
      <c r="M57" s="3">
        <v>2</v>
      </c>
      <c r="N57" s="21">
        <v>25487</v>
      </c>
      <c r="O57" s="6">
        <v>384</v>
      </c>
      <c r="P57" s="76">
        <v>46070</v>
      </c>
      <c r="Q57" s="3">
        <f>+IF(Tabla13[[#This Row],[Facturado USD]]&gt;0,1,-1)</f>
        <v>1</v>
      </c>
      <c r="R57" s="21">
        <v>25487</v>
      </c>
      <c r="S57" s="3">
        <f>+IF(Tabla13[[#This Row],[Ingresado USD]]&gt;0,1,-1)</f>
        <v>1</v>
      </c>
      <c r="T57" s="78">
        <v>46080</v>
      </c>
      <c r="U57" s="21">
        <v>25487</v>
      </c>
    </row>
    <row r="58" spans="1:21" ht="12" hidden="1" x14ac:dyDescent="0.2">
      <c r="A58" s="3">
        <v>57</v>
      </c>
      <c r="B58" s="3" t="s">
        <v>78</v>
      </c>
      <c r="C5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AMSA_Planificacion</v>
      </c>
      <c r="D58" s="3" t="s">
        <v>45</v>
      </c>
      <c r="E58" s="3" t="s">
        <v>254</v>
      </c>
      <c r="F58" s="3" t="s">
        <v>251</v>
      </c>
      <c r="G58" s="3">
        <v>2023</v>
      </c>
      <c r="H58" s="3">
        <f>+IF(Tabla13[[#This Row],[Proyectado USD]]&gt;0,1,-1)</f>
        <v>-1</v>
      </c>
      <c r="I58" s="15">
        <v>45170</v>
      </c>
      <c r="J58" s="21">
        <v>0</v>
      </c>
      <c r="K58" s="3">
        <f>+IF(Tabla13[[#This Row],[Emitido USD]]&gt;0,1,-1)</f>
        <v>1</v>
      </c>
      <c r="L58" s="73">
        <v>45194</v>
      </c>
      <c r="M58" s="3">
        <v>1</v>
      </c>
      <c r="N58" s="22">
        <v>30338</v>
      </c>
      <c r="O58" s="6">
        <v>115</v>
      </c>
      <c r="P58" s="76">
        <v>45205</v>
      </c>
      <c r="Q58" s="3">
        <f>+IF(Tabla13[[#This Row],[Facturado USD]]&gt;0,1,-1)</f>
        <v>1</v>
      </c>
      <c r="R58" s="22">
        <v>30338</v>
      </c>
      <c r="S58" s="3">
        <f>+IF(Tabla13[[#This Row],[Ingresado USD]]&gt;0,1,-1)</f>
        <v>1</v>
      </c>
      <c r="T58" s="78">
        <v>45219</v>
      </c>
      <c r="U58" s="22">
        <v>30338</v>
      </c>
    </row>
    <row r="59" spans="1:21" ht="12" hidden="1" x14ac:dyDescent="0.2">
      <c r="A59" s="3">
        <v>58</v>
      </c>
      <c r="B59" s="3" t="s">
        <v>78</v>
      </c>
      <c r="C5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AMSA_Planificacion</v>
      </c>
      <c r="D59" s="3" t="s">
        <v>45</v>
      </c>
      <c r="E59" s="3" t="s">
        <v>254</v>
      </c>
      <c r="F59" s="3" t="s">
        <v>251</v>
      </c>
      <c r="G59" s="3">
        <v>2023</v>
      </c>
      <c r="H59" s="3">
        <f>+IF(Tabla13[[#This Row],[Proyectado USD]]&gt;0,1,-1)</f>
        <v>1</v>
      </c>
      <c r="I59" s="15">
        <v>45200</v>
      </c>
      <c r="J59" s="21">
        <v>40000</v>
      </c>
      <c r="K59" s="3">
        <f>+IF(Tabla13[[#This Row],[Emitido USD]]&gt;0,1,-1)</f>
        <v>1</v>
      </c>
      <c r="L59" s="73">
        <v>45222</v>
      </c>
      <c r="M59" s="3">
        <v>2</v>
      </c>
      <c r="N59" s="22">
        <v>105098</v>
      </c>
      <c r="O59" s="6">
        <v>122</v>
      </c>
      <c r="P59" s="76">
        <v>45224</v>
      </c>
      <c r="Q59" s="3">
        <f>+IF(Tabla13[[#This Row],[Facturado USD]]&gt;0,1,-1)</f>
        <v>1</v>
      </c>
      <c r="R59" s="22">
        <v>105098</v>
      </c>
      <c r="S59" s="3">
        <f>+IF(Tabla13[[#This Row],[Ingresado USD]]&gt;0,1,-1)</f>
        <v>1</v>
      </c>
      <c r="T59" s="78">
        <v>45233</v>
      </c>
      <c r="U59" s="22">
        <v>105098</v>
      </c>
    </row>
    <row r="60" spans="1:21" ht="12" hidden="1" x14ac:dyDescent="0.2">
      <c r="A60" s="3">
        <v>59</v>
      </c>
      <c r="B60" s="3" t="s">
        <v>78</v>
      </c>
      <c r="C6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AMSA_Planificacion</v>
      </c>
      <c r="D60" s="3" t="s">
        <v>45</v>
      </c>
      <c r="E60" s="3" t="s">
        <v>254</v>
      </c>
      <c r="F60" s="3" t="s">
        <v>251</v>
      </c>
      <c r="G60" s="3">
        <v>2023</v>
      </c>
      <c r="H60" s="3">
        <f>+IF(Tabla13[[#This Row],[Proyectado USD]]&gt;0,1,-1)</f>
        <v>1</v>
      </c>
      <c r="I60" s="15">
        <v>45231</v>
      </c>
      <c r="J60" s="21">
        <v>43769.1</v>
      </c>
      <c r="K60" s="3">
        <f>+IF(Tabla13[[#This Row],[Emitido USD]]&gt;0,1,-1)</f>
        <v>1</v>
      </c>
      <c r="L60" s="73">
        <v>45250</v>
      </c>
      <c r="M60" s="3">
        <v>3</v>
      </c>
      <c r="N60" s="22">
        <v>60311</v>
      </c>
      <c r="O60" s="6">
        <v>128</v>
      </c>
      <c r="P60" s="76">
        <v>45265</v>
      </c>
      <c r="Q60" s="3">
        <f>+IF(Tabla13[[#This Row],[Facturado USD]]&gt;0,1,-1)</f>
        <v>1</v>
      </c>
      <c r="R60" s="22">
        <v>60311</v>
      </c>
      <c r="S60" s="3">
        <f>+IF(Tabla13[[#This Row],[Ingresado USD]]&gt;0,1,-1)</f>
        <v>1</v>
      </c>
      <c r="T60" s="78">
        <v>45275</v>
      </c>
      <c r="U60" s="22">
        <v>60311</v>
      </c>
    </row>
    <row r="61" spans="1:21" ht="12" hidden="1" x14ac:dyDescent="0.2">
      <c r="A61" s="3">
        <v>60</v>
      </c>
      <c r="B61" s="3" t="s">
        <v>78</v>
      </c>
      <c r="C6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AMSA_Planificacion</v>
      </c>
      <c r="D61" s="3" t="s">
        <v>45</v>
      </c>
      <c r="E61" s="3" t="s">
        <v>254</v>
      </c>
      <c r="F61" s="3" t="s">
        <v>251</v>
      </c>
      <c r="G61" s="3">
        <v>2023</v>
      </c>
      <c r="H61" s="3">
        <f>+IF(Tabla13[[#This Row],[Proyectado USD]]&gt;0,1,-1)</f>
        <v>1</v>
      </c>
      <c r="I61" s="15">
        <v>45261</v>
      </c>
      <c r="J61" s="21">
        <v>172360</v>
      </c>
      <c r="K61" s="3">
        <f>+IF(Tabla13[[#This Row],[Emitido USD]]&gt;0,1,-1)</f>
        <v>1</v>
      </c>
      <c r="L61" s="73">
        <v>45281</v>
      </c>
      <c r="M61" s="3">
        <v>4</v>
      </c>
      <c r="N61" s="22">
        <v>186082</v>
      </c>
      <c r="O61" s="6">
        <v>132</v>
      </c>
      <c r="P61" s="76">
        <v>45289</v>
      </c>
      <c r="Q61" s="3">
        <f>+IF(Tabla13[[#This Row],[Facturado USD]]&gt;0,1,-1)</f>
        <v>1</v>
      </c>
      <c r="R61" s="22">
        <v>186082</v>
      </c>
      <c r="S61" s="3">
        <f>+IF(Tabla13[[#This Row],[Ingresado USD]]&gt;0,1,-1)</f>
        <v>1</v>
      </c>
      <c r="T61" s="78">
        <v>45296</v>
      </c>
      <c r="U61" s="22">
        <v>186082</v>
      </c>
    </row>
    <row r="62" spans="1:21" ht="12" hidden="1" x14ac:dyDescent="0.2">
      <c r="A62" s="3">
        <v>61</v>
      </c>
      <c r="B62" s="3" t="s">
        <v>78</v>
      </c>
      <c r="C6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AMSA_Planificacion</v>
      </c>
      <c r="D62" s="3" t="s">
        <v>45</v>
      </c>
      <c r="E62" s="3" t="s">
        <v>254</v>
      </c>
      <c r="F62" s="3" t="s">
        <v>251</v>
      </c>
      <c r="G62" s="3">
        <v>2023</v>
      </c>
      <c r="H62" s="3">
        <f>+IF(Tabla13[[#This Row],[Proyectado USD]]&gt;0,1,-1)</f>
        <v>-1</v>
      </c>
      <c r="I62" s="15">
        <v>45261</v>
      </c>
      <c r="J62" s="21">
        <v>0</v>
      </c>
      <c r="K62" s="3">
        <f>+IF(Tabla13[[#This Row],[Emitido USD]]&gt;0,1,-1)</f>
        <v>1</v>
      </c>
      <c r="L62" s="73">
        <v>45288</v>
      </c>
      <c r="M62" s="3">
        <v>5</v>
      </c>
      <c r="N62" s="22">
        <v>45403</v>
      </c>
      <c r="O62" s="6">
        <v>133</v>
      </c>
      <c r="P62" s="76">
        <v>45289</v>
      </c>
      <c r="Q62" s="3">
        <f>+IF(Tabla13[[#This Row],[Facturado USD]]&gt;0,1,-1)</f>
        <v>1</v>
      </c>
      <c r="R62" s="22">
        <v>45403</v>
      </c>
      <c r="S62" s="3">
        <f>+IF(Tabla13[[#This Row],[Ingresado USD]]&gt;0,1,-1)</f>
        <v>1</v>
      </c>
      <c r="T62" s="78">
        <v>45303</v>
      </c>
      <c r="U62" s="22">
        <v>45403</v>
      </c>
    </row>
    <row r="63" spans="1:21" ht="12" hidden="1" x14ac:dyDescent="0.2">
      <c r="A63" s="3">
        <v>62</v>
      </c>
      <c r="B63" s="3" t="s">
        <v>687</v>
      </c>
      <c r="C6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AMSA_RIINO BC - Centinela</v>
      </c>
      <c r="D63" s="3" t="s">
        <v>688</v>
      </c>
      <c r="E63" s="3" t="s">
        <v>254</v>
      </c>
      <c r="F63" s="3" t="s">
        <v>251</v>
      </c>
      <c r="G63" s="3">
        <v>2025</v>
      </c>
      <c r="H63" s="3">
        <f>+IF(Tabla13[[#This Row],[Proyectado USD]]&gt;0,1,-1)</f>
        <v>-1</v>
      </c>
      <c r="I63" s="15"/>
      <c r="J63" s="21"/>
      <c r="K63" s="3">
        <f>+IF(Tabla13[[#This Row],[Emitido USD]]&gt;0,1,-1)</f>
        <v>1</v>
      </c>
      <c r="L63" s="73">
        <v>46014</v>
      </c>
      <c r="M63" s="3">
        <v>1</v>
      </c>
      <c r="N63" s="21">
        <v>129692</v>
      </c>
      <c r="O63" s="6">
        <v>377</v>
      </c>
      <c r="P63" s="76">
        <v>46027</v>
      </c>
      <c r="Q63" s="3">
        <f>+IF(Tabla13[[#This Row],[Facturado USD]]&gt;0,1,-1)</f>
        <v>1</v>
      </c>
      <c r="R63" s="22">
        <v>129692</v>
      </c>
      <c r="S63" s="3">
        <f>+IF(Tabla13[[#This Row],[Ingresado USD]]&gt;0,1,-1)</f>
        <v>1</v>
      </c>
      <c r="T63" s="78">
        <v>46038</v>
      </c>
      <c r="U63" s="22">
        <v>129692</v>
      </c>
    </row>
    <row r="64" spans="1:21" ht="12" hidden="1" x14ac:dyDescent="0.2">
      <c r="A64" s="3">
        <v>660</v>
      </c>
      <c r="B64" s="3" t="s">
        <v>860</v>
      </c>
      <c r="C6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SeabridgeGold_HoV analysis for the KSM</v>
      </c>
      <c r="D64" s="3" t="s">
        <v>861</v>
      </c>
      <c r="E64" s="3" t="s">
        <v>862</v>
      </c>
      <c r="F64" s="3" t="s">
        <v>863</v>
      </c>
      <c r="G64" s="3">
        <v>2026</v>
      </c>
      <c r="H64" s="3">
        <f>+IF(Tabla13[[#This Row],[Proyectado USD]]&gt;0,1,-1)</f>
        <v>-1</v>
      </c>
      <c r="I64" s="15"/>
      <c r="J64" s="21"/>
      <c r="K64" s="3">
        <f>+IF(Tabla13[[#This Row],[Emitido USD]]&gt;0,1,-1)</f>
        <v>1</v>
      </c>
      <c r="L64" s="73">
        <v>46172</v>
      </c>
      <c r="M64" s="3">
        <v>1</v>
      </c>
      <c r="N64" s="22">
        <v>47121</v>
      </c>
      <c r="O64" s="6" t="s">
        <v>69</v>
      </c>
      <c r="P64" s="76"/>
      <c r="Q64" s="3">
        <f>+IF(Tabla13[[#This Row],[Facturado USD]]&gt;0,1,-1)</f>
        <v>-1</v>
      </c>
      <c r="S64" s="3">
        <f>+IF(Tabla13[[#This Row],[Ingresado USD]]&gt;0,1,-1)</f>
        <v>-1</v>
      </c>
      <c r="T64" s="78"/>
    </row>
    <row r="65" spans="1:22" ht="12" hidden="1" x14ac:dyDescent="0.2">
      <c r="A65" s="3">
        <v>64</v>
      </c>
      <c r="B65" s="3" t="s">
        <v>258</v>
      </c>
      <c r="C6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AMSA_Trade Off Tecnologico NGD</v>
      </c>
      <c r="D65" s="3" t="s">
        <v>179</v>
      </c>
      <c r="E65" s="3" t="s">
        <v>254</v>
      </c>
      <c r="F65" s="3" t="s">
        <v>251</v>
      </c>
      <c r="G65" s="3">
        <v>2025</v>
      </c>
      <c r="H65" s="3">
        <f>+IF(Tabla13[[#This Row],[Proyectado USD]]&gt;0,1,-1)</f>
        <v>-1</v>
      </c>
      <c r="I65" s="15"/>
      <c r="J65" s="21"/>
      <c r="K65" s="3">
        <f>+IF(Tabla13[[#This Row],[Emitido USD]]&gt;0,1,-1)</f>
        <v>1</v>
      </c>
      <c r="L65" s="73">
        <v>45708</v>
      </c>
      <c r="M65" s="3">
        <v>1</v>
      </c>
      <c r="N65" s="22">
        <v>31900</v>
      </c>
      <c r="O65" s="6">
        <v>266</v>
      </c>
      <c r="P65" s="76">
        <v>45712</v>
      </c>
      <c r="Q65" s="3">
        <f>+IF(Tabla13[[#This Row],[Facturado USD]]&gt;0,1,-1)</f>
        <v>1</v>
      </c>
      <c r="R65" s="22">
        <v>31885</v>
      </c>
      <c r="S65" s="3">
        <f>+IF(Tabla13[[#This Row],[Ingresado USD]]&gt;0,1,-1)</f>
        <v>1</v>
      </c>
      <c r="T65" s="78">
        <v>45723</v>
      </c>
      <c r="U65" s="23">
        <v>33087.0645</v>
      </c>
    </row>
    <row r="66" spans="1:22" ht="12" hidden="1" x14ac:dyDescent="0.2">
      <c r="A66" s="3">
        <v>65</v>
      </c>
      <c r="B66" s="3" t="s">
        <v>258</v>
      </c>
      <c r="C6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AMSA_Trade Off Tecnologico NGD</v>
      </c>
      <c r="D66" s="3" t="s">
        <v>179</v>
      </c>
      <c r="E66" s="3" t="s">
        <v>254</v>
      </c>
      <c r="F66" s="3" t="s">
        <v>251</v>
      </c>
      <c r="G66" s="3">
        <v>2025</v>
      </c>
      <c r="H66" s="3">
        <f>+IF(Tabla13[[#This Row],[Proyectado USD]]&gt;0,1,-1)</f>
        <v>-1</v>
      </c>
      <c r="I66" s="15"/>
      <c r="J66" s="21"/>
      <c r="K66" s="3">
        <f>+IF(Tabla13[[#This Row],[Emitido USD]]&gt;0,1,-1)</f>
        <v>1</v>
      </c>
      <c r="L66" s="73">
        <v>45722</v>
      </c>
      <c r="M66" s="3">
        <v>2</v>
      </c>
      <c r="N66" s="22">
        <v>32888</v>
      </c>
      <c r="O66" s="6">
        <v>283</v>
      </c>
      <c r="P66" s="76">
        <v>45749</v>
      </c>
      <c r="Q66" s="3">
        <f>+IF(Tabla13[[#This Row],[Facturado USD]]&gt;0,1,-1)</f>
        <v>1</v>
      </c>
      <c r="R66" s="22">
        <v>32888</v>
      </c>
      <c r="S66" s="3">
        <f>+IF(Tabla13[[#This Row],[Ingresado USD]]&gt;0,1,-1)</f>
        <v>1</v>
      </c>
      <c r="T66" s="78">
        <v>45758</v>
      </c>
      <c r="U66" s="22">
        <v>32888</v>
      </c>
    </row>
    <row r="67" spans="1:22" ht="12" hidden="1" customHeight="1" x14ac:dyDescent="0.2">
      <c r="A67" s="3">
        <v>66</v>
      </c>
      <c r="B67" s="3" t="s">
        <v>258</v>
      </c>
      <c r="C6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AMSA_Trade Off Tecnologico NGD</v>
      </c>
      <c r="D67" s="3" t="s">
        <v>179</v>
      </c>
      <c r="E67" s="3" t="s">
        <v>254</v>
      </c>
      <c r="F67" s="3" t="s">
        <v>251</v>
      </c>
      <c r="G67" s="3">
        <v>2025</v>
      </c>
      <c r="H67" s="3">
        <f>+IF(Tabla13[[#This Row],[Proyectado USD]]&gt;0,1,-1)</f>
        <v>-1</v>
      </c>
      <c r="I67" s="15"/>
      <c r="J67" s="21"/>
      <c r="K67" s="3">
        <f>+IF(Tabla13[[#This Row],[Emitido USD]]&gt;0,1,-1)</f>
        <v>1</v>
      </c>
      <c r="L67" s="73">
        <v>45747</v>
      </c>
      <c r="M67" s="3">
        <v>3</v>
      </c>
      <c r="N67" s="22">
        <v>30364.67</v>
      </c>
      <c r="O67" s="6">
        <v>284</v>
      </c>
      <c r="P67" s="76">
        <v>45749</v>
      </c>
      <c r="Q67" s="3">
        <f>+IF(Tabla13[[#This Row],[Facturado USD]]&gt;0,1,-1)</f>
        <v>1</v>
      </c>
      <c r="R67" s="22">
        <v>30365</v>
      </c>
      <c r="S67" s="3">
        <f>+IF(Tabla13[[#This Row],[Ingresado USD]]&gt;0,1,-1)</f>
        <v>1</v>
      </c>
      <c r="T67" s="78">
        <v>45758</v>
      </c>
      <c r="U67" s="22">
        <v>30365</v>
      </c>
    </row>
    <row r="68" spans="1:22" ht="12" hidden="1" x14ac:dyDescent="0.2">
      <c r="A68" s="3">
        <v>67</v>
      </c>
      <c r="B68" s="3" t="s">
        <v>258</v>
      </c>
      <c r="C6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AMSA_Trade Off Tecnologico NGD</v>
      </c>
      <c r="D68" s="3" t="s">
        <v>179</v>
      </c>
      <c r="E68" s="3" t="s">
        <v>254</v>
      </c>
      <c r="F68" s="3" t="s">
        <v>251</v>
      </c>
      <c r="G68" s="3">
        <v>2025</v>
      </c>
      <c r="H68" s="3">
        <f>+IF(Tabla13[[#This Row],[Proyectado USD]]&gt;0,1,-1)</f>
        <v>-1</v>
      </c>
      <c r="I68" s="15"/>
      <c r="J68" s="21"/>
      <c r="K68" s="3">
        <f>+IF(Tabla13[[#This Row],[Emitido USD]]&gt;0,1,-1)</f>
        <v>1</v>
      </c>
      <c r="L68" s="73">
        <v>45776</v>
      </c>
      <c r="M68" s="3">
        <v>4</v>
      </c>
      <c r="N68" s="22">
        <v>39293</v>
      </c>
      <c r="O68" s="6">
        <v>315</v>
      </c>
      <c r="P68" s="76">
        <v>45842</v>
      </c>
      <c r="Q68" s="3">
        <f>+IF(Tabla13[[#This Row],[Facturado USD]]&gt;0,1,-1)</f>
        <v>1</v>
      </c>
      <c r="R68" s="22">
        <v>39293</v>
      </c>
      <c r="S68" s="3">
        <f>+IF(Tabla13[[#This Row],[Ingresado USD]]&gt;0,1,-1)</f>
        <v>1</v>
      </c>
      <c r="T68" s="78">
        <v>45856</v>
      </c>
      <c r="U68" s="22">
        <v>39293</v>
      </c>
    </row>
    <row r="69" spans="1:22" ht="12" hidden="1" x14ac:dyDescent="0.2">
      <c r="A69" s="3">
        <v>68</v>
      </c>
      <c r="B69" s="3" t="s">
        <v>601</v>
      </c>
      <c r="C6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Anglo_Production at Risk Mina Rio</v>
      </c>
      <c r="D69" s="3" t="s">
        <v>602</v>
      </c>
      <c r="E69" s="3" t="s">
        <v>260</v>
      </c>
      <c r="F69" s="3" t="s">
        <v>251</v>
      </c>
      <c r="G69" s="3">
        <v>2025</v>
      </c>
      <c r="H69" s="3">
        <f>+IF(Tabla13[[#This Row],[Proyectado USD]]&gt;0,1,-1)</f>
        <v>-1</v>
      </c>
      <c r="I69" s="15"/>
      <c r="J69" s="21"/>
      <c r="K69" s="3">
        <f>+IF(Tabla13[[#This Row],[Emitido USD]]&gt;0,1,-1)</f>
        <v>1</v>
      </c>
      <c r="L69" s="73">
        <v>45925</v>
      </c>
      <c r="M69" s="3">
        <v>1</v>
      </c>
      <c r="N69" s="22">
        <v>26973</v>
      </c>
      <c r="O69" s="6">
        <v>370</v>
      </c>
      <c r="P69" s="76">
        <v>45994</v>
      </c>
      <c r="Q69" s="3">
        <f>+IF(Tabla13[[#This Row],[Facturado USD]]&gt;0,1,-1)</f>
        <v>1</v>
      </c>
      <c r="R69" s="22">
        <v>26973</v>
      </c>
      <c r="S69" s="3">
        <f>+IF(Tabla13[[#This Row],[Ingresado USD]]&gt;0,1,-1)</f>
        <v>1</v>
      </c>
      <c r="T69" s="78">
        <v>46020</v>
      </c>
      <c r="U69" s="22">
        <v>26973</v>
      </c>
      <c r="V69" s="3" t="s">
        <v>676</v>
      </c>
    </row>
    <row r="70" spans="1:22" ht="12" hidden="1" x14ac:dyDescent="0.2">
      <c r="A70" s="3">
        <v>69</v>
      </c>
      <c r="B70" s="3" t="s">
        <v>601</v>
      </c>
      <c r="C7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Anglo_Production at Risk Mina Rio</v>
      </c>
      <c r="D70" s="3" t="s">
        <v>602</v>
      </c>
      <c r="E70" s="3" t="s">
        <v>260</v>
      </c>
      <c r="F70" s="3" t="s">
        <v>251</v>
      </c>
      <c r="G70" s="3">
        <v>2025</v>
      </c>
      <c r="H70" s="3">
        <f>+IF(Tabla13[[#This Row],[Proyectado USD]]&gt;0,1,-1)</f>
        <v>-1</v>
      </c>
      <c r="I70" s="15"/>
      <c r="J70" s="21"/>
      <c r="K70" s="3">
        <f>+IF(Tabla13[[#This Row],[Emitido USD]]&gt;0,1,-1)</f>
        <v>1</v>
      </c>
      <c r="L70" s="73">
        <v>45954</v>
      </c>
      <c r="M70" s="3">
        <v>2</v>
      </c>
      <c r="N70" s="21">
        <v>51957</v>
      </c>
      <c r="O70" s="6">
        <v>371</v>
      </c>
      <c r="P70" s="76">
        <v>45994</v>
      </c>
      <c r="Q70" s="3">
        <f>+IF(Tabla13[[#This Row],[Facturado USD]]&gt;0,1,-1)</f>
        <v>1</v>
      </c>
      <c r="R70" s="22">
        <v>51957</v>
      </c>
      <c r="S70" s="3">
        <f>+IF(Tabla13[[#This Row],[Ingresado USD]]&gt;0,1,-1)</f>
        <v>1</v>
      </c>
      <c r="T70" s="78">
        <v>46020</v>
      </c>
      <c r="U70" s="22">
        <v>51957</v>
      </c>
      <c r="V70" s="3" t="s">
        <v>676</v>
      </c>
    </row>
    <row r="71" spans="1:22" ht="12" hidden="1" x14ac:dyDescent="0.2">
      <c r="A71" s="3">
        <v>70</v>
      </c>
      <c r="B71" s="3" t="s">
        <v>601</v>
      </c>
      <c r="C7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Anglo_Production at Risk Mina Rio</v>
      </c>
      <c r="D71" s="3" t="s">
        <v>602</v>
      </c>
      <c r="E71" s="3" t="s">
        <v>260</v>
      </c>
      <c r="F71" s="3" t="s">
        <v>251</v>
      </c>
      <c r="G71" s="3">
        <v>2025</v>
      </c>
      <c r="H71" s="3">
        <f>+IF(Tabla13[[#This Row],[Proyectado USD]]&gt;0,1,-1)</f>
        <v>-1</v>
      </c>
      <c r="I71" s="15"/>
      <c r="J71" s="21"/>
      <c r="K71" s="3">
        <f>+IF(Tabla13[[#This Row],[Emitido USD]]&gt;0,1,-1)</f>
        <v>1</v>
      </c>
      <c r="L71" s="73">
        <v>45986</v>
      </c>
      <c r="M71" s="3">
        <v>3</v>
      </c>
      <c r="N71" s="21">
        <v>5940</v>
      </c>
      <c r="O71" s="6">
        <v>372</v>
      </c>
      <c r="P71" s="76">
        <v>46003</v>
      </c>
      <c r="Q71" s="3">
        <f>+IF(Tabla13[[#This Row],[Facturado USD]]&gt;0,1,-1)</f>
        <v>1</v>
      </c>
      <c r="R71" s="21">
        <v>5940</v>
      </c>
      <c r="S71" s="3">
        <f>+IF(Tabla13[[#This Row],[Ingresado USD]]&gt;0,1,-1)</f>
        <v>1</v>
      </c>
      <c r="T71" s="78">
        <v>46038</v>
      </c>
      <c r="U71" s="21">
        <v>5940</v>
      </c>
    </row>
    <row r="72" spans="1:22" ht="12" hidden="1" x14ac:dyDescent="0.2">
      <c r="A72" s="3">
        <v>71</v>
      </c>
      <c r="B72" s="3" t="s">
        <v>259</v>
      </c>
      <c r="C7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AngloAmerican_Análisis Productividad MLB</v>
      </c>
      <c r="D72" s="3" t="s">
        <v>226</v>
      </c>
      <c r="E72" s="3" t="s">
        <v>260</v>
      </c>
      <c r="F72" s="3" t="s">
        <v>251</v>
      </c>
      <c r="G72" s="3">
        <v>2025</v>
      </c>
      <c r="H72" s="3">
        <f>+IF(Tabla13[[#This Row],[Proyectado USD]]&gt;0,1,-1)</f>
        <v>-1</v>
      </c>
      <c r="I72" s="15"/>
      <c r="J72" s="21"/>
      <c r="K72" s="3">
        <f>+IF(Tabla13[[#This Row],[Emitido USD]]&gt;0,1,-1)</f>
        <v>1</v>
      </c>
      <c r="L72" s="73">
        <v>45776</v>
      </c>
      <c r="M72" s="3">
        <v>1</v>
      </c>
      <c r="N72" s="22">
        <v>62417</v>
      </c>
      <c r="O72" s="6">
        <v>320</v>
      </c>
      <c r="P72" s="76">
        <v>45847</v>
      </c>
      <c r="Q72" s="3">
        <f>+IF(Tabla13[[#This Row],[Facturado USD]]&gt;0,1,-1)</f>
        <v>1</v>
      </c>
      <c r="R72" s="50">
        <v>62417</v>
      </c>
      <c r="S72" s="3">
        <f>+IF(Tabla13[[#This Row],[Ingresado USD]]&gt;0,1,-1)</f>
        <v>1</v>
      </c>
      <c r="T72" s="78">
        <v>45876</v>
      </c>
      <c r="U72" s="22">
        <v>62417</v>
      </c>
    </row>
    <row r="73" spans="1:22" ht="12" hidden="1" x14ac:dyDescent="0.2">
      <c r="A73" s="3">
        <v>72</v>
      </c>
      <c r="B73" s="3" t="s">
        <v>261</v>
      </c>
      <c r="C7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AngloAmerican_Tecnología HDD</v>
      </c>
      <c r="D73" s="3" t="s">
        <v>180</v>
      </c>
      <c r="E73" s="3" t="s">
        <v>260</v>
      </c>
      <c r="F73" s="3" t="s">
        <v>251</v>
      </c>
      <c r="G73" s="3">
        <v>2025</v>
      </c>
      <c r="H73" s="3">
        <f>+IF(Tabla13[[#This Row],[Proyectado USD]]&gt;0,1,-1)</f>
        <v>-1</v>
      </c>
      <c r="I73" s="15"/>
      <c r="J73" s="21"/>
      <c r="K73" s="3">
        <f>+IF(Tabla13[[#This Row],[Emitido USD]]&gt;0,1,-1)</f>
        <v>1</v>
      </c>
      <c r="L73" s="73">
        <v>45708</v>
      </c>
      <c r="M73" s="3">
        <v>1</v>
      </c>
      <c r="N73" s="22">
        <v>5211</v>
      </c>
      <c r="O73" s="6" t="s">
        <v>693</v>
      </c>
      <c r="P73" s="76">
        <v>45716</v>
      </c>
      <c r="Q73" s="3">
        <f>+IF(Tabla13[[#This Row],[Facturado USD]]&gt;0,1,-1)</f>
        <v>1</v>
      </c>
      <c r="R73" s="22">
        <v>5211</v>
      </c>
      <c r="S73" s="3">
        <f>+IF(Tabla13[[#This Row],[Ingresado USD]]&gt;0,1,-1)</f>
        <v>-1</v>
      </c>
      <c r="T73" s="78">
        <v>45743</v>
      </c>
      <c r="U73" s="23"/>
      <c r="V73" s="3" t="s">
        <v>710</v>
      </c>
    </row>
    <row r="74" spans="1:22" s="26" customFormat="1" ht="12" hidden="1" x14ac:dyDescent="0.2">
      <c r="A74" s="3">
        <v>73</v>
      </c>
      <c r="B74" s="3" t="s">
        <v>261</v>
      </c>
      <c r="C7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AngloAmerican_Tecnología HDD</v>
      </c>
      <c r="D74" s="3" t="s">
        <v>180</v>
      </c>
      <c r="E74" s="3" t="s">
        <v>260</v>
      </c>
      <c r="F74" s="3" t="s">
        <v>251</v>
      </c>
      <c r="G74" s="3">
        <v>2025</v>
      </c>
      <c r="H74" s="3">
        <f>+IF(Tabla13[[#This Row],[Proyectado USD]]&gt;0,1,-1)</f>
        <v>-1</v>
      </c>
      <c r="I74" s="15"/>
      <c r="J74" s="21"/>
      <c r="K74" s="3">
        <f>+IF(Tabla13[[#This Row],[Emitido USD]]&gt;0,1,-1)</f>
        <v>1</v>
      </c>
      <c r="L74" s="73">
        <v>45736</v>
      </c>
      <c r="M74" s="3">
        <v>2</v>
      </c>
      <c r="N74" s="22">
        <v>10435</v>
      </c>
      <c r="O74" s="6" t="s">
        <v>693</v>
      </c>
      <c r="P74" s="76">
        <v>45744</v>
      </c>
      <c r="Q74" s="3">
        <f>+IF(Tabla13[[#This Row],[Facturado USD]]&gt;0,1,-1)</f>
        <v>1</v>
      </c>
      <c r="R74" s="22">
        <v>10435</v>
      </c>
      <c r="S74" s="3">
        <f>+IF(Tabla13[[#This Row],[Ingresado USD]]&gt;0,1,-1)</f>
        <v>-1</v>
      </c>
      <c r="T74" s="78">
        <v>45771</v>
      </c>
      <c r="U74" s="22"/>
      <c r="V74" s="3" t="s">
        <v>711</v>
      </c>
    </row>
    <row r="75" spans="1:22" s="26" customFormat="1" ht="12" hidden="1" x14ac:dyDescent="0.2">
      <c r="A75" s="3">
        <v>74</v>
      </c>
      <c r="B75" s="3" t="s">
        <v>261</v>
      </c>
      <c r="C7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AngloAmerican_Tecnología HDD</v>
      </c>
      <c r="D75" s="3" t="s">
        <v>180</v>
      </c>
      <c r="E75" s="3" t="s">
        <v>260</v>
      </c>
      <c r="F75" s="3" t="s">
        <v>251</v>
      </c>
      <c r="G75" s="3">
        <v>2025</v>
      </c>
      <c r="H75" s="3">
        <f>+IF(Tabla13[[#This Row],[Proyectado USD]]&gt;0,1,-1)</f>
        <v>-1</v>
      </c>
      <c r="I75" s="15"/>
      <c r="J75" s="21"/>
      <c r="K75" s="3">
        <f>+IF(Tabla13[[#This Row],[Emitido USD]]&gt;0,1,-1)</f>
        <v>1</v>
      </c>
      <c r="L75" s="73">
        <v>45767</v>
      </c>
      <c r="M75" s="3">
        <v>3</v>
      </c>
      <c r="N75" s="22">
        <v>38772.33</v>
      </c>
      <c r="O75" s="6" t="s">
        <v>693</v>
      </c>
      <c r="P75" s="76">
        <v>45768</v>
      </c>
      <c r="Q75" s="3">
        <f>+IF(Tabla13[[#This Row],[Facturado USD]]&gt;0,1,-1)</f>
        <v>1</v>
      </c>
      <c r="R75" s="22">
        <v>38772</v>
      </c>
      <c r="S75" s="3">
        <f>+IF(Tabla13[[#This Row],[Ingresado USD]]&gt;0,1,-1)</f>
        <v>-1</v>
      </c>
      <c r="T75" s="78">
        <v>45792</v>
      </c>
      <c r="U75" s="22"/>
      <c r="V75" s="3" t="s">
        <v>712</v>
      </c>
    </row>
    <row r="76" spans="1:22" ht="12" hidden="1" x14ac:dyDescent="0.2">
      <c r="A76" s="3">
        <v>75</v>
      </c>
      <c r="B76" s="3" t="s">
        <v>261</v>
      </c>
      <c r="C7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AngloAmerican_Tecnología HDD</v>
      </c>
      <c r="D76" s="3" t="s">
        <v>180</v>
      </c>
      <c r="E76" s="3" t="s">
        <v>260</v>
      </c>
      <c r="F76" s="3" t="s">
        <v>251</v>
      </c>
      <c r="G76" s="3">
        <v>2025</v>
      </c>
      <c r="H76" s="3">
        <f>+IF(Tabla13[[#This Row],[Proyectado USD]]&gt;0,1,-1)</f>
        <v>-1</v>
      </c>
      <c r="I76" s="15"/>
      <c r="J76" s="21"/>
      <c r="K76" s="3">
        <f>+IF(Tabla13[[#This Row],[Emitido USD]]&gt;0,1,-1)</f>
        <v>1</v>
      </c>
      <c r="L76" s="73">
        <v>45797</v>
      </c>
      <c r="M76" s="3">
        <v>4</v>
      </c>
      <c r="N76" s="22">
        <v>66963</v>
      </c>
      <c r="O76" s="6" t="s">
        <v>693</v>
      </c>
      <c r="P76" s="76">
        <v>45804</v>
      </c>
      <c r="Q76" s="3">
        <f>+IF(Tabla13[[#This Row],[Facturado USD]]&gt;0,1,-1)</f>
        <v>1</v>
      </c>
      <c r="R76" s="22">
        <v>66963</v>
      </c>
      <c r="S76" s="3">
        <f>+IF(Tabla13[[#This Row],[Ingresado USD]]&gt;0,1,-1)</f>
        <v>-1</v>
      </c>
      <c r="T76" s="78">
        <v>45839</v>
      </c>
      <c r="V76" s="3" t="s">
        <v>713</v>
      </c>
    </row>
    <row r="77" spans="1:22" ht="12" hidden="1" x14ac:dyDescent="0.2">
      <c r="A77" s="3">
        <v>76</v>
      </c>
      <c r="B77" s="3" t="s">
        <v>261</v>
      </c>
      <c r="C7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AngloAmerican_Tecnología HDD</v>
      </c>
      <c r="D77" s="3" t="s">
        <v>180</v>
      </c>
      <c r="E77" s="3" t="s">
        <v>260</v>
      </c>
      <c r="F77" s="3" t="s">
        <v>251</v>
      </c>
      <c r="G77" s="3">
        <v>2025</v>
      </c>
      <c r="H77" s="3">
        <f>+IF(Tabla13[[#This Row],[Proyectado USD]]&gt;0,1,-1)</f>
        <v>-1</v>
      </c>
      <c r="I77" s="15"/>
      <c r="J77" s="21"/>
      <c r="K77" s="3">
        <f>+IF(Tabla13[[#This Row],[Emitido USD]]&gt;0,1,-1)</f>
        <v>1</v>
      </c>
      <c r="L77" s="73">
        <v>45828</v>
      </c>
      <c r="M77" s="3">
        <v>5</v>
      </c>
      <c r="N77" s="21">
        <v>17604</v>
      </c>
      <c r="O77" s="25" t="s">
        <v>693</v>
      </c>
      <c r="P77" s="76">
        <v>45846</v>
      </c>
      <c r="Q77" s="3">
        <f>+IF(Tabla13[[#This Row],[Facturado USD]]&gt;0,1,-1)</f>
        <v>1</v>
      </c>
      <c r="R77" s="50">
        <v>17604</v>
      </c>
      <c r="S77" s="3">
        <f>+IF(Tabla13[[#This Row],[Ingresado USD]]&gt;0,1,-1)</f>
        <v>-1</v>
      </c>
      <c r="T77" s="78">
        <v>45876</v>
      </c>
      <c r="V77" s="3" t="s">
        <v>714</v>
      </c>
    </row>
    <row r="78" spans="1:22" ht="12" hidden="1" x14ac:dyDescent="0.2">
      <c r="A78" s="3">
        <v>77</v>
      </c>
      <c r="B78" s="3" t="s">
        <v>261</v>
      </c>
      <c r="C7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AngloAmerican_Tecnología HDD</v>
      </c>
      <c r="D78" s="3" t="s">
        <v>180</v>
      </c>
      <c r="E78" s="3" t="s">
        <v>260</v>
      </c>
      <c r="F78" s="3" t="s">
        <v>251</v>
      </c>
      <c r="G78" s="3">
        <v>2025</v>
      </c>
      <c r="H78" s="3">
        <f>+IF(Tabla13[[#This Row],[Proyectado USD]]&gt;0,1,-1)</f>
        <v>-1</v>
      </c>
      <c r="I78" s="15"/>
      <c r="J78" s="21"/>
      <c r="K78" s="3">
        <f>+IF(Tabla13[[#This Row],[Emitido USD]]&gt;0,1,-1)</f>
        <v>1</v>
      </c>
      <c r="L78" s="73">
        <v>45858</v>
      </c>
      <c r="M78" s="3">
        <v>6</v>
      </c>
      <c r="N78" s="21">
        <v>18605</v>
      </c>
      <c r="O78" s="25" t="s">
        <v>693</v>
      </c>
      <c r="P78" s="76">
        <v>45873</v>
      </c>
      <c r="Q78" s="3">
        <f>+IF(Tabla13[[#This Row],[Facturado USD]]&gt;0,1,-1)</f>
        <v>1</v>
      </c>
      <c r="R78" s="22">
        <v>18605</v>
      </c>
      <c r="S78" s="3">
        <f>+IF(Tabla13[[#This Row],[Ingresado USD]]&gt;0,1,-1)</f>
        <v>-1</v>
      </c>
      <c r="T78" s="78">
        <v>45897</v>
      </c>
      <c r="V78" s="3" t="s">
        <v>715</v>
      </c>
    </row>
    <row r="79" spans="1:22" ht="12" hidden="1" x14ac:dyDescent="0.2">
      <c r="A79" s="3">
        <v>78</v>
      </c>
      <c r="B79" s="3" t="s">
        <v>261</v>
      </c>
      <c r="C7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AngloAmerican_Tecnología HDD</v>
      </c>
      <c r="D79" s="3" t="s">
        <v>180</v>
      </c>
      <c r="E79" s="3" t="s">
        <v>260</v>
      </c>
      <c r="F79" s="3" t="s">
        <v>251</v>
      </c>
      <c r="G79" s="3">
        <v>2025</v>
      </c>
      <c r="H79" s="3">
        <f>+IF(Tabla13[[#This Row],[Proyectado USD]]&gt;0,1,-1)</f>
        <v>-1</v>
      </c>
      <c r="I79" s="15"/>
      <c r="J79" s="21"/>
      <c r="K79" s="3">
        <f>+IF(Tabla13[[#This Row],[Emitido USD]]&gt;0,1,-1)</f>
        <v>1</v>
      </c>
      <c r="L79" s="73">
        <v>45889</v>
      </c>
      <c r="M79" s="3">
        <v>7</v>
      </c>
      <c r="N79" s="21">
        <v>3431</v>
      </c>
      <c r="O79" s="25" t="s">
        <v>693</v>
      </c>
      <c r="P79" s="76">
        <v>45896</v>
      </c>
      <c r="Q79" s="3">
        <f>+IF(Tabla13[[#This Row],[Facturado USD]]&gt;0,1,-1)</f>
        <v>1</v>
      </c>
      <c r="R79" s="21">
        <v>3431</v>
      </c>
      <c r="S79" s="3">
        <f>+IF(Tabla13[[#This Row],[Ingresado USD]]&gt;0,1,-1)</f>
        <v>-1</v>
      </c>
      <c r="T79" s="78">
        <v>45925</v>
      </c>
      <c r="V79" s="3" t="s">
        <v>716</v>
      </c>
    </row>
    <row r="80" spans="1:22" ht="12" hidden="1" x14ac:dyDescent="0.2">
      <c r="A80" s="3">
        <v>79</v>
      </c>
      <c r="B80" s="3" t="s">
        <v>261</v>
      </c>
      <c r="C8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AngloAmerican_Tecnología HDD</v>
      </c>
      <c r="D80" s="3" t="s">
        <v>180</v>
      </c>
      <c r="E80" s="3" t="s">
        <v>260</v>
      </c>
      <c r="F80" s="3" t="s">
        <v>251</v>
      </c>
      <c r="G80" s="3">
        <v>2025</v>
      </c>
      <c r="H80" s="3">
        <f>+IF(Tabla13[[#This Row],[Proyectado USD]]&gt;0,1,-1)</f>
        <v>-1</v>
      </c>
      <c r="I80" s="15"/>
      <c r="J80" s="21"/>
      <c r="K80" s="3">
        <f>+IF(Tabla13[[#This Row],[Emitido USD]]&gt;0,1,-1)</f>
        <v>1</v>
      </c>
      <c r="L80" s="73">
        <v>45923</v>
      </c>
      <c r="M80" s="3">
        <v>8</v>
      </c>
      <c r="N80" s="28">
        <v>22409</v>
      </c>
      <c r="O80" s="25" t="s">
        <v>693</v>
      </c>
      <c r="P80" s="76"/>
      <c r="Q80" s="3">
        <f>+IF(Tabla13[[#This Row],[Facturado USD]]&gt;0,1,-1)</f>
        <v>-1</v>
      </c>
      <c r="S80" s="3">
        <f>+IF(Tabla13[[#This Row],[Ingresado USD]]&gt;0,1,-1)</f>
        <v>-1</v>
      </c>
      <c r="T80" s="78"/>
      <c r="V80" s="3" t="s">
        <v>634</v>
      </c>
    </row>
    <row r="81" spans="1:22" ht="12" hidden="1" x14ac:dyDescent="0.2">
      <c r="A81" s="3">
        <v>80</v>
      </c>
      <c r="B81" s="3" t="s">
        <v>261</v>
      </c>
      <c r="C8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AngloAmerican_Tecnología HDD</v>
      </c>
      <c r="D81" s="3" t="s">
        <v>180</v>
      </c>
      <c r="E81" s="3" t="s">
        <v>260</v>
      </c>
      <c r="F81" s="3" t="s">
        <v>251</v>
      </c>
      <c r="G81" s="3">
        <v>2025</v>
      </c>
      <c r="H81" s="3">
        <f>+IF(Tabla13[[#This Row],[Proyectado USD]]&gt;0,1,-1)</f>
        <v>-1</v>
      </c>
      <c r="I81" s="15"/>
      <c r="J81" s="21"/>
      <c r="K81" s="3">
        <f>+IF(Tabla13[[#This Row],[Emitido USD]]&gt;0,1,-1)</f>
        <v>1</v>
      </c>
      <c r="L81" s="73">
        <v>45954</v>
      </c>
      <c r="M81" s="3">
        <v>9</v>
      </c>
      <c r="N81" s="28">
        <v>9954</v>
      </c>
      <c r="O81" s="25" t="s">
        <v>693</v>
      </c>
      <c r="P81" s="76"/>
      <c r="Q81" s="3">
        <f>+IF(Tabla13[[#This Row],[Facturado USD]]&gt;0,1,-1)</f>
        <v>-1</v>
      </c>
      <c r="R81" s="21"/>
      <c r="S81" s="3">
        <f>+IF(Tabla13[[#This Row],[Ingresado USD]]&gt;0,1,-1)</f>
        <v>-1</v>
      </c>
      <c r="T81" s="78"/>
      <c r="V81" s="3" t="s">
        <v>649</v>
      </c>
    </row>
    <row r="82" spans="1:22" ht="12" hidden="1" x14ac:dyDescent="0.2">
      <c r="A82" s="3">
        <v>670</v>
      </c>
      <c r="B82" s="3" t="s">
        <v>766</v>
      </c>
      <c r="C8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South32_Clark Project</v>
      </c>
      <c r="D82" s="3" t="s">
        <v>771</v>
      </c>
      <c r="E82" s="3" t="s">
        <v>808</v>
      </c>
      <c r="F82" s="3" t="s">
        <v>469</v>
      </c>
      <c r="G82" s="3">
        <v>2026</v>
      </c>
      <c r="H82" s="3">
        <f>+IF(Tabla13[[#This Row],[Proyectado USD]]&gt;0,1,-1)</f>
        <v>-1</v>
      </c>
      <c r="I82" s="15"/>
      <c r="J82" s="21"/>
      <c r="K82" s="3">
        <f>+IF(Tabla13[[#This Row],[Emitido USD]]&gt;0,1,-1)</f>
        <v>1</v>
      </c>
      <c r="L82" s="73">
        <v>46172</v>
      </c>
      <c r="M82" s="3">
        <v>3</v>
      </c>
      <c r="N82" s="22">
        <v>41003</v>
      </c>
      <c r="O82" s="6" t="s">
        <v>69</v>
      </c>
      <c r="P82" s="76"/>
      <c r="Q82" s="3">
        <f>+IF(Tabla13[[#This Row],[Facturado USD]]&gt;0,1,-1)</f>
        <v>-1</v>
      </c>
      <c r="S82" s="3">
        <f>+IF(Tabla13[[#This Row],[Ingresado USD]]&gt;0,1,-1)</f>
        <v>-1</v>
      </c>
      <c r="T82" s="78"/>
    </row>
    <row r="83" spans="1:22" ht="12" hidden="1" x14ac:dyDescent="0.2">
      <c r="A83" s="3">
        <v>82</v>
      </c>
      <c r="B83" s="3" t="s">
        <v>233</v>
      </c>
      <c r="C8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AuraMinerals_Expansión Mina Paiol OP-UG</v>
      </c>
      <c r="D83" s="3" t="s">
        <v>181</v>
      </c>
      <c r="E83" s="3" t="s">
        <v>234</v>
      </c>
      <c r="F83" s="3" t="s">
        <v>235</v>
      </c>
      <c r="G83" s="3">
        <v>2025</v>
      </c>
      <c r="H83" s="3">
        <f>+IF(Tabla13[[#This Row],[Proyectado USD]]&gt;0,1,-1)</f>
        <v>-1</v>
      </c>
      <c r="I83" s="15"/>
      <c r="J83" s="21"/>
      <c r="K83" s="3">
        <f>+IF(Tabla13[[#This Row],[Emitido USD]]&gt;0,1,-1)</f>
        <v>1</v>
      </c>
      <c r="L83" s="73">
        <v>45678</v>
      </c>
      <c r="M83" s="3">
        <v>1</v>
      </c>
      <c r="N83" s="22">
        <v>54144</v>
      </c>
      <c r="O83" s="6">
        <v>60</v>
      </c>
      <c r="P83" s="76">
        <v>45684</v>
      </c>
      <c r="Q83" s="3">
        <f>+IF(Tabla13[[#This Row],[Facturado USD]]&gt;0,1,-1)</f>
        <v>1</v>
      </c>
      <c r="R83" s="22">
        <v>52931</v>
      </c>
      <c r="S83" s="3">
        <f>+IF(Tabla13[[#This Row],[Ingresado USD]]&gt;0,1,-1)</f>
        <v>1</v>
      </c>
      <c r="T83" s="78">
        <v>45721</v>
      </c>
      <c r="U83" s="22">
        <v>52931.26</v>
      </c>
    </row>
    <row r="84" spans="1:22" ht="12" hidden="1" x14ac:dyDescent="0.2">
      <c r="A84" s="3">
        <v>83</v>
      </c>
      <c r="B84" s="3" t="s">
        <v>233</v>
      </c>
      <c r="C8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AuraMinerals_Expansión Mina Paiol OP-UG</v>
      </c>
      <c r="D84" s="3" t="s">
        <v>181</v>
      </c>
      <c r="E84" s="3" t="s">
        <v>234</v>
      </c>
      <c r="F84" s="3" t="s">
        <v>235</v>
      </c>
      <c r="G84" s="3">
        <v>2025</v>
      </c>
      <c r="H84" s="3">
        <f>+IF(Tabla13[[#This Row],[Proyectado USD]]&gt;0,1,-1)</f>
        <v>-1</v>
      </c>
      <c r="I84" s="15"/>
      <c r="J84" s="21"/>
      <c r="K84" s="3">
        <f>+IF(Tabla13[[#This Row],[Emitido USD]]&gt;0,1,-1)</f>
        <v>1</v>
      </c>
      <c r="L84" s="73">
        <v>45709</v>
      </c>
      <c r="M84" s="3">
        <v>2</v>
      </c>
      <c r="N84" s="22">
        <v>58804</v>
      </c>
      <c r="O84" s="6">
        <v>62</v>
      </c>
      <c r="P84" s="76">
        <v>45727</v>
      </c>
      <c r="Q84" s="3">
        <f>+IF(Tabla13[[#This Row],[Facturado USD]]&gt;0,1,-1)</f>
        <v>1</v>
      </c>
      <c r="R84" s="22">
        <v>54268</v>
      </c>
      <c r="S84" s="3">
        <f>+IF(Tabla13[[#This Row],[Ingresado USD]]&gt;0,1,-1)</f>
        <v>1</v>
      </c>
      <c r="T84" s="78">
        <v>45769</v>
      </c>
      <c r="U84" s="22">
        <v>54268</v>
      </c>
    </row>
    <row r="85" spans="1:22" ht="12" hidden="1" x14ac:dyDescent="0.2">
      <c r="A85" s="3">
        <v>84</v>
      </c>
      <c r="B85" s="3" t="s">
        <v>233</v>
      </c>
      <c r="C8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AuraMinerals_Expansión Mina Paiol OP-UG</v>
      </c>
      <c r="D85" s="3" t="s">
        <v>181</v>
      </c>
      <c r="E85" s="3" t="s">
        <v>234</v>
      </c>
      <c r="F85" s="3" t="s">
        <v>235</v>
      </c>
      <c r="G85" s="3">
        <v>2025</v>
      </c>
      <c r="H85" s="3">
        <f>+IF(Tabla13[[#This Row],[Proyectado USD]]&gt;0,1,-1)</f>
        <v>-1</v>
      </c>
      <c r="I85" s="15"/>
      <c r="J85" s="21"/>
      <c r="K85" s="3">
        <f>+IF(Tabla13[[#This Row],[Emitido USD]]&gt;0,1,-1)</f>
        <v>1</v>
      </c>
      <c r="L85" s="73">
        <v>45737</v>
      </c>
      <c r="M85" s="3">
        <v>3</v>
      </c>
      <c r="N85" s="22">
        <v>20260.62</v>
      </c>
      <c r="O85" s="6">
        <v>66</v>
      </c>
      <c r="P85" s="78">
        <v>45740</v>
      </c>
      <c r="Q85" s="3">
        <f>+IF(Tabla13[[#This Row],[Facturado USD]]&gt;0,1,-1)</f>
        <v>1</v>
      </c>
      <c r="R85" s="22">
        <v>28982</v>
      </c>
      <c r="S85" s="3">
        <f>+IF(Tabla13[[#This Row],[Ingresado USD]]&gt;0,1,-1)</f>
        <v>1</v>
      </c>
      <c r="T85" s="78">
        <v>45797</v>
      </c>
      <c r="U85" s="22">
        <v>28982</v>
      </c>
    </row>
    <row r="86" spans="1:22" ht="12" hidden="1" x14ac:dyDescent="0.2">
      <c r="A86" s="3">
        <v>85</v>
      </c>
      <c r="B86" s="3" t="s">
        <v>233</v>
      </c>
      <c r="C8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AuraMinerals_Expansión Mina Paiol OP-UG</v>
      </c>
      <c r="D86" s="3" t="s">
        <v>181</v>
      </c>
      <c r="E86" s="3" t="s">
        <v>234</v>
      </c>
      <c r="F86" s="3" t="s">
        <v>235</v>
      </c>
      <c r="G86" s="3">
        <v>2025</v>
      </c>
      <c r="H86" s="3">
        <f>+IF(Tabla13[[#This Row],[Proyectado USD]]&gt;0,1,-1)</f>
        <v>-1</v>
      </c>
      <c r="I86" s="15"/>
      <c r="J86" s="21"/>
      <c r="K86" s="3">
        <f>+IF(Tabla13[[#This Row],[Emitido USD]]&gt;0,1,-1)</f>
        <v>1</v>
      </c>
      <c r="L86" s="73">
        <v>45768</v>
      </c>
      <c r="M86" s="3">
        <v>4</v>
      </c>
      <c r="N86" s="22">
        <v>46562</v>
      </c>
      <c r="O86" s="6">
        <v>68</v>
      </c>
      <c r="P86" s="78">
        <v>45786</v>
      </c>
      <c r="Q86" s="3">
        <f>+IF(Tabla13[[#This Row],[Facturado USD]]&gt;0,1,-1)</f>
        <v>1</v>
      </c>
      <c r="R86" s="22">
        <v>41295</v>
      </c>
      <c r="S86" s="3">
        <f>+IF(Tabla13[[#This Row],[Ingresado USD]]&gt;0,1,-1)</f>
        <v>1</v>
      </c>
      <c r="T86" s="78">
        <v>45828</v>
      </c>
      <c r="U86" s="22">
        <v>41295</v>
      </c>
    </row>
    <row r="87" spans="1:22" ht="12" hidden="1" x14ac:dyDescent="0.2">
      <c r="A87" s="3">
        <v>86</v>
      </c>
      <c r="B87" s="3" t="s">
        <v>233</v>
      </c>
      <c r="C8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AuraMinerals_Expansión Mina Paiol OP-UG</v>
      </c>
      <c r="D87" s="3" t="s">
        <v>181</v>
      </c>
      <c r="E87" s="3" t="s">
        <v>234</v>
      </c>
      <c r="F87" s="3" t="s">
        <v>235</v>
      </c>
      <c r="G87" s="3">
        <v>2025</v>
      </c>
      <c r="H87" s="3">
        <f>+IF(Tabla13[[#This Row],[Proyectado USD]]&gt;0,1,-1)</f>
        <v>-1</v>
      </c>
      <c r="I87" s="15"/>
      <c r="J87" s="21"/>
      <c r="K87" s="3">
        <f>+IF(Tabla13[[#This Row],[Emitido USD]]&gt;0,1,-1)</f>
        <v>1</v>
      </c>
      <c r="L87" s="73">
        <v>45798</v>
      </c>
      <c r="M87" s="3">
        <v>5</v>
      </c>
      <c r="N87" s="22">
        <v>23599</v>
      </c>
      <c r="O87" s="6">
        <v>76</v>
      </c>
      <c r="P87" s="78">
        <v>45852</v>
      </c>
      <c r="Q87" s="3">
        <f>+IF(Tabla13[[#This Row],[Facturado USD]]&gt;0,1,-1)</f>
        <v>1</v>
      </c>
      <c r="R87" s="22">
        <v>21546.13</v>
      </c>
      <c r="S87" s="3">
        <f>+IF(Tabla13[[#This Row],[Ingresado USD]]&gt;0,1,-1)</f>
        <v>1</v>
      </c>
      <c r="T87" s="78">
        <v>45863</v>
      </c>
      <c r="U87" s="22">
        <v>21546.13</v>
      </c>
    </row>
    <row r="88" spans="1:22" ht="12" hidden="1" x14ac:dyDescent="0.2">
      <c r="A88" s="3">
        <v>87</v>
      </c>
      <c r="B88" s="3" t="s">
        <v>233</v>
      </c>
      <c r="C8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AuraMinerals_Expansión Mina Paiol OP-UG</v>
      </c>
      <c r="D88" s="3" t="s">
        <v>181</v>
      </c>
      <c r="E88" s="3" t="s">
        <v>234</v>
      </c>
      <c r="F88" s="3" t="s">
        <v>235</v>
      </c>
      <c r="G88" s="3">
        <v>2025</v>
      </c>
      <c r="H88" s="3">
        <f>+IF(Tabla13[[#This Row],[Proyectado USD]]&gt;0,1,-1)</f>
        <v>-1</v>
      </c>
      <c r="I88" s="15"/>
      <c r="J88" s="21"/>
      <c r="K88" s="3">
        <f>+IF(Tabla13[[#This Row],[Emitido USD]]&gt;0,1,-1)</f>
        <v>1</v>
      </c>
      <c r="L88" s="73">
        <v>45829</v>
      </c>
      <c r="M88" s="3">
        <v>6</v>
      </c>
      <c r="N88" s="22">
        <v>30544</v>
      </c>
      <c r="O88" s="6">
        <v>77</v>
      </c>
      <c r="P88" s="78">
        <v>45852</v>
      </c>
      <c r="Q88" s="3">
        <f>+IF(Tabla13[[#This Row],[Facturado USD]]&gt;0,1,-1)</f>
        <v>1</v>
      </c>
      <c r="R88" s="22">
        <v>25680.84</v>
      </c>
      <c r="S88" s="3">
        <f>+IF(Tabla13[[#This Row],[Ingresado USD]]&gt;0,1,-1)</f>
        <v>1</v>
      </c>
      <c r="T88" s="78">
        <v>45863</v>
      </c>
      <c r="U88" s="22">
        <v>25680.84</v>
      </c>
    </row>
    <row r="89" spans="1:22" ht="12" hidden="1" x14ac:dyDescent="0.2">
      <c r="A89" s="3">
        <v>88</v>
      </c>
      <c r="B89" s="3" t="s">
        <v>233</v>
      </c>
      <c r="C8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AuraMinerals_Expansión Mina Paiol OP-UG</v>
      </c>
      <c r="D89" s="3" t="s">
        <v>181</v>
      </c>
      <c r="E89" s="3" t="s">
        <v>234</v>
      </c>
      <c r="F89" s="3" t="s">
        <v>235</v>
      </c>
      <c r="G89" s="3">
        <v>2025</v>
      </c>
      <c r="H89" s="3">
        <f>+IF(Tabla13[[#This Row],[Proyectado USD]]&gt;0,1,-1)</f>
        <v>-1</v>
      </c>
      <c r="I89" s="15"/>
      <c r="J89" s="21"/>
      <c r="K89" s="3">
        <f>+IF(Tabla13[[#This Row],[Emitido USD]]&gt;0,1,-1)</f>
        <v>1</v>
      </c>
      <c r="L89" s="73">
        <v>45859</v>
      </c>
      <c r="M89" s="3">
        <v>7</v>
      </c>
      <c r="N89" s="22">
        <v>29078</v>
      </c>
      <c r="O89" s="6">
        <v>83</v>
      </c>
      <c r="P89" s="78">
        <v>45874</v>
      </c>
      <c r="Q89" s="3">
        <f>+IF(Tabla13[[#This Row],[Facturado USD]]&gt;0,1,-1)</f>
        <v>1</v>
      </c>
      <c r="R89" s="22">
        <v>28239</v>
      </c>
      <c r="S89" s="3">
        <f>+IF(Tabla13[[#This Row],[Ingresado USD]]&gt;0,1,-1)</f>
        <v>1</v>
      </c>
      <c r="T89" s="78">
        <v>45905</v>
      </c>
      <c r="U89" s="22">
        <v>28549</v>
      </c>
    </row>
    <row r="90" spans="1:22" ht="12" hidden="1" x14ac:dyDescent="0.2">
      <c r="A90" s="3">
        <v>89</v>
      </c>
      <c r="B90" s="3" t="s">
        <v>233</v>
      </c>
      <c r="C9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AuraMinerals_Expansión Mina Paiol OP-UG</v>
      </c>
      <c r="D90" s="3" t="s">
        <v>181</v>
      </c>
      <c r="E90" s="3" t="s">
        <v>234</v>
      </c>
      <c r="F90" s="3" t="s">
        <v>235</v>
      </c>
      <c r="G90" s="3">
        <v>2025</v>
      </c>
      <c r="H90" s="3">
        <f>+IF(Tabla13[[#This Row],[Proyectado USD]]&gt;0,1,-1)</f>
        <v>-1</v>
      </c>
      <c r="I90" s="15"/>
      <c r="J90" s="21"/>
      <c r="K90" s="3">
        <f>+IF(Tabla13[[#This Row],[Emitido USD]]&gt;0,1,-1)</f>
        <v>1</v>
      </c>
      <c r="L90" s="73">
        <v>45889</v>
      </c>
      <c r="M90" s="3">
        <v>8</v>
      </c>
      <c r="N90" s="22">
        <v>19194</v>
      </c>
      <c r="O90" s="6">
        <v>91</v>
      </c>
      <c r="P90" s="78">
        <v>45905</v>
      </c>
      <c r="Q90" s="3">
        <f>+IF(Tabla13[[#This Row],[Facturado USD]]&gt;0,1,-1)</f>
        <v>1</v>
      </c>
      <c r="R90" s="22">
        <v>20203</v>
      </c>
      <c r="S90" s="3">
        <f>+IF(Tabla13[[#This Row],[Ingresado USD]]&gt;0,1,-1)</f>
        <v>1</v>
      </c>
      <c r="T90" s="78">
        <v>45950</v>
      </c>
      <c r="U90" s="22">
        <v>19014.259259259259</v>
      </c>
    </row>
    <row r="91" spans="1:22" ht="12" hidden="1" x14ac:dyDescent="0.2">
      <c r="A91" s="3">
        <v>90</v>
      </c>
      <c r="B91" s="3" t="s">
        <v>233</v>
      </c>
      <c r="C9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AuraMinerals_Expansión Mina Paiol OP-UG</v>
      </c>
      <c r="D91" s="3" t="s">
        <v>181</v>
      </c>
      <c r="E91" s="3" t="s">
        <v>234</v>
      </c>
      <c r="F91" s="3" t="s">
        <v>235</v>
      </c>
      <c r="G91" s="3">
        <v>2025</v>
      </c>
      <c r="H91" s="3">
        <f>+IF(Tabla13[[#This Row],[Proyectado USD]]&gt;0,1,-1)</f>
        <v>-1</v>
      </c>
      <c r="I91" s="15"/>
      <c r="J91" s="21"/>
      <c r="K91" s="3">
        <f>+IF(Tabla13[[#This Row],[Emitido USD]]&gt;0,1,-1)</f>
        <v>1</v>
      </c>
      <c r="L91" s="73">
        <v>45915</v>
      </c>
      <c r="M91" s="3">
        <v>9</v>
      </c>
      <c r="N91" s="22">
        <v>16193</v>
      </c>
      <c r="O91" s="6">
        <v>98</v>
      </c>
      <c r="P91" s="78">
        <v>45936</v>
      </c>
      <c r="Q91" s="3">
        <f>+IF(Tabla13[[#This Row],[Facturado USD]]&gt;0,1,-1)</f>
        <v>1</v>
      </c>
      <c r="R91" s="22">
        <v>17271</v>
      </c>
      <c r="S91" s="3">
        <f>+IF(Tabla13[[#This Row],[Ingresado USD]]&gt;0,1,-1)</f>
        <v>1</v>
      </c>
      <c r="T91" s="78">
        <v>45966</v>
      </c>
      <c r="U91" s="22">
        <v>16041</v>
      </c>
    </row>
    <row r="92" spans="1:22" ht="12" hidden="1" x14ac:dyDescent="0.2">
      <c r="A92" s="3">
        <v>91</v>
      </c>
      <c r="B92" s="3" t="s">
        <v>233</v>
      </c>
      <c r="C9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AuraMinerals_Expansión Mina Paiol OP-UG</v>
      </c>
      <c r="D92" s="3" t="s">
        <v>181</v>
      </c>
      <c r="E92" s="3" t="s">
        <v>234</v>
      </c>
      <c r="F92" s="3" t="s">
        <v>235</v>
      </c>
      <c r="G92" s="3">
        <v>2025</v>
      </c>
      <c r="H92" s="3">
        <f>+IF(Tabla13[[#This Row],[Proyectado USD]]&gt;0,1,-1)</f>
        <v>-1</v>
      </c>
      <c r="I92" s="15"/>
      <c r="J92" s="21"/>
      <c r="K92" s="3">
        <f>+IF(Tabla13[[#This Row],[Emitido USD]]&gt;0,1,-1)</f>
        <v>1</v>
      </c>
      <c r="L92" s="73">
        <v>45945</v>
      </c>
      <c r="M92" s="3">
        <v>10</v>
      </c>
      <c r="N92" s="22">
        <v>11621</v>
      </c>
      <c r="O92" s="6">
        <v>110</v>
      </c>
      <c r="P92" s="78">
        <v>45974</v>
      </c>
      <c r="Q92" s="3">
        <f>+IF(Tabla13[[#This Row],[Facturado USD]]&gt;0,1,-1)</f>
        <v>1</v>
      </c>
      <c r="R92" s="22">
        <v>9828</v>
      </c>
      <c r="S92" s="3">
        <f>+IF(Tabla13[[#This Row],[Ingresado USD]]&gt;0,1,-1)</f>
        <v>1</v>
      </c>
      <c r="T92" s="78">
        <v>46011</v>
      </c>
      <c r="U92" s="22">
        <v>9828</v>
      </c>
    </row>
    <row r="93" spans="1:22" s="26" customFormat="1" ht="12" hidden="1" x14ac:dyDescent="0.2">
      <c r="A93" s="3">
        <v>92</v>
      </c>
      <c r="B93" s="3" t="s">
        <v>672</v>
      </c>
      <c r="C9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AuraMinerals_Proyecto Paiol PFS UG</v>
      </c>
      <c r="D9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AuraMinerals_Proyecto Paiol PFS UG</v>
      </c>
      <c r="E93" s="3" t="s">
        <v>234</v>
      </c>
      <c r="F93" s="3" t="s">
        <v>235</v>
      </c>
      <c r="G93" s="3">
        <v>2025</v>
      </c>
      <c r="H93" s="3">
        <f>+IF(Tabla13[[#This Row],[Proyectado USD]]&gt;0,1,-1)</f>
        <v>-1</v>
      </c>
      <c r="I93" s="15"/>
      <c r="J93" s="21"/>
      <c r="K93" s="3">
        <f>+IF(Tabla13[[#This Row],[Emitido USD]]&gt;0,1,-1)</f>
        <v>1</v>
      </c>
      <c r="L93" s="73">
        <v>45976</v>
      </c>
      <c r="M93" s="3">
        <v>1</v>
      </c>
      <c r="N93" s="22">
        <v>8652</v>
      </c>
      <c r="O93" s="6">
        <v>116</v>
      </c>
      <c r="P93" s="76">
        <v>45996</v>
      </c>
      <c r="Q93" s="3">
        <f>+IF(Tabla13[[#This Row],[Facturado USD]]&gt;0,1,-1)</f>
        <v>1</v>
      </c>
      <c r="R93" s="22">
        <f>46129.43/5.33</f>
        <v>8654.6772983114442</v>
      </c>
      <c r="S93" s="3">
        <f>+IF(Tabla13[[#This Row],[Ingresado USD]]&gt;0,1,-1)</f>
        <v>1</v>
      </c>
      <c r="T93" s="78">
        <v>46027</v>
      </c>
      <c r="U93" s="22">
        <v>8310</v>
      </c>
      <c r="V93" s="3"/>
    </row>
    <row r="94" spans="1:22" ht="12" hidden="1" x14ac:dyDescent="0.2">
      <c r="A94" s="3">
        <v>93</v>
      </c>
      <c r="B94" s="3" t="s">
        <v>672</v>
      </c>
      <c r="C9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AuraMinerals_Proyecto Paiol PFS UG</v>
      </c>
      <c r="D9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AuraMinerals_Proyecto Paiol PFS UG</v>
      </c>
      <c r="E94" s="3" t="s">
        <v>234</v>
      </c>
      <c r="F94" s="3" t="s">
        <v>235</v>
      </c>
      <c r="G94" s="3">
        <v>2025</v>
      </c>
      <c r="H94" s="3">
        <f>+IF(Tabla13[[#This Row],[Proyectado USD]]&gt;0,1,-1)</f>
        <v>-1</v>
      </c>
      <c r="I94" s="15"/>
      <c r="J94" s="21"/>
      <c r="K94" s="3">
        <f>+IF(Tabla13[[#This Row],[Emitido USD]]&gt;0,1,-1)</f>
        <v>1</v>
      </c>
      <c r="L94" s="73">
        <v>46006</v>
      </c>
      <c r="M94" s="3">
        <v>2</v>
      </c>
      <c r="N94" s="22">
        <v>23872</v>
      </c>
      <c r="O94" s="71">
        <v>119</v>
      </c>
      <c r="P94" s="76">
        <v>46014</v>
      </c>
      <c r="Q94" s="3">
        <f>+IF(Tabla13[[#This Row],[Facturado USD]]&gt;0,1,-1)</f>
        <v>1</v>
      </c>
      <c r="R94" s="22">
        <v>23872</v>
      </c>
      <c r="S94" s="3">
        <f>+IF(Tabla13[[#This Row],[Ingresado USD]]&gt;0,1,-1)</f>
        <v>1</v>
      </c>
      <c r="T94" s="78">
        <v>46058</v>
      </c>
      <c r="U94" s="22">
        <v>23622</v>
      </c>
    </row>
    <row r="95" spans="1:22" ht="12" hidden="1" x14ac:dyDescent="0.2">
      <c r="A95" s="3">
        <v>238</v>
      </c>
      <c r="B95" s="3" t="s">
        <v>848</v>
      </c>
      <c r="C9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Codelco_DET Rajo Sur</v>
      </c>
      <c r="D95" s="3" t="s">
        <v>849</v>
      </c>
      <c r="E95" s="3" t="s">
        <v>291</v>
      </c>
      <c r="F95" s="3" t="s">
        <v>251</v>
      </c>
      <c r="G95" s="3">
        <v>2026</v>
      </c>
      <c r="H95" s="3">
        <f>+IF(Tabla13[[#This Row],[Proyectado USD]]&gt;0,1,-1)</f>
        <v>-1</v>
      </c>
      <c r="I95" s="15"/>
      <c r="J95" s="21"/>
      <c r="K95" s="3">
        <f>+IF(Tabla13[[#This Row],[Emitido USD]]&gt;0,1,-1)</f>
        <v>1</v>
      </c>
      <c r="L95" s="73">
        <v>46171</v>
      </c>
      <c r="M95" s="3">
        <v>1</v>
      </c>
      <c r="N95" s="22">
        <v>17443</v>
      </c>
      <c r="O95" s="6" t="s">
        <v>69</v>
      </c>
      <c r="P95" s="76"/>
      <c r="Q95" s="3">
        <f>+IF(Tabla13[[#This Row],[Facturado USD]]&gt;0,1,-1)</f>
        <v>-1</v>
      </c>
      <c r="S95" s="3">
        <f>+IF(Tabla13[[#This Row],[Ingresado USD]]&gt;0,1,-1)</f>
        <v>-1</v>
      </c>
      <c r="T95" s="78"/>
    </row>
    <row r="96" spans="1:22" ht="12" hidden="1" x14ac:dyDescent="0.2">
      <c r="A96" s="3">
        <v>266</v>
      </c>
      <c r="B96" s="3" t="s">
        <v>853</v>
      </c>
      <c r="C9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Collahuasi_Mining Simulation Study</v>
      </c>
      <c r="D96" s="3" t="s">
        <v>854</v>
      </c>
      <c r="E96" s="3" t="s">
        <v>306</v>
      </c>
      <c r="F96" s="3" t="s">
        <v>251</v>
      </c>
      <c r="G96" s="3">
        <v>2026</v>
      </c>
      <c r="H96" s="3">
        <f>+IF(Tabla13[[#This Row],[Proyectado USD]]&gt;0,1,-1)</f>
        <v>-1</v>
      </c>
      <c r="I96" s="15"/>
      <c r="J96" s="21"/>
      <c r="K96" s="3">
        <f>+IF(Tabla13[[#This Row],[Emitido USD]]&gt;0,1,-1)</f>
        <v>1</v>
      </c>
      <c r="L96" s="73">
        <v>46171</v>
      </c>
      <c r="M96" s="3">
        <v>1</v>
      </c>
      <c r="N96" s="22">
        <v>106628</v>
      </c>
      <c r="O96" s="6" t="s">
        <v>69</v>
      </c>
      <c r="P96" s="76"/>
      <c r="Q96" s="3">
        <f>+IF(Tabla13[[#This Row],[Facturado USD]]&gt;0,1,-1)</f>
        <v>-1</v>
      </c>
      <c r="S96" s="3">
        <f>+IF(Tabla13[[#This Row],[Ingresado USD]]&gt;0,1,-1)</f>
        <v>-1</v>
      </c>
      <c r="T96" s="78"/>
    </row>
    <row r="97" spans="1:22" ht="12" hidden="1" x14ac:dyDescent="0.2">
      <c r="A97" s="3">
        <v>636</v>
      </c>
      <c r="B97" s="3" t="s">
        <v>669</v>
      </c>
      <c r="C9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Resolution_General Review</v>
      </c>
      <c r="D97" s="3" t="s">
        <v>673</v>
      </c>
      <c r="E97" s="3" t="s">
        <v>670</v>
      </c>
      <c r="F97" s="3" t="s">
        <v>469</v>
      </c>
      <c r="G97" s="3">
        <v>2026</v>
      </c>
      <c r="H97" s="3">
        <f>+IF(Tabla13[[#This Row],[Proyectado USD]]&gt;0,1,-1)</f>
        <v>-1</v>
      </c>
      <c r="I97" s="15"/>
      <c r="J97" s="21"/>
      <c r="K97" s="3">
        <f>+IF(Tabla13[[#This Row],[Emitido USD]]&gt;0,1,-1)</f>
        <v>1</v>
      </c>
      <c r="L97" s="73">
        <v>46171</v>
      </c>
      <c r="M97" s="3">
        <v>7</v>
      </c>
      <c r="N97" s="22">
        <v>31080</v>
      </c>
      <c r="O97" s="6" t="s">
        <v>69</v>
      </c>
      <c r="P97" s="76"/>
      <c r="Q97" s="3">
        <f>+IF(Tabla13[[#This Row],[Facturado USD]]&gt;0,1,-1)</f>
        <v>-1</v>
      </c>
      <c r="S97" s="3">
        <f>+IF(Tabla13[[#This Row],[Ingresado USD]]&gt;0,1,-1)</f>
        <v>-1</v>
      </c>
      <c r="T97" s="78"/>
    </row>
    <row r="98" spans="1:22" ht="12" hidden="1" x14ac:dyDescent="0.2">
      <c r="A98" s="3">
        <v>100</v>
      </c>
      <c r="B98" s="3" t="s">
        <v>757</v>
      </c>
      <c r="C9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Barrick_Production at Risk Veladero</v>
      </c>
      <c r="D98" s="3" t="s">
        <v>759</v>
      </c>
      <c r="E98" s="3" t="s">
        <v>761</v>
      </c>
      <c r="F98" s="3" t="s">
        <v>251</v>
      </c>
      <c r="G98" s="3">
        <v>2026</v>
      </c>
      <c r="H98" s="3">
        <f>+IF(Tabla13[[#This Row],[Proyectado USD]]&gt;0,1,-1)</f>
        <v>-1</v>
      </c>
      <c r="I98" s="15"/>
      <c r="J98" s="21"/>
      <c r="K98" s="3">
        <f>+IF(Tabla13[[#This Row],[Emitido USD]]&gt;0,1,-1)</f>
        <v>1</v>
      </c>
      <c r="L98" s="73">
        <v>46167</v>
      </c>
      <c r="M98" s="3">
        <v>2</v>
      </c>
      <c r="N98" s="22">
        <v>25350</v>
      </c>
      <c r="O98" s="6" t="s">
        <v>69</v>
      </c>
      <c r="P98" s="76"/>
      <c r="Q98" s="3">
        <f>+IF(Tabla13[[#This Row],[Facturado USD]]&gt;0,1,-1)</f>
        <v>-1</v>
      </c>
      <c r="S98" s="3">
        <f>+IF(Tabla13[[#This Row],[Ingresado USD]]&gt;0,1,-1)</f>
        <v>-1</v>
      </c>
      <c r="T98" s="78"/>
    </row>
    <row r="99" spans="1:22" ht="12" hidden="1" x14ac:dyDescent="0.2">
      <c r="A99" s="3">
        <v>98</v>
      </c>
      <c r="B99" s="3" t="s">
        <v>320</v>
      </c>
      <c r="C9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Banco Santander_Yauricocha y Bolivar</v>
      </c>
      <c r="D99" s="3" t="s">
        <v>321</v>
      </c>
      <c r="E99" s="3" t="s">
        <v>322</v>
      </c>
      <c r="F99" s="3" t="s">
        <v>318</v>
      </c>
      <c r="G99" s="3">
        <v>2024</v>
      </c>
      <c r="H99" s="3">
        <f>+IF(Tabla13[[#This Row],[Proyectado USD]]&gt;0,1,-1)</f>
        <v>1</v>
      </c>
      <c r="I99" s="15">
        <v>45444</v>
      </c>
      <c r="J99" s="21">
        <v>13339.999999999998</v>
      </c>
      <c r="K99" s="3">
        <f>+IF(Tabla13[[#This Row],[Emitido USD]]&gt;0,1,-1)</f>
        <v>1</v>
      </c>
      <c r="L99" s="73">
        <v>45467</v>
      </c>
      <c r="M99" s="3">
        <v>1</v>
      </c>
      <c r="N99" s="22">
        <v>88166</v>
      </c>
      <c r="O99" s="6" t="s">
        <v>164</v>
      </c>
      <c r="P99" s="73">
        <v>45467</v>
      </c>
      <c r="Q99" s="3">
        <f>+IF(Tabla13[[#This Row],[Facturado USD]]&gt;0,1,-1)</f>
        <v>1</v>
      </c>
      <c r="R99" s="22">
        <v>88166</v>
      </c>
      <c r="S99" s="3">
        <f>+IF(Tabla13[[#This Row],[Ingresado USD]]&gt;0,1,-1)</f>
        <v>1</v>
      </c>
      <c r="T99" s="78">
        <v>45470</v>
      </c>
      <c r="U99" s="22">
        <v>88166</v>
      </c>
      <c r="V99" s="3" t="s">
        <v>300</v>
      </c>
    </row>
    <row r="100" spans="1:22" ht="12" hidden="1" x14ac:dyDescent="0.2">
      <c r="A100" s="3">
        <v>300</v>
      </c>
      <c r="B100" s="3" t="s">
        <v>702</v>
      </c>
      <c r="C10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ElBrocal_Estudio Geomecanico Estabilidad</v>
      </c>
      <c r="D100" s="3" t="s">
        <v>703</v>
      </c>
      <c r="E100" s="3" t="s">
        <v>806</v>
      </c>
      <c r="F100" s="3" t="s">
        <v>318</v>
      </c>
      <c r="G100" s="3">
        <v>2026</v>
      </c>
      <c r="H100" s="3">
        <f>+IF(Tabla13[[#This Row],[Proyectado USD]]&gt;0,1,-1)</f>
        <v>-1</v>
      </c>
      <c r="I100" s="15"/>
      <c r="J100" s="21"/>
      <c r="K100" s="3">
        <f>+IF(Tabla13[[#This Row],[Emitido USD]]&gt;0,1,-1)</f>
        <v>1</v>
      </c>
      <c r="L100" s="73">
        <v>46167</v>
      </c>
      <c r="M100" s="3">
        <v>5</v>
      </c>
      <c r="N100" s="22">
        <v>28838</v>
      </c>
      <c r="O100" s="6" t="s">
        <v>69</v>
      </c>
      <c r="P100" s="76"/>
      <c r="Q100" s="3">
        <f>+IF(Tabla13[[#This Row],[Facturado USD]]&gt;0,1,-1)</f>
        <v>-1</v>
      </c>
      <c r="S100" s="3">
        <f>+IF(Tabla13[[#This Row],[Ingresado USD]]&gt;0,1,-1)</f>
        <v>-1</v>
      </c>
      <c r="T100" s="78"/>
    </row>
    <row r="101" spans="1:22" ht="12" hidden="1" x14ac:dyDescent="0.2">
      <c r="A101" s="3">
        <v>349</v>
      </c>
      <c r="B101" s="3" t="s">
        <v>850</v>
      </c>
      <c r="C10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Highlander_Diagnóstico Geomecánico</v>
      </c>
      <c r="D101" s="3" t="s">
        <v>851</v>
      </c>
      <c r="E101" s="3" t="s">
        <v>852</v>
      </c>
      <c r="F101" s="3" t="s">
        <v>318</v>
      </c>
      <c r="G101" s="3">
        <v>2026</v>
      </c>
      <c r="H101" s="3">
        <f>+IF(Tabla13[[#This Row],[Proyectado USD]]&gt;0,1,-1)</f>
        <v>-1</v>
      </c>
      <c r="I101" s="15"/>
      <c r="J101" s="21"/>
      <c r="K101" s="3">
        <f>+IF(Tabla13[[#This Row],[Emitido USD]]&gt;0,1,-1)</f>
        <v>1</v>
      </c>
      <c r="L101" s="73">
        <v>46167</v>
      </c>
      <c r="M101" s="3">
        <v>1</v>
      </c>
      <c r="N101" s="22">
        <v>14939</v>
      </c>
      <c r="O101" s="6" t="s">
        <v>69</v>
      </c>
      <c r="P101" s="76"/>
      <c r="Q101" s="3">
        <f>+IF(Tabla13[[#This Row],[Facturado USD]]&gt;0,1,-1)</f>
        <v>-1</v>
      </c>
      <c r="S101" s="3">
        <f>+IF(Tabla13[[#This Row],[Ingresado USD]]&gt;0,1,-1)</f>
        <v>-1</v>
      </c>
      <c r="T101" s="78"/>
    </row>
    <row r="102" spans="1:22" ht="12" hidden="1" x14ac:dyDescent="0.2">
      <c r="A102" s="3">
        <v>101</v>
      </c>
      <c r="B102" s="3" t="s">
        <v>262</v>
      </c>
      <c r="C10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BHP_Análisis LoA 2025 - SCUT</v>
      </c>
      <c r="D102" s="3" t="s">
        <v>182</v>
      </c>
      <c r="E102" s="3" t="s">
        <v>263</v>
      </c>
      <c r="F102" s="3" t="s">
        <v>251</v>
      </c>
      <c r="G102" s="3">
        <v>2025</v>
      </c>
      <c r="H102" s="3">
        <f>+IF(Tabla13[[#This Row],[Proyectado USD]]&gt;0,1,-1)</f>
        <v>-1</v>
      </c>
      <c r="I102" s="15"/>
      <c r="J102" s="21"/>
      <c r="K102" s="3">
        <f>+IF(Tabla13[[#This Row],[Emitido USD]]&gt;0,1,-1)</f>
        <v>1</v>
      </c>
      <c r="L102" s="73">
        <v>45713</v>
      </c>
      <c r="M102" s="3">
        <v>1</v>
      </c>
      <c r="N102" s="22">
        <v>29950</v>
      </c>
      <c r="O102" s="6">
        <v>275</v>
      </c>
      <c r="P102" s="76">
        <v>45728</v>
      </c>
      <c r="Q102" s="3">
        <f>+IF(Tabla13[[#This Row],[Facturado USD]]&gt;0,1,-1)</f>
        <v>1</v>
      </c>
      <c r="R102" s="22">
        <v>29950</v>
      </c>
      <c r="S102" s="3">
        <f>+IF(Tabla13[[#This Row],[Ingresado USD]]&gt;0,1,-1)</f>
        <v>1</v>
      </c>
      <c r="T102" s="78">
        <v>45735</v>
      </c>
      <c r="U102" s="23">
        <v>31079.115000000002</v>
      </c>
    </row>
    <row r="103" spans="1:22" ht="12" hidden="1" x14ac:dyDescent="0.2">
      <c r="A103" s="3">
        <v>102</v>
      </c>
      <c r="B103" s="3" t="s">
        <v>262</v>
      </c>
      <c r="C10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BHP_Análisis LoA 2025 - SCUT</v>
      </c>
      <c r="D103" s="3" t="s">
        <v>182</v>
      </c>
      <c r="E103" s="3" t="s">
        <v>263</v>
      </c>
      <c r="F103" s="3" t="s">
        <v>251</v>
      </c>
      <c r="G103" s="3">
        <v>2025</v>
      </c>
      <c r="H103" s="3">
        <f>+IF(Tabla13[[#This Row],[Proyectado USD]]&gt;0,1,-1)</f>
        <v>-1</v>
      </c>
      <c r="I103" s="15"/>
      <c r="J103" s="21"/>
      <c r="K103" s="3">
        <f>+IF(Tabla13[[#This Row],[Emitido USD]]&gt;0,1,-1)</f>
        <v>1</v>
      </c>
      <c r="L103" s="73">
        <v>45756</v>
      </c>
      <c r="M103" s="3">
        <v>2</v>
      </c>
      <c r="N103" s="22">
        <v>11230</v>
      </c>
      <c r="O103" s="6">
        <v>303</v>
      </c>
      <c r="P103" s="76">
        <v>45803</v>
      </c>
      <c r="Q103" s="3">
        <f>+IF(Tabla13[[#This Row],[Facturado USD]]&gt;0,1,-1)</f>
        <v>1</v>
      </c>
      <c r="R103" s="22">
        <v>11230</v>
      </c>
      <c r="S103" s="3">
        <f>+IF(Tabla13[[#This Row],[Ingresado USD]]&gt;0,1,-1)</f>
        <v>1</v>
      </c>
      <c r="T103" s="78">
        <v>45834</v>
      </c>
      <c r="U103" s="23">
        <v>11230</v>
      </c>
    </row>
    <row r="104" spans="1:22" ht="12" hidden="1" x14ac:dyDescent="0.2">
      <c r="A104" s="3">
        <v>103</v>
      </c>
      <c r="B104" s="3" t="s">
        <v>262</v>
      </c>
      <c r="C10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BHP_Análisis LoA 2025 - SCUT</v>
      </c>
      <c r="D104" s="3" t="s">
        <v>182</v>
      </c>
      <c r="E104" s="3" t="s">
        <v>263</v>
      </c>
      <c r="F104" s="3" t="s">
        <v>251</v>
      </c>
      <c r="G104" s="3">
        <v>2025</v>
      </c>
      <c r="H104" s="3">
        <f>+IF(Tabla13[[#This Row],[Proyectado USD]]&gt;0,1,-1)</f>
        <v>-1</v>
      </c>
      <c r="I104" s="15"/>
      <c r="J104" s="21"/>
      <c r="K104" s="3">
        <f>+IF(Tabla13[[#This Row],[Emitido USD]]&gt;0,1,-1)</f>
        <v>1</v>
      </c>
      <c r="L104" s="73">
        <v>45807</v>
      </c>
      <c r="M104" s="3">
        <v>3</v>
      </c>
      <c r="N104" s="22">
        <v>6410</v>
      </c>
      <c r="O104" s="6">
        <v>312</v>
      </c>
      <c r="P104" s="76">
        <v>45817</v>
      </c>
      <c r="Q104" s="3">
        <f>+IF(Tabla13[[#This Row],[Facturado USD]]&gt;0,1,-1)</f>
        <v>1</v>
      </c>
      <c r="R104" s="22">
        <v>6410</v>
      </c>
      <c r="S104" s="3">
        <f>+IF(Tabla13[[#This Row],[Ingresado USD]]&gt;0,1,-1)</f>
        <v>1</v>
      </c>
      <c r="T104" s="78">
        <v>45824</v>
      </c>
      <c r="U104" s="23">
        <v>6410</v>
      </c>
    </row>
    <row r="105" spans="1:22" ht="12" hidden="1" x14ac:dyDescent="0.2">
      <c r="A105" s="3">
        <v>104</v>
      </c>
      <c r="B105" s="3" t="s">
        <v>264</v>
      </c>
      <c r="C10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BHP_Medidas de Cierre Botaderos</v>
      </c>
      <c r="D105" s="3" t="s">
        <v>183</v>
      </c>
      <c r="E105" s="3" t="s">
        <v>263</v>
      </c>
      <c r="F105" s="3" t="s">
        <v>251</v>
      </c>
      <c r="G105" s="3">
        <v>2025</v>
      </c>
      <c r="H105" s="3">
        <f>+IF(Tabla13[[#This Row],[Proyectado USD]]&gt;0,1,-1)</f>
        <v>-1</v>
      </c>
      <c r="I105" s="15"/>
      <c r="J105" s="21"/>
      <c r="K105" s="3">
        <f>+IF(Tabla13[[#This Row],[Emitido USD]]&gt;0,1,-1)</f>
        <v>1</v>
      </c>
      <c r="L105" s="73">
        <v>45680</v>
      </c>
      <c r="M105" s="3">
        <v>1</v>
      </c>
      <c r="N105" s="22">
        <v>81369</v>
      </c>
      <c r="O105" s="6">
        <v>273</v>
      </c>
      <c r="P105" s="76">
        <v>45728</v>
      </c>
      <c r="Q105" s="3">
        <f>+IF(Tabla13[[#This Row],[Facturado USD]]&gt;0,1,-1)</f>
        <v>1</v>
      </c>
      <c r="R105" s="22">
        <v>81369</v>
      </c>
      <c r="S105" s="3">
        <f>+IF(Tabla13[[#This Row],[Ingresado USD]]&gt;0,1,-1)</f>
        <v>1</v>
      </c>
      <c r="T105" s="78">
        <v>45735</v>
      </c>
      <c r="U105" s="23">
        <v>84436.611300000004</v>
      </c>
    </row>
    <row r="106" spans="1:22" ht="12" hidden="1" x14ac:dyDescent="0.2">
      <c r="A106" s="3">
        <v>105</v>
      </c>
      <c r="B106" s="3" t="s">
        <v>264</v>
      </c>
      <c r="C10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BHP_Medidas de Cierre Botaderos</v>
      </c>
      <c r="D106" s="3" t="s">
        <v>183</v>
      </c>
      <c r="E106" s="3" t="s">
        <v>263</v>
      </c>
      <c r="F106" s="3" t="s">
        <v>251</v>
      </c>
      <c r="G106" s="3">
        <v>2025</v>
      </c>
      <c r="H106" s="3">
        <f>+IF(Tabla13[[#This Row],[Proyectado USD]]&gt;0,1,-1)</f>
        <v>-1</v>
      </c>
      <c r="I106" s="15"/>
      <c r="J106" s="21"/>
      <c r="K106" s="3">
        <f>+IF(Tabla13[[#This Row],[Emitido USD]]&gt;0,1,-1)</f>
        <v>1</v>
      </c>
      <c r="L106" s="73">
        <v>45703</v>
      </c>
      <c r="M106" s="3">
        <v>2</v>
      </c>
      <c r="N106" s="22">
        <v>127260</v>
      </c>
      <c r="O106" s="6">
        <v>274</v>
      </c>
      <c r="P106" s="76">
        <v>45728</v>
      </c>
      <c r="Q106" s="3">
        <f>+IF(Tabla13[[#This Row],[Facturado USD]]&gt;0,1,-1)</f>
        <v>1</v>
      </c>
      <c r="R106" s="22">
        <v>127249.49</v>
      </c>
      <c r="S106" s="3">
        <f>+IF(Tabla13[[#This Row],[Ingresado USD]]&gt;0,1,-1)</f>
        <v>1</v>
      </c>
      <c r="T106" s="78">
        <v>45735</v>
      </c>
      <c r="U106" s="23">
        <v>132046.2873</v>
      </c>
    </row>
    <row r="107" spans="1:22" ht="12" hidden="1" x14ac:dyDescent="0.2">
      <c r="A107" s="3">
        <v>106</v>
      </c>
      <c r="B107" s="3" t="s">
        <v>264</v>
      </c>
      <c r="C10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BHP_Medidas de Cierre Botaderos</v>
      </c>
      <c r="D107" s="3" t="s">
        <v>183</v>
      </c>
      <c r="E107" s="3" t="s">
        <v>263</v>
      </c>
      <c r="F107" s="3" t="s">
        <v>251</v>
      </c>
      <c r="G107" s="3">
        <v>2025</v>
      </c>
      <c r="H107" s="3">
        <f>+IF(Tabla13[[#This Row],[Proyectado USD]]&gt;0,1,-1)</f>
        <v>-1</v>
      </c>
      <c r="I107" s="15"/>
      <c r="J107" s="21"/>
      <c r="K107" s="3">
        <f>+IF(Tabla13[[#This Row],[Emitido USD]]&gt;0,1,-1)</f>
        <v>1</v>
      </c>
      <c r="L107" s="73">
        <v>45740</v>
      </c>
      <c r="M107" s="3">
        <v>3</v>
      </c>
      <c r="N107" s="22">
        <v>87736</v>
      </c>
      <c r="O107" s="6">
        <v>292</v>
      </c>
      <c r="P107" s="76">
        <v>45777</v>
      </c>
      <c r="Q107" s="3">
        <f>+IF(Tabla13[[#This Row],[Facturado USD]]&gt;0,1,-1)</f>
        <v>1</v>
      </c>
      <c r="R107" s="22">
        <v>87736</v>
      </c>
      <c r="S107" s="3">
        <f>+IF(Tabla13[[#This Row],[Ingresado USD]]&gt;0,1,-1)</f>
        <v>1</v>
      </c>
      <c r="T107" s="78">
        <v>45785</v>
      </c>
      <c r="U107" s="22">
        <v>87736</v>
      </c>
    </row>
    <row r="108" spans="1:22" ht="12" hidden="1" x14ac:dyDescent="0.2">
      <c r="A108" s="3">
        <v>107</v>
      </c>
      <c r="B108" s="3" t="s">
        <v>264</v>
      </c>
      <c r="C10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BHP_Medidas de Cierre Botaderos</v>
      </c>
      <c r="D108" s="3" t="s">
        <v>183</v>
      </c>
      <c r="E108" s="3" t="s">
        <v>263</v>
      </c>
      <c r="F108" s="3" t="s">
        <v>251</v>
      </c>
      <c r="G108" s="3">
        <v>2025</v>
      </c>
      <c r="H108" s="3">
        <f>+IF(Tabla13[[#This Row],[Proyectado USD]]&gt;0,1,-1)</f>
        <v>-1</v>
      </c>
      <c r="I108" s="15"/>
      <c r="J108" s="21"/>
      <c r="K108" s="3">
        <f>+IF(Tabla13[[#This Row],[Emitido USD]]&gt;0,1,-1)</f>
        <v>1</v>
      </c>
      <c r="L108" s="73">
        <v>45771</v>
      </c>
      <c r="M108" s="3">
        <v>4</v>
      </c>
      <c r="N108" s="22">
        <v>70761</v>
      </c>
      <c r="O108" s="6">
        <v>307</v>
      </c>
      <c r="P108" s="76">
        <v>45805</v>
      </c>
      <c r="Q108" s="3">
        <f>+IF(Tabla13[[#This Row],[Facturado USD]]&gt;0,1,-1)</f>
        <v>1</v>
      </c>
      <c r="R108" s="22">
        <v>70761</v>
      </c>
      <c r="S108" s="3">
        <f>+IF(Tabla13[[#This Row],[Ingresado USD]]&gt;0,1,-1)</f>
        <v>1</v>
      </c>
      <c r="T108" s="78">
        <v>45812</v>
      </c>
      <c r="U108" s="22">
        <v>70761</v>
      </c>
    </row>
    <row r="109" spans="1:22" ht="12" hidden="1" x14ac:dyDescent="0.2">
      <c r="A109" s="3">
        <v>108</v>
      </c>
      <c r="B109" s="3" t="s">
        <v>264</v>
      </c>
      <c r="C10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BHP_Medidas de Cierre Botaderos</v>
      </c>
      <c r="D109" s="3" t="s">
        <v>183</v>
      </c>
      <c r="E109" s="3" t="s">
        <v>263</v>
      </c>
      <c r="F109" s="3" t="s">
        <v>251</v>
      </c>
      <c r="G109" s="3">
        <v>2025</v>
      </c>
      <c r="H109" s="3">
        <f>+IF(Tabla13[[#This Row],[Proyectado USD]]&gt;0,1,-1)</f>
        <v>-1</v>
      </c>
      <c r="I109" s="15"/>
      <c r="J109" s="21"/>
      <c r="K109" s="3">
        <f>+IF(Tabla13[[#This Row],[Emitido USD]]&gt;0,1,-1)</f>
        <v>1</v>
      </c>
      <c r="L109" s="73">
        <v>45803</v>
      </c>
      <c r="M109" s="3">
        <v>5</v>
      </c>
      <c r="N109" s="21">
        <v>196358</v>
      </c>
      <c r="O109" s="25">
        <v>318</v>
      </c>
      <c r="P109" s="76">
        <v>45846</v>
      </c>
      <c r="Q109" s="3">
        <f>+IF(Tabla13[[#This Row],[Facturado USD]]&gt;0,1,-1)</f>
        <v>1</v>
      </c>
      <c r="R109" s="22">
        <v>196358</v>
      </c>
      <c r="S109" s="3">
        <f>+IF(Tabla13[[#This Row],[Ingresado USD]]&gt;0,1,-1)</f>
        <v>1</v>
      </c>
      <c r="T109" s="78">
        <v>45853</v>
      </c>
      <c r="U109" s="22">
        <v>196358</v>
      </c>
    </row>
    <row r="110" spans="1:22" ht="12" hidden="1" customHeight="1" x14ac:dyDescent="0.2">
      <c r="A110" s="3">
        <v>109</v>
      </c>
      <c r="B110" s="3" t="s">
        <v>264</v>
      </c>
      <c r="C11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BHP_Medidas de Cierre Botaderos</v>
      </c>
      <c r="D110" s="3" t="s">
        <v>183</v>
      </c>
      <c r="E110" s="3" t="s">
        <v>263</v>
      </c>
      <c r="F110" s="3" t="s">
        <v>251</v>
      </c>
      <c r="G110" s="3">
        <v>2025</v>
      </c>
      <c r="H110" s="3">
        <f>+IF(Tabla13[[#This Row],[Proyectado USD]]&gt;0,1,-1)</f>
        <v>-1</v>
      </c>
      <c r="I110" s="15"/>
      <c r="J110" s="21"/>
      <c r="K110" s="3">
        <f>+IF(Tabla13[[#This Row],[Emitido USD]]&gt;0,1,-1)</f>
        <v>1</v>
      </c>
      <c r="L110" s="73">
        <v>45834</v>
      </c>
      <c r="M110" s="3">
        <v>6</v>
      </c>
      <c r="N110" s="22">
        <v>137233</v>
      </c>
      <c r="O110" s="6">
        <v>323</v>
      </c>
      <c r="P110" s="76">
        <v>45862</v>
      </c>
      <c r="Q110" s="3">
        <f>+IF(Tabla13[[#This Row],[Facturado USD]]&gt;0,1,-1)</f>
        <v>1</v>
      </c>
      <c r="R110" s="22">
        <v>137233</v>
      </c>
      <c r="S110" s="3">
        <f>+IF(Tabla13[[#This Row],[Ingresado USD]]&gt;0,1,-1)</f>
        <v>1</v>
      </c>
      <c r="T110" s="78">
        <v>45869</v>
      </c>
      <c r="U110" s="22">
        <v>137233</v>
      </c>
    </row>
    <row r="111" spans="1:22" ht="12" hidden="1" customHeight="1" x14ac:dyDescent="0.2">
      <c r="A111" s="3">
        <v>110</v>
      </c>
      <c r="B111" s="3" t="s">
        <v>264</v>
      </c>
      <c r="C11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BHP_Medidas de Cierre Botaderos</v>
      </c>
      <c r="D111" s="3" t="s">
        <v>183</v>
      </c>
      <c r="E111" s="3" t="s">
        <v>263</v>
      </c>
      <c r="F111" s="3" t="s">
        <v>251</v>
      </c>
      <c r="G111" s="3">
        <v>2025</v>
      </c>
      <c r="H111" s="3">
        <f>+IF(Tabla13[[#This Row],[Proyectado USD]]&gt;0,1,-1)</f>
        <v>-1</v>
      </c>
      <c r="I111" s="15"/>
      <c r="J111" s="21"/>
      <c r="K111" s="3">
        <f>+IF(Tabla13[[#This Row],[Emitido USD]]&gt;0,1,-1)</f>
        <v>1</v>
      </c>
      <c r="L111" s="73">
        <v>45864</v>
      </c>
      <c r="M111" s="3">
        <v>7</v>
      </c>
      <c r="N111" s="22">
        <v>159375.44</v>
      </c>
      <c r="O111" s="25">
        <v>338</v>
      </c>
      <c r="P111" s="76">
        <v>45908</v>
      </c>
      <c r="Q111" s="3">
        <f>+IF(Tabla13[[#This Row],[Facturado USD]]&gt;0,1,-1)</f>
        <v>1</v>
      </c>
      <c r="R111" s="22">
        <v>159375.44</v>
      </c>
      <c r="S111" s="3">
        <f>+IF(Tabla13[[#This Row],[Ingresado USD]]&gt;0,1,-1)</f>
        <v>1</v>
      </c>
      <c r="T111" s="78">
        <v>45915</v>
      </c>
      <c r="U111" s="22">
        <v>159375.44</v>
      </c>
    </row>
    <row r="112" spans="1:22" ht="12" hidden="1" x14ac:dyDescent="0.2">
      <c r="A112" s="3">
        <v>111</v>
      </c>
      <c r="B112" s="3" t="s">
        <v>264</v>
      </c>
      <c r="C11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BHP_Medidas de Cierre Botaderos</v>
      </c>
      <c r="D112" s="3" t="s">
        <v>183</v>
      </c>
      <c r="E112" s="3" t="s">
        <v>263</v>
      </c>
      <c r="F112" s="3" t="s">
        <v>251</v>
      </c>
      <c r="G112" s="3">
        <v>2025</v>
      </c>
      <c r="H112" s="3">
        <f>+IF(Tabla13[[#This Row],[Proyectado USD]]&gt;0,1,-1)</f>
        <v>-1</v>
      </c>
      <c r="I112" s="15"/>
      <c r="J112" s="21"/>
      <c r="K112" s="3">
        <f>+IF(Tabla13[[#This Row],[Emitido USD]]&gt;0,1,-1)</f>
        <v>1</v>
      </c>
      <c r="L112" s="73">
        <v>45889</v>
      </c>
      <c r="M112" s="3">
        <v>8</v>
      </c>
      <c r="N112" s="22">
        <v>4640</v>
      </c>
      <c r="O112" s="25">
        <v>356</v>
      </c>
      <c r="P112" s="76">
        <v>45960</v>
      </c>
      <c r="Q112" s="3">
        <f>+IF(Tabla13[[#This Row],[Facturado USD]]&gt;0,1,-1)</f>
        <v>1</v>
      </c>
      <c r="R112" s="22">
        <v>4640</v>
      </c>
      <c r="S112" s="3">
        <f>+IF(Tabla13[[#This Row],[Ingresado USD]]&gt;0,1,-1)</f>
        <v>1</v>
      </c>
      <c r="T112" s="78">
        <v>45967</v>
      </c>
      <c r="U112" s="22">
        <v>4640</v>
      </c>
    </row>
    <row r="113" spans="1:22" ht="12" hidden="1" x14ac:dyDescent="0.2">
      <c r="A113" s="3">
        <v>112</v>
      </c>
      <c r="B113" s="3" t="s">
        <v>264</v>
      </c>
      <c r="C11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BHP_Medidas de Cierre Botaderos</v>
      </c>
      <c r="D113" s="3" t="s">
        <v>183</v>
      </c>
      <c r="E113" s="3" t="s">
        <v>263</v>
      </c>
      <c r="F113" s="3" t="s">
        <v>251</v>
      </c>
      <c r="G113" s="3">
        <v>2025</v>
      </c>
      <c r="H113" s="3">
        <f>+IF(Tabla13[[#This Row],[Proyectado USD]]&gt;0,1,-1)</f>
        <v>-1</v>
      </c>
      <c r="I113" s="15"/>
      <c r="J113" s="21"/>
      <c r="K113" s="3">
        <f>+IF(Tabla13[[#This Row],[Emitido USD]]&gt;0,1,-1)</f>
        <v>1</v>
      </c>
      <c r="L113" s="73">
        <v>45925</v>
      </c>
      <c r="M113" s="3">
        <v>9</v>
      </c>
      <c r="N113" s="22">
        <v>40120</v>
      </c>
      <c r="O113" s="25">
        <v>358</v>
      </c>
      <c r="P113" s="76">
        <v>45960</v>
      </c>
      <c r="Q113" s="3">
        <f>+IF(Tabla13[[#This Row],[Facturado USD]]&gt;0,1,-1)</f>
        <v>1</v>
      </c>
      <c r="R113" s="22">
        <v>38602</v>
      </c>
      <c r="S113" s="3">
        <f>+IF(Tabla13[[#This Row],[Ingresado USD]]&gt;0,1,-1)</f>
        <v>1</v>
      </c>
      <c r="T113" s="78">
        <v>45971</v>
      </c>
      <c r="U113" s="22">
        <v>38602</v>
      </c>
    </row>
    <row r="114" spans="1:22" ht="12" hidden="1" x14ac:dyDescent="0.2">
      <c r="A114" s="3">
        <v>113</v>
      </c>
      <c r="B114" s="3" t="s">
        <v>265</v>
      </c>
      <c r="C11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BHP_Plan e Iniciativas LoA25-26</v>
      </c>
      <c r="D114" s="3" t="s">
        <v>266</v>
      </c>
      <c r="E114" s="3" t="s">
        <v>263</v>
      </c>
      <c r="F114" s="3" t="s">
        <v>251</v>
      </c>
      <c r="G114" s="3">
        <v>2024</v>
      </c>
      <c r="H114" s="3">
        <f>+IF(Tabla13[[#This Row],[Proyectado USD]]&gt;0,1,-1)</f>
        <v>-1</v>
      </c>
      <c r="I114" s="15"/>
      <c r="J114" s="21"/>
      <c r="K114" s="3">
        <f>+IF(Tabla13[[#This Row],[Emitido USD]]&gt;0,1,-1)</f>
        <v>1</v>
      </c>
      <c r="L114" s="73">
        <v>45532</v>
      </c>
      <c r="M114" s="3">
        <v>1</v>
      </c>
      <c r="N114" s="22">
        <v>24680</v>
      </c>
      <c r="O114" s="6">
        <v>212</v>
      </c>
      <c r="P114" s="76">
        <v>45546</v>
      </c>
      <c r="Q114" s="3">
        <f>+IF(Tabla13[[#This Row],[Facturado USD]]&gt;0,1,-1)</f>
        <v>1</v>
      </c>
      <c r="R114" s="22">
        <v>24680</v>
      </c>
      <c r="S114" s="3">
        <f>+IF(Tabla13[[#This Row],[Ingresado USD]]&gt;0,1,-1)</f>
        <v>1</v>
      </c>
      <c r="T114" s="78">
        <v>45552</v>
      </c>
      <c r="U114" s="22">
        <v>24680</v>
      </c>
    </row>
    <row r="115" spans="1:22" ht="12" hidden="1" x14ac:dyDescent="0.2">
      <c r="A115" s="3">
        <v>114</v>
      </c>
      <c r="B115" s="3" t="s">
        <v>265</v>
      </c>
      <c r="C11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BHP_Plan e Iniciativas LoA25-26</v>
      </c>
      <c r="D115" s="3" t="s">
        <v>266</v>
      </c>
      <c r="E115" s="3" t="s">
        <v>263</v>
      </c>
      <c r="F115" s="3" t="s">
        <v>251</v>
      </c>
      <c r="G115" s="3">
        <v>2024</v>
      </c>
      <c r="H115" s="3">
        <f>+IF(Tabla13[[#This Row],[Proyectado USD]]&gt;0,1,-1)</f>
        <v>-1</v>
      </c>
      <c r="I115" s="15"/>
      <c r="J115" s="21"/>
      <c r="K115" s="3">
        <f>+IF(Tabla13[[#This Row],[Emitido USD]]&gt;0,1,-1)</f>
        <v>1</v>
      </c>
      <c r="L115" s="73">
        <v>45561</v>
      </c>
      <c r="M115" s="3">
        <v>2</v>
      </c>
      <c r="N115" s="22">
        <v>13842</v>
      </c>
      <c r="O115" s="6">
        <v>224</v>
      </c>
      <c r="P115" s="76">
        <v>45579</v>
      </c>
      <c r="Q115" s="3">
        <f>+IF(Tabla13[[#This Row],[Facturado USD]]&gt;0,1,-1)</f>
        <v>1</v>
      </c>
      <c r="R115" s="22">
        <v>13842</v>
      </c>
      <c r="S115" s="3">
        <f>+IF(Tabla13[[#This Row],[Ingresado USD]]&gt;0,1,-1)</f>
        <v>1</v>
      </c>
      <c r="T115" s="78">
        <v>45586</v>
      </c>
      <c r="U115" s="22">
        <v>13842</v>
      </c>
    </row>
    <row r="116" spans="1:22" ht="12" hidden="1" x14ac:dyDescent="0.2">
      <c r="A116" s="3">
        <v>115</v>
      </c>
      <c r="B116" s="3" t="s">
        <v>265</v>
      </c>
      <c r="C11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BHP_Plan e Iniciativas LoA25-26</v>
      </c>
      <c r="D116" s="3" t="s">
        <v>266</v>
      </c>
      <c r="E116" s="3" t="s">
        <v>263</v>
      </c>
      <c r="F116" s="3" t="s">
        <v>251</v>
      </c>
      <c r="G116" s="3">
        <v>2024</v>
      </c>
      <c r="H116" s="3">
        <f>+IF(Tabla13[[#This Row],[Proyectado USD]]&gt;0,1,-1)</f>
        <v>-1</v>
      </c>
      <c r="I116" s="15"/>
      <c r="J116" s="21"/>
      <c r="K116" s="3">
        <f>+IF(Tabla13[[#This Row],[Emitido USD]]&gt;0,1,-1)</f>
        <v>1</v>
      </c>
      <c r="L116" s="73">
        <v>45589</v>
      </c>
      <c r="M116" s="3">
        <v>3</v>
      </c>
      <c r="N116" s="22">
        <v>7683</v>
      </c>
      <c r="O116" s="6">
        <v>239</v>
      </c>
      <c r="P116" s="76">
        <v>45623</v>
      </c>
      <c r="Q116" s="3">
        <f>+IF(Tabla13[[#This Row],[Facturado USD]]&gt;0,1,-1)</f>
        <v>1</v>
      </c>
      <c r="R116" s="22">
        <v>7683</v>
      </c>
      <c r="S116" s="3">
        <f>+IF(Tabla13[[#This Row],[Ingresado USD]]&gt;0,1,-1)</f>
        <v>1</v>
      </c>
      <c r="T116" s="78">
        <v>45630</v>
      </c>
      <c r="U116" s="22">
        <v>7683</v>
      </c>
    </row>
    <row r="117" spans="1:22" ht="12" hidden="1" x14ac:dyDescent="0.2">
      <c r="A117" s="3">
        <v>116</v>
      </c>
      <c r="B117" s="3" t="s">
        <v>267</v>
      </c>
      <c r="C11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BHP_Spence 2YB Analisys</v>
      </c>
      <c r="D117" s="3" t="s">
        <v>184</v>
      </c>
      <c r="E117" s="3" t="s">
        <v>263</v>
      </c>
      <c r="F117" s="3" t="s">
        <v>251</v>
      </c>
      <c r="G117" s="3">
        <v>2025</v>
      </c>
      <c r="H117" s="3">
        <f>+IF(Tabla13[[#This Row],[Proyectado USD]]&gt;0,1,-1)</f>
        <v>-1</v>
      </c>
      <c r="I117" s="15"/>
      <c r="J117" s="21"/>
      <c r="K117" s="3">
        <f>+IF(Tabla13[[#This Row],[Emitido USD]]&gt;0,1,-1)</f>
        <v>1</v>
      </c>
      <c r="L117" s="73">
        <v>45713</v>
      </c>
      <c r="M117" s="3">
        <v>1</v>
      </c>
      <c r="N117" s="22">
        <v>37400</v>
      </c>
      <c r="O117" s="6">
        <v>278</v>
      </c>
      <c r="P117" s="76">
        <v>45736</v>
      </c>
      <c r="Q117" s="3">
        <f>+IF(Tabla13[[#This Row],[Facturado USD]]&gt;0,1,-1)</f>
        <v>1</v>
      </c>
      <c r="R117" s="22">
        <v>37400</v>
      </c>
      <c r="S117" s="3">
        <f>+IF(Tabla13[[#This Row],[Ingresado USD]]&gt;0,1,-1)</f>
        <v>1</v>
      </c>
      <c r="T117" s="78">
        <v>45743</v>
      </c>
      <c r="U117" s="23">
        <v>38176.983</v>
      </c>
    </row>
    <row r="118" spans="1:22" ht="12" hidden="1" x14ac:dyDescent="0.2">
      <c r="A118" s="3">
        <v>117</v>
      </c>
      <c r="B118" s="3" t="s">
        <v>268</v>
      </c>
      <c r="C11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BHP_Tunel Exploratorio</v>
      </c>
      <c r="D118" s="3" t="s">
        <v>185</v>
      </c>
      <c r="E118" s="3" t="s">
        <v>263</v>
      </c>
      <c r="F118" s="3" t="s">
        <v>251</v>
      </c>
      <c r="G118" s="3">
        <v>2024</v>
      </c>
      <c r="H118" s="3">
        <f>+IF(Tabla13[[#This Row],[Proyectado USD]]&gt;0,1,-1)</f>
        <v>-1</v>
      </c>
      <c r="I118" s="15"/>
      <c r="J118" s="21"/>
      <c r="K118" s="3">
        <f>+IF(Tabla13[[#This Row],[Emitido USD]]&gt;0,1,-1)</f>
        <v>1</v>
      </c>
      <c r="L118" s="73">
        <v>45441</v>
      </c>
      <c r="M118" s="3">
        <v>1</v>
      </c>
      <c r="N118" s="22">
        <v>35036</v>
      </c>
      <c r="O118" s="6">
        <v>293</v>
      </c>
      <c r="P118" s="76">
        <v>45777</v>
      </c>
      <c r="Q118" s="3">
        <f>+IF(Tabla13[[#This Row],[Facturado USD]]&gt;0,1,-1)</f>
        <v>1</v>
      </c>
      <c r="R118" s="22">
        <v>35036</v>
      </c>
      <c r="S118" s="3">
        <f>+IF(Tabla13[[#This Row],[Ingresado USD]]&gt;0,1,-1)</f>
        <v>1</v>
      </c>
      <c r="T118" s="78">
        <v>45785</v>
      </c>
      <c r="U118" s="22">
        <v>35036</v>
      </c>
    </row>
    <row r="119" spans="1:22" ht="12" hidden="1" x14ac:dyDescent="0.2">
      <c r="A119" s="3">
        <v>118</v>
      </c>
      <c r="B119" s="3" t="s">
        <v>268</v>
      </c>
      <c r="C11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BHP_Tunel Exploratorio</v>
      </c>
      <c r="D119" s="3" t="s">
        <v>185</v>
      </c>
      <c r="E119" s="3" t="s">
        <v>263</v>
      </c>
      <c r="F119" s="3" t="s">
        <v>251</v>
      </c>
      <c r="G119" s="3">
        <v>2025</v>
      </c>
      <c r="H119" s="3">
        <f>+IF(Tabla13[[#This Row],[Proyectado USD]]&gt;0,1,-1)</f>
        <v>-1</v>
      </c>
      <c r="I119" s="15"/>
      <c r="J119" s="21"/>
      <c r="K119" s="3">
        <f>+IF(Tabla13[[#This Row],[Emitido USD]]&gt;0,1,-1)</f>
        <v>1</v>
      </c>
      <c r="L119" s="73">
        <v>45776</v>
      </c>
      <c r="M119" s="3">
        <v>2</v>
      </c>
      <c r="N119" s="22">
        <v>48790</v>
      </c>
      <c r="O119" s="6">
        <v>296</v>
      </c>
      <c r="P119" s="76">
        <v>45783</v>
      </c>
      <c r="Q119" s="3">
        <f>+IF(Tabla13[[#This Row],[Facturado USD]]&gt;0,1,-1)</f>
        <v>1</v>
      </c>
      <c r="R119" s="22">
        <v>48790</v>
      </c>
      <c r="S119" s="3">
        <f>+IF(Tabla13[[#This Row],[Ingresado USD]]&gt;0,1,-1)</f>
        <v>1</v>
      </c>
      <c r="T119" s="78">
        <v>45790</v>
      </c>
      <c r="U119" s="22">
        <v>48790</v>
      </c>
    </row>
    <row r="120" spans="1:22" ht="12" hidden="1" customHeight="1" x14ac:dyDescent="0.2">
      <c r="A120" s="3">
        <v>119</v>
      </c>
      <c r="B120" s="3" t="s">
        <v>268</v>
      </c>
      <c r="C12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BHP_Tunel Exploratorio</v>
      </c>
      <c r="D120" s="3" t="s">
        <v>185</v>
      </c>
      <c r="E120" s="3" t="s">
        <v>263</v>
      </c>
      <c r="F120" s="3" t="s">
        <v>251</v>
      </c>
      <c r="G120" s="3">
        <v>2025</v>
      </c>
      <c r="H120" s="3">
        <f>+IF(Tabla13[[#This Row],[Proyectado USD]]&gt;0,1,-1)</f>
        <v>-1</v>
      </c>
      <c r="I120" s="15"/>
      <c r="J120" s="21"/>
      <c r="K120" s="3">
        <f>+IF(Tabla13[[#This Row],[Emitido USD]]&gt;0,1,-1)</f>
        <v>1</v>
      </c>
      <c r="L120" s="73">
        <v>45803</v>
      </c>
      <c r="M120" s="3">
        <v>3</v>
      </c>
      <c r="N120" s="22">
        <v>32748</v>
      </c>
      <c r="O120" s="6">
        <v>310</v>
      </c>
      <c r="P120" s="76">
        <v>45812</v>
      </c>
      <c r="Q120" s="3">
        <f>+IF(Tabla13[[#This Row],[Facturado USD]]&gt;0,1,-1)</f>
        <v>1</v>
      </c>
      <c r="R120" s="22">
        <v>32748</v>
      </c>
      <c r="S120" s="3">
        <f>+IF(Tabla13[[#This Row],[Ingresado USD]]&gt;0,1,-1)</f>
        <v>1</v>
      </c>
      <c r="T120" s="78">
        <v>45819</v>
      </c>
      <c r="U120" s="22">
        <v>32748</v>
      </c>
    </row>
    <row r="121" spans="1:22" ht="12" hidden="1" x14ac:dyDescent="0.2">
      <c r="A121" s="3">
        <v>120</v>
      </c>
      <c r="B121" s="3" t="s">
        <v>268</v>
      </c>
      <c r="C12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BHP_Tunel Exploratorio</v>
      </c>
      <c r="D121" s="3" t="s">
        <v>185</v>
      </c>
      <c r="E121" s="3" t="s">
        <v>263</v>
      </c>
      <c r="F121" s="3" t="s">
        <v>251</v>
      </c>
      <c r="G121" s="3">
        <v>2025</v>
      </c>
      <c r="H121" s="3">
        <f>+IF(Tabla13[[#This Row],[Proyectado USD]]&gt;0,1,-1)</f>
        <v>-1</v>
      </c>
      <c r="I121" s="15"/>
      <c r="J121" s="21"/>
      <c r="K121" s="3">
        <f>+IF(Tabla13[[#This Row],[Emitido USD]]&gt;0,1,-1)</f>
        <v>1</v>
      </c>
      <c r="L121" s="73">
        <v>45834</v>
      </c>
      <c r="M121" s="3">
        <v>4</v>
      </c>
      <c r="N121" s="22">
        <v>40426</v>
      </c>
      <c r="O121" s="6">
        <v>316</v>
      </c>
      <c r="P121" s="76">
        <v>45842</v>
      </c>
      <c r="Q121" s="3">
        <f>+IF(Tabla13[[#This Row],[Facturado USD]]&gt;0,1,-1)</f>
        <v>1</v>
      </c>
      <c r="R121" s="22">
        <v>40426</v>
      </c>
      <c r="S121" s="3">
        <f>+IF(Tabla13[[#This Row],[Ingresado USD]]&gt;0,1,-1)</f>
        <v>1</v>
      </c>
      <c r="T121" s="78">
        <v>45849</v>
      </c>
      <c r="U121" s="22">
        <v>40426</v>
      </c>
    </row>
    <row r="122" spans="1:22" ht="12" hidden="1" x14ac:dyDescent="0.2">
      <c r="A122" s="3">
        <v>121</v>
      </c>
      <c r="B122" s="3" t="s">
        <v>268</v>
      </c>
      <c r="C12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BHP_Tunel Exploratorio</v>
      </c>
      <c r="D122" s="3" t="s">
        <v>185</v>
      </c>
      <c r="E122" s="3" t="s">
        <v>263</v>
      </c>
      <c r="F122" s="3" t="s">
        <v>251</v>
      </c>
      <c r="G122" s="3">
        <v>2025</v>
      </c>
      <c r="H122" s="3">
        <f>+IF(Tabla13[[#This Row],[Proyectado USD]]&gt;0,1,-1)</f>
        <v>-1</v>
      </c>
      <c r="I122" s="15"/>
      <c r="J122" s="21"/>
      <c r="K122" s="3">
        <f>+IF(Tabla13[[#This Row],[Emitido USD]]&gt;0,1,-1)</f>
        <v>1</v>
      </c>
      <c r="L122" s="73">
        <v>45864</v>
      </c>
      <c r="M122" s="3">
        <v>5</v>
      </c>
      <c r="N122" s="22">
        <v>30025</v>
      </c>
      <c r="O122" s="6">
        <v>330</v>
      </c>
      <c r="P122" s="76">
        <v>45877</v>
      </c>
      <c r="Q122" s="3">
        <f>+IF(Tabla13[[#This Row],[Facturado USD]]&gt;0,1,-1)</f>
        <v>1</v>
      </c>
      <c r="R122" s="22">
        <v>30025</v>
      </c>
      <c r="S122" s="3">
        <f>+IF(Tabla13[[#This Row],[Ingresado USD]]&gt;0,1,-1)</f>
        <v>1</v>
      </c>
      <c r="T122" s="78">
        <v>45883</v>
      </c>
      <c r="U122" s="22">
        <v>30025</v>
      </c>
    </row>
    <row r="123" spans="1:22" ht="12" hidden="1" x14ac:dyDescent="0.2">
      <c r="A123" s="3">
        <v>122</v>
      </c>
      <c r="B123" s="3" t="s">
        <v>268</v>
      </c>
      <c r="C12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BHP_Tunel Exploratorio</v>
      </c>
      <c r="D123" s="3" t="s">
        <v>185</v>
      </c>
      <c r="E123" s="3" t="s">
        <v>263</v>
      </c>
      <c r="F123" s="3" t="s">
        <v>251</v>
      </c>
      <c r="G123" s="3">
        <v>2025</v>
      </c>
      <c r="H123" s="3">
        <f>+IF(Tabla13[[#This Row],[Proyectado USD]]&gt;0,1,-1)</f>
        <v>-1</v>
      </c>
      <c r="I123" s="15"/>
      <c r="J123" s="21"/>
      <c r="K123" s="3">
        <f>+IF(Tabla13[[#This Row],[Emitido USD]]&gt;0,1,-1)</f>
        <v>1</v>
      </c>
      <c r="L123" s="73">
        <v>45894</v>
      </c>
      <c r="M123" s="3">
        <v>6</v>
      </c>
      <c r="N123" s="22">
        <v>11895</v>
      </c>
      <c r="O123" s="6">
        <v>339</v>
      </c>
      <c r="P123" s="76">
        <v>45908</v>
      </c>
      <c r="Q123" s="3">
        <f>+IF(Tabla13[[#This Row],[Facturado USD]]&gt;0,1,-1)</f>
        <v>1</v>
      </c>
      <c r="R123" s="22">
        <v>11895</v>
      </c>
      <c r="S123" s="3">
        <f>+IF(Tabla13[[#This Row],[Ingresado USD]]&gt;0,1,-1)</f>
        <v>1</v>
      </c>
      <c r="T123" s="78">
        <v>45915</v>
      </c>
      <c r="U123" s="22">
        <v>11895</v>
      </c>
    </row>
    <row r="124" spans="1:22" ht="12" hidden="1" x14ac:dyDescent="0.2">
      <c r="A124" s="3">
        <v>123</v>
      </c>
      <c r="B124" s="3" t="s">
        <v>269</v>
      </c>
      <c r="C12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Boston_Inmaculada Hochschild</v>
      </c>
      <c r="D124" s="3" t="s">
        <v>270</v>
      </c>
      <c r="E124" s="3" t="s">
        <v>271</v>
      </c>
      <c r="F124" s="3" t="s">
        <v>251</v>
      </c>
      <c r="G124" s="3">
        <v>2024</v>
      </c>
      <c r="H124" s="3">
        <f>+IF(Tabla13[[#This Row],[Proyectado USD]]&gt;0,1,-1)</f>
        <v>1</v>
      </c>
      <c r="I124" s="15">
        <v>45352</v>
      </c>
      <c r="J124" s="49">
        <v>50000</v>
      </c>
      <c r="K124" s="3">
        <f>+IF(Tabla13[[#This Row],[Emitido USD]]&gt;0,1,-1)</f>
        <v>1</v>
      </c>
      <c r="L124" s="73">
        <v>45358</v>
      </c>
      <c r="M124" s="3">
        <v>1</v>
      </c>
      <c r="N124" s="50">
        <v>54706</v>
      </c>
      <c r="O124" s="6">
        <v>174</v>
      </c>
      <c r="P124" s="76">
        <v>45372</v>
      </c>
      <c r="Q124" s="3">
        <f>+IF(Tabla13[[#This Row],[Facturado USD]]&gt;0,1,-1)</f>
        <v>1</v>
      </c>
      <c r="R124" s="22">
        <v>54706</v>
      </c>
      <c r="S124" s="3">
        <f>+IF(Tabla13[[#This Row],[Ingresado USD]]&gt;0,1,-1)</f>
        <v>1</v>
      </c>
      <c r="T124" s="78">
        <v>45401</v>
      </c>
      <c r="U124" s="22">
        <v>54706</v>
      </c>
    </row>
    <row r="125" spans="1:22" ht="12" hidden="1" x14ac:dyDescent="0.2">
      <c r="A125" s="3">
        <v>124</v>
      </c>
      <c r="B125" s="3" t="s">
        <v>272</v>
      </c>
      <c r="C12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Boston_Inmaculada Hochschild II</v>
      </c>
      <c r="D125" s="3" t="s">
        <v>273</v>
      </c>
      <c r="E125" s="3" t="s">
        <v>271</v>
      </c>
      <c r="F125" s="3" t="s">
        <v>251</v>
      </c>
      <c r="G125" s="3">
        <v>2024</v>
      </c>
      <c r="H125" s="3">
        <f>+IF(Tabla13[[#This Row],[Proyectado USD]]&gt;0,1,-1)</f>
        <v>-1</v>
      </c>
      <c r="I125" s="15"/>
      <c r="J125" s="49"/>
      <c r="K125" s="3">
        <f>+IF(Tabla13[[#This Row],[Emitido USD]]&gt;0,1,-1)</f>
        <v>1</v>
      </c>
      <c r="L125" s="73">
        <v>45498</v>
      </c>
      <c r="M125" s="3">
        <v>1</v>
      </c>
      <c r="N125" s="21">
        <v>40000</v>
      </c>
      <c r="O125" s="6">
        <v>1</v>
      </c>
      <c r="P125" s="76">
        <v>45544</v>
      </c>
      <c r="Q125" s="3">
        <f>+IF(Tabla13[[#This Row],[Facturado USD]]&gt;0,1,-1)</f>
        <v>1</v>
      </c>
      <c r="R125" s="22">
        <v>40000</v>
      </c>
      <c r="S125" s="3">
        <f>+IF(Tabla13[[#This Row],[Ingresado USD]]&gt;0,1,-1)</f>
        <v>1</v>
      </c>
      <c r="T125" s="78">
        <v>45579</v>
      </c>
      <c r="U125" s="22">
        <v>40000</v>
      </c>
      <c r="V125" s="3" t="s">
        <v>274</v>
      </c>
    </row>
    <row r="126" spans="1:22" ht="12" hidden="1" x14ac:dyDescent="0.2">
      <c r="A126" s="3">
        <v>125</v>
      </c>
      <c r="B126" s="3" t="s">
        <v>81</v>
      </c>
      <c r="C12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Candelaria (Estandar y Planificacion)</v>
      </c>
      <c r="D126" s="3" t="s">
        <v>6</v>
      </c>
      <c r="E126" s="3" t="s">
        <v>275</v>
      </c>
      <c r="F126" s="3" t="s">
        <v>251</v>
      </c>
      <c r="G126" s="3">
        <v>2023</v>
      </c>
      <c r="H126" s="3">
        <f>+IF(Tabla13[[#This Row],[Proyectado USD]]&gt;0,1,-1)</f>
        <v>-1</v>
      </c>
      <c r="I126" s="15"/>
      <c r="J126" s="21"/>
      <c r="K126" s="3">
        <f>+IF(Tabla13[[#This Row],[Emitido USD]]&gt;0,1,-1)</f>
        <v>1</v>
      </c>
      <c r="L126" s="73">
        <v>45009</v>
      </c>
      <c r="M126" s="3">
        <v>1</v>
      </c>
      <c r="N126" s="22">
        <v>88780</v>
      </c>
      <c r="O126" s="6">
        <v>69</v>
      </c>
      <c r="P126" s="76">
        <v>45061</v>
      </c>
      <c r="Q126" s="3">
        <f>+IF(Tabla13[[#This Row],[Facturado USD]]&gt;0,1,-1)</f>
        <v>1</v>
      </c>
      <c r="R126" s="22">
        <v>90837</v>
      </c>
      <c r="S126" s="3">
        <f>+IF(Tabla13[[#This Row],[Ingresado USD]]&gt;0,1,-1)</f>
        <v>1</v>
      </c>
      <c r="T126" s="78">
        <v>45089</v>
      </c>
      <c r="U126" s="22">
        <v>90837</v>
      </c>
    </row>
    <row r="127" spans="1:22" ht="12" hidden="1" x14ac:dyDescent="0.2">
      <c r="A127" s="3">
        <v>126</v>
      </c>
      <c r="B127" s="3" t="s">
        <v>81</v>
      </c>
      <c r="C12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Candelaria (Estandar y Planificacion)</v>
      </c>
      <c r="D127" s="3" t="s">
        <v>6</v>
      </c>
      <c r="E127" s="3" t="s">
        <v>275</v>
      </c>
      <c r="F127" s="3" t="s">
        <v>251</v>
      </c>
      <c r="G127" s="3">
        <v>2023</v>
      </c>
      <c r="H127" s="3">
        <f>+IF(Tabla13[[#This Row],[Proyectado USD]]&gt;0,1,-1)</f>
        <v>-1</v>
      </c>
      <c r="I127" s="15"/>
      <c r="J127" s="21"/>
      <c r="K127" s="3">
        <f>+IF(Tabla13[[#This Row],[Emitido USD]]&gt;0,1,-1)</f>
        <v>1</v>
      </c>
      <c r="L127" s="73">
        <v>45037</v>
      </c>
      <c r="M127" s="3">
        <v>2</v>
      </c>
      <c r="N127" s="22">
        <v>28476</v>
      </c>
      <c r="O127" s="6">
        <v>84</v>
      </c>
      <c r="P127" s="76">
        <v>45107</v>
      </c>
      <c r="Q127" s="3">
        <f>+IF(Tabla13[[#This Row],[Facturado USD]]&gt;0,1,-1)</f>
        <v>1</v>
      </c>
      <c r="R127" s="22">
        <v>28476</v>
      </c>
      <c r="S127" s="3">
        <f>+IF(Tabla13[[#This Row],[Ingresado USD]]&gt;0,1,-1)</f>
        <v>1</v>
      </c>
      <c r="T127" s="76">
        <v>45128</v>
      </c>
      <c r="U127" s="22">
        <v>28476</v>
      </c>
    </row>
    <row r="128" spans="1:22" ht="12" hidden="1" x14ac:dyDescent="0.2">
      <c r="A128" s="3">
        <v>127</v>
      </c>
      <c r="B128" s="3" t="s">
        <v>81</v>
      </c>
      <c r="C12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Candelaria (Estandar y Planificacion)</v>
      </c>
      <c r="D128" s="3" t="s">
        <v>6</v>
      </c>
      <c r="E128" s="3" t="s">
        <v>275</v>
      </c>
      <c r="F128" s="3" t="s">
        <v>251</v>
      </c>
      <c r="G128" s="3">
        <v>2023</v>
      </c>
      <c r="H128" s="3">
        <f>+IF(Tabla13[[#This Row],[Proyectado USD]]&gt;0,1,-1)</f>
        <v>-1</v>
      </c>
      <c r="I128" s="15"/>
      <c r="J128" s="21"/>
      <c r="K128" s="3">
        <f>+IF(Tabla13[[#This Row],[Emitido USD]]&gt;0,1,-1)</f>
        <v>1</v>
      </c>
      <c r="L128" s="73">
        <v>45067</v>
      </c>
      <c r="M128" s="3">
        <v>3</v>
      </c>
      <c r="N128" s="22">
        <v>8190</v>
      </c>
      <c r="O128" s="6">
        <v>85</v>
      </c>
      <c r="P128" s="76">
        <v>45107</v>
      </c>
      <c r="Q128" s="3">
        <f>+IF(Tabla13[[#This Row],[Facturado USD]]&gt;0,1,-1)</f>
        <v>1</v>
      </c>
      <c r="R128" s="22">
        <v>8190</v>
      </c>
      <c r="S128" s="3">
        <f>+IF(Tabla13[[#This Row],[Ingresado USD]]&gt;0,1,-1)</f>
        <v>1</v>
      </c>
      <c r="T128" s="76">
        <v>45128</v>
      </c>
      <c r="U128" s="22">
        <v>8190</v>
      </c>
      <c r="V128" s="3" t="s">
        <v>82</v>
      </c>
    </row>
    <row r="129" spans="1:22" ht="12" hidden="1" x14ac:dyDescent="0.2">
      <c r="A129" s="3">
        <v>128</v>
      </c>
      <c r="B129" s="3" t="s">
        <v>81</v>
      </c>
      <c r="C12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Candelaria (Estandar y Planificacion)</v>
      </c>
      <c r="D129" s="3" t="s">
        <v>6</v>
      </c>
      <c r="E129" s="3" t="s">
        <v>275</v>
      </c>
      <c r="F129" s="3" t="s">
        <v>251</v>
      </c>
      <c r="G129" s="3">
        <v>2023</v>
      </c>
      <c r="H129" s="3">
        <f>+IF(Tabla13[[#This Row],[Proyectado USD]]&gt;0,1,-1)</f>
        <v>-1</v>
      </c>
      <c r="I129" s="15"/>
      <c r="J129" s="21"/>
      <c r="K129" s="3">
        <f>+IF(Tabla13[[#This Row],[Emitido USD]]&gt;0,1,-1)</f>
        <v>1</v>
      </c>
      <c r="L129" s="73">
        <v>45132</v>
      </c>
      <c r="M129" s="3">
        <v>4</v>
      </c>
      <c r="N129" s="22">
        <v>13446</v>
      </c>
      <c r="O129" s="6">
        <v>114</v>
      </c>
      <c r="P129" s="76">
        <v>45204</v>
      </c>
      <c r="Q129" s="3">
        <f>+IF(Tabla13[[#This Row],[Facturado USD]]&gt;0,1,-1)</f>
        <v>1</v>
      </c>
      <c r="R129" s="22">
        <v>13446</v>
      </c>
      <c r="S129" s="3">
        <f>+IF(Tabla13[[#This Row],[Ingresado USD]]&gt;0,1,-1)</f>
        <v>1</v>
      </c>
      <c r="T129" s="78">
        <v>45225</v>
      </c>
      <c r="U129" s="22">
        <v>13446</v>
      </c>
    </row>
    <row r="130" spans="1:22" ht="12" hidden="1" x14ac:dyDescent="0.2">
      <c r="A130" s="3">
        <v>129</v>
      </c>
      <c r="B130" s="3" t="s">
        <v>276</v>
      </c>
      <c r="C13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Capstone Copper_Estimacion confiabilidad de planes</v>
      </c>
      <c r="D130" s="3" t="s">
        <v>186</v>
      </c>
      <c r="E130" s="3" t="s">
        <v>277</v>
      </c>
      <c r="F130" s="3" t="s">
        <v>251</v>
      </c>
      <c r="G130" s="3">
        <v>2024</v>
      </c>
      <c r="H130" s="3">
        <f>+IF(Tabla13[[#This Row],[Proyectado USD]]&gt;0,1,-1)</f>
        <v>-1</v>
      </c>
      <c r="I130" s="15"/>
      <c r="J130" s="21"/>
      <c r="K130" s="3">
        <f>+IF(Tabla13[[#This Row],[Emitido USD]]&gt;0,1,-1)</f>
        <v>1</v>
      </c>
      <c r="L130" s="73">
        <v>45498</v>
      </c>
      <c r="M130" s="3">
        <v>1</v>
      </c>
      <c r="N130" s="22">
        <v>62422</v>
      </c>
      <c r="O130" s="6">
        <v>204</v>
      </c>
      <c r="P130" s="76">
        <v>45520</v>
      </c>
      <c r="Q130" s="3">
        <f>+IF(Tabla13[[#This Row],[Facturado USD]]&gt;0,1,-1)</f>
        <v>1</v>
      </c>
      <c r="R130" s="22">
        <v>61918</v>
      </c>
      <c r="S130" s="3">
        <f>+IF(Tabla13[[#This Row],[Ingresado USD]]&gt;0,1,-1)</f>
        <v>1</v>
      </c>
      <c r="T130" s="78">
        <v>45618</v>
      </c>
      <c r="U130" s="22">
        <v>61918</v>
      </c>
    </row>
    <row r="131" spans="1:22" ht="12" hidden="1" x14ac:dyDescent="0.2">
      <c r="A131" s="3">
        <v>130</v>
      </c>
      <c r="B131" s="3" t="s">
        <v>276</v>
      </c>
      <c r="C13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Capstone Copper_Estimacion confiabilidad de planes</v>
      </c>
      <c r="D131" s="3" t="s">
        <v>186</v>
      </c>
      <c r="E131" s="3" t="s">
        <v>277</v>
      </c>
      <c r="F131" s="3" t="s">
        <v>251</v>
      </c>
      <c r="G131" s="3">
        <v>2024</v>
      </c>
      <c r="H131" s="3">
        <f>+IF(Tabla13[[#This Row],[Proyectado USD]]&gt;0,1,-1)</f>
        <v>-1</v>
      </c>
      <c r="I131" s="15"/>
      <c r="J131" s="21"/>
      <c r="K131" s="3">
        <f>+IF(Tabla13[[#This Row],[Emitido USD]]&gt;0,1,-1)</f>
        <v>1</v>
      </c>
      <c r="L131" s="73">
        <v>45530</v>
      </c>
      <c r="M131" s="3">
        <v>2</v>
      </c>
      <c r="N131" s="52">
        <v>82409</v>
      </c>
      <c r="O131" s="6">
        <v>217</v>
      </c>
      <c r="P131" s="76">
        <v>45559</v>
      </c>
      <c r="Q131" s="3">
        <f>+IF(Tabla13[[#This Row],[Facturado USD]]&gt;0,1,-1)</f>
        <v>1</v>
      </c>
      <c r="R131" s="22">
        <v>82408</v>
      </c>
      <c r="S131" s="3">
        <f>+IF(Tabla13[[#This Row],[Ingresado USD]]&gt;0,1,-1)</f>
        <v>1</v>
      </c>
      <c r="T131" s="78">
        <v>45646</v>
      </c>
      <c r="U131" s="22">
        <v>82408</v>
      </c>
    </row>
    <row r="132" spans="1:22" ht="12" hidden="1" x14ac:dyDescent="0.2">
      <c r="A132" s="3">
        <v>131</v>
      </c>
      <c r="B132" s="3" t="s">
        <v>276</v>
      </c>
      <c r="C13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Capstone Copper_Estimacion confiabilidad de planes</v>
      </c>
      <c r="D132" s="3" t="s">
        <v>186</v>
      </c>
      <c r="E132" s="3" t="s">
        <v>277</v>
      </c>
      <c r="F132" s="3" t="s">
        <v>251</v>
      </c>
      <c r="G132" s="3">
        <v>2024</v>
      </c>
      <c r="H132" s="3">
        <f>+IF(Tabla13[[#This Row],[Proyectado USD]]&gt;0,1,-1)</f>
        <v>-1</v>
      </c>
      <c r="I132" s="15"/>
      <c r="J132" s="21"/>
      <c r="K132" s="3">
        <f>+IF(Tabla13[[#This Row],[Emitido USD]]&gt;0,1,-1)</f>
        <v>1</v>
      </c>
      <c r="L132" s="73">
        <v>45561</v>
      </c>
      <c r="M132" s="3">
        <v>3</v>
      </c>
      <c r="N132" s="22">
        <v>37000</v>
      </c>
      <c r="O132" s="6">
        <v>235</v>
      </c>
      <c r="P132" s="78">
        <v>45615</v>
      </c>
      <c r="Q132" s="3">
        <f>+IF(Tabla13[[#This Row],[Facturado USD]]&gt;0,1,-1)</f>
        <v>1</v>
      </c>
      <c r="R132" s="22">
        <v>37255</v>
      </c>
      <c r="S132" s="3">
        <f>+IF(Tabla13[[#This Row],[Ingresado USD]]&gt;0,1,-1)</f>
        <v>1</v>
      </c>
      <c r="T132" s="78">
        <v>45674</v>
      </c>
      <c r="U132" s="23">
        <v>38659.513500000001</v>
      </c>
    </row>
    <row r="133" spans="1:22" ht="12" hidden="1" x14ac:dyDescent="0.2">
      <c r="A133" s="3">
        <v>132</v>
      </c>
      <c r="B133" s="3" t="s">
        <v>276</v>
      </c>
      <c r="C13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Capstone Copper_Estimacion confiabilidad de planes</v>
      </c>
      <c r="D133" s="3" t="s">
        <v>186</v>
      </c>
      <c r="E133" s="3" t="s">
        <v>277</v>
      </c>
      <c r="F133" s="3" t="s">
        <v>251</v>
      </c>
      <c r="G133" s="3">
        <v>2024</v>
      </c>
      <c r="H133" s="3">
        <f>+IF(Tabla13[[#This Row],[Proyectado USD]]&gt;0,1,-1)</f>
        <v>-1</v>
      </c>
      <c r="I133" s="15"/>
      <c r="J133" s="21"/>
      <c r="K133" s="3">
        <f>+IF(Tabla13[[#This Row],[Emitido USD]]&gt;0,1,-1)</f>
        <v>1</v>
      </c>
      <c r="L133" s="73">
        <v>45589</v>
      </c>
      <c r="M133" s="3">
        <v>4</v>
      </c>
      <c r="N133" s="22">
        <v>12795</v>
      </c>
      <c r="O133" s="6">
        <v>236</v>
      </c>
      <c r="P133" s="78">
        <v>45615</v>
      </c>
      <c r="Q133" s="3">
        <f>+IF(Tabla13[[#This Row],[Facturado USD]]&gt;0,1,-1)</f>
        <v>1</v>
      </c>
      <c r="R133" s="22">
        <v>12813</v>
      </c>
      <c r="S133" s="3">
        <f>+IF(Tabla13[[#This Row],[Ingresado USD]]&gt;0,1,-1)</f>
        <v>1</v>
      </c>
      <c r="T133" s="78">
        <v>45674</v>
      </c>
      <c r="U133" s="23">
        <v>13296.0501</v>
      </c>
    </row>
    <row r="134" spans="1:22" ht="12" hidden="1" x14ac:dyDescent="0.2">
      <c r="A134" s="3">
        <v>133</v>
      </c>
      <c r="B134" s="3" t="s">
        <v>276</v>
      </c>
      <c r="C13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Capstone Copper_Estimacion confiabilidad de planes</v>
      </c>
      <c r="D134" s="3" t="s">
        <v>186</v>
      </c>
      <c r="E134" s="3" t="s">
        <v>277</v>
      </c>
      <c r="F134" s="3" t="s">
        <v>300</v>
      </c>
      <c r="G134" s="3">
        <v>2024</v>
      </c>
      <c r="H134" s="3">
        <f>+IF(Tabla13[[#This Row],[Proyectado USD]]&gt;0,1,-1)</f>
        <v>-1</v>
      </c>
      <c r="I134" s="15"/>
      <c r="J134" s="21"/>
      <c r="K134" s="3">
        <f>+IF(Tabla13[[#This Row],[Emitido USD]]&gt;0,1,-1)</f>
        <v>1</v>
      </c>
      <c r="L134" s="73">
        <v>45622</v>
      </c>
      <c r="M134" s="3">
        <v>5</v>
      </c>
      <c r="N134" s="22">
        <v>45478</v>
      </c>
      <c r="O134" s="6" t="s">
        <v>164</v>
      </c>
      <c r="P134" s="78">
        <v>45665</v>
      </c>
      <c r="Q134" s="3">
        <f>+IF(Tabla13[[#This Row],[Facturado USD]]&gt;0,1,-1)</f>
        <v>1</v>
      </c>
      <c r="R134" s="22">
        <v>45478</v>
      </c>
      <c r="S134" s="3">
        <f>+IF(Tabla13[[#This Row],[Ingresado USD]]&gt;0,1,-1)</f>
        <v>1</v>
      </c>
      <c r="T134" s="78">
        <v>45720</v>
      </c>
      <c r="U134" s="21">
        <v>45478</v>
      </c>
      <c r="V134" s="3" t="s">
        <v>300</v>
      </c>
    </row>
    <row r="135" spans="1:22" ht="12" hidden="1" x14ac:dyDescent="0.2">
      <c r="A135" s="3">
        <v>134</v>
      </c>
      <c r="B135" s="3" t="s">
        <v>276</v>
      </c>
      <c r="C13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Capstone Copper_Estimacion confiabilidad de planes</v>
      </c>
      <c r="D135" s="3" t="s">
        <v>186</v>
      </c>
      <c r="E135" s="3" t="s">
        <v>277</v>
      </c>
      <c r="F135" s="3" t="s">
        <v>300</v>
      </c>
      <c r="G135" s="3">
        <v>2024</v>
      </c>
      <c r="H135" s="3">
        <f>+IF(Tabla13[[#This Row],[Proyectado USD]]&gt;0,1,-1)</f>
        <v>-1</v>
      </c>
      <c r="I135" s="15"/>
      <c r="J135" s="21"/>
      <c r="K135" s="3">
        <f>+IF(Tabla13[[#This Row],[Emitido USD]]&gt;0,1,-1)</f>
        <v>1</v>
      </c>
      <c r="L135" s="73">
        <v>45652</v>
      </c>
      <c r="M135" s="3">
        <v>6</v>
      </c>
      <c r="N135" s="22">
        <v>21682</v>
      </c>
      <c r="O135" s="6" t="s">
        <v>164</v>
      </c>
      <c r="P135" s="76">
        <v>45665</v>
      </c>
      <c r="Q135" s="3">
        <f>+IF(Tabla13[[#This Row],[Facturado USD]]&gt;0,1,-1)</f>
        <v>1</v>
      </c>
      <c r="R135" s="22">
        <v>21682</v>
      </c>
      <c r="S135" s="3">
        <f>+IF(Tabla13[[#This Row],[Ingresado USD]]&gt;0,1,-1)</f>
        <v>1</v>
      </c>
      <c r="T135" s="78">
        <v>45702</v>
      </c>
      <c r="U135" s="22">
        <v>21682</v>
      </c>
      <c r="V135" s="3" t="s">
        <v>300</v>
      </c>
    </row>
    <row r="136" spans="1:22" ht="12" hidden="1" x14ac:dyDescent="0.2">
      <c r="A136" s="3">
        <v>135</v>
      </c>
      <c r="B136" s="3" t="s">
        <v>278</v>
      </c>
      <c r="C13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Capstone Copper_Estudio Sierra Norte</v>
      </c>
      <c r="D136" s="3" t="s">
        <v>187</v>
      </c>
      <c r="E136" s="3" t="s">
        <v>277</v>
      </c>
      <c r="F136" s="3" t="s">
        <v>251</v>
      </c>
      <c r="G136" s="3">
        <v>2024</v>
      </c>
      <c r="H136" s="3">
        <f>+IF(Tabla13[[#This Row],[Proyectado USD]]&gt;0,1,-1)</f>
        <v>-1</v>
      </c>
      <c r="I136" s="15"/>
      <c r="J136" s="21"/>
      <c r="K136" s="3">
        <f>+IF(Tabla13[[#This Row],[Emitido USD]]&gt;0,1,-1)</f>
        <v>1</v>
      </c>
      <c r="L136" s="73">
        <v>45619</v>
      </c>
      <c r="M136" s="3">
        <v>1</v>
      </c>
      <c r="N136" s="22">
        <v>31291</v>
      </c>
      <c r="O136" s="58">
        <v>247</v>
      </c>
      <c r="P136" s="76">
        <v>45653</v>
      </c>
      <c r="Q136" s="3">
        <f>+IF(Tabla13[[#This Row],[Facturado USD]]&gt;0,1,-1)</f>
        <v>1</v>
      </c>
      <c r="R136" s="22">
        <v>31291</v>
      </c>
      <c r="S136" s="3">
        <f>+IF(Tabla13[[#This Row],[Ingresado USD]]&gt;0,1,-1)</f>
        <v>1</v>
      </c>
      <c r="T136" s="78">
        <v>45698</v>
      </c>
      <c r="U136" s="23">
        <v>33657.799500000001</v>
      </c>
    </row>
    <row r="137" spans="1:22" ht="12" hidden="1" x14ac:dyDescent="0.2">
      <c r="A137" s="3">
        <v>136</v>
      </c>
      <c r="B137" s="3" t="s">
        <v>278</v>
      </c>
      <c r="C13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Capstone Copper_Estudio Sierra Norte</v>
      </c>
      <c r="D137" s="3" t="s">
        <v>187</v>
      </c>
      <c r="E137" s="3" t="s">
        <v>277</v>
      </c>
      <c r="F137" s="3" t="s">
        <v>251</v>
      </c>
      <c r="G137" s="3">
        <v>2024</v>
      </c>
      <c r="H137" s="3">
        <f>+IF(Tabla13[[#This Row],[Proyectado USD]]&gt;0,1,-1)</f>
        <v>-1</v>
      </c>
      <c r="I137" s="15"/>
      <c r="J137" s="21"/>
      <c r="K137" s="3">
        <f>+IF(Tabla13[[#This Row],[Emitido USD]]&gt;0,1,-1)</f>
        <v>1</v>
      </c>
      <c r="L137" s="73">
        <v>45649</v>
      </c>
      <c r="M137" s="3">
        <v>2</v>
      </c>
      <c r="N137" s="22">
        <v>128932</v>
      </c>
      <c r="O137" s="58">
        <v>248</v>
      </c>
      <c r="P137" s="76">
        <v>45653</v>
      </c>
      <c r="Q137" s="3">
        <f>+IF(Tabla13[[#This Row],[Facturado USD]]&gt;0,1,-1)</f>
        <v>1</v>
      </c>
      <c r="R137" s="22">
        <v>128932</v>
      </c>
      <c r="S137" s="3">
        <f>+IF(Tabla13[[#This Row],[Ingresado USD]]&gt;0,1,-1)</f>
        <v>1</v>
      </c>
      <c r="T137" s="78">
        <v>45698</v>
      </c>
      <c r="U137" s="23">
        <v>138684.45420000001</v>
      </c>
    </row>
    <row r="138" spans="1:22" ht="12" hidden="1" x14ac:dyDescent="0.2">
      <c r="A138" s="3">
        <v>137</v>
      </c>
      <c r="B138" s="3" t="s">
        <v>278</v>
      </c>
      <c r="C13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Capstone Copper_Estudio Sierra Norte</v>
      </c>
      <c r="D138" s="3" t="s">
        <v>187</v>
      </c>
      <c r="E138" s="3" t="s">
        <v>277</v>
      </c>
      <c r="F138" s="3" t="s">
        <v>251</v>
      </c>
      <c r="G138" s="3">
        <v>2025</v>
      </c>
      <c r="H138" s="3">
        <f>+IF(Tabla13[[#This Row],[Proyectado USD]]&gt;0,1,-1)</f>
        <v>-1</v>
      </c>
      <c r="I138" s="15"/>
      <c r="J138" s="21"/>
      <c r="K138" s="3">
        <f>+IF(Tabla13[[#This Row],[Emitido USD]]&gt;0,1,-1)</f>
        <v>1</v>
      </c>
      <c r="L138" s="73">
        <v>45685</v>
      </c>
      <c r="M138" s="3">
        <v>3</v>
      </c>
      <c r="N138" s="22">
        <v>31129</v>
      </c>
      <c r="O138" s="6">
        <v>298</v>
      </c>
      <c r="P138" s="76">
        <v>45785</v>
      </c>
      <c r="Q138" s="3">
        <f>+IF(Tabla13[[#This Row],[Facturado USD]]&gt;0,1,-1)</f>
        <v>1</v>
      </c>
      <c r="R138" s="22">
        <v>31129</v>
      </c>
      <c r="S138" s="3">
        <f>+IF(Tabla13[[#This Row],[Ingresado USD]]&gt;0,1,-1)</f>
        <v>1</v>
      </c>
      <c r="T138" s="78">
        <v>45793</v>
      </c>
      <c r="U138" s="22">
        <v>31129</v>
      </c>
    </row>
    <row r="139" spans="1:22" ht="12" hidden="1" x14ac:dyDescent="0.2">
      <c r="A139" s="3">
        <v>138</v>
      </c>
      <c r="B139" s="3" t="s">
        <v>278</v>
      </c>
      <c r="C13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Capstone Copper_Estudio Sierra Norte</v>
      </c>
      <c r="D139" s="3" t="s">
        <v>187</v>
      </c>
      <c r="E139" s="3" t="s">
        <v>277</v>
      </c>
      <c r="F139" s="3" t="s">
        <v>251</v>
      </c>
      <c r="G139" s="3">
        <v>2025</v>
      </c>
      <c r="H139" s="3">
        <f>+IF(Tabla13[[#This Row],[Proyectado USD]]&gt;0,1,-1)</f>
        <v>-1</v>
      </c>
      <c r="I139" s="15"/>
      <c r="J139" s="21"/>
      <c r="K139" s="3">
        <f>+IF(Tabla13[[#This Row],[Emitido USD]]&gt;0,1,-1)</f>
        <v>1</v>
      </c>
      <c r="L139" s="73">
        <v>45713</v>
      </c>
      <c r="M139" s="3">
        <v>4</v>
      </c>
      <c r="N139" s="22">
        <v>4648</v>
      </c>
      <c r="O139" s="6">
        <v>299</v>
      </c>
      <c r="P139" s="76">
        <v>45785</v>
      </c>
      <c r="Q139" s="3">
        <f>+IF(Tabla13[[#This Row],[Facturado USD]]&gt;0,1,-1)</f>
        <v>1</v>
      </c>
      <c r="R139" s="22">
        <v>4648</v>
      </c>
      <c r="S139" s="3">
        <f>+IF(Tabla13[[#This Row],[Ingresado USD]]&gt;0,1,-1)</f>
        <v>1</v>
      </c>
      <c r="T139" s="78">
        <v>45793</v>
      </c>
      <c r="U139" s="22">
        <v>4648</v>
      </c>
    </row>
    <row r="140" spans="1:22" ht="12" hidden="1" x14ac:dyDescent="0.2">
      <c r="A140" s="3">
        <v>139</v>
      </c>
      <c r="B140" s="3" t="s">
        <v>573</v>
      </c>
      <c r="C14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Capstone Copper_Production at Risk</v>
      </c>
      <c r="D14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Capstone Copper_Production at Risk</v>
      </c>
      <c r="E140" s="3" t="s">
        <v>277</v>
      </c>
      <c r="F140" s="3" t="s">
        <v>251</v>
      </c>
      <c r="G140" s="3">
        <v>2025</v>
      </c>
      <c r="H140" s="3">
        <f>+IF(Tabla13[[#This Row],[Proyectado USD]]&gt;0,1,-1)</f>
        <v>-1</v>
      </c>
      <c r="I140" s="15"/>
      <c r="J140" s="21"/>
      <c r="K140" s="3">
        <f>+IF(Tabla13[[#This Row],[Emitido USD]]&gt;0,1,-1)</f>
        <v>1</v>
      </c>
      <c r="L140" s="73">
        <v>45898</v>
      </c>
      <c r="M140" s="3">
        <v>1</v>
      </c>
      <c r="N140" s="22">
        <v>39515</v>
      </c>
      <c r="O140" s="6" t="s">
        <v>592</v>
      </c>
      <c r="P140" s="76">
        <v>45925</v>
      </c>
      <c r="Q140" s="3">
        <f>+IF(Tabla13[[#This Row],[Facturado USD]]&gt;0,1,-1)</f>
        <v>1</v>
      </c>
      <c r="R140" s="22">
        <v>39515</v>
      </c>
      <c r="S140" s="3">
        <f>+IF(Tabla13[[#This Row],[Ingresado USD]]&gt;0,1,-1)</f>
        <v>1</v>
      </c>
      <c r="T140" s="78">
        <v>45940</v>
      </c>
      <c r="U140" s="22">
        <v>39515</v>
      </c>
      <c r="V140" s="3" t="s">
        <v>682</v>
      </c>
    </row>
    <row r="141" spans="1:22" ht="12" hidden="1" x14ac:dyDescent="0.2">
      <c r="A141" s="3">
        <v>140</v>
      </c>
      <c r="B141" s="3" t="s">
        <v>573</v>
      </c>
      <c r="C14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Capstone Copper_Production at Risk</v>
      </c>
      <c r="D141" s="3" t="s">
        <v>574</v>
      </c>
      <c r="E141" s="3" t="s">
        <v>277</v>
      </c>
      <c r="F141" s="3" t="s">
        <v>251</v>
      </c>
      <c r="G141" s="3">
        <v>2025</v>
      </c>
      <c r="H141" s="3">
        <f>+IF(Tabla13[[#This Row],[Proyectado USD]]&gt;0,1,-1)</f>
        <v>-1</v>
      </c>
      <c r="I141" s="15"/>
      <c r="J141" s="21"/>
      <c r="K141" s="3">
        <f>+IF(Tabla13[[#This Row],[Emitido USD]]&gt;0,1,-1)</f>
        <v>1</v>
      </c>
      <c r="L141" s="73">
        <v>45925</v>
      </c>
      <c r="M141" s="3">
        <v>2</v>
      </c>
      <c r="N141" s="22">
        <v>48782</v>
      </c>
      <c r="O141" s="6" t="s">
        <v>631</v>
      </c>
      <c r="P141" s="76">
        <v>45947</v>
      </c>
      <c r="Q141" s="3">
        <f>+IF(Tabla13[[#This Row],[Facturado USD]]&gt;0,1,-1)</f>
        <v>1</v>
      </c>
      <c r="R141" s="22">
        <v>27100</v>
      </c>
      <c r="S141" s="3">
        <f>+IF(Tabla13[[#This Row],[Ingresado USD]]&gt;0,1,-1)</f>
        <v>1</v>
      </c>
      <c r="T141" s="78">
        <v>46003</v>
      </c>
      <c r="U141" s="22">
        <f>18184+15366</f>
        <v>33550</v>
      </c>
      <c r="V141" s="3" t="s">
        <v>683</v>
      </c>
    </row>
    <row r="142" spans="1:22" ht="12" hidden="1" x14ac:dyDescent="0.2">
      <c r="A142" s="3">
        <v>141</v>
      </c>
      <c r="B142" s="3" t="s">
        <v>573</v>
      </c>
      <c r="C14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Capstone Copper_Production at Risk</v>
      </c>
      <c r="D142" s="3" t="s">
        <v>574</v>
      </c>
      <c r="E142" s="3" t="s">
        <v>277</v>
      </c>
      <c r="F142" s="3" t="s">
        <v>251</v>
      </c>
      <c r="G142" s="3">
        <v>2025</v>
      </c>
      <c r="H142" s="3">
        <f>+IF(Tabla13[[#This Row],[Proyectado USD]]&gt;0,1,-1)</f>
        <v>-1</v>
      </c>
      <c r="I142" s="15"/>
      <c r="J142" s="21"/>
      <c r="K142" s="3">
        <f>+IF(Tabla13[[#This Row],[Emitido USD]]&gt;0,1,-1)</f>
        <v>1</v>
      </c>
      <c r="L142" s="73">
        <v>45955</v>
      </c>
      <c r="M142" s="3">
        <v>3</v>
      </c>
      <c r="N142" s="22">
        <v>59984</v>
      </c>
      <c r="O142" s="87">
        <v>366</v>
      </c>
      <c r="P142" s="76">
        <v>45993</v>
      </c>
      <c r="Q142" s="3">
        <f>+IF(Tabla13[[#This Row],[Facturado USD]]&gt;0,1,-1)</f>
        <v>1</v>
      </c>
      <c r="R142" s="22">
        <v>28270</v>
      </c>
      <c r="S142" s="3">
        <f>+IF(Tabla13[[#This Row],[Ingresado USD]]&gt;0,1,-1)</f>
        <v>1</v>
      </c>
      <c r="T142" s="88">
        <v>46024</v>
      </c>
      <c r="U142" s="61">
        <v>28270</v>
      </c>
      <c r="V142" s="3" t="s">
        <v>680</v>
      </c>
    </row>
    <row r="143" spans="1:22" ht="12" hidden="1" x14ac:dyDescent="0.2">
      <c r="A143" s="3">
        <v>142</v>
      </c>
      <c r="B143" s="3" t="s">
        <v>573</v>
      </c>
      <c r="C14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Capstone Copper_Production at Risk</v>
      </c>
      <c r="D143" s="3" t="s">
        <v>574</v>
      </c>
      <c r="E143" s="3" t="s">
        <v>277</v>
      </c>
      <c r="F143" s="3" t="s">
        <v>251</v>
      </c>
      <c r="G143" s="3">
        <v>2025</v>
      </c>
      <c r="H143" s="3">
        <f>+IF(Tabla13[[#This Row],[Proyectado USD]]&gt;0,1,-1)</f>
        <v>-1</v>
      </c>
      <c r="I143" s="15"/>
      <c r="J143" s="21"/>
      <c r="K143" s="3">
        <f>+IF(Tabla13[[#This Row],[Emitido USD]]&gt;0,1,-1)</f>
        <v>-1</v>
      </c>
      <c r="L143" s="73"/>
      <c r="M143" s="3" t="s">
        <v>630</v>
      </c>
      <c r="N143" s="22">
        <v>0</v>
      </c>
      <c r="O143" s="6">
        <v>365</v>
      </c>
      <c r="P143" s="76">
        <v>45993</v>
      </c>
      <c r="Q143" s="3">
        <f>+IF(Tabla13[[#This Row],[Facturado USD]]&gt;0,1,-1)</f>
        <v>1</v>
      </c>
      <c r="R143" s="22">
        <v>15496</v>
      </c>
      <c r="S143" s="3">
        <f>+IF(Tabla13[[#This Row],[Ingresado USD]]&gt;0,1,-1)</f>
        <v>1</v>
      </c>
      <c r="T143" s="78">
        <v>46066</v>
      </c>
      <c r="U143" s="22">
        <v>15496</v>
      </c>
    </row>
    <row r="144" spans="1:22" ht="12" hidden="1" x14ac:dyDescent="0.2">
      <c r="A144" s="3">
        <v>143</v>
      </c>
      <c r="B144" s="3" t="s">
        <v>573</v>
      </c>
      <c r="C14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Capstone Copper_Production at Risk</v>
      </c>
      <c r="D144" s="3" t="s">
        <v>574</v>
      </c>
      <c r="E144" s="3" t="s">
        <v>277</v>
      </c>
      <c r="F144" s="3" t="s">
        <v>469</v>
      </c>
      <c r="G144" s="3">
        <v>2025</v>
      </c>
      <c r="H144" s="3">
        <f>+IF(Tabla13[[#This Row],[Proyectado USD]]&gt;0,1,-1)</f>
        <v>-1</v>
      </c>
      <c r="I144" s="15"/>
      <c r="J144" s="21"/>
      <c r="K144" s="3">
        <f>+IF(Tabla13[[#This Row],[Emitido USD]]&gt;0,1,-1)</f>
        <v>-1</v>
      </c>
      <c r="L144" s="73"/>
      <c r="M144" s="3" t="s">
        <v>630</v>
      </c>
      <c r="N144" s="22">
        <v>0</v>
      </c>
      <c r="O144" s="58" t="s">
        <v>164</v>
      </c>
      <c r="P144" s="76">
        <v>45959</v>
      </c>
      <c r="Q144" s="3">
        <f>+IF(Tabla13[[#This Row],[Facturado USD]]&gt;0,1,-1)</f>
        <v>1</v>
      </c>
      <c r="R144" s="22">
        <v>38000</v>
      </c>
      <c r="S144" s="3">
        <f>+IF(Tabla13[[#This Row],[Ingresado USD]]&gt;0,1,-1)</f>
        <v>1</v>
      </c>
      <c r="T144" s="78">
        <v>46121</v>
      </c>
      <c r="U144" s="37">
        <v>38000</v>
      </c>
    </row>
    <row r="145" spans="1:22" ht="12" hidden="1" x14ac:dyDescent="0.2">
      <c r="A145" s="3">
        <v>144</v>
      </c>
      <c r="B145" s="3" t="s">
        <v>586</v>
      </c>
      <c r="C14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CBMM_SIMPLAN Initiatives Evaluation</v>
      </c>
      <c r="D145" s="3" t="s">
        <v>587</v>
      </c>
      <c r="E145" s="3" t="s">
        <v>588</v>
      </c>
      <c r="F145" s="3" t="s">
        <v>235</v>
      </c>
      <c r="G145" s="3">
        <v>2025</v>
      </c>
      <c r="H145" s="3">
        <f>+IF(Tabla13[[#This Row],[Proyectado USD]]&gt;0,1,-1)</f>
        <v>-1</v>
      </c>
      <c r="I145" s="15"/>
      <c r="J145" s="21"/>
      <c r="K145" s="3">
        <f>+IF(Tabla13[[#This Row],[Emitido USD]]&gt;0,1,-1)</f>
        <v>1</v>
      </c>
      <c r="L145" s="73">
        <v>45915</v>
      </c>
      <c r="M145" s="3">
        <v>1</v>
      </c>
      <c r="N145" s="22">
        <v>28949</v>
      </c>
      <c r="O145" s="6">
        <v>97</v>
      </c>
      <c r="P145" s="76">
        <v>45924</v>
      </c>
      <c r="Q145" s="3">
        <f>+IF(Tabla13[[#This Row],[Facturado USD]]&gt;0,1,-1)</f>
        <v>1</v>
      </c>
      <c r="R145" s="22">
        <f>154599/5.45</f>
        <v>28366.788990825688</v>
      </c>
      <c r="S145" s="3">
        <f>+IF(Tabla13[[#This Row],[Ingresado USD]]&gt;0,1,-1)</f>
        <v>1</v>
      </c>
      <c r="T145" s="78">
        <v>45985</v>
      </c>
      <c r="U145" s="22">
        <v>27222</v>
      </c>
    </row>
    <row r="146" spans="1:22" ht="12" hidden="1" x14ac:dyDescent="0.2">
      <c r="A146" s="3">
        <v>145</v>
      </c>
      <c r="B146" s="3" t="s">
        <v>586</v>
      </c>
      <c r="C14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CBMM_SIMPLAN Initiatives Evaluation</v>
      </c>
      <c r="D146" s="3" t="s">
        <v>587</v>
      </c>
      <c r="E146" s="3" t="s">
        <v>588</v>
      </c>
      <c r="F146" s="3" t="s">
        <v>235</v>
      </c>
      <c r="G146" s="3">
        <v>2025</v>
      </c>
      <c r="H146" s="3">
        <f>+IF(Tabla13[[#This Row],[Proyectado USD]]&gt;0,1,-1)</f>
        <v>-1</v>
      </c>
      <c r="I146" s="15"/>
      <c r="J146" s="21"/>
      <c r="K146" s="3">
        <f>+IF(Tabla13[[#This Row],[Emitido USD]]&gt;0,1,-1)</f>
        <v>1</v>
      </c>
      <c r="L146" s="73">
        <v>45945</v>
      </c>
      <c r="M146" s="3">
        <v>2</v>
      </c>
      <c r="N146" s="22">
        <v>31572</v>
      </c>
      <c r="O146" s="6">
        <v>109</v>
      </c>
      <c r="P146" s="76">
        <v>45947</v>
      </c>
      <c r="Q146" s="3">
        <f>+IF(Tabla13[[#This Row],[Facturado USD]]&gt;0,1,-1)</f>
        <v>1</v>
      </c>
      <c r="R146" s="22">
        <v>29686</v>
      </c>
      <c r="S146" s="3">
        <f>+IF(Tabla13[[#This Row],[Ingresado USD]]&gt;0,1,-1)</f>
        <v>1</v>
      </c>
      <c r="T146" s="78">
        <v>46027</v>
      </c>
      <c r="U146" s="22">
        <v>30711</v>
      </c>
      <c r="V146" s="3" t="s">
        <v>654</v>
      </c>
    </row>
    <row r="147" spans="1:22" ht="12" hidden="1" x14ac:dyDescent="0.2">
      <c r="A147" s="3">
        <v>146</v>
      </c>
      <c r="B147" s="3" t="s">
        <v>586</v>
      </c>
      <c r="C14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CBMM_SIMPLAN Initiatives Evaluation</v>
      </c>
      <c r="D147" s="3" t="s">
        <v>587</v>
      </c>
      <c r="E147" s="3" t="s">
        <v>588</v>
      </c>
      <c r="F147" s="3" t="s">
        <v>235</v>
      </c>
      <c r="G147" s="3">
        <v>2025</v>
      </c>
      <c r="H147" s="3">
        <f>+IF(Tabla13[[#This Row],[Proyectado USD]]&gt;0,1,-1)</f>
        <v>-1</v>
      </c>
      <c r="I147" s="15"/>
      <c r="J147" s="21"/>
      <c r="K147" s="3">
        <f>+IF(Tabla13[[#This Row],[Emitido USD]]&gt;0,1,-1)</f>
        <v>1</v>
      </c>
      <c r="L147" s="73">
        <v>45976</v>
      </c>
      <c r="M147" s="3">
        <v>3</v>
      </c>
      <c r="N147" s="22">
        <v>11994</v>
      </c>
      <c r="O147" s="6">
        <v>112</v>
      </c>
      <c r="P147" s="76">
        <v>45978</v>
      </c>
      <c r="Q147" s="3">
        <f>+IF(Tabla13[[#This Row],[Facturado USD]]&gt;0,1,-1)</f>
        <v>1</v>
      </c>
      <c r="R147" s="22">
        <v>11994</v>
      </c>
      <c r="S147" s="3">
        <f>+IF(Tabla13[[#This Row],[Ingresado USD]]&gt;0,1,-1)</f>
        <v>1</v>
      </c>
      <c r="T147" s="78">
        <v>46045</v>
      </c>
      <c r="U147" s="22">
        <v>11459</v>
      </c>
    </row>
    <row r="148" spans="1:22" ht="12" hidden="1" x14ac:dyDescent="0.2">
      <c r="A148" s="3">
        <v>458</v>
      </c>
      <c r="B148" s="3" t="s">
        <v>802</v>
      </c>
      <c r="C14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MineriaIman_PEA Proyecto Iman</v>
      </c>
      <c r="D148" s="3" t="s">
        <v>805</v>
      </c>
      <c r="E148" s="3" t="s">
        <v>830</v>
      </c>
      <c r="F148" s="3" t="s">
        <v>251</v>
      </c>
      <c r="G148" s="3">
        <v>2026</v>
      </c>
      <c r="H148" s="3">
        <f>+IF(Tabla13[[#This Row],[Proyectado USD]]&gt;0,1,-1)</f>
        <v>-1</v>
      </c>
      <c r="I148" s="15"/>
      <c r="J148" s="21"/>
      <c r="K148" s="3">
        <f>+IF(Tabla13[[#This Row],[Emitido USD]]&gt;0,1,-1)</f>
        <v>1</v>
      </c>
      <c r="L148" s="73">
        <v>46167</v>
      </c>
      <c r="M148" s="3">
        <v>2</v>
      </c>
      <c r="N148" s="22">
        <v>50707</v>
      </c>
      <c r="O148" s="6" t="s">
        <v>69</v>
      </c>
      <c r="P148" s="76"/>
      <c r="Q148" s="3">
        <f>+IF(Tabla13[[#This Row],[Facturado USD]]&gt;0,1,-1)</f>
        <v>-1</v>
      </c>
      <c r="S148" s="3">
        <f>+IF(Tabla13[[#This Row],[Ingresado USD]]&gt;0,1,-1)</f>
        <v>-1</v>
      </c>
      <c r="T148" s="78"/>
    </row>
    <row r="149" spans="1:22" ht="12" hidden="1" x14ac:dyDescent="0.2">
      <c r="A149" s="3">
        <v>148</v>
      </c>
      <c r="B149" s="3" t="s">
        <v>323</v>
      </c>
      <c r="C14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CMC_Capacitación DBS y SIMPLAN</v>
      </c>
      <c r="D149" s="3" t="s">
        <v>188</v>
      </c>
      <c r="E149" s="3" t="s">
        <v>324</v>
      </c>
      <c r="F149" s="3" t="s">
        <v>318</v>
      </c>
      <c r="G149" s="3">
        <v>2024</v>
      </c>
      <c r="H149" s="3">
        <f>+IF(Tabla13[[#This Row],[Proyectado USD]]&gt;0,1,-1)</f>
        <v>-1</v>
      </c>
      <c r="I149" s="15"/>
      <c r="J149" s="21"/>
      <c r="K149" s="3">
        <f>+IF(Tabla13[[#This Row],[Emitido USD]]&gt;0,1,-1)</f>
        <v>1</v>
      </c>
      <c r="L149" s="73">
        <v>45619</v>
      </c>
      <c r="M149" s="3">
        <v>1</v>
      </c>
      <c r="N149" s="22">
        <v>12843</v>
      </c>
      <c r="O149" s="6" t="s">
        <v>325</v>
      </c>
      <c r="P149" s="76">
        <v>45632</v>
      </c>
      <c r="Q149" s="3">
        <f>+IF(Tabla13[[#This Row],[Facturado USD]]&gt;0,1,-1)</f>
        <v>1</v>
      </c>
      <c r="R149" s="22">
        <v>12843</v>
      </c>
      <c r="S149" s="3">
        <f>+IF(Tabla13[[#This Row],[Ingresado USD]]&gt;0,1,-1)</f>
        <v>1</v>
      </c>
      <c r="T149" s="78">
        <v>45681</v>
      </c>
      <c r="U149" s="22">
        <f>12581+659</f>
        <v>13240</v>
      </c>
    </row>
    <row r="150" spans="1:22" ht="12" hidden="1" x14ac:dyDescent="0.2">
      <c r="A150" s="3">
        <v>149</v>
      </c>
      <c r="B150" s="3" t="s">
        <v>323</v>
      </c>
      <c r="C15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CMC_Capacitación DBS y SIMPLAN</v>
      </c>
      <c r="D150" s="3" t="s">
        <v>188</v>
      </c>
      <c r="E150" s="3" t="s">
        <v>324</v>
      </c>
      <c r="F150" s="3" t="s">
        <v>318</v>
      </c>
      <c r="G150" s="3">
        <v>2024</v>
      </c>
      <c r="H150" s="3">
        <f>+IF(Tabla13[[#This Row],[Proyectado USD]]&gt;0,1,-1)</f>
        <v>-1</v>
      </c>
      <c r="I150" s="15"/>
      <c r="J150" s="21"/>
      <c r="K150" s="3">
        <f>+IF(Tabla13[[#This Row],[Emitido USD]]&gt;0,1,-1)</f>
        <v>1</v>
      </c>
      <c r="L150" s="73">
        <v>45649</v>
      </c>
      <c r="M150" s="3">
        <v>2</v>
      </c>
      <c r="N150" s="22">
        <v>6857</v>
      </c>
      <c r="O150" s="6" t="s">
        <v>326</v>
      </c>
      <c r="P150" s="76">
        <v>45653</v>
      </c>
      <c r="Q150" s="3">
        <f>+IF(Tabla13[[#This Row],[Facturado USD]]&gt;0,1,-1)</f>
        <v>1</v>
      </c>
      <c r="R150" s="22">
        <v>6857</v>
      </c>
      <c r="S150" s="3">
        <f>+IF(Tabla13[[#This Row],[Ingresado USD]]&gt;0,1,-1)</f>
        <v>1</v>
      </c>
      <c r="T150" s="78">
        <v>45684</v>
      </c>
      <c r="U150" s="22">
        <f>6857+359</f>
        <v>7216</v>
      </c>
    </row>
    <row r="151" spans="1:22" ht="12" hidden="1" x14ac:dyDescent="0.2">
      <c r="A151" s="3">
        <v>150</v>
      </c>
      <c r="B151" s="3" t="s">
        <v>94</v>
      </c>
      <c r="C15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 - FEL 2A</v>
      </c>
      <c r="D151" s="3" t="s">
        <v>18</v>
      </c>
      <c r="E151" s="3" t="s">
        <v>250</v>
      </c>
      <c r="F151" s="3" t="s">
        <v>251</v>
      </c>
      <c r="G151" s="3">
        <v>2022</v>
      </c>
      <c r="H151" s="3">
        <f>+IF(Tabla13[[#This Row],[Proyectado USD]]&gt;0,1,-1)</f>
        <v>-1</v>
      </c>
      <c r="I151" s="15"/>
      <c r="J151" s="21"/>
      <c r="K151" s="3">
        <f>+IF(Tabla13[[#This Row],[Emitido USD]]&gt;0,1,-1)</f>
        <v>1</v>
      </c>
      <c r="L151" s="73">
        <v>44886</v>
      </c>
      <c r="M151" s="3">
        <v>1</v>
      </c>
      <c r="N151" s="22">
        <v>33776</v>
      </c>
      <c r="O151" s="6">
        <v>494</v>
      </c>
      <c r="P151" s="76">
        <v>44901</v>
      </c>
      <c r="Q151" s="3">
        <f>+IF(Tabla13[[#This Row],[Facturado USD]]&gt;0,1,-1)</f>
        <v>1</v>
      </c>
      <c r="R151" s="22">
        <v>33776</v>
      </c>
      <c r="S151" s="3">
        <f>+IF(Tabla13[[#This Row],[Ingresado USD]]&gt;0,1,-1)</f>
        <v>1</v>
      </c>
      <c r="T151" s="78">
        <v>44926</v>
      </c>
      <c r="U151" s="22">
        <v>32087</v>
      </c>
    </row>
    <row r="152" spans="1:22" ht="12" hidden="1" customHeight="1" x14ac:dyDescent="0.2">
      <c r="A152" s="3">
        <v>151</v>
      </c>
      <c r="B152" s="3" t="s">
        <v>94</v>
      </c>
      <c r="C15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 - FEL 2A</v>
      </c>
      <c r="D152" s="3" t="s">
        <v>18</v>
      </c>
      <c r="E152" s="3" t="s">
        <v>250</v>
      </c>
      <c r="F152" s="3" t="s">
        <v>251</v>
      </c>
      <c r="G152" s="3">
        <v>2022</v>
      </c>
      <c r="H152" s="3">
        <f>+IF(Tabla13[[#This Row],[Proyectado USD]]&gt;0,1,-1)</f>
        <v>-1</v>
      </c>
      <c r="I152" s="15"/>
      <c r="J152" s="21"/>
      <c r="K152" s="3">
        <f>+IF(Tabla13[[#This Row],[Emitido USD]]&gt;0,1,-1)</f>
        <v>1</v>
      </c>
      <c r="L152" s="73">
        <v>44916</v>
      </c>
      <c r="M152" s="3">
        <v>2</v>
      </c>
      <c r="N152" s="22">
        <v>40354.33</v>
      </c>
      <c r="O152" s="6">
        <v>40</v>
      </c>
      <c r="P152" s="76">
        <v>44932</v>
      </c>
      <c r="Q152" s="3">
        <f>+IF(Tabla13[[#This Row],[Facturado USD]]&gt;0,1,-1)</f>
        <v>1</v>
      </c>
      <c r="R152" s="22">
        <v>40354</v>
      </c>
      <c r="S152" s="3">
        <f>+IF(Tabla13[[#This Row],[Ingresado USD]]&gt;0,1,-1)</f>
        <v>1</v>
      </c>
      <c r="T152" s="78">
        <v>44958</v>
      </c>
      <c r="U152" s="22">
        <v>38336.299999999996</v>
      </c>
    </row>
    <row r="153" spans="1:22" ht="12" hidden="1" x14ac:dyDescent="0.2">
      <c r="A153" s="3">
        <v>152</v>
      </c>
      <c r="B153" s="3" t="s">
        <v>94</v>
      </c>
      <c r="C15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 - FEL 2A</v>
      </c>
      <c r="D153" s="3" t="s">
        <v>18</v>
      </c>
      <c r="E153" s="3" t="s">
        <v>250</v>
      </c>
      <c r="F153" s="3" t="s">
        <v>251</v>
      </c>
      <c r="G153" s="3">
        <v>2023</v>
      </c>
      <c r="H153" s="3">
        <f>+IF(Tabla13[[#This Row],[Proyectado USD]]&gt;0,1,-1)</f>
        <v>-1</v>
      </c>
      <c r="I153" s="15"/>
      <c r="J153" s="21"/>
      <c r="K153" s="3">
        <f>+IF(Tabla13[[#This Row],[Emitido USD]]&gt;0,1,-1)</f>
        <v>1</v>
      </c>
      <c r="L153" s="73">
        <v>44947</v>
      </c>
      <c r="M153" s="3">
        <v>3</v>
      </c>
      <c r="N153" s="22">
        <v>49647.786124999999</v>
      </c>
      <c r="O153" s="6">
        <v>45</v>
      </c>
      <c r="P153" s="76">
        <v>44964</v>
      </c>
      <c r="Q153" s="3">
        <f>+IF(Tabla13[[#This Row],[Facturado USD]]&gt;0,1,-1)</f>
        <v>1</v>
      </c>
      <c r="R153" s="22">
        <v>49647.786124999999</v>
      </c>
      <c r="S153" s="3">
        <f>+IF(Tabla13[[#This Row],[Ingresado USD]]&gt;0,1,-1)</f>
        <v>1</v>
      </c>
      <c r="T153" s="78">
        <v>44972</v>
      </c>
      <c r="U153" s="22">
        <v>47165.39681875</v>
      </c>
    </row>
    <row r="154" spans="1:22" ht="12" hidden="1" x14ac:dyDescent="0.2">
      <c r="A154" s="3">
        <v>153</v>
      </c>
      <c r="B154" s="3" t="s">
        <v>94</v>
      </c>
      <c r="C15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 - FEL 2A</v>
      </c>
      <c r="D154" s="3" t="s">
        <v>18</v>
      </c>
      <c r="E154" s="3" t="s">
        <v>250</v>
      </c>
      <c r="F154" s="3" t="s">
        <v>251</v>
      </c>
      <c r="G154" s="3">
        <v>2023</v>
      </c>
      <c r="H154" s="3">
        <f>+IF(Tabla13[[#This Row],[Proyectado USD]]&gt;0,1,-1)</f>
        <v>-1</v>
      </c>
      <c r="I154" s="15"/>
      <c r="J154" s="21"/>
      <c r="K154" s="3">
        <f>+IF(Tabla13[[#This Row],[Emitido USD]]&gt;0,1,-1)</f>
        <v>1</v>
      </c>
      <c r="L154" s="73">
        <v>44978</v>
      </c>
      <c r="M154" s="3">
        <v>4</v>
      </c>
      <c r="N154" s="22">
        <v>96769.512499999997</v>
      </c>
      <c r="O154" s="6">
        <v>56</v>
      </c>
      <c r="P154" s="76">
        <v>44994</v>
      </c>
      <c r="Q154" s="3">
        <f>+IF(Tabla13[[#This Row],[Facturado USD]]&gt;0,1,-1)</f>
        <v>1</v>
      </c>
      <c r="R154" s="22">
        <v>96769.512499999997</v>
      </c>
      <c r="S154" s="3">
        <f>+IF(Tabla13[[#This Row],[Ingresado USD]]&gt;0,1,-1)</f>
        <v>1</v>
      </c>
      <c r="T154" s="78">
        <v>45002</v>
      </c>
      <c r="U154" s="22">
        <v>91931.036874999991</v>
      </c>
    </row>
    <row r="155" spans="1:22" ht="12" hidden="1" x14ac:dyDescent="0.2">
      <c r="A155" s="3">
        <v>154</v>
      </c>
      <c r="B155" s="3" t="s">
        <v>94</v>
      </c>
      <c r="C15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 - FEL 2A</v>
      </c>
      <c r="D155" s="3" t="s">
        <v>18</v>
      </c>
      <c r="E155" s="3" t="s">
        <v>250</v>
      </c>
      <c r="F155" s="3" t="s">
        <v>251</v>
      </c>
      <c r="G155" s="3">
        <v>2023</v>
      </c>
      <c r="H155" s="3">
        <f>+IF(Tabla13[[#This Row],[Proyectado USD]]&gt;0,1,-1)</f>
        <v>-1</v>
      </c>
      <c r="I155" s="15"/>
      <c r="J155" s="21"/>
      <c r="K155" s="3">
        <f>+IF(Tabla13[[#This Row],[Emitido USD]]&gt;0,1,-1)</f>
        <v>1</v>
      </c>
      <c r="L155" s="73">
        <v>45006</v>
      </c>
      <c r="M155" s="3">
        <v>5</v>
      </c>
      <c r="N155" s="22">
        <v>78184.511249999996</v>
      </c>
      <c r="O155" s="6">
        <v>61</v>
      </c>
      <c r="P155" s="76">
        <v>45021</v>
      </c>
      <c r="Q155" s="3">
        <f>+IF(Tabla13[[#This Row],[Facturado USD]]&gt;0,1,-1)</f>
        <v>1</v>
      </c>
      <c r="R155" s="22">
        <v>78184.511249999996</v>
      </c>
      <c r="S155" s="3">
        <f>+IF(Tabla13[[#This Row],[Ingresado USD]]&gt;0,1,-1)</f>
        <v>1</v>
      </c>
      <c r="T155" s="78">
        <v>45037</v>
      </c>
      <c r="U155" s="22">
        <v>74275.2856875</v>
      </c>
    </row>
    <row r="156" spans="1:22" ht="12" hidden="1" x14ac:dyDescent="0.2">
      <c r="A156" s="3">
        <v>155</v>
      </c>
      <c r="B156" s="3" t="s">
        <v>94</v>
      </c>
      <c r="C15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 - FEL 2A</v>
      </c>
      <c r="D156" s="3" t="s">
        <v>18</v>
      </c>
      <c r="E156" s="3" t="s">
        <v>250</v>
      </c>
      <c r="F156" s="3" t="s">
        <v>251</v>
      </c>
      <c r="G156" s="3">
        <v>2023</v>
      </c>
      <c r="H156" s="3">
        <f>+IF(Tabla13[[#This Row],[Proyectado USD]]&gt;0,1,-1)</f>
        <v>-1</v>
      </c>
      <c r="I156" s="15"/>
      <c r="J156" s="21"/>
      <c r="K156" s="3">
        <f>+IF(Tabla13[[#This Row],[Emitido USD]]&gt;0,1,-1)</f>
        <v>1</v>
      </c>
      <c r="L156" s="73">
        <v>45037</v>
      </c>
      <c r="M156" s="3">
        <v>6</v>
      </c>
      <c r="N156" s="22">
        <v>58833</v>
      </c>
      <c r="O156" s="6">
        <v>66</v>
      </c>
      <c r="P156" s="76">
        <v>45055</v>
      </c>
      <c r="Q156" s="3">
        <f>+IF(Tabla13[[#This Row],[Facturado USD]]&gt;0,1,-1)</f>
        <v>1</v>
      </c>
      <c r="R156" s="22">
        <v>59657.62</v>
      </c>
      <c r="S156" s="3">
        <f>+IF(Tabla13[[#This Row],[Ingresado USD]]&gt;0,1,-1)</f>
        <v>1</v>
      </c>
      <c r="T156" s="76">
        <v>45070</v>
      </c>
      <c r="U156" s="22">
        <v>56674.739000000001</v>
      </c>
    </row>
    <row r="157" spans="1:22" ht="12" hidden="1" x14ac:dyDescent="0.2">
      <c r="A157" s="3">
        <v>156</v>
      </c>
      <c r="B157" s="3" t="s">
        <v>94</v>
      </c>
      <c r="C15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 - FEL 2A</v>
      </c>
      <c r="D157" s="3" t="s">
        <v>18</v>
      </c>
      <c r="E157" s="3" t="s">
        <v>250</v>
      </c>
      <c r="F157" s="3" t="s">
        <v>251</v>
      </c>
      <c r="G157" s="3">
        <v>2023</v>
      </c>
      <c r="H157" s="3">
        <f>+IF(Tabla13[[#This Row],[Proyectado USD]]&gt;0,1,-1)</f>
        <v>-1</v>
      </c>
      <c r="I157" s="15"/>
      <c r="J157" s="21"/>
      <c r="K157" s="3">
        <f>+IF(Tabla13[[#This Row],[Emitido USD]]&gt;0,1,-1)</f>
        <v>1</v>
      </c>
      <c r="L157" s="73">
        <v>45067</v>
      </c>
      <c r="M157" s="3">
        <v>7</v>
      </c>
      <c r="N157" s="22">
        <v>99216.85</v>
      </c>
      <c r="O157" s="6">
        <v>79</v>
      </c>
      <c r="P157" s="76">
        <v>45083</v>
      </c>
      <c r="Q157" s="3">
        <f>+IF(Tabla13[[#This Row],[Facturado USD]]&gt;0,1,-1)</f>
        <v>1</v>
      </c>
      <c r="R157" s="22">
        <v>95359.006693910298</v>
      </c>
      <c r="S157" s="3">
        <f>+IF(Tabla13[[#This Row],[Ingresado USD]]&gt;0,1,-1)</f>
        <v>1</v>
      </c>
      <c r="T157" s="76">
        <v>45100</v>
      </c>
      <c r="U157" s="22">
        <v>90591.056359214781</v>
      </c>
      <c r="V157" s="3" t="s">
        <v>95</v>
      </c>
    </row>
    <row r="158" spans="1:22" ht="12" hidden="1" x14ac:dyDescent="0.2">
      <c r="A158" s="3">
        <v>157</v>
      </c>
      <c r="B158" s="3" t="s">
        <v>94</v>
      </c>
      <c r="C15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 - FEL 2A</v>
      </c>
      <c r="D158" s="3" t="s">
        <v>18</v>
      </c>
      <c r="E158" s="3" t="s">
        <v>250</v>
      </c>
      <c r="F158" s="3" t="s">
        <v>251</v>
      </c>
      <c r="G158" s="3">
        <v>2023</v>
      </c>
      <c r="H158" s="3">
        <f>+IF(Tabla13[[#This Row],[Proyectado USD]]&gt;0,1,-1)</f>
        <v>-1</v>
      </c>
      <c r="I158" s="15"/>
      <c r="J158" s="21"/>
      <c r="K158" s="3">
        <f>+IF(Tabla13[[#This Row],[Emitido USD]]&gt;0,1,-1)</f>
        <v>1</v>
      </c>
      <c r="L158" s="73">
        <v>45098</v>
      </c>
      <c r="M158" s="3">
        <v>8</v>
      </c>
      <c r="N158" s="22">
        <v>24676</v>
      </c>
      <c r="O158" s="6">
        <v>89</v>
      </c>
      <c r="P158" s="76">
        <v>45114</v>
      </c>
      <c r="Q158" s="3">
        <f>+IF(Tabla13[[#This Row],[Facturado USD]]&gt;0,1,-1)</f>
        <v>1</v>
      </c>
      <c r="R158" s="22">
        <v>24676</v>
      </c>
      <c r="S158" s="3">
        <f>+IF(Tabla13[[#This Row],[Ingresado USD]]&gt;0,1,-1)</f>
        <v>1</v>
      </c>
      <c r="T158" s="78">
        <v>45128</v>
      </c>
      <c r="U158" s="22">
        <v>23442.199999999997</v>
      </c>
    </row>
    <row r="159" spans="1:22" ht="12" hidden="1" x14ac:dyDescent="0.2">
      <c r="A159" s="3">
        <v>158</v>
      </c>
      <c r="B159" s="3" t="s">
        <v>94</v>
      </c>
      <c r="C15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 - FEL 2A</v>
      </c>
      <c r="D159" s="3" t="s">
        <v>18</v>
      </c>
      <c r="E159" s="3" t="s">
        <v>250</v>
      </c>
      <c r="F159" s="3" t="s">
        <v>251</v>
      </c>
      <c r="G159" s="3">
        <v>2023</v>
      </c>
      <c r="H159" s="3">
        <f>+IF(Tabla13[[#This Row],[Proyectado USD]]&gt;0,1,-1)</f>
        <v>-1</v>
      </c>
      <c r="I159" s="15"/>
      <c r="J159" s="21"/>
      <c r="K159" s="3">
        <f>+IF(Tabla13[[#This Row],[Emitido USD]]&gt;0,1,-1)</f>
        <v>1</v>
      </c>
      <c r="L159" s="73">
        <v>45132</v>
      </c>
      <c r="M159" s="3">
        <v>9</v>
      </c>
      <c r="N159" s="22">
        <v>33700.07</v>
      </c>
      <c r="O159" s="6">
        <v>101</v>
      </c>
      <c r="P159" s="76">
        <v>45147</v>
      </c>
      <c r="Q159" s="3">
        <f>+IF(Tabla13[[#This Row],[Facturado USD]]&gt;0,1,-1)</f>
        <v>1</v>
      </c>
      <c r="R159" s="22">
        <v>33700</v>
      </c>
      <c r="S159" s="3">
        <f>+IF(Tabla13[[#This Row],[Ingresado USD]]&gt;0,1,-1)</f>
        <v>1</v>
      </c>
      <c r="T159" s="78">
        <v>45170</v>
      </c>
      <c r="U159" s="22">
        <v>32015</v>
      </c>
    </row>
    <row r="160" spans="1:22" ht="12" hidden="1" x14ac:dyDescent="0.2">
      <c r="A160" s="3">
        <v>159</v>
      </c>
      <c r="B160" s="3" t="s">
        <v>94</v>
      </c>
      <c r="C16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 - FEL 2A</v>
      </c>
      <c r="D160" s="3" t="s">
        <v>18</v>
      </c>
      <c r="E160" s="3" t="s">
        <v>250</v>
      </c>
      <c r="F160" s="3" t="s">
        <v>251</v>
      </c>
      <c r="G160" s="3">
        <v>2023</v>
      </c>
      <c r="H160" s="3">
        <f>+IF(Tabla13[[#This Row],[Proyectado USD]]&gt;0,1,-1)</f>
        <v>-1</v>
      </c>
      <c r="I160" s="15"/>
      <c r="J160" s="21"/>
      <c r="K160" s="3">
        <f>+IF(Tabla13[[#This Row],[Emitido USD]]&gt;0,1,-1)</f>
        <v>1</v>
      </c>
      <c r="L160" s="73">
        <v>45163</v>
      </c>
      <c r="M160" s="3">
        <v>10</v>
      </c>
      <c r="N160" s="22">
        <v>10515</v>
      </c>
      <c r="O160" s="6">
        <v>102</v>
      </c>
      <c r="P160" s="76">
        <v>45169</v>
      </c>
      <c r="Q160" s="3">
        <f>+IF(Tabla13[[#This Row],[Facturado USD]]&gt;0,1,-1)</f>
        <v>1</v>
      </c>
      <c r="R160" s="22">
        <v>10515</v>
      </c>
      <c r="S160" s="3">
        <f>+IF(Tabla13[[#This Row],[Ingresado USD]]&gt;0,1,-1)</f>
        <v>1</v>
      </c>
      <c r="T160" s="78">
        <v>45177</v>
      </c>
      <c r="U160" s="22">
        <f>Tabla13[[#This Row],[Facturado USD]]*0.95</f>
        <v>9989.25</v>
      </c>
    </row>
    <row r="161" spans="1:22" ht="12" hidden="1" x14ac:dyDescent="0.2">
      <c r="A161" s="3">
        <v>160</v>
      </c>
      <c r="B161" s="3" t="s">
        <v>94</v>
      </c>
      <c r="C16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 - FEL 2A</v>
      </c>
      <c r="D161" s="3" t="s">
        <v>18</v>
      </c>
      <c r="E161" s="3" t="s">
        <v>250</v>
      </c>
      <c r="F161" s="3" t="s">
        <v>251</v>
      </c>
      <c r="G161" s="3">
        <v>2023</v>
      </c>
      <c r="H161" s="3">
        <f>+IF(Tabla13[[#This Row],[Proyectado USD]]&gt;0,1,-1)</f>
        <v>1</v>
      </c>
      <c r="I161" s="15">
        <v>45170</v>
      </c>
      <c r="J161" s="21">
        <v>45078</v>
      </c>
      <c r="K161" s="3">
        <f>+IF(Tabla13[[#This Row],[Emitido USD]]&gt;0,1,-1)</f>
        <v>1</v>
      </c>
      <c r="L161" s="73">
        <v>45194</v>
      </c>
      <c r="M161" s="3">
        <v>11</v>
      </c>
      <c r="N161" s="22">
        <v>41488</v>
      </c>
      <c r="O161" s="6">
        <v>113</v>
      </c>
      <c r="P161" s="76">
        <v>45202</v>
      </c>
      <c r="Q161" s="3">
        <f>+IF(Tabla13[[#This Row],[Facturado USD]]&gt;0,1,-1)</f>
        <v>1</v>
      </c>
      <c r="R161" s="22">
        <v>41488</v>
      </c>
      <c r="S161" s="3">
        <f>+IF(Tabla13[[#This Row],[Ingresado USD]]&gt;0,1,-1)</f>
        <v>1</v>
      </c>
      <c r="T161" s="78">
        <v>45212</v>
      </c>
      <c r="U161" s="22">
        <v>39413.599999999999</v>
      </c>
      <c r="V161" s="3" t="s">
        <v>96</v>
      </c>
    </row>
    <row r="162" spans="1:22" ht="12" hidden="1" x14ac:dyDescent="0.2">
      <c r="A162" s="3">
        <v>161</v>
      </c>
      <c r="B162" s="3" t="s">
        <v>94</v>
      </c>
      <c r="C16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 - FEL 2A</v>
      </c>
      <c r="D162" s="3" t="s">
        <v>18</v>
      </c>
      <c r="E162" s="3" t="s">
        <v>250</v>
      </c>
      <c r="F162" s="3" t="s">
        <v>251</v>
      </c>
      <c r="G162" s="3">
        <v>2023</v>
      </c>
      <c r="H162" s="3">
        <f>+IF(Tabla13[[#This Row],[Proyectado USD]]&gt;0,1,-1)</f>
        <v>1</v>
      </c>
      <c r="I162" s="15">
        <v>45200</v>
      </c>
      <c r="J162" s="21">
        <v>53215</v>
      </c>
      <c r="K162" s="3">
        <f>+IF(Tabla13[[#This Row],[Emitido USD]]&gt;0,1,-1)</f>
        <v>1</v>
      </c>
      <c r="L162" s="73">
        <v>45222</v>
      </c>
      <c r="M162" s="3">
        <v>12</v>
      </c>
      <c r="N162" s="38">
        <v>34737</v>
      </c>
      <c r="O162" s="6">
        <v>125</v>
      </c>
      <c r="P162" s="76">
        <v>45237</v>
      </c>
      <c r="Q162" s="3">
        <f>+IF(Tabla13[[#This Row],[Facturado USD]]&gt;0,1,-1)</f>
        <v>1</v>
      </c>
      <c r="R162" s="22">
        <f>Tabla13[[#This Row],[Emitido USD]]</f>
        <v>34737</v>
      </c>
      <c r="S162" s="3">
        <f>+IF(Tabla13[[#This Row],[Ingresado USD]]&gt;0,1,-1)</f>
        <v>1</v>
      </c>
      <c r="T162" s="78">
        <v>45247</v>
      </c>
      <c r="U162" s="22">
        <v>33000.15</v>
      </c>
      <c r="V162" s="23"/>
    </row>
    <row r="163" spans="1:22" ht="12" hidden="1" x14ac:dyDescent="0.2">
      <c r="A163" s="3">
        <v>162</v>
      </c>
      <c r="B163" s="3" t="s">
        <v>94</v>
      </c>
      <c r="C16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 - FEL 2A</v>
      </c>
      <c r="D163" s="3" t="s">
        <v>18</v>
      </c>
      <c r="E163" s="3" t="s">
        <v>250</v>
      </c>
      <c r="F163" s="3" t="s">
        <v>251</v>
      </c>
      <c r="G163" s="3">
        <v>2023</v>
      </c>
      <c r="H163" s="3">
        <f>+IF(Tabla13[[#This Row],[Proyectado USD]]&gt;0,1,-1)</f>
        <v>1</v>
      </c>
      <c r="I163" s="15">
        <v>45231</v>
      </c>
      <c r="J163" s="21">
        <v>78129</v>
      </c>
      <c r="K163" s="3">
        <f>+IF(Tabla13[[#This Row],[Emitido USD]]&gt;0,1,-1)</f>
        <v>1</v>
      </c>
      <c r="L163" s="73">
        <v>45250</v>
      </c>
      <c r="M163" s="3">
        <v>13</v>
      </c>
      <c r="N163" s="22">
        <v>31481</v>
      </c>
      <c r="O163" s="6">
        <v>127</v>
      </c>
      <c r="P163" s="76">
        <v>45265</v>
      </c>
      <c r="Q163" s="3">
        <f>+IF(Tabla13[[#This Row],[Facturado USD]]&gt;0,1,-1)</f>
        <v>1</v>
      </c>
      <c r="R163" s="22">
        <v>31481</v>
      </c>
      <c r="S163" s="3">
        <f>+IF(Tabla13[[#This Row],[Ingresado USD]]&gt;0,1,-1)</f>
        <v>1</v>
      </c>
      <c r="T163" s="78">
        <v>45275</v>
      </c>
      <c r="U163" s="22">
        <v>29906.949999999997</v>
      </c>
    </row>
    <row r="164" spans="1:22" ht="12" hidden="1" x14ac:dyDescent="0.2">
      <c r="A164" s="3">
        <v>163</v>
      </c>
      <c r="B164" s="3" t="s">
        <v>94</v>
      </c>
      <c r="C16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 - FEL 2A</v>
      </c>
      <c r="D164" s="3" t="s">
        <v>18</v>
      </c>
      <c r="E164" s="3" t="s">
        <v>250</v>
      </c>
      <c r="F164" s="3" t="s">
        <v>251</v>
      </c>
      <c r="G164" s="3">
        <v>2023</v>
      </c>
      <c r="H164" s="3">
        <f>+IF(Tabla13[[#This Row],[Proyectado USD]]&gt;0,1,-1)</f>
        <v>1</v>
      </c>
      <c r="I164" s="15">
        <v>45261</v>
      </c>
      <c r="J164" s="21">
        <v>46648</v>
      </c>
      <c r="K164" s="3">
        <f>+IF(Tabla13[[#This Row],[Emitido USD]]&gt;0,1,-1)</f>
        <v>1</v>
      </c>
      <c r="L164" s="73">
        <v>45281</v>
      </c>
      <c r="M164" s="3">
        <v>14</v>
      </c>
      <c r="N164" s="22">
        <v>15445</v>
      </c>
      <c r="O164" s="6">
        <v>137</v>
      </c>
      <c r="P164" s="76">
        <v>45296</v>
      </c>
      <c r="Q164" s="3">
        <f>+IF(Tabla13[[#This Row],[Facturado USD]]&gt;0,1,-1)</f>
        <v>1</v>
      </c>
      <c r="R164" s="22">
        <v>15445</v>
      </c>
      <c r="S164" s="3">
        <f>+IF(Tabla13[[#This Row],[Ingresado USD]]&gt;0,1,-1)</f>
        <v>1</v>
      </c>
      <c r="T164" s="78">
        <v>45310</v>
      </c>
      <c r="U164" s="22">
        <v>14672.75</v>
      </c>
    </row>
    <row r="165" spans="1:22" ht="12" hidden="1" x14ac:dyDescent="0.2">
      <c r="A165" s="3">
        <v>164</v>
      </c>
      <c r="B165" s="3" t="s">
        <v>94</v>
      </c>
      <c r="C16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 - FEL 2A</v>
      </c>
      <c r="D165" s="3" t="s">
        <v>18</v>
      </c>
      <c r="E165" s="3" t="s">
        <v>250</v>
      </c>
      <c r="F165" s="3" t="s">
        <v>251</v>
      </c>
      <c r="G165" s="3">
        <v>2024</v>
      </c>
      <c r="H165" s="3">
        <f>+IF(Tabla13[[#This Row],[Proyectado USD]]&gt;0,1,-1)</f>
        <v>1</v>
      </c>
      <c r="I165" s="15">
        <v>45292</v>
      </c>
      <c r="J165" s="49">
        <v>31203</v>
      </c>
      <c r="K165" s="3">
        <f>+IF(Tabla13[[#This Row],[Emitido USD]]&gt;0,1,-1)</f>
        <v>1</v>
      </c>
      <c r="L165" s="73">
        <v>45316</v>
      </c>
      <c r="M165" s="3">
        <v>15</v>
      </c>
      <c r="N165" s="22">
        <v>17246</v>
      </c>
      <c r="O165" s="6">
        <v>160</v>
      </c>
      <c r="P165" s="76">
        <v>45329</v>
      </c>
      <c r="Q165" s="3">
        <f>+IF(Tabla13[[#This Row],[Facturado USD]]&gt;0,1,-1)</f>
        <v>1</v>
      </c>
      <c r="R165" s="22">
        <v>17246</v>
      </c>
      <c r="S165" s="3">
        <f>+IF(Tabla13[[#This Row],[Ingresado USD]]&gt;0,1,-1)</f>
        <v>1</v>
      </c>
      <c r="T165" s="78">
        <v>45350</v>
      </c>
      <c r="U165" s="22">
        <v>16383.699999999999</v>
      </c>
    </row>
    <row r="166" spans="1:22" ht="12" hidden="1" x14ac:dyDescent="0.2">
      <c r="A166" s="3">
        <v>165</v>
      </c>
      <c r="B166" s="3" t="s">
        <v>94</v>
      </c>
      <c r="C16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 - FEL 2A</v>
      </c>
      <c r="D166" s="3" t="s">
        <v>18</v>
      </c>
      <c r="E166" s="3" t="s">
        <v>250</v>
      </c>
      <c r="F166" s="3" t="s">
        <v>251</v>
      </c>
      <c r="G166" s="3">
        <v>2024</v>
      </c>
      <c r="H166" s="3">
        <f>+IF(Tabla13[[#This Row],[Proyectado USD]]&gt;0,1,-1)</f>
        <v>1</v>
      </c>
      <c r="I166" s="15">
        <v>45323</v>
      </c>
      <c r="J166" s="49">
        <v>13957</v>
      </c>
      <c r="K166" s="3">
        <f>+IF(Tabla13[[#This Row],[Emitido USD]]&gt;0,1,-1)</f>
        <v>1</v>
      </c>
      <c r="L166" s="73">
        <v>45347</v>
      </c>
      <c r="M166" s="3">
        <v>16</v>
      </c>
      <c r="N166" s="22">
        <v>10114</v>
      </c>
      <c r="O166" s="6">
        <v>173</v>
      </c>
      <c r="P166" s="76">
        <v>45369</v>
      </c>
      <c r="Q166" s="3">
        <f>+IF(Tabla13[[#This Row],[Facturado USD]]&gt;0,1,-1)</f>
        <v>1</v>
      </c>
      <c r="R166" s="22">
        <v>10114</v>
      </c>
      <c r="S166" s="3">
        <f>+IF(Tabla13[[#This Row],[Ingresado USD]]&gt;0,1,-1)</f>
        <v>1</v>
      </c>
      <c r="T166" s="78">
        <v>45373</v>
      </c>
      <c r="U166" s="22">
        <v>9608.2999999999993</v>
      </c>
    </row>
    <row r="167" spans="1:22" ht="12" hidden="1" x14ac:dyDescent="0.2">
      <c r="A167" s="3">
        <v>166</v>
      </c>
      <c r="B167" s="3" t="s">
        <v>94</v>
      </c>
      <c r="C16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 - FEL 2A</v>
      </c>
      <c r="D167" s="3" t="s">
        <v>18</v>
      </c>
      <c r="E167" s="3" t="s">
        <v>250</v>
      </c>
      <c r="F167" s="3" t="s">
        <v>251</v>
      </c>
      <c r="G167" s="3">
        <v>2024</v>
      </c>
      <c r="H167" s="3">
        <f>+IF(Tabla13[[#This Row],[Proyectado USD]]&gt;0,1,-1)</f>
        <v>1</v>
      </c>
      <c r="I167" s="15">
        <v>45352</v>
      </c>
      <c r="J167" s="49">
        <v>3161</v>
      </c>
      <c r="K167" s="3">
        <f>+IF(Tabla13[[#This Row],[Emitido USD]]&gt;0,1,-1)</f>
        <v>1</v>
      </c>
      <c r="L167" s="73">
        <v>45376</v>
      </c>
      <c r="M167" s="3">
        <v>17</v>
      </c>
      <c r="N167" s="50">
        <v>1847</v>
      </c>
      <c r="O167" s="6">
        <v>177</v>
      </c>
      <c r="P167" s="76">
        <v>45394</v>
      </c>
      <c r="Q167" s="3">
        <f>+IF(Tabla13[[#This Row],[Facturado USD]]&gt;0,1,-1)</f>
        <v>1</v>
      </c>
      <c r="R167" s="22">
        <v>1847</v>
      </c>
      <c r="S167" s="3">
        <f>+IF(Tabla13[[#This Row],[Ingresado USD]]&gt;0,1,-1)</f>
        <v>1</v>
      </c>
      <c r="T167" s="82">
        <v>45412</v>
      </c>
      <c r="U167" s="22">
        <v>1754.6499999999999</v>
      </c>
    </row>
    <row r="168" spans="1:22" ht="12" hidden="1" x14ac:dyDescent="0.2">
      <c r="A168" s="3">
        <v>167</v>
      </c>
      <c r="B168" s="3" t="s">
        <v>94</v>
      </c>
      <c r="C16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 - FEL 2A</v>
      </c>
      <c r="D168" s="3" t="s">
        <v>18</v>
      </c>
      <c r="E168" s="3" t="s">
        <v>250</v>
      </c>
      <c r="F168" s="3" t="s">
        <v>251</v>
      </c>
      <c r="G168" s="3">
        <v>2024</v>
      </c>
      <c r="H168" s="3">
        <f>+IF(Tabla13[[#This Row],[Proyectado USD]]&gt;0,1,-1)</f>
        <v>1</v>
      </c>
      <c r="I168" s="15">
        <v>45383</v>
      </c>
      <c r="J168" s="21">
        <f>10691+1314</f>
        <v>12005</v>
      </c>
      <c r="K168" s="3">
        <f>+IF(Tabla13[[#This Row],[Emitido USD]]&gt;0,1,-1)</f>
        <v>1</v>
      </c>
      <c r="L168" s="73">
        <v>45407</v>
      </c>
      <c r="M168" s="3">
        <v>18</v>
      </c>
      <c r="N168" s="22">
        <v>1896</v>
      </c>
      <c r="O168" s="6">
        <v>187</v>
      </c>
      <c r="P168" s="76">
        <v>45429</v>
      </c>
      <c r="Q168" s="3">
        <f>+IF(Tabla13[[#This Row],[Facturado USD]]&gt;0,1,-1)</f>
        <v>1</v>
      </c>
      <c r="R168" s="22">
        <v>1896</v>
      </c>
      <c r="S168" s="3">
        <f>+IF(Tabla13[[#This Row],[Ingresado USD]]&gt;0,1,-1)</f>
        <v>1</v>
      </c>
      <c r="T168" s="78">
        <v>45436</v>
      </c>
      <c r="U168" s="52">
        <v>1801.1999999999998</v>
      </c>
    </row>
    <row r="169" spans="1:22" ht="12" hidden="1" x14ac:dyDescent="0.2">
      <c r="A169" s="3">
        <v>168</v>
      </c>
      <c r="B169" s="3" t="s">
        <v>94</v>
      </c>
      <c r="C16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 - FEL 2A</v>
      </c>
      <c r="D169" s="3" t="s">
        <v>18</v>
      </c>
      <c r="E169" s="3" t="s">
        <v>250</v>
      </c>
      <c r="F169" s="3" t="s">
        <v>251</v>
      </c>
      <c r="G169" s="3">
        <v>2024</v>
      </c>
      <c r="H169" s="3">
        <f>+IF(Tabla13[[#This Row],[Proyectado USD]]&gt;0,1,-1)</f>
        <v>1</v>
      </c>
      <c r="I169" s="15">
        <v>45413</v>
      </c>
      <c r="J169" s="21">
        <v>5015</v>
      </c>
      <c r="K169" s="3">
        <f>+IF(Tabla13[[#This Row],[Emitido USD]]&gt;0,1,-1)</f>
        <v>1</v>
      </c>
      <c r="L169" s="73">
        <v>45440</v>
      </c>
      <c r="M169" s="3">
        <v>19</v>
      </c>
      <c r="N169" s="22">
        <v>10289</v>
      </c>
      <c r="O169" s="6">
        <v>189</v>
      </c>
      <c r="P169" s="76">
        <v>45449</v>
      </c>
      <c r="Q169" s="3">
        <f>+IF(Tabla13[[#This Row],[Facturado USD]]&gt;0,1,-1)</f>
        <v>1</v>
      </c>
      <c r="R169" s="22">
        <v>10289</v>
      </c>
      <c r="S169" s="3">
        <f>+IF(Tabla13[[#This Row],[Ingresado USD]]&gt;0,1,-1)</f>
        <v>1</v>
      </c>
      <c r="T169" s="78">
        <v>45456</v>
      </c>
      <c r="U169" s="22">
        <v>9774.5499999999993</v>
      </c>
    </row>
    <row r="170" spans="1:22" ht="12" hidden="1" customHeight="1" x14ac:dyDescent="0.2">
      <c r="A170" s="3">
        <v>169</v>
      </c>
      <c r="B170" s="3" t="s">
        <v>94</v>
      </c>
      <c r="C17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 - FEL 2A</v>
      </c>
      <c r="D170" s="3" t="s">
        <v>18</v>
      </c>
      <c r="E170" s="3" t="s">
        <v>250</v>
      </c>
      <c r="F170" s="3" t="s">
        <v>251</v>
      </c>
      <c r="G170" s="3">
        <v>2024</v>
      </c>
      <c r="H170" s="3">
        <f>+IF(Tabla13[[#This Row],[Proyectado USD]]&gt;0,1,-1)</f>
        <v>-1</v>
      </c>
      <c r="I170" s="15"/>
      <c r="J170" s="21"/>
      <c r="K170" s="3">
        <f>+IF(Tabla13[[#This Row],[Emitido USD]]&gt;0,1,-1)</f>
        <v>1</v>
      </c>
      <c r="L170" s="73">
        <v>45468</v>
      </c>
      <c r="M170" s="3">
        <v>20</v>
      </c>
      <c r="N170" s="22">
        <v>21258</v>
      </c>
      <c r="O170" s="6">
        <v>195</v>
      </c>
      <c r="P170" s="76">
        <v>45478</v>
      </c>
      <c r="Q170" s="3">
        <f>+IF(Tabla13[[#This Row],[Facturado USD]]&gt;0,1,-1)</f>
        <v>1</v>
      </c>
      <c r="R170" s="22">
        <v>21258</v>
      </c>
      <c r="S170" s="3">
        <f>+IF(Tabla13[[#This Row],[Ingresado USD]]&gt;0,1,-1)</f>
        <v>1</v>
      </c>
      <c r="T170" s="78">
        <v>45493</v>
      </c>
      <c r="U170" s="22">
        <v>20195.099999999999</v>
      </c>
    </row>
    <row r="171" spans="1:22" ht="12" hidden="1" customHeight="1" x14ac:dyDescent="0.2">
      <c r="A171" s="3">
        <v>170</v>
      </c>
      <c r="B171" s="3" t="s">
        <v>84</v>
      </c>
      <c r="C17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 Estandar Planificación</v>
      </c>
      <c r="D171" s="3" t="s">
        <v>8</v>
      </c>
      <c r="E171" s="3" t="s">
        <v>250</v>
      </c>
      <c r="F171" s="3" t="s">
        <v>251</v>
      </c>
      <c r="G171" s="3">
        <v>2022</v>
      </c>
      <c r="H171" s="3">
        <f>+IF(Tabla13[[#This Row],[Proyectado USD]]&gt;0,1,-1)</f>
        <v>-1</v>
      </c>
      <c r="I171" s="15"/>
      <c r="J171" s="21"/>
      <c r="K171" s="3">
        <f>+IF(Tabla13[[#This Row],[Emitido USD]]&gt;0,1,-1)</f>
        <v>1</v>
      </c>
      <c r="L171" s="73">
        <v>44886</v>
      </c>
      <c r="M171" s="3">
        <v>17</v>
      </c>
      <c r="N171" s="22">
        <v>33725.57</v>
      </c>
      <c r="O171" s="6">
        <v>506</v>
      </c>
      <c r="P171" s="76">
        <v>44924</v>
      </c>
      <c r="Q171" s="3">
        <f>+IF(Tabla13[[#This Row],[Facturado USD]]&gt;0,1,-1)</f>
        <v>1</v>
      </c>
      <c r="R171" s="22">
        <v>33725.57</v>
      </c>
      <c r="S171" s="3">
        <f>+IF(Tabla13[[#This Row],[Ingresado USD]]&gt;0,1,-1)</f>
        <v>1</v>
      </c>
      <c r="T171" s="78">
        <v>44953</v>
      </c>
      <c r="U171" s="22">
        <v>32039.291499999999</v>
      </c>
    </row>
    <row r="172" spans="1:22" ht="12" hidden="1" customHeight="1" x14ac:dyDescent="0.2">
      <c r="A172" s="3">
        <v>171</v>
      </c>
      <c r="B172" s="3" t="s">
        <v>84</v>
      </c>
      <c r="C17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 Estandar Planificación</v>
      </c>
      <c r="D172" s="3" t="s">
        <v>8</v>
      </c>
      <c r="E172" s="3" t="s">
        <v>250</v>
      </c>
      <c r="F172" s="3" t="s">
        <v>251</v>
      </c>
      <c r="G172" s="3">
        <v>2023</v>
      </c>
      <c r="H172" s="3">
        <f>+IF(Tabla13[[#This Row],[Proyectado USD]]&gt;0,1,-1)</f>
        <v>-1</v>
      </c>
      <c r="I172" s="15"/>
      <c r="J172" s="21"/>
      <c r="K172" s="3">
        <f>+IF(Tabla13[[#This Row],[Emitido USD]]&gt;0,1,-1)</f>
        <v>1</v>
      </c>
      <c r="L172" s="73">
        <v>44947</v>
      </c>
      <c r="M172" s="3">
        <v>18</v>
      </c>
      <c r="N172" s="22">
        <v>26141.51</v>
      </c>
      <c r="O172" s="6">
        <v>44</v>
      </c>
      <c r="P172" s="76">
        <v>44963</v>
      </c>
      <c r="Q172" s="3">
        <f>+IF(Tabla13[[#This Row],[Facturado USD]]&gt;0,1,-1)</f>
        <v>1</v>
      </c>
      <c r="R172" s="22">
        <v>26141.51</v>
      </c>
      <c r="S172" s="3">
        <f>+IF(Tabla13[[#This Row],[Ingresado USD]]&gt;0,1,-1)</f>
        <v>1</v>
      </c>
      <c r="T172" s="78">
        <v>44993</v>
      </c>
      <c r="U172" s="22">
        <v>24834.434499999996</v>
      </c>
    </row>
    <row r="173" spans="1:22" ht="12" hidden="1" customHeight="1" x14ac:dyDescent="0.2">
      <c r="A173" s="3">
        <v>172</v>
      </c>
      <c r="B173" s="3" t="s">
        <v>84</v>
      </c>
      <c r="C17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 Estandar Planificación</v>
      </c>
      <c r="D173" s="3" t="s">
        <v>8</v>
      </c>
      <c r="E173" s="3" t="s">
        <v>250</v>
      </c>
      <c r="F173" s="3" t="s">
        <v>251</v>
      </c>
      <c r="G173" s="3">
        <v>2023</v>
      </c>
      <c r="H173" s="3">
        <f>+IF(Tabla13[[#This Row],[Proyectado USD]]&gt;0,1,-1)</f>
        <v>-1</v>
      </c>
      <c r="I173" s="15"/>
      <c r="J173" s="21"/>
      <c r="K173" s="3">
        <f>+IF(Tabla13[[#This Row],[Emitido USD]]&gt;0,1,-1)</f>
        <v>1</v>
      </c>
      <c r="L173" s="73">
        <v>44978</v>
      </c>
      <c r="M173" s="3">
        <v>19</v>
      </c>
      <c r="N173" s="22">
        <v>36926.296249999999</v>
      </c>
      <c r="O173" s="6">
        <v>51</v>
      </c>
      <c r="P173" s="76">
        <v>44988</v>
      </c>
      <c r="Q173" s="3">
        <f>+IF(Tabla13[[#This Row],[Facturado USD]]&gt;0,1,-1)</f>
        <v>1</v>
      </c>
      <c r="R173" s="22">
        <v>36926.296249999999</v>
      </c>
      <c r="S173" s="3">
        <f>+IF(Tabla13[[#This Row],[Ingresado USD]]&gt;0,1,-1)</f>
        <v>1</v>
      </c>
      <c r="T173" s="78">
        <v>45000</v>
      </c>
      <c r="U173" s="22">
        <v>35079.981437499999</v>
      </c>
    </row>
    <row r="174" spans="1:22" ht="12" hidden="1" x14ac:dyDescent="0.2">
      <c r="A174" s="3">
        <v>173</v>
      </c>
      <c r="B174" s="3" t="s">
        <v>84</v>
      </c>
      <c r="C17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 Estandar Planificación</v>
      </c>
      <c r="D174" s="3" t="s">
        <v>8</v>
      </c>
      <c r="E174" s="3" t="s">
        <v>250</v>
      </c>
      <c r="F174" s="3" t="s">
        <v>251</v>
      </c>
      <c r="G174" s="3">
        <v>2023</v>
      </c>
      <c r="H174" s="3">
        <f>+IF(Tabla13[[#This Row],[Proyectado USD]]&gt;0,1,-1)</f>
        <v>-1</v>
      </c>
      <c r="I174" s="15"/>
      <c r="J174" s="21"/>
      <c r="K174" s="3">
        <f>+IF(Tabla13[[#This Row],[Emitido USD]]&gt;0,1,-1)</f>
        <v>1</v>
      </c>
      <c r="L174" s="73">
        <v>45006</v>
      </c>
      <c r="M174" s="3">
        <v>20</v>
      </c>
      <c r="N174" s="22">
        <v>27037.27375</v>
      </c>
      <c r="O174" s="6">
        <v>65</v>
      </c>
      <c r="P174" s="76">
        <v>45035</v>
      </c>
      <c r="Q174" s="3">
        <f>+IF(Tabla13[[#This Row],[Facturado USD]]&gt;0,1,-1)</f>
        <v>1</v>
      </c>
      <c r="R174" s="22">
        <v>27037.27375</v>
      </c>
      <c r="S174" s="3">
        <f>+IF(Tabla13[[#This Row],[Ingresado USD]]&gt;0,1,-1)</f>
        <v>1</v>
      </c>
      <c r="T174" s="78">
        <v>45044</v>
      </c>
      <c r="U174" s="22">
        <v>25685.410062499999</v>
      </c>
    </row>
    <row r="175" spans="1:22" ht="12" hidden="1" x14ac:dyDescent="0.2">
      <c r="A175" s="3">
        <v>174</v>
      </c>
      <c r="B175" s="3" t="s">
        <v>84</v>
      </c>
      <c r="C17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 Estandar Planificación</v>
      </c>
      <c r="D175" s="3" t="s">
        <v>8</v>
      </c>
      <c r="E175" s="3" t="s">
        <v>250</v>
      </c>
      <c r="F175" s="3" t="s">
        <v>251</v>
      </c>
      <c r="G175" s="3">
        <v>2023</v>
      </c>
      <c r="H175" s="3">
        <f>+IF(Tabla13[[#This Row],[Proyectado USD]]&gt;0,1,-1)</f>
        <v>-1</v>
      </c>
      <c r="I175" s="15"/>
      <c r="J175" s="21"/>
      <c r="K175" s="3">
        <f>+IF(Tabla13[[#This Row],[Emitido USD]]&gt;0,1,-1)</f>
        <v>1</v>
      </c>
      <c r="L175" s="73">
        <v>45037</v>
      </c>
      <c r="M175" s="3">
        <v>21</v>
      </c>
      <c r="N175" s="22">
        <v>25905</v>
      </c>
      <c r="O175" s="6">
        <v>73</v>
      </c>
      <c r="P175" s="76">
        <v>45068</v>
      </c>
      <c r="Q175" s="3">
        <f>+IF(Tabla13[[#This Row],[Facturado USD]]&gt;0,1,-1)</f>
        <v>1</v>
      </c>
      <c r="R175" s="22">
        <v>25905</v>
      </c>
      <c r="S175" s="3">
        <f>+IF(Tabla13[[#This Row],[Ingresado USD]]&gt;0,1,-1)</f>
        <v>1</v>
      </c>
      <c r="T175" s="76">
        <v>45079</v>
      </c>
      <c r="U175" s="22">
        <v>24609.75</v>
      </c>
    </row>
    <row r="176" spans="1:22" ht="12" hidden="1" x14ac:dyDescent="0.2">
      <c r="A176" s="3">
        <v>175</v>
      </c>
      <c r="B176" s="3" t="s">
        <v>84</v>
      </c>
      <c r="C17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 Estandar Planificación</v>
      </c>
      <c r="D176" s="3" t="s">
        <v>8</v>
      </c>
      <c r="E176" s="3" t="s">
        <v>250</v>
      </c>
      <c r="F176" s="3" t="s">
        <v>251</v>
      </c>
      <c r="G176" s="3">
        <v>2023</v>
      </c>
      <c r="H176" s="3">
        <f>+IF(Tabla13[[#This Row],[Proyectado USD]]&gt;0,1,-1)</f>
        <v>-1</v>
      </c>
      <c r="I176" s="15"/>
      <c r="J176" s="21"/>
      <c r="K176" s="3">
        <f>+IF(Tabla13[[#This Row],[Emitido USD]]&gt;0,1,-1)</f>
        <v>1</v>
      </c>
      <c r="L176" s="73">
        <v>45098</v>
      </c>
      <c r="M176" s="3">
        <v>22</v>
      </c>
      <c r="N176" s="22">
        <v>12105</v>
      </c>
      <c r="O176" s="6">
        <v>93</v>
      </c>
      <c r="P176" s="76">
        <v>45133</v>
      </c>
      <c r="Q176" s="3">
        <f>+IF(Tabla13[[#This Row],[Facturado USD]]&gt;0,1,-1)</f>
        <v>1</v>
      </c>
      <c r="R176" s="22">
        <v>12105</v>
      </c>
      <c r="S176" s="3">
        <f>+IF(Tabla13[[#This Row],[Ingresado USD]]&gt;0,1,-1)</f>
        <v>1</v>
      </c>
      <c r="T176" s="78">
        <v>45140</v>
      </c>
      <c r="U176" s="22">
        <v>11499.75</v>
      </c>
      <c r="V176" s="3" t="s">
        <v>85</v>
      </c>
    </row>
    <row r="177" spans="1:22" ht="12" hidden="1" x14ac:dyDescent="0.2">
      <c r="A177" s="3">
        <v>176</v>
      </c>
      <c r="B177" s="3" t="s">
        <v>279</v>
      </c>
      <c r="C17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CMP_Actualización Casos de Negocios CNN</v>
      </c>
      <c r="D177" s="3" t="s">
        <v>228</v>
      </c>
      <c r="E177" s="3" t="s">
        <v>250</v>
      </c>
      <c r="F177" s="3" t="s">
        <v>251</v>
      </c>
      <c r="G177" s="3">
        <v>2025</v>
      </c>
      <c r="H177" s="3">
        <f>+IF(Tabla13[[#This Row],[Proyectado USD]]&gt;0,1,-1)</f>
        <v>-1</v>
      </c>
      <c r="I177" s="15"/>
      <c r="J177" s="21"/>
      <c r="K177" s="3">
        <f>+IF(Tabla13[[#This Row],[Emitido USD]]&gt;0,1,-1)</f>
        <v>1</v>
      </c>
      <c r="L177" s="73">
        <v>45833</v>
      </c>
      <c r="M177" s="3">
        <v>1</v>
      </c>
      <c r="N177" s="22">
        <v>5398</v>
      </c>
      <c r="O177" s="6">
        <v>317</v>
      </c>
      <c r="P177" s="76">
        <v>45842</v>
      </c>
      <c r="Q177" s="3">
        <f>+IF(Tabla13[[#This Row],[Facturado USD]]&gt;0,1,-1)</f>
        <v>1</v>
      </c>
      <c r="R177" s="22">
        <v>5398</v>
      </c>
      <c r="S177" s="3">
        <f>+IF(Tabla13[[#This Row],[Ingresado USD]]&gt;0,1,-1)</f>
        <v>1</v>
      </c>
      <c r="T177" s="78">
        <v>45856</v>
      </c>
      <c r="U177" s="22">
        <v>5398</v>
      </c>
    </row>
    <row r="178" spans="1:22" ht="12" hidden="1" x14ac:dyDescent="0.2">
      <c r="A178" s="3">
        <v>177</v>
      </c>
      <c r="B178" s="3" t="s">
        <v>279</v>
      </c>
      <c r="C17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CMP_Actualización Casos de Negocios CNN</v>
      </c>
      <c r="D178" s="3" t="s">
        <v>228</v>
      </c>
      <c r="E178" s="3" t="s">
        <v>250</v>
      </c>
      <c r="F178" s="3" t="s">
        <v>251</v>
      </c>
      <c r="G178" s="3">
        <v>2025</v>
      </c>
      <c r="H178" s="3">
        <f>+IF(Tabla13[[#This Row],[Proyectado USD]]&gt;0,1,-1)</f>
        <v>-1</v>
      </c>
      <c r="I178" s="15"/>
      <c r="J178" s="21"/>
      <c r="K178" s="3">
        <f>+IF(Tabla13[[#This Row],[Emitido USD]]&gt;0,1,-1)</f>
        <v>1</v>
      </c>
      <c r="L178" s="73">
        <v>45930</v>
      </c>
      <c r="M178" s="3">
        <v>2</v>
      </c>
      <c r="N178" s="22">
        <v>15335</v>
      </c>
      <c r="O178" s="6">
        <v>352</v>
      </c>
      <c r="P178" s="76">
        <v>45958</v>
      </c>
      <c r="Q178" s="3">
        <f>+IF(Tabla13[[#This Row],[Facturado USD]]&gt;0,1,-1)</f>
        <v>1</v>
      </c>
      <c r="R178" s="22">
        <v>15335</v>
      </c>
      <c r="S178" s="3">
        <f>+IF(Tabla13[[#This Row],[Ingresado USD]]&gt;0,1,-1)</f>
        <v>1</v>
      </c>
      <c r="T178" s="78">
        <v>45966</v>
      </c>
      <c r="U178" s="22">
        <f>15335*0.95</f>
        <v>14568.25</v>
      </c>
    </row>
    <row r="179" spans="1:22" ht="12" hidden="1" x14ac:dyDescent="0.2">
      <c r="A179" s="3">
        <v>178</v>
      </c>
      <c r="B179" s="3" t="s">
        <v>86</v>
      </c>
      <c r="C17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CMP_CNN Update plan LOM</v>
      </c>
      <c r="D179" s="3" t="s">
        <v>280</v>
      </c>
      <c r="E179" s="3" t="s">
        <v>250</v>
      </c>
      <c r="F179" s="3" t="s">
        <v>251</v>
      </c>
      <c r="G179" s="3">
        <v>2024</v>
      </c>
      <c r="H179" s="3">
        <f>+IF(Tabla13[[#This Row],[Proyectado USD]]&gt;0,1,-1)</f>
        <v>1</v>
      </c>
      <c r="I179" s="15">
        <v>45352</v>
      </c>
      <c r="J179" s="49">
        <v>5642</v>
      </c>
      <c r="K179" s="3">
        <f>+IF(Tabla13[[#This Row],[Emitido USD]]&gt;0,1,-1)</f>
        <v>1</v>
      </c>
      <c r="L179" s="73">
        <v>45498</v>
      </c>
      <c r="M179" s="3">
        <v>1</v>
      </c>
      <c r="N179" s="22">
        <v>18800</v>
      </c>
      <c r="O179" s="6">
        <v>203</v>
      </c>
      <c r="P179" s="76">
        <v>45509</v>
      </c>
      <c r="Q179" s="3">
        <f>+IF(Tabla13[[#This Row],[Facturado USD]]&gt;0,1,-1)</f>
        <v>1</v>
      </c>
      <c r="R179" s="22">
        <v>16803</v>
      </c>
      <c r="S179" s="3">
        <f>+IF(Tabla13[[#This Row],[Ingresado USD]]&gt;0,1,-1)</f>
        <v>1</v>
      </c>
      <c r="T179" s="78">
        <v>45518</v>
      </c>
      <c r="U179" s="22">
        <f>16803*90%</f>
        <v>15122.7</v>
      </c>
      <c r="V179" s="29"/>
    </row>
    <row r="180" spans="1:22" ht="12" hidden="1" x14ac:dyDescent="0.2">
      <c r="A180" s="3">
        <v>179</v>
      </c>
      <c r="B180" s="3" t="s">
        <v>281</v>
      </c>
      <c r="C18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CMP_Estrategia Crecimiento Tofo Norte</v>
      </c>
      <c r="D180" s="3" t="s">
        <v>189</v>
      </c>
      <c r="E180" s="3" t="s">
        <v>250</v>
      </c>
      <c r="F180" s="3" t="s">
        <v>251</v>
      </c>
      <c r="G180" s="3">
        <v>2024</v>
      </c>
      <c r="H180" s="3">
        <f>+IF(Tabla13[[#This Row],[Proyectado USD]]&gt;0,1,-1)</f>
        <v>-1</v>
      </c>
      <c r="I180" s="15"/>
      <c r="J180" s="21"/>
      <c r="K180" s="3">
        <f>+IF(Tabla13[[#This Row],[Emitido USD]]&gt;0,1,-1)</f>
        <v>1</v>
      </c>
      <c r="L180" s="73">
        <v>45531</v>
      </c>
      <c r="M180" s="3">
        <v>1</v>
      </c>
      <c r="N180" s="22">
        <v>8906</v>
      </c>
      <c r="O180" s="6">
        <v>211</v>
      </c>
      <c r="P180" s="76">
        <v>45546</v>
      </c>
      <c r="Q180" s="3">
        <f>+IF(Tabla13[[#This Row],[Facturado USD]]&gt;0,1,-1)</f>
        <v>1</v>
      </c>
      <c r="R180" s="22">
        <v>8906</v>
      </c>
      <c r="S180" s="3">
        <f>+IF(Tabla13[[#This Row],[Ingresado USD]]&gt;0,1,-1)</f>
        <v>1</v>
      </c>
      <c r="T180" s="78">
        <v>45576</v>
      </c>
      <c r="U180" s="22">
        <v>8460.6999999999989</v>
      </c>
    </row>
    <row r="181" spans="1:22" ht="12" hidden="1" x14ac:dyDescent="0.2">
      <c r="A181" s="3">
        <v>180</v>
      </c>
      <c r="B181" s="3" t="s">
        <v>281</v>
      </c>
      <c r="C18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CMP_Estrategia Crecimiento Tofo Norte</v>
      </c>
      <c r="D181" s="3" t="s">
        <v>189</v>
      </c>
      <c r="E181" s="3" t="s">
        <v>250</v>
      </c>
      <c r="F181" s="3" t="s">
        <v>251</v>
      </c>
      <c r="G181" s="3">
        <v>2024</v>
      </c>
      <c r="H181" s="3">
        <f>+IF(Tabla13[[#This Row],[Proyectado USD]]&gt;0,1,-1)</f>
        <v>-1</v>
      </c>
      <c r="I181" s="15"/>
      <c r="J181" s="21"/>
      <c r="K181" s="3">
        <f>+IF(Tabla13[[#This Row],[Emitido USD]]&gt;0,1,-1)</f>
        <v>1</v>
      </c>
      <c r="L181" s="73">
        <v>45560</v>
      </c>
      <c r="M181" s="3">
        <v>2</v>
      </c>
      <c r="N181" s="22">
        <v>13808</v>
      </c>
      <c r="O181" s="6">
        <v>223</v>
      </c>
      <c r="P181" s="76">
        <v>45575</v>
      </c>
      <c r="Q181" s="3">
        <f>+IF(Tabla13[[#This Row],[Facturado USD]]&gt;0,1,-1)</f>
        <v>1</v>
      </c>
      <c r="R181" s="22">
        <v>13808</v>
      </c>
      <c r="S181" s="3">
        <f>+IF(Tabla13[[#This Row],[Ingresado USD]]&gt;0,1,-1)</f>
        <v>1</v>
      </c>
      <c r="T181" s="78">
        <v>45583</v>
      </c>
      <c r="U181" s="22">
        <v>13117.599999999999</v>
      </c>
    </row>
    <row r="182" spans="1:22" ht="12" hidden="1" x14ac:dyDescent="0.2">
      <c r="A182" s="3">
        <v>181</v>
      </c>
      <c r="B182" s="3" t="s">
        <v>281</v>
      </c>
      <c r="C18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CMP_Estrategia Crecimiento Tofo Norte</v>
      </c>
      <c r="D182" s="3" t="s">
        <v>189</v>
      </c>
      <c r="E182" s="3" t="s">
        <v>250</v>
      </c>
      <c r="F182" s="3" t="s">
        <v>251</v>
      </c>
      <c r="G182" s="3">
        <v>2024</v>
      </c>
      <c r="H182" s="3">
        <f>+IF(Tabla13[[#This Row],[Proyectado USD]]&gt;0,1,-1)</f>
        <v>-1</v>
      </c>
      <c r="I182" s="15"/>
      <c r="J182" s="21"/>
      <c r="K182" s="3">
        <f>+IF(Tabla13[[#This Row],[Emitido USD]]&gt;0,1,-1)</f>
        <v>1</v>
      </c>
      <c r="L182" s="73">
        <v>45588</v>
      </c>
      <c r="M182" s="3">
        <v>3</v>
      </c>
      <c r="N182" s="22">
        <v>3212</v>
      </c>
      <c r="O182" s="6">
        <v>234</v>
      </c>
      <c r="P182" s="76">
        <v>45604</v>
      </c>
      <c r="Q182" s="3">
        <f>+IF(Tabla13[[#This Row],[Facturado USD]]&gt;0,1,-1)</f>
        <v>1</v>
      </c>
      <c r="R182" s="22">
        <v>3212</v>
      </c>
      <c r="S182" s="3">
        <f>+IF(Tabla13[[#This Row],[Ingresado USD]]&gt;0,1,-1)</f>
        <v>1</v>
      </c>
      <c r="T182" s="78">
        <v>45616</v>
      </c>
      <c r="U182" s="22">
        <v>3051.3999999999996</v>
      </c>
    </row>
    <row r="183" spans="1:22" ht="12" hidden="1" x14ac:dyDescent="0.2">
      <c r="A183" s="3">
        <v>182</v>
      </c>
      <c r="B183" s="3" t="s">
        <v>281</v>
      </c>
      <c r="C18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CMP_Estrategia Crecimiento Tofo Norte</v>
      </c>
      <c r="D183" s="3" t="s">
        <v>189</v>
      </c>
      <c r="E183" s="3" t="s">
        <v>250</v>
      </c>
      <c r="F183" s="3" t="s">
        <v>251</v>
      </c>
      <c r="G183" s="3">
        <v>2024</v>
      </c>
      <c r="H183" s="3">
        <f>+IF(Tabla13[[#This Row],[Proyectado USD]]&gt;0,1,-1)</f>
        <v>-1</v>
      </c>
      <c r="I183" s="15"/>
      <c r="J183" s="21"/>
      <c r="K183" s="3">
        <f>+IF(Tabla13[[#This Row],[Emitido USD]]&gt;0,1,-1)</f>
        <v>1</v>
      </c>
      <c r="L183" s="73">
        <v>45619</v>
      </c>
      <c r="M183" s="3">
        <v>4</v>
      </c>
      <c r="N183" s="22">
        <v>17309</v>
      </c>
      <c r="O183" s="6">
        <v>243</v>
      </c>
      <c r="P183" s="76">
        <v>45631</v>
      </c>
      <c r="Q183" s="3">
        <f>+IF(Tabla13[[#This Row],[Facturado USD]]&gt;0,1,-1)</f>
        <v>1</v>
      </c>
      <c r="R183" s="22">
        <v>17309</v>
      </c>
      <c r="S183" s="3">
        <f>+IF(Tabla13[[#This Row],[Ingresado USD]]&gt;0,1,-1)</f>
        <v>1</v>
      </c>
      <c r="T183" s="78">
        <v>45644</v>
      </c>
      <c r="U183" s="22">
        <v>16443.55</v>
      </c>
    </row>
    <row r="184" spans="1:22" ht="12" hidden="1" x14ac:dyDescent="0.2">
      <c r="A184" s="3">
        <v>183</v>
      </c>
      <c r="B184" s="3" t="s">
        <v>281</v>
      </c>
      <c r="C18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CMP_Estrategia Crecimiento Tofo Norte</v>
      </c>
      <c r="D184" s="3" t="s">
        <v>189</v>
      </c>
      <c r="E184" s="3" t="s">
        <v>250</v>
      </c>
      <c r="F184" s="3" t="s">
        <v>251</v>
      </c>
      <c r="G184" s="3">
        <v>2024</v>
      </c>
      <c r="H184" s="3">
        <f>+IF(Tabla13[[#This Row],[Proyectado USD]]&gt;0,1,-1)</f>
        <v>-1</v>
      </c>
      <c r="I184" s="15"/>
      <c r="J184" s="21"/>
      <c r="K184" s="3">
        <f>+IF(Tabla13[[#This Row],[Emitido USD]]&gt;0,1,-1)</f>
        <v>1</v>
      </c>
      <c r="L184" s="73">
        <v>45649</v>
      </c>
      <c r="M184" s="3">
        <v>5</v>
      </c>
      <c r="N184" s="22">
        <v>36716</v>
      </c>
      <c r="O184" s="59">
        <v>265</v>
      </c>
      <c r="P184" s="76">
        <v>45712</v>
      </c>
      <c r="Q184" s="3">
        <f>+IF(Tabla13[[#This Row],[Facturado USD]]&gt;0,1,-1)</f>
        <v>1</v>
      </c>
      <c r="R184" s="22">
        <v>36716</v>
      </c>
      <c r="S184" s="3">
        <f>+IF(Tabla13[[#This Row],[Ingresado USD]]&gt;0,1,-1)</f>
        <v>1</v>
      </c>
      <c r="T184" s="78">
        <v>45716</v>
      </c>
      <c r="U184" s="23">
        <v>36195.183539999998</v>
      </c>
    </row>
    <row r="185" spans="1:22" ht="12" hidden="1" x14ac:dyDescent="0.2">
      <c r="A185" s="3">
        <v>184</v>
      </c>
      <c r="B185" s="3" t="s">
        <v>281</v>
      </c>
      <c r="C18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CMP_Estrategia Crecimiento Tofo Norte</v>
      </c>
      <c r="D185" s="3" t="s">
        <v>189</v>
      </c>
      <c r="E185" s="3" t="s">
        <v>250</v>
      </c>
      <c r="F185" s="3" t="s">
        <v>251</v>
      </c>
      <c r="G185" s="3">
        <v>2025</v>
      </c>
      <c r="H185" s="3">
        <f>+IF(Tabla13[[#This Row],[Proyectado USD]]&gt;0,1,-1)</f>
        <v>-1</v>
      </c>
      <c r="I185" s="15"/>
      <c r="J185" s="21"/>
      <c r="K185" s="3">
        <f>+IF(Tabla13[[#This Row],[Emitido USD]]&gt;0,1,-1)</f>
        <v>1</v>
      </c>
      <c r="L185" s="73">
        <v>45681</v>
      </c>
      <c r="M185" s="3">
        <v>6</v>
      </c>
      <c r="N185" s="22">
        <v>14903</v>
      </c>
      <c r="O185" s="6">
        <v>301</v>
      </c>
      <c r="P185" s="76">
        <v>45789</v>
      </c>
      <c r="Q185" s="3">
        <f>+IF(Tabla13[[#This Row],[Facturado USD]]&gt;0,1,-1)</f>
        <v>1</v>
      </c>
      <c r="R185" s="22">
        <v>22365</v>
      </c>
      <c r="S185" s="3">
        <f>+IF(Tabla13[[#This Row],[Ingresado USD]]&gt;0,1,-1)</f>
        <v>1</v>
      </c>
      <c r="T185" s="78">
        <v>45805</v>
      </c>
      <c r="U185" s="22">
        <v>21246.75</v>
      </c>
    </row>
    <row r="186" spans="1:22" ht="12" hidden="1" x14ac:dyDescent="0.2">
      <c r="A186" s="3">
        <v>185</v>
      </c>
      <c r="B186" s="3" t="s">
        <v>282</v>
      </c>
      <c r="C18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CMP_LOM CNN 2024</v>
      </c>
      <c r="D186" s="3" t="s">
        <v>283</v>
      </c>
      <c r="E186" s="3" t="s">
        <v>250</v>
      </c>
      <c r="F186" s="3" t="s">
        <v>251</v>
      </c>
      <c r="G186" s="3">
        <v>2024</v>
      </c>
      <c r="H186" s="3">
        <f>+IF(Tabla13[[#This Row],[Proyectado USD]]&gt;0,1,-1)</f>
        <v>-1</v>
      </c>
      <c r="I186" s="15"/>
      <c r="J186" s="21"/>
      <c r="K186" s="3">
        <f>+IF(Tabla13[[#This Row],[Emitido USD]]&gt;0,1,-1)</f>
        <v>1</v>
      </c>
      <c r="L186" s="73">
        <v>45498</v>
      </c>
      <c r="M186" s="3">
        <v>1</v>
      </c>
      <c r="N186" s="22">
        <v>34041</v>
      </c>
      <c r="O186" s="6">
        <v>209</v>
      </c>
      <c r="P186" s="76">
        <v>45531</v>
      </c>
      <c r="Q186" s="3">
        <f>+IF(Tabla13[[#This Row],[Facturado USD]]&gt;0,1,-1)</f>
        <v>1</v>
      </c>
      <c r="R186" s="22">
        <v>34401</v>
      </c>
      <c r="S186" s="3">
        <f>+IF(Tabla13[[#This Row],[Ingresado USD]]&gt;0,1,-1)</f>
        <v>1</v>
      </c>
      <c r="T186" s="78">
        <v>45562</v>
      </c>
      <c r="U186" s="22">
        <v>34401</v>
      </c>
    </row>
    <row r="187" spans="1:22" ht="12" hidden="1" x14ac:dyDescent="0.2">
      <c r="A187" s="3">
        <v>186</v>
      </c>
      <c r="B187" s="3" t="s">
        <v>284</v>
      </c>
      <c r="C18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CMP_LOM MLC 2024</v>
      </c>
      <c r="D187" s="3" t="s">
        <v>190</v>
      </c>
      <c r="E187" s="3" t="s">
        <v>250</v>
      </c>
      <c r="F187" s="3" t="s">
        <v>251</v>
      </c>
      <c r="G187" s="3">
        <v>2024</v>
      </c>
      <c r="H187" s="3">
        <f>+IF(Tabla13[[#This Row],[Proyectado USD]]&gt;0,1,-1)</f>
        <v>-1</v>
      </c>
      <c r="I187" s="15"/>
      <c r="J187" s="21"/>
      <c r="K187" s="3">
        <f>+IF(Tabla13[[#This Row],[Emitido USD]]&gt;0,1,-1)</f>
        <v>1</v>
      </c>
      <c r="L187" s="73">
        <v>45498</v>
      </c>
      <c r="M187" s="3">
        <v>1</v>
      </c>
      <c r="N187" s="22">
        <v>26563</v>
      </c>
      <c r="O187" s="6">
        <v>209</v>
      </c>
      <c r="P187" s="76">
        <v>45531</v>
      </c>
      <c r="Q187" s="3">
        <f>+IF(Tabla13[[#This Row],[Facturado USD]]&gt;0,1,-1)</f>
        <v>1</v>
      </c>
      <c r="R187" s="22">
        <v>26563</v>
      </c>
      <c r="S187" s="3">
        <f>+IF(Tabla13[[#This Row],[Ingresado USD]]&gt;0,1,-1)</f>
        <v>1</v>
      </c>
      <c r="T187" s="78">
        <v>45562</v>
      </c>
      <c r="U187" s="22">
        <v>26563</v>
      </c>
    </row>
    <row r="188" spans="1:22" ht="12" hidden="1" x14ac:dyDescent="0.2">
      <c r="A188" s="3">
        <v>187</v>
      </c>
      <c r="B188" s="3" t="s">
        <v>284</v>
      </c>
      <c r="C18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CMP_LOM MLC 2024</v>
      </c>
      <c r="D188" s="3" t="s">
        <v>190</v>
      </c>
      <c r="E188" s="3" t="s">
        <v>250</v>
      </c>
      <c r="F188" s="3" t="s">
        <v>251</v>
      </c>
      <c r="G188" s="3">
        <v>2024</v>
      </c>
      <c r="H188" s="3">
        <f>+IF(Tabla13[[#This Row],[Proyectado USD]]&gt;0,1,-1)</f>
        <v>-1</v>
      </c>
      <c r="I188" s="15"/>
      <c r="J188" s="21"/>
      <c r="K188" s="3">
        <f>+IF(Tabla13[[#This Row],[Emitido USD]]&gt;0,1,-1)</f>
        <v>1</v>
      </c>
      <c r="L188" s="73">
        <v>45589</v>
      </c>
      <c r="M188" s="3">
        <v>2</v>
      </c>
      <c r="N188" s="22">
        <v>34586</v>
      </c>
      <c r="O188" s="59">
        <v>261</v>
      </c>
      <c r="P188" s="76">
        <v>45684</v>
      </c>
      <c r="Q188" s="3">
        <f>+IF(Tabla13[[#This Row],[Facturado USD]]&gt;0,1,-1)</f>
        <v>1</v>
      </c>
      <c r="R188" s="22">
        <v>33111</v>
      </c>
      <c r="S188" s="3">
        <f>+IF(Tabla13[[#This Row],[Ingresado USD]]&gt;0,1,-1)</f>
        <v>1</v>
      </c>
      <c r="T188" s="78">
        <v>45714</v>
      </c>
      <c r="U188" s="23">
        <v>36147.023883000002</v>
      </c>
    </row>
    <row r="189" spans="1:22" ht="12" hidden="1" x14ac:dyDescent="0.2">
      <c r="A189" s="3">
        <v>188</v>
      </c>
      <c r="B189" s="3" t="s">
        <v>87</v>
      </c>
      <c r="C18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CMP_Los Colorados Adelantamiento Planta</v>
      </c>
      <c r="D189" s="3" t="s">
        <v>285</v>
      </c>
      <c r="E189" s="3" t="s">
        <v>250</v>
      </c>
      <c r="F189" s="3" t="s">
        <v>251</v>
      </c>
      <c r="G189" s="3">
        <v>2023</v>
      </c>
      <c r="H189" s="3">
        <f>+IF(Tabla13[[#This Row],[Proyectado USD]]&gt;0,1,-1)</f>
        <v>-1</v>
      </c>
      <c r="I189" s="15">
        <v>45261</v>
      </c>
      <c r="J189" s="21">
        <v>0</v>
      </c>
      <c r="K189" s="3">
        <f>+IF(Tabla13[[#This Row],[Emitido USD]]&gt;0,1,-1)</f>
        <v>1</v>
      </c>
      <c r="L189" s="73">
        <v>45281</v>
      </c>
      <c r="M189" s="3">
        <v>1</v>
      </c>
      <c r="N189" s="22">
        <v>33661</v>
      </c>
      <c r="O189" s="6">
        <v>137</v>
      </c>
      <c r="P189" s="76">
        <v>45296</v>
      </c>
      <c r="Q189" s="3">
        <f>+IF(Tabla13[[#This Row],[Facturado USD]]&gt;0,1,-1)</f>
        <v>1</v>
      </c>
      <c r="R189" s="22">
        <v>33661</v>
      </c>
      <c r="S189" s="3">
        <f>+IF(Tabla13[[#This Row],[Ingresado USD]]&gt;0,1,-1)</f>
        <v>1</v>
      </c>
      <c r="T189" s="78">
        <v>45310</v>
      </c>
      <c r="U189" s="22">
        <v>31977.949999999997</v>
      </c>
      <c r="V189" s="29"/>
    </row>
    <row r="190" spans="1:22" ht="12" hidden="1" x14ac:dyDescent="0.2">
      <c r="A190" s="3">
        <v>189</v>
      </c>
      <c r="B190" s="3" t="s">
        <v>87</v>
      </c>
      <c r="C19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CMP_Los Colorados Adelantamiento Planta</v>
      </c>
      <c r="D190" s="3" t="s">
        <v>285</v>
      </c>
      <c r="E190" s="3" t="s">
        <v>250</v>
      </c>
      <c r="F190" s="3" t="s">
        <v>251</v>
      </c>
      <c r="G190" s="3">
        <v>2024</v>
      </c>
      <c r="H190" s="3">
        <f>+IF(Tabla13[[#This Row],[Proyectado USD]]&gt;0,1,-1)</f>
        <v>1</v>
      </c>
      <c r="I190" s="15">
        <v>45292</v>
      </c>
      <c r="J190" s="49">
        <v>93026</v>
      </c>
      <c r="K190" s="3">
        <f>+IF(Tabla13[[#This Row],[Emitido USD]]&gt;0,1,-1)</f>
        <v>1</v>
      </c>
      <c r="L190" s="73">
        <v>45316</v>
      </c>
      <c r="M190" s="3">
        <v>2</v>
      </c>
      <c r="N190" s="22">
        <v>16146</v>
      </c>
      <c r="O190" s="6">
        <v>160</v>
      </c>
      <c r="P190" s="76">
        <v>45329</v>
      </c>
      <c r="Q190" s="3">
        <f>+IF(Tabla13[[#This Row],[Facturado USD]]&gt;0,1,-1)</f>
        <v>1</v>
      </c>
      <c r="R190" s="22">
        <v>16146</v>
      </c>
      <c r="S190" s="3">
        <f>+IF(Tabla13[[#This Row],[Ingresado USD]]&gt;0,1,-1)</f>
        <v>1</v>
      </c>
      <c r="T190" s="78">
        <v>45350</v>
      </c>
      <c r="U190" s="22">
        <v>15338.699999999999</v>
      </c>
      <c r="V190" s="29"/>
    </row>
    <row r="191" spans="1:22" ht="12" hidden="1" x14ac:dyDescent="0.2">
      <c r="A191" s="3">
        <v>190</v>
      </c>
      <c r="B191" s="3" t="s">
        <v>87</v>
      </c>
      <c r="C19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CMP_Los Colorados Adelantamiento Planta</v>
      </c>
      <c r="D191" s="3" t="s">
        <v>285</v>
      </c>
      <c r="E191" s="3" t="s">
        <v>250</v>
      </c>
      <c r="F191" s="3" t="s">
        <v>251</v>
      </c>
      <c r="G191" s="3">
        <v>2024</v>
      </c>
      <c r="H191" s="3">
        <f>+IF(Tabla13[[#This Row],[Proyectado USD]]&gt;0,1,-1)</f>
        <v>1</v>
      </c>
      <c r="I191" s="15">
        <v>45323</v>
      </c>
      <c r="J191" s="49">
        <v>42563</v>
      </c>
      <c r="K191" s="3">
        <f>+IF(Tabla13[[#This Row],[Emitido USD]]&gt;0,1,-1)</f>
        <v>1</v>
      </c>
      <c r="L191" s="73">
        <v>45347</v>
      </c>
      <c r="M191" s="3">
        <v>3</v>
      </c>
      <c r="N191" s="22">
        <v>25645</v>
      </c>
      <c r="O191" s="6">
        <v>173</v>
      </c>
      <c r="P191" s="76">
        <v>45369</v>
      </c>
      <c r="Q191" s="3">
        <f>+IF(Tabla13[[#This Row],[Facturado USD]]&gt;0,1,-1)</f>
        <v>1</v>
      </c>
      <c r="R191" s="22">
        <v>25645</v>
      </c>
      <c r="S191" s="3">
        <f>+IF(Tabla13[[#This Row],[Ingresado USD]]&gt;0,1,-1)</f>
        <v>1</v>
      </c>
      <c r="T191" s="78">
        <v>45373</v>
      </c>
      <c r="U191" s="22">
        <v>24362.75</v>
      </c>
      <c r="V191" s="29"/>
    </row>
    <row r="192" spans="1:22" ht="12" hidden="1" customHeight="1" x14ac:dyDescent="0.2">
      <c r="A192" s="3">
        <v>191</v>
      </c>
      <c r="B192" s="3" t="s">
        <v>87</v>
      </c>
      <c r="C19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CMP_Los Colorados Adelantamiento Planta</v>
      </c>
      <c r="D192" s="3" t="s">
        <v>285</v>
      </c>
      <c r="E192" s="3" t="s">
        <v>250</v>
      </c>
      <c r="F192" s="3" t="s">
        <v>251</v>
      </c>
      <c r="G192" s="3">
        <v>2024</v>
      </c>
      <c r="H192" s="3">
        <f>+IF(Tabla13[[#This Row],[Proyectado USD]]&gt;0,1,-1)</f>
        <v>1</v>
      </c>
      <c r="I192" s="15">
        <v>45352</v>
      </c>
      <c r="J192" s="49">
        <v>12000</v>
      </c>
      <c r="K192" s="3">
        <f>+IF(Tabla13[[#This Row],[Emitido USD]]&gt;0,1,-1)</f>
        <v>1</v>
      </c>
      <c r="L192" s="73">
        <v>45376</v>
      </c>
      <c r="M192" s="3">
        <v>4</v>
      </c>
      <c r="N192" s="50">
        <v>4969</v>
      </c>
      <c r="O192" s="6">
        <v>177</v>
      </c>
      <c r="P192" s="76">
        <v>45394</v>
      </c>
      <c r="Q192" s="3">
        <f>+IF(Tabla13[[#This Row],[Facturado USD]]&gt;0,1,-1)</f>
        <v>1</v>
      </c>
      <c r="R192" s="22">
        <v>4969</v>
      </c>
      <c r="S192" s="3">
        <f>+IF(Tabla13[[#This Row],[Ingresado USD]]&gt;0,1,-1)</f>
        <v>1</v>
      </c>
      <c r="T192" s="82">
        <v>45412</v>
      </c>
      <c r="U192" s="22">
        <v>4720.55</v>
      </c>
      <c r="V192" s="29"/>
    </row>
    <row r="193" spans="1:22" ht="12" hidden="1" x14ac:dyDescent="0.2">
      <c r="A193" s="3">
        <v>192</v>
      </c>
      <c r="B193" s="3" t="s">
        <v>87</v>
      </c>
      <c r="C19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CMP_Los Colorados Adelantamiento Planta</v>
      </c>
      <c r="D193" s="3" t="s">
        <v>285</v>
      </c>
      <c r="E193" s="3" t="s">
        <v>250</v>
      </c>
      <c r="F193" s="3" t="s">
        <v>251</v>
      </c>
      <c r="G193" s="3">
        <v>2024</v>
      </c>
      <c r="H193" s="3">
        <f>+IF(Tabla13[[#This Row],[Proyectado USD]]&gt;0,1,-1)</f>
        <v>1</v>
      </c>
      <c r="I193" s="15">
        <v>45383</v>
      </c>
      <c r="J193" s="21">
        <v>8629</v>
      </c>
      <c r="K193" s="3">
        <f>+IF(Tabla13[[#This Row],[Emitido USD]]&gt;0,1,-1)</f>
        <v>1</v>
      </c>
      <c r="L193" s="73">
        <v>45407</v>
      </c>
      <c r="M193" s="3">
        <v>5</v>
      </c>
      <c r="N193" s="22">
        <v>9436</v>
      </c>
      <c r="O193" s="6">
        <v>187</v>
      </c>
      <c r="P193" s="76">
        <v>45429</v>
      </c>
      <c r="Q193" s="3">
        <f>+IF(Tabla13[[#This Row],[Facturado USD]]&gt;0,1,-1)</f>
        <v>1</v>
      </c>
      <c r="R193" s="22">
        <v>9436</v>
      </c>
      <c r="S193" s="3">
        <f>+IF(Tabla13[[#This Row],[Ingresado USD]]&gt;0,1,-1)</f>
        <v>1</v>
      </c>
      <c r="T193" s="78">
        <v>45436</v>
      </c>
      <c r="U193" s="52">
        <v>8964.1999999999989</v>
      </c>
      <c r="V193" s="29"/>
    </row>
    <row r="194" spans="1:22" ht="12" hidden="1" x14ac:dyDescent="0.2">
      <c r="A194" s="3">
        <v>193</v>
      </c>
      <c r="B194" s="3" t="s">
        <v>87</v>
      </c>
      <c r="C19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CMP_Los Colorados Adelantamiento Planta</v>
      </c>
      <c r="D194" s="3" t="s">
        <v>285</v>
      </c>
      <c r="E194" s="3" t="s">
        <v>250</v>
      </c>
      <c r="F194" s="3" t="s">
        <v>251</v>
      </c>
      <c r="G194" s="3">
        <v>2024</v>
      </c>
      <c r="H194" s="3">
        <f>+IF(Tabla13[[#This Row],[Proyectado USD]]&gt;0,1,-1)</f>
        <v>-1</v>
      </c>
      <c r="I194" s="15"/>
      <c r="J194" s="21"/>
      <c r="K194" s="3">
        <f>+IF(Tabla13[[#This Row],[Emitido USD]]&gt;0,1,-1)</f>
        <v>1</v>
      </c>
      <c r="L194" s="73">
        <v>45440</v>
      </c>
      <c r="M194" s="3">
        <v>6</v>
      </c>
      <c r="N194" s="22">
        <v>2974</v>
      </c>
      <c r="O194" s="6">
        <v>189</v>
      </c>
      <c r="P194" s="76">
        <v>45449</v>
      </c>
      <c r="Q194" s="3">
        <f>+IF(Tabla13[[#This Row],[Facturado USD]]&gt;0,1,-1)</f>
        <v>1</v>
      </c>
      <c r="R194" s="22">
        <v>2974</v>
      </c>
      <c r="S194" s="3">
        <f>+IF(Tabla13[[#This Row],[Ingresado USD]]&gt;0,1,-1)</f>
        <v>1</v>
      </c>
      <c r="T194" s="78">
        <v>45456</v>
      </c>
      <c r="U194" s="52">
        <v>2825.2999999999997</v>
      </c>
      <c r="V194" s="29"/>
    </row>
    <row r="195" spans="1:22" ht="12" hidden="1" x14ac:dyDescent="0.2">
      <c r="A195" s="3">
        <v>194</v>
      </c>
      <c r="B195" s="3" t="s">
        <v>286</v>
      </c>
      <c r="C19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CMP_Mejoras Operacionales CNN</v>
      </c>
      <c r="D195" s="3" t="s">
        <v>191</v>
      </c>
      <c r="E195" s="3" t="s">
        <v>250</v>
      </c>
      <c r="F195" s="3" t="s">
        <v>251</v>
      </c>
      <c r="G195" s="3">
        <v>2024</v>
      </c>
      <c r="H195" s="3">
        <f>+IF(Tabla13[[#This Row],[Proyectado USD]]&gt;0,1,-1)</f>
        <v>-1</v>
      </c>
      <c r="I195" s="15"/>
      <c r="J195" s="21"/>
      <c r="K195" s="3">
        <f>+IF(Tabla13[[#This Row],[Emitido USD]]&gt;0,1,-1)</f>
        <v>1</v>
      </c>
      <c r="L195" s="73">
        <v>45652</v>
      </c>
      <c r="M195" s="3">
        <v>1</v>
      </c>
      <c r="N195" s="22">
        <v>46214.27</v>
      </c>
      <c r="O195" s="6">
        <v>251</v>
      </c>
      <c r="P195" s="76">
        <v>45665</v>
      </c>
      <c r="Q195" s="3">
        <f>+IF(Tabla13[[#This Row],[Facturado USD]]&gt;0,1,-1)</f>
        <v>1</v>
      </c>
      <c r="R195" s="22">
        <v>46214</v>
      </c>
      <c r="S195" s="3">
        <f>+IF(Tabla13[[#This Row],[Ingresado USD]]&gt;0,1,-1)</f>
        <v>1</v>
      </c>
      <c r="T195" s="78">
        <v>45672</v>
      </c>
      <c r="U195" s="23">
        <v>45558.454410000006</v>
      </c>
    </row>
    <row r="196" spans="1:22" ht="12" hidden="1" x14ac:dyDescent="0.2">
      <c r="A196" s="3">
        <v>195</v>
      </c>
      <c r="B196" s="3" t="s">
        <v>286</v>
      </c>
      <c r="C19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CMP_Mejoras Operacionales CNN</v>
      </c>
      <c r="D196" s="3" t="s">
        <v>191</v>
      </c>
      <c r="E196" s="3" t="s">
        <v>250</v>
      </c>
      <c r="F196" s="3" t="s">
        <v>251</v>
      </c>
      <c r="G196" s="3">
        <v>2025</v>
      </c>
      <c r="H196" s="3">
        <f>+IF(Tabla13[[#This Row],[Proyectado USD]]&gt;0,1,-1)</f>
        <v>-1</v>
      </c>
      <c r="I196" s="15"/>
      <c r="J196" s="21"/>
      <c r="K196" s="3">
        <f>+IF(Tabla13[[#This Row],[Emitido USD]]&gt;0,1,-1)</f>
        <v>1</v>
      </c>
      <c r="L196" s="73">
        <v>45687</v>
      </c>
      <c r="M196" s="3">
        <v>2</v>
      </c>
      <c r="N196" s="22">
        <v>9854</v>
      </c>
      <c r="O196" s="59">
        <v>263</v>
      </c>
      <c r="P196" s="76">
        <v>45712</v>
      </c>
      <c r="Q196" s="3">
        <f>+IF(Tabla13[[#This Row],[Facturado USD]]&gt;0,1,-1)</f>
        <v>1</v>
      </c>
      <c r="R196" s="22">
        <v>9854</v>
      </c>
      <c r="S196" s="3">
        <f>+IF(Tabla13[[#This Row],[Ingresado USD]]&gt;0,1,-1)</f>
        <v>1</v>
      </c>
      <c r="T196" s="78">
        <v>45716</v>
      </c>
      <c r="U196" s="23">
        <v>9714.2210099999993</v>
      </c>
    </row>
    <row r="197" spans="1:22" ht="12" hidden="1" x14ac:dyDescent="0.2">
      <c r="A197" s="3">
        <v>196</v>
      </c>
      <c r="B197" s="3" t="s">
        <v>286</v>
      </c>
      <c r="C19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CMP_Mejoras Operacionales CNN</v>
      </c>
      <c r="D197" s="3" t="s">
        <v>191</v>
      </c>
      <c r="E197" s="3" t="s">
        <v>250</v>
      </c>
      <c r="F197" s="3" t="s">
        <v>251</v>
      </c>
      <c r="G197" s="3">
        <v>2025</v>
      </c>
      <c r="H197" s="3">
        <f>+IF(Tabla13[[#This Row],[Proyectado USD]]&gt;0,1,-1)</f>
        <v>-1</v>
      </c>
      <c r="I197" s="15"/>
      <c r="J197" s="21"/>
      <c r="K197" s="3">
        <f>+IF(Tabla13[[#This Row],[Emitido USD]]&gt;0,1,-1)</f>
        <v>1</v>
      </c>
      <c r="L197" s="73">
        <v>45713</v>
      </c>
      <c r="M197" s="3">
        <v>3</v>
      </c>
      <c r="N197" s="22">
        <v>16216</v>
      </c>
      <c r="O197" s="6">
        <v>277</v>
      </c>
      <c r="P197" s="76">
        <v>45733</v>
      </c>
      <c r="Q197" s="3">
        <f>+IF(Tabla13[[#This Row],[Facturado USD]]&gt;0,1,-1)</f>
        <v>1</v>
      </c>
      <c r="R197" s="22">
        <v>16441.669999999998</v>
      </c>
      <c r="S197" s="3">
        <f>+IF(Tabla13[[#This Row],[Ingresado USD]]&gt;0,1,-1)</f>
        <v>1</v>
      </c>
      <c r="T197" s="78">
        <v>45737</v>
      </c>
      <c r="U197" s="23">
        <v>16208.444911049999</v>
      </c>
    </row>
    <row r="198" spans="1:22" ht="12" hidden="1" x14ac:dyDescent="0.2">
      <c r="A198" s="3">
        <v>197</v>
      </c>
      <c r="B198" s="3" t="s">
        <v>286</v>
      </c>
      <c r="C19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CMP_Mejoras Operacionales CNN</v>
      </c>
      <c r="D198" s="3" t="s">
        <v>191</v>
      </c>
      <c r="E198" s="3" t="s">
        <v>250</v>
      </c>
      <c r="F198" s="3" t="s">
        <v>251</v>
      </c>
      <c r="G198" s="3">
        <v>2025</v>
      </c>
      <c r="H198" s="3">
        <f>+IF(Tabla13[[#This Row],[Proyectado USD]]&gt;0,1,-1)</f>
        <v>-1</v>
      </c>
      <c r="I198" s="15"/>
      <c r="J198" s="21"/>
      <c r="K198" s="3">
        <f>+IF(Tabla13[[#This Row],[Emitido USD]]&gt;0,1,-1)</f>
        <v>1</v>
      </c>
      <c r="L198" s="73">
        <v>45736</v>
      </c>
      <c r="M198" s="3">
        <v>4</v>
      </c>
      <c r="N198" s="22">
        <v>12182</v>
      </c>
      <c r="O198" s="6">
        <v>289</v>
      </c>
      <c r="P198" s="76">
        <v>45772</v>
      </c>
      <c r="Q198" s="3">
        <f>+IF(Tabla13[[#This Row],[Facturado USD]]&gt;0,1,-1)</f>
        <v>1</v>
      </c>
      <c r="R198" s="22">
        <v>11623</v>
      </c>
      <c r="S198" s="3">
        <f>+IF(Tabla13[[#This Row],[Ingresado USD]]&gt;0,1,-1)</f>
        <v>1</v>
      </c>
      <c r="T198" s="78">
        <v>45799</v>
      </c>
      <c r="U198" s="22">
        <v>11041.85</v>
      </c>
    </row>
    <row r="199" spans="1:22" ht="12" hidden="1" x14ac:dyDescent="0.2">
      <c r="A199" s="3">
        <v>198</v>
      </c>
      <c r="B199" s="3" t="s">
        <v>286</v>
      </c>
      <c r="C19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CMP_Mejoras Operacionales CNN</v>
      </c>
      <c r="D199" s="3" t="s">
        <v>191</v>
      </c>
      <c r="E199" s="3" t="s">
        <v>250</v>
      </c>
      <c r="F199" s="3" t="s">
        <v>251</v>
      </c>
      <c r="G199" s="3">
        <v>2025</v>
      </c>
      <c r="H199" s="3">
        <f>+IF(Tabla13[[#This Row],[Proyectado USD]]&gt;0,1,-1)</f>
        <v>-1</v>
      </c>
      <c r="I199" s="15"/>
      <c r="J199" s="21"/>
      <c r="K199" s="3">
        <f>+IF(Tabla13[[#This Row],[Emitido USD]]&gt;0,1,-1)</f>
        <v>1</v>
      </c>
      <c r="L199" s="73">
        <v>45736</v>
      </c>
      <c r="M199" s="3">
        <v>5</v>
      </c>
      <c r="N199" s="22">
        <v>36573</v>
      </c>
      <c r="O199" s="6">
        <v>314</v>
      </c>
      <c r="P199" s="76">
        <v>45834</v>
      </c>
      <c r="Q199" s="3">
        <f>+IF(Tabla13[[#This Row],[Facturado USD]]&gt;0,1,-1)</f>
        <v>1</v>
      </c>
      <c r="R199" s="22">
        <v>31139</v>
      </c>
      <c r="S199" s="3">
        <v>8</v>
      </c>
      <c r="T199" s="78">
        <v>45842</v>
      </c>
      <c r="U199" s="22">
        <v>31139</v>
      </c>
    </row>
    <row r="200" spans="1:22" ht="12" hidden="1" x14ac:dyDescent="0.2">
      <c r="A200" s="3">
        <v>199</v>
      </c>
      <c r="B200" s="3" t="s">
        <v>287</v>
      </c>
      <c r="C20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CMP_Nuevos alcances Algarrobo</v>
      </c>
      <c r="D200" s="3" t="s">
        <v>192</v>
      </c>
      <c r="E200" s="3" t="s">
        <v>250</v>
      </c>
      <c r="F200" s="3" t="s">
        <v>251</v>
      </c>
      <c r="G200" s="3">
        <v>2025</v>
      </c>
      <c r="H200" s="3">
        <f>+IF(Tabla13[[#This Row],[Proyectado USD]]&gt;0,1,-1)</f>
        <v>-1</v>
      </c>
      <c r="I200" s="15"/>
      <c r="J200" s="21"/>
      <c r="K200" s="3">
        <f>+IF(Tabla13[[#This Row],[Emitido USD]]&gt;0,1,-1)</f>
        <v>1</v>
      </c>
      <c r="L200" s="73">
        <v>45713</v>
      </c>
      <c r="M200" s="3">
        <v>1</v>
      </c>
      <c r="N200" s="22">
        <v>112506</v>
      </c>
      <c r="O200" s="6">
        <v>306</v>
      </c>
      <c r="P200" s="76">
        <v>45804</v>
      </c>
      <c r="Q200" s="3">
        <f>+IF(Tabla13[[#This Row],[Facturado USD]]&gt;0,1,-1)</f>
        <v>1</v>
      </c>
      <c r="R200" s="22">
        <v>107174</v>
      </c>
      <c r="S200" s="3">
        <f>+IF(Tabla13[[#This Row],[Ingresado USD]]&gt;0,1,-1)</f>
        <v>1</v>
      </c>
      <c r="T200" s="78">
        <v>45812</v>
      </c>
      <c r="U200" s="22">
        <v>101815.29999999999</v>
      </c>
    </row>
    <row r="201" spans="1:22" ht="12" hidden="1" x14ac:dyDescent="0.2">
      <c r="A201" s="3">
        <v>200</v>
      </c>
      <c r="B201" s="3" t="s">
        <v>288</v>
      </c>
      <c r="C20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CMP_Plan minero base MLC</v>
      </c>
      <c r="D201" s="3" t="s">
        <v>193</v>
      </c>
      <c r="E201" s="3" t="s">
        <v>250</v>
      </c>
      <c r="F201" s="3" t="s">
        <v>251</v>
      </c>
      <c r="G201" s="3">
        <v>2024</v>
      </c>
      <c r="H201" s="3">
        <f>+IF(Tabla13[[#This Row],[Proyectado USD]]&gt;0,1,-1)</f>
        <v>-1</v>
      </c>
      <c r="I201" s="15"/>
      <c r="J201" s="21"/>
      <c r="K201" s="3">
        <f>+IF(Tabla13[[#This Row],[Emitido USD]]&gt;0,1,-1)</f>
        <v>1</v>
      </c>
      <c r="L201" s="73">
        <v>45531</v>
      </c>
      <c r="M201" s="3">
        <v>1</v>
      </c>
      <c r="N201" s="22">
        <v>7706</v>
      </c>
      <c r="O201" s="6">
        <v>211</v>
      </c>
      <c r="P201" s="76">
        <v>45546</v>
      </c>
      <c r="Q201" s="3">
        <f>+IF(Tabla13[[#This Row],[Facturado USD]]&gt;0,1,-1)</f>
        <v>1</v>
      </c>
      <c r="R201" s="22">
        <v>7706</v>
      </c>
      <c r="S201" s="3">
        <f>+IF(Tabla13[[#This Row],[Ingresado USD]]&gt;0,1,-1)</f>
        <v>1</v>
      </c>
      <c r="T201" s="78">
        <v>45576</v>
      </c>
      <c r="U201" s="22">
        <v>7320.7</v>
      </c>
    </row>
    <row r="202" spans="1:22" ht="12" hidden="1" x14ac:dyDescent="0.2">
      <c r="A202" s="3">
        <v>201</v>
      </c>
      <c r="B202" s="3" t="s">
        <v>288</v>
      </c>
      <c r="C20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CMP_Plan minero base MLC</v>
      </c>
      <c r="D202" s="3" t="s">
        <v>193</v>
      </c>
      <c r="E202" s="3" t="s">
        <v>250</v>
      </c>
      <c r="F202" s="3" t="s">
        <v>251</v>
      </c>
      <c r="G202" s="3">
        <v>2024</v>
      </c>
      <c r="H202" s="3">
        <f>+IF(Tabla13[[#This Row],[Proyectado USD]]&gt;0,1,-1)</f>
        <v>-1</v>
      </c>
      <c r="I202" s="15"/>
      <c r="J202" s="21"/>
      <c r="K202" s="3">
        <f>+IF(Tabla13[[#This Row],[Emitido USD]]&gt;0,1,-1)</f>
        <v>1</v>
      </c>
      <c r="L202" s="73">
        <v>45560</v>
      </c>
      <c r="M202" s="3">
        <v>2</v>
      </c>
      <c r="N202" s="22">
        <v>4603</v>
      </c>
      <c r="O202" s="6">
        <v>223</v>
      </c>
      <c r="P202" s="76">
        <v>45575</v>
      </c>
      <c r="Q202" s="3">
        <f>+IF(Tabla13[[#This Row],[Facturado USD]]&gt;0,1,-1)</f>
        <v>1</v>
      </c>
      <c r="R202" s="22">
        <v>4603</v>
      </c>
      <c r="S202" s="3">
        <f>+IF(Tabla13[[#This Row],[Ingresado USD]]&gt;0,1,-1)</f>
        <v>1</v>
      </c>
      <c r="T202" s="78">
        <v>45583</v>
      </c>
      <c r="U202" s="22">
        <v>4372.8499999999995</v>
      </c>
    </row>
    <row r="203" spans="1:22" ht="12" hidden="1" x14ac:dyDescent="0.2">
      <c r="A203" s="3">
        <v>202</v>
      </c>
      <c r="B203" s="3" t="s">
        <v>288</v>
      </c>
      <c r="C20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CMP_Plan minero base MLC</v>
      </c>
      <c r="D203" s="3" t="s">
        <v>193</v>
      </c>
      <c r="E203" s="3" t="s">
        <v>250</v>
      </c>
      <c r="F203" s="3" t="s">
        <v>251</v>
      </c>
      <c r="G203" s="3">
        <v>2024</v>
      </c>
      <c r="H203" s="3">
        <f>+IF(Tabla13[[#This Row],[Proyectado USD]]&gt;0,1,-1)</f>
        <v>-1</v>
      </c>
      <c r="I203" s="15"/>
      <c r="J203" s="21"/>
      <c r="K203" s="3">
        <f>+IF(Tabla13[[#This Row],[Emitido USD]]&gt;0,1,-1)</f>
        <v>1</v>
      </c>
      <c r="L203" s="73">
        <v>45588</v>
      </c>
      <c r="M203" s="3">
        <v>3</v>
      </c>
      <c r="N203" s="22">
        <v>3705</v>
      </c>
      <c r="O203" s="6">
        <v>234</v>
      </c>
      <c r="P203" s="76">
        <v>45604</v>
      </c>
      <c r="Q203" s="3">
        <f>+IF(Tabla13[[#This Row],[Facturado USD]]&gt;0,1,-1)</f>
        <v>1</v>
      </c>
      <c r="R203" s="22">
        <v>3705</v>
      </c>
      <c r="S203" s="3">
        <f>+IF(Tabla13[[#This Row],[Ingresado USD]]&gt;0,1,-1)</f>
        <v>1</v>
      </c>
      <c r="T203" s="78">
        <v>45616</v>
      </c>
      <c r="U203" s="22">
        <v>3519.75</v>
      </c>
    </row>
    <row r="204" spans="1:22" ht="12" hidden="1" customHeight="1" x14ac:dyDescent="0.2">
      <c r="A204" s="3">
        <v>203</v>
      </c>
      <c r="B204" s="3" t="s">
        <v>288</v>
      </c>
      <c r="C20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CMP_Plan minero base MLC</v>
      </c>
      <c r="D204" s="3" t="s">
        <v>193</v>
      </c>
      <c r="E204" s="3" t="s">
        <v>250</v>
      </c>
      <c r="F204" s="3" t="s">
        <v>251</v>
      </c>
      <c r="G204" s="3">
        <v>2024</v>
      </c>
      <c r="H204" s="3">
        <f>+IF(Tabla13[[#This Row],[Proyectado USD]]&gt;0,1,-1)</f>
        <v>-1</v>
      </c>
      <c r="I204" s="15"/>
      <c r="J204" s="21"/>
      <c r="K204" s="3">
        <f>+IF(Tabla13[[#This Row],[Emitido USD]]&gt;0,1,-1)</f>
        <v>1</v>
      </c>
      <c r="L204" s="73">
        <v>45619</v>
      </c>
      <c r="M204" s="3">
        <v>4</v>
      </c>
      <c r="N204" s="22">
        <v>4392</v>
      </c>
      <c r="O204" s="6">
        <v>243</v>
      </c>
      <c r="P204" s="76">
        <v>45631</v>
      </c>
      <c r="Q204" s="3">
        <f>+IF(Tabla13[[#This Row],[Facturado USD]]&gt;0,1,-1)</f>
        <v>1</v>
      </c>
      <c r="R204" s="22">
        <v>4392</v>
      </c>
      <c r="S204" s="3">
        <f>+IF(Tabla13[[#This Row],[Ingresado USD]]&gt;0,1,-1)</f>
        <v>1</v>
      </c>
      <c r="T204" s="78">
        <v>45644</v>
      </c>
      <c r="U204" s="22">
        <v>4172.3999999999996</v>
      </c>
    </row>
    <row r="205" spans="1:22" ht="12" hidden="1" x14ac:dyDescent="0.2">
      <c r="A205" s="3">
        <v>204</v>
      </c>
      <c r="B205" s="3" t="s">
        <v>288</v>
      </c>
      <c r="C20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CMP_Plan minero base MLC</v>
      </c>
      <c r="D205" s="3" t="s">
        <v>193</v>
      </c>
      <c r="E205" s="3" t="s">
        <v>250</v>
      </c>
      <c r="F205" s="3" t="s">
        <v>251</v>
      </c>
      <c r="G205" s="3">
        <v>2024</v>
      </c>
      <c r="H205" s="3">
        <f>+IF(Tabla13[[#This Row],[Proyectado USD]]&gt;0,1,-1)</f>
        <v>-1</v>
      </c>
      <c r="I205" s="15"/>
      <c r="J205" s="21"/>
      <c r="K205" s="3">
        <f>+IF(Tabla13[[#This Row],[Emitido USD]]&gt;0,1,-1)</f>
        <v>1</v>
      </c>
      <c r="L205" s="73">
        <v>45649</v>
      </c>
      <c r="M205" s="3">
        <v>5</v>
      </c>
      <c r="N205" s="22">
        <v>34732</v>
      </c>
      <c r="O205" s="59">
        <v>265</v>
      </c>
      <c r="P205" s="76">
        <v>45712</v>
      </c>
      <c r="Q205" s="3">
        <f>+IF(Tabla13[[#This Row],[Facturado USD]]&gt;0,1,-1)</f>
        <v>1</v>
      </c>
      <c r="R205" s="22">
        <v>34732</v>
      </c>
      <c r="S205" s="3">
        <f>+IF(Tabla13[[#This Row],[Ingresado USD]]&gt;0,1,-1)</f>
        <v>1</v>
      </c>
      <c r="T205" s="78">
        <v>45716</v>
      </c>
      <c r="U205" s="23">
        <v>34239.326580000001</v>
      </c>
    </row>
    <row r="206" spans="1:22" ht="12" hidden="1" x14ac:dyDescent="0.2">
      <c r="A206" s="3">
        <v>205</v>
      </c>
      <c r="B206" s="3" t="s">
        <v>288</v>
      </c>
      <c r="C20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CMP_Plan minero base MLC</v>
      </c>
      <c r="D206" s="3" t="s">
        <v>193</v>
      </c>
      <c r="E206" s="3" t="s">
        <v>250</v>
      </c>
      <c r="F206" s="3" t="s">
        <v>251</v>
      </c>
      <c r="G206" s="3">
        <v>2025</v>
      </c>
      <c r="H206" s="3">
        <f>+IF(Tabla13[[#This Row],[Proyectado USD]]&gt;0,1,-1)</f>
        <v>-1</v>
      </c>
      <c r="I206" s="15"/>
      <c r="J206" s="21"/>
      <c r="K206" s="3">
        <f>+IF(Tabla13[[#This Row],[Emitido USD]]&gt;0,1,-1)</f>
        <v>1</v>
      </c>
      <c r="L206" s="73">
        <v>45681</v>
      </c>
      <c r="M206" s="3">
        <v>6</v>
      </c>
      <c r="N206" s="22">
        <v>8755</v>
      </c>
      <c r="O206" s="6">
        <v>301</v>
      </c>
      <c r="P206" s="76">
        <v>45789</v>
      </c>
      <c r="Q206" s="3">
        <f>+IF(Tabla13[[#This Row],[Facturado USD]]&gt;0,1,-1)</f>
        <v>1</v>
      </c>
      <c r="R206" s="22">
        <v>12346</v>
      </c>
      <c r="S206" s="3">
        <f>+IF(Tabla13[[#This Row],[Ingresado USD]]&gt;0,1,-1)</f>
        <v>1</v>
      </c>
      <c r="T206" s="78">
        <v>45805</v>
      </c>
      <c r="U206" s="22">
        <v>11728.699999999999</v>
      </c>
    </row>
    <row r="207" spans="1:22" ht="12" hidden="1" customHeight="1" x14ac:dyDescent="0.2">
      <c r="A207" s="3">
        <v>206</v>
      </c>
      <c r="B207" s="3" t="s">
        <v>288</v>
      </c>
      <c r="C20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CMP_Plan minero base MLC</v>
      </c>
      <c r="D207" s="3" t="s">
        <v>193</v>
      </c>
      <c r="E207" s="3" t="s">
        <v>250</v>
      </c>
      <c r="F207" s="3" t="s">
        <v>251</v>
      </c>
      <c r="G207" s="3">
        <v>2025</v>
      </c>
      <c r="H207" s="3">
        <f>+IF(Tabla13[[#This Row],[Proyectado USD]]&gt;0,1,-1)</f>
        <v>-1</v>
      </c>
      <c r="I207" s="15"/>
      <c r="J207" s="21"/>
      <c r="K207" s="3">
        <f>+IF(Tabla13[[#This Row],[Emitido USD]]&gt;0,1,-1)</f>
        <v>1</v>
      </c>
      <c r="L207" s="73">
        <v>45741</v>
      </c>
      <c r="M207" s="3">
        <v>7</v>
      </c>
      <c r="N207" s="22">
        <v>14746</v>
      </c>
      <c r="O207" s="6">
        <v>313</v>
      </c>
      <c r="P207" s="76">
        <v>45824</v>
      </c>
      <c r="Q207" s="3">
        <f>+IF(Tabla13[[#This Row],[Facturado USD]]&gt;0,1,-1)</f>
        <v>1</v>
      </c>
      <c r="R207" s="22">
        <v>14746</v>
      </c>
      <c r="S207" s="3">
        <f>+IF(Tabla13[[#This Row],[Ingresado USD]]&gt;0,1,-1)</f>
        <v>1</v>
      </c>
      <c r="T207" s="78">
        <v>45849</v>
      </c>
      <c r="U207" s="22">
        <v>14008.699999999999</v>
      </c>
    </row>
    <row r="208" spans="1:22" ht="12" hidden="1" x14ac:dyDescent="0.2">
      <c r="A208" s="3">
        <v>207</v>
      </c>
      <c r="B208" s="3" t="s">
        <v>288</v>
      </c>
      <c r="C20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CMP_Plan minero base MLC</v>
      </c>
      <c r="D208" s="3" t="s">
        <v>193</v>
      </c>
      <c r="E208" s="3" t="s">
        <v>250</v>
      </c>
      <c r="F208" s="3" t="s">
        <v>251</v>
      </c>
      <c r="G208" s="3">
        <v>2025</v>
      </c>
      <c r="H208" s="3">
        <f>+IF(Tabla13[[#This Row],[Proyectado USD]]&gt;0,1,-1)</f>
        <v>-1</v>
      </c>
      <c r="I208" s="15"/>
      <c r="J208" s="21"/>
      <c r="K208" s="3">
        <f>+IF(Tabla13[[#This Row],[Emitido USD]]&gt;0,1,-1)</f>
        <v>1</v>
      </c>
      <c r="L208" s="73">
        <v>45869</v>
      </c>
      <c r="M208" s="3">
        <v>1</v>
      </c>
      <c r="N208" s="22">
        <v>34306</v>
      </c>
      <c r="O208" s="6">
        <v>346</v>
      </c>
      <c r="P208" s="76">
        <v>45933</v>
      </c>
      <c r="Q208" s="3">
        <f>+IF(Tabla13[[#This Row],[Facturado USD]]&gt;0,1,-1)</f>
        <v>1</v>
      </c>
      <c r="R208" s="22">
        <v>34306</v>
      </c>
      <c r="S208" s="3">
        <f>+IF(Tabla13[[#This Row],[Ingresado USD]]&gt;0,1,-1)</f>
        <v>1</v>
      </c>
      <c r="T208" s="78">
        <v>45945</v>
      </c>
      <c r="U208" s="66">
        <v>32590.699999999997</v>
      </c>
    </row>
    <row r="209" spans="1:22" ht="12" hidden="1" x14ac:dyDescent="0.2">
      <c r="A209" s="3">
        <v>208</v>
      </c>
      <c r="B209" s="3" t="s">
        <v>289</v>
      </c>
      <c r="C20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CMP_Puesta en marcha SLS Romeral</v>
      </c>
      <c r="D209" s="3" t="s">
        <v>194</v>
      </c>
      <c r="E209" s="3" t="s">
        <v>250</v>
      </c>
      <c r="F209" s="3" t="s">
        <v>251</v>
      </c>
      <c r="G209" s="3">
        <v>2024</v>
      </c>
      <c r="H209" s="3">
        <f>+IF(Tabla13[[#This Row],[Proyectado USD]]&gt;0,1,-1)</f>
        <v>-1</v>
      </c>
      <c r="I209" s="15"/>
      <c r="J209" s="21"/>
      <c r="K209" s="3">
        <f>+IF(Tabla13[[#This Row],[Emitido USD]]&gt;0,1,-1)</f>
        <v>1</v>
      </c>
      <c r="L209" s="73">
        <v>45498</v>
      </c>
      <c r="M209" s="3">
        <v>1</v>
      </c>
      <c r="N209" s="22">
        <v>135485</v>
      </c>
      <c r="O209" s="6">
        <v>208</v>
      </c>
      <c r="P209" s="76">
        <v>45531</v>
      </c>
      <c r="Q209" s="3">
        <f>+IF(Tabla13[[#This Row],[Facturado USD]]&gt;0,1,-1)</f>
        <v>1</v>
      </c>
      <c r="R209" s="22">
        <v>141357</v>
      </c>
      <c r="S209" s="3">
        <f>+IF(Tabla13[[#This Row],[Ingresado USD]]&gt;0,1,-1)</f>
        <v>1</v>
      </c>
      <c r="T209" s="78">
        <v>45562</v>
      </c>
      <c r="U209" s="22">
        <v>141357</v>
      </c>
    </row>
    <row r="210" spans="1:22" ht="12" hidden="1" x14ac:dyDescent="0.2">
      <c r="A210" s="3">
        <v>209</v>
      </c>
      <c r="B210" s="3" t="s">
        <v>289</v>
      </c>
      <c r="C21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CMP_Puesta en marcha SLS Romeral</v>
      </c>
      <c r="D210" s="3" t="s">
        <v>194</v>
      </c>
      <c r="E210" s="3" t="s">
        <v>250</v>
      </c>
      <c r="F210" s="3" t="s">
        <v>251</v>
      </c>
      <c r="G210" s="3">
        <v>2024</v>
      </c>
      <c r="H210" s="3">
        <f>+IF(Tabla13[[#This Row],[Proyectado USD]]&gt;0,1,-1)</f>
        <v>-1</v>
      </c>
      <c r="I210" s="15"/>
      <c r="J210" s="21"/>
      <c r="K210" s="3">
        <f>+IF(Tabla13[[#This Row],[Emitido USD]]&gt;0,1,-1)</f>
        <v>1</v>
      </c>
      <c r="L210" s="73">
        <v>45531</v>
      </c>
      <c r="M210" s="3">
        <v>2</v>
      </c>
      <c r="N210" s="52">
        <v>237714</v>
      </c>
      <c r="O210" s="6">
        <v>214</v>
      </c>
      <c r="P210" s="76">
        <v>45547</v>
      </c>
      <c r="Q210" s="3">
        <f>+IF(Tabla13[[#This Row],[Facturado USD]]&gt;0,1,-1)</f>
        <v>1</v>
      </c>
      <c r="R210" s="22">
        <v>229439.04116848976</v>
      </c>
      <c r="S210" s="3">
        <f>+IF(Tabla13[[#This Row],[Ingresado USD]]&gt;0,1,-1)</f>
        <v>1</v>
      </c>
      <c r="T210" s="78">
        <v>45576</v>
      </c>
      <c r="U210" s="22">
        <v>229439</v>
      </c>
    </row>
    <row r="211" spans="1:22" ht="12" hidden="1" x14ac:dyDescent="0.2">
      <c r="A211" s="3">
        <v>210</v>
      </c>
      <c r="B211" s="3" t="s">
        <v>289</v>
      </c>
      <c r="C21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CMP_Puesta en marcha SLS Romeral</v>
      </c>
      <c r="D211" s="3" t="s">
        <v>194</v>
      </c>
      <c r="E211" s="3" t="s">
        <v>250</v>
      </c>
      <c r="F211" s="3" t="s">
        <v>251</v>
      </c>
      <c r="G211" s="3">
        <v>2024</v>
      </c>
      <c r="H211" s="3">
        <f>+IF(Tabla13[[#This Row],[Proyectado USD]]&gt;0,1,-1)</f>
        <v>-1</v>
      </c>
      <c r="I211" s="15"/>
      <c r="J211" s="21"/>
      <c r="K211" s="3">
        <f>+IF(Tabla13[[#This Row],[Emitido USD]]&gt;0,1,-1)</f>
        <v>1</v>
      </c>
      <c r="L211" s="73">
        <v>45562</v>
      </c>
      <c r="M211" s="3">
        <v>3</v>
      </c>
      <c r="N211" s="22">
        <v>108299</v>
      </c>
      <c r="O211" s="6">
        <v>228</v>
      </c>
      <c r="P211" s="76">
        <v>45588</v>
      </c>
      <c r="Q211" s="3">
        <f>+IF(Tabla13[[#This Row],[Facturado USD]]&gt;0,1,-1)</f>
        <v>1</v>
      </c>
      <c r="R211" s="22">
        <v>108299</v>
      </c>
      <c r="S211" s="3">
        <f>+IF(Tabla13[[#This Row],[Ingresado USD]]&gt;0,1,-1)</f>
        <v>1</v>
      </c>
      <c r="T211" s="78">
        <v>45618</v>
      </c>
      <c r="U211" s="22">
        <v>108299</v>
      </c>
    </row>
    <row r="212" spans="1:22" ht="12" hidden="1" x14ac:dyDescent="0.2">
      <c r="A212" s="3">
        <v>211</v>
      </c>
      <c r="B212" s="3" t="s">
        <v>289</v>
      </c>
      <c r="C21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CMP_Puesta en marcha SLS Romeral</v>
      </c>
      <c r="D212" s="3" t="s">
        <v>194</v>
      </c>
      <c r="E212" s="3" t="s">
        <v>250</v>
      </c>
      <c r="F212" s="3" t="s">
        <v>251</v>
      </c>
      <c r="G212" s="3">
        <v>2024</v>
      </c>
      <c r="H212" s="3">
        <f>+IF(Tabla13[[#This Row],[Proyectado USD]]&gt;0,1,-1)</f>
        <v>-1</v>
      </c>
      <c r="I212" s="15"/>
      <c r="J212" s="21"/>
      <c r="K212" s="3">
        <f>+IF(Tabla13[[#This Row],[Emitido USD]]&gt;0,1,-1)</f>
        <v>1</v>
      </c>
      <c r="L212" s="73">
        <v>45589</v>
      </c>
      <c r="M212" s="3">
        <v>4</v>
      </c>
      <c r="N212" s="22">
        <v>86735</v>
      </c>
      <c r="O212" s="6">
        <v>237</v>
      </c>
      <c r="P212" s="79">
        <v>45623</v>
      </c>
      <c r="Q212" s="3">
        <f>+IF(Tabla13[[#This Row],[Facturado USD]]&gt;0,1,-1)</f>
        <v>1</v>
      </c>
      <c r="R212" s="22">
        <v>86735</v>
      </c>
      <c r="S212" s="3">
        <f>+IF(Tabla13[[#This Row],[Ingresado USD]]&gt;0,1,-1)</f>
        <v>1</v>
      </c>
      <c r="T212" s="78">
        <v>45660</v>
      </c>
      <c r="U212" s="60">
        <v>90004.909500000009</v>
      </c>
    </row>
    <row r="213" spans="1:22" ht="12" hidden="1" x14ac:dyDescent="0.2">
      <c r="A213" s="3">
        <v>212</v>
      </c>
      <c r="B213" s="3" t="s">
        <v>289</v>
      </c>
      <c r="C21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CMP_Puesta en marcha SLS Romeral</v>
      </c>
      <c r="D213" s="3" t="s">
        <v>194</v>
      </c>
      <c r="E213" s="3" t="s">
        <v>250</v>
      </c>
      <c r="F213" s="3" t="s">
        <v>251</v>
      </c>
      <c r="G213" s="3">
        <v>2024</v>
      </c>
      <c r="H213" s="3">
        <f>+IF(Tabla13[[#This Row],[Proyectado USD]]&gt;0,1,-1)</f>
        <v>-1</v>
      </c>
      <c r="I213" s="15"/>
      <c r="J213" s="21"/>
      <c r="K213" s="3">
        <f>+IF(Tabla13[[#This Row],[Emitido USD]]&gt;0,1,-1)</f>
        <v>1</v>
      </c>
      <c r="L213" s="73">
        <v>45620</v>
      </c>
      <c r="M213" s="3">
        <v>5</v>
      </c>
      <c r="N213" s="22">
        <v>81962</v>
      </c>
      <c r="O213" s="6">
        <v>245</v>
      </c>
      <c r="P213" s="76">
        <v>45650</v>
      </c>
      <c r="Q213" s="3">
        <f>+IF(Tabla13[[#This Row],[Facturado USD]]&gt;0,1,-1)</f>
        <v>1</v>
      </c>
      <c r="R213" s="22">
        <v>81962</v>
      </c>
      <c r="S213" s="3">
        <f>+IF(Tabla13[[#This Row],[Ingresado USD]]&gt;0,1,-1)</f>
        <v>1</v>
      </c>
      <c r="T213" s="78">
        <v>45679</v>
      </c>
      <c r="U213" s="23">
        <v>85051.967400000009</v>
      </c>
    </row>
    <row r="214" spans="1:22" ht="12" hidden="1" x14ac:dyDescent="0.2">
      <c r="A214" s="3">
        <v>213</v>
      </c>
      <c r="B214" s="3" t="s">
        <v>289</v>
      </c>
      <c r="C21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CMP_Puesta en marcha SLS Romeral</v>
      </c>
      <c r="D214" s="3" t="s">
        <v>194</v>
      </c>
      <c r="E214" s="3" t="s">
        <v>250</v>
      </c>
      <c r="F214" s="3" t="s">
        <v>251</v>
      </c>
      <c r="G214" s="3">
        <v>2024</v>
      </c>
      <c r="H214" s="3">
        <f>+IF(Tabla13[[#This Row],[Proyectado USD]]&gt;0,1,-1)</f>
        <v>-1</v>
      </c>
      <c r="I214" s="15"/>
      <c r="J214" s="21"/>
      <c r="K214" s="3">
        <f>+IF(Tabla13[[#This Row],[Emitido USD]]&gt;0,1,-1)</f>
        <v>1</v>
      </c>
      <c r="L214" s="73">
        <v>45652</v>
      </c>
      <c r="M214" s="3">
        <v>6</v>
      </c>
      <c r="N214" s="22">
        <v>118872.36</v>
      </c>
      <c r="O214" s="59">
        <v>252</v>
      </c>
      <c r="P214" s="76">
        <v>45667</v>
      </c>
      <c r="Q214" s="3">
        <f>+IF(Tabla13[[#This Row],[Facturado USD]]&gt;0,1,-1)</f>
        <v>1</v>
      </c>
      <c r="R214" s="22">
        <v>118872</v>
      </c>
      <c r="S214" s="3">
        <f>+IF(Tabla13[[#This Row],[Ingresado USD]]&gt;0,1,-1)</f>
        <v>1</v>
      </c>
      <c r="T214" s="78">
        <v>45700</v>
      </c>
      <c r="U214" s="23">
        <v>127900.67580000001</v>
      </c>
    </row>
    <row r="215" spans="1:22" ht="12" hidden="1" x14ac:dyDescent="0.2">
      <c r="A215" s="3">
        <v>214</v>
      </c>
      <c r="B215" s="3" t="s">
        <v>289</v>
      </c>
      <c r="C21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CMP_Puesta en marcha SLS Romeral</v>
      </c>
      <c r="D215" s="3" t="s">
        <v>194</v>
      </c>
      <c r="E215" s="3" t="s">
        <v>250</v>
      </c>
      <c r="F215" s="3" t="s">
        <v>251</v>
      </c>
      <c r="G215" s="3">
        <v>2025</v>
      </c>
      <c r="H215" s="3">
        <f>+IF(Tabla13[[#This Row],[Proyectado USD]]&gt;0,1,-1)</f>
        <v>-1</v>
      </c>
      <c r="I215" s="15"/>
      <c r="J215" s="21"/>
      <c r="K215" s="3">
        <f>+IF(Tabla13[[#This Row],[Emitido USD]]&gt;0,1,-1)</f>
        <v>1</v>
      </c>
      <c r="L215" s="73">
        <v>45807</v>
      </c>
      <c r="M215" s="3">
        <v>9</v>
      </c>
      <c r="N215" s="22">
        <v>32097</v>
      </c>
      <c r="O215" s="6">
        <v>309</v>
      </c>
      <c r="P215" s="76">
        <v>45811</v>
      </c>
      <c r="Q215" s="3">
        <f>+IF(Tabla13[[#This Row],[Facturado USD]]&gt;0,1,-1)</f>
        <v>1</v>
      </c>
      <c r="R215" s="22">
        <v>32097</v>
      </c>
      <c r="S215" s="3">
        <f>+IF(Tabla13[[#This Row],[Ingresado USD]]&gt;0,1,-1)</f>
        <v>1</v>
      </c>
      <c r="T215" s="78">
        <v>45826</v>
      </c>
      <c r="U215" s="22">
        <v>32097</v>
      </c>
      <c r="V215" s="3" t="s">
        <v>748</v>
      </c>
    </row>
    <row r="216" spans="1:22" ht="12" hidden="1" x14ac:dyDescent="0.2">
      <c r="A216" s="3">
        <v>215</v>
      </c>
      <c r="B216" s="3" t="s">
        <v>289</v>
      </c>
      <c r="C21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CMP_Puesta en marcha SLS Romeral</v>
      </c>
      <c r="D216" s="3" t="s">
        <v>194</v>
      </c>
      <c r="E216" s="3" t="s">
        <v>250</v>
      </c>
      <c r="F216" s="3" t="s">
        <v>251</v>
      </c>
      <c r="G216" s="3">
        <v>2025</v>
      </c>
      <c r="H216" s="3">
        <f>+IF(Tabla13[[#This Row],[Proyectado USD]]&gt;0,1,-1)</f>
        <v>-1</v>
      </c>
      <c r="I216" s="15"/>
      <c r="J216" s="21"/>
      <c r="K216" s="3">
        <f>+IF(Tabla13[[#This Row],[Emitido USD]]&gt;0,1,-1)</f>
        <v>1</v>
      </c>
      <c r="L216" s="73">
        <v>45807</v>
      </c>
      <c r="M216" s="3">
        <v>10</v>
      </c>
      <c r="N216" s="22">
        <v>15398</v>
      </c>
      <c r="O216" s="6">
        <v>308</v>
      </c>
      <c r="P216" s="76">
        <v>45811</v>
      </c>
      <c r="Q216" s="3">
        <f>+IF(Tabla13[[#This Row],[Facturado USD]]&gt;0,1,-1)</f>
        <v>1</v>
      </c>
      <c r="R216" s="22">
        <v>15398</v>
      </c>
      <c r="S216" s="3">
        <f>+IF(Tabla13[[#This Row],[Ingresado USD]]&gt;0,1,-1)</f>
        <v>1</v>
      </c>
      <c r="T216" s="78">
        <v>45826</v>
      </c>
      <c r="U216" s="22">
        <v>15398</v>
      </c>
      <c r="V216" s="3" t="s">
        <v>749</v>
      </c>
    </row>
    <row r="217" spans="1:22" ht="12" hidden="1" x14ac:dyDescent="0.2">
      <c r="A217" s="3">
        <v>216</v>
      </c>
      <c r="B217" s="3" t="s">
        <v>289</v>
      </c>
      <c r="C21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CMP_Puesta en marcha SLS Romeral</v>
      </c>
      <c r="D217" s="3" t="s">
        <v>194</v>
      </c>
      <c r="E217" s="3" t="s">
        <v>250</v>
      </c>
      <c r="F217" s="3" t="s">
        <v>251</v>
      </c>
      <c r="G217" s="3">
        <v>2025</v>
      </c>
      <c r="H217" s="3">
        <f>+IF(Tabla13[[#This Row],[Proyectado USD]]&gt;0,1,-1)</f>
        <v>-1</v>
      </c>
      <c r="I217" s="15"/>
      <c r="J217" s="21"/>
      <c r="K217" s="3">
        <f>+IF(Tabla13[[#This Row],[Emitido USD]]&gt;0,1,-1)</f>
        <v>1</v>
      </c>
      <c r="L217" s="73">
        <v>45660</v>
      </c>
      <c r="M217" s="3">
        <v>7</v>
      </c>
      <c r="N217" s="22">
        <v>31918</v>
      </c>
      <c r="O217" s="6">
        <v>264</v>
      </c>
      <c r="P217" s="76">
        <v>45712</v>
      </c>
      <c r="Q217" s="3">
        <f>+IF(Tabla13[[#This Row],[Facturado USD]]&gt;0,1,-1)</f>
        <v>1</v>
      </c>
      <c r="R217" s="22">
        <v>46484</v>
      </c>
      <c r="S217" s="3">
        <f>+IF(Tabla13[[#This Row],[Ingresado USD]]&gt;0,1,-1)</f>
        <v>1</v>
      </c>
      <c r="T217" s="78">
        <v>45742</v>
      </c>
      <c r="U217" s="23">
        <v>48236.446800000005</v>
      </c>
    </row>
    <row r="218" spans="1:22" ht="12" hidden="1" x14ac:dyDescent="0.2">
      <c r="A218" s="3">
        <v>217</v>
      </c>
      <c r="B218" s="3" t="s">
        <v>289</v>
      </c>
      <c r="C21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CMP_Puesta en marcha SLS Romeral</v>
      </c>
      <c r="D218" s="3" t="s">
        <v>194</v>
      </c>
      <c r="E218" s="3" t="s">
        <v>250</v>
      </c>
      <c r="F218" s="3" t="s">
        <v>251</v>
      </c>
      <c r="G218" s="3">
        <v>2025</v>
      </c>
      <c r="H218" s="3">
        <f>+IF(Tabla13[[#This Row],[Proyectado USD]]&gt;0,1,-1)</f>
        <v>-1</v>
      </c>
      <c r="I218" s="15"/>
      <c r="J218" s="21"/>
      <c r="K218" s="3">
        <f>+IF(Tabla13[[#This Row],[Emitido USD]]&gt;0,1,-1)</f>
        <v>1</v>
      </c>
      <c r="L218" s="73">
        <v>45713</v>
      </c>
      <c r="M218" s="3">
        <v>8</v>
      </c>
      <c r="N218" s="22">
        <v>41744</v>
      </c>
      <c r="O218" s="6">
        <v>279</v>
      </c>
      <c r="P218" s="76">
        <v>45736</v>
      </c>
      <c r="Q218" s="3">
        <f>+IF(Tabla13[[#This Row],[Facturado USD]]&gt;0,1,-1)</f>
        <v>1</v>
      </c>
      <c r="R218" s="22">
        <v>42469</v>
      </c>
      <c r="S218" s="3">
        <f>+IF(Tabla13[[#This Row],[Ingresado USD]]&gt;0,1,-1)</f>
        <v>1</v>
      </c>
      <c r="T218" s="78">
        <v>45763</v>
      </c>
      <c r="U218" s="22">
        <v>41744</v>
      </c>
    </row>
    <row r="219" spans="1:22" ht="12" hidden="1" x14ac:dyDescent="0.2">
      <c r="A219" s="3">
        <v>218</v>
      </c>
      <c r="B219" s="3" t="s">
        <v>289</v>
      </c>
      <c r="C21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CMP_Puesta en marcha SLS Romeral</v>
      </c>
      <c r="D219" s="3" t="s">
        <v>194</v>
      </c>
      <c r="E219" s="3" t="s">
        <v>250</v>
      </c>
      <c r="F219" s="3" t="s">
        <v>251</v>
      </c>
      <c r="G219" s="3">
        <v>2025</v>
      </c>
      <c r="H219" s="3">
        <f>+IF(Tabla13[[#This Row],[Proyectado USD]]&gt;0,1,-1)</f>
        <v>-1</v>
      </c>
      <c r="I219" s="15"/>
      <c r="J219" s="21"/>
      <c r="K219" s="3">
        <f>+IF(Tabla13[[#This Row],[Emitido USD]]&gt;0,1,-1)</f>
        <v>1</v>
      </c>
      <c r="L219" s="73">
        <v>45966</v>
      </c>
      <c r="M219" s="3">
        <v>11</v>
      </c>
      <c r="N219" s="22">
        <v>21494</v>
      </c>
      <c r="O219" s="6">
        <v>359</v>
      </c>
      <c r="P219" s="76">
        <v>45966</v>
      </c>
      <c r="Q219" s="3">
        <f>+IF(Tabla13[[#This Row],[Facturado USD]]&gt;0,1,-1)</f>
        <v>1</v>
      </c>
      <c r="R219" s="22">
        <v>21494</v>
      </c>
      <c r="S219" s="3">
        <f>+IF(Tabla13[[#This Row],[Ingresado USD]]&gt;0,1,-1)</f>
        <v>1</v>
      </c>
      <c r="T219" s="78">
        <v>45975</v>
      </c>
      <c r="U219" s="22">
        <v>21494</v>
      </c>
      <c r="V219" s="3" t="s">
        <v>747</v>
      </c>
    </row>
    <row r="220" spans="1:22" ht="12" hidden="1" x14ac:dyDescent="0.2">
      <c r="A220" s="3">
        <v>219</v>
      </c>
      <c r="B220" s="3" t="s">
        <v>313</v>
      </c>
      <c r="C22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CMP_Romeral Estabilización + UG PFS</v>
      </c>
      <c r="D220" s="3" t="s">
        <v>314</v>
      </c>
      <c r="E220" s="3" t="s">
        <v>250</v>
      </c>
      <c r="F220" s="3" t="s">
        <v>251</v>
      </c>
      <c r="G220" s="3">
        <v>2024</v>
      </c>
      <c r="H220" s="3">
        <f>+IF(Tabla13[[#This Row],[Proyectado USD]]&gt;0,1,-1)</f>
        <v>1</v>
      </c>
      <c r="I220" s="15">
        <v>45292</v>
      </c>
      <c r="J220" s="49">
        <v>29620</v>
      </c>
      <c r="K220" s="3">
        <f>+IF(Tabla13[[#This Row],[Emitido USD]]&gt;0,1,-1)</f>
        <v>1</v>
      </c>
      <c r="L220" s="73">
        <v>45316</v>
      </c>
      <c r="M220" s="3">
        <v>1</v>
      </c>
      <c r="N220" s="22">
        <v>61461</v>
      </c>
      <c r="O220" s="6">
        <v>163</v>
      </c>
      <c r="P220" s="76">
        <v>45342</v>
      </c>
      <c r="Q220" s="3">
        <f>+IF(Tabla13[[#This Row],[Facturado USD]]&gt;0,1,-1)</f>
        <v>1</v>
      </c>
      <c r="R220" s="22">
        <v>61461</v>
      </c>
      <c r="S220" s="3">
        <f>+IF(Tabla13[[#This Row],[Ingresado USD]]&gt;0,1,-1)</f>
        <v>1</v>
      </c>
      <c r="T220" s="78">
        <v>45364</v>
      </c>
      <c r="U220" s="22">
        <v>57556</v>
      </c>
    </row>
    <row r="221" spans="1:22" ht="12" hidden="1" x14ac:dyDescent="0.2">
      <c r="A221" s="3">
        <v>220</v>
      </c>
      <c r="B221" s="3" t="s">
        <v>313</v>
      </c>
      <c r="C22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CMP_Romeral Estabilización + UG PFS</v>
      </c>
      <c r="D221" s="3" t="s">
        <v>314</v>
      </c>
      <c r="E221" s="3" t="s">
        <v>250</v>
      </c>
      <c r="F221" s="3" t="s">
        <v>251</v>
      </c>
      <c r="G221" s="3">
        <v>2024</v>
      </c>
      <c r="H221" s="3">
        <f>+IF(Tabla13[[#This Row],[Proyectado USD]]&gt;0,1,-1)</f>
        <v>1</v>
      </c>
      <c r="I221" s="15">
        <v>45323</v>
      </c>
      <c r="J221" s="49">
        <v>80000</v>
      </c>
      <c r="K221" s="3">
        <f>+IF(Tabla13[[#This Row],[Emitido USD]]&gt;0,1,-1)</f>
        <v>1</v>
      </c>
      <c r="L221" s="73">
        <v>45347</v>
      </c>
      <c r="M221" s="3">
        <v>2</v>
      </c>
      <c r="N221" s="22">
        <v>61831</v>
      </c>
      <c r="O221" s="6">
        <v>169</v>
      </c>
      <c r="P221" s="76">
        <v>45355</v>
      </c>
      <c r="Q221" s="3">
        <f>+IF(Tabla13[[#This Row],[Facturado USD]]&gt;0,1,-1)</f>
        <v>1</v>
      </c>
      <c r="R221" s="22">
        <v>61831</v>
      </c>
      <c r="S221" s="3">
        <f>+IF(Tabla13[[#This Row],[Ingresado USD]]&gt;0,1,-1)</f>
        <v>1</v>
      </c>
      <c r="T221" s="78">
        <v>45364</v>
      </c>
      <c r="U221" s="22">
        <v>57902.441384438243</v>
      </c>
    </row>
    <row r="222" spans="1:22" ht="12" hidden="1" x14ac:dyDescent="0.2">
      <c r="A222" s="3">
        <v>221</v>
      </c>
      <c r="B222" s="3" t="s">
        <v>313</v>
      </c>
      <c r="C22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CMP_Romeral Estabilización + UG PFS</v>
      </c>
      <c r="D222" s="3" t="s">
        <v>314</v>
      </c>
      <c r="E222" s="3" t="s">
        <v>250</v>
      </c>
      <c r="F222" s="3" t="s">
        <v>251</v>
      </c>
      <c r="G222" s="3">
        <v>2024</v>
      </c>
      <c r="H222" s="3">
        <f>+IF(Tabla13[[#This Row],[Proyectado USD]]&gt;0,1,-1)</f>
        <v>1</v>
      </c>
      <c r="I222" s="15">
        <v>45352</v>
      </c>
      <c r="J222" s="49">
        <v>80000</v>
      </c>
      <c r="K222" s="3">
        <f>+IF(Tabla13[[#This Row],[Emitido USD]]&gt;0,1,-1)</f>
        <v>1</v>
      </c>
      <c r="L222" s="73">
        <v>45376</v>
      </c>
      <c r="M222" s="3">
        <v>3</v>
      </c>
      <c r="N222" s="50">
        <v>61641</v>
      </c>
      <c r="O222" s="6">
        <v>176</v>
      </c>
      <c r="P222" s="76">
        <v>45390</v>
      </c>
      <c r="Q222" s="3">
        <f>+IF(Tabla13[[#This Row],[Facturado USD]]&gt;0,1,-1)</f>
        <v>1</v>
      </c>
      <c r="R222" s="22">
        <v>61641</v>
      </c>
      <c r="S222" s="3">
        <f>+IF(Tabla13[[#This Row],[Ingresado USD]]&gt;0,1,-1)</f>
        <v>1</v>
      </c>
      <c r="T222" s="78">
        <v>45441</v>
      </c>
      <c r="U222" s="52">
        <v>61641</v>
      </c>
    </row>
    <row r="223" spans="1:22" ht="12" hidden="1" x14ac:dyDescent="0.2">
      <c r="A223" s="3">
        <v>222</v>
      </c>
      <c r="B223" s="3" t="s">
        <v>313</v>
      </c>
      <c r="C22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CMP_Romeral Estabilización + UG PFS</v>
      </c>
      <c r="D223" s="51" t="s">
        <v>314</v>
      </c>
      <c r="E223" s="3" t="s">
        <v>250</v>
      </c>
      <c r="F223" s="3" t="s">
        <v>251</v>
      </c>
      <c r="G223" s="3">
        <v>2024</v>
      </c>
      <c r="H223" s="3">
        <f>+IF(Tabla13[[#This Row],[Proyectado USD]]&gt;0,1,-1)</f>
        <v>1</v>
      </c>
      <c r="I223" s="15">
        <v>45383</v>
      </c>
      <c r="J223" s="21">
        <v>6872</v>
      </c>
      <c r="K223" s="3">
        <f>+IF(Tabla13[[#This Row],[Emitido USD]]&gt;0,1,-1)</f>
        <v>1</v>
      </c>
      <c r="L223" s="73">
        <v>45407</v>
      </c>
      <c r="M223" s="3">
        <v>4</v>
      </c>
      <c r="N223" s="22">
        <v>61831</v>
      </c>
      <c r="O223" s="6">
        <v>182</v>
      </c>
      <c r="P223" s="76">
        <v>45420</v>
      </c>
      <c r="Q223" s="3">
        <f>+IF(Tabla13[[#This Row],[Facturado USD]]&gt;0,1,-1)</f>
        <v>1</v>
      </c>
      <c r="R223" s="22">
        <v>61831</v>
      </c>
      <c r="S223" s="3">
        <f>+IF(Tabla13[[#This Row],[Ingresado USD]]&gt;0,1,-1)</f>
        <v>1</v>
      </c>
      <c r="T223" s="78">
        <v>45441</v>
      </c>
      <c r="U223" s="52">
        <v>61831</v>
      </c>
    </row>
    <row r="224" spans="1:22" ht="12" hidden="1" x14ac:dyDescent="0.2">
      <c r="A224" s="3">
        <v>223</v>
      </c>
      <c r="B224" s="3" t="s">
        <v>313</v>
      </c>
      <c r="C22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CMP_Romeral Estabilización + UG PFS</v>
      </c>
      <c r="D224" s="3" t="s">
        <v>314</v>
      </c>
      <c r="E224" s="3" t="s">
        <v>250</v>
      </c>
      <c r="F224" s="3" t="s">
        <v>251</v>
      </c>
      <c r="G224" s="3">
        <v>2024</v>
      </c>
      <c r="H224" s="3">
        <f>+IF(Tabla13[[#This Row],[Proyectado USD]]&gt;0,1,-1)</f>
        <v>1</v>
      </c>
      <c r="I224" s="15">
        <v>45413</v>
      </c>
      <c r="J224" s="21">
        <v>61831</v>
      </c>
      <c r="K224" s="3">
        <f>+IF(Tabla13[[#This Row],[Emitido USD]]&gt;0,1,-1)</f>
        <v>1</v>
      </c>
      <c r="L224" s="73">
        <v>45440</v>
      </c>
      <c r="M224" s="3">
        <v>5</v>
      </c>
      <c r="N224" s="22">
        <v>34925.9</v>
      </c>
      <c r="O224" s="6">
        <v>192</v>
      </c>
      <c r="P224" s="76">
        <v>45456</v>
      </c>
      <c r="Q224" s="3">
        <f>+IF(Tabla13[[#This Row],[Facturado USD]]&gt;0,1,-1)</f>
        <v>1</v>
      </c>
      <c r="R224" s="22">
        <v>34926</v>
      </c>
      <c r="S224" s="3">
        <f>+IF(Tabla13[[#This Row],[Ingresado USD]]&gt;0,1,-1)</f>
        <v>1</v>
      </c>
      <c r="T224" s="78">
        <v>45497</v>
      </c>
      <c r="U224" s="22">
        <v>34926</v>
      </c>
    </row>
    <row r="225" spans="1:22" ht="12" hidden="1" x14ac:dyDescent="0.2">
      <c r="A225" s="3">
        <v>224</v>
      </c>
      <c r="B225" s="3" t="s">
        <v>313</v>
      </c>
      <c r="C22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CMP_Romeral Estabilización + UG PFS</v>
      </c>
      <c r="D225" s="3" t="s">
        <v>314</v>
      </c>
      <c r="E225" s="3" t="s">
        <v>250</v>
      </c>
      <c r="F225" s="3" t="s">
        <v>251</v>
      </c>
      <c r="G225" s="3">
        <v>2024</v>
      </c>
      <c r="H225" s="3">
        <f>+IF(Tabla13[[#This Row],[Proyectado USD]]&gt;0,1,-1)</f>
        <v>-1</v>
      </c>
      <c r="I225" s="15"/>
      <c r="J225" s="21"/>
      <c r="K225" s="3">
        <f>+IF(Tabla13[[#This Row],[Emitido USD]]&gt;0,1,-1)</f>
        <v>1</v>
      </c>
      <c r="L225" s="73">
        <v>45530</v>
      </c>
      <c r="M225" s="3">
        <v>6</v>
      </c>
      <c r="N225" s="22">
        <v>60227</v>
      </c>
      <c r="O225" s="6">
        <v>231</v>
      </c>
      <c r="P225" s="79">
        <v>45588</v>
      </c>
      <c r="Q225" s="3">
        <f>+IF(Tabla13[[#This Row],[Facturado USD]]&gt;0,1,-1)</f>
        <v>1</v>
      </c>
      <c r="R225" s="22">
        <v>60804</v>
      </c>
      <c r="S225" s="3">
        <f>+IF(Tabla13[[#This Row],[Ingresado USD]]&gt;0,1,-1)</f>
        <v>1</v>
      </c>
      <c r="T225" s="78">
        <v>45665</v>
      </c>
      <c r="U225" s="60">
        <v>63096.310800000007</v>
      </c>
    </row>
    <row r="226" spans="1:22" ht="12" hidden="1" x14ac:dyDescent="0.2">
      <c r="A226" s="3">
        <v>225</v>
      </c>
      <c r="B226" s="3" t="s">
        <v>313</v>
      </c>
      <c r="C22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CMP_Romeral Estabilización + UG PFS</v>
      </c>
      <c r="D226" s="3" t="s">
        <v>314</v>
      </c>
      <c r="E226" s="3" t="s">
        <v>250</v>
      </c>
      <c r="F226" s="3" t="s">
        <v>251</v>
      </c>
      <c r="G226" s="3">
        <v>2024</v>
      </c>
      <c r="H226" s="3">
        <f>+IF(Tabla13[[#This Row],[Proyectado USD]]&gt;0,1,-1)</f>
        <v>-1</v>
      </c>
      <c r="I226" s="15"/>
      <c r="J226" s="21"/>
      <c r="K226" s="3">
        <f>+IF(Tabla13[[#This Row],[Emitido USD]]&gt;0,1,-1)</f>
        <v>1</v>
      </c>
      <c r="L226" s="73">
        <v>45565</v>
      </c>
      <c r="M226" s="3">
        <v>7</v>
      </c>
      <c r="N226" s="22">
        <v>28407</v>
      </c>
      <c r="O226" s="6">
        <v>230</v>
      </c>
      <c r="P226" s="79">
        <v>45588</v>
      </c>
      <c r="Q226" s="3">
        <f>+IF(Tabla13[[#This Row],[Facturado USD]]&gt;0,1,-1)</f>
        <v>1</v>
      </c>
      <c r="R226" s="22">
        <v>28407</v>
      </c>
      <c r="S226" s="3">
        <f>+IF(Tabla13[[#This Row],[Ingresado USD]]&gt;0,1,-1)</f>
        <v>1</v>
      </c>
      <c r="T226" s="78">
        <v>45665</v>
      </c>
      <c r="U226" s="60">
        <v>29477.943900000002</v>
      </c>
    </row>
    <row r="227" spans="1:22" ht="12" hidden="1" customHeight="1" x14ac:dyDescent="0.2">
      <c r="A227" s="3">
        <v>226</v>
      </c>
      <c r="B227" s="3" t="s">
        <v>290</v>
      </c>
      <c r="C22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Codelco_Actualización norma NCC-31</v>
      </c>
      <c r="D227" s="3" t="s">
        <v>195</v>
      </c>
      <c r="E227" s="3" t="s">
        <v>291</v>
      </c>
      <c r="F227" s="3" t="s">
        <v>251</v>
      </c>
      <c r="G227" s="3">
        <v>2024</v>
      </c>
      <c r="H227" s="3">
        <f>+IF(Tabla13[[#This Row],[Proyectado USD]]&gt;0,1,-1)</f>
        <v>-1</v>
      </c>
      <c r="I227" s="15"/>
      <c r="J227" s="21"/>
      <c r="K227" s="3">
        <f>+IF(Tabla13[[#This Row],[Emitido USD]]&gt;0,1,-1)</f>
        <v>1</v>
      </c>
      <c r="L227" s="73">
        <v>45649</v>
      </c>
      <c r="M227" s="3">
        <v>1</v>
      </c>
      <c r="N227" s="22">
        <v>23268</v>
      </c>
      <c r="O227" s="59">
        <v>255</v>
      </c>
      <c r="P227" s="76">
        <v>45667</v>
      </c>
      <c r="Q227" s="3">
        <f>+IF(Tabla13[[#This Row],[Facturado USD]]&gt;0,1,-1)</f>
        <v>1</v>
      </c>
      <c r="R227" s="22">
        <v>31715</v>
      </c>
      <c r="S227" s="3">
        <f>+IF(Tabla13[[#This Row],[Ingresado USD]]&gt;0,1,-1)</f>
        <v>1</v>
      </c>
      <c r="T227" s="78">
        <v>45700</v>
      </c>
      <c r="U227" s="23">
        <v>32910.655500000001</v>
      </c>
    </row>
    <row r="228" spans="1:22" ht="12" hidden="1" customHeight="1" x14ac:dyDescent="0.2">
      <c r="A228" s="3">
        <v>227</v>
      </c>
      <c r="B228" s="3" t="s">
        <v>290</v>
      </c>
      <c r="C22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Codelco_Actualización norma NCC-31</v>
      </c>
      <c r="D228" s="3" t="s">
        <v>195</v>
      </c>
      <c r="E228" s="3" t="s">
        <v>291</v>
      </c>
      <c r="F228" s="3" t="s">
        <v>251</v>
      </c>
      <c r="G228" s="3">
        <v>2025</v>
      </c>
      <c r="H228" s="3">
        <f>+IF(Tabla13[[#This Row],[Proyectado USD]]&gt;0,1,-1)</f>
        <v>-1</v>
      </c>
      <c r="I228" s="15"/>
      <c r="J228" s="21"/>
      <c r="K228" s="3">
        <f>+IF(Tabla13[[#This Row],[Emitido USD]]&gt;0,1,-1)</f>
        <v>1</v>
      </c>
      <c r="L228" s="73">
        <v>45685</v>
      </c>
      <c r="M228" s="3">
        <v>2</v>
      </c>
      <c r="N228" s="22">
        <v>28753</v>
      </c>
      <c r="O228" s="25">
        <v>333</v>
      </c>
      <c r="P228" s="76">
        <v>45890</v>
      </c>
      <c r="Q228" s="3">
        <f>+IF(Tabla13[[#This Row],[Facturado USD]]&gt;0,1,-1)</f>
        <v>1</v>
      </c>
      <c r="R228" s="22">
        <v>28753</v>
      </c>
      <c r="S228" s="3">
        <f>+IF(Tabla13[[#This Row],[Ingresado USD]]&gt;0,1,-1)</f>
        <v>1</v>
      </c>
      <c r="T228" s="78">
        <v>45917</v>
      </c>
      <c r="U228" s="22">
        <v>28753</v>
      </c>
    </row>
    <row r="229" spans="1:22" ht="12" hidden="1" customHeight="1" x14ac:dyDescent="0.2">
      <c r="A229" s="3">
        <v>228</v>
      </c>
      <c r="B229" s="3" t="s">
        <v>290</v>
      </c>
      <c r="C22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Codelco_Actualización norma NCC-31</v>
      </c>
      <c r="D229" s="3" t="s">
        <v>195</v>
      </c>
      <c r="E229" s="3" t="s">
        <v>291</v>
      </c>
      <c r="F229" s="3" t="s">
        <v>251</v>
      </c>
      <c r="G229" s="3">
        <v>2025</v>
      </c>
      <c r="H229" s="3">
        <f>+IF(Tabla13[[#This Row],[Proyectado USD]]&gt;0,1,-1)</f>
        <v>-1</v>
      </c>
      <c r="I229" s="15"/>
      <c r="J229" s="21"/>
      <c r="K229" s="3">
        <f>+IF(Tabla13[[#This Row],[Emitido USD]]&gt;0,1,-1)</f>
        <v>1</v>
      </c>
      <c r="L229" s="73">
        <v>45713</v>
      </c>
      <c r="M229" s="3">
        <v>3</v>
      </c>
      <c r="N229" s="21">
        <v>11360</v>
      </c>
      <c r="O229" s="25">
        <v>337</v>
      </c>
      <c r="P229" s="76">
        <v>45896</v>
      </c>
      <c r="Q229" s="3">
        <f>+IF(Tabla13[[#This Row],[Facturado USD]]&gt;0,1,-1)</f>
        <v>1</v>
      </c>
      <c r="R229" s="22">
        <v>11360</v>
      </c>
      <c r="S229" s="3">
        <f>+IF(Tabla13[[#This Row],[Ingresado USD]]&gt;0,1,-1)</f>
        <v>1</v>
      </c>
      <c r="T229" s="78">
        <v>45926</v>
      </c>
      <c r="U229" s="22">
        <v>11360</v>
      </c>
    </row>
    <row r="230" spans="1:22" ht="12" hidden="1" x14ac:dyDescent="0.2">
      <c r="A230" s="3">
        <v>486</v>
      </c>
      <c r="B230" s="3" t="s">
        <v>800</v>
      </c>
      <c r="C23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Miskimayo_Actualizacion R&amp;R Mina Bayovar</v>
      </c>
      <c r="D230" s="3" t="s">
        <v>803</v>
      </c>
      <c r="E230" s="3" t="s">
        <v>742</v>
      </c>
      <c r="F230" s="3" t="s">
        <v>318</v>
      </c>
      <c r="G230" s="3">
        <v>2026</v>
      </c>
      <c r="H230" s="3">
        <f>+IF(Tabla13[[#This Row],[Proyectado USD]]&gt;0,1,-1)</f>
        <v>-1</v>
      </c>
      <c r="I230" s="15"/>
      <c r="J230" s="21"/>
      <c r="K230" s="3">
        <f>+IF(Tabla13[[#This Row],[Emitido USD]]&gt;0,1,-1)</f>
        <v>1</v>
      </c>
      <c r="L230" s="73">
        <v>46162</v>
      </c>
      <c r="M230" s="3">
        <v>2</v>
      </c>
      <c r="N230" s="22">
        <v>7741</v>
      </c>
      <c r="O230" s="6" t="s">
        <v>69</v>
      </c>
      <c r="P230" s="76"/>
      <c r="Q230" s="3">
        <f>+IF(Tabla13[[#This Row],[Facturado USD]]&gt;0,1,-1)</f>
        <v>-1</v>
      </c>
      <c r="S230" s="3">
        <f>+IF(Tabla13[[#This Row],[Ingresado USD]]&gt;0,1,-1)</f>
        <v>-1</v>
      </c>
      <c r="T230" s="78"/>
    </row>
    <row r="231" spans="1:22" ht="12" hidden="1" x14ac:dyDescent="0.2">
      <c r="A231" s="3">
        <v>326</v>
      </c>
      <c r="B231" s="3" t="s">
        <v>835</v>
      </c>
      <c r="C23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EroCopper_Surubim OP Mine</v>
      </c>
      <c r="D23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EroCopper_Surubim OP Mine</v>
      </c>
      <c r="E231" s="3" t="s">
        <v>239</v>
      </c>
      <c r="F231" s="3" t="s">
        <v>235</v>
      </c>
      <c r="G231" s="3">
        <v>2026</v>
      </c>
      <c r="H231" s="3">
        <f>+IF(Tabla13[[#This Row],[Proyectado USD]]&gt;0,1,-1)</f>
        <v>-1</v>
      </c>
      <c r="I231" s="15"/>
      <c r="J231" s="21"/>
      <c r="K231" s="3">
        <f>+IF(Tabla13[[#This Row],[Emitido USD]]&gt;0,1,-1)</f>
        <v>1</v>
      </c>
      <c r="L231" s="73">
        <v>46157</v>
      </c>
      <c r="M231" s="3">
        <v>1</v>
      </c>
      <c r="N231" s="22">
        <v>4210</v>
      </c>
      <c r="O231" s="6" t="s">
        <v>69</v>
      </c>
      <c r="P231" s="76"/>
      <c r="Q231" s="3">
        <f>+IF(Tabla13[[#This Row],[Facturado USD]]&gt;0,1,-1)</f>
        <v>-1</v>
      </c>
      <c r="S231" s="3">
        <f>+IF(Tabla13[[#This Row],[Ingresado USD]]&gt;0,1,-1)</f>
        <v>-1</v>
      </c>
      <c r="T231" s="78"/>
    </row>
    <row r="232" spans="1:22" ht="12" hidden="1" x14ac:dyDescent="0.2">
      <c r="A232" s="3">
        <v>501</v>
      </c>
      <c r="B232" s="3" t="s">
        <v>795</v>
      </c>
      <c r="C23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Mosaic_Análisis de Estabilidad</v>
      </c>
      <c r="D232" s="3" t="s">
        <v>796</v>
      </c>
      <c r="E232" s="3" t="s">
        <v>236</v>
      </c>
      <c r="F232" s="3" t="s">
        <v>235</v>
      </c>
      <c r="G232" s="3">
        <v>2026</v>
      </c>
      <c r="H232" s="3">
        <f>+IF(Tabla13[[#This Row],[Proyectado USD]]&gt;0,1,-1)</f>
        <v>-1</v>
      </c>
      <c r="I232" s="15"/>
      <c r="J232" s="21"/>
      <c r="K232" s="3">
        <f>+IF(Tabla13[[#This Row],[Emitido USD]]&gt;0,1,-1)</f>
        <v>1</v>
      </c>
      <c r="L232" s="73">
        <v>46157</v>
      </c>
      <c r="M232" s="3">
        <v>2</v>
      </c>
      <c r="N232" s="22">
        <v>17983</v>
      </c>
      <c r="O232" s="6">
        <v>17</v>
      </c>
      <c r="P232" s="76">
        <v>46167</v>
      </c>
      <c r="Q232" s="3">
        <f>+IF(Tabla13[[#This Row],[Facturado USD]]&gt;0,1,-1)</f>
        <v>1</v>
      </c>
      <c r="R232" s="22">
        <v>16411</v>
      </c>
      <c r="S232" s="3">
        <f>+IF(Tabla13[[#This Row],[Ingresado USD]]&gt;0,1,-1)</f>
        <v>-1</v>
      </c>
      <c r="T232" s="78">
        <v>46259</v>
      </c>
    </row>
    <row r="233" spans="1:22" ht="12" hidden="1" x14ac:dyDescent="0.2">
      <c r="A233" s="3">
        <v>232</v>
      </c>
      <c r="B233" s="3" t="s">
        <v>93</v>
      </c>
      <c r="C23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Codelco_Capacitacion Deswik DET</v>
      </c>
      <c r="D233" s="3" t="s">
        <v>297</v>
      </c>
      <c r="E233" s="3" t="s">
        <v>291</v>
      </c>
      <c r="F233" s="3" t="s">
        <v>251</v>
      </c>
      <c r="G233" s="3">
        <v>2023</v>
      </c>
      <c r="H233" s="3">
        <f>+IF(Tabla13[[#This Row],[Proyectado USD]]&gt;0,1,-1)</f>
        <v>1</v>
      </c>
      <c r="I233" s="15">
        <v>45261</v>
      </c>
      <c r="J233" s="21">
        <v>21600</v>
      </c>
      <c r="K233" s="3">
        <f>+IF(Tabla13[[#This Row],[Emitido USD]]&gt;0,1,-1)</f>
        <v>1</v>
      </c>
      <c r="L233" s="73">
        <v>45281</v>
      </c>
      <c r="M233" s="3">
        <v>1</v>
      </c>
      <c r="N233" s="22">
        <v>29752</v>
      </c>
      <c r="O233" s="6">
        <v>168</v>
      </c>
      <c r="P233" s="76">
        <v>45348</v>
      </c>
      <c r="Q233" s="3">
        <f>+IF(Tabla13[[#This Row],[Facturado USD]]&gt;0,1,-1)</f>
        <v>1</v>
      </c>
      <c r="R233" s="22">
        <v>29752</v>
      </c>
      <c r="S233" s="3">
        <f>+IF(Tabla13[[#This Row],[Ingresado USD]]&gt;0,1,-1)</f>
        <v>1</v>
      </c>
      <c r="T233" s="78">
        <v>45352</v>
      </c>
      <c r="U233" s="22">
        <v>27862</v>
      </c>
    </row>
    <row r="234" spans="1:22" ht="12" hidden="1" x14ac:dyDescent="0.2">
      <c r="A234" s="3">
        <v>233</v>
      </c>
      <c r="B234" s="3" t="s">
        <v>93</v>
      </c>
      <c r="C23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Codelco_Capacitacion Deswik DET</v>
      </c>
      <c r="D234" s="3" t="s">
        <v>297</v>
      </c>
      <c r="E234" s="3" t="s">
        <v>291</v>
      </c>
      <c r="F234" s="3" t="s">
        <v>251</v>
      </c>
      <c r="G234" s="3">
        <v>2024</v>
      </c>
      <c r="H234" s="3">
        <f>+IF(Tabla13[[#This Row],[Proyectado USD]]&gt;0,1,-1)</f>
        <v>1</v>
      </c>
      <c r="I234" s="15">
        <v>45323</v>
      </c>
      <c r="J234" s="49">
        <v>14600</v>
      </c>
      <c r="K234" s="3">
        <f>+IF(Tabla13[[#This Row],[Emitido USD]]&gt;0,1,-1)</f>
        <v>1</v>
      </c>
      <c r="L234" s="73">
        <v>45347</v>
      </c>
      <c r="M234" s="3">
        <v>2</v>
      </c>
      <c r="N234" s="22">
        <v>12534</v>
      </c>
      <c r="O234" s="6">
        <v>175</v>
      </c>
      <c r="P234" s="76">
        <v>45386</v>
      </c>
      <c r="Q234" s="3">
        <f>+IF(Tabla13[[#This Row],[Facturado USD]]&gt;0,1,-1)</f>
        <v>1</v>
      </c>
      <c r="R234" s="22">
        <v>12534</v>
      </c>
      <c r="S234" s="3">
        <f>+IF(Tabla13[[#This Row],[Ingresado USD]]&gt;0,1,-1)</f>
        <v>1</v>
      </c>
      <c r="T234" s="78">
        <v>45417</v>
      </c>
      <c r="U234" s="52">
        <v>12534</v>
      </c>
    </row>
    <row r="235" spans="1:22" ht="12" hidden="1" x14ac:dyDescent="0.2">
      <c r="A235" s="3">
        <v>234</v>
      </c>
      <c r="B235" s="3" t="s">
        <v>93</v>
      </c>
      <c r="C23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Codelco_Capacitacion Deswik DET</v>
      </c>
      <c r="D235" s="3" t="s">
        <v>297</v>
      </c>
      <c r="E235" s="3" t="s">
        <v>291</v>
      </c>
      <c r="F235" s="3" t="s">
        <v>251</v>
      </c>
      <c r="G235" s="3">
        <v>2024</v>
      </c>
      <c r="H235" s="3">
        <f>+IF(Tabla13[[#This Row],[Proyectado USD]]&gt;0,1,-1)</f>
        <v>1</v>
      </c>
      <c r="I235" s="15">
        <v>45383</v>
      </c>
      <c r="J235" s="21">
        <v>26714</v>
      </c>
      <c r="K235" s="3">
        <f>+IF(Tabla13[[#This Row],[Emitido USD]]&gt;0,1,-1)</f>
        <v>1</v>
      </c>
      <c r="L235" s="73">
        <v>45498</v>
      </c>
      <c r="M235" s="3">
        <v>3</v>
      </c>
      <c r="N235" s="54">
        <v>13837</v>
      </c>
      <c r="O235" s="6">
        <v>218</v>
      </c>
      <c r="P235" s="76">
        <v>45561</v>
      </c>
      <c r="Q235" s="3">
        <f>+IF(Tabla13[[#This Row],[Facturado USD]]&gt;0,1,-1)</f>
        <v>1</v>
      </c>
      <c r="R235" s="22">
        <v>13837</v>
      </c>
      <c r="S235" s="3">
        <f>+IF(Tabla13[[#This Row],[Ingresado USD]]&gt;0,1,-1)</f>
        <v>1</v>
      </c>
      <c r="T235" s="78">
        <v>45591</v>
      </c>
      <c r="U235" s="22">
        <v>13837</v>
      </c>
    </row>
    <row r="236" spans="1:22" ht="12" hidden="1" x14ac:dyDescent="0.2">
      <c r="A236" s="3">
        <v>235</v>
      </c>
      <c r="B236" s="3" t="s">
        <v>88</v>
      </c>
      <c r="C23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Codelco_Cluster Toki</v>
      </c>
      <c r="D236" s="3" t="s">
        <v>292</v>
      </c>
      <c r="E236" s="3" t="s">
        <v>291</v>
      </c>
      <c r="F236" s="3" t="s">
        <v>251</v>
      </c>
      <c r="G236" s="3">
        <v>2023</v>
      </c>
      <c r="H236" s="3">
        <f>+IF(Tabla13[[#This Row],[Proyectado USD]]&gt;0,1,-1)</f>
        <v>1</v>
      </c>
      <c r="I236" s="15">
        <v>45231</v>
      </c>
      <c r="J236" s="21">
        <v>5000</v>
      </c>
      <c r="K236" s="3">
        <f>+IF(Tabla13[[#This Row],[Emitido USD]]&gt;0,1,-1)</f>
        <v>1</v>
      </c>
      <c r="L236" s="73">
        <v>45250</v>
      </c>
      <c r="M236" s="34">
        <v>1</v>
      </c>
      <c r="N236" s="22">
        <v>41755</v>
      </c>
      <c r="O236" s="6">
        <v>146</v>
      </c>
      <c r="P236" s="76">
        <v>45301</v>
      </c>
      <c r="Q236" s="3">
        <f>+IF(Tabla13[[#This Row],[Facturado USD]]&gt;0,1,-1)</f>
        <v>1</v>
      </c>
      <c r="R236" s="22">
        <v>41755</v>
      </c>
      <c r="S236" s="3">
        <f>+IF(Tabla13[[#This Row],[Ingresado USD]]&gt;0,1,-1)</f>
        <v>1</v>
      </c>
      <c r="T236" s="78">
        <v>45331</v>
      </c>
      <c r="U236" s="22">
        <f>41755*0.93</f>
        <v>38832.15</v>
      </c>
      <c r="V236" s="3" t="s">
        <v>89</v>
      </c>
    </row>
    <row r="237" spans="1:22" ht="12" hidden="1" x14ac:dyDescent="0.2">
      <c r="A237" s="3">
        <v>236</v>
      </c>
      <c r="B237" s="3" t="s">
        <v>88</v>
      </c>
      <c r="C23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Codelco_Cluster Toki</v>
      </c>
      <c r="D237" s="3" t="s">
        <v>292</v>
      </c>
      <c r="E237" s="3" t="s">
        <v>291</v>
      </c>
      <c r="F237" s="3" t="s">
        <v>251</v>
      </c>
      <c r="G237" s="3">
        <v>2023</v>
      </c>
      <c r="H237" s="3">
        <f>+IF(Tabla13[[#This Row],[Proyectado USD]]&gt;0,1,-1)</f>
        <v>1</v>
      </c>
      <c r="I237" s="15">
        <v>45261</v>
      </c>
      <c r="J237" s="21">
        <v>37700</v>
      </c>
      <c r="K237" s="3">
        <f>+IF(Tabla13[[#This Row],[Emitido USD]]&gt;0,1,-1)</f>
        <v>1</v>
      </c>
      <c r="L237" s="73">
        <v>45281</v>
      </c>
      <c r="M237" s="3">
        <v>2</v>
      </c>
      <c r="N237" s="22">
        <v>38092</v>
      </c>
      <c r="O237" s="6">
        <v>147</v>
      </c>
      <c r="P237" s="76">
        <v>45301</v>
      </c>
      <c r="Q237" s="3">
        <f>+IF(Tabla13[[#This Row],[Facturado USD]]&gt;0,1,-1)</f>
        <v>1</v>
      </c>
      <c r="R237" s="22">
        <v>38092</v>
      </c>
      <c r="S237" s="3">
        <f>+IF(Tabla13[[#This Row],[Ingresado USD]]&gt;0,1,-1)</f>
        <v>1</v>
      </c>
      <c r="T237" s="78">
        <v>45331</v>
      </c>
      <c r="U237" s="22">
        <f>38092*0.93</f>
        <v>35425.560000000005</v>
      </c>
    </row>
    <row r="238" spans="1:22" ht="12" hidden="1" x14ac:dyDescent="0.2">
      <c r="A238" s="3">
        <v>237</v>
      </c>
      <c r="B238" s="3" t="s">
        <v>88</v>
      </c>
      <c r="C23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Codelco_Cluster Toki</v>
      </c>
      <c r="D238" s="3" t="s">
        <v>292</v>
      </c>
      <c r="E238" s="3" t="s">
        <v>291</v>
      </c>
      <c r="F238" s="3" t="s">
        <v>251</v>
      </c>
      <c r="G238" s="3">
        <v>2024</v>
      </c>
      <c r="H238" s="3">
        <f>+IF(Tabla13[[#This Row],[Proyectado USD]]&gt;0,1,-1)</f>
        <v>1</v>
      </c>
      <c r="I238" s="15">
        <v>45292</v>
      </c>
      <c r="J238" s="49">
        <v>2940</v>
      </c>
      <c r="K238" s="3">
        <f>+IF(Tabla13[[#This Row],[Emitido USD]]&gt;0,1,-1)</f>
        <v>1</v>
      </c>
      <c r="L238" s="73">
        <v>45316</v>
      </c>
      <c r="M238" s="3">
        <v>3</v>
      </c>
      <c r="N238" s="22">
        <v>2940</v>
      </c>
      <c r="O238" s="6">
        <v>162</v>
      </c>
      <c r="P238" s="76">
        <v>45337</v>
      </c>
      <c r="Q238" s="3">
        <f>+IF(Tabla13[[#This Row],[Facturado USD]]&gt;0,1,-1)</f>
        <v>1</v>
      </c>
      <c r="R238" s="22">
        <v>2940</v>
      </c>
      <c r="S238" s="3">
        <f>+IF(Tabla13[[#This Row],[Ingresado USD]]&gt;0,1,-1)</f>
        <v>1</v>
      </c>
      <c r="T238" s="78">
        <v>45366</v>
      </c>
      <c r="U238" s="22">
        <v>2940</v>
      </c>
    </row>
    <row r="239" spans="1:22" ht="12" hidden="1" customHeight="1" x14ac:dyDescent="0.2">
      <c r="A239" s="3">
        <v>530</v>
      </c>
      <c r="B239" s="3" t="s">
        <v>762</v>
      </c>
      <c r="C23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Mosaic_Cajati LOM Open Pit</v>
      </c>
      <c r="D239" s="3" t="s">
        <v>767</v>
      </c>
      <c r="E239" s="3" t="s">
        <v>236</v>
      </c>
      <c r="F239" s="3" t="s">
        <v>235</v>
      </c>
      <c r="G239" s="3">
        <v>2026</v>
      </c>
      <c r="H239" s="3">
        <f>+IF(Tabla13[[#This Row],[Proyectado USD]]&gt;0,1,-1)</f>
        <v>-1</v>
      </c>
      <c r="I239" s="15"/>
      <c r="J239" s="21"/>
      <c r="K239" s="3">
        <f>+IF(Tabla13[[#This Row],[Emitido USD]]&gt;0,1,-1)</f>
        <v>1</v>
      </c>
      <c r="L239" s="73">
        <v>46157</v>
      </c>
      <c r="M239" s="3">
        <v>3</v>
      </c>
      <c r="N239" s="22">
        <v>21050</v>
      </c>
      <c r="O239" s="6">
        <v>18</v>
      </c>
      <c r="P239" s="76">
        <v>46167</v>
      </c>
      <c r="Q239" s="3">
        <f>+IF(Tabla13[[#This Row],[Facturado USD]]&gt;0,1,-1)</f>
        <v>1</v>
      </c>
      <c r="R239" s="22">
        <v>21477</v>
      </c>
      <c r="S239" s="3">
        <f>+IF(Tabla13[[#This Row],[Ingresado USD]]&gt;0,1,-1)</f>
        <v>-1</v>
      </c>
      <c r="T239" s="78">
        <v>46259</v>
      </c>
    </row>
    <row r="240" spans="1:22" ht="12" hidden="1" x14ac:dyDescent="0.2">
      <c r="A240" s="3">
        <v>239</v>
      </c>
      <c r="B240" s="3" t="s">
        <v>90</v>
      </c>
      <c r="C24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Codelco_Drenaje QT</v>
      </c>
      <c r="D240" s="3" t="s">
        <v>293</v>
      </c>
      <c r="E240" s="3" t="s">
        <v>291</v>
      </c>
      <c r="F240" s="3" t="s">
        <v>251</v>
      </c>
      <c r="G240" s="3">
        <v>2023</v>
      </c>
      <c r="H240" s="3">
        <f>+IF(Tabla13[[#This Row],[Proyectado USD]]&gt;0,1,-1)</f>
        <v>1</v>
      </c>
      <c r="I240" s="15">
        <v>45231</v>
      </c>
      <c r="J240" s="21">
        <v>7500</v>
      </c>
      <c r="K240" s="3">
        <f>+IF(Tabla13[[#This Row],[Emitido USD]]&gt;0,1,-1)</f>
        <v>1</v>
      </c>
      <c r="L240" s="73">
        <v>45250</v>
      </c>
      <c r="M240" s="34">
        <v>1</v>
      </c>
      <c r="N240" s="22">
        <v>14688</v>
      </c>
      <c r="O240" s="6">
        <v>158</v>
      </c>
      <c r="P240" s="76">
        <v>45313</v>
      </c>
      <c r="Q240" s="3">
        <f>+IF(Tabla13[[#This Row],[Facturado USD]]&gt;0,1,-1)</f>
        <v>1</v>
      </c>
      <c r="R240" s="22">
        <v>14688</v>
      </c>
      <c r="S240" s="3">
        <f>+IF(Tabla13[[#This Row],[Ingresado USD]]&gt;0,1,-1)</f>
        <v>1</v>
      </c>
      <c r="T240" s="78">
        <v>45342</v>
      </c>
      <c r="U240" s="22">
        <f>14688*0.93</f>
        <v>13659.84</v>
      </c>
    </row>
    <row r="241" spans="1:22" ht="12" hidden="1" x14ac:dyDescent="0.2">
      <c r="A241" s="3">
        <v>240</v>
      </c>
      <c r="B241" s="3" t="s">
        <v>90</v>
      </c>
      <c r="C24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Codelco_Drenaje QT</v>
      </c>
      <c r="D241" s="3" t="s">
        <v>293</v>
      </c>
      <c r="E241" s="3" t="s">
        <v>291</v>
      </c>
      <c r="F241" s="3" t="s">
        <v>251</v>
      </c>
      <c r="G241" s="3">
        <v>2024</v>
      </c>
      <c r="H241" s="3">
        <f>+IF(Tabla13[[#This Row],[Proyectado USD]]&gt;0,1,-1)</f>
        <v>1</v>
      </c>
      <c r="I241" s="15">
        <v>45292</v>
      </c>
      <c r="J241" s="49">
        <v>63612</v>
      </c>
      <c r="K241" s="3">
        <f>+IF(Tabla13[[#This Row],[Emitido USD]]&gt;0,1,-1)</f>
        <v>1</v>
      </c>
      <c r="L241" s="73">
        <v>45322</v>
      </c>
      <c r="M241" s="3">
        <v>2</v>
      </c>
      <c r="N241" s="22">
        <v>77671</v>
      </c>
      <c r="O241" s="6">
        <v>170</v>
      </c>
      <c r="P241" s="76">
        <v>45362</v>
      </c>
      <c r="Q241" s="3">
        <f>+IF(Tabla13[[#This Row],[Facturado USD]]&gt;0,1,-1)</f>
        <v>1</v>
      </c>
      <c r="R241" s="22">
        <v>77671</v>
      </c>
      <c r="S241" s="3">
        <f>+IF(Tabla13[[#This Row],[Ingresado USD]]&gt;0,1,-1)</f>
        <v>1</v>
      </c>
      <c r="T241" s="82">
        <v>45392</v>
      </c>
      <c r="U241" s="22">
        <v>77671</v>
      </c>
    </row>
    <row r="242" spans="1:22" ht="12" hidden="1" x14ac:dyDescent="0.2">
      <c r="A242" s="3">
        <v>241</v>
      </c>
      <c r="B242" s="3" t="s">
        <v>90</v>
      </c>
      <c r="C24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Codelco_Drenaje QT</v>
      </c>
      <c r="D242" s="3" t="s">
        <v>293</v>
      </c>
      <c r="E242" s="3" t="s">
        <v>291</v>
      </c>
      <c r="F242" s="3" t="s">
        <v>251</v>
      </c>
      <c r="G242" s="3">
        <v>2024</v>
      </c>
      <c r="H242" s="3">
        <f>+IF(Tabla13[[#This Row],[Proyectado USD]]&gt;0,1,-1)</f>
        <v>1</v>
      </c>
      <c r="I242" s="15">
        <v>45352</v>
      </c>
      <c r="J242" s="49">
        <v>37545</v>
      </c>
      <c r="K242" s="3">
        <f>+IF(Tabla13[[#This Row],[Emitido USD]]&gt;0,1,-1)</f>
        <v>1</v>
      </c>
      <c r="L242" s="73">
        <v>45376</v>
      </c>
      <c r="M242" s="3">
        <v>3</v>
      </c>
      <c r="N242" s="52">
        <v>41027</v>
      </c>
      <c r="O242" s="6">
        <v>197</v>
      </c>
      <c r="P242" s="76">
        <v>45491</v>
      </c>
      <c r="Q242" s="3">
        <f>+IF(Tabla13[[#This Row],[Facturado USD]]&gt;0,1,-1)</f>
        <v>1</v>
      </c>
      <c r="R242" s="22">
        <v>44268.23008753566</v>
      </c>
      <c r="S242" s="3">
        <f>+IF(Tabla13[[#This Row],[Ingresado USD]]&gt;0,1,-1)</f>
        <v>1</v>
      </c>
      <c r="T242" s="78">
        <v>45518</v>
      </c>
      <c r="U242" s="22">
        <v>44268</v>
      </c>
    </row>
    <row r="243" spans="1:22" ht="12" hidden="1" x14ac:dyDescent="0.2">
      <c r="A243" s="3">
        <v>242</v>
      </c>
      <c r="B243" s="3" t="s">
        <v>294</v>
      </c>
      <c r="C24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Codelco_Estándar cierre topográfico</v>
      </c>
      <c r="D243" s="3" t="s">
        <v>196</v>
      </c>
      <c r="E243" s="3" t="s">
        <v>291</v>
      </c>
      <c r="F243" s="3" t="s">
        <v>251</v>
      </c>
      <c r="G243" s="3">
        <v>2024</v>
      </c>
      <c r="H243" s="3">
        <f>+IF(Tabla13[[#This Row],[Proyectado USD]]&gt;0,1,-1)</f>
        <v>-1</v>
      </c>
      <c r="I243" s="15"/>
      <c r="J243" s="21"/>
      <c r="K243" s="3">
        <f>+IF(Tabla13[[#This Row],[Emitido USD]]&gt;0,1,-1)</f>
        <v>1</v>
      </c>
      <c r="L243" s="73">
        <v>45619</v>
      </c>
      <c r="M243" s="3">
        <v>1</v>
      </c>
      <c r="N243" s="22">
        <v>11004</v>
      </c>
      <c r="O243" s="59">
        <v>256</v>
      </c>
      <c r="P243" s="76">
        <v>45667</v>
      </c>
      <c r="Q243" s="3">
        <f>+IF(Tabla13[[#This Row],[Facturado USD]]&gt;0,1,-1)</f>
        <v>1</v>
      </c>
      <c r="R243" s="22">
        <v>11004</v>
      </c>
      <c r="S243" s="3">
        <f>+IF(Tabla13[[#This Row],[Ingresado USD]]&gt;0,1,-1)</f>
        <v>1</v>
      </c>
      <c r="T243" s="78">
        <v>45700</v>
      </c>
      <c r="U243" s="23">
        <v>11418.8508</v>
      </c>
    </row>
    <row r="244" spans="1:22" ht="12" hidden="1" x14ac:dyDescent="0.2">
      <c r="A244" s="3">
        <v>243</v>
      </c>
      <c r="B244" s="3" t="s">
        <v>294</v>
      </c>
      <c r="C24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Codelco_Estándar cierre topográfico</v>
      </c>
      <c r="D244" s="3" t="s">
        <v>196</v>
      </c>
      <c r="E244" s="3" t="s">
        <v>291</v>
      </c>
      <c r="F244" s="3" t="s">
        <v>251</v>
      </c>
      <c r="G244" s="3">
        <v>2024</v>
      </c>
      <c r="H244" s="3">
        <f>+IF(Tabla13[[#This Row],[Proyectado USD]]&gt;0,1,-1)</f>
        <v>-1</v>
      </c>
      <c r="I244" s="15"/>
      <c r="J244" s="21"/>
      <c r="K244" s="3">
        <f>+IF(Tabla13[[#This Row],[Emitido USD]]&gt;0,1,-1)</f>
        <v>1</v>
      </c>
      <c r="L244" s="73">
        <v>45649</v>
      </c>
      <c r="M244" s="3">
        <v>2</v>
      </c>
      <c r="N244" s="22">
        <v>18151</v>
      </c>
      <c r="O244" s="59">
        <v>257</v>
      </c>
      <c r="P244" s="76">
        <v>45667</v>
      </c>
      <c r="Q244" s="3">
        <f>+IF(Tabla13[[#This Row],[Facturado USD]]&gt;0,1,-1)</f>
        <v>1</v>
      </c>
      <c r="R244" s="22">
        <v>18151</v>
      </c>
      <c r="S244" s="3">
        <f>+IF(Tabla13[[#This Row],[Ingresado USD]]&gt;0,1,-1)</f>
        <v>1</v>
      </c>
      <c r="T244" s="78">
        <v>45700</v>
      </c>
      <c r="U244" s="23">
        <v>18835.292700000002</v>
      </c>
    </row>
    <row r="245" spans="1:22" ht="12" hidden="1" x14ac:dyDescent="0.2">
      <c r="A245" s="3">
        <v>244</v>
      </c>
      <c r="B245" s="3" t="s">
        <v>294</v>
      </c>
      <c r="C24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Codelco_Estándar cierre topográfico</v>
      </c>
      <c r="D245" s="3" t="s">
        <v>196</v>
      </c>
      <c r="E245" s="3" t="s">
        <v>291</v>
      </c>
      <c r="F245" s="3" t="s">
        <v>251</v>
      </c>
      <c r="G245" s="3">
        <v>2025</v>
      </c>
      <c r="H245" s="3">
        <f>+IF(Tabla13[[#This Row],[Proyectado USD]]&gt;0,1,-1)</f>
        <v>-1</v>
      </c>
      <c r="I245" s="15"/>
      <c r="J245" s="21"/>
      <c r="K245" s="3">
        <f>+IF(Tabla13[[#This Row],[Emitido USD]]&gt;0,1,-1)</f>
        <v>1</v>
      </c>
      <c r="L245" s="73">
        <v>45685</v>
      </c>
      <c r="M245" s="3">
        <v>3</v>
      </c>
      <c r="N245" s="21">
        <v>7263</v>
      </c>
      <c r="O245" s="25">
        <v>336</v>
      </c>
      <c r="P245" s="76">
        <v>45896</v>
      </c>
      <c r="Q245" s="3">
        <f>+IF(Tabla13[[#This Row],[Facturado USD]]&gt;0,1,-1)</f>
        <v>1</v>
      </c>
      <c r="R245" s="22">
        <v>7263</v>
      </c>
      <c r="S245" s="3">
        <f>+IF(Tabla13[[#This Row],[Ingresado USD]]&gt;0,1,-1)</f>
        <v>1</v>
      </c>
      <c r="T245" s="78">
        <v>45926</v>
      </c>
      <c r="U245" s="22">
        <v>7263</v>
      </c>
    </row>
    <row r="246" spans="1:22" ht="12" hidden="1" x14ac:dyDescent="0.2">
      <c r="A246" s="3">
        <v>245</v>
      </c>
      <c r="B246" s="3" t="s">
        <v>91</v>
      </c>
      <c r="C24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Codelco_Falla Oeste</v>
      </c>
      <c r="D246" s="3" t="s">
        <v>38</v>
      </c>
      <c r="E246" s="3" t="s">
        <v>291</v>
      </c>
      <c r="F246" s="3" t="s">
        <v>251</v>
      </c>
      <c r="G246" s="3">
        <v>2023</v>
      </c>
      <c r="H246" s="3">
        <f>+IF(Tabla13[[#This Row],[Proyectado USD]]&gt;0,1,-1)</f>
        <v>1</v>
      </c>
      <c r="I246" s="15">
        <v>45170</v>
      </c>
      <c r="J246" s="21">
        <v>61712</v>
      </c>
      <c r="K246" s="3">
        <f>+IF(Tabla13[[#This Row],[Emitido USD]]&gt;0,1,-1)</f>
        <v>1</v>
      </c>
      <c r="L246" s="73">
        <v>45194</v>
      </c>
      <c r="M246" s="34">
        <v>1</v>
      </c>
      <c r="N246" s="22">
        <v>67556</v>
      </c>
      <c r="O246" s="6">
        <v>164</v>
      </c>
      <c r="P246" s="76">
        <v>45348</v>
      </c>
      <c r="Q246" s="3">
        <f>+IF(Tabla13[[#This Row],[Facturado USD]]&gt;0,1,-1)</f>
        <v>1</v>
      </c>
      <c r="R246" s="22">
        <v>67556</v>
      </c>
      <c r="S246" s="3">
        <f>+IF(Tabla13[[#This Row],[Ingresado USD]]&gt;0,1,-1)</f>
        <v>1</v>
      </c>
      <c r="T246" s="78">
        <v>45352</v>
      </c>
      <c r="U246" s="22">
        <v>63264</v>
      </c>
    </row>
    <row r="247" spans="1:22" ht="12" hidden="1" x14ac:dyDescent="0.2">
      <c r="A247" s="3">
        <v>246</v>
      </c>
      <c r="B247" s="3" t="s">
        <v>91</v>
      </c>
      <c r="C24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Codelco_Falla Oeste</v>
      </c>
      <c r="D247" s="3" t="s">
        <v>38</v>
      </c>
      <c r="E247" s="3" t="s">
        <v>291</v>
      </c>
      <c r="F247" s="3" t="s">
        <v>251</v>
      </c>
      <c r="G247" s="3">
        <v>2023</v>
      </c>
      <c r="H247" s="3">
        <f>+IF(Tabla13[[#This Row],[Proyectado USD]]&gt;0,1,-1)</f>
        <v>1</v>
      </c>
      <c r="I247" s="15">
        <v>45200</v>
      </c>
      <c r="J247" s="21">
        <v>20571</v>
      </c>
      <c r="K247" s="3">
        <f>+IF(Tabla13[[#This Row],[Emitido USD]]&gt;0,1,-1)</f>
        <v>1</v>
      </c>
      <c r="L247" s="73">
        <v>45222</v>
      </c>
      <c r="M247" s="34">
        <v>2</v>
      </c>
      <c r="N247" s="22">
        <v>19139</v>
      </c>
      <c r="O247" s="6">
        <v>165</v>
      </c>
      <c r="P247" s="76">
        <v>45348</v>
      </c>
      <c r="Q247" s="3">
        <f>+IF(Tabla13[[#This Row],[Facturado USD]]&gt;0,1,-1)</f>
        <v>1</v>
      </c>
      <c r="R247" s="22">
        <v>19139</v>
      </c>
      <c r="S247" s="3">
        <f>+IF(Tabla13[[#This Row],[Ingresado USD]]&gt;0,1,-1)</f>
        <v>1</v>
      </c>
      <c r="T247" s="78">
        <v>45352</v>
      </c>
      <c r="U247" s="22">
        <v>17923</v>
      </c>
    </row>
    <row r="248" spans="1:22" ht="12" hidden="1" x14ac:dyDescent="0.2">
      <c r="A248" s="3">
        <v>247</v>
      </c>
      <c r="B248" s="3" t="s">
        <v>91</v>
      </c>
      <c r="C24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Codelco_Falla Oeste</v>
      </c>
      <c r="D248" s="3" t="s">
        <v>38</v>
      </c>
      <c r="E248" s="3" t="s">
        <v>291</v>
      </c>
      <c r="F248" s="3" t="s">
        <v>251</v>
      </c>
      <c r="G248" s="3">
        <v>2023</v>
      </c>
      <c r="H248" s="3">
        <f>+IF(Tabla13[[#This Row],[Proyectado USD]]&gt;0,1,-1)</f>
        <v>1</v>
      </c>
      <c r="I248" s="15">
        <v>45231</v>
      </c>
      <c r="J248" s="21">
        <v>6808</v>
      </c>
      <c r="K248" s="3">
        <f>+IF(Tabla13[[#This Row],[Emitido USD]]&gt;0,1,-1)</f>
        <v>1</v>
      </c>
      <c r="L248" s="73">
        <v>45250</v>
      </c>
      <c r="M248" s="34">
        <v>3</v>
      </c>
      <c r="N248" s="22">
        <v>6808</v>
      </c>
      <c r="O248" s="6">
        <v>150</v>
      </c>
      <c r="P248" s="76">
        <v>45301</v>
      </c>
      <c r="Q248" s="3">
        <f>+IF(Tabla13[[#This Row],[Facturado USD]]&gt;0,1,-1)</f>
        <v>1</v>
      </c>
      <c r="R248" s="22">
        <v>6808</v>
      </c>
      <c r="S248" s="3">
        <f>+IF(Tabla13[[#This Row],[Ingresado USD]]&gt;0,1,-1)</f>
        <v>1</v>
      </c>
      <c r="T248" s="78">
        <v>45331</v>
      </c>
      <c r="U248" s="22">
        <f>6808*0.93</f>
        <v>6331.4400000000005</v>
      </c>
    </row>
    <row r="249" spans="1:22" ht="12" hidden="1" x14ac:dyDescent="0.2">
      <c r="A249" s="3">
        <v>248</v>
      </c>
      <c r="B249" s="3" t="s">
        <v>603</v>
      </c>
      <c r="C24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Codelco_Formulación caso de negocio TBM</v>
      </c>
      <c r="D249" s="3" t="s">
        <v>604</v>
      </c>
      <c r="E249" s="3" t="s">
        <v>291</v>
      </c>
      <c r="F249" s="3" t="s">
        <v>251</v>
      </c>
      <c r="G249" s="3">
        <v>2025</v>
      </c>
      <c r="H249" s="3">
        <f>+IF(Tabla13[[#This Row],[Proyectado USD]]&gt;0,1,-1)</f>
        <v>-1</v>
      </c>
      <c r="I249" s="15"/>
      <c r="J249" s="21"/>
      <c r="K249" s="3">
        <f>+IF(Tabla13[[#This Row],[Emitido USD]]&gt;0,1,-1)</f>
        <v>1</v>
      </c>
      <c r="L249" s="73">
        <v>45925</v>
      </c>
      <c r="M249" s="3">
        <v>1</v>
      </c>
      <c r="N249" s="21">
        <v>21121.039499999999</v>
      </c>
      <c r="O249" s="6">
        <v>381</v>
      </c>
      <c r="P249" s="76">
        <v>46052</v>
      </c>
      <c r="Q249" s="3">
        <f>+IF(Tabla13[[#This Row],[Facturado USD]]&gt;0,1,-1)</f>
        <v>1</v>
      </c>
      <c r="R249" s="22">
        <f>23507*0.8985</f>
        <v>21121.039499999999</v>
      </c>
      <c r="S249" s="3">
        <f>+IF(Tabla13[[#This Row],[Ingresado USD]]&gt;0,1,-1)</f>
        <v>1</v>
      </c>
      <c r="T249" s="78">
        <v>46085</v>
      </c>
      <c r="U249" s="22">
        <f>23507*0.8985</f>
        <v>21121.039499999999</v>
      </c>
      <c r="V249" s="3" t="s">
        <v>691</v>
      </c>
    </row>
    <row r="250" spans="1:22" ht="12" hidden="1" x14ac:dyDescent="0.2">
      <c r="A250" s="3">
        <v>249</v>
      </c>
      <c r="B250" s="3" t="s">
        <v>603</v>
      </c>
      <c r="C25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Codelco_Formulación caso de negocio TBM</v>
      </c>
      <c r="D250" s="3" t="s">
        <v>604</v>
      </c>
      <c r="E250" s="3" t="s">
        <v>291</v>
      </c>
      <c r="F250" s="3" t="s">
        <v>251</v>
      </c>
      <c r="G250" s="3">
        <v>2025</v>
      </c>
      <c r="H250" s="3">
        <f>+IF(Tabla13[[#This Row],[Proyectado USD]]&gt;0,1,-1)</f>
        <v>-1</v>
      </c>
      <c r="I250" s="15"/>
      <c r="J250" s="21"/>
      <c r="K250" s="3">
        <f>+IF(Tabla13[[#This Row],[Emitido USD]]&gt;0,1,-1)</f>
        <v>1</v>
      </c>
      <c r="L250" s="73">
        <v>45954</v>
      </c>
      <c r="M250" s="3">
        <v>2</v>
      </c>
      <c r="N250" s="21">
        <v>23592.812999999998</v>
      </c>
      <c r="O250" s="6">
        <v>381</v>
      </c>
      <c r="P250" s="76">
        <v>46052</v>
      </c>
      <c r="Q250" s="3">
        <f>+IF(Tabla13[[#This Row],[Facturado USD]]&gt;0,1,-1)</f>
        <v>1</v>
      </c>
      <c r="R250" s="22">
        <f>26258*0.8985</f>
        <v>23592.812999999998</v>
      </c>
      <c r="S250" s="3">
        <f>+IF(Tabla13[[#This Row],[Ingresado USD]]&gt;0,1,-1)</f>
        <v>1</v>
      </c>
      <c r="T250" s="78">
        <v>46085</v>
      </c>
      <c r="U250" s="22">
        <f>26258*0.8985</f>
        <v>23592.812999999998</v>
      </c>
      <c r="V250" s="3" t="s">
        <v>691</v>
      </c>
    </row>
    <row r="251" spans="1:22" ht="12" hidden="1" x14ac:dyDescent="0.2">
      <c r="A251" s="3">
        <v>250</v>
      </c>
      <c r="B251" s="3" t="s">
        <v>603</v>
      </c>
      <c r="C25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Codelco_Formulación caso de negocio TBM</v>
      </c>
      <c r="D251" s="3" t="s">
        <v>604</v>
      </c>
      <c r="E251" s="3" t="s">
        <v>291</v>
      </c>
      <c r="F251" s="3" t="s">
        <v>251</v>
      </c>
      <c r="G251" s="3">
        <v>2025</v>
      </c>
      <c r="H251" s="3">
        <f>+IF(Tabla13[[#This Row],[Proyectado USD]]&gt;0,1,-1)</f>
        <v>-1</v>
      </c>
      <c r="I251" s="15"/>
      <c r="J251" s="21"/>
      <c r="K251" s="3">
        <f>+IF(Tabla13[[#This Row],[Emitido USD]]&gt;0,1,-1)</f>
        <v>1</v>
      </c>
      <c r="L251" s="73">
        <v>45986</v>
      </c>
      <c r="M251" s="3">
        <v>3</v>
      </c>
      <c r="N251" s="21">
        <v>23600.8995</v>
      </c>
      <c r="O251" s="6">
        <v>381</v>
      </c>
      <c r="P251" s="76">
        <v>46052</v>
      </c>
      <c r="Q251" s="3">
        <f>+IF(Tabla13[[#This Row],[Facturado USD]]&gt;0,1,-1)</f>
        <v>1</v>
      </c>
      <c r="R251" s="22">
        <f>26267*0.8985</f>
        <v>23600.8995</v>
      </c>
      <c r="S251" s="3">
        <f>+IF(Tabla13[[#This Row],[Ingresado USD]]&gt;0,1,-1)</f>
        <v>1</v>
      </c>
      <c r="T251" s="78">
        <v>46085</v>
      </c>
      <c r="U251" s="22">
        <f>26267*0.8985</f>
        <v>23600.8995</v>
      </c>
      <c r="V251" s="3" t="s">
        <v>691</v>
      </c>
    </row>
    <row r="252" spans="1:22" ht="12" hidden="1" x14ac:dyDescent="0.2">
      <c r="A252" s="3">
        <v>676</v>
      </c>
      <c r="B252" s="3" t="s">
        <v>837</v>
      </c>
      <c r="C25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Stantec_I80 Archimedes UG FS</v>
      </c>
      <c r="D252" s="3" t="s">
        <v>838</v>
      </c>
      <c r="E252" s="3" t="s">
        <v>839</v>
      </c>
      <c r="F252" s="3" t="s">
        <v>469</v>
      </c>
      <c r="G252" s="3">
        <v>2026</v>
      </c>
      <c r="H252" s="3">
        <f>+IF(Tabla13[[#This Row],[Proyectado USD]]&gt;0,1,-1)</f>
        <v>-1</v>
      </c>
      <c r="I252" s="15"/>
      <c r="J252" s="21"/>
      <c r="K252" s="3">
        <f>+IF(Tabla13[[#This Row],[Emitido USD]]&gt;0,1,-1)</f>
        <v>1</v>
      </c>
      <c r="L252" s="73">
        <v>46157</v>
      </c>
      <c r="M252" s="3">
        <v>1</v>
      </c>
      <c r="N252" s="22">
        <v>37804</v>
      </c>
      <c r="O252" s="6" t="s">
        <v>164</v>
      </c>
      <c r="P252" s="76">
        <v>46157</v>
      </c>
      <c r="Q252" s="3">
        <f>+IF(Tabla13[[#This Row],[Facturado USD]]&gt;0,1,-1)</f>
        <v>1</v>
      </c>
      <c r="R252" s="22">
        <v>37804</v>
      </c>
      <c r="S252" s="3">
        <f>+IF(Tabla13[[#This Row],[Ingresado USD]]&gt;0,1,-1)</f>
        <v>-1</v>
      </c>
      <c r="T252" s="78">
        <v>46188</v>
      </c>
    </row>
    <row r="253" spans="1:22" ht="12" hidden="1" x14ac:dyDescent="0.2">
      <c r="A253" s="3">
        <v>252</v>
      </c>
      <c r="B253" s="3" t="s">
        <v>295</v>
      </c>
      <c r="C25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Codelco_Opciones vaciado mineral via OP</v>
      </c>
      <c r="D253" s="3" t="s">
        <v>197</v>
      </c>
      <c r="E253" s="3" t="s">
        <v>291</v>
      </c>
      <c r="F253" s="3" t="s">
        <v>251</v>
      </c>
      <c r="G253" s="3">
        <v>2024</v>
      </c>
      <c r="H253" s="3">
        <f>+IF(Tabla13[[#This Row],[Proyectado USD]]&gt;0,1,-1)</f>
        <v>-1</v>
      </c>
      <c r="I253" s="15"/>
      <c r="J253" s="21"/>
      <c r="K253" s="3">
        <f>+IF(Tabla13[[#This Row],[Emitido USD]]&gt;0,1,-1)</f>
        <v>1</v>
      </c>
      <c r="L253" s="73">
        <v>45562</v>
      </c>
      <c r="M253" s="3">
        <v>1</v>
      </c>
      <c r="N253" s="22">
        <v>40000</v>
      </c>
      <c r="O253" s="6">
        <v>241</v>
      </c>
      <c r="P253" s="76">
        <v>45624</v>
      </c>
      <c r="Q253" s="3">
        <f>+IF(Tabla13[[#This Row],[Facturado USD]]&gt;0,1,-1)</f>
        <v>1</v>
      </c>
      <c r="R253" s="22">
        <v>40000</v>
      </c>
      <c r="S253" s="3">
        <f>+IF(Tabla13[[#This Row],[Ingresado USD]]&gt;0,1,-1)</f>
        <v>1</v>
      </c>
      <c r="T253" s="78">
        <v>45652</v>
      </c>
      <c r="U253" s="22">
        <v>40000</v>
      </c>
    </row>
    <row r="254" spans="1:22" ht="12" hidden="1" x14ac:dyDescent="0.2">
      <c r="A254" s="3">
        <v>253</v>
      </c>
      <c r="B254" s="3" t="s">
        <v>295</v>
      </c>
      <c r="C25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Codelco_Opciones vaciado mineral via OP</v>
      </c>
      <c r="D254" s="3" t="s">
        <v>197</v>
      </c>
      <c r="E254" s="3" t="s">
        <v>291</v>
      </c>
      <c r="F254" s="3" t="s">
        <v>251</v>
      </c>
      <c r="G254" s="3">
        <v>2024</v>
      </c>
      <c r="H254" s="3">
        <f>+IF(Tabla13[[#This Row],[Proyectado USD]]&gt;0,1,-1)</f>
        <v>-1</v>
      </c>
      <c r="I254" s="15"/>
      <c r="J254" s="21"/>
      <c r="K254" s="3">
        <f>+IF(Tabla13[[#This Row],[Emitido USD]]&gt;0,1,-1)</f>
        <v>1</v>
      </c>
      <c r="L254" s="73">
        <v>45589</v>
      </c>
      <c r="M254" s="3">
        <v>2</v>
      </c>
      <c r="N254" s="22">
        <v>35127</v>
      </c>
      <c r="O254" s="6">
        <v>242</v>
      </c>
      <c r="P254" s="76">
        <v>45624</v>
      </c>
      <c r="Q254" s="3">
        <f>+IF(Tabla13[[#This Row],[Facturado USD]]&gt;0,1,-1)</f>
        <v>1</v>
      </c>
      <c r="R254" s="22">
        <v>35127</v>
      </c>
      <c r="S254" s="3">
        <f>+IF(Tabla13[[#This Row],[Ingresado USD]]&gt;0,1,-1)</f>
        <v>1</v>
      </c>
      <c r="T254" s="78">
        <v>45652</v>
      </c>
      <c r="U254" s="22">
        <v>35127</v>
      </c>
    </row>
    <row r="255" spans="1:22" ht="12" hidden="1" x14ac:dyDescent="0.2">
      <c r="A255" s="3">
        <v>254</v>
      </c>
      <c r="B255" s="3" t="s">
        <v>295</v>
      </c>
      <c r="C25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Codelco_Opciones vaciado mineral via OP</v>
      </c>
      <c r="D255" s="3" t="s">
        <v>197</v>
      </c>
      <c r="E255" s="3" t="s">
        <v>291</v>
      </c>
      <c r="F255" s="3" t="s">
        <v>251</v>
      </c>
      <c r="G255" s="3">
        <v>2025</v>
      </c>
      <c r="H255" s="3">
        <f>+IF(Tabla13[[#This Row],[Proyectado USD]]&gt;0,1,-1)</f>
        <v>-1</v>
      </c>
      <c r="I255" s="15"/>
      <c r="J255" s="21"/>
      <c r="K255" s="3">
        <f>+IF(Tabla13[[#This Row],[Emitido USD]]&gt;0,1,-1)</f>
        <v>1</v>
      </c>
      <c r="L255" s="73">
        <v>45685</v>
      </c>
      <c r="M255" s="3">
        <v>3</v>
      </c>
      <c r="N255" s="22">
        <v>10236</v>
      </c>
      <c r="O255" s="6">
        <v>311</v>
      </c>
      <c r="P255" s="76">
        <v>45812</v>
      </c>
      <c r="Q255" s="3">
        <f>+IF(Tabla13[[#This Row],[Facturado USD]]&gt;0,1,-1)</f>
        <v>1</v>
      </c>
      <c r="R255" s="22">
        <v>10236</v>
      </c>
      <c r="S255" s="3">
        <f>+IF(Tabla13[[#This Row],[Ingresado USD]]&gt;0,1,-1)</f>
        <v>1</v>
      </c>
      <c r="T255" s="78">
        <v>45842</v>
      </c>
      <c r="U255" s="22">
        <v>10263</v>
      </c>
    </row>
    <row r="256" spans="1:22" ht="12" hidden="1" customHeight="1" x14ac:dyDescent="0.2">
      <c r="A256" s="3">
        <v>255</v>
      </c>
      <c r="B256" s="3" t="s">
        <v>92</v>
      </c>
      <c r="C25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Codelco_Panel Central</v>
      </c>
      <c r="D256" s="3" t="s">
        <v>39</v>
      </c>
      <c r="E256" s="3" t="s">
        <v>291</v>
      </c>
      <c r="F256" s="3" t="s">
        <v>251</v>
      </c>
      <c r="G256" s="3">
        <v>2023</v>
      </c>
      <c r="H256" s="3">
        <f>+IF(Tabla13[[#This Row],[Proyectado USD]]&gt;0,1,-1)</f>
        <v>1</v>
      </c>
      <c r="I256" s="15">
        <v>45170</v>
      </c>
      <c r="J256" s="21">
        <v>55586</v>
      </c>
      <c r="K256" s="3">
        <f>+IF(Tabla13[[#This Row],[Emitido USD]]&gt;0,1,-1)</f>
        <v>1</v>
      </c>
      <c r="L256" s="73">
        <v>45194</v>
      </c>
      <c r="M256" s="34">
        <v>1</v>
      </c>
      <c r="N256" s="22">
        <v>62838</v>
      </c>
      <c r="O256" s="6">
        <v>151</v>
      </c>
      <c r="P256" s="76">
        <v>45301</v>
      </c>
      <c r="Q256" s="3">
        <f>+IF(Tabla13[[#This Row],[Facturado USD]]&gt;0,1,-1)</f>
        <v>1</v>
      </c>
      <c r="R256" s="22">
        <v>62838</v>
      </c>
      <c r="S256" s="3">
        <f>+IF(Tabla13[[#This Row],[Ingresado USD]]&gt;0,1,-1)</f>
        <v>1</v>
      </c>
      <c r="T256" s="78">
        <v>45331</v>
      </c>
      <c r="U256" s="22">
        <f>62838*0.93</f>
        <v>58439.340000000004</v>
      </c>
    </row>
    <row r="257" spans="1:22" ht="12" hidden="1" x14ac:dyDescent="0.2">
      <c r="A257" s="3">
        <v>256</v>
      </c>
      <c r="B257" s="3" t="s">
        <v>92</v>
      </c>
      <c r="C25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Codelco_Panel Central</v>
      </c>
      <c r="D257" s="3" t="s">
        <v>39</v>
      </c>
      <c r="E257" s="3" t="s">
        <v>291</v>
      </c>
      <c r="F257" s="3" t="s">
        <v>251</v>
      </c>
      <c r="G257" s="3">
        <v>2023</v>
      </c>
      <c r="H257" s="3">
        <f>+IF(Tabla13[[#This Row],[Proyectado USD]]&gt;0,1,-1)</f>
        <v>1</v>
      </c>
      <c r="I257" s="15">
        <v>45200</v>
      </c>
      <c r="J257" s="21">
        <v>19411</v>
      </c>
      <c r="K257" s="3">
        <f>+IF(Tabla13[[#This Row],[Emitido USD]]&gt;0,1,-1)</f>
        <v>1</v>
      </c>
      <c r="L257" s="73">
        <v>45222</v>
      </c>
      <c r="M257" s="34">
        <v>2</v>
      </c>
      <c r="N257" s="22">
        <v>17202</v>
      </c>
      <c r="O257" s="6">
        <v>166</v>
      </c>
      <c r="P257" s="76">
        <v>45348</v>
      </c>
      <c r="Q257" s="3">
        <f>+IF(Tabla13[[#This Row],[Facturado USD]]&gt;0,1,-1)</f>
        <v>1</v>
      </c>
      <c r="R257" s="22">
        <v>17202</v>
      </c>
      <c r="S257" s="3">
        <f>+IF(Tabla13[[#This Row],[Ingresado USD]]&gt;0,1,-1)</f>
        <v>1</v>
      </c>
      <c r="T257" s="78">
        <v>45352</v>
      </c>
      <c r="U257" s="22">
        <v>16109</v>
      </c>
    </row>
    <row r="258" spans="1:22" ht="12" hidden="1" x14ac:dyDescent="0.2">
      <c r="A258" s="3">
        <v>257</v>
      </c>
      <c r="B258" s="3" t="s">
        <v>92</v>
      </c>
      <c r="C25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Codelco_Panel Central</v>
      </c>
      <c r="D258" s="3" t="s">
        <v>39</v>
      </c>
      <c r="E258" s="3" t="s">
        <v>291</v>
      </c>
      <c r="F258" s="3" t="s">
        <v>251</v>
      </c>
      <c r="G258" s="3">
        <v>2023</v>
      </c>
      <c r="H258" s="3">
        <f>+IF(Tabla13[[#This Row],[Proyectado USD]]&gt;0,1,-1)</f>
        <v>1</v>
      </c>
      <c r="I258" s="15">
        <v>45231</v>
      </c>
      <c r="J258" s="21">
        <v>8191</v>
      </c>
      <c r="K258" s="3">
        <f>+IF(Tabla13[[#This Row],[Emitido USD]]&gt;0,1,-1)</f>
        <v>1</v>
      </c>
      <c r="L258" s="73">
        <v>45250</v>
      </c>
      <c r="M258" s="34">
        <v>3</v>
      </c>
      <c r="N258" s="22">
        <v>8131</v>
      </c>
      <c r="O258" s="6">
        <v>167</v>
      </c>
      <c r="P258" s="76">
        <v>45348</v>
      </c>
      <c r="Q258" s="3">
        <f>+IF(Tabla13[[#This Row],[Facturado USD]]&gt;0,1,-1)</f>
        <v>1</v>
      </c>
      <c r="R258" s="22">
        <v>8131</v>
      </c>
      <c r="S258" s="3">
        <f>+IF(Tabla13[[#This Row],[Ingresado USD]]&gt;0,1,-1)</f>
        <v>1</v>
      </c>
      <c r="T258" s="78">
        <v>45352</v>
      </c>
      <c r="U258" s="22">
        <v>8131</v>
      </c>
    </row>
    <row r="259" spans="1:22" ht="12" hidden="1" x14ac:dyDescent="0.2">
      <c r="A259" s="3">
        <v>258</v>
      </c>
      <c r="B259" s="3" t="s">
        <v>296</v>
      </c>
      <c r="C25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Codelco_Prácticas de Planificación DMH</v>
      </c>
      <c r="D259" s="3" t="s">
        <v>198</v>
      </c>
      <c r="E259" s="3" t="s">
        <v>291</v>
      </c>
      <c r="F259" s="3" t="s">
        <v>251</v>
      </c>
      <c r="G259" s="3">
        <v>2024</v>
      </c>
      <c r="H259" s="3">
        <f>+IF(Tabla13[[#This Row],[Proyectado USD]]&gt;0,1,-1)</f>
        <v>-1</v>
      </c>
      <c r="I259" s="15"/>
      <c r="J259" s="21"/>
      <c r="K259" s="3">
        <f>+IF(Tabla13[[#This Row],[Emitido USD]]&gt;0,1,-1)</f>
        <v>1</v>
      </c>
      <c r="L259" s="73">
        <v>45619</v>
      </c>
      <c r="M259" s="3">
        <v>1</v>
      </c>
      <c r="N259" s="22">
        <v>14342</v>
      </c>
      <c r="O259" s="59">
        <v>254</v>
      </c>
      <c r="P259" s="76">
        <v>45667</v>
      </c>
      <c r="Q259" s="3">
        <f>+IF(Tabla13[[#This Row],[Facturado USD]]&gt;0,1,-1)</f>
        <v>1</v>
      </c>
      <c r="R259" s="22">
        <v>14342</v>
      </c>
      <c r="S259" s="3">
        <f>+IF(Tabla13[[#This Row],[Ingresado USD]]&gt;0,1,-1)</f>
        <v>1</v>
      </c>
      <c r="T259" s="78">
        <v>45700</v>
      </c>
      <c r="U259" s="23">
        <v>14882.6934</v>
      </c>
    </row>
    <row r="260" spans="1:22" ht="12" hidden="1" customHeight="1" x14ac:dyDescent="0.2">
      <c r="A260" s="3">
        <v>259</v>
      </c>
      <c r="B260" s="3" t="s">
        <v>646</v>
      </c>
      <c r="C26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Collahuasi_Análisis Mine Compliance</v>
      </c>
      <c r="D260" s="3" t="s">
        <v>647</v>
      </c>
      <c r="E260" s="3" t="s">
        <v>648</v>
      </c>
      <c r="F260" s="3" t="s">
        <v>251</v>
      </c>
      <c r="G260" s="3">
        <v>2025</v>
      </c>
      <c r="H260" s="3">
        <f>+IF(Tabla13[[#This Row],[Proyectado USD]]&gt;0,1,-1)</f>
        <v>-1</v>
      </c>
      <c r="I260" s="15"/>
      <c r="J260" s="21"/>
      <c r="K260" s="3">
        <f>+IF(Tabla13[[#This Row],[Emitido USD]]&gt;0,1,-1)</f>
        <v>1</v>
      </c>
      <c r="L260" s="73">
        <v>45954</v>
      </c>
      <c r="M260" s="3">
        <v>1</v>
      </c>
      <c r="N260" s="22">
        <v>33407</v>
      </c>
      <c r="O260" s="6">
        <v>355</v>
      </c>
      <c r="P260" s="76">
        <v>45960</v>
      </c>
      <c r="Q260" s="3">
        <f>+IF(Tabla13[[#This Row],[Facturado USD]]&gt;0,1,-1)</f>
        <v>1</v>
      </c>
      <c r="R260" s="22">
        <v>33407</v>
      </c>
      <c r="S260" s="3">
        <f>+IF(Tabla13[[#This Row],[Ingresado USD]]&gt;0,1,-1)</f>
        <v>1</v>
      </c>
      <c r="T260" s="78">
        <v>45968</v>
      </c>
      <c r="U260" s="22">
        <v>33407</v>
      </c>
    </row>
    <row r="261" spans="1:22" ht="12" hidden="1" customHeight="1" x14ac:dyDescent="0.2">
      <c r="A261" s="3">
        <v>260</v>
      </c>
      <c r="B261" s="3" t="s">
        <v>646</v>
      </c>
      <c r="C26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Collahuasi_Análisis Mine Compliance</v>
      </c>
      <c r="D261" s="3" t="s">
        <v>647</v>
      </c>
      <c r="E261" s="3" t="s">
        <v>648</v>
      </c>
      <c r="F261" s="3" t="s">
        <v>251</v>
      </c>
      <c r="G261" s="3">
        <v>2025</v>
      </c>
      <c r="H261" s="3">
        <f>+IF(Tabla13[[#This Row],[Proyectado USD]]&gt;0,1,-1)</f>
        <v>-1</v>
      </c>
      <c r="I261" s="15"/>
      <c r="J261" s="21"/>
      <c r="K261" s="3">
        <f>+IF(Tabla13[[#This Row],[Emitido USD]]&gt;0,1,-1)</f>
        <v>1</v>
      </c>
      <c r="L261" s="73">
        <v>45986</v>
      </c>
      <c r="M261" s="3">
        <v>2</v>
      </c>
      <c r="N261" s="22">
        <v>7599</v>
      </c>
      <c r="O261" s="6">
        <v>367</v>
      </c>
      <c r="P261" s="76">
        <v>45994</v>
      </c>
      <c r="Q261" s="3">
        <f>+IF(Tabla13[[#This Row],[Facturado USD]]&gt;0,1,-1)</f>
        <v>1</v>
      </c>
      <c r="R261" s="22">
        <v>7660</v>
      </c>
      <c r="S261" s="3">
        <f>+IF(Tabla13[[#This Row],[Ingresado USD]]&gt;0,1,-1)</f>
        <v>1</v>
      </c>
      <c r="T261" s="78">
        <v>46003</v>
      </c>
      <c r="U261" s="22">
        <v>7660</v>
      </c>
    </row>
    <row r="262" spans="1:22" ht="12" hidden="1" customHeight="1" x14ac:dyDescent="0.2">
      <c r="A262" s="3">
        <v>261</v>
      </c>
      <c r="B262" s="3" t="s">
        <v>646</v>
      </c>
      <c r="C26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Collahuasi_Análisis Mine Compliance</v>
      </c>
      <c r="D262" s="3" t="s">
        <v>647</v>
      </c>
      <c r="E262" s="3" t="s">
        <v>648</v>
      </c>
      <c r="F262" s="3" t="s">
        <v>251</v>
      </c>
      <c r="G262" s="3">
        <v>2025</v>
      </c>
      <c r="H262" s="3">
        <f>+IF(Tabla13[[#This Row],[Proyectado USD]]&gt;0,1,-1)</f>
        <v>-1</v>
      </c>
      <c r="I262" s="15"/>
      <c r="J262" s="21"/>
      <c r="K262" s="3">
        <f>+IF(Tabla13[[#This Row],[Emitido USD]]&gt;0,1,-1)</f>
        <v>1</v>
      </c>
      <c r="L262" s="73">
        <v>46015</v>
      </c>
      <c r="M262" s="3">
        <v>3</v>
      </c>
      <c r="N262" s="21">
        <v>7599</v>
      </c>
      <c r="O262" s="6">
        <v>382</v>
      </c>
      <c r="P262" s="76">
        <v>46057</v>
      </c>
      <c r="Q262" s="3">
        <f>+IF(Tabla13[[#This Row],[Facturado USD]]&gt;0,1,-1)</f>
        <v>1</v>
      </c>
      <c r="R262" s="21">
        <v>7599</v>
      </c>
      <c r="S262" s="3">
        <f>+IF(Tabla13[[#This Row],[Ingresado USD]]&gt;0,1,-1)</f>
        <v>1</v>
      </c>
      <c r="T262" s="78">
        <v>46066</v>
      </c>
      <c r="U262" s="21">
        <v>7599</v>
      </c>
    </row>
    <row r="263" spans="1:22" ht="12" hidden="1" customHeight="1" x14ac:dyDescent="0.2">
      <c r="A263" s="3">
        <v>262</v>
      </c>
      <c r="B263" s="3" t="s">
        <v>646</v>
      </c>
      <c r="C26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Collahuasi_Análisis Mine Compliance</v>
      </c>
      <c r="D263" s="3" t="s">
        <v>647</v>
      </c>
      <c r="E263" s="3" t="s">
        <v>648</v>
      </c>
      <c r="F263" s="3" t="s">
        <v>251</v>
      </c>
      <c r="G263" s="3">
        <v>2025</v>
      </c>
      <c r="H263" s="3">
        <f>+IF(Tabla13[[#This Row],[Proyectado USD]]&gt;0,1,-1)</f>
        <v>-1</v>
      </c>
      <c r="I263" s="15"/>
      <c r="J263" s="21"/>
      <c r="K263" s="3">
        <f>+IF(Tabla13[[#This Row],[Emitido USD]]&gt;0,1,-1)</f>
        <v>1</v>
      </c>
      <c r="L263" s="73">
        <v>46015</v>
      </c>
      <c r="M263" s="3">
        <v>4</v>
      </c>
      <c r="N263" s="21">
        <v>5661</v>
      </c>
      <c r="O263" s="6">
        <v>383</v>
      </c>
      <c r="P263" s="76">
        <v>46070</v>
      </c>
      <c r="Q263" s="3">
        <f>+IF(Tabla13[[#This Row],[Facturado USD]]&gt;0,1,-1)</f>
        <v>1</v>
      </c>
      <c r="R263" s="21">
        <v>5661</v>
      </c>
      <c r="S263" s="3">
        <f>+IF(Tabla13[[#This Row],[Ingresado USD]]&gt;0,1,-1)</f>
        <v>1</v>
      </c>
      <c r="T263" s="78">
        <v>46080</v>
      </c>
      <c r="U263" s="21">
        <v>5661</v>
      </c>
    </row>
    <row r="264" spans="1:22" ht="12" hidden="1" customHeight="1" x14ac:dyDescent="0.2">
      <c r="A264" s="3">
        <v>97</v>
      </c>
      <c r="B264" s="3" t="s">
        <v>672</v>
      </c>
      <c r="C26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AuraMinerals_Proyecto Paiol PFS UG</v>
      </c>
      <c r="D264" s="3" t="s">
        <v>675</v>
      </c>
      <c r="E264" s="3" t="s">
        <v>234</v>
      </c>
      <c r="F264" s="3" t="s">
        <v>235</v>
      </c>
      <c r="G264" s="3">
        <v>2026</v>
      </c>
      <c r="H264" s="3">
        <f>+IF(Tabla13[[#This Row],[Proyectado USD]]&gt;0,1,-1)</f>
        <v>-1</v>
      </c>
      <c r="I264" s="15"/>
      <c r="J264" s="21"/>
      <c r="K264" s="3">
        <f>+IF(Tabla13[[#This Row],[Emitido USD]]&gt;0,1,-1)</f>
        <v>1</v>
      </c>
      <c r="L264" s="73">
        <v>46147</v>
      </c>
      <c r="M264" s="3">
        <v>6</v>
      </c>
      <c r="N264" s="22">
        <v>13253</v>
      </c>
      <c r="O264" s="6">
        <v>16</v>
      </c>
      <c r="P264" s="76">
        <v>46150</v>
      </c>
      <c r="Q264" s="3">
        <f>+IF(Tabla13[[#This Row],[Facturado USD]]&gt;0,1,-1)</f>
        <v>1</v>
      </c>
      <c r="R264" s="22">
        <v>12558</v>
      </c>
      <c r="S264" s="3">
        <f>+IF(Tabla13[[#This Row],[Ingresado USD]]&gt;0,1,-1)</f>
        <v>-1</v>
      </c>
      <c r="T264" s="78">
        <v>46198</v>
      </c>
    </row>
    <row r="265" spans="1:22" ht="12" hidden="1" customHeight="1" x14ac:dyDescent="0.2">
      <c r="A265" s="3">
        <v>231</v>
      </c>
      <c r="B265" s="3" t="s">
        <v>737</v>
      </c>
      <c r="C26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Codelco_Auditoria Recursos y Reservas</v>
      </c>
      <c r="D265" s="3" t="s">
        <v>720</v>
      </c>
      <c r="E265" s="3" t="s">
        <v>291</v>
      </c>
      <c r="F265" s="3" t="s">
        <v>251</v>
      </c>
      <c r="G265" s="3">
        <v>2026</v>
      </c>
      <c r="H265" s="3">
        <f>+IF(Tabla13[[#This Row],[Proyectado USD]]&gt;0,1,-1)</f>
        <v>-1</v>
      </c>
      <c r="I265" s="15"/>
      <c r="J265" s="21"/>
      <c r="K265" s="3">
        <f>+IF(Tabla13[[#This Row],[Emitido USD]]&gt;0,1,-1)</f>
        <v>1</v>
      </c>
      <c r="L265" s="73">
        <v>46142</v>
      </c>
      <c r="M265" s="3">
        <v>3</v>
      </c>
      <c r="N265" s="22">
        <v>60080</v>
      </c>
      <c r="O265" s="6" t="s">
        <v>842</v>
      </c>
      <c r="P265" s="76"/>
      <c r="Q265" s="3">
        <f>+IF(Tabla13[[#This Row],[Facturado USD]]&gt;0,1,-1)</f>
        <v>-1</v>
      </c>
      <c r="S265" s="3">
        <f>+IF(Tabla13[[#This Row],[Ingresado USD]]&gt;0,1,-1)</f>
        <v>-1</v>
      </c>
      <c r="T265" s="78"/>
    </row>
    <row r="266" spans="1:22" ht="12" hidden="1" customHeight="1" x14ac:dyDescent="0.2">
      <c r="A266" s="3">
        <v>269</v>
      </c>
      <c r="B266" s="3" t="s">
        <v>736</v>
      </c>
      <c r="C26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Collahuasi_Valor Incorporación Chx.03</v>
      </c>
      <c r="D266" s="3" t="s">
        <v>721</v>
      </c>
      <c r="E266" s="3" t="s">
        <v>648</v>
      </c>
      <c r="F266" s="3" t="s">
        <v>251</v>
      </c>
      <c r="G266" s="3">
        <v>2026</v>
      </c>
      <c r="H266" s="3">
        <f>+IF(Tabla13[[#This Row],[Proyectado USD]]&gt;0,1,-1)</f>
        <v>-1</v>
      </c>
      <c r="I266" s="15"/>
      <c r="J266" s="21"/>
      <c r="K266" s="3">
        <f>+IF(Tabla13[[#This Row],[Emitido USD]]&gt;0,1,-1)</f>
        <v>1</v>
      </c>
      <c r="L266" s="73">
        <v>46142</v>
      </c>
      <c r="M266" s="3">
        <v>3</v>
      </c>
      <c r="N266" s="22">
        <v>1410</v>
      </c>
      <c r="O266" s="6" t="s">
        <v>69</v>
      </c>
      <c r="P266" s="76"/>
      <c r="Q266" s="3">
        <f>+IF(Tabla13[[#This Row],[Facturado USD]]&gt;0,1,-1)</f>
        <v>-1</v>
      </c>
      <c r="S266" s="3">
        <f>+IF(Tabla13[[#This Row],[Ingresado USD]]&gt;0,1,-1)</f>
        <v>-1</v>
      </c>
      <c r="T266" s="78"/>
    </row>
    <row r="267" spans="1:22" ht="12" hidden="1" customHeight="1" x14ac:dyDescent="0.2">
      <c r="A267" s="3">
        <v>299</v>
      </c>
      <c r="B267" s="3" t="s">
        <v>702</v>
      </c>
      <c r="C26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ElBrocal_Estudio Geomecanico Estabilidad</v>
      </c>
      <c r="D267" s="3" t="s">
        <v>703</v>
      </c>
      <c r="E267" s="3" t="s">
        <v>806</v>
      </c>
      <c r="F267" s="3" t="s">
        <v>318</v>
      </c>
      <c r="G267" s="3">
        <v>2026</v>
      </c>
      <c r="H267" s="3">
        <f>+IF(Tabla13[[#This Row],[Proyectado USD]]&gt;0,1,-1)</f>
        <v>-1</v>
      </c>
      <c r="I267" s="15"/>
      <c r="J267" s="21"/>
      <c r="K267" s="3">
        <f>+IF(Tabla13[[#This Row],[Emitido USD]]&gt;0,1,-1)</f>
        <v>1</v>
      </c>
      <c r="L267" s="73">
        <v>46142</v>
      </c>
      <c r="M267" s="3">
        <v>4</v>
      </c>
      <c r="N267" s="22">
        <v>41725</v>
      </c>
      <c r="O267" s="6" t="s">
        <v>831</v>
      </c>
      <c r="P267" s="76">
        <v>46148</v>
      </c>
      <c r="Q267" s="3">
        <f>+IF(Tabla13[[#This Row],[Facturado USD]]&gt;0,1,-1)</f>
        <v>1</v>
      </c>
      <c r="R267" s="22">
        <v>41725</v>
      </c>
      <c r="S267" s="3">
        <f>+IF(Tabla13[[#This Row],[Ingresado USD]]&gt;0,1,-1)</f>
        <v>-1</v>
      </c>
      <c r="T267" s="78">
        <v>46179</v>
      </c>
    </row>
    <row r="268" spans="1:22" ht="12" hidden="1" customHeight="1" x14ac:dyDescent="0.2">
      <c r="A268" s="3">
        <v>303</v>
      </c>
      <c r="B268" s="3" t="s">
        <v>740</v>
      </c>
      <c r="C26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Emincar_Los Castellanos_UG</v>
      </c>
      <c r="D268" s="3" t="s">
        <v>722</v>
      </c>
      <c r="E268" s="3" t="s">
        <v>701</v>
      </c>
      <c r="F268" s="3" t="s">
        <v>318</v>
      </c>
      <c r="G268" s="3">
        <v>2026</v>
      </c>
      <c r="H268" s="3">
        <f>+IF(Tabla13[[#This Row],[Proyectado USD]]&gt;0,1,-1)</f>
        <v>-1</v>
      </c>
      <c r="I268" s="15"/>
      <c r="J268" s="21"/>
      <c r="K268" s="3">
        <f>+IF(Tabla13[[#This Row],[Emitido USD]]&gt;0,1,-1)</f>
        <v>1</v>
      </c>
      <c r="L268" s="73">
        <v>46142</v>
      </c>
      <c r="M268" s="3">
        <v>3</v>
      </c>
      <c r="N268" s="22">
        <v>57399</v>
      </c>
      <c r="O268" s="6" t="s">
        <v>832</v>
      </c>
      <c r="P268" s="76">
        <v>46147</v>
      </c>
      <c r="Q268" s="3">
        <f>+IF(Tabla13[[#This Row],[Facturado USD]]&gt;0,1,-1)</f>
        <v>1</v>
      </c>
      <c r="R268" s="22">
        <v>57399</v>
      </c>
      <c r="S268" s="3">
        <f>+IF(Tabla13[[#This Row],[Ingresado USD]]&gt;0,1,-1)</f>
        <v>-1</v>
      </c>
      <c r="T268" s="78">
        <v>46178</v>
      </c>
    </row>
    <row r="269" spans="1:22" ht="12" hidden="1" customHeight="1" x14ac:dyDescent="0.2">
      <c r="A269" s="3">
        <v>314</v>
      </c>
      <c r="B269" s="3" t="s">
        <v>738</v>
      </c>
      <c r="C26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ERG_Parámetros estabilidad taludes</v>
      </c>
      <c r="D269" s="3" t="s">
        <v>723</v>
      </c>
      <c r="E269" s="3" t="s">
        <v>739</v>
      </c>
      <c r="F269" s="3" t="s">
        <v>251</v>
      </c>
      <c r="G269" s="3">
        <v>2026</v>
      </c>
      <c r="H269" s="3">
        <f>+IF(Tabla13[[#This Row],[Proyectado USD]]&gt;0,1,-1)</f>
        <v>-1</v>
      </c>
      <c r="I269" s="15"/>
      <c r="J269" s="21"/>
      <c r="K269" s="3">
        <f>+IF(Tabla13[[#This Row],[Emitido USD]]&gt;0,1,-1)</f>
        <v>1</v>
      </c>
      <c r="L269" s="73">
        <v>46142</v>
      </c>
      <c r="M269" s="3">
        <v>3</v>
      </c>
      <c r="N269" s="22">
        <v>34768</v>
      </c>
      <c r="O269" s="6" t="s">
        <v>842</v>
      </c>
      <c r="P269" s="76"/>
      <c r="Q269" s="3">
        <f>+IF(Tabla13[[#This Row],[Facturado USD]]&gt;0,1,-1)</f>
        <v>-1</v>
      </c>
      <c r="S269" s="3">
        <f>+IF(Tabla13[[#This Row],[Ingresado USD]]&gt;0,1,-1)</f>
        <v>-1</v>
      </c>
      <c r="T269" s="78"/>
    </row>
    <row r="270" spans="1:22" ht="12" hidden="1" customHeight="1" x14ac:dyDescent="0.2">
      <c r="A270" s="3">
        <v>338</v>
      </c>
      <c r="B270" s="3" t="s">
        <v>743</v>
      </c>
      <c r="C27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Freeport_GBC Restart Strategy Services</v>
      </c>
      <c r="D270" s="3" t="s">
        <v>724</v>
      </c>
      <c r="E270" s="3" t="s">
        <v>744</v>
      </c>
      <c r="F270" s="3" t="s">
        <v>469</v>
      </c>
      <c r="G270" s="3">
        <v>2026</v>
      </c>
      <c r="H270" s="3">
        <f>+IF(Tabla13[[#This Row],[Proyectado USD]]&gt;0,1,-1)</f>
        <v>-1</v>
      </c>
      <c r="I270" s="15"/>
      <c r="J270" s="21"/>
      <c r="K270" s="3">
        <f>+IF(Tabla13[[#This Row],[Emitido USD]]&gt;0,1,-1)</f>
        <v>1</v>
      </c>
      <c r="L270" s="73">
        <v>46142</v>
      </c>
      <c r="M270" s="3">
        <v>2</v>
      </c>
      <c r="N270" s="22">
        <v>70429.5</v>
      </c>
      <c r="O270" s="6" t="s">
        <v>164</v>
      </c>
      <c r="P270" s="76">
        <v>46153</v>
      </c>
      <c r="Q270" s="3">
        <f>+IF(Tabla13[[#This Row],[Facturado USD]]&gt;0,1,-1)</f>
        <v>1</v>
      </c>
      <c r="R270" s="22">
        <v>70429.5</v>
      </c>
      <c r="S270" s="3">
        <f>+IF(Tabla13[[#This Row],[Ingresado USD]]&gt;0,1,-1)</f>
        <v>-1</v>
      </c>
      <c r="T270" s="78">
        <v>46183</v>
      </c>
    </row>
    <row r="271" spans="1:22" ht="12" hidden="1" customHeight="1" x14ac:dyDescent="0.2">
      <c r="A271" s="3">
        <v>270</v>
      </c>
      <c r="B271" s="3" t="s">
        <v>110</v>
      </c>
      <c r="C27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Compilación de  R&amp;R</v>
      </c>
      <c r="D271" s="30" t="s">
        <v>9</v>
      </c>
      <c r="E271" s="30" t="s">
        <v>317</v>
      </c>
      <c r="F271" s="30" t="s">
        <v>318</v>
      </c>
      <c r="G271" s="30">
        <v>2023</v>
      </c>
      <c r="H271" s="30">
        <f>+IF(Tabla13[[#This Row],[Proyectado USD]]&gt;0,1,-1)</f>
        <v>-1</v>
      </c>
      <c r="I271" s="30"/>
      <c r="J271" s="31"/>
      <c r="K271" s="30">
        <f>+IF(Tabla13[[#This Row],[Emitido USD]]&gt;0,1,-1)</f>
        <v>1</v>
      </c>
      <c r="L271" s="74">
        <v>45009</v>
      </c>
      <c r="M271" s="30">
        <v>1</v>
      </c>
      <c r="N271" s="35">
        <v>18302.625</v>
      </c>
      <c r="O271" s="32" t="s">
        <v>111</v>
      </c>
      <c r="P271" s="74">
        <v>45026</v>
      </c>
      <c r="Q271" s="30">
        <f>+IF(Tabla13[[#This Row],[Facturado USD]]&gt;0,1,-1)</f>
        <v>1</v>
      </c>
      <c r="R271" s="35">
        <v>18302.61</v>
      </c>
      <c r="S271" s="3">
        <f>+IF(Tabla13[[#This Row],[Ingresado USD]]&gt;0,1,-1)</f>
        <v>1</v>
      </c>
      <c r="T271" s="74">
        <v>45040</v>
      </c>
      <c r="U271" s="35">
        <v>18302.61</v>
      </c>
      <c r="V271" s="30"/>
    </row>
    <row r="272" spans="1:22" ht="12" hidden="1" customHeight="1" x14ac:dyDescent="0.2">
      <c r="A272" s="3">
        <v>271</v>
      </c>
      <c r="B272" s="3" t="s">
        <v>110</v>
      </c>
      <c r="C27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Compilación de  R&amp;R</v>
      </c>
      <c r="D272" s="30" t="s">
        <v>9</v>
      </c>
      <c r="E272" s="30" t="s">
        <v>317</v>
      </c>
      <c r="F272" s="30" t="s">
        <v>318</v>
      </c>
      <c r="G272" s="30">
        <v>2023</v>
      </c>
      <c r="H272" s="30">
        <f>+IF(Tabla13[[#This Row],[Proyectado USD]]&gt;0,1,-1)</f>
        <v>-1</v>
      </c>
      <c r="I272" s="30"/>
      <c r="J272" s="31"/>
      <c r="K272" s="30">
        <f>+IF(Tabla13[[#This Row],[Emitido USD]]&gt;0,1,-1)</f>
        <v>1</v>
      </c>
      <c r="L272" s="74">
        <v>45037</v>
      </c>
      <c r="M272" s="30">
        <v>2</v>
      </c>
      <c r="N272" s="35">
        <v>7732.125</v>
      </c>
      <c r="O272" s="32" t="s">
        <v>115</v>
      </c>
      <c r="P272" s="74">
        <v>45050</v>
      </c>
      <c r="Q272" s="30">
        <f>+IF(Tabla13[[#This Row],[Facturado USD]]&gt;0,1,-1)</f>
        <v>1</v>
      </c>
      <c r="R272" s="35">
        <v>7732.4</v>
      </c>
      <c r="S272" s="3">
        <f>+IF(Tabla13[[#This Row],[Ingresado USD]]&gt;0,1,-1)</f>
        <v>1</v>
      </c>
      <c r="T272" s="74">
        <v>45065</v>
      </c>
      <c r="U272" s="35">
        <v>7732.4</v>
      </c>
      <c r="V272" s="30"/>
    </row>
    <row r="273" spans="1:22" ht="12" hidden="1" customHeight="1" x14ac:dyDescent="0.2">
      <c r="A273" s="3">
        <v>272</v>
      </c>
      <c r="B273" s="3" t="s">
        <v>110</v>
      </c>
      <c r="C27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Compilación de  R&amp;R</v>
      </c>
      <c r="D273" s="30" t="s">
        <v>10</v>
      </c>
      <c r="E273" s="30" t="s">
        <v>317</v>
      </c>
      <c r="F273" s="30" t="s">
        <v>318</v>
      </c>
      <c r="G273" s="30">
        <v>2023</v>
      </c>
      <c r="H273" s="30">
        <f>+IF(Tabla13[[#This Row],[Proyectado USD]]&gt;0,1,-1)</f>
        <v>-1</v>
      </c>
      <c r="I273" s="30"/>
      <c r="J273" s="31"/>
      <c r="K273" s="30">
        <f>+IF(Tabla13[[#This Row],[Emitido USD]]&gt;0,1,-1)</f>
        <v>1</v>
      </c>
      <c r="L273" s="74">
        <v>45067</v>
      </c>
      <c r="M273" s="30">
        <v>1</v>
      </c>
      <c r="N273" s="35">
        <v>18639.75</v>
      </c>
      <c r="O273" s="32" t="s">
        <v>112</v>
      </c>
      <c r="P273" s="74">
        <v>45103</v>
      </c>
      <c r="Q273" s="30">
        <f>+IF(Tabla13[[#This Row],[Facturado USD]]&gt;0,1,-1)</f>
        <v>1</v>
      </c>
      <c r="R273" s="35">
        <v>18639.75</v>
      </c>
      <c r="S273" s="3">
        <f>+IF(Tabla13[[#This Row],[Ingresado USD]]&gt;0,1,-1)</f>
        <v>1</v>
      </c>
      <c r="T273" s="74">
        <v>45141</v>
      </c>
      <c r="U273" s="35">
        <v>18639.75</v>
      </c>
      <c r="V273" s="30" t="s">
        <v>113</v>
      </c>
    </row>
    <row r="274" spans="1:22" ht="12" hidden="1" customHeight="1" x14ac:dyDescent="0.2">
      <c r="A274" s="3">
        <v>273</v>
      </c>
      <c r="B274" s="3" t="s">
        <v>110</v>
      </c>
      <c r="C27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Compilación de  R&amp;R</v>
      </c>
      <c r="D274" s="30" t="s">
        <v>11</v>
      </c>
      <c r="E274" s="30" t="s">
        <v>317</v>
      </c>
      <c r="F274" s="30" t="s">
        <v>318</v>
      </c>
      <c r="G274" s="30">
        <v>2023</v>
      </c>
      <c r="H274" s="30">
        <f>+IF(Tabla13[[#This Row],[Proyectado USD]]&gt;0,1,-1)</f>
        <v>-1</v>
      </c>
      <c r="I274" s="30"/>
      <c r="J274" s="31"/>
      <c r="K274" s="30">
        <f>+IF(Tabla13[[#This Row],[Emitido USD]]&gt;0,1,-1)</f>
        <v>1</v>
      </c>
      <c r="L274" s="74">
        <v>45009</v>
      </c>
      <c r="M274" s="30">
        <v>1</v>
      </c>
      <c r="N274" s="35">
        <v>14735.625</v>
      </c>
      <c r="O274" s="32" t="s">
        <v>114</v>
      </c>
      <c r="P274" s="74">
        <v>45026</v>
      </c>
      <c r="Q274" s="30">
        <f>+IF(Tabla13[[#This Row],[Facturado USD]]&gt;0,1,-1)</f>
        <v>1</v>
      </c>
      <c r="R274" s="35">
        <v>14736</v>
      </c>
      <c r="S274" s="3">
        <f>+IF(Tabla13[[#This Row],[Ingresado USD]]&gt;0,1,-1)</f>
        <v>1</v>
      </c>
      <c r="T274" s="74">
        <v>45040</v>
      </c>
      <c r="U274" s="35">
        <v>14736</v>
      </c>
      <c r="V274" s="30"/>
    </row>
    <row r="275" spans="1:22" ht="12" hidden="1" customHeight="1" x14ac:dyDescent="0.2">
      <c r="A275" s="3">
        <v>274</v>
      </c>
      <c r="B275" s="3" t="s">
        <v>110</v>
      </c>
      <c r="C27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Compilación de  R&amp;R</v>
      </c>
      <c r="D275" s="30" t="s">
        <v>11</v>
      </c>
      <c r="E275" s="30" t="s">
        <v>317</v>
      </c>
      <c r="F275" s="30" t="s">
        <v>318</v>
      </c>
      <c r="G275" s="30">
        <v>2023</v>
      </c>
      <c r="H275" s="30">
        <f>+IF(Tabla13[[#This Row],[Proyectado USD]]&gt;0,1,-1)</f>
        <v>-1</v>
      </c>
      <c r="I275" s="30"/>
      <c r="J275" s="31"/>
      <c r="K275" s="30">
        <f>+IF(Tabla13[[#This Row],[Emitido USD]]&gt;0,1,-1)</f>
        <v>1</v>
      </c>
      <c r="L275" s="74">
        <v>45037</v>
      </c>
      <c r="M275" s="30">
        <v>2</v>
      </c>
      <c r="N275" s="35">
        <v>6840.375</v>
      </c>
      <c r="O275" s="32" t="s">
        <v>116</v>
      </c>
      <c r="P275" s="74">
        <v>45119</v>
      </c>
      <c r="Q275" s="30">
        <f>+IF(Tabla13[[#This Row],[Facturado USD]]&gt;0,1,-1)</f>
        <v>1</v>
      </c>
      <c r="R275" s="35">
        <v>6840.375</v>
      </c>
      <c r="S275" s="3">
        <f>+IF(Tabla13[[#This Row],[Ingresado USD]]&gt;0,1,-1)</f>
        <v>1</v>
      </c>
      <c r="T275" s="74">
        <v>45128</v>
      </c>
      <c r="U275" s="35">
        <v>6840.375</v>
      </c>
      <c r="V275" s="30"/>
    </row>
    <row r="276" spans="1:22" ht="12" hidden="1" customHeight="1" x14ac:dyDescent="0.2">
      <c r="A276" s="3">
        <v>275</v>
      </c>
      <c r="B276" s="3" t="s">
        <v>110</v>
      </c>
      <c r="C27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Compilación de  R&amp;R</v>
      </c>
      <c r="D276" s="30" t="s">
        <v>12</v>
      </c>
      <c r="E276" s="30" t="s">
        <v>317</v>
      </c>
      <c r="F276" s="30" t="s">
        <v>318</v>
      </c>
      <c r="G276" s="30">
        <v>2023</v>
      </c>
      <c r="H276" s="30">
        <f>+IF(Tabla13[[#This Row],[Proyectado USD]]&gt;0,1,-1)</f>
        <v>-1</v>
      </c>
      <c r="I276" s="30"/>
      <c r="J276" s="31"/>
      <c r="K276" s="30">
        <f>+IF(Tabla13[[#This Row],[Emitido USD]]&gt;0,1,-1)</f>
        <v>1</v>
      </c>
      <c r="L276" s="74">
        <v>45067</v>
      </c>
      <c r="M276" s="30">
        <v>1</v>
      </c>
      <c r="N276" s="35">
        <v>22837.5</v>
      </c>
      <c r="O276" s="32" t="s">
        <v>112</v>
      </c>
      <c r="P276" s="74">
        <v>45103</v>
      </c>
      <c r="Q276" s="30">
        <f>+IF(Tabla13[[#This Row],[Facturado USD]]&gt;0,1,-1)</f>
        <v>1</v>
      </c>
      <c r="R276" s="35">
        <v>22837.5</v>
      </c>
      <c r="S276" s="3">
        <f>+IF(Tabla13[[#This Row],[Ingresado USD]]&gt;0,1,-1)</f>
        <v>1</v>
      </c>
      <c r="T276" s="74">
        <v>45141</v>
      </c>
      <c r="U276" s="35">
        <v>22837.5</v>
      </c>
      <c r="V276" s="30" t="s">
        <v>113</v>
      </c>
    </row>
    <row r="277" spans="1:22" ht="12" hidden="1" customHeight="1" x14ac:dyDescent="0.2">
      <c r="A277" s="3">
        <v>276</v>
      </c>
      <c r="B277" s="3" t="s">
        <v>684</v>
      </c>
      <c r="C27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CORFO_Valorización Boquerón Chañar</v>
      </c>
      <c r="D277" s="3" t="s">
        <v>685</v>
      </c>
      <c r="E277" s="3" t="s">
        <v>686</v>
      </c>
      <c r="F277" s="3" t="s">
        <v>251</v>
      </c>
      <c r="G277" s="3">
        <v>2025</v>
      </c>
      <c r="H277" s="3">
        <f>+IF(Tabla13[[#This Row],[Proyectado USD]]&gt;0,1,-1)</f>
        <v>-1</v>
      </c>
      <c r="I277" s="15"/>
      <c r="J277" s="21"/>
      <c r="K277" s="3">
        <f>+IF(Tabla13[[#This Row],[Emitido USD]]&gt;0,1,-1)</f>
        <v>1</v>
      </c>
      <c r="L277" s="73">
        <v>46012</v>
      </c>
      <c r="M277" s="3">
        <v>1</v>
      </c>
      <c r="N277" s="22">
        <v>20125</v>
      </c>
      <c r="O277" s="6">
        <v>374</v>
      </c>
      <c r="P277" s="76">
        <v>46015</v>
      </c>
      <c r="Q277" s="3">
        <f>+IF(Tabla13[[#This Row],[Facturado USD]]&gt;0,1,-1)</f>
        <v>1</v>
      </c>
      <c r="R277" s="22">
        <v>20125</v>
      </c>
      <c r="S277" s="3">
        <f>+IF(Tabla13[[#This Row],[Ingresado USD]]&gt;0,1,-1)</f>
        <v>1</v>
      </c>
      <c r="T277" s="78">
        <v>46024</v>
      </c>
      <c r="U277" s="22">
        <v>20125</v>
      </c>
    </row>
    <row r="278" spans="1:22" ht="12" hidden="1" customHeight="1" x14ac:dyDescent="0.2">
      <c r="A278" s="3">
        <v>277</v>
      </c>
      <c r="B278" s="3" t="s">
        <v>684</v>
      </c>
      <c r="C27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CORFO_Valorización Boquerón Chañar</v>
      </c>
      <c r="D278" s="3" t="s">
        <v>685</v>
      </c>
      <c r="E278" s="3" t="s">
        <v>686</v>
      </c>
      <c r="F278" s="3" t="s">
        <v>251</v>
      </c>
      <c r="G278" s="3">
        <v>2025</v>
      </c>
      <c r="H278" s="3">
        <f>+IF(Tabla13[[#This Row],[Proyectado USD]]&gt;0,1,-1)</f>
        <v>-1</v>
      </c>
      <c r="I278" s="15"/>
      <c r="J278" s="21"/>
      <c r="K278" s="3">
        <f>+IF(Tabla13[[#This Row],[Emitido USD]]&gt;0,1,-1)</f>
        <v>1</v>
      </c>
      <c r="L278" s="73">
        <v>46015</v>
      </c>
      <c r="M278" s="3">
        <v>2</v>
      </c>
      <c r="N278" s="22">
        <v>21713</v>
      </c>
      <c r="O278" s="6">
        <v>375</v>
      </c>
      <c r="P278" s="76">
        <v>46015</v>
      </c>
      <c r="Q278" s="3">
        <f>+IF(Tabla13[[#This Row],[Facturado USD]]&gt;0,1,-1)</f>
        <v>1</v>
      </c>
      <c r="R278" s="22">
        <v>21713</v>
      </c>
      <c r="S278" s="3">
        <f>+IF(Tabla13[[#This Row],[Ingresado USD]]&gt;0,1,-1)</f>
        <v>1</v>
      </c>
      <c r="T278" s="78">
        <v>46024</v>
      </c>
      <c r="U278" s="22">
        <v>21713</v>
      </c>
    </row>
    <row r="279" spans="1:22" ht="12" hidden="1" customHeight="1" x14ac:dyDescent="0.2">
      <c r="A279" s="3">
        <v>278</v>
      </c>
      <c r="B279" s="3" t="s">
        <v>327</v>
      </c>
      <c r="C27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Coripuno_Metodos de Minado</v>
      </c>
      <c r="D279" s="26" t="s">
        <v>328</v>
      </c>
      <c r="E279" s="3" t="s">
        <v>329</v>
      </c>
      <c r="F279" s="3" t="s">
        <v>318</v>
      </c>
      <c r="G279" s="3">
        <v>2024</v>
      </c>
      <c r="H279" s="3">
        <f>+IF(Tabla13[[#This Row],[Proyectado USD]]&gt;0,1,-1)</f>
        <v>1</v>
      </c>
      <c r="I279" s="15">
        <v>45413</v>
      </c>
      <c r="J279" s="21">
        <v>46933.000000000007</v>
      </c>
      <c r="K279" s="3">
        <f>+IF(Tabla13[[#This Row],[Emitido USD]]&gt;0,1,-1)</f>
        <v>1</v>
      </c>
      <c r="L279" s="73">
        <v>45498</v>
      </c>
      <c r="M279" s="3">
        <v>1</v>
      </c>
      <c r="N279" s="21">
        <v>105000</v>
      </c>
      <c r="O279" s="6" t="s">
        <v>330</v>
      </c>
      <c r="P279" s="76">
        <v>45520</v>
      </c>
      <c r="Q279" s="3">
        <f>+IF(Tabla13[[#This Row],[Facturado USD]]&gt;0,1,-1)</f>
        <v>1</v>
      </c>
      <c r="R279" s="22">
        <v>105000</v>
      </c>
      <c r="S279" s="3">
        <f>+IF(Tabla13[[#This Row],[Ingresado USD]]&gt;0,1,-1)</f>
        <v>1</v>
      </c>
      <c r="T279" s="78">
        <v>45622</v>
      </c>
      <c r="U279" s="22">
        <v>102860</v>
      </c>
    </row>
    <row r="280" spans="1:22" ht="12" hidden="1" customHeight="1" x14ac:dyDescent="0.2">
      <c r="A280" s="3">
        <v>279</v>
      </c>
      <c r="B280" s="3" t="s">
        <v>303</v>
      </c>
      <c r="C28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CSH_LOM Mina Guarello</v>
      </c>
      <c r="D280" s="3" t="s">
        <v>304</v>
      </c>
      <c r="E280" s="3" t="s">
        <v>305</v>
      </c>
      <c r="F280" s="3" t="s">
        <v>251</v>
      </c>
      <c r="G280" s="3">
        <v>2023</v>
      </c>
      <c r="H280" s="3">
        <f>+IF(Tabla13[[#This Row],[Proyectado USD]]&gt;0,1,-1)</f>
        <v>1</v>
      </c>
      <c r="I280" s="15">
        <v>45261</v>
      </c>
      <c r="J280" s="21">
        <v>19065</v>
      </c>
      <c r="K280" s="3">
        <f>+IF(Tabla13[[#This Row],[Emitido USD]]&gt;0,1,-1)</f>
        <v>1</v>
      </c>
      <c r="L280" s="73">
        <v>45281</v>
      </c>
      <c r="M280" s="3">
        <v>1</v>
      </c>
      <c r="N280" s="22">
        <v>19065</v>
      </c>
      <c r="O280" s="6">
        <v>157</v>
      </c>
      <c r="P280" s="76">
        <v>45308</v>
      </c>
      <c r="Q280" s="3">
        <f>+IF(Tabla13[[#This Row],[Facturado USD]]&gt;0,1,-1)</f>
        <v>1</v>
      </c>
      <c r="R280" s="22">
        <v>19065</v>
      </c>
      <c r="S280" s="3">
        <f>+IF(Tabla13[[#This Row],[Ingresado USD]]&gt;0,1,-1)</f>
        <v>1</v>
      </c>
      <c r="T280" s="78">
        <v>45342</v>
      </c>
      <c r="U280" s="22">
        <v>19065</v>
      </c>
    </row>
    <row r="281" spans="1:22" ht="12" hidden="1" customHeight="1" x14ac:dyDescent="0.2">
      <c r="A281" s="3">
        <v>280</v>
      </c>
      <c r="B281" s="3" t="s">
        <v>303</v>
      </c>
      <c r="C28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CSH_LOM Mina Guarello</v>
      </c>
      <c r="D281" s="3" t="s">
        <v>304</v>
      </c>
      <c r="E281" s="3" t="s">
        <v>305</v>
      </c>
      <c r="F281" s="3" t="s">
        <v>251</v>
      </c>
      <c r="G281" s="3">
        <v>2024</v>
      </c>
      <c r="H281" s="3">
        <f>+IF(Tabla13[[#This Row],[Proyectado USD]]&gt;0,1,-1)</f>
        <v>1</v>
      </c>
      <c r="I281" s="15">
        <v>45292</v>
      </c>
      <c r="J281" s="49">
        <v>19064</v>
      </c>
      <c r="K281" s="3">
        <f>+IF(Tabla13[[#This Row],[Emitido USD]]&gt;0,1,-1)</f>
        <v>1</v>
      </c>
      <c r="L281" s="73">
        <v>45316</v>
      </c>
      <c r="M281" s="3">
        <v>2</v>
      </c>
      <c r="N281" s="22">
        <v>19065</v>
      </c>
      <c r="O281" s="6">
        <v>171</v>
      </c>
      <c r="P281" s="76">
        <v>45364</v>
      </c>
      <c r="Q281" s="3">
        <f>+IF(Tabla13[[#This Row],[Facturado USD]]&gt;0,1,-1)</f>
        <v>1</v>
      </c>
      <c r="R281" s="22">
        <v>19065</v>
      </c>
      <c r="S281" s="3">
        <f>+IF(Tabla13[[#This Row],[Ingresado USD]]&gt;0,1,-1)</f>
        <v>1</v>
      </c>
      <c r="T281" s="82">
        <v>45395</v>
      </c>
      <c r="U281" s="22">
        <v>19065</v>
      </c>
    </row>
    <row r="282" spans="1:22" ht="12" hidden="1" customHeight="1" x14ac:dyDescent="0.2">
      <c r="A282" s="3">
        <v>281</v>
      </c>
      <c r="B282" s="3" t="s">
        <v>303</v>
      </c>
      <c r="C28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CSH_LOM Mina Guarello</v>
      </c>
      <c r="D282" s="3" t="s">
        <v>304</v>
      </c>
      <c r="E282" s="3" t="s">
        <v>305</v>
      </c>
      <c r="F282" s="3" t="s">
        <v>251</v>
      </c>
      <c r="G282" s="3">
        <v>2024</v>
      </c>
      <c r="H282" s="3">
        <f>+IF(Tabla13[[#This Row],[Proyectado USD]]&gt;0,1,-1)</f>
        <v>1</v>
      </c>
      <c r="I282" s="15">
        <v>45323</v>
      </c>
      <c r="J282" s="49">
        <v>19065</v>
      </c>
      <c r="K282" s="3">
        <f>+IF(Tabla13[[#This Row],[Emitido USD]]&gt;0,1,-1)</f>
        <v>1</v>
      </c>
      <c r="L282" s="73">
        <v>45347</v>
      </c>
      <c r="M282" s="3">
        <v>3</v>
      </c>
      <c r="N282" s="22">
        <v>19065</v>
      </c>
      <c r="O282" s="6">
        <v>172</v>
      </c>
      <c r="P282" s="76">
        <v>45365</v>
      </c>
      <c r="Q282" s="3">
        <f>+IF(Tabla13[[#This Row],[Facturado USD]]&gt;0,1,-1)</f>
        <v>1</v>
      </c>
      <c r="R282" s="22">
        <v>19065</v>
      </c>
      <c r="S282" s="3">
        <f>+IF(Tabla13[[#This Row],[Ingresado USD]]&gt;0,1,-1)</f>
        <v>1</v>
      </c>
      <c r="T282" s="82">
        <v>45396</v>
      </c>
      <c r="U282" s="22">
        <v>19065</v>
      </c>
    </row>
    <row r="283" spans="1:22" ht="12" hidden="1" customHeight="1" x14ac:dyDescent="0.2">
      <c r="A283" s="3">
        <v>282</v>
      </c>
      <c r="B283" s="3" t="s">
        <v>303</v>
      </c>
      <c r="C28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CSH_LOM Mina Guarello</v>
      </c>
      <c r="D283" s="3" t="s">
        <v>304</v>
      </c>
      <c r="E283" s="3" t="s">
        <v>305</v>
      </c>
      <c r="F283" s="3" t="s">
        <v>251</v>
      </c>
      <c r="G283" s="3">
        <v>2024</v>
      </c>
      <c r="H283" s="3">
        <f>+IF(Tabla13[[#This Row],[Proyectado USD]]&gt;0,1,-1)</f>
        <v>1</v>
      </c>
      <c r="I283" s="15">
        <v>45352</v>
      </c>
      <c r="J283" s="49">
        <v>19065</v>
      </c>
      <c r="K283" s="3">
        <f>+IF(Tabla13[[#This Row],[Emitido USD]]&gt;0,1,-1)</f>
        <v>1</v>
      </c>
      <c r="L283" s="73">
        <v>45376</v>
      </c>
      <c r="M283" s="3">
        <v>4</v>
      </c>
      <c r="N283" s="50">
        <v>19065</v>
      </c>
      <c r="O283" s="6">
        <v>179</v>
      </c>
      <c r="P283" s="76">
        <v>45407</v>
      </c>
      <c r="Q283" s="3">
        <f>+IF(Tabla13[[#This Row],[Facturado USD]]&gt;0,1,-1)</f>
        <v>1</v>
      </c>
      <c r="R283" s="22">
        <v>19065</v>
      </c>
      <c r="S283" s="3">
        <f>+IF(Tabla13[[#This Row],[Ingresado USD]]&gt;0,1,-1)</f>
        <v>1</v>
      </c>
      <c r="T283" s="78">
        <v>45437</v>
      </c>
      <c r="U283" s="52">
        <v>19065</v>
      </c>
    </row>
    <row r="284" spans="1:22" ht="12" hidden="1" customHeight="1" x14ac:dyDescent="0.2">
      <c r="A284" s="3">
        <v>283</v>
      </c>
      <c r="B284" s="3" t="s">
        <v>303</v>
      </c>
      <c r="C28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CSH_LOM Mina Guarello</v>
      </c>
      <c r="D284" s="51" t="s">
        <v>304</v>
      </c>
      <c r="E284" s="3" t="s">
        <v>305</v>
      </c>
      <c r="F284" s="3" t="s">
        <v>251</v>
      </c>
      <c r="G284" s="3">
        <v>2024</v>
      </c>
      <c r="H284" s="3">
        <f>+IF(Tabla13[[#This Row],[Proyectado USD]]&gt;0,1,-1)</f>
        <v>1</v>
      </c>
      <c r="I284" s="15">
        <v>45383</v>
      </c>
      <c r="J284" s="21">
        <v>19065</v>
      </c>
      <c r="K284" s="3">
        <f>+IF(Tabla13[[#This Row],[Emitido USD]]&gt;0,1,-1)</f>
        <v>1</v>
      </c>
      <c r="L284" s="73">
        <v>45407</v>
      </c>
      <c r="M284" s="3">
        <v>5</v>
      </c>
      <c r="N284" s="22">
        <v>19065</v>
      </c>
      <c r="O284" s="6">
        <v>181</v>
      </c>
      <c r="P284" s="76">
        <v>45419</v>
      </c>
      <c r="Q284" s="3">
        <f>+IF(Tabla13[[#This Row],[Facturado USD]]&gt;0,1,-1)</f>
        <v>1</v>
      </c>
      <c r="R284" s="22">
        <v>19065</v>
      </c>
      <c r="S284" s="3">
        <f>+IF(Tabla13[[#This Row],[Ingresado USD]]&gt;0,1,-1)</f>
        <v>1</v>
      </c>
      <c r="T284" s="78">
        <v>45450</v>
      </c>
      <c r="U284" s="22">
        <v>19065</v>
      </c>
    </row>
    <row r="285" spans="1:22" ht="12" hidden="1" customHeight="1" x14ac:dyDescent="0.2">
      <c r="A285" s="3">
        <v>284</v>
      </c>
      <c r="B285" s="3" t="s">
        <v>303</v>
      </c>
      <c r="C28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CSH_LOM Mina Guarello</v>
      </c>
      <c r="D285" s="3" t="s">
        <v>304</v>
      </c>
      <c r="E285" s="3" t="s">
        <v>305</v>
      </c>
      <c r="F285" s="3" t="s">
        <v>251</v>
      </c>
      <c r="G285" s="3">
        <v>2024</v>
      </c>
      <c r="H285" s="3">
        <f>+IF(Tabla13[[#This Row],[Proyectado USD]]&gt;0,1,-1)</f>
        <v>1</v>
      </c>
      <c r="I285" s="15">
        <v>45413</v>
      </c>
      <c r="J285" s="21">
        <v>19065</v>
      </c>
      <c r="K285" s="3">
        <f>+IF(Tabla13[[#This Row],[Emitido USD]]&gt;0,1,-1)</f>
        <v>1</v>
      </c>
      <c r="L285" s="73">
        <v>45498</v>
      </c>
      <c r="M285" s="3">
        <v>6</v>
      </c>
      <c r="N285" s="54">
        <v>19065</v>
      </c>
      <c r="O285" s="6">
        <v>216</v>
      </c>
      <c r="P285" s="76">
        <v>45551</v>
      </c>
      <c r="Q285" s="3">
        <f>+IF(Tabla13[[#This Row],[Facturado USD]]&gt;0,1,-1)</f>
        <v>1</v>
      </c>
      <c r="R285" s="22">
        <v>19065</v>
      </c>
      <c r="S285" s="3">
        <f>+IF(Tabla13[[#This Row],[Ingresado USD]]&gt;0,1,-1)</f>
        <v>1</v>
      </c>
      <c r="T285" s="78">
        <v>45581</v>
      </c>
      <c r="U285" s="22">
        <v>19065</v>
      </c>
    </row>
    <row r="286" spans="1:22" ht="12" hidden="1" customHeight="1" x14ac:dyDescent="0.2">
      <c r="A286" s="3">
        <v>285</v>
      </c>
      <c r="B286" s="3" t="s">
        <v>103</v>
      </c>
      <c r="C28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Cuellos de botella del Plan 2YB - Spence</v>
      </c>
      <c r="D286" s="3" t="s">
        <v>13</v>
      </c>
      <c r="E286" s="3" t="s">
        <v>263</v>
      </c>
      <c r="F286" s="3" t="s">
        <v>251</v>
      </c>
      <c r="G286" s="3">
        <v>2023</v>
      </c>
      <c r="H286" s="3">
        <f>+IF(Tabla13[[#This Row],[Proyectado USD]]&gt;0,1,-1)</f>
        <v>-1</v>
      </c>
      <c r="I286" s="15"/>
      <c r="J286" s="21"/>
      <c r="K286" s="3">
        <f>+IF(Tabla13[[#This Row],[Emitido USD]]&gt;0,1,-1)</f>
        <v>1</v>
      </c>
      <c r="L286" s="73">
        <v>44978</v>
      </c>
      <c r="M286" s="3">
        <v>1</v>
      </c>
      <c r="N286" s="22">
        <v>50688.322500000002</v>
      </c>
      <c r="O286" s="6">
        <v>52</v>
      </c>
      <c r="P286" s="76">
        <v>44991</v>
      </c>
      <c r="Q286" s="3">
        <f>+IF(Tabla13[[#This Row],[Facturado USD]]&gt;0,1,-1)</f>
        <v>1</v>
      </c>
      <c r="R286" s="22">
        <v>50688.322500000002</v>
      </c>
      <c r="S286" s="3">
        <f>+IF(Tabla13[[#This Row],[Ingresado USD]]&gt;0,1,-1)</f>
        <v>1</v>
      </c>
      <c r="T286" s="78">
        <v>44998</v>
      </c>
      <c r="U286" s="22">
        <v>50688.322500000002</v>
      </c>
    </row>
    <row r="287" spans="1:22" ht="12" hidden="1" customHeight="1" x14ac:dyDescent="0.2">
      <c r="A287" s="3">
        <v>286</v>
      </c>
      <c r="B287" s="3" t="s">
        <v>117</v>
      </c>
      <c r="C28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Desarrollo casos LOM UM Raura</v>
      </c>
      <c r="D287" s="30" t="s">
        <v>14</v>
      </c>
      <c r="E287" s="30" t="s">
        <v>331</v>
      </c>
      <c r="F287" s="30" t="s">
        <v>318</v>
      </c>
      <c r="G287" s="30">
        <v>2023</v>
      </c>
      <c r="H287" s="30">
        <f>+IF(Tabla13[[#This Row],[Proyectado USD]]&gt;0,1,-1)</f>
        <v>-1</v>
      </c>
      <c r="I287" s="30"/>
      <c r="J287" s="31"/>
      <c r="K287" s="30">
        <f>+IF(Tabla13[[#This Row],[Emitido USD]]&gt;0,1,-1)</f>
        <v>1</v>
      </c>
      <c r="L287" s="74">
        <v>44886</v>
      </c>
      <c r="M287" s="30">
        <v>1</v>
      </c>
      <c r="N287" s="35">
        <v>14112</v>
      </c>
      <c r="O287" s="32" t="s">
        <v>118</v>
      </c>
      <c r="P287" s="74">
        <v>44953</v>
      </c>
      <c r="Q287" s="30">
        <f>+IF(Tabla13[[#This Row],[Facturado USD]]&gt;0,1,-1)</f>
        <v>1</v>
      </c>
      <c r="R287" s="35">
        <v>14112</v>
      </c>
      <c r="S287" s="3">
        <f>+IF(Tabla13[[#This Row],[Ingresado USD]]&gt;0,1,-1)</f>
        <v>1</v>
      </c>
      <c r="T287" s="74">
        <v>44973</v>
      </c>
      <c r="U287" s="35">
        <v>14112</v>
      </c>
      <c r="V287" s="30"/>
    </row>
    <row r="288" spans="1:22" ht="12" hidden="1" customHeight="1" x14ac:dyDescent="0.2">
      <c r="A288" s="3">
        <v>287</v>
      </c>
      <c r="B288" s="3" t="s">
        <v>119</v>
      </c>
      <c r="C28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Desarrollo del Plan de Minado</v>
      </c>
      <c r="D288" s="30" t="s">
        <v>15</v>
      </c>
      <c r="E288" s="30" t="s">
        <v>322</v>
      </c>
      <c r="F288" s="30" t="s">
        <v>318</v>
      </c>
      <c r="G288" s="30">
        <v>2023</v>
      </c>
      <c r="H288" s="30">
        <f>+IF(Tabla13[[#This Row],[Proyectado USD]]&gt;0,1,-1)</f>
        <v>-1</v>
      </c>
      <c r="I288" s="30"/>
      <c r="J288" s="31"/>
      <c r="K288" s="30">
        <f>+IF(Tabla13[[#This Row],[Emitido USD]]&gt;0,1,-1)</f>
        <v>1</v>
      </c>
      <c r="L288" s="74">
        <v>45037</v>
      </c>
      <c r="M288" s="30">
        <v>1</v>
      </c>
      <c r="N288" s="35">
        <v>36335.699999999997</v>
      </c>
      <c r="O288" s="32" t="s">
        <v>120</v>
      </c>
      <c r="P288" s="74">
        <v>45055</v>
      </c>
      <c r="Q288" s="30">
        <f>+IF(Tabla13[[#This Row],[Facturado USD]]&gt;0,1,-1)</f>
        <v>1</v>
      </c>
      <c r="R288" s="35">
        <v>36335.699999999997</v>
      </c>
      <c r="S288" s="3">
        <f>+IF(Tabla13[[#This Row],[Ingresado USD]]&gt;0,1,-1)</f>
        <v>1</v>
      </c>
      <c r="T288" s="74">
        <v>45090</v>
      </c>
      <c r="U288" s="35">
        <v>36335.699999999997</v>
      </c>
      <c r="V288" s="30"/>
    </row>
    <row r="289" spans="1:22" ht="12" hidden="1" customHeight="1" x14ac:dyDescent="0.2">
      <c r="A289" s="3">
        <v>288</v>
      </c>
      <c r="B289" s="3" t="s">
        <v>119</v>
      </c>
      <c r="C28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Desarrollo del Plan de Minado</v>
      </c>
      <c r="D289" s="3" t="s">
        <v>15</v>
      </c>
      <c r="E289" s="3" t="s">
        <v>322</v>
      </c>
      <c r="F289" s="3" t="s">
        <v>318</v>
      </c>
      <c r="G289" s="3">
        <v>2023</v>
      </c>
      <c r="H289" s="3">
        <f>+IF(Tabla13[[#This Row],[Proyectado USD]]&gt;0,1,-1)</f>
        <v>-1</v>
      </c>
      <c r="I289" s="15"/>
      <c r="J289" s="21"/>
      <c r="K289" s="3">
        <f>+IF(Tabla13[[#This Row],[Emitido USD]]&gt;0,1,-1)</f>
        <v>1</v>
      </c>
      <c r="L289" s="73">
        <v>45098</v>
      </c>
      <c r="M289" s="3">
        <v>2</v>
      </c>
      <c r="N289" s="21">
        <v>3345.3000000000029</v>
      </c>
      <c r="O289" s="9" t="s">
        <v>332</v>
      </c>
      <c r="P289" s="76">
        <v>45266</v>
      </c>
      <c r="Q289" s="3">
        <f>+IF(Tabla13[[#This Row],[Facturado USD]]&gt;0,1,-1)</f>
        <v>1</v>
      </c>
      <c r="R289" s="22">
        <v>3345.3000000000029</v>
      </c>
      <c r="S289" s="3">
        <f>+IF(Tabla13[[#This Row],[Ingresado USD]]&gt;0,1,-1)</f>
        <v>1</v>
      </c>
      <c r="T289" s="78">
        <v>45269</v>
      </c>
      <c r="U289" s="22">
        <v>3345.3000000000029</v>
      </c>
      <c r="V289" s="3" t="s">
        <v>121</v>
      </c>
    </row>
    <row r="290" spans="1:22" ht="12" hidden="1" customHeight="1" x14ac:dyDescent="0.2">
      <c r="A290" s="3">
        <v>289</v>
      </c>
      <c r="B290" s="3" t="s">
        <v>122</v>
      </c>
      <c r="C29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Desarrollo plan LOM en Reservas</v>
      </c>
      <c r="D290" s="30" t="s">
        <v>16</v>
      </c>
      <c r="E290" s="30" t="s">
        <v>331</v>
      </c>
      <c r="F290" s="30" t="s">
        <v>318</v>
      </c>
      <c r="G290" s="30">
        <v>2023</v>
      </c>
      <c r="H290" s="30">
        <f>+IF(Tabla13[[#This Row],[Proyectado USD]]&gt;0,1,-1)</f>
        <v>-1</v>
      </c>
      <c r="I290" s="30"/>
      <c r="J290" s="31"/>
      <c r="K290" s="30">
        <f>+IF(Tabla13[[#This Row],[Emitido USD]]&gt;0,1,-1)</f>
        <v>1</v>
      </c>
      <c r="L290" s="74">
        <v>44916</v>
      </c>
      <c r="M290" s="30">
        <v>1</v>
      </c>
      <c r="N290" s="35">
        <v>32480</v>
      </c>
      <c r="O290" s="32" t="s">
        <v>123</v>
      </c>
      <c r="P290" s="74">
        <v>45026</v>
      </c>
      <c r="Q290" s="30">
        <f>+IF(Tabla13[[#This Row],[Facturado USD]]&gt;0,1,-1)</f>
        <v>1</v>
      </c>
      <c r="R290" s="35">
        <v>32480</v>
      </c>
      <c r="S290" s="3">
        <f>+IF(Tabla13[[#This Row],[Ingresado USD]]&gt;0,1,-1)</f>
        <v>1</v>
      </c>
      <c r="T290" s="74">
        <v>45040</v>
      </c>
      <c r="U290" s="35">
        <v>32480</v>
      </c>
      <c r="V290" s="30"/>
    </row>
    <row r="291" spans="1:22" s="30" customFormat="1" ht="12" hidden="1" customHeight="1" x14ac:dyDescent="0.2">
      <c r="A291" s="3">
        <v>290</v>
      </c>
      <c r="B291" s="3" t="s">
        <v>122</v>
      </c>
      <c r="C29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Desarrollo plan LOM en Reservas</v>
      </c>
      <c r="D291" s="30" t="s">
        <v>16</v>
      </c>
      <c r="E291" s="30" t="s">
        <v>317</v>
      </c>
      <c r="F291" s="30" t="s">
        <v>318</v>
      </c>
      <c r="G291" s="30">
        <v>2023</v>
      </c>
      <c r="H291" s="30">
        <f>+IF(Tabla13[[#This Row],[Proyectado USD]]&gt;0,1,-1)</f>
        <v>-1</v>
      </c>
      <c r="J291" s="31"/>
      <c r="K291" s="30">
        <f>+IF(Tabla13[[#This Row],[Emitido USD]]&gt;0,1,-1)</f>
        <v>1</v>
      </c>
      <c r="L291" s="74">
        <v>44978</v>
      </c>
      <c r="M291" s="30">
        <v>2</v>
      </c>
      <c r="N291" s="35">
        <v>32320</v>
      </c>
      <c r="O291" s="32" t="s">
        <v>124</v>
      </c>
      <c r="P291" s="74">
        <v>45026</v>
      </c>
      <c r="Q291" s="30">
        <f>+IF(Tabla13[[#This Row],[Facturado USD]]&gt;0,1,-1)</f>
        <v>1</v>
      </c>
      <c r="R291" s="35">
        <v>32320</v>
      </c>
      <c r="S291" s="3">
        <f>+IF(Tabla13[[#This Row],[Ingresado USD]]&gt;0,1,-1)</f>
        <v>1</v>
      </c>
      <c r="T291" s="74">
        <v>45040</v>
      </c>
      <c r="U291" s="35">
        <v>32320</v>
      </c>
    </row>
    <row r="292" spans="1:22" s="30" customFormat="1" ht="12" hidden="1" customHeight="1" x14ac:dyDescent="0.2">
      <c r="A292" s="3">
        <v>291</v>
      </c>
      <c r="B292" s="3" t="s">
        <v>79</v>
      </c>
      <c r="C29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Diagnóstico Operacional Candelaria</v>
      </c>
      <c r="D292" s="3" t="s">
        <v>5</v>
      </c>
      <c r="E292" s="3" t="s">
        <v>275</v>
      </c>
      <c r="F292" s="3" t="s">
        <v>251</v>
      </c>
      <c r="G292" s="3">
        <v>2023</v>
      </c>
      <c r="H292" s="3">
        <f>+IF(Tabla13[[#This Row],[Proyectado USD]]&gt;0,1,-1)</f>
        <v>-1</v>
      </c>
      <c r="I292" s="15"/>
      <c r="J292" s="21"/>
      <c r="K292" s="3">
        <f>+IF(Tabla13[[#This Row],[Emitido USD]]&gt;0,1,-1)</f>
        <v>1</v>
      </c>
      <c r="L292" s="73">
        <v>45067</v>
      </c>
      <c r="M292" s="3">
        <v>1</v>
      </c>
      <c r="N292" s="22">
        <v>93882.67</v>
      </c>
      <c r="O292" s="6">
        <v>80</v>
      </c>
      <c r="P292" s="76">
        <v>45085</v>
      </c>
      <c r="Q292" s="3">
        <f>+IF(Tabla13[[#This Row],[Facturado USD]]&gt;0,1,-1)</f>
        <v>1</v>
      </c>
      <c r="R292" s="22">
        <v>96154</v>
      </c>
      <c r="S292" s="3">
        <f>+IF(Tabla13[[#This Row],[Ingresado USD]]&gt;0,1,-1)</f>
        <v>1</v>
      </c>
      <c r="T292" s="76">
        <v>45107</v>
      </c>
      <c r="U292" s="22">
        <v>96154</v>
      </c>
      <c r="V292" s="3" t="s">
        <v>80</v>
      </c>
    </row>
    <row r="293" spans="1:22" s="30" customFormat="1" ht="12" hidden="1" customHeight="1" x14ac:dyDescent="0.2">
      <c r="A293" s="3">
        <v>292</v>
      </c>
      <c r="B293" s="3" t="s">
        <v>79</v>
      </c>
      <c r="C29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Diagnóstico Operacional Candelaria</v>
      </c>
      <c r="D293" s="3" t="s">
        <v>5</v>
      </c>
      <c r="E293" s="3" t="s">
        <v>275</v>
      </c>
      <c r="F293" s="3" t="s">
        <v>251</v>
      </c>
      <c r="G293" s="3">
        <v>2023</v>
      </c>
      <c r="H293" s="3">
        <f>+IF(Tabla13[[#This Row],[Proyectado USD]]&gt;0,1,-1)</f>
        <v>-1</v>
      </c>
      <c r="I293" s="15"/>
      <c r="J293" s="21"/>
      <c r="K293" s="3">
        <f>+IF(Tabla13[[#This Row],[Emitido USD]]&gt;0,1,-1)</f>
        <v>1</v>
      </c>
      <c r="L293" s="73">
        <v>45098</v>
      </c>
      <c r="M293" s="3">
        <v>2</v>
      </c>
      <c r="N293" s="22">
        <v>14927</v>
      </c>
      <c r="O293" s="6">
        <v>107</v>
      </c>
      <c r="P293" s="76">
        <v>45183</v>
      </c>
      <c r="Q293" s="3">
        <f>+IF(Tabla13[[#This Row],[Facturado USD]]&gt;0,1,-1)</f>
        <v>1</v>
      </c>
      <c r="R293" s="22">
        <v>14927</v>
      </c>
      <c r="S293" s="3">
        <f>+IF(Tabla13[[#This Row],[Ingresado USD]]&gt;0,1,-1)</f>
        <v>1</v>
      </c>
      <c r="T293" s="78">
        <v>45205</v>
      </c>
      <c r="U293" s="22">
        <v>14927</v>
      </c>
      <c r="V293" s="3"/>
    </row>
    <row r="294" spans="1:22" s="30" customFormat="1" ht="12" hidden="1" customHeight="1" x14ac:dyDescent="0.2">
      <c r="A294" s="3">
        <v>293</v>
      </c>
      <c r="B294" s="3" t="s">
        <v>79</v>
      </c>
      <c r="C29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Diagnóstico Operacional Candelaria</v>
      </c>
      <c r="D294" s="3" t="s">
        <v>5</v>
      </c>
      <c r="E294" s="3" t="s">
        <v>275</v>
      </c>
      <c r="F294" s="3" t="s">
        <v>251</v>
      </c>
      <c r="G294" s="3">
        <v>2023</v>
      </c>
      <c r="H294" s="3">
        <f>+IF(Tabla13[[#This Row],[Proyectado USD]]&gt;0,1,-1)</f>
        <v>-1</v>
      </c>
      <c r="I294" s="15"/>
      <c r="J294" s="21"/>
      <c r="K294" s="3">
        <f>+IF(Tabla13[[#This Row],[Emitido USD]]&gt;0,1,-1)</f>
        <v>1</v>
      </c>
      <c r="L294" s="73">
        <v>45134</v>
      </c>
      <c r="M294" s="3">
        <v>3</v>
      </c>
      <c r="N294" s="22">
        <v>20074.29</v>
      </c>
      <c r="O294" s="6">
        <v>108</v>
      </c>
      <c r="P294" s="76">
        <v>45183</v>
      </c>
      <c r="Q294" s="3">
        <f>+IF(Tabla13[[#This Row],[Facturado USD]]&gt;0,1,-1)</f>
        <v>1</v>
      </c>
      <c r="R294" s="22">
        <v>20074</v>
      </c>
      <c r="S294" s="3">
        <f>+IF(Tabla13[[#This Row],[Ingresado USD]]&gt;0,1,-1)</f>
        <v>1</v>
      </c>
      <c r="T294" s="78">
        <v>45205</v>
      </c>
      <c r="U294" s="22">
        <v>20074</v>
      </c>
      <c r="V294" s="3"/>
    </row>
    <row r="295" spans="1:22" s="30" customFormat="1" ht="12" hidden="1" customHeight="1" x14ac:dyDescent="0.2">
      <c r="A295" s="3">
        <v>294</v>
      </c>
      <c r="B295" s="3" t="s">
        <v>79</v>
      </c>
      <c r="C29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Diagnóstico Operacional Candelaria</v>
      </c>
      <c r="D295" s="3" t="s">
        <v>5</v>
      </c>
      <c r="E295" s="3" t="s">
        <v>275</v>
      </c>
      <c r="F295" s="3" t="s">
        <v>251</v>
      </c>
      <c r="G295" s="3">
        <v>2023</v>
      </c>
      <c r="H295" s="3">
        <f>+IF(Tabla13[[#This Row],[Proyectado USD]]&gt;0,1,-1)</f>
        <v>-1</v>
      </c>
      <c r="I295" s="15"/>
      <c r="J295" s="21"/>
      <c r="K295" s="3">
        <f>+IF(Tabla13[[#This Row],[Emitido USD]]&gt;0,1,-1)</f>
        <v>1</v>
      </c>
      <c r="L295" s="73">
        <v>45163</v>
      </c>
      <c r="M295" s="3">
        <v>4</v>
      </c>
      <c r="N295" s="22">
        <v>20556</v>
      </c>
      <c r="O295" s="6">
        <v>111</v>
      </c>
      <c r="P295" s="76">
        <v>45202</v>
      </c>
      <c r="Q295" s="3">
        <f>+IF(Tabla13[[#This Row],[Facturado USD]]&gt;0,1,-1)</f>
        <v>1</v>
      </c>
      <c r="R295" s="22">
        <v>20556</v>
      </c>
      <c r="S295" s="3">
        <f>+IF(Tabla13[[#This Row],[Ingresado USD]]&gt;0,1,-1)</f>
        <v>1</v>
      </c>
      <c r="T295" s="78">
        <v>45225</v>
      </c>
      <c r="U295" s="22">
        <v>20556</v>
      </c>
      <c r="V295" s="3"/>
    </row>
    <row r="296" spans="1:22" s="30" customFormat="1" ht="12" hidden="1" x14ac:dyDescent="0.2">
      <c r="A296" s="3">
        <v>295</v>
      </c>
      <c r="B296" s="3" t="s">
        <v>79</v>
      </c>
      <c r="C29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Diagnóstico Operacional Candelaria</v>
      </c>
      <c r="D296" s="3" t="s">
        <v>5</v>
      </c>
      <c r="E296" s="3" t="s">
        <v>275</v>
      </c>
      <c r="F296" s="3" t="s">
        <v>251</v>
      </c>
      <c r="G296" s="3">
        <v>2023</v>
      </c>
      <c r="H296" s="3">
        <f>+IF(Tabla13[[#This Row],[Proyectado USD]]&gt;0,1,-1)</f>
        <v>1</v>
      </c>
      <c r="I296" s="15">
        <v>45170</v>
      </c>
      <c r="J296" s="21">
        <v>21776</v>
      </c>
      <c r="K296" s="3">
        <f>+IF(Tabla13[[#This Row],[Emitido USD]]&gt;0,1,-1)</f>
        <v>1</v>
      </c>
      <c r="L296" s="73">
        <v>45194</v>
      </c>
      <c r="M296" s="3">
        <v>5</v>
      </c>
      <c r="N296" s="22">
        <v>29101</v>
      </c>
      <c r="O296" s="6">
        <v>112</v>
      </c>
      <c r="P296" s="76">
        <v>45202</v>
      </c>
      <c r="Q296" s="3">
        <f>+IF(Tabla13[[#This Row],[Facturado USD]]&gt;0,1,-1)</f>
        <v>1</v>
      </c>
      <c r="R296" s="22">
        <v>29101</v>
      </c>
      <c r="S296" s="3">
        <f>+IF(Tabla13[[#This Row],[Ingresado USD]]&gt;0,1,-1)</f>
        <v>1</v>
      </c>
      <c r="T296" s="78">
        <v>45225</v>
      </c>
      <c r="U296" s="22">
        <v>29101</v>
      </c>
      <c r="V296" s="3"/>
    </row>
    <row r="297" spans="1:22" s="30" customFormat="1" ht="12" hidden="1" customHeight="1" x14ac:dyDescent="0.2">
      <c r="A297" s="3">
        <v>346</v>
      </c>
      <c r="B297" s="3" t="s">
        <v>763</v>
      </c>
      <c r="C29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Glencore_Mining Simulation Mara</v>
      </c>
      <c r="D297" s="3" t="s">
        <v>768</v>
      </c>
      <c r="E297" s="3" t="s">
        <v>306</v>
      </c>
      <c r="F297" s="3" t="s">
        <v>251</v>
      </c>
      <c r="G297" s="3">
        <v>2026</v>
      </c>
      <c r="H297" s="3">
        <f>+IF(Tabla13[[#This Row],[Proyectado USD]]&gt;0,1,-1)</f>
        <v>-1</v>
      </c>
      <c r="I297" s="15"/>
      <c r="J297" s="21"/>
      <c r="K297" s="3">
        <f>+IF(Tabla13[[#This Row],[Emitido USD]]&gt;0,1,-1)</f>
        <v>1</v>
      </c>
      <c r="L297" s="73">
        <v>46142</v>
      </c>
      <c r="M297" s="3">
        <v>2</v>
      </c>
      <c r="N297" s="22">
        <v>24080</v>
      </c>
      <c r="O297" s="6">
        <v>100</v>
      </c>
      <c r="P297" s="76">
        <v>46177</v>
      </c>
      <c r="Q297" s="3">
        <f>+IF(Tabla13[[#This Row],[Facturado USD]]&gt;0,1,-1)</f>
        <v>-1</v>
      </c>
      <c r="R297" s="22">
        <v>0</v>
      </c>
      <c r="S297" s="3">
        <f>+IF(Tabla13[[#This Row],[Ingresado USD]]&gt;0,1,-1)</f>
        <v>-1</v>
      </c>
      <c r="T297" s="78">
        <v>46207</v>
      </c>
      <c r="U297" s="22">
        <v>0</v>
      </c>
      <c r="V297" s="3"/>
    </row>
    <row r="298" spans="1:22" s="30" customFormat="1" ht="12" hidden="1" customHeight="1" x14ac:dyDescent="0.2">
      <c r="A298" s="3">
        <v>348</v>
      </c>
      <c r="B298" s="3" t="s">
        <v>765</v>
      </c>
      <c r="C29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Hecla_Lucky Friday Mine</v>
      </c>
      <c r="D298" s="3" t="s">
        <v>770</v>
      </c>
      <c r="E298" s="3" t="s">
        <v>807</v>
      </c>
      <c r="F298" s="3" t="s">
        <v>469</v>
      </c>
      <c r="G298" s="3">
        <v>2026</v>
      </c>
      <c r="H298" s="3">
        <f>+IF(Tabla13[[#This Row],[Proyectado USD]]&gt;0,1,-1)</f>
        <v>-1</v>
      </c>
      <c r="I298" s="15"/>
      <c r="J298" s="21"/>
      <c r="K298" s="3">
        <f>+IF(Tabla13[[#This Row],[Emitido USD]]&gt;0,1,-1)</f>
        <v>1</v>
      </c>
      <c r="L298" s="73">
        <v>46142</v>
      </c>
      <c r="M298" s="3">
        <v>2</v>
      </c>
      <c r="N298" s="22">
        <v>5180</v>
      </c>
      <c r="O298" s="6" t="s">
        <v>164</v>
      </c>
      <c r="P298" s="76">
        <v>46147</v>
      </c>
      <c r="Q298" s="3">
        <f>+IF(Tabla13[[#This Row],[Facturado USD]]&gt;0,1,-1)</f>
        <v>1</v>
      </c>
      <c r="R298" s="22">
        <v>5180</v>
      </c>
      <c r="S298" s="3">
        <f>+IF(Tabla13[[#This Row],[Ingresado USD]]&gt;0,1,-1)</f>
        <v>-1</v>
      </c>
      <c r="T298" s="78">
        <v>46178</v>
      </c>
      <c r="U298" s="22"/>
      <c r="V298" s="3"/>
    </row>
    <row r="299" spans="1:22" s="30" customFormat="1" ht="12" hidden="1" customHeight="1" x14ac:dyDescent="0.2">
      <c r="A299" s="3">
        <v>353</v>
      </c>
      <c r="B299" s="3" t="s">
        <v>704</v>
      </c>
      <c r="C29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Hochschild_FS Metodos de Minado Tesoro</v>
      </c>
      <c r="D299" s="3" t="s">
        <v>705</v>
      </c>
      <c r="E299" s="3" t="s">
        <v>706</v>
      </c>
      <c r="F299" s="3" t="s">
        <v>318</v>
      </c>
      <c r="G299" s="3">
        <v>2026</v>
      </c>
      <c r="H299" s="3">
        <f>+IF(Tabla13[[#This Row],[Proyectado USD]]&gt;0,1,-1)</f>
        <v>-1</v>
      </c>
      <c r="I299" s="15"/>
      <c r="J299" s="21"/>
      <c r="K299" s="3">
        <f>+IF(Tabla13[[#This Row],[Emitido USD]]&gt;0,1,-1)</f>
        <v>1</v>
      </c>
      <c r="L299" s="73">
        <v>46142</v>
      </c>
      <c r="M299" s="3">
        <v>4</v>
      </c>
      <c r="N299" s="22">
        <v>12094</v>
      </c>
      <c r="O299" s="6" t="s">
        <v>69</v>
      </c>
      <c r="P299" s="76"/>
      <c r="Q299" s="3">
        <f>+IF(Tabla13[[#This Row],[Facturado USD]]&gt;0,1,-1)</f>
        <v>-1</v>
      </c>
      <c r="R299" s="22"/>
      <c r="S299" s="3">
        <f>+IF(Tabla13[[#This Row],[Ingresado USD]]&gt;0,1,-1)</f>
        <v>-1</v>
      </c>
      <c r="T299" s="78"/>
      <c r="U299" s="22"/>
      <c r="V299" s="3"/>
    </row>
    <row r="300" spans="1:22" s="30" customFormat="1" ht="12" hidden="1" customHeight="1" x14ac:dyDescent="0.2">
      <c r="A300" s="3">
        <v>356</v>
      </c>
      <c r="B300" s="3" t="s">
        <v>801</v>
      </c>
      <c r="C30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Hudbay_Ampliacion Peligro Sísmico</v>
      </c>
      <c r="D300" s="3" t="s">
        <v>804</v>
      </c>
      <c r="E300" s="3" t="s">
        <v>340</v>
      </c>
      <c r="F300" s="3" t="s">
        <v>318</v>
      </c>
      <c r="G300" s="3">
        <v>2026</v>
      </c>
      <c r="H300" s="3">
        <f>+IF(Tabla13[[#This Row],[Proyectado USD]]&gt;0,1,-1)</f>
        <v>-1</v>
      </c>
      <c r="I300" s="15"/>
      <c r="J300" s="21"/>
      <c r="K300" s="3">
        <f>+IF(Tabla13[[#This Row],[Emitido USD]]&gt;0,1,-1)</f>
        <v>1</v>
      </c>
      <c r="L300" s="73">
        <v>46142</v>
      </c>
      <c r="M300" s="3">
        <v>1</v>
      </c>
      <c r="N300" s="22">
        <v>18420</v>
      </c>
      <c r="O300" s="6" t="s">
        <v>846</v>
      </c>
      <c r="P300" s="76">
        <v>46167</v>
      </c>
      <c r="Q300" s="3">
        <f>+IF(Tabla13[[#This Row],[Facturado USD]]&gt;0,1,-1)</f>
        <v>1</v>
      </c>
      <c r="R300" s="22">
        <v>18420</v>
      </c>
      <c r="S300" s="3">
        <f>+IF(Tabla13[[#This Row],[Ingresado USD]]&gt;0,1,-1)</f>
        <v>-1</v>
      </c>
      <c r="T300" s="78">
        <v>46197</v>
      </c>
      <c r="U300" s="22"/>
      <c r="V300" s="3"/>
    </row>
    <row r="301" spans="1:22" s="30" customFormat="1" ht="12" hidden="1" customHeight="1" x14ac:dyDescent="0.2">
      <c r="A301" s="3">
        <v>457</v>
      </c>
      <c r="B301" s="3" t="s">
        <v>802</v>
      </c>
      <c r="C30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MineriaIman_PEA Proyecto Iman</v>
      </c>
      <c r="D301" s="3" t="s">
        <v>805</v>
      </c>
      <c r="E301" s="3" t="s">
        <v>830</v>
      </c>
      <c r="F301" s="3" t="s">
        <v>251</v>
      </c>
      <c r="G301" s="3">
        <v>2026</v>
      </c>
      <c r="H301" s="3">
        <f>+IF(Tabla13[[#This Row],[Proyectado USD]]&gt;0,1,-1)</f>
        <v>-1</v>
      </c>
      <c r="I301" s="15"/>
      <c r="J301" s="21"/>
      <c r="K301" s="3">
        <f>+IF(Tabla13[[#This Row],[Emitido USD]]&gt;0,1,-1)</f>
        <v>1</v>
      </c>
      <c r="L301" s="73">
        <v>46142</v>
      </c>
      <c r="M301" s="3">
        <v>1</v>
      </c>
      <c r="N301" s="22">
        <v>60007</v>
      </c>
      <c r="O301" s="6">
        <v>393</v>
      </c>
      <c r="P301" s="76">
        <v>46135</v>
      </c>
      <c r="Q301" s="3">
        <f>+IF(Tabla13[[#This Row],[Facturado USD]]&gt;0,1,-1)</f>
        <v>1</v>
      </c>
      <c r="R301" s="22">
        <v>60007</v>
      </c>
      <c r="S301" s="3">
        <f>+IF(Tabla13[[#This Row],[Ingresado USD]]&gt;0,1,-1)</f>
        <v>1</v>
      </c>
      <c r="T301" s="78">
        <v>46156</v>
      </c>
      <c r="U301" s="22">
        <v>60007</v>
      </c>
      <c r="V301" s="3"/>
    </row>
    <row r="302" spans="1:22" ht="12" hidden="1" customHeight="1" x14ac:dyDescent="0.2">
      <c r="A302" s="3">
        <v>485</v>
      </c>
      <c r="B302" s="3" t="s">
        <v>800</v>
      </c>
      <c r="C30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Miskimayo_Actualizacion R&amp;R Mina Bayovar</v>
      </c>
      <c r="D302" s="3" t="s">
        <v>803</v>
      </c>
      <c r="E302" s="3" t="s">
        <v>742</v>
      </c>
      <c r="F302" s="3" t="s">
        <v>318</v>
      </c>
      <c r="G302" s="3">
        <v>2026</v>
      </c>
      <c r="H302" s="3">
        <f>+IF(Tabla13[[#This Row],[Proyectado USD]]&gt;0,1,-1)</f>
        <v>-1</v>
      </c>
      <c r="I302" s="15"/>
      <c r="J302" s="21"/>
      <c r="K302" s="3">
        <f>+IF(Tabla13[[#This Row],[Emitido USD]]&gt;0,1,-1)</f>
        <v>1</v>
      </c>
      <c r="L302" s="73">
        <v>46142</v>
      </c>
      <c r="M302" s="3">
        <v>1</v>
      </c>
      <c r="N302" s="22">
        <v>23962</v>
      </c>
      <c r="O302" s="6" t="s">
        <v>69</v>
      </c>
      <c r="P302" s="76"/>
      <c r="Q302" s="3">
        <f>+IF(Tabla13[[#This Row],[Facturado USD]]&gt;0,1,-1)</f>
        <v>-1</v>
      </c>
      <c r="S302" s="3">
        <f>+IF(Tabla13[[#This Row],[Ingresado USD]]&gt;0,1,-1)</f>
        <v>-1</v>
      </c>
      <c r="T302" s="78"/>
    </row>
    <row r="303" spans="1:22" s="30" customFormat="1" ht="12" hidden="1" x14ac:dyDescent="0.2">
      <c r="A303" s="3">
        <v>491</v>
      </c>
      <c r="B303" s="3" t="s">
        <v>671</v>
      </c>
      <c r="C30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Miskimayo_Evaluación Transporte en Mina</v>
      </c>
      <c r="D303" s="3" t="s">
        <v>674</v>
      </c>
      <c r="E303" s="3" t="s">
        <v>742</v>
      </c>
      <c r="F303" s="3" t="s">
        <v>318</v>
      </c>
      <c r="G303" s="3">
        <v>2026</v>
      </c>
      <c r="H303" s="3">
        <f>+IF(Tabla13[[#This Row],[Proyectado USD]]&gt;0,1,-1)</f>
        <v>-1</v>
      </c>
      <c r="I303" s="15"/>
      <c r="J303" s="21"/>
      <c r="K303" s="3">
        <f>+IF(Tabla13[[#This Row],[Emitido USD]]&gt;0,1,-1)</f>
        <v>1</v>
      </c>
      <c r="L303" s="73">
        <v>46142</v>
      </c>
      <c r="M303" s="3">
        <v>5</v>
      </c>
      <c r="N303" s="22">
        <v>15675</v>
      </c>
      <c r="O303" s="6" t="s">
        <v>69</v>
      </c>
      <c r="P303" s="76"/>
      <c r="Q303" s="3">
        <f>+IF(Tabla13[[#This Row],[Facturado USD]]&gt;0,1,-1)</f>
        <v>-1</v>
      </c>
      <c r="R303" s="22"/>
      <c r="S303" s="3">
        <f>+IF(Tabla13[[#This Row],[Ingresado USD]]&gt;0,1,-1)</f>
        <v>-1</v>
      </c>
      <c r="T303" s="78"/>
      <c r="U303" s="22"/>
      <c r="V303" s="3"/>
    </row>
    <row r="304" spans="1:22" ht="12" hidden="1" customHeight="1" x14ac:dyDescent="0.2">
      <c r="A304" s="3">
        <v>635</v>
      </c>
      <c r="B304" s="3" t="s">
        <v>669</v>
      </c>
      <c r="C30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Resolution_General Review</v>
      </c>
      <c r="D304" s="3" t="s">
        <v>673</v>
      </c>
      <c r="E304" s="3" t="s">
        <v>670</v>
      </c>
      <c r="F304" s="3" t="s">
        <v>469</v>
      </c>
      <c r="G304" s="3">
        <v>2026</v>
      </c>
      <c r="H304" s="3">
        <f>+IF(Tabla13[[#This Row],[Proyectado USD]]&gt;0,1,-1)</f>
        <v>-1</v>
      </c>
      <c r="I304" s="15"/>
      <c r="J304" s="21"/>
      <c r="K304" s="3">
        <f>+IF(Tabla13[[#This Row],[Emitido USD]]&gt;0,1,-1)</f>
        <v>1</v>
      </c>
      <c r="L304" s="73">
        <v>46142</v>
      </c>
      <c r="M304" s="3">
        <v>6</v>
      </c>
      <c r="N304" s="22">
        <v>18720</v>
      </c>
      <c r="O304" s="6" t="s">
        <v>164</v>
      </c>
      <c r="P304" s="76">
        <v>46142</v>
      </c>
      <c r="Q304" s="3">
        <f>+IF(Tabla13[[#This Row],[Facturado USD]]&gt;0,1,-1)</f>
        <v>1</v>
      </c>
      <c r="R304" s="22">
        <v>18720</v>
      </c>
      <c r="S304" s="3">
        <f>+IF(Tabla13[[#This Row],[Ingresado USD]]&gt;0,1,-1)</f>
        <v>1</v>
      </c>
      <c r="T304" s="78">
        <v>46153</v>
      </c>
      <c r="U304" s="22">
        <v>18720</v>
      </c>
    </row>
    <row r="305" spans="1:22" ht="12" hidden="1" customHeight="1" x14ac:dyDescent="0.2">
      <c r="A305" s="3">
        <v>304</v>
      </c>
      <c r="B305" s="3" t="s">
        <v>471</v>
      </c>
      <c r="C30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EMX_Due Diligence de Chapi</v>
      </c>
      <c r="D305" s="3" t="s">
        <v>472</v>
      </c>
      <c r="E305" s="3" t="s">
        <v>473</v>
      </c>
      <c r="F305" s="3" t="s">
        <v>469</v>
      </c>
      <c r="G305" s="3">
        <v>2024</v>
      </c>
      <c r="H305" s="3">
        <f>+IF(Tabla13[[#This Row],[Proyectado USD]]&gt;0,1,-1)</f>
        <v>-1</v>
      </c>
      <c r="I305" s="15"/>
      <c r="J305" s="21"/>
      <c r="K305" s="3">
        <f>+IF(Tabla13[[#This Row],[Emitido USD]]&gt;0,1,-1)</f>
        <v>1</v>
      </c>
      <c r="L305" s="73">
        <v>45481</v>
      </c>
      <c r="M305" s="3">
        <v>1</v>
      </c>
      <c r="N305" s="22">
        <v>26649</v>
      </c>
      <c r="O305" s="6">
        <v>1</v>
      </c>
      <c r="P305" s="76">
        <v>45481</v>
      </c>
      <c r="Q305" s="3">
        <f>+IF(Tabla13[[#This Row],[Facturado USD]]&gt;0,1,-1)</f>
        <v>1</v>
      </c>
      <c r="R305" s="22">
        <v>26649</v>
      </c>
      <c r="S305" s="3">
        <f>+IF(Tabla13[[#This Row],[Ingresado USD]]&gt;0,1,-1)</f>
        <v>1</v>
      </c>
      <c r="T305" s="78">
        <v>45488</v>
      </c>
      <c r="U305" s="22">
        <v>26649</v>
      </c>
    </row>
    <row r="306" spans="1:22" ht="12" hidden="1" x14ac:dyDescent="0.2">
      <c r="A306" s="3">
        <v>305</v>
      </c>
      <c r="B306" s="3" t="s">
        <v>471</v>
      </c>
      <c r="C30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EMX_Due Diligence de Chapi</v>
      </c>
      <c r="D306" s="3" t="s">
        <v>472</v>
      </c>
      <c r="E306" s="3" t="s">
        <v>473</v>
      </c>
      <c r="F306" s="3" t="s">
        <v>469</v>
      </c>
      <c r="G306" s="3">
        <v>2024</v>
      </c>
      <c r="H306" s="3">
        <f>+IF(Tabla13[[#This Row],[Proyectado USD]]&gt;0,1,-1)</f>
        <v>-1</v>
      </c>
      <c r="I306" s="15"/>
      <c r="J306" s="21"/>
      <c r="K306" s="3">
        <f>+IF(Tabla13[[#This Row],[Emitido USD]]&gt;0,1,-1)</f>
        <v>1</v>
      </c>
      <c r="L306" s="73">
        <v>45524</v>
      </c>
      <c r="M306" s="3">
        <v>2</v>
      </c>
      <c r="N306" s="22">
        <v>133045</v>
      </c>
      <c r="O306" s="6" t="s">
        <v>474</v>
      </c>
      <c r="P306" s="76">
        <v>45524</v>
      </c>
      <c r="Q306" s="3">
        <f>+IF(Tabla13[[#This Row],[Facturado USD]]&gt;0,1,-1)</f>
        <v>1</v>
      </c>
      <c r="R306" s="22">
        <v>133045</v>
      </c>
      <c r="S306" s="3">
        <f>+IF(Tabla13[[#This Row],[Ingresado USD]]&gt;0,1,-1)</f>
        <v>1</v>
      </c>
      <c r="T306" s="78">
        <v>45534</v>
      </c>
      <c r="U306" s="22">
        <v>133045</v>
      </c>
    </row>
    <row r="307" spans="1:22" ht="12" hidden="1" x14ac:dyDescent="0.2">
      <c r="A307" s="3">
        <v>306</v>
      </c>
      <c r="B307" s="3" t="s">
        <v>475</v>
      </c>
      <c r="C30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EMX_Metallurgical expert for review</v>
      </c>
      <c r="D307" s="3" t="s">
        <v>476</v>
      </c>
      <c r="E307" s="3" t="s">
        <v>473</v>
      </c>
      <c r="F307" s="3" t="s">
        <v>469</v>
      </c>
      <c r="G307" s="3">
        <v>2024</v>
      </c>
      <c r="H307" s="3">
        <f>+IF(Tabla13[[#This Row],[Proyectado USD]]&gt;0,1,-1)</f>
        <v>-1</v>
      </c>
      <c r="I307" s="15"/>
      <c r="J307" s="21"/>
      <c r="K307" s="3">
        <f>+IF(Tabla13[[#This Row],[Emitido USD]]&gt;0,1,-1)</f>
        <v>1</v>
      </c>
      <c r="L307" s="73">
        <v>45453</v>
      </c>
      <c r="M307" s="3">
        <v>1</v>
      </c>
      <c r="N307" s="22">
        <v>15000</v>
      </c>
      <c r="O307" s="6">
        <v>1</v>
      </c>
      <c r="P307" s="76">
        <v>45473</v>
      </c>
      <c r="Q307" s="3">
        <f>+IF(Tabla13[[#This Row],[Facturado USD]]&gt;0,1,-1)</f>
        <v>1</v>
      </c>
      <c r="R307" s="22">
        <v>14850</v>
      </c>
      <c r="S307" s="3">
        <f>+IF(Tabla13[[#This Row],[Ingresado USD]]&gt;0,1,-1)</f>
        <v>1</v>
      </c>
      <c r="T307" s="78">
        <v>45504</v>
      </c>
      <c r="U307" s="22">
        <v>14850</v>
      </c>
    </row>
    <row r="308" spans="1:22" ht="12" hidden="1" x14ac:dyDescent="0.2">
      <c r="A308" s="3">
        <v>307</v>
      </c>
      <c r="B308" s="3" t="s">
        <v>589</v>
      </c>
      <c r="C30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EQUINOX_Actualización Ing. Básica UG</v>
      </c>
      <c r="D308" s="3" t="s">
        <v>590</v>
      </c>
      <c r="E308" s="3" t="s">
        <v>591</v>
      </c>
      <c r="F308" s="3" t="s">
        <v>235</v>
      </c>
      <c r="G308" s="3">
        <v>2025</v>
      </c>
      <c r="H308" s="3">
        <f>+IF(Tabla13[[#This Row],[Proyectado USD]]&gt;0,1,-1)</f>
        <v>-1</v>
      </c>
      <c r="I308" s="15"/>
      <c r="J308" s="21"/>
      <c r="K308" s="3">
        <f>+IF(Tabla13[[#This Row],[Emitido USD]]&gt;0,1,-1)</f>
        <v>1</v>
      </c>
      <c r="L308" s="73">
        <v>45915</v>
      </c>
      <c r="M308" s="3">
        <v>1</v>
      </c>
      <c r="N308" s="22">
        <v>12415</v>
      </c>
      <c r="O308" s="6">
        <v>104</v>
      </c>
      <c r="P308" s="76">
        <v>45924</v>
      </c>
      <c r="Q308" s="3">
        <f>+IF(Tabla13[[#This Row],[Facturado USD]]&gt;0,1,-1)</f>
        <v>1</v>
      </c>
      <c r="R308" s="22">
        <f>66246/5.45</f>
        <v>12155.229357798165</v>
      </c>
      <c r="S308" s="3">
        <f>+IF(Tabla13[[#This Row],[Ingresado USD]]&gt;0,1,-1)</f>
        <v>1</v>
      </c>
      <c r="T308" s="78">
        <v>45980</v>
      </c>
      <c r="U308" s="22">
        <v>11652.002862385321</v>
      </c>
    </row>
    <row r="309" spans="1:22" ht="12" hidden="1" x14ac:dyDescent="0.2">
      <c r="A309" s="3">
        <v>308</v>
      </c>
      <c r="B309" s="3" t="s">
        <v>589</v>
      </c>
      <c r="C30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EQUINOX_Actualización Ing. Básica UG</v>
      </c>
      <c r="D309" s="3" t="s">
        <v>590</v>
      </c>
      <c r="E309" s="3" t="s">
        <v>591</v>
      </c>
      <c r="F309" s="3" t="s">
        <v>235</v>
      </c>
      <c r="G309" s="3">
        <v>2025</v>
      </c>
      <c r="H309" s="3">
        <f>+IF(Tabla13[[#This Row],[Proyectado USD]]&gt;0,1,-1)</f>
        <v>-1</v>
      </c>
      <c r="I309" s="15"/>
      <c r="J309" s="21"/>
      <c r="K309" s="3">
        <f>+IF(Tabla13[[#This Row],[Emitido USD]]&gt;0,1,-1)</f>
        <v>1</v>
      </c>
      <c r="L309" s="73">
        <v>45945</v>
      </c>
      <c r="M309" s="3">
        <v>2</v>
      </c>
      <c r="N309" s="22">
        <v>50598</v>
      </c>
      <c r="O309" s="6">
        <v>107</v>
      </c>
      <c r="P309" s="76">
        <v>45954</v>
      </c>
      <c r="Q309" s="3">
        <f>+IF(Tabla13[[#This Row],[Facturado USD]]&gt;0,1,-1)</f>
        <v>1</v>
      </c>
      <c r="R309" s="22">
        <v>50598</v>
      </c>
      <c r="S309" s="3">
        <f>+IF(Tabla13[[#This Row],[Ingresado USD]]&gt;0,1,-1)</f>
        <v>1</v>
      </c>
      <c r="T309" s="78">
        <v>45980</v>
      </c>
      <c r="U309" s="22">
        <v>48503.2428</v>
      </c>
    </row>
    <row r="310" spans="1:22" s="30" customFormat="1" ht="12" hidden="1" x14ac:dyDescent="0.2">
      <c r="A310" s="3">
        <v>309</v>
      </c>
      <c r="B310" s="3" t="s">
        <v>589</v>
      </c>
      <c r="C31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EQUINOX_Actualización Ing. Básica UG</v>
      </c>
      <c r="D310" s="3" t="s">
        <v>590</v>
      </c>
      <c r="E310" s="3" t="s">
        <v>591</v>
      </c>
      <c r="F310" s="3" t="s">
        <v>235</v>
      </c>
      <c r="G310" s="3">
        <v>2025</v>
      </c>
      <c r="H310" s="3">
        <f>+IF(Tabla13[[#This Row],[Proyectado USD]]&gt;0,1,-1)</f>
        <v>-1</v>
      </c>
      <c r="I310" s="15"/>
      <c r="J310" s="21"/>
      <c r="K310" s="3">
        <f>+IF(Tabla13[[#This Row],[Emitido USD]]&gt;0,1,-1)</f>
        <v>1</v>
      </c>
      <c r="L310" s="73">
        <v>45976</v>
      </c>
      <c r="M310" s="3">
        <v>3</v>
      </c>
      <c r="N310" s="22">
        <v>146624</v>
      </c>
      <c r="O310" s="6">
        <v>115</v>
      </c>
      <c r="P310" s="76">
        <v>45986</v>
      </c>
      <c r="Q310" s="3">
        <f>+IF(Tabla13[[#This Row],[Facturado USD]]&gt;0,1,-1)</f>
        <v>1</v>
      </c>
      <c r="R310" s="22">
        <v>145467</v>
      </c>
      <c r="S310" s="3">
        <f>+IF(Tabla13[[#This Row],[Ingresado USD]]&gt;0,1,-1)</f>
        <v>1</v>
      </c>
      <c r="T310" s="78">
        <v>46014</v>
      </c>
      <c r="U310" s="22">
        <v>130948</v>
      </c>
      <c r="V310" s="3"/>
    </row>
    <row r="311" spans="1:22" s="30" customFormat="1" ht="12" hidden="1" x14ac:dyDescent="0.2">
      <c r="A311" s="3">
        <v>310</v>
      </c>
      <c r="B311" s="3" t="s">
        <v>589</v>
      </c>
      <c r="C31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EQUINOX_Actualización Ing. Básica UG</v>
      </c>
      <c r="D311" s="3" t="s">
        <v>590</v>
      </c>
      <c r="E311" s="3" t="s">
        <v>591</v>
      </c>
      <c r="F311" s="3" t="s">
        <v>235</v>
      </c>
      <c r="G311" s="3">
        <v>2025</v>
      </c>
      <c r="H311" s="3">
        <f>+IF(Tabla13[[#This Row],[Proyectado USD]]&gt;0,1,-1)</f>
        <v>-1</v>
      </c>
      <c r="I311" s="15"/>
      <c r="J311" s="21"/>
      <c r="K311" s="3">
        <f>+IF(Tabla13[[#This Row],[Emitido USD]]&gt;0,1,-1)</f>
        <v>1</v>
      </c>
      <c r="L311" s="73">
        <v>46006</v>
      </c>
      <c r="M311" s="3">
        <v>4</v>
      </c>
      <c r="N311" s="22">
        <v>97211</v>
      </c>
      <c r="O311" s="6">
        <v>118</v>
      </c>
      <c r="P311" s="76">
        <v>46014</v>
      </c>
      <c r="Q311" s="3">
        <f>+IF(Tabla13[[#This Row],[Facturado USD]]&gt;0,1,-1)</f>
        <v>1</v>
      </c>
      <c r="R311" s="22">
        <v>97211</v>
      </c>
      <c r="S311" s="3">
        <f>+IF(Tabla13[[#This Row],[Ingresado USD]]&gt;0,1,-1)</f>
        <v>1</v>
      </c>
      <c r="T311" s="78">
        <v>46043</v>
      </c>
      <c r="U311" s="22">
        <v>97034</v>
      </c>
      <c r="V311" s="3"/>
    </row>
    <row r="312" spans="1:22" s="30" customFormat="1" ht="12" hidden="1" x14ac:dyDescent="0.2">
      <c r="A312" s="3">
        <v>669</v>
      </c>
      <c r="B312" s="3" t="s">
        <v>766</v>
      </c>
      <c r="C31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South32_Clark Project</v>
      </c>
      <c r="D312" s="3" t="s">
        <v>771</v>
      </c>
      <c r="E312" s="3" t="s">
        <v>808</v>
      </c>
      <c r="F312" s="3" t="s">
        <v>469</v>
      </c>
      <c r="G312" s="3">
        <v>2026</v>
      </c>
      <c r="H312" s="3">
        <f>+IF(Tabla13[[#This Row],[Proyectado USD]]&gt;0,1,-1)</f>
        <v>-1</v>
      </c>
      <c r="I312" s="15"/>
      <c r="J312" s="21"/>
      <c r="K312" s="3">
        <f>+IF(Tabla13[[#This Row],[Emitido USD]]&gt;0,1,-1)</f>
        <v>1</v>
      </c>
      <c r="L312" s="73">
        <v>46142</v>
      </c>
      <c r="M312" s="3">
        <v>2</v>
      </c>
      <c r="N312" s="22">
        <v>30030</v>
      </c>
      <c r="O312" s="6" t="s">
        <v>164</v>
      </c>
      <c r="P312" s="76">
        <v>46156</v>
      </c>
      <c r="Q312" s="3">
        <f>+IF(Tabla13[[#This Row],[Facturado USD]]&gt;0,1,-1)</f>
        <v>1</v>
      </c>
      <c r="R312" s="22">
        <v>30030</v>
      </c>
      <c r="S312" s="3">
        <f>+IF(Tabla13[[#This Row],[Ingresado USD]]&gt;0,1,-1)</f>
        <v>-1</v>
      </c>
      <c r="T312" s="78">
        <v>46187</v>
      </c>
      <c r="U312" s="22"/>
      <c r="V312" s="3"/>
    </row>
    <row r="313" spans="1:22" s="30" customFormat="1" ht="12" hidden="1" x14ac:dyDescent="0.2">
      <c r="A313" s="3">
        <v>675</v>
      </c>
      <c r="B313" s="3" t="s">
        <v>635</v>
      </c>
      <c r="C31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SPM_FS Labores Subterraneas 2da MEIA</v>
      </c>
      <c r="D313" s="3" t="s">
        <v>636</v>
      </c>
      <c r="E313" s="3" t="s">
        <v>809</v>
      </c>
      <c r="F313" s="3" t="s">
        <v>318</v>
      </c>
      <c r="G313" s="3">
        <v>2026</v>
      </c>
      <c r="H313" s="3">
        <f>+IF(Tabla13[[#This Row],[Proyectado USD]]&gt;0,1,-1)</f>
        <v>-1</v>
      </c>
      <c r="I313" s="15"/>
      <c r="J313" s="21"/>
      <c r="K313" s="3">
        <f>+IF(Tabla13[[#This Row],[Emitido USD]]&gt;0,1,-1)</f>
        <v>1</v>
      </c>
      <c r="L313" s="73">
        <v>46142</v>
      </c>
      <c r="M313" s="3">
        <v>4</v>
      </c>
      <c r="N313" s="22">
        <v>28029.29</v>
      </c>
      <c r="O313" s="6" t="s">
        <v>847</v>
      </c>
      <c r="P313" s="76">
        <v>46168</v>
      </c>
      <c r="Q313" s="3">
        <f>+IF(Tabla13[[#This Row],[Facturado USD]]&gt;0,1,-1)</f>
        <v>1</v>
      </c>
      <c r="R313" s="22">
        <v>18487.98</v>
      </c>
      <c r="S313" s="3">
        <f>+IF(Tabla13[[#This Row],[Ingresado USD]]&gt;0,1,-1)</f>
        <v>1</v>
      </c>
      <c r="T313" s="78">
        <v>46176</v>
      </c>
      <c r="U313" s="22">
        <v>18487.98</v>
      </c>
      <c r="V313" s="3" t="s">
        <v>810</v>
      </c>
    </row>
    <row r="314" spans="1:22" s="30" customFormat="1" ht="12" hidden="1" x14ac:dyDescent="0.2">
      <c r="A314" s="3">
        <v>99</v>
      </c>
      <c r="B314" s="3" t="s">
        <v>757</v>
      </c>
      <c r="C31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Barrick_Production at Risk Veladero</v>
      </c>
      <c r="D314" s="3" t="s">
        <v>759</v>
      </c>
      <c r="E314" s="3" t="s">
        <v>761</v>
      </c>
      <c r="F314" s="3" t="s">
        <v>251</v>
      </c>
      <c r="G314" s="3">
        <v>2026</v>
      </c>
      <c r="H314" s="3">
        <f>+IF(Tabla13[[#This Row],[Proyectado USD]]&gt;0,1,-1)</f>
        <v>-1</v>
      </c>
      <c r="I314" s="15"/>
      <c r="J314" s="21"/>
      <c r="K314" s="3">
        <f>+IF(Tabla13[[#This Row],[Emitido USD]]&gt;0,1,-1)</f>
        <v>1</v>
      </c>
      <c r="L314" s="73">
        <v>46136</v>
      </c>
      <c r="M314" s="3">
        <v>1</v>
      </c>
      <c r="N314" s="22">
        <v>52750</v>
      </c>
      <c r="O314" s="6" t="s">
        <v>69</v>
      </c>
      <c r="P314" s="76"/>
      <c r="Q314" s="3">
        <f>+IF(Tabla13[[#This Row],[Facturado USD]]&gt;0,1,-1)</f>
        <v>-1</v>
      </c>
      <c r="R314" s="22"/>
      <c r="S314" s="3">
        <f>+IF(Tabla13[[#This Row],[Ingresado USD]]&gt;0,1,-1)</f>
        <v>-1</v>
      </c>
      <c r="T314" s="78"/>
      <c r="U314" s="22"/>
      <c r="V314" s="3"/>
    </row>
    <row r="315" spans="1:22" s="30" customFormat="1" ht="12" hidden="1" x14ac:dyDescent="0.2">
      <c r="A315" s="3">
        <v>265</v>
      </c>
      <c r="B315" s="3" t="s">
        <v>741</v>
      </c>
      <c r="C31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Collahuasi_Mine Compliance 2026</v>
      </c>
      <c r="D315" s="3" t="s">
        <v>725</v>
      </c>
      <c r="E315" s="3" t="s">
        <v>648</v>
      </c>
      <c r="F315" s="3" t="s">
        <v>251</v>
      </c>
      <c r="G315" s="3">
        <v>2026</v>
      </c>
      <c r="H315" s="3">
        <f>+IF(Tabla13[[#This Row],[Proyectado USD]]&gt;0,1,-1)</f>
        <v>-1</v>
      </c>
      <c r="I315" s="15"/>
      <c r="J315" s="21"/>
      <c r="K315" s="3">
        <f>+IF(Tabla13[[#This Row],[Emitido USD]]&gt;0,1,-1)</f>
        <v>1</v>
      </c>
      <c r="L315" s="73">
        <v>46136</v>
      </c>
      <c r="M315" s="3">
        <v>3</v>
      </c>
      <c r="N315" s="22">
        <v>16667</v>
      </c>
      <c r="O315" s="6">
        <v>394</v>
      </c>
      <c r="P315" s="76">
        <v>46143</v>
      </c>
      <c r="Q315" s="3">
        <f>+IF(Tabla13[[#This Row],[Facturado USD]]&gt;0,1,-1)</f>
        <v>1</v>
      </c>
      <c r="R315" s="22">
        <v>16667</v>
      </c>
      <c r="S315" s="3">
        <f>+IF(Tabla13[[#This Row],[Ingresado USD]]&gt;0,1,-1)</f>
        <v>1</v>
      </c>
      <c r="T315" s="78">
        <v>46150</v>
      </c>
      <c r="U315" s="22">
        <v>16667</v>
      </c>
      <c r="V315" s="3"/>
    </row>
    <row r="316" spans="1:22" s="30" customFormat="1" ht="12" x14ac:dyDescent="0.2">
      <c r="A316" s="3">
        <v>619</v>
      </c>
      <c r="B316" s="3" t="s">
        <v>730</v>
      </c>
      <c r="C31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Polyus_Evaluacion talud mina Blagodatny</v>
      </c>
      <c r="D316" s="3" t="s">
        <v>728</v>
      </c>
      <c r="E316" s="3" t="s">
        <v>734</v>
      </c>
      <c r="F316" s="3" t="s">
        <v>465</v>
      </c>
      <c r="G316" s="3">
        <v>2026</v>
      </c>
      <c r="H316" s="3">
        <f>+IF(Tabla13[[#This Row],[Proyectado USD]]&gt;0,1,-1)</f>
        <v>-1</v>
      </c>
      <c r="I316" s="15"/>
      <c r="J316" s="21"/>
      <c r="K316" s="3">
        <f>+IF(Tabla13[[#This Row],[Emitido USD]]&gt;0,1,-1)</f>
        <v>1</v>
      </c>
      <c r="L316" s="73">
        <v>46136</v>
      </c>
      <c r="M316" s="3" t="s">
        <v>630</v>
      </c>
      <c r="N316" s="22">
        <v>15725</v>
      </c>
      <c r="O316" s="6" t="s">
        <v>164</v>
      </c>
      <c r="P316" s="76">
        <v>46136</v>
      </c>
      <c r="Q316" s="3">
        <f>+IF(Tabla13[[#This Row],[Facturado USD]]&gt;0,1,-1)</f>
        <v>1</v>
      </c>
      <c r="R316" s="22">
        <v>15725</v>
      </c>
      <c r="S316" s="3">
        <f>+IF(Tabla13[[#This Row],[Ingresado USD]]&gt;0,1,-1)</f>
        <v>-1</v>
      </c>
      <c r="T316" s="78">
        <v>46185</v>
      </c>
      <c r="U316" s="22"/>
      <c r="V316" s="3"/>
    </row>
    <row r="317" spans="1:22" s="30" customFormat="1" ht="12" hidden="1" x14ac:dyDescent="0.2">
      <c r="A317" s="3">
        <v>316</v>
      </c>
      <c r="B317" s="3" t="s">
        <v>238</v>
      </c>
      <c r="C31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EroCopper_Scoping Proyecto Furnas</v>
      </c>
      <c r="D317" s="3" t="s">
        <v>223</v>
      </c>
      <c r="E317" s="3" t="s">
        <v>239</v>
      </c>
      <c r="F317" s="3" t="s">
        <v>235</v>
      </c>
      <c r="G317" s="3">
        <v>2025</v>
      </c>
      <c r="H317" s="3">
        <f>+IF(Tabla13[[#This Row],[Proyectado USD]]&gt;0,1,-1)</f>
        <v>-1</v>
      </c>
      <c r="I317" s="15"/>
      <c r="J317" s="21"/>
      <c r="K317" s="3">
        <f>+IF(Tabla13[[#This Row],[Emitido USD]]&gt;0,1,-1)</f>
        <v>1</v>
      </c>
      <c r="L317" s="73">
        <v>45828</v>
      </c>
      <c r="M317" s="3">
        <v>1</v>
      </c>
      <c r="N317" s="22">
        <v>86279.595471698107</v>
      </c>
      <c r="O317" s="6">
        <v>73</v>
      </c>
      <c r="P317" s="76">
        <v>45833</v>
      </c>
      <c r="Q317" s="3">
        <f>+IF(Tabla13[[#This Row],[Facturado USD]]&gt;0,1,-1)</f>
        <v>1</v>
      </c>
      <c r="R317" s="22">
        <v>50063</v>
      </c>
      <c r="S317" s="3">
        <f>+IF(Tabla13[[#This Row],[Ingresado USD]]&gt;0,1,-1)</f>
        <v>1</v>
      </c>
      <c r="T317" s="78">
        <v>45869</v>
      </c>
      <c r="U317" s="22">
        <v>50063</v>
      </c>
      <c r="V317" s="3" t="s">
        <v>559</v>
      </c>
    </row>
    <row r="318" spans="1:22" s="30" customFormat="1" ht="12" hidden="1" x14ac:dyDescent="0.2">
      <c r="A318" s="3">
        <v>317</v>
      </c>
      <c r="B318" s="3" t="s">
        <v>238</v>
      </c>
      <c r="C31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EroCopper_Scoping Proyecto Furnas</v>
      </c>
      <c r="D318" s="3" t="s">
        <v>223</v>
      </c>
      <c r="E318" s="3" t="s">
        <v>239</v>
      </c>
      <c r="F318" s="3" t="s">
        <v>235</v>
      </c>
      <c r="G318" s="3">
        <v>2025</v>
      </c>
      <c r="H318" s="3">
        <f>+IF(Tabla13[[#This Row],[Proyectado USD]]&gt;0,1,-1)</f>
        <v>-1</v>
      </c>
      <c r="I318" s="15"/>
      <c r="J318" s="21"/>
      <c r="K318" s="3">
        <f>+IF(Tabla13[[#This Row],[Emitido USD]]&gt;0,1,-1)</f>
        <v>1</v>
      </c>
      <c r="L318" s="73">
        <v>45852</v>
      </c>
      <c r="M318" s="3">
        <v>2</v>
      </c>
      <c r="N318" s="22">
        <v>23873.155943396225</v>
      </c>
      <c r="O318" s="25">
        <v>78</v>
      </c>
      <c r="P318" s="76">
        <v>45853</v>
      </c>
      <c r="Q318" s="3">
        <f>+IF(Tabla13[[#This Row],[Facturado USD]]&gt;0,1,-1)</f>
        <v>1</v>
      </c>
      <c r="R318" s="50">
        <v>22640.41</v>
      </c>
      <c r="S318" s="3">
        <f>+IF(Tabla13[[#This Row],[Ingresado USD]]&gt;0,1,-1)</f>
        <v>1</v>
      </c>
      <c r="T318" s="78">
        <v>45889</v>
      </c>
      <c r="U318" s="22">
        <v>19610.669999999998</v>
      </c>
      <c r="V318" s="3"/>
    </row>
    <row r="319" spans="1:22" s="30" customFormat="1" ht="12" hidden="1" x14ac:dyDescent="0.2">
      <c r="A319" s="3">
        <v>318</v>
      </c>
      <c r="B319" s="3" t="s">
        <v>238</v>
      </c>
      <c r="C31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EroCopper_Scoping Proyecto Furnas</v>
      </c>
      <c r="D319" s="3" t="s">
        <v>223</v>
      </c>
      <c r="E319" s="3" t="s">
        <v>239</v>
      </c>
      <c r="F319" s="3" t="s">
        <v>235</v>
      </c>
      <c r="G319" s="3">
        <v>2025</v>
      </c>
      <c r="H319" s="3">
        <f>+IF(Tabla13[[#This Row],[Proyectado USD]]&gt;0,1,-1)</f>
        <v>-1</v>
      </c>
      <c r="I319" s="15"/>
      <c r="J319" s="21"/>
      <c r="K319" s="3">
        <f>+IF(Tabla13[[#This Row],[Emitido USD]]&gt;0,1,-1)</f>
        <v>1</v>
      </c>
      <c r="L319" s="73">
        <v>45888</v>
      </c>
      <c r="M319" s="3">
        <v>3</v>
      </c>
      <c r="N319" s="22">
        <v>74156.001226415086</v>
      </c>
      <c r="O319" s="25">
        <v>85</v>
      </c>
      <c r="P319" s="76">
        <v>45889</v>
      </c>
      <c r="Q319" s="3">
        <f>+IF(Tabla13[[#This Row],[Facturado USD]]&gt;0,1,-1)</f>
        <v>1</v>
      </c>
      <c r="R319" s="22">
        <v>73795</v>
      </c>
      <c r="S319" s="3">
        <f>+IF(Tabla13[[#This Row],[Ingresado USD]]&gt;0,1,-1)</f>
        <v>1</v>
      </c>
      <c r="T319" s="78">
        <v>45922</v>
      </c>
      <c r="U319" s="22">
        <v>61585</v>
      </c>
      <c r="V319" s="3"/>
    </row>
    <row r="320" spans="1:22" s="30" customFormat="1" ht="12" hidden="1" x14ac:dyDescent="0.2">
      <c r="A320" s="3">
        <v>319</v>
      </c>
      <c r="B320" s="3" t="s">
        <v>238</v>
      </c>
      <c r="C32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EroCopper_Scoping Proyecto Furnas</v>
      </c>
      <c r="D320" s="3" t="s">
        <v>223</v>
      </c>
      <c r="E320" s="3" t="s">
        <v>239</v>
      </c>
      <c r="F320" s="3" t="s">
        <v>235</v>
      </c>
      <c r="G320" s="3">
        <v>2025</v>
      </c>
      <c r="H320" s="3">
        <f>+IF(Tabla13[[#This Row],[Proyectado USD]]&gt;0,1,-1)</f>
        <v>-1</v>
      </c>
      <c r="I320" s="15"/>
      <c r="J320" s="21"/>
      <c r="K320" s="3">
        <f>+IF(Tabla13[[#This Row],[Emitido USD]]&gt;0,1,-1)</f>
        <v>1</v>
      </c>
      <c r="L320" s="73">
        <v>45912</v>
      </c>
      <c r="M320" s="3">
        <v>4</v>
      </c>
      <c r="N320" s="22">
        <v>68993.162358490576</v>
      </c>
      <c r="O320" s="25">
        <v>93</v>
      </c>
      <c r="P320" s="76">
        <v>45919</v>
      </c>
      <c r="Q320" s="3">
        <f>+IF(Tabla13[[#This Row],[Facturado USD]]&gt;0,1,-1)</f>
        <v>1</v>
      </c>
      <c r="R320" s="22">
        <v>68819.633027522927</v>
      </c>
      <c r="S320" s="3">
        <f>+IF(Tabla13[[#This Row],[Ingresado USD]]&gt;0,1,-1)</f>
        <v>1</v>
      </c>
      <c r="T320" s="78">
        <v>45950</v>
      </c>
      <c r="U320" s="22">
        <v>58240</v>
      </c>
      <c r="V320" s="3"/>
    </row>
    <row r="321" spans="1:22" s="30" customFormat="1" ht="12" hidden="1" x14ac:dyDescent="0.2">
      <c r="A321" s="3">
        <v>320</v>
      </c>
      <c r="B321" s="3" t="s">
        <v>238</v>
      </c>
      <c r="C32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EroCopper_Scoping Proyecto Furnas</v>
      </c>
      <c r="D321" s="3" t="s">
        <v>223</v>
      </c>
      <c r="E321" s="3" t="s">
        <v>239</v>
      </c>
      <c r="F321" s="3" t="s">
        <v>235</v>
      </c>
      <c r="G321" s="3">
        <v>2025</v>
      </c>
      <c r="H321" s="3">
        <f>+IF(Tabla13[[#This Row],[Proyectado USD]]&gt;0,1,-1)</f>
        <v>-1</v>
      </c>
      <c r="I321" s="15"/>
      <c r="J321" s="21"/>
      <c r="K321" s="3">
        <f>+IF(Tabla13[[#This Row],[Emitido USD]]&gt;0,1,-1)</f>
        <v>1</v>
      </c>
      <c r="L321" s="73">
        <v>45945</v>
      </c>
      <c r="M321" s="3">
        <v>5</v>
      </c>
      <c r="N321" s="22">
        <v>39205.773773584908</v>
      </c>
      <c r="O321" s="25">
        <v>100</v>
      </c>
      <c r="P321" s="76">
        <v>45947</v>
      </c>
      <c r="Q321" s="3">
        <f>+IF(Tabla13[[#This Row],[Facturado USD]]&gt;0,1,-1)</f>
        <v>1</v>
      </c>
      <c r="R321" s="22">
        <v>34046</v>
      </c>
      <c r="S321" s="3">
        <f>+IF(Tabla13[[#This Row],[Ingresado USD]]&gt;0,1,-1)</f>
        <v>1</v>
      </c>
      <c r="T321" s="78">
        <v>45980</v>
      </c>
      <c r="U321" s="22">
        <v>32689</v>
      </c>
      <c r="V321" s="3"/>
    </row>
    <row r="322" spans="1:22" s="30" customFormat="1" ht="12" hidden="1" x14ac:dyDescent="0.2">
      <c r="A322" s="3">
        <v>321</v>
      </c>
      <c r="B322" s="3" t="s">
        <v>238</v>
      </c>
      <c r="C32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EroCopper_Scoping Proyecto Furnas</v>
      </c>
      <c r="D322" s="3" t="s">
        <v>223</v>
      </c>
      <c r="E322" s="3" t="s">
        <v>239</v>
      </c>
      <c r="F322" s="3" t="s">
        <v>235</v>
      </c>
      <c r="G322" s="3">
        <v>2025</v>
      </c>
      <c r="H322" s="3">
        <f>+IF(Tabla13[[#This Row],[Proyectado USD]]&gt;0,1,-1)</f>
        <v>-1</v>
      </c>
      <c r="I322" s="15"/>
      <c r="J322" s="21"/>
      <c r="K322" s="3">
        <f>+IF(Tabla13[[#This Row],[Emitido USD]]&gt;0,1,-1)</f>
        <v>1</v>
      </c>
      <c r="L322" s="73">
        <v>45976</v>
      </c>
      <c r="M322" s="3">
        <v>6</v>
      </c>
      <c r="N322" s="22">
        <v>61666.713867924518</v>
      </c>
      <c r="O322" s="25">
        <v>113</v>
      </c>
      <c r="P322" s="76">
        <v>45979</v>
      </c>
      <c r="Q322" s="3">
        <f>+IF(Tabla13[[#This Row],[Facturado USD]]&gt;0,1,-1)</f>
        <v>1</v>
      </c>
      <c r="R322" s="22">
        <v>61627</v>
      </c>
      <c r="S322" s="3">
        <f>+IF(Tabla13[[#This Row],[Ingresado USD]]&gt;0,1,-1)</f>
        <v>1</v>
      </c>
      <c r="T322" s="78">
        <v>46009</v>
      </c>
      <c r="U322" s="22">
        <v>51794</v>
      </c>
      <c r="V322" s="3" t="s">
        <v>681</v>
      </c>
    </row>
    <row r="323" spans="1:22" s="30" customFormat="1" ht="12" hidden="1" x14ac:dyDescent="0.2">
      <c r="A323" s="3">
        <v>322</v>
      </c>
      <c r="B323" s="3" t="s">
        <v>238</v>
      </c>
      <c r="C32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EroCopper_Scoping Proyecto Furnas</v>
      </c>
      <c r="D323" s="3" t="s">
        <v>223</v>
      </c>
      <c r="E323" s="3" t="s">
        <v>239</v>
      </c>
      <c r="F323" s="3" t="s">
        <v>235</v>
      </c>
      <c r="G323" s="3">
        <v>2025</v>
      </c>
      <c r="H323" s="3">
        <f>+IF(Tabla13[[#This Row],[Proyectado USD]]&gt;0,1,-1)</f>
        <v>-1</v>
      </c>
      <c r="I323" s="15"/>
      <c r="J323" s="21"/>
      <c r="K323" s="3">
        <f>+IF(Tabla13[[#This Row],[Emitido USD]]&gt;0,1,-1)</f>
        <v>1</v>
      </c>
      <c r="L323" s="73">
        <v>46006</v>
      </c>
      <c r="M323" s="3">
        <v>7</v>
      </c>
      <c r="N323" s="22">
        <v>52319.196320754709</v>
      </c>
      <c r="O323" s="25">
        <v>117</v>
      </c>
      <c r="P323" s="76">
        <v>46010</v>
      </c>
      <c r="Q323" s="3">
        <f>+IF(Tabla13[[#This Row],[Facturado USD]]&gt;0,1,-1)</f>
        <v>1</v>
      </c>
      <c r="R323" s="22">
        <v>50479</v>
      </c>
      <c r="S323" s="3">
        <f>+IF(Tabla13[[#This Row],[Ingresado USD]]&gt;0,1,-1)</f>
        <v>1</v>
      </c>
      <c r="T323" s="78">
        <v>46041</v>
      </c>
      <c r="U323" s="22">
        <v>44627</v>
      </c>
      <c r="V323" s="3"/>
    </row>
    <row r="324" spans="1:22" s="30" customFormat="1" ht="12" x14ac:dyDescent="0.2">
      <c r="A324" s="3">
        <v>621</v>
      </c>
      <c r="B324" s="3" t="s">
        <v>731</v>
      </c>
      <c r="C32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Polyus_Olimpiada Cutback 5&amp;6</v>
      </c>
      <c r="D324" s="3" t="s">
        <v>729</v>
      </c>
      <c r="E324" s="3" t="s">
        <v>734</v>
      </c>
      <c r="F324" s="3" t="s">
        <v>465</v>
      </c>
      <c r="G324" s="3">
        <v>2026</v>
      </c>
      <c r="H324" s="3">
        <f>+IF(Tabla13[[#This Row],[Proyectado USD]]&gt;0,1,-1)</f>
        <v>-1</v>
      </c>
      <c r="I324" s="15"/>
      <c r="J324" s="21"/>
      <c r="K324" s="3">
        <f>+IF(Tabla13[[#This Row],[Emitido USD]]&gt;0,1,-1)</f>
        <v>1</v>
      </c>
      <c r="L324" s="73">
        <v>46136</v>
      </c>
      <c r="M324" s="3" t="s">
        <v>630</v>
      </c>
      <c r="N324" s="22">
        <v>65295</v>
      </c>
      <c r="O324" s="6" t="s">
        <v>164</v>
      </c>
      <c r="P324" s="76">
        <v>46136</v>
      </c>
      <c r="Q324" s="3">
        <f>+IF(Tabla13[[#This Row],[Facturado USD]]&gt;0,1,-1)</f>
        <v>1</v>
      </c>
      <c r="R324" s="22">
        <v>65295</v>
      </c>
      <c r="S324" s="3">
        <f>+IF(Tabla13[[#This Row],[Ingresado USD]]&gt;0,1,-1)</f>
        <v>-1</v>
      </c>
      <c r="T324" s="78">
        <v>46192</v>
      </c>
      <c r="U324" s="22"/>
      <c r="V324" s="3"/>
    </row>
    <row r="325" spans="1:22" s="30" customFormat="1" ht="12" hidden="1" customHeight="1" x14ac:dyDescent="0.2">
      <c r="A325" s="3">
        <v>500</v>
      </c>
      <c r="B325" s="3" t="s">
        <v>795</v>
      </c>
      <c r="C32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Mosaic_Análisis de Estabilidad</v>
      </c>
      <c r="D325" s="3" t="s">
        <v>796</v>
      </c>
      <c r="E325" s="3" t="s">
        <v>236</v>
      </c>
      <c r="F325" s="3" t="s">
        <v>235</v>
      </c>
      <c r="G325" s="3">
        <v>2026</v>
      </c>
      <c r="H325" s="3">
        <f>+IF(Tabla13[[#This Row],[Proyectado USD]]&gt;0,1,-1)</f>
        <v>-1</v>
      </c>
      <c r="I325" s="15"/>
      <c r="J325" s="21"/>
      <c r="K325" s="3">
        <f>+IF(Tabla13[[#This Row],[Emitido USD]]&gt;0,1,-1)</f>
        <v>1</v>
      </c>
      <c r="L325" s="73">
        <v>46127</v>
      </c>
      <c r="M325" s="3">
        <v>1</v>
      </c>
      <c r="N325" s="22">
        <v>23282</v>
      </c>
      <c r="O325" s="6" t="s">
        <v>797</v>
      </c>
      <c r="P325" s="76">
        <v>46137</v>
      </c>
      <c r="Q325" s="3">
        <f>+IF(Tabla13[[#This Row],[Facturado USD]]&gt;0,1,-1)</f>
        <v>1</v>
      </c>
      <c r="R325" s="22">
        <v>23282</v>
      </c>
      <c r="S325" s="3">
        <f>+IF(Tabla13[[#This Row],[Ingresado USD]]&gt;0,1,-1)</f>
        <v>-1</v>
      </c>
      <c r="T325" s="78">
        <v>46228</v>
      </c>
      <c r="U325" s="22"/>
      <c r="V325" s="3"/>
    </row>
    <row r="326" spans="1:22" s="30" customFormat="1" ht="12" hidden="1" customHeight="1" x14ac:dyDescent="0.2">
      <c r="A326" s="3">
        <v>529</v>
      </c>
      <c r="B326" s="3" t="s">
        <v>762</v>
      </c>
      <c r="C32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Mosaic_Cajati LOM Open Pit</v>
      </c>
      <c r="D326" s="3" t="s">
        <v>767</v>
      </c>
      <c r="E326" s="3" t="s">
        <v>236</v>
      </c>
      <c r="F326" s="3" t="s">
        <v>235</v>
      </c>
      <c r="G326" s="3">
        <v>2026</v>
      </c>
      <c r="H326" s="3">
        <f>+IF(Tabla13[[#This Row],[Proyectado USD]]&gt;0,1,-1)</f>
        <v>-1</v>
      </c>
      <c r="I326" s="15"/>
      <c r="J326" s="21"/>
      <c r="K326" s="3">
        <f>+IF(Tabla13[[#This Row],[Emitido USD]]&gt;0,1,-1)</f>
        <v>1</v>
      </c>
      <c r="L326" s="73">
        <v>46127</v>
      </c>
      <c r="M326" s="3">
        <v>2</v>
      </c>
      <c r="N326" s="22">
        <v>24000</v>
      </c>
      <c r="O326" s="6">
        <v>13</v>
      </c>
      <c r="P326" s="76">
        <v>46137</v>
      </c>
      <c r="Q326" s="3">
        <f>+IF(Tabla13[[#This Row],[Facturado USD]]&gt;0,1,-1)</f>
        <v>1</v>
      </c>
      <c r="R326" s="22">
        <v>24000</v>
      </c>
      <c r="S326" s="3">
        <f>+IF(Tabla13[[#This Row],[Ingresado USD]]&gt;0,1,-1)</f>
        <v>-1</v>
      </c>
      <c r="T326" s="78">
        <v>46228</v>
      </c>
      <c r="U326" s="22"/>
      <c r="V326" s="3"/>
    </row>
    <row r="327" spans="1:22" s="30" customFormat="1" ht="12" hidden="1" x14ac:dyDescent="0.2">
      <c r="A327" s="3">
        <v>16</v>
      </c>
      <c r="B327" s="3" t="s">
        <v>780</v>
      </c>
      <c r="C32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AESA_Construccion Rampas Mina Justa</v>
      </c>
      <c r="D327" s="3" t="s">
        <v>782</v>
      </c>
      <c r="E327" s="3" t="s">
        <v>548</v>
      </c>
      <c r="F327" s="3" t="s">
        <v>318</v>
      </c>
      <c r="G327" s="3">
        <v>2026</v>
      </c>
      <c r="H327" s="3">
        <f>+IF(Tabla13[[#This Row],[Proyectado USD]]&gt;0,1,-1)</f>
        <v>-1</v>
      </c>
      <c r="I327" s="15"/>
      <c r="J327" s="21"/>
      <c r="K327" s="3">
        <f>+IF(Tabla13[[#This Row],[Emitido USD]]&gt;0,1,-1)</f>
        <v>1</v>
      </c>
      <c r="L327" s="73">
        <v>46111</v>
      </c>
      <c r="M327" s="3">
        <v>1</v>
      </c>
      <c r="N327" s="22">
        <v>19302</v>
      </c>
      <c r="O327" s="6" t="s">
        <v>798</v>
      </c>
      <c r="P327" s="76">
        <v>46132</v>
      </c>
      <c r="Q327" s="3">
        <f>+IF(Tabla13[[#This Row],[Facturado USD]]&gt;0,1,-1)</f>
        <v>1</v>
      </c>
      <c r="R327" s="22">
        <v>19302</v>
      </c>
      <c r="S327" s="3">
        <f>+IF(Tabla13[[#This Row],[Ingresado USD]]&gt;0,1,-1)</f>
        <v>1</v>
      </c>
      <c r="T327" s="78">
        <v>46139</v>
      </c>
      <c r="U327" s="37">
        <v>19302</v>
      </c>
      <c r="V327" s="3"/>
    </row>
    <row r="328" spans="1:22" s="30" customFormat="1" ht="12" hidden="1" x14ac:dyDescent="0.2">
      <c r="A328" s="3">
        <v>327</v>
      </c>
      <c r="B328" s="3" t="s">
        <v>298</v>
      </c>
      <c r="C32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Estrategia Cobre Panama</v>
      </c>
      <c r="D328" s="3" t="s">
        <v>199</v>
      </c>
      <c r="E328" s="3" t="s">
        <v>299</v>
      </c>
      <c r="F328" s="3" t="s">
        <v>300</v>
      </c>
      <c r="G328" s="3">
        <v>2025</v>
      </c>
      <c r="H328" s="3">
        <f>+IF(Tabla13[[#This Row],[Proyectado USD]]&gt;0,1,-1)</f>
        <v>-1</v>
      </c>
      <c r="I328" s="15"/>
      <c r="J328" s="21"/>
      <c r="K328" s="3">
        <f>+IF(Tabla13[[#This Row],[Emitido USD]]&gt;0,1,-1)</f>
        <v>1</v>
      </c>
      <c r="L328" s="73">
        <v>45713</v>
      </c>
      <c r="M328" s="3">
        <v>1</v>
      </c>
      <c r="N328" s="22">
        <v>82861</v>
      </c>
      <c r="O328" s="6" t="s">
        <v>164</v>
      </c>
      <c r="P328" s="78">
        <v>45803</v>
      </c>
      <c r="Q328" s="3">
        <f>+IF(Tabla13[[#This Row],[Facturado USD]]&gt;0,1,-1)</f>
        <v>1</v>
      </c>
      <c r="R328" s="22">
        <v>82861</v>
      </c>
      <c r="S328" s="3">
        <f>+IF(Tabla13[[#This Row],[Ingresado USD]]&gt;0,1,-1)</f>
        <v>1</v>
      </c>
      <c r="T328" s="78">
        <v>45810</v>
      </c>
      <c r="U328" s="22">
        <v>82861</v>
      </c>
      <c r="V328" s="3" t="s">
        <v>300</v>
      </c>
    </row>
    <row r="329" spans="1:22" ht="12" hidden="1" x14ac:dyDescent="0.2">
      <c r="A329" s="3">
        <v>328</v>
      </c>
      <c r="B329" s="3" t="s">
        <v>298</v>
      </c>
      <c r="C32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Estrategia Cobre Panama</v>
      </c>
      <c r="D329" s="3" t="s">
        <v>199</v>
      </c>
      <c r="E329" s="3" t="s">
        <v>299</v>
      </c>
      <c r="F329" s="3" t="s">
        <v>300</v>
      </c>
      <c r="G329" s="3">
        <v>2025</v>
      </c>
      <c r="H329" s="3">
        <f>+IF(Tabla13[[#This Row],[Proyectado USD]]&gt;0,1,-1)</f>
        <v>-1</v>
      </c>
      <c r="I329" s="15"/>
      <c r="J329" s="21"/>
      <c r="K329" s="3">
        <f>+IF(Tabla13[[#This Row],[Emitido USD]]&gt;0,1,-1)</f>
        <v>1</v>
      </c>
      <c r="L329" s="73">
        <v>45741</v>
      </c>
      <c r="M329" s="3">
        <v>2</v>
      </c>
      <c r="N329" s="22">
        <v>89646</v>
      </c>
      <c r="O329" s="6" t="s">
        <v>164</v>
      </c>
      <c r="P329" s="78">
        <v>45803</v>
      </c>
      <c r="Q329" s="3">
        <f>+IF(Tabla13[[#This Row],[Facturado USD]]&gt;0,1,-1)</f>
        <v>1</v>
      </c>
      <c r="R329" s="22">
        <v>89646</v>
      </c>
      <c r="S329" s="3">
        <f>+IF(Tabla13[[#This Row],[Ingresado USD]]&gt;0,1,-1)</f>
        <v>1</v>
      </c>
      <c r="T329" s="78">
        <v>45810</v>
      </c>
      <c r="U329" s="22">
        <v>89646</v>
      </c>
      <c r="V329" s="3" t="s">
        <v>300</v>
      </c>
    </row>
    <row r="330" spans="1:22" ht="12" hidden="1" x14ac:dyDescent="0.2">
      <c r="A330" s="3">
        <v>329</v>
      </c>
      <c r="B330" s="3" t="s">
        <v>298</v>
      </c>
      <c r="C33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Estrategia Cobre Panama</v>
      </c>
      <c r="D330" s="3" t="s">
        <v>199</v>
      </c>
      <c r="E330" s="3" t="s">
        <v>299</v>
      </c>
      <c r="F330" s="3" t="s">
        <v>300</v>
      </c>
      <c r="G330" s="3">
        <v>2025</v>
      </c>
      <c r="H330" s="3">
        <f>+IF(Tabla13[[#This Row],[Proyectado USD]]&gt;0,1,-1)</f>
        <v>-1</v>
      </c>
      <c r="I330" s="15"/>
      <c r="J330" s="21"/>
      <c r="K330" s="3">
        <f>+IF(Tabla13[[#This Row],[Emitido USD]]&gt;0,1,-1)</f>
        <v>1</v>
      </c>
      <c r="L330" s="73">
        <v>45859</v>
      </c>
      <c r="M330" s="3">
        <v>3</v>
      </c>
      <c r="N330" s="22">
        <v>99524</v>
      </c>
      <c r="O330" s="25" t="s">
        <v>164</v>
      </c>
      <c r="P330" s="78">
        <v>45862</v>
      </c>
      <c r="Q330" s="3">
        <f>+IF(Tabla13[[#This Row],[Facturado USD]]&gt;0,1,-1)</f>
        <v>1</v>
      </c>
      <c r="R330" s="22">
        <v>99524</v>
      </c>
      <c r="S330" s="3">
        <f>+IF(Tabla13[[#This Row],[Ingresado USD]]&gt;0,1,-1)</f>
        <v>1</v>
      </c>
      <c r="T330" s="78">
        <v>45897</v>
      </c>
      <c r="U330" s="22">
        <v>99524</v>
      </c>
      <c r="V330" s="3" t="s">
        <v>300</v>
      </c>
    </row>
    <row r="331" spans="1:22" ht="12" hidden="1" x14ac:dyDescent="0.2">
      <c r="A331" s="3">
        <v>330</v>
      </c>
      <c r="B331" s="3" t="s">
        <v>125</v>
      </c>
      <c r="C33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Estudio con Faja Transportadora</v>
      </c>
      <c r="D331" s="30" t="s">
        <v>17</v>
      </c>
      <c r="E331" s="30" t="s">
        <v>333</v>
      </c>
      <c r="F331" s="30" t="s">
        <v>318</v>
      </c>
      <c r="G331" s="30">
        <v>2023</v>
      </c>
      <c r="H331" s="30">
        <f>+IF(Tabla13[[#This Row],[Proyectado USD]]&gt;0,1,-1)</f>
        <v>-1</v>
      </c>
      <c r="I331" s="30"/>
      <c r="J331" s="31"/>
      <c r="K331" s="30">
        <f>+IF(Tabla13[[#This Row],[Emitido USD]]&gt;0,1,-1)</f>
        <v>1</v>
      </c>
      <c r="L331" s="74">
        <v>44916</v>
      </c>
      <c r="M331" s="30">
        <v>1</v>
      </c>
      <c r="N331" s="35">
        <v>15716.25</v>
      </c>
      <c r="O331" s="32" t="s">
        <v>126</v>
      </c>
      <c r="P331" s="74">
        <v>44953</v>
      </c>
      <c r="Q331" s="30">
        <f>+IF(Tabla13[[#This Row],[Facturado USD]]&gt;0,1,-1)</f>
        <v>1</v>
      </c>
      <c r="R331" s="35">
        <v>15176</v>
      </c>
      <c r="S331" s="3">
        <f>+IF(Tabla13[[#This Row],[Ingresado USD]]&gt;0,1,-1)</f>
        <v>1</v>
      </c>
      <c r="T331" s="74">
        <v>44973</v>
      </c>
      <c r="U331" s="35">
        <v>15176</v>
      </c>
      <c r="V331" s="30"/>
    </row>
    <row r="332" spans="1:22" ht="12" hidden="1" x14ac:dyDescent="0.2">
      <c r="A332" s="3">
        <v>331</v>
      </c>
      <c r="B332" s="3" t="s">
        <v>125</v>
      </c>
      <c r="C33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Estudio con Faja Transportadora</v>
      </c>
      <c r="D332" s="30" t="s">
        <v>17</v>
      </c>
      <c r="E332" s="30" t="s">
        <v>333</v>
      </c>
      <c r="F332" s="30" t="s">
        <v>318</v>
      </c>
      <c r="G332" s="30">
        <v>2023</v>
      </c>
      <c r="H332" s="30">
        <f>+IF(Tabla13[[#This Row],[Proyectado USD]]&gt;0,1,-1)</f>
        <v>-1</v>
      </c>
      <c r="I332" s="30"/>
      <c r="J332" s="31"/>
      <c r="K332" s="30">
        <f>+IF(Tabla13[[#This Row],[Emitido USD]]&gt;0,1,-1)</f>
        <v>1</v>
      </c>
      <c r="L332" s="74">
        <v>44978</v>
      </c>
      <c r="M332" s="30">
        <v>2</v>
      </c>
      <c r="N332" s="35">
        <v>35043.75</v>
      </c>
      <c r="O332" s="32" t="s">
        <v>127</v>
      </c>
      <c r="P332" s="74">
        <v>44988</v>
      </c>
      <c r="Q332" s="30">
        <f>+IF(Tabla13[[#This Row],[Facturado USD]]&gt;0,1,-1)</f>
        <v>1</v>
      </c>
      <c r="R332" s="35">
        <v>35043.75</v>
      </c>
      <c r="S332" s="3">
        <f>+IF(Tabla13[[#This Row],[Ingresado USD]]&gt;0,1,-1)</f>
        <v>1</v>
      </c>
      <c r="T332" s="74">
        <v>45110</v>
      </c>
      <c r="U332" s="35">
        <v>35043.75</v>
      </c>
      <c r="V332" s="30"/>
    </row>
    <row r="333" spans="1:22" ht="12" hidden="1" x14ac:dyDescent="0.2">
      <c r="A333" s="3">
        <v>332</v>
      </c>
      <c r="C333" s="3" t="s">
        <v>468</v>
      </c>
      <c r="D333" s="3" t="s">
        <v>468</v>
      </c>
      <c r="E333" s="3" t="s">
        <v>468</v>
      </c>
      <c r="F333" s="3" t="s">
        <v>469</v>
      </c>
      <c r="G333" s="3">
        <v>2024</v>
      </c>
      <c r="H333" s="3">
        <f>+IF(Tabla13[[#This Row],[Proyectado USD]]&gt;0,1,-1)</f>
        <v>-1</v>
      </c>
      <c r="I333" s="15"/>
      <c r="J333" s="21"/>
      <c r="K333" s="3">
        <f>+IF(Tabla13[[#This Row],[Emitido USD]]&gt;0,1,-1)</f>
        <v>1</v>
      </c>
      <c r="L333" s="73">
        <v>45541</v>
      </c>
      <c r="M333" s="3">
        <v>1</v>
      </c>
      <c r="N333" s="22">
        <v>7150</v>
      </c>
      <c r="O333" s="6" t="s">
        <v>164</v>
      </c>
      <c r="P333" s="76">
        <v>45541</v>
      </c>
      <c r="Q333" s="3">
        <f>+IF(Tabla13[[#This Row],[Facturado USD]]&gt;0,1,-1)</f>
        <v>1</v>
      </c>
      <c r="R333" s="22">
        <v>7150</v>
      </c>
      <c r="S333" s="3">
        <f>+IF(Tabla13[[#This Row],[Ingresado USD]]&gt;0,1,-1)</f>
        <v>1</v>
      </c>
      <c r="T333" s="78">
        <v>45558</v>
      </c>
      <c r="U333" s="22">
        <v>7150</v>
      </c>
      <c r="V333" s="3" t="s">
        <v>470</v>
      </c>
    </row>
    <row r="334" spans="1:22" ht="12" hidden="1" x14ac:dyDescent="0.2">
      <c r="A334" s="3">
        <v>333</v>
      </c>
      <c r="C334" s="3" t="s">
        <v>468</v>
      </c>
      <c r="D334" s="3" t="s">
        <v>468</v>
      </c>
      <c r="E334" s="3" t="s">
        <v>468</v>
      </c>
      <c r="F334" s="3" t="s">
        <v>469</v>
      </c>
      <c r="G334" s="3">
        <v>2025</v>
      </c>
      <c r="H334" s="3">
        <f>+IF(Tabla13[[#This Row],[Proyectado USD]]&gt;0,1,-1)</f>
        <v>-1</v>
      </c>
      <c r="I334" s="15"/>
      <c r="J334" s="21"/>
      <c r="K334" s="3">
        <f>+IF(Tabla13[[#This Row],[Emitido USD]]&gt;0,1,-1)</f>
        <v>-1</v>
      </c>
      <c r="L334" s="73"/>
      <c r="M334" s="3" t="s">
        <v>630</v>
      </c>
      <c r="N334" s="22">
        <v>0</v>
      </c>
      <c r="O334" s="6" t="s">
        <v>164</v>
      </c>
      <c r="P334" s="76">
        <v>45868</v>
      </c>
      <c r="Q334" s="3">
        <f>+IF(Tabla13[[#This Row],[Facturado USD]]&gt;0,1,-1)</f>
        <v>1</v>
      </c>
      <c r="R334" s="22">
        <v>20000</v>
      </c>
      <c r="S334" s="3">
        <f>+IF(Tabla13[[#This Row],[Ingresado USD]]&gt;0,1,-1)</f>
        <v>1</v>
      </c>
      <c r="T334" s="78">
        <v>45877</v>
      </c>
      <c r="U334" s="22">
        <v>20000</v>
      </c>
    </row>
    <row r="335" spans="1:22" ht="12" x14ac:dyDescent="0.2">
      <c r="A335" s="3">
        <v>334</v>
      </c>
      <c r="B335" s="3" t="s">
        <v>462</v>
      </c>
      <c r="C33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Eurochem_Himmelfarb Deposit</v>
      </c>
      <c r="D335" s="56" t="s">
        <v>463</v>
      </c>
      <c r="E335" s="3" t="s">
        <v>464</v>
      </c>
      <c r="F335" s="3" t="s">
        <v>465</v>
      </c>
      <c r="G335" s="3">
        <v>2024</v>
      </c>
      <c r="H335" s="3">
        <f>+IF(Tabla13[[#This Row],[Proyectado USD]]&gt;0,1,-1)</f>
        <v>-1</v>
      </c>
      <c r="I335" s="15"/>
      <c r="J335" s="21"/>
      <c r="K335" s="3">
        <f>+IF(Tabla13[[#This Row],[Emitido USD]]&gt;0,1,-1)</f>
        <v>1</v>
      </c>
      <c r="L335" s="73">
        <v>45498</v>
      </c>
      <c r="M335" s="3">
        <v>1</v>
      </c>
      <c r="N335" s="22">
        <v>76050</v>
      </c>
      <c r="O335" s="6" t="s">
        <v>164</v>
      </c>
      <c r="P335" s="76">
        <v>45582</v>
      </c>
      <c r="Q335" s="3">
        <f>+IF(Tabla13[[#This Row],[Facturado USD]]&gt;0,1,-1)</f>
        <v>1</v>
      </c>
      <c r="R335" s="22">
        <v>76050</v>
      </c>
      <c r="S335" s="3">
        <f>+IF(Tabla13[[#This Row],[Ingresado USD]]&gt;0,1,-1)</f>
        <v>1</v>
      </c>
      <c r="T335" s="78">
        <v>45582</v>
      </c>
      <c r="U335" s="22">
        <v>76050</v>
      </c>
    </row>
    <row r="336" spans="1:22" ht="12" x14ac:dyDescent="0.2">
      <c r="A336" s="3">
        <v>335</v>
      </c>
      <c r="B336" s="3" t="s">
        <v>462</v>
      </c>
      <c r="C33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Eurochem_Himmelfarb Deposit</v>
      </c>
      <c r="D336" s="3" t="s">
        <v>463</v>
      </c>
      <c r="E336" s="3" t="s">
        <v>464</v>
      </c>
      <c r="F336" s="3" t="s">
        <v>465</v>
      </c>
      <c r="G336" s="3">
        <v>2024</v>
      </c>
      <c r="H336" s="3">
        <f>+IF(Tabla13[[#This Row],[Proyectado USD]]&gt;0,1,-1)</f>
        <v>-1</v>
      </c>
      <c r="I336" s="15"/>
      <c r="J336" s="21"/>
      <c r="K336" s="3">
        <f>+IF(Tabla13[[#This Row],[Emitido USD]]&gt;0,1,-1)</f>
        <v>1</v>
      </c>
      <c r="L336" s="73">
        <v>45651</v>
      </c>
      <c r="M336" s="3">
        <v>2</v>
      </c>
      <c r="N336" s="22">
        <v>76050</v>
      </c>
      <c r="O336" s="6" t="s">
        <v>164</v>
      </c>
      <c r="P336" s="76">
        <v>45651</v>
      </c>
      <c r="Q336" s="3">
        <f>+IF(Tabla13[[#This Row],[Facturado USD]]&gt;0,1,-1)</f>
        <v>1</v>
      </c>
      <c r="R336" s="22">
        <v>76050</v>
      </c>
      <c r="S336" s="3">
        <f>+IF(Tabla13[[#This Row],[Ingresado USD]]&gt;0,1,-1)</f>
        <v>1</v>
      </c>
      <c r="T336" s="78">
        <v>45652</v>
      </c>
      <c r="U336" s="22">
        <v>76050</v>
      </c>
    </row>
    <row r="337" spans="1:22" ht="12" hidden="1" x14ac:dyDescent="0.2">
      <c r="A337" s="3">
        <v>336</v>
      </c>
      <c r="B337" s="3" t="s">
        <v>641</v>
      </c>
      <c r="C33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FN_Oko West project review</v>
      </c>
      <c r="D337" s="3" t="s">
        <v>642</v>
      </c>
      <c r="E337" s="3" t="s">
        <v>643</v>
      </c>
      <c r="F337" s="3" t="s">
        <v>469</v>
      </c>
      <c r="G337" s="3">
        <v>2025</v>
      </c>
      <c r="H337" s="3">
        <f>+IF(Tabla13[[#This Row],[Proyectado USD]]&gt;0,1,-1)</f>
        <v>-1</v>
      </c>
      <c r="I337" s="15"/>
      <c r="J337" s="21"/>
      <c r="K337" s="3">
        <f>+IF(Tabla13[[#This Row],[Emitido USD]]&gt;0,1,-1)</f>
        <v>1</v>
      </c>
      <c r="L337" s="73">
        <v>45945</v>
      </c>
      <c r="M337" s="3">
        <v>1</v>
      </c>
      <c r="N337" s="22">
        <v>52075</v>
      </c>
      <c r="O337" s="6" t="s">
        <v>164</v>
      </c>
      <c r="P337" s="76">
        <v>45945</v>
      </c>
      <c r="Q337" s="3">
        <f>+IF(Tabla13[[#This Row],[Facturado USD]]&gt;0,1,-1)</f>
        <v>1</v>
      </c>
      <c r="R337" s="22">
        <v>52075</v>
      </c>
      <c r="S337" s="3">
        <f>+IF(Tabla13[[#This Row],[Ingresado USD]]&gt;0,1,-1)</f>
        <v>1</v>
      </c>
      <c r="T337" s="78">
        <v>46002</v>
      </c>
      <c r="U337" s="22">
        <v>52075</v>
      </c>
    </row>
    <row r="338" spans="1:22" ht="12" hidden="1" x14ac:dyDescent="0.2">
      <c r="A338" s="3">
        <v>230</v>
      </c>
      <c r="B338" s="3" t="s">
        <v>737</v>
      </c>
      <c r="C33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Codelco_Auditoria Recursos y Reservas</v>
      </c>
      <c r="D338" s="3" t="s">
        <v>720</v>
      </c>
      <c r="E338" s="3" t="s">
        <v>291</v>
      </c>
      <c r="F338" s="3" t="s">
        <v>251</v>
      </c>
      <c r="G338" s="3">
        <v>2026</v>
      </c>
      <c r="H338" s="3">
        <f>+IF(Tabla13[[#This Row],[Proyectado USD]]&gt;0,1,-1)</f>
        <v>1</v>
      </c>
      <c r="I338" s="15">
        <v>46082</v>
      </c>
      <c r="J338" s="21">
        <v>154795</v>
      </c>
      <c r="K338" s="3">
        <f>+IF(Tabla13[[#This Row],[Emitido USD]]&gt;0,1,-1)</f>
        <v>1</v>
      </c>
      <c r="L338" s="73">
        <v>46111</v>
      </c>
      <c r="M338" s="3">
        <v>2</v>
      </c>
      <c r="N338" s="22">
        <v>94715</v>
      </c>
      <c r="O338" s="6" t="s">
        <v>842</v>
      </c>
      <c r="P338" s="76"/>
      <c r="Q338" s="3">
        <f>+IF(Tabla13[[#This Row],[Facturado USD]]&gt;0,1,-1)</f>
        <v>-1</v>
      </c>
      <c r="S338" s="3">
        <f>+IF(Tabla13[[#This Row],[Ingresado USD]]&gt;0,1,-1)</f>
        <v>-1</v>
      </c>
      <c r="T338" s="78"/>
    </row>
    <row r="339" spans="1:22" ht="12" hidden="1" x14ac:dyDescent="0.2">
      <c r="A339" s="3">
        <v>264</v>
      </c>
      <c r="B339" s="3" t="s">
        <v>741</v>
      </c>
      <c r="C33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Collahuasi_Mine Compliance 2026</v>
      </c>
      <c r="D339" s="3" t="s">
        <v>725</v>
      </c>
      <c r="E339" s="3" t="s">
        <v>648</v>
      </c>
      <c r="F339" s="3" t="s">
        <v>251</v>
      </c>
      <c r="G339" s="3">
        <v>2026</v>
      </c>
      <c r="H339" s="3">
        <f>+IF(Tabla13[[#This Row],[Proyectado USD]]&gt;0,1,-1)</f>
        <v>1</v>
      </c>
      <c r="I339" s="15">
        <v>46082</v>
      </c>
      <c r="J339" s="21">
        <v>13143</v>
      </c>
      <c r="K339" s="3">
        <f>+IF(Tabla13[[#This Row],[Emitido USD]]&gt;0,1,-1)</f>
        <v>1</v>
      </c>
      <c r="L339" s="73">
        <v>46111</v>
      </c>
      <c r="M339" s="3">
        <v>2</v>
      </c>
      <c r="N339" s="22">
        <v>40729</v>
      </c>
      <c r="O339" s="6">
        <v>390</v>
      </c>
      <c r="P339" s="76">
        <v>46118</v>
      </c>
      <c r="Q339" s="3">
        <f>+IF(Tabla13[[#This Row],[Facturado USD]]&gt;0,1,-1)</f>
        <v>1</v>
      </c>
      <c r="R339" s="22">
        <v>40729</v>
      </c>
      <c r="S339" s="3">
        <f>+IF(Tabla13[[#This Row],[Ingresado USD]]&gt;0,1,-1)</f>
        <v>1</v>
      </c>
      <c r="T339" s="78">
        <v>46129</v>
      </c>
      <c r="U339" s="37">
        <v>40729</v>
      </c>
      <c r="V339" s="86"/>
    </row>
    <row r="340" spans="1:22" ht="12" hidden="1" x14ac:dyDescent="0.2">
      <c r="A340" s="3">
        <v>339</v>
      </c>
      <c r="B340" s="3" t="s">
        <v>334</v>
      </c>
      <c r="C34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Glencore_Coroccohuayco_OptimizacionLOM</v>
      </c>
      <c r="D340" s="3" t="s">
        <v>335</v>
      </c>
      <c r="E340" s="3" t="s">
        <v>306</v>
      </c>
      <c r="F340" s="3" t="s">
        <v>318</v>
      </c>
      <c r="G340" s="3">
        <v>2024</v>
      </c>
      <c r="H340" s="3">
        <f>+IF(Tabla13[[#This Row],[Proyectado USD]]&gt;0,1,-1)</f>
        <v>1</v>
      </c>
      <c r="I340" s="15">
        <v>45383</v>
      </c>
      <c r="J340" s="21">
        <v>88024</v>
      </c>
      <c r="K340" s="3">
        <f>+IF(Tabla13[[#This Row],[Emitido USD]]&gt;0,1,-1)</f>
        <v>1</v>
      </c>
      <c r="L340" s="73">
        <v>45400</v>
      </c>
      <c r="M340" s="3">
        <v>1</v>
      </c>
      <c r="N340" s="22">
        <v>85103</v>
      </c>
      <c r="O340" s="6" t="s">
        <v>336</v>
      </c>
      <c r="P340" s="76">
        <v>45427</v>
      </c>
      <c r="Q340" s="3">
        <f>+IF(Tabla13[[#This Row],[Facturado USD]]&gt;0,1,-1)</f>
        <v>1</v>
      </c>
      <c r="R340" s="22">
        <v>85103</v>
      </c>
      <c r="S340" s="3">
        <f>+IF(Tabla13[[#This Row],[Ingresado USD]]&gt;0,1,-1)</f>
        <v>1</v>
      </c>
      <c r="T340" s="78">
        <v>45562</v>
      </c>
      <c r="U340" s="22">
        <v>82549.91</v>
      </c>
    </row>
    <row r="341" spans="1:22" ht="12" hidden="1" x14ac:dyDescent="0.2">
      <c r="A341" s="3">
        <v>340</v>
      </c>
      <c r="B341" s="3" t="s">
        <v>334</v>
      </c>
      <c r="C34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Glencore_Coroccohuayco_OptimizacionLOM</v>
      </c>
      <c r="D341" s="3" t="s">
        <v>335</v>
      </c>
      <c r="E341" s="3" t="s">
        <v>306</v>
      </c>
      <c r="F341" s="3" t="s">
        <v>318</v>
      </c>
      <c r="G341" s="3">
        <v>2024</v>
      </c>
      <c r="H341" s="3">
        <f>+IF(Tabla13[[#This Row],[Proyectado USD]]&gt;0,1,-1)</f>
        <v>-1</v>
      </c>
      <c r="I341" s="15"/>
      <c r="J341" s="21"/>
      <c r="K341" s="3">
        <f>+IF(Tabla13[[#This Row],[Emitido USD]]&gt;0,1,-1)</f>
        <v>1</v>
      </c>
      <c r="L341" s="73">
        <v>45430</v>
      </c>
      <c r="M341" s="3">
        <v>2</v>
      </c>
      <c r="N341" s="22">
        <v>70709</v>
      </c>
      <c r="O341" s="6" t="s">
        <v>337</v>
      </c>
      <c r="P341" s="76">
        <v>45441</v>
      </c>
      <c r="Q341" s="3">
        <f>+IF(Tabla13[[#This Row],[Facturado USD]]&gt;0,1,-1)</f>
        <v>1</v>
      </c>
      <c r="R341" s="22">
        <v>70709</v>
      </c>
      <c r="S341" s="3">
        <f>+IF(Tabla13[[#This Row],[Ingresado USD]]&gt;0,1,-1)</f>
        <v>1</v>
      </c>
      <c r="T341" s="78">
        <v>45562</v>
      </c>
      <c r="U341" s="22">
        <v>70709.97</v>
      </c>
    </row>
    <row r="342" spans="1:22" s="30" customFormat="1" ht="12" hidden="1" x14ac:dyDescent="0.2">
      <c r="A342" s="3">
        <v>341</v>
      </c>
      <c r="B342" s="3" t="s">
        <v>334</v>
      </c>
      <c r="C34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Glencore_Coroccohuayco_OptimizacionLOM</v>
      </c>
      <c r="D342" s="56" t="s">
        <v>335</v>
      </c>
      <c r="E342" s="3" t="s">
        <v>306</v>
      </c>
      <c r="F342" s="3" t="s">
        <v>318</v>
      </c>
      <c r="G342" s="3">
        <v>2024</v>
      </c>
      <c r="H342" s="3">
        <f>+IF(Tabla13[[#This Row],[Proyectado USD]]&gt;0,1,-1)</f>
        <v>-1</v>
      </c>
      <c r="I342" s="15"/>
      <c r="J342" s="21"/>
      <c r="K342" s="3">
        <f>+IF(Tabla13[[#This Row],[Emitido USD]]&gt;0,1,-1)</f>
        <v>1</v>
      </c>
      <c r="L342" s="73">
        <v>45498</v>
      </c>
      <c r="M342" s="55">
        <v>3</v>
      </c>
      <c r="N342" s="22">
        <v>42188</v>
      </c>
      <c r="O342" s="6" t="s">
        <v>338</v>
      </c>
      <c r="P342" s="76">
        <v>45524</v>
      </c>
      <c r="Q342" s="3">
        <f>+IF(Tabla13[[#This Row],[Facturado USD]]&gt;0,1,-1)</f>
        <v>1</v>
      </c>
      <c r="R342" s="22">
        <v>40869</v>
      </c>
      <c r="S342" s="3">
        <f>+IF(Tabla13[[#This Row],[Ingresado USD]]&gt;0,1,-1)</f>
        <v>1</v>
      </c>
      <c r="T342" s="78">
        <v>45583</v>
      </c>
      <c r="U342" s="22">
        <v>40036</v>
      </c>
      <c r="V342" s="3"/>
    </row>
    <row r="343" spans="1:22" s="30" customFormat="1" ht="12" hidden="1" x14ac:dyDescent="0.2">
      <c r="A343" s="3">
        <v>342</v>
      </c>
      <c r="B343" s="3" t="s">
        <v>666</v>
      </c>
      <c r="C34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Glencore_Estrategia de Propiedades CMLB</v>
      </c>
      <c r="D343" s="3" t="s">
        <v>667</v>
      </c>
      <c r="E343" s="3" t="s">
        <v>306</v>
      </c>
      <c r="F343" s="3" t="s">
        <v>251</v>
      </c>
      <c r="G343" s="3">
        <v>2025</v>
      </c>
      <c r="H343" s="3">
        <f>+IF(Tabla13[[#This Row],[Proyectado USD]]&gt;0,1,-1)</f>
        <v>-1</v>
      </c>
      <c r="I343" s="15"/>
      <c r="J343" s="21"/>
      <c r="K343" s="3">
        <f>+IF(Tabla13[[#This Row],[Emitido USD]]&gt;0,1,-1)</f>
        <v>1</v>
      </c>
      <c r="L343" s="73">
        <v>45984</v>
      </c>
      <c r="M343" s="3">
        <v>1</v>
      </c>
      <c r="N343" s="22">
        <v>87783</v>
      </c>
      <c r="O343" s="6">
        <v>361</v>
      </c>
      <c r="P343" s="76">
        <v>45986</v>
      </c>
      <c r="Q343" s="3">
        <f>+IF(Tabla13[[#This Row],[Facturado USD]]&gt;0,1,-1)</f>
        <v>1</v>
      </c>
      <c r="R343" s="22">
        <v>87783</v>
      </c>
      <c r="S343" s="3">
        <f>+IF(Tabla13[[#This Row],[Ingresado USD]]&gt;0,1,-1)</f>
        <v>1</v>
      </c>
      <c r="T343" s="78">
        <v>46038</v>
      </c>
      <c r="U343" s="22">
        <v>87783</v>
      </c>
      <c r="V343" s="3"/>
    </row>
    <row r="344" spans="1:22" s="30" customFormat="1" ht="12" hidden="1" x14ac:dyDescent="0.2">
      <c r="A344" s="3">
        <v>343</v>
      </c>
      <c r="B344" s="3" t="s">
        <v>666</v>
      </c>
      <c r="C34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Glencore_Estrategia de Propiedades CMLB</v>
      </c>
      <c r="D344" s="3" t="s">
        <v>667</v>
      </c>
      <c r="E344" s="3" t="s">
        <v>306</v>
      </c>
      <c r="F344" s="3" t="s">
        <v>251</v>
      </c>
      <c r="G344" s="3">
        <v>2025</v>
      </c>
      <c r="H344" s="3">
        <f>+IF(Tabla13[[#This Row],[Proyectado USD]]&gt;0,1,-1)</f>
        <v>-1</v>
      </c>
      <c r="I344" s="15"/>
      <c r="J344" s="21"/>
      <c r="K344" s="3">
        <f>+IF(Tabla13[[#This Row],[Emitido USD]]&gt;0,1,-1)</f>
        <v>1</v>
      </c>
      <c r="L344" s="73">
        <v>46008</v>
      </c>
      <c r="M344" s="3">
        <v>2</v>
      </c>
      <c r="N344" s="22">
        <v>110857</v>
      </c>
      <c r="O344" s="6">
        <v>373</v>
      </c>
      <c r="P344" s="76">
        <v>46008</v>
      </c>
      <c r="Q344" s="3">
        <f>+IF(Tabla13[[#This Row],[Facturado USD]]&gt;0,1,-1)</f>
        <v>1</v>
      </c>
      <c r="R344" s="22">
        <v>110857</v>
      </c>
      <c r="S344" s="3">
        <f>+IF(Tabla13[[#This Row],[Ingresado USD]]&gt;0,1,-1)</f>
        <v>1</v>
      </c>
      <c r="T344" s="78">
        <v>46045</v>
      </c>
      <c r="U344" s="22">
        <v>110857</v>
      </c>
      <c r="V344" s="3"/>
    </row>
    <row r="345" spans="1:22" s="30" customFormat="1" ht="12" hidden="1" x14ac:dyDescent="0.2">
      <c r="A345" s="3">
        <v>344</v>
      </c>
      <c r="B345" s="3" t="s">
        <v>301</v>
      </c>
      <c r="C34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Glencore_MineHaul y MinePlan Lomas Bayas</v>
      </c>
      <c r="D345" s="3" t="s">
        <v>302</v>
      </c>
      <c r="E345" s="3" t="s">
        <v>250</v>
      </c>
      <c r="F345" s="3" t="s">
        <v>251</v>
      </c>
      <c r="G345" s="3">
        <v>2024</v>
      </c>
      <c r="H345" s="3">
        <f>+IF(Tabla13[[#This Row],[Proyectado USD]]&gt;0,1,-1)</f>
        <v>-1</v>
      </c>
      <c r="I345" s="15"/>
      <c r="J345" s="21"/>
      <c r="K345" s="3">
        <f>+IF(Tabla13[[#This Row],[Emitido USD]]&gt;0,1,-1)</f>
        <v>1</v>
      </c>
      <c r="L345" s="73">
        <v>45527</v>
      </c>
      <c r="M345" s="3">
        <v>1</v>
      </c>
      <c r="N345" s="52">
        <v>12000</v>
      </c>
      <c r="O345" s="6">
        <v>215</v>
      </c>
      <c r="P345" s="76">
        <v>45547</v>
      </c>
      <c r="Q345" s="3">
        <f>+IF(Tabla13[[#This Row],[Facturado USD]]&gt;0,1,-1)</f>
        <v>1</v>
      </c>
      <c r="R345" s="22">
        <v>12000</v>
      </c>
      <c r="S345" s="3">
        <f>+IF(Tabla13[[#This Row],[Ingresado USD]]&gt;0,1,-1)</f>
        <v>1</v>
      </c>
      <c r="T345" s="78">
        <v>45576</v>
      </c>
      <c r="U345" s="22">
        <v>12000</v>
      </c>
      <c r="V345" s="3"/>
    </row>
    <row r="346" spans="1:22" s="30" customFormat="1" ht="12" hidden="1" x14ac:dyDescent="0.2">
      <c r="A346" s="3">
        <v>268</v>
      </c>
      <c r="B346" s="3" t="s">
        <v>736</v>
      </c>
      <c r="C34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Collahuasi_Valor Incorporación Chx.03</v>
      </c>
      <c r="D346" s="3" t="s">
        <v>721</v>
      </c>
      <c r="E346" s="3" t="s">
        <v>648</v>
      </c>
      <c r="F346" s="3" t="s">
        <v>251</v>
      </c>
      <c r="G346" s="3">
        <v>2026</v>
      </c>
      <c r="H346" s="3">
        <f>+IF(Tabla13[[#This Row],[Proyectado USD]]&gt;0,1,-1)</f>
        <v>1</v>
      </c>
      <c r="I346" s="15">
        <v>46082</v>
      </c>
      <c r="J346" s="21">
        <v>14826</v>
      </c>
      <c r="K346" s="3">
        <f>+IF(Tabla13[[#This Row],[Emitido USD]]&gt;0,1,-1)</f>
        <v>1</v>
      </c>
      <c r="L346" s="73">
        <v>46111</v>
      </c>
      <c r="M346" s="3">
        <v>2</v>
      </c>
      <c r="N346" s="22">
        <v>13416</v>
      </c>
      <c r="O346" s="6">
        <v>396</v>
      </c>
      <c r="P346" s="76">
        <v>46169</v>
      </c>
      <c r="Q346" s="3">
        <f>+IF(Tabla13[[#This Row],[Facturado USD]]&gt;0,1,-1)</f>
        <v>1</v>
      </c>
      <c r="R346" s="22">
        <v>13416</v>
      </c>
      <c r="S346" s="3">
        <f>+IF(Tabla13[[#This Row],[Ingresado USD]]&gt;0,1,-1)</f>
        <v>1</v>
      </c>
      <c r="T346" s="78">
        <v>46178</v>
      </c>
      <c r="U346" s="22">
        <v>13416</v>
      </c>
      <c r="V346" s="3"/>
    </row>
    <row r="347" spans="1:22" s="30" customFormat="1" ht="12" hidden="1" x14ac:dyDescent="0.2">
      <c r="A347" s="3">
        <v>298</v>
      </c>
      <c r="B347" s="3" t="s">
        <v>702</v>
      </c>
      <c r="C34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ElBrocal_Estudio Geomecanico Estabilidad</v>
      </c>
      <c r="D347" s="3" t="s">
        <v>703</v>
      </c>
      <c r="E347" s="3" t="s">
        <v>333</v>
      </c>
      <c r="F347" s="3" t="s">
        <v>318</v>
      </c>
      <c r="G347" s="3">
        <v>2026</v>
      </c>
      <c r="H347" s="3">
        <f>+IF(Tabla13[[#This Row],[Proyectado USD]]&gt;0,1,-1)</f>
        <v>1</v>
      </c>
      <c r="I347" s="15">
        <v>46082</v>
      </c>
      <c r="J347" s="21">
        <v>35000</v>
      </c>
      <c r="K347" s="3">
        <f>+IF(Tabla13[[#This Row],[Emitido USD]]&gt;0,1,-1)</f>
        <v>1</v>
      </c>
      <c r="L347" s="73">
        <v>46111</v>
      </c>
      <c r="M347" s="3">
        <v>3</v>
      </c>
      <c r="N347" s="22">
        <v>35429</v>
      </c>
      <c r="O347" s="6" t="s">
        <v>788</v>
      </c>
      <c r="P347" s="76">
        <v>46118</v>
      </c>
      <c r="Q347" s="3">
        <f>+IF(Tabla13[[#This Row],[Facturado USD]]&gt;0,1,-1)</f>
        <v>1</v>
      </c>
      <c r="R347" s="22">
        <v>35429</v>
      </c>
      <c r="S347" s="3">
        <f>+IF(Tabla13[[#This Row],[Ingresado USD]]&gt;0,1,-1)</f>
        <v>1</v>
      </c>
      <c r="T347" s="78">
        <v>46136</v>
      </c>
      <c r="U347" s="37">
        <v>35429</v>
      </c>
      <c r="V347" s="3"/>
    </row>
    <row r="348" spans="1:22" s="30" customFormat="1" ht="12" hidden="1" x14ac:dyDescent="0.2">
      <c r="A348" s="3">
        <v>302</v>
      </c>
      <c r="B348" s="3" t="s">
        <v>740</v>
      </c>
      <c r="C34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Emincar_Los Castellanos_UG</v>
      </c>
      <c r="D348" s="3" t="s">
        <v>722</v>
      </c>
      <c r="E348" s="3" t="s">
        <v>701</v>
      </c>
      <c r="F348" s="3" t="s">
        <v>318</v>
      </c>
      <c r="G348" s="3">
        <v>2026</v>
      </c>
      <c r="H348" s="3">
        <f>+IF(Tabla13[[#This Row],[Proyectado USD]]&gt;0,1,-1)</f>
        <v>1</v>
      </c>
      <c r="I348" s="15">
        <v>46082</v>
      </c>
      <c r="J348" s="21">
        <v>62000</v>
      </c>
      <c r="K348" s="3">
        <f>+IF(Tabla13[[#This Row],[Emitido USD]]&gt;0,1,-1)</f>
        <v>1</v>
      </c>
      <c r="L348" s="73">
        <v>46111</v>
      </c>
      <c r="M348" s="3">
        <v>2</v>
      </c>
      <c r="N348" s="22">
        <v>60047</v>
      </c>
      <c r="O348" s="6" t="s">
        <v>789</v>
      </c>
      <c r="P348" s="76">
        <v>46113</v>
      </c>
      <c r="Q348" s="3">
        <f>+IF(Tabla13[[#This Row],[Facturado USD]]&gt;0,1,-1)</f>
        <v>1</v>
      </c>
      <c r="R348" s="22">
        <v>60047</v>
      </c>
      <c r="S348" s="3">
        <f>+IF(Tabla13[[#This Row],[Ingresado USD]]&gt;0,1,-1)</f>
        <v>-1</v>
      </c>
      <c r="T348" s="78">
        <v>46174</v>
      </c>
      <c r="U348" s="22"/>
      <c r="V348" s="3"/>
    </row>
    <row r="349" spans="1:22" s="30" customFormat="1" ht="12" hidden="1" x14ac:dyDescent="0.2">
      <c r="A349" s="3">
        <v>313</v>
      </c>
      <c r="B349" s="3" t="s">
        <v>738</v>
      </c>
      <c r="C34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ERG_Parámetros estabilidad taludes</v>
      </c>
      <c r="D349" s="3" t="s">
        <v>723</v>
      </c>
      <c r="E349" s="3" t="s">
        <v>739</v>
      </c>
      <c r="F349" s="3" t="s">
        <v>251</v>
      </c>
      <c r="G349" s="3">
        <v>2026</v>
      </c>
      <c r="H349" s="3">
        <f>+IF(Tabla13[[#This Row],[Proyectado USD]]&gt;0,1,-1)</f>
        <v>1</v>
      </c>
      <c r="I349" s="15">
        <v>46082</v>
      </c>
      <c r="J349" s="21">
        <v>35000</v>
      </c>
      <c r="K349" s="3">
        <f>+IF(Tabla13[[#This Row],[Emitido USD]]&gt;0,1,-1)</f>
        <v>1</v>
      </c>
      <c r="L349" s="73">
        <v>46111</v>
      </c>
      <c r="M349" s="3">
        <v>2</v>
      </c>
      <c r="N349" s="22">
        <v>41900</v>
      </c>
      <c r="O349" s="6" t="s">
        <v>164</v>
      </c>
      <c r="P349" s="76">
        <v>46129</v>
      </c>
      <c r="Q349" s="3">
        <f>+IF(Tabla13[[#This Row],[Facturado USD]]&gt;0,1,-1)</f>
        <v>1</v>
      </c>
      <c r="R349" s="22">
        <v>41900</v>
      </c>
      <c r="S349" s="3">
        <f>+IF(Tabla13[[#This Row],[Ingresado USD]]&gt;0,1,-1)</f>
        <v>-1</v>
      </c>
      <c r="T349" s="78">
        <v>46159</v>
      </c>
      <c r="U349" s="22"/>
      <c r="V349" s="3"/>
    </row>
    <row r="350" spans="1:22" ht="12" hidden="1" x14ac:dyDescent="0.2">
      <c r="A350" s="3">
        <v>337</v>
      </c>
      <c r="B350" s="3" t="s">
        <v>743</v>
      </c>
      <c r="C35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Freeport_GBC Restart Strategy Services</v>
      </c>
      <c r="D350" s="3" t="s">
        <v>724</v>
      </c>
      <c r="E350" s="3" t="s">
        <v>744</v>
      </c>
      <c r="F350" s="3" t="s">
        <v>469</v>
      </c>
      <c r="G350" s="3">
        <v>2026</v>
      </c>
      <c r="H350" s="3">
        <f>+IF(Tabla13[[#This Row],[Proyectado USD]]&gt;0,1,-1)</f>
        <v>1</v>
      </c>
      <c r="I350" s="15">
        <v>46082</v>
      </c>
      <c r="J350" s="21">
        <v>90000</v>
      </c>
      <c r="K350" s="3">
        <f>+IF(Tabla13[[#This Row],[Emitido USD]]&gt;0,1,-1)</f>
        <v>1</v>
      </c>
      <c r="L350" s="73">
        <v>46111</v>
      </c>
      <c r="M350" s="3">
        <v>1</v>
      </c>
      <c r="N350" s="22">
        <v>169414</v>
      </c>
      <c r="O350" s="6" t="s">
        <v>164</v>
      </c>
      <c r="P350" s="76">
        <v>46153</v>
      </c>
      <c r="Q350" s="3">
        <f>+IF(Tabla13[[#This Row],[Facturado USD]]&gt;0,1,-1)</f>
        <v>1</v>
      </c>
      <c r="R350" s="22">
        <v>169414</v>
      </c>
      <c r="S350" s="3">
        <f>+IF(Tabla13[[#This Row],[Ingresado USD]]&gt;0,1,-1)</f>
        <v>-1</v>
      </c>
      <c r="T350" s="78">
        <v>46183</v>
      </c>
    </row>
    <row r="351" spans="1:22" ht="12" hidden="1" x14ac:dyDescent="0.2">
      <c r="A351" s="3">
        <v>345</v>
      </c>
      <c r="B351" s="3" t="s">
        <v>763</v>
      </c>
      <c r="C35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Glencore_Mining Simulation Mara</v>
      </c>
      <c r="D351" s="3" t="s">
        <v>768</v>
      </c>
      <c r="E351" s="3" t="s">
        <v>306</v>
      </c>
      <c r="F351" s="3" t="s">
        <v>251</v>
      </c>
      <c r="G351" s="3">
        <v>2026</v>
      </c>
      <c r="H351" s="3">
        <f>+IF(Tabla13[[#This Row],[Proyectado USD]]&gt;0,1,-1)</f>
        <v>1</v>
      </c>
      <c r="I351" s="15">
        <v>46082</v>
      </c>
      <c r="J351" s="21">
        <v>50000</v>
      </c>
      <c r="K351" s="3">
        <f>+IF(Tabla13[[#This Row],[Emitido USD]]&gt;0,1,-1)</f>
        <v>1</v>
      </c>
      <c r="L351" s="73">
        <v>46111</v>
      </c>
      <c r="M351" s="3">
        <v>1</v>
      </c>
      <c r="N351" s="22">
        <v>56120</v>
      </c>
      <c r="O351" s="6">
        <v>100</v>
      </c>
      <c r="P351" s="76">
        <v>46177</v>
      </c>
      <c r="Q351" s="3">
        <f>+IF(Tabla13[[#This Row],[Facturado USD]]&gt;0,1,-1)</f>
        <v>1</v>
      </c>
      <c r="R351" s="22">
        <v>76190</v>
      </c>
      <c r="S351" s="3">
        <f>+IF(Tabla13[[#This Row],[Ingresado USD]]&gt;0,1,-1)</f>
        <v>-1</v>
      </c>
      <c r="T351" s="78">
        <v>46207</v>
      </c>
    </row>
    <row r="352" spans="1:22" ht="12" hidden="1" x14ac:dyDescent="0.2">
      <c r="A352" s="3">
        <v>347</v>
      </c>
      <c r="B352" s="3" t="s">
        <v>765</v>
      </c>
      <c r="C35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Hecla_Lucky Friday Mine</v>
      </c>
      <c r="D352" s="3" t="s">
        <v>770</v>
      </c>
      <c r="E352" s="3" t="s">
        <v>807</v>
      </c>
      <c r="F352" s="3" t="s">
        <v>469</v>
      </c>
      <c r="G352" s="3">
        <v>2026</v>
      </c>
      <c r="H352" s="3">
        <f>+IF(Tabla13[[#This Row],[Proyectado USD]]&gt;0,1,-1)</f>
        <v>1</v>
      </c>
      <c r="I352" s="15">
        <v>46082</v>
      </c>
      <c r="J352" s="21">
        <v>28500</v>
      </c>
      <c r="K352" s="3">
        <f>+IF(Tabla13[[#This Row],[Emitido USD]]&gt;0,1,-1)</f>
        <v>1</v>
      </c>
      <c r="L352" s="73">
        <v>46111</v>
      </c>
      <c r="M352" s="3">
        <v>1</v>
      </c>
      <c r="N352" s="22">
        <v>27609</v>
      </c>
      <c r="O352" s="6" t="s">
        <v>164</v>
      </c>
      <c r="P352" s="76">
        <v>46119</v>
      </c>
      <c r="Q352" s="3">
        <f>+IF(Tabla13[[#This Row],[Facturado USD]]&gt;0,1,-1)</f>
        <v>1</v>
      </c>
      <c r="R352" s="22">
        <v>27609</v>
      </c>
      <c r="S352" s="3">
        <f>+IF(Tabla13[[#This Row],[Ingresado USD]]&gt;0,1,-1)</f>
        <v>1</v>
      </c>
      <c r="T352" s="78">
        <v>46150</v>
      </c>
      <c r="U352" s="22">
        <v>27609</v>
      </c>
    </row>
    <row r="353" spans="1:22" ht="12" hidden="1" x14ac:dyDescent="0.2">
      <c r="A353" s="3">
        <v>352</v>
      </c>
      <c r="B353" s="3" t="s">
        <v>704</v>
      </c>
      <c r="C35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Hochschild_FS Metodos de Minado Tesoro</v>
      </c>
      <c r="D353" s="3" t="s">
        <v>705</v>
      </c>
      <c r="E353" s="3" t="s">
        <v>706</v>
      </c>
      <c r="F353" s="3" t="s">
        <v>318</v>
      </c>
      <c r="G353" s="3">
        <v>2026</v>
      </c>
      <c r="H353" s="3">
        <f>+IF(Tabla13[[#This Row],[Proyectado USD]]&gt;0,1,-1)</f>
        <v>1</v>
      </c>
      <c r="I353" s="15">
        <v>46082</v>
      </c>
      <c r="J353" s="21">
        <v>32185</v>
      </c>
      <c r="K353" s="3">
        <f>+IF(Tabla13[[#This Row],[Emitido USD]]&gt;0,1,-1)</f>
        <v>1</v>
      </c>
      <c r="L353" s="73">
        <v>46111</v>
      </c>
      <c r="M353" s="3">
        <v>3</v>
      </c>
      <c r="N353" s="22">
        <v>20091</v>
      </c>
      <c r="O353" s="6" t="s">
        <v>69</v>
      </c>
      <c r="P353" s="76"/>
      <c r="Q353" s="3">
        <f>+IF(Tabla13[[#This Row],[Facturado USD]]&gt;0,1,-1)</f>
        <v>-1</v>
      </c>
      <c r="S353" s="3">
        <f>+IF(Tabla13[[#This Row],[Ingresado USD]]&gt;0,1,-1)</f>
        <v>-1</v>
      </c>
      <c r="T353" s="78"/>
    </row>
    <row r="354" spans="1:22" ht="12" hidden="1" x14ac:dyDescent="0.2">
      <c r="A354" s="3">
        <v>354</v>
      </c>
      <c r="B354" s="3" t="s">
        <v>781</v>
      </c>
      <c r="C35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Hochschild_LOM UG Royropata</v>
      </c>
      <c r="D354" s="3" t="s">
        <v>783</v>
      </c>
      <c r="E354" s="3" t="s">
        <v>706</v>
      </c>
      <c r="F354" s="3" t="s">
        <v>318</v>
      </c>
      <c r="G354" s="3">
        <v>2026</v>
      </c>
      <c r="H354" s="3">
        <f>+IF(Tabla13[[#This Row],[Proyectado USD]]&gt;0,1,-1)</f>
        <v>-1</v>
      </c>
      <c r="I354" s="15"/>
      <c r="J354" s="21"/>
      <c r="K354" s="3">
        <f>+IF(Tabla13[[#This Row],[Emitido USD]]&gt;0,1,-1)</f>
        <v>1</v>
      </c>
      <c r="L354" s="73">
        <v>46111</v>
      </c>
      <c r="M354" s="3">
        <v>1</v>
      </c>
      <c r="N354" s="22">
        <v>15900</v>
      </c>
      <c r="O354" s="6" t="s">
        <v>786</v>
      </c>
      <c r="P354" s="76">
        <v>46121</v>
      </c>
      <c r="Q354" s="3">
        <f>+IF(Tabla13[[#This Row],[Facturado USD]]&gt;0,1,-1)</f>
        <v>1</v>
      </c>
      <c r="R354" s="22">
        <v>15900</v>
      </c>
      <c r="S354" s="3">
        <f>+IF(Tabla13[[#This Row],[Ingresado USD]]&gt;0,1,-1)</f>
        <v>1</v>
      </c>
      <c r="T354" s="78">
        <v>46139</v>
      </c>
      <c r="U354" s="37">
        <v>15900</v>
      </c>
    </row>
    <row r="355" spans="1:22" ht="12" hidden="1" x14ac:dyDescent="0.2">
      <c r="A355" s="3">
        <v>668</v>
      </c>
      <c r="B355" s="3" t="s">
        <v>766</v>
      </c>
      <c r="C35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South32_Clark Project</v>
      </c>
      <c r="D355" s="3" t="s">
        <v>771</v>
      </c>
      <c r="E355" s="3" t="s">
        <v>808</v>
      </c>
      <c r="F355" s="3" t="s">
        <v>469</v>
      </c>
      <c r="G355" s="3">
        <v>2026</v>
      </c>
      <c r="H355" s="3">
        <f>+IF(Tabla13[[#This Row],[Proyectado USD]]&gt;0,1,-1)</f>
        <v>1</v>
      </c>
      <c r="I355" s="15">
        <v>46082</v>
      </c>
      <c r="J355" s="21">
        <v>28325</v>
      </c>
      <c r="K355" s="3">
        <f>+IF(Tabla13[[#This Row],[Emitido USD]]&gt;0,1,-1)</f>
        <v>1</v>
      </c>
      <c r="L355" s="73">
        <v>46111</v>
      </c>
      <c r="M355" s="3">
        <v>1</v>
      </c>
      <c r="N355" s="22">
        <v>38203</v>
      </c>
      <c r="O355" s="6" t="s">
        <v>164</v>
      </c>
      <c r="P355" s="76">
        <v>46113</v>
      </c>
      <c r="Q355" s="3">
        <f>+IF(Tabla13[[#This Row],[Facturado USD]]&gt;0,1,-1)</f>
        <v>1</v>
      </c>
      <c r="R355" s="22">
        <v>38203</v>
      </c>
      <c r="S355" s="3">
        <f>+IF(Tabla13[[#This Row],[Ingresado USD]]&gt;0,1,-1)</f>
        <v>1</v>
      </c>
      <c r="T355" s="78">
        <v>46144</v>
      </c>
      <c r="U355" s="22">
        <v>38204</v>
      </c>
    </row>
    <row r="356" spans="1:22" s="30" customFormat="1" ht="12" hidden="1" x14ac:dyDescent="0.2">
      <c r="A356" s="3">
        <v>355</v>
      </c>
      <c r="B356" s="3" t="s">
        <v>339</v>
      </c>
      <c r="C35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Hudbay_Actualización Riesgo Sísmico</v>
      </c>
      <c r="D356" s="3" t="s">
        <v>220</v>
      </c>
      <c r="E356" s="3" t="s">
        <v>340</v>
      </c>
      <c r="F356" s="3" t="s">
        <v>318</v>
      </c>
      <c r="G356" s="3">
        <v>2025</v>
      </c>
      <c r="H356" s="3">
        <f>+IF(Tabla13[[#This Row],[Proyectado USD]]&gt;0,1,-1)</f>
        <v>-1</v>
      </c>
      <c r="I356" s="15"/>
      <c r="J356" s="21"/>
      <c r="K356" s="3">
        <f>+IF(Tabla13[[#This Row],[Emitido USD]]&gt;0,1,-1)</f>
        <v>1</v>
      </c>
      <c r="L356" s="73">
        <v>45804</v>
      </c>
      <c r="M356" s="3">
        <v>1</v>
      </c>
      <c r="N356" s="22">
        <v>36720</v>
      </c>
      <c r="O356" s="6" t="s">
        <v>341</v>
      </c>
      <c r="P356" s="76">
        <v>45820</v>
      </c>
      <c r="Q356" s="3">
        <f>+IF(Tabla13[[#This Row],[Facturado USD]]&gt;0,1,-1)</f>
        <v>1</v>
      </c>
      <c r="R356" s="22">
        <v>36720</v>
      </c>
      <c r="S356" s="3">
        <f>+IF(Tabla13[[#This Row],[Ingresado USD]]&gt;0,1,-1)</f>
        <v>1</v>
      </c>
      <c r="T356" s="78">
        <v>45877</v>
      </c>
      <c r="U356" s="21">
        <v>36720</v>
      </c>
      <c r="V356" s="3"/>
    </row>
    <row r="357" spans="1:22" s="30" customFormat="1" ht="12" x14ac:dyDescent="0.2">
      <c r="A357" s="3">
        <v>81</v>
      </c>
      <c r="B357" s="3" t="s">
        <v>733</v>
      </c>
      <c r="C35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AtlasMining_Ley de corte optima Malomyr</v>
      </c>
      <c r="D357" s="3" t="s">
        <v>719</v>
      </c>
      <c r="E357" s="3" t="s">
        <v>735</v>
      </c>
      <c r="F357" s="3" t="s">
        <v>465</v>
      </c>
      <c r="G357" s="3">
        <v>2026</v>
      </c>
      <c r="H357" s="3">
        <f>+IF(Tabla13[[#This Row],[Proyectado USD]]&gt;0,1,-1)</f>
        <v>1</v>
      </c>
      <c r="I357" s="15">
        <v>46078</v>
      </c>
      <c r="J357" s="21">
        <v>27078.712469569924</v>
      </c>
      <c r="K357" s="3">
        <f>+IF(Tabla13[[#This Row],[Emitido USD]]&gt;0,1,-1)</f>
        <v>1</v>
      </c>
      <c r="L357" s="73">
        <v>46107</v>
      </c>
      <c r="M357" s="3">
        <v>3</v>
      </c>
      <c r="N357" s="22">
        <v>15000</v>
      </c>
      <c r="O357" s="6" t="s">
        <v>164</v>
      </c>
      <c r="P357" s="76">
        <v>46107</v>
      </c>
      <c r="Q357" s="3">
        <f>+IF(Tabla13[[#This Row],[Facturado USD]]&gt;0,1,-1)</f>
        <v>1</v>
      </c>
      <c r="R357" s="22">
        <v>15000</v>
      </c>
      <c r="S357" s="3">
        <f>+IF(Tabla13[[#This Row],[Ingresado USD]]&gt;0,1,-1)</f>
        <v>1</v>
      </c>
      <c r="T357" s="78">
        <v>46138</v>
      </c>
      <c r="U357" s="37">
        <v>15000</v>
      </c>
      <c r="V357" s="3"/>
    </row>
    <row r="358" spans="1:22" s="30" customFormat="1" ht="12" hidden="1" x14ac:dyDescent="0.2">
      <c r="A358" s="3">
        <v>357</v>
      </c>
      <c r="B358" s="3" t="s">
        <v>140</v>
      </c>
      <c r="C35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ITS Yauricocha</v>
      </c>
      <c r="D358" s="30" t="s">
        <v>25</v>
      </c>
      <c r="E358" s="30" t="s">
        <v>322</v>
      </c>
      <c r="F358" s="30" t="s">
        <v>318</v>
      </c>
      <c r="G358" s="30">
        <v>2023</v>
      </c>
      <c r="H358" s="30">
        <f>+IF(Tabla13[[#This Row],[Proyectado USD]]&gt;0,1,-1)</f>
        <v>-1</v>
      </c>
      <c r="J358" s="31"/>
      <c r="K358" s="30">
        <f>+IF(Tabla13[[#This Row],[Emitido USD]]&gt;0,1,-1)</f>
        <v>1</v>
      </c>
      <c r="L358" s="74">
        <v>44978</v>
      </c>
      <c r="M358" s="30">
        <v>1</v>
      </c>
      <c r="N358" s="35">
        <v>18991</v>
      </c>
      <c r="O358" s="32" t="s">
        <v>141</v>
      </c>
      <c r="P358" s="74">
        <v>44985</v>
      </c>
      <c r="Q358" s="30">
        <f>+IF(Tabla13[[#This Row],[Facturado USD]]&gt;0,1,-1)</f>
        <v>1</v>
      </c>
      <c r="R358" s="35">
        <v>18991</v>
      </c>
      <c r="S358" s="3">
        <f>+IF(Tabla13[[#This Row],[Ingresado USD]]&gt;0,1,-1)</f>
        <v>1</v>
      </c>
      <c r="T358" s="74">
        <v>44993</v>
      </c>
      <c r="U358" s="35">
        <v>18991</v>
      </c>
    </row>
    <row r="359" spans="1:22" s="30" customFormat="1" ht="12" hidden="1" x14ac:dyDescent="0.2">
      <c r="A359" s="3">
        <v>358</v>
      </c>
      <c r="B359" s="3" t="s">
        <v>477</v>
      </c>
      <c r="C35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IvanhoeElectric_Mine Planning Support</v>
      </c>
      <c r="D359" s="3" t="s">
        <v>478</v>
      </c>
      <c r="E359" s="3" t="s">
        <v>479</v>
      </c>
      <c r="F359" s="3" t="s">
        <v>469</v>
      </c>
      <c r="G359" s="3">
        <v>2024</v>
      </c>
      <c r="H359" s="3">
        <f>+IF(Tabla13[[#This Row],[Proyectado USD]]&gt;0,1,-1)</f>
        <v>-1</v>
      </c>
      <c r="I359" s="15"/>
      <c r="J359" s="21"/>
      <c r="K359" s="3">
        <f>+IF(Tabla13[[#This Row],[Emitido USD]]&gt;0,1,-1)</f>
        <v>1</v>
      </c>
      <c r="L359" s="73">
        <v>45498</v>
      </c>
      <c r="M359" s="3">
        <v>9</v>
      </c>
      <c r="N359" s="22">
        <v>16776</v>
      </c>
      <c r="O359" s="6">
        <v>9</v>
      </c>
      <c r="P359" s="76">
        <v>45510</v>
      </c>
      <c r="Q359" s="3">
        <f>+IF(Tabla13[[#This Row],[Facturado USD]]&gt;0,1,-1)</f>
        <v>1</v>
      </c>
      <c r="R359" s="22">
        <v>16776</v>
      </c>
      <c r="S359" s="3">
        <f>+IF(Tabla13[[#This Row],[Ingresado USD]]&gt;0,1,-1)</f>
        <v>1</v>
      </c>
      <c r="T359" s="78">
        <v>45531</v>
      </c>
      <c r="U359" s="22">
        <v>16776</v>
      </c>
      <c r="V359" s="3"/>
    </row>
    <row r="360" spans="1:22" s="30" customFormat="1" ht="12" hidden="1" x14ac:dyDescent="0.2">
      <c r="A360" s="3">
        <v>359</v>
      </c>
      <c r="B360" s="3" t="s">
        <v>477</v>
      </c>
      <c r="C36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IvanhoeElectric_Mine Planning Support</v>
      </c>
      <c r="D360" s="3" t="s">
        <v>478</v>
      </c>
      <c r="E360" s="3" t="s">
        <v>479</v>
      </c>
      <c r="F360" s="3" t="s">
        <v>469</v>
      </c>
      <c r="G360" s="3">
        <v>2024</v>
      </c>
      <c r="H360" s="3">
        <f>+IF(Tabla13[[#This Row],[Proyectado USD]]&gt;0,1,-1)</f>
        <v>-1</v>
      </c>
      <c r="I360" s="15"/>
      <c r="J360" s="21"/>
      <c r="K360" s="3">
        <f>+IF(Tabla13[[#This Row],[Emitido USD]]&gt;0,1,-1)</f>
        <v>1</v>
      </c>
      <c r="L360" s="73">
        <v>45498</v>
      </c>
      <c r="M360" s="3">
        <v>10</v>
      </c>
      <c r="N360" s="22">
        <v>21370</v>
      </c>
      <c r="O360" s="6">
        <v>10</v>
      </c>
      <c r="P360" s="76">
        <v>45510</v>
      </c>
      <c r="Q360" s="3">
        <f>+IF(Tabla13[[#This Row],[Facturado USD]]&gt;0,1,-1)</f>
        <v>1</v>
      </c>
      <c r="R360" s="22">
        <v>21370</v>
      </c>
      <c r="S360" s="3">
        <f>+IF(Tabla13[[#This Row],[Ingresado USD]]&gt;0,1,-1)</f>
        <v>1</v>
      </c>
      <c r="T360" s="78">
        <v>45544</v>
      </c>
      <c r="U360" s="22">
        <v>21370</v>
      </c>
      <c r="V360" s="3"/>
    </row>
    <row r="361" spans="1:22" s="30" customFormat="1" ht="12" hidden="1" x14ac:dyDescent="0.2">
      <c r="A361" s="3">
        <v>360</v>
      </c>
      <c r="B361" s="3" t="s">
        <v>477</v>
      </c>
      <c r="C36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IvanhoeElectric_Mine Planning Support</v>
      </c>
      <c r="D361" s="3" t="s">
        <v>478</v>
      </c>
      <c r="E361" s="3" t="s">
        <v>479</v>
      </c>
      <c r="F361" s="3" t="s">
        <v>469</v>
      </c>
      <c r="G361" s="3">
        <v>2024</v>
      </c>
      <c r="H361" s="3">
        <f>+IF(Tabla13[[#This Row],[Proyectado USD]]&gt;0,1,-1)</f>
        <v>-1</v>
      </c>
      <c r="I361" s="15"/>
      <c r="J361" s="21"/>
      <c r="K361" s="3">
        <f>+IF(Tabla13[[#This Row],[Emitido USD]]&gt;0,1,-1)</f>
        <v>1</v>
      </c>
      <c r="L361" s="73">
        <v>45534</v>
      </c>
      <c r="M361" s="3">
        <v>11</v>
      </c>
      <c r="N361" s="22">
        <v>24596</v>
      </c>
      <c r="O361" s="6">
        <v>11</v>
      </c>
      <c r="P361" s="76">
        <v>45538</v>
      </c>
      <c r="Q361" s="3">
        <f>+IF(Tabla13[[#This Row],[Facturado USD]]&gt;0,1,-1)</f>
        <v>1</v>
      </c>
      <c r="R361" s="22">
        <v>24596</v>
      </c>
      <c r="S361" s="3">
        <f>+IF(Tabla13[[#This Row],[Ingresado USD]]&gt;0,1,-1)</f>
        <v>1</v>
      </c>
      <c r="T361" s="78">
        <v>45560</v>
      </c>
      <c r="U361" s="22">
        <v>24596</v>
      </c>
      <c r="V361" s="3"/>
    </row>
    <row r="362" spans="1:22" s="30" customFormat="1" ht="12" hidden="1" x14ac:dyDescent="0.2">
      <c r="A362" s="3">
        <v>361</v>
      </c>
      <c r="B362" s="3" t="s">
        <v>477</v>
      </c>
      <c r="C36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IvanhoeElectric_Mine Planning Support</v>
      </c>
      <c r="D362" s="3" t="s">
        <v>478</v>
      </c>
      <c r="E362" s="3" t="s">
        <v>479</v>
      </c>
      <c r="F362" s="3" t="s">
        <v>469</v>
      </c>
      <c r="G362" s="3">
        <v>2024</v>
      </c>
      <c r="H362" s="3">
        <f>+IF(Tabla13[[#This Row],[Proyectado USD]]&gt;0,1,-1)</f>
        <v>-1</v>
      </c>
      <c r="I362" s="15"/>
      <c r="J362" s="21"/>
      <c r="K362" s="3">
        <f>+IF(Tabla13[[#This Row],[Emitido USD]]&gt;0,1,-1)</f>
        <v>1</v>
      </c>
      <c r="L362" s="73">
        <v>45565</v>
      </c>
      <c r="M362" s="3">
        <v>12</v>
      </c>
      <c r="N362" s="21">
        <v>45925</v>
      </c>
      <c r="O362" s="6">
        <v>12</v>
      </c>
      <c r="P362" s="76">
        <v>45568</v>
      </c>
      <c r="Q362" s="3">
        <f>+IF(Tabla13[[#This Row],[Facturado USD]]&gt;0,1,-1)</f>
        <v>1</v>
      </c>
      <c r="R362" s="22">
        <v>45925</v>
      </c>
      <c r="S362" s="3">
        <f>+IF(Tabla13[[#This Row],[Ingresado USD]]&gt;0,1,-1)</f>
        <v>1</v>
      </c>
      <c r="T362" s="78">
        <v>45603</v>
      </c>
      <c r="U362" s="22">
        <v>45925</v>
      </c>
      <c r="V362" s="3"/>
    </row>
    <row r="363" spans="1:22" s="30" customFormat="1" ht="12" hidden="1" x14ac:dyDescent="0.2">
      <c r="A363" s="3">
        <v>362</v>
      </c>
      <c r="B363" s="3" t="s">
        <v>477</v>
      </c>
      <c r="C36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IvanhoeElectric_Mine Planning Support</v>
      </c>
      <c r="D363" s="3" t="s">
        <v>478</v>
      </c>
      <c r="E363" s="3" t="s">
        <v>479</v>
      </c>
      <c r="F363" s="3" t="s">
        <v>469</v>
      </c>
      <c r="G363" s="3">
        <v>2024</v>
      </c>
      <c r="H363" s="3">
        <f>+IF(Tabla13[[#This Row],[Proyectado USD]]&gt;0,1,-1)</f>
        <v>-1</v>
      </c>
      <c r="I363" s="15"/>
      <c r="J363" s="21"/>
      <c r="K363" s="3">
        <f>+IF(Tabla13[[#This Row],[Emitido USD]]&gt;0,1,-1)</f>
        <v>1</v>
      </c>
      <c r="L363" s="73">
        <v>45596</v>
      </c>
      <c r="M363" s="3">
        <v>13</v>
      </c>
      <c r="N363" s="52">
        <v>46640</v>
      </c>
      <c r="O363" s="6">
        <v>13</v>
      </c>
      <c r="P363" s="76">
        <v>45597</v>
      </c>
      <c r="Q363" s="3">
        <f>+IF(Tabla13[[#This Row],[Facturado USD]]&gt;0,1,-1)</f>
        <v>1</v>
      </c>
      <c r="R363" s="22">
        <v>46640</v>
      </c>
      <c r="S363" s="3">
        <f>+IF(Tabla13[[#This Row],[Ingresado USD]]&gt;0,1,-1)</f>
        <v>1</v>
      </c>
      <c r="T363" s="78">
        <v>45632</v>
      </c>
      <c r="U363" s="22">
        <v>46640</v>
      </c>
      <c r="V363" s="3"/>
    </row>
    <row r="364" spans="1:22" s="30" customFormat="1" ht="12" hidden="1" x14ac:dyDescent="0.2">
      <c r="A364" s="3">
        <v>363</v>
      </c>
      <c r="B364" s="3" t="s">
        <v>170</v>
      </c>
      <c r="C36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IvanhoeElectric_Santa-Cruz_PrePFS</v>
      </c>
      <c r="D364" s="3" t="s">
        <v>480</v>
      </c>
      <c r="E364" s="3" t="s">
        <v>479</v>
      </c>
      <c r="F364" s="3" t="s">
        <v>469</v>
      </c>
      <c r="G364" s="3">
        <v>2023</v>
      </c>
      <c r="H364" s="3">
        <f>+IF(Tabla13[[#This Row],[Proyectado USD]]&gt;0,1,-1)</f>
        <v>1</v>
      </c>
      <c r="I364" s="15">
        <v>45231</v>
      </c>
      <c r="J364" s="21">
        <v>26000</v>
      </c>
      <c r="K364" s="3">
        <f>+IF(Tabla13[[#This Row],[Emitido USD]]&gt;0,1,-1)</f>
        <v>1</v>
      </c>
      <c r="L364" s="73">
        <v>45250</v>
      </c>
      <c r="M364" s="34">
        <v>1</v>
      </c>
      <c r="N364" s="22">
        <v>35720</v>
      </c>
      <c r="O364" s="6">
        <v>1</v>
      </c>
      <c r="P364" s="76">
        <v>45265</v>
      </c>
      <c r="Q364" s="3">
        <f>+IF(Tabla13[[#This Row],[Facturado USD]]&gt;0,1,-1)</f>
        <v>1</v>
      </c>
      <c r="R364" s="22">
        <v>52804</v>
      </c>
      <c r="S364" s="3">
        <f>+IF(Tabla13[[#This Row],[Ingresado USD]]&gt;0,1,-1)</f>
        <v>1</v>
      </c>
      <c r="T364" s="78">
        <v>45336</v>
      </c>
      <c r="U364" s="22">
        <v>52804</v>
      </c>
      <c r="V364" s="3"/>
    </row>
    <row r="365" spans="1:22" s="30" customFormat="1" ht="12" hidden="1" x14ac:dyDescent="0.2">
      <c r="A365" s="3">
        <v>364</v>
      </c>
      <c r="B365" s="3" t="s">
        <v>170</v>
      </c>
      <c r="C36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IvanhoeElectric_Santa-Cruz_PrePFS</v>
      </c>
      <c r="D365" s="3" t="s">
        <v>480</v>
      </c>
      <c r="E365" s="3" t="s">
        <v>479</v>
      </c>
      <c r="F365" s="3" t="s">
        <v>469</v>
      </c>
      <c r="G365" s="3">
        <v>2023</v>
      </c>
      <c r="H365" s="3">
        <f>+IF(Tabla13[[#This Row],[Proyectado USD]]&gt;0,1,-1)</f>
        <v>1</v>
      </c>
      <c r="I365" s="15">
        <v>45261</v>
      </c>
      <c r="J365" s="21">
        <v>35720</v>
      </c>
      <c r="K365" s="3">
        <f>+IF(Tabla13[[#This Row],[Emitido USD]]&gt;0,1,-1)</f>
        <v>1</v>
      </c>
      <c r="L365" s="73">
        <v>45289</v>
      </c>
      <c r="M365" s="3">
        <v>2</v>
      </c>
      <c r="N365" s="22">
        <v>66664</v>
      </c>
      <c r="O365" s="6">
        <v>2</v>
      </c>
      <c r="P365" s="76">
        <v>45296</v>
      </c>
      <c r="Q365" s="3">
        <f>+IF(Tabla13[[#This Row],[Facturado USD]]&gt;0,1,-1)</f>
        <v>1</v>
      </c>
      <c r="R365" s="22">
        <v>66664</v>
      </c>
      <c r="S365" s="3">
        <f>+IF(Tabla13[[#This Row],[Ingresado USD]]&gt;0,1,-1)</f>
        <v>1</v>
      </c>
      <c r="T365" s="78">
        <v>45352</v>
      </c>
      <c r="U365" s="22">
        <v>66664</v>
      </c>
      <c r="V365" s="3"/>
    </row>
    <row r="366" spans="1:22" s="30" customFormat="1" ht="12" hidden="1" customHeight="1" x14ac:dyDescent="0.2">
      <c r="A366" s="3">
        <v>365</v>
      </c>
      <c r="B366" s="3" t="s">
        <v>170</v>
      </c>
      <c r="C36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IvanhoeElectric_Santa-Cruz_PrePFS</v>
      </c>
      <c r="D366" s="3" t="s">
        <v>480</v>
      </c>
      <c r="E366" s="3" t="s">
        <v>479</v>
      </c>
      <c r="F366" s="3" t="s">
        <v>469</v>
      </c>
      <c r="G366" s="3">
        <v>2024</v>
      </c>
      <c r="H366" s="3">
        <f>+IF(Tabla13[[#This Row],[Proyectado USD]]&gt;0,1,-1)</f>
        <v>1</v>
      </c>
      <c r="I366" s="15">
        <v>45292</v>
      </c>
      <c r="J366" s="49">
        <v>96554</v>
      </c>
      <c r="K366" s="3">
        <f>+IF(Tabla13[[#This Row],[Emitido USD]]&gt;0,1,-1)</f>
        <v>1</v>
      </c>
      <c r="L366" s="73">
        <v>45320</v>
      </c>
      <c r="M366" s="3">
        <v>3</v>
      </c>
      <c r="N366" s="22">
        <v>96319</v>
      </c>
      <c r="O366" s="6">
        <v>3</v>
      </c>
      <c r="P366" s="76">
        <v>45327</v>
      </c>
      <c r="Q366" s="3">
        <f>+IF(Tabla13[[#This Row],[Facturado USD]]&gt;0,1,-1)</f>
        <v>1</v>
      </c>
      <c r="R366" s="22">
        <v>96319</v>
      </c>
      <c r="S366" s="3">
        <f>+IF(Tabla13[[#This Row],[Ingresado USD]]&gt;0,1,-1)</f>
        <v>1</v>
      </c>
      <c r="T366" s="78">
        <v>45352</v>
      </c>
      <c r="U366" s="22">
        <v>96319</v>
      </c>
      <c r="V366" s="3"/>
    </row>
    <row r="367" spans="1:22" s="30" customFormat="1" ht="12" hidden="1" customHeight="1" x14ac:dyDescent="0.2">
      <c r="A367" s="3">
        <v>366</v>
      </c>
      <c r="B367" s="3" t="s">
        <v>170</v>
      </c>
      <c r="C36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IvanhoeElectric_Santa-Cruz_PrePFS</v>
      </c>
      <c r="D367" s="3" t="s">
        <v>480</v>
      </c>
      <c r="E367" s="3" t="s">
        <v>479</v>
      </c>
      <c r="F367" s="3" t="s">
        <v>469</v>
      </c>
      <c r="G367" s="3">
        <v>2024</v>
      </c>
      <c r="H367" s="3">
        <f>+IF(Tabla13[[#This Row],[Proyectado USD]]&gt;0,1,-1)</f>
        <v>1</v>
      </c>
      <c r="I367" s="15">
        <v>45323</v>
      </c>
      <c r="J367" s="49">
        <v>118000</v>
      </c>
      <c r="K367" s="3">
        <f>+IF(Tabla13[[#This Row],[Emitido USD]]&gt;0,1,-1)</f>
        <v>1</v>
      </c>
      <c r="L367" s="73">
        <v>45351</v>
      </c>
      <c r="M367" s="3">
        <v>4</v>
      </c>
      <c r="N367" s="22">
        <v>94543</v>
      </c>
      <c r="O367" s="6">
        <v>4</v>
      </c>
      <c r="P367" s="76">
        <v>45356</v>
      </c>
      <c r="Q367" s="3">
        <f>+IF(Tabla13[[#This Row],[Facturado USD]]&gt;0,1,-1)</f>
        <v>1</v>
      </c>
      <c r="R367" s="22">
        <v>102905</v>
      </c>
      <c r="S367" s="3">
        <f>+IF(Tabla13[[#This Row],[Ingresado USD]]&gt;0,1,-1)</f>
        <v>1</v>
      </c>
      <c r="T367" s="82">
        <v>45380</v>
      </c>
      <c r="U367" s="22">
        <v>102905</v>
      </c>
      <c r="V367" s="3"/>
    </row>
    <row r="368" spans="1:22" s="30" customFormat="1" ht="12" hidden="1" x14ac:dyDescent="0.2">
      <c r="A368" s="3">
        <v>367</v>
      </c>
      <c r="B368" s="3" t="s">
        <v>170</v>
      </c>
      <c r="C36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IvanhoeElectric_Santa-Cruz_PrePFS</v>
      </c>
      <c r="D368" s="3" t="s">
        <v>480</v>
      </c>
      <c r="E368" s="3" t="s">
        <v>479</v>
      </c>
      <c r="F368" s="3" t="s">
        <v>469</v>
      </c>
      <c r="G368" s="3">
        <v>2024</v>
      </c>
      <c r="H368" s="3">
        <f>+IF(Tabla13[[#This Row],[Proyectado USD]]&gt;0,1,-1)</f>
        <v>1</v>
      </c>
      <c r="I368" s="15">
        <v>45352</v>
      </c>
      <c r="J368" s="49">
        <v>118010</v>
      </c>
      <c r="K368" s="3">
        <f>+IF(Tabla13[[#This Row],[Emitido USD]]&gt;0,1,-1)</f>
        <v>1</v>
      </c>
      <c r="L368" s="73">
        <v>45376</v>
      </c>
      <c r="M368" s="3">
        <v>5</v>
      </c>
      <c r="N368" s="50">
        <v>118166</v>
      </c>
      <c r="O368" s="6">
        <v>5</v>
      </c>
      <c r="P368" s="76">
        <v>45384</v>
      </c>
      <c r="Q368" s="3">
        <f>+IF(Tabla13[[#This Row],[Facturado USD]]&gt;0,1,-1)</f>
        <v>1</v>
      </c>
      <c r="R368" s="22">
        <v>118166</v>
      </c>
      <c r="S368" s="3">
        <f>+IF(Tabla13[[#This Row],[Ingresado USD]]&gt;0,1,-1)</f>
        <v>1</v>
      </c>
      <c r="T368" s="78">
        <v>45429</v>
      </c>
      <c r="U368" s="52">
        <v>118166</v>
      </c>
      <c r="V368" s="3"/>
    </row>
    <row r="369" spans="1:22" s="30" customFormat="1" ht="12" hidden="1" x14ac:dyDescent="0.2">
      <c r="A369" s="3">
        <v>368</v>
      </c>
      <c r="B369" s="3" t="s">
        <v>170</v>
      </c>
      <c r="C36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IvanhoeElectric_Santa-Cruz_PrePFS</v>
      </c>
      <c r="D369" s="3" t="s">
        <v>480</v>
      </c>
      <c r="E369" s="3" t="s">
        <v>479</v>
      </c>
      <c r="F369" s="3" t="s">
        <v>469</v>
      </c>
      <c r="G369" s="3">
        <v>2024</v>
      </c>
      <c r="H369" s="3">
        <f>+IF(Tabla13[[#This Row],[Proyectado USD]]&gt;0,1,-1)</f>
        <v>1</v>
      </c>
      <c r="I369" s="15">
        <v>45383</v>
      </c>
      <c r="J369" s="21">
        <v>101918</v>
      </c>
      <c r="K369" s="3">
        <f>+IF(Tabla13[[#This Row],[Emitido USD]]&gt;0,1,-1)</f>
        <v>1</v>
      </c>
      <c r="L369" s="73">
        <v>45407</v>
      </c>
      <c r="M369" s="3">
        <v>6</v>
      </c>
      <c r="N369" s="22">
        <v>82732</v>
      </c>
      <c r="O369" s="6">
        <v>6</v>
      </c>
      <c r="P369" s="76">
        <v>45414</v>
      </c>
      <c r="Q369" s="3">
        <f>+IF(Tabla13[[#This Row],[Facturado USD]]&gt;0,1,-1)</f>
        <v>1</v>
      </c>
      <c r="R369" s="22">
        <v>70467</v>
      </c>
      <c r="S369" s="3">
        <f>+IF(Tabla13[[#This Row],[Ingresado USD]]&gt;0,1,-1)</f>
        <v>1</v>
      </c>
      <c r="T369" s="78">
        <v>45436</v>
      </c>
      <c r="U369" s="52">
        <v>70467</v>
      </c>
      <c r="V369" s="3"/>
    </row>
    <row r="370" spans="1:22" s="30" customFormat="1" ht="12" hidden="1" x14ac:dyDescent="0.2">
      <c r="A370" s="3">
        <v>369</v>
      </c>
      <c r="B370" s="3" t="s">
        <v>170</v>
      </c>
      <c r="C37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IvanhoeElectric_Santa-Cruz_PrePFS</v>
      </c>
      <c r="D370" s="3" t="s">
        <v>480</v>
      </c>
      <c r="E370" s="3" t="s">
        <v>479</v>
      </c>
      <c r="F370" s="3" t="s">
        <v>469</v>
      </c>
      <c r="G370" s="3">
        <v>2024</v>
      </c>
      <c r="H370" s="3">
        <f>+IF(Tabla13[[#This Row],[Proyectado USD]]&gt;0,1,-1)</f>
        <v>1</v>
      </c>
      <c r="I370" s="15">
        <v>45413</v>
      </c>
      <c r="J370" s="21">
        <v>44291</v>
      </c>
      <c r="K370" s="3">
        <f>+IF(Tabla13[[#This Row],[Emitido USD]]&gt;0,1,-1)</f>
        <v>1</v>
      </c>
      <c r="L370" s="73">
        <v>45435</v>
      </c>
      <c r="M370" s="3">
        <v>7</v>
      </c>
      <c r="N370" s="22">
        <v>44291</v>
      </c>
      <c r="O370" s="6">
        <v>7</v>
      </c>
      <c r="P370" s="76">
        <v>45447</v>
      </c>
      <c r="Q370" s="3">
        <f>+IF(Tabla13[[#This Row],[Facturado USD]]&gt;0,1,-1)</f>
        <v>1</v>
      </c>
      <c r="R370" s="22">
        <v>44291</v>
      </c>
      <c r="S370" s="3">
        <f>+IF(Tabla13[[#This Row],[Ingresado USD]]&gt;0,1,-1)</f>
        <v>1</v>
      </c>
      <c r="T370" s="78">
        <v>45468</v>
      </c>
      <c r="U370" s="22">
        <v>44291</v>
      </c>
      <c r="V370" s="3"/>
    </row>
    <row r="371" spans="1:22" s="30" customFormat="1" ht="12" hidden="1" x14ac:dyDescent="0.2">
      <c r="A371" s="3">
        <v>370</v>
      </c>
      <c r="B371" s="3" t="s">
        <v>170</v>
      </c>
      <c r="C37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IvanhoeElectric_Santa-Cruz_PrePFS</v>
      </c>
      <c r="D371" s="3" t="s">
        <v>480</v>
      </c>
      <c r="E371" s="3" t="s">
        <v>479</v>
      </c>
      <c r="F371" s="3" t="s">
        <v>469</v>
      </c>
      <c r="G371" s="3">
        <v>2024</v>
      </c>
      <c r="H371" s="3">
        <f>+IF(Tabla13[[#This Row],[Proyectado USD]]&gt;0,1,-1)</f>
        <v>1</v>
      </c>
      <c r="I371" s="15">
        <v>45444</v>
      </c>
      <c r="J371" s="21">
        <v>10240</v>
      </c>
      <c r="K371" s="3">
        <f>+IF(Tabla13[[#This Row],[Emitido USD]]&gt;0,1,-1)</f>
        <v>1</v>
      </c>
      <c r="L371" s="73">
        <v>45468</v>
      </c>
      <c r="M371" s="3">
        <v>8</v>
      </c>
      <c r="N371" s="22">
        <v>10240</v>
      </c>
      <c r="O371" s="6">
        <v>8</v>
      </c>
      <c r="P371" s="76">
        <v>45474</v>
      </c>
      <c r="Q371" s="3">
        <f>+IF(Tabla13[[#This Row],[Facturado USD]]&gt;0,1,-1)</f>
        <v>1</v>
      </c>
      <c r="R371" s="22">
        <v>10240</v>
      </c>
      <c r="S371" s="3">
        <f>+IF(Tabla13[[#This Row],[Ingresado USD]]&gt;0,1,-1)</f>
        <v>1</v>
      </c>
      <c r="T371" s="78">
        <v>45498</v>
      </c>
      <c r="U371" s="22">
        <v>10240</v>
      </c>
      <c r="V371" s="3"/>
    </row>
    <row r="372" spans="1:22" s="30" customFormat="1" ht="12" hidden="1" x14ac:dyDescent="0.2">
      <c r="A372" s="3">
        <v>371</v>
      </c>
      <c r="B372" s="3" t="s">
        <v>240</v>
      </c>
      <c r="C37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J&amp;F_Autazes Due Diligence</v>
      </c>
      <c r="D37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J&amp;F_Autazes Due Diligence</v>
      </c>
      <c r="E372" s="3" t="s">
        <v>241</v>
      </c>
      <c r="F372" s="3" t="s">
        <v>235</v>
      </c>
      <c r="G372" s="3">
        <v>2024</v>
      </c>
      <c r="H372" s="3">
        <f>+IF(Tabla13[[#This Row],[Proyectado USD]]&gt;0,1,-1)</f>
        <v>-1</v>
      </c>
      <c r="I372" s="15"/>
      <c r="J372" s="21"/>
      <c r="K372" s="3">
        <f>+IF(Tabla13[[#This Row],[Emitido USD]]&gt;0,1,-1)</f>
        <v>1</v>
      </c>
      <c r="L372" s="73">
        <v>45498</v>
      </c>
      <c r="M372" s="3">
        <v>1</v>
      </c>
      <c r="N372" s="22">
        <v>72664</v>
      </c>
      <c r="O372" s="6">
        <v>44</v>
      </c>
      <c r="P372" s="76">
        <v>45531</v>
      </c>
      <c r="Q372" s="3">
        <f>+IF(Tabla13[[#This Row],[Facturado USD]]&gt;0,1,-1)</f>
        <v>1</v>
      </c>
      <c r="R372" s="22">
        <v>64906</v>
      </c>
      <c r="S372" s="3">
        <f>+IF(Tabla13[[#This Row],[Ingresado USD]]&gt;0,1,-1)</f>
        <v>1</v>
      </c>
      <c r="T372" s="78">
        <v>45576</v>
      </c>
      <c r="U372" s="22">
        <v>63179</v>
      </c>
      <c r="V372" s="3"/>
    </row>
    <row r="373" spans="1:22" ht="12" hidden="1" x14ac:dyDescent="0.2">
      <c r="A373" s="3">
        <v>372</v>
      </c>
      <c r="B373" s="3" t="s">
        <v>240</v>
      </c>
      <c r="C37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J&amp;F_Autazes Due Diligence</v>
      </c>
      <c r="D37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J&amp;F_Autazes Due Diligence</v>
      </c>
      <c r="E373" s="3" t="s">
        <v>241</v>
      </c>
      <c r="F373" s="3" t="s">
        <v>235</v>
      </c>
      <c r="G373" s="3">
        <v>2024</v>
      </c>
      <c r="H373" s="3">
        <f>+IF(Tabla13[[#This Row],[Proyectado USD]]&gt;0,1,-1)</f>
        <v>-1</v>
      </c>
      <c r="I373" s="15"/>
      <c r="J373" s="21"/>
      <c r="K373" s="3">
        <f>+IF(Tabla13[[#This Row],[Emitido USD]]&gt;0,1,-1)</f>
        <v>1</v>
      </c>
      <c r="L373" s="73">
        <v>45580</v>
      </c>
      <c r="M373" s="3">
        <v>2</v>
      </c>
      <c r="N373" s="22">
        <v>38209</v>
      </c>
      <c r="O373" s="6">
        <v>47</v>
      </c>
      <c r="P373" s="76">
        <v>45580</v>
      </c>
      <c r="Q373" s="3">
        <f>+IF(Tabla13[[#This Row],[Facturado USD]]&gt;0,1,-1)</f>
        <v>1</v>
      </c>
      <c r="R373" s="22">
        <v>38209</v>
      </c>
      <c r="S373" s="3">
        <f>+IF(Tabla13[[#This Row],[Ingresado USD]]&gt;0,1,-1)</f>
        <v>1</v>
      </c>
      <c r="T373" s="78">
        <v>45625</v>
      </c>
      <c r="U373" s="22">
        <v>34563</v>
      </c>
    </row>
    <row r="374" spans="1:22" ht="12" hidden="1" x14ac:dyDescent="0.2">
      <c r="A374" s="3">
        <v>373</v>
      </c>
      <c r="B374" s="3" t="s">
        <v>242</v>
      </c>
      <c r="C37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J&amp;F_Urucrum_RecuperacionPilares</v>
      </c>
      <c r="D374" s="3" t="s">
        <v>200</v>
      </c>
      <c r="E374" s="3" t="s">
        <v>241</v>
      </c>
      <c r="F374" s="3" t="s">
        <v>235</v>
      </c>
      <c r="G374" s="3">
        <v>2024</v>
      </c>
      <c r="H374" s="3">
        <f>+IF(Tabla13[[#This Row],[Proyectado USD]]&gt;0,1,-1)</f>
        <v>-1</v>
      </c>
      <c r="I374" s="15">
        <v>45413</v>
      </c>
      <c r="J374" s="21"/>
      <c r="K374" s="3">
        <f>+IF(Tabla13[[#This Row],[Emitido USD]]&gt;0,1,-1)</f>
        <v>1</v>
      </c>
      <c r="L374" s="73">
        <v>45456</v>
      </c>
      <c r="M374" s="3">
        <v>1</v>
      </c>
      <c r="N374" s="52">
        <v>33440</v>
      </c>
      <c r="O374" s="6">
        <v>39</v>
      </c>
      <c r="P374" s="76">
        <v>45477</v>
      </c>
      <c r="Q374" s="3">
        <f>+IF(Tabla13[[#This Row],[Facturado USD]]&gt;0,1,-1)</f>
        <v>1</v>
      </c>
      <c r="R374" s="22">
        <v>23784</v>
      </c>
      <c r="S374" s="3">
        <f>+IF(Tabla13[[#This Row],[Ingresado USD]]&gt;0,1,-1)</f>
        <v>1</v>
      </c>
      <c r="T374" s="78">
        <v>45520</v>
      </c>
      <c r="U374" s="22">
        <f>23349*98.09%</f>
        <v>22903.034100000001</v>
      </c>
    </row>
    <row r="375" spans="1:22" ht="12" hidden="1" x14ac:dyDescent="0.2">
      <c r="A375" s="3">
        <v>374</v>
      </c>
      <c r="B375" s="3" t="s">
        <v>242</v>
      </c>
      <c r="C37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J&amp;F_Urucrum_RecuperacionPilares</v>
      </c>
      <c r="D375" s="3" t="s">
        <v>200</v>
      </c>
      <c r="E375" s="3" t="s">
        <v>241</v>
      </c>
      <c r="F375" s="3" t="s">
        <v>235</v>
      </c>
      <c r="G375" s="3">
        <v>2024</v>
      </c>
      <c r="H375" s="3">
        <f>+IF(Tabla13[[#This Row],[Proyectado USD]]&gt;0,1,-1)</f>
        <v>1</v>
      </c>
      <c r="I375" s="15">
        <v>45444</v>
      </c>
      <c r="J375" s="21">
        <v>131619.5</v>
      </c>
      <c r="K375" s="3">
        <f>+IF(Tabla13[[#This Row],[Emitido USD]]&gt;0,1,-1)</f>
        <v>1</v>
      </c>
      <c r="L375" s="73">
        <v>45459</v>
      </c>
      <c r="M375" s="3">
        <v>2</v>
      </c>
      <c r="N375" s="52">
        <v>97282</v>
      </c>
      <c r="O375" s="6">
        <v>40</v>
      </c>
      <c r="P375" s="76">
        <v>45477</v>
      </c>
      <c r="Q375" s="3">
        <f>+IF(Tabla13[[#This Row],[Facturado USD]]&gt;0,1,-1)</f>
        <v>1</v>
      </c>
      <c r="R375" s="22">
        <v>94621</v>
      </c>
      <c r="S375" s="3">
        <f>+IF(Tabla13[[#This Row],[Ingresado USD]]&gt;0,1,-1)</f>
        <v>1</v>
      </c>
      <c r="T375" s="78">
        <v>45520</v>
      </c>
      <c r="U375" s="22">
        <f>92891*98.09%</f>
        <v>91116.781900000002</v>
      </c>
    </row>
    <row r="376" spans="1:22" ht="12" hidden="1" x14ac:dyDescent="0.2">
      <c r="A376" s="3">
        <v>375</v>
      </c>
      <c r="B376" s="3" t="s">
        <v>242</v>
      </c>
      <c r="C37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J&amp;F_Urucrum_RecuperacionPilares</v>
      </c>
      <c r="D376" s="3" t="s">
        <v>200</v>
      </c>
      <c r="E376" s="3" t="s">
        <v>241</v>
      </c>
      <c r="F376" s="3" t="s">
        <v>235</v>
      </c>
      <c r="G376" s="3">
        <v>2024</v>
      </c>
      <c r="H376" s="3">
        <f>+IF(Tabla13[[#This Row],[Proyectado USD]]&gt;0,1,-1)</f>
        <v>-1</v>
      </c>
      <c r="I376" s="15"/>
      <c r="J376" s="21"/>
      <c r="K376" s="3">
        <f>+IF(Tabla13[[#This Row],[Emitido USD]]&gt;0,1,-1)</f>
        <v>1</v>
      </c>
      <c r="L376" s="73">
        <v>45523</v>
      </c>
      <c r="M376" s="3">
        <v>3</v>
      </c>
      <c r="N376" s="52">
        <v>27947</v>
      </c>
      <c r="O376" s="6">
        <v>43</v>
      </c>
      <c r="P376" s="76">
        <v>45527</v>
      </c>
      <c r="Q376" s="3">
        <f>+IF(Tabla13[[#This Row],[Facturado USD]]&gt;0,1,-1)</f>
        <v>1</v>
      </c>
      <c r="R376" s="22">
        <v>27216</v>
      </c>
      <c r="S376" s="3">
        <f>+IF(Tabla13[[#This Row],[Ingresado USD]]&gt;0,1,-1)</f>
        <v>1</v>
      </c>
      <c r="T376" s="78">
        <v>45572</v>
      </c>
      <c r="U376" s="22">
        <v>25263</v>
      </c>
    </row>
    <row r="377" spans="1:22" ht="12" hidden="1" x14ac:dyDescent="0.2">
      <c r="A377" s="3">
        <v>376</v>
      </c>
      <c r="B377" s="3" t="s">
        <v>242</v>
      </c>
      <c r="C37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J&amp;F_Urucrum_RecuperacionPilares</v>
      </c>
      <c r="D377" s="3" t="s">
        <v>200</v>
      </c>
      <c r="E377" s="3" t="s">
        <v>241</v>
      </c>
      <c r="F377" s="3" t="s">
        <v>235</v>
      </c>
      <c r="G377" s="3">
        <v>2024</v>
      </c>
      <c r="H377" s="3">
        <f>+IF(Tabla13[[#This Row],[Proyectado USD]]&gt;0,1,-1)</f>
        <v>-1</v>
      </c>
      <c r="I377" s="15"/>
      <c r="J377" s="21"/>
      <c r="K377" s="3">
        <f>+IF(Tabla13[[#This Row],[Emitido USD]]&gt;0,1,-1)</f>
        <v>1</v>
      </c>
      <c r="L377" s="73">
        <v>45552</v>
      </c>
      <c r="M377" s="3">
        <v>4</v>
      </c>
      <c r="N377" s="52">
        <v>26332</v>
      </c>
      <c r="O377" s="6">
        <v>46</v>
      </c>
      <c r="P377" s="76">
        <v>45558</v>
      </c>
      <c r="Q377" s="3">
        <f>+IF(Tabla13[[#This Row],[Facturado USD]]&gt;0,1,-1)</f>
        <v>1</v>
      </c>
      <c r="R377" s="22">
        <v>26332</v>
      </c>
      <c r="S377" s="3">
        <f>+IF(Tabla13[[#This Row],[Ingresado USD]]&gt;0,1,-1)</f>
        <v>1</v>
      </c>
      <c r="T377" s="78">
        <v>45603</v>
      </c>
      <c r="U377" s="22">
        <v>26332</v>
      </c>
    </row>
    <row r="378" spans="1:22" ht="12" hidden="1" x14ac:dyDescent="0.2">
      <c r="A378" s="3">
        <v>377</v>
      </c>
      <c r="B378" s="3" t="s">
        <v>242</v>
      </c>
      <c r="C37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J&amp;F_Urucrum_RecuperacionPilares</v>
      </c>
      <c r="D378" s="3" t="s">
        <v>200</v>
      </c>
      <c r="E378" s="3" t="s">
        <v>241</v>
      </c>
      <c r="F378" s="3" t="s">
        <v>235</v>
      </c>
      <c r="G378" s="3">
        <v>2024</v>
      </c>
      <c r="H378" s="3">
        <f>+IF(Tabla13[[#This Row],[Proyectado USD]]&gt;0,1,-1)</f>
        <v>-1</v>
      </c>
      <c r="I378" s="15"/>
      <c r="J378" s="21"/>
      <c r="K378" s="3">
        <f>+IF(Tabla13[[#This Row],[Emitido USD]]&gt;0,1,-1)</f>
        <v>1</v>
      </c>
      <c r="L378" s="73">
        <v>45589</v>
      </c>
      <c r="M378" s="3">
        <v>5</v>
      </c>
      <c r="N378" s="52">
        <v>11169</v>
      </c>
      <c r="O378" s="6">
        <v>50</v>
      </c>
      <c r="P378" s="76">
        <v>45600</v>
      </c>
      <c r="Q378" s="3">
        <f>+IF(Tabla13[[#This Row],[Facturado USD]]&gt;0,1,-1)</f>
        <v>1</v>
      </c>
      <c r="R378" s="22">
        <v>11350</v>
      </c>
      <c r="S378" s="3">
        <f>+IF(Tabla13[[#This Row],[Ingresado USD]]&gt;0,1,-1)</f>
        <v>1</v>
      </c>
      <c r="T378" s="78">
        <v>45642</v>
      </c>
      <c r="U378" s="22">
        <v>10026.379999999999</v>
      </c>
    </row>
    <row r="379" spans="1:22" ht="12" hidden="1" x14ac:dyDescent="0.2">
      <c r="A379" s="3">
        <v>378</v>
      </c>
      <c r="B379" s="3" t="s">
        <v>242</v>
      </c>
      <c r="C37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J&amp;F_Urucrum_RecuperacionPilares</v>
      </c>
      <c r="D379" s="3" t="s">
        <v>200</v>
      </c>
      <c r="E379" s="3" t="s">
        <v>241</v>
      </c>
      <c r="F379" s="3" t="s">
        <v>235</v>
      </c>
      <c r="G379" s="3">
        <v>2024</v>
      </c>
      <c r="H379" s="3">
        <f>+IF(Tabla13[[#This Row],[Proyectado USD]]&gt;0,1,-1)</f>
        <v>-1</v>
      </c>
      <c r="I379" s="15"/>
      <c r="J379" s="21"/>
      <c r="K379" s="3">
        <f>+IF(Tabla13[[#This Row],[Emitido USD]]&gt;0,1,-1)</f>
        <v>1</v>
      </c>
      <c r="L379" s="73">
        <v>45615</v>
      </c>
      <c r="M379" s="3">
        <v>6</v>
      </c>
      <c r="N379" s="22">
        <v>12089</v>
      </c>
      <c r="O379" s="6">
        <v>51</v>
      </c>
      <c r="P379" s="76">
        <v>45618</v>
      </c>
      <c r="Q379" s="3">
        <f>+IF(Tabla13[[#This Row],[Facturado USD]]&gt;0,1,-1)</f>
        <v>1</v>
      </c>
      <c r="R379" s="22">
        <v>10703</v>
      </c>
      <c r="S379" s="3">
        <f>+IF(Tabla13[[#This Row],[Ingresado USD]]&gt;0,1,-1)</f>
        <v>1</v>
      </c>
      <c r="T379" s="78">
        <v>45663</v>
      </c>
      <c r="U379" s="22">
        <v>9454</v>
      </c>
    </row>
    <row r="380" spans="1:22" ht="12" hidden="1" x14ac:dyDescent="0.2">
      <c r="A380" s="3">
        <v>379</v>
      </c>
      <c r="B380" s="3" t="s">
        <v>242</v>
      </c>
      <c r="C38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J&amp;F_Urucrum_RecuperacionPilares</v>
      </c>
      <c r="D380" s="3" t="s">
        <v>200</v>
      </c>
      <c r="E380" s="3" t="s">
        <v>241</v>
      </c>
      <c r="F380" s="3" t="s">
        <v>235</v>
      </c>
      <c r="G380" s="3">
        <v>2025</v>
      </c>
      <c r="H380" s="3">
        <f>+IF(Tabla13[[#This Row],[Proyectado USD]]&gt;0,1,-1)</f>
        <v>-1</v>
      </c>
      <c r="I380" s="15"/>
      <c r="J380" s="21"/>
      <c r="K380" s="3">
        <f>+IF(Tabla13[[#This Row],[Emitido USD]]&gt;0,1,-1)</f>
        <v>1</v>
      </c>
      <c r="L380" s="73">
        <v>45736</v>
      </c>
      <c r="M380" s="3">
        <v>7</v>
      </c>
      <c r="N380" s="22">
        <v>8092</v>
      </c>
      <c r="O380" s="6">
        <v>65</v>
      </c>
      <c r="P380" s="76">
        <v>45749</v>
      </c>
      <c r="Q380" s="3">
        <f>+IF(Tabla13[[#This Row],[Facturado USD]]&gt;0,1,-1)</f>
        <v>1</v>
      </c>
      <c r="R380" s="22">
        <v>8092</v>
      </c>
      <c r="S380" s="3">
        <f>+IF(Tabla13[[#This Row],[Ingresado USD]]&gt;0,1,-1)</f>
        <v>1</v>
      </c>
      <c r="T380" s="78">
        <v>45796</v>
      </c>
      <c r="U380" s="22">
        <v>8092</v>
      </c>
    </row>
    <row r="381" spans="1:22" ht="12" hidden="1" x14ac:dyDescent="0.2">
      <c r="A381" s="3">
        <v>380</v>
      </c>
      <c r="B381" s="3" t="s">
        <v>342</v>
      </c>
      <c r="C38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LasBambas_Ferrobamba PFS</v>
      </c>
      <c r="D381" s="3" t="s">
        <v>201</v>
      </c>
      <c r="E381" s="3" t="s">
        <v>343</v>
      </c>
      <c r="F381" s="3" t="s">
        <v>318</v>
      </c>
      <c r="G381" s="3">
        <v>2025</v>
      </c>
      <c r="H381" s="3">
        <f>+IF(Tabla13[[#This Row],[Proyectado USD]]&gt;0,1,-1)</f>
        <v>-1</v>
      </c>
      <c r="I381" s="15"/>
      <c r="J381" s="21"/>
      <c r="K381" s="3">
        <f>+IF(Tabla13[[#This Row],[Emitido USD]]&gt;0,1,-1)</f>
        <v>1</v>
      </c>
      <c r="L381" s="73">
        <v>45743</v>
      </c>
      <c r="M381" s="3">
        <v>1</v>
      </c>
      <c r="N381" s="22">
        <v>58150</v>
      </c>
      <c r="O381" s="25" t="s">
        <v>344</v>
      </c>
      <c r="P381" s="76">
        <v>45804</v>
      </c>
      <c r="Q381" s="3">
        <f>+IF(Tabla13[[#This Row],[Facturado USD]]&gt;0,1,-1)</f>
        <v>1</v>
      </c>
      <c r="R381" s="22">
        <v>58150</v>
      </c>
      <c r="S381" s="3">
        <f>+IF(Tabla13[[#This Row],[Ingresado USD]]&gt;0,1,-1)</f>
        <v>1</v>
      </c>
      <c r="T381" s="78">
        <v>45839</v>
      </c>
      <c r="U381" s="22">
        <v>58150</v>
      </c>
    </row>
    <row r="382" spans="1:22" ht="12" hidden="1" x14ac:dyDescent="0.2">
      <c r="A382" s="3">
        <v>381</v>
      </c>
      <c r="B382" s="3" t="s">
        <v>342</v>
      </c>
      <c r="C38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LasBambas_Ferrobamba PFS</v>
      </c>
      <c r="D382" s="3" t="s">
        <v>201</v>
      </c>
      <c r="E382" s="3" t="s">
        <v>343</v>
      </c>
      <c r="F382" s="3" t="s">
        <v>318</v>
      </c>
      <c r="G382" s="3">
        <v>2025</v>
      </c>
      <c r="H382" s="3">
        <f>+IF(Tabla13[[#This Row],[Proyectado USD]]&gt;0,1,-1)</f>
        <v>-1</v>
      </c>
      <c r="I382" s="15"/>
      <c r="J382" s="21"/>
      <c r="K382" s="3">
        <f>+IF(Tabla13[[#This Row],[Emitido USD]]&gt;0,1,-1)</f>
        <v>1</v>
      </c>
      <c r="L382" s="73">
        <v>45833</v>
      </c>
      <c r="M382" s="3">
        <v>2</v>
      </c>
      <c r="N382" s="22">
        <v>453390.59</v>
      </c>
      <c r="O382" s="6" t="s">
        <v>560</v>
      </c>
      <c r="P382" s="76">
        <v>45876</v>
      </c>
      <c r="Q382" s="3">
        <f>+IF(Tabla13[[#This Row],[Facturado USD]]&gt;0,1,-1)</f>
        <v>1</v>
      </c>
      <c r="R382" s="22">
        <v>453390.59</v>
      </c>
      <c r="S382" s="3">
        <f>+IF(Tabla13[[#This Row],[Ingresado USD]]&gt;0,1,-1)</f>
        <v>1</v>
      </c>
      <c r="T382" s="78">
        <v>45890</v>
      </c>
      <c r="U382" s="21">
        <v>444151.6874113208</v>
      </c>
    </row>
    <row r="383" spans="1:22" ht="12" hidden="1" x14ac:dyDescent="0.2">
      <c r="A383" s="3">
        <v>382</v>
      </c>
      <c r="B383" s="3" t="s">
        <v>342</v>
      </c>
      <c r="C38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LasBambas_Ferrobamba PFS</v>
      </c>
      <c r="D383" s="3" t="s">
        <v>201</v>
      </c>
      <c r="E383" s="3" t="s">
        <v>343</v>
      </c>
      <c r="F383" s="3" t="s">
        <v>318</v>
      </c>
      <c r="G383" s="3">
        <v>2025</v>
      </c>
      <c r="H383" s="3">
        <f>+IF(Tabla13[[#This Row],[Proyectado USD]]&gt;0,1,-1)</f>
        <v>-1</v>
      </c>
      <c r="I383" s="15"/>
      <c r="J383" s="21"/>
      <c r="K383" s="3">
        <f>+IF(Tabla13[[#This Row],[Emitido USD]]&gt;0,1,-1)</f>
        <v>1</v>
      </c>
      <c r="L383" s="73">
        <v>45887</v>
      </c>
      <c r="M383" s="3">
        <v>3</v>
      </c>
      <c r="N383" s="22">
        <v>153520</v>
      </c>
      <c r="O383" s="6" t="s">
        <v>594</v>
      </c>
      <c r="P383" s="76">
        <v>45926</v>
      </c>
      <c r="Q383" s="3">
        <f>+IF(Tabla13[[#This Row],[Facturado USD]]&gt;0,1,-1)</f>
        <v>1</v>
      </c>
      <c r="R383" s="22">
        <v>153520</v>
      </c>
      <c r="S383" s="3">
        <f>+IF(Tabla13[[#This Row],[Ingresado USD]]&gt;0,1,-1)</f>
        <v>1</v>
      </c>
      <c r="T383" s="78">
        <v>45950</v>
      </c>
      <c r="U383" s="21">
        <v>152334.5</v>
      </c>
    </row>
    <row r="384" spans="1:22" ht="12" hidden="1" x14ac:dyDescent="0.2">
      <c r="A384" s="3">
        <v>383</v>
      </c>
      <c r="B384" s="3" t="s">
        <v>342</v>
      </c>
      <c r="C38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LasBambas_Ferrobamba PFS</v>
      </c>
      <c r="D384" s="3" t="s">
        <v>201</v>
      </c>
      <c r="E384" s="3" t="s">
        <v>343</v>
      </c>
      <c r="F384" s="3" t="s">
        <v>318</v>
      </c>
      <c r="G384" s="3">
        <v>2025</v>
      </c>
      <c r="H384" s="3">
        <f>+IF(Tabla13[[#This Row],[Proyectado USD]]&gt;0,1,-1)</f>
        <v>-1</v>
      </c>
      <c r="I384" s="15"/>
      <c r="J384" s="21"/>
      <c r="K384" s="3">
        <f>+IF(Tabla13[[#This Row],[Emitido USD]]&gt;0,1,-1)</f>
        <v>1</v>
      </c>
      <c r="L384" s="73">
        <v>45954</v>
      </c>
      <c r="M384" s="3">
        <v>4</v>
      </c>
      <c r="N384" s="22">
        <v>205079</v>
      </c>
      <c r="O384" s="6" t="s">
        <v>656</v>
      </c>
      <c r="P384" s="76">
        <v>45972</v>
      </c>
      <c r="Q384" s="3">
        <f>+IF(Tabla13[[#This Row],[Facturado USD]]&gt;0,1,-1)</f>
        <v>1</v>
      </c>
      <c r="R384" s="22">
        <v>205079</v>
      </c>
      <c r="S384" s="3">
        <f>+IF(Tabla13[[#This Row],[Ingresado USD]]&gt;0,1,-1)</f>
        <v>1</v>
      </c>
      <c r="T384" s="78">
        <v>46001</v>
      </c>
      <c r="U384" s="21">
        <v>200900.43396226413</v>
      </c>
    </row>
    <row r="385" spans="1:22" ht="12" hidden="1" x14ac:dyDescent="0.2">
      <c r="A385" s="3">
        <v>384</v>
      </c>
      <c r="B385" s="3" t="s">
        <v>342</v>
      </c>
      <c r="C38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LasBambas_Ferrobamba PFS</v>
      </c>
      <c r="D385" s="3" t="s">
        <v>201</v>
      </c>
      <c r="E385" s="3" t="s">
        <v>343</v>
      </c>
      <c r="F385" s="3" t="s">
        <v>318</v>
      </c>
      <c r="G385" s="3">
        <v>2025</v>
      </c>
      <c r="H385" s="3">
        <f>+IF(Tabla13[[#This Row],[Proyectado USD]]&gt;0,1,-1)</f>
        <v>-1</v>
      </c>
      <c r="I385" s="15"/>
      <c r="J385" s="21"/>
      <c r="K385" s="3">
        <f>+IF(Tabla13[[#This Row],[Emitido USD]]&gt;0,1,-1)</f>
        <v>1</v>
      </c>
      <c r="L385" s="73">
        <v>45986</v>
      </c>
      <c r="M385" s="3">
        <v>5</v>
      </c>
      <c r="N385" s="22">
        <v>119590</v>
      </c>
      <c r="O385" s="6" t="s">
        <v>679</v>
      </c>
      <c r="P385" s="76">
        <v>46010</v>
      </c>
      <c r="Q385" s="3">
        <f>+IF(Tabla13[[#This Row],[Facturado USD]]&gt;0,1,-1)</f>
        <v>1</v>
      </c>
      <c r="R385" s="22">
        <v>119590</v>
      </c>
      <c r="S385" s="3">
        <f>+IF(Tabla13[[#This Row],[Ingresado USD]]&gt;0,1,-1)</f>
        <v>1</v>
      </c>
      <c r="T385" s="78">
        <v>46029</v>
      </c>
      <c r="U385" s="22">
        <v>119590</v>
      </c>
    </row>
    <row r="386" spans="1:22" ht="12" hidden="1" x14ac:dyDescent="0.2">
      <c r="A386" s="3">
        <v>385</v>
      </c>
      <c r="B386" s="3" t="s">
        <v>342</v>
      </c>
      <c r="C38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LasBambas_Ferrobamba PFS</v>
      </c>
      <c r="D386" s="3" t="s">
        <v>201</v>
      </c>
      <c r="E386" s="3" t="s">
        <v>343</v>
      </c>
      <c r="F386" s="3" t="s">
        <v>318</v>
      </c>
      <c r="G386" s="3">
        <v>2025</v>
      </c>
      <c r="H386" s="3">
        <f>+IF(Tabla13[[#This Row],[Proyectado USD]]&gt;0,1,-1)</f>
        <v>-1</v>
      </c>
      <c r="I386" s="15"/>
      <c r="J386" s="21"/>
      <c r="K386" s="3">
        <f>+IF(Tabla13[[#This Row],[Emitido USD]]&gt;0,1,-1)</f>
        <v>1</v>
      </c>
      <c r="L386" s="73">
        <v>46010</v>
      </c>
      <c r="M386" s="3">
        <v>6</v>
      </c>
      <c r="N386" s="22">
        <v>8480</v>
      </c>
      <c r="O386" s="6" t="s">
        <v>693</v>
      </c>
      <c r="P386" s="76"/>
      <c r="Q386" s="3">
        <f>+IF(Tabla13[[#This Row],[Facturado USD]]&gt;0,1,-1)</f>
        <v>-1</v>
      </c>
      <c r="S386" s="3">
        <f>+IF(Tabla13[[#This Row],[Ingresado USD]]&gt;0,1,-1)</f>
        <v>-1</v>
      </c>
      <c r="T386" s="78"/>
      <c r="U386" s="21"/>
    </row>
    <row r="387" spans="1:22" ht="12" hidden="1" x14ac:dyDescent="0.2">
      <c r="A387" s="3">
        <v>386</v>
      </c>
      <c r="B387" s="3" t="s">
        <v>128</v>
      </c>
      <c r="C38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LasBambas_Ferrobamba_OP_UG</v>
      </c>
      <c r="D387" s="3" t="s">
        <v>345</v>
      </c>
      <c r="E387" s="3" t="s">
        <v>343</v>
      </c>
      <c r="F387" s="3" t="s">
        <v>318</v>
      </c>
      <c r="G387" s="3">
        <v>2023</v>
      </c>
      <c r="H387" s="3">
        <f>+IF(Tabla13[[#This Row],[Proyectado USD]]&gt;0,1,-1)</f>
        <v>1</v>
      </c>
      <c r="I387" s="15">
        <v>45231</v>
      </c>
      <c r="J387" s="21">
        <v>5300</v>
      </c>
      <c r="K387" s="3">
        <f>+IF(Tabla13[[#This Row],[Emitido USD]]&gt;0,1,-1)</f>
        <v>1</v>
      </c>
      <c r="L387" s="73">
        <v>45257</v>
      </c>
      <c r="M387" s="34">
        <v>1</v>
      </c>
      <c r="N387" s="21">
        <v>28417</v>
      </c>
      <c r="O387" s="10" t="s">
        <v>346</v>
      </c>
      <c r="P387" s="76">
        <v>45266</v>
      </c>
      <c r="Q387" s="3">
        <f>+IF(Tabla13[[#This Row],[Facturado USD]]&gt;0,1,-1)</f>
        <v>1</v>
      </c>
      <c r="R387" s="22">
        <v>28416.995200000001</v>
      </c>
      <c r="S387" s="3">
        <f>+IF(Tabla13[[#This Row],[Ingresado USD]]&gt;0,1,-1)</f>
        <v>1</v>
      </c>
      <c r="T387" s="78">
        <v>45329</v>
      </c>
      <c r="U387" s="22">
        <v>28417</v>
      </c>
      <c r="V387" s="45"/>
    </row>
    <row r="388" spans="1:22" ht="12" hidden="1" x14ac:dyDescent="0.2">
      <c r="A388" s="3">
        <v>387</v>
      </c>
      <c r="B388" s="3" t="s">
        <v>128</v>
      </c>
      <c r="C38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LasBambas_Ferrobamba_OP_UG</v>
      </c>
      <c r="D388" s="3" t="s">
        <v>345</v>
      </c>
      <c r="E388" s="3" t="s">
        <v>343</v>
      </c>
      <c r="F388" s="3" t="s">
        <v>318</v>
      </c>
      <c r="G388" s="3">
        <v>2023</v>
      </c>
      <c r="H388" s="3">
        <f>+IF(Tabla13[[#This Row],[Proyectado USD]]&gt;0,1,-1)</f>
        <v>1</v>
      </c>
      <c r="I388" s="15">
        <v>45261</v>
      </c>
      <c r="J388" s="21">
        <v>30053</v>
      </c>
      <c r="K388" s="3">
        <f>+IF(Tabla13[[#This Row],[Emitido USD]]&gt;0,1,-1)</f>
        <v>1</v>
      </c>
      <c r="L388" s="73">
        <v>45281</v>
      </c>
      <c r="M388" s="3">
        <v>2</v>
      </c>
      <c r="N388" s="22">
        <v>11977</v>
      </c>
      <c r="O388" s="9" t="s">
        <v>347</v>
      </c>
      <c r="P388" s="76">
        <v>45286</v>
      </c>
      <c r="Q388" s="3">
        <f>+IF(Tabla13[[#This Row],[Facturado USD]]&gt;0,1,-1)</f>
        <v>1</v>
      </c>
      <c r="R388" s="22">
        <v>11977</v>
      </c>
      <c r="S388" s="3">
        <f>+IF(Tabla13[[#This Row],[Ingresado USD]]&gt;0,1,-1)</f>
        <v>1</v>
      </c>
      <c r="T388" s="76">
        <v>45348</v>
      </c>
      <c r="U388" s="22">
        <v>11977</v>
      </c>
      <c r="V388" s="48"/>
    </row>
    <row r="389" spans="1:22" ht="12" hidden="1" x14ac:dyDescent="0.2">
      <c r="A389" s="3">
        <v>388</v>
      </c>
      <c r="B389" s="3" t="s">
        <v>128</v>
      </c>
      <c r="C38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LasBambas_Ferrobamba_OP_UG</v>
      </c>
      <c r="D389" s="3" t="s">
        <v>345</v>
      </c>
      <c r="E389" s="3" t="s">
        <v>343</v>
      </c>
      <c r="F389" s="3" t="s">
        <v>318</v>
      </c>
      <c r="G389" s="3">
        <v>2024</v>
      </c>
      <c r="H389" s="3">
        <f>+IF(Tabla13[[#This Row],[Proyectado USD]]&gt;0,1,-1)</f>
        <v>1</v>
      </c>
      <c r="I389" s="15">
        <v>45292</v>
      </c>
      <c r="J389" s="49">
        <v>45000</v>
      </c>
      <c r="K389" s="3">
        <f>+IF(Tabla13[[#This Row],[Emitido USD]]&gt;0,1,-1)</f>
        <v>1</v>
      </c>
      <c r="L389" s="73">
        <v>45316</v>
      </c>
      <c r="M389" s="3">
        <v>3</v>
      </c>
      <c r="N389" s="22">
        <v>31780</v>
      </c>
      <c r="O389" s="6" t="s">
        <v>348</v>
      </c>
      <c r="P389" s="76">
        <v>45322</v>
      </c>
      <c r="Q389" s="3">
        <f>+IF(Tabla13[[#This Row],[Facturado USD]]&gt;0,1,-1)</f>
        <v>1</v>
      </c>
      <c r="R389" s="22">
        <v>31780</v>
      </c>
      <c r="S389" s="3">
        <f>+IF(Tabla13[[#This Row],[Ingresado USD]]&gt;0,1,-1)</f>
        <v>1</v>
      </c>
      <c r="T389" s="76">
        <v>45377</v>
      </c>
      <c r="U389" s="22">
        <v>31780</v>
      </c>
      <c r="V389" s="48"/>
    </row>
    <row r="390" spans="1:22" ht="12" hidden="1" x14ac:dyDescent="0.2">
      <c r="A390" s="3">
        <v>389</v>
      </c>
      <c r="B390" s="3" t="s">
        <v>128</v>
      </c>
      <c r="C39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LasBambas_Ferrobamba_OP_UG</v>
      </c>
      <c r="D390" s="3" t="s">
        <v>345</v>
      </c>
      <c r="E390" s="3" t="s">
        <v>343</v>
      </c>
      <c r="F390" s="3" t="s">
        <v>318</v>
      </c>
      <c r="G390" s="3">
        <v>2024</v>
      </c>
      <c r="H390" s="3">
        <f>+IF(Tabla13[[#This Row],[Proyectado USD]]&gt;0,1,-1)</f>
        <v>1</v>
      </c>
      <c r="I390" s="15">
        <v>45323</v>
      </c>
      <c r="J390" s="49">
        <v>40000</v>
      </c>
      <c r="K390" s="3">
        <f>+IF(Tabla13[[#This Row],[Emitido USD]]&gt;0,1,-1)</f>
        <v>1</v>
      </c>
      <c r="L390" s="73">
        <v>45347</v>
      </c>
      <c r="M390" s="3">
        <v>4</v>
      </c>
      <c r="N390" s="22">
        <v>23974</v>
      </c>
      <c r="O390" s="6" t="s">
        <v>349</v>
      </c>
      <c r="P390" s="76">
        <v>45357</v>
      </c>
      <c r="Q390" s="3">
        <f>+IF(Tabla13[[#This Row],[Facturado USD]]&gt;0,1,-1)</f>
        <v>1</v>
      </c>
      <c r="R390" s="22">
        <v>23974</v>
      </c>
      <c r="S390" s="3">
        <f>+IF(Tabla13[[#This Row],[Ingresado USD]]&gt;0,1,-1)</f>
        <v>1</v>
      </c>
      <c r="T390" s="82">
        <v>45386</v>
      </c>
      <c r="U390" s="22">
        <v>23974</v>
      </c>
      <c r="V390" s="48"/>
    </row>
    <row r="391" spans="1:22" ht="12" hidden="1" x14ac:dyDescent="0.2">
      <c r="A391" s="3">
        <v>390</v>
      </c>
      <c r="B391" s="3" t="s">
        <v>128</v>
      </c>
      <c r="C39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LasBambas_Ferrobamba_OP_UG</v>
      </c>
      <c r="D391" s="51" t="s">
        <v>345</v>
      </c>
      <c r="E391" s="3" t="s">
        <v>343</v>
      </c>
      <c r="F391" s="3" t="s">
        <v>318</v>
      </c>
      <c r="G391" s="3">
        <v>2024</v>
      </c>
      <c r="H391" s="3">
        <f>+IF(Tabla13[[#This Row],[Proyectado USD]]&gt;0,1,-1)</f>
        <v>1</v>
      </c>
      <c r="I391" s="15">
        <v>45383</v>
      </c>
      <c r="J391" s="21">
        <v>13986</v>
      </c>
      <c r="K391" s="3">
        <f>+IF(Tabla13[[#This Row],[Emitido USD]]&gt;0,1,-1)</f>
        <v>1</v>
      </c>
      <c r="L391" s="73">
        <v>45406</v>
      </c>
      <c r="M391" s="3">
        <v>5</v>
      </c>
      <c r="N391" s="22">
        <v>15573</v>
      </c>
      <c r="O391" s="6" t="s">
        <v>350</v>
      </c>
      <c r="P391" s="76">
        <v>45414</v>
      </c>
      <c r="Q391" s="3">
        <f>+IF(Tabla13[[#This Row],[Facturado USD]]&gt;0,1,-1)</f>
        <v>1</v>
      </c>
      <c r="R391" s="22">
        <v>15573</v>
      </c>
      <c r="S391" s="3">
        <f>+IF(Tabla13[[#This Row],[Ingresado USD]]&gt;0,1,-1)</f>
        <v>1</v>
      </c>
      <c r="T391" s="78">
        <v>45438</v>
      </c>
      <c r="U391" s="52">
        <v>15573</v>
      </c>
      <c r="V391" s="48"/>
    </row>
    <row r="392" spans="1:22" ht="12" hidden="1" x14ac:dyDescent="0.2">
      <c r="A392" s="3">
        <v>391</v>
      </c>
      <c r="B392" s="3" t="s">
        <v>128</v>
      </c>
      <c r="C39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LasBambas_Ferrobamba_OP_UG</v>
      </c>
      <c r="D392" s="3" t="s">
        <v>345</v>
      </c>
      <c r="E392" s="3" t="s">
        <v>343</v>
      </c>
      <c r="F392" s="3" t="s">
        <v>318</v>
      </c>
      <c r="G392" s="3">
        <v>2024</v>
      </c>
      <c r="H392" s="3">
        <f>+IF(Tabla13[[#This Row],[Proyectado USD]]&gt;0,1,-1)</f>
        <v>1</v>
      </c>
      <c r="I392" s="15">
        <v>45413</v>
      </c>
      <c r="J392" s="49">
        <v>56860</v>
      </c>
      <c r="K392" s="3">
        <f>+IF(Tabla13[[#This Row],[Emitido USD]]&gt;0,1,-1)</f>
        <v>1</v>
      </c>
      <c r="L392" s="73">
        <v>45441</v>
      </c>
      <c r="M392" s="3">
        <v>6</v>
      </c>
      <c r="N392" s="21">
        <v>34910</v>
      </c>
      <c r="O392" s="6" t="s">
        <v>351</v>
      </c>
      <c r="P392" s="76">
        <v>45467</v>
      </c>
      <c r="Q392" s="3">
        <f>+IF(Tabla13[[#This Row],[Facturado USD]]&gt;0,1,-1)</f>
        <v>1</v>
      </c>
      <c r="R392" s="22">
        <v>34910</v>
      </c>
      <c r="S392" s="3">
        <f>+IF(Tabla13[[#This Row],[Ingresado USD]]&gt;0,1,-1)</f>
        <v>1</v>
      </c>
      <c r="T392" s="78">
        <v>45478</v>
      </c>
      <c r="U392" s="22">
        <v>33863</v>
      </c>
      <c r="V392" s="48"/>
    </row>
    <row r="393" spans="1:22" ht="12" hidden="1" x14ac:dyDescent="0.2">
      <c r="A393" s="3">
        <v>392</v>
      </c>
      <c r="B393" s="3" t="s">
        <v>128</v>
      </c>
      <c r="C39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LasBambas_Ferrobamba_OP_UG</v>
      </c>
      <c r="D393" s="3" t="s">
        <v>345</v>
      </c>
      <c r="E393" s="3" t="s">
        <v>343</v>
      </c>
      <c r="F393" s="3" t="s">
        <v>318</v>
      </c>
      <c r="G393" s="3">
        <v>2024</v>
      </c>
      <c r="H393" s="3">
        <f>+IF(Tabla13[[#This Row],[Proyectado USD]]&gt;0,1,-1)</f>
        <v>-1</v>
      </c>
      <c r="I393" s="15"/>
      <c r="J393" s="49"/>
      <c r="K393" s="3">
        <f>+IF(Tabla13[[#This Row],[Emitido USD]]&gt;0,1,-1)</f>
        <v>1</v>
      </c>
      <c r="L393" s="73">
        <v>45441</v>
      </c>
      <c r="M393" s="3">
        <v>6</v>
      </c>
      <c r="N393" s="21">
        <v>10160</v>
      </c>
      <c r="O393" s="6" t="s">
        <v>352</v>
      </c>
      <c r="P393" s="76">
        <v>45467</v>
      </c>
      <c r="Q393" s="3">
        <f>+IF(Tabla13[[#This Row],[Facturado USD]]&gt;0,1,-1)</f>
        <v>1</v>
      </c>
      <c r="R393" s="22">
        <v>10160</v>
      </c>
      <c r="S393" s="3">
        <f>+IF(Tabla13[[#This Row],[Ingresado USD]]&gt;0,1,-1)</f>
        <v>1</v>
      </c>
      <c r="T393" s="78">
        <v>45478</v>
      </c>
      <c r="U393" s="22">
        <v>9855</v>
      </c>
      <c r="V393" s="48"/>
    </row>
    <row r="394" spans="1:22" ht="12" hidden="1" x14ac:dyDescent="0.2">
      <c r="A394" s="3">
        <v>393</v>
      </c>
      <c r="B394" s="3" t="s">
        <v>128</v>
      </c>
      <c r="C39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LasBambas_Ferrobamba_OP_UG</v>
      </c>
      <c r="D394" s="3" t="s">
        <v>345</v>
      </c>
      <c r="E394" s="3" t="s">
        <v>343</v>
      </c>
      <c r="F394" s="3" t="s">
        <v>318</v>
      </c>
      <c r="G394" s="3">
        <v>2024</v>
      </c>
      <c r="H394" s="3">
        <f>+IF(Tabla13[[#This Row],[Proyectado USD]]&gt;0,1,-1)</f>
        <v>-1</v>
      </c>
      <c r="I394" s="15"/>
      <c r="J394" s="49"/>
      <c r="K394" s="3">
        <f>+IF(Tabla13[[#This Row],[Emitido USD]]&gt;0,1,-1)</f>
        <v>1</v>
      </c>
      <c r="L394" s="73">
        <v>45441</v>
      </c>
      <c r="M394" s="3">
        <v>6</v>
      </c>
      <c r="N394" s="21">
        <v>11790</v>
      </c>
      <c r="O394" s="6" t="s">
        <v>353</v>
      </c>
      <c r="P394" s="76">
        <v>45467</v>
      </c>
      <c r="Q394" s="3">
        <f>+IF(Tabla13[[#This Row],[Facturado USD]]&gt;0,1,-1)</f>
        <v>1</v>
      </c>
      <c r="R394" s="22">
        <v>11790</v>
      </c>
      <c r="S394" s="3">
        <f>+IF(Tabla13[[#This Row],[Ingresado USD]]&gt;0,1,-1)</f>
        <v>1</v>
      </c>
      <c r="T394" s="78">
        <v>45478</v>
      </c>
      <c r="U394" s="22">
        <v>11436</v>
      </c>
      <c r="V394" s="48"/>
    </row>
    <row r="395" spans="1:22" ht="12" hidden="1" x14ac:dyDescent="0.2">
      <c r="A395" s="3">
        <v>394</v>
      </c>
      <c r="B395" s="3" t="s">
        <v>128</v>
      </c>
      <c r="C39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LasBambas_Ferrobamba_OP_UG</v>
      </c>
      <c r="D395" s="26" t="s">
        <v>345</v>
      </c>
      <c r="E395" s="3" t="s">
        <v>343</v>
      </c>
      <c r="F395" s="3" t="s">
        <v>318</v>
      </c>
      <c r="G395" s="3">
        <v>2024</v>
      </c>
      <c r="H395" s="3">
        <f>+IF(Tabla13[[#This Row],[Proyectado USD]]&gt;0,1,-1)</f>
        <v>1</v>
      </c>
      <c r="I395" s="15">
        <v>45444</v>
      </c>
      <c r="J395" s="49">
        <v>17015.324800000002</v>
      </c>
      <c r="K395" s="3">
        <f>+IF(Tabla13[[#This Row],[Emitido USD]]&gt;0,1,-1)</f>
        <v>1</v>
      </c>
      <c r="L395" s="73">
        <v>45498</v>
      </c>
      <c r="M395" s="55">
        <v>7</v>
      </c>
      <c r="N395" s="54">
        <v>19158</v>
      </c>
      <c r="O395" s="6" t="s">
        <v>354</v>
      </c>
      <c r="P395" s="76">
        <v>45518</v>
      </c>
      <c r="Q395" s="3">
        <f>+IF(Tabla13[[#This Row],[Facturado USD]]&gt;0,1,-1)</f>
        <v>1</v>
      </c>
      <c r="R395" s="22">
        <v>19159</v>
      </c>
      <c r="S395" s="3">
        <f>+IF(Tabla13[[#This Row],[Ingresado USD]]&gt;0,1,-1)</f>
        <v>1</v>
      </c>
      <c r="T395" s="78">
        <v>45529</v>
      </c>
      <c r="U395" s="22">
        <v>18775.82</v>
      </c>
      <c r="V395" s="48"/>
    </row>
    <row r="396" spans="1:22" ht="12" hidden="1" x14ac:dyDescent="0.2">
      <c r="A396" s="3">
        <v>395</v>
      </c>
      <c r="B396" s="3" t="s">
        <v>128</v>
      </c>
      <c r="C39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LasBambas_Ferrobamba_OP_UG</v>
      </c>
      <c r="D396" s="3" t="s">
        <v>345</v>
      </c>
      <c r="E396" s="3" t="s">
        <v>343</v>
      </c>
      <c r="F396" s="3" t="s">
        <v>318</v>
      </c>
      <c r="G396" s="3">
        <v>2024</v>
      </c>
      <c r="H396" s="3">
        <f>+IF(Tabla13[[#This Row],[Proyectado USD]]&gt;0,1,-1)</f>
        <v>-1</v>
      </c>
      <c r="I396" s="15">
        <v>45444</v>
      </c>
      <c r="J396" s="49">
        <v>0</v>
      </c>
      <c r="K396" s="3">
        <f>+IF(Tabla13[[#This Row],[Emitido USD]]&gt;0,1,-1)</f>
        <v>1</v>
      </c>
      <c r="L396" s="73">
        <v>45469</v>
      </c>
      <c r="M396" s="3">
        <v>8</v>
      </c>
      <c r="N396" s="21">
        <v>8313</v>
      </c>
      <c r="O396" s="6" t="s">
        <v>355</v>
      </c>
      <c r="P396" s="76">
        <v>45483</v>
      </c>
      <c r="Q396" s="3">
        <f>+IF(Tabla13[[#This Row],[Facturado USD]]&gt;0,1,-1)</f>
        <v>1</v>
      </c>
      <c r="R396" s="22">
        <v>8313</v>
      </c>
      <c r="S396" s="3">
        <f>+IF(Tabla13[[#This Row],[Ingresado USD]]&gt;0,1,-1)</f>
        <v>1</v>
      </c>
      <c r="T396" s="78">
        <v>45506</v>
      </c>
      <c r="U396" s="22">
        <v>7897.3499999999995</v>
      </c>
      <c r="V396" s="48" t="s">
        <v>356</v>
      </c>
    </row>
    <row r="397" spans="1:22" ht="12" hidden="1" x14ac:dyDescent="0.2">
      <c r="A397" s="3">
        <v>396</v>
      </c>
      <c r="B397" s="3" t="s">
        <v>128</v>
      </c>
      <c r="C39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LasBambas_Ferrobamba_OP_UG</v>
      </c>
      <c r="D397" s="3" t="s">
        <v>345</v>
      </c>
      <c r="E397" s="3" t="s">
        <v>343</v>
      </c>
      <c r="F397" s="3" t="s">
        <v>318</v>
      </c>
      <c r="G397" s="3">
        <v>2024</v>
      </c>
      <c r="H397" s="3">
        <f>+IF(Tabla13[[#This Row],[Proyectado USD]]&gt;0,1,-1)</f>
        <v>-1</v>
      </c>
      <c r="I397" s="15">
        <v>45444</v>
      </c>
      <c r="J397" s="49">
        <v>0</v>
      </c>
      <c r="K397" s="3">
        <f>+IF(Tabla13[[#This Row],[Emitido USD]]&gt;0,1,-1)</f>
        <v>1</v>
      </c>
      <c r="L397" s="73">
        <v>45469</v>
      </c>
      <c r="M397" s="3">
        <v>9</v>
      </c>
      <c r="N397" s="21">
        <v>7105</v>
      </c>
      <c r="O397" s="6" t="s">
        <v>357</v>
      </c>
      <c r="P397" s="76">
        <v>45483</v>
      </c>
      <c r="Q397" s="3">
        <f>+IF(Tabla13[[#This Row],[Facturado USD]]&gt;0,1,-1)</f>
        <v>1</v>
      </c>
      <c r="R397" s="22">
        <v>7105</v>
      </c>
      <c r="S397" s="3">
        <f>+IF(Tabla13[[#This Row],[Ingresado USD]]&gt;0,1,-1)</f>
        <v>1</v>
      </c>
      <c r="T397" s="78">
        <v>45506</v>
      </c>
      <c r="U397" s="22">
        <v>6749.75</v>
      </c>
      <c r="V397" s="48" t="s">
        <v>358</v>
      </c>
    </row>
    <row r="398" spans="1:22" ht="12" hidden="1" x14ac:dyDescent="0.2">
      <c r="A398" s="3">
        <v>397</v>
      </c>
      <c r="B398" s="3" t="s">
        <v>128</v>
      </c>
      <c r="C39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LasBambas_Ferrobamba_OP_UG</v>
      </c>
      <c r="D398" s="53" t="s">
        <v>345</v>
      </c>
      <c r="E398" s="3" t="s">
        <v>343</v>
      </c>
      <c r="F398" s="3" t="s">
        <v>318</v>
      </c>
      <c r="G398" s="3">
        <v>2024</v>
      </c>
      <c r="H398" s="3">
        <f>+IF(Tabla13[[#This Row],[Proyectado USD]]&gt;0,1,-1)</f>
        <v>-1</v>
      </c>
      <c r="I398" s="15"/>
      <c r="J398" s="49"/>
      <c r="K398" s="3">
        <f>+IF(Tabla13[[#This Row],[Emitido USD]]&gt;0,1,-1)</f>
        <v>1</v>
      </c>
      <c r="L398" s="73">
        <v>45498</v>
      </c>
      <c r="M398" s="55">
        <v>10</v>
      </c>
      <c r="N398" s="21">
        <v>19689</v>
      </c>
      <c r="O398" s="6" t="s">
        <v>359</v>
      </c>
      <c r="P398" s="76">
        <v>45518</v>
      </c>
      <c r="Q398" s="3">
        <f>+IF(Tabla13[[#This Row],[Facturado USD]]&gt;0,1,-1)</f>
        <v>1</v>
      </c>
      <c r="R398" s="22">
        <v>16689</v>
      </c>
      <c r="S398" s="3">
        <f>+IF(Tabla13[[#This Row],[Ingresado USD]]&gt;0,1,-1)</f>
        <v>1</v>
      </c>
      <c r="T398" s="78">
        <v>45529</v>
      </c>
      <c r="U398" s="22">
        <v>16355.22</v>
      </c>
      <c r="V398" s="48"/>
    </row>
    <row r="399" spans="1:22" ht="12" hidden="1" x14ac:dyDescent="0.2">
      <c r="A399" s="3">
        <v>398</v>
      </c>
      <c r="B399" s="3" t="s">
        <v>128</v>
      </c>
      <c r="C39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LasBambas_Ferrobamba_OP_UG</v>
      </c>
      <c r="D399" s="53" t="s">
        <v>345</v>
      </c>
      <c r="E399" s="3" t="s">
        <v>343</v>
      </c>
      <c r="F399" s="3" t="s">
        <v>318</v>
      </c>
      <c r="G399" s="3">
        <v>2024</v>
      </c>
      <c r="H399" s="3">
        <f>+IF(Tabla13[[#This Row],[Proyectado USD]]&gt;0,1,-1)</f>
        <v>-1</v>
      </c>
      <c r="I399" s="15"/>
      <c r="J399" s="49"/>
      <c r="K399" s="3">
        <f>+IF(Tabla13[[#This Row],[Emitido USD]]&gt;0,1,-1)</f>
        <v>1</v>
      </c>
      <c r="L399" s="73">
        <v>45498</v>
      </c>
      <c r="M399" s="55">
        <v>11</v>
      </c>
      <c r="N399" s="21">
        <v>7105</v>
      </c>
      <c r="O399" s="6" t="s">
        <v>360</v>
      </c>
      <c r="P399" s="76">
        <v>45518</v>
      </c>
      <c r="Q399" s="3">
        <f>+IF(Tabla13[[#This Row],[Facturado USD]]&gt;0,1,-1)</f>
        <v>1</v>
      </c>
      <c r="R399" s="22">
        <v>7105</v>
      </c>
      <c r="S399" s="3">
        <f>+IF(Tabla13[[#This Row],[Ingresado USD]]&gt;0,1,-1)</f>
        <v>1</v>
      </c>
      <c r="T399" s="78">
        <v>45529</v>
      </c>
      <c r="U399" s="22">
        <v>6962.9</v>
      </c>
      <c r="V399" s="48"/>
    </row>
    <row r="400" spans="1:22" ht="12" hidden="1" x14ac:dyDescent="0.2">
      <c r="A400" s="3">
        <v>399</v>
      </c>
      <c r="B400" s="3" t="s">
        <v>361</v>
      </c>
      <c r="C40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LasBambas_Ferrobambas UG Escenarios</v>
      </c>
      <c r="D400" s="3" t="s">
        <v>202</v>
      </c>
      <c r="E400" s="3" t="s">
        <v>343</v>
      </c>
      <c r="F400" s="3" t="s">
        <v>318</v>
      </c>
      <c r="G400" s="3">
        <v>2025</v>
      </c>
      <c r="H400" s="3">
        <f>+IF(Tabla13[[#This Row],[Proyectado USD]]&gt;0,1,-1)</f>
        <v>-1</v>
      </c>
      <c r="I400" s="15"/>
      <c r="J400" s="21"/>
      <c r="K400" s="3">
        <f>+IF(Tabla13[[#This Row],[Emitido USD]]&gt;0,1,-1)</f>
        <v>1</v>
      </c>
      <c r="L400" s="73">
        <v>45682</v>
      </c>
      <c r="M400" s="3">
        <v>1</v>
      </c>
      <c r="N400" s="22">
        <v>9930</v>
      </c>
      <c r="O400" s="6" t="s">
        <v>362</v>
      </c>
      <c r="P400" s="76">
        <v>45762</v>
      </c>
      <c r="Q400" s="3">
        <f>+IF(Tabla13[[#This Row],[Facturado USD]]&gt;0,1,-1)</f>
        <v>1</v>
      </c>
      <c r="R400" s="22">
        <v>9930</v>
      </c>
      <c r="S400" s="3">
        <f>+IF(Tabla13[[#This Row],[Ingresado USD]]&gt;0,1,-1)</f>
        <v>1</v>
      </c>
      <c r="T400" s="78">
        <v>45824</v>
      </c>
      <c r="U400" s="22">
        <v>9930</v>
      </c>
    </row>
    <row r="401" spans="1:22" ht="12" hidden="1" x14ac:dyDescent="0.2">
      <c r="A401" s="3">
        <v>400</v>
      </c>
      <c r="B401" s="3" t="s">
        <v>361</v>
      </c>
      <c r="C40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LasBambas_Ferrobambas UG Escenarios</v>
      </c>
      <c r="D401" s="3" t="s">
        <v>202</v>
      </c>
      <c r="E401" s="3" t="s">
        <v>343</v>
      </c>
      <c r="F401" s="3" t="s">
        <v>318</v>
      </c>
      <c r="G401" s="3">
        <v>2025</v>
      </c>
      <c r="H401" s="3">
        <f>+IF(Tabla13[[#This Row],[Proyectado USD]]&gt;0,1,-1)</f>
        <v>-1</v>
      </c>
      <c r="I401" s="15"/>
      <c r="J401" s="21"/>
      <c r="K401" s="3">
        <f>+IF(Tabla13[[#This Row],[Emitido USD]]&gt;0,1,-1)</f>
        <v>1</v>
      </c>
      <c r="L401" s="73">
        <v>45713</v>
      </c>
      <c r="M401" s="3">
        <v>2</v>
      </c>
      <c r="N401" s="22">
        <v>27785</v>
      </c>
      <c r="O401" s="6" t="s">
        <v>363</v>
      </c>
      <c r="P401" s="76">
        <v>45762</v>
      </c>
      <c r="Q401" s="3">
        <f>+IF(Tabla13[[#This Row],[Facturado USD]]&gt;0,1,-1)</f>
        <v>1</v>
      </c>
      <c r="R401" s="22">
        <v>27785</v>
      </c>
      <c r="S401" s="3">
        <f>+IF(Tabla13[[#This Row],[Ingresado USD]]&gt;0,1,-1)</f>
        <v>1</v>
      </c>
      <c r="T401" s="78">
        <v>45824</v>
      </c>
      <c r="U401" s="22">
        <v>27785</v>
      </c>
    </row>
    <row r="402" spans="1:22" ht="12" hidden="1" x14ac:dyDescent="0.2">
      <c r="A402" s="3">
        <v>401</v>
      </c>
      <c r="B402" s="34" t="s">
        <v>361</v>
      </c>
      <c r="C402" s="34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LasBambas_Ferrobambas UG Escenarios</v>
      </c>
      <c r="D402" s="34" t="s">
        <v>202</v>
      </c>
      <c r="E402" s="34" t="s">
        <v>343</v>
      </c>
      <c r="F402" s="34" t="s">
        <v>318</v>
      </c>
      <c r="G402" s="34">
        <v>2025</v>
      </c>
      <c r="H402" s="34">
        <f>+IF(Tabla13[[#This Row],[Proyectado USD]]&gt;0,1,-1)</f>
        <v>-1</v>
      </c>
      <c r="I402" s="64"/>
      <c r="J402" s="37"/>
      <c r="K402" s="34">
        <f>+IF(Tabla13[[#This Row],[Emitido USD]]&gt;0,1,-1)</f>
        <v>1</v>
      </c>
      <c r="L402" s="75">
        <v>45747</v>
      </c>
      <c r="M402" s="34">
        <v>3</v>
      </c>
      <c r="N402" s="37">
        <v>10082</v>
      </c>
      <c r="O402" s="20" t="s">
        <v>364</v>
      </c>
      <c r="P402" s="79">
        <v>45799</v>
      </c>
      <c r="Q402" s="34">
        <f>+IF(Tabla13[[#This Row],[Facturado USD]]&gt;0,1,-1)</f>
        <v>1</v>
      </c>
      <c r="R402" s="37">
        <v>10082</v>
      </c>
      <c r="S402" s="34">
        <f>+IF(Tabla13[[#This Row],[Ingresado USD]]&gt;0,1,-1)</f>
        <v>1</v>
      </c>
      <c r="T402" s="79">
        <v>45929</v>
      </c>
      <c r="U402" s="37">
        <v>10082</v>
      </c>
      <c r="V402" s="34"/>
    </row>
    <row r="403" spans="1:22" ht="12" hidden="1" x14ac:dyDescent="0.2">
      <c r="A403" s="3">
        <v>402</v>
      </c>
      <c r="B403" s="3" t="s">
        <v>361</v>
      </c>
      <c r="C40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LasBambas_Ferrobambas UG Escenarios</v>
      </c>
      <c r="D403" s="3" t="s">
        <v>202</v>
      </c>
      <c r="E403" s="3" t="s">
        <v>343</v>
      </c>
      <c r="F403" s="3" t="s">
        <v>318</v>
      </c>
      <c r="G403" s="3">
        <v>2025</v>
      </c>
      <c r="H403" s="3">
        <f>+IF(Tabla13[[#This Row],[Proyectado USD]]&gt;0,1,-1)</f>
        <v>-1</v>
      </c>
      <c r="I403" s="15"/>
      <c r="J403" s="21"/>
      <c r="K403" s="3">
        <f>+IF(Tabla13[[#This Row],[Emitido USD]]&gt;0,1,-1)</f>
        <v>1</v>
      </c>
      <c r="L403" s="73">
        <v>45776</v>
      </c>
      <c r="M403" s="3">
        <v>4</v>
      </c>
      <c r="N403" s="22">
        <v>15088</v>
      </c>
      <c r="O403" s="6" t="s">
        <v>365</v>
      </c>
      <c r="P403" s="76">
        <v>45835</v>
      </c>
      <c r="Q403" s="3">
        <f>+IF(Tabla13[[#This Row],[Facturado USD]]&gt;0,1,-1)</f>
        <v>1</v>
      </c>
      <c r="R403" s="22">
        <v>15088</v>
      </c>
      <c r="S403" s="3">
        <f>+IF(Tabla13[[#This Row],[Ingresado USD]]&gt;0,1,-1)</f>
        <v>1</v>
      </c>
      <c r="T403" s="78">
        <v>45890</v>
      </c>
      <c r="U403" s="21">
        <v>14780.546415094339</v>
      </c>
    </row>
    <row r="404" spans="1:22" ht="12" hidden="1" x14ac:dyDescent="0.2">
      <c r="A404" s="3">
        <v>403</v>
      </c>
      <c r="B404" s="3" t="s">
        <v>361</v>
      </c>
      <c r="C40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LasBambas_Ferrobambas UG Escenarios</v>
      </c>
      <c r="D404" s="3" t="s">
        <v>202</v>
      </c>
      <c r="E404" s="3" t="s">
        <v>343</v>
      </c>
      <c r="F404" s="3" t="s">
        <v>318</v>
      </c>
      <c r="G404" s="3">
        <v>2025</v>
      </c>
      <c r="H404" s="3">
        <f>+IF(Tabla13[[#This Row],[Proyectado USD]]&gt;0,1,-1)</f>
        <v>-1</v>
      </c>
      <c r="I404" s="15"/>
      <c r="J404" s="21"/>
      <c r="K404" s="3">
        <f>+IF(Tabla13[[#This Row],[Emitido USD]]&gt;0,1,-1)</f>
        <v>1</v>
      </c>
      <c r="L404" s="73">
        <v>45805</v>
      </c>
      <c r="M404" s="3">
        <v>5</v>
      </c>
      <c r="N404" s="22">
        <v>4047</v>
      </c>
      <c r="O404" s="6" t="s">
        <v>366</v>
      </c>
      <c r="P404" s="76">
        <v>45835</v>
      </c>
      <c r="Q404" s="3">
        <f>+IF(Tabla13[[#This Row],[Facturado USD]]&gt;0,1,-1)</f>
        <v>1</v>
      </c>
      <c r="R404" s="22">
        <v>4047</v>
      </c>
      <c r="S404" s="3">
        <f>+IF(Tabla13[[#This Row],[Ingresado USD]]&gt;0,1,-1)</f>
        <v>1</v>
      </c>
      <c r="T404" s="78">
        <v>45890</v>
      </c>
      <c r="U404" s="21">
        <v>3964.5328301886793</v>
      </c>
    </row>
    <row r="405" spans="1:22" ht="12" hidden="1" x14ac:dyDescent="0.2">
      <c r="A405" s="3">
        <v>404</v>
      </c>
      <c r="B405" s="3" t="s">
        <v>361</v>
      </c>
      <c r="C40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LasBambas_Ferrobambas UG Escenarios</v>
      </c>
      <c r="D405" s="3" t="s">
        <v>202</v>
      </c>
      <c r="E405" s="3" t="s">
        <v>343</v>
      </c>
      <c r="F405" s="3" t="s">
        <v>318</v>
      </c>
      <c r="G405" s="3">
        <v>2025</v>
      </c>
      <c r="H405" s="3">
        <f>+IF(Tabla13[[#This Row],[Proyectado USD]]&gt;0,1,-1)</f>
        <v>-1</v>
      </c>
      <c r="I405" s="15"/>
      <c r="J405" s="21"/>
      <c r="K405" s="3">
        <f>+IF(Tabla13[[#This Row],[Emitido USD]]&gt;0,1,-1)</f>
        <v>1</v>
      </c>
      <c r="L405" s="73">
        <v>45805</v>
      </c>
      <c r="M405" s="3">
        <v>7</v>
      </c>
      <c r="N405" s="22">
        <v>16127</v>
      </c>
      <c r="O405" s="6" t="s">
        <v>556</v>
      </c>
      <c r="P405" s="76">
        <v>45852</v>
      </c>
      <c r="Q405" s="3">
        <f>+IF(Tabla13[[#This Row],[Facturado USD]]&gt;0,1,-1)</f>
        <v>1</v>
      </c>
      <c r="R405" s="22">
        <v>16127</v>
      </c>
      <c r="S405" s="3">
        <f>+IF(Tabla13[[#This Row],[Ingresado USD]]&gt;0,1,-1)</f>
        <v>1</v>
      </c>
      <c r="T405" s="78">
        <v>45890</v>
      </c>
      <c r="U405" s="21">
        <v>15798.37433962264</v>
      </c>
      <c r="V405" s="3" t="s">
        <v>745</v>
      </c>
    </row>
    <row r="406" spans="1:22" ht="12" hidden="1" x14ac:dyDescent="0.2">
      <c r="A406" s="3">
        <v>405</v>
      </c>
      <c r="B406" s="3" t="s">
        <v>361</v>
      </c>
      <c r="C40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LasBambas_Ferrobambas UG Escenarios</v>
      </c>
      <c r="D406" s="3" t="s">
        <v>202</v>
      </c>
      <c r="E406" s="3" t="s">
        <v>343</v>
      </c>
      <c r="F406" s="3" t="s">
        <v>318</v>
      </c>
      <c r="G406" s="3">
        <v>2025</v>
      </c>
      <c r="H406" s="3">
        <f>+IF(Tabla13[[#This Row],[Proyectado USD]]&gt;0,1,-1)</f>
        <v>-1</v>
      </c>
      <c r="I406" s="15"/>
      <c r="J406" s="21"/>
      <c r="K406" s="3">
        <f>+IF(Tabla13[[#This Row],[Emitido USD]]&gt;0,1,-1)</f>
        <v>1</v>
      </c>
      <c r="L406" s="73">
        <v>45836</v>
      </c>
      <c r="M406" s="3">
        <v>6</v>
      </c>
      <c r="N406" s="22">
        <v>2228</v>
      </c>
      <c r="O406" s="6" t="s">
        <v>569</v>
      </c>
      <c r="P406" s="76">
        <v>45889</v>
      </c>
      <c r="Q406" s="3">
        <f>+IF(Tabla13[[#This Row],[Facturado USD]]&gt;0,1,-1)</f>
        <v>1</v>
      </c>
      <c r="R406" s="22">
        <v>2228</v>
      </c>
      <c r="S406" s="3">
        <f>+IF(Tabla13[[#This Row],[Ingresado USD]]&gt;0,1,-1)</f>
        <v>1</v>
      </c>
      <c r="T406" s="78">
        <v>45911</v>
      </c>
      <c r="U406" s="22">
        <v>2228</v>
      </c>
    </row>
    <row r="407" spans="1:22" ht="12" hidden="1" x14ac:dyDescent="0.2">
      <c r="A407" s="3">
        <v>406</v>
      </c>
      <c r="B407" s="3" t="s">
        <v>361</v>
      </c>
      <c r="C40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LasBambas_Ferrobambas UG Escenarios</v>
      </c>
      <c r="D407" s="3" t="s">
        <v>202</v>
      </c>
      <c r="E407" s="3" t="s">
        <v>343</v>
      </c>
      <c r="F407" s="3" t="s">
        <v>318</v>
      </c>
      <c r="G407" s="3">
        <v>2025</v>
      </c>
      <c r="H407" s="3">
        <f>+IF(Tabla13[[#This Row],[Proyectado USD]]&gt;0,1,-1)</f>
        <v>-1</v>
      </c>
      <c r="I407" s="15"/>
      <c r="J407" s="21"/>
      <c r="K407" s="3">
        <f>+IF(Tabla13[[#This Row],[Emitido USD]]&gt;0,1,-1)</f>
        <v>1</v>
      </c>
      <c r="L407" s="73">
        <v>45836</v>
      </c>
      <c r="M407" s="3">
        <v>8</v>
      </c>
      <c r="N407" s="22">
        <v>2233</v>
      </c>
      <c r="O407" s="6" t="s">
        <v>570</v>
      </c>
      <c r="P407" s="76">
        <v>45889</v>
      </c>
      <c r="Q407" s="3">
        <f>+IF(Tabla13[[#This Row],[Facturado USD]]&gt;0,1,-1)</f>
        <v>1</v>
      </c>
      <c r="R407" s="22">
        <v>2233</v>
      </c>
      <c r="S407" s="3">
        <f>+IF(Tabla13[[#This Row],[Ingresado USD]]&gt;0,1,-1)</f>
        <v>1</v>
      </c>
      <c r="T407" s="78">
        <v>45911</v>
      </c>
      <c r="U407" s="22">
        <v>2233</v>
      </c>
      <c r="V407" s="3" t="s">
        <v>746</v>
      </c>
    </row>
    <row r="408" spans="1:22" ht="12" hidden="1" x14ac:dyDescent="0.2">
      <c r="A408" s="3">
        <v>407</v>
      </c>
      <c r="B408" s="3" t="s">
        <v>571</v>
      </c>
      <c r="C40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LHG_LOM Urucum</v>
      </c>
      <c r="D40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LHG_LOM Urucum</v>
      </c>
      <c r="E408" s="3" t="s">
        <v>572</v>
      </c>
      <c r="F408" s="3" t="s">
        <v>235</v>
      </c>
      <c r="G408" s="3">
        <v>2025</v>
      </c>
      <c r="H408" s="3">
        <f>+IF(Tabla13[[#This Row],[Proyectado USD]]&gt;0,1,-1)</f>
        <v>-1</v>
      </c>
      <c r="I408" s="15"/>
      <c r="J408" s="21"/>
      <c r="K408" s="3">
        <f>+IF(Tabla13[[#This Row],[Emitido USD]]&gt;0,1,-1)</f>
        <v>1</v>
      </c>
      <c r="L408" s="73">
        <v>45889</v>
      </c>
      <c r="M408" s="3">
        <v>8</v>
      </c>
      <c r="N408" s="22">
        <v>35225</v>
      </c>
      <c r="O408" s="6">
        <v>88</v>
      </c>
      <c r="P408" s="76">
        <v>45891</v>
      </c>
      <c r="Q408" s="3">
        <f>+IF(Tabla13[[#This Row],[Facturado USD]]&gt;0,1,-1)</f>
        <v>1</v>
      </c>
      <c r="R408" s="22">
        <v>35660</v>
      </c>
      <c r="S408" s="3">
        <f>+IF(Tabla13[[#This Row],[Ingresado USD]]&gt;0,1,-1)</f>
        <v>1</v>
      </c>
      <c r="T408" s="78">
        <v>45945</v>
      </c>
      <c r="U408" s="66">
        <v>33533</v>
      </c>
    </row>
    <row r="409" spans="1:22" ht="12" hidden="1" x14ac:dyDescent="0.2">
      <c r="A409" s="3">
        <v>408</v>
      </c>
      <c r="B409" s="3" t="s">
        <v>571</v>
      </c>
      <c r="C40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LHG_LOM Urucum</v>
      </c>
      <c r="D40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LHG_LOM Urucum</v>
      </c>
      <c r="E409" s="3" t="s">
        <v>572</v>
      </c>
      <c r="F409" s="3" t="s">
        <v>235</v>
      </c>
      <c r="G409" s="3">
        <v>2025</v>
      </c>
      <c r="H409" s="3">
        <f>+IF(Tabla13[[#This Row],[Proyectado USD]]&gt;0,1,-1)</f>
        <v>-1</v>
      </c>
      <c r="I409" s="15"/>
      <c r="J409" s="21"/>
      <c r="K409" s="3">
        <f>+IF(Tabla13[[#This Row],[Emitido USD]]&gt;0,1,-1)</f>
        <v>1</v>
      </c>
      <c r="L409" s="73">
        <v>45915</v>
      </c>
      <c r="M409" s="3">
        <v>9</v>
      </c>
      <c r="N409" s="22">
        <v>39154</v>
      </c>
      <c r="O409" s="6">
        <v>94</v>
      </c>
      <c r="P409" s="76">
        <v>45922</v>
      </c>
      <c r="Q409" s="3">
        <f>+IF(Tabla13[[#This Row],[Facturado USD]]&gt;0,1,-1)</f>
        <v>1</v>
      </c>
      <c r="R409" s="22">
        <f>209098/5.45</f>
        <v>38366.605504587154</v>
      </c>
      <c r="S409" s="3">
        <f>+IF(Tabla13[[#This Row],[Ingresado USD]]&gt;0,1,-1)</f>
        <v>1</v>
      </c>
      <c r="T409" s="78">
        <v>45978</v>
      </c>
      <c r="U409" s="22">
        <v>36818</v>
      </c>
    </row>
    <row r="410" spans="1:22" ht="12" hidden="1" x14ac:dyDescent="0.2">
      <c r="A410" s="3">
        <v>409</v>
      </c>
      <c r="B410" s="3" t="s">
        <v>571</v>
      </c>
      <c r="C41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LHG_LOM Urucum</v>
      </c>
      <c r="D41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LHG_LOM Urucum</v>
      </c>
      <c r="E410" s="3" t="s">
        <v>572</v>
      </c>
      <c r="F410" s="3" t="s">
        <v>235</v>
      </c>
      <c r="G410" s="3">
        <v>2025</v>
      </c>
      <c r="H410" s="3">
        <f>+IF(Tabla13[[#This Row],[Proyectado USD]]&gt;0,1,-1)</f>
        <v>-1</v>
      </c>
      <c r="I410" s="15"/>
      <c r="J410" s="21"/>
      <c r="K410" s="3">
        <f>+IF(Tabla13[[#This Row],[Emitido USD]]&gt;0,1,-1)</f>
        <v>1</v>
      </c>
      <c r="L410" s="73">
        <v>45945</v>
      </c>
      <c r="M410" s="3">
        <v>10</v>
      </c>
      <c r="N410" s="22">
        <v>38758</v>
      </c>
      <c r="O410" s="6">
        <v>111</v>
      </c>
      <c r="P410" s="76">
        <v>45975</v>
      </c>
      <c r="Q410" s="3">
        <f>+IF(Tabla13[[#This Row],[Facturado USD]]&gt;0,1,-1)</f>
        <v>1</v>
      </c>
      <c r="R410" s="22">
        <v>35406.818181818177</v>
      </c>
      <c r="S410" s="3">
        <f>+IF(Tabla13[[#This Row],[Ingresado USD]]&gt;0,1,-1)</f>
        <v>1</v>
      </c>
      <c r="T410" s="78">
        <v>46027</v>
      </c>
      <c r="U410" s="22">
        <v>33676</v>
      </c>
      <c r="V410" s="3" t="s">
        <v>633</v>
      </c>
    </row>
    <row r="411" spans="1:22" ht="12" hidden="1" x14ac:dyDescent="0.2">
      <c r="A411" s="3">
        <v>410</v>
      </c>
      <c r="B411" s="3" t="s">
        <v>97</v>
      </c>
      <c r="C41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LOM CNN 2023</v>
      </c>
      <c r="D411" s="3" t="s">
        <v>19</v>
      </c>
      <c r="E411" s="3" t="s">
        <v>250</v>
      </c>
      <c r="F411" s="3" t="s">
        <v>251</v>
      </c>
      <c r="G411" s="3">
        <v>2023</v>
      </c>
      <c r="H411" s="3">
        <f>+IF(Tabla13[[#This Row],[Proyectado USD]]&gt;0,1,-1)</f>
        <v>1</v>
      </c>
      <c r="I411" s="15">
        <v>45170</v>
      </c>
      <c r="J411" s="21">
        <v>37831</v>
      </c>
      <c r="K411" s="3">
        <f>+IF(Tabla13[[#This Row],[Emitido USD]]&gt;0,1,-1)</f>
        <v>1</v>
      </c>
      <c r="L411" s="73">
        <v>45194</v>
      </c>
      <c r="M411" s="3">
        <v>23</v>
      </c>
      <c r="N411" s="22">
        <v>40233</v>
      </c>
      <c r="O411" s="6">
        <v>119</v>
      </c>
      <c r="P411" s="76">
        <v>45210</v>
      </c>
      <c r="Q411" s="3">
        <f>+IF(Tabla13[[#This Row],[Facturado USD]]&gt;0,1,-1)</f>
        <v>1</v>
      </c>
      <c r="R411" s="22">
        <v>40233</v>
      </c>
      <c r="S411" s="3">
        <f>+IF(Tabla13[[#This Row],[Ingresado USD]]&gt;0,1,-1)</f>
        <v>1</v>
      </c>
      <c r="T411" s="78">
        <v>45224</v>
      </c>
      <c r="U411" s="22">
        <v>38221.35</v>
      </c>
      <c r="V411" s="3" t="s">
        <v>98</v>
      </c>
    </row>
    <row r="412" spans="1:22" ht="12" hidden="1" x14ac:dyDescent="0.2">
      <c r="A412" s="3">
        <v>411</v>
      </c>
      <c r="B412" s="3" t="s">
        <v>99</v>
      </c>
      <c r="C41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LOM MLC 2023</v>
      </c>
      <c r="D412" s="3" t="s">
        <v>20</v>
      </c>
      <c r="E412" s="3" t="s">
        <v>250</v>
      </c>
      <c r="F412" s="3" t="s">
        <v>251</v>
      </c>
      <c r="G412" s="3">
        <v>2023</v>
      </c>
      <c r="H412" s="3">
        <f>+IF(Tabla13[[#This Row],[Proyectado USD]]&gt;0,1,-1)</f>
        <v>1</v>
      </c>
      <c r="I412" s="15">
        <v>45170</v>
      </c>
      <c r="J412" s="21">
        <v>25796</v>
      </c>
      <c r="K412" s="3">
        <f>+IF(Tabla13[[#This Row],[Emitido USD]]&gt;0,1,-1)</f>
        <v>1</v>
      </c>
      <c r="L412" s="73">
        <v>45194</v>
      </c>
      <c r="M412" s="3">
        <v>23</v>
      </c>
      <c r="N412" s="22">
        <v>27467</v>
      </c>
      <c r="O412" s="6">
        <v>119</v>
      </c>
      <c r="P412" s="76">
        <v>45210</v>
      </c>
      <c r="Q412" s="3">
        <f>+IF(Tabla13[[#This Row],[Facturado USD]]&gt;0,1,-1)</f>
        <v>1</v>
      </c>
      <c r="R412" s="22">
        <v>27467</v>
      </c>
      <c r="S412" s="3">
        <f>+IF(Tabla13[[#This Row],[Ingresado USD]]&gt;0,1,-1)</f>
        <v>1</v>
      </c>
      <c r="T412" s="78">
        <v>45224</v>
      </c>
      <c r="U412" s="22">
        <v>26093.649999999998</v>
      </c>
      <c r="V412" s="3" t="s">
        <v>98</v>
      </c>
    </row>
    <row r="413" spans="1:22" ht="12" hidden="1" x14ac:dyDescent="0.2">
      <c r="A413" s="3">
        <v>412</v>
      </c>
      <c r="B413" s="3" t="s">
        <v>100</v>
      </c>
      <c r="C41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Lomas Bayas - LoA24</v>
      </c>
      <c r="D413" s="3" t="s">
        <v>21</v>
      </c>
      <c r="E413" s="3" t="s">
        <v>306</v>
      </c>
      <c r="F413" s="3" t="s">
        <v>251</v>
      </c>
      <c r="G413" s="3">
        <v>2023</v>
      </c>
      <c r="H413" s="3">
        <f>+IF(Tabla13[[#This Row],[Proyectado USD]]&gt;0,1,-1)</f>
        <v>-1</v>
      </c>
      <c r="I413" s="15"/>
      <c r="J413" s="21"/>
      <c r="K413" s="3">
        <f>+IF(Tabla13[[#This Row],[Emitido USD]]&gt;0,1,-1)</f>
        <v>1</v>
      </c>
      <c r="L413" s="73">
        <v>45008</v>
      </c>
      <c r="M413" s="3">
        <v>1</v>
      </c>
      <c r="N413" s="22">
        <v>62800</v>
      </c>
      <c r="O413" s="6">
        <v>62</v>
      </c>
      <c r="P413" s="76">
        <v>45030</v>
      </c>
      <c r="Q413" s="3">
        <f>+IF(Tabla13[[#This Row],[Facturado USD]]&gt;0,1,-1)</f>
        <v>1</v>
      </c>
      <c r="R413" s="22">
        <v>62800</v>
      </c>
      <c r="S413" s="3">
        <f>+IF(Tabla13[[#This Row],[Ingresado USD]]&gt;0,1,-1)</f>
        <v>1</v>
      </c>
      <c r="T413" s="78">
        <v>45114</v>
      </c>
      <c r="U413" s="22">
        <v>62800</v>
      </c>
    </row>
    <row r="414" spans="1:22" ht="12" hidden="1" customHeight="1" x14ac:dyDescent="0.2">
      <c r="A414" s="3">
        <v>413</v>
      </c>
      <c r="B414" s="3" t="s">
        <v>100</v>
      </c>
      <c r="C41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Lomas Bayas - LoA24</v>
      </c>
      <c r="D414" s="3" t="s">
        <v>21</v>
      </c>
      <c r="E414" s="3" t="s">
        <v>306</v>
      </c>
      <c r="F414" s="3" t="s">
        <v>251</v>
      </c>
      <c r="G414" s="3">
        <v>2023</v>
      </c>
      <c r="H414" s="3">
        <f>+IF(Tabla13[[#This Row],[Proyectado USD]]&gt;0,1,-1)</f>
        <v>-1</v>
      </c>
      <c r="I414" s="15"/>
      <c r="J414" s="21"/>
      <c r="K414" s="3">
        <f>+IF(Tabla13[[#This Row],[Emitido USD]]&gt;0,1,-1)</f>
        <v>1</v>
      </c>
      <c r="L414" s="73">
        <v>45128</v>
      </c>
      <c r="M414" s="3">
        <v>2</v>
      </c>
      <c r="N414" s="22">
        <v>104002.7</v>
      </c>
      <c r="O414" s="6">
        <v>94</v>
      </c>
      <c r="P414" s="76">
        <v>45134</v>
      </c>
      <c r="Q414" s="3">
        <f>+IF(Tabla13[[#This Row],[Facturado USD]]&gt;0,1,-1)</f>
        <v>1</v>
      </c>
      <c r="R414" s="22">
        <v>104003</v>
      </c>
      <c r="S414" s="3">
        <f>+IF(Tabla13[[#This Row],[Ingresado USD]]&gt;0,1,-1)</f>
        <v>1</v>
      </c>
      <c r="T414" s="78">
        <v>45163</v>
      </c>
      <c r="U414" s="22">
        <v>104003</v>
      </c>
    </row>
    <row r="415" spans="1:22" ht="12" hidden="1" customHeight="1" x14ac:dyDescent="0.2">
      <c r="A415" s="3">
        <v>414</v>
      </c>
      <c r="B415" s="3" t="s">
        <v>100</v>
      </c>
      <c r="C41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Lomas Bayas - LoA24</v>
      </c>
      <c r="D415" s="3" t="s">
        <v>21</v>
      </c>
      <c r="E415" s="3" t="s">
        <v>306</v>
      </c>
      <c r="F415" s="3" t="s">
        <v>251</v>
      </c>
      <c r="G415" s="3">
        <v>2023</v>
      </c>
      <c r="H415" s="3">
        <f>+IF(Tabla13[[#This Row],[Proyectado USD]]&gt;0,1,-1)</f>
        <v>-1</v>
      </c>
      <c r="I415" s="15"/>
      <c r="J415" s="21"/>
      <c r="K415" s="3">
        <f>+IF(Tabla13[[#This Row],[Emitido USD]]&gt;0,1,-1)</f>
        <v>1</v>
      </c>
      <c r="L415" s="73">
        <v>45163</v>
      </c>
      <c r="M415" s="3">
        <v>3</v>
      </c>
      <c r="N415" s="22">
        <v>88160.83</v>
      </c>
      <c r="O415" s="6">
        <v>110</v>
      </c>
      <c r="P415" s="76">
        <v>45198</v>
      </c>
      <c r="Q415" s="3">
        <f>+IF(Tabla13[[#This Row],[Facturado USD]]&gt;0,1,-1)</f>
        <v>1</v>
      </c>
      <c r="R415" s="22">
        <v>88161</v>
      </c>
      <c r="S415" s="3">
        <f>+IF(Tabla13[[#This Row],[Ingresado USD]]&gt;0,1,-1)</f>
        <v>1</v>
      </c>
      <c r="T415" s="78">
        <v>45225</v>
      </c>
      <c r="U415" s="22">
        <v>88161</v>
      </c>
    </row>
    <row r="416" spans="1:22" ht="12" hidden="1" customHeight="1" x14ac:dyDescent="0.2">
      <c r="A416" s="3">
        <v>415</v>
      </c>
      <c r="B416" s="3" t="s">
        <v>100</v>
      </c>
      <c r="C41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Lomas Bayas - LoA24</v>
      </c>
      <c r="D416" s="3" t="s">
        <v>21</v>
      </c>
      <c r="E416" s="3" t="s">
        <v>306</v>
      </c>
      <c r="F416" s="3" t="s">
        <v>251</v>
      </c>
      <c r="G416" s="3">
        <v>2023</v>
      </c>
      <c r="H416" s="3">
        <f>+IF(Tabla13[[#This Row],[Proyectado USD]]&gt;0,1,-1)</f>
        <v>1</v>
      </c>
      <c r="I416" s="15">
        <v>45200</v>
      </c>
      <c r="J416" s="21">
        <v>42260</v>
      </c>
      <c r="K416" s="3">
        <f>+IF(Tabla13[[#This Row],[Emitido USD]]&gt;0,1,-1)</f>
        <v>1</v>
      </c>
      <c r="L416" s="73">
        <v>45222</v>
      </c>
      <c r="M416" s="34">
        <v>4</v>
      </c>
      <c r="N416" s="22">
        <v>3577</v>
      </c>
      <c r="O416" s="20">
        <v>131</v>
      </c>
      <c r="P416" s="76">
        <v>45289</v>
      </c>
      <c r="Q416" s="3">
        <f>+IF(Tabla13[[#This Row],[Facturado USD]]&gt;0,1,-1)</f>
        <v>1</v>
      </c>
      <c r="R416" s="22">
        <v>3577</v>
      </c>
      <c r="S416" s="3">
        <f>+IF(Tabla13[[#This Row],[Ingresado USD]]&gt;0,1,-1)</f>
        <v>1</v>
      </c>
      <c r="T416" s="78">
        <v>45317</v>
      </c>
      <c r="U416" s="22">
        <v>3577</v>
      </c>
    </row>
    <row r="417" spans="1:22" ht="12" customHeight="1" x14ac:dyDescent="0.2">
      <c r="A417" s="3">
        <v>618</v>
      </c>
      <c r="B417" s="3" t="s">
        <v>730</v>
      </c>
      <c r="C41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Polyus_Evaluacion talud mina Blagodatny</v>
      </c>
      <c r="D417" s="3" t="s">
        <v>728</v>
      </c>
      <c r="E417" s="3" t="s">
        <v>734</v>
      </c>
      <c r="F417" s="3" t="s">
        <v>465</v>
      </c>
      <c r="G417" s="3">
        <v>2026</v>
      </c>
      <c r="H417" s="3">
        <f>+IF(Tabla13[[#This Row],[Proyectado USD]]&gt;0,1,-1)</f>
        <v>1</v>
      </c>
      <c r="I417" s="15">
        <v>46078</v>
      </c>
      <c r="J417" s="21">
        <v>87873</v>
      </c>
      <c r="K417" s="3">
        <f>+IF(Tabla13[[#This Row],[Emitido USD]]&gt;0,1,-1)</f>
        <v>1</v>
      </c>
      <c r="L417" s="73">
        <v>46107</v>
      </c>
      <c r="M417" s="3" t="s">
        <v>630</v>
      </c>
      <c r="N417" s="22">
        <v>138023</v>
      </c>
      <c r="O417" s="6" t="s">
        <v>164</v>
      </c>
      <c r="P417" s="76">
        <v>46107</v>
      </c>
      <c r="Q417" s="3">
        <f>+IF(Tabla13[[#This Row],[Facturado USD]]&gt;0,1,-1)</f>
        <v>1</v>
      </c>
      <c r="R417" s="22">
        <v>138023</v>
      </c>
      <c r="S417" s="3">
        <f>+IF(Tabla13[[#This Row],[Ingresado USD]]&gt;0,1,-1)</f>
        <v>-1</v>
      </c>
      <c r="T417" s="78">
        <v>46185</v>
      </c>
    </row>
    <row r="418" spans="1:22" ht="12" customHeight="1" x14ac:dyDescent="0.2">
      <c r="A418" s="3">
        <v>620</v>
      </c>
      <c r="B418" s="3" t="s">
        <v>731</v>
      </c>
      <c r="C41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Polyus_Olimpiada Cutback 5&amp;6</v>
      </c>
      <c r="D418" s="3" t="s">
        <v>729</v>
      </c>
      <c r="E418" s="3" t="s">
        <v>734</v>
      </c>
      <c r="F418" s="3" t="s">
        <v>465</v>
      </c>
      <c r="G418" s="3">
        <v>2026</v>
      </c>
      <c r="H418" s="3">
        <f>+IF(Tabla13[[#This Row],[Proyectado USD]]&gt;0,1,-1)</f>
        <v>1</v>
      </c>
      <c r="I418" s="15">
        <v>46078</v>
      </c>
      <c r="J418" s="21">
        <v>33597</v>
      </c>
      <c r="K418" s="3">
        <f>+IF(Tabla13[[#This Row],[Emitido USD]]&gt;0,1,-1)</f>
        <v>1</v>
      </c>
      <c r="L418" s="73">
        <v>46107</v>
      </c>
      <c r="M418" s="3" t="s">
        <v>630</v>
      </c>
      <c r="N418" s="22">
        <v>113391</v>
      </c>
      <c r="O418" s="6" t="s">
        <v>164</v>
      </c>
      <c r="P418" s="76">
        <v>46107</v>
      </c>
      <c r="Q418" s="3">
        <f>+IF(Tabla13[[#This Row],[Facturado USD]]&gt;0,1,-1)</f>
        <v>1</v>
      </c>
      <c r="R418" s="22">
        <v>113391</v>
      </c>
      <c r="S418" s="3">
        <f>+IF(Tabla13[[#This Row],[Ingresado USD]]&gt;0,1,-1)</f>
        <v>-1</v>
      </c>
      <c r="T418" s="78">
        <v>46192</v>
      </c>
    </row>
    <row r="419" spans="1:22" ht="12" customHeight="1" x14ac:dyDescent="0.2">
      <c r="A419" s="3">
        <v>661</v>
      </c>
      <c r="B419" s="3" t="s">
        <v>732</v>
      </c>
      <c r="C41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Seligdar_Kyuchus</v>
      </c>
      <c r="D419" s="3" t="s">
        <v>726</v>
      </c>
      <c r="E419" s="3" t="s">
        <v>727</v>
      </c>
      <c r="F419" s="3" t="s">
        <v>465</v>
      </c>
      <c r="G419" s="3">
        <v>2026</v>
      </c>
      <c r="H419" s="3">
        <f>+IF(Tabla13[[#This Row],[Proyectado USD]]&gt;0,1,-1)</f>
        <v>1</v>
      </c>
      <c r="I419" s="15">
        <v>46078</v>
      </c>
      <c r="J419" s="21">
        <v>1217640</v>
      </c>
      <c r="K419" s="3">
        <f>+IF(Tabla13[[#This Row],[Emitido USD]]&gt;0,1,-1)</f>
        <v>1</v>
      </c>
      <c r="L419" s="73">
        <v>46105</v>
      </c>
      <c r="M419" s="3" t="s">
        <v>630</v>
      </c>
      <c r="N419" s="22">
        <f>400000</f>
        <v>400000</v>
      </c>
      <c r="O419" s="6" t="s">
        <v>164</v>
      </c>
      <c r="P419" s="76">
        <v>46106</v>
      </c>
      <c r="Q419" s="3">
        <f>+IF(Tabla13[[#This Row],[Facturado USD]]&gt;0,1,-1)</f>
        <v>1</v>
      </c>
      <c r="R419" s="22">
        <v>400000</v>
      </c>
      <c r="S419" s="3">
        <f>+IF(Tabla13[[#This Row],[Ingresado USD]]&gt;0,1,-1)</f>
        <v>-1</v>
      </c>
      <c r="T419" s="78">
        <v>46181</v>
      </c>
      <c r="V419" s="3" t="s">
        <v>829</v>
      </c>
    </row>
    <row r="420" spans="1:22" ht="12" hidden="1" customHeight="1" x14ac:dyDescent="0.2">
      <c r="A420" s="3">
        <v>419</v>
      </c>
      <c r="B420" s="3" t="s">
        <v>557</v>
      </c>
      <c r="C42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Lundin_Análisis Estratégico Caserones</v>
      </c>
      <c r="D420" s="3" t="s">
        <v>558</v>
      </c>
      <c r="E420" s="3" t="s">
        <v>275</v>
      </c>
      <c r="F420" s="3" t="s">
        <v>251</v>
      </c>
      <c r="G420" s="3">
        <v>2025</v>
      </c>
      <c r="H420" s="3">
        <f>+IF(Tabla13[[#This Row],[Proyectado USD]]&gt;0,1,-1)</f>
        <v>-1</v>
      </c>
      <c r="I420" s="15"/>
      <c r="J420" s="21"/>
      <c r="K420" s="3">
        <f>+IF(Tabla13[[#This Row],[Emitido USD]]&gt;0,1,-1)</f>
        <v>1</v>
      </c>
      <c r="L420" s="73">
        <v>45838</v>
      </c>
      <c r="M420" s="3">
        <v>1</v>
      </c>
      <c r="N420" s="22">
        <v>54620</v>
      </c>
      <c r="O420" s="6">
        <v>329</v>
      </c>
      <c r="P420" s="76">
        <v>45873</v>
      </c>
      <c r="Q420" s="3">
        <f>+IF(Tabla13[[#This Row],[Facturado USD]]&gt;0,1,-1)</f>
        <v>1</v>
      </c>
      <c r="R420" s="22">
        <v>54620</v>
      </c>
      <c r="S420" s="3">
        <f>+IF(Tabla13[[#This Row],[Ingresado USD]]&gt;0,1,-1)</f>
        <v>1</v>
      </c>
      <c r="T420" s="78">
        <v>45898</v>
      </c>
      <c r="U420" s="22">
        <v>54620</v>
      </c>
    </row>
    <row r="421" spans="1:22" ht="12" hidden="1" customHeight="1" x14ac:dyDescent="0.2">
      <c r="A421" s="3">
        <v>420</v>
      </c>
      <c r="B421" s="3" t="s">
        <v>557</v>
      </c>
      <c r="C42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Lundin_Análisis Estratégico Caserones</v>
      </c>
      <c r="D421" s="3" t="s">
        <v>558</v>
      </c>
      <c r="E421" s="3" t="s">
        <v>275</v>
      </c>
      <c r="F421" s="3" t="s">
        <v>251</v>
      </c>
      <c r="G421" s="3">
        <v>2025</v>
      </c>
      <c r="H421" s="3">
        <f>+IF(Tabla13[[#This Row],[Proyectado USD]]&gt;0,1,-1)</f>
        <v>-1</v>
      </c>
      <c r="I421" s="15"/>
      <c r="J421" s="21"/>
      <c r="K421" s="3">
        <f>+IF(Tabla13[[#This Row],[Emitido USD]]&gt;0,1,-1)</f>
        <v>1</v>
      </c>
      <c r="L421" s="73">
        <v>45869</v>
      </c>
      <c r="M421" s="3">
        <v>2</v>
      </c>
      <c r="N421" s="22">
        <v>70025</v>
      </c>
      <c r="O421" s="25">
        <v>331</v>
      </c>
      <c r="P421" s="76">
        <v>45890</v>
      </c>
      <c r="Q421" s="3">
        <f>+IF(Tabla13[[#This Row],[Facturado USD]]&gt;0,1,-1)</f>
        <v>1</v>
      </c>
      <c r="R421" s="22">
        <v>70025</v>
      </c>
      <c r="S421" s="3">
        <f>+IF(Tabla13[[#This Row],[Ingresado USD]]&gt;0,1,-1)</f>
        <v>1</v>
      </c>
      <c r="T421" s="78">
        <v>45912</v>
      </c>
      <c r="U421" s="22">
        <v>70025</v>
      </c>
    </row>
    <row r="422" spans="1:22" ht="12" hidden="1" customHeight="1" x14ac:dyDescent="0.2">
      <c r="A422" s="3">
        <v>421</v>
      </c>
      <c r="B422" s="3" t="s">
        <v>557</v>
      </c>
      <c r="C42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Lundin_Análisis Estratégico Caserones</v>
      </c>
      <c r="D422" s="3" t="s">
        <v>558</v>
      </c>
      <c r="E422" s="3" t="s">
        <v>275</v>
      </c>
      <c r="F422" s="3" t="s">
        <v>251</v>
      </c>
      <c r="G422" s="3">
        <v>2025</v>
      </c>
      <c r="H422" s="3">
        <f>+IF(Tabla13[[#This Row],[Proyectado USD]]&gt;0,1,-1)</f>
        <v>-1</v>
      </c>
      <c r="I422" s="15"/>
      <c r="J422" s="21"/>
      <c r="K422" s="3">
        <f>+IF(Tabla13[[#This Row],[Emitido USD]]&gt;0,1,-1)</f>
        <v>1</v>
      </c>
      <c r="L422" s="73">
        <v>45898</v>
      </c>
      <c r="M422" s="3">
        <v>3</v>
      </c>
      <c r="N422" s="22">
        <v>70020</v>
      </c>
      <c r="O422" s="25">
        <v>340</v>
      </c>
      <c r="P422" s="76">
        <v>45925</v>
      </c>
      <c r="Q422" s="3">
        <f>+IF(Tabla13[[#This Row],[Facturado USD]]&gt;0,1,-1)</f>
        <v>1</v>
      </c>
      <c r="R422" s="22">
        <v>70020</v>
      </c>
      <c r="S422" s="3">
        <f>+IF(Tabla13[[#This Row],[Ingresado USD]]&gt;0,1,-1)</f>
        <v>1</v>
      </c>
      <c r="T422" s="78">
        <v>45954</v>
      </c>
      <c r="U422" s="22">
        <v>70020</v>
      </c>
    </row>
    <row r="423" spans="1:22" ht="12" hidden="1" customHeight="1" x14ac:dyDescent="0.2">
      <c r="A423" s="3">
        <v>422</v>
      </c>
      <c r="B423" s="3" t="s">
        <v>557</v>
      </c>
      <c r="C42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Lundin_Análisis Estratégico Caserones</v>
      </c>
      <c r="D423" s="3" t="s">
        <v>558</v>
      </c>
      <c r="E423" s="3" t="s">
        <v>275</v>
      </c>
      <c r="F423" s="3" t="s">
        <v>251</v>
      </c>
      <c r="G423" s="3">
        <v>2025</v>
      </c>
      <c r="H423" s="3">
        <f>+IF(Tabla13[[#This Row],[Proyectado USD]]&gt;0,1,-1)</f>
        <v>-1</v>
      </c>
      <c r="I423" s="15"/>
      <c r="J423" s="21"/>
      <c r="K423" s="3">
        <f>+IF(Tabla13[[#This Row],[Emitido USD]]&gt;0,1,-1)</f>
        <v>1</v>
      </c>
      <c r="L423" s="73">
        <v>45930</v>
      </c>
      <c r="M423" s="3">
        <v>4</v>
      </c>
      <c r="N423" s="22">
        <v>53961</v>
      </c>
      <c r="O423" s="25">
        <v>351</v>
      </c>
      <c r="P423" s="76">
        <v>45954</v>
      </c>
      <c r="Q423" s="3">
        <f>+IF(Tabla13[[#This Row],[Facturado USD]]&gt;0,1,-1)</f>
        <v>1</v>
      </c>
      <c r="R423" s="22">
        <v>53961</v>
      </c>
      <c r="S423" s="3">
        <f>+IF(Tabla13[[#This Row],[Ingresado USD]]&gt;0,1,-1)</f>
        <v>1</v>
      </c>
      <c r="T423" s="78">
        <v>45982</v>
      </c>
      <c r="U423" s="22">
        <v>53961</v>
      </c>
    </row>
    <row r="424" spans="1:22" ht="12" hidden="1" customHeight="1" x14ac:dyDescent="0.2">
      <c r="A424" s="3">
        <v>423</v>
      </c>
      <c r="B424" s="3" t="s">
        <v>557</v>
      </c>
      <c r="C42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Lundin_Análisis Estratégico Caserones</v>
      </c>
      <c r="D424" s="3" t="s">
        <v>558</v>
      </c>
      <c r="E424" s="3" t="s">
        <v>275</v>
      </c>
      <c r="F424" s="3" t="s">
        <v>251</v>
      </c>
      <c r="G424" s="3">
        <v>2025</v>
      </c>
      <c r="H424" s="3">
        <f>+IF(Tabla13[[#This Row],[Proyectado USD]]&gt;0,1,-1)</f>
        <v>-1</v>
      </c>
      <c r="I424" s="15"/>
      <c r="J424" s="21"/>
      <c r="K424" s="3">
        <f>+IF(Tabla13[[#This Row],[Emitido USD]]&gt;0,1,-1)</f>
        <v>1</v>
      </c>
      <c r="L424" s="73">
        <v>45954</v>
      </c>
      <c r="M424" s="3">
        <v>5</v>
      </c>
      <c r="N424" s="67">
        <v>31113</v>
      </c>
      <c r="O424" s="25">
        <v>360</v>
      </c>
      <c r="P424" s="76">
        <v>45986</v>
      </c>
      <c r="Q424" s="3">
        <f>+IF(Tabla13[[#This Row],[Facturado USD]]&gt;0,1,-1)</f>
        <v>1</v>
      </c>
      <c r="R424" s="25">
        <v>31113</v>
      </c>
      <c r="S424" s="3">
        <f>+IF(Tabla13[[#This Row],[Ingresado USD]]&gt;0,1,-1)</f>
        <v>1</v>
      </c>
      <c r="T424" s="78">
        <v>46010</v>
      </c>
      <c r="U424" s="22">
        <v>31113</v>
      </c>
    </row>
    <row r="425" spans="1:22" ht="12" hidden="1" customHeight="1" x14ac:dyDescent="0.2">
      <c r="A425" s="3">
        <v>424</v>
      </c>
      <c r="B425" s="3" t="s">
        <v>557</v>
      </c>
      <c r="C42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Lundin_Análisis Estratégico Caserones</v>
      </c>
      <c r="D425" s="3" t="s">
        <v>558</v>
      </c>
      <c r="E425" s="3" t="s">
        <v>275</v>
      </c>
      <c r="F425" s="3" t="s">
        <v>251</v>
      </c>
      <c r="G425" s="3">
        <v>2025</v>
      </c>
      <c r="H425" s="3">
        <f>+IF(Tabla13[[#This Row],[Proyectado USD]]&gt;0,1,-1)</f>
        <v>-1</v>
      </c>
      <c r="I425" s="15"/>
      <c r="J425" s="21"/>
      <c r="K425" s="3">
        <f>+IF(Tabla13[[#This Row],[Emitido USD]]&gt;0,1,-1)</f>
        <v>1</v>
      </c>
      <c r="L425" s="73">
        <v>45986</v>
      </c>
      <c r="M425" s="3">
        <v>6</v>
      </c>
      <c r="N425" s="21">
        <v>19531</v>
      </c>
      <c r="O425" s="25">
        <v>376</v>
      </c>
      <c r="P425" s="76">
        <v>46022</v>
      </c>
      <c r="Q425" s="3">
        <f>+IF(Tabla13[[#This Row],[Facturado USD]]&gt;0,1,-1)</f>
        <v>1</v>
      </c>
      <c r="R425" s="25">
        <v>19531</v>
      </c>
      <c r="S425" s="3">
        <f>+IF(Tabla13[[#This Row],[Ingresado USD]]&gt;0,1,-1)</f>
        <v>1</v>
      </c>
      <c r="T425" s="78">
        <v>46052</v>
      </c>
      <c r="U425" s="25">
        <v>19531</v>
      </c>
    </row>
    <row r="426" spans="1:22" ht="12" hidden="1" customHeight="1" x14ac:dyDescent="0.2">
      <c r="A426" s="3">
        <v>425</v>
      </c>
      <c r="B426" s="3" t="s">
        <v>307</v>
      </c>
      <c r="C42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Lundin_Candelaria_EstudiosCugep</v>
      </c>
      <c r="D426" s="3" t="s">
        <v>203</v>
      </c>
      <c r="E426" s="3" t="s">
        <v>275</v>
      </c>
      <c r="F426" s="3" t="s">
        <v>251</v>
      </c>
      <c r="G426" s="3">
        <v>2024</v>
      </c>
      <c r="H426" s="3">
        <f>+IF(Tabla13[[#This Row],[Proyectado USD]]&gt;0,1,-1)</f>
        <v>1</v>
      </c>
      <c r="I426" s="15">
        <v>45352</v>
      </c>
      <c r="J426" s="49">
        <v>19917</v>
      </c>
      <c r="K426" s="3">
        <f>+IF(Tabla13[[#This Row],[Emitido USD]]&gt;0,1,-1)</f>
        <v>1</v>
      </c>
      <c r="L426" s="73">
        <v>45376</v>
      </c>
      <c r="M426" s="3">
        <v>1</v>
      </c>
      <c r="N426" s="50">
        <v>26615</v>
      </c>
      <c r="O426" s="6">
        <v>186</v>
      </c>
      <c r="P426" s="76">
        <v>45428</v>
      </c>
      <c r="Q426" s="3">
        <f>+IF(Tabla13[[#This Row],[Facturado USD]]&gt;0,1,-1)</f>
        <v>1</v>
      </c>
      <c r="R426" s="22">
        <v>26615</v>
      </c>
      <c r="S426" s="3">
        <f>+IF(Tabla13[[#This Row],[Ingresado USD]]&gt;0,1,-1)</f>
        <v>1</v>
      </c>
      <c r="T426" s="78">
        <v>45459</v>
      </c>
      <c r="U426" s="22">
        <v>26615</v>
      </c>
    </row>
    <row r="427" spans="1:22" ht="12" hidden="1" customHeight="1" x14ac:dyDescent="0.2">
      <c r="A427" s="3">
        <v>426</v>
      </c>
      <c r="B427" s="3" t="s">
        <v>307</v>
      </c>
      <c r="C42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Lundin_Candelaria_EstudiosCugep</v>
      </c>
      <c r="D427" s="56" t="s">
        <v>203</v>
      </c>
      <c r="E427" s="3" t="s">
        <v>275</v>
      </c>
      <c r="F427" s="3" t="s">
        <v>251</v>
      </c>
      <c r="G427" s="3">
        <v>2024</v>
      </c>
      <c r="H427" s="3">
        <f>+IF(Tabla13[[#This Row],[Proyectado USD]]&gt;0,1,-1)</f>
        <v>1</v>
      </c>
      <c r="I427" s="15">
        <v>45383</v>
      </c>
      <c r="J427" s="21">
        <v>93740</v>
      </c>
      <c r="K427" s="3">
        <f>+IF(Tabla13[[#This Row],[Emitido USD]]&gt;0,1,-1)</f>
        <v>1</v>
      </c>
      <c r="L427" s="73">
        <v>45498</v>
      </c>
      <c r="M427" s="3">
        <v>2</v>
      </c>
      <c r="N427" s="21">
        <v>71980</v>
      </c>
      <c r="O427" s="6">
        <v>205</v>
      </c>
      <c r="P427" s="76">
        <v>45527</v>
      </c>
      <c r="Q427" s="3">
        <f>+IF(Tabla13[[#This Row],[Facturado USD]]&gt;0,1,-1)</f>
        <v>1</v>
      </c>
      <c r="R427" s="22">
        <v>73718</v>
      </c>
      <c r="S427" s="3">
        <f>+IF(Tabla13[[#This Row],[Ingresado USD]]&gt;0,1,-1)</f>
        <v>1</v>
      </c>
      <c r="T427" s="78">
        <v>45558</v>
      </c>
      <c r="U427" s="22">
        <v>73718</v>
      </c>
    </row>
    <row r="428" spans="1:22" ht="12" hidden="1" customHeight="1" x14ac:dyDescent="0.2">
      <c r="A428" s="3">
        <v>427</v>
      </c>
      <c r="B428" s="3" t="s">
        <v>307</v>
      </c>
      <c r="C42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Lundin_Candelaria_EstudiosCugep</v>
      </c>
      <c r="D428" s="3" t="s">
        <v>203</v>
      </c>
      <c r="E428" s="3" t="s">
        <v>275</v>
      </c>
      <c r="F428" s="3" t="s">
        <v>251</v>
      </c>
      <c r="G428" s="3">
        <v>2024</v>
      </c>
      <c r="H428" s="3">
        <f>+IF(Tabla13[[#This Row],[Proyectado USD]]&gt;0,1,-1)</f>
        <v>-1</v>
      </c>
      <c r="I428" s="15"/>
      <c r="J428" s="21"/>
      <c r="K428" s="3">
        <f>+IF(Tabla13[[#This Row],[Emitido USD]]&gt;0,1,-1)</f>
        <v>1</v>
      </c>
      <c r="L428" s="73">
        <v>45531</v>
      </c>
      <c r="M428" s="3">
        <v>3</v>
      </c>
      <c r="N428" s="22">
        <v>60342</v>
      </c>
      <c r="O428" s="6">
        <v>226</v>
      </c>
      <c r="P428" s="76">
        <v>45586</v>
      </c>
      <c r="Q428" s="3">
        <f>+IF(Tabla13[[#This Row],[Facturado USD]]&gt;0,1,-1)</f>
        <v>1</v>
      </c>
      <c r="R428" s="22">
        <v>61499</v>
      </c>
      <c r="S428" s="3">
        <f>+IF(Tabla13[[#This Row],[Ingresado USD]]&gt;0,1,-1)</f>
        <v>1</v>
      </c>
      <c r="T428" s="78">
        <v>45611</v>
      </c>
      <c r="U428" s="22">
        <v>61499</v>
      </c>
    </row>
    <row r="429" spans="1:22" ht="12" hidden="1" customHeight="1" x14ac:dyDescent="0.2">
      <c r="A429" s="3">
        <v>428</v>
      </c>
      <c r="B429" s="3" t="s">
        <v>307</v>
      </c>
      <c r="C42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Lundin_Candelaria_EstudiosCugep</v>
      </c>
      <c r="D429" s="3" t="s">
        <v>203</v>
      </c>
      <c r="E429" s="3" t="s">
        <v>275</v>
      </c>
      <c r="F429" s="3" t="s">
        <v>251</v>
      </c>
      <c r="G429" s="3">
        <v>2024</v>
      </c>
      <c r="H429" s="3">
        <f>+IF(Tabla13[[#This Row],[Proyectado USD]]&gt;0,1,-1)</f>
        <v>-1</v>
      </c>
      <c r="I429" s="15"/>
      <c r="J429" s="21"/>
      <c r="K429" s="3">
        <f>+IF(Tabla13[[#This Row],[Emitido USD]]&gt;0,1,-1)</f>
        <v>1</v>
      </c>
      <c r="L429" s="73">
        <v>45625</v>
      </c>
      <c r="M429" s="3">
        <v>4</v>
      </c>
      <c r="N429" s="22">
        <v>34013</v>
      </c>
      <c r="O429" s="59">
        <v>253</v>
      </c>
      <c r="P429" s="76">
        <v>45667</v>
      </c>
      <c r="Q429" s="3">
        <f>+IF(Tabla13[[#This Row],[Facturado USD]]&gt;0,1,-1)</f>
        <v>1</v>
      </c>
      <c r="R429" s="22">
        <v>34013</v>
      </c>
      <c r="S429" s="3">
        <f>+IF(Tabla13[[#This Row],[Ingresado USD]]&gt;0,1,-1)</f>
        <v>1</v>
      </c>
      <c r="T429" s="78">
        <v>45695</v>
      </c>
      <c r="U429" s="23">
        <v>35295.290100000006</v>
      </c>
    </row>
    <row r="430" spans="1:22" ht="12" hidden="1" x14ac:dyDescent="0.2">
      <c r="A430" s="3">
        <v>429</v>
      </c>
      <c r="B430" s="3" t="s">
        <v>481</v>
      </c>
      <c r="C43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Lundin_Gaps Planificación y Operación UG</v>
      </c>
      <c r="D430" s="3" t="s">
        <v>204</v>
      </c>
      <c r="E430" s="3" t="s">
        <v>275</v>
      </c>
      <c r="F430" s="3" t="s">
        <v>469</v>
      </c>
      <c r="G430" s="3">
        <v>2024</v>
      </c>
      <c r="H430" s="3">
        <f>+IF(Tabla13[[#This Row],[Proyectado USD]]&gt;0,1,-1)</f>
        <v>-1</v>
      </c>
      <c r="I430" s="15"/>
      <c r="J430" s="21"/>
      <c r="K430" s="3">
        <f>+IF(Tabla13[[#This Row],[Emitido USD]]&gt;0,1,-1)</f>
        <v>1</v>
      </c>
      <c r="L430" s="73">
        <v>45657</v>
      </c>
      <c r="M430" s="3">
        <v>1</v>
      </c>
      <c r="N430" s="22">
        <v>66652</v>
      </c>
      <c r="O430" s="58" t="s">
        <v>164</v>
      </c>
      <c r="P430" s="76">
        <v>45657</v>
      </c>
      <c r="Q430" s="3">
        <f>+IF(Tabla13[[#This Row],[Facturado USD]]&gt;0,1,-1)</f>
        <v>1</v>
      </c>
      <c r="R430" s="22">
        <v>66652</v>
      </c>
      <c r="S430" s="3">
        <f>+IF(Tabla13[[#This Row],[Ingresado USD]]&gt;0,1,-1)</f>
        <v>1</v>
      </c>
      <c r="T430" s="78">
        <v>45702</v>
      </c>
      <c r="U430" s="22">
        <v>66652</v>
      </c>
    </row>
    <row r="431" spans="1:22" ht="12" hidden="1" x14ac:dyDescent="0.2">
      <c r="A431" s="3">
        <v>430</v>
      </c>
      <c r="B431" s="3" t="s">
        <v>308</v>
      </c>
      <c r="C43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Lundin_Oportunidades mejoras Caserones</v>
      </c>
      <c r="D431" s="3" t="s">
        <v>205</v>
      </c>
      <c r="E431" s="3" t="s">
        <v>275</v>
      </c>
      <c r="F431" s="3" t="s">
        <v>251</v>
      </c>
      <c r="G431" s="3">
        <v>2024</v>
      </c>
      <c r="H431" s="3">
        <f>+IF(Tabla13[[#This Row],[Proyectado USD]]&gt;0,1,-1)</f>
        <v>-1</v>
      </c>
      <c r="I431" s="15"/>
      <c r="J431" s="21"/>
      <c r="K431" s="3">
        <f>+IF(Tabla13[[#This Row],[Emitido USD]]&gt;0,1,-1)</f>
        <v>1</v>
      </c>
      <c r="L431" s="73">
        <v>45562</v>
      </c>
      <c r="M431" s="3">
        <v>1</v>
      </c>
      <c r="N431" s="22">
        <v>20675</v>
      </c>
      <c r="O431" s="6">
        <v>232</v>
      </c>
      <c r="P431" s="76">
        <v>45590</v>
      </c>
      <c r="Q431" s="3">
        <f>+IF(Tabla13[[#This Row],[Facturado USD]]&gt;0,1,-1)</f>
        <v>1</v>
      </c>
      <c r="R431" s="22">
        <v>20675</v>
      </c>
      <c r="S431" s="3">
        <f>+IF(Tabla13[[#This Row],[Ingresado USD]]&gt;0,1,-1)</f>
        <v>1</v>
      </c>
      <c r="T431" s="78">
        <v>45618</v>
      </c>
      <c r="U431" s="22">
        <v>20675</v>
      </c>
    </row>
    <row r="432" spans="1:22" ht="12" hidden="1" x14ac:dyDescent="0.2">
      <c r="A432" s="3">
        <v>431</v>
      </c>
      <c r="B432" s="3" t="s">
        <v>308</v>
      </c>
      <c r="C43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Lundin_Oportunidades mejoras Caserones</v>
      </c>
      <c r="D432" s="3" t="s">
        <v>205</v>
      </c>
      <c r="E432" s="3" t="s">
        <v>275</v>
      </c>
      <c r="F432" s="3" t="s">
        <v>251</v>
      </c>
      <c r="G432" s="3">
        <v>2024</v>
      </c>
      <c r="H432" s="3">
        <f>+IF(Tabla13[[#This Row],[Proyectado USD]]&gt;0,1,-1)</f>
        <v>-1</v>
      </c>
      <c r="I432" s="15"/>
      <c r="J432" s="21"/>
      <c r="K432" s="3">
        <f>+IF(Tabla13[[#This Row],[Emitido USD]]&gt;0,1,-1)</f>
        <v>1</v>
      </c>
      <c r="L432" s="73">
        <v>45589</v>
      </c>
      <c r="M432" s="3">
        <v>2</v>
      </c>
      <c r="N432" s="22">
        <v>17060</v>
      </c>
      <c r="O432" s="6">
        <v>240</v>
      </c>
      <c r="P432" s="76">
        <v>45624</v>
      </c>
      <c r="Q432" s="3">
        <f>+IF(Tabla13[[#This Row],[Facturado USD]]&gt;0,1,-1)</f>
        <v>1</v>
      </c>
      <c r="R432" s="22">
        <v>17060</v>
      </c>
      <c r="S432" s="3">
        <f>+IF(Tabla13[[#This Row],[Ingresado USD]]&gt;0,1,-1)</f>
        <v>1</v>
      </c>
      <c r="T432" s="78">
        <v>45656</v>
      </c>
      <c r="U432" s="22">
        <v>16456</v>
      </c>
    </row>
    <row r="433" spans="1:22" ht="12" hidden="1" x14ac:dyDescent="0.2">
      <c r="A433" s="3">
        <v>432</v>
      </c>
      <c r="B433" s="3" t="s">
        <v>308</v>
      </c>
      <c r="C43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Lundin_Oportunidades mejoras Caserones</v>
      </c>
      <c r="D433" s="3" t="s">
        <v>205</v>
      </c>
      <c r="E433" s="3" t="s">
        <v>275</v>
      </c>
      <c r="F433" s="3" t="s">
        <v>251</v>
      </c>
      <c r="G433" s="3">
        <v>2024</v>
      </c>
      <c r="H433" s="3">
        <f>+IF(Tabla13[[#This Row],[Proyectado USD]]&gt;0,1,-1)</f>
        <v>-1</v>
      </c>
      <c r="I433" s="15"/>
      <c r="J433" s="21"/>
      <c r="K433" s="3">
        <f>+IF(Tabla13[[#This Row],[Emitido USD]]&gt;0,1,-1)</f>
        <v>1</v>
      </c>
      <c r="L433" s="73">
        <v>45652</v>
      </c>
      <c r="M433" s="3">
        <v>3</v>
      </c>
      <c r="N433" s="22">
        <v>82420.94</v>
      </c>
      <c r="O433" s="6">
        <v>276</v>
      </c>
      <c r="P433" s="76">
        <v>45728</v>
      </c>
      <c r="Q433" s="3">
        <f>+IF(Tabla13[[#This Row],[Facturado USD]]&gt;0,1,-1)</f>
        <v>1</v>
      </c>
      <c r="R433" s="37">
        <v>82421</v>
      </c>
      <c r="S433" s="3">
        <f>+IF(Tabla13[[#This Row],[Ingresado USD]]&gt;0,1,-1)</f>
        <v>1</v>
      </c>
      <c r="T433" s="78">
        <v>45759</v>
      </c>
      <c r="U433" s="22">
        <v>87432</v>
      </c>
    </row>
    <row r="434" spans="1:22" ht="12" hidden="1" x14ac:dyDescent="0.2">
      <c r="A434" s="3">
        <v>433</v>
      </c>
      <c r="B434" s="3" t="s">
        <v>101</v>
      </c>
      <c r="C43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MARA - Simulación Sistema Manejo Estéril</v>
      </c>
      <c r="D434" s="3" t="s">
        <v>22</v>
      </c>
      <c r="E434" s="3" t="s">
        <v>309</v>
      </c>
      <c r="F434" s="3" t="s">
        <v>251</v>
      </c>
      <c r="G434" s="3">
        <v>2023</v>
      </c>
      <c r="H434" s="3">
        <f>+IF(Tabla13[[#This Row],[Proyectado USD]]&gt;0,1,-1)</f>
        <v>-1</v>
      </c>
      <c r="I434" s="15"/>
      <c r="J434" s="21"/>
      <c r="K434" s="3">
        <f>+IF(Tabla13[[#This Row],[Emitido USD]]&gt;0,1,-1)</f>
        <v>1</v>
      </c>
      <c r="L434" s="73">
        <v>44978</v>
      </c>
      <c r="M434" s="3">
        <v>1</v>
      </c>
      <c r="N434" s="22">
        <v>23220</v>
      </c>
      <c r="O434" s="6">
        <v>88</v>
      </c>
      <c r="P434" s="76">
        <v>44988</v>
      </c>
      <c r="Q434" s="3">
        <f>+IF(Tabla13[[#This Row],[Facturado USD]]&gt;0,1,-1)</f>
        <v>1</v>
      </c>
      <c r="R434" s="22">
        <v>23216.87</v>
      </c>
      <c r="S434" s="3">
        <f>+IF(Tabla13[[#This Row],[Ingresado USD]]&gt;0,1,-1)</f>
        <v>1</v>
      </c>
      <c r="T434" s="76">
        <v>45050</v>
      </c>
      <c r="U434" s="22">
        <v>23642</v>
      </c>
    </row>
    <row r="435" spans="1:22" ht="12" hidden="1" x14ac:dyDescent="0.2">
      <c r="A435" s="3">
        <v>434</v>
      </c>
      <c r="B435" s="3" t="s">
        <v>130</v>
      </c>
      <c r="C43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Marcobre - Minajusta</v>
      </c>
      <c r="D435" s="30" t="s">
        <v>23</v>
      </c>
      <c r="E435" s="30" t="s">
        <v>368</v>
      </c>
      <c r="F435" s="30" t="s">
        <v>318</v>
      </c>
      <c r="G435" s="30">
        <v>2023</v>
      </c>
      <c r="H435" s="30">
        <f>+IF(Tabla13[[#This Row],[Proyectado USD]]&gt;0,1,-1)</f>
        <v>-1</v>
      </c>
      <c r="I435" s="30"/>
      <c r="J435" s="31"/>
      <c r="K435" s="30">
        <f>+IF(Tabla13[[#This Row],[Emitido USD]]&gt;0,1,-1)</f>
        <v>1</v>
      </c>
      <c r="L435" s="74">
        <v>45037</v>
      </c>
      <c r="M435" s="30">
        <v>1</v>
      </c>
      <c r="N435" s="35">
        <v>87438.375</v>
      </c>
      <c r="O435" s="32" t="s">
        <v>131</v>
      </c>
      <c r="P435" s="74">
        <v>45077</v>
      </c>
      <c r="Q435" s="30">
        <f>+IF(Tabla13[[#This Row],[Facturado USD]]&gt;0,1,-1)</f>
        <v>1</v>
      </c>
      <c r="R435" s="35">
        <v>87438.38</v>
      </c>
      <c r="S435" s="3">
        <f>+IF(Tabla13[[#This Row],[Ingresado USD]]&gt;0,1,-1)</f>
        <v>1</v>
      </c>
      <c r="T435" s="74">
        <v>45085</v>
      </c>
      <c r="U435" s="35">
        <v>87438.38</v>
      </c>
      <c r="V435" s="30"/>
    </row>
    <row r="436" spans="1:22" ht="12" hidden="1" x14ac:dyDescent="0.2">
      <c r="A436" s="3">
        <v>435</v>
      </c>
      <c r="B436" s="3" t="s">
        <v>130</v>
      </c>
      <c r="C43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Marcobre - Minajusta</v>
      </c>
      <c r="D436" s="30" t="s">
        <v>23</v>
      </c>
      <c r="E436" s="30" t="s">
        <v>368</v>
      </c>
      <c r="F436" s="30" t="s">
        <v>318</v>
      </c>
      <c r="G436" s="30">
        <v>2023</v>
      </c>
      <c r="H436" s="30">
        <f>+IF(Tabla13[[#This Row],[Proyectado USD]]&gt;0,1,-1)</f>
        <v>-1</v>
      </c>
      <c r="I436" s="30"/>
      <c r="J436" s="31"/>
      <c r="K436" s="30">
        <f>+IF(Tabla13[[#This Row],[Emitido USD]]&gt;0,1,-1)</f>
        <v>1</v>
      </c>
      <c r="L436" s="74">
        <v>45067</v>
      </c>
      <c r="M436" s="30">
        <v>2</v>
      </c>
      <c r="N436" s="35">
        <v>10028.25</v>
      </c>
      <c r="O436" s="32" t="s">
        <v>132</v>
      </c>
      <c r="P436" s="74">
        <v>45098</v>
      </c>
      <c r="Q436" s="30">
        <f>+IF(Tabla13[[#This Row],[Facturado USD]]&gt;0,1,-1)</f>
        <v>1</v>
      </c>
      <c r="R436" s="35">
        <v>10028.25</v>
      </c>
      <c r="S436" s="3">
        <f>+IF(Tabla13[[#This Row],[Ingresado USD]]&gt;0,1,-1)</f>
        <v>1</v>
      </c>
      <c r="T436" s="74">
        <v>45103</v>
      </c>
      <c r="U436" s="35">
        <v>10028.25</v>
      </c>
      <c r="V436" s="30"/>
    </row>
    <row r="437" spans="1:22" ht="12" hidden="1" x14ac:dyDescent="0.2">
      <c r="A437" s="3">
        <v>436</v>
      </c>
      <c r="B437" s="3" t="s">
        <v>130</v>
      </c>
      <c r="C43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Marcobre - Minajusta</v>
      </c>
      <c r="D437" s="30" t="s">
        <v>23</v>
      </c>
      <c r="E437" s="30" t="s">
        <v>368</v>
      </c>
      <c r="F437" s="30" t="s">
        <v>318</v>
      </c>
      <c r="G437" s="30">
        <v>2023</v>
      </c>
      <c r="H437" s="30">
        <f>+IF(Tabla13[[#This Row],[Proyectado USD]]&gt;0,1,-1)</f>
        <v>-1</v>
      </c>
      <c r="I437" s="30"/>
      <c r="J437" s="31"/>
      <c r="K437" s="30">
        <f>+IF(Tabla13[[#This Row],[Emitido USD]]&gt;0,1,-1)</f>
        <v>1</v>
      </c>
      <c r="L437" s="74">
        <v>45108</v>
      </c>
      <c r="M437" s="30">
        <v>3</v>
      </c>
      <c r="N437" s="35">
        <v>29431.125</v>
      </c>
      <c r="O437" s="32" t="s">
        <v>133</v>
      </c>
      <c r="P437" s="74">
        <v>45133</v>
      </c>
      <c r="Q437" s="30">
        <f>+IF(Tabla13[[#This Row],[Facturado USD]]&gt;0,1,-1)</f>
        <v>1</v>
      </c>
      <c r="R437" s="35">
        <v>29431.125</v>
      </c>
      <c r="S437" s="3">
        <f>+IF(Tabla13[[#This Row],[Ingresado USD]]&gt;0,1,-1)</f>
        <v>1</v>
      </c>
      <c r="T437" s="74">
        <v>45141</v>
      </c>
      <c r="U437" s="35">
        <v>29431.125</v>
      </c>
      <c r="V437" s="30"/>
    </row>
    <row r="438" spans="1:22" ht="12" hidden="1" x14ac:dyDescent="0.2">
      <c r="A438" s="3">
        <v>437</v>
      </c>
      <c r="B438" s="3" t="s">
        <v>130</v>
      </c>
      <c r="C43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Marcobre - Minajusta</v>
      </c>
      <c r="D438" s="30" t="s">
        <v>23</v>
      </c>
      <c r="E438" s="30" t="s">
        <v>368</v>
      </c>
      <c r="F438" s="30" t="s">
        <v>318</v>
      </c>
      <c r="G438" s="30">
        <v>2023</v>
      </c>
      <c r="H438" s="30">
        <f>+IF(Tabla13[[#This Row],[Proyectado USD]]&gt;0,1,-1)</f>
        <v>-1</v>
      </c>
      <c r="I438" s="30"/>
      <c r="J438" s="31"/>
      <c r="K438" s="30">
        <f>+IF(Tabla13[[#This Row],[Emitido USD]]&gt;0,1,-1)</f>
        <v>1</v>
      </c>
      <c r="L438" s="74">
        <v>45134</v>
      </c>
      <c r="M438" s="30">
        <v>4</v>
      </c>
      <c r="N438" s="35">
        <v>10934.25</v>
      </c>
      <c r="O438" s="32" t="s">
        <v>134</v>
      </c>
      <c r="P438" s="74">
        <v>45203</v>
      </c>
      <c r="Q438" s="30">
        <f>+IF(Tabla13[[#This Row],[Facturado USD]]&gt;0,1,-1)</f>
        <v>1</v>
      </c>
      <c r="R438" s="35">
        <v>10934.25</v>
      </c>
      <c r="S438" s="3">
        <f>+IF(Tabla13[[#This Row],[Ingresado USD]]&gt;0,1,-1)</f>
        <v>1</v>
      </c>
      <c r="T438" s="74">
        <v>45207</v>
      </c>
      <c r="U438" s="35">
        <v>10934.25</v>
      </c>
      <c r="V438" s="30"/>
    </row>
    <row r="439" spans="1:22" ht="12" hidden="1" x14ac:dyDescent="0.2">
      <c r="A439" s="3">
        <v>438</v>
      </c>
      <c r="B439" s="3" t="s">
        <v>367</v>
      </c>
      <c r="C43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Marcobre_Ingeniería de Perfil Achupallas</v>
      </c>
      <c r="D439" s="3" t="s">
        <v>206</v>
      </c>
      <c r="E439" s="3" t="s">
        <v>368</v>
      </c>
      <c r="F439" s="3" t="s">
        <v>318</v>
      </c>
      <c r="G439" s="3">
        <v>2024</v>
      </c>
      <c r="H439" s="3">
        <f>+IF(Tabla13[[#This Row],[Proyectado USD]]&gt;0,1,-1)</f>
        <v>-1</v>
      </c>
      <c r="I439" s="15"/>
      <c r="J439" s="21"/>
      <c r="K439" s="3">
        <f>+IF(Tabla13[[#This Row],[Emitido USD]]&gt;0,1,-1)</f>
        <v>1</v>
      </c>
      <c r="L439" s="73">
        <v>45585</v>
      </c>
      <c r="M439" s="3">
        <v>1</v>
      </c>
      <c r="N439" s="22">
        <v>33000</v>
      </c>
      <c r="O439" s="6" t="s">
        <v>369</v>
      </c>
      <c r="P439" s="76">
        <v>45594</v>
      </c>
      <c r="Q439" s="3">
        <f>+IF(Tabla13[[#This Row],[Facturado USD]]&gt;0,1,-1)</f>
        <v>1</v>
      </c>
      <c r="R439" s="22">
        <v>32612</v>
      </c>
      <c r="S439" s="3">
        <f>+IF(Tabla13[[#This Row],[Ingresado USD]]&gt;0,1,-1)</f>
        <v>1</v>
      </c>
      <c r="T439" s="78">
        <v>45631</v>
      </c>
      <c r="U439" s="22">
        <v>31947.45</v>
      </c>
    </row>
    <row r="440" spans="1:22" ht="12" hidden="1" x14ac:dyDescent="0.2">
      <c r="A440" s="3">
        <v>439</v>
      </c>
      <c r="B440" s="3" t="s">
        <v>367</v>
      </c>
      <c r="C44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Marcobre_Ingeniería de Perfil Achupallas</v>
      </c>
      <c r="D440" s="3" t="s">
        <v>206</v>
      </c>
      <c r="E440" s="3" t="s">
        <v>368</v>
      </c>
      <c r="F440" s="3" t="s">
        <v>318</v>
      </c>
      <c r="G440" s="3">
        <v>2024</v>
      </c>
      <c r="H440" s="3">
        <f>+IF(Tabla13[[#This Row],[Proyectado USD]]&gt;0,1,-1)</f>
        <v>-1</v>
      </c>
      <c r="I440" s="15"/>
      <c r="J440" s="21"/>
      <c r="K440" s="3">
        <f>+IF(Tabla13[[#This Row],[Emitido USD]]&gt;0,1,-1)</f>
        <v>1</v>
      </c>
      <c r="L440" s="73">
        <v>45616</v>
      </c>
      <c r="M440" s="3">
        <v>2</v>
      </c>
      <c r="N440" s="22">
        <v>21062</v>
      </c>
      <c r="O440" s="6" t="s">
        <v>370</v>
      </c>
      <c r="P440" s="76">
        <v>45629</v>
      </c>
      <c r="Q440" s="3">
        <f>+IF(Tabla13[[#This Row],[Facturado USD]]&gt;0,1,-1)</f>
        <v>1</v>
      </c>
      <c r="R440" s="22">
        <v>21062</v>
      </c>
      <c r="S440" s="3">
        <f>+IF(Tabla13[[#This Row],[Ingresado USD]]&gt;0,1,-1)</f>
        <v>1</v>
      </c>
      <c r="T440" s="78">
        <v>45660</v>
      </c>
      <c r="U440" s="22">
        <f>20632+1000</f>
        <v>21632</v>
      </c>
    </row>
    <row r="441" spans="1:22" ht="12" hidden="1" x14ac:dyDescent="0.2">
      <c r="A441" s="3">
        <v>440</v>
      </c>
      <c r="B441" s="3" t="s">
        <v>367</v>
      </c>
      <c r="C44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Marcobre_Ingeniería de Perfil Achupallas</v>
      </c>
      <c r="D441" s="3" t="s">
        <v>206</v>
      </c>
      <c r="E441" s="3" t="s">
        <v>368</v>
      </c>
      <c r="F441" s="3" t="s">
        <v>318</v>
      </c>
      <c r="G441" s="3">
        <v>2024</v>
      </c>
      <c r="H441" s="3">
        <f>+IF(Tabla13[[#This Row],[Proyectado USD]]&gt;0,1,-1)</f>
        <v>-1</v>
      </c>
      <c r="I441" s="15"/>
      <c r="J441" s="21"/>
      <c r="K441" s="3">
        <f>+IF(Tabla13[[#This Row],[Emitido USD]]&gt;0,1,-1)</f>
        <v>1</v>
      </c>
      <c r="L441" s="73">
        <v>45646</v>
      </c>
      <c r="M441" s="3">
        <v>3</v>
      </c>
      <c r="N441" s="22">
        <v>19771</v>
      </c>
      <c r="O441" s="6" t="s">
        <v>371</v>
      </c>
      <c r="P441" s="76">
        <v>45644</v>
      </c>
      <c r="Q441" s="3">
        <f>+IF(Tabla13[[#This Row],[Facturado USD]]&gt;0,1,-1)</f>
        <v>1</v>
      </c>
      <c r="R441" s="22">
        <v>19771</v>
      </c>
      <c r="S441" s="3">
        <f>+IF(Tabla13[[#This Row],[Ingresado USD]]&gt;0,1,-1)</f>
        <v>1</v>
      </c>
      <c r="T441" s="78">
        <v>45673</v>
      </c>
      <c r="U441" s="22">
        <f>19771+1000</f>
        <v>20771</v>
      </c>
    </row>
    <row r="442" spans="1:22" ht="12" hidden="1" x14ac:dyDescent="0.2">
      <c r="A442" s="3">
        <v>441</v>
      </c>
      <c r="B442" s="3" t="s">
        <v>367</v>
      </c>
      <c r="C44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Marcobre_Ingeniería de Perfil Achupallas</v>
      </c>
      <c r="D442" s="3" t="s">
        <v>206</v>
      </c>
      <c r="E442" s="3" t="s">
        <v>368</v>
      </c>
      <c r="F442" s="3" t="s">
        <v>318</v>
      </c>
      <c r="G442" s="3">
        <v>2025</v>
      </c>
      <c r="H442" s="3">
        <f>+IF(Tabla13[[#This Row],[Proyectado USD]]&gt;0,1,-1)</f>
        <v>-1</v>
      </c>
      <c r="I442" s="15"/>
      <c r="J442" s="21"/>
      <c r="K442" s="3">
        <f>+IF(Tabla13[[#This Row],[Emitido USD]]&gt;0,1,-1)</f>
        <v>1</v>
      </c>
      <c r="L442" s="73">
        <v>45681</v>
      </c>
      <c r="M442" s="3">
        <v>4</v>
      </c>
      <c r="N442" s="22">
        <v>57745</v>
      </c>
      <c r="O442" s="6" t="s">
        <v>372</v>
      </c>
      <c r="P442" s="76">
        <v>45688</v>
      </c>
      <c r="Q442" s="3">
        <f>+IF(Tabla13[[#This Row],[Facturado USD]]&gt;0,1,-1)</f>
        <v>1</v>
      </c>
      <c r="R442" s="22">
        <v>57745</v>
      </c>
      <c r="S442" s="3">
        <f>+IF(Tabla13[[#This Row],[Ingresado USD]]&gt;0,1,-1)</f>
        <v>1</v>
      </c>
      <c r="T442" s="78">
        <v>45720</v>
      </c>
      <c r="U442" s="22">
        <v>59963</v>
      </c>
    </row>
    <row r="443" spans="1:22" ht="12" hidden="1" x14ac:dyDescent="0.2">
      <c r="A443" s="3">
        <v>442</v>
      </c>
      <c r="B443" s="3" t="s">
        <v>367</v>
      </c>
      <c r="C44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Marcobre_Ingeniería de Perfil Achupallas</v>
      </c>
      <c r="D443" s="3" t="s">
        <v>206</v>
      </c>
      <c r="E443" s="3" t="s">
        <v>368</v>
      </c>
      <c r="F443" s="3" t="s">
        <v>318</v>
      </c>
      <c r="G443" s="3">
        <v>2025</v>
      </c>
      <c r="H443" s="3">
        <f>+IF(Tabla13[[#This Row],[Proyectado USD]]&gt;0,1,-1)</f>
        <v>-1</v>
      </c>
      <c r="I443" s="15"/>
      <c r="J443" s="21"/>
      <c r="K443" s="3">
        <f>+IF(Tabla13[[#This Row],[Emitido USD]]&gt;0,1,-1)</f>
        <v>1</v>
      </c>
      <c r="L443" s="73">
        <v>45713</v>
      </c>
      <c r="M443" s="3">
        <v>5</v>
      </c>
      <c r="N443" s="22">
        <v>24935</v>
      </c>
      <c r="O443" s="6" t="s">
        <v>373</v>
      </c>
      <c r="P443" s="76">
        <v>45762</v>
      </c>
      <c r="Q443" s="3">
        <f>+IF(Tabla13[[#This Row],[Facturado USD]]&gt;0,1,-1)</f>
        <v>1</v>
      </c>
      <c r="R443" s="22">
        <v>24935</v>
      </c>
      <c r="S443" s="3">
        <f>+IF(Tabla13[[#This Row],[Ingresado USD]]&gt;0,1,-1)</f>
        <v>1</v>
      </c>
      <c r="T443" s="78">
        <v>45799</v>
      </c>
      <c r="U443" s="22">
        <v>24935</v>
      </c>
    </row>
    <row r="444" spans="1:22" ht="12" hidden="1" x14ac:dyDescent="0.2">
      <c r="A444" s="3">
        <v>443</v>
      </c>
      <c r="B444" s="3" t="s">
        <v>367</v>
      </c>
      <c r="C44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Marcobre_Ingeniería de Perfil Achupallas</v>
      </c>
      <c r="D444" s="3" t="s">
        <v>206</v>
      </c>
      <c r="E444" s="3" t="s">
        <v>368</v>
      </c>
      <c r="F444" s="3" t="s">
        <v>318</v>
      </c>
      <c r="G444" s="3">
        <v>2025</v>
      </c>
      <c r="H444" s="3">
        <f>+IF(Tabla13[[#This Row],[Proyectado USD]]&gt;0,1,-1)</f>
        <v>-1</v>
      </c>
      <c r="I444" s="15"/>
      <c r="J444" s="21"/>
      <c r="K444" s="3">
        <f>+IF(Tabla13[[#This Row],[Emitido USD]]&gt;0,1,-1)</f>
        <v>1</v>
      </c>
      <c r="L444" s="73">
        <v>45782</v>
      </c>
      <c r="M444" s="3">
        <v>6</v>
      </c>
      <c r="N444" s="22">
        <v>5265</v>
      </c>
      <c r="O444" s="25" t="s">
        <v>374</v>
      </c>
      <c r="P444" s="76">
        <v>45813</v>
      </c>
      <c r="Q444" s="3">
        <f>+IF(Tabla13[[#This Row],[Facturado USD]]&gt;0,1,-1)</f>
        <v>1</v>
      </c>
      <c r="R444" s="22">
        <v>5265</v>
      </c>
      <c r="S444" s="3">
        <f>+IF(Tabla13[[#This Row],[Ingresado USD]]&gt;0,1,-1)</f>
        <v>1</v>
      </c>
      <c r="T444" s="78">
        <v>45848</v>
      </c>
      <c r="U444" s="22">
        <v>5265</v>
      </c>
    </row>
    <row r="445" spans="1:22" ht="12" hidden="1" x14ac:dyDescent="0.2">
      <c r="A445" s="3">
        <v>444</v>
      </c>
      <c r="B445" s="3" t="s">
        <v>482</v>
      </c>
      <c r="C44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McCarthy_Litigio Rio Tinto</v>
      </c>
      <c r="D445" s="3" t="s">
        <v>483</v>
      </c>
      <c r="E445" s="3" t="s">
        <v>484</v>
      </c>
      <c r="F445" s="3" t="s">
        <v>469</v>
      </c>
      <c r="G445" s="3">
        <v>2024</v>
      </c>
      <c r="H445" s="3">
        <f>+IF(Tabla13[[#This Row],[Proyectado USD]]&gt;0,1,-1)</f>
        <v>-1</v>
      </c>
      <c r="I445" s="15"/>
      <c r="J445" s="21"/>
      <c r="K445" s="3">
        <f>+IF(Tabla13[[#This Row],[Emitido USD]]&gt;0,1,-1)</f>
        <v>1</v>
      </c>
      <c r="L445" s="73">
        <v>45471</v>
      </c>
      <c r="M445" s="3">
        <v>1</v>
      </c>
      <c r="N445" s="22">
        <v>288500</v>
      </c>
      <c r="O445" s="6">
        <v>1</v>
      </c>
      <c r="P445" s="76">
        <v>45517</v>
      </c>
      <c r="Q445" s="3">
        <f>+IF(Tabla13[[#This Row],[Facturado USD]]&gt;0,1,-1)</f>
        <v>1</v>
      </c>
      <c r="R445" s="22">
        <v>288500</v>
      </c>
      <c r="S445" s="3">
        <f>+IF(Tabla13[[#This Row],[Ingresado USD]]&gt;0,1,-1)</f>
        <v>1</v>
      </c>
      <c r="T445" s="78">
        <v>45547</v>
      </c>
      <c r="U445" s="22">
        <v>288500</v>
      </c>
      <c r="V445" s="3" t="s">
        <v>300</v>
      </c>
    </row>
    <row r="446" spans="1:22" ht="12" hidden="1" x14ac:dyDescent="0.2">
      <c r="A446" s="3">
        <v>445</v>
      </c>
      <c r="B446" s="3" t="s">
        <v>482</v>
      </c>
      <c r="C44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McCarthy_Litigio Rio Tinto</v>
      </c>
      <c r="D446" s="3" t="s">
        <v>483</v>
      </c>
      <c r="E446" s="3" t="s">
        <v>484</v>
      </c>
      <c r="F446" s="3" t="s">
        <v>469</v>
      </c>
      <c r="G446" s="3">
        <v>2024</v>
      </c>
      <c r="H446" s="3">
        <f>+IF(Tabla13[[#This Row],[Proyectado USD]]&gt;0,1,-1)</f>
        <v>-1</v>
      </c>
      <c r="I446" s="15"/>
      <c r="J446" s="21"/>
      <c r="K446" s="3">
        <f>+IF(Tabla13[[#This Row],[Emitido USD]]&gt;0,1,-1)</f>
        <v>1</v>
      </c>
      <c r="L446" s="73">
        <v>45498</v>
      </c>
      <c r="M446" s="3">
        <v>2</v>
      </c>
      <c r="N446" s="22">
        <v>283900</v>
      </c>
      <c r="O446" s="6">
        <v>2</v>
      </c>
      <c r="P446" s="76">
        <v>45517</v>
      </c>
      <c r="Q446" s="3">
        <f>+IF(Tabla13[[#This Row],[Facturado USD]]&gt;0,1,-1)</f>
        <v>1</v>
      </c>
      <c r="R446" s="22">
        <v>283900</v>
      </c>
      <c r="S446" s="3">
        <f>+IF(Tabla13[[#This Row],[Ingresado USD]]&gt;0,1,-1)</f>
        <v>1</v>
      </c>
      <c r="T446" s="78">
        <v>45547</v>
      </c>
      <c r="U446" s="22">
        <v>283900</v>
      </c>
      <c r="V446" s="3" t="s">
        <v>300</v>
      </c>
    </row>
    <row r="447" spans="1:22" ht="12" hidden="1" x14ac:dyDescent="0.2">
      <c r="A447" s="3">
        <v>446</v>
      </c>
      <c r="B447" s="3" t="s">
        <v>310</v>
      </c>
      <c r="C44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MCI_Mine Plan Review Los Bronces</v>
      </c>
      <c r="D447" s="3" t="s">
        <v>207</v>
      </c>
      <c r="E447" s="3" t="s">
        <v>311</v>
      </c>
      <c r="F447" s="3" t="s">
        <v>251</v>
      </c>
      <c r="G447" s="3">
        <v>2024</v>
      </c>
      <c r="H447" s="3">
        <f>+IF(Tabla13[[#This Row],[Proyectado USD]]&gt;0,1,-1)</f>
        <v>-1</v>
      </c>
      <c r="I447" s="15"/>
      <c r="J447" s="21"/>
      <c r="K447" s="3">
        <f>+IF(Tabla13[[#This Row],[Emitido USD]]&gt;0,1,-1)</f>
        <v>1</v>
      </c>
      <c r="L447" s="73">
        <v>45470</v>
      </c>
      <c r="M447" s="3">
        <v>1</v>
      </c>
      <c r="N447" s="22">
        <v>71760</v>
      </c>
      <c r="O447" s="6">
        <v>194</v>
      </c>
      <c r="P447" s="76">
        <v>45470</v>
      </c>
      <c r="Q447" s="3">
        <f>+IF(Tabla13[[#This Row],[Facturado USD]]&gt;0,1,-1)</f>
        <v>1</v>
      </c>
      <c r="R447" s="22">
        <v>71760</v>
      </c>
      <c r="S447" s="3">
        <f>+IF(Tabla13[[#This Row],[Ingresado USD]]&gt;0,1,-1)</f>
        <v>1</v>
      </c>
      <c r="T447" s="78">
        <v>45497</v>
      </c>
      <c r="U447" s="22">
        <v>71760</v>
      </c>
    </row>
    <row r="448" spans="1:22" ht="12" hidden="1" x14ac:dyDescent="0.2">
      <c r="A448" s="3">
        <v>447</v>
      </c>
      <c r="B448" s="3" t="s">
        <v>310</v>
      </c>
      <c r="C44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MCI_Mine Plan Review Los Bronces</v>
      </c>
      <c r="D448" s="3" t="s">
        <v>207</v>
      </c>
      <c r="E448" s="3" t="s">
        <v>311</v>
      </c>
      <c r="F448" s="3" t="s">
        <v>251</v>
      </c>
      <c r="G448" s="3">
        <v>2024</v>
      </c>
      <c r="H448" s="3">
        <f>+IF(Tabla13[[#This Row],[Proyectado USD]]&gt;0,1,-1)</f>
        <v>-1</v>
      </c>
      <c r="I448" s="15"/>
      <c r="J448" s="21"/>
      <c r="K448" s="3">
        <f>+IF(Tabla13[[#This Row],[Emitido USD]]&gt;0,1,-1)</f>
        <v>1</v>
      </c>
      <c r="L448" s="73">
        <v>45562</v>
      </c>
      <c r="M448" s="3">
        <v>2</v>
      </c>
      <c r="N448" s="22">
        <v>71760</v>
      </c>
      <c r="O448" s="6">
        <v>219</v>
      </c>
      <c r="P448" s="76">
        <v>45562</v>
      </c>
      <c r="Q448" s="3">
        <f>+IF(Tabla13[[#This Row],[Facturado USD]]&gt;0,1,-1)</f>
        <v>1</v>
      </c>
      <c r="R448" s="22">
        <v>71760</v>
      </c>
      <c r="S448" s="3">
        <f>+IF(Tabla13[[#This Row],[Ingresado USD]]&gt;0,1,-1)</f>
        <v>1</v>
      </c>
      <c r="T448" s="78">
        <v>45575</v>
      </c>
      <c r="U448" s="22">
        <v>71760</v>
      </c>
    </row>
    <row r="449" spans="1:22" ht="12" hidden="1" x14ac:dyDescent="0.2">
      <c r="A449" s="3">
        <v>448</v>
      </c>
      <c r="B449" s="3" t="s">
        <v>310</v>
      </c>
      <c r="C44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MCI_Mine Plan Review Los Bronces</v>
      </c>
      <c r="D449" s="3" t="s">
        <v>207</v>
      </c>
      <c r="E449" s="3" t="s">
        <v>311</v>
      </c>
      <c r="F449" s="3" t="s">
        <v>251</v>
      </c>
      <c r="G449" s="3">
        <v>2024</v>
      </c>
      <c r="H449" s="3">
        <f>+IF(Tabla13[[#This Row],[Proyectado USD]]&gt;0,1,-1)</f>
        <v>-1</v>
      </c>
      <c r="I449" s="15"/>
      <c r="J449" s="21"/>
      <c r="K449" s="3">
        <f>+IF(Tabla13[[#This Row],[Emitido USD]]&gt;0,1,-1)</f>
        <v>1</v>
      </c>
      <c r="L449" s="73">
        <v>45589</v>
      </c>
      <c r="M449" s="3">
        <v>3</v>
      </c>
      <c r="N449" s="22">
        <v>71760</v>
      </c>
      <c r="O449" s="6">
        <v>227</v>
      </c>
      <c r="P449" s="76">
        <v>45588</v>
      </c>
      <c r="Q449" s="3">
        <f>+IF(Tabla13[[#This Row],[Facturado USD]]&gt;0,1,-1)</f>
        <v>1</v>
      </c>
      <c r="R449" s="22">
        <v>71760</v>
      </c>
      <c r="S449" s="3">
        <f>+IF(Tabla13[[#This Row],[Ingresado USD]]&gt;0,1,-1)</f>
        <v>1</v>
      </c>
      <c r="T449" s="78">
        <v>45611</v>
      </c>
      <c r="U449" s="22">
        <v>71760</v>
      </c>
    </row>
    <row r="450" spans="1:22" ht="12" hidden="1" x14ac:dyDescent="0.2">
      <c r="A450" s="3">
        <v>449</v>
      </c>
      <c r="B450" s="3" t="s">
        <v>310</v>
      </c>
      <c r="C45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MCI_Mine Plan Review Los Bronces</v>
      </c>
      <c r="D450" s="3" t="s">
        <v>207</v>
      </c>
      <c r="E450" s="3" t="s">
        <v>311</v>
      </c>
      <c r="F450" s="3" t="s">
        <v>251</v>
      </c>
      <c r="G450" s="3">
        <v>2025</v>
      </c>
      <c r="H450" s="3">
        <f>+IF(Tabla13[[#This Row],[Proyectado USD]]&gt;0,1,-1)</f>
        <v>-1</v>
      </c>
      <c r="I450" s="15"/>
      <c r="J450" s="21"/>
      <c r="K450" s="3">
        <f>+IF(Tabla13[[#This Row],[Emitido USD]]&gt;0,1,-1)</f>
        <v>1</v>
      </c>
      <c r="L450" s="73">
        <v>45687</v>
      </c>
      <c r="M450" s="3">
        <v>4</v>
      </c>
      <c r="N450" s="22">
        <v>23720</v>
      </c>
      <c r="O450" s="6">
        <v>269</v>
      </c>
      <c r="P450" s="76">
        <v>45719</v>
      </c>
      <c r="Q450" s="3">
        <f>+IF(Tabla13[[#This Row],[Facturado USD]]&gt;0,1,-1)</f>
        <v>1</v>
      </c>
      <c r="R450" s="22">
        <v>23720</v>
      </c>
      <c r="S450" s="3">
        <f>+IF(Tabla13[[#This Row],[Ingresado USD]]&gt;0,1,-1)</f>
        <v>1</v>
      </c>
      <c r="T450" s="78">
        <v>45754</v>
      </c>
      <c r="U450" s="22">
        <v>23720</v>
      </c>
    </row>
    <row r="451" spans="1:22" ht="12" hidden="1" x14ac:dyDescent="0.2">
      <c r="A451" s="3">
        <v>450</v>
      </c>
      <c r="B451" s="3" t="s">
        <v>129</v>
      </c>
      <c r="C45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MEIA Coripuno</v>
      </c>
      <c r="D451" s="3" t="s">
        <v>46</v>
      </c>
      <c r="E451" s="3" t="s">
        <v>329</v>
      </c>
      <c r="F451" s="3" t="s">
        <v>318</v>
      </c>
      <c r="G451" s="3">
        <v>2024</v>
      </c>
      <c r="H451" s="3">
        <f>+IF(Tabla13[[#This Row],[Proyectado USD]]&gt;0,1,-1)</f>
        <v>-1</v>
      </c>
      <c r="I451" s="15"/>
      <c r="J451" s="21"/>
      <c r="K451" s="3">
        <f>+IF(Tabla13[[#This Row],[Emitido USD]]&gt;0,1,-1)</f>
        <v>1</v>
      </c>
      <c r="L451" s="73">
        <v>45498</v>
      </c>
      <c r="M451" s="55">
        <v>1</v>
      </c>
      <c r="N451" s="54">
        <v>23980</v>
      </c>
      <c r="O451" s="6" t="s">
        <v>375</v>
      </c>
      <c r="P451" s="76">
        <v>45555</v>
      </c>
      <c r="Q451" s="3">
        <f>+IF(Tabla13[[#This Row],[Facturado USD]]&gt;0,1,-1)</f>
        <v>1</v>
      </c>
      <c r="R451" s="22">
        <v>23980</v>
      </c>
      <c r="S451" s="3">
        <f>+IF(Tabla13[[#This Row],[Ingresado USD]]&gt;0,1,-1)</f>
        <v>1</v>
      </c>
      <c r="T451" s="78">
        <v>45590</v>
      </c>
      <c r="U451" s="22">
        <v>23491.29</v>
      </c>
      <c r="V451" s="45"/>
    </row>
    <row r="452" spans="1:22" ht="12" hidden="1" x14ac:dyDescent="0.2">
      <c r="A452" s="3">
        <v>451</v>
      </c>
      <c r="B452" s="3" t="s">
        <v>129</v>
      </c>
      <c r="C45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MEIA Coripuno</v>
      </c>
      <c r="D452" s="3" t="s">
        <v>46</v>
      </c>
      <c r="E452" s="3" t="s">
        <v>329</v>
      </c>
      <c r="F452" s="3" t="s">
        <v>318</v>
      </c>
      <c r="G452" s="3">
        <v>2024</v>
      </c>
      <c r="H452" s="3">
        <f>+IF(Tabla13[[#This Row],[Proyectado USD]]&gt;0,1,-1)</f>
        <v>-1</v>
      </c>
      <c r="I452" s="15"/>
      <c r="J452" s="21"/>
      <c r="K452" s="3">
        <f>+IF(Tabla13[[#This Row],[Emitido USD]]&gt;0,1,-1)</f>
        <v>1</v>
      </c>
      <c r="L452" s="73">
        <v>45565</v>
      </c>
      <c r="M452" s="3">
        <v>2</v>
      </c>
      <c r="N452" s="21">
        <v>21582</v>
      </c>
      <c r="O452" s="58" t="s">
        <v>376</v>
      </c>
      <c r="P452" s="79">
        <v>45587</v>
      </c>
      <c r="Q452" s="3">
        <f>+IF(Tabla13[[#This Row],[Facturado USD]]&gt;0,1,-1)</f>
        <v>1</v>
      </c>
      <c r="R452" s="22">
        <v>21582</v>
      </c>
      <c r="S452" s="3">
        <f>+IF(Tabla13[[#This Row],[Ingresado USD]]&gt;0,1,-1)</f>
        <v>1</v>
      </c>
      <c r="T452" s="78">
        <v>45705</v>
      </c>
      <c r="U452" s="37">
        <v>22411</v>
      </c>
      <c r="V452" s="45"/>
    </row>
    <row r="453" spans="1:22" ht="12" hidden="1" x14ac:dyDescent="0.2">
      <c r="A453" s="3">
        <v>452</v>
      </c>
      <c r="B453" s="3" t="s">
        <v>107</v>
      </c>
      <c r="C45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MEL</v>
      </c>
      <c r="D453" s="3" t="s">
        <v>34</v>
      </c>
      <c r="E453" s="3" t="s">
        <v>35</v>
      </c>
      <c r="F453" s="3" t="s">
        <v>251</v>
      </c>
      <c r="G453" s="3">
        <v>2022</v>
      </c>
      <c r="H453" s="3">
        <f>+IF(Tabla13[[#This Row],[Proyectado USD]]&gt;0,1,-1)</f>
        <v>-1</v>
      </c>
      <c r="I453" s="15"/>
      <c r="J453" s="21"/>
      <c r="K453" s="3">
        <f>+IF(Tabla13[[#This Row],[Emitido USD]]&gt;0,1,-1)</f>
        <v>1</v>
      </c>
      <c r="L453" s="73">
        <v>44886</v>
      </c>
      <c r="M453" s="3">
        <v>3</v>
      </c>
      <c r="N453" s="22">
        <v>39901.11</v>
      </c>
      <c r="O453" s="6">
        <v>507</v>
      </c>
      <c r="P453" s="76">
        <v>44925</v>
      </c>
      <c r="Q453" s="3">
        <f>+IF(Tabla13[[#This Row],[Facturado USD]]&gt;0,1,-1)</f>
        <v>1</v>
      </c>
      <c r="R453" s="22">
        <v>39901.11</v>
      </c>
      <c r="S453" s="3">
        <f>+IF(Tabla13[[#This Row],[Ingresado USD]]&gt;0,1,-1)</f>
        <v>1</v>
      </c>
      <c r="T453" s="78">
        <v>44932</v>
      </c>
      <c r="U453" s="22">
        <v>39901.11</v>
      </c>
    </row>
    <row r="454" spans="1:22" ht="12" hidden="1" x14ac:dyDescent="0.2">
      <c r="A454" s="3">
        <v>453</v>
      </c>
      <c r="B454" s="3" t="s">
        <v>107</v>
      </c>
      <c r="C45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MEL</v>
      </c>
      <c r="D454" s="3" t="s">
        <v>34</v>
      </c>
      <c r="E454" s="3" t="s">
        <v>35</v>
      </c>
      <c r="F454" s="3" t="s">
        <v>251</v>
      </c>
      <c r="G454" s="3">
        <v>2023</v>
      </c>
      <c r="H454" s="3">
        <f>+IF(Tabla13[[#This Row],[Proyectado USD]]&gt;0,1,-1)</f>
        <v>-1</v>
      </c>
      <c r="I454" s="15"/>
      <c r="J454" s="21"/>
      <c r="K454" s="3">
        <f>+IF(Tabla13[[#This Row],[Emitido USD]]&gt;0,1,-1)</f>
        <v>1</v>
      </c>
      <c r="L454" s="73">
        <v>44916</v>
      </c>
      <c r="M454" s="3">
        <v>5</v>
      </c>
      <c r="N454" s="22">
        <v>46667.988749999997</v>
      </c>
      <c r="O454" s="6">
        <v>48</v>
      </c>
      <c r="P454" s="76">
        <v>44987</v>
      </c>
      <c r="Q454" s="3">
        <f>+IF(Tabla13[[#This Row],[Facturado USD]]&gt;0,1,-1)</f>
        <v>1</v>
      </c>
      <c r="R454" s="22">
        <v>46667.988749999997</v>
      </c>
      <c r="S454" s="3">
        <f>+IF(Tabla13[[#This Row],[Ingresado USD]]&gt;0,1,-1)</f>
        <v>1</v>
      </c>
      <c r="T454" s="78">
        <v>44994</v>
      </c>
      <c r="U454" s="22">
        <v>46667.988749999997</v>
      </c>
    </row>
    <row r="455" spans="1:22" ht="12" hidden="1" x14ac:dyDescent="0.2">
      <c r="A455" s="3">
        <v>454</v>
      </c>
      <c r="B455" s="3" t="s">
        <v>107</v>
      </c>
      <c r="C45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MEL</v>
      </c>
      <c r="D455" s="3" t="s">
        <v>34</v>
      </c>
      <c r="E455" s="3" t="s">
        <v>35</v>
      </c>
      <c r="F455" s="3" t="s">
        <v>251</v>
      </c>
      <c r="G455" s="3">
        <v>2023</v>
      </c>
      <c r="H455" s="3">
        <f>+IF(Tabla13[[#This Row],[Proyectado USD]]&gt;0,1,-1)</f>
        <v>-1</v>
      </c>
      <c r="I455" s="15"/>
      <c r="J455" s="21"/>
      <c r="K455" s="3">
        <f>+IF(Tabla13[[#This Row],[Emitido USD]]&gt;0,1,-1)</f>
        <v>1</v>
      </c>
      <c r="L455" s="73">
        <v>44947</v>
      </c>
      <c r="M455" s="3">
        <v>6</v>
      </c>
      <c r="N455" s="22">
        <v>27689.485000000001</v>
      </c>
      <c r="O455" s="6">
        <v>49</v>
      </c>
      <c r="P455" s="76">
        <v>44987</v>
      </c>
      <c r="Q455" s="3">
        <f>+IF(Tabla13[[#This Row],[Facturado USD]]&gt;0,1,-1)</f>
        <v>1</v>
      </c>
      <c r="R455" s="22">
        <v>27689.485000000001</v>
      </c>
      <c r="S455" s="3">
        <f>+IF(Tabla13[[#This Row],[Ingresado USD]]&gt;0,1,-1)</f>
        <v>1</v>
      </c>
      <c r="T455" s="78">
        <v>44994</v>
      </c>
      <c r="U455" s="22">
        <v>27689.485000000001</v>
      </c>
    </row>
    <row r="456" spans="1:22" ht="12" hidden="1" x14ac:dyDescent="0.2">
      <c r="A456" s="3">
        <v>455</v>
      </c>
      <c r="B456" s="3" t="s">
        <v>107</v>
      </c>
      <c r="C45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MEL</v>
      </c>
      <c r="D456" s="3" t="s">
        <v>34</v>
      </c>
      <c r="E456" s="3" t="s">
        <v>35</v>
      </c>
      <c r="F456" s="3" t="s">
        <v>251</v>
      </c>
      <c r="G456" s="3">
        <v>2023</v>
      </c>
      <c r="H456" s="3">
        <f>+IF(Tabla13[[#This Row],[Proyectado USD]]&gt;0,1,-1)</f>
        <v>-1</v>
      </c>
      <c r="I456" s="15"/>
      <c r="J456" s="21"/>
      <c r="K456" s="3">
        <f>+IF(Tabla13[[#This Row],[Emitido USD]]&gt;0,1,-1)</f>
        <v>1</v>
      </c>
      <c r="L456" s="73">
        <v>44978</v>
      </c>
      <c r="M456" s="3">
        <v>7</v>
      </c>
      <c r="N456" s="22">
        <v>35526.91375</v>
      </c>
      <c r="O456" s="6">
        <v>50</v>
      </c>
      <c r="P456" s="76">
        <v>44987</v>
      </c>
      <c r="Q456" s="3">
        <f>+IF(Tabla13[[#This Row],[Facturado USD]]&gt;0,1,-1)</f>
        <v>1</v>
      </c>
      <c r="R456" s="22">
        <v>35526.91375</v>
      </c>
      <c r="S456" s="3">
        <f>+IF(Tabla13[[#This Row],[Ingresado USD]]&gt;0,1,-1)</f>
        <v>1</v>
      </c>
      <c r="T456" s="78">
        <v>44994</v>
      </c>
      <c r="U456" s="22">
        <v>35526.91375</v>
      </c>
    </row>
    <row r="457" spans="1:22" ht="12" hidden="1" x14ac:dyDescent="0.2">
      <c r="A457" s="3">
        <v>456</v>
      </c>
      <c r="B457" s="3" t="s">
        <v>107</v>
      </c>
      <c r="C45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MEL</v>
      </c>
      <c r="D457" s="3" t="s">
        <v>34</v>
      </c>
      <c r="E457" s="3" t="s">
        <v>35</v>
      </c>
      <c r="F457" s="3" t="s">
        <v>251</v>
      </c>
      <c r="G457" s="3">
        <v>2023</v>
      </c>
      <c r="H457" s="3">
        <f>+IF(Tabla13[[#This Row],[Proyectado USD]]&gt;0,1,-1)</f>
        <v>-1</v>
      </c>
      <c r="I457" s="15"/>
      <c r="J457" s="21"/>
      <c r="K457" s="3">
        <f>+IF(Tabla13[[#This Row],[Emitido USD]]&gt;0,1,-1)</f>
        <v>1</v>
      </c>
      <c r="L457" s="73">
        <v>45078</v>
      </c>
      <c r="M457" s="3">
        <v>8</v>
      </c>
      <c r="N457" s="22">
        <v>40733.79</v>
      </c>
      <c r="O457" s="6">
        <v>81</v>
      </c>
      <c r="P457" s="76">
        <v>45086</v>
      </c>
      <c r="Q457" s="3">
        <f>+IF(Tabla13[[#This Row],[Facturado USD]]&gt;0,1,-1)</f>
        <v>1</v>
      </c>
      <c r="R457" s="22">
        <v>40773.79</v>
      </c>
      <c r="S457" s="3">
        <f>+IF(Tabla13[[#This Row],[Ingresado USD]]&gt;0,1,-1)</f>
        <v>1</v>
      </c>
      <c r="T457" s="78">
        <v>45093</v>
      </c>
      <c r="U457" s="22">
        <v>40773.79</v>
      </c>
    </row>
    <row r="458" spans="1:22" ht="12" hidden="1" x14ac:dyDescent="0.2">
      <c r="A458" s="3">
        <v>96</v>
      </c>
      <c r="B458" s="3" t="s">
        <v>672</v>
      </c>
      <c r="C45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AuraMinerals_Proyecto Paiol PFS UG</v>
      </c>
      <c r="D458" s="3" t="s">
        <v>675</v>
      </c>
      <c r="E458" s="3" t="s">
        <v>234</v>
      </c>
      <c r="F458" s="3" t="s">
        <v>235</v>
      </c>
      <c r="G458" s="3">
        <v>2026</v>
      </c>
      <c r="H458" s="3">
        <f>+IF(Tabla13[[#This Row],[Proyectado USD]]&gt;0,1,-1)</f>
        <v>1</v>
      </c>
      <c r="I458" s="15">
        <v>46082</v>
      </c>
      <c r="J458" s="21">
        <v>60000</v>
      </c>
      <c r="K458" s="3">
        <f>+IF(Tabla13[[#This Row],[Emitido USD]]&gt;0,1,-1)</f>
        <v>1</v>
      </c>
      <c r="L458" s="73">
        <v>46097</v>
      </c>
      <c r="M458" s="3">
        <v>5</v>
      </c>
      <c r="N458" s="22">
        <v>61931.199999999997</v>
      </c>
      <c r="O458" s="6">
        <v>12</v>
      </c>
      <c r="P458" s="76">
        <v>46106</v>
      </c>
      <c r="Q458" s="3">
        <f>+IF(Tabla13[[#This Row],[Facturado USD]]&gt;0,1,-1)</f>
        <v>1</v>
      </c>
      <c r="R458" s="22">
        <v>61931.199999999997</v>
      </c>
      <c r="S458" s="3">
        <f>+IF(Tabla13[[#This Row],[Ingresado USD]]&gt;0,1,-1)</f>
        <v>1</v>
      </c>
      <c r="T458" s="78">
        <v>46147</v>
      </c>
      <c r="U458" s="22">
        <f>305143/4.92</f>
        <v>62020.934959349594</v>
      </c>
    </row>
    <row r="459" spans="1:22" ht="12" hidden="1" x14ac:dyDescent="0.2">
      <c r="A459" s="3">
        <v>325</v>
      </c>
      <c r="B459" s="3" t="s">
        <v>238</v>
      </c>
      <c r="C45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EroCopper_Scoping Proyecto Furnas</v>
      </c>
      <c r="D459" s="3" t="s">
        <v>223</v>
      </c>
      <c r="E459" s="3" t="s">
        <v>239</v>
      </c>
      <c r="F459" s="3" t="s">
        <v>235</v>
      </c>
      <c r="G459" s="3">
        <v>2026</v>
      </c>
      <c r="H459" s="3">
        <f>+IF(Tabla13[[#This Row],[Proyectado USD]]&gt;0,1,-1)</f>
        <v>1</v>
      </c>
      <c r="I459" s="15">
        <v>46082</v>
      </c>
      <c r="J459" s="21">
        <v>23621</v>
      </c>
      <c r="K459" s="3">
        <f>+IF(Tabla13[[#This Row],[Emitido USD]]&gt;0,1,-1)</f>
        <v>1</v>
      </c>
      <c r="L459" s="73">
        <v>46097</v>
      </c>
      <c r="M459" s="3">
        <v>10</v>
      </c>
      <c r="N459" s="22">
        <v>29753</v>
      </c>
      <c r="O459" s="6">
        <v>9</v>
      </c>
      <c r="P459" s="76">
        <v>46101</v>
      </c>
      <c r="Q459" s="3">
        <f>+IF(Tabla13[[#This Row],[Facturado USD]]&gt;0,1,-1)</f>
        <v>1</v>
      </c>
      <c r="R459" s="22">
        <v>29753</v>
      </c>
      <c r="S459" s="3">
        <f>+IF(Tabla13[[#This Row],[Ingresado USD]]&gt;0,1,-1)</f>
        <v>1</v>
      </c>
      <c r="T459" s="78">
        <v>46147</v>
      </c>
      <c r="U459" s="22">
        <f>137214/4.92</f>
        <v>27889.024390243903</v>
      </c>
    </row>
    <row r="460" spans="1:22" ht="12" hidden="1" x14ac:dyDescent="0.2">
      <c r="A460" s="3">
        <v>459</v>
      </c>
      <c r="B460" s="3" t="s">
        <v>377</v>
      </c>
      <c r="C46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Minsur_Apoyo MEIA Raura</v>
      </c>
      <c r="D460" s="3" t="s">
        <v>378</v>
      </c>
      <c r="E460" s="3" t="s">
        <v>317</v>
      </c>
      <c r="F460" s="3" t="s">
        <v>318</v>
      </c>
      <c r="G460" s="3">
        <v>2024</v>
      </c>
      <c r="H460" s="3">
        <f>+IF(Tabla13[[#This Row],[Proyectado USD]]&gt;0,1,-1)</f>
        <v>-1</v>
      </c>
      <c r="I460" s="15"/>
      <c r="J460" s="21"/>
      <c r="K460" s="3">
        <f>+IF(Tabla13[[#This Row],[Emitido USD]]&gt;0,1,-1)</f>
        <v>1</v>
      </c>
      <c r="L460" s="73">
        <v>45440</v>
      </c>
      <c r="M460" s="3">
        <v>1</v>
      </c>
      <c r="N460" s="21">
        <v>8262</v>
      </c>
      <c r="O460" s="6" t="s">
        <v>379</v>
      </c>
      <c r="P460" s="76">
        <v>45460</v>
      </c>
      <c r="Q460" s="3">
        <f>+IF(Tabla13[[#This Row],[Facturado USD]]&gt;0,1,-1)</f>
        <v>1</v>
      </c>
      <c r="R460" s="22">
        <v>8262</v>
      </c>
      <c r="S460" s="3">
        <f>+IF(Tabla13[[#This Row],[Ingresado USD]]&gt;0,1,-1)</f>
        <v>1</v>
      </c>
      <c r="T460" s="78">
        <v>45484</v>
      </c>
      <c r="U460" s="22">
        <v>8262</v>
      </c>
    </row>
    <row r="461" spans="1:22" ht="12" hidden="1" x14ac:dyDescent="0.2">
      <c r="A461" s="3">
        <v>460</v>
      </c>
      <c r="B461" s="3" t="s">
        <v>380</v>
      </c>
      <c r="C46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Minsur_Apoyo Planificacion San Rafael</v>
      </c>
      <c r="D461" s="3" t="s">
        <v>381</v>
      </c>
      <c r="E461" s="3" t="s">
        <v>317</v>
      </c>
      <c r="F461" s="3" t="s">
        <v>318</v>
      </c>
      <c r="G461" s="3">
        <v>2024</v>
      </c>
      <c r="H461" s="3">
        <f>+IF(Tabla13[[#This Row],[Proyectado USD]]&gt;0,1,-1)</f>
        <v>-1</v>
      </c>
      <c r="I461" s="15"/>
      <c r="J461" s="21"/>
      <c r="K461" s="3">
        <f>+IF(Tabla13[[#This Row],[Emitido USD]]&gt;0,1,-1)</f>
        <v>1</v>
      </c>
      <c r="L461" s="73">
        <v>45498</v>
      </c>
      <c r="M461" s="55">
        <v>1</v>
      </c>
      <c r="N461" s="22">
        <v>32242</v>
      </c>
      <c r="O461" s="6" t="s">
        <v>382</v>
      </c>
      <c r="P461" s="76">
        <v>45525</v>
      </c>
      <c r="Q461" s="3">
        <f>+IF(Tabla13[[#This Row],[Facturado USD]]&gt;0,1,-1)</f>
        <v>1</v>
      </c>
      <c r="R461" s="22">
        <v>32242</v>
      </c>
      <c r="S461" s="3">
        <f>+IF(Tabla13[[#This Row],[Ingresado USD]]&gt;0,1,-1)</f>
        <v>1</v>
      </c>
      <c r="T461" s="78">
        <v>45555</v>
      </c>
      <c r="U461" s="22">
        <v>32242</v>
      </c>
    </row>
    <row r="462" spans="1:22" ht="12" hidden="1" x14ac:dyDescent="0.2">
      <c r="A462" s="3">
        <v>461</v>
      </c>
      <c r="B462" s="3" t="s">
        <v>380</v>
      </c>
      <c r="C46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Minsur_Apoyo Planificacion San Rafael</v>
      </c>
      <c r="D462" s="3" t="s">
        <v>381</v>
      </c>
      <c r="E462" s="3" t="s">
        <v>317</v>
      </c>
      <c r="F462" s="3" t="s">
        <v>318</v>
      </c>
      <c r="G462" s="3">
        <v>2024</v>
      </c>
      <c r="H462" s="3">
        <f>+IF(Tabla13[[#This Row],[Proyectado USD]]&gt;0,1,-1)</f>
        <v>-1</v>
      </c>
      <c r="I462" s="15"/>
      <c r="J462" s="21"/>
      <c r="K462" s="3">
        <f>+IF(Tabla13[[#This Row],[Emitido USD]]&gt;0,1,-1)</f>
        <v>1</v>
      </c>
      <c r="L462" s="73">
        <v>45534</v>
      </c>
      <c r="M462" s="3">
        <v>2</v>
      </c>
      <c r="N462" s="22">
        <v>82138</v>
      </c>
      <c r="O462" s="6" t="s">
        <v>383</v>
      </c>
      <c r="P462" s="76">
        <v>45538</v>
      </c>
      <c r="Q462" s="3">
        <f>+IF(Tabla13[[#This Row],[Facturado USD]]&gt;0,1,-1)</f>
        <v>1</v>
      </c>
      <c r="R462" s="22">
        <v>82138</v>
      </c>
      <c r="S462" s="3">
        <f>+IF(Tabla13[[#This Row],[Ingresado USD]]&gt;0,1,-1)</f>
        <v>1</v>
      </c>
      <c r="T462" s="78">
        <v>45569</v>
      </c>
      <c r="U462" s="22">
        <v>80437.743399999992</v>
      </c>
    </row>
    <row r="463" spans="1:22" ht="12" hidden="1" x14ac:dyDescent="0.2">
      <c r="A463" s="3">
        <v>462</v>
      </c>
      <c r="B463" s="3" t="s">
        <v>380</v>
      </c>
      <c r="C46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Minsur_Apoyo Planificacion San Rafael</v>
      </c>
      <c r="D463" s="3" t="s">
        <v>381</v>
      </c>
      <c r="E463" s="3" t="s">
        <v>317</v>
      </c>
      <c r="F463" s="3" t="s">
        <v>318</v>
      </c>
      <c r="G463" s="3">
        <v>2024</v>
      </c>
      <c r="H463" s="3">
        <f>+IF(Tabla13[[#This Row],[Proyectado USD]]&gt;0,1,-1)</f>
        <v>-1</v>
      </c>
      <c r="I463" s="15"/>
      <c r="J463" s="21"/>
      <c r="K463" s="3">
        <f>+IF(Tabla13[[#This Row],[Emitido USD]]&gt;0,1,-1)</f>
        <v>1</v>
      </c>
      <c r="L463" s="73">
        <v>45565</v>
      </c>
      <c r="M463" s="3">
        <v>3</v>
      </c>
      <c r="N463" s="22">
        <v>5513</v>
      </c>
      <c r="O463" s="6" t="s">
        <v>384</v>
      </c>
      <c r="P463" s="76">
        <v>45587</v>
      </c>
      <c r="Q463" s="3">
        <f>+IF(Tabla13[[#This Row],[Facturado USD]]&gt;0,1,-1)</f>
        <v>1</v>
      </c>
      <c r="R463" s="22">
        <v>5513</v>
      </c>
      <c r="S463" s="3">
        <f>+IF(Tabla13[[#This Row],[Ingresado USD]]&gt;0,1,-1)</f>
        <v>1</v>
      </c>
      <c r="T463" s="78">
        <v>45617</v>
      </c>
      <c r="U463" s="22">
        <v>5513</v>
      </c>
    </row>
    <row r="464" spans="1:22" ht="12" hidden="1" x14ac:dyDescent="0.2">
      <c r="A464" s="3">
        <v>463</v>
      </c>
      <c r="B464" s="3" t="s">
        <v>385</v>
      </c>
      <c r="C46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Minsur_Evaluacion recursos marginales</v>
      </c>
      <c r="D464" s="3" t="s">
        <v>208</v>
      </c>
      <c r="E464" s="3" t="s">
        <v>317</v>
      </c>
      <c r="F464" s="3" t="s">
        <v>318</v>
      </c>
      <c r="G464" s="3">
        <v>2024</v>
      </c>
      <c r="H464" s="3">
        <f>+IF(Tabla13[[#This Row],[Proyectado USD]]&gt;0,1,-1)</f>
        <v>-1</v>
      </c>
      <c r="I464" s="15"/>
      <c r="J464" s="21"/>
      <c r="K464" s="3">
        <f>+IF(Tabla13[[#This Row],[Emitido USD]]&gt;0,1,-1)</f>
        <v>1</v>
      </c>
      <c r="L464" s="73">
        <v>45596</v>
      </c>
      <c r="M464" s="3">
        <v>1</v>
      </c>
      <c r="N464" s="22">
        <v>26104</v>
      </c>
      <c r="O464" s="6" t="s">
        <v>386</v>
      </c>
      <c r="P464" s="76">
        <v>45607</v>
      </c>
      <c r="Q464" s="3">
        <f>+IF(Tabla13[[#This Row],[Facturado USD]]&gt;0,1,-1)</f>
        <v>1</v>
      </c>
      <c r="R464" s="22">
        <v>26104</v>
      </c>
      <c r="S464" s="3">
        <f>+IF(Tabla13[[#This Row],[Ingresado USD]]&gt;0,1,-1)</f>
        <v>1</v>
      </c>
      <c r="T464" s="78">
        <v>45617</v>
      </c>
      <c r="U464" s="22">
        <v>26104</v>
      </c>
    </row>
    <row r="465" spans="1:22" ht="12" hidden="1" x14ac:dyDescent="0.2">
      <c r="A465" s="3">
        <v>464</v>
      </c>
      <c r="B465" s="3" t="s">
        <v>385</v>
      </c>
      <c r="C46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Minsur_Evaluacion recursos marginales</v>
      </c>
      <c r="D465" s="3" t="s">
        <v>208</v>
      </c>
      <c r="E465" s="3" t="s">
        <v>317</v>
      </c>
      <c r="F465" s="3" t="s">
        <v>318</v>
      </c>
      <c r="G465" s="3">
        <v>2024</v>
      </c>
      <c r="H465" s="3">
        <f>+IF(Tabla13[[#This Row],[Proyectado USD]]&gt;0,1,-1)</f>
        <v>-1</v>
      </c>
      <c r="I465" s="15"/>
      <c r="J465" s="21"/>
      <c r="K465" s="3">
        <f>+IF(Tabla13[[#This Row],[Emitido USD]]&gt;0,1,-1)</f>
        <v>1</v>
      </c>
      <c r="L465" s="73">
        <v>45625</v>
      </c>
      <c r="M465" s="3">
        <v>2</v>
      </c>
      <c r="N465" s="22">
        <v>25519</v>
      </c>
      <c r="O465" s="6" t="s">
        <v>387</v>
      </c>
      <c r="P465" s="76">
        <v>45638</v>
      </c>
      <c r="Q465" s="3">
        <f>+IF(Tabla13[[#This Row],[Facturado USD]]&gt;0,1,-1)</f>
        <v>1</v>
      </c>
      <c r="R465" s="22">
        <v>25519</v>
      </c>
      <c r="S465" s="3">
        <f>+IF(Tabla13[[#This Row],[Ingresado USD]]&gt;0,1,-1)</f>
        <v>1</v>
      </c>
      <c r="T465" s="78">
        <v>45653</v>
      </c>
      <c r="U465" s="22">
        <v>25000</v>
      </c>
    </row>
    <row r="466" spans="1:22" ht="12" hidden="1" x14ac:dyDescent="0.2">
      <c r="A466" s="3">
        <v>465</v>
      </c>
      <c r="B466" s="3" t="s">
        <v>385</v>
      </c>
      <c r="C46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Minsur_Evaluacion recursos marginales</v>
      </c>
      <c r="D466" s="3" t="s">
        <v>208</v>
      </c>
      <c r="E466" s="3" t="s">
        <v>317</v>
      </c>
      <c r="F466" s="3" t="s">
        <v>318</v>
      </c>
      <c r="G466" s="3">
        <v>2024</v>
      </c>
      <c r="H466" s="3">
        <f>+IF(Tabla13[[#This Row],[Proyectado USD]]&gt;0,1,-1)</f>
        <v>-1</v>
      </c>
      <c r="I466" s="15"/>
      <c r="J466" s="21"/>
      <c r="K466" s="3">
        <f>+IF(Tabla13[[#This Row],[Emitido USD]]&gt;0,1,-1)</f>
        <v>1</v>
      </c>
      <c r="L466" s="73">
        <v>45652</v>
      </c>
      <c r="M466" s="3">
        <v>3</v>
      </c>
      <c r="N466" s="22">
        <v>13312</v>
      </c>
      <c r="O466" s="6" t="s">
        <v>388</v>
      </c>
      <c r="P466" s="76">
        <v>45660</v>
      </c>
      <c r="Q466" s="3">
        <f>+IF(Tabla13[[#This Row],[Facturado USD]]&gt;0,1,-1)</f>
        <v>1</v>
      </c>
      <c r="R466" s="22">
        <v>13312</v>
      </c>
      <c r="S466" s="3">
        <f>+IF(Tabla13[[#This Row],[Ingresado USD]]&gt;0,1,-1)</f>
        <v>1</v>
      </c>
      <c r="T466" s="78">
        <v>45673</v>
      </c>
      <c r="U466" s="22">
        <v>13823</v>
      </c>
    </row>
    <row r="467" spans="1:22" ht="12" hidden="1" x14ac:dyDescent="0.2">
      <c r="A467" s="3">
        <v>466</v>
      </c>
      <c r="B467" s="3" t="s">
        <v>582</v>
      </c>
      <c r="C46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Minsur_Factibilidad Infraestructura Coreshack</v>
      </c>
      <c r="D46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Minsur_Factibilidad Infraestructura Coreshack</v>
      </c>
      <c r="E467" s="3" t="s">
        <v>317</v>
      </c>
      <c r="F467" s="3" t="s">
        <v>318</v>
      </c>
      <c r="G467" s="3">
        <v>2025</v>
      </c>
      <c r="H467" s="3">
        <f>+IF(Tabla13[[#This Row],[Proyectado USD]]&gt;0,1,-1)</f>
        <v>-1</v>
      </c>
      <c r="I467" s="15"/>
      <c r="J467" s="21"/>
      <c r="K467" s="3">
        <f>+IF(Tabla13[[#This Row],[Emitido USD]]&gt;0,1,-1)</f>
        <v>-1</v>
      </c>
      <c r="L467" s="73"/>
      <c r="M467" s="3" t="s">
        <v>630</v>
      </c>
      <c r="N467" s="22">
        <v>0</v>
      </c>
      <c r="O467" s="6" t="s">
        <v>583</v>
      </c>
      <c r="P467" s="76">
        <v>45901</v>
      </c>
      <c r="Q467" s="3">
        <f>+IF(Tabla13[[#This Row],[Facturado USD]]&gt;0,1,-1)</f>
        <v>1</v>
      </c>
      <c r="R467" s="22">
        <v>12000</v>
      </c>
      <c r="S467" s="3">
        <f>+IF(Tabla13[[#This Row],[Ingresado USD]]&gt;0,1,-1)</f>
        <v>1</v>
      </c>
      <c r="T467" s="78">
        <v>45953</v>
      </c>
      <c r="U467" s="22">
        <v>12000</v>
      </c>
      <c r="V467" s="3" t="s">
        <v>632</v>
      </c>
    </row>
    <row r="468" spans="1:22" ht="12" hidden="1" x14ac:dyDescent="0.2">
      <c r="A468" s="3">
        <v>467</v>
      </c>
      <c r="B468" s="30" t="s">
        <v>135</v>
      </c>
      <c r="C468" s="30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Minsur_Forecast_Budget24</v>
      </c>
      <c r="D468" s="30" t="s">
        <v>43</v>
      </c>
      <c r="E468" s="30" t="s">
        <v>317</v>
      </c>
      <c r="F468" s="30" t="s">
        <v>318</v>
      </c>
      <c r="G468" s="30">
        <v>2023</v>
      </c>
      <c r="H468" s="30">
        <f>+IF(Tabla13[[#This Row],[Proyectado USD]]&gt;0,1,-1)</f>
        <v>-1</v>
      </c>
      <c r="I468" s="33"/>
      <c r="J468" s="42"/>
      <c r="K468" s="30">
        <f>+IF(Tabla13[[#This Row],[Emitido USD]]&gt;0,1,-1)</f>
        <v>1</v>
      </c>
      <c r="L468" s="74">
        <v>45282</v>
      </c>
      <c r="M468" s="30">
        <v>1</v>
      </c>
      <c r="N468" s="42">
        <v>65088</v>
      </c>
      <c r="O468" s="32" t="s">
        <v>389</v>
      </c>
      <c r="P468" s="77">
        <v>45307</v>
      </c>
      <c r="Q468" s="30">
        <f>+IF(Tabla13[[#This Row],[Facturado USD]]&gt;0,1,-1)</f>
        <v>1</v>
      </c>
      <c r="R468" s="35">
        <v>65088</v>
      </c>
      <c r="S468" s="3">
        <f>+IF(Tabla13[[#This Row],[Ingresado USD]]&gt;0,1,-1)</f>
        <v>1</v>
      </c>
      <c r="T468" s="81">
        <v>45319</v>
      </c>
      <c r="U468" s="35">
        <v>65088</v>
      </c>
      <c r="V468" s="30" t="s">
        <v>390</v>
      </c>
    </row>
    <row r="469" spans="1:22" ht="12" hidden="1" x14ac:dyDescent="0.2">
      <c r="A469" s="3">
        <v>468</v>
      </c>
      <c r="B469" s="3" t="s">
        <v>391</v>
      </c>
      <c r="C46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Minsur_Integracion Planeamiento Geomecanica</v>
      </c>
      <c r="D469" s="3" t="s">
        <v>392</v>
      </c>
      <c r="E469" s="3" t="s">
        <v>317</v>
      </c>
      <c r="F469" s="3" t="s">
        <v>318</v>
      </c>
      <c r="G469" s="3">
        <v>2024</v>
      </c>
      <c r="H469" s="3">
        <f>+IF(Tabla13[[#This Row],[Proyectado USD]]&gt;0,1,-1)</f>
        <v>-1</v>
      </c>
      <c r="I469" s="15"/>
      <c r="J469" s="21"/>
      <c r="K469" s="3">
        <f>+IF(Tabla13[[#This Row],[Emitido USD]]&gt;0,1,-1)</f>
        <v>1</v>
      </c>
      <c r="L469" s="73">
        <v>45468</v>
      </c>
      <c r="M469" s="3">
        <v>1</v>
      </c>
      <c r="N469" s="21">
        <v>13797</v>
      </c>
      <c r="O469" s="6" t="s">
        <v>393</v>
      </c>
      <c r="P469" s="76">
        <v>45481</v>
      </c>
      <c r="Q469" s="3">
        <f>+IF(Tabla13[[#This Row],[Facturado USD]]&gt;0,1,-1)</f>
        <v>1</v>
      </c>
      <c r="R469" s="22">
        <v>13797</v>
      </c>
      <c r="S469" s="3">
        <f>+IF(Tabla13[[#This Row],[Ingresado USD]]&gt;0,1,-1)</f>
        <v>1</v>
      </c>
      <c r="T469" s="78">
        <v>45491</v>
      </c>
      <c r="U469" s="22">
        <v>13797</v>
      </c>
    </row>
    <row r="470" spans="1:22" ht="12" hidden="1" x14ac:dyDescent="0.2">
      <c r="A470" s="3">
        <v>469</v>
      </c>
      <c r="B470" s="3" t="s">
        <v>394</v>
      </c>
      <c r="C47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Minsur_LOM Integrado San Rafael 2025</v>
      </c>
      <c r="D470" s="3" t="s">
        <v>231</v>
      </c>
      <c r="E470" s="3" t="s">
        <v>317</v>
      </c>
      <c r="F470" s="3" t="s">
        <v>318</v>
      </c>
      <c r="G470" s="3">
        <v>2025</v>
      </c>
      <c r="H470" s="3">
        <f>+IF(Tabla13[[#This Row],[Proyectado USD]]&gt;0,1,-1)</f>
        <v>-1</v>
      </c>
      <c r="I470" s="15"/>
      <c r="J470" s="21"/>
      <c r="K470" s="3">
        <f>+IF(Tabla13[[#This Row],[Emitido USD]]&gt;0,1,-1)</f>
        <v>1</v>
      </c>
      <c r="L470" s="73">
        <v>45807</v>
      </c>
      <c r="M470" s="3">
        <v>1</v>
      </c>
      <c r="N470" s="21">
        <v>29207</v>
      </c>
      <c r="O470" s="6" t="s">
        <v>699</v>
      </c>
      <c r="P470" s="76">
        <v>46042</v>
      </c>
      <c r="Q470" s="3">
        <f>+IF(Tabla13[[#This Row],[Facturado USD]]&gt;0,1,-1)</f>
        <v>1</v>
      </c>
      <c r="R470" s="22">
        <v>33892</v>
      </c>
      <c r="S470" s="3">
        <f>+IF(Tabla13[[#This Row],[Ingresado USD]]&gt;0,1,-1)</f>
        <v>1</v>
      </c>
      <c r="T470" s="78">
        <v>46056</v>
      </c>
      <c r="U470" s="22">
        <v>33892</v>
      </c>
      <c r="V470" s="29"/>
    </row>
    <row r="471" spans="1:22" ht="12" hidden="1" x14ac:dyDescent="0.2">
      <c r="A471" s="3">
        <v>528</v>
      </c>
      <c r="B471" s="3" t="s">
        <v>762</v>
      </c>
      <c r="C47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Mosaic_Cajati LOM Open Pit</v>
      </c>
      <c r="D471" s="3" t="s">
        <v>767</v>
      </c>
      <c r="E471" s="3" t="s">
        <v>236</v>
      </c>
      <c r="F471" s="3" t="s">
        <v>235</v>
      </c>
      <c r="G471" s="3">
        <v>2026</v>
      </c>
      <c r="H471" s="3">
        <f>+IF(Tabla13[[#This Row],[Proyectado USD]]&gt;0,1,-1)</f>
        <v>1</v>
      </c>
      <c r="I471" s="15">
        <v>46082</v>
      </c>
      <c r="J471" s="21">
        <v>26863.64</v>
      </c>
      <c r="K471" s="3">
        <f>+IF(Tabla13[[#This Row],[Emitido USD]]&gt;0,1,-1)</f>
        <v>1</v>
      </c>
      <c r="L471" s="73">
        <v>46097</v>
      </c>
      <c r="M471" s="3">
        <v>1</v>
      </c>
      <c r="N471" s="22">
        <v>14895</v>
      </c>
      <c r="O471" s="6">
        <v>10</v>
      </c>
      <c r="P471" s="76">
        <v>46105</v>
      </c>
      <c r="Q471" s="3">
        <f>+IF(Tabla13[[#This Row],[Facturado USD]]&gt;0,1,-1)</f>
        <v>1</v>
      </c>
      <c r="R471" s="22">
        <v>14895</v>
      </c>
      <c r="S471" s="3">
        <f>+IF(Tabla13[[#This Row],[Ingresado USD]]&gt;0,1,-1)</f>
        <v>-1</v>
      </c>
      <c r="T471" s="78">
        <v>46193</v>
      </c>
    </row>
    <row r="472" spans="1:22" ht="12" hidden="1" x14ac:dyDescent="0.2">
      <c r="A472" s="3">
        <v>471</v>
      </c>
      <c r="B472" s="3" t="s">
        <v>395</v>
      </c>
      <c r="C47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Minsur_LOM San Rafael 2025</v>
      </c>
      <c r="D472" s="3" t="s">
        <v>396</v>
      </c>
      <c r="E472" s="3" t="s">
        <v>317</v>
      </c>
      <c r="F472" s="3" t="s">
        <v>318</v>
      </c>
      <c r="G472" s="3">
        <v>2024</v>
      </c>
      <c r="H472" s="3">
        <f>+IF(Tabla13[[#This Row],[Proyectado USD]]&gt;0,1,-1)</f>
        <v>-1</v>
      </c>
      <c r="I472" s="15"/>
      <c r="J472" s="21"/>
      <c r="K472" s="3">
        <f>+IF(Tabla13[[#This Row],[Emitido USD]]&gt;0,1,-1)</f>
        <v>1</v>
      </c>
      <c r="L472" s="73">
        <v>45498</v>
      </c>
      <c r="M472" s="55">
        <v>1</v>
      </c>
      <c r="N472" s="22">
        <v>84801.87</v>
      </c>
      <c r="O472" s="6" t="s">
        <v>397</v>
      </c>
      <c r="P472" s="76">
        <v>45523</v>
      </c>
      <c r="Q472" s="3">
        <f>+IF(Tabla13[[#This Row],[Facturado USD]]&gt;0,1,-1)</f>
        <v>1</v>
      </c>
      <c r="R472" s="22">
        <v>84862</v>
      </c>
      <c r="S472" s="3">
        <f>+IF(Tabla13[[#This Row],[Ingresado USD]]&gt;0,1,-1)</f>
        <v>1</v>
      </c>
      <c r="T472" s="78">
        <v>45554</v>
      </c>
      <c r="U472" s="22">
        <v>84862</v>
      </c>
    </row>
    <row r="473" spans="1:22" ht="12" hidden="1" x14ac:dyDescent="0.2">
      <c r="A473" s="3">
        <v>472</v>
      </c>
      <c r="B473" s="3" t="s">
        <v>395</v>
      </c>
      <c r="C47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Minsur_LOM San Rafael 2025</v>
      </c>
      <c r="D473" s="3" t="s">
        <v>396</v>
      </c>
      <c r="E473" s="3" t="s">
        <v>317</v>
      </c>
      <c r="F473" s="3" t="s">
        <v>318</v>
      </c>
      <c r="G473" s="3">
        <v>2024</v>
      </c>
      <c r="H473" s="3">
        <f>+IF(Tabla13[[#This Row],[Proyectado USD]]&gt;0,1,-1)</f>
        <v>-1</v>
      </c>
      <c r="I473" s="15"/>
      <c r="J473" s="21"/>
      <c r="K473" s="3">
        <f>+IF(Tabla13[[#This Row],[Emitido USD]]&gt;0,1,-1)</f>
        <v>1</v>
      </c>
      <c r="L473" s="73">
        <v>45534</v>
      </c>
      <c r="M473" s="3">
        <v>2</v>
      </c>
      <c r="N473" s="22">
        <v>10481</v>
      </c>
      <c r="O473" s="6" t="s">
        <v>398</v>
      </c>
      <c r="P473" s="76">
        <v>45538</v>
      </c>
      <c r="Q473" s="3">
        <f>+IF(Tabla13[[#This Row],[Facturado USD]]&gt;0,1,-1)</f>
        <v>1</v>
      </c>
      <c r="R473" s="22">
        <v>10481</v>
      </c>
      <c r="S473" s="3">
        <f>+IF(Tabla13[[#This Row],[Ingresado USD]]&gt;0,1,-1)</f>
        <v>1</v>
      </c>
      <c r="T473" s="78">
        <v>45569</v>
      </c>
      <c r="U473" s="22">
        <v>10264.043299999999</v>
      </c>
    </row>
    <row r="474" spans="1:22" ht="12" hidden="1" x14ac:dyDescent="0.2">
      <c r="A474" s="3">
        <v>473</v>
      </c>
      <c r="B474" s="3" t="s">
        <v>399</v>
      </c>
      <c r="C47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Minsur_Mejoramiento datos geotecnicos SR</v>
      </c>
      <c r="D474" s="53" t="s">
        <v>400</v>
      </c>
      <c r="E474" s="3" t="s">
        <v>317</v>
      </c>
      <c r="F474" s="3" t="s">
        <v>318</v>
      </c>
      <c r="G474" s="3">
        <v>2024</v>
      </c>
      <c r="H474" s="3">
        <f>+IF(Tabla13[[#This Row],[Proyectado USD]]&gt;0,1,-1)</f>
        <v>-1</v>
      </c>
      <c r="I474" s="15"/>
      <c r="J474" s="21"/>
      <c r="K474" s="3">
        <f>+IF(Tabla13[[#This Row],[Emitido USD]]&gt;0,1,-1)</f>
        <v>1</v>
      </c>
      <c r="L474" s="73">
        <v>45498</v>
      </c>
      <c r="M474" s="55">
        <v>1</v>
      </c>
      <c r="N474" s="54">
        <v>24551</v>
      </c>
      <c r="O474" s="6" t="s">
        <v>401</v>
      </c>
      <c r="P474" s="76">
        <v>45520</v>
      </c>
      <c r="Q474" s="3">
        <f>+IF(Tabla13[[#This Row],[Facturado USD]]&gt;0,1,-1)</f>
        <v>1</v>
      </c>
      <c r="R474" s="22">
        <v>24551</v>
      </c>
      <c r="S474" s="3">
        <f>+IF(Tabla13[[#This Row],[Ingresado USD]]&gt;0,1,-1)</f>
        <v>1</v>
      </c>
      <c r="T474" s="78">
        <v>45530</v>
      </c>
      <c r="U474" s="22">
        <f>24551*97%</f>
        <v>23814.47</v>
      </c>
    </row>
    <row r="475" spans="1:22" ht="12" hidden="1" x14ac:dyDescent="0.2">
      <c r="A475" s="3">
        <v>474</v>
      </c>
      <c r="B475" s="30" t="s">
        <v>136</v>
      </c>
      <c r="C475" s="30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Minsur_Ore Sorting Raura</v>
      </c>
      <c r="D475" s="30" t="s">
        <v>402</v>
      </c>
      <c r="E475" s="30" t="s">
        <v>317</v>
      </c>
      <c r="F475" s="30" t="s">
        <v>318</v>
      </c>
      <c r="G475" s="30">
        <v>2023</v>
      </c>
      <c r="H475" s="30">
        <f>+IF(Tabla13[[#This Row],[Proyectado USD]]&gt;0,1,-1)</f>
        <v>-1</v>
      </c>
      <c r="I475" s="33">
        <v>45231</v>
      </c>
      <c r="J475" s="42">
        <v>0</v>
      </c>
      <c r="K475" s="30">
        <f>+IF(Tabla13[[#This Row],[Emitido USD]]&gt;0,1,-1)</f>
        <v>1</v>
      </c>
      <c r="L475" s="74">
        <v>45257</v>
      </c>
      <c r="M475" s="30">
        <v>1</v>
      </c>
      <c r="N475" s="42">
        <v>15000</v>
      </c>
      <c r="O475" s="43" t="s">
        <v>403</v>
      </c>
      <c r="P475" s="77">
        <v>45280</v>
      </c>
      <c r="Q475" s="30">
        <f>+IF(Tabla13[[#This Row],[Facturado USD]]&gt;0,1,-1)</f>
        <v>1</v>
      </c>
      <c r="R475" s="35">
        <v>15000</v>
      </c>
      <c r="S475" s="3">
        <f>+IF(Tabla13[[#This Row],[Ingresado USD]]&gt;0,1,-1)</f>
        <v>1</v>
      </c>
      <c r="T475" s="81">
        <v>45289</v>
      </c>
      <c r="U475" s="35">
        <v>15000</v>
      </c>
      <c r="V475" s="30"/>
    </row>
    <row r="476" spans="1:22" ht="12" hidden="1" x14ac:dyDescent="0.2">
      <c r="A476" s="3">
        <v>37</v>
      </c>
      <c r="B476" s="3" t="s">
        <v>561</v>
      </c>
      <c r="C47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Alpayana_Estudio de Sismicidad</v>
      </c>
      <c r="D476" s="3" t="s">
        <v>562</v>
      </c>
      <c r="E476" s="3" t="s">
        <v>563</v>
      </c>
      <c r="F476" s="3" t="s">
        <v>318</v>
      </c>
      <c r="G476" s="3">
        <v>2026</v>
      </c>
      <c r="H476" s="3">
        <f>+IF(Tabla13[[#This Row],[Proyectado USD]]&gt;0,1,-1)</f>
        <v>-1</v>
      </c>
      <c r="I476" s="15"/>
      <c r="J476" s="21"/>
      <c r="K476" s="3">
        <f>+IF(Tabla13[[#This Row],[Emitido USD]]&gt;0,1,-1)</f>
        <v>1</v>
      </c>
      <c r="L476" s="73">
        <v>46080</v>
      </c>
      <c r="M476" s="3">
        <v>8</v>
      </c>
      <c r="N476" s="22">
        <v>20228</v>
      </c>
      <c r="O476" s="6" t="s">
        <v>69</v>
      </c>
      <c r="P476" s="76"/>
      <c r="Q476" s="3">
        <f>+IF(Tabla13[[#This Row],[Facturado USD]]&gt;0,1,-1)</f>
        <v>-1</v>
      </c>
      <c r="S476" s="3">
        <f>+IF(Tabla13[[#This Row],[Ingresado USD]]&gt;0,1,-1)</f>
        <v>-1</v>
      </c>
      <c r="T476" s="78"/>
    </row>
    <row r="477" spans="1:22" ht="12" hidden="1" x14ac:dyDescent="0.2">
      <c r="A477" s="3">
        <v>476</v>
      </c>
      <c r="B477" s="3" t="s">
        <v>404</v>
      </c>
      <c r="C47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Minsur_Rampa de acceso San German</v>
      </c>
      <c r="D477" s="3" t="s">
        <v>405</v>
      </c>
      <c r="E477" s="3" t="s">
        <v>317</v>
      </c>
      <c r="F477" s="3" t="s">
        <v>318</v>
      </c>
      <c r="G477" s="3">
        <v>2024</v>
      </c>
      <c r="H477" s="3">
        <f>+IF(Tabla13[[#This Row],[Proyectado USD]]&gt;0,1,-1)</f>
        <v>-1</v>
      </c>
      <c r="I477" s="15"/>
      <c r="J477" s="21"/>
      <c r="K477" s="3">
        <f>+IF(Tabla13[[#This Row],[Emitido USD]]&gt;0,1,-1)</f>
        <v>1</v>
      </c>
      <c r="L477" s="73">
        <v>45487</v>
      </c>
      <c r="M477" s="55">
        <v>1</v>
      </c>
      <c r="N477" s="22">
        <v>53339</v>
      </c>
      <c r="O477" s="6" t="s">
        <v>406</v>
      </c>
      <c r="P477" s="76">
        <v>45586</v>
      </c>
      <c r="Q477" s="3">
        <f>+IF(Tabla13[[#This Row],[Facturado USD]]&gt;0,1,-1)</f>
        <v>1</v>
      </c>
      <c r="R477" s="22">
        <v>53339</v>
      </c>
      <c r="S477" s="3">
        <f>+IF(Tabla13[[#This Row],[Ingresado USD]]&gt;0,1,-1)</f>
        <v>1</v>
      </c>
      <c r="T477" s="78">
        <v>45596</v>
      </c>
      <c r="U477" s="22">
        <v>52252</v>
      </c>
    </row>
    <row r="478" spans="1:22" ht="12" hidden="1" x14ac:dyDescent="0.2">
      <c r="A478" s="3">
        <v>477</v>
      </c>
      <c r="B478" s="3" t="s">
        <v>407</v>
      </c>
      <c r="C47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Minsur_Raura Análisis LOM25</v>
      </c>
      <c r="D47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Minsur_Raura Análisis LOM25</v>
      </c>
      <c r="E478" s="3" t="s">
        <v>317</v>
      </c>
      <c r="F478" s="3" t="s">
        <v>318</v>
      </c>
      <c r="G478" s="3">
        <v>2025</v>
      </c>
      <c r="H478" s="3">
        <f>+IF(Tabla13[[#This Row],[Proyectado USD]]&gt;0,1,-1)</f>
        <v>-1</v>
      </c>
      <c r="I478" s="15"/>
      <c r="J478" s="21"/>
      <c r="K478" s="3">
        <f>+IF(Tabla13[[#This Row],[Emitido USD]]&gt;0,1,-1)</f>
        <v>1</v>
      </c>
      <c r="L478" s="73">
        <v>45742</v>
      </c>
      <c r="M478" s="3">
        <v>1</v>
      </c>
      <c r="N478" s="22">
        <v>51870</v>
      </c>
      <c r="O478" s="6" t="s">
        <v>408</v>
      </c>
      <c r="P478" s="76">
        <v>45786</v>
      </c>
      <c r="Q478" s="3">
        <f>+IF(Tabla13[[#This Row],[Facturado USD]]&gt;0,1,-1)</f>
        <v>1</v>
      </c>
      <c r="R478" s="22">
        <v>51870</v>
      </c>
      <c r="S478" s="3">
        <f>+IF(Tabla13[[#This Row],[Ingresado USD]]&gt;0,1,-1)</f>
        <v>1</v>
      </c>
      <c r="T478" s="78">
        <v>45798</v>
      </c>
      <c r="U478" s="22">
        <v>48608</v>
      </c>
      <c r="V478" s="3" t="s">
        <v>409</v>
      </c>
    </row>
    <row r="479" spans="1:22" ht="12" hidden="1" x14ac:dyDescent="0.2">
      <c r="A479" s="3">
        <v>478</v>
      </c>
      <c r="B479" s="3" t="s">
        <v>410</v>
      </c>
      <c r="C47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Minsur_San Rafael Estudio V MEIA</v>
      </c>
      <c r="D47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Minsur_San Rafael Estudio V MEIA</v>
      </c>
      <c r="E479" s="3" t="s">
        <v>317</v>
      </c>
      <c r="F479" s="3" t="s">
        <v>318</v>
      </c>
      <c r="G479" s="3">
        <v>2025</v>
      </c>
      <c r="H479" s="3">
        <f>+IF(Tabla13[[#This Row],[Proyectado USD]]&gt;0,1,-1)</f>
        <v>-1</v>
      </c>
      <c r="I479" s="15"/>
      <c r="J479" s="21"/>
      <c r="K479" s="3">
        <f>+IF(Tabla13[[#This Row],[Emitido USD]]&gt;0,1,-1)</f>
        <v>1</v>
      </c>
      <c r="L479" s="73">
        <v>45776</v>
      </c>
      <c r="M479" s="3">
        <v>1</v>
      </c>
      <c r="N479" s="22">
        <v>76361</v>
      </c>
      <c r="O479" s="25" t="s">
        <v>411</v>
      </c>
      <c r="P479" s="76">
        <v>45813</v>
      </c>
      <c r="Q479" s="3">
        <f>+IF(Tabla13[[#This Row],[Facturado USD]]&gt;0,1,-1)</f>
        <v>1</v>
      </c>
      <c r="R479" s="22">
        <v>76361</v>
      </c>
      <c r="S479" s="3">
        <f>+IF(Tabla13[[#This Row],[Ingresado USD]]&gt;0,1,-1)</f>
        <v>1</v>
      </c>
      <c r="T479" s="78">
        <v>45862</v>
      </c>
      <c r="U479" s="22">
        <v>76361</v>
      </c>
      <c r="V479" s="29"/>
    </row>
    <row r="480" spans="1:22" ht="12" hidden="1" x14ac:dyDescent="0.2">
      <c r="A480" s="3">
        <v>479</v>
      </c>
      <c r="B480" s="3" t="s">
        <v>410</v>
      </c>
      <c r="C48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Minsur_San Rafael Estudio V MEIA</v>
      </c>
      <c r="D48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Minsur_San Rafael Estudio V MEIA</v>
      </c>
      <c r="E480" s="3" t="s">
        <v>317</v>
      </c>
      <c r="F480" s="3" t="s">
        <v>318</v>
      </c>
      <c r="G480" s="3">
        <v>2025</v>
      </c>
      <c r="H480" s="3">
        <f>+IF(Tabla13[[#This Row],[Proyectado USD]]&gt;0,1,-1)</f>
        <v>-1</v>
      </c>
      <c r="I480" s="15"/>
      <c r="J480" s="21"/>
      <c r="K480" s="3">
        <f>+IF(Tabla13[[#This Row],[Emitido USD]]&gt;0,1,-1)</f>
        <v>1</v>
      </c>
      <c r="L480" s="73">
        <v>45823</v>
      </c>
      <c r="M480" s="3">
        <v>2</v>
      </c>
      <c r="N480" s="22">
        <v>114681</v>
      </c>
      <c r="O480" s="6" t="s">
        <v>567</v>
      </c>
      <c r="P480" s="76">
        <v>45873</v>
      </c>
      <c r="Q480" s="3">
        <f>+IF(Tabla13[[#This Row],[Facturado USD]]&gt;0,1,-1)</f>
        <v>1</v>
      </c>
      <c r="R480" s="22">
        <v>114681</v>
      </c>
      <c r="S480" s="3">
        <f>+IF(Tabla13[[#This Row],[Ingresado USD]]&gt;0,1,-1)</f>
        <v>1</v>
      </c>
      <c r="T480" s="78">
        <v>45904</v>
      </c>
      <c r="U480" s="22">
        <v>112344</v>
      </c>
      <c r="V480" s="29"/>
    </row>
    <row r="481" spans="1:22" ht="12" hidden="1" x14ac:dyDescent="0.2">
      <c r="A481" s="3">
        <v>480</v>
      </c>
      <c r="B481" s="3" t="s">
        <v>410</v>
      </c>
      <c r="C48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Minsur_San Rafael Estudio V MEIA</v>
      </c>
      <c r="D48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Minsur_San Rafael Estudio V MEIA</v>
      </c>
      <c r="E481" s="3" t="s">
        <v>317</v>
      </c>
      <c r="F481" s="3" t="s">
        <v>318</v>
      </c>
      <c r="G481" s="3">
        <v>2025</v>
      </c>
      <c r="H481" s="3">
        <f>+IF(Tabla13[[#This Row],[Proyectado USD]]&gt;0,1,-1)</f>
        <v>-1</v>
      </c>
      <c r="I481" s="15"/>
      <c r="J481" s="21"/>
      <c r="K481" s="3">
        <f>+IF(Tabla13[[#This Row],[Emitido USD]]&gt;0,1,-1)</f>
        <v>1</v>
      </c>
      <c r="L481" s="73">
        <v>45889</v>
      </c>
      <c r="M481" s="3">
        <v>3</v>
      </c>
      <c r="N481" s="22">
        <v>23019</v>
      </c>
      <c r="O481" s="6" t="s">
        <v>581</v>
      </c>
      <c r="P481" s="76">
        <v>45901</v>
      </c>
      <c r="Q481" s="3">
        <f>+IF(Tabla13[[#This Row],[Facturado USD]]&gt;0,1,-1)</f>
        <v>1</v>
      </c>
      <c r="R481" s="22">
        <v>23019</v>
      </c>
      <c r="S481" s="3">
        <f>+IF(Tabla13[[#This Row],[Ingresado USD]]&gt;0,1,-1)</f>
        <v>1</v>
      </c>
      <c r="T481" s="78">
        <v>45953</v>
      </c>
      <c r="U481" s="22">
        <v>23019</v>
      </c>
      <c r="V481" s="29" t="s">
        <v>632</v>
      </c>
    </row>
    <row r="482" spans="1:22" ht="12" hidden="1" x14ac:dyDescent="0.2">
      <c r="A482" s="3">
        <v>481</v>
      </c>
      <c r="B482" s="3" t="s">
        <v>410</v>
      </c>
      <c r="C48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Minsur_San Rafael Estudio V MEIA</v>
      </c>
      <c r="D48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Minsur_San Rafael Estudio V MEIA</v>
      </c>
      <c r="E482" s="3" t="s">
        <v>317</v>
      </c>
      <c r="F482" s="3" t="s">
        <v>318</v>
      </c>
      <c r="G482" s="3">
        <v>2025</v>
      </c>
      <c r="H482" s="3">
        <f>+IF(Tabla13[[#This Row],[Proyectado USD]]&gt;0,1,-1)</f>
        <v>-1</v>
      </c>
      <c r="I482" s="15"/>
      <c r="J482" s="21"/>
      <c r="K482" s="3">
        <f>+IF(Tabla13[[#This Row],[Emitido USD]]&gt;0,1,-1)</f>
        <v>1</v>
      </c>
      <c r="L482" s="73">
        <v>45925</v>
      </c>
      <c r="M482" s="3">
        <v>4</v>
      </c>
      <c r="N482" s="22">
        <v>8564</v>
      </c>
      <c r="O482" s="6" t="s">
        <v>693</v>
      </c>
      <c r="P482" s="76"/>
      <c r="Q482" s="3">
        <f>+IF(Tabla13[[#This Row],[Facturado USD]]&gt;0,1,-1)</f>
        <v>-1</v>
      </c>
      <c r="S482" s="3">
        <f>+IF(Tabla13[[#This Row],[Ingresado USD]]&gt;0,1,-1)</f>
        <v>-1</v>
      </c>
      <c r="T482" s="78"/>
      <c r="V482" s="29"/>
    </row>
    <row r="483" spans="1:22" ht="12" hidden="1" x14ac:dyDescent="0.2">
      <c r="A483" s="3">
        <v>482</v>
      </c>
      <c r="B483" s="3" t="s">
        <v>410</v>
      </c>
      <c r="C48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Minsur_San Rafael Estudio V MEIA</v>
      </c>
      <c r="D483" s="3" t="s">
        <v>221</v>
      </c>
      <c r="E483" s="3" t="s">
        <v>317</v>
      </c>
      <c r="F483" s="3" t="s">
        <v>318</v>
      </c>
      <c r="G483" s="3">
        <v>2025</v>
      </c>
      <c r="H483" s="3">
        <f>+IF(Tabla13[[#This Row],[Proyectado USD]]&gt;0,1,-1)</f>
        <v>-1</v>
      </c>
      <c r="I483" s="15"/>
      <c r="J483" s="21"/>
      <c r="K483" s="3">
        <f>+IF(Tabla13[[#This Row],[Emitido USD]]&gt;0,1,-1)</f>
        <v>1</v>
      </c>
      <c r="L483" s="73">
        <v>45954</v>
      </c>
      <c r="M483" s="3">
        <v>5</v>
      </c>
      <c r="N483" s="22">
        <v>17010</v>
      </c>
      <c r="O483" s="6" t="s">
        <v>693</v>
      </c>
      <c r="P483" s="76"/>
      <c r="Q483" s="3">
        <f>+IF(Tabla13[[#This Row],[Facturado USD]]&gt;0,1,-1)</f>
        <v>-1</v>
      </c>
      <c r="S483" s="3">
        <f>+IF(Tabla13[[#This Row],[Ingresado USD]]&gt;0,1,-1)</f>
        <v>-1</v>
      </c>
      <c r="T483" s="78"/>
      <c r="V483" s="29"/>
    </row>
    <row r="484" spans="1:22" ht="12" hidden="1" x14ac:dyDescent="0.2">
      <c r="A484" s="3">
        <v>483</v>
      </c>
      <c r="B484" s="3" t="s">
        <v>564</v>
      </c>
      <c r="C48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Minsur_Soporte LOM 2025 Raura</v>
      </c>
      <c r="D484" s="3" t="s">
        <v>565</v>
      </c>
      <c r="E484" s="3" t="s">
        <v>317</v>
      </c>
      <c r="F484" s="3" t="s">
        <v>318</v>
      </c>
      <c r="G484" s="3">
        <v>2025</v>
      </c>
      <c r="H484" s="3">
        <f>+IF(Tabla13[[#This Row],[Proyectado USD]]&gt;0,1,-1)</f>
        <v>-1</v>
      </c>
      <c r="I484" s="15"/>
      <c r="J484" s="21"/>
      <c r="K484" s="3">
        <f>+IF(Tabla13[[#This Row],[Emitido USD]]&gt;0,1,-1)</f>
        <v>1</v>
      </c>
      <c r="L484" s="73">
        <v>45869</v>
      </c>
      <c r="M484" s="3">
        <v>1</v>
      </c>
      <c r="N484" s="22">
        <v>35690</v>
      </c>
      <c r="O484" s="6" t="s">
        <v>605</v>
      </c>
      <c r="P484" s="76">
        <v>45936</v>
      </c>
      <c r="Q484" s="3">
        <f>+IF(Tabla13[[#This Row],[Facturado USD]]&gt;0,1,-1)</f>
        <v>1</v>
      </c>
      <c r="R484" s="22">
        <v>37221</v>
      </c>
      <c r="S484" s="3">
        <f>+IF(Tabla13[[#This Row],[Ingresado USD]]&gt;0,1,-1)</f>
        <v>1</v>
      </c>
      <c r="T484" s="78">
        <v>45937</v>
      </c>
      <c r="U484" s="21">
        <v>33707.714285714283</v>
      </c>
      <c r="V484" s="3" t="s">
        <v>607</v>
      </c>
    </row>
    <row r="485" spans="1:22" ht="12" hidden="1" x14ac:dyDescent="0.2">
      <c r="A485" s="3">
        <v>484</v>
      </c>
      <c r="B485" s="3" t="s">
        <v>414</v>
      </c>
      <c r="C48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Minsur_Update LOM San Rafael</v>
      </c>
      <c r="D485" s="3" t="s">
        <v>415</v>
      </c>
      <c r="E485" s="3" t="s">
        <v>317</v>
      </c>
      <c r="F485" s="3" t="s">
        <v>318</v>
      </c>
      <c r="G485" s="3">
        <v>2024</v>
      </c>
      <c r="H485" s="3">
        <f>+IF(Tabla13[[#This Row],[Proyectado USD]]&gt;0,1,-1)</f>
        <v>1</v>
      </c>
      <c r="I485" s="15">
        <v>45323</v>
      </c>
      <c r="J485" s="49">
        <v>25600</v>
      </c>
      <c r="K485" s="3">
        <f>+IF(Tabla13[[#This Row],[Emitido USD]]&gt;0,1,-1)</f>
        <v>1</v>
      </c>
      <c r="L485" s="73">
        <v>45350</v>
      </c>
      <c r="M485" s="3">
        <v>1</v>
      </c>
      <c r="N485" s="22">
        <v>25600</v>
      </c>
      <c r="O485" s="6" t="s">
        <v>416</v>
      </c>
      <c r="P485" s="76">
        <v>45371</v>
      </c>
      <c r="Q485" s="3">
        <f>+IF(Tabla13[[#This Row],[Facturado USD]]&gt;0,1,-1)</f>
        <v>1</v>
      </c>
      <c r="R485" s="22">
        <v>25600</v>
      </c>
      <c r="S485" s="3">
        <f>+IF(Tabla13[[#This Row],[Ingresado USD]]&gt;0,1,-1)</f>
        <v>1</v>
      </c>
      <c r="T485" s="76">
        <v>45372</v>
      </c>
      <c r="U485" s="61">
        <v>25600</v>
      </c>
      <c r="V485" s="45"/>
    </row>
    <row r="486" spans="1:22" ht="12" hidden="1" x14ac:dyDescent="0.2">
      <c r="A486" s="3">
        <v>267</v>
      </c>
      <c r="B486" s="3" t="s">
        <v>736</v>
      </c>
      <c r="C48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Collahuasi_Valor Incorporación Chx.03</v>
      </c>
      <c r="D486" s="3" t="s">
        <v>721</v>
      </c>
      <c r="E486" s="3" t="s">
        <v>648</v>
      </c>
      <c r="F486" s="3" t="s">
        <v>251</v>
      </c>
      <c r="G486" s="3">
        <v>2026</v>
      </c>
      <c r="H486" s="3">
        <f>+IF(Tabla13[[#This Row],[Proyectado USD]]&gt;0,1,-1)</f>
        <v>1</v>
      </c>
      <c r="I486" s="15">
        <v>46078</v>
      </c>
      <c r="J486" s="21">
        <v>22302</v>
      </c>
      <c r="K486" s="3">
        <f>+IF(Tabla13[[#This Row],[Emitido USD]]&gt;0,1,-1)</f>
        <v>1</v>
      </c>
      <c r="L486" s="73">
        <v>46080</v>
      </c>
      <c r="M486" s="3">
        <v>1</v>
      </c>
      <c r="N486" s="22">
        <v>25294</v>
      </c>
      <c r="O486" s="6">
        <v>389</v>
      </c>
      <c r="P486" s="76">
        <v>46118</v>
      </c>
      <c r="Q486" s="3">
        <f>+IF(Tabla13[[#This Row],[Facturado USD]]&gt;0,1,-1)</f>
        <v>1</v>
      </c>
      <c r="R486" s="22">
        <v>25294</v>
      </c>
      <c r="S486" s="3">
        <f>+IF(Tabla13[[#This Row],[Ingresado USD]]&gt;0,1,-1)</f>
        <v>1</v>
      </c>
      <c r="T486" s="78">
        <v>46129</v>
      </c>
      <c r="U486" s="37">
        <v>25294</v>
      </c>
    </row>
    <row r="487" spans="1:22" ht="12" hidden="1" x14ac:dyDescent="0.2">
      <c r="A487" s="3">
        <v>297</v>
      </c>
      <c r="B487" s="3" t="s">
        <v>702</v>
      </c>
      <c r="C48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ElBrocal_Estudio Geomecanico Estabilidad</v>
      </c>
      <c r="D487" s="3" t="s">
        <v>703</v>
      </c>
      <c r="E487" s="3" t="s">
        <v>333</v>
      </c>
      <c r="F487" s="3" t="s">
        <v>318</v>
      </c>
      <c r="G487" s="3">
        <v>2026</v>
      </c>
      <c r="H487" s="3">
        <f>+IF(Tabla13[[#This Row],[Proyectado USD]]&gt;0,1,-1)</f>
        <v>1</v>
      </c>
      <c r="I487" s="15">
        <v>46078</v>
      </c>
      <c r="J487" s="21">
        <v>54480</v>
      </c>
      <c r="K487" s="3">
        <f>+IF(Tabla13[[#This Row],[Emitido USD]]&gt;0,1,-1)</f>
        <v>1</v>
      </c>
      <c r="L487" s="73">
        <v>46080</v>
      </c>
      <c r="M487" s="3">
        <v>2</v>
      </c>
      <c r="N487" s="22">
        <v>26815</v>
      </c>
      <c r="O487" s="6" t="s">
        <v>774</v>
      </c>
      <c r="P487" s="76">
        <v>46100</v>
      </c>
      <c r="Q487" s="3">
        <f>+IF(Tabla13[[#This Row],[Facturado USD]]&gt;0,1,-1)</f>
        <v>1</v>
      </c>
      <c r="R487" s="22">
        <v>26815</v>
      </c>
      <c r="S487" s="3">
        <f>+IF(Tabla13[[#This Row],[Ingresado USD]]&gt;0,1,-1)</f>
        <v>1</v>
      </c>
      <c r="T487" s="78">
        <v>46105</v>
      </c>
      <c r="U487" s="22">
        <v>26814</v>
      </c>
    </row>
    <row r="488" spans="1:22" ht="12" hidden="1" x14ac:dyDescent="0.2">
      <c r="A488" s="3">
        <v>487</v>
      </c>
      <c r="B488" s="3" t="s">
        <v>671</v>
      </c>
      <c r="C48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Miskimayo_Evaluación Transporte en Mina</v>
      </c>
      <c r="D48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Miskimayo_Evaluación Transporte en Mina</v>
      </c>
      <c r="E488" s="3" t="s">
        <v>418</v>
      </c>
      <c r="F488" s="3" t="s">
        <v>318</v>
      </c>
      <c r="G488" s="3">
        <v>2025</v>
      </c>
      <c r="H488" s="3">
        <f>+IF(Tabla13[[#This Row],[Proyectado USD]]&gt;0,1,-1)</f>
        <v>-1</v>
      </c>
      <c r="I488" s="15"/>
      <c r="J488" s="21"/>
      <c r="K488" s="3">
        <f>+IF(Tabla13[[#This Row],[Emitido USD]]&gt;0,1,-1)</f>
        <v>1</v>
      </c>
      <c r="L488" s="73">
        <v>45986</v>
      </c>
      <c r="M488" s="3">
        <v>1</v>
      </c>
      <c r="N488" s="22">
        <v>20102</v>
      </c>
      <c r="O488" s="6" t="s">
        <v>678</v>
      </c>
      <c r="P488" s="76">
        <v>46002</v>
      </c>
      <c r="Q488" s="3">
        <f>+IF(Tabla13[[#This Row],[Facturado USD]]&gt;0,1,-1)</f>
        <v>1</v>
      </c>
      <c r="R488" s="22">
        <v>20102</v>
      </c>
      <c r="S488" s="3">
        <f>+IF(Tabla13[[#This Row],[Ingresado USD]]&gt;0,1,-1)</f>
        <v>1</v>
      </c>
      <c r="T488" s="78">
        <v>46042</v>
      </c>
      <c r="U488" s="22">
        <v>20102</v>
      </c>
      <c r="V488" s="3" t="s">
        <v>717</v>
      </c>
    </row>
    <row r="489" spans="1:22" ht="12" hidden="1" x14ac:dyDescent="0.2">
      <c r="A489" s="3">
        <v>488</v>
      </c>
      <c r="B489" s="3" t="s">
        <v>671</v>
      </c>
      <c r="C48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Miskimayo_Evaluación Transporte en Mina</v>
      </c>
      <c r="D48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Miskimayo_Evaluación Transporte en Mina</v>
      </c>
      <c r="E489" s="3" t="s">
        <v>418</v>
      </c>
      <c r="F489" s="3" t="s">
        <v>318</v>
      </c>
      <c r="G489" s="3">
        <v>2025</v>
      </c>
      <c r="H489" s="3">
        <f>+IF(Tabla13[[#This Row],[Proyectado USD]]&gt;0,1,-1)</f>
        <v>-1</v>
      </c>
      <c r="I489" s="15"/>
      <c r="J489" s="21"/>
      <c r="K489" s="3">
        <f>+IF(Tabla13[[#This Row],[Emitido USD]]&gt;0,1,-1)</f>
        <v>1</v>
      </c>
      <c r="L489" s="73">
        <v>46016</v>
      </c>
      <c r="M489" s="3">
        <v>2</v>
      </c>
      <c r="N489" s="21">
        <v>23931</v>
      </c>
      <c r="O489" s="6" t="s">
        <v>698</v>
      </c>
      <c r="P489" s="76">
        <v>46042</v>
      </c>
      <c r="Q489" s="3">
        <f>+IF(Tabla13[[#This Row],[Facturado USD]]&gt;0,1,-1)</f>
        <v>1</v>
      </c>
      <c r="R489" s="22">
        <v>25531</v>
      </c>
      <c r="S489" s="3">
        <f>+IF(Tabla13[[#This Row],[Ingresado USD]]&gt;0,1,-1)</f>
        <v>1</v>
      </c>
      <c r="T489" s="78">
        <v>46072</v>
      </c>
      <c r="U489" s="85">
        <v>24414</v>
      </c>
    </row>
    <row r="490" spans="1:22" ht="12" hidden="1" x14ac:dyDescent="0.2">
      <c r="A490" s="3">
        <v>301</v>
      </c>
      <c r="B490" s="3" t="s">
        <v>740</v>
      </c>
      <c r="C49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Emincar_Los Castellanos_UG</v>
      </c>
      <c r="D490" s="3" t="s">
        <v>722</v>
      </c>
      <c r="E490" s="3" t="s">
        <v>701</v>
      </c>
      <c r="F490" s="3" t="s">
        <v>318</v>
      </c>
      <c r="G490" s="3">
        <v>2026</v>
      </c>
      <c r="H490" s="3">
        <f>+IF(Tabla13[[#This Row],[Proyectado USD]]&gt;0,1,-1)</f>
        <v>1</v>
      </c>
      <c r="I490" s="15">
        <v>46078</v>
      </c>
      <c r="J490" s="21">
        <v>45170</v>
      </c>
      <c r="K490" s="3">
        <f>+IF(Tabla13[[#This Row],[Emitido USD]]&gt;0,1,-1)</f>
        <v>1</v>
      </c>
      <c r="L490" s="73">
        <v>46080</v>
      </c>
      <c r="M490" s="3">
        <v>1</v>
      </c>
      <c r="N490" s="22">
        <v>66050</v>
      </c>
      <c r="O490" s="6" t="s">
        <v>772</v>
      </c>
      <c r="P490" s="76">
        <v>46092</v>
      </c>
      <c r="Q490" s="3">
        <f>+IF(Tabla13[[#This Row],[Facturado USD]]&gt;0,1,-1)</f>
        <v>1</v>
      </c>
      <c r="R490" s="22">
        <v>66044</v>
      </c>
      <c r="S490" s="3">
        <f>+IF(Tabla13[[#This Row],[Ingresado USD]]&gt;0,1,-1)</f>
        <v>1</v>
      </c>
      <c r="T490" s="78">
        <v>46129</v>
      </c>
      <c r="U490" s="37">
        <v>58242.5</v>
      </c>
    </row>
    <row r="491" spans="1:22" ht="12" hidden="1" x14ac:dyDescent="0.2">
      <c r="A491" s="3">
        <v>312</v>
      </c>
      <c r="B491" s="3" t="s">
        <v>738</v>
      </c>
      <c r="C49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ERG_Parámetros estabilidad taludes</v>
      </c>
      <c r="D491" s="3" t="s">
        <v>723</v>
      </c>
      <c r="E491" s="3" t="s">
        <v>739</v>
      </c>
      <c r="F491" s="3" t="s">
        <v>251</v>
      </c>
      <c r="G491" s="3">
        <v>2026</v>
      </c>
      <c r="H491" s="3">
        <f>+IF(Tabla13[[#This Row],[Proyectado USD]]&gt;0,1,-1)</f>
        <v>1</v>
      </c>
      <c r="I491" s="15">
        <v>46078</v>
      </c>
      <c r="J491" s="21">
        <v>22509</v>
      </c>
      <c r="K491" s="3">
        <f>+IF(Tabla13[[#This Row],[Emitido USD]]&gt;0,1,-1)</f>
        <v>1</v>
      </c>
      <c r="L491" s="73">
        <v>46080</v>
      </c>
      <c r="M491" s="3">
        <v>1</v>
      </c>
      <c r="N491" s="22">
        <v>30588</v>
      </c>
      <c r="O491" s="6" t="s">
        <v>164</v>
      </c>
      <c r="P491" s="76">
        <v>46104</v>
      </c>
      <c r="Q491" s="3">
        <f>+IF(Tabla13[[#This Row],[Facturado USD]]&gt;0,1,-1)</f>
        <v>1</v>
      </c>
      <c r="R491" s="22">
        <v>30588</v>
      </c>
      <c r="S491" s="3">
        <f>+IF(Tabla13[[#This Row],[Ingresado USD]]&gt;0,1,-1)</f>
        <v>-1</v>
      </c>
      <c r="T491" s="88">
        <v>46135</v>
      </c>
    </row>
    <row r="492" spans="1:22" ht="12" hidden="1" x14ac:dyDescent="0.2">
      <c r="A492" s="3">
        <v>416</v>
      </c>
      <c r="B492" s="3" t="s">
        <v>758</v>
      </c>
      <c r="C49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Los Calatos_DD-Support</v>
      </c>
      <c r="D492" s="3" t="s">
        <v>760</v>
      </c>
      <c r="E492" s="3" t="s">
        <v>708</v>
      </c>
      <c r="F492" s="3" t="s">
        <v>318</v>
      </c>
      <c r="G492" s="3">
        <v>2026</v>
      </c>
      <c r="H492" s="3">
        <f>+IF(Tabla13[[#This Row],[Proyectado USD]]&gt;0,1,-1)</f>
        <v>-1</v>
      </c>
      <c r="I492" s="15"/>
      <c r="J492" s="21"/>
      <c r="K492" s="3">
        <f>+IF(Tabla13[[#This Row],[Emitido USD]]&gt;0,1,-1)</f>
        <v>1</v>
      </c>
      <c r="L492" s="73">
        <v>46080</v>
      </c>
      <c r="M492" s="3">
        <v>1</v>
      </c>
      <c r="N492" s="22">
        <v>24635</v>
      </c>
      <c r="O492" s="6" t="s">
        <v>777</v>
      </c>
      <c r="P492" s="76">
        <v>46108</v>
      </c>
      <c r="Q492" s="3">
        <f>+IF(Tabla13[[#This Row],[Facturado USD]]&gt;0,1,-1)</f>
        <v>1</v>
      </c>
      <c r="R492" s="22">
        <v>24635</v>
      </c>
      <c r="S492" s="3">
        <f>+IF(Tabla13[[#This Row],[Ingresado USD]]&gt;0,1,-1)</f>
        <v>1</v>
      </c>
      <c r="T492" s="78">
        <v>46118</v>
      </c>
      <c r="U492" s="37">
        <v>24635</v>
      </c>
      <c r="V492" s="3" t="s">
        <v>409</v>
      </c>
    </row>
    <row r="493" spans="1:22" ht="12" hidden="1" x14ac:dyDescent="0.2">
      <c r="A493" s="3">
        <v>492</v>
      </c>
      <c r="B493" s="3" t="s">
        <v>139</v>
      </c>
      <c r="C49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MiskiMayo_LOM</v>
      </c>
      <c r="D493" s="3" t="s">
        <v>417</v>
      </c>
      <c r="E493" s="3" t="s">
        <v>418</v>
      </c>
      <c r="F493" s="3" t="s">
        <v>318</v>
      </c>
      <c r="G493" s="3">
        <v>2023</v>
      </c>
      <c r="H493" s="3">
        <f>+IF(Tabla13[[#This Row],[Proyectado USD]]&gt;0,1,-1)</f>
        <v>1</v>
      </c>
      <c r="I493" s="15">
        <v>45231</v>
      </c>
      <c r="J493" s="21">
        <v>9666.6666666666679</v>
      </c>
      <c r="K493" s="3">
        <f>+IF(Tabla13[[#This Row],[Emitido USD]]&gt;0,1,-1)</f>
        <v>1</v>
      </c>
      <c r="L493" s="73">
        <v>45275</v>
      </c>
      <c r="M493" s="3">
        <v>1</v>
      </c>
      <c r="N493" s="22">
        <v>23659.07</v>
      </c>
      <c r="O493" s="9" t="s">
        <v>419</v>
      </c>
      <c r="P493" s="76">
        <v>45278</v>
      </c>
      <c r="Q493" s="3">
        <f>+IF(Tabla13[[#This Row],[Facturado USD]]&gt;0,1,-1)</f>
        <v>1</v>
      </c>
      <c r="R493" s="22">
        <v>23659</v>
      </c>
      <c r="S493" s="3">
        <f>+IF(Tabla13[[#This Row],[Ingresado USD]]&gt;0,1,-1)</f>
        <v>1</v>
      </c>
      <c r="T493" s="78">
        <v>45282</v>
      </c>
      <c r="U493" s="22">
        <v>23659</v>
      </c>
      <c r="V493" s="46"/>
    </row>
    <row r="494" spans="1:22" ht="12" hidden="1" x14ac:dyDescent="0.2">
      <c r="A494" s="3">
        <v>493</v>
      </c>
      <c r="B494" s="3" t="s">
        <v>139</v>
      </c>
      <c r="C49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MiskiMayo_LOM</v>
      </c>
      <c r="D494" s="3" t="s">
        <v>417</v>
      </c>
      <c r="E494" s="3" t="s">
        <v>418</v>
      </c>
      <c r="F494" s="3" t="s">
        <v>318</v>
      </c>
      <c r="G494" s="3">
        <v>2023</v>
      </c>
      <c r="H494" s="3">
        <f>+IF(Tabla13[[#This Row],[Proyectado USD]]&gt;0,1,-1)</f>
        <v>1</v>
      </c>
      <c r="I494" s="15">
        <v>45261</v>
      </c>
      <c r="J494" s="21">
        <v>23027.200000000001</v>
      </c>
      <c r="K494" s="3">
        <f>+IF(Tabla13[[#This Row],[Emitido USD]]&gt;0,1,-1)</f>
        <v>1</v>
      </c>
      <c r="L494" s="73">
        <v>45291</v>
      </c>
      <c r="M494" s="3">
        <v>2</v>
      </c>
      <c r="N494" s="22">
        <v>26813.83</v>
      </c>
      <c r="O494" s="6" t="s">
        <v>420</v>
      </c>
      <c r="P494" s="76">
        <v>45314</v>
      </c>
      <c r="Q494" s="3">
        <f>+IF(Tabla13[[#This Row],[Facturado USD]]&gt;0,1,-1)</f>
        <v>1</v>
      </c>
      <c r="R494" s="22">
        <v>26813.83</v>
      </c>
      <c r="S494" s="3">
        <f>+IF(Tabla13[[#This Row],[Ingresado USD]]&gt;0,1,-1)</f>
        <v>1</v>
      </c>
      <c r="T494" s="78">
        <v>45345</v>
      </c>
      <c r="U494" s="22">
        <v>26902</v>
      </c>
      <c r="V494" s="46"/>
    </row>
    <row r="495" spans="1:22" ht="12" hidden="1" x14ac:dyDescent="0.2">
      <c r="A495" s="3">
        <v>494</v>
      </c>
      <c r="B495" s="3" t="s">
        <v>139</v>
      </c>
      <c r="C49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MiskiMayo_LOM</v>
      </c>
      <c r="D495" s="3" t="s">
        <v>417</v>
      </c>
      <c r="E495" s="3" t="s">
        <v>418</v>
      </c>
      <c r="F495" s="3" t="s">
        <v>318</v>
      </c>
      <c r="G495" s="3">
        <v>2024</v>
      </c>
      <c r="H495" s="3">
        <f>+IF(Tabla13[[#This Row],[Proyectado USD]]&gt;0,1,-1)</f>
        <v>1</v>
      </c>
      <c r="I495" s="15">
        <v>45292</v>
      </c>
      <c r="J495" s="49">
        <v>32332</v>
      </c>
      <c r="K495" s="3">
        <f>+IF(Tabla13[[#This Row],[Emitido USD]]&gt;0,1,-1)</f>
        <v>1</v>
      </c>
      <c r="L495" s="73">
        <v>45316</v>
      </c>
      <c r="M495" s="3">
        <v>3</v>
      </c>
      <c r="N495" s="22">
        <v>11221.900000000001</v>
      </c>
      <c r="O495" s="6" t="s">
        <v>421</v>
      </c>
      <c r="P495" s="76">
        <v>45327</v>
      </c>
      <c r="Q495" s="3">
        <f>+IF(Tabla13[[#This Row],[Facturado USD]]&gt;0,1,-1)</f>
        <v>1</v>
      </c>
      <c r="R495" s="22">
        <v>11221.900000000001</v>
      </c>
      <c r="S495" s="3">
        <f>+IF(Tabla13[[#This Row],[Ingresado USD]]&gt;0,1,-1)</f>
        <v>1</v>
      </c>
      <c r="T495" s="76">
        <v>45416</v>
      </c>
      <c r="U495" s="52">
        <v>11222</v>
      </c>
      <c r="V495" s="48"/>
    </row>
    <row r="496" spans="1:22" ht="12" hidden="1" x14ac:dyDescent="0.2">
      <c r="A496" s="3">
        <v>495</v>
      </c>
      <c r="B496" s="3" t="s">
        <v>139</v>
      </c>
      <c r="C49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MiskiMayo_LOM</v>
      </c>
      <c r="D496" s="3" t="s">
        <v>417</v>
      </c>
      <c r="E496" s="3" t="s">
        <v>418</v>
      </c>
      <c r="F496" s="3" t="s">
        <v>318</v>
      </c>
      <c r="G496" s="3">
        <v>2024</v>
      </c>
      <c r="H496" s="3">
        <f>+IF(Tabla13[[#This Row],[Proyectado USD]]&gt;0,1,-1)</f>
        <v>1</v>
      </c>
      <c r="I496" s="15">
        <v>45323</v>
      </c>
      <c r="J496" s="49">
        <v>33133</v>
      </c>
      <c r="K496" s="3">
        <f>+IF(Tabla13[[#This Row],[Emitido USD]]&gt;0,1,-1)</f>
        <v>1</v>
      </c>
      <c r="L496" s="73">
        <v>45351</v>
      </c>
      <c r="M496" s="3">
        <v>4</v>
      </c>
      <c r="N496" s="22">
        <v>7526</v>
      </c>
      <c r="O496" s="6" t="s">
        <v>422</v>
      </c>
      <c r="P496" s="76">
        <v>45362</v>
      </c>
      <c r="Q496" s="3">
        <f>+IF(Tabla13[[#This Row],[Facturado USD]]&gt;0,1,-1)</f>
        <v>1</v>
      </c>
      <c r="R496" s="22">
        <v>7526</v>
      </c>
      <c r="S496" s="3">
        <f>+IF(Tabla13[[#This Row],[Ingresado USD]]&gt;0,1,-1)</f>
        <v>1</v>
      </c>
      <c r="T496" s="82">
        <v>45403</v>
      </c>
      <c r="U496" s="22">
        <v>7526</v>
      </c>
      <c r="V496" s="48"/>
    </row>
    <row r="497" spans="1:22" ht="12" hidden="1" x14ac:dyDescent="0.2">
      <c r="A497" s="3">
        <v>496</v>
      </c>
      <c r="B497" s="3" t="s">
        <v>139</v>
      </c>
      <c r="C49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MiskiMayo_LOM</v>
      </c>
      <c r="D497" s="3" t="s">
        <v>417</v>
      </c>
      <c r="E497" s="3" t="s">
        <v>418</v>
      </c>
      <c r="F497" s="3" t="s">
        <v>318</v>
      </c>
      <c r="G497" s="3">
        <v>2024</v>
      </c>
      <c r="H497" s="3">
        <f>+IF(Tabla13[[#This Row],[Proyectado USD]]&gt;0,1,-1)</f>
        <v>1</v>
      </c>
      <c r="I497" s="15">
        <v>45352</v>
      </c>
      <c r="J497" s="49">
        <v>30481</v>
      </c>
      <c r="K497" s="3">
        <f>+IF(Tabla13[[#This Row],[Emitido USD]]&gt;0,1,-1)</f>
        <v>1</v>
      </c>
      <c r="L497" s="73">
        <v>45371</v>
      </c>
      <c r="M497" s="3">
        <v>5</v>
      </c>
      <c r="N497" s="50">
        <v>15246</v>
      </c>
      <c r="O497" s="6" t="s">
        <v>423</v>
      </c>
      <c r="P497" s="76">
        <v>45372</v>
      </c>
      <c r="Q497" s="3">
        <f>+IF(Tabla13[[#This Row],[Facturado USD]]&gt;0,1,-1)</f>
        <v>1</v>
      </c>
      <c r="R497" s="22">
        <v>15246</v>
      </c>
      <c r="S497" s="3">
        <f>+IF(Tabla13[[#This Row],[Ingresado USD]]&gt;0,1,-1)</f>
        <v>1</v>
      </c>
      <c r="T497" s="82">
        <v>45403</v>
      </c>
      <c r="U497" s="22">
        <v>15246</v>
      </c>
      <c r="V497" s="48"/>
    </row>
    <row r="498" spans="1:22" ht="12" hidden="1" x14ac:dyDescent="0.2">
      <c r="A498" s="3">
        <v>497</v>
      </c>
      <c r="B498" s="3" t="s">
        <v>139</v>
      </c>
      <c r="C49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MiskiMayo_LOM</v>
      </c>
      <c r="D498" s="51" t="s">
        <v>417</v>
      </c>
      <c r="E498" s="3" t="s">
        <v>418</v>
      </c>
      <c r="F498" s="3" t="s">
        <v>318</v>
      </c>
      <c r="G498" s="3">
        <v>2024</v>
      </c>
      <c r="H498" s="3">
        <f>+IF(Tabla13[[#This Row],[Proyectado USD]]&gt;0,1,-1)</f>
        <v>1</v>
      </c>
      <c r="I498" s="15">
        <v>45383</v>
      </c>
      <c r="J498" s="21">
        <v>22893</v>
      </c>
      <c r="K498" s="3">
        <f>+IF(Tabla13[[#This Row],[Emitido USD]]&gt;0,1,-1)</f>
        <v>1</v>
      </c>
      <c r="L498" s="73">
        <v>45402</v>
      </c>
      <c r="M498" s="3">
        <v>6</v>
      </c>
      <c r="N498" s="22">
        <v>30669.3</v>
      </c>
      <c r="O498" s="6" t="s">
        <v>424</v>
      </c>
      <c r="P498" s="76">
        <v>45408</v>
      </c>
      <c r="Q498" s="3">
        <f>+IF(Tabla13[[#This Row],[Facturado USD]]&gt;0,1,-1)</f>
        <v>1</v>
      </c>
      <c r="R498" s="22">
        <v>30669</v>
      </c>
      <c r="S498" s="3">
        <f>+IF(Tabla13[[#This Row],[Ingresado USD]]&gt;0,1,-1)</f>
        <v>1</v>
      </c>
      <c r="T498" s="78">
        <v>45438</v>
      </c>
      <c r="U498" s="52">
        <v>30669</v>
      </c>
      <c r="V498" s="48"/>
    </row>
    <row r="499" spans="1:22" ht="12" hidden="1" x14ac:dyDescent="0.2">
      <c r="A499" s="3">
        <v>498</v>
      </c>
      <c r="B499" s="3" t="s">
        <v>243</v>
      </c>
      <c r="C49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Mosaic_Actualizacion geotecnica OP</v>
      </c>
      <c r="D499" s="3" t="s">
        <v>209</v>
      </c>
      <c r="E499" s="3" t="s">
        <v>236</v>
      </c>
      <c r="F499" s="3" t="s">
        <v>235</v>
      </c>
      <c r="G499" s="3">
        <v>2024</v>
      </c>
      <c r="H499" s="3">
        <f>+IF(Tabla13[[#This Row],[Proyectado USD]]&gt;0,1,-1)</f>
        <v>-1</v>
      </c>
      <c r="I499" s="15"/>
      <c r="J499" s="21"/>
      <c r="K499" s="3">
        <f>+IF(Tabla13[[#This Row],[Emitido USD]]&gt;0,1,-1)</f>
        <v>1</v>
      </c>
      <c r="L499" s="73">
        <v>45576</v>
      </c>
      <c r="M499" s="3">
        <v>1</v>
      </c>
      <c r="N499" s="22">
        <v>31426</v>
      </c>
      <c r="O499" s="6">
        <v>49</v>
      </c>
      <c r="P499" s="76">
        <v>45590</v>
      </c>
      <c r="Q499" s="3">
        <f>+IF(Tabla13[[#This Row],[Facturado USD]]&gt;0,1,-1)</f>
        <v>1</v>
      </c>
      <c r="R499" s="22">
        <v>31720</v>
      </c>
      <c r="S499" s="3">
        <f>+IF(Tabla13[[#This Row],[Ingresado USD]]&gt;0,1,-1)</f>
        <v>1</v>
      </c>
      <c r="T499" s="78">
        <v>45682</v>
      </c>
      <c r="U499" s="22">
        <v>28019</v>
      </c>
    </row>
    <row r="500" spans="1:22" ht="12" hidden="1" x14ac:dyDescent="0.2">
      <c r="A500" s="3">
        <v>499</v>
      </c>
      <c r="B500" s="3" t="s">
        <v>243</v>
      </c>
      <c r="C50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Mosaic_Actualizacion geotecnica OP</v>
      </c>
      <c r="D500" s="3" t="s">
        <v>209</v>
      </c>
      <c r="E500" s="3" t="s">
        <v>236</v>
      </c>
      <c r="F500" s="3" t="s">
        <v>235</v>
      </c>
      <c r="G500" s="3">
        <v>2024</v>
      </c>
      <c r="H500" s="3">
        <f>+IF(Tabla13[[#This Row],[Proyectado USD]]&gt;0,1,-1)</f>
        <v>-1</v>
      </c>
      <c r="I500" s="15"/>
      <c r="J500" s="21"/>
      <c r="K500" s="3">
        <f>+IF(Tabla13[[#This Row],[Emitido USD]]&gt;0,1,-1)</f>
        <v>1</v>
      </c>
      <c r="L500" s="73">
        <v>45615</v>
      </c>
      <c r="M500" s="3">
        <v>2</v>
      </c>
      <c r="N500" s="22">
        <v>43703</v>
      </c>
      <c r="O500" s="6">
        <v>53</v>
      </c>
      <c r="P500" s="76">
        <v>45621</v>
      </c>
      <c r="Q500" s="3">
        <f>+IF(Tabla13[[#This Row],[Facturado USD]]&gt;0,1,-1)</f>
        <v>1</v>
      </c>
      <c r="R500" s="22">
        <v>38694</v>
      </c>
      <c r="S500" s="3">
        <f>+IF(Tabla13[[#This Row],[Ingresado USD]]&gt;0,1,-1)</f>
        <v>1</v>
      </c>
      <c r="T500" s="78">
        <v>45712</v>
      </c>
      <c r="U500" s="22">
        <v>34759</v>
      </c>
    </row>
    <row r="501" spans="1:22" ht="12" hidden="1" x14ac:dyDescent="0.2">
      <c r="A501" s="3">
        <v>418</v>
      </c>
      <c r="B501" s="3" t="s">
        <v>707</v>
      </c>
      <c r="C50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Los Calatos_Resource Development Plan</v>
      </c>
      <c r="D501" s="3" t="s">
        <v>709</v>
      </c>
      <c r="E501" s="3" t="s">
        <v>708</v>
      </c>
      <c r="F501" s="3" t="s">
        <v>318</v>
      </c>
      <c r="G501" s="3">
        <v>2026</v>
      </c>
      <c r="H501" s="3">
        <f>+IF(Tabla13[[#This Row],[Proyectado USD]]&gt;0,1,-1)</f>
        <v>1</v>
      </c>
      <c r="I501" s="15">
        <v>46078</v>
      </c>
      <c r="J501" s="21">
        <v>4918</v>
      </c>
      <c r="K501" s="3">
        <f>+IF(Tabla13[[#This Row],[Emitido USD]]&gt;0,1,-1)</f>
        <v>1</v>
      </c>
      <c r="L501" s="73">
        <v>46080</v>
      </c>
      <c r="M501" s="3">
        <v>2</v>
      </c>
      <c r="N501" s="22">
        <v>9825</v>
      </c>
      <c r="O501" s="6" t="s">
        <v>779</v>
      </c>
      <c r="P501" s="76">
        <v>46108</v>
      </c>
      <c r="Q501" s="3">
        <f>+IF(Tabla13[[#This Row],[Facturado USD]]&gt;0,1,-1)</f>
        <v>1</v>
      </c>
      <c r="R501" s="22">
        <v>9825</v>
      </c>
      <c r="S501" s="3">
        <f>+IF(Tabla13[[#This Row],[Ingresado USD]]&gt;0,1,-1)</f>
        <v>1</v>
      </c>
      <c r="T501" s="78">
        <v>46118</v>
      </c>
      <c r="U501" s="37">
        <v>9825</v>
      </c>
      <c r="V501" s="3" t="s">
        <v>409</v>
      </c>
    </row>
    <row r="502" spans="1:22" ht="12" hidden="1" x14ac:dyDescent="0.2">
      <c r="A502" s="3">
        <v>229</v>
      </c>
      <c r="B502" s="3" t="s">
        <v>737</v>
      </c>
      <c r="C50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Codelco_Auditoria Recursos y Reservas</v>
      </c>
      <c r="D502" s="3" t="s">
        <v>720</v>
      </c>
      <c r="E502" s="3" t="s">
        <v>291</v>
      </c>
      <c r="F502" s="3" t="s">
        <v>251</v>
      </c>
      <c r="G502" s="3">
        <v>2026</v>
      </c>
      <c r="H502" s="3">
        <f>+IF(Tabla13[[#This Row],[Proyectado USD]]&gt;0,1,-1)</f>
        <v>1</v>
      </c>
      <c r="I502" s="15">
        <v>46078</v>
      </c>
      <c r="J502" s="21">
        <v>132679</v>
      </c>
      <c r="K502" s="3">
        <f>+IF(Tabla13[[#This Row],[Emitido USD]]&gt;0,1,-1)</f>
        <v>1</v>
      </c>
      <c r="L502" s="73">
        <v>46078</v>
      </c>
      <c r="M502" s="3">
        <v>1</v>
      </c>
      <c r="N502" s="21">
        <v>103193</v>
      </c>
      <c r="O502" s="6">
        <v>392</v>
      </c>
      <c r="P502" s="76">
        <v>46127</v>
      </c>
      <c r="Q502" s="3">
        <f>+IF(Tabla13[[#This Row],[Facturado USD]]&gt;0,1,-1)</f>
        <v>1</v>
      </c>
      <c r="R502" s="21">
        <v>103193</v>
      </c>
      <c r="S502" s="3">
        <f>+IF(Tabla13[[#This Row],[Ingresado USD]]&gt;0,1,-1)</f>
        <v>1</v>
      </c>
      <c r="T502" s="76">
        <v>46157</v>
      </c>
      <c r="U502" s="21">
        <v>103193</v>
      </c>
    </row>
    <row r="503" spans="1:22" ht="12" hidden="1" x14ac:dyDescent="0.2">
      <c r="A503" s="3">
        <v>502</v>
      </c>
      <c r="B503" s="3" t="s">
        <v>68</v>
      </c>
      <c r="C50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Mosaic_Cajati</v>
      </c>
      <c r="D503" s="3" t="s">
        <v>4</v>
      </c>
      <c r="E503" s="3" t="s">
        <v>236</v>
      </c>
      <c r="F503" s="3" t="s">
        <v>235</v>
      </c>
      <c r="G503" s="3">
        <v>2023</v>
      </c>
      <c r="H503" s="3">
        <f>+IF(Tabla13[[#This Row],[Proyectado USD]]&gt;0,1,-1)</f>
        <v>-1</v>
      </c>
      <c r="I503" s="15"/>
      <c r="J503" s="21"/>
      <c r="K503" s="3">
        <f>+IF(Tabla13[[#This Row],[Emitido USD]]&gt;0,1,-1)</f>
        <v>1</v>
      </c>
      <c r="L503" s="73">
        <v>45006</v>
      </c>
      <c r="M503" s="3">
        <v>6</v>
      </c>
      <c r="N503" s="22">
        <v>35960</v>
      </c>
      <c r="O503" s="6">
        <v>5</v>
      </c>
      <c r="P503" s="76">
        <v>45071</v>
      </c>
      <c r="Q503" s="3">
        <f>+IF(Tabla13[[#This Row],[Facturado USD]]&gt;0,1,-1)</f>
        <v>1</v>
      </c>
      <c r="R503" s="22">
        <v>38046</v>
      </c>
      <c r="S503" s="3">
        <f>+IF(Tabla13[[#This Row],[Ingresado USD]]&gt;0,1,-1)</f>
        <v>1</v>
      </c>
      <c r="T503" s="78">
        <v>45131</v>
      </c>
      <c r="U503" s="22">
        <v>36434</v>
      </c>
    </row>
    <row r="504" spans="1:22" ht="12" hidden="1" x14ac:dyDescent="0.2">
      <c r="A504" s="3">
        <v>503</v>
      </c>
      <c r="B504" s="3" t="s">
        <v>68</v>
      </c>
      <c r="C50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Mosaic_Cajati</v>
      </c>
      <c r="D504" s="3" t="s">
        <v>4</v>
      </c>
      <c r="E504" s="3" t="s">
        <v>236</v>
      </c>
      <c r="F504" s="3" t="s">
        <v>235</v>
      </c>
      <c r="G504" s="3">
        <v>2023</v>
      </c>
      <c r="H504" s="3">
        <f>+IF(Tabla13[[#This Row],[Proyectado USD]]&gt;0,1,-1)</f>
        <v>-1</v>
      </c>
      <c r="I504" s="15"/>
      <c r="J504" s="21"/>
      <c r="K504" s="3">
        <f>+IF(Tabla13[[#This Row],[Emitido USD]]&gt;0,1,-1)</f>
        <v>1</v>
      </c>
      <c r="L504" s="73">
        <v>45037</v>
      </c>
      <c r="M504" s="3">
        <v>7</v>
      </c>
      <c r="N504" s="22">
        <v>11589</v>
      </c>
      <c r="O504" s="6">
        <v>3</v>
      </c>
      <c r="P504" s="76">
        <v>45071</v>
      </c>
      <c r="Q504" s="3">
        <f>+IF(Tabla13[[#This Row],[Facturado USD]]&gt;0,1,-1)</f>
        <v>1</v>
      </c>
      <c r="R504" s="22">
        <v>11247</v>
      </c>
      <c r="S504" s="3">
        <f>+IF(Tabla13[[#This Row],[Ingresado USD]]&gt;0,1,-1)</f>
        <v>1</v>
      </c>
      <c r="T504" s="78">
        <v>45131</v>
      </c>
      <c r="U504" s="22">
        <v>10770</v>
      </c>
    </row>
    <row r="505" spans="1:22" ht="12" hidden="1" x14ac:dyDescent="0.2">
      <c r="A505" s="3">
        <v>504</v>
      </c>
      <c r="B505" s="3" t="s">
        <v>68</v>
      </c>
      <c r="C50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Mosaic_Cajati</v>
      </c>
      <c r="D505" s="3" t="s">
        <v>4</v>
      </c>
      <c r="E505" s="3" t="s">
        <v>236</v>
      </c>
      <c r="F505" s="3" t="s">
        <v>235</v>
      </c>
      <c r="G505" s="3">
        <v>2023</v>
      </c>
      <c r="H505" s="3">
        <f>+IF(Tabla13[[#This Row],[Proyectado USD]]&gt;0,1,-1)</f>
        <v>-1</v>
      </c>
      <c r="I505" s="15"/>
      <c r="J505" s="21"/>
      <c r="K505" s="3">
        <f>+IF(Tabla13[[#This Row],[Emitido USD]]&gt;0,1,-1)</f>
        <v>1</v>
      </c>
      <c r="L505" s="73">
        <v>45067</v>
      </c>
      <c r="M505" s="3">
        <v>8</v>
      </c>
      <c r="N505" s="22">
        <v>26229.48</v>
      </c>
      <c r="O505" s="6">
        <v>4</v>
      </c>
      <c r="P505" s="76">
        <v>45071</v>
      </c>
      <c r="Q505" s="3">
        <f>+IF(Tabla13[[#This Row],[Facturado USD]]&gt;0,1,-1)</f>
        <v>1</v>
      </c>
      <c r="R505" s="22">
        <v>26048</v>
      </c>
      <c r="S505" s="3">
        <f>+IF(Tabla13[[#This Row],[Ingresado USD]]&gt;0,1,-1)</f>
        <v>1</v>
      </c>
      <c r="T505" s="76">
        <v>45131</v>
      </c>
      <c r="U505" s="22">
        <v>29445</v>
      </c>
    </row>
    <row r="506" spans="1:22" ht="12" hidden="1" x14ac:dyDescent="0.2">
      <c r="A506" s="3">
        <v>505</v>
      </c>
      <c r="B506" s="3" t="s">
        <v>68</v>
      </c>
      <c r="C50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Mosaic_Cajati</v>
      </c>
      <c r="D506" s="3" t="s">
        <v>4</v>
      </c>
      <c r="E506" s="3" t="s">
        <v>236</v>
      </c>
      <c r="F506" s="3" t="s">
        <v>235</v>
      </c>
      <c r="G506" s="3">
        <v>2023</v>
      </c>
      <c r="H506" s="3">
        <f>+IF(Tabla13[[#This Row],[Proyectado USD]]&gt;0,1,-1)</f>
        <v>-1</v>
      </c>
      <c r="I506" s="15"/>
      <c r="J506" s="21"/>
      <c r="K506" s="3">
        <f>+IF(Tabla13[[#This Row],[Emitido USD]]&gt;0,1,-1)</f>
        <v>1</v>
      </c>
      <c r="L506" s="73">
        <v>45098</v>
      </c>
      <c r="M506" s="3">
        <v>9</v>
      </c>
      <c r="N506" s="22">
        <v>16026</v>
      </c>
      <c r="O506" s="6">
        <v>6</v>
      </c>
      <c r="P506" s="76">
        <v>45100</v>
      </c>
      <c r="Q506" s="3">
        <f>+IF(Tabla13[[#This Row],[Facturado USD]]&gt;0,1,-1)</f>
        <v>1</v>
      </c>
      <c r="R506" s="22">
        <v>15553</v>
      </c>
      <c r="S506" s="3">
        <f>+IF(Tabla13[[#This Row],[Ingresado USD]]&gt;0,1,-1)</f>
        <v>1</v>
      </c>
      <c r="T506" s="78">
        <v>45160</v>
      </c>
      <c r="U506" s="22">
        <v>14894</v>
      </c>
    </row>
    <row r="507" spans="1:22" ht="12" hidden="1" x14ac:dyDescent="0.2">
      <c r="A507" s="3">
        <v>506</v>
      </c>
      <c r="B507" s="3" t="s">
        <v>68</v>
      </c>
      <c r="C50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Mosaic_Cajati</v>
      </c>
      <c r="D507" s="3" t="s">
        <v>4</v>
      </c>
      <c r="E507" s="3" t="s">
        <v>236</v>
      </c>
      <c r="F507" s="3" t="s">
        <v>235</v>
      </c>
      <c r="G507" s="3">
        <v>2023</v>
      </c>
      <c r="H507" s="3">
        <f>+IF(Tabla13[[#This Row],[Proyectado USD]]&gt;0,1,-1)</f>
        <v>-1</v>
      </c>
      <c r="I507" s="15"/>
      <c r="J507" s="21"/>
      <c r="K507" s="3">
        <f>+IF(Tabla13[[#This Row],[Emitido USD]]&gt;0,1,-1)</f>
        <v>1</v>
      </c>
      <c r="L507" s="73">
        <v>45121</v>
      </c>
      <c r="M507" s="3">
        <v>10</v>
      </c>
      <c r="N507" s="22">
        <v>45952.98</v>
      </c>
      <c r="O507" s="6">
        <v>7</v>
      </c>
      <c r="P507" s="76">
        <v>45132</v>
      </c>
      <c r="Q507" s="3">
        <f>+IF(Tabla13[[#This Row],[Facturado USD]]&gt;0,1,-1)</f>
        <v>1</v>
      </c>
      <c r="R507" s="22">
        <v>43600</v>
      </c>
      <c r="S507" s="3">
        <f>+IF(Tabla13[[#This Row],[Ingresado USD]]&gt;0,1,-1)</f>
        <v>1</v>
      </c>
      <c r="T507" s="78">
        <v>45192</v>
      </c>
      <c r="U507" s="22">
        <v>36435</v>
      </c>
    </row>
    <row r="508" spans="1:22" ht="12" hidden="1" x14ac:dyDescent="0.2">
      <c r="A508" s="3">
        <v>507</v>
      </c>
      <c r="B508" s="3" t="s">
        <v>68</v>
      </c>
      <c r="C50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Mosaic_Cajati</v>
      </c>
      <c r="D508" s="3" t="s">
        <v>4</v>
      </c>
      <c r="E508" s="3" t="s">
        <v>236</v>
      </c>
      <c r="F508" s="3" t="s">
        <v>235</v>
      </c>
      <c r="G508" s="3">
        <v>2023</v>
      </c>
      <c r="H508" s="26">
        <f>+IF(Tabla13[[#This Row],[Proyectado USD]]&gt;0,1,-1)</f>
        <v>-1</v>
      </c>
      <c r="I508" s="27"/>
      <c r="J508" s="28"/>
      <c r="K508" s="26">
        <f>+IF(Tabla13[[#This Row],[Emitido USD]]&gt;0,1,-1)</f>
        <v>1</v>
      </c>
      <c r="L508" s="73">
        <v>45163</v>
      </c>
      <c r="M508" s="3">
        <v>11</v>
      </c>
      <c r="N508" s="22">
        <v>28092</v>
      </c>
      <c r="O508" s="6">
        <v>8</v>
      </c>
      <c r="P508" s="76">
        <v>45170</v>
      </c>
      <c r="Q508" s="26">
        <f>+IF(Tabla13[[#This Row],[Facturado USD]]&gt;0,1,-1)</f>
        <v>1</v>
      </c>
      <c r="R508" s="22">
        <v>39321.186000000002</v>
      </c>
      <c r="S508" s="3">
        <f>+IF(Tabla13[[#This Row],[Ingresado USD]]&gt;0,1,-1)</f>
        <v>1</v>
      </c>
      <c r="T508" s="78">
        <v>45230</v>
      </c>
      <c r="U508" s="22">
        <v>40124</v>
      </c>
      <c r="V508" s="26" t="s">
        <v>70</v>
      </c>
    </row>
    <row r="509" spans="1:22" ht="12" hidden="1" x14ac:dyDescent="0.2">
      <c r="A509" s="3">
        <v>508</v>
      </c>
      <c r="B509" s="3" t="s">
        <v>68</v>
      </c>
      <c r="C50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Mosaic_Cajati</v>
      </c>
      <c r="D509" s="3" t="s">
        <v>4</v>
      </c>
      <c r="E509" s="3" t="s">
        <v>236</v>
      </c>
      <c r="F509" s="3" t="s">
        <v>235</v>
      </c>
      <c r="G509" s="3">
        <v>2023</v>
      </c>
      <c r="H509" s="3">
        <f>+IF(Tabla13[[#This Row],[Proyectado USD]]&gt;0,1,-1)</f>
        <v>1</v>
      </c>
      <c r="I509" s="15">
        <v>45170</v>
      </c>
      <c r="J509" s="21">
        <v>87653</v>
      </c>
      <c r="K509" s="3">
        <f>+IF(Tabla13[[#This Row],[Emitido USD]]&gt;0,1,-1)</f>
        <v>1</v>
      </c>
      <c r="L509" s="73">
        <v>45194</v>
      </c>
      <c r="M509" s="3">
        <v>12</v>
      </c>
      <c r="N509" s="22">
        <v>29306</v>
      </c>
      <c r="O509" s="6">
        <v>9</v>
      </c>
      <c r="P509" s="76">
        <v>45201</v>
      </c>
      <c r="Q509" s="3">
        <f>+IF(Tabla13[[#This Row],[Facturado USD]]&gt;0,1,-1)</f>
        <v>1</v>
      </c>
      <c r="R509" s="22">
        <v>29306</v>
      </c>
      <c r="S509" s="3">
        <f>+IF(Tabla13[[#This Row],[Ingresado USD]]&gt;0,1,-1)</f>
        <v>1</v>
      </c>
      <c r="T509" s="78">
        <v>45261</v>
      </c>
      <c r="U509" s="22">
        <v>27377</v>
      </c>
    </row>
    <row r="510" spans="1:22" ht="12" hidden="1" x14ac:dyDescent="0.2">
      <c r="A510" s="3">
        <v>509</v>
      </c>
      <c r="B510" s="3" t="s">
        <v>68</v>
      </c>
      <c r="C51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Mosaic_Cajati</v>
      </c>
      <c r="D510" s="3" t="s">
        <v>4</v>
      </c>
      <c r="E510" s="3" t="s">
        <v>236</v>
      </c>
      <c r="F510" s="3" t="s">
        <v>235</v>
      </c>
      <c r="G510" s="3">
        <v>2023</v>
      </c>
      <c r="H510" s="3">
        <f>+IF(Tabla13[[#This Row],[Proyectado USD]]&gt;0,1,-1)</f>
        <v>1</v>
      </c>
      <c r="I510" s="15">
        <v>45200</v>
      </c>
      <c r="J510" s="24">
        <v>103661</v>
      </c>
      <c r="K510" s="3">
        <f>+IF(Tabla13[[#This Row],[Emitido USD]]&gt;0,1,-1)</f>
        <v>1</v>
      </c>
      <c r="L510" s="73">
        <v>45222</v>
      </c>
      <c r="M510" s="40">
        <v>13</v>
      </c>
      <c r="N510" s="22">
        <v>23474</v>
      </c>
      <c r="O510" s="41">
        <v>14</v>
      </c>
      <c r="P510" s="80">
        <v>45238</v>
      </c>
      <c r="Q510" s="3">
        <f>+IF(Tabla13[[#This Row],[Facturado USD]]&gt;0,1,-1)</f>
        <v>1</v>
      </c>
      <c r="R510" s="39">
        <v>22142</v>
      </c>
      <c r="S510" s="3">
        <f>+IF(Tabla13[[#This Row],[Ingresado USD]]&gt;0,1,-1)</f>
        <v>1</v>
      </c>
      <c r="T510" s="83">
        <v>45298</v>
      </c>
      <c r="U510" s="39">
        <v>22589</v>
      </c>
    </row>
    <row r="511" spans="1:22" ht="12" hidden="1" x14ac:dyDescent="0.2">
      <c r="A511" s="3">
        <v>510</v>
      </c>
      <c r="B511" s="3" t="s">
        <v>68</v>
      </c>
      <c r="C51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Mosaic_Cajati</v>
      </c>
      <c r="D511" s="3" t="s">
        <v>4</v>
      </c>
      <c r="E511" s="3" t="s">
        <v>236</v>
      </c>
      <c r="F511" s="3" t="s">
        <v>235</v>
      </c>
      <c r="G511" s="3">
        <v>2023</v>
      </c>
      <c r="H511" s="3">
        <f>+IF(Tabla13[[#This Row],[Proyectado USD]]&gt;0,1,-1)</f>
        <v>1</v>
      </c>
      <c r="I511" s="15">
        <v>45231</v>
      </c>
      <c r="J511" s="21">
        <v>175963.60080000001</v>
      </c>
      <c r="K511" s="3">
        <f>+IF(Tabla13[[#This Row],[Emitido USD]]&gt;0,1,-1)</f>
        <v>1</v>
      </c>
      <c r="L511" s="73">
        <v>45250</v>
      </c>
      <c r="M511" s="34">
        <v>14</v>
      </c>
      <c r="N511" s="22">
        <v>103264</v>
      </c>
      <c r="O511" s="20">
        <v>16</v>
      </c>
      <c r="P511" s="76">
        <v>45261</v>
      </c>
      <c r="Q511" s="3">
        <f>+IF(Tabla13[[#This Row],[Facturado USD]]&gt;0,1,-1)</f>
        <v>1</v>
      </c>
      <c r="R511" s="22">
        <v>100293</v>
      </c>
      <c r="S511" s="3">
        <f>+IF(Tabla13[[#This Row],[Ingresado USD]]&gt;0,1,-1)</f>
        <v>1</v>
      </c>
      <c r="T511" s="78">
        <v>45322</v>
      </c>
      <c r="U511" s="22">
        <v>96993</v>
      </c>
    </row>
    <row r="512" spans="1:22" ht="12" hidden="1" x14ac:dyDescent="0.2">
      <c r="A512" s="3">
        <v>511</v>
      </c>
      <c r="B512" s="3" t="s">
        <v>68</v>
      </c>
      <c r="C51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Mosaic_Cajati</v>
      </c>
      <c r="D512" s="3" t="s">
        <v>4</v>
      </c>
      <c r="E512" s="3" t="s">
        <v>236</v>
      </c>
      <c r="F512" s="3" t="s">
        <v>235</v>
      </c>
      <c r="G512" s="3">
        <v>2023</v>
      </c>
      <c r="H512" s="3">
        <f>+IF(Tabla13[[#This Row],[Proyectado USD]]&gt;0,1,-1)</f>
        <v>1</v>
      </c>
      <c r="I512" s="15">
        <v>45261</v>
      </c>
      <c r="J512" s="21">
        <v>188102</v>
      </c>
      <c r="K512" s="3">
        <f>+IF(Tabla13[[#This Row],[Emitido USD]]&gt;0,1,-1)</f>
        <v>1</v>
      </c>
      <c r="L512" s="73">
        <v>45281</v>
      </c>
      <c r="M512" s="3">
        <v>15</v>
      </c>
      <c r="N512" s="22">
        <v>36224</v>
      </c>
      <c r="O512" s="6">
        <v>19</v>
      </c>
      <c r="P512" s="76">
        <v>45272</v>
      </c>
      <c r="Q512" s="3">
        <f>+IF(Tabla13[[#This Row],[Facturado USD]]&gt;0,1,-1)</f>
        <v>1</v>
      </c>
      <c r="R512" s="22">
        <v>33481.699999999997</v>
      </c>
      <c r="S512" s="3">
        <f>+IF(Tabla13[[#This Row],[Ingresado USD]]&gt;0,1,-1)</f>
        <v>1</v>
      </c>
      <c r="T512" s="78">
        <v>45329</v>
      </c>
      <c r="U512" s="22">
        <v>34165</v>
      </c>
    </row>
    <row r="513" spans="1:22" ht="12" hidden="1" x14ac:dyDescent="0.2">
      <c r="A513" s="3">
        <v>512</v>
      </c>
      <c r="B513" s="3" t="s">
        <v>68</v>
      </c>
      <c r="C51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Mosaic_Cajati</v>
      </c>
      <c r="D513" s="3" t="s">
        <v>4</v>
      </c>
      <c r="E513" s="3" t="s">
        <v>236</v>
      </c>
      <c r="F513" s="3" t="s">
        <v>235</v>
      </c>
      <c r="G513" s="3">
        <v>2023</v>
      </c>
      <c r="H513" s="3">
        <f>+IF(Tabla13[[#This Row],[Proyectado USD]]&gt;0,1,-1)</f>
        <v>-1</v>
      </c>
      <c r="I513" s="15">
        <v>45275</v>
      </c>
      <c r="J513" s="21">
        <v>0</v>
      </c>
      <c r="K513" s="3">
        <f>+IF(Tabla13[[#This Row],[Emitido USD]]&gt;0,1,-1)</f>
        <v>1</v>
      </c>
      <c r="L513" s="73">
        <v>45289</v>
      </c>
      <c r="M513" s="3">
        <v>16</v>
      </c>
      <c r="N513" s="22">
        <v>11989</v>
      </c>
      <c r="O513" s="6">
        <v>23</v>
      </c>
      <c r="P513" s="76">
        <v>45292</v>
      </c>
      <c r="Q513" s="3">
        <f>+IF(Tabla13[[#This Row],[Facturado USD]]&gt;0,1,-1)</f>
        <v>1</v>
      </c>
      <c r="R513" s="22">
        <v>11081.13</v>
      </c>
      <c r="S513" s="3">
        <f>+IF(Tabla13[[#This Row],[Ingresado USD]]&gt;0,1,-1)</f>
        <v>1</v>
      </c>
      <c r="T513" s="78">
        <v>45354</v>
      </c>
      <c r="U513" s="22">
        <v>11307.28</v>
      </c>
    </row>
    <row r="514" spans="1:22" ht="12" hidden="1" x14ac:dyDescent="0.2">
      <c r="A514" s="3">
        <v>513</v>
      </c>
      <c r="B514" s="3" t="s">
        <v>68</v>
      </c>
      <c r="C51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Mosaic_Cajati</v>
      </c>
      <c r="D514" s="3" t="s">
        <v>4</v>
      </c>
      <c r="E514" s="3" t="s">
        <v>236</v>
      </c>
      <c r="F514" s="3" t="s">
        <v>235</v>
      </c>
      <c r="G514" s="3">
        <v>2024</v>
      </c>
      <c r="H514" s="3">
        <f>+IF(Tabla13[[#This Row],[Proyectado USD]]&gt;0,1,-1)</f>
        <v>1</v>
      </c>
      <c r="I514" s="15">
        <v>45292</v>
      </c>
      <c r="J514" s="49">
        <v>20000</v>
      </c>
      <c r="K514" s="3">
        <f>+IF(Tabla13[[#This Row],[Emitido USD]]&gt;0,1,-1)</f>
        <v>1</v>
      </c>
      <c r="L514" s="73">
        <v>45311</v>
      </c>
      <c r="M514" s="3">
        <v>17</v>
      </c>
      <c r="N514" s="22">
        <v>11822</v>
      </c>
      <c r="O514" s="6">
        <v>25</v>
      </c>
      <c r="P514" s="76">
        <v>45324</v>
      </c>
      <c r="Q514" s="3">
        <f>+IF(Tabla13[[#This Row],[Facturado USD]]&gt;0,1,-1)</f>
        <v>1</v>
      </c>
      <c r="R514" s="22">
        <v>11094</v>
      </c>
      <c r="S514" s="3">
        <f>+IF(Tabla13[[#This Row],[Ingresado USD]]&gt;0,1,-1)</f>
        <v>1</v>
      </c>
      <c r="T514" s="82">
        <v>45384</v>
      </c>
      <c r="U514" s="22">
        <v>11094</v>
      </c>
    </row>
    <row r="515" spans="1:22" ht="12" hidden="1" x14ac:dyDescent="0.2">
      <c r="A515" s="3">
        <v>514</v>
      </c>
      <c r="B515" s="3" t="s">
        <v>68</v>
      </c>
      <c r="C51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Mosaic_Cajati</v>
      </c>
      <c r="D515" s="3" t="s">
        <v>4</v>
      </c>
      <c r="E515" s="3" t="s">
        <v>236</v>
      </c>
      <c r="F515" s="3" t="s">
        <v>235</v>
      </c>
      <c r="G515" s="3">
        <v>2024</v>
      </c>
      <c r="H515" s="3">
        <f>+IF(Tabla13[[#This Row],[Proyectado USD]]&gt;0,1,-1)</f>
        <v>1</v>
      </c>
      <c r="I515" s="15">
        <v>45323</v>
      </c>
      <c r="J515" s="49">
        <v>40000</v>
      </c>
      <c r="K515" s="3">
        <f>+IF(Tabla13[[#This Row],[Emitido USD]]&gt;0,1,-1)</f>
        <v>1</v>
      </c>
      <c r="L515" s="73">
        <v>45342</v>
      </c>
      <c r="M515" s="3">
        <v>18</v>
      </c>
      <c r="N515" s="22">
        <v>42124</v>
      </c>
      <c r="O515" s="6">
        <v>33</v>
      </c>
      <c r="P515" s="76">
        <v>45375</v>
      </c>
      <c r="Q515" s="3">
        <f>+IF(Tabla13[[#This Row],[Facturado USD]]&gt;0,1,-1)</f>
        <v>1</v>
      </c>
      <c r="R515" s="22">
        <v>39532.92</v>
      </c>
      <c r="S515" s="3">
        <f>+IF(Tabla13[[#This Row],[Ingresado USD]]&gt;0,1,-1)</f>
        <v>1</v>
      </c>
      <c r="T515" s="78">
        <v>45436</v>
      </c>
      <c r="U515" s="52">
        <v>39533</v>
      </c>
    </row>
    <row r="516" spans="1:22" ht="12" hidden="1" x14ac:dyDescent="0.2">
      <c r="A516" s="3">
        <v>515</v>
      </c>
      <c r="B516" s="3" t="s">
        <v>68</v>
      </c>
      <c r="C51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Mosaic_Cajati</v>
      </c>
      <c r="D516" s="3" t="s">
        <v>4</v>
      </c>
      <c r="E516" s="3" t="s">
        <v>236</v>
      </c>
      <c r="F516" s="3" t="s">
        <v>235</v>
      </c>
      <c r="G516" s="3">
        <v>2024</v>
      </c>
      <c r="H516" s="3">
        <f>+IF(Tabla13[[#This Row],[Proyectado USD]]&gt;0,1,-1)</f>
        <v>1</v>
      </c>
      <c r="I516" s="15">
        <v>45352</v>
      </c>
      <c r="J516" s="49">
        <v>127854</v>
      </c>
      <c r="K516" s="3">
        <f>+IF(Tabla13[[#This Row],[Emitido USD]]&gt;0,1,-1)</f>
        <v>1</v>
      </c>
      <c r="L516" s="73">
        <v>45371</v>
      </c>
      <c r="M516" s="3">
        <v>19</v>
      </c>
      <c r="N516" s="50">
        <v>186908</v>
      </c>
      <c r="O516" s="6">
        <v>34</v>
      </c>
      <c r="P516" s="76">
        <v>45382</v>
      </c>
      <c r="Q516" s="3">
        <f>+IF(Tabla13[[#This Row],[Facturado USD]]&gt;0,1,-1)</f>
        <v>1</v>
      </c>
      <c r="R516" s="22">
        <v>172280.11</v>
      </c>
      <c r="S516" s="3">
        <f>+IF(Tabla13[[#This Row],[Ingresado USD]]&gt;0,1,-1)</f>
        <v>1</v>
      </c>
      <c r="T516" s="78">
        <v>45443</v>
      </c>
      <c r="U516" s="52">
        <v>172280.11</v>
      </c>
    </row>
    <row r="517" spans="1:22" ht="12" hidden="1" x14ac:dyDescent="0.2">
      <c r="A517" s="3">
        <v>516</v>
      </c>
      <c r="B517" s="3" t="s">
        <v>68</v>
      </c>
      <c r="C51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Mosaic_Cajati</v>
      </c>
      <c r="D517" s="3" t="s">
        <v>4</v>
      </c>
      <c r="E517" s="3" t="s">
        <v>236</v>
      </c>
      <c r="F517" s="3" t="s">
        <v>235</v>
      </c>
      <c r="G517" s="3">
        <v>2024</v>
      </c>
      <c r="H517" s="3">
        <f>+IF(Tabla13[[#This Row],[Proyectado USD]]&gt;0,1,-1)</f>
        <v>1</v>
      </c>
      <c r="I517" s="15">
        <v>45383</v>
      </c>
      <c r="J517" s="21">
        <v>25112</v>
      </c>
      <c r="K517" s="3">
        <f>+IF(Tabla13[[#This Row],[Emitido USD]]&gt;0,1,-1)</f>
        <v>1</v>
      </c>
      <c r="L517" s="73">
        <v>45402</v>
      </c>
      <c r="M517" s="3">
        <v>20</v>
      </c>
      <c r="N517" s="22">
        <v>22215</v>
      </c>
      <c r="O517" s="6">
        <v>35</v>
      </c>
      <c r="P517" s="76">
        <v>45434</v>
      </c>
      <c r="Q517" s="3">
        <f>+IF(Tabla13[[#This Row],[Facturado USD]]&gt;0,1,-1)</f>
        <v>1</v>
      </c>
      <c r="R517" s="22">
        <v>20440</v>
      </c>
      <c r="S517" s="3">
        <f>+IF(Tabla13[[#This Row],[Ingresado USD]]&gt;0,1,-1)</f>
        <v>1</v>
      </c>
      <c r="T517" s="78">
        <v>45495</v>
      </c>
      <c r="U517" s="22">
        <v>20440</v>
      </c>
    </row>
    <row r="518" spans="1:22" ht="12" hidden="1" x14ac:dyDescent="0.2">
      <c r="A518" s="3">
        <v>517</v>
      </c>
      <c r="B518" s="3" t="s">
        <v>68</v>
      </c>
      <c r="C51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Mosaic_Cajati</v>
      </c>
      <c r="D518" s="3" t="s">
        <v>4</v>
      </c>
      <c r="E518" s="3" t="s">
        <v>236</v>
      </c>
      <c r="F518" s="3" t="s">
        <v>235</v>
      </c>
      <c r="G518" s="3">
        <v>2024</v>
      </c>
      <c r="H518" s="3">
        <f>+IF(Tabla13[[#This Row],[Proyectado USD]]&gt;0,1,-1)</f>
        <v>-1</v>
      </c>
      <c r="I518" s="15"/>
      <c r="J518" s="21"/>
      <c r="K518" s="3">
        <f>+IF(Tabla13[[#This Row],[Emitido USD]]&gt;0,1,-1)</f>
        <v>1</v>
      </c>
      <c r="L518" s="73">
        <v>45498</v>
      </c>
      <c r="M518" s="3">
        <v>21</v>
      </c>
      <c r="N518" s="22">
        <v>12694</v>
      </c>
      <c r="O518" s="6">
        <v>45</v>
      </c>
      <c r="P518" s="76">
        <v>45540</v>
      </c>
      <c r="Q518" s="3">
        <f>+IF(Tabla13[[#This Row],[Facturado USD]]&gt;0,1,-1)</f>
        <v>1</v>
      </c>
      <c r="R518" s="22">
        <v>11239</v>
      </c>
      <c r="S518" s="3">
        <f>+IF(Tabla13[[#This Row],[Ingresado USD]]&gt;0,1,-1)</f>
        <v>1</v>
      </c>
      <c r="T518" s="78">
        <v>45630</v>
      </c>
      <c r="U518" s="22">
        <v>9927.7099999999991</v>
      </c>
    </row>
    <row r="519" spans="1:22" ht="12" hidden="1" x14ac:dyDescent="0.2">
      <c r="A519" s="3">
        <v>518</v>
      </c>
      <c r="B519" s="3" t="s">
        <v>68</v>
      </c>
      <c r="C51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Mosaic_Cajati</v>
      </c>
      <c r="D519" s="3" t="s">
        <v>237</v>
      </c>
      <c r="E519" s="3" t="s">
        <v>236</v>
      </c>
      <c r="F519" s="3" t="s">
        <v>235</v>
      </c>
      <c r="G519" s="3">
        <v>2024</v>
      </c>
      <c r="H519" s="3">
        <f>+IF(Tabla13[[#This Row],[Proyectado USD]]&gt;0,1,-1)</f>
        <v>-1</v>
      </c>
      <c r="I519" s="15">
        <v>45292</v>
      </c>
      <c r="J519" s="21">
        <v>0</v>
      </c>
      <c r="K519" s="3">
        <f>+IF(Tabla13[[#This Row],[Emitido USD]]&gt;0,1,-1)</f>
        <v>1</v>
      </c>
      <c r="L519" s="73">
        <v>45311</v>
      </c>
      <c r="M519" s="3">
        <v>1</v>
      </c>
      <c r="N519" s="22">
        <v>19641</v>
      </c>
      <c r="O519" s="6">
        <v>31</v>
      </c>
      <c r="P519" s="76">
        <v>45371</v>
      </c>
      <c r="Q519" s="3">
        <f>+IF(Tabla13[[#This Row],[Facturado USD]]&gt;0,1,-1)</f>
        <v>1</v>
      </c>
      <c r="R519" s="22">
        <v>18697.22</v>
      </c>
      <c r="S519" s="3">
        <f>+IF(Tabla13[[#This Row],[Ingresado USD]]&gt;0,1,-1)</f>
        <v>1</v>
      </c>
      <c r="T519" s="78">
        <v>45431</v>
      </c>
      <c r="U519" s="52">
        <v>18697</v>
      </c>
    </row>
    <row r="520" spans="1:22" ht="12" hidden="1" x14ac:dyDescent="0.2">
      <c r="A520" s="3">
        <v>519</v>
      </c>
      <c r="B520" s="3" t="s">
        <v>68</v>
      </c>
      <c r="C52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Mosaic_Cajati</v>
      </c>
      <c r="D520" s="3" t="s">
        <v>237</v>
      </c>
      <c r="E520" s="3" t="s">
        <v>236</v>
      </c>
      <c r="F520" s="3" t="s">
        <v>235</v>
      </c>
      <c r="G520" s="3">
        <v>2024</v>
      </c>
      <c r="H520" s="3">
        <f>+IF(Tabla13[[#This Row],[Proyectado USD]]&gt;0,1,-1)</f>
        <v>-1</v>
      </c>
      <c r="I520" s="15">
        <v>45323</v>
      </c>
      <c r="J520" s="21">
        <v>0</v>
      </c>
      <c r="K520" s="3">
        <f>+IF(Tabla13[[#This Row],[Emitido USD]]&gt;0,1,-1)</f>
        <v>1</v>
      </c>
      <c r="L520" s="73">
        <v>45342</v>
      </c>
      <c r="M520" s="3">
        <v>2</v>
      </c>
      <c r="N520" s="22">
        <v>29998</v>
      </c>
      <c r="O520" s="6">
        <v>32</v>
      </c>
      <c r="P520" s="76">
        <v>45371</v>
      </c>
      <c r="Q520" s="3">
        <f>+IF(Tabla13[[#This Row],[Facturado USD]]&gt;0,1,-1)</f>
        <v>1</v>
      </c>
      <c r="R520" s="22">
        <v>23210.240000000002</v>
      </c>
      <c r="S520" s="3">
        <f>+IF(Tabla13[[#This Row],[Ingresado USD]]&gt;0,1,-1)</f>
        <v>1</v>
      </c>
      <c r="T520" s="78">
        <v>45431</v>
      </c>
      <c r="U520" s="52">
        <v>23210.240000000002</v>
      </c>
    </row>
    <row r="521" spans="1:22" ht="12" hidden="1" x14ac:dyDescent="0.2">
      <c r="A521" s="3">
        <v>520</v>
      </c>
      <c r="B521" s="3" t="s">
        <v>68</v>
      </c>
      <c r="C52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Mosaic_Cajati</v>
      </c>
      <c r="D521" s="3" t="s">
        <v>237</v>
      </c>
      <c r="E521" s="3" t="s">
        <v>236</v>
      </c>
      <c r="F521" s="3" t="s">
        <v>235</v>
      </c>
      <c r="G521" s="3">
        <v>2024</v>
      </c>
      <c r="H521" s="3">
        <f>+IF(Tabla13[[#This Row],[Proyectado USD]]&gt;0,1,-1)</f>
        <v>-1</v>
      </c>
      <c r="I521" s="15">
        <v>45352</v>
      </c>
      <c r="J521" s="21">
        <v>0</v>
      </c>
      <c r="K521" s="3">
        <f>+IF(Tabla13[[#This Row],[Emitido USD]]&gt;0,1,-1)</f>
        <v>1</v>
      </c>
      <c r="L521" s="73">
        <v>45371</v>
      </c>
      <c r="M521" s="3">
        <v>3</v>
      </c>
      <c r="N521" s="52">
        <v>11425</v>
      </c>
      <c r="O521" s="6">
        <v>36</v>
      </c>
      <c r="P521" s="76">
        <v>45446</v>
      </c>
      <c r="Q521" s="3">
        <f>+IF(Tabla13[[#This Row],[Facturado USD]]&gt;0,1,-1)</f>
        <v>1</v>
      </c>
      <c r="R521" s="22">
        <v>10960.4</v>
      </c>
      <c r="S521" s="3">
        <f>+IF(Tabla13[[#This Row],[Ingresado USD]]&gt;0,1,-1)</f>
        <v>1</v>
      </c>
      <c r="T521" s="78">
        <v>45506</v>
      </c>
      <c r="U521" s="22">
        <v>10133.24</v>
      </c>
    </row>
    <row r="522" spans="1:22" ht="12" hidden="1" x14ac:dyDescent="0.2">
      <c r="A522" s="3">
        <v>521</v>
      </c>
      <c r="B522" s="3" t="s">
        <v>68</v>
      </c>
      <c r="C52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Mosaic_Cajati</v>
      </c>
      <c r="D522" s="3" t="s">
        <v>237</v>
      </c>
      <c r="E522" s="3" t="s">
        <v>236</v>
      </c>
      <c r="F522" s="3" t="s">
        <v>235</v>
      </c>
      <c r="G522" s="3">
        <v>2024</v>
      </c>
      <c r="H522" s="3">
        <f>+IF(Tabla13[[#This Row],[Proyectado USD]]&gt;0,1,-1)</f>
        <v>-1</v>
      </c>
      <c r="I522" s="15">
        <v>45383</v>
      </c>
      <c r="J522" s="21">
        <v>0</v>
      </c>
      <c r="K522" s="3">
        <f>+IF(Tabla13[[#This Row],[Emitido USD]]&gt;0,1,-1)</f>
        <v>1</v>
      </c>
      <c r="L522" s="73">
        <v>45402</v>
      </c>
      <c r="M522" s="3">
        <v>4</v>
      </c>
      <c r="N522" s="52">
        <v>9425</v>
      </c>
      <c r="O522" s="6">
        <v>37</v>
      </c>
      <c r="P522" s="76">
        <v>45446</v>
      </c>
      <c r="Q522" s="3">
        <f>+IF(Tabla13[[#This Row],[Facturado USD]]&gt;0,1,-1)</f>
        <v>1</v>
      </c>
      <c r="R522" s="22">
        <v>9026.25</v>
      </c>
      <c r="S522" s="3">
        <f>+IF(Tabla13[[#This Row],[Ingresado USD]]&gt;0,1,-1)</f>
        <v>1</v>
      </c>
      <c r="T522" s="78">
        <v>45506</v>
      </c>
      <c r="U522" s="22">
        <v>8345</v>
      </c>
    </row>
    <row r="523" spans="1:22" ht="12" hidden="1" x14ac:dyDescent="0.2">
      <c r="A523" s="3">
        <v>522</v>
      </c>
      <c r="B523" s="3" t="s">
        <v>68</v>
      </c>
      <c r="C52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Mosaic_Cajati</v>
      </c>
      <c r="D523" s="3" t="s">
        <v>237</v>
      </c>
      <c r="E523" s="3" t="s">
        <v>236</v>
      </c>
      <c r="F523" s="3" t="s">
        <v>235</v>
      </c>
      <c r="G523" s="3">
        <v>2024</v>
      </c>
      <c r="H523" s="3">
        <f>+IF(Tabla13[[#This Row],[Proyectado USD]]&gt;0,1,-1)</f>
        <v>-1</v>
      </c>
      <c r="I523" s="15"/>
      <c r="J523" s="21"/>
      <c r="K523" s="3">
        <f>+IF(Tabla13[[#This Row],[Emitido USD]]&gt;0,1,-1)</f>
        <v>1</v>
      </c>
      <c r="L523" s="73">
        <v>45498</v>
      </c>
      <c r="M523" s="3">
        <v>5</v>
      </c>
      <c r="N523" s="22">
        <v>2748</v>
      </c>
      <c r="O523" s="6">
        <v>41</v>
      </c>
      <c r="P523" s="76">
        <v>45498</v>
      </c>
      <c r="Q523" s="3">
        <f>+IF(Tabla13[[#This Row],[Facturado USD]]&gt;0,1,-1)</f>
        <v>1</v>
      </c>
      <c r="R523" s="22">
        <v>2384</v>
      </c>
      <c r="S523" s="3">
        <f>+IF(Tabla13[[#This Row],[Ingresado USD]]&gt;0,1,-1)</f>
        <v>1</v>
      </c>
      <c r="T523" s="78">
        <v>45588</v>
      </c>
      <c r="U523" s="22">
        <v>2213</v>
      </c>
    </row>
    <row r="524" spans="1:22" ht="12" hidden="1" x14ac:dyDescent="0.2">
      <c r="A524" s="3">
        <v>523</v>
      </c>
      <c r="B524" s="3" t="s">
        <v>244</v>
      </c>
      <c r="C52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Mosaic_Cajati Business Case</v>
      </c>
      <c r="D524" s="3" t="s">
        <v>227</v>
      </c>
      <c r="E524" s="3" t="s">
        <v>236</v>
      </c>
      <c r="F524" s="3" t="s">
        <v>235</v>
      </c>
      <c r="G524" s="3">
        <v>2025</v>
      </c>
      <c r="H524" s="3">
        <f>+IF(Tabla13[[#This Row],[Proyectado USD]]&gt;0,1,-1)</f>
        <v>-1</v>
      </c>
      <c r="I524" s="15"/>
      <c r="J524" s="21"/>
      <c r="K524" s="3">
        <f>+IF(Tabla13[[#This Row],[Emitido USD]]&gt;0,1,-1)</f>
        <v>1</v>
      </c>
      <c r="L524" s="73">
        <v>45768</v>
      </c>
      <c r="M524" s="3">
        <v>22</v>
      </c>
      <c r="N524" s="22">
        <v>32268</v>
      </c>
      <c r="O524" s="6">
        <v>70</v>
      </c>
      <c r="P524" s="76">
        <v>45826</v>
      </c>
      <c r="Q524" s="3">
        <f>+IF(Tabla13[[#This Row],[Facturado USD]]&gt;0,1,-1)</f>
        <v>1</v>
      </c>
      <c r="R524" s="22">
        <v>32454</v>
      </c>
      <c r="S524" s="3">
        <f>+IF(Tabla13[[#This Row],[Ingresado USD]]&gt;0,1,-1)</f>
        <v>1</v>
      </c>
      <c r="T524" s="78">
        <v>45918</v>
      </c>
      <c r="U524" s="22">
        <v>35729.724770642199</v>
      </c>
      <c r="V524" s="29"/>
    </row>
    <row r="525" spans="1:22" ht="12" hidden="1" x14ac:dyDescent="0.2">
      <c r="A525" s="3">
        <v>524</v>
      </c>
      <c r="B525" s="3" t="s">
        <v>244</v>
      </c>
      <c r="C52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Mosaic_Cajati Business Case</v>
      </c>
      <c r="D525" s="3" t="s">
        <v>227</v>
      </c>
      <c r="E525" s="3" t="s">
        <v>236</v>
      </c>
      <c r="F525" s="3" t="s">
        <v>235</v>
      </c>
      <c r="G525" s="3">
        <v>2025</v>
      </c>
      <c r="H525" s="3">
        <f>+IF(Tabla13[[#This Row],[Proyectado USD]]&gt;0,1,-1)</f>
        <v>-1</v>
      </c>
      <c r="I525" s="15"/>
      <c r="J525" s="21"/>
      <c r="K525" s="3">
        <f>+IF(Tabla13[[#This Row],[Emitido USD]]&gt;0,1,-1)</f>
        <v>1</v>
      </c>
      <c r="L525" s="73">
        <v>45798</v>
      </c>
      <c r="M525" s="3">
        <v>23</v>
      </c>
      <c r="N525" s="22">
        <v>39074</v>
      </c>
      <c r="O525" s="6">
        <v>71</v>
      </c>
      <c r="P525" s="76">
        <v>45826</v>
      </c>
      <c r="Q525" s="3">
        <f>+IF(Tabla13[[#This Row],[Facturado USD]]&gt;0,1,-1)</f>
        <v>1</v>
      </c>
      <c r="R525" s="22">
        <v>34963</v>
      </c>
      <c r="S525" s="3">
        <f>+IF(Tabla13[[#This Row],[Ingresado USD]]&gt;0,1,-1)</f>
        <v>1</v>
      </c>
      <c r="T525" s="78">
        <v>45918</v>
      </c>
      <c r="U525" s="22">
        <v>38491.192660550456</v>
      </c>
      <c r="V525" s="29"/>
    </row>
    <row r="526" spans="1:22" ht="12" hidden="1" x14ac:dyDescent="0.2">
      <c r="A526" s="3">
        <v>525</v>
      </c>
      <c r="B526" s="3" t="s">
        <v>244</v>
      </c>
      <c r="C52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Mosaic_Cajati Business Case</v>
      </c>
      <c r="D526" s="3" t="s">
        <v>227</v>
      </c>
      <c r="E526" s="3" t="s">
        <v>236</v>
      </c>
      <c r="F526" s="3" t="s">
        <v>235</v>
      </c>
      <c r="G526" s="3">
        <v>2025</v>
      </c>
      <c r="H526" s="3">
        <f>+IF(Tabla13[[#This Row],[Proyectado USD]]&gt;0,1,-1)</f>
        <v>-1</v>
      </c>
      <c r="I526" s="15"/>
      <c r="J526" s="21"/>
      <c r="K526" s="3">
        <f>+IF(Tabla13[[#This Row],[Emitido USD]]&gt;0,1,-1)</f>
        <v>1</v>
      </c>
      <c r="L526" s="73">
        <v>45829</v>
      </c>
      <c r="M526" s="3">
        <v>24</v>
      </c>
      <c r="N526" s="22">
        <v>38732</v>
      </c>
      <c r="O526" s="6">
        <v>75</v>
      </c>
      <c r="P526" s="76">
        <v>45847</v>
      </c>
      <c r="Q526" s="3">
        <f>+IF(Tabla13[[#This Row],[Facturado USD]]&gt;0,1,-1)</f>
        <v>1</v>
      </c>
      <c r="R526" s="22">
        <v>38732</v>
      </c>
      <c r="S526" s="3">
        <f>+IF(Tabla13[[#This Row],[Ingresado USD]]&gt;0,1,-1)</f>
        <v>1</v>
      </c>
      <c r="T526" s="78">
        <v>45937</v>
      </c>
      <c r="U526" s="22">
        <v>37011</v>
      </c>
      <c r="V526" s="29"/>
    </row>
    <row r="527" spans="1:22" ht="12" hidden="1" x14ac:dyDescent="0.2">
      <c r="A527" s="3">
        <v>526</v>
      </c>
      <c r="B527" s="3" t="s">
        <v>244</v>
      </c>
      <c r="C52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Mosaic_Cajati Business Case</v>
      </c>
      <c r="D527" s="3" t="s">
        <v>227</v>
      </c>
      <c r="E527" s="3" t="s">
        <v>236</v>
      </c>
      <c r="F527" s="3" t="s">
        <v>235</v>
      </c>
      <c r="G527" s="3">
        <v>2025</v>
      </c>
      <c r="H527" s="3">
        <f>+IF(Tabla13[[#This Row],[Proyectado USD]]&gt;0,1,-1)</f>
        <v>-1</v>
      </c>
      <c r="I527" s="15"/>
      <c r="J527" s="21"/>
      <c r="K527" s="3">
        <f>+IF(Tabla13[[#This Row],[Emitido USD]]&gt;0,1,-1)</f>
        <v>1</v>
      </c>
      <c r="L527" s="73">
        <v>45853</v>
      </c>
      <c r="M527" s="3">
        <v>25</v>
      </c>
      <c r="N527" s="22">
        <v>22700</v>
      </c>
      <c r="O527" s="6">
        <v>80</v>
      </c>
      <c r="P527" s="76">
        <v>45860</v>
      </c>
      <c r="Q527" s="3">
        <f>+IF(Tabla13[[#This Row],[Facturado USD]]&gt;0,1,-1)</f>
        <v>1</v>
      </c>
      <c r="R527" s="22">
        <v>22700</v>
      </c>
      <c r="S527" s="3">
        <f>+IF(Tabla13[[#This Row],[Ingresado USD]]&gt;0,1,-1)</f>
        <v>1</v>
      </c>
      <c r="T527" s="78">
        <v>45950</v>
      </c>
      <c r="U527" s="22">
        <v>22524.814814814814</v>
      </c>
      <c r="V527" s="29"/>
    </row>
    <row r="528" spans="1:22" ht="12" hidden="1" x14ac:dyDescent="0.2">
      <c r="A528" s="3">
        <v>527</v>
      </c>
      <c r="B528" s="3" t="s">
        <v>244</v>
      </c>
      <c r="C52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Mosaic_Cajati Business Case</v>
      </c>
      <c r="D528" s="3" t="s">
        <v>227</v>
      </c>
      <c r="E528" s="3" t="s">
        <v>236</v>
      </c>
      <c r="F528" s="3" t="s">
        <v>235</v>
      </c>
      <c r="G528" s="3">
        <v>2025</v>
      </c>
      <c r="H528" s="3">
        <f>+IF(Tabla13[[#This Row],[Proyectado USD]]&gt;0,1,-1)</f>
        <v>-1</v>
      </c>
      <c r="I528" s="15"/>
      <c r="J528" s="21"/>
      <c r="K528" s="3">
        <f>+IF(Tabla13[[#This Row],[Emitido USD]]&gt;0,1,-1)</f>
        <v>1</v>
      </c>
      <c r="L528" s="73">
        <v>45889</v>
      </c>
      <c r="M528" s="3">
        <v>26</v>
      </c>
      <c r="N528" s="22">
        <v>15161</v>
      </c>
      <c r="O528" s="6">
        <v>87</v>
      </c>
      <c r="P528" s="76">
        <v>45891</v>
      </c>
      <c r="Q528" s="3">
        <f>+IF(Tabla13[[#This Row],[Facturado USD]]&gt;0,1,-1)</f>
        <v>1</v>
      </c>
      <c r="R528" s="22">
        <v>15265</v>
      </c>
      <c r="S528" s="3">
        <f>+IF(Tabla13[[#This Row],[Ingresado USD]]&gt;0,1,-1)</f>
        <v>1</v>
      </c>
      <c r="T528" s="78">
        <v>45982</v>
      </c>
      <c r="U528" s="22">
        <v>14517</v>
      </c>
      <c r="V528" s="29"/>
    </row>
    <row r="529" spans="1:21" ht="12" hidden="1" x14ac:dyDescent="0.2">
      <c r="A529" s="3">
        <v>351</v>
      </c>
      <c r="B529" s="3" t="s">
        <v>704</v>
      </c>
      <c r="C52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Hochschild_FS Metodos de Minado Tesoro</v>
      </c>
      <c r="D529" s="3" t="s">
        <v>705</v>
      </c>
      <c r="E529" s="3" t="s">
        <v>706</v>
      </c>
      <c r="F529" s="3" t="s">
        <v>318</v>
      </c>
      <c r="G529" s="3">
        <v>2026</v>
      </c>
      <c r="H529" s="3">
        <f>+IF(Tabla13[[#This Row],[Proyectado USD]]&gt;0,1,-1)</f>
        <v>1</v>
      </c>
      <c r="I529" s="15">
        <v>46078</v>
      </c>
      <c r="J529" s="21">
        <v>40594</v>
      </c>
      <c r="K529" s="3">
        <f>+IF(Tabla13[[#This Row],[Emitido USD]]&gt;0,1,-1)</f>
        <v>1</v>
      </c>
      <c r="L529" s="73">
        <v>46078</v>
      </c>
      <c r="M529" s="3">
        <v>2</v>
      </c>
      <c r="N529" s="22">
        <v>40415</v>
      </c>
      <c r="O529" s="6" t="s">
        <v>799</v>
      </c>
      <c r="P529" s="76">
        <v>46132</v>
      </c>
      <c r="Q529" s="3">
        <f>+IF(Tabla13[[#This Row],[Facturado USD]]&gt;0,1,-1)</f>
        <v>1</v>
      </c>
      <c r="R529" s="22">
        <v>40415</v>
      </c>
      <c r="S529" s="3">
        <f>+IF(Tabla13[[#This Row],[Ingresado USD]]&gt;0,1,-1)</f>
        <v>1</v>
      </c>
      <c r="T529" s="78">
        <v>46163</v>
      </c>
      <c r="U529" s="22">
        <v>40415</v>
      </c>
    </row>
    <row r="530" spans="1:21" ht="12" hidden="1" x14ac:dyDescent="0.2">
      <c r="A530" s="3">
        <v>634</v>
      </c>
      <c r="B530" s="3" t="s">
        <v>669</v>
      </c>
      <c r="C53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Resolution_General Review</v>
      </c>
      <c r="D530" s="3" t="s">
        <v>673</v>
      </c>
      <c r="E530" s="3" t="s">
        <v>670</v>
      </c>
      <c r="F530" s="3" t="s">
        <v>469</v>
      </c>
      <c r="G530" s="3">
        <v>2026</v>
      </c>
      <c r="H530" s="3">
        <f>+IF(Tabla13[[#This Row],[Proyectado USD]]&gt;0,1,-1)</f>
        <v>1</v>
      </c>
      <c r="I530" s="15">
        <v>46078</v>
      </c>
      <c r="J530" s="21">
        <v>28836</v>
      </c>
      <c r="K530" s="3">
        <f>+IF(Tabla13[[#This Row],[Emitido USD]]&gt;0,1,-1)</f>
        <v>1</v>
      </c>
      <c r="L530" s="73">
        <v>46078</v>
      </c>
      <c r="M530" s="3">
        <v>5</v>
      </c>
      <c r="N530" s="22">
        <v>6418</v>
      </c>
      <c r="O530" s="6" t="s">
        <v>164</v>
      </c>
      <c r="P530" s="76">
        <v>46078</v>
      </c>
      <c r="Q530" s="3">
        <f>+IF(Tabla13[[#This Row],[Facturado USD]]&gt;0,1,-1)</f>
        <v>1</v>
      </c>
      <c r="R530" s="22">
        <v>6418</v>
      </c>
      <c r="S530" s="3">
        <f>+IF(Tabla13[[#This Row],[Ingresado USD]]&gt;0,1,-1)</f>
        <v>1</v>
      </c>
      <c r="T530" s="78">
        <v>46112</v>
      </c>
      <c r="U530" s="22">
        <v>6418</v>
      </c>
    </row>
    <row r="531" spans="1:21" ht="12" hidden="1" x14ac:dyDescent="0.2">
      <c r="A531" s="3">
        <v>251</v>
      </c>
      <c r="B531" s="3" t="s">
        <v>603</v>
      </c>
      <c r="C53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Codelco_Formulación caso de negocio TBM</v>
      </c>
      <c r="D531" s="3" t="s">
        <v>604</v>
      </c>
      <c r="E531" s="3" t="s">
        <v>291</v>
      </c>
      <c r="F531" s="3" t="s">
        <v>251</v>
      </c>
      <c r="G531" s="3">
        <v>2026</v>
      </c>
      <c r="H531" s="3">
        <f>+IF(Tabla13[[#This Row],[Proyectado USD]]&gt;0,1,-1)</f>
        <v>-1</v>
      </c>
      <c r="I531" s="15"/>
      <c r="J531" s="21"/>
      <c r="K531" s="3">
        <f>+IF(Tabla13[[#This Row],[Emitido USD]]&gt;0,1,-1)</f>
        <v>1</v>
      </c>
      <c r="L531" s="73">
        <v>46077</v>
      </c>
      <c r="M531" s="3">
        <v>4</v>
      </c>
      <c r="N531" s="21">
        <v>17056</v>
      </c>
      <c r="O531" s="6">
        <v>395</v>
      </c>
      <c r="P531" s="76">
        <v>46146</v>
      </c>
      <c r="Q531" s="3">
        <f>+IF(Tabla13[[#This Row],[Facturado USD]]&gt;0,1,-1)</f>
        <v>1</v>
      </c>
      <c r="R531" s="21">
        <v>17056</v>
      </c>
      <c r="S531" s="3">
        <f>+IF(Tabla13[[#This Row],[Ingresado USD]]&gt;0,1,-1)</f>
        <v>1</v>
      </c>
      <c r="T531" s="78">
        <v>46176</v>
      </c>
      <c r="U531" s="21">
        <v>17056</v>
      </c>
    </row>
    <row r="532" spans="1:21" ht="12" hidden="1" x14ac:dyDescent="0.2">
      <c r="A532" s="3">
        <v>531</v>
      </c>
      <c r="B532" s="3" t="s">
        <v>245</v>
      </c>
      <c r="C53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Mosaic_Secuencia Operaciones Cajati</v>
      </c>
      <c r="D532" s="3" t="s">
        <v>210</v>
      </c>
      <c r="E532" s="3" t="s">
        <v>236</v>
      </c>
      <c r="F532" s="3" t="s">
        <v>235</v>
      </c>
      <c r="G532" s="3">
        <v>2024</v>
      </c>
      <c r="H532" s="3">
        <f>+IF(Tabla13[[#This Row],[Proyectado USD]]&gt;0,1,-1)</f>
        <v>-1</v>
      </c>
      <c r="I532" s="15"/>
      <c r="J532" s="21"/>
      <c r="K532" s="3">
        <f>+IF(Tabla13[[#This Row],[Emitido USD]]&gt;0,1,-1)</f>
        <v>1</v>
      </c>
      <c r="L532" s="73">
        <v>45611</v>
      </c>
      <c r="M532" s="3">
        <v>1</v>
      </c>
      <c r="N532" s="22">
        <v>8053</v>
      </c>
      <c r="O532" s="6">
        <v>54</v>
      </c>
      <c r="P532" s="76">
        <v>45637</v>
      </c>
      <c r="Q532" s="3">
        <f>+IF(Tabla13[[#This Row],[Facturado USD]]&gt;0,1,-1)</f>
        <v>1</v>
      </c>
      <c r="R532" s="22">
        <v>7558</v>
      </c>
      <c r="S532" s="3">
        <f>+IF(Tabla13[[#This Row],[Ingresado USD]]&gt;0,1,-1)</f>
        <v>1</v>
      </c>
      <c r="T532" s="78">
        <v>45727</v>
      </c>
      <c r="U532" s="22">
        <v>7054</v>
      </c>
    </row>
    <row r="533" spans="1:21" ht="12" hidden="1" x14ac:dyDescent="0.2">
      <c r="A533" s="3">
        <v>532</v>
      </c>
      <c r="B533" s="3" t="s">
        <v>245</v>
      </c>
      <c r="C53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Mosaic_Secuencia Operaciones Cajati</v>
      </c>
      <c r="D533" s="3" t="s">
        <v>210</v>
      </c>
      <c r="E533" s="3" t="s">
        <v>236</v>
      </c>
      <c r="F533" s="3" t="s">
        <v>235</v>
      </c>
      <c r="G533" s="3">
        <v>2024</v>
      </c>
      <c r="H533" s="3">
        <f>+IF(Tabla13[[#This Row],[Proyectado USD]]&gt;0,1,-1)</f>
        <v>-1</v>
      </c>
      <c r="I533" s="15"/>
      <c r="J533" s="21"/>
      <c r="K533" s="3">
        <f>+IF(Tabla13[[#This Row],[Emitido USD]]&gt;0,1,-1)</f>
        <v>1</v>
      </c>
      <c r="L533" s="73">
        <v>45641</v>
      </c>
      <c r="M533" s="3">
        <v>2</v>
      </c>
      <c r="N533" s="22">
        <v>17461</v>
      </c>
      <c r="O533" s="6">
        <v>57</v>
      </c>
      <c r="P533" s="76">
        <v>45640</v>
      </c>
      <c r="Q533" s="3">
        <f>+IF(Tabla13[[#This Row],[Facturado USD]]&gt;0,1,-1)</f>
        <v>1</v>
      </c>
      <c r="R533" s="22">
        <v>17578</v>
      </c>
      <c r="S533" s="3">
        <f>+IF(Tabla13[[#This Row],[Ingresado USD]]&gt;0,1,-1)</f>
        <v>1</v>
      </c>
      <c r="T533" s="78">
        <v>45730</v>
      </c>
      <c r="U533" s="22">
        <v>16407</v>
      </c>
    </row>
    <row r="534" spans="1:21" ht="12" hidden="1" x14ac:dyDescent="0.2">
      <c r="A534" s="3">
        <v>533</v>
      </c>
      <c r="B534" s="3" t="s">
        <v>245</v>
      </c>
      <c r="C53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Mosaic_Secuencia Operaciones Cajati</v>
      </c>
      <c r="D534" s="3" t="s">
        <v>210</v>
      </c>
      <c r="E534" s="3" t="s">
        <v>236</v>
      </c>
      <c r="F534" s="3" t="s">
        <v>235</v>
      </c>
      <c r="G534" s="3">
        <v>2025</v>
      </c>
      <c r="H534" s="3">
        <f>+IF(Tabla13[[#This Row],[Proyectado USD]]&gt;0,1,-1)</f>
        <v>-1</v>
      </c>
      <c r="I534" s="15"/>
      <c r="J534" s="21"/>
      <c r="K534" s="3">
        <f>+IF(Tabla13[[#This Row],[Emitido USD]]&gt;0,1,-1)</f>
        <v>1</v>
      </c>
      <c r="L534" s="73">
        <v>45680</v>
      </c>
      <c r="M534" s="3">
        <v>3</v>
      </c>
      <c r="N534" s="22">
        <v>21816</v>
      </c>
      <c r="O534" s="6">
        <v>58</v>
      </c>
      <c r="P534" s="76">
        <v>45680</v>
      </c>
      <c r="Q534" s="3">
        <f>+IF(Tabla13[[#This Row],[Facturado USD]]&gt;0,1,-1)</f>
        <v>1</v>
      </c>
      <c r="R534" s="22">
        <v>21327</v>
      </c>
      <c r="S534" s="3">
        <f>+IF(Tabla13[[#This Row],[Ingresado USD]]&gt;0,1,-1)</f>
        <v>1</v>
      </c>
      <c r="T534" s="78">
        <v>45769</v>
      </c>
      <c r="U534" s="22">
        <v>21327.41</v>
      </c>
    </row>
    <row r="535" spans="1:21" ht="12" hidden="1" x14ac:dyDescent="0.2">
      <c r="A535" s="3">
        <v>534</v>
      </c>
      <c r="B535" s="3" t="s">
        <v>245</v>
      </c>
      <c r="C53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Mosaic_Secuencia Operaciones Cajati</v>
      </c>
      <c r="D535" s="3" t="s">
        <v>210</v>
      </c>
      <c r="E535" s="3" t="s">
        <v>236</v>
      </c>
      <c r="F535" s="3" t="s">
        <v>235</v>
      </c>
      <c r="G535" s="3">
        <v>2025</v>
      </c>
      <c r="H535" s="3">
        <f>+IF(Tabla13[[#This Row],[Proyectado USD]]&gt;0,1,-1)</f>
        <v>-1</v>
      </c>
      <c r="I535" s="15"/>
      <c r="J535" s="21"/>
      <c r="K535" s="3">
        <f>+IF(Tabla13[[#This Row],[Emitido USD]]&gt;0,1,-1)</f>
        <v>1</v>
      </c>
      <c r="L535" s="73">
        <v>45708</v>
      </c>
      <c r="M535" s="3">
        <v>4</v>
      </c>
      <c r="N535" s="22">
        <v>12770</v>
      </c>
      <c r="O535" s="6">
        <v>64</v>
      </c>
      <c r="P535" s="76">
        <v>45733</v>
      </c>
      <c r="Q535" s="3">
        <f>+IF(Tabla13[[#This Row],[Facturado USD]]&gt;0,1,-1)</f>
        <v>1</v>
      </c>
      <c r="R535" s="22">
        <v>11785</v>
      </c>
      <c r="S535" s="3">
        <f>+IF(Tabla13[[#This Row],[Ingresado USD]]&gt;0,1,-1)</f>
        <v>1</v>
      </c>
      <c r="T535" s="78">
        <v>45824</v>
      </c>
      <c r="U535" s="22">
        <v>11785</v>
      </c>
    </row>
    <row r="536" spans="1:21" ht="12" hidden="1" x14ac:dyDescent="0.2">
      <c r="A536" s="3">
        <v>535</v>
      </c>
      <c r="B536" s="3" t="s">
        <v>71</v>
      </c>
      <c r="C53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Mosaic_Taquari Vassouras</v>
      </c>
      <c r="D536" s="3" t="s">
        <v>41</v>
      </c>
      <c r="E536" s="3" t="s">
        <v>236</v>
      </c>
      <c r="F536" s="3" t="s">
        <v>235</v>
      </c>
      <c r="G536" s="3">
        <v>2023</v>
      </c>
      <c r="H536" s="3">
        <f>+IF(Tabla13[[#This Row],[Proyectado USD]]&gt;0,1,-1)</f>
        <v>1</v>
      </c>
      <c r="I536" s="15">
        <v>45170</v>
      </c>
      <c r="J536" s="21">
        <v>24662</v>
      </c>
      <c r="K536" s="3">
        <f>+IF(Tabla13[[#This Row],[Emitido USD]]&gt;0,1,-1)</f>
        <v>1</v>
      </c>
      <c r="L536" s="73">
        <v>45194</v>
      </c>
      <c r="M536" s="34">
        <v>1</v>
      </c>
      <c r="N536" s="22">
        <v>34067</v>
      </c>
      <c r="O536" s="20">
        <v>12</v>
      </c>
      <c r="P536" s="76">
        <v>45238</v>
      </c>
      <c r="Q536" s="3">
        <f>+IF(Tabla13[[#This Row],[Facturado USD]]&gt;0,1,-1)</f>
        <v>1</v>
      </c>
      <c r="R536" s="22">
        <v>31187.856</v>
      </c>
      <c r="S536" s="3">
        <f>+IF(Tabla13[[#This Row],[Ingresado USD]]&gt;0,1,-1)</f>
        <v>1</v>
      </c>
      <c r="T536" s="78">
        <v>45298</v>
      </c>
      <c r="U536" s="22">
        <v>31824</v>
      </c>
    </row>
    <row r="537" spans="1:21" ht="12" hidden="1" x14ac:dyDescent="0.2">
      <c r="A537" s="3">
        <v>536</v>
      </c>
      <c r="B537" s="3" t="s">
        <v>71</v>
      </c>
      <c r="C53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Mosaic_Taquari Vassouras</v>
      </c>
      <c r="D537" s="3" t="s">
        <v>41</v>
      </c>
      <c r="E537" s="3" t="s">
        <v>236</v>
      </c>
      <c r="F537" s="3" t="s">
        <v>235</v>
      </c>
      <c r="G537" s="3">
        <v>2023</v>
      </c>
      <c r="H537" s="3">
        <f>+IF(Tabla13[[#This Row],[Proyectado USD]]&gt;0,1,-1)</f>
        <v>1</v>
      </c>
      <c r="I537" s="15">
        <v>45200</v>
      </c>
      <c r="J537" s="21">
        <v>98625</v>
      </c>
      <c r="K537" s="3">
        <f>+IF(Tabla13[[#This Row],[Emitido USD]]&gt;0,1,-1)</f>
        <v>1</v>
      </c>
      <c r="L537" s="73">
        <v>45222</v>
      </c>
      <c r="M537" s="34">
        <v>2</v>
      </c>
      <c r="N537" s="22">
        <v>39226</v>
      </c>
      <c r="O537" s="20">
        <v>13</v>
      </c>
      <c r="P537" s="76">
        <v>45238</v>
      </c>
      <c r="Q537" s="3">
        <f>+IF(Tabla13[[#This Row],[Facturado USD]]&gt;0,1,-1)</f>
        <v>1</v>
      </c>
      <c r="R537" s="22">
        <v>36997.358</v>
      </c>
      <c r="S537" s="3">
        <f>+IF(Tabla13[[#This Row],[Ingresado USD]]&gt;0,1,-1)</f>
        <v>1</v>
      </c>
      <c r="T537" s="78">
        <v>45298</v>
      </c>
      <c r="U537" s="22">
        <v>37752</v>
      </c>
    </row>
    <row r="538" spans="1:21" ht="12" hidden="1" x14ac:dyDescent="0.2">
      <c r="A538" s="3">
        <v>537</v>
      </c>
      <c r="B538" s="3" t="s">
        <v>71</v>
      </c>
      <c r="C53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Mosaic_Taquari Vassouras</v>
      </c>
      <c r="D538" s="3" t="s">
        <v>41</v>
      </c>
      <c r="E538" s="3" t="s">
        <v>236</v>
      </c>
      <c r="F538" s="3" t="s">
        <v>235</v>
      </c>
      <c r="G538" s="3">
        <v>2023</v>
      </c>
      <c r="H538" s="3">
        <f>+IF(Tabla13[[#This Row],[Proyectado USD]]&gt;0,1,-1)</f>
        <v>1</v>
      </c>
      <c r="I538" s="15">
        <v>45231</v>
      </c>
      <c r="J538" s="21">
        <v>129266.28</v>
      </c>
      <c r="K538" s="3">
        <f>+IF(Tabla13[[#This Row],[Emitido USD]]&gt;0,1,-1)</f>
        <v>1</v>
      </c>
      <c r="L538" s="73">
        <v>45250</v>
      </c>
      <c r="M538" s="34">
        <v>3</v>
      </c>
      <c r="N538" s="22">
        <v>92851</v>
      </c>
      <c r="O538" s="20">
        <v>20</v>
      </c>
      <c r="P538" s="76">
        <v>45273</v>
      </c>
      <c r="Q538" s="3">
        <f>+IF(Tabla13[[#This Row],[Facturado USD]]&gt;0,1,-1)</f>
        <v>1</v>
      </c>
      <c r="R538" s="22">
        <v>84777.332800000004</v>
      </c>
      <c r="S538" s="3">
        <f>+IF(Tabla13[[#This Row],[Ingresado USD]]&gt;0,1,-1)</f>
        <v>1</v>
      </c>
      <c r="T538" s="78">
        <v>45333</v>
      </c>
      <c r="U538" s="22">
        <v>86507</v>
      </c>
    </row>
    <row r="539" spans="1:21" ht="12" hidden="1" x14ac:dyDescent="0.2">
      <c r="A539" s="3">
        <v>538</v>
      </c>
      <c r="B539" s="3" t="s">
        <v>71</v>
      </c>
      <c r="C53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Mosaic_Taquari Vassouras</v>
      </c>
      <c r="D539" s="3" t="s">
        <v>41</v>
      </c>
      <c r="E539" s="3" t="s">
        <v>236</v>
      </c>
      <c r="F539" s="3" t="s">
        <v>235</v>
      </c>
      <c r="G539" s="3">
        <v>2023</v>
      </c>
      <c r="H539" s="3">
        <f>+IF(Tabla13[[#This Row],[Proyectado USD]]&gt;0,1,-1)</f>
        <v>1</v>
      </c>
      <c r="I539" s="15">
        <v>45261</v>
      </c>
      <c r="J539" s="21">
        <v>93670.894800000009</v>
      </c>
      <c r="K539" s="3">
        <f>+IF(Tabla13[[#This Row],[Emitido USD]]&gt;0,1,-1)</f>
        <v>1</v>
      </c>
      <c r="L539" s="73">
        <v>45281</v>
      </c>
      <c r="M539" s="3">
        <v>4</v>
      </c>
      <c r="N539" s="22">
        <v>66118</v>
      </c>
      <c r="O539" s="6">
        <v>21</v>
      </c>
      <c r="P539" s="76">
        <v>45273</v>
      </c>
      <c r="Q539" s="3">
        <f>+IF(Tabla13[[#This Row],[Facturado USD]]&gt;0,1,-1)</f>
        <v>1</v>
      </c>
      <c r="R539" s="22">
        <v>60435.83</v>
      </c>
      <c r="S539" s="3">
        <f>+IF(Tabla13[[#This Row],[Ingresado USD]]&gt;0,1,-1)</f>
        <v>1</v>
      </c>
      <c r="T539" s="78">
        <v>45333</v>
      </c>
      <c r="U539" s="22">
        <v>61669</v>
      </c>
    </row>
    <row r="540" spans="1:21" ht="12" hidden="1" x14ac:dyDescent="0.2">
      <c r="A540" s="3">
        <v>539</v>
      </c>
      <c r="B540" s="3" t="s">
        <v>71</v>
      </c>
      <c r="C54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Mosaic_Taquari Vassouras</v>
      </c>
      <c r="D540" s="3" t="s">
        <v>41</v>
      </c>
      <c r="E540" s="3" t="s">
        <v>236</v>
      </c>
      <c r="F540" s="3" t="s">
        <v>235</v>
      </c>
      <c r="G540" s="3">
        <v>2024</v>
      </c>
      <c r="H540" s="3">
        <f>+IF(Tabla13[[#This Row],[Proyectado USD]]&gt;0,1,-1)</f>
        <v>1</v>
      </c>
      <c r="I540" s="15">
        <v>45292</v>
      </c>
      <c r="J540" s="49">
        <v>52371</v>
      </c>
      <c r="K540" s="3">
        <f>+IF(Tabla13[[#This Row],[Emitido USD]]&gt;0,1,-1)</f>
        <v>1</v>
      </c>
      <c r="L540" s="73">
        <v>45311</v>
      </c>
      <c r="M540" s="3">
        <v>5</v>
      </c>
      <c r="N540" s="22">
        <v>41400</v>
      </c>
      <c r="O540" s="6">
        <v>27</v>
      </c>
      <c r="P540" s="76">
        <v>45345</v>
      </c>
      <c r="Q540" s="3">
        <f>+IF(Tabla13[[#This Row],[Facturado USD]]&gt;0,1,-1)</f>
        <v>1</v>
      </c>
      <c r="R540" s="22">
        <v>39081</v>
      </c>
      <c r="S540" s="3">
        <f>+IF(Tabla13[[#This Row],[Ingresado USD]]&gt;0,1,-1)</f>
        <v>1</v>
      </c>
      <c r="T540" s="82">
        <v>45405</v>
      </c>
      <c r="U540" s="22">
        <v>39081</v>
      </c>
    </row>
    <row r="541" spans="1:21" ht="12" hidden="1" x14ac:dyDescent="0.2">
      <c r="A541" s="3">
        <v>540</v>
      </c>
      <c r="B541" s="3" t="s">
        <v>71</v>
      </c>
      <c r="C54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Mosaic_Taquari Vassouras</v>
      </c>
      <c r="D541" s="3" t="s">
        <v>41</v>
      </c>
      <c r="E541" s="3" t="s">
        <v>236</v>
      </c>
      <c r="F541" s="3" t="s">
        <v>235</v>
      </c>
      <c r="G541" s="3">
        <v>2024</v>
      </c>
      <c r="H541" s="3">
        <f>+IF(Tabla13[[#This Row],[Proyectado USD]]&gt;0,1,-1)</f>
        <v>1</v>
      </c>
      <c r="I541" s="15">
        <v>45323</v>
      </c>
      <c r="J541" s="49">
        <v>10971</v>
      </c>
      <c r="K541" s="3">
        <f>+IF(Tabla13[[#This Row],[Emitido USD]]&gt;0,1,-1)</f>
        <v>1</v>
      </c>
      <c r="L541" s="73">
        <v>45342</v>
      </c>
      <c r="M541" s="3">
        <v>6</v>
      </c>
      <c r="N541" s="22">
        <v>6768</v>
      </c>
      <c r="O541" s="6">
        <v>28</v>
      </c>
      <c r="P541" s="76">
        <v>45341</v>
      </c>
      <c r="Q541" s="3">
        <f>+IF(Tabla13[[#This Row],[Facturado USD]]&gt;0,1,-1)</f>
        <v>1</v>
      </c>
      <c r="R541" s="22">
        <v>6510</v>
      </c>
      <c r="S541" s="3">
        <f>+IF(Tabla13[[#This Row],[Ingresado USD]]&gt;0,1,-1)</f>
        <v>1</v>
      </c>
      <c r="T541" s="78">
        <v>45418</v>
      </c>
      <c r="U541" s="52">
        <v>6510</v>
      </c>
    </row>
    <row r="542" spans="1:21" ht="12" hidden="1" x14ac:dyDescent="0.2">
      <c r="A542" s="3">
        <v>541</v>
      </c>
      <c r="B542" s="3" t="s">
        <v>71</v>
      </c>
      <c r="C54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Mosaic_Taquari Vassouras</v>
      </c>
      <c r="D542" s="3" t="s">
        <v>41</v>
      </c>
      <c r="E542" s="3" t="s">
        <v>236</v>
      </c>
      <c r="F542" s="3" t="s">
        <v>235</v>
      </c>
      <c r="G542" s="3">
        <v>2024</v>
      </c>
      <c r="H542" s="3">
        <f>+IF(Tabla13[[#This Row],[Proyectado USD]]&gt;0,1,-1)</f>
        <v>1</v>
      </c>
      <c r="I542" s="15">
        <v>45383</v>
      </c>
      <c r="J542" s="21">
        <v>4173</v>
      </c>
      <c r="K542" s="3">
        <f>+IF(Tabla13[[#This Row],[Emitido USD]]&gt;0,1,-1)</f>
        <v>1</v>
      </c>
      <c r="L542" s="73">
        <v>45402</v>
      </c>
      <c r="M542" s="3">
        <v>7</v>
      </c>
      <c r="N542" s="22">
        <v>4173</v>
      </c>
      <c r="O542" s="6">
        <v>38</v>
      </c>
      <c r="P542" s="76">
        <v>45457</v>
      </c>
      <c r="Q542" s="3">
        <f>+IF(Tabla13[[#This Row],[Facturado USD]]&gt;0,1,-1)</f>
        <v>1</v>
      </c>
      <c r="R542" s="22">
        <v>6509.9</v>
      </c>
      <c r="S542" s="3">
        <f>+IF(Tabla13[[#This Row],[Ingresado USD]]&gt;0,1,-1)</f>
        <v>1</v>
      </c>
      <c r="T542" s="78">
        <v>45517</v>
      </c>
      <c r="U542" s="22">
        <v>6018</v>
      </c>
    </row>
    <row r="543" spans="1:21" ht="12" hidden="1" x14ac:dyDescent="0.2">
      <c r="A543" s="3">
        <v>542</v>
      </c>
      <c r="B543" s="3" t="s">
        <v>71</v>
      </c>
      <c r="C54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Mosaic_Taquari Vassouras</v>
      </c>
      <c r="D543" s="3" t="s">
        <v>246</v>
      </c>
      <c r="E543" s="3" t="s">
        <v>236</v>
      </c>
      <c r="F543" s="3" t="s">
        <v>235</v>
      </c>
      <c r="G543" s="3">
        <v>2024</v>
      </c>
      <c r="H543" s="3">
        <f>+IF(Tabla13[[#This Row],[Proyectado USD]]&gt;0,1,-1)</f>
        <v>-1</v>
      </c>
      <c r="I543" s="15">
        <v>45323</v>
      </c>
      <c r="J543" s="21">
        <v>0</v>
      </c>
      <c r="K543" s="3">
        <f>+IF(Tabla13[[#This Row],[Emitido USD]]&gt;0,1,-1)</f>
        <v>1</v>
      </c>
      <c r="L543" s="73">
        <v>45342</v>
      </c>
      <c r="M543" s="3">
        <v>1</v>
      </c>
      <c r="N543" s="22">
        <v>6765</v>
      </c>
      <c r="O543" s="6" t="s">
        <v>164</v>
      </c>
      <c r="P543" s="76">
        <v>45520</v>
      </c>
      <c r="Q543" s="3">
        <f>+IF(Tabla13[[#This Row],[Facturado USD]]&gt;0,1,-1)</f>
        <v>1</v>
      </c>
      <c r="R543" s="22">
        <v>6765</v>
      </c>
      <c r="S543" s="3">
        <f>+IF(Tabla13[[#This Row],[Ingresado USD]]&gt;0,1,-1)</f>
        <v>1</v>
      </c>
      <c r="T543" s="78">
        <v>45520</v>
      </c>
      <c r="U543" s="22">
        <v>6765</v>
      </c>
    </row>
    <row r="544" spans="1:21" ht="12" hidden="1" x14ac:dyDescent="0.2">
      <c r="A544" s="3">
        <v>543</v>
      </c>
      <c r="B544" s="3" t="s">
        <v>247</v>
      </c>
      <c r="C54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Mosaic_Taquari Vassouras Fase II</v>
      </c>
      <c r="D544" s="3" t="s">
        <v>211</v>
      </c>
      <c r="E544" s="3" t="s">
        <v>236</v>
      </c>
      <c r="F544" s="3" t="s">
        <v>235</v>
      </c>
      <c r="G544" s="3">
        <v>2024</v>
      </c>
      <c r="H544" s="3">
        <f>+IF(Tabla13[[#This Row],[Proyectado USD]]&gt;0,1,-1)</f>
        <v>-1</v>
      </c>
      <c r="I544" s="15"/>
      <c r="J544" s="21"/>
      <c r="K544" s="3">
        <f>+IF(Tabla13[[#This Row],[Emitido USD]]&gt;0,1,-1)</f>
        <v>1</v>
      </c>
      <c r="L544" s="73">
        <v>45611</v>
      </c>
      <c r="M544" s="3">
        <v>1</v>
      </c>
      <c r="N544" s="22">
        <v>31337</v>
      </c>
      <c r="O544" s="6">
        <v>52</v>
      </c>
      <c r="P544" s="76">
        <v>45621</v>
      </c>
      <c r="Q544" s="3">
        <f>+IF(Tabla13[[#This Row],[Facturado USD]]&gt;0,1,-1)</f>
        <v>1</v>
      </c>
      <c r="R544" s="22">
        <v>27745</v>
      </c>
      <c r="S544" s="3">
        <f>+IF(Tabla13[[#This Row],[Ingresado USD]]&gt;0,1,-1)</f>
        <v>1</v>
      </c>
      <c r="T544" s="78">
        <v>45712</v>
      </c>
      <c r="U544" s="22">
        <v>24924</v>
      </c>
    </row>
    <row r="545" spans="1:22" ht="12" hidden="1" x14ac:dyDescent="0.2">
      <c r="A545" s="3">
        <v>544</v>
      </c>
      <c r="B545" s="3" t="s">
        <v>247</v>
      </c>
      <c r="C54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Mosaic_Taquari Vassouras Fase II</v>
      </c>
      <c r="D545" s="3" t="s">
        <v>211</v>
      </c>
      <c r="E545" s="3" t="s">
        <v>236</v>
      </c>
      <c r="F545" s="3" t="s">
        <v>235</v>
      </c>
      <c r="G545" s="3">
        <v>2024</v>
      </c>
      <c r="H545" s="3">
        <f>+IF(Tabla13[[#This Row],[Proyectado USD]]&gt;0,1,-1)</f>
        <v>-1</v>
      </c>
      <c r="I545" s="15"/>
      <c r="J545" s="21"/>
      <c r="K545" s="3">
        <f>+IF(Tabla13[[#This Row],[Emitido USD]]&gt;0,1,-1)</f>
        <v>1</v>
      </c>
      <c r="L545" s="73">
        <v>45641</v>
      </c>
      <c r="M545" s="3">
        <v>2</v>
      </c>
      <c r="N545" s="22">
        <v>5952</v>
      </c>
      <c r="O545" s="6">
        <v>55</v>
      </c>
      <c r="P545" s="76">
        <v>45637</v>
      </c>
      <c r="Q545" s="3">
        <f>+IF(Tabla13[[#This Row],[Facturado USD]]&gt;0,1,-1)</f>
        <v>1</v>
      </c>
      <c r="R545" s="22">
        <v>5952</v>
      </c>
      <c r="S545" s="3">
        <f>+IF(Tabla13[[#This Row],[Ingresado USD]]&gt;0,1,-1)</f>
        <v>1</v>
      </c>
      <c r="T545" s="78">
        <v>45727</v>
      </c>
      <c r="U545" s="22">
        <v>5952</v>
      </c>
    </row>
    <row r="546" spans="1:22" ht="12" hidden="1" x14ac:dyDescent="0.2">
      <c r="A546" s="3">
        <v>545</v>
      </c>
      <c r="B546" s="3" t="s">
        <v>247</v>
      </c>
      <c r="C54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Mosaic_Taquari Vassouras Fase II</v>
      </c>
      <c r="D546" s="3" t="s">
        <v>211</v>
      </c>
      <c r="E546" s="3" t="s">
        <v>236</v>
      </c>
      <c r="F546" s="3" t="s">
        <v>235</v>
      </c>
      <c r="G546" s="3">
        <v>2024</v>
      </c>
      <c r="H546" s="3">
        <f>+IF(Tabla13[[#This Row],[Proyectado USD]]&gt;0,1,-1)</f>
        <v>-1</v>
      </c>
      <c r="I546" s="15"/>
      <c r="J546" s="21"/>
      <c r="K546" s="3">
        <f>+IF(Tabla13[[#This Row],[Emitido USD]]&gt;0,1,-1)</f>
        <v>1</v>
      </c>
      <c r="L546" s="73">
        <v>45641</v>
      </c>
      <c r="M546" s="3">
        <v>2</v>
      </c>
      <c r="N546" s="21">
        <v>14000</v>
      </c>
      <c r="O546" s="6">
        <v>56</v>
      </c>
      <c r="P546" s="76">
        <v>45640</v>
      </c>
      <c r="Q546" s="3">
        <f>+IF(Tabla13[[#This Row],[Facturado USD]]&gt;0,1,-1)</f>
        <v>1</v>
      </c>
      <c r="R546" s="22">
        <v>10364</v>
      </c>
      <c r="S546" s="3">
        <f>+IF(Tabla13[[#This Row],[Ingresado USD]]&gt;0,1,-1)</f>
        <v>1</v>
      </c>
      <c r="T546" s="78">
        <v>45730</v>
      </c>
      <c r="U546" s="22">
        <v>9743</v>
      </c>
    </row>
    <row r="547" spans="1:22" ht="12" hidden="1" x14ac:dyDescent="0.2">
      <c r="A547" s="3">
        <v>546</v>
      </c>
      <c r="B547" s="3" t="s">
        <v>247</v>
      </c>
      <c r="C54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Mosaic_Taquari Vassouras Fase II</v>
      </c>
      <c r="D547" s="3" t="s">
        <v>211</v>
      </c>
      <c r="E547" s="3" t="s">
        <v>236</v>
      </c>
      <c r="F547" s="3" t="s">
        <v>235</v>
      </c>
      <c r="G547" s="3">
        <v>2025</v>
      </c>
      <c r="H547" s="3">
        <f>+IF(Tabla13[[#This Row],[Proyectado USD]]&gt;0,1,-1)</f>
        <v>-1</v>
      </c>
      <c r="I547" s="15"/>
      <c r="J547" s="21"/>
      <c r="K547" s="3">
        <f>+IF(Tabla13[[#This Row],[Emitido USD]]&gt;0,1,-1)</f>
        <v>1</v>
      </c>
      <c r="L547" s="73">
        <v>45681</v>
      </c>
      <c r="M547" s="3">
        <v>3</v>
      </c>
      <c r="N547" s="22">
        <v>22948</v>
      </c>
      <c r="O547" s="6">
        <v>59</v>
      </c>
      <c r="P547" s="76">
        <v>45681</v>
      </c>
      <c r="Q547" s="3">
        <f>+IF(Tabla13[[#This Row],[Facturado USD]]&gt;0,1,-1)</f>
        <v>1</v>
      </c>
      <c r="R547" s="22">
        <v>18747</v>
      </c>
      <c r="S547" s="3">
        <f>+IF(Tabla13[[#This Row],[Ingresado USD]]&gt;0,1,-1)</f>
        <v>1</v>
      </c>
      <c r="T547" s="78">
        <v>45771</v>
      </c>
      <c r="U547" s="22">
        <v>18747.16</v>
      </c>
    </row>
    <row r="548" spans="1:22" ht="12" hidden="1" x14ac:dyDescent="0.2">
      <c r="A548" s="3">
        <v>547</v>
      </c>
      <c r="B548" s="3" t="s">
        <v>247</v>
      </c>
      <c r="C54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Mosaic_Taquari Vassouras Fase II</v>
      </c>
      <c r="D548" s="3" t="s">
        <v>211</v>
      </c>
      <c r="E548" s="3" t="s">
        <v>236</v>
      </c>
      <c r="F548" s="3" t="s">
        <v>235</v>
      </c>
      <c r="G548" s="3">
        <v>2025</v>
      </c>
      <c r="H548" s="3">
        <f>+IF(Tabla13[[#This Row],[Proyectado USD]]&gt;0,1,-1)</f>
        <v>-1</v>
      </c>
      <c r="I548" s="15"/>
      <c r="J548" s="21"/>
      <c r="K548" s="3">
        <f>+IF(Tabla13[[#This Row],[Emitido USD]]&gt;0,1,-1)</f>
        <v>1</v>
      </c>
      <c r="L548" s="73">
        <v>45708</v>
      </c>
      <c r="M548" s="3">
        <v>4</v>
      </c>
      <c r="N548" s="22">
        <v>10293</v>
      </c>
      <c r="O548" s="6">
        <v>63</v>
      </c>
      <c r="P548" s="76">
        <v>45733</v>
      </c>
      <c r="Q548" s="3">
        <f>+IF(Tabla13[[#This Row],[Facturado USD]]&gt;0,1,-1)</f>
        <v>1</v>
      </c>
      <c r="R548" s="22">
        <v>9499</v>
      </c>
      <c r="S548" s="3">
        <f>+IF(Tabla13[[#This Row],[Ingresado USD]]&gt;0,1,-1)</f>
        <v>1</v>
      </c>
      <c r="T548" s="78">
        <v>45824</v>
      </c>
      <c r="U548" s="22">
        <v>9499</v>
      </c>
    </row>
    <row r="549" spans="1:22" ht="12" hidden="1" x14ac:dyDescent="0.2">
      <c r="A549" s="3">
        <v>548</v>
      </c>
      <c r="B549" s="3" t="s">
        <v>247</v>
      </c>
      <c r="C54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Mosaic_Taquari Vassouras Fase II</v>
      </c>
      <c r="D549" s="3" t="s">
        <v>211</v>
      </c>
      <c r="E549" s="3" t="s">
        <v>236</v>
      </c>
      <c r="F549" s="3" t="s">
        <v>235</v>
      </c>
      <c r="G549" s="3">
        <v>2025</v>
      </c>
      <c r="H549" s="3">
        <f>+IF(Tabla13[[#This Row],[Proyectado USD]]&gt;0,1,-1)</f>
        <v>-1</v>
      </c>
      <c r="I549" s="15"/>
      <c r="J549" s="21"/>
      <c r="K549" s="3">
        <f>+IF(Tabla13[[#This Row],[Emitido USD]]&gt;0,1,-1)</f>
        <v>1</v>
      </c>
      <c r="L549" s="73">
        <v>45742</v>
      </c>
      <c r="M549" s="3">
        <v>5</v>
      </c>
      <c r="N549" s="22">
        <v>5393</v>
      </c>
      <c r="O549" s="6">
        <v>67</v>
      </c>
      <c r="P549" s="78">
        <v>45758</v>
      </c>
      <c r="Q549" s="3">
        <f>+IF(Tabla13[[#This Row],[Facturado USD]]&gt;0,1,-1)</f>
        <v>1</v>
      </c>
      <c r="R549" s="22">
        <v>4858.46</v>
      </c>
      <c r="S549" s="3">
        <f>+IF(Tabla13[[#This Row],[Ingresado USD]]&gt;0,1,-1)</f>
        <v>1</v>
      </c>
      <c r="T549" s="78">
        <v>45849</v>
      </c>
      <c r="U549" s="22">
        <v>5421</v>
      </c>
    </row>
    <row r="550" spans="1:22" ht="12" hidden="1" x14ac:dyDescent="0.2">
      <c r="A550" s="3">
        <v>549</v>
      </c>
      <c r="B550" s="3" t="s">
        <v>247</v>
      </c>
      <c r="C55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Mosaic_Taquari Vassouras Fase II</v>
      </c>
      <c r="D550" s="3" t="s">
        <v>211</v>
      </c>
      <c r="E550" s="3" t="s">
        <v>236</v>
      </c>
      <c r="F550" s="3" t="s">
        <v>235</v>
      </c>
      <c r="G550" s="3">
        <v>2025</v>
      </c>
      <c r="H550" s="3">
        <f>+IF(Tabla13[[#This Row],[Proyectado USD]]&gt;0,1,-1)</f>
        <v>-1</v>
      </c>
      <c r="I550" s="15"/>
      <c r="J550" s="21"/>
      <c r="K550" s="3">
        <f>+IF(Tabla13[[#This Row],[Emitido USD]]&gt;0,1,-1)</f>
        <v>1</v>
      </c>
      <c r="L550" s="73">
        <v>45777</v>
      </c>
      <c r="M550" s="3">
        <v>6</v>
      </c>
      <c r="N550" s="22">
        <v>11237</v>
      </c>
      <c r="O550" s="6">
        <v>69</v>
      </c>
      <c r="P550" s="78">
        <v>45797</v>
      </c>
      <c r="Q550" s="3">
        <f>+IF(Tabla13[[#This Row],[Facturado USD]]&gt;0,1,-1)</f>
        <v>1</v>
      </c>
      <c r="R550" s="50">
        <v>10592</v>
      </c>
      <c r="S550" s="3">
        <f>+IF(Tabla13[[#This Row],[Ingresado USD]]&gt;0,1,-1)</f>
        <v>1</v>
      </c>
      <c r="T550" s="78">
        <v>45887</v>
      </c>
      <c r="U550" s="22">
        <v>11024.51</v>
      </c>
    </row>
    <row r="551" spans="1:22" ht="12" hidden="1" x14ac:dyDescent="0.2">
      <c r="A551" s="3">
        <v>550</v>
      </c>
      <c r="B551" s="3" t="s">
        <v>247</v>
      </c>
      <c r="C55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Mosaic_Taquari Vassouras Fase II</v>
      </c>
      <c r="D551" s="3" t="s">
        <v>211</v>
      </c>
      <c r="E551" s="3" t="s">
        <v>236</v>
      </c>
      <c r="F551" s="3" t="s">
        <v>235</v>
      </c>
      <c r="G551" s="3">
        <v>2025</v>
      </c>
      <c r="H551" s="3">
        <f>+IF(Tabla13[[#This Row],[Proyectado USD]]&gt;0,1,-1)</f>
        <v>-1</v>
      </c>
      <c r="I551" s="15"/>
      <c r="J551" s="21"/>
      <c r="K551" s="3">
        <f>+IF(Tabla13[[#This Row],[Emitido USD]]&gt;0,1,-1)</f>
        <v>1</v>
      </c>
      <c r="L551" s="73">
        <v>45807</v>
      </c>
      <c r="M551" s="3">
        <v>7</v>
      </c>
      <c r="N551" s="22">
        <v>32693</v>
      </c>
      <c r="O551" s="6">
        <v>72</v>
      </c>
      <c r="P551" s="78">
        <v>45826</v>
      </c>
      <c r="Q551" s="3">
        <f>+IF(Tabla13[[#This Row],[Facturado USD]]&gt;0,1,-1)</f>
        <v>1</v>
      </c>
      <c r="R551" s="22">
        <v>30683</v>
      </c>
      <c r="S551" s="3">
        <f>+IF(Tabla13[[#This Row],[Ingresado USD]]&gt;0,1,-1)</f>
        <v>1</v>
      </c>
      <c r="T551" s="78">
        <v>45918</v>
      </c>
      <c r="U551" s="22">
        <v>33778.899082568809</v>
      </c>
    </row>
    <row r="552" spans="1:22" ht="12" hidden="1" x14ac:dyDescent="0.2">
      <c r="A552" s="3">
        <v>551</v>
      </c>
      <c r="B552" s="3" t="s">
        <v>247</v>
      </c>
      <c r="C55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Mosaic_Taquari Vassouras Fase II</v>
      </c>
      <c r="D552" s="3" t="s">
        <v>211</v>
      </c>
      <c r="E552" s="3" t="s">
        <v>236</v>
      </c>
      <c r="F552" s="3" t="s">
        <v>235</v>
      </c>
      <c r="G552" s="3">
        <v>2025</v>
      </c>
      <c r="H552" s="3">
        <f>+IF(Tabla13[[#This Row],[Proyectado USD]]&gt;0,1,-1)</f>
        <v>-1</v>
      </c>
      <c r="I552" s="15"/>
      <c r="J552" s="21"/>
      <c r="K552" s="3">
        <f>+IF(Tabla13[[#This Row],[Emitido USD]]&gt;0,1,-1)</f>
        <v>1</v>
      </c>
      <c r="L552" s="73">
        <v>45833</v>
      </c>
      <c r="M552" s="3">
        <v>8</v>
      </c>
      <c r="N552" s="22">
        <v>34273</v>
      </c>
      <c r="O552" s="6">
        <v>74</v>
      </c>
      <c r="P552" s="78">
        <v>45846</v>
      </c>
      <c r="Q552" s="3">
        <f>+IF(Tabla13[[#This Row],[Facturado USD]]&gt;0,1,-1)</f>
        <v>1</v>
      </c>
      <c r="R552" s="22">
        <v>29305.88</v>
      </c>
      <c r="S552" s="3">
        <f>+IF(Tabla13[[#This Row],[Ingresado USD]]&gt;0,1,-1)</f>
        <v>1</v>
      </c>
      <c r="T552" s="78">
        <v>45936</v>
      </c>
      <c r="U552" s="22">
        <v>32622</v>
      </c>
    </row>
    <row r="553" spans="1:22" ht="12" hidden="1" x14ac:dyDescent="0.2">
      <c r="A553" s="3">
        <v>552</v>
      </c>
      <c r="B553" s="3" t="s">
        <v>247</v>
      </c>
      <c r="C55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Mosaic_Taquari Vassouras Fase II</v>
      </c>
      <c r="D553" s="3" t="s">
        <v>211</v>
      </c>
      <c r="E553" s="3" t="s">
        <v>236</v>
      </c>
      <c r="F553" s="3" t="s">
        <v>235</v>
      </c>
      <c r="G553" s="3">
        <v>2025</v>
      </c>
      <c r="H553" s="3">
        <f>+IF(Tabla13[[#This Row],[Proyectado USD]]&gt;0,1,-1)</f>
        <v>-1</v>
      </c>
      <c r="I553" s="15"/>
      <c r="J553" s="21"/>
      <c r="K553" s="3">
        <f>+IF(Tabla13[[#This Row],[Emitido USD]]&gt;0,1,-1)</f>
        <v>1</v>
      </c>
      <c r="L553" s="73">
        <v>45859</v>
      </c>
      <c r="M553" s="3">
        <v>9</v>
      </c>
      <c r="N553" s="22">
        <v>21033</v>
      </c>
      <c r="O553" s="6">
        <v>79</v>
      </c>
      <c r="P553" s="78">
        <v>45889</v>
      </c>
      <c r="Q553" s="3">
        <f>+IF(Tabla13[[#This Row],[Facturado USD]]&gt;0,1,-1)</f>
        <v>1</v>
      </c>
      <c r="R553" s="22">
        <v>21927</v>
      </c>
      <c r="S553" s="3">
        <f>+IF(Tabla13[[#This Row],[Ingresado USD]]&gt;0,1,-1)</f>
        <v>1</v>
      </c>
      <c r="T553" s="78">
        <v>45950</v>
      </c>
      <c r="U553" s="22">
        <v>20835.925925925923</v>
      </c>
    </row>
    <row r="554" spans="1:22" ht="12" hidden="1" x14ac:dyDescent="0.2">
      <c r="A554" s="3">
        <v>553</v>
      </c>
      <c r="B554" s="3" t="s">
        <v>247</v>
      </c>
      <c r="C55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Mosaic_Taquari Vassouras Fase II</v>
      </c>
      <c r="D554" s="3" t="s">
        <v>211</v>
      </c>
      <c r="E554" s="3" t="s">
        <v>236</v>
      </c>
      <c r="F554" s="3" t="s">
        <v>235</v>
      </c>
      <c r="G554" s="3">
        <v>2025</v>
      </c>
      <c r="H554" s="3">
        <f>+IF(Tabla13[[#This Row],[Proyectado USD]]&gt;0,1,-1)</f>
        <v>-1</v>
      </c>
      <c r="I554" s="15"/>
      <c r="J554" s="21"/>
      <c r="K554" s="3">
        <f>+IF(Tabla13[[#This Row],[Emitido USD]]&gt;0,1,-1)</f>
        <v>1</v>
      </c>
      <c r="L554" s="73">
        <v>45889</v>
      </c>
      <c r="M554" s="3">
        <v>10</v>
      </c>
      <c r="N554" s="22">
        <v>25050</v>
      </c>
      <c r="O554" s="6">
        <v>86</v>
      </c>
      <c r="P554" s="78">
        <v>45891</v>
      </c>
      <c r="Q554" s="3">
        <f>+IF(Tabla13[[#This Row],[Facturado USD]]&gt;0,1,-1)</f>
        <v>1</v>
      </c>
      <c r="R554" s="22">
        <v>25358</v>
      </c>
      <c r="S554" s="3">
        <f>+IF(Tabla13[[#This Row],[Ingresado USD]]&gt;0,1,-1)</f>
        <v>1</v>
      </c>
      <c r="T554" s="78">
        <v>45982</v>
      </c>
      <c r="U554" s="22">
        <v>24115</v>
      </c>
    </row>
    <row r="555" spans="1:22" ht="12" hidden="1" x14ac:dyDescent="0.2">
      <c r="A555" s="3">
        <v>554</v>
      </c>
      <c r="B555" s="3" t="s">
        <v>247</v>
      </c>
      <c r="C55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Mosaic_Taquari Vassouras Fase II</v>
      </c>
      <c r="D555" s="3" t="s">
        <v>211</v>
      </c>
      <c r="E555" s="3" t="s">
        <v>236</v>
      </c>
      <c r="F555" s="3" t="s">
        <v>235</v>
      </c>
      <c r="G555" s="3">
        <v>2025</v>
      </c>
      <c r="H555" s="3">
        <f>+IF(Tabla13[[#This Row],[Proyectado USD]]&gt;0,1,-1)</f>
        <v>-1</v>
      </c>
      <c r="I555" s="15"/>
      <c r="J555" s="21"/>
      <c r="K555" s="3">
        <f>+IF(Tabla13[[#This Row],[Emitido USD]]&gt;0,1,-1)</f>
        <v>1</v>
      </c>
      <c r="L555" s="73">
        <v>45920</v>
      </c>
      <c r="M555" s="3">
        <v>11</v>
      </c>
      <c r="N555" s="22">
        <v>33890</v>
      </c>
      <c r="O555" s="6">
        <v>92</v>
      </c>
      <c r="P555" s="78">
        <v>45917</v>
      </c>
      <c r="Q555" s="3">
        <f>+IF(Tabla13[[#This Row],[Facturado USD]]&gt;0,1,-1)</f>
        <v>1</v>
      </c>
      <c r="R555" s="22">
        <v>33182.018348623853</v>
      </c>
      <c r="S555" s="3">
        <f>+IF(Tabla13[[#This Row],[Ingresado USD]]&gt;0,1,-1)</f>
        <v>1</v>
      </c>
      <c r="T555" s="78">
        <v>46011</v>
      </c>
      <c r="U555" s="22">
        <v>28287</v>
      </c>
    </row>
    <row r="556" spans="1:22" ht="12" hidden="1" x14ac:dyDescent="0.2">
      <c r="A556" s="3">
        <v>555</v>
      </c>
      <c r="B556" s="3" t="s">
        <v>247</v>
      </c>
      <c r="C55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Mosaic_Taquari Vassouras Fase II</v>
      </c>
      <c r="D556" s="3" t="s">
        <v>211</v>
      </c>
      <c r="E556" s="3" t="s">
        <v>236</v>
      </c>
      <c r="F556" s="3" t="s">
        <v>235</v>
      </c>
      <c r="G556" s="3">
        <v>2025</v>
      </c>
      <c r="H556" s="3">
        <f>+IF(Tabla13[[#This Row],[Proyectado USD]]&gt;0,1,-1)</f>
        <v>-1</v>
      </c>
      <c r="I556" s="15"/>
      <c r="J556" s="21"/>
      <c r="K556" s="3">
        <f>+IF(Tabla13[[#This Row],[Emitido USD]]&gt;0,1,-1)</f>
        <v>1</v>
      </c>
      <c r="L556" s="73">
        <v>45945</v>
      </c>
      <c r="M556" s="3">
        <v>12</v>
      </c>
      <c r="N556" s="22">
        <v>24873</v>
      </c>
      <c r="O556" s="6">
        <v>102</v>
      </c>
      <c r="P556" s="78">
        <v>45951</v>
      </c>
      <c r="Q556" s="3">
        <f>+IF(Tabla13[[#This Row],[Facturado USD]]&gt;0,1,-1)</f>
        <v>1</v>
      </c>
      <c r="R556" s="22">
        <v>25194</v>
      </c>
      <c r="S556" s="3">
        <f>+IF(Tabla13[[#This Row],[Ingresado USD]]&gt;0,1,-1)</f>
        <v>1</v>
      </c>
      <c r="T556" s="78">
        <v>46041</v>
      </c>
      <c r="U556" s="22">
        <v>24387</v>
      </c>
    </row>
    <row r="557" spans="1:22" ht="12" hidden="1" x14ac:dyDescent="0.2">
      <c r="A557" s="3">
        <v>556</v>
      </c>
      <c r="B557" s="3" t="s">
        <v>248</v>
      </c>
      <c r="C55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Mosaic_Taquari Vassouras Fase II CP</v>
      </c>
      <c r="D557" s="3" t="s">
        <v>212</v>
      </c>
      <c r="E557" s="3" t="s">
        <v>236</v>
      </c>
      <c r="F557" s="3" t="s">
        <v>235</v>
      </c>
      <c r="G557" s="3">
        <v>2024</v>
      </c>
      <c r="H557" s="3">
        <f>+IF(Tabla13[[#This Row],[Proyectado USD]]&gt;0,1,-1)</f>
        <v>-1</v>
      </c>
      <c r="I557" s="15"/>
      <c r="J557" s="21"/>
      <c r="K557" s="3">
        <f>+IF(Tabla13[[#This Row],[Emitido USD]]&gt;0,1,-1)</f>
        <v>1</v>
      </c>
      <c r="L557" s="73">
        <v>45561</v>
      </c>
      <c r="M557" s="3">
        <v>1</v>
      </c>
      <c r="N557" s="22">
        <v>52744</v>
      </c>
      <c r="O557" s="6">
        <v>48</v>
      </c>
      <c r="P557" s="76">
        <v>45590</v>
      </c>
      <c r="Q557" s="3">
        <f>+IF(Tabla13[[#This Row],[Facturado USD]]&gt;0,1,-1)</f>
        <v>1</v>
      </c>
      <c r="R557" s="22">
        <v>48730</v>
      </c>
      <c r="S557" s="3">
        <f>+IF(Tabla13[[#This Row],[Ingresado USD]]&gt;0,1,-1)</f>
        <v>1</v>
      </c>
      <c r="T557" s="78">
        <v>45682</v>
      </c>
      <c r="U557" s="22">
        <v>43045</v>
      </c>
    </row>
    <row r="558" spans="1:22" ht="12" hidden="1" x14ac:dyDescent="0.2">
      <c r="A558" s="3">
        <v>557</v>
      </c>
      <c r="B558" s="3" t="s">
        <v>638</v>
      </c>
      <c r="C55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NEXA_Estudio Geomecánico AT y EP</v>
      </c>
      <c r="D558" s="3" t="s">
        <v>639</v>
      </c>
      <c r="E558" s="3" t="s">
        <v>249</v>
      </c>
      <c r="F558" s="3" t="s">
        <v>318</v>
      </c>
      <c r="G558" s="3">
        <v>2025</v>
      </c>
      <c r="H558" s="3">
        <f>+IF(Tabla13[[#This Row],[Proyectado USD]]&gt;0,1,-1)</f>
        <v>-1</v>
      </c>
      <c r="I558" s="15"/>
      <c r="J558" s="21"/>
      <c r="K558" s="3">
        <f>+IF(Tabla13[[#This Row],[Emitido USD]]&gt;0,1,-1)</f>
        <v>1</v>
      </c>
      <c r="L558" s="73">
        <v>45954</v>
      </c>
      <c r="M558" s="3">
        <v>1</v>
      </c>
      <c r="N558" s="22">
        <v>20759</v>
      </c>
      <c r="O558" s="6" t="s">
        <v>689</v>
      </c>
      <c r="P558" s="76">
        <v>46020</v>
      </c>
      <c r="Q558" s="3">
        <f>+IF(Tabla13[[#This Row],[Facturado USD]]&gt;0,1,-1)</f>
        <v>1</v>
      </c>
      <c r="R558" s="22">
        <v>20759</v>
      </c>
      <c r="S558" s="3">
        <f>+IF(Tabla13[[#This Row],[Ingresado USD]]&gt;0,1,-1)</f>
        <v>1</v>
      </c>
      <c r="T558" s="78">
        <v>46090</v>
      </c>
      <c r="U558" s="22">
        <v>20759</v>
      </c>
      <c r="V558" s="3" t="s">
        <v>690</v>
      </c>
    </row>
    <row r="559" spans="1:22" ht="12" hidden="1" x14ac:dyDescent="0.2">
      <c r="A559" s="3">
        <v>558</v>
      </c>
      <c r="B559" s="3" t="s">
        <v>638</v>
      </c>
      <c r="C55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NEXA_Estudio Geomecánico AT y EP</v>
      </c>
      <c r="D559" s="3" t="s">
        <v>639</v>
      </c>
      <c r="E559" s="3" t="s">
        <v>249</v>
      </c>
      <c r="F559" s="3" t="s">
        <v>318</v>
      </c>
      <c r="G559" s="3">
        <v>2025</v>
      </c>
      <c r="H559" s="3">
        <f>+IF(Tabla13[[#This Row],[Proyectado USD]]&gt;0,1,-1)</f>
        <v>-1</v>
      </c>
      <c r="I559" s="15"/>
      <c r="J559" s="21"/>
      <c r="K559" s="3">
        <f>+IF(Tabla13[[#This Row],[Emitido USD]]&gt;0,1,-1)</f>
        <v>1</v>
      </c>
      <c r="L559" s="73">
        <v>45986</v>
      </c>
      <c r="M559" s="3">
        <v>2</v>
      </c>
      <c r="N559" s="22">
        <v>42800</v>
      </c>
      <c r="O559" s="6" t="s">
        <v>689</v>
      </c>
      <c r="P559" s="76">
        <v>46020</v>
      </c>
      <c r="Q559" s="3">
        <f>+IF(Tabla13[[#This Row],[Facturado USD]]&gt;0,1,-1)</f>
        <v>1</v>
      </c>
      <c r="R559" s="22">
        <v>42800</v>
      </c>
      <c r="S559" s="3">
        <f>+IF(Tabla13[[#This Row],[Ingresado USD]]&gt;0,1,-1)</f>
        <v>1</v>
      </c>
      <c r="T559" s="78">
        <v>46090</v>
      </c>
      <c r="U559" s="22">
        <v>42800</v>
      </c>
      <c r="V559" s="3" t="s">
        <v>690</v>
      </c>
    </row>
    <row r="560" spans="1:22" ht="12" hidden="1" x14ac:dyDescent="0.2">
      <c r="A560" s="3">
        <v>559</v>
      </c>
      <c r="B560" s="3" t="s">
        <v>638</v>
      </c>
      <c r="C56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NEXA_Estudio Geomecánico AT y EP</v>
      </c>
      <c r="D560" s="3" t="s">
        <v>639</v>
      </c>
      <c r="E560" s="3" t="s">
        <v>249</v>
      </c>
      <c r="F560" s="3" t="s">
        <v>318</v>
      </c>
      <c r="G560" s="3">
        <v>2025</v>
      </c>
      <c r="H560" s="3">
        <f>+IF(Tabla13[[#This Row],[Proyectado USD]]&gt;0,1,-1)</f>
        <v>-1</v>
      </c>
      <c r="I560" s="15"/>
      <c r="J560" s="21"/>
      <c r="K560" s="3">
        <f>+IF(Tabla13[[#This Row],[Emitido USD]]&gt;0,1,-1)</f>
        <v>1</v>
      </c>
      <c r="L560" s="73">
        <v>46022</v>
      </c>
      <c r="M560" s="3">
        <v>3</v>
      </c>
      <c r="N560" s="22">
        <v>16723</v>
      </c>
      <c r="O560" s="6" t="s">
        <v>778</v>
      </c>
      <c r="P560" s="76">
        <v>46111</v>
      </c>
      <c r="Q560" s="3">
        <f>+IF(Tabla13[[#This Row],[Facturado USD]]&gt;0,1,-1)</f>
        <v>1</v>
      </c>
      <c r="R560" s="22">
        <v>16723</v>
      </c>
      <c r="S560" s="3">
        <f>+IF(Tabla13[[#This Row],[Ingresado USD]]&gt;0,1,-1)</f>
        <v>1</v>
      </c>
      <c r="T560" s="78">
        <v>46113</v>
      </c>
      <c r="U560" s="37">
        <v>16723</v>
      </c>
      <c r="V560" s="3" t="s">
        <v>409</v>
      </c>
    </row>
    <row r="561" spans="1:22" ht="12" hidden="1" x14ac:dyDescent="0.2">
      <c r="A561" s="3">
        <v>560</v>
      </c>
      <c r="B561" s="3" t="s">
        <v>72</v>
      </c>
      <c r="C56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NEXA_FEL2 Aripuana</v>
      </c>
      <c r="D561" s="3" t="s">
        <v>42</v>
      </c>
      <c r="E561" s="3" t="s">
        <v>249</v>
      </c>
      <c r="F561" s="3" t="s">
        <v>235</v>
      </c>
      <c r="G561" s="3">
        <v>2023</v>
      </c>
      <c r="H561" s="3">
        <f>+IF(Tabla13[[#This Row],[Proyectado USD]]&gt;0,1,-1)</f>
        <v>1</v>
      </c>
      <c r="I561" s="15">
        <v>45170</v>
      </c>
      <c r="J561" s="21">
        <v>52279</v>
      </c>
      <c r="K561" s="3">
        <f>+IF(Tabla13[[#This Row],[Emitido USD]]&gt;0,1,-1)</f>
        <v>1</v>
      </c>
      <c r="L561" s="73">
        <v>45194</v>
      </c>
      <c r="M561" s="3">
        <v>1</v>
      </c>
      <c r="N561" s="22">
        <v>11756</v>
      </c>
      <c r="O561" s="6">
        <v>10</v>
      </c>
      <c r="P561" s="76">
        <v>45203</v>
      </c>
      <c r="Q561" s="3">
        <f>+IF(Tabla13[[#This Row],[Facturado USD]]&gt;0,1,-1)</f>
        <v>1</v>
      </c>
      <c r="R561" s="22">
        <v>11644</v>
      </c>
      <c r="S561" s="3">
        <f>+IF(Tabla13[[#This Row],[Ingresado USD]]&gt;0,1,-1)</f>
        <v>1</v>
      </c>
      <c r="T561" s="78">
        <v>45267</v>
      </c>
      <c r="U561" s="22">
        <v>11644</v>
      </c>
    </row>
    <row r="562" spans="1:22" ht="12" hidden="1" x14ac:dyDescent="0.2">
      <c r="A562" s="3">
        <v>561</v>
      </c>
      <c r="B562" s="3" t="s">
        <v>72</v>
      </c>
      <c r="C56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NEXA_FEL2 Aripuana</v>
      </c>
      <c r="D562" s="3" t="s">
        <v>42</v>
      </c>
      <c r="E562" s="3" t="s">
        <v>249</v>
      </c>
      <c r="F562" s="3" t="s">
        <v>235</v>
      </c>
      <c r="G562" s="3">
        <v>2023</v>
      </c>
      <c r="H562" s="3">
        <f>+IF(Tabla13[[#This Row],[Proyectado USD]]&gt;0,1,-1)</f>
        <v>1</v>
      </c>
      <c r="I562" s="15">
        <v>45200</v>
      </c>
      <c r="J562" s="21">
        <v>106671</v>
      </c>
      <c r="K562" s="3">
        <f>+IF(Tabla13[[#This Row],[Emitido USD]]&gt;0,1,-1)</f>
        <v>1</v>
      </c>
      <c r="L562" s="73">
        <v>45222</v>
      </c>
      <c r="M562" s="34">
        <v>2</v>
      </c>
      <c r="N562" s="22">
        <v>16248.228013587199</v>
      </c>
      <c r="O562" s="20">
        <v>15</v>
      </c>
      <c r="P562" s="76">
        <v>45254</v>
      </c>
      <c r="Q562" s="3">
        <f>+IF(Tabla13[[#This Row],[Facturado USD]]&gt;0,1,-1)</f>
        <v>1</v>
      </c>
      <c r="R562" s="22">
        <v>15096.472620999999</v>
      </c>
      <c r="S562" s="3">
        <f>+IF(Tabla13[[#This Row],[Ingresado USD]]&gt;0,1,-1)</f>
        <v>1</v>
      </c>
      <c r="T562" s="78">
        <v>45329</v>
      </c>
      <c r="U562" s="22">
        <v>15405</v>
      </c>
    </row>
    <row r="563" spans="1:22" ht="12" hidden="1" x14ac:dyDescent="0.2">
      <c r="A563" s="3">
        <v>562</v>
      </c>
      <c r="B563" s="3" t="s">
        <v>72</v>
      </c>
      <c r="C56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NEXA_FEL2 Aripuana</v>
      </c>
      <c r="D563" s="3" t="s">
        <v>42</v>
      </c>
      <c r="E563" s="3" t="s">
        <v>249</v>
      </c>
      <c r="F563" s="3" t="s">
        <v>235</v>
      </c>
      <c r="G563" s="3">
        <v>2023</v>
      </c>
      <c r="H563" s="3">
        <f>+IF(Tabla13[[#This Row],[Proyectado USD]]&gt;0,1,-1)</f>
        <v>1</v>
      </c>
      <c r="I563" s="15">
        <v>45231</v>
      </c>
      <c r="J563" s="21">
        <v>71041.960000000006</v>
      </c>
      <c r="K563" s="3">
        <f>+IF(Tabla13[[#This Row],[Emitido USD]]&gt;0,1,-1)</f>
        <v>1</v>
      </c>
      <c r="L563" s="73">
        <v>45250</v>
      </c>
      <c r="M563" s="34">
        <v>3</v>
      </c>
      <c r="N563" s="22">
        <v>29518.362250826849</v>
      </c>
      <c r="O563" s="20">
        <v>18</v>
      </c>
      <c r="P563" s="76">
        <v>45261</v>
      </c>
      <c r="Q563" s="3">
        <f>+IF(Tabla13[[#This Row],[Facturado USD]]&gt;0,1,-1)</f>
        <v>1</v>
      </c>
      <c r="R563" s="22">
        <v>27425.952553000003</v>
      </c>
      <c r="S563" s="3">
        <f>+IF(Tabla13[[#This Row],[Ingresado USD]]&gt;0,1,-1)</f>
        <v>1</v>
      </c>
      <c r="T563" s="78">
        <v>45329</v>
      </c>
      <c r="U563" s="22">
        <v>27986</v>
      </c>
    </row>
    <row r="564" spans="1:22" ht="12" hidden="1" x14ac:dyDescent="0.2">
      <c r="A564" s="3">
        <v>563</v>
      </c>
      <c r="B564" s="3" t="s">
        <v>72</v>
      </c>
      <c r="C56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NEXA_FEL2 Aripuana</v>
      </c>
      <c r="D564" s="3" t="s">
        <v>42</v>
      </c>
      <c r="E564" s="3" t="s">
        <v>249</v>
      </c>
      <c r="F564" s="3" t="s">
        <v>235</v>
      </c>
      <c r="G564" s="3">
        <v>2023</v>
      </c>
      <c r="H564" s="3">
        <f>+IF(Tabla13[[#This Row],[Proyectado USD]]&gt;0,1,-1)</f>
        <v>1</v>
      </c>
      <c r="I564" s="15">
        <v>45261</v>
      </c>
      <c r="J564" s="21">
        <v>112739</v>
      </c>
      <c r="K564" s="3">
        <f>+IF(Tabla13[[#This Row],[Emitido USD]]&gt;0,1,-1)</f>
        <v>1</v>
      </c>
      <c r="L564" s="73">
        <v>45281</v>
      </c>
      <c r="M564" s="3">
        <v>4</v>
      </c>
      <c r="N564" s="22">
        <v>71027</v>
      </c>
      <c r="O564" s="6">
        <v>22</v>
      </c>
      <c r="P564" s="76">
        <v>45293</v>
      </c>
      <c r="Q564" s="3">
        <f>+IF(Tabla13[[#This Row],[Facturado USD]]&gt;0,1,-1)</f>
        <v>1</v>
      </c>
      <c r="R564" s="22">
        <v>67339</v>
      </c>
      <c r="S564" s="3">
        <f>+IF(Tabla13[[#This Row],[Ingresado USD]]&gt;0,1,-1)</f>
        <v>1</v>
      </c>
      <c r="T564" s="78">
        <v>45353</v>
      </c>
      <c r="U564" s="22">
        <v>67339</v>
      </c>
    </row>
    <row r="565" spans="1:22" ht="12" hidden="1" x14ac:dyDescent="0.2">
      <c r="A565" s="3">
        <v>564</v>
      </c>
      <c r="B565" s="3" t="s">
        <v>72</v>
      </c>
      <c r="C56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NEXA_FEL2 Aripuana</v>
      </c>
      <c r="D565" s="3" t="s">
        <v>42</v>
      </c>
      <c r="E565" s="3" t="s">
        <v>249</v>
      </c>
      <c r="F565" s="3" t="s">
        <v>235</v>
      </c>
      <c r="G565" s="3">
        <v>2024</v>
      </c>
      <c r="H565" s="3">
        <f>+IF(Tabla13[[#This Row],[Proyectado USD]]&gt;0,1,-1)</f>
        <v>1</v>
      </c>
      <c r="I565" s="15">
        <v>45292</v>
      </c>
      <c r="J565" s="49">
        <v>71918</v>
      </c>
      <c r="K565" s="3">
        <f>+IF(Tabla13[[#This Row],[Emitido USD]]&gt;0,1,-1)</f>
        <v>1</v>
      </c>
      <c r="L565" s="73">
        <v>45311</v>
      </c>
      <c r="M565" s="3">
        <v>5</v>
      </c>
      <c r="N565" s="22">
        <v>31925</v>
      </c>
      <c r="O565" s="6">
        <v>26</v>
      </c>
      <c r="P565" s="76">
        <v>45330</v>
      </c>
      <c r="Q565" s="3">
        <f>+IF(Tabla13[[#This Row],[Facturado USD]]&gt;0,1,-1)</f>
        <v>1</v>
      </c>
      <c r="R565" s="22">
        <v>24421</v>
      </c>
      <c r="S565" s="3">
        <f>+IF(Tabla13[[#This Row],[Ingresado USD]]&gt;0,1,-1)</f>
        <v>1</v>
      </c>
      <c r="T565" s="82">
        <v>45404</v>
      </c>
      <c r="U565" s="22">
        <v>24421</v>
      </c>
    </row>
    <row r="566" spans="1:22" ht="12" hidden="1" x14ac:dyDescent="0.2">
      <c r="A566" s="3">
        <v>565</v>
      </c>
      <c r="B566" s="3" t="s">
        <v>72</v>
      </c>
      <c r="C56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NEXA_FEL2 Aripuana</v>
      </c>
      <c r="D566" s="3" t="s">
        <v>42</v>
      </c>
      <c r="E566" s="3" t="s">
        <v>249</v>
      </c>
      <c r="F566" s="3" t="s">
        <v>235</v>
      </c>
      <c r="G566" s="3">
        <v>2024</v>
      </c>
      <c r="H566" s="3">
        <f>+IF(Tabla13[[#This Row],[Proyectado USD]]&gt;0,1,-1)</f>
        <v>1</v>
      </c>
      <c r="I566" s="15">
        <v>45413</v>
      </c>
      <c r="J566" s="21">
        <v>47364.081632653055</v>
      </c>
      <c r="K566" s="3">
        <f>+IF(Tabla13[[#This Row],[Emitido USD]]&gt;0,1,-1)</f>
        <v>1</v>
      </c>
      <c r="L566" s="73">
        <v>45498</v>
      </c>
      <c r="M566" s="3">
        <v>6</v>
      </c>
      <c r="N566" s="22">
        <v>43869</v>
      </c>
      <c r="O566" s="6">
        <v>42</v>
      </c>
      <c r="P566" s="76">
        <v>45498</v>
      </c>
      <c r="Q566" s="3">
        <f>+IF(Tabla13[[#This Row],[Facturado USD]]&gt;0,1,-1)</f>
        <v>1</v>
      </c>
      <c r="R566" s="22">
        <v>41088</v>
      </c>
      <c r="S566" s="3">
        <f>+IF(Tabla13[[#This Row],[Ingresado USD]]&gt;0,1,-1)</f>
        <v>1</v>
      </c>
      <c r="T566" s="78">
        <v>45572</v>
      </c>
      <c r="U566" s="22">
        <v>38146</v>
      </c>
    </row>
    <row r="567" spans="1:22" ht="12" hidden="1" x14ac:dyDescent="0.2">
      <c r="A567" s="3">
        <v>566</v>
      </c>
      <c r="B567" s="3" t="s">
        <v>640</v>
      </c>
      <c r="C56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NEXA_Peer Review Cerro Lindo</v>
      </c>
      <c r="D56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NEXA_Peer Review Cerro Lindo</v>
      </c>
      <c r="E567" s="3" t="s">
        <v>249</v>
      </c>
      <c r="F567" s="3" t="s">
        <v>318</v>
      </c>
      <c r="G567" s="3">
        <v>2025</v>
      </c>
      <c r="H567" s="3">
        <f>+IF(Tabla13[[#This Row],[Proyectado USD]]&gt;0,1,-1)</f>
        <v>-1</v>
      </c>
      <c r="I567" s="15"/>
      <c r="J567" s="21"/>
      <c r="K567" s="3">
        <f>+IF(Tabla13[[#This Row],[Emitido USD]]&gt;0,1,-1)</f>
        <v>1</v>
      </c>
      <c r="L567" s="73">
        <v>45954</v>
      </c>
      <c r="M567" s="3">
        <v>1</v>
      </c>
      <c r="N567" s="22">
        <v>29716</v>
      </c>
      <c r="O567" s="6" t="s">
        <v>650</v>
      </c>
      <c r="P567" s="76">
        <v>45960</v>
      </c>
      <c r="Q567" s="3">
        <f>+IF(Tabla13[[#This Row],[Facturado USD]]&gt;0,1,-1)</f>
        <v>1</v>
      </c>
      <c r="R567" s="22">
        <v>29716</v>
      </c>
      <c r="S567" s="3">
        <f>+IF(Tabla13[[#This Row],[Ingresado USD]]&gt;0,1,-1)</f>
        <v>1</v>
      </c>
      <c r="T567" s="78">
        <v>46029</v>
      </c>
      <c r="U567" s="22">
        <v>29716</v>
      </c>
    </row>
    <row r="568" spans="1:22" ht="12" x14ac:dyDescent="0.2">
      <c r="A568" s="3">
        <v>567</v>
      </c>
      <c r="B568" s="3" t="s">
        <v>163</v>
      </c>
      <c r="C56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NorGold</v>
      </c>
      <c r="D568" s="3" t="s">
        <v>26</v>
      </c>
      <c r="E568" s="3" t="s">
        <v>466</v>
      </c>
      <c r="F568" s="3" t="s">
        <v>465</v>
      </c>
      <c r="G568" s="3">
        <v>2023</v>
      </c>
      <c r="H568" s="3">
        <f>+IF(Tabla13[[#This Row],[Proyectado USD]]&gt;0,1,-1)</f>
        <v>-1</v>
      </c>
      <c r="I568" s="15"/>
      <c r="J568" s="21"/>
      <c r="K568" s="3">
        <f>+IF(Tabla13[[#This Row],[Emitido USD]]&gt;0,1,-1)</f>
        <v>1</v>
      </c>
      <c r="L568" s="73">
        <v>45098</v>
      </c>
      <c r="M568" s="3">
        <v>1</v>
      </c>
      <c r="N568" s="22">
        <v>43371</v>
      </c>
      <c r="O568" s="6" t="s">
        <v>164</v>
      </c>
      <c r="P568" s="76">
        <v>45098</v>
      </c>
      <c r="Q568" s="3">
        <f>+IF(Tabla13[[#This Row],[Facturado USD]]&gt;0,1,-1)</f>
        <v>1</v>
      </c>
      <c r="R568" s="22">
        <v>43371</v>
      </c>
      <c r="S568" s="3">
        <f>+IF(Tabla13[[#This Row],[Ingresado USD]]&gt;0,1,-1)</f>
        <v>1</v>
      </c>
      <c r="T568" s="78">
        <v>45223</v>
      </c>
      <c r="U568" s="22">
        <v>43371</v>
      </c>
      <c r="V568" s="3" t="s">
        <v>165</v>
      </c>
    </row>
    <row r="569" spans="1:22" ht="12" x14ac:dyDescent="0.2">
      <c r="A569" s="3">
        <v>568</v>
      </c>
      <c r="B569" s="3" t="s">
        <v>166</v>
      </c>
      <c r="C56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NORILSK1-FS</v>
      </c>
      <c r="D569" s="3" t="s">
        <v>27</v>
      </c>
      <c r="E569" s="3" t="s">
        <v>466</v>
      </c>
      <c r="F569" s="3" t="s">
        <v>465</v>
      </c>
      <c r="G569" s="3">
        <v>2023</v>
      </c>
      <c r="H569" s="3">
        <f>+IF(Tabla13[[#This Row],[Proyectado USD]]&gt;0,1,-1)</f>
        <v>-1</v>
      </c>
      <c r="I569" s="15"/>
      <c r="J569" s="21"/>
      <c r="K569" s="3">
        <f>+IF(Tabla13[[#This Row],[Emitido USD]]&gt;0,1,-1)</f>
        <v>1</v>
      </c>
      <c r="L569" s="73">
        <v>45009</v>
      </c>
      <c r="M569" s="3">
        <v>2</v>
      </c>
      <c r="N569" s="22">
        <v>46805</v>
      </c>
      <c r="O569" s="6" t="s">
        <v>164</v>
      </c>
      <c r="P569" s="76">
        <v>45092</v>
      </c>
      <c r="Q569" s="3">
        <f>+IF(Tabla13[[#This Row],[Facturado USD]]&gt;0,1,-1)</f>
        <v>1</v>
      </c>
      <c r="R569" s="22">
        <f>93610/2</f>
        <v>46805</v>
      </c>
      <c r="S569" s="3">
        <f>+IF(Tabla13[[#This Row],[Ingresado USD]]&gt;0,1,-1)</f>
        <v>1</v>
      </c>
      <c r="T569" s="78">
        <v>45092</v>
      </c>
      <c r="U569" s="22">
        <v>46805</v>
      </c>
      <c r="V569" s="3" t="s">
        <v>167</v>
      </c>
    </row>
    <row r="570" spans="1:22" ht="12" x14ac:dyDescent="0.2">
      <c r="A570" s="3">
        <v>569</v>
      </c>
      <c r="B570" s="3" t="s">
        <v>166</v>
      </c>
      <c r="C57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NORILSK1-FS</v>
      </c>
      <c r="D570" s="3" t="s">
        <v>27</v>
      </c>
      <c r="E570" s="3" t="s">
        <v>466</v>
      </c>
      <c r="F570" s="3" t="s">
        <v>465</v>
      </c>
      <c r="G570" s="3">
        <v>2023</v>
      </c>
      <c r="H570" s="3">
        <f>+IF(Tabla13[[#This Row],[Proyectado USD]]&gt;0,1,-1)</f>
        <v>-1</v>
      </c>
      <c r="I570" s="15"/>
      <c r="J570" s="21"/>
      <c r="K570" s="3">
        <f>+IF(Tabla13[[#This Row],[Emitido USD]]&gt;0,1,-1)</f>
        <v>1</v>
      </c>
      <c r="L570" s="73">
        <v>45009</v>
      </c>
      <c r="M570" s="3">
        <v>3</v>
      </c>
      <c r="N570" s="22">
        <v>46805</v>
      </c>
      <c r="O570" s="6" t="s">
        <v>164</v>
      </c>
      <c r="P570" s="76">
        <v>45187</v>
      </c>
      <c r="Q570" s="3">
        <f>+IF(Tabla13[[#This Row],[Facturado USD]]&gt;0,1,-1)</f>
        <v>1</v>
      </c>
      <c r="R570" s="22">
        <v>46805</v>
      </c>
      <c r="S570" s="3">
        <f>+IF(Tabla13[[#This Row],[Ingresado USD]]&gt;0,1,-1)</f>
        <v>1</v>
      </c>
      <c r="T570" s="78">
        <v>45187</v>
      </c>
      <c r="U570" s="22">
        <v>46805</v>
      </c>
    </row>
    <row r="571" spans="1:22" ht="12" x14ac:dyDescent="0.2">
      <c r="A571" s="3">
        <v>570</v>
      </c>
      <c r="B571" s="3" t="s">
        <v>166</v>
      </c>
      <c r="C57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NORILSK1-FS</v>
      </c>
      <c r="D571" s="3" t="s">
        <v>27</v>
      </c>
      <c r="E571" s="3" t="s">
        <v>466</v>
      </c>
      <c r="F571" s="3" t="s">
        <v>465</v>
      </c>
      <c r="G571" s="3">
        <v>2023</v>
      </c>
      <c r="H571" s="3">
        <f>+IF(Tabla13[[#This Row],[Proyectado USD]]&gt;0,1,-1)</f>
        <v>-1</v>
      </c>
      <c r="I571" s="15"/>
      <c r="J571" s="21"/>
      <c r="K571" s="3">
        <f>+IF(Tabla13[[#This Row],[Emitido USD]]&gt;0,1,-1)</f>
        <v>1</v>
      </c>
      <c r="L571" s="73">
        <v>45128</v>
      </c>
      <c r="M571" s="3">
        <v>4</v>
      </c>
      <c r="N571" s="22">
        <v>29854</v>
      </c>
      <c r="O571" s="6" t="s">
        <v>164</v>
      </c>
      <c r="P571" s="76">
        <v>45128</v>
      </c>
      <c r="Q571" s="3">
        <f>+IF(Tabla13[[#This Row],[Facturado USD]]&gt;0,1,-1)</f>
        <v>1</v>
      </c>
      <c r="R571" s="22">
        <v>29854</v>
      </c>
      <c r="S571" s="3">
        <f>+IF(Tabla13[[#This Row],[Ingresado USD]]&gt;0,1,-1)</f>
        <v>1</v>
      </c>
      <c r="T571" s="78">
        <v>45169</v>
      </c>
      <c r="U571" s="22">
        <v>29854</v>
      </c>
      <c r="V571" s="3" t="s">
        <v>168</v>
      </c>
    </row>
    <row r="572" spans="1:22" ht="12" x14ac:dyDescent="0.2">
      <c r="A572" s="3">
        <v>571</v>
      </c>
      <c r="B572" s="3" t="s">
        <v>166</v>
      </c>
      <c r="C57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NORILSK1-FS</v>
      </c>
      <c r="D572" s="3" t="s">
        <v>27</v>
      </c>
      <c r="E572" s="3" t="s">
        <v>466</v>
      </c>
      <c r="F572" s="3" t="s">
        <v>465</v>
      </c>
      <c r="G572" s="3">
        <v>2023</v>
      </c>
      <c r="H572" s="3">
        <f>+IF(Tabla13[[#This Row],[Proyectado USD]]&gt;0,1,-1)</f>
        <v>-1</v>
      </c>
      <c r="I572" s="15"/>
      <c r="J572" s="21"/>
      <c r="K572" s="3">
        <f>+IF(Tabla13[[#This Row],[Emitido USD]]&gt;0,1,-1)</f>
        <v>1</v>
      </c>
      <c r="L572" s="73">
        <v>45159</v>
      </c>
      <c r="M572" s="3">
        <v>5</v>
      </c>
      <c r="N572" s="22">
        <v>29854</v>
      </c>
      <c r="O572" s="6" t="s">
        <v>164</v>
      </c>
      <c r="P572" s="76">
        <v>45289</v>
      </c>
      <c r="Q572" s="3">
        <f>+IF(Tabla13[[#This Row],[Facturado USD]]&gt;0,1,-1)</f>
        <v>1</v>
      </c>
      <c r="R572" s="22">
        <v>29854</v>
      </c>
      <c r="S572" s="3">
        <f>+IF(Tabla13[[#This Row],[Ingresado USD]]&gt;0,1,-1)</f>
        <v>1</v>
      </c>
      <c r="T572" s="78">
        <v>45289</v>
      </c>
      <c r="U572" s="22">
        <v>29854</v>
      </c>
      <c r="V572" s="3" t="s">
        <v>467</v>
      </c>
    </row>
    <row r="573" spans="1:22" ht="12" hidden="1" x14ac:dyDescent="0.2">
      <c r="A573" s="3">
        <v>572</v>
      </c>
      <c r="B573" s="3" t="s">
        <v>425</v>
      </c>
      <c r="C57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OCP_Análisis Estratégico Mina Cobriza</v>
      </c>
      <c r="D573" s="3" t="s">
        <v>213</v>
      </c>
      <c r="E573" s="3" t="s">
        <v>426</v>
      </c>
      <c r="F573" s="3" t="s">
        <v>318</v>
      </c>
      <c r="G573" s="3">
        <v>2025</v>
      </c>
      <c r="H573" s="3">
        <f>+IF(Tabla13[[#This Row],[Proyectado USD]]&gt;0,1,-1)</f>
        <v>-1</v>
      </c>
      <c r="I573" s="15"/>
      <c r="J573" s="21"/>
      <c r="K573" s="3">
        <f>+IF(Tabla13[[#This Row],[Emitido USD]]&gt;0,1,-1)</f>
        <v>1</v>
      </c>
      <c r="L573" s="73">
        <v>45747</v>
      </c>
      <c r="M573" s="3">
        <v>1</v>
      </c>
      <c r="N573" s="22">
        <v>59500</v>
      </c>
      <c r="O573" s="6" t="s">
        <v>427</v>
      </c>
      <c r="P573" s="76">
        <v>45751</v>
      </c>
      <c r="Q573" s="3">
        <f>+IF(Tabla13[[#This Row],[Facturado USD]]&gt;0,1,-1)</f>
        <v>1</v>
      </c>
      <c r="R573" s="22">
        <v>110077</v>
      </c>
      <c r="S573" s="3">
        <f>+IF(Tabla13[[#This Row],[Ingresado USD]]&gt;0,1,-1)</f>
        <v>1</v>
      </c>
      <c r="T573" s="78">
        <v>45755</v>
      </c>
      <c r="U573" s="22">
        <v>110077</v>
      </c>
    </row>
    <row r="574" spans="1:22" ht="12" hidden="1" x14ac:dyDescent="0.2">
      <c r="A574" s="3">
        <v>573</v>
      </c>
      <c r="B574" s="3" t="s">
        <v>425</v>
      </c>
      <c r="C57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OCP_Análisis Estratégico Mina Cobriza</v>
      </c>
      <c r="D574" s="3" t="s">
        <v>213</v>
      </c>
      <c r="E574" s="3" t="s">
        <v>426</v>
      </c>
      <c r="F574" s="3" t="s">
        <v>318</v>
      </c>
      <c r="G574" s="3">
        <v>2025</v>
      </c>
      <c r="H574" s="3">
        <f>+IF(Tabla13[[#This Row],[Proyectado USD]]&gt;0,1,-1)</f>
        <v>-1</v>
      </c>
      <c r="I574" s="15"/>
      <c r="J574" s="21"/>
      <c r="K574" s="3">
        <f>+IF(Tabla13[[#This Row],[Emitido USD]]&gt;0,1,-1)</f>
        <v>1</v>
      </c>
      <c r="L574" s="73">
        <v>45776</v>
      </c>
      <c r="M574" s="3">
        <v>2</v>
      </c>
      <c r="N574" s="22">
        <v>60000</v>
      </c>
      <c r="O574" s="6" t="s">
        <v>428</v>
      </c>
      <c r="P574" s="76">
        <v>45791</v>
      </c>
      <c r="Q574" s="3">
        <f>+IF(Tabla13[[#This Row],[Facturado USD]]&gt;0,1,-1)</f>
        <v>1</v>
      </c>
      <c r="R574" s="22">
        <v>110077</v>
      </c>
      <c r="S574" s="3">
        <f>+IF(Tabla13[[#This Row],[Ingresado USD]]&gt;0,1,-1)</f>
        <v>1</v>
      </c>
      <c r="T574" s="78">
        <v>45826</v>
      </c>
      <c r="U574" s="22">
        <v>110077</v>
      </c>
    </row>
    <row r="575" spans="1:22" ht="12" hidden="1" x14ac:dyDescent="0.2">
      <c r="A575" s="3">
        <v>574</v>
      </c>
      <c r="B575" s="3" t="s">
        <v>425</v>
      </c>
      <c r="C57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OCP_Análisis Estratégico Mina Cobriza</v>
      </c>
      <c r="D575" s="3" t="s">
        <v>213</v>
      </c>
      <c r="E575" s="3" t="s">
        <v>426</v>
      </c>
      <c r="F575" s="3" t="s">
        <v>318</v>
      </c>
      <c r="G575" s="3">
        <v>2025</v>
      </c>
      <c r="H575" s="3">
        <f>+IF(Tabla13[[#This Row],[Proyectado USD]]&gt;0,1,-1)</f>
        <v>-1</v>
      </c>
      <c r="I575" s="15"/>
      <c r="J575" s="21"/>
      <c r="K575" s="3">
        <f>+IF(Tabla13[[#This Row],[Emitido USD]]&gt;0,1,-1)</f>
        <v>-1</v>
      </c>
      <c r="L575" s="73"/>
      <c r="M575" s="3" t="s">
        <v>630</v>
      </c>
      <c r="N575" s="22">
        <v>0</v>
      </c>
      <c r="O575" s="25" t="s">
        <v>429</v>
      </c>
      <c r="P575" s="76">
        <v>45838</v>
      </c>
      <c r="Q575" s="3">
        <f>+IF(Tabla13[[#This Row],[Facturado USD]]&gt;0,1,-1)</f>
        <v>1</v>
      </c>
      <c r="R575" s="22">
        <v>52800</v>
      </c>
      <c r="S575" s="3">
        <f>+IF(Tabla13[[#This Row],[Ingresado USD]]&gt;0,1,-1)</f>
        <v>1</v>
      </c>
      <c r="T575" s="78">
        <v>45840</v>
      </c>
      <c r="U575" s="22">
        <v>52800</v>
      </c>
    </row>
    <row r="576" spans="1:22" ht="12" hidden="1" x14ac:dyDescent="0.2">
      <c r="A576" s="3">
        <v>575</v>
      </c>
      <c r="B576" s="3" t="s">
        <v>425</v>
      </c>
      <c r="C57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OCP_Análisis Estratégico Mina Cobriza</v>
      </c>
      <c r="D576" s="3" t="s">
        <v>213</v>
      </c>
      <c r="E576" s="3" t="s">
        <v>426</v>
      </c>
      <c r="F576" s="3" t="s">
        <v>318</v>
      </c>
      <c r="G576" s="3">
        <v>2025</v>
      </c>
      <c r="H576" s="3">
        <f>+IF(Tabla13[[#This Row],[Proyectado USD]]&gt;0,1,-1)</f>
        <v>-1</v>
      </c>
      <c r="I576" s="15"/>
      <c r="J576" s="21"/>
      <c r="K576" s="3">
        <f>+IF(Tabla13[[#This Row],[Emitido USD]]&gt;0,1,-1)</f>
        <v>-1</v>
      </c>
      <c r="L576" s="73"/>
      <c r="M576" s="3" t="s">
        <v>630</v>
      </c>
      <c r="N576" s="22">
        <v>0</v>
      </c>
      <c r="O576" s="25" t="s">
        <v>430</v>
      </c>
      <c r="P576" s="76">
        <v>45838</v>
      </c>
      <c r="Q576" s="3">
        <f>+IF(Tabla13[[#This Row],[Facturado USD]]&gt;0,1,-1)</f>
        <v>1</v>
      </c>
      <c r="R576" s="50">
        <v>26382</v>
      </c>
      <c r="S576" s="3">
        <f>+IF(Tabla13[[#This Row],[Ingresado USD]]&gt;0,1,-1)</f>
        <v>1</v>
      </c>
      <c r="T576" s="78">
        <v>45876</v>
      </c>
      <c r="U576" s="49">
        <v>26382</v>
      </c>
    </row>
    <row r="577" spans="1:22" ht="12" hidden="1" x14ac:dyDescent="0.2">
      <c r="A577" s="3">
        <v>576</v>
      </c>
      <c r="B577" s="3" t="s">
        <v>425</v>
      </c>
      <c r="C57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OCP_Análisis Estratégico Mina Cobriza</v>
      </c>
      <c r="D577" s="3" t="s">
        <v>213</v>
      </c>
      <c r="E577" s="3" t="s">
        <v>426</v>
      </c>
      <c r="F577" s="3" t="s">
        <v>318</v>
      </c>
      <c r="G577" s="3">
        <v>2025</v>
      </c>
      <c r="H577" s="3">
        <f>+IF(Tabla13[[#This Row],[Proyectado USD]]&gt;0,1,-1)</f>
        <v>-1</v>
      </c>
      <c r="I577" s="15"/>
      <c r="J577" s="21"/>
      <c r="K577" s="3">
        <f>+IF(Tabla13[[#This Row],[Emitido USD]]&gt;0,1,-1)</f>
        <v>-1</v>
      </c>
      <c r="L577" s="73"/>
      <c r="M577" s="3" t="s">
        <v>630</v>
      </c>
      <c r="N577" s="22">
        <v>0</v>
      </c>
      <c r="O577" s="25" t="s">
        <v>566</v>
      </c>
      <c r="P577" s="76">
        <v>45876</v>
      </c>
      <c r="Q577" s="3">
        <f>+IF(Tabla13[[#This Row],[Facturado USD]]&gt;0,1,-1)</f>
        <v>1</v>
      </c>
      <c r="R577" s="50">
        <v>41183</v>
      </c>
      <c r="S577" s="3">
        <f>+IF(Tabla13[[#This Row],[Ingresado USD]]&gt;0,1,-1)</f>
        <v>1</v>
      </c>
      <c r="T577" s="78">
        <v>45887</v>
      </c>
      <c r="U577" s="21">
        <v>41183</v>
      </c>
    </row>
    <row r="578" spans="1:22" ht="12" x14ac:dyDescent="0.2">
      <c r="A578" s="3">
        <v>577</v>
      </c>
      <c r="B578" s="3" t="s">
        <v>169</v>
      </c>
      <c r="C57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OKT-NFM-FS</v>
      </c>
      <c r="D578" s="3" t="s">
        <v>28</v>
      </c>
      <c r="E578" s="3" t="s">
        <v>466</v>
      </c>
      <c r="F578" s="3" t="s">
        <v>465</v>
      </c>
      <c r="G578" s="3">
        <v>2023</v>
      </c>
      <c r="H578" s="3">
        <f>+IF(Tabla13[[#This Row],[Proyectado USD]]&gt;0,1,-1)</f>
        <v>-1</v>
      </c>
      <c r="I578" s="15"/>
      <c r="J578" s="21"/>
      <c r="K578" s="3">
        <f>+IF(Tabla13[[#This Row],[Emitido USD]]&gt;0,1,-1)</f>
        <v>1</v>
      </c>
      <c r="L578" s="73">
        <v>45009</v>
      </c>
      <c r="M578" s="3">
        <v>1</v>
      </c>
      <c r="N578" s="22">
        <v>42832</v>
      </c>
      <c r="O578" s="6" t="s">
        <v>164</v>
      </c>
      <c r="P578" s="76">
        <v>45009</v>
      </c>
      <c r="Q578" s="3">
        <f>+IF(Tabla13[[#This Row],[Facturado USD]]&gt;0,1,-1)</f>
        <v>1</v>
      </c>
      <c r="R578" s="22">
        <v>42832</v>
      </c>
      <c r="S578" s="3">
        <f>+IF(Tabla13[[#This Row],[Ingresado USD]]&gt;0,1,-1)</f>
        <v>1</v>
      </c>
      <c r="T578" s="78">
        <v>45134</v>
      </c>
      <c r="U578" s="22">
        <v>42832</v>
      </c>
      <c r="V578" s="3" t="s">
        <v>165</v>
      </c>
    </row>
    <row r="579" spans="1:22" ht="12" x14ac:dyDescent="0.2">
      <c r="A579" s="3">
        <v>578</v>
      </c>
      <c r="B579" s="3" t="s">
        <v>169</v>
      </c>
      <c r="C57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OKT-NFM-FS</v>
      </c>
      <c r="D579" s="3" t="s">
        <v>28</v>
      </c>
      <c r="E579" s="3" t="s">
        <v>466</v>
      </c>
      <c r="F579" s="3" t="s">
        <v>465</v>
      </c>
      <c r="G579" s="3">
        <v>2023</v>
      </c>
      <c r="H579" s="3">
        <f>+IF(Tabla13[[#This Row],[Proyectado USD]]&gt;0,1,-1)</f>
        <v>-1</v>
      </c>
      <c r="I579" s="15"/>
      <c r="J579" s="21"/>
      <c r="K579" s="3">
        <f>+IF(Tabla13[[#This Row],[Emitido USD]]&gt;0,1,-1)</f>
        <v>1</v>
      </c>
      <c r="L579" s="73">
        <v>45067</v>
      </c>
      <c r="M579" s="3">
        <v>2</v>
      </c>
      <c r="N579" s="22">
        <v>24055</v>
      </c>
      <c r="O579" s="6" t="s">
        <v>164</v>
      </c>
      <c r="P579" s="76">
        <v>45067</v>
      </c>
      <c r="Q579" s="3">
        <f>+IF(Tabla13[[#This Row],[Facturado USD]]&gt;0,1,-1)</f>
        <v>1</v>
      </c>
      <c r="R579" s="22">
        <v>24055</v>
      </c>
      <c r="S579" s="3">
        <f>+IF(Tabla13[[#This Row],[Ingresado USD]]&gt;0,1,-1)</f>
        <v>1</v>
      </c>
      <c r="T579" s="76">
        <v>45134</v>
      </c>
      <c r="U579" s="22">
        <v>24055</v>
      </c>
      <c r="V579" s="3" t="s">
        <v>165</v>
      </c>
    </row>
    <row r="580" spans="1:22" ht="12" x14ac:dyDescent="0.2">
      <c r="A580" s="3">
        <v>579</v>
      </c>
      <c r="B580" s="3" t="s">
        <v>169</v>
      </c>
      <c r="C58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OKT-NFM-FS</v>
      </c>
      <c r="D580" s="3" t="s">
        <v>28</v>
      </c>
      <c r="E580" s="3" t="s">
        <v>466</v>
      </c>
      <c r="F580" s="3" t="s">
        <v>465</v>
      </c>
      <c r="G580" s="3">
        <v>2023</v>
      </c>
      <c r="H580" s="3">
        <f>+IF(Tabla13[[#This Row],[Proyectado USD]]&gt;0,1,-1)</f>
        <v>-1</v>
      </c>
      <c r="I580" s="15"/>
      <c r="J580" s="21"/>
      <c r="K580" s="3">
        <f>+IF(Tabla13[[#This Row],[Emitido USD]]&gt;0,1,-1)</f>
        <v>1</v>
      </c>
      <c r="L580" s="73">
        <v>45098</v>
      </c>
      <c r="M580" s="3">
        <v>3</v>
      </c>
      <c r="N580" s="22">
        <v>57086</v>
      </c>
      <c r="O580" s="6" t="s">
        <v>164</v>
      </c>
      <c r="P580" s="76">
        <v>45098</v>
      </c>
      <c r="Q580" s="3">
        <f>+IF(Tabla13[[#This Row],[Facturado USD]]&gt;0,1,-1)</f>
        <v>1</v>
      </c>
      <c r="R580" s="22">
        <v>57086</v>
      </c>
      <c r="S580" s="3">
        <f>+IF(Tabla13[[#This Row],[Ingresado USD]]&gt;0,1,-1)</f>
        <v>1</v>
      </c>
      <c r="T580" s="78">
        <v>45168</v>
      </c>
      <c r="U580" s="22">
        <v>57086</v>
      </c>
      <c r="V580" s="3" t="s">
        <v>165</v>
      </c>
    </row>
    <row r="581" spans="1:22" ht="12" hidden="1" x14ac:dyDescent="0.2">
      <c r="A581" s="3">
        <v>580</v>
      </c>
      <c r="B581" s="3" t="s">
        <v>102</v>
      </c>
      <c r="C58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Pelambres</v>
      </c>
      <c r="D581" s="3" t="s">
        <v>24</v>
      </c>
      <c r="E581" s="3" t="s">
        <v>254</v>
      </c>
      <c r="F581" s="3" t="s">
        <v>251</v>
      </c>
      <c r="G581" s="3">
        <v>2023</v>
      </c>
      <c r="H581" s="3">
        <f>+IF(Tabla13[[#This Row],[Proyectado USD]]&gt;0,1,-1)</f>
        <v>-1</v>
      </c>
      <c r="I581" s="15"/>
      <c r="J581" s="21"/>
      <c r="K581" s="3">
        <f>+IF(Tabla13[[#This Row],[Emitido USD]]&gt;0,1,-1)</f>
        <v>1</v>
      </c>
      <c r="L581" s="73">
        <v>44916</v>
      </c>
      <c r="M581" s="3">
        <v>2</v>
      </c>
      <c r="N581" s="22">
        <v>101539.27374999999</v>
      </c>
      <c r="O581" s="6">
        <v>43</v>
      </c>
      <c r="P581" s="76">
        <v>44944</v>
      </c>
      <c r="Q581" s="3">
        <f>+IF(Tabla13[[#This Row],[Facturado USD]]&gt;0,1,-1)</f>
        <v>1</v>
      </c>
      <c r="R581" s="22">
        <v>101539.27374999999</v>
      </c>
      <c r="S581" s="3">
        <f>+IF(Tabla13[[#This Row],[Ingresado USD]]&gt;0,1,-1)</f>
        <v>1</v>
      </c>
      <c r="T581" s="78">
        <v>44953</v>
      </c>
      <c r="U581" s="22">
        <v>101539.27</v>
      </c>
    </row>
    <row r="582" spans="1:22" ht="12" hidden="1" x14ac:dyDescent="0.2">
      <c r="A582" s="3">
        <v>581</v>
      </c>
      <c r="B582" s="3" t="s">
        <v>102</v>
      </c>
      <c r="C58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Pelambres</v>
      </c>
      <c r="D582" s="3" t="s">
        <v>24</v>
      </c>
      <c r="E582" s="3" t="s">
        <v>254</v>
      </c>
      <c r="F582" s="3" t="s">
        <v>251</v>
      </c>
      <c r="G582" s="3">
        <v>2023</v>
      </c>
      <c r="H582" s="3">
        <f>+IF(Tabla13[[#This Row],[Proyectado USD]]&gt;0,1,-1)</f>
        <v>-1</v>
      </c>
      <c r="I582" s="15"/>
      <c r="J582" s="21"/>
      <c r="K582" s="3">
        <f>+IF(Tabla13[[#This Row],[Emitido USD]]&gt;0,1,-1)</f>
        <v>1</v>
      </c>
      <c r="L582" s="73">
        <v>44978</v>
      </c>
      <c r="M582" s="3">
        <v>3</v>
      </c>
      <c r="N582" s="22">
        <v>44245.945</v>
      </c>
      <c r="O582" s="6">
        <v>53</v>
      </c>
      <c r="P582" s="76">
        <v>44991</v>
      </c>
      <c r="Q582" s="3">
        <f>+IF(Tabla13[[#This Row],[Facturado USD]]&gt;0,1,-1)</f>
        <v>1</v>
      </c>
      <c r="R582" s="22">
        <v>44245.945</v>
      </c>
      <c r="S582" s="3">
        <f>+IF(Tabla13[[#This Row],[Ingresado USD]]&gt;0,1,-1)</f>
        <v>1</v>
      </c>
      <c r="T582" s="78">
        <v>44995</v>
      </c>
      <c r="U582" s="22">
        <v>44245.945</v>
      </c>
    </row>
    <row r="583" spans="1:22" ht="12" hidden="1" x14ac:dyDescent="0.2">
      <c r="A583" s="3">
        <v>582</v>
      </c>
      <c r="B583" s="3" t="s">
        <v>102</v>
      </c>
      <c r="C58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Pelambres</v>
      </c>
      <c r="D583" s="3" t="s">
        <v>24</v>
      </c>
      <c r="E583" s="3" t="s">
        <v>254</v>
      </c>
      <c r="F583" s="3" t="s">
        <v>251</v>
      </c>
      <c r="G583" s="3">
        <v>2023</v>
      </c>
      <c r="H583" s="3">
        <f>+IF(Tabla13[[#This Row],[Proyectado USD]]&gt;0,1,-1)</f>
        <v>-1</v>
      </c>
      <c r="I583" s="15"/>
      <c r="J583" s="21"/>
      <c r="K583" s="3">
        <f>+IF(Tabla13[[#This Row],[Emitido USD]]&gt;0,1,-1)</f>
        <v>1</v>
      </c>
      <c r="L583" s="73">
        <v>44978</v>
      </c>
      <c r="M583" s="3">
        <v>4</v>
      </c>
      <c r="N583" s="22">
        <v>51627.707499999997</v>
      </c>
      <c r="O583" s="6">
        <v>58</v>
      </c>
      <c r="P583" s="76">
        <v>45013</v>
      </c>
      <c r="Q583" s="3">
        <f>+IF(Tabla13[[#This Row],[Facturado USD]]&gt;0,1,-1)</f>
        <v>1</v>
      </c>
      <c r="R583" s="22">
        <v>51627.707499999997</v>
      </c>
      <c r="S583" s="3">
        <f>+IF(Tabla13[[#This Row],[Ingresado USD]]&gt;0,1,-1)</f>
        <v>1</v>
      </c>
      <c r="T583" s="78">
        <v>45022</v>
      </c>
      <c r="U583" s="22">
        <v>51627.707499999997</v>
      </c>
    </row>
    <row r="584" spans="1:22" ht="12" hidden="1" x14ac:dyDescent="0.2">
      <c r="A584" s="3">
        <v>583</v>
      </c>
      <c r="B584" s="3" t="s">
        <v>102</v>
      </c>
      <c r="C58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Pelambres</v>
      </c>
      <c r="D584" s="3" t="s">
        <v>24</v>
      </c>
      <c r="E584" s="3" t="s">
        <v>254</v>
      </c>
      <c r="F584" s="3" t="s">
        <v>251</v>
      </c>
      <c r="G584" s="3">
        <v>2023</v>
      </c>
      <c r="H584" s="3">
        <f>+IF(Tabla13[[#This Row],[Proyectado USD]]&gt;0,1,-1)</f>
        <v>-1</v>
      </c>
      <c r="I584" s="15"/>
      <c r="J584" s="21"/>
      <c r="K584" s="3">
        <f>+IF(Tabla13[[#This Row],[Emitido USD]]&gt;0,1,-1)</f>
        <v>1</v>
      </c>
      <c r="L584" s="73">
        <v>45006</v>
      </c>
      <c r="M584" s="3">
        <v>5</v>
      </c>
      <c r="N584" s="22">
        <v>30102.715</v>
      </c>
      <c r="O584" s="6">
        <v>64</v>
      </c>
      <c r="P584" s="76">
        <v>45030</v>
      </c>
      <c r="Q584" s="3">
        <f>+IF(Tabla13[[#This Row],[Facturado USD]]&gt;0,1,-1)</f>
        <v>1</v>
      </c>
      <c r="R584" s="22">
        <v>30102.715</v>
      </c>
      <c r="S584" s="3">
        <f>+IF(Tabla13[[#This Row],[Ingresado USD]]&gt;0,1,-1)</f>
        <v>1</v>
      </c>
      <c r="T584" s="78">
        <v>45037</v>
      </c>
      <c r="U584" s="22">
        <v>30102.715</v>
      </c>
    </row>
    <row r="585" spans="1:22" ht="12" hidden="1" x14ac:dyDescent="0.2">
      <c r="A585" s="3">
        <v>584</v>
      </c>
      <c r="B585" s="3" t="s">
        <v>102</v>
      </c>
      <c r="C58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Pelambres</v>
      </c>
      <c r="D585" s="3" t="s">
        <v>24</v>
      </c>
      <c r="E585" s="3" t="s">
        <v>254</v>
      </c>
      <c r="F585" s="3" t="s">
        <v>251</v>
      </c>
      <c r="G585" s="3">
        <v>2023</v>
      </c>
      <c r="H585" s="3">
        <f>+IF(Tabla13[[#This Row],[Proyectado USD]]&gt;0,1,-1)</f>
        <v>-1</v>
      </c>
      <c r="I585" s="15"/>
      <c r="J585" s="21"/>
      <c r="K585" s="3">
        <f>+IF(Tabla13[[#This Row],[Emitido USD]]&gt;0,1,-1)</f>
        <v>1</v>
      </c>
      <c r="L585" s="73">
        <v>45037</v>
      </c>
      <c r="M585" s="3">
        <v>6</v>
      </c>
      <c r="N585" s="22">
        <v>47249</v>
      </c>
      <c r="O585" s="6">
        <v>82</v>
      </c>
      <c r="P585" s="76">
        <v>45090</v>
      </c>
      <c r="Q585" s="3">
        <f>+IF(Tabla13[[#This Row],[Facturado USD]]&gt;0,1,-1)</f>
        <v>1</v>
      </c>
      <c r="R585" s="22">
        <v>47227</v>
      </c>
      <c r="S585" s="3">
        <f>+IF(Tabla13[[#This Row],[Ingresado USD]]&gt;0,1,-1)</f>
        <v>1</v>
      </c>
      <c r="T585" s="76">
        <v>45093</v>
      </c>
      <c r="U585" s="22">
        <v>46950.23</v>
      </c>
    </row>
    <row r="586" spans="1:22" ht="12" hidden="1" x14ac:dyDescent="0.2">
      <c r="A586" s="3">
        <v>585</v>
      </c>
      <c r="B586" s="3" t="s">
        <v>102</v>
      </c>
      <c r="C58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Pelambres</v>
      </c>
      <c r="D586" s="3" t="s">
        <v>24</v>
      </c>
      <c r="E586" s="3" t="s">
        <v>254</v>
      </c>
      <c r="F586" s="3" t="s">
        <v>251</v>
      </c>
      <c r="G586" s="3">
        <v>2023</v>
      </c>
      <c r="H586" s="3">
        <f>+IF(Tabla13[[#This Row],[Proyectado USD]]&gt;0,1,-1)</f>
        <v>-1</v>
      </c>
      <c r="I586" s="15"/>
      <c r="J586" s="21"/>
      <c r="K586" s="3">
        <f>+IF(Tabla13[[#This Row],[Emitido USD]]&gt;0,1,-1)</f>
        <v>1</v>
      </c>
      <c r="L586" s="73">
        <v>45098</v>
      </c>
      <c r="M586" s="3">
        <v>7</v>
      </c>
      <c r="N586" s="22">
        <v>8632.2900000000009</v>
      </c>
      <c r="O586" s="6">
        <v>83</v>
      </c>
      <c r="P586" s="76">
        <v>45096</v>
      </c>
      <c r="Q586" s="3">
        <f>+IF(Tabla13[[#This Row],[Facturado USD]]&gt;0,1,-1)</f>
        <v>1</v>
      </c>
      <c r="R586" s="22">
        <v>8548.0499999999993</v>
      </c>
      <c r="S586" s="3">
        <f>+IF(Tabla13[[#This Row],[Ingresado USD]]&gt;0,1,-1)</f>
        <v>1</v>
      </c>
      <c r="T586" s="78">
        <v>45100</v>
      </c>
      <c r="U586" s="22">
        <v>8548.0499999999993</v>
      </c>
    </row>
    <row r="587" spans="1:22" ht="12" hidden="1" x14ac:dyDescent="0.2">
      <c r="A587" s="3">
        <v>586</v>
      </c>
      <c r="B587" s="3" t="s">
        <v>102</v>
      </c>
      <c r="C58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Pelambres</v>
      </c>
      <c r="D587" s="3" t="s">
        <v>24</v>
      </c>
      <c r="E587" s="3" t="s">
        <v>254</v>
      </c>
      <c r="F587" s="3" t="s">
        <v>251</v>
      </c>
      <c r="G587" s="3">
        <v>2023</v>
      </c>
      <c r="H587" s="3">
        <f>+IF(Tabla13[[#This Row],[Proyectado USD]]&gt;0,1,-1)</f>
        <v>-1</v>
      </c>
      <c r="I587" s="15"/>
      <c r="J587" s="21"/>
      <c r="K587" s="3">
        <f>+IF(Tabla13[[#This Row],[Emitido USD]]&gt;0,1,-1)</f>
        <v>1</v>
      </c>
      <c r="L587" s="73">
        <v>45098</v>
      </c>
      <c r="M587" s="3">
        <v>8</v>
      </c>
      <c r="N587" s="22">
        <v>44744.56</v>
      </c>
      <c r="O587" s="6">
        <v>90</v>
      </c>
      <c r="P587" s="76">
        <v>45117</v>
      </c>
      <c r="Q587" s="3">
        <f>+IF(Tabla13[[#This Row],[Facturado USD]]&gt;0,1,-1)</f>
        <v>1</v>
      </c>
      <c r="R587" s="22">
        <v>44745</v>
      </c>
      <c r="S587" s="3">
        <f>+IF(Tabla13[[#This Row],[Ingresado USD]]&gt;0,1,-1)</f>
        <v>1</v>
      </c>
      <c r="T587" s="78">
        <v>45121</v>
      </c>
      <c r="U587" s="22">
        <v>44745</v>
      </c>
    </row>
    <row r="588" spans="1:22" ht="12" hidden="1" x14ac:dyDescent="0.2">
      <c r="A588" s="3">
        <v>587</v>
      </c>
      <c r="B588" s="3" t="s">
        <v>102</v>
      </c>
      <c r="C58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Pelambres</v>
      </c>
      <c r="D588" s="3" t="s">
        <v>24</v>
      </c>
      <c r="E588" s="3" t="s">
        <v>254</v>
      </c>
      <c r="F588" s="3" t="s">
        <v>251</v>
      </c>
      <c r="G588" s="3">
        <v>2023</v>
      </c>
      <c r="H588" s="3">
        <f>+IF(Tabla13[[#This Row],[Proyectado USD]]&gt;0,1,-1)</f>
        <v>-1</v>
      </c>
      <c r="I588" s="15"/>
      <c r="J588" s="21"/>
      <c r="K588" s="3">
        <f>+IF(Tabla13[[#This Row],[Emitido USD]]&gt;0,1,-1)</f>
        <v>1</v>
      </c>
      <c r="L588" s="73">
        <v>45128</v>
      </c>
      <c r="M588" s="3">
        <v>9</v>
      </c>
      <c r="N588" s="22">
        <v>10549.27</v>
      </c>
      <c r="O588" s="6">
        <v>97</v>
      </c>
      <c r="P588" s="76">
        <v>45141</v>
      </c>
      <c r="Q588" s="3">
        <f>+IF(Tabla13[[#This Row],[Facturado USD]]&gt;0,1,-1)</f>
        <v>1</v>
      </c>
      <c r="R588" s="22">
        <v>10549</v>
      </c>
      <c r="S588" s="3">
        <f>+IF(Tabla13[[#This Row],[Ingresado USD]]&gt;0,1,-1)</f>
        <v>1</v>
      </c>
      <c r="T588" s="78">
        <v>45149</v>
      </c>
      <c r="U588" s="22">
        <v>10549</v>
      </c>
    </row>
    <row r="589" spans="1:22" ht="12" hidden="1" x14ac:dyDescent="0.2">
      <c r="A589" s="3">
        <v>588</v>
      </c>
      <c r="B589" s="3" t="s">
        <v>142</v>
      </c>
      <c r="C58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PFS Los Calatos</v>
      </c>
      <c r="D589" s="3" t="s">
        <v>47</v>
      </c>
      <c r="E589" s="3" t="s">
        <v>708</v>
      </c>
      <c r="F589" s="3" t="s">
        <v>318</v>
      </c>
      <c r="G589" s="3">
        <v>2023</v>
      </c>
      <c r="H589" s="3">
        <f>+IF(Tabla13[[#This Row],[Proyectado USD]]&gt;0,1,-1)</f>
        <v>1</v>
      </c>
      <c r="I589" s="15">
        <v>45200</v>
      </c>
      <c r="J589" s="21">
        <v>91270</v>
      </c>
      <c r="K589" s="3">
        <f>+IF(Tabla13[[#This Row],[Emitido USD]]&gt;0,1,-1)</f>
        <v>1</v>
      </c>
      <c r="L589" s="73">
        <v>45253</v>
      </c>
      <c r="M589" s="3">
        <v>1</v>
      </c>
      <c r="N589" s="21">
        <v>91731.278397791742</v>
      </c>
      <c r="O589" s="9" t="s">
        <v>431</v>
      </c>
      <c r="P589" s="76">
        <v>45259</v>
      </c>
      <c r="Q589" s="3">
        <f>+IF(Tabla13[[#This Row],[Facturado USD]]&gt;0,1,-1)</f>
        <v>1</v>
      </c>
      <c r="R589" s="22">
        <v>91731.278397791742</v>
      </c>
      <c r="S589" s="3">
        <f>+IF(Tabla13[[#This Row],[Ingresado USD]]&gt;0,1,-1)</f>
        <v>1</v>
      </c>
      <c r="T589" s="78">
        <v>45289</v>
      </c>
      <c r="U589" s="22">
        <v>91731.278397791742</v>
      </c>
      <c r="V589" s="45" t="s">
        <v>143</v>
      </c>
    </row>
    <row r="590" spans="1:22" ht="12" hidden="1" x14ac:dyDescent="0.2">
      <c r="A590" s="3">
        <v>589</v>
      </c>
      <c r="B590" s="3" t="s">
        <v>142</v>
      </c>
      <c r="C59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PFS Los Calatos</v>
      </c>
      <c r="D590" s="3" t="s">
        <v>47</v>
      </c>
      <c r="E590" s="3" t="s">
        <v>708</v>
      </c>
      <c r="F590" s="3" t="s">
        <v>318</v>
      </c>
      <c r="G590" s="3">
        <v>2023</v>
      </c>
      <c r="H590" s="3">
        <f>+IF(Tabla13[[#This Row],[Proyectado USD]]&gt;0,1,-1)</f>
        <v>1</v>
      </c>
      <c r="I590" s="15">
        <v>45231</v>
      </c>
      <c r="J590" s="21">
        <v>82558.17</v>
      </c>
      <c r="K590" s="3">
        <f>+IF(Tabla13[[#This Row],[Emitido USD]]&gt;0,1,-1)</f>
        <v>1</v>
      </c>
      <c r="L590" s="73">
        <v>45257</v>
      </c>
      <c r="M590" s="34">
        <v>2</v>
      </c>
      <c r="N590" s="21">
        <v>100441</v>
      </c>
      <c r="O590" s="10" t="s">
        <v>432</v>
      </c>
      <c r="P590" s="76">
        <v>45282</v>
      </c>
      <c r="Q590" s="3">
        <f>+IF(Tabla13[[#This Row],[Facturado USD]]&gt;0,1,-1)</f>
        <v>1</v>
      </c>
      <c r="R590" s="22">
        <v>100441</v>
      </c>
      <c r="S590" s="3">
        <f>+IF(Tabla13[[#This Row],[Ingresado USD]]&gt;0,1,-1)</f>
        <v>1</v>
      </c>
      <c r="T590" s="78">
        <v>45296</v>
      </c>
      <c r="U590" s="22">
        <v>100441</v>
      </c>
      <c r="V590" s="45"/>
    </row>
    <row r="591" spans="1:22" ht="12" hidden="1" x14ac:dyDescent="0.2">
      <c r="A591" s="3">
        <v>590</v>
      </c>
      <c r="B591" s="3" t="s">
        <v>142</v>
      </c>
      <c r="C59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PFS Los Calatos</v>
      </c>
      <c r="D591" s="3" t="s">
        <v>47</v>
      </c>
      <c r="E591" s="3" t="s">
        <v>708</v>
      </c>
      <c r="F591" s="3" t="s">
        <v>318</v>
      </c>
      <c r="G591" s="3">
        <v>2023</v>
      </c>
      <c r="H591" s="3">
        <f>+IF(Tabla13[[#This Row],[Proyectado USD]]&gt;0,1,-1)</f>
        <v>1</v>
      </c>
      <c r="I591" s="15">
        <v>45261</v>
      </c>
      <c r="J591" s="21">
        <v>137777</v>
      </c>
      <c r="K591" s="3">
        <f>+IF(Tabla13[[#This Row],[Emitido USD]]&gt;0,1,-1)</f>
        <v>1</v>
      </c>
      <c r="L591" s="73">
        <v>45289</v>
      </c>
      <c r="M591" s="3">
        <v>3</v>
      </c>
      <c r="N591" s="22">
        <v>29776</v>
      </c>
      <c r="O591" s="9" t="s">
        <v>433</v>
      </c>
      <c r="P591" s="76">
        <v>45301</v>
      </c>
      <c r="Q591" s="3">
        <f>+IF(Tabla13[[#This Row],[Facturado USD]]&gt;0,1,-1)</f>
        <v>1</v>
      </c>
      <c r="R591" s="22">
        <v>29776</v>
      </c>
      <c r="S591" s="3">
        <f>+IF(Tabla13[[#This Row],[Ingresado USD]]&gt;0,1,-1)</f>
        <v>1</v>
      </c>
      <c r="T591" s="78">
        <v>45350</v>
      </c>
      <c r="U591" s="22">
        <v>29776</v>
      </c>
      <c r="V591" s="45"/>
    </row>
    <row r="592" spans="1:22" ht="12" hidden="1" x14ac:dyDescent="0.2">
      <c r="A592" s="3">
        <v>591</v>
      </c>
      <c r="B592" s="3" t="s">
        <v>142</v>
      </c>
      <c r="C59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PFS Los Calatos</v>
      </c>
      <c r="D592" s="3" t="s">
        <v>47</v>
      </c>
      <c r="E592" s="3" t="s">
        <v>708</v>
      </c>
      <c r="F592" s="3" t="s">
        <v>318</v>
      </c>
      <c r="G592" s="3">
        <v>2024</v>
      </c>
      <c r="H592" s="3">
        <f>+IF(Tabla13[[#This Row],[Proyectado USD]]&gt;0,1,-1)</f>
        <v>1</v>
      </c>
      <c r="I592" s="15">
        <v>45292</v>
      </c>
      <c r="J592" s="49">
        <v>60000</v>
      </c>
      <c r="K592" s="3">
        <f>+IF(Tabla13[[#This Row],[Emitido USD]]&gt;0,1,-1)</f>
        <v>1</v>
      </c>
      <c r="L592" s="73">
        <v>45316</v>
      </c>
      <c r="M592" s="3">
        <v>4</v>
      </c>
      <c r="N592" s="22">
        <v>70005</v>
      </c>
      <c r="O592" s="6" t="s">
        <v>434</v>
      </c>
      <c r="P592" s="76">
        <v>45334</v>
      </c>
      <c r="Q592" s="3">
        <f>+IF(Tabla13[[#This Row],[Facturado USD]]&gt;0,1,-1)</f>
        <v>1</v>
      </c>
      <c r="R592" s="22">
        <v>70005</v>
      </c>
      <c r="S592" s="3">
        <f>+IF(Tabla13[[#This Row],[Ingresado USD]]&gt;0,1,-1)</f>
        <v>1</v>
      </c>
      <c r="T592" s="76">
        <v>45372</v>
      </c>
      <c r="U592" s="61">
        <v>70005</v>
      </c>
      <c r="V592" s="48" t="s">
        <v>69</v>
      </c>
    </row>
    <row r="593" spans="1:22" ht="12" hidden="1" x14ac:dyDescent="0.2">
      <c r="A593" s="3">
        <v>592</v>
      </c>
      <c r="B593" s="3" t="s">
        <v>142</v>
      </c>
      <c r="C59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PFS Los Calatos</v>
      </c>
      <c r="D593" s="3" t="s">
        <v>47</v>
      </c>
      <c r="E593" s="3" t="s">
        <v>708</v>
      </c>
      <c r="F593" s="3" t="s">
        <v>318</v>
      </c>
      <c r="G593" s="3">
        <v>2024</v>
      </c>
      <c r="H593" s="3">
        <f>+IF(Tabla13[[#This Row],[Proyectado USD]]&gt;0,1,-1)</f>
        <v>1</v>
      </c>
      <c r="I593" s="15">
        <v>45323</v>
      </c>
      <c r="J593" s="49">
        <v>58000</v>
      </c>
      <c r="K593" s="3">
        <f>+IF(Tabla13[[#This Row],[Emitido USD]]&gt;0,1,-1)</f>
        <v>1</v>
      </c>
      <c r="L593" s="73">
        <v>45347</v>
      </c>
      <c r="M593" s="3">
        <v>5</v>
      </c>
      <c r="N593" s="22">
        <v>29387</v>
      </c>
      <c r="O593" s="6" t="s">
        <v>435</v>
      </c>
      <c r="P593" s="76">
        <v>45376</v>
      </c>
      <c r="Q593" s="3">
        <f>+IF(Tabla13[[#This Row],[Facturado USD]]&gt;0,1,-1)</f>
        <v>1</v>
      </c>
      <c r="R593" s="22">
        <v>29387</v>
      </c>
      <c r="S593" s="3">
        <f>+IF(Tabla13[[#This Row],[Ingresado USD]]&gt;0,1,-1)</f>
        <v>1</v>
      </c>
      <c r="T593" s="82">
        <v>45407</v>
      </c>
      <c r="U593" s="22">
        <v>29387</v>
      </c>
      <c r="V593" s="45"/>
    </row>
    <row r="594" spans="1:22" ht="12" hidden="1" x14ac:dyDescent="0.2">
      <c r="A594" s="3">
        <v>593</v>
      </c>
      <c r="B594" s="3" t="s">
        <v>142</v>
      </c>
      <c r="C59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PFS Los Calatos</v>
      </c>
      <c r="D594" s="51" t="s">
        <v>47</v>
      </c>
      <c r="E594" s="3" t="s">
        <v>708</v>
      </c>
      <c r="F594" s="3" t="s">
        <v>318</v>
      </c>
      <c r="G594" s="3">
        <v>2024</v>
      </c>
      <c r="H594" s="3">
        <f>+IF(Tabla13[[#This Row],[Proyectado USD]]&gt;0,1,-1)</f>
        <v>1</v>
      </c>
      <c r="I594" s="15">
        <v>45383</v>
      </c>
      <c r="J594" s="21">
        <v>125015</v>
      </c>
      <c r="K594" s="3">
        <f>+IF(Tabla13[[#This Row],[Emitido USD]]&gt;0,1,-1)</f>
        <v>1</v>
      </c>
      <c r="L594" s="73">
        <v>45405</v>
      </c>
      <c r="M594" s="3">
        <v>6</v>
      </c>
      <c r="N594" s="22">
        <v>50531</v>
      </c>
      <c r="O594" s="6" t="s">
        <v>436</v>
      </c>
      <c r="P594" s="76">
        <v>45414</v>
      </c>
      <c r="Q594" s="3">
        <f>+IF(Tabla13[[#This Row],[Facturado USD]]&gt;0,1,-1)</f>
        <v>1</v>
      </c>
      <c r="R594" s="22">
        <v>50531</v>
      </c>
      <c r="S594" s="3">
        <f>+IF(Tabla13[[#This Row],[Ingresado USD]]&gt;0,1,-1)</f>
        <v>1</v>
      </c>
      <c r="T594" s="78">
        <v>45434</v>
      </c>
      <c r="U594" s="52">
        <v>50531</v>
      </c>
      <c r="V594" s="45"/>
    </row>
    <row r="595" spans="1:22" ht="12" hidden="1" x14ac:dyDescent="0.2">
      <c r="A595" s="3">
        <v>594</v>
      </c>
      <c r="B595" s="3" t="s">
        <v>142</v>
      </c>
      <c r="C59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PFS Los Calatos</v>
      </c>
      <c r="D595" s="3" t="s">
        <v>47</v>
      </c>
      <c r="E595" s="3" t="s">
        <v>708</v>
      </c>
      <c r="F595" s="3" t="s">
        <v>318</v>
      </c>
      <c r="G595" s="3">
        <v>2024</v>
      </c>
      <c r="H595" s="3">
        <f>+IF(Tabla13[[#This Row],[Proyectado USD]]&gt;0,1,-1)</f>
        <v>1</v>
      </c>
      <c r="I595" s="15">
        <v>45413</v>
      </c>
      <c r="J595" s="49">
        <v>61467</v>
      </c>
      <c r="K595" s="3">
        <f>+IF(Tabla13[[#This Row],[Emitido USD]]&gt;0,1,-1)</f>
        <v>1</v>
      </c>
      <c r="L595" s="73">
        <v>45440</v>
      </c>
      <c r="M595" s="3">
        <v>7</v>
      </c>
      <c r="N595" s="22">
        <v>177527</v>
      </c>
      <c r="O595" s="6" t="s">
        <v>437</v>
      </c>
      <c r="P595" s="76">
        <v>45460</v>
      </c>
      <c r="Q595" s="3">
        <f>+IF(Tabla13[[#This Row],[Facturado USD]]&gt;0,1,-1)</f>
        <v>1</v>
      </c>
      <c r="R595" s="22">
        <v>177527</v>
      </c>
      <c r="S595" s="3">
        <f>+IF(Tabla13[[#This Row],[Ingresado USD]]&gt;0,1,-1)</f>
        <v>1</v>
      </c>
      <c r="T595" s="78">
        <v>45468</v>
      </c>
      <c r="U595" s="22">
        <v>172201.19</v>
      </c>
      <c r="V595" s="45"/>
    </row>
    <row r="596" spans="1:22" ht="12" hidden="1" x14ac:dyDescent="0.2">
      <c r="A596" s="3">
        <v>595</v>
      </c>
      <c r="B596" s="3" t="s">
        <v>142</v>
      </c>
      <c r="C59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PFS Los Calatos</v>
      </c>
      <c r="D596" s="3" t="s">
        <v>47</v>
      </c>
      <c r="E596" s="3" t="s">
        <v>708</v>
      </c>
      <c r="F596" s="3" t="s">
        <v>318</v>
      </c>
      <c r="G596" s="3">
        <v>2024</v>
      </c>
      <c r="H596" s="3">
        <f>+IF(Tabla13[[#This Row],[Proyectado USD]]&gt;0,1,-1)</f>
        <v>1</v>
      </c>
      <c r="I596" s="15">
        <v>45413</v>
      </c>
      <c r="J596" s="21">
        <v>114880.69999999995</v>
      </c>
      <c r="K596" s="3">
        <f>+IF(Tabla13[[#This Row],[Emitido USD]]&gt;0,1,-1)</f>
        <v>1</v>
      </c>
      <c r="L596" s="73">
        <v>45470</v>
      </c>
      <c r="M596" s="3">
        <v>8</v>
      </c>
      <c r="N596" s="21">
        <v>110053</v>
      </c>
      <c r="O596" s="6" t="s">
        <v>438</v>
      </c>
      <c r="P596" s="76">
        <v>45495</v>
      </c>
      <c r="Q596" s="3">
        <f>+IF(Tabla13[[#This Row],[Facturado USD]]&gt;0,1,-1)</f>
        <v>1</v>
      </c>
      <c r="R596" s="22">
        <v>110053</v>
      </c>
      <c r="S596" s="3">
        <f>+IF(Tabla13[[#This Row],[Ingresado USD]]&gt;0,1,-1)</f>
        <v>1</v>
      </c>
      <c r="T596" s="78">
        <v>45498</v>
      </c>
      <c r="U596" s="22">
        <v>106751.41</v>
      </c>
      <c r="V596" s="45"/>
    </row>
    <row r="597" spans="1:22" ht="12" hidden="1" x14ac:dyDescent="0.2">
      <c r="A597" s="3">
        <v>596</v>
      </c>
      <c r="B597" s="3" t="s">
        <v>142</v>
      </c>
      <c r="C59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PFS Los Calatos</v>
      </c>
      <c r="D597" s="3" t="s">
        <v>47</v>
      </c>
      <c r="E597" s="3" t="s">
        <v>708</v>
      </c>
      <c r="F597" s="3" t="s">
        <v>318</v>
      </c>
      <c r="G597" s="3">
        <v>2024</v>
      </c>
      <c r="H597" s="3">
        <f>+IF(Tabla13[[#This Row],[Proyectado USD]]&gt;0,1,-1)</f>
        <v>-1</v>
      </c>
      <c r="I597" s="15"/>
      <c r="J597" s="21"/>
      <c r="K597" s="3">
        <f>+IF(Tabla13[[#This Row],[Emitido USD]]&gt;0,1,-1)</f>
        <v>1</v>
      </c>
      <c r="L597" s="73">
        <v>45498</v>
      </c>
      <c r="M597" s="55">
        <v>9</v>
      </c>
      <c r="N597" s="21">
        <v>85235</v>
      </c>
      <c r="O597" s="6" t="s">
        <v>439</v>
      </c>
      <c r="P597" s="76">
        <v>45517</v>
      </c>
      <c r="Q597" s="3">
        <f>+IF(Tabla13[[#This Row],[Facturado USD]]&gt;0,1,-1)</f>
        <v>1</v>
      </c>
      <c r="R597" s="22">
        <v>85235</v>
      </c>
      <c r="S597" s="3">
        <f>+IF(Tabla13[[#This Row],[Ingresado USD]]&gt;0,1,-1)</f>
        <v>1</v>
      </c>
      <c r="T597" s="78">
        <v>45530</v>
      </c>
      <c r="U597" s="22">
        <f>85235*97%</f>
        <v>82677.95</v>
      </c>
      <c r="V597" s="45"/>
    </row>
    <row r="598" spans="1:22" ht="12" hidden="1" x14ac:dyDescent="0.2">
      <c r="A598" s="3">
        <v>597</v>
      </c>
      <c r="B598" s="3" t="s">
        <v>142</v>
      </c>
      <c r="C59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PFS Los Calatos</v>
      </c>
      <c r="D598" s="56" t="s">
        <v>47</v>
      </c>
      <c r="E598" s="3" t="s">
        <v>708</v>
      </c>
      <c r="F598" s="3" t="s">
        <v>318</v>
      </c>
      <c r="G598" s="3">
        <v>2024</v>
      </c>
      <c r="H598" s="3">
        <f>+IF(Tabla13[[#This Row],[Proyectado USD]]&gt;0,1,-1)</f>
        <v>-1</v>
      </c>
      <c r="I598" s="15"/>
      <c r="J598" s="21"/>
      <c r="K598" s="3">
        <f>+IF(Tabla13[[#This Row],[Emitido USD]]&gt;0,1,-1)</f>
        <v>1</v>
      </c>
      <c r="L598" s="73">
        <v>45534</v>
      </c>
      <c r="M598" s="3">
        <v>10</v>
      </c>
      <c r="N598" s="57">
        <v>112468</v>
      </c>
      <c r="O598" s="6" t="s">
        <v>440</v>
      </c>
      <c r="P598" s="76">
        <v>45559</v>
      </c>
      <c r="Q598" s="3">
        <f>+IF(Tabla13[[#This Row],[Facturado USD]]&gt;0,1,-1)</f>
        <v>1</v>
      </c>
      <c r="R598" s="22">
        <v>112468</v>
      </c>
      <c r="S598" s="3">
        <f>+IF(Tabla13[[#This Row],[Ingresado USD]]&gt;0,1,-1)</f>
        <v>1</v>
      </c>
      <c r="T598" s="78">
        <v>45562</v>
      </c>
      <c r="U598" s="22">
        <v>109093.95999999999</v>
      </c>
      <c r="V598" s="45"/>
    </row>
    <row r="599" spans="1:22" ht="12" hidden="1" x14ac:dyDescent="0.2">
      <c r="A599" s="3">
        <v>598</v>
      </c>
      <c r="B599" s="3" t="s">
        <v>142</v>
      </c>
      <c r="C59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PFS Los Calatos</v>
      </c>
      <c r="D599" s="3" t="s">
        <v>47</v>
      </c>
      <c r="E599" s="3" t="s">
        <v>708</v>
      </c>
      <c r="F599" s="3" t="s">
        <v>318</v>
      </c>
      <c r="G599" s="3">
        <v>2024</v>
      </c>
      <c r="H599" s="3">
        <f>+IF(Tabla13[[#This Row],[Proyectado USD]]&gt;0,1,-1)</f>
        <v>-1</v>
      </c>
      <c r="I599" s="15"/>
      <c r="J599" s="21"/>
      <c r="K599" s="3">
        <f>+IF(Tabla13[[#This Row],[Emitido USD]]&gt;0,1,-1)</f>
        <v>1</v>
      </c>
      <c r="L599" s="73">
        <v>45565</v>
      </c>
      <c r="M599" s="3">
        <v>11</v>
      </c>
      <c r="N599" s="52">
        <v>93254</v>
      </c>
      <c r="O599" s="6" t="s">
        <v>441</v>
      </c>
      <c r="P599" s="76">
        <v>45595</v>
      </c>
      <c r="Q599" s="3">
        <f>+IF(Tabla13[[#This Row],[Facturado USD]]&gt;0,1,-1)</f>
        <v>1</v>
      </c>
      <c r="R599" s="22">
        <v>92288</v>
      </c>
      <c r="S599" s="3">
        <f>+IF(Tabla13[[#This Row],[Ingresado USD]]&gt;0,1,-1)</f>
        <v>1</v>
      </c>
      <c r="T599" s="78">
        <v>45595</v>
      </c>
      <c r="U599" s="22">
        <v>86948</v>
      </c>
      <c r="V599" s="45"/>
    </row>
    <row r="600" spans="1:22" ht="12" hidden="1" x14ac:dyDescent="0.2">
      <c r="A600" s="3">
        <v>599</v>
      </c>
      <c r="B600" s="3" t="s">
        <v>142</v>
      </c>
      <c r="C60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PFS Los Calatos</v>
      </c>
      <c r="D600" s="3" t="s">
        <v>47</v>
      </c>
      <c r="E600" s="3" t="s">
        <v>708</v>
      </c>
      <c r="F600" s="3" t="s">
        <v>318</v>
      </c>
      <c r="G600" s="3">
        <v>2024</v>
      </c>
      <c r="H600" s="3">
        <f>+IF(Tabla13[[#This Row],[Proyectado USD]]&gt;0,1,-1)</f>
        <v>-1</v>
      </c>
      <c r="I600" s="15"/>
      <c r="J600" s="21"/>
      <c r="K600" s="3">
        <f>+IF(Tabla13[[#This Row],[Emitido USD]]&gt;0,1,-1)</f>
        <v>1</v>
      </c>
      <c r="L600" s="73">
        <v>45596</v>
      </c>
      <c r="M600" s="3">
        <v>12</v>
      </c>
      <c r="N600" s="52">
        <v>67403</v>
      </c>
      <c r="O600" s="6" t="s">
        <v>442</v>
      </c>
      <c r="P600" s="76">
        <v>45615</v>
      </c>
      <c r="Q600" s="3">
        <f>+IF(Tabla13[[#This Row],[Facturado USD]]&gt;0,1,-1)</f>
        <v>1</v>
      </c>
      <c r="R600" s="22">
        <v>63453</v>
      </c>
      <c r="S600" s="3">
        <f>+IF(Tabla13[[#This Row],[Ingresado USD]]&gt;0,1,-1)</f>
        <v>1</v>
      </c>
      <c r="T600" s="78">
        <v>45645</v>
      </c>
      <c r="U600" s="22">
        <v>62160</v>
      </c>
      <c r="V600" s="45"/>
    </row>
    <row r="601" spans="1:22" ht="12" hidden="1" x14ac:dyDescent="0.2">
      <c r="A601" s="3">
        <v>600</v>
      </c>
      <c r="B601" s="3" t="s">
        <v>142</v>
      </c>
      <c r="C60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PFS Los Calatos</v>
      </c>
      <c r="D601" s="3" t="s">
        <v>47</v>
      </c>
      <c r="E601" s="3" t="s">
        <v>708</v>
      </c>
      <c r="F601" s="3" t="s">
        <v>318</v>
      </c>
      <c r="G601" s="3">
        <v>2024</v>
      </c>
      <c r="H601" s="3">
        <f>+IF(Tabla13[[#This Row],[Proyectado USD]]&gt;0,1,-1)</f>
        <v>-1</v>
      </c>
      <c r="I601" s="15"/>
      <c r="J601" s="21"/>
      <c r="K601" s="3">
        <f>+IF(Tabla13[[#This Row],[Emitido USD]]&gt;0,1,-1)</f>
        <v>1</v>
      </c>
      <c r="L601" s="73">
        <v>45625</v>
      </c>
      <c r="M601" s="3">
        <v>13</v>
      </c>
      <c r="N601" s="22">
        <v>17153</v>
      </c>
      <c r="O601" s="6" t="s">
        <v>443</v>
      </c>
      <c r="P601" s="76">
        <v>45646</v>
      </c>
      <c r="Q601" s="3">
        <f>+IF(Tabla13[[#This Row],[Facturado USD]]&gt;0,1,-1)</f>
        <v>1</v>
      </c>
      <c r="R601" s="22">
        <v>17153</v>
      </c>
      <c r="S601" s="3">
        <f>+IF(Tabla13[[#This Row],[Ingresado USD]]&gt;0,1,-1)</f>
        <v>1</v>
      </c>
      <c r="T601" s="78">
        <v>45678</v>
      </c>
      <c r="U601" s="22">
        <v>17812</v>
      </c>
      <c r="V601" s="45"/>
    </row>
    <row r="602" spans="1:22" ht="12" hidden="1" x14ac:dyDescent="0.2">
      <c r="A602" s="3">
        <v>601</v>
      </c>
      <c r="B602" s="3" t="s">
        <v>142</v>
      </c>
      <c r="C60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PFS Los Calatos</v>
      </c>
      <c r="D602" s="3" t="s">
        <v>47</v>
      </c>
      <c r="E602" s="3" t="s">
        <v>708</v>
      </c>
      <c r="F602" s="3" t="s">
        <v>318</v>
      </c>
      <c r="G602" s="3">
        <v>2024</v>
      </c>
      <c r="H602" s="3">
        <f>+IF(Tabla13[[#This Row],[Proyectado USD]]&gt;0,1,-1)</f>
        <v>-1</v>
      </c>
      <c r="I602" s="15"/>
      <c r="J602" s="21"/>
      <c r="K602" s="3">
        <f>+IF(Tabla13[[#This Row],[Emitido USD]]&gt;0,1,-1)</f>
        <v>1</v>
      </c>
      <c r="L602" s="73">
        <v>45652</v>
      </c>
      <c r="M602" s="3">
        <v>14</v>
      </c>
      <c r="N602" s="22">
        <v>4697</v>
      </c>
      <c r="O602" s="6" t="s">
        <v>444</v>
      </c>
      <c r="P602" s="76">
        <v>45659</v>
      </c>
      <c r="Q602" s="3">
        <f>+IF(Tabla13[[#This Row],[Facturado USD]]&gt;0,1,-1)</f>
        <v>1</v>
      </c>
      <c r="R602" s="22">
        <v>4697</v>
      </c>
      <c r="S602" s="3">
        <f>+IF(Tabla13[[#This Row],[Ingresado USD]]&gt;0,1,-1)</f>
        <v>1</v>
      </c>
      <c r="T602" s="78">
        <v>45698</v>
      </c>
      <c r="U602" s="22">
        <v>6266</v>
      </c>
    </row>
    <row r="603" spans="1:22" ht="12" hidden="1" x14ac:dyDescent="0.2">
      <c r="A603" s="3">
        <v>602</v>
      </c>
      <c r="B603" s="3" t="s">
        <v>445</v>
      </c>
      <c r="C60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PFS Los Calatos V3</v>
      </c>
      <c r="D603" s="3" t="s">
        <v>214</v>
      </c>
      <c r="E603" s="3" t="s">
        <v>708</v>
      </c>
      <c r="F603" s="3" t="s">
        <v>318</v>
      </c>
      <c r="G603" s="3">
        <v>2025</v>
      </c>
      <c r="H603" s="3">
        <f>+IF(Tabla13[[#This Row],[Proyectado USD]]&gt;0,1,-1)</f>
        <v>-1</v>
      </c>
      <c r="I603" s="15"/>
      <c r="J603" s="21"/>
      <c r="K603" s="3">
        <f>+IF(Tabla13[[#This Row],[Emitido USD]]&gt;0,1,-1)</f>
        <v>1</v>
      </c>
      <c r="L603" s="73">
        <v>45681</v>
      </c>
      <c r="M603" s="3">
        <v>1</v>
      </c>
      <c r="N603" s="22">
        <v>36175</v>
      </c>
      <c r="O603" s="6" t="s">
        <v>446</v>
      </c>
      <c r="P603" s="76">
        <v>45687</v>
      </c>
      <c r="Q603" s="3">
        <f>+IF(Tabla13[[#This Row],[Facturado USD]]&gt;0,1,-1)</f>
        <v>1</v>
      </c>
      <c r="R603" s="22">
        <v>36175</v>
      </c>
      <c r="S603" s="3">
        <f>+IF(Tabla13[[#This Row],[Ingresado USD]]&gt;0,1,-1)</f>
        <v>1</v>
      </c>
      <c r="T603" s="78">
        <v>45716</v>
      </c>
      <c r="U603" s="22">
        <v>36175</v>
      </c>
    </row>
    <row r="604" spans="1:22" ht="12" hidden="1" x14ac:dyDescent="0.2">
      <c r="A604" s="3">
        <v>603</v>
      </c>
      <c r="B604" s="3" t="s">
        <v>445</v>
      </c>
      <c r="C60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PFS Los Calatos V3</v>
      </c>
      <c r="D604" s="3" t="s">
        <v>214</v>
      </c>
      <c r="E604" s="3" t="s">
        <v>708</v>
      </c>
      <c r="F604" s="3" t="s">
        <v>318</v>
      </c>
      <c r="G604" s="3">
        <v>2025</v>
      </c>
      <c r="H604" s="3">
        <f>+IF(Tabla13[[#This Row],[Proyectado USD]]&gt;0,1,-1)</f>
        <v>-1</v>
      </c>
      <c r="I604" s="15"/>
      <c r="J604" s="21"/>
      <c r="K604" s="3">
        <f>+IF(Tabla13[[#This Row],[Emitido USD]]&gt;0,1,-1)</f>
        <v>1</v>
      </c>
      <c r="L604" s="73">
        <v>45712</v>
      </c>
      <c r="M604" s="3">
        <v>2</v>
      </c>
      <c r="N604" s="22">
        <v>47631</v>
      </c>
      <c r="O604" s="6" t="s">
        <v>447</v>
      </c>
      <c r="P604" s="76">
        <v>45714</v>
      </c>
      <c r="Q604" s="3">
        <f>+IF(Tabla13[[#This Row],[Facturado USD]]&gt;0,1,-1)</f>
        <v>1</v>
      </c>
      <c r="R604" s="22">
        <v>47631</v>
      </c>
      <c r="S604" s="3">
        <f>+IF(Tabla13[[#This Row],[Ingresado USD]]&gt;0,1,-1)</f>
        <v>1</v>
      </c>
      <c r="T604" s="78">
        <v>45742</v>
      </c>
      <c r="U604" s="22">
        <v>49640</v>
      </c>
    </row>
    <row r="605" spans="1:22" ht="12" hidden="1" x14ac:dyDescent="0.2">
      <c r="A605" s="3">
        <v>604</v>
      </c>
      <c r="B605" s="3" t="s">
        <v>445</v>
      </c>
      <c r="C60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PFS Los Calatos V3</v>
      </c>
      <c r="D605" s="3" t="s">
        <v>214</v>
      </c>
      <c r="E605" s="3" t="s">
        <v>708</v>
      </c>
      <c r="F605" s="3" t="s">
        <v>318</v>
      </c>
      <c r="G605" s="3">
        <v>2025</v>
      </c>
      <c r="H605" s="3">
        <f>+IF(Tabla13[[#This Row],[Proyectado USD]]&gt;0,1,-1)</f>
        <v>-1</v>
      </c>
      <c r="I605" s="15"/>
      <c r="J605" s="21"/>
      <c r="K605" s="3">
        <f>+IF(Tabla13[[#This Row],[Emitido USD]]&gt;0,1,-1)</f>
        <v>1</v>
      </c>
      <c r="L605" s="73">
        <v>45742</v>
      </c>
      <c r="M605" s="3">
        <v>3</v>
      </c>
      <c r="N605" s="22">
        <v>34217</v>
      </c>
      <c r="O605" s="6" t="s">
        <v>448</v>
      </c>
      <c r="P605" s="78">
        <v>45757</v>
      </c>
      <c r="Q605" s="3">
        <f>+IF(Tabla13[[#This Row],[Facturado USD]]&gt;0,1,-1)</f>
        <v>1</v>
      </c>
      <c r="R605" s="22">
        <v>34217</v>
      </c>
      <c r="S605" s="3">
        <f>+IF(Tabla13[[#This Row],[Ingresado USD]]&gt;0,1,-1)</f>
        <v>1</v>
      </c>
      <c r="T605" s="78">
        <v>45797</v>
      </c>
      <c r="U605" s="22">
        <v>34217</v>
      </c>
    </row>
    <row r="606" spans="1:22" ht="12" hidden="1" x14ac:dyDescent="0.2">
      <c r="A606" s="3">
        <v>605</v>
      </c>
      <c r="B606" s="3" t="s">
        <v>445</v>
      </c>
      <c r="C60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PFS Los Calatos V3</v>
      </c>
      <c r="D606" s="3" t="s">
        <v>214</v>
      </c>
      <c r="E606" s="3" t="s">
        <v>708</v>
      </c>
      <c r="F606" s="3" t="s">
        <v>318</v>
      </c>
      <c r="G606" s="3">
        <v>2025</v>
      </c>
      <c r="H606" s="3">
        <f>+IF(Tabla13[[#This Row],[Proyectado USD]]&gt;0,1,-1)</f>
        <v>-1</v>
      </c>
      <c r="I606" s="15"/>
      <c r="J606" s="21"/>
      <c r="K606" s="3">
        <f>+IF(Tabla13[[#This Row],[Emitido USD]]&gt;0,1,-1)</f>
        <v>1</v>
      </c>
      <c r="L606" s="73">
        <v>45773</v>
      </c>
      <c r="M606" s="3">
        <v>4</v>
      </c>
      <c r="N606" s="22">
        <v>25392</v>
      </c>
      <c r="O606" s="6" t="s">
        <v>449</v>
      </c>
      <c r="P606" s="78">
        <v>45796</v>
      </c>
      <c r="Q606" s="3">
        <f>+IF(Tabla13[[#This Row],[Facturado USD]]&gt;0,1,-1)</f>
        <v>1</v>
      </c>
      <c r="R606" s="22">
        <v>25392</v>
      </c>
      <c r="S606" s="3">
        <f>+IF(Tabla13[[#This Row],[Ingresado USD]]&gt;0,1,-1)</f>
        <v>1</v>
      </c>
      <c r="T606" s="78">
        <v>45798</v>
      </c>
      <c r="U606" s="22">
        <v>23832</v>
      </c>
      <c r="V606" s="3" t="s">
        <v>409</v>
      </c>
    </row>
    <row r="607" spans="1:22" ht="12" hidden="1" x14ac:dyDescent="0.2">
      <c r="A607" s="3">
        <v>606</v>
      </c>
      <c r="B607" s="3" t="s">
        <v>445</v>
      </c>
      <c r="C60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PFS Los Calatos V3</v>
      </c>
      <c r="D607" s="3" t="s">
        <v>214</v>
      </c>
      <c r="E607" s="3" t="s">
        <v>708</v>
      </c>
      <c r="F607" s="3" t="s">
        <v>318</v>
      </c>
      <c r="G607" s="3">
        <v>2025</v>
      </c>
      <c r="H607" s="3">
        <f>+IF(Tabla13[[#This Row],[Proyectado USD]]&gt;0,1,-1)</f>
        <v>-1</v>
      </c>
      <c r="I607" s="15"/>
      <c r="J607" s="21"/>
      <c r="K607" s="3">
        <f>+IF(Tabla13[[#This Row],[Emitido USD]]&gt;0,1,-1)</f>
        <v>1</v>
      </c>
      <c r="L607" s="73">
        <v>45803</v>
      </c>
      <c r="M607" s="3">
        <v>5</v>
      </c>
      <c r="N607" s="22">
        <v>57648</v>
      </c>
      <c r="O607" s="6" t="s">
        <v>450</v>
      </c>
      <c r="P607" s="78">
        <v>45811</v>
      </c>
      <c r="Q607" s="3">
        <f>+IF(Tabla13[[#This Row],[Facturado USD]]&gt;0,1,-1)</f>
        <v>1</v>
      </c>
      <c r="R607" s="22">
        <v>57648</v>
      </c>
      <c r="S607" s="3">
        <f>+IF(Tabla13[[#This Row],[Ingresado USD]]&gt;0,1,-1)</f>
        <v>1</v>
      </c>
      <c r="T607" s="78">
        <v>45814</v>
      </c>
      <c r="U607" s="22">
        <v>57648</v>
      </c>
    </row>
    <row r="608" spans="1:22" ht="12" hidden="1" x14ac:dyDescent="0.2">
      <c r="A608" s="3">
        <v>607</v>
      </c>
      <c r="B608" s="3" t="s">
        <v>445</v>
      </c>
      <c r="C60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PFS Los Calatos V3</v>
      </c>
      <c r="D608" s="3" t="s">
        <v>214</v>
      </c>
      <c r="E608" s="3" t="s">
        <v>708</v>
      </c>
      <c r="F608" s="3" t="s">
        <v>318</v>
      </c>
      <c r="G608" s="3">
        <v>2025</v>
      </c>
      <c r="H608" s="3">
        <f>+IF(Tabla13[[#This Row],[Proyectado USD]]&gt;0,1,-1)</f>
        <v>-1</v>
      </c>
      <c r="I608" s="15"/>
      <c r="J608" s="21"/>
      <c r="K608" s="3">
        <f>+IF(Tabla13[[#This Row],[Emitido USD]]&gt;0,1,-1)</f>
        <v>1</v>
      </c>
      <c r="L608" s="73">
        <v>45834</v>
      </c>
      <c r="M608" s="3">
        <v>6</v>
      </c>
      <c r="N608" s="22">
        <v>59126</v>
      </c>
      <c r="O608" s="25" t="s">
        <v>451</v>
      </c>
      <c r="P608" s="78">
        <v>45840</v>
      </c>
      <c r="Q608" s="3">
        <f>+IF(Tabla13[[#This Row],[Facturado USD]]&gt;0,1,-1)</f>
        <v>1</v>
      </c>
      <c r="R608" s="22">
        <v>59126</v>
      </c>
      <c r="S608" s="3">
        <f>+IF(Tabla13[[#This Row],[Ingresado USD]]&gt;0,1,-1)</f>
        <v>1</v>
      </c>
      <c r="T608" s="78">
        <v>45848</v>
      </c>
      <c r="U608" s="22">
        <v>57921.168301886784</v>
      </c>
      <c r="V608" s="3" t="s">
        <v>409</v>
      </c>
    </row>
    <row r="609" spans="1:22" ht="12" hidden="1" x14ac:dyDescent="0.2">
      <c r="A609" s="3">
        <v>608</v>
      </c>
      <c r="B609" s="3" t="s">
        <v>445</v>
      </c>
      <c r="C60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PFS Los Calatos V3</v>
      </c>
      <c r="D609" s="3" t="s">
        <v>214</v>
      </c>
      <c r="E609" s="3" t="s">
        <v>708</v>
      </c>
      <c r="F609" s="3" t="s">
        <v>318</v>
      </c>
      <c r="G609" s="3">
        <v>2025</v>
      </c>
      <c r="H609" s="3">
        <f>+IF(Tabla13[[#This Row],[Proyectado USD]]&gt;0,1,-1)</f>
        <v>-1</v>
      </c>
      <c r="I609" s="15"/>
      <c r="J609" s="21"/>
      <c r="K609" s="3">
        <f>+IF(Tabla13[[#This Row],[Emitido USD]]&gt;0,1,-1)</f>
        <v>1</v>
      </c>
      <c r="L609" s="73">
        <v>45864</v>
      </c>
      <c r="M609" s="3">
        <v>7</v>
      </c>
      <c r="N609" s="22">
        <v>30280</v>
      </c>
      <c r="O609" s="25" t="s">
        <v>568</v>
      </c>
      <c r="P609" s="78">
        <v>45881</v>
      </c>
      <c r="Q609" s="3">
        <f>+IF(Tabla13[[#This Row],[Facturado USD]]&gt;0,1,-1)</f>
        <v>1</v>
      </c>
      <c r="R609" s="22">
        <v>30280</v>
      </c>
      <c r="S609" s="3">
        <f>+IF(Tabla13[[#This Row],[Ingresado USD]]&gt;0,1,-1)</f>
        <v>1</v>
      </c>
      <c r="T609" s="78">
        <v>45882</v>
      </c>
      <c r="U609" s="21">
        <v>28722.396226415094</v>
      </c>
    </row>
    <row r="610" spans="1:22" ht="12" hidden="1" x14ac:dyDescent="0.2">
      <c r="A610" s="3">
        <v>609</v>
      </c>
      <c r="B610" s="3" t="s">
        <v>445</v>
      </c>
      <c r="C61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PFS Los Calatos V3</v>
      </c>
      <c r="D610" s="3" t="s">
        <v>214</v>
      </c>
      <c r="E610" s="3" t="s">
        <v>708</v>
      </c>
      <c r="F610" s="3" t="s">
        <v>318</v>
      </c>
      <c r="G610" s="3">
        <v>2025</v>
      </c>
      <c r="H610" s="3">
        <f>+IF(Tabla13[[#This Row],[Proyectado USD]]&gt;0,1,-1)</f>
        <v>-1</v>
      </c>
      <c r="I610" s="15"/>
      <c r="J610" s="21"/>
      <c r="K610" s="3">
        <f>+IF(Tabla13[[#This Row],[Emitido USD]]&gt;0,1,-1)</f>
        <v>1</v>
      </c>
      <c r="L610" s="73">
        <v>45898</v>
      </c>
      <c r="M610" s="3">
        <v>8</v>
      </c>
      <c r="N610" s="22">
        <v>5300</v>
      </c>
      <c r="O610" s="25" t="s">
        <v>593</v>
      </c>
      <c r="P610" s="78">
        <v>45923</v>
      </c>
      <c r="Q610" s="3">
        <f>+IF(Tabla13[[#This Row],[Facturado USD]]&gt;0,1,-1)</f>
        <v>1</v>
      </c>
      <c r="R610" s="22">
        <v>5300</v>
      </c>
      <c r="S610" s="3">
        <f>+IF(Tabla13[[#This Row],[Ingresado USD]]&gt;0,1,-1)</f>
        <v>1</v>
      </c>
      <c r="T610" s="78">
        <v>45958</v>
      </c>
      <c r="U610" s="21">
        <v>5300</v>
      </c>
    </row>
    <row r="611" spans="1:22" ht="12" hidden="1" x14ac:dyDescent="0.2">
      <c r="A611" s="3">
        <v>610</v>
      </c>
      <c r="B611" s="3" t="s">
        <v>445</v>
      </c>
      <c r="C61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PFS Los Calatos V3</v>
      </c>
      <c r="D611" s="3" t="s">
        <v>214</v>
      </c>
      <c r="E611" s="3" t="s">
        <v>708</v>
      </c>
      <c r="F611" s="3" t="s">
        <v>318</v>
      </c>
      <c r="G611" s="3">
        <v>2025</v>
      </c>
      <c r="H611" s="3">
        <f>+IF(Tabla13[[#This Row],[Proyectado USD]]&gt;0,1,-1)</f>
        <v>-1</v>
      </c>
      <c r="I611" s="15"/>
      <c r="J611" s="21"/>
      <c r="K611" s="3">
        <f>+IF(Tabla13[[#This Row],[Emitido USD]]&gt;0,1,-1)</f>
        <v>1</v>
      </c>
      <c r="L611" s="73">
        <v>45961</v>
      </c>
      <c r="M611" s="3">
        <v>9</v>
      </c>
      <c r="N611" s="22">
        <v>40785</v>
      </c>
      <c r="O611" s="25" t="s">
        <v>653</v>
      </c>
      <c r="P611" s="78">
        <v>45964</v>
      </c>
      <c r="Q611" s="3">
        <f>+IF(Tabla13[[#This Row],[Facturado USD]]&gt;0,1,-1)</f>
        <v>1</v>
      </c>
      <c r="R611" s="22">
        <v>40785</v>
      </c>
      <c r="S611" s="3">
        <f>+IF(Tabla13[[#This Row],[Ingresado USD]]&gt;0,1,-1)</f>
        <v>1</v>
      </c>
      <c r="T611" s="78">
        <v>45975</v>
      </c>
      <c r="U611" s="22">
        <v>40785</v>
      </c>
    </row>
    <row r="612" spans="1:22" ht="12" hidden="1" x14ac:dyDescent="0.2">
      <c r="A612" s="3">
        <v>611</v>
      </c>
      <c r="B612" s="3" t="s">
        <v>83</v>
      </c>
      <c r="C61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Pilares Mineros - Candelaria</v>
      </c>
      <c r="D612" s="3" t="s">
        <v>7</v>
      </c>
      <c r="E612" s="3" t="s">
        <v>275</v>
      </c>
      <c r="F612" s="3" t="s">
        <v>251</v>
      </c>
      <c r="G612" s="3">
        <v>2023</v>
      </c>
      <c r="H612" s="3">
        <f>+IF(Tabla13[[#This Row],[Proyectado USD]]&gt;0,1,-1)</f>
        <v>-1</v>
      </c>
      <c r="I612" s="15"/>
      <c r="J612" s="21"/>
      <c r="K612" s="3">
        <f>+IF(Tabla13[[#This Row],[Emitido USD]]&gt;0,1,-1)</f>
        <v>1</v>
      </c>
      <c r="L612" s="73">
        <v>45037</v>
      </c>
      <c r="M612" s="3">
        <v>1</v>
      </c>
      <c r="N612" s="22">
        <v>27669.200000000001</v>
      </c>
      <c r="O612" s="6">
        <v>103</v>
      </c>
      <c r="P612" s="76">
        <v>45176</v>
      </c>
      <c r="Q612" s="3">
        <f>+IF(Tabla13[[#This Row],[Facturado USD]]&gt;0,1,-1)</f>
        <v>1</v>
      </c>
      <c r="R612" s="22">
        <v>27669</v>
      </c>
      <c r="S612" s="3">
        <f>+IF(Tabla13[[#This Row],[Ingresado USD]]&gt;0,1,-1)</f>
        <v>1</v>
      </c>
      <c r="T612" s="76">
        <v>45198</v>
      </c>
      <c r="U612" s="22">
        <v>27669</v>
      </c>
    </row>
    <row r="613" spans="1:22" ht="12" hidden="1" x14ac:dyDescent="0.2">
      <c r="A613" s="3">
        <v>612</v>
      </c>
      <c r="B613" s="3" t="s">
        <v>83</v>
      </c>
      <c r="C61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Pilares Mineros - Candelaria</v>
      </c>
      <c r="D613" s="3" t="s">
        <v>7</v>
      </c>
      <c r="E613" s="3" t="s">
        <v>275</v>
      </c>
      <c r="F613" s="3" t="s">
        <v>251</v>
      </c>
      <c r="G613" s="3">
        <v>2023</v>
      </c>
      <c r="H613" s="3">
        <f>+IF(Tabla13[[#This Row],[Proyectado USD]]&gt;0,1,-1)</f>
        <v>-1</v>
      </c>
      <c r="I613" s="15"/>
      <c r="J613" s="21"/>
      <c r="K613" s="3">
        <f>+IF(Tabla13[[#This Row],[Emitido USD]]&gt;0,1,-1)</f>
        <v>1</v>
      </c>
      <c r="L613" s="73">
        <v>45067</v>
      </c>
      <c r="M613" s="3">
        <v>2</v>
      </c>
      <c r="N613" s="22">
        <v>29365</v>
      </c>
      <c r="O613" s="6">
        <v>104</v>
      </c>
      <c r="P613" s="76">
        <v>45176</v>
      </c>
      <c r="Q613" s="3">
        <f>+IF(Tabla13[[#This Row],[Facturado USD]]&gt;0,1,-1)</f>
        <v>1</v>
      </c>
      <c r="R613" s="22">
        <v>29365</v>
      </c>
      <c r="S613" s="3">
        <f>+IF(Tabla13[[#This Row],[Ingresado USD]]&gt;0,1,-1)</f>
        <v>1</v>
      </c>
      <c r="T613" s="76">
        <v>45198</v>
      </c>
      <c r="U613" s="22">
        <v>29365</v>
      </c>
    </row>
    <row r="614" spans="1:22" ht="12" hidden="1" x14ac:dyDescent="0.2">
      <c r="A614" s="3">
        <v>613</v>
      </c>
      <c r="B614" s="3" t="s">
        <v>83</v>
      </c>
      <c r="C61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Pilares Mineros - Candelaria</v>
      </c>
      <c r="D614" s="3" t="s">
        <v>7</v>
      </c>
      <c r="E614" s="3" t="s">
        <v>275</v>
      </c>
      <c r="F614" s="3" t="s">
        <v>251</v>
      </c>
      <c r="G614" s="3">
        <v>2023</v>
      </c>
      <c r="H614" s="3">
        <f>+IF(Tabla13[[#This Row],[Proyectado USD]]&gt;0,1,-1)</f>
        <v>-1</v>
      </c>
      <c r="I614" s="15"/>
      <c r="J614" s="21"/>
      <c r="K614" s="3">
        <f>+IF(Tabla13[[#This Row],[Emitido USD]]&gt;0,1,-1)</f>
        <v>1</v>
      </c>
      <c r="L614" s="73">
        <v>45098</v>
      </c>
      <c r="M614" s="3">
        <v>3</v>
      </c>
      <c r="N614" s="22">
        <v>8901</v>
      </c>
      <c r="O614" s="6">
        <v>105</v>
      </c>
      <c r="P614" s="76">
        <v>45176</v>
      </c>
      <c r="Q614" s="3">
        <f>+IF(Tabla13[[#This Row],[Facturado USD]]&gt;0,1,-1)</f>
        <v>1</v>
      </c>
      <c r="R614" s="22">
        <v>8901</v>
      </c>
      <c r="S614" s="3">
        <f>+IF(Tabla13[[#This Row],[Ingresado USD]]&gt;0,1,-1)</f>
        <v>1</v>
      </c>
      <c r="T614" s="78">
        <v>45198</v>
      </c>
      <c r="U614" s="22">
        <v>8901</v>
      </c>
    </row>
    <row r="615" spans="1:22" ht="12" hidden="1" x14ac:dyDescent="0.2">
      <c r="A615" s="3">
        <v>614</v>
      </c>
      <c r="B615" s="3" t="s">
        <v>83</v>
      </c>
      <c r="C61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Pilares Mineros - Candelaria</v>
      </c>
      <c r="D615" s="3" t="s">
        <v>7</v>
      </c>
      <c r="E615" s="3" t="s">
        <v>275</v>
      </c>
      <c r="F615" s="3" t="s">
        <v>251</v>
      </c>
      <c r="G615" s="3">
        <v>2023</v>
      </c>
      <c r="H615" s="3">
        <f>+IF(Tabla13[[#This Row],[Proyectado USD]]&gt;0,1,-1)</f>
        <v>-1</v>
      </c>
      <c r="I615" s="15"/>
      <c r="J615" s="21"/>
      <c r="K615" s="3">
        <f>+IF(Tabla13[[#This Row],[Emitido USD]]&gt;0,1,-1)</f>
        <v>1</v>
      </c>
      <c r="L615" s="73">
        <v>45132</v>
      </c>
      <c r="M615" s="3">
        <v>4</v>
      </c>
      <c r="N615" s="22">
        <v>5427</v>
      </c>
      <c r="O615" s="6">
        <v>106</v>
      </c>
      <c r="P615" s="76">
        <v>45176</v>
      </c>
      <c r="Q615" s="3">
        <f>+IF(Tabla13[[#This Row],[Facturado USD]]&gt;0,1,-1)</f>
        <v>1</v>
      </c>
      <c r="R615" s="22">
        <v>5427</v>
      </c>
      <c r="S615" s="3">
        <f>+IF(Tabla13[[#This Row],[Ingresado USD]]&gt;0,1,-1)</f>
        <v>1</v>
      </c>
      <c r="T615" s="78">
        <v>45198</v>
      </c>
      <c r="U615" s="22">
        <v>5427</v>
      </c>
    </row>
    <row r="616" spans="1:22" ht="12" hidden="1" x14ac:dyDescent="0.2">
      <c r="A616" s="3">
        <v>615</v>
      </c>
      <c r="B616" s="3" t="s">
        <v>83</v>
      </c>
      <c r="C61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Pilares Mineros - Candelaria</v>
      </c>
      <c r="D616" s="3" t="s">
        <v>7</v>
      </c>
      <c r="E616" s="3" t="s">
        <v>275</v>
      </c>
      <c r="F616" s="3" t="s">
        <v>251</v>
      </c>
      <c r="G616" s="3">
        <v>2023</v>
      </c>
      <c r="H616" s="3">
        <f>+IF(Tabla13[[#This Row],[Proyectado USD]]&gt;0,1,-1)</f>
        <v>-1</v>
      </c>
      <c r="I616" s="15"/>
      <c r="J616" s="21"/>
      <c r="K616" s="3">
        <f>+IF(Tabla13[[#This Row],[Emitido USD]]&gt;0,1,-1)</f>
        <v>1</v>
      </c>
      <c r="L616" s="73">
        <v>45163</v>
      </c>
      <c r="M616" s="3">
        <v>5</v>
      </c>
      <c r="N616" s="22">
        <v>1745</v>
      </c>
      <c r="O616" s="6">
        <v>109</v>
      </c>
      <c r="P616" s="76">
        <v>45197</v>
      </c>
      <c r="Q616" s="3">
        <f>+IF(Tabla13[[#This Row],[Facturado USD]]&gt;0,1,-1)</f>
        <v>1</v>
      </c>
      <c r="R616" s="22">
        <v>1745</v>
      </c>
      <c r="S616" s="3">
        <f>+IF(Tabla13[[#This Row],[Ingresado USD]]&gt;0,1,-1)</f>
        <v>1</v>
      </c>
      <c r="T616" s="78">
        <v>45219</v>
      </c>
      <c r="U616" s="22">
        <v>1745</v>
      </c>
    </row>
    <row r="617" spans="1:22" ht="12" hidden="1" x14ac:dyDescent="0.2">
      <c r="A617" s="3">
        <v>616</v>
      </c>
      <c r="B617" s="3" t="s">
        <v>104</v>
      </c>
      <c r="C61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Planificación Minera Subterránea</v>
      </c>
      <c r="D617" s="3" t="s">
        <v>29</v>
      </c>
      <c r="E617" s="3" t="s">
        <v>291</v>
      </c>
      <c r="F617" s="3" t="s">
        <v>251</v>
      </c>
      <c r="G617" s="3">
        <v>2022</v>
      </c>
      <c r="H617" s="3">
        <f>+IF(Tabla13[[#This Row],[Proyectado USD]]&gt;0,1,-1)</f>
        <v>-1</v>
      </c>
      <c r="I617" s="15"/>
      <c r="J617" s="21"/>
      <c r="K617" s="3">
        <f>+IF(Tabla13[[#This Row],[Emitido USD]]&gt;0,1,-1)</f>
        <v>1</v>
      </c>
      <c r="L617" s="73">
        <v>44886</v>
      </c>
      <c r="M617" s="3">
        <v>1</v>
      </c>
      <c r="N617" s="39">
        <v>48365.26</v>
      </c>
      <c r="O617" s="6">
        <v>504</v>
      </c>
      <c r="P617" s="76">
        <v>44923</v>
      </c>
      <c r="Q617" s="3">
        <f>+IF(Tabla13[[#This Row],[Facturado USD]]&gt;0,1,-1)</f>
        <v>1</v>
      </c>
      <c r="R617" s="22">
        <v>48365.26</v>
      </c>
      <c r="S617" s="3">
        <f>+IF(Tabla13[[#This Row],[Ingresado USD]]&gt;0,1,-1)</f>
        <v>1</v>
      </c>
      <c r="T617" s="78">
        <v>44953</v>
      </c>
      <c r="U617" s="22">
        <v>48365.26</v>
      </c>
    </row>
    <row r="618" spans="1:22" ht="12" hidden="1" x14ac:dyDescent="0.2">
      <c r="A618" s="3">
        <v>617</v>
      </c>
      <c r="B618" s="3" t="s">
        <v>104</v>
      </c>
      <c r="C61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Planificación Minera Subterránea</v>
      </c>
      <c r="D618" s="3" t="s">
        <v>29</v>
      </c>
      <c r="E618" s="3" t="s">
        <v>291</v>
      </c>
      <c r="F618" s="3" t="s">
        <v>251</v>
      </c>
      <c r="G618" s="3">
        <v>2023</v>
      </c>
      <c r="H618" s="3">
        <f>+IF(Tabla13[[#This Row],[Proyectado USD]]&gt;0,1,-1)</f>
        <v>-1</v>
      </c>
      <c r="I618" s="15"/>
      <c r="J618" s="21"/>
      <c r="K618" s="3">
        <f>+IF(Tabla13[[#This Row],[Emitido USD]]&gt;0,1,-1)</f>
        <v>1</v>
      </c>
      <c r="L618" s="73">
        <v>44916</v>
      </c>
      <c r="M618" s="3">
        <v>1</v>
      </c>
      <c r="N618" s="22">
        <v>43637</v>
      </c>
      <c r="O618" s="6">
        <v>508</v>
      </c>
      <c r="P618" s="76">
        <v>44935</v>
      </c>
      <c r="Q618" s="3">
        <f>+IF(Tabla13[[#This Row],[Facturado USD]]&gt;0,1,-1)</f>
        <v>1</v>
      </c>
      <c r="R618" s="22">
        <v>43637</v>
      </c>
      <c r="S618" s="3">
        <f>+IF(Tabla13[[#This Row],[Ingresado USD]]&gt;0,1,-1)</f>
        <v>1</v>
      </c>
      <c r="T618" s="78">
        <v>44964</v>
      </c>
      <c r="U618" s="22">
        <v>43637</v>
      </c>
    </row>
    <row r="619" spans="1:22" ht="12" hidden="1" x14ac:dyDescent="0.2">
      <c r="A619" s="3">
        <v>490</v>
      </c>
      <c r="B619" s="3" t="s">
        <v>671</v>
      </c>
      <c r="C61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Miskimayo_Evaluación Transporte en Mina</v>
      </c>
      <c r="D619" s="3" t="s">
        <v>674</v>
      </c>
      <c r="E619" s="3" t="s">
        <v>742</v>
      </c>
      <c r="F619" s="3" t="s">
        <v>318</v>
      </c>
      <c r="G619" s="3">
        <v>2026</v>
      </c>
      <c r="H619" s="3">
        <f>+IF(Tabla13[[#This Row],[Proyectado USD]]&gt;0,1,-1)</f>
        <v>1</v>
      </c>
      <c r="I619" s="15">
        <v>46078</v>
      </c>
      <c r="J619" s="21">
        <v>34000</v>
      </c>
      <c r="K619" s="3">
        <f>+IF(Tabla13[[#This Row],[Emitido USD]]&gt;0,1,-1)</f>
        <v>1</v>
      </c>
      <c r="L619" s="73">
        <v>46070</v>
      </c>
      <c r="M619" s="3">
        <v>4</v>
      </c>
      <c r="N619" s="22">
        <v>32927</v>
      </c>
      <c r="O619" s="6" t="s">
        <v>841</v>
      </c>
      <c r="P619" s="76">
        <v>46163</v>
      </c>
      <c r="Q619" s="3">
        <f>+IF(Tabla13[[#This Row],[Facturado USD]]&gt;0,1,-1)</f>
        <v>1</v>
      </c>
      <c r="R619" s="22">
        <v>32927</v>
      </c>
      <c r="S619" s="3">
        <f>+IF(Tabla13[[#This Row],[Ingresado USD]]&gt;0,1,-1)</f>
        <v>-1</v>
      </c>
      <c r="T619" s="78">
        <v>46208</v>
      </c>
    </row>
    <row r="620" spans="1:22" ht="12" hidden="1" x14ac:dyDescent="0.2">
      <c r="A620" s="3">
        <v>95</v>
      </c>
      <c r="B620" s="3" t="s">
        <v>672</v>
      </c>
      <c r="C62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AuraMinerals_Proyecto Paiol PFS UG</v>
      </c>
      <c r="D620" s="3" t="s">
        <v>675</v>
      </c>
      <c r="E620" s="3" t="s">
        <v>234</v>
      </c>
      <c r="F620" s="3" t="s">
        <v>235</v>
      </c>
      <c r="G620" s="3">
        <v>2026</v>
      </c>
      <c r="H620" s="3">
        <f>+IF(Tabla13[[#This Row],[Proyectado USD]]&gt;0,1,-1)</f>
        <v>1</v>
      </c>
      <c r="I620" s="15">
        <v>46078</v>
      </c>
      <c r="J620" s="21">
        <v>75316</v>
      </c>
      <c r="K620" s="3">
        <f>+IF(Tabla13[[#This Row],[Emitido USD]]&gt;0,1,-1)</f>
        <v>1</v>
      </c>
      <c r="L620" s="73">
        <v>46069</v>
      </c>
      <c r="M620" s="3">
        <v>4</v>
      </c>
      <c r="N620" s="22">
        <v>69222</v>
      </c>
      <c r="O620" s="6">
        <v>7</v>
      </c>
      <c r="P620" s="76">
        <v>46076</v>
      </c>
      <c r="Q620" s="3">
        <f>+IF(Tabla13[[#This Row],[Facturado USD]]&gt;0,1,-1)</f>
        <v>1</v>
      </c>
      <c r="R620" s="22">
        <v>68348</v>
      </c>
      <c r="S620" s="3">
        <f>+IF(Tabla13[[#This Row],[Ingresado USD]]&gt;0,1,-1)</f>
        <v>1</v>
      </c>
      <c r="T620" s="88">
        <v>46118</v>
      </c>
      <c r="U620" s="37">
        <f>334194/5.21</f>
        <v>64144.721689059501</v>
      </c>
    </row>
    <row r="621" spans="1:22" ht="12" hidden="1" x14ac:dyDescent="0.2">
      <c r="A621" s="3">
        <v>324</v>
      </c>
      <c r="B621" s="3" t="s">
        <v>238</v>
      </c>
      <c r="C62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EroCopper_Scoping Proyecto Furnas</v>
      </c>
      <c r="D621" s="3" t="s">
        <v>223</v>
      </c>
      <c r="E621" s="3" t="s">
        <v>239</v>
      </c>
      <c r="F621" s="3" t="s">
        <v>235</v>
      </c>
      <c r="G621" s="3">
        <v>2026</v>
      </c>
      <c r="H621" s="3">
        <f>+IF(Tabla13[[#This Row],[Proyectado USD]]&gt;0,1,-1)</f>
        <v>1</v>
      </c>
      <c r="I621" s="15">
        <v>46078</v>
      </c>
      <c r="J621" s="21">
        <v>59681</v>
      </c>
      <c r="K621" s="3">
        <f>+IF(Tabla13[[#This Row],[Emitido USD]]&gt;0,1,-1)</f>
        <v>1</v>
      </c>
      <c r="L621" s="73">
        <v>46069</v>
      </c>
      <c r="M621" s="3">
        <v>9</v>
      </c>
      <c r="N621" s="22">
        <v>70943.787809523827</v>
      </c>
      <c r="O621" s="6">
        <v>6</v>
      </c>
      <c r="P621" s="76">
        <v>46072</v>
      </c>
      <c r="Q621" s="3">
        <f>+IF(Tabla13[[#This Row],[Facturado USD]]&gt;0,1,-1)</f>
        <v>1</v>
      </c>
      <c r="R621" s="22">
        <v>71488</v>
      </c>
      <c r="S621" s="3">
        <f>+IF(Tabla13[[#This Row],[Ingresado USD]]&gt;0,1,-1)</f>
        <v>1</v>
      </c>
      <c r="T621" s="78">
        <v>46100</v>
      </c>
      <c r="U621" s="22">
        <v>59943</v>
      </c>
    </row>
    <row r="622" spans="1:22" ht="12" hidden="1" x14ac:dyDescent="0.2">
      <c r="A622" s="3">
        <v>263</v>
      </c>
      <c r="B622" s="3" t="s">
        <v>741</v>
      </c>
      <c r="C62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Collahuasi_Mine Compliance 2026</v>
      </c>
      <c r="D622" s="3" t="s">
        <v>725</v>
      </c>
      <c r="E622" s="3" t="s">
        <v>648</v>
      </c>
      <c r="F622" s="3" t="s">
        <v>251</v>
      </c>
      <c r="G622" s="3">
        <v>2026</v>
      </c>
      <c r="H622" s="3">
        <f>+IF(Tabla13[[#This Row],[Proyectado USD]]&gt;0,1,-1)</f>
        <v>1</v>
      </c>
      <c r="I622" s="15">
        <v>46078</v>
      </c>
      <c r="J622" s="21">
        <v>4497</v>
      </c>
      <c r="K622" s="3">
        <f>+IF(Tabla13[[#This Row],[Emitido USD]]&gt;0,1,-1)</f>
        <v>1</v>
      </c>
      <c r="L622" s="73">
        <v>46064</v>
      </c>
      <c r="M622" s="3">
        <v>1</v>
      </c>
      <c r="N622" s="22">
        <v>13169</v>
      </c>
      <c r="O622" s="25">
        <v>391</v>
      </c>
      <c r="P622" s="76">
        <v>46119</v>
      </c>
      <c r="Q622" s="3">
        <f>+IF(Tabla13[[#This Row],[Facturado USD]]&gt;0,1,-1)</f>
        <v>1</v>
      </c>
      <c r="R622" s="22">
        <v>13169</v>
      </c>
      <c r="S622" s="3">
        <f>+IF(Tabla13[[#This Row],[Ingresado USD]]&gt;0,1,-1)</f>
        <v>1</v>
      </c>
      <c r="T622" s="78">
        <v>46129</v>
      </c>
      <c r="U622" s="37">
        <v>13169</v>
      </c>
      <c r="V622" s="3" t="s">
        <v>787</v>
      </c>
    </row>
    <row r="623" spans="1:22" ht="12" hidden="1" x14ac:dyDescent="0.2">
      <c r="A623" s="3">
        <v>622</v>
      </c>
      <c r="B623" s="3" t="s">
        <v>598</v>
      </c>
      <c r="C62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PUCOBRE_Acompañamiento Reservas Tovaku</v>
      </c>
      <c r="D623" s="3" t="s">
        <v>599</v>
      </c>
      <c r="E623" s="3" t="s">
        <v>600</v>
      </c>
      <c r="F623" s="3" t="s">
        <v>251</v>
      </c>
      <c r="G623" s="3">
        <v>2025</v>
      </c>
      <c r="H623" s="3">
        <f>+IF(Tabla13[[#This Row],[Proyectado USD]]&gt;0,1,-1)</f>
        <v>-1</v>
      </c>
      <c r="I623" s="15"/>
      <c r="J623" s="21"/>
      <c r="K623" s="3">
        <f>+IF(Tabla13[[#This Row],[Emitido USD]]&gt;0,1,-1)</f>
        <v>1</v>
      </c>
      <c r="L623" s="73">
        <v>45930</v>
      </c>
      <c r="M623" s="3">
        <v>1</v>
      </c>
      <c r="N623" s="22">
        <v>10175</v>
      </c>
      <c r="O623" s="6">
        <v>348</v>
      </c>
      <c r="P623" s="76">
        <v>45943</v>
      </c>
      <c r="Q623" s="3">
        <f>+IF(Tabla13[[#This Row],[Facturado USD]]&gt;0,1,-1)</f>
        <v>1</v>
      </c>
      <c r="R623" s="22">
        <v>10175</v>
      </c>
      <c r="S623" s="3">
        <f>+IF(Tabla13[[#This Row],[Ingresado USD]]&gt;0,1,-1)</f>
        <v>1</v>
      </c>
      <c r="T623" s="78">
        <v>45982</v>
      </c>
      <c r="U623" s="22">
        <v>10175</v>
      </c>
    </row>
    <row r="624" spans="1:22" ht="12" hidden="1" x14ac:dyDescent="0.2">
      <c r="A624" s="3">
        <v>623</v>
      </c>
      <c r="B624" s="3" t="s">
        <v>144</v>
      </c>
      <c r="C62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Raura Operativo</v>
      </c>
      <c r="D624" s="30" t="s">
        <v>30</v>
      </c>
      <c r="E624" s="30" t="s">
        <v>331</v>
      </c>
      <c r="F624" s="30" t="s">
        <v>318</v>
      </c>
      <c r="G624" s="30">
        <v>2022</v>
      </c>
      <c r="H624" s="30">
        <f>+IF(Tabla13[[#This Row],[Proyectado USD]]&gt;0,1,-1)</f>
        <v>-1</v>
      </c>
      <c r="I624" s="30"/>
      <c r="J624" s="31"/>
      <c r="K624" s="30">
        <f>+IF(Tabla13[[#This Row],[Emitido USD]]&gt;0,1,-1)</f>
        <v>1</v>
      </c>
      <c r="L624" s="74">
        <v>44886</v>
      </c>
      <c r="M624" s="30">
        <v>1</v>
      </c>
      <c r="N624" s="35">
        <v>76480</v>
      </c>
      <c r="O624" s="32" t="s">
        <v>145</v>
      </c>
      <c r="P624" s="74">
        <v>44915</v>
      </c>
      <c r="Q624" s="30">
        <f>+IF(Tabla13[[#This Row],[Facturado USD]]&gt;0,1,-1)</f>
        <v>1</v>
      </c>
      <c r="R624" s="35">
        <v>76385.09</v>
      </c>
      <c r="S624" s="3">
        <f>+IF(Tabla13[[#This Row],[Ingresado USD]]&gt;0,1,-1)</f>
        <v>1</v>
      </c>
      <c r="T624" s="74">
        <v>44925</v>
      </c>
      <c r="U624" s="35">
        <v>76385.09</v>
      </c>
      <c r="V624" s="30"/>
    </row>
    <row r="625" spans="1:22" ht="12" hidden="1" x14ac:dyDescent="0.2">
      <c r="A625" s="3">
        <v>624</v>
      </c>
      <c r="B625" s="3" t="s">
        <v>144</v>
      </c>
      <c r="C62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Raura Operativo</v>
      </c>
      <c r="D625" s="30" t="s">
        <v>30</v>
      </c>
      <c r="E625" s="30" t="s">
        <v>331</v>
      </c>
      <c r="F625" s="30" t="s">
        <v>318</v>
      </c>
      <c r="G625" s="30">
        <v>2023</v>
      </c>
      <c r="H625" s="30">
        <f>+IF(Tabla13[[#This Row],[Proyectado USD]]&gt;0,1,-1)</f>
        <v>-1</v>
      </c>
      <c r="I625" s="30"/>
      <c r="J625" s="31"/>
      <c r="K625" s="30">
        <f>+IF(Tabla13[[#This Row],[Emitido USD]]&gt;0,1,-1)</f>
        <v>1</v>
      </c>
      <c r="L625" s="74">
        <v>44916</v>
      </c>
      <c r="M625" s="30">
        <v>2</v>
      </c>
      <c r="N625" s="35">
        <v>50046.400000000001</v>
      </c>
      <c r="O625" s="32" t="s">
        <v>146</v>
      </c>
      <c r="P625" s="74">
        <v>44928</v>
      </c>
      <c r="Q625" s="30">
        <f>+IF(Tabla13[[#This Row],[Facturado USD]]&gt;0,1,-1)</f>
        <v>1</v>
      </c>
      <c r="R625" s="35">
        <v>49915.51</v>
      </c>
      <c r="S625" s="3">
        <f>+IF(Tabla13[[#This Row],[Ingresado USD]]&gt;0,1,-1)</f>
        <v>1</v>
      </c>
      <c r="T625" s="74">
        <v>44951</v>
      </c>
      <c r="U625" s="35">
        <v>49915.51</v>
      </c>
      <c r="V625" s="30"/>
    </row>
    <row r="626" spans="1:22" ht="12" hidden="1" x14ac:dyDescent="0.2">
      <c r="A626" s="3">
        <v>625</v>
      </c>
      <c r="B626" s="3" t="s">
        <v>144</v>
      </c>
      <c r="C62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Raura Operativo</v>
      </c>
      <c r="D626" s="30" t="s">
        <v>30</v>
      </c>
      <c r="E626" s="30" t="s">
        <v>317</v>
      </c>
      <c r="F626" s="30" t="s">
        <v>318</v>
      </c>
      <c r="G626" s="30">
        <v>2023</v>
      </c>
      <c r="H626" s="30">
        <f>+IF(Tabla13[[#This Row],[Proyectado USD]]&gt;0,1,-1)</f>
        <v>-1</v>
      </c>
      <c r="I626" s="30"/>
      <c r="J626" s="31"/>
      <c r="K626" s="30">
        <f>+IF(Tabla13[[#This Row],[Emitido USD]]&gt;0,1,-1)</f>
        <v>1</v>
      </c>
      <c r="L626" s="74">
        <v>44947</v>
      </c>
      <c r="M626" s="30">
        <v>3</v>
      </c>
      <c r="N626" s="35">
        <v>56368</v>
      </c>
      <c r="O626" s="32" t="s">
        <v>147</v>
      </c>
      <c r="P626" s="74">
        <v>44928</v>
      </c>
      <c r="Q626" s="30">
        <f>+IF(Tabla13[[#This Row],[Facturado USD]]&gt;0,1,-1)</f>
        <v>1</v>
      </c>
      <c r="R626" s="35">
        <v>56217.41</v>
      </c>
      <c r="S626" s="3">
        <f>+IF(Tabla13[[#This Row],[Ingresado USD]]&gt;0,1,-1)</f>
        <v>1</v>
      </c>
      <c r="T626" s="74">
        <v>44985</v>
      </c>
      <c r="U626" s="35">
        <v>56217.41</v>
      </c>
      <c r="V626" s="30"/>
    </row>
    <row r="627" spans="1:22" ht="12" hidden="1" x14ac:dyDescent="0.2">
      <c r="A627" s="3">
        <v>626</v>
      </c>
      <c r="B627" s="3" t="s">
        <v>144</v>
      </c>
      <c r="C62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Raura Operativo</v>
      </c>
      <c r="D627" s="30" t="s">
        <v>30</v>
      </c>
      <c r="E627" s="30" t="s">
        <v>317</v>
      </c>
      <c r="F627" s="30" t="s">
        <v>318</v>
      </c>
      <c r="G627" s="30">
        <v>2023</v>
      </c>
      <c r="H627" s="30">
        <f>+IF(Tabla13[[#This Row],[Proyectado USD]]&gt;0,1,-1)</f>
        <v>-1</v>
      </c>
      <c r="I627" s="30"/>
      <c r="J627" s="31"/>
      <c r="K627" s="30">
        <f>+IF(Tabla13[[#This Row],[Emitido USD]]&gt;0,1,-1)</f>
        <v>1</v>
      </c>
      <c r="L627" s="74">
        <v>44978</v>
      </c>
      <c r="M627" s="30">
        <v>4</v>
      </c>
      <c r="N627" s="35">
        <v>40732.800000000003</v>
      </c>
      <c r="O627" s="32" t="s">
        <v>148</v>
      </c>
      <c r="P627" s="74">
        <v>45020</v>
      </c>
      <c r="Q627" s="30">
        <f>+IF(Tabla13[[#This Row],[Facturado USD]]&gt;0,1,-1)</f>
        <v>1</v>
      </c>
      <c r="R627" s="35">
        <v>40587.46</v>
      </c>
      <c r="S627" s="3">
        <f>+IF(Tabla13[[#This Row],[Ingresado USD]]&gt;0,1,-1)</f>
        <v>1</v>
      </c>
      <c r="T627" s="74">
        <v>45029</v>
      </c>
      <c r="U627" s="35">
        <v>40587.46</v>
      </c>
      <c r="V627" s="30"/>
    </row>
    <row r="628" spans="1:22" ht="12" hidden="1" x14ac:dyDescent="0.2">
      <c r="A628" s="3">
        <v>627</v>
      </c>
      <c r="B628" s="3" t="s">
        <v>144</v>
      </c>
      <c r="C62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Raura Operativo</v>
      </c>
      <c r="D628" s="30" t="s">
        <v>30</v>
      </c>
      <c r="E628" s="30" t="s">
        <v>317</v>
      </c>
      <c r="F628" s="30" t="s">
        <v>318</v>
      </c>
      <c r="G628" s="30">
        <v>2023</v>
      </c>
      <c r="H628" s="30">
        <f>+IF(Tabla13[[#This Row],[Proyectado USD]]&gt;0,1,-1)</f>
        <v>-1</v>
      </c>
      <c r="I628" s="30"/>
      <c r="J628" s="31"/>
      <c r="K628" s="30">
        <f>+IF(Tabla13[[#This Row],[Emitido USD]]&gt;0,1,-1)</f>
        <v>1</v>
      </c>
      <c r="L628" s="74">
        <v>45006</v>
      </c>
      <c r="M628" s="30">
        <v>5</v>
      </c>
      <c r="N628" s="35">
        <v>23129.600000000002</v>
      </c>
      <c r="O628" s="32" t="s">
        <v>149</v>
      </c>
      <c r="P628" s="74">
        <v>45110</v>
      </c>
      <c r="Q628" s="30">
        <f>+IF(Tabla13[[#This Row],[Facturado USD]]&gt;0,1,-1)</f>
        <v>1</v>
      </c>
      <c r="R628" s="35">
        <v>23129.599999999999</v>
      </c>
      <c r="S628" s="3">
        <f>+IF(Tabla13[[#This Row],[Ingresado USD]]&gt;0,1,-1)</f>
        <v>1</v>
      </c>
      <c r="T628" s="74">
        <v>45118</v>
      </c>
      <c r="U628" s="35">
        <v>23129.599999999999</v>
      </c>
      <c r="V628" s="30" t="s">
        <v>113</v>
      </c>
    </row>
    <row r="629" spans="1:22" ht="12" hidden="1" x14ac:dyDescent="0.2">
      <c r="A629" s="3">
        <v>628</v>
      </c>
      <c r="B629" s="3" t="s">
        <v>144</v>
      </c>
      <c r="C62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Raura Operativo</v>
      </c>
      <c r="D629" s="30" t="s">
        <v>30</v>
      </c>
      <c r="E629" s="30" t="s">
        <v>317</v>
      </c>
      <c r="F629" s="30" t="s">
        <v>318</v>
      </c>
      <c r="G629" s="30">
        <v>2023</v>
      </c>
      <c r="H629" s="30">
        <f>+IF(Tabla13[[#This Row],[Proyectado USD]]&gt;0,1,-1)</f>
        <v>-1</v>
      </c>
      <c r="I629" s="30"/>
      <c r="J629" s="31"/>
      <c r="K629" s="30">
        <f>+IF(Tabla13[[#This Row],[Emitido USD]]&gt;0,1,-1)</f>
        <v>1</v>
      </c>
      <c r="L629" s="74">
        <v>45037</v>
      </c>
      <c r="M629" s="30">
        <v>6</v>
      </c>
      <c r="N629" s="35">
        <v>5339.1999999999825</v>
      </c>
      <c r="O629" s="32" t="s">
        <v>149</v>
      </c>
      <c r="P629" s="74">
        <v>45110</v>
      </c>
      <c r="Q629" s="30">
        <f>+IF(Tabla13[[#This Row],[Facturado USD]]&gt;0,1,-1)</f>
        <v>1</v>
      </c>
      <c r="R629" s="35">
        <v>5339.1999999999825</v>
      </c>
      <c r="S629" s="3">
        <f>+IF(Tabla13[[#This Row],[Ingresado USD]]&gt;0,1,-1)</f>
        <v>1</v>
      </c>
      <c r="T629" s="74">
        <v>45118</v>
      </c>
      <c r="U629" s="35">
        <v>5339.1999999999825</v>
      </c>
      <c r="V629" s="30" t="s">
        <v>113</v>
      </c>
    </row>
    <row r="630" spans="1:22" ht="12" hidden="1" x14ac:dyDescent="0.2">
      <c r="A630" s="3">
        <v>629</v>
      </c>
      <c r="B630" s="3" t="s">
        <v>105</v>
      </c>
      <c r="C63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RDP</v>
      </c>
      <c r="D630" s="3" t="s">
        <v>44</v>
      </c>
      <c r="E630" s="3" t="s">
        <v>250</v>
      </c>
      <c r="F630" s="3" t="s">
        <v>251</v>
      </c>
      <c r="G630" s="3">
        <v>2023</v>
      </c>
      <c r="H630" s="3">
        <f>+IF(Tabla13[[#This Row],[Proyectado USD]]&gt;0,1,-1)</f>
        <v>1</v>
      </c>
      <c r="I630" s="15">
        <v>45200</v>
      </c>
      <c r="J630" s="21">
        <v>34790</v>
      </c>
      <c r="K630" s="3">
        <f>+IF(Tabla13[[#This Row],[Emitido USD]]&gt;0,1,-1)</f>
        <v>1</v>
      </c>
      <c r="L630" s="73">
        <v>45222</v>
      </c>
      <c r="M630" s="3">
        <v>1</v>
      </c>
      <c r="N630" s="38">
        <v>44990</v>
      </c>
      <c r="O630" s="6">
        <v>121</v>
      </c>
      <c r="P630" s="76">
        <v>45223</v>
      </c>
      <c r="Q630" s="3">
        <f>+IF(Tabla13[[#This Row],[Facturado USD]]&gt;0,1,-1)</f>
        <v>1</v>
      </c>
      <c r="R630" s="22">
        <v>44990</v>
      </c>
      <c r="S630" s="3">
        <f>+IF(Tabla13[[#This Row],[Ingresado USD]]&gt;0,1,-1)</f>
        <v>1</v>
      </c>
      <c r="T630" s="78">
        <v>45232</v>
      </c>
      <c r="U630" s="22">
        <v>42740.5</v>
      </c>
    </row>
    <row r="631" spans="1:22" ht="12" hidden="1" x14ac:dyDescent="0.2">
      <c r="A631" s="3">
        <v>630</v>
      </c>
      <c r="B631" s="3" t="s">
        <v>669</v>
      </c>
      <c r="C63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Resolution_General Review</v>
      </c>
      <c r="D63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Resolution_General Review</v>
      </c>
      <c r="E631" s="3" t="s">
        <v>670</v>
      </c>
      <c r="F631" s="3" t="s">
        <v>469</v>
      </c>
      <c r="G631" s="3">
        <v>2025</v>
      </c>
      <c r="H631" s="3">
        <f>+IF(Tabla13[[#This Row],[Proyectado USD]]&gt;0,1,-1)</f>
        <v>-1</v>
      </c>
      <c r="I631" s="15"/>
      <c r="J631" s="21"/>
      <c r="K631" s="3">
        <f>+IF(Tabla13[[#This Row],[Emitido USD]]&gt;0,1,-1)</f>
        <v>1</v>
      </c>
      <c r="L631" s="73">
        <v>45971</v>
      </c>
      <c r="M631" s="3">
        <v>1</v>
      </c>
      <c r="N631" s="22">
        <v>74044</v>
      </c>
      <c r="O631" s="6" t="s">
        <v>164</v>
      </c>
      <c r="P631" s="76">
        <v>46008</v>
      </c>
      <c r="Q631" s="3">
        <f>+IF(Tabla13[[#This Row],[Facturado USD]]&gt;0,1,-1)</f>
        <v>1</v>
      </c>
      <c r="R631" s="22">
        <v>74044</v>
      </c>
      <c r="S631" s="3">
        <f>+IF(Tabla13[[#This Row],[Ingresado USD]]&gt;0,1,-1)</f>
        <v>1</v>
      </c>
      <c r="T631" s="78">
        <v>46008</v>
      </c>
      <c r="U631" s="22">
        <v>74044</v>
      </c>
    </row>
    <row r="632" spans="1:22" ht="12" hidden="1" x14ac:dyDescent="0.2">
      <c r="A632" s="3">
        <v>631</v>
      </c>
      <c r="B632" s="3" t="s">
        <v>669</v>
      </c>
      <c r="C63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Resolution_General Review</v>
      </c>
      <c r="D63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Resolution_General Review</v>
      </c>
      <c r="E632" s="3" t="s">
        <v>670</v>
      </c>
      <c r="F632" s="3" t="s">
        <v>469</v>
      </c>
      <c r="G632" s="3">
        <v>2025</v>
      </c>
      <c r="H632" s="3">
        <f>+IF(Tabla13[[#This Row],[Proyectado USD]]&gt;0,1,-1)</f>
        <v>-1</v>
      </c>
      <c r="I632" s="15"/>
      <c r="J632" s="21"/>
      <c r="K632" s="3">
        <f>+IF(Tabla13[[#This Row],[Emitido USD]]&gt;0,1,-1)</f>
        <v>1</v>
      </c>
      <c r="L632" s="73">
        <v>45986</v>
      </c>
      <c r="M632" s="3">
        <v>2</v>
      </c>
      <c r="N632" s="22">
        <v>52266</v>
      </c>
      <c r="O632" s="6" t="s">
        <v>164</v>
      </c>
      <c r="P632" s="76">
        <v>46010</v>
      </c>
      <c r="Q632" s="3">
        <f>+IF(Tabla13[[#This Row],[Facturado USD]]&gt;0,1,-1)</f>
        <v>1</v>
      </c>
      <c r="R632" s="22">
        <v>52266</v>
      </c>
      <c r="S632" s="3">
        <f>+IF(Tabla13[[#This Row],[Ingresado USD]]&gt;0,1,-1)</f>
        <v>1</v>
      </c>
      <c r="T632" s="78">
        <v>46011</v>
      </c>
      <c r="U632" s="22">
        <v>52266</v>
      </c>
    </row>
    <row r="633" spans="1:22" ht="12" hidden="1" x14ac:dyDescent="0.2">
      <c r="A633" s="3">
        <v>632</v>
      </c>
      <c r="B633" s="3" t="s">
        <v>669</v>
      </c>
      <c r="C63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Resolution_General Review</v>
      </c>
      <c r="D63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Resolution_General Review</v>
      </c>
      <c r="E633" s="3" t="s">
        <v>670</v>
      </c>
      <c r="F633" s="3" t="s">
        <v>469</v>
      </c>
      <c r="G633" s="3">
        <v>2025</v>
      </c>
      <c r="H633" s="3">
        <f>+IF(Tabla13[[#This Row],[Proyectado USD]]&gt;0,1,-1)</f>
        <v>-1</v>
      </c>
      <c r="I633" s="15"/>
      <c r="J633" s="21"/>
      <c r="K633" s="3">
        <f>+IF(Tabla13[[#This Row],[Emitido USD]]&gt;0,1,-1)</f>
        <v>1</v>
      </c>
      <c r="L633" s="73">
        <v>46013</v>
      </c>
      <c r="M633" s="3">
        <v>3</v>
      </c>
      <c r="N633" s="22">
        <v>28311</v>
      </c>
      <c r="O633" s="6" t="s">
        <v>164</v>
      </c>
      <c r="P633" s="76">
        <v>46013</v>
      </c>
      <c r="Q633" s="3">
        <f>+IF(Tabla13[[#This Row],[Facturado USD]]&gt;0,1,-1)</f>
        <v>1</v>
      </c>
      <c r="R633" s="22">
        <v>28311</v>
      </c>
      <c r="S633" s="3">
        <f>+IF(Tabla13[[#This Row],[Ingresado USD]]&gt;0,1,-1)</f>
        <v>1</v>
      </c>
      <c r="T633" s="78">
        <v>46030</v>
      </c>
      <c r="U633" s="22">
        <v>28311</v>
      </c>
    </row>
    <row r="634" spans="1:22" ht="12" hidden="1" x14ac:dyDescent="0.2">
      <c r="A634" s="3">
        <v>63</v>
      </c>
      <c r="B634" s="3" t="s">
        <v>687</v>
      </c>
      <c r="C63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AMSA_RIINO BC - Centinela</v>
      </c>
      <c r="D634" s="3" t="s">
        <v>688</v>
      </c>
      <c r="E634" s="3" t="s">
        <v>254</v>
      </c>
      <c r="F634" s="3" t="s">
        <v>251</v>
      </c>
      <c r="G634" s="3">
        <v>2026</v>
      </c>
      <c r="H634" s="3">
        <f>+IF(Tabla13[[#This Row],[Proyectado USD]]&gt;0,1,-1)</f>
        <v>-1</v>
      </c>
      <c r="I634" s="15"/>
      <c r="J634" s="21"/>
      <c r="K634" s="3">
        <f>+IF(Tabla13[[#This Row],[Emitido USD]]&gt;0,1,-1)</f>
        <v>1</v>
      </c>
      <c r="L634" s="73">
        <v>46057</v>
      </c>
      <c r="M634" s="3">
        <v>2</v>
      </c>
      <c r="N634" s="21">
        <v>23913</v>
      </c>
      <c r="O634" s="6">
        <v>388</v>
      </c>
      <c r="P634" s="76">
        <v>46112</v>
      </c>
      <c r="Q634" s="3">
        <f>+IF(Tabla13[[#This Row],[Facturado USD]]&gt;0,1,-1)</f>
        <v>1</v>
      </c>
      <c r="R634" s="21">
        <v>23913</v>
      </c>
      <c r="S634" s="3">
        <f>+IF(Tabla13[[#This Row],[Ingresado USD]]&gt;0,1,-1)</f>
        <v>1</v>
      </c>
      <c r="T634" s="78">
        <v>46122</v>
      </c>
      <c r="U634" s="37">
        <v>23913</v>
      </c>
    </row>
    <row r="635" spans="1:22" ht="12" hidden="1" x14ac:dyDescent="0.2">
      <c r="A635" s="3">
        <v>350</v>
      </c>
      <c r="B635" s="3" t="s">
        <v>704</v>
      </c>
      <c r="C63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Hochschild_FS Metodos de Minado Tesoro</v>
      </c>
      <c r="D635" s="3" t="s">
        <v>705</v>
      </c>
      <c r="E635" s="3" t="s">
        <v>706</v>
      </c>
      <c r="F635" s="3" t="s">
        <v>318</v>
      </c>
      <c r="G635" s="3">
        <v>2026</v>
      </c>
      <c r="H635" s="3">
        <f>+IF(Tabla13[[#This Row],[Proyectado USD]]&gt;0,1,-1)</f>
        <v>-1</v>
      </c>
      <c r="I635" s="15"/>
      <c r="J635" s="21"/>
      <c r="K635" s="3">
        <f>+IF(Tabla13[[#This Row],[Emitido USD]]&gt;0,1,-1)</f>
        <v>1</v>
      </c>
      <c r="L635" s="73">
        <v>46052</v>
      </c>
      <c r="M635" s="3">
        <v>1</v>
      </c>
      <c r="N635" s="22">
        <v>20200</v>
      </c>
      <c r="O635" s="6" t="s">
        <v>790</v>
      </c>
      <c r="P635" s="76">
        <v>46126</v>
      </c>
      <c r="Q635" s="3">
        <f>+IF(Tabla13[[#This Row],[Facturado USD]]&gt;0,1,-1)</f>
        <v>1</v>
      </c>
      <c r="R635" s="22">
        <v>20200</v>
      </c>
      <c r="S635" s="3">
        <f>+IF(Tabla13[[#This Row],[Ingresado USD]]&gt;0,1,-1)</f>
        <v>1</v>
      </c>
      <c r="T635" s="78">
        <v>46128</v>
      </c>
      <c r="U635" s="37">
        <v>20200</v>
      </c>
    </row>
    <row r="636" spans="1:22" ht="12" hidden="1" x14ac:dyDescent="0.2">
      <c r="A636" s="3">
        <v>417</v>
      </c>
      <c r="B636" s="3" t="s">
        <v>707</v>
      </c>
      <c r="C63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Los Calatos_Resource Development Plan</v>
      </c>
      <c r="D63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Los Calatos_Resource Development Plan</v>
      </c>
      <c r="E636" s="3" t="s">
        <v>708</v>
      </c>
      <c r="F636" s="3" t="s">
        <v>318</v>
      </c>
      <c r="G636" s="3">
        <v>2026</v>
      </c>
      <c r="H636" s="3">
        <f>+IF(Tabla13[[#This Row],[Proyectado USD]]&gt;0,1,-1)</f>
        <v>-1</v>
      </c>
      <c r="I636" s="15"/>
      <c r="J636" s="21"/>
      <c r="K636" s="3">
        <f>+IF(Tabla13[[#This Row],[Emitido USD]]&gt;0,1,-1)</f>
        <v>1</v>
      </c>
      <c r="L636" s="73">
        <v>46052</v>
      </c>
      <c r="M636" s="3">
        <v>1</v>
      </c>
      <c r="N636" s="22">
        <v>51680</v>
      </c>
      <c r="O636" s="6" t="s">
        <v>779</v>
      </c>
      <c r="P636" s="76">
        <v>46108</v>
      </c>
      <c r="Q636" s="3">
        <f>+IF(Tabla13[[#This Row],[Facturado USD]]&gt;0,1,-1)</f>
        <v>1</v>
      </c>
      <c r="R636" s="22">
        <v>51680</v>
      </c>
      <c r="S636" s="3">
        <f>+IF(Tabla13[[#This Row],[Ingresado USD]]&gt;0,1,-1)</f>
        <v>1</v>
      </c>
      <c r="T636" s="78">
        <v>46118</v>
      </c>
      <c r="U636" s="37">
        <v>51680</v>
      </c>
      <c r="V636" s="3" t="s">
        <v>409</v>
      </c>
    </row>
    <row r="637" spans="1:22" ht="12" hidden="1" x14ac:dyDescent="0.2">
      <c r="A637" s="3">
        <v>633</v>
      </c>
      <c r="B637" s="3" t="s">
        <v>669</v>
      </c>
      <c r="C63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Resolution_General Review</v>
      </c>
      <c r="D63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Resolution_General Review</v>
      </c>
      <c r="E637" s="3" t="s">
        <v>670</v>
      </c>
      <c r="F637" s="3" t="s">
        <v>469</v>
      </c>
      <c r="G637" s="3">
        <v>2026</v>
      </c>
      <c r="H637" s="3">
        <f>+IF(Tabla13[[#This Row],[Proyectado USD]]&gt;0,1,-1)</f>
        <v>-1</v>
      </c>
      <c r="I637" s="15"/>
      <c r="J637" s="21"/>
      <c r="K637" s="3">
        <f>+IF(Tabla13[[#This Row],[Emitido USD]]&gt;0,1,-1)</f>
        <v>1</v>
      </c>
      <c r="L637" s="73">
        <v>46049</v>
      </c>
      <c r="M637" s="3">
        <v>4</v>
      </c>
      <c r="N637" s="22">
        <f>18737+20000</f>
        <v>38737</v>
      </c>
      <c r="O637" s="6" t="s">
        <v>164</v>
      </c>
      <c r="P637" s="76">
        <v>46050</v>
      </c>
      <c r="Q637" s="3">
        <f>+IF(Tabla13[[#This Row],[Facturado USD]]&gt;0,1,-1)</f>
        <v>1</v>
      </c>
      <c r="R637" s="22">
        <f>18737+20000</f>
        <v>38737</v>
      </c>
      <c r="S637" s="3">
        <f>+IF(Tabla13[[#This Row],[Ingresado USD]]&gt;0,1,-1)</f>
        <v>1</v>
      </c>
      <c r="T637" s="78">
        <v>46083</v>
      </c>
      <c r="U637" s="22">
        <f>18737+20000</f>
        <v>38737</v>
      </c>
      <c r="V637" s="3" t="s">
        <v>756</v>
      </c>
    </row>
    <row r="638" spans="1:22" ht="12" hidden="1" x14ac:dyDescent="0.2">
      <c r="A638" s="3">
        <v>637</v>
      </c>
      <c r="B638" s="3" t="s">
        <v>485</v>
      </c>
      <c r="C63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Resolution_MinePlan Review</v>
      </c>
      <c r="D638" s="3" t="s">
        <v>215</v>
      </c>
      <c r="E638" s="3" t="s">
        <v>486</v>
      </c>
      <c r="F638" s="3" t="s">
        <v>469</v>
      </c>
      <c r="G638" s="3">
        <v>2025</v>
      </c>
      <c r="H638" s="3">
        <f>+IF(Tabla13[[#This Row],[Proyectado USD]]&gt;0,1,-1)</f>
        <v>-1</v>
      </c>
      <c r="I638" s="15"/>
      <c r="J638" s="21"/>
      <c r="K638" s="3">
        <f>+IF(Tabla13[[#This Row],[Emitido USD]]&gt;0,1,-1)</f>
        <v>1</v>
      </c>
      <c r="L638" s="73">
        <v>45660</v>
      </c>
      <c r="M638" s="3">
        <v>1</v>
      </c>
      <c r="N638" s="22">
        <v>37712</v>
      </c>
      <c r="O638" s="6" t="s">
        <v>164</v>
      </c>
      <c r="P638" s="76">
        <v>45672</v>
      </c>
      <c r="Q638" s="3">
        <f>+IF(Tabla13[[#This Row],[Facturado USD]]&gt;0,1,-1)</f>
        <v>1</v>
      </c>
      <c r="R638" s="22">
        <v>37712</v>
      </c>
      <c r="S638" s="3">
        <f>+IF(Tabla13[[#This Row],[Ingresado USD]]&gt;0,1,-1)</f>
        <v>1</v>
      </c>
      <c r="T638" s="78">
        <v>45678</v>
      </c>
      <c r="U638" s="22">
        <v>37712</v>
      </c>
    </row>
    <row r="639" spans="1:22" ht="12" hidden="1" x14ac:dyDescent="0.2">
      <c r="A639" s="3">
        <v>638</v>
      </c>
      <c r="B639" s="3" t="s">
        <v>485</v>
      </c>
      <c r="C63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Resolution_MinePlan Review</v>
      </c>
      <c r="D639" s="3" t="s">
        <v>215</v>
      </c>
      <c r="E639" s="3" t="s">
        <v>486</v>
      </c>
      <c r="F639" s="3" t="s">
        <v>469</v>
      </c>
      <c r="G639" s="3">
        <v>2025</v>
      </c>
      <c r="H639" s="3">
        <f>+IF(Tabla13[[#This Row],[Proyectado USD]]&gt;0,1,-1)</f>
        <v>-1</v>
      </c>
      <c r="I639" s="15"/>
      <c r="J639" s="21"/>
      <c r="K639" s="3">
        <f>+IF(Tabla13[[#This Row],[Emitido USD]]&gt;0,1,-1)</f>
        <v>1</v>
      </c>
      <c r="L639" s="73">
        <v>45684</v>
      </c>
      <c r="M639" s="3">
        <v>2</v>
      </c>
      <c r="N639" s="22">
        <v>92700</v>
      </c>
      <c r="O639" s="6" t="s">
        <v>164</v>
      </c>
      <c r="P639" s="76">
        <v>45707</v>
      </c>
      <c r="Q639" s="3">
        <f>+IF(Tabla13[[#This Row],[Facturado USD]]&gt;0,1,-1)</f>
        <v>1</v>
      </c>
      <c r="R639" s="22">
        <v>92700</v>
      </c>
      <c r="S639" s="3">
        <f>+IF(Tabla13[[#This Row],[Ingresado USD]]&gt;0,1,-1)</f>
        <v>1</v>
      </c>
      <c r="T639" s="78">
        <v>45707</v>
      </c>
      <c r="U639" s="22">
        <v>96628</v>
      </c>
    </row>
    <row r="640" spans="1:22" ht="12" hidden="1" x14ac:dyDescent="0.2">
      <c r="A640" s="3">
        <v>639</v>
      </c>
      <c r="B640" s="3" t="s">
        <v>485</v>
      </c>
      <c r="C64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Resolution_MinePlan Review</v>
      </c>
      <c r="D640" s="3" t="s">
        <v>215</v>
      </c>
      <c r="E640" s="3" t="s">
        <v>486</v>
      </c>
      <c r="F640" s="3" t="s">
        <v>469</v>
      </c>
      <c r="G640" s="3">
        <v>2025</v>
      </c>
      <c r="H640" s="3">
        <f>+IF(Tabla13[[#This Row],[Proyectado USD]]&gt;0,1,-1)</f>
        <v>-1</v>
      </c>
      <c r="I640" s="15"/>
      <c r="J640" s="21"/>
      <c r="K640" s="3">
        <f>+IF(Tabla13[[#This Row],[Emitido USD]]&gt;0,1,-1)</f>
        <v>1</v>
      </c>
      <c r="L640" s="73">
        <v>45713</v>
      </c>
      <c r="M640" s="3">
        <v>3</v>
      </c>
      <c r="N640" s="22">
        <v>84975</v>
      </c>
      <c r="O640" s="6" t="s">
        <v>164</v>
      </c>
      <c r="P640" s="76">
        <v>45727</v>
      </c>
      <c r="Q640" s="3">
        <f>+IF(Tabla13[[#This Row],[Facturado USD]]&gt;0,1,-1)</f>
        <v>1</v>
      </c>
      <c r="R640" s="22">
        <v>84975</v>
      </c>
      <c r="S640" s="3">
        <f>+IF(Tabla13[[#This Row],[Ingresado USD]]&gt;0,1,-1)</f>
        <v>1</v>
      </c>
      <c r="T640" s="78">
        <v>45755</v>
      </c>
      <c r="U640" s="22">
        <v>84975</v>
      </c>
    </row>
    <row r="641" spans="1:22" ht="12" hidden="1" x14ac:dyDescent="0.2">
      <c r="A641" s="3">
        <v>640</v>
      </c>
      <c r="B641" s="3" t="s">
        <v>485</v>
      </c>
      <c r="C64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Resolution_MinePlan Review</v>
      </c>
      <c r="D641" s="3" t="s">
        <v>215</v>
      </c>
      <c r="E641" s="3" t="s">
        <v>486</v>
      </c>
      <c r="F641" s="3" t="s">
        <v>469</v>
      </c>
      <c r="G641" s="3">
        <v>2025</v>
      </c>
      <c r="H641" s="3">
        <f>+IF(Tabla13[[#This Row],[Proyectado USD]]&gt;0,1,-1)</f>
        <v>-1</v>
      </c>
      <c r="I641" s="15"/>
      <c r="J641" s="21"/>
      <c r="K641" s="3">
        <f>+IF(Tabla13[[#This Row],[Emitido USD]]&gt;0,1,-1)</f>
        <v>1</v>
      </c>
      <c r="L641" s="73">
        <v>45741</v>
      </c>
      <c r="M641" s="3">
        <v>4</v>
      </c>
      <c r="N641" s="22">
        <v>38625</v>
      </c>
      <c r="O641" s="6" t="s">
        <v>164</v>
      </c>
      <c r="P641" s="76">
        <v>45732</v>
      </c>
      <c r="Q641" s="3">
        <f>+IF(Tabla13[[#This Row],[Facturado USD]]&gt;0,1,-1)</f>
        <v>1</v>
      </c>
      <c r="R641" s="22">
        <v>33475</v>
      </c>
      <c r="S641" s="3">
        <f>+IF(Tabla13[[#This Row],[Ingresado USD]]&gt;0,1,-1)</f>
        <v>1</v>
      </c>
      <c r="T641" s="78">
        <v>45793</v>
      </c>
      <c r="U641" s="22">
        <v>33475</v>
      </c>
    </row>
    <row r="642" spans="1:22" ht="12" hidden="1" x14ac:dyDescent="0.2">
      <c r="A642" s="3">
        <v>641</v>
      </c>
      <c r="B642" s="3" t="s">
        <v>487</v>
      </c>
      <c r="C64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Resolution_UGC 68L Program</v>
      </c>
      <c r="D642" s="3" t="s">
        <v>222</v>
      </c>
      <c r="E642" s="3" t="s">
        <v>486</v>
      </c>
      <c r="F642" s="3" t="s">
        <v>469</v>
      </c>
      <c r="G642" s="3">
        <v>2025</v>
      </c>
      <c r="H642" s="3">
        <f>+IF(Tabla13[[#This Row],[Proyectado USD]]&gt;0,1,-1)</f>
        <v>-1</v>
      </c>
      <c r="I642" s="15"/>
      <c r="J642" s="21"/>
      <c r="K642" s="3">
        <f>+IF(Tabla13[[#This Row],[Emitido USD]]&gt;0,1,-1)</f>
        <v>1</v>
      </c>
      <c r="L642" s="73">
        <v>45800</v>
      </c>
      <c r="M642" s="3">
        <v>1</v>
      </c>
      <c r="N642" s="22">
        <v>47808</v>
      </c>
      <c r="O642" s="6" t="s">
        <v>164</v>
      </c>
      <c r="P642" s="76">
        <v>45800</v>
      </c>
      <c r="Q642" s="3">
        <f>+IF(Tabla13[[#This Row],[Facturado USD]]&gt;0,1,-1)</f>
        <v>1</v>
      </c>
      <c r="R642" s="22">
        <v>47800</v>
      </c>
      <c r="S642" s="3">
        <f>+IF(Tabla13[[#This Row],[Ingresado USD]]&gt;0,1,-1)</f>
        <v>1</v>
      </c>
      <c r="T642" s="78">
        <v>45810</v>
      </c>
      <c r="U642" s="22">
        <v>47800</v>
      </c>
    </row>
    <row r="643" spans="1:22" ht="12" hidden="1" x14ac:dyDescent="0.2">
      <c r="A643" s="3">
        <v>642</v>
      </c>
      <c r="B643" s="3" t="s">
        <v>106</v>
      </c>
      <c r="C64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Romeral</v>
      </c>
      <c r="D643" s="3" t="s">
        <v>31</v>
      </c>
      <c r="E643" s="3" t="s">
        <v>250</v>
      </c>
      <c r="F643" s="3" t="s">
        <v>251</v>
      </c>
      <c r="G643" s="3">
        <v>2023</v>
      </c>
      <c r="H643" s="3">
        <f>+IF(Tabla13[[#This Row],[Proyectado USD]]&gt;0,1,-1)</f>
        <v>-1</v>
      </c>
      <c r="I643" s="15"/>
      <c r="J643" s="21"/>
      <c r="K643" s="3">
        <f>+IF(Tabla13[[#This Row],[Emitido USD]]&gt;0,1,-1)</f>
        <v>1</v>
      </c>
      <c r="L643" s="73">
        <v>45006</v>
      </c>
      <c r="M643" s="3">
        <v>1</v>
      </c>
      <c r="N643" s="22">
        <v>197594.35250000001</v>
      </c>
      <c r="O643" s="6">
        <v>60</v>
      </c>
      <c r="P643" s="76">
        <v>45021</v>
      </c>
      <c r="Q643" s="3">
        <f>+IF(Tabla13[[#This Row],[Facturado USD]]&gt;0,1,-1)</f>
        <v>1</v>
      </c>
      <c r="R643" s="22">
        <v>197594.35250000001</v>
      </c>
      <c r="S643" s="3">
        <f>+IF(Tabla13[[#This Row],[Ingresado USD]]&gt;0,1,-1)</f>
        <v>1</v>
      </c>
      <c r="T643" s="78">
        <v>45037</v>
      </c>
      <c r="U643" s="22">
        <v>187714.63487499999</v>
      </c>
    </row>
    <row r="644" spans="1:22" ht="12" hidden="1" x14ac:dyDescent="0.2">
      <c r="A644" s="3">
        <v>643</v>
      </c>
      <c r="B644" s="3" t="s">
        <v>106</v>
      </c>
      <c r="C64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Romeral</v>
      </c>
      <c r="D644" s="3" t="s">
        <v>31</v>
      </c>
      <c r="E644" s="3" t="s">
        <v>250</v>
      </c>
      <c r="F644" s="3" t="s">
        <v>251</v>
      </c>
      <c r="G644" s="3">
        <v>2023</v>
      </c>
      <c r="H644" s="3">
        <f>+IF(Tabla13[[#This Row],[Proyectado USD]]&gt;0,1,-1)</f>
        <v>-1</v>
      </c>
      <c r="I644" s="15"/>
      <c r="J644" s="21"/>
      <c r="K644" s="3">
        <f>+IF(Tabla13[[#This Row],[Emitido USD]]&gt;0,1,-1)</f>
        <v>1</v>
      </c>
      <c r="L644" s="73">
        <v>45037</v>
      </c>
      <c r="M644" s="3">
        <v>2</v>
      </c>
      <c r="N644" s="22">
        <v>84238</v>
      </c>
      <c r="O644" s="6">
        <v>68</v>
      </c>
      <c r="P644" s="76">
        <v>45057</v>
      </c>
      <c r="Q644" s="3">
        <f>+IF(Tabla13[[#This Row],[Facturado USD]]&gt;0,1,-1)</f>
        <v>1</v>
      </c>
      <c r="R644" s="22">
        <v>85435.37</v>
      </c>
      <c r="S644" s="3">
        <f>+IF(Tabla13[[#This Row],[Ingresado USD]]&gt;0,1,-1)</f>
        <v>1</v>
      </c>
      <c r="T644" s="76">
        <v>45072</v>
      </c>
      <c r="U644" s="22">
        <v>81163.60149999999</v>
      </c>
    </row>
    <row r="645" spans="1:22" ht="12" hidden="1" x14ac:dyDescent="0.2">
      <c r="A645" s="3">
        <v>644</v>
      </c>
      <c r="B645" s="3" t="s">
        <v>106</v>
      </c>
      <c r="C64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Romeral</v>
      </c>
      <c r="D645" s="3" t="s">
        <v>31</v>
      </c>
      <c r="E645" s="3" t="s">
        <v>250</v>
      </c>
      <c r="F645" s="3" t="s">
        <v>251</v>
      </c>
      <c r="G645" s="3">
        <v>2023</v>
      </c>
      <c r="H645" s="3">
        <f>+IF(Tabla13[[#This Row],[Proyectado USD]]&gt;0,1,-1)</f>
        <v>-1</v>
      </c>
      <c r="I645" s="15"/>
      <c r="J645" s="21"/>
      <c r="K645" s="3">
        <f>+IF(Tabla13[[#This Row],[Emitido USD]]&gt;0,1,-1)</f>
        <v>1</v>
      </c>
      <c r="L645" s="73">
        <v>45067</v>
      </c>
      <c r="M645" s="3">
        <v>3</v>
      </c>
      <c r="N645" s="22">
        <v>55572</v>
      </c>
      <c r="O645" s="6">
        <v>75</v>
      </c>
      <c r="P645" s="76">
        <v>45077</v>
      </c>
      <c r="Q645" s="3">
        <f>+IF(Tabla13[[#This Row],[Facturado USD]]&gt;0,1,-1)</f>
        <v>1</v>
      </c>
      <c r="R645" s="22">
        <v>55572.160000000003</v>
      </c>
      <c r="S645" s="3">
        <f>+IF(Tabla13[[#This Row],[Ingresado USD]]&gt;0,1,-1)</f>
        <v>1</v>
      </c>
      <c r="T645" s="76">
        <v>45091</v>
      </c>
      <c r="U645" s="22">
        <v>52793.552000000003</v>
      </c>
      <c r="V645" s="3" t="s">
        <v>74</v>
      </c>
    </row>
    <row r="646" spans="1:22" ht="12" hidden="1" x14ac:dyDescent="0.2">
      <c r="A646" s="3">
        <v>645</v>
      </c>
      <c r="B646" s="3" t="s">
        <v>106</v>
      </c>
      <c r="C64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Romeral</v>
      </c>
      <c r="D646" s="3" t="s">
        <v>31</v>
      </c>
      <c r="E646" s="3" t="s">
        <v>250</v>
      </c>
      <c r="F646" s="3" t="s">
        <v>251</v>
      </c>
      <c r="G646" s="3">
        <v>2023</v>
      </c>
      <c r="H646" s="3">
        <f>+IF(Tabla13[[#This Row],[Proyectado USD]]&gt;0,1,-1)</f>
        <v>-1</v>
      </c>
      <c r="I646" s="15"/>
      <c r="J646" s="21"/>
      <c r="K646" s="3">
        <f>+IF(Tabla13[[#This Row],[Emitido USD]]&gt;0,1,-1)</f>
        <v>1</v>
      </c>
      <c r="L646" s="73">
        <v>45098</v>
      </c>
      <c r="M646" s="3">
        <v>4</v>
      </c>
      <c r="N646" s="22">
        <v>74696</v>
      </c>
      <c r="O646" s="6">
        <v>87</v>
      </c>
      <c r="P646" s="76">
        <v>45112</v>
      </c>
      <c r="Q646" s="3">
        <f>+IF(Tabla13[[#This Row],[Facturado USD]]&gt;0,1,-1)</f>
        <v>1</v>
      </c>
      <c r="R646" s="22">
        <v>74696</v>
      </c>
      <c r="S646" s="3">
        <f>+IF(Tabla13[[#This Row],[Ingresado USD]]&gt;0,1,-1)</f>
        <v>1</v>
      </c>
      <c r="T646" s="78">
        <v>45128</v>
      </c>
      <c r="U646" s="22">
        <v>70961.2</v>
      </c>
    </row>
    <row r="647" spans="1:22" ht="12" hidden="1" x14ac:dyDescent="0.2">
      <c r="A647" s="3">
        <v>646</v>
      </c>
      <c r="B647" s="3" t="s">
        <v>106</v>
      </c>
      <c r="C64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Romeral</v>
      </c>
      <c r="D647" s="3" t="s">
        <v>31</v>
      </c>
      <c r="E647" s="3" t="s">
        <v>250</v>
      </c>
      <c r="F647" s="3" t="s">
        <v>251</v>
      </c>
      <c r="G647" s="3">
        <v>2023</v>
      </c>
      <c r="H647" s="3">
        <f>+IF(Tabla13[[#This Row],[Proyectado USD]]&gt;0,1,-1)</f>
        <v>-1</v>
      </c>
      <c r="I647" s="15"/>
      <c r="J647" s="21"/>
      <c r="K647" s="3">
        <f>+IF(Tabla13[[#This Row],[Emitido USD]]&gt;0,1,-1)</f>
        <v>1</v>
      </c>
      <c r="L647" s="73">
        <v>45134</v>
      </c>
      <c r="M647" s="3">
        <v>5</v>
      </c>
      <c r="N647" s="22">
        <v>45701.05</v>
      </c>
      <c r="O647" s="6">
        <v>99</v>
      </c>
      <c r="P647" s="76">
        <v>45142</v>
      </c>
      <c r="Q647" s="3">
        <f>+IF(Tabla13[[#This Row],[Facturado USD]]&gt;0,1,-1)</f>
        <v>1</v>
      </c>
      <c r="R647" s="22">
        <v>45701</v>
      </c>
      <c r="S647" s="3">
        <f>+IF(Tabla13[[#This Row],[Ingresado USD]]&gt;0,1,-1)</f>
        <v>1</v>
      </c>
      <c r="T647" s="78">
        <v>45170</v>
      </c>
      <c r="U647" s="22">
        <v>43415.95</v>
      </c>
    </row>
    <row r="648" spans="1:22" ht="12" hidden="1" x14ac:dyDescent="0.2">
      <c r="A648" s="3">
        <v>647</v>
      </c>
      <c r="B648" s="3" t="s">
        <v>106</v>
      </c>
      <c r="C64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Romeral</v>
      </c>
      <c r="D648" s="3" t="s">
        <v>31</v>
      </c>
      <c r="E648" s="3" t="s">
        <v>250</v>
      </c>
      <c r="F648" s="3" t="s">
        <v>251</v>
      </c>
      <c r="G648" s="3">
        <v>2023</v>
      </c>
      <c r="H648" s="3">
        <f>+IF(Tabla13[[#This Row],[Proyectado USD]]&gt;0,1,-1)</f>
        <v>-1</v>
      </c>
      <c r="I648" s="15"/>
      <c r="J648" s="21"/>
      <c r="K648" s="3">
        <f>+IF(Tabla13[[#This Row],[Emitido USD]]&gt;0,1,-1)</f>
        <v>1</v>
      </c>
      <c r="L648" s="73">
        <v>45163</v>
      </c>
      <c r="M648" s="3">
        <v>6</v>
      </c>
      <c r="N648" s="22">
        <v>27702</v>
      </c>
      <c r="O648" s="6">
        <v>116</v>
      </c>
      <c r="P648" s="76">
        <v>45209</v>
      </c>
      <c r="Q648" s="3">
        <f>+IF(Tabla13[[#This Row],[Facturado USD]]&gt;0,1,-1)</f>
        <v>1</v>
      </c>
      <c r="R648" s="22">
        <v>27702</v>
      </c>
      <c r="S648" s="3">
        <f>+IF(Tabla13[[#This Row],[Ingresado USD]]&gt;0,1,-1)</f>
        <v>1</v>
      </c>
      <c r="T648" s="78">
        <v>45219</v>
      </c>
      <c r="U648" s="22">
        <v>26316.899999999998</v>
      </c>
    </row>
    <row r="649" spans="1:22" ht="12" hidden="1" x14ac:dyDescent="0.2">
      <c r="A649" s="3">
        <v>648</v>
      </c>
      <c r="B649" s="3" t="s">
        <v>106</v>
      </c>
      <c r="C64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Romeral</v>
      </c>
      <c r="D649" s="3" t="s">
        <v>31</v>
      </c>
      <c r="E649" s="3" t="s">
        <v>250</v>
      </c>
      <c r="F649" s="3" t="s">
        <v>251</v>
      </c>
      <c r="G649" s="3">
        <v>2023</v>
      </c>
      <c r="H649" s="3">
        <f>+IF(Tabla13[[#This Row],[Proyectado USD]]&gt;0,1,-1)</f>
        <v>1</v>
      </c>
      <c r="I649" s="15">
        <v>45170</v>
      </c>
      <c r="J649" s="21">
        <v>61272</v>
      </c>
      <c r="K649" s="3">
        <f>+IF(Tabla13[[#This Row],[Emitido USD]]&gt;0,1,-1)</f>
        <v>1</v>
      </c>
      <c r="L649" s="73">
        <v>45194</v>
      </c>
      <c r="M649" s="3">
        <v>7</v>
      </c>
      <c r="N649" s="39">
        <v>38387</v>
      </c>
      <c r="O649" s="6">
        <v>117</v>
      </c>
      <c r="P649" s="76">
        <v>45209</v>
      </c>
      <c r="Q649" s="3">
        <f>+IF(Tabla13[[#This Row],[Facturado USD]]&gt;0,1,-1)</f>
        <v>1</v>
      </c>
      <c r="R649" s="22">
        <v>38387</v>
      </c>
      <c r="S649" s="3">
        <f>+IF(Tabla13[[#This Row],[Ingresado USD]]&gt;0,1,-1)</f>
        <v>1</v>
      </c>
      <c r="T649" s="78">
        <v>45219</v>
      </c>
      <c r="U649" s="22">
        <v>36467.65</v>
      </c>
    </row>
    <row r="650" spans="1:22" ht="12" hidden="1" x14ac:dyDescent="0.2">
      <c r="A650" s="3">
        <v>649</v>
      </c>
      <c r="B650" s="3" t="s">
        <v>106</v>
      </c>
      <c r="C65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Romeral</v>
      </c>
      <c r="D650" s="3" t="s">
        <v>31</v>
      </c>
      <c r="E650" s="3" t="s">
        <v>250</v>
      </c>
      <c r="F650" s="3" t="s">
        <v>251</v>
      </c>
      <c r="G650" s="3">
        <v>2023</v>
      </c>
      <c r="H650" s="3">
        <f>+IF(Tabla13[[#This Row],[Proyectado USD]]&gt;0,1,-1)</f>
        <v>1</v>
      </c>
      <c r="I650" s="15">
        <v>45200</v>
      </c>
      <c r="J650" s="21">
        <v>22885</v>
      </c>
      <c r="K650" s="3">
        <f>+IF(Tabla13[[#This Row],[Emitido USD]]&gt;0,1,-1)</f>
        <v>1</v>
      </c>
      <c r="L650" s="73">
        <v>45222</v>
      </c>
      <c r="M650" s="3">
        <v>8</v>
      </c>
      <c r="N650" s="38">
        <v>21231</v>
      </c>
      <c r="O650" s="6">
        <v>124</v>
      </c>
      <c r="P650" s="76">
        <v>45237</v>
      </c>
      <c r="Q650" s="3">
        <f>+IF(Tabla13[[#This Row],[Facturado USD]]&gt;0,1,-1)</f>
        <v>1</v>
      </c>
      <c r="R650" s="22">
        <f>Tabla13[[#This Row],[Emitido USD]]</f>
        <v>21231</v>
      </c>
      <c r="S650" s="3">
        <f>+IF(Tabla13[[#This Row],[Ingresado USD]]&gt;0,1,-1)</f>
        <v>1</v>
      </c>
      <c r="T650" s="78">
        <v>45247</v>
      </c>
      <c r="U650" s="22">
        <v>20169.45</v>
      </c>
    </row>
    <row r="651" spans="1:22" ht="12" hidden="1" x14ac:dyDescent="0.2">
      <c r="A651" s="3">
        <v>650</v>
      </c>
      <c r="B651" s="3" t="s">
        <v>106</v>
      </c>
      <c r="C65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Romeral</v>
      </c>
      <c r="D651" s="3" t="s">
        <v>31</v>
      </c>
      <c r="E651" s="3" t="s">
        <v>250</v>
      </c>
      <c r="F651" s="3" t="s">
        <v>251</v>
      </c>
      <c r="G651" s="3">
        <v>2023</v>
      </c>
      <c r="H651" s="3">
        <f>+IF(Tabla13[[#This Row],[Proyectado USD]]&gt;0,1,-1)</f>
        <v>1</v>
      </c>
      <c r="I651" s="15">
        <v>45231</v>
      </c>
      <c r="J651" s="21">
        <v>1654</v>
      </c>
      <c r="K651" s="3">
        <f>+IF(Tabla13[[#This Row],[Emitido USD]]&gt;0,1,-1)</f>
        <v>1</v>
      </c>
      <c r="L651" s="73">
        <v>45250</v>
      </c>
      <c r="M651" s="34">
        <v>9</v>
      </c>
      <c r="N651" s="22">
        <v>90409</v>
      </c>
      <c r="O651" s="6">
        <v>155</v>
      </c>
      <c r="P651" s="76">
        <v>45301</v>
      </c>
      <c r="Q651" s="3">
        <f>+IF(Tabla13[[#This Row],[Facturado USD]]&gt;0,1,-1)</f>
        <v>1</v>
      </c>
      <c r="R651" s="22">
        <v>90409</v>
      </c>
      <c r="S651" s="3">
        <f>+IF(Tabla13[[#This Row],[Ingresado USD]]&gt;0,1,-1)</f>
        <v>1</v>
      </c>
      <c r="T651" s="78">
        <v>45310</v>
      </c>
      <c r="U651" s="22">
        <v>85888.55</v>
      </c>
    </row>
    <row r="652" spans="1:22" ht="12" hidden="1" x14ac:dyDescent="0.2">
      <c r="A652" s="3">
        <v>651</v>
      </c>
      <c r="B652" s="3" t="s">
        <v>106</v>
      </c>
      <c r="C65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Romeral</v>
      </c>
      <c r="D652" s="3" t="s">
        <v>31</v>
      </c>
      <c r="E652" s="3" t="s">
        <v>250</v>
      </c>
      <c r="F652" s="3" t="s">
        <v>251</v>
      </c>
      <c r="G652" s="3">
        <v>2024</v>
      </c>
      <c r="H652" s="3">
        <f>+IF(Tabla13[[#This Row],[Proyectado USD]]&gt;0,1,-1)</f>
        <v>-1</v>
      </c>
      <c r="I652" s="15">
        <v>45292</v>
      </c>
      <c r="J652" s="21">
        <v>0</v>
      </c>
      <c r="K652" s="3">
        <f>+IF(Tabla13[[#This Row],[Emitido USD]]&gt;0,1,-1)</f>
        <v>1</v>
      </c>
      <c r="L652" s="73">
        <v>45316</v>
      </c>
      <c r="M652" s="3">
        <v>10</v>
      </c>
      <c r="N652" s="22">
        <v>9515</v>
      </c>
      <c r="O652" s="6">
        <v>161</v>
      </c>
      <c r="P652" s="76">
        <v>44966</v>
      </c>
      <c r="Q652" s="3">
        <f>+IF(Tabla13[[#This Row],[Facturado USD]]&gt;0,1,-1)</f>
        <v>1</v>
      </c>
      <c r="R652" s="22">
        <v>9515</v>
      </c>
      <c r="S652" s="3">
        <f>+IF(Tabla13[[#This Row],[Ingresado USD]]&gt;0,1,-1)</f>
        <v>1</v>
      </c>
      <c r="T652" s="78">
        <v>45352</v>
      </c>
      <c r="U652" s="22">
        <v>9039</v>
      </c>
    </row>
    <row r="653" spans="1:22" ht="12" hidden="1" x14ac:dyDescent="0.2">
      <c r="A653" s="3">
        <v>652</v>
      </c>
      <c r="B653" s="3" t="s">
        <v>150</v>
      </c>
      <c r="C65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San Rafael Contrato Marco</v>
      </c>
      <c r="D653" s="30" t="s">
        <v>32</v>
      </c>
      <c r="E653" s="30" t="s">
        <v>317</v>
      </c>
      <c r="F653" s="30" t="s">
        <v>318</v>
      </c>
      <c r="G653" s="30">
        <v>2023</v>
      </c>
      <c r="H653" s="30">
        <f>+IF(Tabla13[[#This Row],[Proyectado USD]]&gt;0,1,-1)</f>
        <v>-1</v>
      </c>
      <c r="I653" s="30"/>
      <c r="J653" s="31"/>
      <c r="K653" s="30">
        <f>+IF(Tabla13[[#This Row],[Emitido USD]]&gt;0,1,-1)</f>
        <v>1</v>
      </c>
      <c r="L653" s="74">
        <v>45037</v>
      </c>
      <c r="M653" s="30">
        <v>1</v>
      </c>
      <c r="N653" s="35">
        <v>49792</v>
      </c>
      <c r="O653" s="32" t="s">
        <v>151</v>
      </c>
      <c r="P653" s="74">
        <v>45048</v>
      </c>
      <c r="Q653" s="30">
        <f>+IF(Tabla13[[#This Row],[Facturado USD]]&gt;0,1,-1)</f>
        <v>1</v>
      </c>
      <c r="R653" s="35">
        <v>49792</v>
      </c>
      <c r="S653" s="3">
        <f>+IF(Tabla13[[#This Row],[Ingresado USD]]&gt;0,1,-1)</f>
        <v>1</v>
      </c>
      <c r="T653" s="74">
        <v>45055</v>
      </c>
      <c r="U653" s="35">
        <v>49792</v>
      </c>
      <c r="V653" s="30"/>
    </row>
    <row r="654" spans="1:22" ht="12" hidden="1" x14ac:dyDescent="0.2">
      <c r="A654" s="3">
        <v>653</v>
      </c>
      <c r="B654" s="3" t="s">
        <v>152</v>
      </c>
      <c r="C65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San Rafael Gestión Operativa</v>
      </c>
      <c r="D654" s="30" t="s">
        <v>33</v>
      </c>
      <c r="E654" s="30" t="s">
        <v>317</v>
      </c>
      <c r="F654" s="30" t="s">
        <v>318</v>
      </c>
      <c r="G654" s="30">
        <v>2023</v>
      </c>
      <c r="H654" s="30">
        <f>+IF(Tabla13[[#This Row],[Proyectado USD]]&gt;0,1,-1)</f>
        <v>-1</v>
      </c>
      <c r="I654" s="30"/>
      <c r="J654" s="31"/>
      <c r="K654" s="30">
        <f>+IF(Tabla13[[#This Row],[Emitido USD]]&gt;0,1,-1)</f>
        <v>1</v>
      </c>
      <c r="L654" s="74">
        <v>45037</v>
      </c>
      <c r="M654" s="30">
        <v>1</v>
      </c>
      <c r="N654" s="35">
        <v>170704</v>
      </c>
      <c r="O654" s="32" t="s">
        <v>153</v>
      </c>
      <c r="P654" s="74">
        <v>45048</v>
      </c>
      <c r="Q654" s="30">
        <f>+IF(Tabla13[[#This Row],[Facturado USD]]&gt;0,1,-1)</f>
        <v>1</v>
      </c>
      <c r="R654" s="35">
        <v>170704</v>
      </c>
      <c r="S654" s="3">
        <f>+IF(Tabla13[[#This Row],[Ingresado USD]]&gt;0,1,-1)</f>
        <v>1</v>
      </c>
      <c r="T654" s="74">
        <v>45055</v>
      </c>
      <c r="U654" s="35">
        <v>170704</v>
      </c>
      <c r="V654" s="30"/>
    </row>
    <row r="655" spans="1:22" ht="12" hidden="1" x14ac:dyDescent="0.2">
      <c r="A655" s="3">
        <v>654</v>
      </c>
      <c r="B655" s="3" t="s">
        <v>152</v>
      </c>
      <c r="C65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San Rafael Gestión Operativa</v>
      </c>
      <c r="D655" s="30" t="s">
        <v>33</v>
      </c>
      <c r="E655" s="30" t="s">
        <v>317</v>
      </c>
      <c r="F655" s="30" t="s">
        <v>318</v>
      </c>
      <c r="G655" s="30">
        <v>2023</v>
      </c>
      <c r="H655" s="30">
        <f>+IF(Tabla13[[#This Row],[Proyectado USD]]&gt;0,1,-1)</f>
        <v>-1</v>
      </c>
      <c r="I655" s="30"/>
      <c r="J655" s="31"/>
      <c r="K655" s="30">
        <f>+IF(Tabla13[[#This Row],[Emitido USD]]&gt;0,1,-1)</f>
        <v>1</v>
      </c>
      <c r="L655" s="74">
        <v>45067</v>
      </c>
      <c r="M655" s="30">
        <v>2</v>
      </c>
      <c r="N655" s="35">
        <v>32056</v>
      </c>
      <c r="O655" s="32" t="s">
        <v>154</v>
      </c>
      <c r="P655" s="74">
        <v>45097</v>
      </c>
      <c r="Q655" s="30">
        <f>+IF(Tabla13[[#This Row],[Facturado USD]]&gt;0,1,-1)</f>
        <v>1</v>
      </c>
      <c r="R655" s="35">
        <v>32056</v>
      </c>
      <c r="S655" s="3">
        <f>+IF(Tabla13[[#This Row],[Ingresado USD]]&gt;0,1,-1)</f>
        <v>1</v>
      </c>
      <c r="T655" s="74">
        <v>45112</v>
      </c>
      <c r="U655" s="35">
        <v>32056</v>
      </c>
      <c r="V655" s="30"/>
    </row>
    <row r="656" spans="1:22" ht="12" hidden="1" x14ac:dyDescent="0.2">
      <c r="A656" s="3">
        <v>655</v>
      </c>
      <c r="B656" s="3" t="s">
        <v>152</v>
      </c>
      <c r="C65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San Rafael Gestión Operativa</v>
      </c>
      <c r="D656" s="30" t="s">
        <v>33</v>
      </c>
      <c r="E656" s="30" t="s">
        <v>317</v>
      </c>
      <c r="F656" s="30" t="s">
        <v>318</v>
      </c>
      <c r="G656" s="30">
        <v>2023</v>
      </c>
      <c r="H656" s="30">
        <f>+IF(Tabla13[[#This Row],[Proyectado USD]]&gt;0,1,-1)</f>
        <v>-1</v>
      </c>
      <c r="I656" s="30"/>
      <c r="J656" s="31"/>
      <c r="K656" s="30">
        <f>+IF(Tabla13[[#This Row],[Emitido USD]]&gt;0,1,-1)</f>
        <v>1</v>
      </c>
      <c r="L656" s="74">
        <v>45169</v>
      </c>
      <c r="M656" s="30">
        <v>3</v>
      </c>
      <c r="N656" s="35">
        <v>30392</v>
      </c>
      <c r="O656" s="32" t="s">
        <v>155</v>
      </c>
      <c r="P656" s="74">
        <v>45192</v>
      </c>
      <c r="Q656" s="30">
        <f>+IF(Tabla13[[#This Row],[Facturado USD]]&gt;0,1,-1)</f>
        <v>1</v>
      </c>
      <c r="R656" s="35">
        <v>30392</v>
      </c>
      <c r="S656" s="3">
        <f>+IF(Tabla13[[#This Row],[Ingresado USD]]&gt;0,1,-1)</f>
        <v>1</v>
      </c>
      <c r="T656" s="74">
        <v>45201</v>
      </c>
      <c r="U656" s="35">
        <v>30392</v>
      </c>
      <c r="V656" s="30" t="s">
        <v>156</v>
      </c>
    </row>
    <row r="657" spans="1:22" ht="12" hidden="1" x14ac:dyDescent="0.2">
      <c r="A657" s="3">
        <v>656</v>
      </c>
      <c r="B657" s="3" t="s">
        <v>152</v>
      </c>
      <c r="C65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San Rafael Gestión Operativa</v>
      </c>
      <c r="D657" s="30" t="s">
        <v>33</v>
      </c>
      <c r="E657" s="30" t="s">
        <v>317</v>
      </c>
      <c r="F657" s="30" t="s">
        <v>318</v>
      </c>
      <c r="G657" s="30">
        <v>2023</v>
      </c>
      <c r="H657" s="30">
        <f>+IF(Tabla13[[#This Row],[Proyectado USD]]&gt;0,1,-1)</f>
        <v>-1</v>
      </c>
      <c r="I657" s="30"/>
      <c r="J657" s="31"/>
      <c r="K657" s="30">
        <f>+IF(Tabla13[[#This Row],[Emitido USD]]&gt;0,1,-1)</f>
        <v>1</v>
      </c>
      <c r="L657" s="74">
        <v>45169</v>
      </c>
      <c r="M657" s="30">
        <v>4</v>
      </c>
      <c r="N657" s="35">
        <v>30392</v>
      </c>
      <c r="O657" s="32" t="s">
        <v>157</v>
      </c>
      <c r="P657" s="74">
        <v>45202</v>
      </c>
      <c r="Q657" s="30">
        <f>+IF(Tabla13[[#This Row],[Facturado USD]]&gt;0,1,-1)</f>
        <v>1</v>
      </c>
      <c r="R657" s="35">
        <v>30392</v>
      </c>
      <c r="S657" s="3">
        <f>+IF(Tabla13[[#This Row],[Ingresado USD]]&gt;0,1,-1)</f>
        <v>1</v>
      </c>
      <c r="T657" s="74">
        <v>45209</v>
      </c>
      <c r="U657" s="35">
        <v>30392</v>
      </c>
      <c r="V657" s="30" t="s">
        <v>156</v>
      </c>
    </row>
    <row r="658" spans="1:22" ht="12" hidden="1" x14ac:dyDescent="0.2">
      <c r="A658" s="3">
        <v>657</v>
      </c>
      <c r="B658" s="30" t="s">
        <v>137</v>
      </c>
      <c r="C658" s="30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San Rafael: Gestión del Corto Plazo</v>
      </c>
      <c r="D658" s="30" t="s">
        <v>37</v>
      </c>
      <c r="E658" s="30" t="s">
        <v>317</v>
      </c>
      <c r="F658" s="30" t="s">
        <v>318</v>
      </c>
      <c r="G658" s="30">
        <v>2023</v>
      </c>
      <c r="H658" s="30">
        <f>+IF(Tabla13[[#This Row],[Proyectado USD]]&gt;0,1,-1)</f>
        <v>1</v>
      </c>
      <c r="I658" s="33">
        <v>45170</v>
      </c>
      <c r="J658" s="42">
        <v>19715</v>
      </c>
      <c r="K658" s="30">
        <f>+IF(Tabla13[[#This Row],[Emitido USD]]&gt;0,1,-1)</f>
        <v>1</v>
      </c>
      <c r="L658" s="74">
        <v>45194</v>
      </c>
      <c r="M658" s="30">
        <v>1</v>
      </c>
      <c r="N658" s="35">
        <v>30014.519999999997</v>
      </c>
      <c r="O658" s="44" t="s">
        <v>138</v>
      </c>
      <c r="P658" s="77">
        <v>45215</v>
      </c>
      <c r="Q658" s="30">
        <f>+IF(Tabla13[[#This Row],[Facturado USD]]&gt;0,1,-1)</f>
        <v>1</v>
      </c>
      <c r="R658" s="35">
        <v>30000</v>
      </c>
      <c r="S658" s="3">
        <f>+IF(Tabla13[[#This Row],[Ingresado USD]]&gt;0,1,-1)</f>
        <v>1</v>
      </c>
      <c r="T658" s="81">
        <v>45222</v>
      </c>
      <c r="U658" s="35">
        <v>30000</v>
      </c>
      <c r="V658" s="30"/>
    </row>
    <row r="659" spans="1:22" ht="12" hidden="1" x14ac:dyDescent="0.2">
      <c r="A659" s="3">
        <v>658</v>
      </c>
      <c r="B659" s="30" t="s">
        <v>137</v>
      </c>
      <c r="C659" s="30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San Rafael: Gestión del Corto Plazo</v>
      </c>
      <c r="D659" s="30" t="s">
        <v>37</v>
      </c>
      <c r="E659" s="30" t="s">
        <v>317</v>
      </c>
      <c r="F659" s="30" t="s">
        <v>318</v>
      </c>
      <c r="G659" s="30">
        <v>2023</v>
      </c>
      <c r="H659" s="30">
        <f>+IF(Tabla13[[#This Row],[Proyectado USD]]&gt;0,1,-1)</f>
        <v>1</v>
      </c>
      <c r="I659" s="33">
        <v>45200</v>
      </c>
      <c r="J659" s="42">
        <v>50809</v>
      </c>
      <c r="K659" s="30">
        <f>+IF(Tabla13[[#This Row],[Emitido USD]]&gt;0,1,-1)</f>
        <v>1</v>
      </c>
      <c r="L659" s="74">
        <v>45222</v>
      </c>
      <c r="M659" s="30">
        <v>2</v>
      </c>
      <c r="N659" s="42">
        <v>32480.2</v>
      </c>
      <c r="O659" s="43" t="s">
        <v>412</v>
      </c>
      <c r="P659" s="77">
        <v>45266</v>
      </c>
      <c r="Q659" s="30">
        <f>+IF(Tabla13[[#This Row],[Facturado USD]]&gt;0,1,-1)</f>
        <v>1</v>
      </c>
      <c r="R659" s="35">
        <v>32480.2</v>
      </c>
      <c r="S659" s="3">
        <f>+IF(Tabla13[[#This Row],[Ingresado USD]]&gt;0,1,-1)</f>
        <v>1</v>
      </c>
      <c r="T659" s="81">
        <v>45289</v>
      </c>
      <c r="U659" s="35">
        <v>32480.2</v>
      </c>
      <c r="V659" s="30"/>
    </row>
    <row r="660" spans="1:22" ht="12" hidden="1" x14ac:dyDescent="0.2">
      <c r="A660" s="3">
        <v>659</v>
      </c>
      <c r="B660" s="30" t="s">
        <v>137</v>
      </c>
      <c r="C660" s="30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San Rafael: Gestión del Corto Plazo</v>
      </c>
      <c r="D660" s="30" t="s">
        <v>37</v>
      </c>
      <c r="E660" s="30" t="s">
        <v>317</v>
      </c>
      <c r="F660" s="30" t="s">
        <v>318</v>
      </c>
      <c r="G660" s="30">
        <v>2023</v>
      </c>
      <c r="H660" s="30">
        <f>+IF(Tabla13[[#This Row],[Proyectado USD]]&gt;0,1,-1)</f>
        <v>1</v>
      </c>
      <c r="I660" s="33">
        <v>45261</v>
      </c>
      <c r="J660" s="42">
        <v>19354</v>
      </c>
      <c r="K660" s="30">
        <f>+IF(Tabla13[[#This Row],[Emitido USD]]&gt;0,1,-1)</f>
        <v>1</v>
      </c>
      <c r="L660" s="74">
        <v>45282</v>
      </c>
      <c r="M660" s="30">
        <v>3</v>
      </c>
      <c r="N660" s="35">
        <v>19649.28</v>
      </c>
      <c r="O660" s="43" t="s">
        <v>413</v>
      </c>
      <c r="P660" s="77">
        <v>45281</v>
      </c>
      <c r="Q660" s="30">
        <f>+IF(Tabla13[[#This Row],[Facturado USD]]&gt;0,1,-1)</f>
        <v>1</v>
      </c>
      <c r="R660" s="35">
        <v>19649.28</v>
      </c>
      <c r="S660" s="3">
        <f>+IF(Tabla13[[#This Row],[Ingresado USD]]&gt;0,1,-1)</f>
        <v>1</v>
      </c>
      <c r="T660" s="81">
        <v>45289</v>
      </c>
      <c r="U660" s="35">
        <v>19649</v>
      </c>
      <c r="V660" s="30"/>
    </row>
    <row r="661" spans="1:22" ht="12" hidden="1" x14ac:dyDescent="0.2">
      <c r="A661" s="3">
        <v>36</v>
      </c>
      <c r="B661" s="3" t="s">
        <v>561</v>
      </c>
      <c r="C66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Alpayana_Estudio de Sismicidad</v>
      </c>
      <c r="D661" s="3" t="s">
        <v>562</v>
      </c>
      <c r="E661" s="3" t="s">
        <v>563</v>
      </c>
      <c r="F661" s="3" t="s">
        <v>318</v>
      </c>
      <c r="G661" s="3">
        <v>2026</v>
      </c>
      <c r="H661" s="3">
        <f>+IF(Tabla13[[#This Row],[Proyectado USD]]&gt;0,1,-1)</f>
        <v>-1</v>
      </c>
      <c r="I661" s="15"/>
      <c r="J661" s="21"/>
      <c r="K661" s="3">
        <f>+IF(Tabla13[[#This Row],[Emitido USD]]&gt;0,1,-1)</f>
        <v>1</v>
      </c>
      <c r="L661" s="73">
        <v>46048</v>
      </c>
      <c r="M661" s="3">
        <v>7</v>
      </c>
      <c r="N661" s="22">
        <v>36078</v>
      </c>
      <c r="O661" s="6" t="s">
        <v>754</v>
      </c>
      <c r="P661" s="76">
        <v>46064</v>
      </c>
      <c r="Q661" s="3">
        <f>+IF(Tabla13[[#This Row],[Facturado USD]]&gt;0,1,-1)</f>
        <v>1</v>
      </c>
      <c r="R661" s="22">
        <v>36022</v>
      </c>
      <c r="S661" s="3">
        <f>+IF(Tabla13[[#This Row],[Ingresado USD]]&gt;0,1,-1)</f>
        <v>1</v>
      </c>
      <c r="T661" s="78">
        <v>46071</v>
      </c>
      <c r="U661" s="85">
        <f>+Tabla13[[#This Row],[Facturado USD]]*0.87</f>
        <v>31339.14</v>
      </c>
    </row>
    <row r="662" spans="1:22" ht="12" hidden="1" x14ac:dyDescent="0.2">
      <c r="A662" s="3">
        <v>296</v>
      </c>
      <c r="B662" s="3" t="s">
        <v>702</v>
      </c>
      <c r="C66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ElBrocal_Estudio Geomecanico Estabilidad</v>
      </c>
      <c r="D662" s="3" t="s">
        <v>703</v>
      </c>
      <c r="E662" s="3" t="s">
        <v>333</v>
      </c>
      <c r="F662" s="3" t="s">
        <v>318</v>
      </c>
      <c r="G662" s="3">
        <v>2026</v>
      </c>
      <c r="H662" s="3">
        <f>+IF(Tabla13[[#This Row],[Proyectado USD]]&gt;0,1,-1)</f>
        <v>-1</v>
      </c>
      <c r="I662" s="15"/>
      <c r="J662" s="21"/>
      <c r="K662" s="3">
        <f>+IF(Tabla13[[#This Row],[Emitido USD]]&gt;0,1,-1)</f>
        <v>1</v>
      </c>
      <c r="L662" s="73">
        <v>46048</v>
      </c>
      <c r="M662" s="3">
        <v>1</v>
      </c>
      <c r="N662" s="22">
        <v>9596</v>
      </c>
      <c r="O662" s="6" t="s">
        <v>750</v>
      </c>
      <c r="P662" s="76">
        <v>46062</v>
      </c>
      <c r="Q662" s="3">
        <f>+IF(Tabla13[[#This Row],[Facturado USD]]&gt;0,1,-1)</f>
        <v>1</v>
      </c>
      <c r="R662" s="22">
        <v>9596</v>
      </c>
      <c r="S662" s="3">
        <f>+IF(Tabla13[[#This Row],[Ingresado USD]]&gt;0,1,-1)</f>
        <v>1</v>
      </c>
      <c r="T662" s="78">
        <v>46108</v>
      </c>
      <c r="U662" s="22">
        <v>9596</v>
      </c>
    </row>
    <row r="663" spans="1:22" ht="12" hidden="1" x14ac:dyDescent="0.2">
      <c r="A663" s="3">
        <v>662</v>
      </c>
      <c r="B663" s="3" t="s">
        <v>158</v>
      </c>
      <c r="C66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Sierra Metals_Plan de Minado MEIA</v>
      </c>
      <c r="D663" s="3" t="s">
        <v>40</v>
      </c>
      <c r="E663" s="3" t="s">
        <v>452</v>
      </c>
      <c r="F663" s="3" t="s">
        <v>318</v>
      </c>
      <c r="G663" s="3">
        <v>2023</v>
      </c>
      <c r="H663" s="3">
        <f>+IF(Tabla13[[#This Row],[Proyectado USD]]&gt;0,1,-1)</f>
        <v>1</v>
      </c>
      <c r="I663" s="15">
        <v>45231</v>
      </c>
      <c r="J663" s="21">
        <v>18705</v>
      </c>
      <c r="K663" s="3">
        <f>+IF(Tabla13[[#This Row],[Emitido USD]]&gt;0,1,-1)</f>
        <v>1</v>
      </c>
      <c r="L663" s="73">
        <v>45288</v>
      </c>
      <c r="M663" s="3">
        <v>1</v>
      </c>
      <c r="N663" s="21">
        <v>36681.875</v>
      </c>
      <c r="O663" s="10" t="s">
        <v>453</v>
      </c>
      <c r="P663" s="76">
        <v>45267</v>
      </c>
      <c r="Q663" s="3">
        <f>+IF(Tabla13[[#This Row],[Facturado USD]]&gt;0,1,-1)</f>
        <v>1</v>
      </c>
      <c r="R663" s="22">
        <v>36682</v>
      </c>
      <c r="S663" s="3">
        <f>+IF(Tabla13[[#This Row],[Ingresado USD]]&gt;0,1,-1)</f>
        <v>1</v>
      </c>
      <c r="T663" s="78">
        <v>45289</v>
      </c>
      <c r="U663" s="22">
        <v>36682</v>
      </c>
      <c r="V663" s="45" t="s">
        <v>159</v>
      </c>
    </row>
    <row r="664" spans="1:22" ht="12" hidden="1" x14ac:dyDescent="0.2">
      <c r="A664" s="3">
        <v>663</v>
      </c>
      <c r="B664" s="3" t="s">
        <v>158</v>
      </c>
      <c r="C66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Sierra Metals_Plan de Minado MEIA</v>
      </c>
      <c r="D664" s="3" t="s">
        <v>40</v>
      </c>
      <c r="E664" s="3" t="s">
        <v>322</v>
      </c>
      <c r="F664" s="3" t="s">
        <v>318</v>
      </c>
      <c r="G664" s="3">
        <v>2024</v>
      </c>
      <c r="H664" s="3">
        <f>+IF(Tabla13[[#This Row],[Proyectado USD]]&gt;0,1,-1)</f>
        <v>1</v>
      </c>
      <c r="I664" s="15">
        <v>45323</v>
      </c>
      <c r="J664" s="49">
        <v>19948</v>
      </c>
      <c r="K664" s="3">
        <f>+IF(Tabla13[[#This Row],[Emitido USD]]&gt;0,1,-1)</f>
        <v>1</v>
      </c>
      <c r="L664" s="73">
        <v>45327</v>
      </c>
      <c r="M664" s="3">
        <v>2</v>
      </c>
      <c r="N664" s="21">
        <v>14729</v>
      </c>
      <c r="O664" s="6" t="s">
        <v>454</v>
      </c>
      <c r="P664" s="76">
        <v>45425</v>
      </c>
      <c r="Q664" s="3">
        <f>+IF(Tabla13[[#This Row],[Facturado USD]]&gt;0,1,-1)</f>
        <v>1</v>
      </c>
      <c r="R664" s="22">
        <v>14729</v>
      </c>
      <c r="S664" s="3">
        <f>+IF(Tabla13[[#This Row],[Ingresado USD]]&gt;0,1,-1)</f>
        <v>1</v>
      </c>
      <c r="T664" s="78">
        <v>45523</v>
      </c>
      <c r="U664" s="22">
        <v>14729</v>
      </c>
      <c r="V664" s="48" t="s">
        <v>455</v>
      </c>
    </row>
    <row r="665" spans="1:22" ht="12" hidden="1" x14ac:dyDescent="0.2">
      <c r="A665" s="3">
        <v>664</v>
      </c>
      <c r="B665" s="3" t="s">
        <v>158</v>
      </c>
      <c r="C66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Sierra Metals_Plan de Minado MEIA</v>
      </c>
      <c r="D665" s="3" t="s">
        <v>40</v>
      </c>
      <c r="E665" s="3" t="s">
        <v>322</v>
      </c>
      <c r="F665" s="3" t="s">
        <v>318</v>
      </c>
      <c r="G665" s="3">
        <v>2024</v>
      </c>
      <c r="H665" s="3">
        <f>+IF(Tabla13[[#This Row],[Proyectado USD]]&gt;0,1,-1)</f>
        <v>-1</v>
      </c>
      <c r="I665" s="15"/>
      <c r="J665" s="49"/>
      <c r="K665" s="3">
        <f>+IF(Tabla13[[#This Row],[Emitido USD]]&gt;0,1,-1)</f>
        <v>1</v>
      </c>
      <c r="L665" s="73">
        <v>45533</v>
      </c>
      <c r="M665" s="3">
        <v>3</v>
      </c>
      <c r="N665" s="21">
        <v>5218</v>
      </c>
      <c r="O665" s="6" t="s">
        <v>693</v>
      </c>
      <c r="P665" s="78"/>
      <c r="Q665" s="3">
        <f>+IF(Tabla13[[#This Row],[Facturado USD]]&gt;0,1,-1)</f>
        <v>-1</v>
      </c>
      <c r="S665" s="3">
        <f>+IF(Tabla13[[#This Row],[Ingresado USD]]&gt;0,1,-1)</f>
        <v>-1</v>
      </c>
      <c r="T665" s="78"/>
      <c r="U665" s="21"/>
      <c r="V665" s="6" t="s">
        <v>456</v>
      </c>
    </row>
    <row r="666" spans="1:22" ht="12" hidden="1" x14ac:dyDescent="0.2">
      <c r="A666" s="3">
        <v>665</v>
      </c>
      <c r="B666" s="3" t="s">
        <v>457</v>
      </c>
      <c r="C66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SierraMetals_Update MEIA Yauricocha</v>
      </c>
      <c r="D666" s="3" t="s">
        <v>216</v>
      </c>
      <c r="E666" s="3" t="s">
        <v>322</v>
      </c>
      <c r="F666" s="3" t="s">
        <v>318</v>
      </c>
      <c r="G666" s="3">
        <v>2024</v>
      </c>
      <c r="H666" s="3">
        <f>+IF(Tabla13[[#This Row],[Proyectado USD]]&gt;0,1,-1)</f>
        <v>-1</v>
      </c>
      <c r="I666" s="15"/>
      <c r="J666" s="21"/>
      <c r="K666" s="3">
        <f>+IF(Tabla13[[#This Row],[Emitido USD]]&gt;0,1,-1)</f>
        <v>1</v>
      </c>
      <c r="L666" s="73">
        <v>45498</v>
      </c>
      <c r="M666" s="3">
        <v>1</v>
      </c>
      <c r="N666" s="21">
        <v>20941</v>
      </c>
      <c r="O666" s="6" t="s">
        <v>458</v>
      </c>
      <c r="P666" s="76">
        <v>45538</v>
      </c>
      <c r="Q666" s="3">
        <f>+IF(Tabla13[[#This Row],[Facturado USD]]&gt;0,1,-1)</f>
        <v>1</v>
      </c>
      <c r="R666" s="22">
        <v>20503</v>
      </c>
      <c r="S666" s="3">
        <f>+IF(Tabla13[[#This Row],[Ingresado USD]]&gt;0,1,-1)</f>
        <v>1</v>
      </c>
      <c r="T666" s="78">
        <v>45607</v>
      </c>
      <c r="U666" s="22">
        <v>20085</v>
      </c>
    </row>
    <row r="667" spans="1:22" ht="12" hidden="1" x14ac:dyDescent="0.2">
      <c r="A667" s="3">
        <v>666</v>
      </c>
      <c r="B667" s="3" t="s">
        <v>457</v>
      </c>
      <c r="C66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SierraMetals_Update MEIA Yauricocha</v>
      </c>
      <c r="D667" s="3" t="s">
        <v>216</v>
      </c>
      <c r="E667" s="3" t="s">
        <v>322</v>
      </c>
      <c r="F667" s="3" t="s">
        <v>318</v>
      </c>
      <c r="G667" s="3">
        <v>2024</v>
      </c>
      <c r="H667" s="3">
        <f>+IF(Tabla13[[#This Row],[Proyectado USD]]&gt;0,1,-1)</f>
        <v>-1</v>
      </c>
      <c r="I667" s="15"/>
      <c r="J667" s="21"/>
      <c r="K667" s="3">
        <f>+IF(Tabla13[[#This Row],[Emitido USD]]&gt;0,1,-1)</f>
        <v>1</v>
      </c>
      <c r="L667" s="73">
        <v>45534</v>
      </c>
      <c r="M667" s="3">
        <v>2</v>
      </c>
      <c r="N667" s="22">
        <v>32848</v>
      </c>
      <c r="O667" s="6" t="s">
        <v>459</v>
      </c>
      <c r="P667" s="79">
        <v>45569</v>
      </c>
      <c r="Q667" s="3">
        <f>+IF(Tabla13[[#This Row],[Facturado USD]]&gt;0,1,-1)</f>
        <v>1</v>
      </c>
      <c r="R667" s="22">
        <v>32848</v>
      </c>
      <c r="S667" s="3">
        <f>+IF(Tabla13[[#This Row],[Ingresado USD]]&gt;0,1,-1)</f>
        <v>1</v>
      </c>
      <c r="T667" s="78">
        <v>45677</v>
      </c>
      <c r="U667" s="37">
        <v>34109</v>
      </c>
    </row>
    <row r="668" spans="1:22" ht="12" hidden="1" x14ac:dyDescent="0.2">
      <c r="A668" s="3">
        <v>667</v>
      </c>
      <c r="B668" s="3" t="s">
        <v>457</v>
      </c>
      <c r="C66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SierraMetals_Update MEIA Yauricocha</v>
      </c>
      <c r="D668" s="3" t="s">
        <v>216</v>
      </c>
      <c r="E668" s="3" t="s">
        <v>322</v>
      </c>
      <c r="F668" s="3" t="s">
        <v>318</v>
      </c>
      <c r="G668" s="3">
        <v>2024</v>
      </c>
      <c r="H668" s="3">
        <f>+IF(Tabla13[[#This Row],[Proyectado USD]]&gt;0,1,-1)</f>
        <v>-1</v>
      </c>
      <c r="I668" s="15"/>
      <c r="J668" s="21"/>
      <c r="K668" s="3">
        <f>+IF(Tabla13[[#This Row],[Emitido USD]]&gt;0,1,-1)</f>
        <v>1</v>
      </c>
      <c r="L668" s="73">
        <v>45565</v>
      </c>
      <c r="M668" s="3">
        <v>3</v>
      </c>
      <c r="N668" s="22">
        <v>24147</v>
      </c>
      <c r="O668" s="6" t="s">
        <v>460</v>
      </c>
      <c r="P668" s="76">
        <v>45645</v>
      </c>
      <c r="Q668" s="3">
        <f>+IF(Tabla13[[#This Row],[Facturado USD]]&gt;0,1,-1)</f>
        <v>1</v>
      </c>
      <c r="R668" s="22">
        <v>24147</v>
      </c>
      <c r="S668" s="3">
        <f>+IF(Tabla13[[#This Row],[Ingresado USD]]&gt;0,1,-1)</f>
        <v>1</v>
      </c>
      <c r="T668" s="84">
        <v>45817</v>
      </c>
      <c r="U668" s="22">
        <v>24174</v>
      </c>
    </row>
    <row r="669" spans="1:22" ht="12" hidden="1" x14ac:dyDescent="0.2">
      <c r="A669" s="3">
        <v>489</v>
      </c>
      <c r="B669" s="3" t="s">
        <v>671</v>
      </c>
      <c r="C66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Miskimayo_Evaluación Transporte en Mina</v>
      </c>
      <c r="D66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Miskimayo_Evaluación Transporte en Mina</v>
      </c>
      <c r="E669" s="3" t="s">
        <v>418</v>
      </c>
      <c r="F669" s="3" t="s">
        <v>318</v>
      </c>
      <c r="G669" s="3">
        <v>2026</v>
      </c>
      <c r="H669" s="3">
        <f>+IF(Tabla13[[#This Row],[Proyectado USD]]&gt;0,1,-1)</f>
        <v>-1</v>
      </c>
      <c r="I669" s="15"/>
      <c r="J669" s="21"/>
      <c r="K669" s="3">
        <f>+IF(Tabla13[[#This Row],[Emitido USD]]&gt;0,1,-1)</f>
        <v>1</v>
      </c>
      <c r="L669" s="73">
        <v>46048</v>
      </c>
      <c r="M669" s="3">
        <v>3</v>
      </c>
      <c r="N669" s="21">
        <v>46313</v>
      </c>
      <c r="O669" s="6" t="s">
        <v>751</v>
      </c>
      <c r="P669" s="76">
        <v>46062</v>
      </c>
      <c r="Q669" s="3">
        <f>+IF(Tabla13[[#This Row],[Facturado USD]]&gt;0,1,-1)</f>
        <v>1</v>
      </c>
      <c r="R669" s="21">
        <v>46313</v>
      </c>
      <c r="S669" s="3">
        <f>+IF(Tabla13[[#This Row],[Ingresado USD]]&gt;0,1,-1)</f>
        <v>1</v>
      </c>
      <c r="T669" s="78">
        <v>46107</v>
      </c>
      <c r="U669" s="21">
        <v>46313</v>
      </c>
    </row>
    <row r="670" spans="1:22" ht="12" hidden="1" x14ac:dyDescent="0.2">
      <c r="A670" s="3">
        <v>94</v>
      </c>
      <c r="B670" s="3" t="s">
        <v>672</v>
      </c>
      <c r="C67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AuraMinerals_Proyecto Paiol PFS UG</v>
      </c>
      <c r="D670" s="3" t="s">
        <v>675</v>
      </c>
      <c r="E670" s="3" t="s">
        <v>234</v>
      </c>
      <c r="F670" s="3" t="s">
        <v>235</v>
      </c>
      <c r="G670" s="3">
        <v>2026</v>
      </c>
      <c r="H670" s="3">
        <f>+IF(Tabla13[[#This Row],[Proyectado USD]]&gt;0,1,-1)</f>
        <v>-1</v>
      </c>
      <c r="I670" s="15"/>
      <c r="J670" s="21"/>
      <c r="K670" s="3">
        <f>+IF(Tabla13[[#This Row],[Emitido USD]]&gt;0,1,-1)</f>
        <v>1</v>
      </c>
      <c r="L670" s="73">
        <v>46042</v>
      </c>
      <c r="M670" s="3">
        <v>3</v>
      </c>
      <c r="N670" s="22">
        <v>15152</v>
      </c>
      <c r="O670" s="6">
        <v>4</v>
      </c>
      <c r="P670" s="76">
        <v>46050</v>
      </c>
      <c r="Q670" s="3">
        <f>+IF(Tabla13[[#This Row],[Facturado USD]]&gt;0,1,-1)</f>
        <v>1</v>
      </c>
      <c r="R670" s="22">
        <f>80114/5.21</f>
        <v>15376.967370441458</v>
      </c>
      <c r="S670" s="3">
        <f>+IF(Tabla13[[#This Row],[Ingresado USD]]&gt;0,1,-1)</f>
        <v>1</v>
      </c>
      <c r="T670" s="78">
        <v>46086</v>
      </c>
      <c r="U670" s="22">
        <v>14431.28</v>
      </c>
    </row>
    <row r="671" spans="1:22" ht="12" hidden="1" x14ac:dyDescent="0.2">
      <c r="A671" s="3">
        <v>147</v>
      </c>
      <c r="B671" s="3" t="s">
        <v>586</v>
      </c>
      <c r="C67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CBMM_SIMPLAN Initiatives Evaluation</v>
      </c>
      <c r="D671" s="3" t="s">
        <v>587</v>
      </c>
      <c r="E671" s="3" t="s">
        <v>588</v>
      </c>
      <c r="F671" s="3" t="s">
        <v>235</v>
      </c>
      <c r="G671" s="3">
        <v>2026</v>
      </c>
      <c r="H671" s="3">
        <f>+IF(Tabla13[[#This Row],[Proyectado USD]]&gt;0,1,-1)</f>
        <v>-1</v>
      </c>
      <c r="I671" s="15"/>
      <c r="J671" s="21"/>
      <c r="K671" s="3">
        <f>+IF(Tabla13[[#This Row],[Emitido USD]]&gt;0,1,-1)</f>
        <v>1</v>
      </c>
      <c r="L671" s="73">
        <v>46042</v>
      </c>
      <c r="M671" s="3">
        <v>4</v>
      </c>
      <c r="N671" s="22">
        <v>7778</v>
      </c>
      <c r="O671" s="6">
        <v>1</v>
      </c>
      <c r="P671" s="76">
        <v>46044</v>
      </c>
      <c r="Q671" s="3">
        <f>+IF(Tabla13[[#This Row],[Facturado USD]]&gt;0,1,-1)</f>
        <v>1</v>
      </c>
      <c r="R671" s="22">
        <v>7778</v>
      </c>
      <c r="S671" s="3">
        <f>+IF(Tabla13[[#This Row],[Ingresado USD]]&gt;0,1,-1)</f>
        <v>1</v>
      </c>
      <c r="T671" s="78">
        <v>46104</v>
      </c>
      <c r="U671" s="22">
        <v>8749</v>
      </c>
    </row>
    <row r="672" spans="1:22" ht="12" hidden="1" x14ac:dyDescent="0.2">
      <c r="A672" s="3">
        <v>671</v>
      </c>
      <c r="B672" s="3" t="s">
        <v>315</v>
      </c>
      <c r="C67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Spence_Confiabilidad Plan 2YB 2025</v>
      </c>
      <c r="D672" s="3" t="s">
        <v>316</v>
      </c>
      <c r="E672" s="3" t="s">
        <v>263</v>
      </c>
      <c r="F672" s="3" t="s">
        <v>251</v>
      </c>
      <c r="G672" s="3">
        <v>2024</v>
      </c>
      <c r="H672" s="3">
        <f>+IF(Tabla13[[#This Row],[Proyectado USD]]&gt;0,1,-1)</f>
        <v>-1</v>
      </c>
      <c r="I672" s="15"/>
      <c r="J672" s="21"/>
      <c r="K672" s="3">
        <f>+IF(Tabla13[[#This Row],[Emitido USD]]&gt;0,1,-1)</f>
        <v>1</v>
      </c>
      <c r="L672" s="73">
        <v>45440</v>
      </c>
      <c r="M672" s="3">
        <v>1</v>
      </c>
      <c r="N672" s="22">
        <v>35073</v>
      </c>
      <c r="O672" s="6">
        <v>188</v>
      </c>
      <c r="P672" s="76">
        <v>45440</v>
      </c>
      <c r="Q672" s="3">
        <f>+IF(Tabla13[[#This Row],[Facturado USD]]&gt;0,1,-1)</f>
        <v>1</v>
      </c>
      <c r="R672" s="22">
        <v>35073</v>
      </c>
      <c r="S672" s="3">
        <f>+IF(Tabla13[[#This Row],[Ingresado USD]]&gt;0,1,-1)</f>
        <v>1</v>
      </c>
      <c r="T672" s="78">
        <v>45450</v>
      </c>
      <c r="U672" s="22">
        <v>35073</v>
      </c>
    </row>
    <row r="673" spans="1:22" ht="12" hidden="1" x14ac:dyDescent="0.2">
      <c r="A673" s="3">
        <v>672</v>
      </c>
      <c r="B673" s="3" t="s">
        <v>635</v>
      </c>
      <c r="C67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SPM_FS Labores Subterraneas 2da MEIA</v>
      </c>
      <c r="D673" s="3" t="s">
        <v>636</v>
      </c>
      <c r="E673" s="3" t="s">
        <v>637</v>
      </c>
      <c r="F673" s="3" t="s">
        <v>318</v>
      </c>
      <c r="G673" s="3">
        <v>2025</v>
      </c>
      <c r="H673" s="3">
        <f>+IF(Tabla13[[#This Row],[Proyectado USD]]&gt;0,1,-1)</f>
        <v>-1</v>
      </c>
      <c r="I673" s="15"/>
      <c r="J673" s="21"/>
      <c r="K673" s="3">
        <f>+IF(Tabla13[[#This Row],[Emitido USD]]&gt;0,1,-1)</f>
        <v>1</v>
      </c>
      <c r="L673" s="73">
        <v>45954</v>
      </c>
      <c r="M673" s="3">
        <v>1</v>
      </c>
      <c r="N673" s="22">
        <v>20803</v>
      </c>
      <c r="O673" s="6" t="s">
        <v>657</v>
      </c>
      <c r="P673" s="76">
        <v>45972</v>
      </c>
      <c r="Q673" s="3">
        <f>+IF(Tabla13[[#This Row],[Facturado USD]]&gt;0,1,-1)</f>
        <v>1</v>
      </c>
      <c r="R673" s="22">
        <v>20841</v>
      </c>
      <c r="S673" s="3">
        <f>+IF(Tabla13[[#This Row],[Ingresado USD]]&gt;0,1,-1)</f>
        <v>1</v>
      </c>
      <c r="T673" s="78">
        <v>45981</v>
      </c>
      <c r="U673" s="22">
        <v>20841</v>
      </c>
      <c r="V673" s="3" t="s">
        <v>655</v>
      </c>
    </row>
    <row r="674" spans="1:22" ht="12" hidden="1" x14ac:dyDescent="0.2">
      <c r="A674" s="3">
        <v>673</v>
      </c>
      <c r="B674" s="3" t="s">
        <v>635</v>
      </c>
      <c r="C67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SPM_FS Labores Subterraneas 2da MEIA</v>
      </c>
      <c r="D674" s="3" t="s">
        <v>636</v>
      </c>
      <c r="E674" s="3" t="s">
        <v>637</v>
      </c>
      <c r="F674" s="3" t="s">
        <v>318</v>
      </c>
      <c r="G674" s="3">
        <v>2025</v>
      </c>
      <c r="H674" s="3">
        <f>+IF(Tabla13[[#This Row],[Proyectado USD]]&gt;0,1,-1)</f>
        <v>-1</v>
      </c>
      <c r="I674" s="15"/>
      <c r="J674" s="21"/>
      <c r="K674" s="3">
        <f>+IF(Tabla13[[#This Row],[Emitido USD]]&gt;0,1,-1)</f>
        <v>1</v>
      </c>
      <c r="L674" s="73">
        <v>45986</v>
      </c>
      <c r="M674" s="3">
        <v>2</v>
      </c>
      <c r="N674" s="22">
        <v>39809</v>
      </c>
      <c r="O674" s="6" t="s">
        <v>677</v>
      </c>
      <c r="P674" s="76">
        <v>46003</v>
      </c>
      <c r="Q674" s="3">
        <f>+IF(Tabla13[[#This Row],[Facturado USD]]&gt;0,1,-1)</f>
        <v>1</v>
      </c>
      <c r="R674" s="22">
        <v>39809</v>
      </c>
      <c r="S674" s="3">
        <f>+IF(Tabla13[[#This Row],[Ingresado USD]]&gt;0,1,-1)</f>
        <v>1</v>
      </c>
      <c r="T674" s="78">
        <v>46030</v>
      </c>
      <c r="U674" s="22">
        <v>39809</v>
      </c>
    </row>
    <row r="675" spans="1:22" ht="12" hidden="1" x14ac:dyDescent="0.2">
      <c r="A675" s="3">
        <v>674</v>
      </c>
      <c r="B675" s="3" t="s">
        <v>635</v>
      </c>
      <c r="C67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SPM_FS Labores Subterraneas 2da MEIA</v>
      </c>
      <c r="D675" s="3" t="s">
        <v>636</v>
      </c>
      <c r="E675" s="3" t="s">
        <v>637</v>
      </c>
      <c r="F675" s="3" t="s">
        <v>318</v>
      </c>
      <c r="G675" s="3">
        <v>2025</v>
      </c>
      <c r="H675" s="3">
        <f>+IF(Tabla13[[#This Row],[Proyectado USD]]&gt;0,1,-1)</f>
        <v>-1</v>
      </c>
      <c r="I675" s="15"/>
      <c r="J675" s="21"/>
      <c r="K675" s="3">
        <f>+IF(Tabla13[[#This Row],[Emitido USD]]&gt;0,1,-1)</f>
        <v>1</v>
      </c>
      <c r="L675" s="73">
        <v>46009</v>
      </c>
      <c r="M675" s="3">
        <v>3</v>
      </c>
      <c r="N675" s="21">
        <v>33598</v>
      </c>
      <c r="O675" s="6" t="s">
        <v>697</v>
      </c>
      <c r="P675" s="76">
        <v>46042</v>
      </c>
      <c r="Q675" s="3">
        <f>+IF(Tabla13[[#This Row],[Facturado USD]]&gt;0,1,-1)</f>
        <v>1</v>
      </c>
      <c r="R675" s="22">
        <v>33598</v>
      </c>
      <c r="S675" s="3">
        <f>+IF(Tabla13[[#This Row],[Ingresado USD]]&gt;0,1,-1)</f>
        <v>1</v>
      </c>
      <c r="T675" s="78">
        <v>46050</v>
      </c>
      <c r="U675" s="22">
        <v>33598</v>
      </c>
    </row>
    <row r="676" spans="1:22" ht="12" hidden="1" x14ac:dyDescent="0.2">
      <c r="A676" s="3">
        <v>311</v>
      </c>
      <c r="B676" s="3" t="s">
        <v>589</v>
      </c>
      <c r="C67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EQUINOX_Actualización Ing. Básica UG</v>
      </c>
      <c r="D676" s="3" t="s">
        <v>590</v>
      </c>
      <c r="E676" s="3" t="s">
        <v>591</v>
      </c>
      <c r="F676" s="3" t="s">
        <v>235</v>
      </c>
      <c r="G676" s="3">
        <v>2026</v>
      </c>
      <c r="H676" s="3">
        <f>+IF(Tabla13[[#This Row],[Proyectado USD]]&gt;0,1,-1)</f>
        <v>-1</v>
      </c>
      <c r="I676" s="15"/>
      <c r="J676" s="21"/>
      <c r="K676" s="3">
        <f>+IF(Tabla13[[#This Row],[Emitido USD]]&gt;0,1,-1)</f>
        <v>1</v>
      </c>
      <c r="L676" s="73">
        <v>46042</v>
      </c>
      <c r="M676" s="3">
        <v>5</v>
      </c>
      <c r="N676" s="22">
        <v>47145</v>
      </c>
      <c r="O676" s="6">
        <v>5</v>
      </c>
      <c r="P676" s="76">
        <v>46072</v>
      </c>
      <c r="Q676" s="3">
        <f>+IF(Tabla13[[#This Row],[Facturado USD]]&gt;0,1,-1)</f>
        <v>1</v>
      </c>
      <c r="R676" s="22">
        <v>48163</v>
      </c>
      <c r="S676" s="3">
        <f>+IF(Tabla13[[#This Row],[Ingresado USD]]&gt;0,1,-1)</f>
        <v>1</v>
      </c>
      <c r="T676" s="78">
        <v>46100</v>
      </c>
      <c r="U676" s="22">
        <v>45201</v>
      </c>
    </row>
    <row r="677" spans="1:22" ht="12" hidden="1" x14ac:dyDescent="0.2">
      <c r="A677" s="3">
        <v>323</v>
      </c>
      <c r="B677" s="3" t="s">
        <v>238</v>
      </c>
      <c r="C67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EroCopper_Scoping Proyecto Furnas</v>
      </c>
      <c r="D677" s="3" t="s">
        <v>223</v>
      </c>
      <c r="E677" s="3" t="s">
        <v>239</v>
      </c>
      <c r="F677" s="3" t="s">
        <v>235</v>
      </c>
      <c r="G677" s="3">
        <v>2026</v>
      </c>
      <c r="H677" s="3">
        <f>+IF(Tabla13[[#This Row],[Proyectado USD]]&gt;0,1,-1)</f>
        <v>-1</v>
      </c>
      <c r="I677" s="15"/>
      <c r="J677" s="21"/>
      <c r="K677" s="3">
        <f>+IF(Tabla13[[#This Row],[Emitido USD]]&gt;0,1,-1)</f>
        <v>1</v>
      </c>
      <c r="L677" s="73">
        <v>46041</v>
      </c>
      <c r="M677" s="3">
        <v>8</v>
      </c>
      <c r="N677" s="22">
        <v>46571.709904761905</v>
      </c>
      <c r="O677" s="25">
        <v>3</v>
      </c>
      <c r="P677" s="76">
        <v>46044</v>
      </c>
      <c r="Q677" s="3">
        <f>+IF(Tabla13[[#This Row],[Facturado USD]]&gt;0,1,-1)</f>
        <v>1</v>
      </c>
      <c r="R677" s="22">
        <v>45265</v>
      </c>
      <c r="S677" s="3">
        <f>+IF(Tabla13[[#This Row],[Ingresado USD]]&gt;0,1,-1)</f>
        <v>1</v>
      </c>
      <c r="T677" s="78">
        <v>46073</v>
      </c>
      <c r="U677" s="22">
        <v>42693</v>
      </c>
    </row>
    <row r="678" spans="1:22" ht="12" hidden="1" x14ac:dyDescent="0.2">
      <c r="A678" s="3">
        <v>677</v>
      </c>
      <c r="B678" s="3" t="s">
        <v>553</v>
      </c>
      <c r="C67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Taboca_Evaluación Mina Pitinga</v>
      </c>
      <c r="D678" s="3" t="s">
        <v>554</v>
      </c>
      <c r="E678" s="3" t="s">
        <v>555</v>
      </c>
      <c r="F678" s="3" t="s">
        <v>235</v>
      </c>
      <c r="G678" s="3">
        <v>2025</v>
      </c>
      <c r="H678" s="3">
        <f>+IF(Tabla13[[#This Row],[Proyectado USD]]&gt;0,1,-1)</f>
        <v>-1</v>
      </c>
      <c r="I678" s="15"/>
      <c r="J678" s="21"/>
      <c r="K678" s="3">
        <f>+IF(Tabla13[[#This Row],[Emitido USD]]&gt;0,1,-1)</f>
        <v>1</v>
      </c>
      <c r="L678" s="73">
        <v>45855</v>
      </c>
      <c r="M678" s="3">
        <v>1</v>
      </c>
      <c r="N678" s="22">
        <v>40750</v>
      </c>
      <c r="O678" s="6">
        <v>82</v>
      </c>
      <c r="P678" s="76">
        <v>45863</v>
      </c>
      <c r="Q678" s="3">
        <f>+IF(Tabla13[[#This Row],[Facturado USD]]&gt;0,1,-1)</f>
        <v>1</v>
      </c>
      <c r="R678" s="22">
        <v>40750</v>
      </c>
      <c r="S678" s="3">
        <f>+IF(Tabla13[[#This Row],[Ingresado USD]]&gt;0,1,-1)</f>
        <v>1</v>
      </c>
      <c r="T678" s="78">
        <v>45897</v>
      </c>
      <c r="U678" s="22">
        <v>39998</v>
      </c>
    </row>
    <row r="679" spans="1:22" ht="12" hidden="1" x14ac:dyDescent="0.2">
      <c r="A679" s="3">
        <v>678</v>
      </c>
      <c r="B679" s="3" t="s">
        <v>553</v>
      </c>
      <c r="C67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Taboca_Evaluación Mina Pitinga</v>
      </c>
      <c r="D679" s="3" t="s">
        <v>554</v>
      </c>
      <c r="E679" s="3" t="s">
        <v>555</v>
      </c>
      <c r="F679" s="3" t="s">
        <v>235</v>
      </c>
      <c r="G679" s="3">
        <v>2025</v>
      </c>
      <c r="H679" s="3">
        <f>+IF(Tabla13[[#This Row],[Proyectado USD]]&gt;0,1,-1)</f>
        <v>-1</v>
      </c>
      <c r="I679" s="15"/>
      <c r="J679" s="21"/>
      <c r="K679" s="3">
        <f>+IF(Tabla13[[#This Row],[Emitido USD]]&gt;0,1,-1)</f>
        <v>1</v>
      </c>
      <c r="L679" s="73">
        <v>45889</v>
      </c>
      <c r="M679" s="3">
        <v>2</v>
      </c>
      <c r="N679" s="22">
        <v>107370</v>
      </c>
      <c r="O679" s="6">
        <v>90</v>
      </c>
      <c r="P679" s="76">
        <v>45895</v>
      </c>
      <c r="Q679" s="3">
        <f>+IF(Tabla13[[#This Row],[Facturado USD]]&gt;0,1,-1)</f>
        <v>1</v>
      </c>
      <c r="R679" s="22">
        <v>107128</v>
      </c>
      <c r="S679" s="3">
        <f>+IF(Tabla13[[#This Row],[Ingresado USD]]&gt;0,1,-1)</f>
        <v>1</v>
      </c>
      <c r="T679" s="78">
        <v>45932</v>
      </c>
      <c r="U679" s="66">
        <v>102865</v>
      </c>
    </row>
    <row r="680" spans="1:22" ht="12" hidden="1" x14ac:dyDescent="0.2">
      <c r="A680" s="3">
        <v>679</v>
      </c>
      <c r="B680" s="3" t="s">
        <v>553</v>
      </c>
      <c r="C68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Taboca_Evaluación Mina Pitinga</v>
      </c>
      <c r="D680" s="3" t="s">
        <v>554</v>
      </c>
      <c r="E680" s="3" t="s">
        <v>555</v>
      </c>
      <c r="F680" s="3" t="s">
        <v>235</v>
      </c>
      <c r="G680" s="3">
        <v>2025</v>
      </c>
      <c r="H680" s="3">
        <f>+IF(Tabla13[[#This Row],[Proyectado USD]]&gt;0,1,-1)</f>
        <v>-1</v>
      </c>
      <c r="I680" s="15"/>
      <c r="J680" s="21"/>
      <c r="K680" s="3">
        <f>+IF(Tabla13[[#This Row],[Emitido USD]]&gt;0,1,-1)</f>
        <v>1</v>
      </c>
      <c r="L680" s="73">
        <v>45915</v>
      </c>
      <c r="M680" s="3">
        <v>3</v>
      </c>
      <c r="N680" s="22">
        <v>31880</v>
      </c>
      <c r="O680" s="6">
        <v>99</v>
      </c>
      <c r="P680" s="76">
        <v>45923</v>
      </c>
      <c r="Q680" s="3">
        <f>+IF(Tabla13[[#This Row],[Facturado USD]]&gt;0,1,-1)</f>
        <v>1</v>
      </c>
      <c r="R680" s="22">
        <f>158076/5.45</f>
        <v>29004.770642201835</v>
      </c>
      <c r="S680" s="3">
        <f>+IF(Tabla13[[#This Row],[Ingresado USD]]&gt;0,1,-1)</f>
        <v>1</v>
      </c>
      <c r="T680" s="78">
        <v>45980</v>
      </c>
      <c r="U680" s="22">
        <v>27834</v>
      </c>
    </row>
    <row r="681" spans="1:22" ht="12" hidden="1" x14ac:dyDescent="0.2">
      <c r="A681" s="3">
        <v>680</v>
      </c>
      <c r="C681" s="3" t="s">
        <v>664</v>
      </c>
      <c r="D681" s="3" t="s">
        <v>664</v>
      </c>
      <c r="E681" s="3" t="s">
        <v>665</v>
      </c>
      <c r="F681" s="3" t="s">
        <v>251</v>
      </c>
      <c r="G681" s="3">
        <v>2025</v>
      </c>
      <c r="H681" s="3">
        <f>+IF(Tabla13[[#This Row],[Proyectado USD]]&gt;0,1,-1)</f>
        <v>-1</v>
      </c>
      <c r="I681" s="15"/>
      <c r="J681" s="21"/>
      <c r="K681" s="3">
        <f>+IF(Tabla13[[#This Row],[Emitido USD]]&gt;0,1,-1)</f>
        <v>1</v>
      </c>
      <c r="L681" s="73">
        <v>45929</v>
      </c>
      <c r="M681" s="3">
        <v>1</v>
      </c>
      <c r="N681" s="22">
        <v>22182</v>
      </c>
      <c r="O681" s="6">
        <v>345</v>
      </c>
      <c r="P681" s="76">
        <v>45929</v>
      </c>
      <c r="Q681" s="3">
        <f>+IF(Tabla13[[#This Row],[Facturado USD]]&gt;0,1,-1)</f>
        <v>1</v>
      </c>
      <c r="R681" s="22">
        <v>22182</v>
      </c>
      <c r="S681" s="3">
        <f>+IF(Tabla13[[#This Row],[Ingresado USD]]&gt;0,1,-1)</f>
        <v>1</v>
      </c>
      <c r="T681" s="78">
        <v>45988</v>
      </c>
      <c r="U681" s="22">
        <v>22182</v>
      </c>
    </row>
    <row r="682" spans="1:22" ht="12" hidden="1" x14ac:dyDescent="0.2">
      <c r="A682" s="3">
        <v>681</v>
      </c>
      <c r="B682" s="3" t="s">
        <v>488</v>
      </c>
      <c r="C68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ThreeCrowns_Litigio Oyu Tolgoi</v>
      </c>
      <c r="D682" s="3" t="s">
        <v>217</v>
      </c>
      <c r="E682" s="3" t="s">
        <v>489</v>
      </c>
      <c r="F682" s="3" t="s">
        <v>469</v>
      </c>
      <c r="G682" s="3">
        <v>2024</v>
      </c>
      <c r="H682" s="3">
        <f>+IF(Tabla13[[#This Row],[Proyectado USD]]&gt;0,1,-1)</f>
        <v>-1</v>
      </c>
      <c r="I682" s="15"/>
      <c r="J682" s="21"/>
      <c r="K682" s="3">
        <f>+IF(Tabla13[[#This Row],[Emitido USD]]&gt;0,1,-1)</f>
        <v>1</v>
      </c>
      <c r="L682" s="73">
        <v>45614</v>
      </c>
      <c r="M682" s="3">
        <v>1</v>
      </c>
      <c r="N682" s="22">
        <v>28545</v>
      </c>
      <c r="O682" s="6" t="s">
        <v>164</v>
      </c>
      <c r="P682" s="76">
        <v>45614</v>
      </c>
      <c r="Q682" s="3">
        <f>+IF(Tabla13[[#This Row],[Facturado USD]]&gt;0,1,-1)</f>
        <v>1</v>
      </c>
      <c r="R682" s="22">
        <v>28545</v>
      </c>
      <c r="S682" s="3">
        <f>+IF(Tabla13[[#This Row],[Ingresado USD]]&gt;0,1,-1)</f>
        <v>1</v>
      </c>
      <c r="T682" s="78">
        <v>45730</v>
      </c>
      <c r="U682" s="22">
        <v>28545</v>
      </c>
    </row>
    <row r="683" spans="1:22" ht="12" hidden="1" x14ac:dyDescent="0.2">
      <c r="A683" s="3">
        <v>682</v>
      </c>
      <c r="B683" s="3" t="s">
        <v>488</v>
      </c>
      <c r="C68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ThreeCrowns_Litigio Oyu Tolgoi</v>
      </c>
      <c r="D683" s="3" t="s">
        <v>217</v>
      </c>
      <c r="E683" s="3" t="s">
        <v>489</v>
      </c>
      <c r="F683" s="3" t="s">
        <v>469</v>
      </c>
      <c r="G683" s="3">
        <v>2025</v>
      </c>
      <c r="H683" s="3">
        <f>+IF(Tabla13[[#This Row],[Proyectado USD]]&gt;0,1,-1)</f>
        <v>-1</v>
      </c>
      <c r="I683" s="15"/>
      <c r="J683" s="21"/>
      <c r="K683" s="3">
        <f>+IF(Tabla13[[#This Row],[Emitido USD]]&gt;0,1,-1)</f>
        <v>1</v>
      </c>
      <c r="L683" s="73">
        <v>45807</v>
      </c>
      <c r="M683" s="3">
        <v>2</v>
      </c>
      <c r="N683" s="22">
        <v>74100</v>
      </c>
      <c r="O683" s="6" t="s">
        <v>164</v>
      </c>
      <c r="P683" s="78">
        <v>45814</v>
      </c>
      <c r="Q683" s="3">
        <f>+IF(Tabla13[[#This Row],[Facturado USD]]&gt;0,1,-1)</f>
        <v>1</v>
      </c>
      <c r="R683" s="21">
        <v>74100</v>
      </c>
      <c r="S683" s="3">
        <f>+IF(Tabla13[[#This Row],[Ingresado USD]]&gt;0,1,-1)</f>
        <v>1</v>
      </c>
      <c r="T683" s="78">
        <v>46049</v>
      </c>
      <c r="U683" s="21">
        <v>74100</v>
      </c>
      <c r="V683" s="3" t="s">
        <v>490</v>
      </c>
    </row>
    <row r="684" spans="1:22" ht="12" hidden="1" x14ac:dyDescent="0.2">
      <c r="A684" s="3">
        <v>683</v>
      </c>
      <c r="B684" s="3" t="s">
        <v>488</v>
      </c>
      <c r="C68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ThreeCrowns_Litigio Oyu Tolgoi</v>
      </c>
      <c r="D684" s="3" t="s">
        <v>217</v>
      </c>
      <c r="E684" s="3" t="s">
        <v>489</v>
      </c>
      <c r="F684" s="3" t="s">
        <v>469</v>
      </c>
      <c r="G684" s="3">
        <v>2025</v>
      </c>
      <c r="H684" s="3">
        <f>+IF(Tabla13[[#This Row],[Proyectado USD]]&gt;0,1,-1)</f>
        <v>-1</v>
      </c>
      <c r="I684" s="15"/>
      <c r="J684" s="21"/>
      <c r="K684" s="3">
        <f>+IF(Tabla13[[#This Row],[Emitido USD]]&gt;0,1,-1)</f>
        <v>1</v>
      </c>
      <c r="L684" s="73">
        <v>45834</v>
      </c>
      <c r="M684" s="3">
        <v>3</v>
      </c>
      <c r="N684" s="22">
        <v>129000</v>
      </c>
      <c r="O684" s="6" t="s">
        <v>164</v>
      </c>
      <c r="P684" s="78">
        <v>45834</v>
      </c>
      <c r="Q684" s="3">
        <f>+IF(Tabla13[[#This Row],[Facturado USD]]&gt;0,1,-1)</f>
        <v>1</v>
      </c>
      <c r="R684" s="21">
        <v>129000</v>
      </c>
      <c r="S684" s="3">
        <f>+IF(Tabla13[[#This Row],[Ingresado USD]]&gt;0,1,-1)</f>
        <v>1</v>
      </c>
      <c r="T684" s="78">
        <v>46049</v>
      </c>
      <c r="U684" s="21">
        <v>129000</v>
      </c>
      <c r="V684" s="3" t="s">
        <v>490</v>
      </c>
    </row>
    <row r="685" spans="1:22" ht="12" hidden="1" x14ac:dyDescent="0.2">
      <c r="A685" s="3">
        <v>684</v>
      </c>
      <c r="B685" s="3" t="s">
        <v>488</v>
      </c>
      <c r="C68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ThreeCrowns_Litigio Oyu Tolgoi</v>
      </c>
      <c r="D685" s="3" t="s">
        <v>217</v>
      </c>
      <c r="E685" s="3" t="s">
        <v>489</v>
      </c>
      <c r="F685" s="3" t="s">
        <v>469</v>
      </c>
      <c r="G685" s="3">
        <v>2025</v>
      </c>
      <c r="H685" s="3">
        <f>+IF(Tabla13[[#This Row],[Proyectado USD]]&gt;0,1,-1)</f>
        <v>-1</v>
      </c>
      <c r="I685" s="15"/>
      <c r="J685" s="21"/>
      <c r="K685" s="3">
        <f>+IF(Tabla13[[#This Row],[Emitido USD]]&gt;0,1,-1)</f>
        <v>1</v>
      </c>
      <c r="L685" s="73">
        <v>45864</v>
      </c>
      <c r="M685" s="3">
        <v>4</v>
      </c>
      <c r="N685" s="22">
        <v>114100</v>
      </c>
      <c r="O685" s="6" t="s">
        <v>164</v>
      </c>
      <c r="P685" s="78">
        <v>45874</v>
      </c>
      <c r="Q685" s="3">
        <f>+IF(Tabla13[[#This Row],[Facturado USD]]&gt;0,1,-1)</f>
        <v>1</v>
      </c>
      <c r="R685" s="21">
        <v>114100</v>
      </c>
      <c r="S685" s="3">
        <f>+IF(Tabla13[[#This Row],[Ingresado USD]]&gt;0,1,-1)</f>
        <v>1</v>
      </c>
      <c r="T685" s="78">
        <v>46049</v>
      </c>
      <c r="U685" s="21">
        <v>114100</v>
      </c>
      <c r="V685" s="3" t="s">
        <v>580</v>
      </c>
    </row>
    <row r="686" spans="1:22" ht="12" hidden="1" x14ac:dyDescent="0.2">
      <c r="A686" s="3">
        <v>685</v>
      </c>
      <c r="B686" s="3" t="s">
        <v>488</v>
      </c>
      <c r="C68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ThreeCrowns_Litigio Oyu Tolgoi</v>
      </c>
      <c r="D686" s="3" t="s">
        <v>217</v>
      </c>
      <c r="E686" s="3" t="s">
        <v>489</v>
      </c>
      <c r="F686" s="3" t="s">
        <v>469</v>
      </c>
      <c r="G686" s="3">
        <v>2025</v>
      </c>
      <c r="H686" s="3">
        <f>+IF(Tabla13[[#This Row],[Proyectado USD]]&gt;0,1,-1)</f>
        <v>-1</v>
      </c>
      <c r="I686" s="15"/>
      <c r="J686" s="21"/>
      <c r="K686" s="3">
        <f>+IF(Tabla13[[#This Row],[Emitido USD]]&gt;0,1,-1)</f>
        <v>1</v>
      </c>
      <c r="L686" s="73">
        <v>45900</v>
      </c>
      <c r="M686" s="3">
        <v>5</v>
      </c>
      <c r="N686" s="22">
        <v>150000</v>
      </c>
      <c r="O686" s="6" t="s">
        <v>164</v>
      </c>
      <c r="P686" s="76">
        <v>45950</v>
      </c>
      <c r="Q686" s="3">
        <f>+IF(Tabla13[[#This Row],[Facturado USD]]&gt;0,1,-1)</f>
        <v>1</v>
      </c>
      <c r="R686" s="22">
        <v>150000</v>
      </c>
      <c r="S686" s="3">
        <f>+IF(Tabla13[[#This Row],[Ingresado USD]]&gt;0,1,-1)</f>
        <v>1</v>
      </c>
      <c r="T686" s="78">
        <v>46049</v>
      </c>
      <c r="U686" s="22">
        <v>150000</v>
      </c>
    </row>
    <row r="687" spans="1:22" ht="12" hidden="1" x14ac:dyDescent="0.2">
      <c r="A687" s="3">
        <v>686</v>
      </c>
      <c r="B687" s="3" t="s">
        <v>488</v>
      </c>
      <c r="C68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ThreeCrowns_Litigio Oyu Tolgoi</v>
      </c>
      <c r="D687" s="3" t="s">
        <v>217</v>
      </c>
      <c r="E687" s="3" t="s">
        <v>489</v>
      </c>
      <c r="F687" s="3" t="s">
        <v>469</v>
      </c>
      <c r="G687" s="3">
        <v>2025</v>
      </c>
      <c r="H687" s="3">
        <f>+IF(Tabla13[[#This Row],[Proyectado USD]]&gt;0,1,-1)</f>
        <v>-1</v>
      </c>
      <c r="I687" s="15"/>
      <c r="J687" s="21"/>
      <c r="K687" s="3">
        <f>+IF(Tabla13[[#This Row],[Emitido USD]]&gt;0,1,-1)</f>
        <v>1</v>
      </c>
      <c r="L687" s="73">
        <v>45930</v>
      </c>
      <c r="M687" s="3">
        <v>6</v>
      </c>
      <c r="N687" s="22">
        <v>178500</v>
      </c>
      <c r="O687" s="6" t="s">
        <v>164</v>
      </c>
      <c r="P687" s="76">
        <v>45950</v>
      </c>
      <c r="Q687" s="3">
        <f>+IF(Tabla13[[#This Row],[Facturado USD]]&gt;0,1,-1)</f>
        <v>1</v>
      </c>
      <c r="R687" s="22">
        <v>178500</v>
      </c>
      <c r="S687" s="3">
        <f>+IF(Tabla13[[#This Row],[Ingresado USD]]&gt;0,1,-1)</f>
        <v>1</v>
      </c>
      <c r="T687" s="78">
        <v>46049</v>
      </c>
      <c r="U687" s="22">
        <v>178500</v>
      </c>
    </row>
    <row r="688" spans="1:22" ht="12" hidden="1" x14ac:dyDescent="0.2">
      <c r="A688" s="3">
        <v>687</v>
      </c>
      <c r="B688" s="3" t="s">
        <v>488</v>
      </c>
      <c r="C68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ThreeCrowns_Litigio Oyu Tolgoi</v>
      </c>
      <c r="D688" s="3" t="s">
        <v>217</v>
      </c>
      <c r="E688" s="3" t="s">
        <v>489</v>
      </c>
      <c r="F688" s="3" t="s">
        <v>469</v>
      </c>
      <c r="G688" s="3">
        <v>2025</v>
      </c>
      <c r="H688" s="3">
        <f>+IF(Tabla13[[#This Row],[Proyectado USD]]&gt;0,1,-1)</f>
        <v>-1</v>
      </c>
      <c r="I688" s="15"/>
      <c r="J688" s="21"/>
      <c r="K688" s="3">
        <f>+IF(Tabla13[[#This Row],[Emitido USD]]&gt;0,1,-1)</f>
        <v>-1</v>
      </c>
      <c r="L688" s="73"/>
      <c r="M688" s="3" t="s">
        <v>630</v>
      </c>
      <c r="O688" s="6" t="s">
        <v>164</v>
      </c>
      <c r="P688" s="76"/>
      <c r="Q688" s="3">
        <f>+IF(Tabla13[[#This Row],[Facturado USD]]&gt;0,1,-1)</f>
        <v>-1</v>
      </c>
      <c r="S688" s="3">
        <f>+IF(Tabla13[[#This Row],[Ingresado USD]]&gt;0,1,-1)</f>
        <v>1</v>
      </c>
      <c r="T688" s="78">
        <v>46157</v>
      </c>
      <c r="U688" s="22">
        <v>31720</v>
      </c>
      <c r="V688" s="3" t="s">
        <v>840</v>
      </c>
    </row>
    <row r="689" spans="1:22" ht="12" hidden="1" x14ac:dyDescent="0.2">
      <c r="A689" s="3">
        <v>688</v>
      </c>
      <c r="B689" s="3" t="s">
        <v>491</v>
      </c>
      <c r="C689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Twin Metals_Pre PFS Birch Lake Maturi</v>
      </c>
      <c r="D689" s="3" t="s">
        <v>218</v>
      </c>
      <c r="E689" s="3" t="s">
        <v>492</v>
      </c>
      <c r="F689" s="3" t="s">
        <v>469</v>
      </c>
      <c r="G689" s="3">
        <v>2024</v>
      </c>
      <c r="H689" s="3">
        <f>+IF(Tabla13[[#This Row],[Proyectado USD]]&gt;0,1,-1)</f>
        <v>-1</v>
      </c>
      <c r="I689" s="15"/>
      <c r="J689" s="21"/>
      <c r="K689" s="3">
        <f>+IF(Tabla13[[#This Row],[Emitido USD]]&gt;0,1,-1)</f>
        <v>1</v>
      </c>
      <c r="L689" s="73">
        <v>45619</v>
      </c>
      <c r="M689" s="3">
        <v>1</v>
      </c>
      <c r="N689" s="22">
        <v>51319</v>
      </c>
      <c r="O689" s="6" t="s">
        <v>164</v>
      </c>
      <c r="P689" s="76">
        <v>45664</v>
      </c>
      <c r="Q689" s="3">
        <f>+IF(Tabla13[[#This Row],[Facturado USD]]&gt;0,1,-1)</f>
        <v>1</v>
      </c>
      <c r="R689" s="22">
        <v>51319</v>
      </c>
      <c r="S689" s="3">
        <f>+IF(Tabla13[[#This Row],[Ingresado USD]]&gt;0,1,-1)</f>
        <v>1</v>
      </c>
      <c r="T689" s="78">
        <v>45686</v>
      </c>
      <c r="U689" s="22">
        <v>51319</v>
      </c>
    </row>
    <row r="690" spans="1:22" ht="12" hidden="1" x14ac:dyDescent="0.2">
      <c r="A690" s="3">
        <v>689</v>
      </c>
      <c r="B690" s="3" t="s">
        <v>491</v>
      </c>
      <c r="C690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Twin Metals_Pre PFS Birch Lake Maturi</v>
      </c>
      <c r="D690" s="3" t="s">
        <v>218</v>
      </c>
      <c r="E690" s="3" t="s">
        <v>492</v>
      </c>
      <c r="F690" s="3" t="s">
        <v>469</v>
      </c>
      <c r="G690" s="3">
        <v>2024</v>
      </c>
      <c r="H690" s="3">
        <f>+IF(Tabla13[[#This Row],[Proyectado USD]]&gt;0,1,-1)</f>
        <v>-1</v>
      </c>
      <c r="I690" s="15"/>
      <c r="J690" s="21"/>
      <c r="K690" s="3">
        <f>+IF(Tabla13[[#This Row],[Emitido USD]]&gt;0,1,-1)</f>
        <v>1</v>
      </c>
      <c r="L690" s="73">
        <v>45649</v>
      </c>
      <c r="M690" s="3">
        <v>2</v>
      </c>
      <c r="N690" s="22">
        <v>61422</v>
      </c>
      <c r="O690" s="6" t="s">
        <v>164</v>
      </c>
      <c r="P690" s="76">
        <v>45664</v>
      </c>
      <c r="Q690" s="3">
        <f>+IF(Tabla13[[#This Row],[Facturado USD]]&gt;0,1,-1)</f>
        <v>1</v>
      </c>
      <c r="R690" s="22">
        <v>61422</v>
      </c>
      <c r="S690" s="3">
        <f>+IF(Tabla13[[#This Row],[Ingresado USD]]&gt;0,1,-1)</f>
        <v>1</v>
      </c>
      <c r="T690" s="78">
        <v>45686</v>
      </c>
      <c r="U690" s="22">
        <v>61422</v>
      </c>
    </row>
    <row r="691" spans="1:22" ht="12" hidden="1" x14ac:dyDescent="0.2">
      <c r="A691" s="3">
        <v>690</v>
      </c>
      <c r="B691" s="3" t="s">
        <v>491</v>
      </c>
      <c r="C691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Twin Metals_Pre PFS Birch Lake Maturi</v>
      </c>
      <c r="D691" s="3" t="s">
        <v>218</v>
      </c>
      <c r="E691" s="3" t="s">
        <v>492</v>
      </c>
      <c r="F691" s="3" t="s">
        <v>469</v>
      </c>
      <c r="G691" s="3">
        <v>2025</v>
      </c>
      <c r="H691" s="3">
        <f>+IF(Tabla13[[#This Row],[Proyectado USD]]&gt;0,1,-1)</f>
        <v>-1</v>
      </c>
      <c r="I691" s="15"/>
      <c r="J691" s="21"/>
      <c r="K691" s="3">
        <f>+IF(Tabla13[[#This Row],[Emitido USD]]&gt;0,1,-1)</f>
        <v>1</v>
      </c>
      <c r="L691" s="73">
        <v>45685</v>
      </c>
      <c r="M691" s="3">
        <v>3</v>
      </c>
      <c r="N691" s="22">
        <v>80209</v>
      </c>
      <c r="O691" s="6" t="s">
        <v>164</v>
      </c>
      <c r="P691" s="76">
        <v>45687</v>
      </c>
      <c r="Q691" s="3">
        <f>+IF(Tabla13[[#This Row],[Facturado USD]]&gt;0,1,-1)</f>
        <v>1</v>
      </c>
      <c r="R691" s="22">
        <v>80209</v>
      </c>
      <c r="S691" s="3">
        <f>+IF(Tabla13[[#This Row],[Ingresado USD]]&gt;0,1,-1)</f>
        <v>1</v>
      </c>
      <c r="T691" s="78">
        <v>45716</v>
      </c>
      <c r="U691" s="22">
        <v>80209</v>
      </c>
    </row>
    <row r="692" spans="1:22" ht="12" hidden="1" x14ac:dyDescent="0.2">
      <c r="A692" s="3">
        <v>691</v>
      </c>
      <c r="B692" s="3" t="s">
        <v>491</v>
      </c>
      <c r="C692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Twin Metals_Pre PFS Birch Lake Maturi</v>
      </c>
      <c r="D692" s="3" t="s">
        <v>218</v>
      </c>
      <c r="E692" s="3" t="s">
        <v>492</v>
      </c>
      <c r="F692" s="3" t="s">
        <v>469</v>
      </c>
      <c r="G692" s="3">
        <v>2025</v>
      </c>
      <c r="H692" s="3">
        <f>+IF(Tabla13[[#This Row],[Proyectado USD]]&gt;0,1,-1)</f>
        <v>-1</v>
      </c>
      <c r="I692" s="15"/>
      <c r="J692" s="21"/>
      <c r="K692" s="3">
        <f>+IF(Tabla13[[#This Row],[Emitido USD]]&gt;0,1,-1)</f>
        <v>1</v>
      </c>
      <c r="L692" s="73">
        <v>45713</v>
      </c>
      <c r="M692" s="3">
        <v>4</v>
      </c>
      <c r="N692" s="22">
        <v>112980.7</v>
      </c>
      <c r="O692" s="6" t="s">
        <v>164</v>
      </c>
      <c r="P692" s="76">
        <v>45721</v>
      </c>
      <c r="Q692" s="3">
        <f>+IF(Tabla13[[#This Row],[Facturado USD]]&gt;0,1,-1)</f>
        <v>1</v>
      </c>
      <c r="R692" s="22">
        <v>112981</v>
      </c>
      <c r="S692" s="3">
        <f>+IF(Tabla13[[#This Row],[Ingresado USD]]&gt;0,1,-1)</f>
        <v>1</v>
      </c>
      <c r="T692" s="78">
        <v>45742</v>
      </c>
      <c r="U692" s="22">
        <v>112980</v>
      </c>
    </row>
    <row r="693" spans="1:22" ht="12" hidden="1" x14ac:dyDescent="0.2">
      <c r="A693" s="3">
        <v>692</v>
      </c>
      <c r="B693" s="3" t="s">
        <v>491</v>
      </c>
      <c r="C693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Twin Metals_Pre PFS Birch Lake Maturi</v>
      </c>
      <c r="D693" s="3" t="s">
        <v>218</v>
      </c>
      <c r="E693" s="3" t="s">
        <v>492</v>
      </c>
      <c r="F693" s="3" t="s">
        <v>469</v>
      </c>
      <c r="G693" s="3">
        <v>2025</v>
      </c>
      <c r="H693" s="3">
        <f>+IF(Tabla13[[#This Row],[Proyectado USD]]&gt;0,1,-1)</f>
        <v>-1</v>
      </c>
      <c r="I693" s="15"/>
      <c r="J693" s="21"/>
      <c r="K693" s="3">
        <f>+IF(Tabla13[[#This Row],[Emitido USD]]&gt;0,1,-1)</f>
        <v>1</v>
      </c>
      <c r="L693" s="73">
        <v>45750</v>
      </c>
      <c r="M693" s="3">
        <v>5</v>
      </c>
      <c r="N693" s="22">
        <v>101319.4</v>
      </c>
      <c r="O693" s="6" t="s">
        <v>164</v>
      </c>
      <c r="P693" s="76">
        <v>45750</v>
      </c>
      <c r="Q693" s="3">
        <f>+IF(Tabla13[[#This Row],[Facturado USD]]&gt;0,1,-1)</f>
        <v>1</v>
      </c>
      <c r="R693" s="22">
        <v>101319.4</v>
      </c>
      <c r="S693" s="3">
        <f>+IF(Tabla13[[#This Row],[Ingresado USD]]&gt;0,1,-1)</f>
        <v>1</v>
      </c>
      <c r="T693" s="78">
        <v>45806</v>
      </c>
      <c r="U693" s="22">
        <v>101319</v>
      </c>
    </row>
    <row r="694" spans="1:22" ht="12" hidden="1" x14ac:dyDescent="0.2">
      <c r="A694" s="3">
        <v>693</v>
      </c>
      <c r="B694" s="3" t="s">
        <v>491</v>
      </c>
      <c r="C694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Twin Metals_Pre PFS Birch Lake Maturi</v>
      </c>
      <c r="D694" s="3" t="s">
        <v>218</v>
      </c>
      <c r="E694" s="3" t="s">
        <v>492</v>
      </c>
      <c r="F694" s="3" t="s">
        <v>469</v>
      </c>
      <c r="G694" s="3">
        <v>2025</v>
      </c>
      <c r="H694" s="3">
        <f>+IF(Tabla13[[#This Row],[Proyectado USD]]&gt;0,1,-1)</f>
        <v>-1</v>
      </c>
      <c r="I694" s="15"/>
      <c r="J694" s="21"/>
      <c r="K694" s="3">
        <f>+IF(Tabla13[[#This Row],[Emitido USD]]&gt;0,1,-1)</f>
        <v>1</v>
      </c>
      <c r="L694" s="73">
        <v>45776</v>
      </c>
      <c r="M694" s="3">
        <v>6</v>
      </c>
      <c r="N694" s="22">
        <v>60296</v>
      </c>
      <c r="O694" s="6" t="s">
        <v>164</v>
      </c>
      <c r="P694" s="76">
        <v>45776</v>
      </c>
      <c r="Q694" s="3">
        <f>+IF(Tabla13[[#This Row],[Facturado USD]]&gt;0,1,-1)</f>
        <v>1</v>
      </c>
      <c r="R694" s="22">
        <v>60269</v>
      </c>
      <c r="S694" s="3">
        <f>+IF(Tabla13[[#This Row],[Ingresado USD]]&gt;0,1,-1)</f>
        <v>1</v>
      </c>
      <c r="T694" s="78">
        <v>45806</v>
      </c>
      <c r="U694" s="22">
        <v>60269</v>
      </c>
      <c r="V694" s="29"/>
    </row>
    <row r="695" spans="1:22" ht="12" hidden="1" x14ac:dyDescent="0.2">
      <c r="A695" s="3">
        <v>694</v>
      </c>
      <c r="B695" s="3" t="s">
        <v>491</v>
      </c>
      <c r="C695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Twin Metals_Pre PFS Birch Lake Maturi</v>
      </c>
      <c r="D695" s="3" t="s">
        <v>218</v>
      </c>
      <c r="E695" s="3" t="s">
        <v>492</v>
      </c>
      <c r="F695" s="3" t="s">
        <v>469</v>
      </c>
      <c r="G695" s="3">
        <v>2025</v>
      </c>
      <c r="H695" s="3">
        <f>+IF(Tabla13[[#This Row],[Proyectado USD]]&gt;0,1,-1)</f>
        <v>-1</v>
      </c>
      <c r="I695" s="15"/>
      <c r="J695" s="21"/>
      <c r="K695" s="3">
        <f>+IF(Tabla13[[#This Row],[Emitido USD]]&gt;0,1,-1)</f>
        <v>1</v>
      </c>
      <c r="L695" s="73">
        <v>45807</v>
      </c>
      <c r="M695" s="3">
        <v>7</v>
      </c>
      <c r="N695" s="22">
        <v>13995</v>
      </c>
      <c r="O695" s="6" t="s">
        <v>164</v>
      </c>
      <c r="P695" s="76">
        <v>45811</v>
      </c>
      <c r="Q695" s="3">
        <f>+IF(Tabla13[[#This Row],[Facturado USD]]&gt;0,1,-1)</f>
        <v>1</v>
      </c>
      <c r="R695" s="22">
        <v>13995</v>
      </c>
      <c r="S695" s="3">
        <f>+IF(Tabla13[[#This Row],[Ingresado USD]]&gt;0,1,-1)</f>
        <v>1</v>
      </c>
      <c r="T695" s="78">
        <v>45834</v>
      </c>
      <c r="U695" s="22">
        <v>13995</v>
      </c>
      <c r="V695" s="29"/>
    </row>
    <row r="696" spans="1:22" ht="12" hidden="1" x14ac:dyDescent="0.2">
      <c r="A696" s="3">
        <v>695</v>
      </c>
      <c r="B696" s="3" t="s">
        <v>493</v>
      </c>
      <c r="C696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TwinMetals_Birch Lake Integration</v>
      </c>
      <c r="D696" s="3" t="s">
        <v>219</v>
      </c>
      <c r="E696" s="3" t="s">
        <v>492</v>
      </c>
      <c r="F696" s="3" t="s">
        <v>469</v>
      </c>
      <c r="G696" s="3">
        <v>2025</v>
      </c>
      <c r="H696" s="3">
        <f>+IF(Tabla13[[#This Row],[Proyectado USD]]&gt;0,1,-1)</f>
        <v>-1</v>
      </c>
      <c r="I696" s="15"/>
      <c r="J696" s="21"/>
      <c r="K696" s="3">
        <f>+IF(Tabla13[[#This Row],[Emitido USD]]&gt;0,1,-1)</f>
        <v>1</v>
      </c>
      <c r="L696" s="73">
        <v>45747</v>
      </c>
      <c r="M696" s="3">
        <v>1</v>
      </c>
      <c r="N696" s="22">
        <v>84225</v>
      </c>
      <c r="O696" s="6" t="s">
        <v>164</v>
      </c>
      <c r="P696" s="76">
        <v>45748</v>
      </c>
      <c r="Q696" s="3">
        <f>+IF(Tabla13[[#This Row],[Facturado USD]]&gt;0,1,-1)</f>
        <v>1</v>
      </c>
      <c r="R696" s="22">
        <v>84225</v>
      </c>
      <c r="S696" s="3">
        <f>+IF(Tabla13[[#This Row],[Ingresado USD]]&gt;0,1,-1)</f>
        <v>1</v>
      </c>
      <c r="T696" s="78">
        <v>45777</v>
      </c>
      <c r="U696" s="22">
        <v>84225</v>
      </c>
    </row>
    <row r="697" spans="1:22" ht="12" hidden="1" x14ac:dyDescent="0.2">
      <c r="A697" s="3">
        <v>696</v>
      </c>
      <c r="B697" s="3" t="s">
        <v>575</v>
      </c>
      <c r="C697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Volcan_Estudio Estabilidad Desmonteras</v>
      </c>
      <c r="D697" s="3" t="s">
        <v>576</v>
      </c>
      <c r="E697" s="3" t="s">
        <v>577</v>
      </c>
      <c r="F697" s="3" t="s">
        <v>318</v>
      </c>
      <c r="G697" s="3">
        <v>2025</v>
      </c>
      <c r="H697" s="3">
        <f>+IF(Tabla13[[#This Row],[Proyectado USD]]&gt;0,1,-1)</f>
        <v>-1</v>
      </c>
      <c r="I697" s="15"/>
      <c r="J697" s="21"/>
      <c r="K697" s="3">
        <f>+IF(Tabla13[[#This Row],[Emitido USD]]&gt;0,1,-1)</f>
        <v>1</v>
      </c>
      <c r="L697" s="73">
        <v>45898</v>
      </c>
      <c r="M697" s="3">
        <v>1</v>
      </c>
      <c r="N697" s="22">
        <v>34388</v>
      </c>
      <c r="O697" s="6" t="s">
        <v>606</v>
      </c>
      <c r="P697" s="76">
        <v>45937</v>
      </c>
      <c r="Q697" s="3">
        <f>+IF(Tabla13[[#This Row],[Facturado USD]]&gt;0,1,-1)</f>
        <v>1</v>
      </c>
      <c r="R697" s="22">
        <v>34388</v>
      </c>
      <c r="S697" s="3">
        <f>+IF(Tabla13[[#This Row],[Ingresado USD]]&gt;0,1,-1)</f>
        <v>1</v>
      </c>
      <c r="T697" s="78">
        <v>45945</v>
      </c>
      <c r="U697" s="21">
        <v>34388</v>
      </c>
    </row>
    <row r="698" spans="1:22" ht="12" hidden="1" x14ac:dyDescent="0.2">
      <c r="A698" s="3">
        <v>697</v>
      </c>
      <c r="B698" s="3" t="s">
        <v>575</v>
      </c>
      <c r="C698" s="3" t="str">
        <f>IF(AND(RIGHT(Tabla13[[#This Row],[Código]],1)="A",_xlfn.XLOOKUP(Tabla13[[#This Row],[Código]],'[1]Proyectos (NO FILTRAR)'!$B:$B,'[1]Proyectos (NO FILTRAR)'!$F:$F,"!",0,1)&lt;&gt;"NO_ESPECIFICADO"),
_xlfn.XLOOKUP(Tabla13[[#This Row],[Código]],'[1]Proyectos (NO FILTRAR)'!$B:$B,'[1]Proyectos (NO FILTRAR)'!$F:$F,"!",0,1),
_xlfn.XLOOKUP(Tabla13[[#This Row],[Código]],'[1]Proyectos (NO FILTRAR)'!$B:$B,'[1]Proyectos (NO FILTRAR)'!$H:$H,"!",0,1))</f>
        <v>Volcan_Estudio Estabilidad Desmonteras</v>
      </c>
      <c r="D698" s="3" t="s">
        <v>576</v>
      </c>
      <c r="E698" s="3" t="s">
        <v>577</v>
      </c>
      <c r="F698" s="3" t="s">
        <v>318</v>
      </c>
      <c r="G698" s="3">
        <v>2025</v>
      </c>
      <c r="H698" s="3">
        <f>+IF(Tabla13[[#This Row],[Proyectado USD]]&gt;0,1,-1)</f>
        <v>-1</v>
      </c>
      <c r="I698" s="15"/>
      <c r="J698" s="21"/>
      <c r="K698" s="3">
        <f>+IF(Tabla13[[#This Row],[Emitido USD]]&gt;0,1,-1)</f>
        <v>1</v>
      </c>
      <c r="L698" s="73">
        <v>45954</v>
      </c>
      <c r="M698" s="3">
        <v>2</v>
      </c>
      <c r="N698" s="22">
        <v>3821</v>
      </c>
      <c r="O698" s="6" t="s">
        <v>645</v>
      </c>
      <c r="P698" s="76">
        <v>45958</v>
      </c>
      <c r="Q698" s="3">
        <f>+IF(Tabla13[[#This Row],[Facturado USD]]&gt;0,1,-1)</f>
        <v>1</v>
      </c>
      <c r="R698" s="22">
        <v>3821</v>
      </c>
      <c r="S698" s="3">
        <f>+IF(Tabla13[[#This Row],[Ingresado USD]]&gt;0,1,-1)</f>
        <v>1</v>
      </c>
      <c r="T698" s="78">
        <v>46022</v>
      </c>
      <c r="U698" s="22">
        <v>3821</v>
      </c>
    </row>
    <row r="699" spans="1:22" ht="12" hidden="1" x14ac:dyDescent="0.2">
      <c r="A699" s="3">
        <v>698</v>
      </c>
      <c r="C699" s="3" t="s">
        <v>312</v>
      </c>
      <c r="D699" s="3" t="s">
        <v>312</v>
      </c>
      <c r="E699" s="3" t="s">
        <v>250</v>
      </c>
      <c r="F699" s="3" t="s">
        <v>251</v>
      </c>
      <c r="G699" s="3">
        <v>2024</v>
      </c>
      <c r="H699" s="3">
        <f>+IF(Tabla13[[#This Row],[Proyectado USD]]&gt;0,1,-1)</f>
        <v>-1</v>
      </c>
      <c r="I699" s="15"/>
      <c r="J699" s="21"/>
      <c r="K699" s="3">
        <f>+IF(Tabla13[[#This Row],[Emitido USD]]&gt;0,1,-1)</f>
        <v>-1</v>
      </c>
      <c r="L699" s="73">
        <v>45485</v>
      </c>
      <c r="M699" s="3" t="s">
        <v>630</v>
      </c>
      <c r="N699" s="22">
        <v>0</v>
      </c>
      <c r="O699" s="6" t="s">
        <v>164</v>
      </c>
      <c r="P699" s="76">
        <v>45485</v>
      </c>
      <c r="Q699" s="3">
        <f>+IF(Tabla13[[#This Row],[Facturado USD]]&gt;0,1,-1)</f>
        <v>-1</v>
      </c>
      <c r="R699" s="22">
        <v>0</v>
      </c>
      <c r="S699" s="3">
        <f>+IF(Tabla13[[#This Row],[Ingresado USD]]&gt;0,1,-1)</f>
        <v>1</v>
      </c>
      <c r="T699" s="78">
        <v>45485</v>
      </c>
      <c r="U699" s="22">
        <v>43052.599788760286</v>
      </c>
    </row>
    <row r="700" spans="1:22" ht="12" hidden="1" x14ac:dyDescent="0.2">
      <c r="A700" s="3">
        <v>699</v>
      </c>
      <c r="C700" s="3" t="s">
        <v>755</v>
      </c>
      <c r="D700" s="3" t="s">
        <v>755</v>
      </c>
      <c r="E700" s="3" t="s">
        <v>250</v>
      </c>
      <c r="F700" s="3" t="s">
        <v>251</v>
      </c>
      <c r="G700" s="3">
        <v>2025</v>
      </c>
      <c r="H700" s="3">
        <f>+IF(Tabla13[[#This Row],[Proyectado USD]]&gt;0,1,-1)</f>
        <v>-1</v>
      </c>
      <c r="I700" s="15"/>
      <c r="J700" s="21"/>
      <c r="K700" s="3">
        <f>+IF(Tabla13[[#This Row],[Emitido USD]]&gt;0,1,-1)</f>
        <v>-1</v>
      </c>
      <c r="L700" s="73">
        <v>45980</v>
      </c>
      <c r="M700" s="3" t="s">
        <v>630</v>
      </c>
      <c r="N700" s="22">
        <v>0</v>
      </c>
      <c r="O700" s="6" t="s">
        <v>164</v>
      </c>
      <c r="P700" s="76">
        <v>45980</v>
      </c>
      <c r="Q700" s="3">
        <f>+IF(Tabla13[[#This Row],[Facturado USD]]&gt;0,1,-1)</f>
        <v>-1</v>
      </c>
      <c r="R700" s="22">
        <v>0</v>
      </c>
      <c r="S700" s="3">
        <f>+IF(Tabla13[[#This Row],[Ingresado USD]]&gt;0,1,-1)</f>
        <v>1</v>
      </c>
      <c r="T700" s="78">
        <v>45980</v>
      </c>
      <c r="U700" s="22">
        <v>50646</v>
      </c>
      <c r="V700" s="3" t="s">
        <v>658</v>
      </c>
    </row>
    <row r="701" spans="1:22" ht="12" hidden="1" x14ac:dyDescent="0.2">
      <c r="A701" s="3">
        <v>700</v>
      </c>
      <c r="C701" s="3" t="s">
        <v>668</v>
      </c>
      <c r="D701" s="3" t="s">
        <v>668</v>
      </c>
      <c r="E701" s="3" t="s">
        <v>250</v>
      </c>
      <c r="F701" s="3" t="s">
        <v>251</v>
      </c>
      <c r="G701" s="3">
        <v>2025</v>
      </c>
      <c r="H701" s="3">
        <f>+IF(Tabla13[[#This Row],[Proyectado USD]]&gt;0,1,-1)</f>
        <v>-1</v>
      </c>
      <c r="I701" s="15"/>
      <c r="J701" s="21"/>
      <c r="K701" s="3">
        <f>+IF(Tabla13[[#This Row],[Emitido USD]]&gt;0,1,-1)</f>
        <v>-1</v>
      </c>
      <c r="L701" s="73">
        <v>45940</v>
      </c>
      <c r="M701" s="3" t="s">
        <v>630</v>
      </c>
      <c r="N701" s="22">
        <v>0</v>
      </c>
      <c r="O701" s="6" t="s">
        <v>164</v>
      </c>
      <c r="P701" s="76">
        <v>45940</v>
      </c>
      <c r="Q701" s="3">
        <f>+IF(Tabla13[[#This Row],[Facturado USD]]&gt;0,1,-1)</f>
        <v>-1</v>
      </c>
      <c r="R701" s="22">
        <v>0</v>
      </c>
      <c r="S701" s="3">
        <f>+IF(Tabla13[[#This Row],[Ingresado USD]]&gt;0,1,-1)</f>
        <v>1</v>
      </c>
      <c r="T701" s="78">
        <v>45940</v>
      </c>
      <c r="U701" s="22">
        <v>12155</v>
      </c>
    </row>
    <row r="702" spans="1:22" ht="12" x14ac:dyDescent="0.2">
      <c r="D702" s="3" t="s">
        <v>629</v>
      </c>
      <c r="E702" s="3"/>
      <c r="I702" s="15"/>
      <c r="J702" s="21"/>
      <c r="L702" s="73"/>
      <c r="M702" s="3"/>
      <c r="N702" s="22">
        <f>SUBTOTAL(9,N2:N701)</f>
        <v>1220196</v>
      </c>
      <c r="O702" s="6"/>
      <c r="P702" s="76"/>
      <c r="R702" s="22">
        <f>SUBTOTAL(9,R2:R701)</f>
        <v>1220196</v>
      </c>
      <c r="T702" s="78"/>
      <c r="U702" s="22">
        <f>SUBTOTAL(9,U2:U701)</f>
        <v>487762</v>
      </c>
      <c r="V702" s="3">
        <f>SUBTOTAL(103,Tabla13[[Observaciones ]])</f>
        <v>8</v>
      </c>
    </row>
    <row r="703" spans="1:22" x14ac:dyDescent="0.2">
      <c r="U703" s="174"/>
      <c r="V703" s="23"/>
    </row>
    <row r="704" spans="1:22" x14ac:dyDescent="0.2">
      <c r="R704" s="172"/>
      <c r="S704" s="23"/>
      <c r="U704" s="172"/>
      <c r="V704" s="23">
        <f>SUM(U704:U711)</f>
        <v>0</v>
      </c>
    </row>
    <row r="705" spans="18:22" x14ac:dyDescent="0.2">
      <c r="R705" s="173"/>
      <c r="U705" s="173"/>
    </row>
    <row r="706" spans="18:22" x14ac:dyDescent="0.2">
      <c r="R706" s="172"/>
      <c r="U706" s="172"/>
    </row>
    <row r="707" spans="18:22" x14ac:dyDescent="0.2">
      <c r="U707" s="173"/>
      <c r="V707" s="23"/>
    </row>
    <row r="708" spans="18:22" x14ac:dyDescent="0.2">
      <c r="U708" s="172"/>
    </row>
    <row r="709" spans="18:22" x14ac:dyDescent="0.2">
      <c r="U709" s="175"/>
    </row>
    <row r="710" spans="18:22" x14ac:dyDescent="0.2">
      <c r="U710" s="172"/>
    </row>
    <row r="711" spans="18:22" x14ac:dyDescent="0.2">
      <c r="U711" s="176"/>
    </row>
    <row r="712" spans="18:22" x14ac:dyDescent="0.2">
      <c r="U712" s="52"/>
    </row>
    <row r="713" spans="18:22" x14ac:dyDescent="0.2">
      <c r="U713" s="172"/>
    </row>
    <row r="714" spans="18:22" x14ac:dyDescent="0.2">
      <c r="U714" s="173"/>
    </row>
    <row r="715" spans="18:22" x14ac:dyDescent="0.2">
      <c r="U715" s="172"/>
    </row>
    <row r="716" spans="18:22" x14ac:dyDescent="0.2">
      <c r="U716" s="173"/>
    </row>
    <row r="717" spans="18:22" x14ac:dyDescent="0.2">
      <c r="U717" s="172"/>
    </row>
    <row r="718" spans="18:22" x14ac:dyDescent="0.2">
      <c r="U718" s="173"/>
    </row>
    <row r="719" spans="18:22" x14ac:dyDescent="0.2">
      <c r="U719" s="172"/>
    </row>
    <row r="720" spans="18:22" x14ac:dyDescent="0.2">
      <c r="U720" s="173"/>
    </row>
    <row r="721" spans="21:21" x14ac:dyDescent="0.2">
      <c r="U721" s="172"/>
    </row>
    <row r="722" spans="21:21" x14ac:dyDescent="0.2">
      <c r="U722" s="173"/>
    </row>
    <row r="723" spans="21:21" x14ac:dyDescent="0.2">
      <c r="U723" s="172"/>
    </row>
    <row r="724" spans="21:21" x14ac:dyDescent="0.2">
      <c r="U724" s="173"/>
    </row>
    <row r="725" spans="21:21" x14ac:dyDescent="0.2">
      <c r="U725" s="172"/>
    </row>
    <row r="726" spans="21:21" x14ac:dyDescent="0.2">
      <c r="U726" s="173"/>
    </row>
    <row r="727" spans="21:21" x14ac:dyDescent="0.2">
      <c r="U727" s="172"/>
    </row>
    <row r="728" spans="21:21" x14ac:dyDescent="0.2">
      <c r="U728" s="173"/>
    </row>
    <row r="729" spans="21:21" x14ac:dyDescent="0.2">
      <c r="U729" s="172"/>
    </row>
  </sheetData>
  <phoneticPr fontId="2" type="noConversion"/>
  <conditionalFormatting sqref="H2:H701">
    <cfRule type="iconSet" priority="2917">
      <iconSet iconSet="3Symbols" showValue="0">
        <cfvo type="percent" val="0"/>
        <cfvo type="num" val="0"/>
        <cfvo type="num" val="1"/>
      </iconSet>
    </cfRule>
  </conditionalFormatting>
  <conditionalFormatting sqref="K2:K701">
    <cfRule type="iconSet" priority="2919">
      <iconSet iconSet="3Symbols" showValue="0">
        <cfvo type="percent" val="0"/>
        <cfvo type="num" val="0"/>
        <cfvo type="num" val="1"/>
      </iconSet>
    </cfRule>
  </conditionalFormatting>
  <conditionalFormatting sqref="O1:O1048576">
    <cfRule type="cellIs" dxfId="10" priority="40" operator="equal">
      <formula>"Pendiente"</formula>
    </cfRule>
  </conditionalFormatting>
  <conditionalFormatting sqref="Q2:Q701">
    <cfRule type="iconSet" priority="2924">
      <iconSet iconSet="3Symbols" showValue="0">
        <cfvo type="percent" val="0"/>
        <cfvo type="num" val="0"/>
        <cfvo type="num" val="1"/>
      </iconSet>
    </cfRule>
  </conditionalFormatting>
  <conditionalFormatting sqref="R352">
    <cfRule type="cellIs" dxfId="9" priority="7" operator="equal">
      <formula>"Pendiente"</formula>
    </cfRule>
  </conditionalFormatting>
  <conditionalFormatting sqref="S2:S701">
    <cfRule type="iconSet" priority="2926">
      <iconSet iconSet="3Symbols" showValue="0">
        <cfvo type="percent" val="0"/>
        <cfvo type="num" val="0"/>
        <cfvo type="num" val="1"/>
      </iconSet>
    </cfRule>
  </conditionalFormatting>
  <conditionalFormatting sqref="U353">
    <cfRule type="cellIs" dxfId="8" priority="5" operator="equal">
      <formula>"Pendiente"</formula>
    </cfRule>
  </conditionalFormatting>
  <conditionalFormatting sqref="V350:V353">
    <cfRule type="dataBar" priority="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{A6B26485-18BF-4194-ABBB-29EAFB4F2618}</x14:id>
        </ext>
      </extLst>
    </cfRule>
  </conditionalFormatting>
  <conditionalFormatting sqref="V350:V355">
    <cfRule type="cellIs" dxfId="7" priority="28" operator="equal">
      <formula>"Pendiente"</formula>
    </cfRule>
  </conditionalFormatting>
  <conditionalFormatting sqref="V354:V355">
    <cfRule type="dataBar" priority="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{698889BC-305C-4037-B023-9868FE0951B6}</x14:id>
        </ext>
      </extLst>
    </cfRule>
  </conditionalFormatting>
  <conditionalFormatting sqref="V360:V365">
    <cfRule type="cellIs" dxfId="6" priority="26" operator="equal">
      <formula>"Pendiente"</formula>
    </cfRule>
    <cfRule type="dataBar" priority="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{F91CA0C5-2DA7-4F3B-98B7-F0336C4DC436}</x14:id>
        </ext>
      </extLst>
    </cfRule>
  </conditionalFormatting>
  <conditionalFormatting sqref="V370">
    <cfRule type="cellIs" dxfId="5" priority="24" operator="equal">
      <formula>"Pendiente"</formula>
    </cfRule>
    <cfRule type="dataBar" priority="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{02EED670-B51A-488F-A67B-20CA10BD2709}</x14:id>
        </ext>
      </extLst>
    </cfRule>
  </conditionalFormatting>
  <conditionalFormatting sqref="V374">
    <cfRule type="cellIs" dxfId="4" priority="19" operator="equal">
      <formula>"Pendiente"</formula>
    </cfRule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{78284349-6180-489E-BD83-2C70DD152028}</x14:id>
        </ext>
      </extLst>
    </cfRule>
  </conditionalFormatting>
  <conditionalFormatting sqref="V561">
    <cfRule type="cellIs" dxfId="3" priority="6" operator="equal">
      <formula>"Pendiente"</formula>
    </cfRule>
  </conditionalFormatting>
  <conditionalFormatting sqref="V629:V1048576 V579:V584 V375:V560 V356:V359 V371:V373 V366:V369 V258:V349 V562:V575 V586:V607 V610:V627">
    <cfRule type="dataBar" priority="15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{D83000A8-6647-4EA3-AF67-67CE85F391F7}</x14:id>
        </ext>
      </extLst>
    </cfRule>
  </conditionalFormatting>
  <pageMargins left="0.7" right="0.7" top="0.75" bottom="0.75" header="0.3" footer="0.3"/>
  <pageSetup scale="23" orientation="portrait" r:id="rId1"/>
  <drawing r:id="rId2"/>
  <legacyDrawing r:id="rId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B26485-18BF-4194-ABBB-29EAFB4F26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V350:V353</xm:sqref>
        </x14:conditionalFormatting>
        <x14:conditionalFormatting xmlns:xm="http://schemas.microsoft.com/office/excel/2006/main">
          <x14:cfRule type="dataBar" id="{698889BC-305C-4037-B023-9868FE0951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V354:V355</xm:sqref>
        </x14:conditionalFormatting>
        <x14:conditionalFormatting xmlns:xm="http://schemas.microsoft.com/office/excel/2006/main">
          <x14:cfRule type="dataBar" id="{F91CA0C5-2DA7-4F3B-98B7-F0336C4DC4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V360:V365</xm:sqref>
        </x14:conditionalFormatting>
        <x14:conditionalFormatting xmlns:xm="http://schemas.microsoft.com/office/excel/2006/main">
          <x14:cfRule type="dataBar" id="{02EED670-B51A-488F-A67B-20CA10BD27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V370</xm:sqref>
        </x14:conditionalFormatting>
        <x14:conditionalFormatting xmlns:xm="http://schemas.microsoft.com/office/excel/2006/main">
          <x14:cfRule type="dataBar" id="{78284349-6180-489E-BD83-2C70DD1520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V374</xm:sqref>
        </x14:conditionalFormatting>
        <x14:conditionalFormatting xmlns:xm="http://schemas.microsoft.com/office/excel/2006/main">
          <x14:cfRule type="dataBar" id="{D83000A8-6647-4EA3-AF67-67CE85F391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V629:V1048576 V579:V584 V375:V560 V356:V359 V371:V373 V366:V369 V258:V349 V562:V575 V586:V607 V610:V627</xm:sqref>
        </x14:conditionalFormatting>
      </x14:conditionalFormattings>
    </ext>
    <ext xmlns:x15="http://schemas.microsoft.com/office/spreadsheetml/2010/11/main" uri="{3A4CF648-6AED-40f4-86FF-DC5316D8AED3}">
      <x14:slicerList xmlns:x14="http://schemas.microsoft.com/office/spreadsheetml/2009/9/main">
        <x14:slicer r:id="rId5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4691E-9ED5-4002-8C2D-C9C4B1298E83}">
  <sheetPr codeName="Hoja2"/>
  <dimension ref="A1:V127"/>
  <sheetViews>
    <sheetView showGridLines="0" zoomScaleNormal="80" workbookViewId="0">
      <selection activeCell="F7" sqref="F7"/>
    </sheetView>
  </sheetViews>
  <sheetFormatPr baseColWidth="10" defaultColWidth="11.5" defaultRowHeight="13" x14ac:dyDescent="0.15"/>
  <cols>
    <col min="1" max="1" width="35.1640625" style="62" bestFit="1" customWidth="1"/>
    <col min="2" max="13" width="21.83203125" style="62" bestFit="1" customWidth="1"/>
    <col min="14" max="14" width="11.6640625" style="62" bestFit="1" customWidth="1"/>
    <col min="15" max="17" width="9.6640625" style="62" bestFit="1" customWidth="1"/>
    <col min="18" max="18" width="13.6640625" style="62" bestFit="1" customWidth="1"/>
    <col min="19" max="20" width="8.33203125" style="62" bestFit="1" customWidth="1"/>
    <col min="21" max="21" width="9.5" style="62" bestFit="1" customWidth="1"/>
    <col min="22" max="22" width="13.5" style="62" bestFit="1" customWidth="1"/>
    <col min="23" max="247" width="10.5" style="62" bestFit="1" customWidth="1"/>
    <col min="248" max="248" width="12.5" style="62" bestFit="1" customWidth="1"/>
    <col min="249" max="16384" width="11.5" style="62"/>
  </cols>
  <sheetData>
    <row r="1" spans="1:22" ht="15" x14ac:dyDescent="0.2">
      <c r="A1" s="169" t="s">
        <v>171</v>
      </c>
      <c r="B1" s="170" t="s">
        <v>891</v>
      </c>
      <c r="M1"/>
      <c r="N1"/>
    </row>
    <row r="2" spans="1:22" x14ac:dyDescent="0.15">
      <c r="A2" s="169" t="s">
        <v>51</v>
      </c>
      <c r="B2" s="170" t="s">
        <v>663</v>
      </c>
    </row>
    <row r="3" spans="1:22" ht="15" x14ac:dyDescent="0.2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</row>
    <row r="4" spans="1:22" ht="15" x14ac:dyDescent="0.2">
      <c r="A4" s="169" t="s">
        <v>172</v>
      </c>
      <c r="B4" s="169" t="s">
        <v>584</v>
      </c>
      <c r="C4" s="170"/>
      <c r="D4" s="170"/>
      <c r="E4" s="170"/>
      <c r="F4" s="170"/>
      <c r="G4" s="170"/>
      <c r="H4" s="170"/>
      <c r="I4" s="170"/>
      <c r="J4" s="170"/>
      <c r="K4" s="170"/>
      <c r="L4" s="170"/>
      <c r="M4" s="170"/>
      <c r="N4" s="170"/>
      <c r="O4"/>
      <c r="P4"/>
      <c r="Q4"/>
      <c r="R4"/>
      <c r="S4"/>
      <c r="T4"/>
      <c r="U4"/>
      <c r="V4"/>
    </row>
    <row r="5" spans="1:22" ht="15" x14ac:dyDescent="0.2">
      <c r="A5" s="169" t="s">
        <v>232</v>
      </c>
      <c r="B5" s="170" t="s">
        <v>175</v>
      </c>
      <c r="C5" s="170" t="s">
        <v>176</v>
      </c>
      <c r="D5" s="170" t="s">
        <v>773</v>
      </c>
      <c r="E5" s="170" t="s">
        <v>785</v>
      </c>
      <c r="F5" s="170" t="s">
        <v>833</v>
      </c>
      <c r="G5" s="170" t="s">
        <v>866</v>
      </c>
      <c r="H5" s="170" t="s">
        <v>895</v>
      </c>
      <c r="I5" s="170" t="s">
        <v>896</v>
      </c>
      <c r="J5" s="170" t="s">
        <v>898</v>
      </c>
      <c r="K5" s="170" t="s">
        <v>899</v>
      </c>
      <c r="L5" s="170" t="s">
        <v>900</v>
      </c>
      <c r="M5" s="170" t="s">
        <v>901</v>
      </c>
      <c r="N5" s="170" t="s">
        <v>177</v>
      </c>
      <c r="O5"/>
      <c r="P5"/>
      <c r="Q5"/>
      <c r="R5"/>
      <c r="S5"/>
      <c r="T5"/>
      <c r="U5"/>
      <c r="V5"/>
    </row>
    <row r="6" spans="1:22" ht="15" x14ac:dyDescent="0.2">
      <c r="A6" s="170" t="s">
        <v>902</v>
      </c>
      <c r="B6" s="171"/>
      <c r="C6" s="171"/>
      <c r="D6" s="171"/>
      <c r="E6" s="171"/>
      <c r="F6" s="171"/>
      <c r="G6" s="171"/>
      <c r="H6" s="171"/>
      <c r="I6" s="171"/>
      <c r="J6" s="171"/>
      <c r="K6" s="171"/>
      <c r="L6" s="171">
        <v>165194.82999999999</v>
      </c>
      <c r="M6" s="171"/>
      <c r="N6" s="171">
        <v>165194.82999999999</v>
      </c>
      <c r="O6"/>
      <c r="P6"/>
      <c r="Q6"/>
      <c r="R6"/>
      <c r="S6"/>
      <c r="T6"/>
      <c r="U6"/>
      <c r="V6"/>
    </row>
    <row r="7" spans="1:22" ht="15" x14ac:dyDescent="0.2">
      <c r="A7" s="170" t="s">
        <v>875</v>
      </c>
      <c r="B7" s="171">
        <v>46513.548499999997</v>
      </c>
      <c r="C7" s="171"/>
      <c r="D7" s="171">
        <v>36425.028903124999</v>
      </c>
      <c r="E7" s="171">
        <v>19248.976000000002</v>
      </c>
      <c r="F7" s="171"/>
      <c r="G7" s="171">
        <v>67379.671499999997</v>
      </c>
      <c r="H7" s="171">
        <v>23028</v>
      </c>
      <c r="I7" s="171"/>
      <c r="J7" s="171">
        <v>10059.549999999999</v>
      </c>
      <c r="K7" s="171"/>
      <c r="L7" s="171">
        <v>48846.15</v>
      </c>
      <c r="M7" s="171"/>
      <c r="N7" s="171">
        <v>251500.92490312498</v>
      </c>
      <c r="O7"/>
      <c r="P7"/>
      <c r="Q7"/>
      <c r="R7"/>
      <c r="S7"/>
      <c r="T7"/>
      <c r="U7"/>
      <c r="V7"/>
    </row>
    <row r="8" spans="1:22" ht="15" x14ac:dyDescent="0.2">
      <c r="A8" s="170" t="s">
        <v>876</v>
      </c>
      <c r="B8" s="171"/>
      <c r="C8" s="171"/>
      <c r="D8" s="171">
        <v>19250.8</v>
      </c>
      <c r="E8" s="171"/>
      <c r="F8" s="171"/>
      <c r="G8" s="171"/>
      <c r="H8" s="171"/>
      <c r="I8" s="171">
        <v>8656.69</v>
      </c>
      <c r="J8" s="171"/>
      <c r="K8" s="171"/>
      <c r="L8" s="171">
        <v>17907.507532000003</v>
      </c>
      <c r="M8" s="171"/>
      <c r="N8" s="171">
        <v>45814.997532000001</v>
      </c>
      <c r="O8"/>
      <c r="P8"/>
      <c r="Q8"/>
      <c r="R8"/>
      <c r="S8"/>
      <c r="T8"/>
      <c r="U8"/>
      <c r="V8"/>
    </row>
    <row r="9" spans="1:22" ht="15" x14ac:dyDescent="0.2">
      <c r="A9" s="170" t="s">
        <v>3</v>
      </c>
      <c r="B9" s="171"/>
      <c r="C9" s="171">
        <v>153903.94261874998</v>
      </c>
      <c r="D9" s="171">
        <v>74540.849875</v>
      </c>
      <c r="E9" s="171">
        <v>31472.811249999999</v>
      </c>
      <c r="F9" s="171">
        <v>53056.1</v>
      </c>
      <c r="G9" s="171">
        <v>18313.150000000001</v>
      </c>
      <c r="H9" s="171"/>
      <c r="I9" s="171"/>
      <c r="J9" s="171"/>
      <c r="K9" s="171"/>
      <c r="L9" s="171">
        <v>55786.85</v>
      </c>
      <c r="M9" s="171">
        <v>61381.399999999994</v>
      </c>
      <c r="N9" s="171">
        <v>448455.10374375002</v>
      </c>
      <c r="O9"/>
      <c r="P9"/>
      <c r="Q9"/>
      <c r="R9"/>
      <c r="S9"/>
      <c r="T9"/>
      <c r="U9"/>
      <c r="V9"/>
    </row>
    <row r="10" spans="1:22" ht="15" x14ac:dyDescent="0.2">
      <c r="A10" s="170" t="s">
        <v>892</v>
      </c>
      <c r="B10" s="171"/>
      <c r="C10" s="171"/>
      <c r="D10" s="171"/>
      <c r="E10" s="171"/>
      <c r="F10" s="171"/>
      <c r="G10" s="171"/>
      <c r="H10" s="171"/>
      <c r="I10" s="171"/>
      <c r="J10" s="171"/>
      <c r="K10" s="171">
        <v>30338</v>
      </c>
      <c r="L10" s="171">
        <v>105098</v>
      </c>
      <c r="M10" s="171">
        <v>60311</v>
      </c>
      <c r="N10" s="171">
        <v>195747</v>
      </c>
      <c r="O10"/>
      <c r="P10"/>
      <c r="Q10"/>
      <c r="R10"/>
      <c r="S10"/>
      <c r="T10"/>
      <c r="U10"/>
      <c r="V10"/>
    </row>
    <row r="11" spans="1:22" ht="15" x14ac:dyDescent="0.2">
      <c r="A11" s="170" t="s">
        <v>877</v>
      </c>
      <c r="B11" s="171"/>
      <c r="C11" s="171"/>
      <c r="D11" s="171"/>
      <c r="E11" s="171"/>
      <c r="F11" s="171"/>
      <c r="G11" s="171">
        <v>90837</v>
      </c>
      <c r="H11" s="171">
        <v>36666</v>
      </c>
      <c r="I11" s="171"/>
      <c r="J11" s="171"/>
      <c r="K11" s="171">
        <v>13446</v>
      </c>
      <c r="L11" s="171"/>
      <c r="M11" s="171"/>
      <c r="N11" s="171">
        <v>140949</v>
      </c>
      <c r="O11"/>
      <c r="P11"/>
      <c r="Q11"/>
      <c r="R11"/>
      <c r="S11"/>
      <c r="T11"/>
      <c r="U11"/>
      <c r="V11"/>
    </row>
    <row r="12" spans="1:22" ht="15" x14ac:dyDescent="0.2">
      <c r="A12" s="170" t="s">
        <v>878</v>
      </c>
      <c r="B12" s="171"/>
      <c r="C12" s="171">
        <v>85501.696818750002</v>
      </c>
      <c r="D12" s="171">
        <v>91931.036874999991</v>
      </c>
      <c r="E12" s="171">
        <v>74275.2856875</v>
      </c>
      <c r="F12" s="171">
        <v>56674.739000000001</v>
      </c>
      <c r="G12" s="171">
        <v>90591.056359214781</v>
      </c>
      <c r="H12" s="171">
        <v>23442.199999999997</v>
      </c>
      <c r="I12" s="171"/>
      <c r="J12" s="171">
        <v>42004.25</v>
      </c>
      <c r="K12" s="171">
        <v>39413.599999999999</v>
      </c>
      <c r="L12" s="171">
        <v>33000.15</v>
      </c>
      <c r="M12" s="171">
        <v>29906.949999999997</v>
      </c>
      <c r="N12" s="171">
        <v>566740.9647404647</v>
      </c>
      <c r="O12"/>
      <c r="P12"/>
      <c r="Q12"/>
      <c r="R12"/>
      <c r="S12"/>
      <c r="T12"/>
      <c r="U12" s="63"/>
      <c r="V12"/>
    </row>
    <row r="13" spans="1:22" ht="15" x14ac:dyDescent="0.2">
      <c r="A13" s="170" t="s">
        <v>879</v>
      </c>
      <c r="B13" s="171">
        <v>32039.291499999999</v>
      </c>
      <c r="C13" s="171"/>
      <c r="D13" s="171">
        <v>59914.415937499994</v>
      </c>
      <c r="E13" s="171">
        <v>25685.410062499999</v>
      </c>
      <c r="F13" s="171"/>
      <c r="G13" s="171">
        <v>24609.75</v>
      </c>
      <c r="H13" s="171"/>
      <c r="I13" s="171">
        <v>11499.75</v>
      </c>
      <c r="J13" s="171"/>
      <c r="K13" s="171"/>
      <c r="L13" s="171"/>
      <c r="M13" s="171"/>
      <c r="N13" s="171">
        <v>153748.61749999999</v>
      </c>
      <c r="O13"/>
      <c r="P13"/>
      <c r="Q13"/>
      <c r="R13"/>
      <c r="S13"/>
      <c r="T13"/>
      <c r="U13"/>
      <c r="V13" s="63"/>
    </row>
    <row r="14" spans="1:22" ht="15" x14ac:dyDescent="0.2">
      <c r="A14" s="170" t="s">
        <v>880</v>
      </c>
      <c r="B14" s="171"/>
      <c r="C14" s="171"/>
      <c r="D14" s="171"/>
      <c r="E14" s="171">
        <v>33038.61</v>
      </c>
      <c r="F14" s="171">
        <v>7732.4</v>
      </c>
      <c r="G14" s="171"/>
      <c r="H14" s="171">
        <v>6840.375</v>
      </c>
      <c r="I14" s="171">
        <v>41477.25</v>
      </c>
      <c r="J14" s="171"/>
      <c r="K14" s="171"/>
      <c r="L14" s="171"/>
      <c r="M14" s="171"/>
      <c r="N14" s="171">
        <v>89088.635000000009</v>
      </c>
      <c r="O14"/>
      <c r="P14"/>
      <c r="Q14"/>
      <c r="R14"/>
      <c r="S14"/>
      <c r="T14"/>
      <c r="U14"/>
      <c r="V14"/>
    </row>
    <row r="15" spans="1:22" ht="15" x14ac:dyDescent="0.2">
      <c r="A15" s="170" t="s">
        <v>881</v>
      </c>
      <c r="B15" s="171"/>
      <c r="C15" s="171"/>
      <c r="D15" s="171">
        <v>50688.322500000002</v>
      </c>
      <c r="E15" s="171"/>
      <c r="F15" s="171"/>
      <c r="G15" s="171"/>
      <c r="H15" s="171"/>
      <c r="I15" s="171"/>
      <c r="J15" s="171"/>
      <c r="K15" s="171"/>
      <c r="L15" s="171"/>
      <c r="M15" s="171"/>
      <c r="N15" s="171">
        <v>50688.322500000002</v>
      </c>
      <c r="O15"/>
      <c r="P15"/>
      <c r="Q15"/>
      <c r="R15"/>
      <c r="S15"/>
      <c r="T15"/>
      <c r="U15"/>
      <c r="V15"/>
    </row>
    <row r="16" spans="1:22" ht="15" x14ac:dyDescent="0.2">
      <c r="A16" s="170" t="s">
        <v>14</v>
      </c>
      <c r="B16" s="171"/>
      <c r="C16" s="171">
        <v>14112</v>
      </c>
      <c r="D16" s="171"/>
      <c r="E16" s="171"/>
      <c r="F16" s="171"/>
      <c r="G16" s="171"/>
      <c r="H16" s="171"/>
      <c r="I16" s="171"/>
      <c r="J16" s="171"/>
      <c r="K16" s="171"/>
      <c r="L16" s="171"/>
      <c r="M16" s="171"/>
      <c r="N16" s="171">
        <v>14112</v>
      </c>
      <c r="O16"/>
      <c r="P16"/>
      <c r="Q16"/>
      <c r="R16"/>
      <c r="S16"/>
      <c r="T16"/>
      <c r="U16"/>
      <c r="V16"/>
    </row>
    <row r="17" spans="1:22" ht="15" x14ac:dyDescent="0.2">
      <c r="A17" s="170" t="s">
        <v>15</v>
      </c>
      <c r="B17" s="171"/>
      <c r="C17" s="171"/>
      <c r="D17" s="171"/>
      <c r="E17" s="171"/>
      <c r="F17" s="171"/>
      <c r="G17" s="171">
        <v>36335.699999999997</v>
      </c>
      <c r="H17" s="171"/>
      <c r="I17" s="171"/>
      <c r="J17" s="171"/>
      <c r="K17" s="171"/>
      <c r="L17" s="171"/>
      <c r="M17" s="171">
        <v>3345.3000000000029</v>
      </c>
      <c r="N17" s="171">
        <v>39681</v>
      </c>
      <c r="O17"/>
      <c r="P17"/>
      <c r="Q17"/>
      <c r="R17"/>
      <c r="S17"/>
      <c r="T17"/>
      <c r="U17"/>
      <c r="V17"/>
    </row>
    <row r="18" spans="1:22" ht="15" x14ac:dyDescent="0.2">
      <c r="A18" s="170" t="s">
        <v>16</v>
      </c>
      <c r="B18" s="171"/>
      <c r="C18" s="171"/>
      <c r="D18" s="171"/>
      <c r="E18" s="171">
        <v>64800</v>
      </c>
      <c r="F18" s="171"/>
      <c r="G18" s="171"/>
      <c r="H18" s="171"/>
      <c r="I18" s="171"/>
      <c r="J18" s="171"/>
      <c r="K18" s="171"/>
      <c r="L18" s="171"/>
      <c r="M18" s="171"/>
      <c r="N18" s="171">
        <v>64800</v>
      </c>
      <c r="O18"/>
      <c r="P18"/>
      <c r="Q18"/>
      <c r="R18"/>
      <c r="S18"/>
      <c r="T18"/>
      <c r="U18"/>
      <c r="V18"/>
    </row>
    <row r="19" spans="1:22" ht="15" x14ac:dyDescent="0.2">
      <c r="A19" s="170" t="s">
        <v>882</v>
      </c>
      <c r="B19" s="171"/>
      <c r="C19" s="171"/>
      <c r="D19" s="171"/>
      <c r="E19" s="171"/>
      <c r="F19" s="171"/>
      <c r="G19" s="171">
        <v>96154</v>
      </c>
      <c r="H19" s="171"/>
      <c r="I19" s="171"/>
      <c r="J19" s="171"/>
      <c r="K19" s="171">
        <v>84658</v>
      </c>
      <c r="L19" s="171"/>
      <c r="M19" s="171"/>
      <c r="N19" s="171">
        <v>180812</v>
      </c>
      <c r="O19"/>
      <c r="P19"/>
      <c r="Q19"/>
      <c r="R19"/>
      <c r="S19"/>
      <c r="T19"/>
      <c r="U19"/>
      <c r="V19"/>
    </row>
    <row r="20" spans="1:22" ht="15" x14ac:dyDescent="0.2">
      <c r="A20" s="170" t="s">
        <v>17</v>
      </c>
      <c r="B20" s="171"/>
      <c r="C20" s="171">
        <v>15176</v>
      </c>
      <c r="D20" s="171"/>
      <c r="E20" s="171"/>
      <c r="F20" s="171"/>
      <c r="G20" s="171"/>
      <c r="H20" s="171">
        <v>35043.75</v>
      </c>
      <c r="I20" s="171"/>
      <c r="J20" s="171"/>
      <c r="K20" s="171"/>
      <c r="L20" s="171"/>
      <c r="M20" s="171"/>
      <c r="N20" s="171">
        <v>50219.75</v>
      </c>
      <c r="O20"/>
      <c r="P20"/>
      <c r="Q20"/>
      <c r="R20"/>
      <c r="S20"/>
      <c r="T20"/>
      <c r="U20"/>
      <c r="V20"/>
    </row>
    <row r="21" spans="1:22" ht="15" x14ac:dyDescent="0.2">
      <c r="A21" s="170" t="s">
        <v>883</v>
      </c>
      <c r="B21" s="171"/>
      <c r="C21" s="171"/>
      <c r="D21" s="171">
        <v>18991</v>
      </c>
      <c r="E21" s="171"/>
      <c r="F21" s="171"/>
      <c r="G21" s="171"/>
      <c r="H21" s="171"/>
      <c r="I21" s="171"/>
      <c r="J21" s="171"/>
      <c r="K21" s="171"/>
      <c r="L21" s="171"/>
      <c r="M21" s="171"/>
      <c r="N21" s="171">
        <v>18991</v>
      </c>
      <c r="O21"/>
      <c r="P21"/>
      <c r="Q21"/>
      <c r="R21"/>
      <c r="S21"/>
      <c r="T21"/>
      <c r="U21"/>
      <c r="V21"/>
    </row>
    <row r="22" spans="1:22" ht="15" x14ac:dyDescent="0.2">
      <c r="A22" s="170" t="s">
        <v>903</v>
      </c>
      <c r="B22" s="171"/>
      <c r="C22" s="171"/>
      <c r="D22" s="171"/>
      <c r="E22" s="171"/>
      <c r="F22" s="171"/>
      <c r="G22" s="171"/>
      <c r="H22" s="171"/>
      <c r="I22" s="171"/>
      <c r="J22" s="171"/>
      <c r="K22" s="171">
        <v>38221.35</v>
      </c>
      <c r="L22" s="171"/>
      <c r="M22" s="171"/>
      <c r="N22" s="171">
        <v>38221.35</v>
      </c>
      <c r="O22"/>
      <c r="P22"/>
      <c r="Q22"/>
      <c r="R22"/>
      <c r="S22"/>
      <c r="T22"/>
      <c r="U22"/>
      <c r="V22"/>
    </row>
    <row r="23" spans="1:22" ht="15" x14ac:dyDescent="0.2">
      <c r="A23" s="170" t="s">
        <v>904</v>
      </c>
      <c r="B23" s="171"/>
      <c r="C23" s="171"/>
      <c r="D23" s="171"/>
      <c r="E23" s="171"/>
      <c r="F23" s="171"/>
      <c r="G23" s="171"/>
      <c r="H23" s="171"/>
      <c r="I23" s="171"/>
      <c r="J23" s="171"/>
      <c r="K23" s="171">
        <v>26093.649999999998</v>
      </c>
      <c r="L23" s="171"/>
      <c r="M23" s="171"/>
      <c r="N23" s="171">
        <v>26093.649999999998</v>
      </c>
      <c r="O23"/>
      <c r="P23"/>
      <c r="Q23"/>
      <c r="R23"/>
      <c r="S23"/>
      <c r="T23"/>
      <c r="U23"/>
      <c r="V23"/>
    </row>
    <row r="24" spans="1:22" ht="15" x14ac:dyDescent="0.2">
      <c r="A24" s="170" t="s">
        <v>893</v>
      </c>
      <c r="B24" s="171"/>
      <c r="C24" s="171"/>
      <c r="D24" s="171"/>
      <c r="E24" s="171"/>
      <c r="F24" s="171"/>
      <c r="G24" s="171"/>
      <c r="H24" s="171">
        <v>62800</v>
      </c>
      <c r="I24" s="171">
        <v>104003</v>
      </c>
      <c r="J24" s="171"/>
      <c r="K24" s="171">
        <v>88161</v>
      </c>
      <c r="L24" s="171"/>
      <c r="M24" s="171"/>
      <c r="N24" s="171">
        <v>254964</v>
      </c>
      <c r="O24"/>
      <c r="P24"/>
      <c r="Q24"/>
      <c r="R24"/>
      <c r="S24"/>
      <c r="T24"/>
      <c r="U24"/>
      <c r="V24"/>
    </row>
    <row r="25" spans="1:22" ht="15" x14ac:dyDescent="0.2">
      <c r="A25" s="170" t="s">
        <v>884</v>
      </c>
      <c r="B25" s="171"/>
      <c r="C25" s="171"/>
      <c r="D25" s="171"/>
      <c r="E25" s="171"/>
      <c r="F25" s="171">
        <v>23642</v>
      </c>
      <c r="G25" s="171"/>
      <c r="H25" s="171"/>
      <c r="I25" s="171"/>
      <c r="J25" s="171"/>
      <c r="K25" s="171"/>
      <c r="L25" s="171"/>
      <c r="M25" s="171"/>
      <c r="N25" s="171">
        <v>23642</v>
      </c>
      <c r="O25"/>
      <c r="P25"/>
      <c r="Q25"/>
      <c r="R25"/>
      <c r="S25"/>
      <c r="T25"/>
      <c r="U25"/>
      <c r="V25"/>
    </row>
    <row r="26" spans="1:22" ht="15" x14ac:dyDescent="0.2">
      <c r="A26" s="170" t="s">
        <v>885</v>
      </c>
      <c r="B26" s="171"/>
      <c r="C26" s="171"/>
      <c r="D26" s="171"/>
      <c r="E26" s="171"/>
      <c r="F26" s="171"/>
      <c r="G26" s="171">
        <v>97466.63</v>
      </c>
      <c r="H26" s="171"/>
      <c r="I26" s="171">
        <v>29431.125</v>
      </c>
      <c r="J26" s="171"/>
      <c r="K26" s="171">
        <v>10934.25</v>
      </c>
      <c r="L26" s="171"/>
      <c r="M26" s="171"/>
      <c r="N26" s="171">
        <v>137832.005</v>
      </c>
      <c r="O26"/>
      <c r="P26"/>
      <c r="Q26"/>
      <c r="R26"/>
      <c r="S26"/>
      <c r="T26"/>
      <c r="U26"/>
      <c r="V26"/>
    </row>
    <row r="27" spans="1:22" ht="15" x14ac:dyDescent="0.2">
      <c r="A27" s="170" t="s">
        <v>35</v>
      </c>
      <c r="B27" s="171">
        <v>39901.11</v>
      </c>
      <c r="C27" s="171"/>
      <c r="D27" s="171">
        <v>109884.3875</v>
      </c>
      <c r="E27" s="171"/>
      <c r="F27" s="171"/>
      <c r="G27" s="171">
        <v>40773.79</v>
      </c>
      <c r="H27" s="171"/>
      <c r="I27" s="171"/>
      <c r="J27" s="171"/>
      <c r="K27" s="171"/>
      <c r="L27" s="171"/>
      <c r="M27" s="171"/>
      <c r="N27" s="171">
        <v>190559.28750000001</v>
      </c>
      <c r="O27"/>
      <c r="P27"/>
      <c r="Q27"/>
      <c r="R27"/>
      <c r="S27"/>
      <c r="T27"/>
      <c r="U27"/>
      <c r="V27"/>
    </row>
    <row r="28" spans="1:22" ht="15" x14ac:dyDescent="0.2">
      <c r="A28" s="170" t="s">
        <v>402</v>
      </c>
      <c r="B28" s="171"/>
      <c r="C28" s="171"/>
      <c r="D28" s="171"/>
      <c r="E28" s="171"/>
      <c r="F28" s="171"/>
      <c r="G28" s="171"/>
      <c r="H28" s="171"/>
      <c r="I28" s="171"/>
      <c r="J28" s="171"/>
      <c r="K28" s="171"/>
      <c r="L28" s="171"/>
      <c r="M28" s="171">
        <v>15000</v>
      </c>
      <c r="N28" s="171">
        <v>15000</v>
      </c>
      <c r="O28"/>
      <c r="P28"/>
      <c r="Q28"/>
      <c r="R28"/>
      <c r="S28"/>
      <c r="T28"/>
      <c r="U28"/>
      <c r="V28"/>
    </row>
    <row r="29" spans="1:22" ht="15" x14ac:dyDescent="0.2">
      <c r="A29" s="170" t="s">
        <v>417</v>
      </c>
      <c r="B29" s="171"/>
      <c r="C29" s="171"/>
      <c r="D29" s="171"/>
      <c r="E29" s="171"/>
      <c r="F29" s="171"/>
      <c r="G29" s="171"/>
      <c r="H29" s="171"/>
      <c r="I29" s="171"/>
      <c r="J29" s="171"/>
      <c r="K29" s="171"/>
      <c r="L29" s="171"/>
      <c r="M29" s="171">
        <v>23659</v>
      </c>
      <c r="N29" s="171">
        <v>23659</v>
      </c>
      <c r="O29"/>
      <c r="P29"/>
      <c r="Q29"/>
      <c r="R29"/>
      <c r="S29"/>
      <c r="T29"/>
      <c r="U29"/>
      <c r="V29"/>
    </row>
    <row r="30" spans="1:22" ht="15" x14ac:dyDescent="0.2">
      <c r="A30" s="170" t="s">
        <v>894</v>
      </c>
      <c r="B30" s="171"/>
      <c r="C30" s="171"/>
      <c r="D30" s="171"/>
      <c r="E30" s="171"/>
      <c r="F30" s="171"/>
      <c r="G30" s="171"/>
      <c r="H30" s="171">
        <v>76649</v>
      </c>
      <c r="I30" s="171">
        <v>14894</v>
      </c>
      <c r="J30" s="171">
        <v>36435</v>
      </c>
      <c r="K30" s="171">
        <v>40124</v>
      </c>
      <c r="L30" s="171"/>
      <c r="M30" s="171">
        <v>27377</v>
      </c>
      <c r="N30" s="171">
        <v>195479</v>
      </c>
      <c r="O30"/>
      <c r="P30"/>
      <c r="Q30"/>
      <c r="R30"/>
      <c r="S30"/>
      <c r="T30"/>
      <c r="U30"/>
      <c r="V30"/>
    </row>
    <row r="31" spans="1:22" ht="15" x14ac:dyDescent="0.2">
      <c r="A31" s="170" t="s">
        <v>42</v>
      </c>
      <c r="B31" s="171"/>
      <c r="C31" s="171"/>
      <c r="D31" s="171"/>
      <c r="E31" s="171"/>
      <c r="F31" s="171"/>
      <c r="G31" s="171"/>
      <c r="H31" s="171"/>
      <c r="I31" s="171"/>
      <c r="J31" s="171"/>
      <c r="K31" s="171"/>
      <c r="L31" s="171"/>
      <c r="M31" s="171">
        <v>11644</v>
      </c>
      <c r="N31" s="171">
        <v>11644</v>
      </c>
      <c r="O31"/>
      <c r="P31"/>
      <c r="Q31"/>
      <c r="R31"/>
      <c r="S31"/>
      <c r="T31"/>
      <c r="U31"/>
      <c r="V31"/>
    </row>
    <row r="32" spans="1:22" ht="15" x14ac:dyDescent="0.2">
      <c r="A32" s="170" t="s">
        <v>905</v>
      </c>
      <c r="B32" s="171"/>
      <c r="C32" s="171"/>
      <c r="D32" s="171"/>
      <c r="E32" s="171"/>
      <c r="F32" s="171"/>
      <c r="G32" s="171"/>
      <c r="H32" s="171"/>
      <c r="I32" s="171"/>
      <c r="J32" s="171"/>
      <c r="K32" s="171">
        <v>43371</v>
      </c>
      <c r="L32" s="171"/>
      <c r="M32" s="171"/>
      <c r="N32" s="171">
        <v>43371</v>
      </c>
      <c r="O32"/>
      <c r="P32"/>
      <c r="Q32"/>
      <c r="R32"/>
      <c r="S32"/>
      <c r="T32"/>
      <c r="U32"/>
      <c r="V32"/>
    </row>
    <row r="33" spans="1:22" ht="15" x14ac:dyDescent="0.2">
      <c r="A33" s="170" t="s">
        <v>886</v>
      </c>
      <c r="B33" s="171"/>
      <c r="C33" s="171"/>
      <c r="D33" s="171"/>
      <c r="E33" s="171"/>
      <c r="F33" s="171"/>
      <c r="G33" s="171">
        <v>46805</v>
      </c>
      <c r="H33" s="171"/>
      <c r="I33" s="171">
        <v>29854</v>
      </c>
      <c r="J33" s="171">
        <v>46805</v>
      </c>
      <c r="K33" s="171"/>
      <c r="L33" s="171"/>
      <c r="M33" s="171">
        <v>29854</v>
      </c>
      <c r="N33" s="171">
        <v>153318</v>
      </c>
      <c r="O33"/>
      <c r="P33"/>
      <c r="Q33"/>
      <c r="R33"/>
      <c r="S33"/>
      <c r="T33"/>
      <c r="U33"/>
      <c r="V33"/>
    </row>
    <row r="34" spans="1:22" ht="15" x14ac:dyDescent="0.2">
      <c r="A34" s="170" t="s">
        <v>906</v>
      </c>
      <c r="B34" s="171"/>
      <c r="C34" s="171"/>
      <c r="D34" s="171"/>
      <c r="E34" s="171"/>
      <c r="F34" s="171"/>
      <c r="G34" s="171"/>
      <c r="H34" s="171">
        <v>66887</v>
      </c>
      <c r="I34" s="171">
        <v>57086</v>
      </c>
      <c r="J34" s="171"/>
      <c r="K34" s="171"/>
      <c r="L34" s="171"/>
      <c r="M34" s="171"/>
      <c r="N34" s="171">
        <v>123973</v>
      </c>
      <c r="O34"/>
      <c r="P34"/>
      <c r="Q34"/>
      <c r="R34"/>
      <c r="S34"/>
      <c r="T34"/>
      <c r="U34"/>
      <c r="V34"/>
    </row>
    <row r="35" spans="1:22" ht="15" x14ac:dyDescent="0.2">
      <c r="A35" s="170" t="s">
        <v>887</v>
      </c>
      <c r="B35" s="171">
        <v>101539.27</v>
      </c>
      <c r="C35" s="171"/>
      <c r="D35" s="171">
        <v>44245.945</v>
      </c>
      <c r="E35" s="171">
        <v>81730.422500000001</v>
      </c>
      <c r="F35" s="171"/>
      <c r="G35" s="171">
        <v>55498.28</v>
      </c>
      <c r="H35" s="171">
        <v>44745</v>
      </c>
      <c r="I35" s="171">
        <v>10549</v>
      </c>
      <c r="J35" s="171"/>
      <c r="K35" s="171"/>
      <c r="L35" s="171"/>
      <c r="M35" s="171"/>
      <c r="N35" s="171">
        <v>338307.91749999998</v>
      </c>
      <c r="O35"/>
      <c r="P35"/>
      <c r="Q35"/>
      <c r="R35"/>
      <c r="S35"/>
      <c r="T35"/>
      <c r="U35"/>
      <c r="V35"/>
    </row>
    <row r="36" spans="1:22" ht="15" x14ac:dyDescent="0.2">
      <c r="A36" s="170" t="s">
        <v>47</v>
      </c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>
        <v>91731.278397791742</v>
      </c>
      <c r="N36" s="171">
        <v>91731.278397791742</v>
      </c>
      <c r="O36"/>
      <c r="P36"/>
      <c r="Q36"/>
      <c r="R36"/>
      <c r="S36"/>
      <c r="T36"/>
      <c r="U36"/>
      <c r="V36"/>
    </row>
    <row r="37" spans="1:22" ht="15" x14ac:dyDescent="0.2">
      <c r="A37" s="170" t="s">
        <v>907</v>
      </c>
      <c r="B37" s="171"/>
      <c r="C37" s="171"/>
      <c r="D37" s="171"/>
      <c r="E37" s="171"/>
      <c r="F37" s="171"/>
      <c r="G37" s="171"/>
      <c r="H37" s="171"/>
      <c r="I37" s="171"/>
      <c r="J37" s="171">
        <v>71362</v>
      </c>
      <c r="K37" s="171">
        <v>1745</v>
      </c>
      <c r="L37" s="171"/>
      <c r="M37" s="171"/>
      <c r="N37" s="171">
        <v>73107</v>
      </c>
      <c r="O37"/>
      <c r="P37"/>
      <c r="Q37"/>
      <c r="R37"/>
      <c r="S37"/>
      <c r="T37"/>
      <c r="U37"/>
      <c r="V37"/>
    </row>
    <row r="38" spans="1:22" ht="15" x14ac:dyDescent="0.2">
      <c r="A38" s="170" t="s">
        <v>888</v>
      </c>
      <c r="B38" s="171">
        <v>48365.26</v>
      </c>
      <c r="C38" s="171">
        <v>43637</v>
      </c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>
        <v>92002.260000000009</v>
      </c>
      <c r="O38"/>
      <c r="P38"/>
      <c r="Q38"/>
      <c r="R38"/>
      <c r="S38"/>
      <c r="T38"/>
      <c r="U38"/>
      <c r="V38"/>
    </row>
    <row r="39" spans="1:22" ht="15" x14ac:dyDescent="0.2">
      <c r="A39" s="170" t="s">
        <v>889</v>
      </c>
      <c r="B39" s="171">
        <v>49915.51</v>
      </c>
      <c r="C39" s="171">
        <v>56217.41</v>
      </c>
      <c r="D39" s="171"/>
      <c r="E39" s="171">
        <v>40587.46</v>
      </c>
      <c r="F39" s="171"/>
      <c r="G39" s="171"/>
      <c r="H39" s="171">
        <v>28468.799999999981</v>
      </c>
      <c r="I39" s="171"/>
      <c r="J39" s="171"/>
      <c r="K39" s="171"/>
      <c r="L39" s="171"/>
      <c r="M39" s="171"/>
      <c r="N39" s="171">
        <v>175189.18</v>
      </c>
      <c r="O39"/>
      <c r="P39"/>
      <c r="Q39"/>
      <c r="R39"/>
      <c r="S39"/>
      <c r="T39"/>
      <c r="U39"/>
      <c r="V39"/>
    </row>
    <row r="40" spans="1:22" ht="15" x14ac:dyDescent="0.2">
      <c r="A40" s="170" t="s">
        <v>44</v>
      </c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>
        <v>42740.5</v>
      </c>
      <c r="M40" s="171"/>
      <c r="N40" s="171">
        <v>42740.5</v>
      </c>
      <c r="O40"/>
      <c r="P40"/>
      <c r="Q40"/>
      <c r="R40"/>
      <c r="S40"/>
      <c r="T40"/>
      <c r="U40"/>
      <c r="V40"/>
    </row>
    <row r="41" spans="1:22" ht="15" x14ac:dyDescent="0.2">
      <c r="A41" s="170" t="s">
        <v>31</v>
      </c>
      <c r="B41" s="171"/>
      <c r="C41" s="171"/>
      <c r="D41" s="171"/>
      <c r="E41" s="171">
        <v>187714.63487499999</v>
      </c>
      <c r="F41" s="171">
        <v>81163.60149999999</v>
      </c>
      <c r="G41" s="171">
        <v>52793.552000000003</v>
      </c>
      <c r="H41" s="171">
        <v>70961.2</v>
      </c>
      <c r="I41" s="171"/>
      <c r="J41" s="171">
        <v>43415.95</v>
      </c>
      <c r="K41" s="171">
        <v>62784.55</v>
      </c>
      <c r="L41" s="171">
        <v>20169.45</v>
      </c>
      <c r="M41" s="171"/>
      <c r="N41" s="171">
        <v>519002.93837500003</v>
      </c>
      <c r="O41"/>
      <c r="P41"/>
      <c r="Q41"/>
      <c r="R41"/>
      <c r="S41"/>
      <c r="T41"/>
      <c r="U41"/>
      <c r="V41"/>
    </row>
    <row r="42" spans="1:22" ht="15" x14ac:dyDescent="0.2">
      <c r="A42" s="170" t="s">
        <v>32</v>
      </c>
      <c r="B42" s="171"/>
      <c r="C42" s="171"/>
      <c r="D42" s="171"/>
      <c r="E42" s="171"/>
      <c r="F42" s="171">
        <v>49792</v>
      </c>
      <c r="G42" s="171"/>
      <c r="H42" s="171"/>
      <c r="I42" s="171"/>
      <c r="J42" s="171"/>
      <c r="K42" s="171"/>
      <c r="L42" s="171"/>
      <c r="M42" s="171"/>
      <c r="N42" s="171">
        <v>49792</v>
      </c>
      <c r="O42"/>
      <c r="P42"/>
      <c r="Q42"/>
      <c r="R42"/>
      <c r="S42"/>
      <c r="T42"/>
      <c r="U42"/>
      <c r="V42"/>
    </row>
    <row r="43" spans="1:22" ht="15" x14ac:dyDescent="0.2">
      <c r="A43" s="170" t="s">
        <v>890</v>
      </c>
      <c r="B43" s="171"/>
      <c r="C43" s="171"/>
      <c r="D43" s="171"/>
      <c r="E43" s="171"/>
      <c r="F43" s="171">
        <v>170704</v>
      </c>
      <c r="G43" s="171"/>
      <c r="H43" s="171">
        <v>32056</v>
      </c>
      <c r="I43" s="171"/>
      <c r="J43" s="171"/>
      <c r="K43" s="171">
        <v>60784</v>
      </c>
      <c r="L43" s="171"/>
      <c r="M43" s="171"/>
      <c r="N43" s="171">
        <v>263544</v>
      </c>
      <c r="O43"/>
      <c r="P43"/>
      <c r="Q43"/>
      <c r="R43"/>
      <c r="S43"/>
      <c r="T43"/>
      <c r="U43"/>
      <c r="V43"/>
    </row>
    <row r="44" spans="1:22" ht="15" x14ac:dyDescent="0.2">
      <c r="A44" s="170" t="s">
        <v>908</v>
      </c>
      <c r="B44" s="171"/>
      <c r="C44" s="171"/>
      <c r="D44" s="171"/>
      <c r="E44" s="171"/>
      <c r="F44" s="171"/>
      <c r="G44" s="171"/>
      <c r="H44" s="171"/>
      <c r="I44" s="171"/>
      <c r="J44" s="171"/>
      <c r="K44" s="171">
        <v>30000</v>
      </c>
      <c r="L44" s="171"/>
      <c r="M44" s="171">
        <v>52129.2</v>
      </c>
      <c r="N44" s="171">
        <v>82129.2</v>
      </c>
      <c r="O44"/>
      <c r="P44"/>
      <c r="Q44"/>
      <c r="R44"/>
      <c r="S44"/>
      <c r="T44"/>
      <c r="U44"/>
      <c r="V44"/>
    </row>
    <row r="45" spans="1:22" ht="15" x14ac:dyDescent="0.2">
      <c r="A45" s="170" t="s">
        <v>897</v>
      </c>
      <c r="B45" s="171"/>
      <c r="C45" s="171"/>
      <c r="D45" s="171"/>
      <c r="E45" s="171"/>
      <c r="F45" s="171"/>
      <c r="G45" s="171"/>
      <c r="H45" s="171"/>
      <c r="I45" s="171"/>
      <c r="J45" s="171"/>
      <c r="K45" s="171"/>
      <c r="L45" s="171"/>
      <c r="M45" s="171">
        <v>36682</v>
      </c>
      <c r="N45" s="171">
        <v>36682</v>
      </c>
      <c r="O45"/>
      <c r="P45"/>
      <c r="Q45"/>
      <c r="R45"/>
      <c r="S45"/>
      <c r="T45"/>
      <c r="U45"/>
      <c r="V45"/>
    </row>
    <row r="46" spans="1:22" ht="15" x14ac:dyDescent="0.2">
      <c r="A46" s="170" t="s">
        <v>177</v>
      </c>
      <c r="B46" s="171">
        <v>318273.99</v>
      </c>
      <c r="C46" s="171">
        <v>368548.04943749995</v>
      </c>
      <c r="D46" s="171">
        <v>505871.78659062501</v>
      </c>
      <c r="E46" s="171">
        <v>558553.61037499993</v>
      </c>
      <c r="F46" s="171">
        <v>442764.84049999999</v>
      </c>
      <c r="G46" s="171">
        <v>717557.57985921483</v>
      </c>
      <c r="H46" s="171">
        <v>507587.32500000001</v>
      </c>
      <c r="I46" s="171">
        <v>307450.815</v>
      </c>
      <c r="J46" s="171">
        <v>250081.75</v>
      </c>
      <c r="K46" s="171">
        <v>570074.39999999991</v>
      </c>
      <c r="L46" s="171">
        <v>488743.43753200001</v>
      </c>
      <c r="M46" s="171">
        <v>443021.1283977917</v>
      </c>
      <c r="N46" s="171">
        <v>5478528.7126921313</v>
      </c>
      <c r="O46"/>
      <c r="P46"/>
      <c r="Q46"/>
      <c r="R46"/>
      <c r="S46"/>
      <c r="T46"/>
      <c r="U46"/>
      <c r="V46"/>
    </row>
    <row r="47" spans="1:22" ht="15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</row>
    <row r="48" spans="1:22" ht="15" x14ac:dyDescent="0.2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</row>
    <row r="49" spans="1:22" ht="15" x14ac:dyDescent="0.2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</row>
    <row r="50" spans="1:22" ht="15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</row>
    <row r="51" spans="1:22" ht="15" x14ac:dyDescent="0.2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</row>
    <row r="52" spans="1:22" ht="15" x14ac:dyDescent="0.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</row>
    <row r="53" spans="1:22" ht="15" x14ac:dyDescent="0.2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</row>
    <row r="54" spans="1:22" ht="15" x14ac:dyDescent="0.2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</row>
    <row r="55" spans="1:22" ht="15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</row>
    <row r="56" spans="1:22" ht="15" x14ac:dyDescent="0.2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</row>
    <row r="57" spans="1:22" ht="15" x14ac:dyDescent="0.2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</row>
    <row r="58" spans="1:22" ht="15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</row>
    <row r="59" spans="1:22" ht="15" x14ac:dyDescent="0.2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</row>
    <row r="60" spans="1:22" ht="15" x14ac:dyDescent="0.2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</row>
    <row r="61" spans="1:22" ht="15" x14ac:dyDescent="0.2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</row>
    <row r="62" spans="1:22" ht="15" x14ac:dyDescent="0.2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</row>
    <row r="63" spans="1:22" ht="15" x14ac:dyDescent="0.2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</row>
    <row r="64" spans="1:22" ht="15" x14ac:dyDescent="0.2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</row>
    <row r="65" spans="1:22" ht="15" x14ac:dyDescent="0.2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</row>
    <row r="66" spans="1:22" ht="15" x14ac:dyDescent="0.2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</row>
    <row r="67" spans="1:22" ht="15" x14ac:dyDescent="0.2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</row>
    <row r="68" spans="1:22" ht="15" x14ac:dyDescent="0.2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</row>
    <row r="69" spans="1:22" ht="15" x14ac:dyDescent="0.2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</row>
    <row r="70" spans="1:22" ht="15" x14ac:dyDescent="0.2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</row>
    <row r="71" spans="1:22" ht="15" x14ac:dyDescent="0.2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</row>
    <row r="72" spans="1:22" ht="15" x14ac:dyDescent="0.2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</row>
    <row r="73" spans="1:22" ht="15" x14ac:dyDescent="0.2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</row>
    <row r="74" spans="1:22" ht="15" x14ac:dyDescent="0.2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</row>
    <row r="75" spans="1:22" ht="15" x14ac:dyDescent="0.2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</row>
    <row r="76" spans="1:22" ht="15" x14ac:dyDescent="0.2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</row>
    <row r="77" spans="1:22" ht="15" x14ac:dyDescent="0.2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</row>
    <row r="78" spans="1:22" ht="15" x14ac:dyDescent="0.2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</row>
    <row r="79" spans="1:22" ht="15" x14ac:dyDescent="0.2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</row>
    <row r="80" spans="1:22" ht="15" x14ac:dyDescent="0.2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</row>
    <row r="81" spans="1:22" ht="15" x14ac:dyDescent="0.2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</row>
    <row r="82" spans="1:22" ht="15" x14ac:dyDescent="0.2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</row>
    <row r="83" spans="1:22" ht="15" x14ac:dyDescent="0.2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</row>
    <row r="84" spans="1:22" ht="15" x14ac:dyDescent="0.2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</row>
    <row r="85" spans="1:22" ht="15" x14ac:dyDescent="0.2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</row>
    <row r="86" spans="1:22" ht="15" x14ac:dyDescent="0.2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</row>
    <row r="87" spans="1:22" ht="15" x14ac:dyDescent="0.2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</row>
    <row r="88" spans="1:22" ht="15" x14ac:dyDescent="0.2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</row>
    <row r="89" spans="1:22" ht="15" x14ac:dyDescent="0.2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</row>
    <row r="90" spans="1:22" ht="15" x14ac:dyDescent="0.2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</row>
    <row r="91" spans="1:22" ht="15" x14ac:dyDescent="0.2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</row>
    <row r="92" spans="1:22" ht="15" x14ac:dyDescent="0.2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</row>
    <row r="93" spans="1:22" ht="15" x14ac:dyDescent="0.2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</row>
    <row r="94" spans="1:22" ht="15" x14ac:dyDescent="0.2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</row>
    <row r="95" spans="1:22" ht="15" x14ac:dyDescent="0.2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</row>
    <row r="96" spans="1:22" ht="15" x14ac:dyDescent="0.2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</row>
    <row r="97" spans="1:22" ht="15" x14ac:dyDescent="0.2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</row>
    <row r="98" spans="1:22" ht="15" x14ac:dyDescent="0.2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</row>
    <row r="99" spans="1:22" ht="15" x14ac:dyDescent="0.2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</row>
    <row r="100" spans="1:22" ht="15" x14ac:dyDescent="0.2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</row>
    <row r="101" spans="1:22" ht="15" x14ac:dyDescent="0.2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</row>
    <row r="102" spans="1:22" ht="15" x14ac:dyDescent="0.2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</row>
    <row r="103" spans="1:22" ht="15" x14ac:dyDescent="0.2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</row>
    <row r="104" spans="1:22" ht="15" x14ac:dyDescent="0.2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</row>
    <row r="105" spans="1:22" ht="15" x14ac:dyDescent="0.2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</row>
    <row r="106" spans="1:22" ht="15" x14ac:dyDescent="0.2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</row>
    <row r="107" spans="1:22" ht="15" x14ac:dyDescent="0.2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</row>
    <row r="108" spans="1:22" ht="15" x14ac:dyDescent="0.2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</row>
    <row r="109" spans="1:22" ht="15" x14ac:dyDescent="0.2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</row>
    <row r="110" spans="1:22" ht="15" x14ac:dyDescent="0.2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</row>
    <row r="111" spans="1:22" ht="15" x14ac:dyDescent="0.2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</row>
    <row r="112" spans="1:22" ht="15" x14ac:dyDescent="0.2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</row>
    <row r="113" spans="1:22" ht="15" x14ac:dyDescent="0.2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</row>
    <row r="114" spans="1:22" ht="15" x14ac:dyDescent="0.2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</row>
    <row r="115" spans="1:22" ht="15" x14ac:dyDescent="0.2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</row>
    <row r="116" spans="1:22" ht="15" x14ac:dyDescent="0.2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</row>
    <row r="117" spans="1:22" ht="15" x14ac:dyDescent="0.2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</row>
    <row r="118" spans="1:22" ht="15" x14ac:dyDescent="0.2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</row>
    <row r="119" spans="1:22" ht="15" x14ac:dyDescent="0.2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</row>
    <row r="120" spans="1:22" ht="15" x14ac:dyDescent="0.2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</row>
    <row r="121" spans="1:22" ht="15" x14ac:dyDescent="0.2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</row>
    <row r="122" spans="1:22" ht="15" x14ac:dyDescent="0.2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</row>
    <row r="123" spans="1:22" ht="15" x14ac:dyDescent="0.2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</row>
    <row r="124" spans="1:22" ht="15" x14ac:dyDescent="0.2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</row>
    <row r="125" spans="1:22" ht="15" x14ac:dyDescent="0.2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</row>
    <row r="126" spans="1:22" ht="15" x14ac:dyDescent="0.2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</row>
    <row r="127" spans="1:22" ht="15" x14ac:dyDescent="0.2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F197B-72FC-4813-8DA2-9E500AFF7E2C}">
  <sheetPr codeName="Hoja4"/>
  <dimension ref="A1:N79"/>
  <sheetViews>
    <sheetView showGridLines="0" zoomScale="80" zoomScaleNormal="80" workbookViewId="0">
      <selection activeCell="G35" sqref="G35"/>
    </sheetView>
  </sheetViews>
  <sheetFormatPr baseColWidth="10" defaultColWidth="11.5" defaultRowHeight="13" x14ac:dyDescent="0.15"/>
  <cols>
    <col min="1" max="1" width="44.5" style="62" bestFit="1" customWidth="1"/>
    <col min="2" max="6" width="15.5" style="62" customWidth="1"/>
    <col min="7" max="7" width="13.33203125" style="62" bestFit="1" customWidth="1"/>
    <col min="8" max="8" width="7.5" style="62" bestFit="1" customWidth="1"/>
    <col min="9" max="9" width="8.6640625" style="62" bestFit="1" customWidth="1"/>
    <col min="10" max="13" width="7.5" style="62" bestFit="1" customWidth="1"/>
    <col min="14" max="15" width="12.5" style="62" bestFit="1" customWidth="1"/>
    <col min="16" max="287" width="22.5" style="62" bestFit="1" customWidth="1"/>
    <col min="288" max="288" width="12.5" style="62" bestFit="1" customWidth="1"/>
    <col min="289" max="16384" width="11.5" style="62"/>
  </cols>
  <sheetData>
    <row r="1" spans="1:14" x14ac:dyDescent="0.15">
      <c r="A1" s="164" t="s">
        <v>224</v>
      </c>
      <c r="B1" s="165" t="s">
        <v>692</v>
      </c>
    </row>
    <row r="2" spans="1:14" x14ac:dyDescent="0.15">
      <c r="A2" s="164" t="s">
        <v>51</v>
      </c>
      <c r="B2" s="165" t="s">
        <v>663</v>
      </c>
    </row>
    <row r="3" spans="1:14" ht="15" x14ac:dyDescent="0.2">
      <c r="B3"/>
      <c r="C3"/>
      <c r="D3"/>
      <c r="E3"/>
      <c r="F3"/>
      <c r="G3"/>
      <c r="H3"/>
      <c r="I3"/>
      <c r="J3"/>
      <c r="K3"/>
      <c r="L3"/>
      <c r="M3"/>
      <c r="N3"/>
    </row>
    <row r="4" spans="1:14" ht="15" x14ac:dyDescent="0.2">
      <c r="A4" s="164" t="s">
        <v>225</v>
      </c>
      <c r="B4" s="164" t="s">
        <v>173</v>
      </c>
      <c r="C4" s="165"/>
      <c r="D4" s="165"/>
      <c r="E4" s="165"/>
      <c r="F4" s="165"/>
      <c r="G4" s="165"/>
      <c r="H4" s="165"/>
      <c r="I4"/>
      <c r="J4"/>
      <c r="K4"/>
      <c r="L4"/>
      <c r="M4"/>
      <c r="N4"/>
    </row>
    <row r="5" spans="1:14" ht="15" x14ac:dyDescent="0.2">
      <c r="A5" s="164" t="s">
        <v>174</v>
      </c>
      <c r="B5" s="165" t="s">
        <v>175</v>
      </c>
      <c r="C5" s="165" t="s">
        <v>176</v>
      </c>
      <c r="D5" s="165" t="s">
        <v>773</v>
      </c>
      <c r="E5" s="165" t="s">
        <v>785</v>
      </c>
      <c r="F5" s="165" t="s">
        <v>833</v>
      </c>
      <c r="G5" s="165" t="s">
        <v>866</v>
      </c>
      <c r="H5" s="165" t="s">
        <v>177</v>
      </c>
      <c r="I5"/>
      <c r="J5"/>
      <c r="K5"/>
      <c r="L5"/>
      <c r="M5"/>
      <c r="N5"/>
    </row>
    <row r="6" spans="1:14" ht="15" x14ac:dyDescent="0.2">
      <c r="A6" s="167" t="s">
        <v>223</v>
      </c>
      <c r="B6" s="166">
        <v>45265</v>
      </c>
      <c r="C6" s="166">
        <v>71488</v>
      </c>
      <c r="D6" s="166">
        <v>29753</v>
      </c>
      <c r="E6" s="166"/>
      <c r="F6" s="166"/>
      <c r="G6" s="166"/>
      <c r="H6" s="166">
        <v>146506</v>
      </c>
      <c r="I6"/>
      <c r="J6"/>
      <c r="K6"/>
      <c r="L6"/>
      <c r="M6"/>
      <c r="N6"/>
    </row>
    <row r="7" spans="1:14" ht="15" x14ac:dyDescent="0.2">
      <c r="A7" s="167" t="s">
        <v>231</v>
      </c>
      <c r="B7" s="166">
        <v>33892</v>
      </c>
      <c r="C7" s="166"/>
      <c r="D7" s="166"/>
      <c r="E7" s="166"/>
      <c r="F7" s="166"/>
      <c r="G7" s="166"/>
      <c r="H7" s="166">
        <v>33892</v>
      </c>
      <c r="I7"/>
      <c r="J7"/>
      <c r="K7"/>
      <c r="L7"/>
      <c r="M7"/>
      <c r="N7"/>
    </row>
    <row r="8" spans="1:14" ht="15" x14ac:dyDescent="0.2">
      <c r="A8" s="167" t="s">
        <v>562</v>
      </c>
      <c r="B8" s="166"/>
      <c r="C8" s="166">
        <v>103377</v>
      </c>
      <c r="D8" s="166"/>
      <c r="E8" s="166"/>
      <c r="F8" s="166"/>
      <c r="G8" s="166"/>
      <c r="H8" s="166">
        <v>103377</v>
      </c>
      <c r="I8"/>
      <c r="J8"/>
      <c r="K8"/>
      <c r="L8"/>
      <c r="M8"/>
      <c r="N8"/>
    </row>
    <row r="9" spans="1:14" ht="15" x14ac:dyDescent="0.2">
      <c r="A9" s="167" t="s">
        <v>587</v>
      </c>
      <c r="B9" s="166">
        <v>7778</v>
      </c>
      <c r="C9" s="166"/>
      <c r="D9" s="166"/>
      <c r="E9" s="166"/>
      <c r="F9" s="166"/>
      <c r="G9" s="166"/>
      <c r="H9" s="166">
        <v>7778</v>
      </c>
      <c r="I9"/>
      <c r="J9"/>
      <c r="K9"/>
      <c r="L9"/>
      <c r="M9"/>
      <c r="N9"/>
    </row>
    <row r="10" spans="1:14" ht="15" x14ac:dyDescent="0.2">
      <c r="A10" s="167" t="s">
        <v>590</v>
      </c>
      <c r="B10" s="166"/>
      <c r="C10" s="166">
        <v>48163</v>
      </c>
      <c r="D10" s="166"/>
      <c r="E10" s="166"/>
      <c r="F10" s="166"/>
      <c r="G10" s="166"/>
      <c r="H10" s="166">
        <v>48163</v>
      </c>
      <c r="I10"/>
      <c r="J10"/>
      <c r="K10"/>
      <c r="L10"/>
      <c r="M10"/>
      <c r="N10"/>
    </row>
    <row r="11" spans="1:14" ht="15" x14ac:dyDescent="0.2">
      <c r="A11" s="167" t="s">
        <v>604</v>
      </c>
      <c r="B11" s="166">
        <v>68314.751999999993</v>
      </c>
      <c r="C11" s="166"/>
      <c r="D11" s="166"/>
      <c r="E11" s="166"/>
      <c r="F11" s="166">
        <v>17056</v>
      </c>
      <c r="G11" s="166"/>
      <c r="H11" s="166">
        <v>85370.751999999993</v>
      </c>
      <c r="I11"/>
      <c r="J11"/>
      <c r="K11"/>
      <c r="L11"/>
      <c r="M11"/>
      <c r="N11"/>
    </row>
    <row r="12" spans="1:14" ht="15" x14ac:dyDescent="0.2">
      <c r="A12" s="167" t="s">
        <v>636</v>
      </c>
      <c r="B12" s="166">
        <v>33598</v>
      </c>
      <c r="C12" s="166"/>
      <c r="D12" s="166"/>
      <c r="E12" s="166"/>
      <c r="F12" s="166">
        <v>18487.98</v>
      </c>
      <c r="G12" s="166"/>
      <c r="H12" s="166">
        <v>52085.979999999996</v>
      </c>
      <c r="I12"/>
      <c r="J12"/>
      <c r="K12"/>
      <c r="L12"/>
      <c r="M12"/>
      <c r="N12"/>
    </row>
    <row r="13" spans="1:14" ht="15" x14ac:dyDescent="0.2">
      <c r="A13" s="167" t="s">
        <v>639</v>
      </c>
      <c r="B13" s="166"/>
      <c r="C13" s="166"/>
      <c r="D13" s="166">
        <v>16723</v>
      </c>
      <c r="E13" s="166"/>
      <c r="F13" s="166"/>
      <c r="G13" s="166"/>
      <c r="H13" s="166">
        <v>16723</v>
      </c>
      <c r="I13"/>
      <c r="J13"/>
      <c r="K13"/>
      <c r="L13"/>
      <c r="M13"/>
      <c r="N13"/>
    </row>
    <row r="14" spans="1:14" ht="15" x14ac:dyDescent="0.2">
      <c r="A14" s="167" t="s">
        <v>647</v>
      </c>
      <c r="B14" s="166"/>
      <c r="C14" s="166">
        <v>13260</v>
      </c>
      <c r="D14" s="166"/>
      <c r="E14" s="166"/>
      <c r="F14" s="166"/>
      <c r="G14" s="166"/>
      <c r="H14" s="166">
        <v>13260</v>
      </c>
      <c r="I14"/>
      <c r="J14"/>
      <c r="K14"/>
      <c r="L14"/>
      <c r="M14"/>
      <c r="N14"/>
    </row>
    <row r="15" spans="1:14" ht="15" x14ac:dyDescent="0.2">
      <c r="A15" s="167" t="s">
        <v>652</v>
      </c>
      <c r="B15" s="166">
        <v>54264</v>
      </c>
      <c r="C15" s="166">
        <v>25487</v>
      </c>
      <c r="D15" s="166"/>
      <c r="E15" s="166"/>
      <c r="F15" s="166"/>
      <c r="G15" s="166"/>
      <c r="H15" s="166">
        <v>79751</v>
      </c>
      <c r="I15"/>
      <c r="J15"/>
      <c r="K15"/>
      <c r="L15"/>
      <c r="M15"/>
      <c r="N15"/>
    </row>
    <row r="16" spans="1:14" ht="15" x14ac:dyDescent="0.2">
      <c r="A16" s="167" t="s">
        <v>673</v>
      </c>
      <c r="B16" s="166">
        <v>38737</v>
      </c>
      <c r="C16" s="166">
        <v>6418</v>
      </c>
      <c r="D16" s="166"/>
      <c r="E16" s="166">
        <v>18720</v>
      </c>
      <c r="F16" s="166"/>
      <c r="G16" s="166"/>
      <c r="H16" s="166">
        <v>63875</v>
      </c>
      <c r="I16"/>
      <c r="J16"/>
      <c r="K16"/>
      <c r="L16"/>
      <c r="M16"/>
      <c r="N16"/>
    </row>
    <row r="17" spans="1:14" ht="15" x14ac:dyDescent="0.2">
      <c r="A17" s="167" t="s">
        <v>674</v>
      </c>
      <c r="B17" s="166">
        <v>25531</v>
      </c>
      <c r="C17" s="166">
        <v>46313</v>
      </c>
      <c r="D17" s="166"/>
      <c r="E17" s="166"/>
      <c r="F17" s="166">
        <v>32927</v>
      </c>
      <c r="G17" s="166"/>
      <c r="H17" s="166">
        <v>104771</v>
      </c>
      <c r="I17"/>
      <c r="J17"/>
      <c r="K17"/>
      <c r="L17"/>
      <c r="M17"/>
      <c r="N17"/>
    </row>
    <row r="18" spans="1:14" ht="15" x14ac:dyDescent="0.2">
      <c r="A18" s="167" t="s">
        <v>675</v>
      </c>
      <c r="B18" s="166">
        <v>15376.967370441458</v>
      </c>
      <c r="C18" s="166">
        <v>68348</v>
      </c>
      <c r="D18" s="166">
        <v>61931.199999999997</v>
      </c>
      <c r="E18" s="166"/>
      <c r="F18" s="166">
        <v>12558</v>
      </c>
      <c r="G18" s="166"/>
      <c r="H18" s="166">
        <v>158214.16737044146</v>
      </c>
      <c r="I18"/>
      <c r="J18"/>
      <c r="K18"/>
      <c r="L18"/>
      <c r="M18"/>
      <c r="N18"/>
    </row>
    <row r="19" spans="1:14" ht="15" x14ac:dyDescent="0.2">
      <c r="A19" s="167" t="s">
        <v>688</v>
      </c>
      <c r="B19" s="166">
        <v>129692</v>
      </c>
      <c r="C19" s="166"/>
      <c r="D19" s="166">
        <v>23913</v>
      </c>
      <c r="E19" s="166"/>
      <c r="F19" s="166"/>
      <c r="G19" s="166"/>
      <c r="H19" s="166">
        <v>153605</v>
      </c>
      <c r="I19"/>
      <c r="J19"/>
      <c r="K19"/>
      <c r="L19"/>
      <c r="M19"/>
      <c r="N19"/>
    </row>
    <row r="20" spans="1:14" ht="15" x14ac:dyDescent="0.2">
      <c r="A20" s="167" t="s">
        <v>703</v>
      </c>
      <c r="B20" s="166"/>
      <c r="C20" s="166">
        <v>9596</v>
      </c>
      <c r="D20" s="166">
        <v>26815</v>
      </c>
      <c r="E20" s="166">
        <v>35429</v>
      </c>
      <c r="F20" s="166">
        <v>41725</v>
      </c>
      <c r="G20" s="166"/>
      <c r="H20" s="166">
        <v>113565</v>
      </c>
      <c r="I20"/>
      <c r="J20"/>
      <c r="K20"/>
      <c r="L20"/>
      <c r="M20"/>
      <c r="N20"/>
    </row>
    <row r="21" spans="1:14" ht="15" x14ac:dyDescent="0.2">
      <c r="A21" s="167" t="s">
        <v>705</v>
      </c>
      <c r="B21" s="166"/>
      <c r="C21" s="166"/>
      <c r="D21" s="166"/>
      <c r="E21" s="166">
        <v>60615</v>
      </c>
      <c r="F21" s="166"/>
      <c r="G21" s="166"/>
      <c r="H21" s="166">
        <v>60615</v>
      </c>
      <c r="I21"/>
      <c r="J21"/>
      <c r="K21"/>
      <c r="L21"/>
      <c r="M21"/>
      <c r="N21"/>
    </row>
    <row r="22" spans="1:14" ht="15" x14ac:dyDescent="0.2">
      <c r="A22" s="167" t="s">
        <v>709</v>
      </c>
      <c r="B22" s="166"/>
      <c r="C22" s="166"/>
      <c r="D22" s="166">
        <v>61505</v>
      </c>
      <c r="E22" s="166"/>
      <c r="F22" s="166"/>
      <c r="G22" s="166"/>
      <c r="H22" s="166">
        <v>61505</v>
      </c>
      <c r="I22"/>
      <c r="J22"/>
      <c r="K22"/>
      <c r="L22"/>
      <c r="M22"/>
      <c r="N22"/>
    </row>
    <row r="23" spans="1:14" ht="15" x14ac:dyDescent="0.2">
      <c r="A23" s="167" t="s">
        <v>728</v>
      </c>
      <c r="B23" s="166"/>
      <c r="C23" s="166"/>
      <c r="D23" s="166">
        <v>138023</v>
      </c>
      <c r="E23" s="166">
        <v>15725</v>
      </c>
      <c r="F23" s="166"/>
      <c r="G23" s="166"/>
      <c r="H23" s="166">
        <v>153748</v>
      </c>
      <c r="I23"/>
      <c r="J23"/>
      <c r="K23"/>
      <c r="L23"/>
      <c r="M23"/>
      <c r="N23"/>
    </row>
    <row r="24" spans="1:14" ht="15" x14ac:dyDescent="0.2">
      <c r="A24" s="167" t="s">
        <v>729</v>
      </c>
      <c r="B24" s="166"/>
      <c r="C24" s="166"/>
      <c r="D24" s="166">
        <v>113391</v>
      </c>
      <c r="E24" s="166">
        <v>65295</v>
      </c>
      <c r="F24" s="166"/>
      <c r="G24" s="166"/>
      <c r="H24" s="166">
        <v>178686</v>
      </c>
      <c r="I24"/>
      <c r="J24"/>
      <c r="K24"/>
      <c r="L24"/>
      <c r="M24"/>
      <c r="N24"/>
    </row>
    <row r="25" spans="1:14" ht="15" x14ac:dyDescent="0.2">
      <c r="A25" s="167" t="s">
        <v>726</v>
      </c>
      <c r="B25" s="166"/>
      <c r="C25" s="166"/>
      <c r="D25" s="166">
        <v>400000</v>
      </c>
      <c r="E25" s="166"/>
      <c r="F25" s="166"/>
      <c r="G25" s="166"/>
      <c r="H25" s="166">
        <v>400000</v>
      </c>
      <c r="I25"/>
      <c r="J25"/>
      <c r="K25"/>
      <c r="L25"/>
      <c r="M25"/>
      <c r="N25"/>
    </row>
    <row r="26" spans="1:14" ht="15" x14ac:dyDescent="0.2">
      <c r="A26" s="167" t="s">
        <v>719</v>
      </c>
      <c r="B26" s="166"/>
      <c r="C26" s="166"/>
      <c r="D26" s="166">
        <v>15000</v>
      </c>
      <c r="E26" s="166"/>
      <c r="F26" s="166"/>
      <c r="G26" s="166"/>
      <c r="H26" s="166">
        <v>15000</v>
      </c>
      <c r="I26"/>
      <c r="J26"/>
      <c r="K26"/>
      <c r="L26"/>
      <c r="M26"/>
      <c r="N26"/>
    </row>
    <row r="27" spans="1:14" ht="15" x14ac:dyDescent="0.2">
      <c r="A27" s="167" t="s">
        <v>721</v>
      </c>
      <c r="B27" s="166"/>
      <c r="C27" s="166"/>
      <c r="D27" s="166"/>
      <c r="E27" s="166">
        <v>25294</v>
      </c>
      <c r="F27" s="166">
        <v>13416</v>
      </c>
      <c r="G27" s="166"/>
      <c r="H27" s="166">
        <v>38710</v>
      </c>
      <c r="I27"/>
      <c r="J27"/>
      <c r="K27"/>
      <c r="L27"/>
      <c r="M27"/>
      <c r="N27"/>
    </row>
    <row r="28" spans="1:14" ht="15" x14ac:dyDescent="0.2">
      <c r="A28" s="167" t="s">
        <v>720</v>
      </c>
      <c r="B28" s="166"/>
      <c r="C28" s="166"/>
      <c r="D28" s="166"/>
      <c r="E28" s="166">
        <v>103193</v>
      </c>
      <c r="F28" s="166"/>
      <c r="G28" s="166"/>
      <c r="H28" s="166">
        <v>103193</v>
      </c>
      <c r="I28"/>
      <c r="J28"/>
      <c r="K28"/>
      <c r="L28"/>
      <c r="M28"/>
      <c r="N28"/>
    </row>
    <row r="29" spans="1:14" ht="15" x14ac:dyDescent="0.2">
      <c r="A29" s="167" t="s">
        <v>723</v>
      </c>
      <c r="B29" s="166"/>
      <c r="C29" s="166"/>
      <c r="D29" s="166">
        <v>30588</v>
      </c>
      <c r="E29" s="166">
        <v>41900</v>
      </c>
      <c r="F29" s="166"/>
      <c r="G29" s="166"/>
      <c r="H29" s="166">
        <v>72488</v>
      </c>
      <c r="I29"/>
      <c r="J29"/>
      <c r="K29"/>
      <c r="L29"/>
      <c r="M29"/>
      <c r="N29"/>
    </row>
    <row r="30" spans="1:14" ht="15" x14ac:dyDescent="0.2">
      <c r="A30" s="167" t="s">
        <v>722</v>
      </c>
      <c r="B30" s="166"/>
      <c r="C30" s="166"/>
      <c r="D30" s="166">
        <v>66044</v>
      </c>
      <c r="E30" s="166">
        <v>60047</v>
      </c>
      <c r="F30" s="166">
        <v>57399</v>
      </c>
      <c r="G30" s="166"/>
      <c r="H30" s="166">
        <v>183490</v>
      </c>
      <c r="I30"/>
      <c r="J30"/>
      <c r="K30"/>
      <c r="L30"/>
      <c r="M30"/>
      <c r="N30"/>
    </row>
    <row r="31" spans="1:14" ht="15" x14ac:dyDescent="0.2">
      <c r="A31" s="167" t="s">
        <v>725</v>
      </c>
      <c r="B31" s="166"/>
      <c r="C31" s="166"/>
      <c r="D31" s="166"/>
      <c r="E31" s="166">
        <v>53898</v>
      </c>
      <c r="F31" s="166">
        <v>16667</v>
      </c>
      <c r="G31" s="166"/>
      <c r="H31" s="166">
        <v>70565</v>
      </c>
      <c r="I31"/>
      <c r="J31"/>
      <c r="K31"/>
      <c r="L31"/>
      <c r="M31"/>
      <c r="N31"/>
    </row>
    <row r="32" spans="1:14" ht="15" x14ac:dyDescent="0.2">
      <c r="A32" s="167" t="s">
        <v>724</v>
      </c>
      <c r="B32" s="166"/>
      <c r="C32" s="166"/>
      <c r="D32" s="166"/>
      <c r="E32" s="166"/>
      <c r="F32" s="166">
        <v>239843.5</v>
      </c>
      <c r="G32" s="166"/>
      <c r="H32" s="166">
        <v>239843.5</v>
      </c>
      <c r="I32"/>
      <c r="J32"/>
      <c r="K32"/>
      <c r="L32"/>
      <c r="M32"/>
      <c r="N32"/>
    </row>
    <row r="33" spans="1:14" ht="15" x14ac:dyDescent="0.2">
      <c r="A33" s="167" t="s">
        <v>760</v>
      </c>
      <c r="B33" s="166"/>
      <c r="C33" s="166"/>
      <c r="D33" s="166">
        <v>24635</v>
      </c>
      <c r="E33" s="166"/>
      <c r="F33" s="166"/>
      <c r="G33" s="166"/>
      <c r="H33" s="166">
        <v>24635</v>
      </c>
      <c r="I33"/>
      <c r="J33"/>
      <c r="K33"/>
      <c r="L33"/>
      <c r="M33"/>
      <c r="N33"/>
    </row>
    <row r="34" spans="1:14" ht="15" x14ac:dyDescent="0.2">
      <c r="A34" s="167" t="s">
        <v>767</v>
      </c>
      <c r="B34" s="166"/>
      <c r="C34" s="166"/>
      <c r="D34" s="166">
        <v>14895</v>
      </c>
      <c r="E34" s="166">
        <v>24000</v>
      </c>
      <c r="F34" s="166">
        <v>21477</v>
      </c>
      <c r="G34" s="166"/>
      <c r="H34" s="166">
        <v>60372</v>
      </c>
      <c r="I34"/>
      <c r="J34"/>
      <c r="K34"/>
      <c r="L34"/>
      <c r="M34"/>
      <c r="N34"/>
    </row>
    <row r="35" spans="1:14" ht="15" x14ac:dyDescent="0.2">
      <c r="A35" s="167" t="s">
        <v>768</v>
      </c>
      <c r="B35" s="166"/>
      <c r="C35" s="166"/>
      <c r="D35" s="166"/>
      <c r="E35" s="166"/>
      <c r="F35" s="166"/>
      <c r="G35" s="166">
        <v>76190</v>
      </c>
      <c r="H35" s="166">
        <v>76190</v>
      </c>
      <c r="I35"/>
      <c r="J35"/>
      <c r="K35"/>
      <c r="L35"/>
      <c r="M35"/>
      <c r="N35"/>
    </row>
    <row r="36" spans="1:14" ht="15" x14ac:dyDescent="0.2">
      <c r="A36" s="167" t="s">
        <v>770</v>
      </c>
      <c r="B36" s="166"/>
      <c r="C36" s="166"/>
      <c r="D36" s="166"/>
      <c r="E36" s="166">
        <v>27609</v>
      </c>
      <c r="F36" s="166">
        <v>5180</v>
      </c>
      <c r="G36" s="166"/>
      <c r="H36" s="166">
        <v>32789</v>
      </c>
      <c r="I36"/>
      <c r="J36"/>
      <c r="K36"/>
      <c r="L36"/>
      <c r="M36"/>
      <c r="N36"/>
    </row>
    <row r="37" spans="1:14" ht="15" x14ac:dyDescent="0.2">
      <c r="A37" s="167" t="s">
        <v>771</v>
      </c>
      <c r="B37" s="166"/>
      <c r="C37" s="166"/>
      <c r="D37" s="166"/>
      <c r="E37" s="166">
        <v>38203</v>
      </c>
      <c r="F37" s="166">
        <v>30030</v>
      </c>
      <c r="G37" s="166"/>
      <c r="H37" s="166">
        <v>68233</v>
      </c>
      <c r="I37"/>
      <c r="J37"/>
      <c r="K37"/>
      <c r="L37"/>
      <c r="M37"/>
      <c r="N37"/>
    </row>
    <row r="38" spans="1:14" ht="15" x14ac:dyDescent="0.2">
      <c r="A38" s="167" t="s">
        <v>782</v>
      </c>
      <c r="B38" s="166"/>
      <c r="C38" s="166"/>
      <c r="D38" s="166"/>
      <c r="E38" s="166">
        <v>19302</v>
      </c>
      <c r="F38" s="166"/>
      <c r="G38" s="166"/>
      <c r="H38" s="166">
        <v>19302</v>
      </c>
      <c r="I38"/>
      <c r="J38"/>
      <c r="K38"/>
      <c r="L38"/>
      <c r="M38"/>
      <c r="N38"/>
    </row>
    <row r="39" spans="1:14" ht="15" x14ac:dyDescent="0.2">
      <c r="A39" s="167" t="s">
        <v>783</v>
      </c>
      <c r="B39" s="166"/>
      <c r="C39" s="166"/>
      <c r="D39" s="166"/>
      <c r="E39" s="166">
        <v>15900</v>
      </c>
      <c r="F39" s="166"/>
      <c r="G39" s="166"/>
      <c r="H39" s="166">
        <v>15900</v>
      </c>
      <c r="I39"/>
      <c r="J39"/>
      <c r="K39"/>
      <c r="L39"/>
      <c r="M39"/>
      <c r="N39"/>
    </row>
    <row r="40" spans="1:14" ht="15" x14ac:dyDescent="0.2">
      <c r="A40" s="167" t="s">
        <v>796</v>
      </c>
      <c r="B40" s="166"/>
      <c r="C40" s="166"/>
      <c r="D40" s="166"/>
      <c r="E40" s="166">
        <v>23282</v>
      </c>
      <c r="F40" s="166">
        <v>16411</v>
      </c>
      <c r="G40" s="166"/>
      <c r="H40" s="166">
        <v>39693</v>
      </c>
      <c r="I40"/>
      <c r="J40"/>
      <c r="K40"/>
      <c r="L40"/>
      <c r="M40"/>
      <c r="N40"/>
    </row>
    <row r="41" spans="1:14" ht="15" x14ac:dyDescent="0.2">
      <c r="A41" s="167" t="s">
        <v>804</v>
      </c>
      <c r="B41" s="166"/>
      <c r="C41" s="166"/>
      <c r="D41" s="166"/>
      <c r="E41" s="166"/>
      <c r="F41" s="166">
        <v>18420</v>
      </c>
      <c r="G41" s="166"/>
      <c r="H41" s="166">
        <v>18420</v>
      </c>
      <c r="I41"/>
      <c r="J41"/>
      <c r="K41"/>
      <c r="L41"/>
      <c r="M41"/>
      <c r="N41"/>
    </row>
    <row r="42" spans="1:14" ht="15" x14ac:dyDescent="0.2">
      <c r="A42" s="167" t="s">
        <v>805</v>
      </c>
      <c r="B42" s="166"/>
      <c r="C42" s="166"/>
      <c r="D42" s="166"/>
      <c r="E42" s="166">
        <v>60007</v>
      </c>
      <c r="F42" s="166"/>
      <c r="G42" s="166"/>
      <c r="H42" s="166">
        <v>60007</v>
      </c>
      <c r="I42"/>
      <c r="J42"/>
      <c r="K42"/>
      <c r="L42"/>
      <c r="M42"/>
      <c r="N42"/>
    </row>
    <row r="43" spans="1:14" ht="15" x14ac:dyDescent="0.2">
      <c r="A43" s="167" t="s">
        <v>838</v>
      </c>
      <c r="B43" s="166"/>
      <c r="C43" s="166"/>
      <c r="D43" s="166"/>
      <c r="E43" s="166"/>
      <c r="F43" s="166">
        <v>37804</v>
      </c>
      <c r="G43" s="166"/>
      <c r="H43" s="166">
        <v>37804</v>
      </c>
      <c r="I43"/>
      <c r="J43"/>
      <c r="K43"/>
      <c r="L43"/>
      <c r="M43"/>
      <c r="N43"/>
    </row>
    <row r="44" spans="1:14" ht="15" x14ac:dyDescent="0.2">
      <c r="A44" s="167" t="s">
        <v>177</v>
      </c>
      <c r="B44" s="166">
        <v>452448.71937044145</v>
      </c>
      <c r="C44" s="166">
        <v>392450</v>
      </c>
      <c r="D44" s="166">
        <v>1023216.2</v>
      </c>
      <c r="E44" s="166">
        <v>688419</v>
      </c>
      <c r="F44" s="166">
        <v>579401.48</v>
      </c>
      <c r="G44" s="166">
        <v>76190</v>
      </c>
      <c r="H44" s="166">
        <v>3212125.3993704412</v>
      </c>
      <c r="I44"/>
      <c r="J44"/>
      <c r="K44"/>
      <c r="L44"/>
      <c r="M44"/>
      <c r="N44"/>
    </row>
    <row r="45" spans="1:14" ht="15" x14ac:dyDescent="0.2">
      <c r="A45"/>
      <c r="B45"/>
      <c r="C45"/>
      <c r="D45"/>
      <c r="E45"/>
      <c r="F45"/>
      <c r="G45"/>
      <c r="H45"/>
      <c r="I45"/>
      <c r="J45"/>
      <c r="K45"/>
      <c r="L45"/>
      <c r="M45"/>
      <c r="N45"/>
    </row>
    <row r="46" spans="1:14" ht="15" x14ac:dyDescent="0.2">
      <c r="A46"/>
      <c r="B46"/>
      <c r="C46"/>
      <c r="D46"/>
      <c r="E46"/>
      <c r="F46"/>
      <c r="G46"/>
      <c r="H46"/>
      <c r="I46"/>
      <c r="J46"/>
      <c r="K46"/>
      <c r="L46"/>
      <c r="M46"/>
      <c r="N46"/>
    </row>
    <row r="47" spans="1:14" ht="15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/>
    </row>
    <row r="48" spans="1:14" ht="15" x14ac:dyDescent="0.2">
      <c r="A48"/>
      <c r="B48"/>
      <c r="C48"/>
      <c r="D48"/>
      <c r="E48"/>
      <c r="F48"/>
      <c r="G48"/>
      <c r="H48"/>
      <c r="I48"/>
      <c r="J48"/>
      <c r="K48"/>
      <c r="L48"/>
      <c r="M48"/>
      <c r="N48"/>
    </row>
    <row r="49" spans="1:14" ht="15" x14ac:dyDescent="0.2">
      <c r="A49"/>
      <c r="B49"/>
      <c r="C49"/>
      <c r="D49"/>
      <c r="E49"/>
      <c r="F49"/>
      <c r="G49"/>
      <c r="H49"/>
      <c r="I49"/>
      <c r="J49"/>
      <c r="K49"/>
      <c r="L49"/>
      <c r="M49"/>
      <c r="N49"/>
    </row>
    <row r="50" spans="1:14" ht="15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/>
    </row>
    <row r="51" spans="1:14" ht="15" x14ac:dyDescent="0.2">
      <c r="A51"/>
      <c r="B51"/>
      <c r="C51"/>
      <c r="D51"/>
      <c r="E51"/>
      <c r="F51"/>
      <c r="G51"/>
      <c r="H51"/>
      <c r="I51"/>
      <c r="J51"/>
      <c r="K51"/>
      <c r="L51"/>
      <c r="M51"/>
      <c r="N51"/>
    </row>
    <row r="52" spans="1:14" ht="15" x14ac:dyDescent="0.2">
      <c r="A52"/>
      <c r="B52"/>
      <c r="C52"/>
      <c r="D52"/>
      <c r="E52"/>
      <c r="F52"/>
      <c r="G52"/>
      <c r="H52"/>
      <c r="I52"/>
      <c r="J52"/>
      <c r="K52"/>
      <c r="L52"/>
      <c r="M52"/>
      <c r="N52"/>
    </row>
    <row r="53" spans="1:14" ht="15" x14ac:dyDescent="0.2">
      <c r="A53"/>
      <c r="B53"/>
      <c r="C53"/>
      <c r="D53"/>
      <c r="E53"/>
      <c r="F53"/>
      <c r="G53"/>
      <c r="H53"/>
      <c r="I53"/>
      <c r="J53"/>
      <c r="K53"/>
      <c r="L53"/>
      <c r="M53"/>
      <c r="N53"/>
    </row>
    <row r="54" spans="1:14" ht="15" x14ac:dyDescent="0.2">
      <c r="A54"/>
      <c r="B54"/>
      <c r="C54"/>
      <c r="D54"/>
      <c r="E54"/>
      <c r="F54"/>
      <c r="G54"/>
      <c r="H54"/>
      <c r="I54"/>
      <c r="J54"/>
      <c r="K54"/>
      <c r="L54"/>
      <c r="M54"/>
      <c r="N54"/>
    </row>
    <row r="55" spans="1:14" ht="15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/>
    </row>
    <row r="56" spans="1:14" ht="15" x14ac:dyDescent="0.2">
      <c r="A56"/>
      <c r="B56"/>
      <c r="C56"/>
      <c r="D56"/>
      <c r="E56"/>
      <c r="F56"/>
      <c r="G56"/>
      <c r="H56"/>
      <c r="I56"/>
      <c r="J56"/>
      <c r="K56"/>
      <c r="L56"/>
      <c r="M56"/>
      <c r="N56"/>
    </row>
    <row r="57" spans="1:14" ht="15" x14ac:dyDescent="0.2">
      <c r="A57"/>
      <c r="B57"/>
      <c r="C57"/>
      <c r="D57"/>
      <c r="E57"/>
      <c r="F57"/>
      <c r="G57"/>
      <c r="H57"/>
      <c r="I57"/>
      <c r="J57"/>
      <c r="K57"/>
      <c r="L57"/>
      <c r="M57"/>
      <c r="N57"/>
    </row>
    <row r="58" spans="1:14" ht="15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/>
    </row>
    <row r="59" spans="1:14" ht="15" x14ac:dyDescent="0.2">
      <c r="A59"/>
      <c r="B59"/>
      <c r="C59"/>
      <c r="D59"/>
      <c r="E59"/>
      <c r="F59"/>
      <c r="G59"/>
      <c r="H59"/>
      <c r="I59"/>
      <c r="J59"/>
      <c r="K59"/>
      <c r="L59"/>
      <c r="M59"/>
      <c r="N59"/>
    </row>
    <row r="60" spans="1:14" ht="15" x14ac:dyDescent="0.2">
      <c r="A60"/>
      <c r="B60"/>
      <c r="C60"/>
      <c r="D60"/>
      <c r="E60"/>
      <c r="F60"/>
      <c r="G60"/>
      <c r="H60"/>
      <c r="I60"/>
      <c r="J60"/>
      <c r="K60"/>
      <c r="L60"/>
      <c r="M60"/>
      <c r="N60"/>
    </row>
    <row r="61" spans="1:14" ht="15" x14ac:dyDescent="0.2">
      <c r="A61"/>
      <c r="B61"/>
      <c r="C61"/>
      <c r="D61"/>
      <c r="E61"/>
      <c r="F61"/>
      <c r="G61"/>
      <c r="H61"/>
      <c r="I61"/>
      <c r="J61"/>
      <c r="K61"/>
      <c r="L61"/>
      <c r="M61"/>
      <c r="N61"/>
    </row>
    <row r="62" spans="1:14" ht="15" x14ac:dyDescent="0.2">
      <c r="A62"/>
      <c r="B62"/>
      <c r="C62"/>
      <c r="D62"/>
      <c r="E62"/>
      <c r="F62"/>
      <c r="G62"/>
      <c r="H62"/>
      <c r="I62"/>
      <c r="J62"/>
      <c r="K62"/>
      <c r="L62"/>
      <c r="M62"/>
      <c r="N62"/>
    </row>
    <row r="63" spans="1:14" ht="15" x14ac:dyDescent="0.2">
      <c r="A63"/>
      <c r="B63"/>
      <c r="C63"/>
      <c r="D63"/>
      <c r="E63"/>
      <c r="F63"/>
      <c r="G63"/>
      <c r="H63"/>
      <c r="I63"/>
      <c r="J63"/>
      <c r="K63"/>
      <c r="L63"/>
      <c r="M63"/>
      <c r="N63"/>
    </row>
    <row r="64" spans="1:14" ht="15" x14ac:dyDescent="0.2">
      <c r="A64"/>
      <c r="B64"/>
      <c r="C64"/>
      <c r="D64"/>
      <c r="E64"/>
      <c r="F64"/>
      <c r="G64"/>
      <c r="H64"/>
      <c r="I64"/>
      <c r="J64"/>
      <c r="K64"/>
      <c r="L64"/>
      <c r="M64"/>
      <c r="N64"/>
    </row>
    <row r="65" spans="1:14" ht="15" x14ac:dyDescent="0.2">
      <c r="A65"/>
      <c r="B65"/>
      <c r="C65"/>
      <c r="D65"/>
      <c r="E65"/>
      <c r="F65"/>
      <c r="G65"/>
      <c r="H65"/>
      <c r="I65"/>
      <c r="J65"/>
      <c r="K65"/>
      <c r="L65"/>
      <c r="M65"/>
      <c r="N65"/>
    </row>
    <row r="66" spans="1:14" ht="15" x14ac:dyDescent="0.2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4" ht="15" x14ac:dyDescent="0.2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4" ht="15" x14ac:dyDescent="0.2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4" ht="15" x14ac:dyDescent="0.2">
      <c r="A69"/>
      <c r="B69"/>
      <c r="C69"/>
      <c r="D69"/>
      <c r="E69"/>
      <c r="F69"/>
      <c r="G69"/>
      <c r="H69"/>
      <c r="I69"/>
      <c r="J69"/>
      <c r="K69"/>
      <c r="L69"/>
      <c r="M69"/>
      <c r="N69"/>
    </row>
    <row r="70" spans="1:14" ht="15" x14ac:dyDescent="0.2">
      <c r="A70"/>
      <c r="B70"/>
      <c r="C70"/>
      <c r="D70"/>
      <c r="E70"/>
      <c r="F70"/>
      <c r="G70"/>
      <c r="H70"/>
      <c r="I70"/>
      <c r="J70"/>
      <c r="K70"/>
      <c r="L70"/>
      <c r="M70"/>
      <c r="N70"/>
    </row>
    <row r="71" spans="1:14" ht="15" x14ac:dyDescent="0.2">
      <c r="A71"/>
      <c r="B71"/>
      <c r="C71"/>
      <c r="D71"/>
      <c r="E71"/>
      <c r="F71"/>
      <c r="G71"/>
      <c r="H71"/>
      <c r="I71"/>
      <c r="J71"/>
      <c r="K71"/>
      <c r="L71"/>
      <c r="M71"/>
      <c r="N71"/>
    </row>
    <row r="72" spans="1:14" ht="15" x14ac:dyDescent="0.2">
      <c r="A72"/>
      <c r="B72"/>
      <c r="C72"/>
      <c r="D72"/>
      <c r="E72"/>
      <c r="F72"/>
      <c r="G72"/>
      <c r="H72"/>
      <c r="I72"/>
      <c r="J72"/>
      <c r="K72"/>
      <c r="L72"/>
      <c r="M72"/>
      <c r="N72"/>
    </row>
    <row r="73" spans="1:14" ht="15" x14ac:dyDescent="0.2">
      <c r="A73"/>
      <c r="B73"/>
      <c r="C73"/>
      <c r="D73"/>
      <c r="E73"/>
      <c r="F73"/>
      <c r="G73"/>
      <c r="H73"/>
      <c r="I73"/>
      <c r="J73"/>
      <c r="K73"/>
      <c r="L73"/>
      <c r="M73"/>
      <c r="N73"/>
    </row>
    <row r="74" spans="1:14" ht="15" x14ac:dyDescent="0.2">
      <c r="A74"/>
      <c r="B74"/>
      <c r="C74"/>
      <c r="D74"/>
      <c r="E74"/>
      <c r="F74"/>
      <c r="G74"/>
      <c r="H74"/>
      <c r="I74"/>
      <c r="J74"/>
      <c r="K74"/>
      <c r="L74"/>
      <c r="M74"/>
      <c r="N74"/>
    </row>
    <row r="75" spans="1:14" ht="15" x14ac:dyDescent="0.2">
      <c r="A75"/>
      <c r="B75"/>
      <c r="C75"/>
      <c r="D75"/>
      <c r="E75"/>
      <c r="F75"/>
      <c r="G75"/>
      <c r="H75"/>
      <c r="I75"/>
      <c r="J75"/>
      <c r="K75"/>
      <c r="L75"/>
      <c r="M75"/>
      <c r="N75"/>
    </row>
    <row r="76" spans="1:14" ht="15" x14ac:dyDescent="0.2">
      <c r="A76"/>
      <c r="B76"/>
      <c r="C76"/>
      <c r="D76"/>
      <c r="E76"/>
      <c r="F76"/>
      <c r="G76"/>
      <c r="H76"/>
      <c r="I76"/>
      <c r="J76"/>
      <c r="K76"/>
      <c r="L76"/>
      <c r="M76"/>
      <c r="N76"/>
    </row>
    <row r="78" spans="1:14" x14ac:dyDescent="0.15">
      <c r="B78" s="62">
        <v>823</v>
      </c>
      <c r="C78" s="62">
        <v>313</v>
      </c>
      <c r="D78" s="62">
        <v>798</v>
      </c>
      <c r="E78" s="62">
        <v>702</v>
      </c>
      <c r="F78" s="62">
        <v>916</v>
      </c>
      <c r="G78" s="62">
        <v>782</v>
      </c>
      <c r="H78" s="62">
        <v>894</v>
      </c>
      <c r="I78" s="62">
        <v>1334</v>
      </c>
      <c r="J78" s="62">
        <v>727</v>
      </c>
      <c r="K78" s="62">
        <v>955</v>
      </c>
      <c r="L78" s="62">
        <v>788</v>
      </c>
    </row>
    <row r="79" spans="1:14" x14ac:dyDescent="0.15">
      <c r="K79" s="6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22649-8513-4242-BD78-9A88B625FB8E}">
  <sheetPr codeName="Hoja5"/>
  <dimension ref="A1:O99"/>
  <sheetViews>
    <sheetView showGridLines="0" zoomScale="80" zoomScaleNormal="80" workbookViewId="0">
      <selection activeCell="F55" sqref="F55"/>
    </sheetView>
  </sheetViews>
  <sheetFormatPr baseColWidth="10" defaultColWidth="11.5" defaultRowHeight="13" x14ac:dyDescent="0.15"/>
  <cols>
    <col min="1" max="1" width="45.1640625" style="62" bestFit="1" customWidth="1"/>
    <col min="2" max="6" width="25.5" style="62" bestFit="1" customWidth="1"/>
    <col min="7" max="7" width="13.6640625" style="62" bestFit="1" customWidth="1"/>
    <col min="8" max="13" width="26.33203125" style="62" bestFit="1" customWidth="1"/>
    <col min="14" max="14" width="13.6640625" style="62" bestFit="1" customWidth="1"/>
    <col min="15" max="15" width="13.33203125" style="62" bestFit="1" customWidth="1"/>
    <col min="16" max="142" width="22.5" style="62" bestFit="1" customWidth="1"/>
    <col min="143" max="143" width="12.5" style="62" bestFit="1" customWidth="1"/>
    <col min="144" max="16384" width="11.5" style="62"/>
  </cols>
  <sheetData>
    <row r="1" spans="1:15" x14ac:dyDescent="0.15">
      <c r="A1" s="164" t="s">
        <v>229</v>
      </c>
      <c r="B1" s="165" t="s">
        <v>692</v>
      </c>
    </row>
    <row r="2" spans="1:15" x14ac:dyDescent="0.15">
      <c r="A2" s="164" t="s">
        <v>51</v>
      </c>
      <c r="B2" s="165" t="s">
        <v>663</v>
      </c>
    </row>
    <row r="3" spans="1:15" ht="15" x14ac:dyDescent="0.2">
      <c r="A3"/>
      <c r="B3"/>
      <c r="C3"/>
      <c r="D3"/>
      <c r="E3"/>
      <c r="F3"/>
      <c r="G3"/>
      <c r="H3"/>
      <c r="I3"/>
      <c r="J3"/>
      <c r="K3"/>
      <c r="L3"/>
      <c r="M3"/>
      <c r="N3"/>
      <c r="O3"/>
    </row>
    <row r="4" spans="1:15" ht="15" x14ac:dyDescent="0.2">
      <c r="A4" s="164" t="s">
        <v>230</v>
      </c>
      <c r="B4" s="164" t="s">
        <v>585</v>
      </c>
      <c r="C4" s="165"/>
      <c r="D4" s="165"/>
      <c r="E4" s="165"/>
      <c r="F4" s="165"/>
      <c r="G4" s="165"/>
      <c r="H4"/>
      <c r="I4"/>
      <c r="J4"/>
      <c r="K4"/>
      <c r="L4"/>
      <c r="M4"/>
      <c r="N4"/>
      <c r="O4"/>
    </row>
    <row r="5" spans="1:15" ht="15" x14ac:dyDescent="0.2">
      <c r="A5" s="164" t="s">
        <v>232</v>
      </c>
      <c r="B5" s="165" t="s">
        <v>175</v>
      </c>
      <c r="C5" s="165" t="s">
        <v>176</v>
      </c>
      <c r="D5" s="165" t="s">
        <v>773</v>
      </c>
      <c r="E5" s="165" t="s">
        <v>785</v>
      </c>
      <c r="F5" s="165" t="s">
        <v>833</v>
      </c>
      <c r="G5" s="165" t="s">
        <v>177</v>
      </c>
      <c r="H5"/>
      <c r="I5"/>
      <c r="J5"/>
      <c r="K5"/>
      <c r="L5"/>
      <c r="M5"/>
      <c r="N5"/>
      <c r="O5"/>
    </row>
    <row r="6" spans="1:15" ht="15" x14ac:dyDescent="0.2">
      <c r="A6" s="165" t="s">
        <v>223</v>
      </c>
      <c r="B6" s="166">
        <v>46571.709904761905</v>
      </c>
      <c r="C6" s="166">
        <v>70943.787809523827</v>
      </c>
      <c r="D6" s="166">
        <v>29753</v>
      </c>
      <c r="E6" s="166"/>
      <c r="F6" s="166"/>
      <c r="G6" s="166">
        <v>147268.49771428574</v>
      </c>
      <c r="H6"/>
      <c r="I6"/>
      <c r="J6"/>
      <c r="K6"/>
      <c r="L6"/>
      <c r="M6"/>
      <c r="N6"/>
      <c r="O6"/>
    </row>
    <row r="7" spans="1:15" ht="15" x14ac:dyDescent="0.2">
      <c r="A7" s="165" t="s">
        <v>562</v>
      </c>
      <c r="B7" s="166">
        <v>36078</v>
      </c>
      <c r="C7" s="166">
        <v>20228</v>
      </c>
      <c r="D7" s="166"/>
      <c r="E7" s="166"/>
      <c r="F7" s="166"/>
      <c r="G7" s="166">
        <v>56306</v>
      </c>
      <c r="H7"/>
      <c r="I7"/>
      <c r="J7"/>
      <c r="K7"/>
      <c r="L7"/>
      <c r="M7"/>
      <c r="N7"/>
      <c r="O7"/>
    </row>
    <row r="8" spans="1:15" ht="15" x14ac:dyDescent="0.2">
      <c r="A8" s="165" t="s">
        <v>587</v>
      </c>
      <c r="B8" s="166">
        <v>7778</v>
      </c>
      <c r="C8" s="166"/>
      <c r="D8" s="166"/>
      <c r="E8" s="166"/>
      <c r="F8" s="166"/>
      <c r="G8" s="166">
        <v>7778</v>
      </c>
      <c r="H8"/>
      <c r="I8"/>
      <c r="J8"/>
      <c r="K8"/>
      <c r="L8"/>
      <c r="M8"/>
      <c r="N8"/>
      <c r="O8"/>
    </row>
    <row r="9" spans="1:15" ht="15" x14ac:dyDescent="0.2">
      <c r="A9" s="165" t="s">
        <v>590</v>
      </c>
      <c r="B9" s="166">
        <v>47145</v>
      </c>
      <c r="C9" s="166"/>
      <c r="D9" s="166"/>
      <c r="E9" s="166"/>
      <c r="F9" s="166"/>
      <c r="G9" s="166">
        <v>47145</v>
      </c>
      <c r="H9"/>
      <c r="I9"/>
      <c r="J9"/>
      <c r="K9"/>
      <c r="L9"/>
      <c r="M9"/>
      <c r="N9"/>
      <c r="O9"/>
    </row>
    <row r="10" spans="1:15" ht="15" x14ac:dyDescent="0.2">
      <c r="A10" s="165" t="s">
        <v>604</v>
      </c>
      <c r="B10" s="166"/>
      <c r="C10" s="166">
        <v>17056</v>
      </c>
      <c r="D10" s="166"/>
      <c r="E10" s="166"/>
      <c r="F10" s="166"/>
      <c r="G10" s="166">
        <v>17056</v>
      </c>
      <c r="H10"/>
      <c r="I10"/>
      <c r="J10"/>
      <c r="K10"/>
      <c r="L10"/>
      <c r="M10"/>
      <c r="N10"/>
      <c r="O10"/>
    </row>
    <row r="11" spans="1:15" ht="15" x14ac:dyDescent="0.2">
      <c r="A11" s="165" t="s">
        <v>636</v>
      </c>
      <c r="B11" s="166"/>
      <c r="C11" s="166"/>
      <c r="D11" s="166"/>
      <c r="E11" s="166">
        <v>28029.29</v>
      </c>
      <c r="F11" s="166"/>
      <c r="G11" s="166">
        <v>28029.29</v>
      </c>
      <c r="H11"/>
      <c r="I11"/>
      <c r="J11"/>
      <c r="K11"/>
      <c r="L11"/>
      <c r="M11"/>
      <c r="N11"/>
      <c r="O11"/>
    </row>
    <row r="12" spans="1:15" ht="15" x14ac:dyDescent="0.2">
      <c r="A12" s="165" t="s">
        <v>652</v>
      </c>
      <c r="B12" s="166"/>
      <c r="C12" s="166">
        <v>25487</v>
      </c>
      <c r="D12" s="166"/>
      <c r="E12" s="166"/>
      <c r="F12" s="166"/>
      <c r="G12" s="166">
        <v>25487</v>
      </c>
      <c r="H12"/>
      <c r="I12"/>
      <c r="J12"/>
      <c r="K12"/>
      <c r="L12"/>
      <c r="M12"/>
      <c r="N12"/>
      <c r="O12"/>
    </row>
    <row r="13" spans="1:15" ht="15" x14ac:dyDescent="0.2">
      <c r="A13" s="165" t="s">
        <v>673</v>
      </c>
      <c r="B13" s="166">
        <v>38737</v>
      </c>
      <c r="C13" s="166">
        <v>6418</v>
      </c>
      <c r="D13" s="166"/>
      <c r="E13" s="166">
        <v>18720</v>
      </c>
      <c r="F13" s="166">
        <v>31080</v>
      </c>
      <c r="G13" s="166">
        <v>94955</v>
      </c>
      <c r="H13"/>
      <c r="I13"/>
      <c r="J13"/>
      <c r="K13"/>
      <c r="L13"/>
      <c r="M13"/>
      <c r="N13"/>
      <c r="O13"/>
    </row>
    <row r="14" spans="1:15" ht="15" x14ac:dyDescent="0.2">
      <c r="A14" s="165" t="s">
        <v>674</v>
      </c>
      <c r="B14" s="166">
        <v>46313</v>
      </c>
      <c r="C14" s="166">
        <v>32927</v>
      </c>
      <c r="D14" s="166"/>
      <c r="E14" s="166">
        <v>15675</v>
      </c>
      <c r="F14" s="166"/>
      <c r="G14" s="166">
        <v>94915</v>
      </c>
      <c r="H14"/>
      <c r="I14"/>
      <c r="J14"/>
      <c r="K14"/>
      <c r="L14"/>
      <c r="M14"/>
      <c r="N14"/>
      <c r="O14"/>
    </row>
    <row r="15" spans="1:15" ht="15" x14ac:dyDescent="0.2">
      <c r="A15" s="165" t="s">
        <v>675</v>
      </c>
      <c r="B15" s="166">
        <v>15152</v>
      </c>
      <c r="C15" s="166">
        <v>69222</v>
      </c>
      <c r="D15" s="166">
        <v>61931.199999999997</v>
      </c>
      <c r="E15" s="166"/>
      <c r="F15" s="166">
        <v>13253</v>
      </c>
      <c r="G15" s="166">
        <v>159558.20000000001</v>
      </c>
      <c r="H15"/>
      <c r="I15"/>
      <c r="J15"/>
      <c r="K15"/>
      <c r="L15"/>
      <c r="M15"/>
      <c r="N15"/>
      <c r="O15"/>
    </row>
    <row r="16" spans="1:15" ht="15" x14ac:dyDescent="0.2">
      <c r="A16" s="165" t="s">
        <v>688</v>
      </c>
      <c r="B16" s="166"/>
      <c r="C16" s="166">
        <v>23913</v>
      </c>
      <c r="D16" s="166"/>
      <c r="E16" s="166"/>
      <c r="F16" s="166"/>
      <c r="G16" s="166">
        <v>23913</v>
      </c>
      <c r="H16"/>
      <c r="I16"/>
      <c r="J16"/>
      <c r="K16"/>
      <c r="L16"/>
      <c r="M16"/>
      <c r="N16"/>
      <c r="O16"/>
    </row>
    <row r="17" spans="1:15" ht="15" x14ac:dyDescent="0.2">
      <c r="A17" s="165" t="s">
        <v>703</v>
      </c>
      <c r="B17" s="166">
        <v>9596</v>
      </c>
      <c r="C17" s="166">
        <v>26815</v>
      </c>
      <c r="D17" s="166">
        <v>35429</v>
      </c>
      <c r="E17" s="166">
        <v>41725</v>
      </c>
      <c r="F17" s="166">
        <v>28838</v>
      </c>
      <c r="G17" s="166">
        <v>142403</v>
      </c>
      <c r="H17"/>
      <c r="I17"/>
      <c r="J17"/>
      <c r="K17"/>
      <c r="L17"/>
      <c r="M17"/>
      <c r="N17"/>
      <c r="O17"/>
    </row>
    <row r="18" spans="1:15" ht="15" x14ac:dyDescent="0.2">
      <c r="A18" s="165" t="s">
        <v>705</v>
      </c>
      <c r="B18" s="166">
        <v>20200</v>
      </c>
      <c r="C18" s="166">
        <v>40415</v>
      </c>
      <c r="D18" s="166">
        <v>20091</v>
      </c>
      <c r="E18" s="166">
        <v>12094</v>
      </c>
      <c r="F18" s="166"/>
      <c r="G18" s="166">
        <v>92800</v>
      </c>
      <c r="H18"/>
      <c r="I18"/>
      <c r="J18"/>
      <c r="K18"/>
      <c r="L18"/>
      <c r="M18"/>
      <c r="N18"/>
      <c r="O18"/>
    </row>
    <row r="19" spans="1:15" ht="15" x14ac:dyDescent="0.2">
      <c r="A19" s="165" t="s">
        <v>709</v>
      </c>
      <c r="B19" s="166">
        <v>51680</v>
      </c>
      <c r="C19" s="166">
        <v>9825</v>
      </c>
      <c r="D19" s="166"/>
      <c r="E19" s="166"/>
      <c r="F19" s="166"/>
      <c r="G19" s="166">
        <v>61505</v>
      </c>
      <c r="H19"/>
      <c r="I19"/>
      <c r="J19"/>
      <c r="K19"/>
      <c r="L19"/>
      <c r="M19"/>
      <c r="N19"/>
      <c r="O19"/>
    </row>
    <row r="20" spans="1:15" ht="15" x14ac:dyDescent="0.2">
      <c r="A20" s="165" t="s">
        <v>728</v>
      </c>
      <c r="B20" s="166"/>
      <c r="C20" s="166"/>
      <c r="D20" s="166">
        <v>138023</v>
      </c>
      <c r="E20" s="166">
        <v>15725</v>
      </c>
      <c r="F20" s="166"/>
      <c r="G20" s="166">
        <v>153748</v>
      </c>
      <c r="H20"/>
      <c r="I20"/>
      <c r="J20"/>
      <c r="K20"/>
      <c r="L20"/>
      <c r="M20"/>
      <c r="N20"/>
      <c r="O20"/>
    </row>
    <row r="21" spans="1:15" ht="15" x14ac:dyDescent="0.2">
      <c r="A21" s="165" t="s">
        <v>729</v>
      </c>
      <c r="B21" s="166"/>
      <c r="C21" s="166"/>
      <c r="D21" s="166">
        <v>113391</v>
      </c>
      <c r="E21" s="166">
        <v>65295</v>
      </c>
      <c r="F21" s="166"/>
      <c r="G21" s="166">
        <v>178686</v>
      </c>
      <c r="H21"/>
      <c r="I21"/>
      <c r="J21"/>
      <c r="K21"/>
      <c r="L21"/>
      <c r="M21"/>
      <c r="N21"/>
      <c r="O21"/>
    </row>
    <row r="22" spans="1:15" ht="15" x14ac:dyDescent="0.2">
      <c r="A22" s="165" t="s">
        <v>726</v>
      </c>
      <c r="B22" s="166"/>
      <c r="C22" s="166"/>
      <c r="D22" s="166">
        <v>400000</v>
      </c>
      <c r="E22" s="166"/>
      <c r="F22" s="166"/>
      <c r="G22" s="166">
        <v>400000</v>
      </c>
      <c r="H22"/>
      <c r="I22"/>
      <c r="J22"/>
      <c r="K22"/>
      <c r="L22"/>
      <c r="M22"/>
      <c r="N22"/>
      <c r="O22"/>
    </row>
    <row r="23" spans="1:15" ht="15" x14ac:dyDescent="0.2">
      <c r="A23" s="165" t="s">
        <v>719</v>
      </c>
      <c r="B23" s="166"/>
      <c r="C23" s="166"/>
      <c r="D23" s="166">
        <v>15000</v>
      </c>
      <c r="E23" s="166"/>
      <c r="F23" s="166"/>
      <c r="G23" s="166">
        <v>15000</v>
      </c>
      <c r="H23"/>
      <c r="I23"/>
      <c r="J23"/>
      <c r="K23"/>
      <c r="L23"/>
      <c r="M23"/>
      <c r="N23"/>
      <c r="O23"/>
    </row>
    <row r="24" spans="1:15" ht="15" x14ac:dyDescent="0.2">
      <c r="A24" s="165" t="s">
        <v>721</v>
      </c>
      <c r="B24" s="166"/>
      <c r="C24" s="166">
        <v>25294</v>
      </c>
      <c r="D24" s="166">
        <v>13416</v>
      </c>
      <c r="E24" s="166">
        <v>1410</v>
      </c>
      <c r="F24" s="166"/>
      <c r="G24" s="166">
        <v>40120</v>
      </c>
      <c r="H24"/>
      <c r="I24"/>
      <c r="J24"/>
      <c r="K24"/>
      <c r="L24"/>
      <c r="M24"/>
      <c r="N24"/>
      <c r="O24"/>
    </row>
    <row r="25" spans="1:15" ht="15" x14ac:dyDescent="0.2">
      <c r="A25" s="165" t="s">
        <v>720</v>
      </c>
      <c r="B25" s="166"/>
      <c r="C25" s="166">
        <v>103193</v>
      </c>
      <c r="D25" s="166">
        <v>94715</v>
      </c>
      <c r="E25" s="166">
        <v>60080</v>
      </c>
      <c r="F25" s="166"/>
      <c r="G25" s="166">
        <v>257988</v>
      </c>
      <c r="H25"/>
      <c r="I25"/>
      <c r="J25"/>
      <c r="K25"/>
      <c r="L25"/>
      <c r="M25"/>
      <c r="N25"/>
      <c r="O25"/>
    </row>
    <row r="26" spans="1:15" ht="15" x14ac:dyDescent="0.2">
      <c r="A26" s="165" t="s">
        <v>723</v>
      </c>
      <c r="B26" s="166"/>
      <c r="C26" s="166">
        <v>30588</v>
      </c>
      <c r="D26" s="166">
        <v>41900</v>
      </c>
      <c r="E26" s="166">
        <v>34768</v>
      </c>
      <c r="F26" s="166">
        <v>32980</v>
      </c>
      <c r="G26" s="166">
        <v>140236</v>
      </c>
      <c r="H26"/>
      <c r="I26"/>
      <c r="J26"/>
      <c r="K26"/>
      <c r="L26"/>
      <c r="M26"/>
      <c r="N26"/>
      <c r="O26"/>
    </row>
    <row r="27" spans="1:15" ht="15" x14ac:dyDescent="0.2">
      <c r="A27" s="165" t="s">
        <v>722</v>
      </c>
      <c r="B27" s="166"/>
      <c r="C27" s="166">
        <v>66050</v>
      </c>
      <c r="D27" s="166">
        <v>60047</v>
      </c>
      <c r="E27" s="166">
        <v>57399</v>
      </c>
      <c r="F27" s="166"/>
      <c r="G27" s="166">
        <v>183496</v>
      </c>
      <c r="H27"/>
      <c r="I27"/>
      <c r="J27"/>
      <c r="K27"/>
      <c r="L27"/>
      <c r="M27"/>
      <c r="N27"/>
      <c r="O27"/>
    </row>
    <row r="28" spans="1:15" ht="15" x14ac:dyDescent="0.2">
      <c r="A28" s="165" t="s">
        <v>725</v>
      </c>
      <c r="B28" s="166"/>
      <c r="C28" s="166">
        <v>13169</v>
      </c>
      <c r="D28" s="166">
        <v>40729</v>
      </c>
      <c r="E28" s="166">
        <v>16667</v>
      </c>
      <c r="F28" s="166"/>
      <c r="G28" s="166">
        <v>70565</v>
      </c>
      <c r="H28"/>
      <c r="I28"/>
      <c r="J28"/>
      <c r="K28"/>
      <c r="L28"/>
      <c r="M28"/>
      <c r="N28"/>
      <c r="O28"/>
    </row>
    <row r="29" spans="1:15" ht="15" x14ac:dyDescent="0.2">
      <c r="A29" s="165" t="s">
        <v>724</v>
      </c>
      <c r="B29" s="166"/>
      <c r="C29" s="166"/>
      <c r="D29" s="166">
        <v>169414</v>
      </c>
      <c r="E29" s="166">
        <v>70429.5</v>
      </c>
      <c r="F29" s="166"/>
      <c r="G29" s="166">
        <v>239843.5</v>
      </c>
      <c r="H29"/>
      <c r="I29"/>
      <c r="J29"/>
      <c r="K29"/>
      <c r="L29"/>
      <c r="M29"/>
      <c r="N29"/>
      <c r="O29"/>
    </row>
    <row r="30" spans="1:15" ht="15" x14ac:dyDescent="0.2">
      <c r="A30" s="165" t="s">
        <v>759</v>
      </c>
      <c r="B30" s="166"/>
      <c r="C30" s="166"/>
      <c r="D30" s="166"/>
      <c r="E30" s="166">
        <v>52750</v>
      </c>
      <c r="F30" s="166">
        <v>25350</v>
      </c>
      <c r="G30" s="166">
        <v>78100</v>
      </c>
      <c r="H30"/>
      <c r="I30"/>
      <c r="J30"/>
      <c r="K30"/>
      <c r="L30"/>
      <c r="M30"/>
      <c r="N30"/>
      <c r="O30"/>
    </row>
    <row r="31" spans="1:15" ht="15" x14ac:dyDescent="0.2">
      <c r="A31" s="165" t="s">
        <v>760</v>
      </c>
      <c r="B31" s="166"/>
      <c r="C31" s="166">
        <v>24635</v>
      </c>
      <c r="D31" s="166"/>
      <c r="E31" s="166"/>
      <c r="F31" s="166"/>
      <c r="G31" s="166">
        <v>24635</v>
      </c>
      <c r="H31"/>
      <c r="I31"/>
      <c r="J31"/>
      <c r="K31"/>
      <c r="L31"/>
      <c r="M31"/>
      <c r="N31"/>
      <c r="O31"/>
    </row>
    <row r="32" spans="1:15" ht="15" x14ac:dyDescent="0.2">
      <c r="A32" s="165" t="s">
        <v>767</v>
      </c>
      <c r="B32" s="166"/>
      <c r="C32" s="166"/>
      <c r="D32" s="166">
        <v>14895</v>
      </c>
      <c r="E32" s="166">
        <v>24000</v>
      </c>
      <c r="F32" s="166">
        <v>21050</v>
      </c>
      <c r="G32" s="166">
        <v>59945</v>
      </c>
      <c r="H32"/>
      <c r="I32"/>
      <c r="J32"/>
      <c r="K32"/>
      <c r="L32"/>
      <c r="M32"/>
      <c r="N32"/>
      <c r="O32"/>
    </row>
    <row r="33" spans="1:15" ht="15" x14ac:dyDescent="0.2">
      <c r="A33" s="165" t="s">
        <v>768</v>
      </c>
      <c r="B33" s="166"/>
      <c r="C33" s="166"/>
      <c r="D33" s="166">
        <v>56120</v>
      </c>
      <c r="E33" s="166">
        <v>24080</v>
      </c>
      <c r="F33" s="166"/>
      <c r="G33" s="166">
        <v>80200</v>
      </c>
      <c r="H33"/>
      <c r="I33"/>
      <c r="J33"/>
      <c r="K33"/>
      <c r="L33"/>
      <c r="M33"/>
      <c r="N33"/>
      <c r="O33"/>
    </row>
    <row r="34" spans="1:15" ht="15" x14ac:dyDescent="0.2">
      <c r="A34" s="165" t="s">
        <v>769</v>
      </c>
      <c r="B34" s="166"/>
      <c r="C34" s="166"/>
      <c r="D34" s="166"/>
      <c r="E34" s="166"/>
      <c r="F34" s="166">
        <v>40271</v>
      </c>
      <c r="G34" s="166">
        <v>40271</v>
      </c>
      <c r="H34"/>
      <c r="I34"/>
      <c r="J34"/>
      <c r="K34"/>
      <c r="L34"/>
      <c r="M34"/>
      <c r="N34"/>
      <c r="O34"/>
    </row>
    <row r="35" spans="1:15" ht="15" x14ac:dyDescent="0.2">
      <c r="A35" s="165" t="s">
        <v>770</v>
      </c>
      <c r="B35" s="166"/>
      <c r="C35" s="166"/>
      <c r="D35" s="166">
        <v>27609</v>
      </c>
      <c r="E35" s="166">
        <v>5180</v>
      </c>
      <c r="F35" s="166"/>
      <c r="G35" s="166">
        <v>32789</v>
      </c>
      <c r="H35"/>
      <c r="I35"/>
      <c r="J35"/>
      <c r="K35"/>
      <c r="L35"/>
      <c r="M35"/>
      <c r="N35"/>
      <c r="O35"/>
    </row>
    <row r="36" spans="1:15" ht="15" x14ac:dyDescent="0.2">
      <c r="A36" s="165" t="s">
        <v>771</v>
      </c>
      <c r="B36" s="166"/>
      <c r="C36" s="166"/>
      <c r="D36" s="166">
        <v>38203</v>
      </c>
      <c r="E36" s="166">
        <v>30030</v>
      </c>
      <c r="F36" s="166">
        <v>41003</v>
      </c>
      <c r="G36" s="166">
        <v>109236</v>
      </c>
      <c r="H36"/>
      <c r="I36"/>
      <c r="J36"/>
      <c r="K36"/>
      <c r="L36"/>
      <c r="M36"/>
      <c r="N36"/>
      <c r="O36"/>
    </row>
    <row r="37" spans="1:15" ht="15" x14ac:dyDescent="0.2">
      <c r="A37" s="165" t="s">
        <v>782</v>
      </c>
      <c r="B37" s="166"/>
      <c r="C37" s="166"/>
      <c r="D37" s="166">
        <v>19302</v>
      </c>
      <c r="E37" s="166"/>
      <c r="F37" s="166"/>
      <c r="G37" s="166">
        <v>19302</v>
      </c>
      <c r="H37"/>
      <c r="I37"/>
      <c r="J37"/>
      <c r="K37"/>
      <c r="L37"/>
      <c r="M37"/>
      <c r="N37"/>
      <c r="O37"/>
    </row>
    <row r="38" spans="1:15" ht="15" x14ac:dyDescent="0.2">
      <c r="A38" s="165" t="s">
        <v>783</v>
      </c>
      <c r="B38" s="166"/>
      <c r="C38" s="166"/>
      <c r="D38" s="166">
        <v>15900</v>
      </c>
      <c r="E38" s="166"/>
      <c r="F38" s="166"/>
      <c r="G38" s="166">
        <v>15900</v>
      </c>
      <c r="H38"/>
      <c r="I38"/>
      <c r="J38"/>
      <c r="K38"/>
      <c r="L38"/>
      <c r="M38"/>
      <c r="N38"/>
      <c r="O38"/>
    </row>
    <row r="39" spans="1:15" ht="15" x14ac:dyDescent="0.2">
      <c r="A39" s="165" t="s">
        <v>796</v>
      </c>
      <c r="B39" s="166"/>
      <c r="C39" s="166"/>
      <c r="D39" s="166"/>
      <c r="E39" s="166">
        <v>23282</v>
      </c>
      <c r="F39" s="166">
        <v>17983</v>
      </c>
      <c r="G39" s="166">
        <v>41265</v>
      </c>
      <c r="H39"/>
      <c r="I39"/>
      <c r="J39"/>
      <c r="K39"/>
      <c r="L39"/>
      <c r="M39"/>
      <c r="N39"/>
      <c r="O39"/>
    </row>
    <row r="40" spans="1:15" ht="15" x14ac:dyDescent="0.2">
      <c r="A40" s="165" t="s">
        <v>803</v>
      </c>
      <c r="B40" s="166"/>
      <c r="C40" s="166"/>
      <c r="D40" s="166"/>
      <c r="E40" s="166">
        <v>23962</v>
      </c>
      <c r="F40" s="166">
        <v>7741</v>
      </c>
      <c r="G40" s="166">
        <v>31703</v>
      </c>
      <c r="H40"/>
      <c r="I40"/>
      <c r="J40"/>
      <c r="K40"/>
      <c r="L40"/>
      <c r="M40"/>
      <c r="N40"/>
      <c r="O40"/>
    </row>
    <row r="41" spans="1:15" ht="15" x14ac:dyDescent="0.2">
      <c r="A41" s="165" t="s">
        <v>804</v>
      </c>
      <c r="B41" s="166"/>
      <c r="C41" s="166"/>
      <c r="D41" s="166"/>
      <c r="E41" s="166">
        <v>18420</v>
      </c>
      <c r="F41" s="166"/>
      <c r="G41" s="166">
        <v>18420</v>
      </c>
      <c r="H41"/>
      <c r="I41"/>
      <c r="J41"/>
      <c r="K41"/>
      <c r="L41"/>
      <c r="M41"/>
      <c r="N41"/>
      <c r="O41"/>
    </row>
    <row r="42" spans="1:15" ht="15" x14ac:dyDescent="0.2">
      <c r="A42" s="165" t="s">
        <v>805</v>
      </c>
      <c r="B42" s="166"/>
      <c r="C42" s="166"/>
      <c r="D42" s="166"/>
      <c r="E42" s="166">
        <v>60007</v>
      </c>
      <c r="F42" s="166">
        <v>50707</v>
      </c>
      <c r="G42" s="166">
        <v>110714</v>
      </c>
      <c r="H42"/>
      <c r="I42"/>
      <c r="J42"/>
      <c r="K42"/>
      <c r="L42"/>
      <c r="M42"/>
      <c r="N42"/>
      <c r="O42"/>
    </row>
    <row r="43" spans="1:15" ht="15" x14ac:dyDescent="0.2">
      <c r="A43" s="165" t="s">
        <v>836</v>
      </c>
      <c r="B43" s="166"/>
      <c r="C43" s="166"/>
      <c r="D43" s="166"/>
      <c r="E43" s="166"/>
      <c r="F43" s="166">
        <v>4210</v>
      </c>
      <c r="G43" s="166">
        <v>4210</v>
      </c>
      <c r="H43"/>
      <c r="I43"/>
      <c r="J43"/>
      <c r="K43"/>
      <c r="L43"/>
      <c r="M43"/>
      <c r="N43"/>
      <c r="O43"/>
    </row>
    <row r="44" spans="1:15" ht="15" x14ac:dyDescent="0.2">
      <c r="A44" s="165" t="s">
        <v>838</v>
      </c>
      <c r="B44" s="166"/>
      <c r="C44" s="166"/>
      <c r="D44" s="166"/>
      <c r="E44" s="166"/>
      <c r="F44" s="166">
        <v>37804</v>
      </c>
      <c r="G44" s="166">
        <v>37804</v>
      </c>
      <c r="H44"/>
      <c r="I44"/>
      <c r="J44"/>
      <c r="K44"/>
      <c r="L44"/>
      <c r="M44"/>
      <c r="N44"/>
      <c r="O44"/>
    </row>
    <row r="45" spans="1:15" ht="15" x14ac:dyDescent="0.2">
      <c r="A45" s="165" t="s">
        <v>849</v>
      </c>
      <c r="B45" s="166"/>
      <c r="C45" s="166"/>
      <c r="D45" s="166"/>
      <c r="E45" s="166"/>
      <c r="F45" s="166">
        <v>17443</v>
      </c>
      <c r="G45" s="166">
        <v>17443</v>
      </c>
      <c r="H45"/>
      <c r="I45"/>
      <c r="J45"/>
      <c r="K45"/>
      <c r="L45"/>
      <c r="M45"/>
      <c r="N45"/>
      <c r="O45"/>
    </row>
    <row r="46" spans="1:15" ht="15" x14ac:dyDescent="0.2">
      <c r="A46" s="165" t="s">
        <v>851</v>
      </c>
      <c r="B46" s="166"/>
      <c r="C46" s="166"/>
      <c r="D46" s="166"/>
      <c r="E46" s="166"/>
      <c r="F46" s="166">
        <v>14939</v>
      </c>
      <c r="G46" s="166">
        <v>14939</v>
      </c>
      <c r="H46"/>
      <c r="I46"/>
      <c r="J46"/>
      <c r="K46"/>
      <c r="L46"/>
      <c r="M46"/>
      <c r="N46"/>
      <c r="O46"/>
    </row>
    <row r="47" spans="1:15" ht="15" x14ac:dyDescent="0.2">
      <c r="A47" s="165" t="s">
        <v>854</v>
      </c>
      <c r="B47" s="166"/>
      <c r="C47" s="166"/>
      <c r="D47" s="166"/>
      <c r="E47" s="166"/>
      <c r="F47" s="166">
        <v>106628</v>
      </c>
      <c r="G47" s="166">
        <v>106628</v>
      </c>
      <c r="H47"/>
      <c r="I47"/>
      <c r="J47"/>
      <c r="K47"/>
      <c r="L47"/>
      <c r="M47"/>
      <c r="N47"/>
      <c r="O47"/>
    </row>
    <row r="48" spans="1:15" ht="15" x14ac:dyDescent="0.2">
      <c r="A48" s="165" t="s">
        <v>865</v>
      </c>
      <c r="B48" s="166"/>
      <c r="C48" s="166"/>
      <c r="D48" s="166"/>
      <c r="E48" s="166"/>
      <c r="F48" s="166">
        <v>10527</v>
      </c>
      <c r="G48" s="166">
        <v>10527</v>
      </c>
      <c r="H48"/>
      <c r="I48"/>
      <c r="J48"/>
      <c r="K48"/>
      <c r="L48"/>
      <c r="M48"/>
      <c r="N48"/>
      <c r="O48"/>
    </row>
    <row r="49" spans="1:15" ht="15" x14ac:dyDescent="0.2">
      <c r="A49" s="165" t="s">
        <v>861</v>
      </c>
      <c r="B49" s="166"/>
      <c r="C49" s="166"/>
      <c r="D49" s="166"/>
      <c r="E49" s="166"/>
      <c r="F49" s="166">
        <v>47121</v>
      </c>
      <c r="G49" s="166">
        <v>47121</v>
      </c>
      <c r="H49"/>
      <c r="I49"/>
      <c r="J49"/>
      <c r="K49"/>
      <c r="L49"/>
      <c r="M49"/>
      <c r="N49"/>
      <c r="O49"/>
    </row>
    <row r="50" spans="1:15" ht="15" x14ac:dyDescent="0.2">
      <c r="A50" s="165" t="s">
        <v>177</v>
      </c>
      <c r="B50" s="166">
        <v>319250.70990476187</v>
      </c>
      <c r="C50" s="166">
        <v>606178.78780952375</v>
      </c>
      <c r="D50" s="166">
        <v>1405868.2</v>
      </c>
      <c r="E50" s="166">
        <v>699727.79</v>
      </c>
      <c r="F50" s="166">
        <v>548928</v>
      </c>
      <c r="G50" s="166">
        <v>3579953.487714286</v>
      </c>
      <c r="H50"/>
      <c r="I50"/>
      <c r="J50"/>
      <c r="K50"/>
      <c r="L50"/>
      <c r="M50"/>
      <c r="N50"/>
      <c r="O50"/>
    </row>
    <row r="51" spans="1:15" ht="15" x14ac:dyDescent="0.2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</row>
    <row r="52" spans="1:15" ht="15" x14ac:dyDescent="0.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</row>
    <row r="53" spans="1:15" ht="15" x14ac:dyDescent="0.2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</row>
    <row r="54" spans="1:15" ht="15" x14ac:dyDescent="0.2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</row>
    <row r="55" spans="1:15" ht="15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</row>
    <row r="56" spans="1:15" ht="15" x14ac:dyDescent="0.2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</row>
    <row r="57" spans="1:15" ht="15" x14ac:dyDescent="0.2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</row>
    <row r="58" spans="1:15" ht="15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</row>
    <row r="59" spans="1:15" ht="15" x14ac:dyDescent="0.2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</row>
    <row r="60" spans="1:15" ht="15" x14ac:dyDescent="0.2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</row>
    <row r="61" spans="1:15" ht="15" x14ac:dyDescent="0.2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</row>
    <row r="62" spans="1:15" ht="15" x14ac:dyDescent="0.2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</row>
    <row r="63" spans="1:15" ht="15" x14ac:dyDescent="0.2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</row>
    <row r="64" spans="1:15" ht="15" x14ac:dyDescent="0.2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</row>
    <row r="65" spans="1:15" ht="15" x14ac:dyDescent="0.2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</row>
    <row r="66" spans="1:15" ht="15" x14ac:dyDescent="0.2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</row>
    <row r="67" spans="1:15" ht="15" x14ac:dyDescent="0.2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</row>
    <row r="68" spans="1:15" ht="15" x14ac:dyDescent="0.2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</row>
    <row r="69" spans="1:15" ht="15" x14ac:dyDescent="0.2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</row>
    <row r="70" spans="1:15" ht="15" x14ac:dyDescent="0.2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</row>
    <row r="71" spans="1:15" ht="15" x14ac:dyDescent="0.2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</row>
    <row r="72" spans="1:15" ht="15" x14ac:dyDescent="0.2">
      <c r="A72"/>
      <c r="B72"/>
      <c r="C72"/>
      <c r="D72"/>
      <c r="E72"/>
      <c r="F72"/>
      <c r="G72"/>
      <c r="H72"/>
      <c r="I72"/>
      <c r="J72"/>
      <c r="K72"/>
      <c r="L72"/>
      <c r="M72"/>
      <c r="N72"/>
    </row>
    <row r="73" spans="1:15" ht="15" x14ac:dyDescent="0.2">
      <c r="A73"/>
      <c r="B73"/>
      <c r="C73"/>
      <c r="D73"/>
      <c r="E73"/>
      <c r="F73"/>
      <c r="G73"/>
      <c r="H73"/>
      <c r="I73"/>
      <c r="J73"/>
      <c r="K73"/>
    </row>
    <row r="74" spans="1:15" ht="15" x14ac:dyDescent="0.2">
      <c r="A74"/>
      <c r="B74"/>
      <c r="C74"/>
      <c r="D74"/>
      <c r="E74"/>
      <c r="F74"/>
      <c r="G74"/>
      <c r="H74"/>
      <c r="I74"/>
      <c r="J74"/>
      <c r="K74"/>
    </row>
    <row r="75" spans="1:15" ht="15" x14ac:dyDescent="0.2">
      <c r="A75"/>
      <c r="B75"/>
      <c r="C75"/>
      <c r="D75"/>
      <c r="E75"/>
      <c r="F75"/>
      <c r="G75"/>
      <c r="H75"/>
      <c r="I75"/>
      <c r="J75"/>
      <c r="K75"/>
    </row>
    <row r="76" spans="1:15" ht="15" x14ac:dyDescent="0.2">
      <c r="A76"/>
      <c r="B76"/>
      <c r="C76"/>
      <c r="D76"/>
      <c r="E76"/>
      <c r="F76"/>
      <c r="G76"/>
      <c r="H76"/>
      <c r="I76"/>
      <c r="J76"/>
      <c r="K76"/>
    </row>
    <row r="77" spans="1:15" ht="15" x14ac:dyDescent="0.2">
      <c r="A77"/>
      <c r="B77"/>
      <c r="C77"/>
      <c r="D77"/>
      <c r="E77"/>
      <c r="F77"/>
      <c r="G77"/>
      <c r="H77"/>
      <c r="I77"/>
      <c r="J77"/>
      <c r="K77"/>
    </row>
    <row r="78" spans="1:15" ht="15" x14ac:dyDescent="0.2">
      <c r="A78"/>
      <c r="B78"/>
      <c r="C78"/>
      <c r="D78"/>
      <c r="E78"/>
      <c r="F78"/>
      <c r="G78"/>
      <c r="H78"/>
      <c r="I78"/>
      <c r="J78"/>
      <c r="K78"/>
    </row>
    <row r="79" spans="1:15" ht="15" x14ac:dyDescent="0.2">
      <c r="A79"/>
      <c r="B79"/>
      <c r="C79"/>
      <c r="D79"/>
      <c r="E79"/>
      <c r="F79"/>
      <c r="G79"/>
      <c r="H79"/>
      <c r="I79"/>
      <c r="J79"/>
      <c r="K79"/>
    </row>
    <row r="80" spans="1:15" ht="15" x14ac:dyDescent="0.2">
      <c r="A80"/>
      <c r="B80"/>
      <c r="C80"/>
      <c r="D80"/>
      <c r="E80"/>
      <c r="F80"/>
      <c r="G80"/>
      <c r="H80"/>
      <c r="I80"/>
      <c r="J80"/>
      <c r="K80"/>
    </row>
    <row r="81" spans="1:11" ht="15" x14ac:dyDescent="0.2">
      <c r="A81"/>
      <c r="B81"/>
      <c r="C81"/>
      <c r="D81"/>
      <c r="E81"/>
      <c r="F81"/>
      <c r="G81"/>
      <c r="H81"/>
      <c r="I81"/>
      <c r="J81"/>
      <c r="K81"/>
    </row>
    <row r="82" spans="1:11" ht="15" x14ac:dyDescent="0.2">
      <c r="A82"/>
      <c r="B82"/>
      <c r="C82"/>
      <c r="D82"/>
      <c r="E82"/>
      <c r="F82"/>
      <c r="G82"/>
      <c r="H82"/>
      <c r="I82"/>
      <c r="J82"/>
      <c r="K82"/>
    </row>
    <row r="83" spans="1:11" ht="15" x14ac:dyDescent="0.2">
      <c r="A83"/>
      <c r="B83"/>
      <c r="C83"/>
      <c r="D83"/>
      <c r="E83"/>
      <c r="F83"/>
      <c r="G83"/>
      <c r="H83"/>
      <c r="I83"/>
      <c r="J83"/>
      <c r="K83"/>
    </row>
    <row r="84" spans="1:11" ht="15" x14ac:dyDescent="0.2">
      <c r="A84"/>
      <c r="B84"/>
      <c r="C84"/>
      <c r="D84"/>
      <c r="E84"/>
      <c r="F84"/>
      <c r="G84"/>
      <c r="H84"/>
      <c r="I84"/>
      <c r="J84"/>
      <c r="K84"/>
    </row>
    <row r="85" spans="1:11" ht="15" x14ac:dyDescent="0.2">
      <c r="A85"/>
      <c r="B85"/>
      <c r="C85"/>
      <c r="D85"/>
      <c r="E85"/>
      <c r="F85"/>
      <c r="G85"/>
      <c r="H85"/>
      <c r="I85"/>
      <c r="J85"/>
      <c r="K85"/>
    </row>
    <row r="86" spans="1:11" ht="15" x14ac:dyDescent="0.2">
      <c r="A86"/>
      <c r="B86"/>
      <c r="C86"/>
      <c r="D86"/>
      <c r="E86"/>
      <c r="F86"/>
      <c r="G86"/>
      <c r="H86"/>
      <c r="I86"/>
      <c r="J86"/>
      <c r="K86"/>
    </row>
    <row r="87" spans="1:11" ht="15" x14ac:dyDescent="0.2">
      <c r="A87"/>
      <c r="B87"/>
      <c r="C87"/>
      <c r="D87"/>
      <c r="E87"/>
      <c r="F87"/>
      <c r="G87"/>
      <c r="H87"/>
      <c r="I87"/>
      <c r="J87"/>
      <c r="K87"/>
    </row>
    <row r="88" spans="1:11" ht="15" x14ac:dyDescent="0.2">
      <c r="A88"/>
      <c r="B88"/>
      <c r="C88"/>
      <c r="D88"/>
      <c r="E88"/>
      <c r="F88"/>
      <c r="G88"/>
      <c r="H88"/>
      <c r="I88"/>
      <c r="J88"/>
      <c r="K88"/>
    </row>
    <row r="89" spans="1:11" ht="15" x14ac:dyDescent="0.2">
      <c r="A89"/>
      <c r="B89"/>
      <c r="C89"/>
      <c r="D89"/>
      <c r="E89"/>
      <c r="F89"/>
      <c r="G89"/>
      <c r="H89"/>
      <c r="I89"/>
      <c r="J89"/>
      <c r="K89"/>
    </row>
    <row r="90" spans="1:11" ht="15" x14ac:dyDescent="0.2">
      <c r="A90"/>
      <c r="B90"/>
      <c r="C90"/>
      <c r="D90"/>
      <c r="E90"/>
      <c r="F90"/>
      <c r="G90"/>
      <c r="H90"/>
      <c r="I90"/>
      <c r="J90"/>
      <c r="K90"/>
    </row>
    <row r="91" spans="1:11" ht="15" x14ac:dyDescent="0.2">
      <c r="A91"/>
      <c r="B91"/>
      <c r="C91"/>
      <c r="D91"/>
      <c r="E91"/>
      <c r="F91"/>
      <c r="G91"/>
      <c r="H91"/>
      <c r="I91"/>
      <c r="J91"/>
      <c r="K91"/>
    </row>
    <row r="92" spans="1:11" ht="15" x14ac:dyDescent="0.2">
      <c r="A92"/>
      <c r="B92"/>
      <c r="C92"/>
      <c r="D92"/>
      <c r="E92"/>
      <c r="F92"/>
      <c r="G92"/>
      <c r="H92"/>
      <c r="I92"/>
      <c r="J92"/>
      <c r="K92"/>
    </row>
    <row r="93" spans="1:11" ht="15" x14ac:dyDescent="0.2">
      <c r="A93"/>
      <c r="B93"/>
      <c r="C93"/>
      <c r="D93"/>
      <c r="E93"/>
      <c r="F93"/>
      <c r="G93"/>
      <c r="H93"/>
      <c r="I93"/>
      <c r="J93"/>
      <c r="K93"/>
    </row>
    <row r="94" spans="1:11" ht="15" x14ac:dyDescent="0.2">
      <c r="A94"/>
      <c r="B94"/>
      <c r="C94"/>
      <c r="D94"/>
      <c r="E94"/>
      <c r="F94"/>
      <c r="G94"/>
      <c r="H94"/>
      <c r="I94"/>
      <c r="J94"/>
      <c r="K94"/>
    </row>
    <row r="95" spans="1:11" ht="15" x14ac:dyDescent="0.2">
      <c r="A95"/>
      <c r="B95"/>
      <c r="C95"/>
      <c r="D95"/>
      <c r="E95"/>
      <c r="F95"/>
      <c r="G95"/>
      <c r="H95"/>
      <c r="I95"/>
      <c r="J95"/>
      <c r="K95"/>
    </row>
    <row r="96" spans="1:11" ht="15" x14ac:dyDescent="0.2">
      <c r="A96"/>
      <c r="B96"/>
      <c r="C96"/>
      <c r="D96"/>
      <c r="E96"/>
      <c r="F96"/>
      <c r="G96"/>
      <c r="H96"/>
      <c r="I96"/>
      <c r="J96"/>
      <c r="K96"/>
    </row>
    <row r="97" spans="1:11" ht="15" x14ac:dyDescent="0.2">
      <c r="A97"/>
      <c r="B97"/>
      <c r="C97"/>
      <c r="D97"/>
      <c r="E97"/>
      <c r="F97"/>
      <c r="G97"/>
      <c r="H97"/>
      <c r="I97"/>
      <c r="J97"/>
      <c r="K97"/>
    </row>
    <row r="98" spans="1:11" ht="15" x14ac:dyDescent="0.2">
      <c r="A98"/>
      <c r="B98"/>
      <c r="C98"/>
      <c r="D98"/>
      <c r="E98"/>
      <c r="F98"/>
      <c r="G98"/>
      <c r="H98"/>
      <c r="I98"/>
      <c r="J98"/>
      <c r="K98"/>
    </row>
    <row r="99" spans="1:11" ht="15" x14ac:dyDescent="0.2">
      <c r="A99"/>
      <c r="B99"/>
      <c r="C99"/>
      <c r="D99"/>
      <c r="E99"/>
      <c r="F99"/>
      <c r="G99"/>
      <c r="H99"/>
      <c r="I99"/>
      <c r="J99"/>
      <c r="K9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10F5C-A8F7-4D53-98A2-C8597D856A66}">
  <sheetPr codeName="Hoja6">
    <tabColor theme="2" tint="-9.9978637043366805E-2"/>
  </sheetPr>
  <dimension ref="A1:Q18"/>
  <sheetViews>
    <sheetView workbookViewId="0">
      <selection activeCell="J4" sqref="J4"/>
    </sheetView>
  </sheetViews>
  <sheetFormatPr baseColWidth="10" defaultColWidth="11.5" defaultRowHeight="15" x14ac:dyDescent="0.2"/>
  <cols>
    <col min="1" max="1" width="19.5" bestFit="1" customWidth="1"/>
    <col min="3" max="3" width="8.5" customWidth="1"/>
    <col min="4" max="5" width="10.5" customWidth="1"/>
    <col min="10" max="10" width="21.5" bestFit="1" customWidth="1"/>
    <col min="11" max="11" width="11.5" style="11"/>
    <col min="16" max="16" width="42.5" customWidth="1"/>
  </cols>
  <sheetData>
    <row r="1" spans="1:17" ht="32" x14ac:dyDescent="0.2">
      <c r="A1" s="2" t="s">
        <v>494</v>
      </c>
      <c r="B1" s="2" t="s">
        <v>495</v>
      </c>
      <c r="C1" s="2" t="s">
        <v>496</v>
      </c>
      <c r="D1" s="2" t="s">
        <v>497</v>
      </c>
      <c r="F1" s="2" t="s">
        <v>498</v>
      </c>
      <c r="G1" s="2" t="s">
        <v>499</v>
      </c>
      <c r="H1" s="2" t="s">
        <v>500</v>
      </c>
      <c r="J1" s="2" t="s">
        <v>501</v>
      </c>
      <c r="K1" s="2" t="s">
        <v>502</v>
      </c>
      <c r="N1" s="16" t="s">
        <v>51</v>
      </c>
      <c r="O1" s="16" t="s">
        <v>50</v>
      </c>
      <c r="P1" s="16" t="s">
        <v>503</v>
      </c>
      <c r="Q1" s="16" t="s">
        <v>500</v>
      </c>
    </row>
    <row r="2" spans="1:17" ht="16" x14ac:dyDescent="0.2">
      <c r="A2" s="1" t="s">
        <v>504</v>
      </c>
      <c r="B2" s="1" t="s">
        <v>505</v>
      </c>
      <c r="C2" s="1" t="s">
        <v>251</v>
      </c>
      <c r="D2" s="12" t="s">
        <v>506</v>
      </c>
      <c r="F2" s="1" t="s">
        <v>507</v>
      </c>
      <c r="G2" s="12" t="s">
        <v>508</v>
      </c>
      <c r="H2" s="1" t="s">
        <v>509</v>
      </c>
      <c r="J2" s="1" t="s">
        <v>510</v>
      </c>
      <c r="K2" s="12">
        <v>10</v>
      </c>
      <c r="N2" s="17" t="s">
        <v>235</v>
      </c>
      <c r="O2" s="17" t="s">
        <v>236</v>
      </c>
      <c r="P2" s="17" t="s">
        <v>511</v>
      </c>
      <c r="Q2" s="18" t="s">
        <v>512</v>
      </c>
    </row>
    <row r="3" spans="1:17" ht="16" x14ac:dyDescent="0.2">
      <c r="A3" s="1" t="s">
        <v>513</v>
      </c>
      <c r="B3" s="1" t="s">
        <v>514</v>
      </c>
      <c r="C3" s="1" t="s">
        <v>235</v>
      </c>
      <c r="D3" s="12" t="s">
        <v>515</v>
      </c>
      <c r="F3" s="1" t="s">
        <v>516</v>
      </c>
      <c r="G3" s="12" t="s">
        <v>517</v>
      </c>
      <c r="H3" s="1" t="s">
        <v>518</v>
      </c>
      <c r="J3" s="1" t="s">
        <v>519</v>
      </c>
      <c r="K3" s="12">
        <v>20</v>
      </c>
      <c r="N3" s="8" t="s">
        <v>235</v>
      </c>
      <c r="O3" s="8" t="s">
        <v>236</v>
      </c>
      <c r="P3" s="8" t="s">
        <v>520</v>
      </c>
      <c r="Q3" s="8" t="s">
        <v>512</v>
      </c>
    </row>
    <row r="4" spans="1:17" ht="16" x14ac:dyDescent="0.2">
      <c r="A4" s="1" t="s">
        <v>521</v>
      </c>
      <c r="B4" s="1" t="s">
        <v>522</v>
      </c>
      <c r="C4" s="1" t="s">
        <v>523</v>
      </c>
      <c r="D4" s="12" t="s">
        <v>524</v>
      </c>
      <c r="F4" s="1" t="s">
        <v>525</v>
      </c>
      <c r="G4" s="5"/>
      <c r="J4" s="1" t="s">
        <v>526</v>
      </c>
      <c r="K4" s="12">
        <v>30</v>
      </c>
      <c r="N4" s="17" t="s">
        <v>251</v>
      </c>
      <c r="O4" s="17" t="s">
        <v>254</v>
      </c>
      <c r="P4" s="17" t="s">
        <v>527</v>
      </c>
      <c r="Q4" s="17" t="s">
        <v>512</v>
      </c>
    </row>
    <row r="5" spans="1:17" ht="16" x14ac:dyDescent="0.2">
      <c r="A5" s="1" t="s">
        <v>528</v>
      </c>
      <c r="C5" s="1" t="s">
        <v>465</v>
      </c>
      <c r="D5" s="12" t="s">
        <v>529</v>
      </c>
      <c r="G5" s="5"/>
      <c r="J5" s="1" t="s">
        <v>530</v>
      </c>
      <c r="K5" s="12">
        <v>40</v>
      </c>
      <c r="N5" s="8" t="s">
        <v>251</v>
      </c>
      <c r="O5" s="8" t="s">
        <v>531</v>
      </c>
      <c r="P5" s="8" t="s">
        <v>532</v>
      </c>
      <c r="Q5" s="7" t="s">
        <v>512</v>
      </c>
    </row>
    <row r="6" spans="1:17" ht="16" x14ac:dyDescent="0.2">
      <c r="A6" s="1" t="s">
        <v>533</v>
      </c>
      <c r="D6" s="5"/>
      <c r="G6" s="5"/>
      <c r="J6" s="1" t="s">
        <v>534</v>
      </c>
      <c r="K6" s="12">
        <v>50</v>
      </c>
      <c r="N6" s="17" t="s">
        <v>251</v>
      </c>
      <c r="O6" s="17" t="s">
        <v>250</v>
      </c>
      <c r="P6" s="17" t="s">
        <v>535</v>
      </c>
      <c r="Q6" s="17" t="s">
        <v>504</v>
      </c>
    </row>
    <row r="7" spans="1:17" ht="16" x14ac:dyDescent="0.2">
      <c r="D7" s="5"/>
      <c r="J7" s="1" t="s">
        <v>536</v>
      </c>
      <c r="K7" s="12">
        <v>60</v>
      </c>
      <c r="N7" s="13" t="s">
        <v>251</v>
      </c>
      <c r="O7" s="13" t="s">
        <v>250</v>
      </c>
      <c r="P7" s="13" t="s">
        <v>44</v>
      </c>
      <c r="Q7" s="7" t="s">
        <v>512</v>
      </c>
    </row>
    <row r="8" spans="1:17" ht="16" x14ac:dyDescent="0.2">
      <c r="J8" s="1" t="s">
        <v>537</v>
      </c>
      <c r="K8" s="12">
        <v>70</v>
      </c>
      <c r="N8" s="17" t="s">
        <v>251</v>
      </c>
      <c r="O8" s="17" t="s">
        <v>250</v>
      </c>
      <c r="P8" s="17" t="s">
        <v>538</v>
      </c>
      <c r="Q8" s="18" t="s">
        <v>512</v>
      </c>
    </row>
    <row r="9" spans="1:17" ht="16" x14ac:dyDescent="0.2">
      <c r="J9" s="1" t="s">
        <v>539</v>
      </c>
      <c r="K9" s="12">
        <v>80</v>
      </c>
      <c r="N9" s="8" t="s">
        <v>251</v>
      </c>
      <c r="O9" s="8" t="s">
        <v>250</v>
      </c>
      <c r="P9" s="8" t="s">
        <v>540</v>
      </c>
      <c r="Q9" s="8" t="s">
        <v>512</v>
      </c>
    </row>
    <row r="10" spans="1:17" ht="16" x14ac:dyDescent="0.2">
      <c r="J10" s="1" t="s">
        <v>541</v>
      </c>
      <c r="K10" s="12">
        <v>90</v>
      </c>
      <c r="N10" s="17" t="s">
        <v>251</v>
      </c>
      <c r="O10" s="17" t="s">
        <v>291</v>
      </c>
      <c r="P10" s="17" t="s">
        <v>542</v>
      </c>
      <c r="Q10" s="18" t="s">
        <v>504</v>
      </c>
    </row>
    <row r="11" spans="1:17" x14ac:dyDescent="0.2">
      <c r="N11" s="8" t="s">
        <v>251</v>
      </c>
      <c r="O11" s="8" t="s">
        <v>291</v>
      </c>
      <c r="P11" s="8" t="s">
        <v>543</v>
      </c>
      <c r="Q11" s="7" t="s">
        <v>504</v>
      </c>
    </row>
    <row r="12" spans="1:17" x14ac:dyDescent="0.2">
      <c r="N12" s="17" t="s">
        <v>251</v>
      </c>
      <c r="O12" s="19" t="s">
        <v>291</v>
      </c>
      <c r="P12" s="19" t="s">
        <v>544</v>
      </c>
      <c r="Q12" s="19" t="s">
        <v>504</v>
      </c>
    </row>
    <row r="13" spans="1:17" x14ac:dyDescent="0.2">
      <c r="N13" s="8" t="s">
        <v>251</v>
      </c>
      <c r="O13" s="8" t="s">
        <v>291</v>
      </c>
      <c r="P13" s="8" t="s">
        <v>545</v>
      </c>
      <c r="Q13" s="8" t="s">
        <v>504</v>
      </c>
    </row>
    <row r="14" spans="1:17" x14ac:dyDescent="0.2">
      <c r="N14" s="17" t="s">
        <v>251</v>
      </c>
      <c r="O14" s="17" t="s">
        <v>305</v>
      </c>
      <c r="P14" s="17" t="s">
        <v>546</v>
      </c>
      <c r="Q14" s="18" t="s">
        <v>512</v>
      </c>
    </row>
    <row r="15" spans="1:17" x14ac:dyDescent="0.2">
      <c r="N15" s="8" t="s">
        <v>318</v>
      </c>
      <c r="O15" s="8"/>
      <c r="P15" s="13" t="s">
        <v>547</v>
      </c>
      <c r="Q15" s="7" t="s">
        <v>512</v>
      </c>
    </row>
    <row r="16" spans="1:17" ht="27.5" customHeight="1" x14ac:dyDescent="0.2">
      <c r="N16" s="17" t="s">
        <v>318</v>
      </c>
      <c r="O16" s="17" t="s">
        <v>548</v>
      </c>
      <c r="P16" s="17" t="s">
        <v>549</v>
      </c>
      <c r="Q16" s="17" t="s">
        <v>504</v>
      </c>
    </row>
    <row r="17" spans="14:17" x14ac:dyDescent="0.2">
      <c r="N17" s="8" t="s">
        <v>318</v>
      </c>
      <c r="O17" s="8" t="s">
        <v>331</v>
      </c>
      <c r="P17" s="13" t="s">
        <v>550</v>
      </c>
      <c r="Q17" s="17" t="s">
        <v>504</v>
      </c>
    </row>
    <row r="18" spans="14:17" ht="18.5" customHeight="1" x14ac:dyDescent="0.2">
      <c r="N18" s="17" t="s">
        <v>251</v>
      </c>
      <c r="O18" s="17" t="s">
        <v>254</v>
      </c>
      <c r="P18" s="17" t="s">
        <v>551</v>
      </c>
      <c r="Q18" s="17" t="s">
        <v>504</v>
      </c>
    </row>
  </sheetData>
  <conditionalFormatting sqref="Q1:Q9 Q11:Q18">
    <cfRule type="containsText" dxfId="2" priority="2" operator="containsText" text="En proceso">
      <formula>NOT(ISERROR(SEARCH("En proceso",Q1)))</formula>
    </cfRule>
    <cfRule type="containsText" dxfId="1" priority="3" operator="containsText" text="Culminado">
      <formula>NOT(ISERROR(SEARCH("Culminado",Q1)))</formula>
    </cfRule>
  </conditionalFormatting>
  <conditionalFormatting sqref="Q1:Q18">
    <cfRule type="cellIs" dxfId="0" priority="1" operator="equal">
      <formula>"Propuesta"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5F92C-8891-4F1F-B9F8-6F5A92732365}">
  <sheetPr codeName="Hoja8">
    <tabColor rgb="FFC00000"/>
  </sheetPr>
  <dimension ref="B1:S31"/>
  <sheetViews>
    <sheetView workbookViewId="0">
      <selection activeCell="H26" sqref="H26"/>
    </sheetView>
  </sheetViews>
  <sheetFormatPr baseColWidth="10" defaultColWidth="11.5" defaultRowHeight="13" x14ac:dyDescent="0.15"/>
  <cols>
    <col min="1" max="1" width="2.6640625" style="105" customWidth="1"/>
    <col min="2" max="2" width="3" style="105" bestFit="1" customWidth="1"/>
    <col min="3" max="3" width="11.5" style="105"/>
    <col min="4" max="10" width="14.6640625" style="105" customWidth="1"/>
    <col min="11" max="11" width="2.33203125" style="105" customWidth="1"/>
    <col min="12" max="12" width="17.6640625" style="105" bestFit="1" customWidth="1"/>
    <col min="13" max="16384" width="11.5" style="105"/>
  </cols>
  <sheetData>
    <row r="1" spans="2:19" ht="14" thickBot="1" x14ac:dyDescent="0.2"/>
    <row r="2" spans="2:19" ht="15" thickBot="1" x14ac:dyDescent="0.25">
      <c r="B2" s="106" t="s">
        <v>621</v>
      </c>
      <c r="C2" s="107" t="s">
        <v>620</v>
      </c>
      <c r="D2" s="107" t="s">
        <v>552</v>
      </c>
      <c r="E2" s="107" t="s">
        <v>617</v>
      </c>
      <c r="F2" s="107" t="s">
        <v>618</v>
      </c>
      <c r="G2" s="107" t="s">
        <v>623</v>
      </c>
      <c r="H2" s="107" t="s">
        <v>624</v>
      </c>
      <c r="I2" s="107" t="s">
        <v>625</v>
      </c>
      <c r="J2" s="108" t="s">
        <v>619</v>
      </c>
      <c r="L2" s="109" t="s">
        <v>622</v>
      </c>
      <c r="M2" s="104"/>
    </row>
    <row r="3" spans="2:19" ht="14" thickBot="1" x14ac:dyDescent="0.2">
      <c r="B3" s="110">
        <v>1</v>
      </c>
      <c r="C3" s="111" t="s">
        <v>608</v>
      </c>
      <c r="D3" s="112"/>
      <c r="E3" s="112"/>
      <c r="F3" s="112"/>
      <c r="G3" s="113"/>
      <c r="H3" s="113"/>
      <c r="I3" s="113"/>
      <c r="J3" s="114"/>
      <c r="K3" s="115"/>
      <c r="Q3" s="116"/>
      <c r="R3" s="116"/>
      <c r="S3" s="116"/>
    </row>
    <row r="4" spans="2:19" x14ac:dyDescent="0.15">
      <c r="B4" s="117">
        <v>2</v>
      </c>
      <c r="C4" s="118" t="s">
        <v>609</v>
      </c>
      <c r="D4" s="119"/>
      <c r="E4" s="119"/>
      <c r="F4" s="119"/>
      <c r="G4" s="120"/>
      <c r="H4" s="120"/>
      <c r="I4" s="120"/>
      <c r="J4" s="121"/>
      <c r="K4" s="115"/>
      <c r="L4" s="122" t="s">
        <v>626</v>
      </c>
      <c r="M4" s="123">
        <f>+F15+H15</f>
        <v>0</v>
      </c>
      <c r="Q4" s="116"/>
      <c r="R4" s="116"/>
      <c r="S4" s="116"/>
    </row>
    <row r="5" spans="2:19" x14ac:dyDescent="0.15">
      <c r="B5" s="117">
        <v>3</v>
      </c>
      <c r="C5" s="118" t="s">
        <v>610</v>
      </c>
      <c r="D5" s="119"/>
      <c r="E5" s="119"/>
      <c r="F5" s="119"/>
      <c r="G5" s="120"/>
      <c r="H5" s="120"/>
      <c r="I5" s="120"/>
      <c r="J5" s="121"/>
      <c r="K5" s="115"/>
      <c r="L5" s="124" t="s">
        <v>627</v>
      </c>
      <c r="M5" s="125">
        <f>+G15+I15</f>
        <v>0</v>
      </c>
      <c r="Q5" s="116"/>
      <c r="R5" s="116"/>
      <c r="S5" s="116"/>
    </row>
    <row r="6" spans="2:19" ht="14" thickBot="1" x14ac:dyDescent="0.2">
      <c r="B6" s="117">
        <v>4</v>
      </c>
      <c r="C6" s="118" t="s">
        <v>611</v>
      </c>
      <c r="D6" s="119"/>
      <c r="E6" s="119"/>
      <c r="F6" s="119"/>
      <c r="G6" s="120"/>
      <c r="H6" s="120"/>
      <c r="I6" s="120"/>
      <c r="J6" s="121"/>
      <c r="K6" s="115"/>
      <c r="L6" s="126" t="s">
        <v>628</v>
      </c>
      <c r="M6" s="127">
        <f>+M4+M5</f>
        <v>0</v>
      </c>
      <c r="Q6" s="116"/>
      <c r="R6" s="116"/>
      <c r="S6" s="116"/>
    </row>
    <row r="7" spans="2:19" x14ac:dyDescent="0.15">
      <c r="B7" s="117">
        <v>5</v>
      </c>
      <c r="C7" s="118" t="s">
        <v>612</v>
      </c>
      <c r="D7" s="119"/>
      <c r="E7" s="119"/>
      <c r="F7" s="119"/>
      <c r="G7" s="120"/>
      <c r="H7" s="120"/>
      <c r="I7" s="120"/>
      <c r="J7" s="121"/>
      <c r="K7" s="115"/>
      <c r="Q7" s="116"/>
      <c r="R7" s="116"/>
      <c r="S7" s="116"/>
    </row>
    <row r="8" spans="2:19" x14ac:dyDescent="0.15">
      <c r="B8" s="117">
        <v>6</v>
      </c>
      <c r="C8" s="118" t="s">
        <v>613</v>
      </c>
      <c r="D8" s="119"/>
      <c r="E8" s="119"/>
      <c r="F8" s="119"/>
      <c r="G8" s="120"/>
      <c r="H8" s="120"/>
      <c r="I8" s="120"/>
      <c r="J8" s="121"/>
      <c r="K8" s="115"/>
      <c r="Q8" s="116"/>
      <c r="R8" s="116"/>
      <c r="S8" s="116"/>
    </row>
    <row r="9" spans="2:19" x14ac:dyDescent="0.15">
      <c r="B9" s="117">
        <v>7</v>
      </c>
      <c r="C9" s="118" t="s">
        <v>614</v>
      </c>
      <c r="D9" s="119"/>
      <c r="E9" s="119"/>
      <c r="F9" s="119"/>
      <c r="G9" s="120"/>
      <c r="H9" s="120"/>
      <c r="I9" s="120"/>
      <c r="J9" s="121"/>
      <c r="K9" s="115"/>
      <c r="Q9" s="116"/>
      <c r="R9" s="116"/>
      <c r="S9" s="116"/>
    </row>
    <row r="10" spans="2:19" x14ac:dyDescent="0.15">
      <c r="B10" s="117">
        <v>8</v>
      </c>
      <c r="C10" s="118" t="s">
        <v>615</v>
      </c>
      <c r="D10" s="119"/>
      <c r="E10" s="119"/>
      <c r="F10" s="119"/>
      <c r="G10" s="120"/>
      <c r="H10" s="120"/>
      <c r="I10" s="120"/>
      <c r="J10" s="121"/>
      <c r="K10" s="115"/>
      <c r="Q10" s="116"/>
      <c r="R10" s="116"/>
      <c r="S10" s="116"/>
    </row>
    <row r="11" spans="2:19" x14ac:dyDescent="0.15">
      <c r="B11" s="117">
        <v>9</v>
      </c>
      <c r="C11" s="118" t="s">
        <v>616</v>
      </c>
      <c r="D11" s="119"/>
      <c r="E11" s="119"/>
      <c r="F11" s="119"/>
      <c r="G11" s="120"/>
      <c r="H11" s="120"/>
      <c r="I11" s="120"/>
      <c r="J11" s="121"/>
      <c r="K11" s="115"/>
      <c r="Q11" s="116"/>
      <c r="R11" s="116"/>
      <c r="S11" s="116"/>
    </row>
    <row r="12" spans="2:19" x14ac:dyDescent="0.15">
      <c r="B12" s="117">
        <v>10</v>
      </c>
      <c r="C12" s="118" t="s">
        <v>694</v>
      </c>
      <c r="D12" s="119"/>
      <c r="E12" s="119"/>
      <c r="F12" s="119"/>
      <c r="G12" s="120"/>
      <c r="H12" s="120"/>
      <c r="I12" s="120"/>
      <c r="J12" s="121"/>
      <c r="K12" s="115"/>
      <c r="Q12" s="116"/>
      <c r="R12" s="116"/>
      <c r="S12" s="116"/>
    </row>
    <row r="13" spans="2:19" x14ac:dyDescent="0.15">
      <c r="B13" s="117">
        <v>11</v>
      </c>
      <c r="C13" s="118" t="s">
        <v>695</v>
      </c>
      <c r="D13" s="119"/>
      <c r="E13" s="119"/>
      <c r="F13" s="119"/>
      <c r="G13" s="120"/>
      <c r="H13" s="120"/>
      <c r="I13" s="120"/>
      <c r="J13" s="121"/>
      <c r="K13" s="115"/>
      <c r="Q13" s="116"/>
      <c r="R13" s="116"/>
      <c r="S13" s="116"/>
    </row>
    <row r="14" spans="2:19" x14ac:dyDescent="0.15">
      <c r="B14" s="117">
        <v>12</v>
      </c>
      <c r="C14" s="118" t="s">
        <v>696</v>
      </c>
      <c r="D14" s="119"/>
      <c r="E14" s="119"/>
      <c r="F14" s="119"/>
      <c r="G14" s="120"/>
      <c r="H14" s="120"/>
      <c r="I14" s="120"/>
      <c r="J14" s="121"/>
      <c r="K14" s="115"/>
      <c r="Q14" s="116"/>
      <c r="R14" s="116"/>
      <c r="S14" s="116"/>
    </row>
    <row r="15" spans="2:19" ht="15" customHeight="1" thickBot="1" x14ac:dyDescent="0.2">
      <c r="B15" s="177" t="s">
        <v>629</v>
      </c>
      <c r="C15" s="178"/>
      <c r="D15" s="128">
        <f>SUM(D3:D14)</f>
        <v>0</v>
      </c>
      <c r="E15" s="128">
        <f t="shared" ref="E15:J15" si="0">SUM(E3:E14)</f>
        <v>0</v>
      </c>
      <c r="F15" s="128">
        <f t="shared" si="0"/>
        <v>0</v>
      </c>
      <c r="G15" s="128">
        <f t="shared" si="0"/>
        <v>0</v>
      </c>
      <c r="H15" s="128">
        <f t="shared" si="0"/>
        <v>0</v>
      </c>
      <c r="I15" s="128">
        <f t="shared" si="0"/>
        <v>0</v>
      </c>
      <c r="J15" s="128">
        <f t="shared" si="0"/>
        <v>0</v>
      </c>
      <c r="K15" s="115"/>
      <c r="Q15" s="116"/>
      <c r="R15" s="116"/>
      <c r="S15" s="116"/>
    </row>
    <row r="17" spans="5:10" x14ac:dyDescent="0.15">
      <c r="E17" s="115"/>
      <c r="F17" s="115"/>
    </row>
    <row r="18" spans="5:10" x14ac:dyDescent="0.15">
      <c r="F18" s="115"/>
    </row>
    <row r="19" spans="5:10" x14ac:dyDescent="0.15">
      <c r="F19" s="115"/>
      <c r="G19" s="115"/>
      <c r="H19" s="115"/>
      <c r="I19" s="115"/>
    </row>
    <row r="20" spans="5:10" x14ac:dyDescent="0.15">
      <c r="J20" s="115"/>
    </row>
    <row r="31" spans="5:10" x14ac:dyDescent="0.15">
      <c r="I31" s="129"/>
    </row>
  </sheetData>
  <mergeCells count="1">
    <mergeCell ref="B15:C15"/>
  </mergeCells>
  <phoneticPr fontId="2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348A0-C9AC-4CAA-A346-E0B2F464E736}">
  <sheetPr>
    <tabColor rgb="FFFFC000"/>
  </sheetPr>
  <dimension ref="A1:Q610"/>
  <sheetViews>
    <sheetView showGridLines="0" topLeftCell="B1" zoomScale="80" zoomScaleNormal="80" workbookViewId="0">
      <selection activeCell="I34" sqref="I34"/>
    </sheetView>
  </sheetViews>
  <sheetFormatPr baseColWidth="10" defaultColWidth="11.5" defaultRowHeight="13" x14ac:dyDescent="0.15"/>
  <cols>
    <col min="1" max="1" width="19.6640625" style="62" bestFit="1" customWidth="1"/>
    <col min="2" max="2" width="44.5" style="62" bestFit="1" customWidth="1"/>
    <col min="3" max="6" width="17.5" style="62" customWidth="1"/>
    <col min="7" max="8" width="16.33203125" style="62" customWidth="1"/>
    <col min="9" max="9" width="20.33203125" style="62" customWidth="1"/>
    <col min="10" max="10" width="13.83203125" style="62" customWidth="1"/>
    <col min="11" max="11" width="22.6640625" style="62" bestFit="1" customWidth="1"/>
    <col min="12" max="12" width="21.5" style="62" bestFit="1" customWidth="1"/>
    <col min="13" max="13" width="16.6640625" style="62" customWidth="1"/>
    <col min="14" max="14" width="19.5" style="62" customWidth="1"/>
    <col min="15" max="15" width="16.6640625" style="62" customWidth="1"/>
    <col min="16" max="16" width="8.33203125" style="62" bestFit="1" customWidth="1"/>
    <col min="17" max="17" width="6.5" style="62" bestFit="1" customWidth="1"/>
    <col min="18" max="144" width="22.5" style="62" bestFit="1" customWidth="1"/>
    <col min="145" max="145" width="12.5" style="62" bestFit="1" customWidth="1"/>
    <col min="146" max="16384" width="11.5" style="62"/>
  </cols>
  <sheetData>
    <row r="1" spans="1:17" ht="15" x14ac:dyDescent="0.2">
      <c r="A1"/>
      <c r="B1"/>
      <c r="C1"/>
      <c r="D1"/>
      <c r="E1"/>
      <c r="F1"/>
      <c r="G1"/>
      <c r="H1"/>
      <c r="I1"/>
      <c r="J1"/>
      <c r="M1"/>
      <c r="N1"/>
      <c r="O1"/>
      <c r="P1"/>
      <c r="Q1"/>
    </row>
    <row r="2" spans="1:17" ht="15" x14ac:dyDescent="0.2">
      <c r="A2" s="164" t="s">
        <v>60</v>
      </c>
      <c r="B2" s="165" t="s">
        <v>69</v>
      </c>
      <c r="C2"/>
      <c r="D2"/>
      <c r="E2"/>
      <c r="F2"/>
      <c r="G2"/>
      <c r="H2"/>
      <c r="I2"/>
      <c r="J2"/>
      <c r="K2" s="164" t="s">
        <v>60</v>
      </c>
      <c r="L2" s="165" t="s">
        <v>69</v>
      </c>
      <c r="M2"/>
      <c r="N2"/>
      <c r="O2"/>
      <c r="P2"/>
      <c r="Q2"/>
    </row>
    <row r="3" spans="1:17" ht="15" x14ac:dyDescent="0.2">
      <c r="A3"/>
      <c r="B3"/>
      <c r="C3"/>
      <c r="D3"/>
      <c r="E3"/>
      <c r="F3"/>
      <c r="G3"/>
      <c r="H3"/>
      <c r="I3"/>
      <c r="J3"/>
      <c r="K3" s="164" t="s">
        <v>229</v>
      </c>
      <c r="L3" s="165" t="s">
        <v>700</v>
      </c>
      <c r="M3"/>
      <c r="N3"/>
      <c r="O3"/>
      <c r="P3"/>
      <c r="Q3"/>
    </row>
    <row r="4" spans="1:17" ht="15" x14ac:dyDescent="0.2">
      <c r="A4" s="164" t="s">
        <v>230</v>
      </c>
      <c r="B4" s="165"/>
      <c r="C4" s="165"/>
      <c r="D4" s="164" t="s">
        <v>229</v>
      </c>
      <c r="E4" s="164" t="s">
        <v>585</v>
      </c>
      <c r="F4" s="165"/>
      <c r="G4" s="165"/>
      <c r="H4" s="165"/>
      <c r="I4"/>
      <c r="J4"/>
      <c r="K4" s="164" t="s">
        <v>585</v>
      </c>
      <c r="L4" s="165" t="s">
        <v>663</v>
      </c>
      <c r="M4"/>
      <c r="N4"/>
      <c r="Q4"/>
    </row>
    <row r="5" spans="1:17" ht="15" x14ac:dyDescent="0.2">
      <c r="A5" s="165"/>
      <c r="B5" s="165"/>
      <c r="C5" s="165"/>
      <c r="D5" s="165" t="s">
        <v>692</v>
      </c>
      <c r="E5" s="165" t="s">
        <v>692</v>
      </c>
      <c r="F5" s="165" t="s">
        <v>692</v>
      </c>
      <c r="G5" s="165" t="s">
        <v>692</v>
      </c>
      <c r="H5" s="165" t="s">
        <v>177</v>
      </c>
      <c r="I5"/>
      <c r="J5"/>
      <c r="K5"/>
      <c r="L5"/>
      <c r="M5"/>
      <c r="N5"/>
      <c r="Q5"/>
    </row>
    <row r="6" spans="1:17" ht="15" x14ac:dyDescent="0.2">
      <c r="A6" s="164" t="s">
        <v>51</v>
      </c>
      <c r="B6" s="164" t="s">
        <v>232</v>
      </c>
      <c r="C6" s="164" t="s">
        <v>58</v>
      </c>
      <c r="D6" s="165" t="s">
        <v>176</v>
      </c>
      <c r="E6" s="165" t="s">
        <v>773</v>
      </c>
      <c r="F6" s="165" t="s">
        <v>785</v>
      </c>
      <c r="G6" s="165" t="s">
        <v>833</v>
      </c>
      <c r="H6" s="165"/>
      <c r="J6"/>
      <c r="K6" s="164" t="s">
        <v>51</v>
      </c>
      <c r="L6" s="165" t="s">
        <v>230</v>
      </c>
      <c r="M6"/>
      <c r="N6"/>
    </row>
    <row r="7" spans="1:17" ht="15" x14ac:dyDescent="0.2">
      <c r="A7" s="165" t="s">
        <v>235</v>
      </c>
      <c r="B7" s="165" t="s">
        <v>836</v>
      </c>
      <c r="C7" s="165">
        <v>1</v>
      </c>
      <c r="D7" s="166"/>
      <c r="E7" s="166"/>
      <c r="F7" s="166"/>
      <c r="G7" s="166">
        <v>4210</v>
      </c>
      <c r="H7" s="166">
        <v>4210</v>
      </c>
      <c r="I7" s="70"/>
      <c r="J7"/>
      <c r="K7" s="165" t="s">
        <v>251</v>
      </c>
      <c r="L7" s="166">
        <v>287268</v>
      </c>
      <c r="M7"/>
      <c r="N7"/>
      <c r="Q7"/>
    </row>
    <row r="8" spans="1:17" ht="15" x14ac:dyDescent="0.2">
      <c r="A8" s="165" t="s">
        <v>793</v>
      </c>
      <c r="B8" s="165"/>
      <c r="C8" s="165"/>
      <c r="D8" s="166"/>
      <c r="E8" s="166"/>
      <c r="F8" s="166"/>
      <c r="G8" s="166">
        <v>4210</v>
      </c>
      <c r="H8" s="166">
        <v>4210</v>
      </c>
      <c r="I8" s="70"/>
      <c r="J8"/>
      <c r="K8" s="165" t="s">
        <v>318</v>
      </c>
      <c r="L8" s="166">
        <v>194366</v>
      </c>
      <c r="M8"/>
      <c r="N8"/>
      <c r="Q8"/>
    </row>
    <row r="9" spans="1:17" ht="15" x14ac:dyDescent="0.2">
      <c r="A9" s="165" t="s">
        <v>251</v>
      </c>
      <c r="B9" s="165" t="s">
        <v>721</v>
      </c>
      <c r="C9" s="165">
        <v>3</v>
      </c>
      <c r="D9" s="166"/>
      <c r="E9" s="166"/>
      <c r="F9" s="166">
        <v>1410</v>
      </c>
      <c r="G9" s="166"/>
      <c r="H9" s="166">
        <v>1410</v>
      </c>
      <c r="I9" s="70"/>
      <c r="J9"/>
      <c r="K9" s="165" t="s">
        <v>469</v>
      </c>
      <c r="L9" s="166">
        <v>72083</v>
      </c>
      <c r="M9"/>
      <c r="N9"/>
      <c r="Q9"/>
    </row>
    <row r="10" spans="1:17" ht="15" x14ac:dyDescent="0.2">
      <c r="A10" s="165" t="s">
        <v>251</v>
      </c>
      <c r="B10" s="165" t="s">
        <v>723</v>
      </c>
      <c r="C10" s="165">
        <v>4</v>
      </c>
      <c r="D10" s="166"/>
      <c r="E10" s="166"/>
      <c r="F10" s="166"/>
      <c r="G10" s="166">
        <v>32980</v>
      </c>
      <c r="H10" s="166">
        <v>32980</v>
      </c>
      <c r="I10" s="70"/>
      <c r="J10"/>
      <c r="K10" s="165" t="s">
        <v>863</v>
      </c>
      <c r="L10" s="166">
        <v>47121</v>
      </c>
      <c r="M10"/>
      <c r="N10"/>
      <c r="O10"/>
      <c r="P10"/>
      <c r="Q10"/>
    </row>
    <row r="11" spans="1:17" ht="15" x14ac:dyDescent="0.2">
      <c r="A11" s="165" t="s">
        <v>251</v>
      </c>
      <c r="B11" s="165" t="s">
        <v>759</v>
      </c>
      <c r="C11" s="165">
        <v>1</v>
      </c>
      <c r="D11" s="168"/>
      <c r="E11" s="166"/>
      <c r="F11" s="166">
        <v>52750</v>
      </c>
      <c r="G11" s="166"/>
      <c r="H11" s="166">
        <v>52750</v>
      </c>
      <c r="I11" s="70"/>
      <c r="J11"/>
      <c r="K11" s="165" t="s">
        <v>235</v>
      </c>
      <c r="L11" s="166">
        <v>4210</v>
      </c>
      <c r="M11"/>
      <c r="N11"/>
      <c r="O11" s="68"/>
      <c r="P11" s="68"/>
      <c r="Q11"/>
    </row>
    <row r="12" spans="1:17" ht="15" x14ac:dyDescent="0.2">
      <c r="A12" s="165" t="s">
        <v>251</v>
      </c>
      <c r="B12" s="165" t="s">
        <v>759</v>
      </c>
      <c r="C12" s="165">
        <v>2</v>
      </c>
      <c r="D12" s="166"/>
      <c r="E12" s="166"/>
      <c r="F12" s="166"/>
      <c r="G12" s="166">
        <v>25350</v>
      </c>
      <c r="H12" s="166">
        <v>25350</v>
      </c>
      <c r="I12" s="70"/>
      <c r="J12"/>
      <c r="K12" s="165" t="s">
        <v>177</v>
      </c>
      <c r="L12" s="166">
        <v>605048</v>
      </c>
      <c r="M12"/>
      <c r="N12"/>
      <c r="O12" s="72"/>
      <c r="P12" s="63"/>
      <c r="Q12"/>
    </row>
    <row r="13" spans="1:17" ht="15" x14ac:dyDescent="0.2">
      <c r="A13" s="165" t="s">
        <v>251</v>
      </c>
      <c r="B13" s="165" t="s">
        <v>805</v>
      </c>
      <c r="C13" s="165">
        <v>2</v>
      </c>
      <c r="D13" s="166"/>
      <c r="E13" s="166"/>
      <c r="F13" s="166"/>
      <c r="G13" s="166">
        <v>50707</v>
      </c>
      <c r="H13" s="166">
        <v>50707</v>
      </c>
      <c r="I13" s="70"/>
      <c r="J13"/>
      <c r="K13"/>
      <c r="L13" s="63"/>
      <c r="M13"/>
      <c r="N13"/>
      <c r="O13" s="72"/>
      <c r="P13" s="65"/>
      <c r="Q13"/>
    </row>
    <row r="14" spans="1:17" ht="15" x14ac:dyDescent="0.2">
      <c r="A14" s="165" t="s">
        <v>251</v>
      </c>
      <c r="B14" s="165" t="s">
        <v>849</v>
      </c>
      <c r="C14" s="165">
        <v>1</v>
      </c>
      <c r="D14" s="166"/>
      <c r="E14" s="166"/>
      <c r="F14" s="166"/>
      <c r="G14" s="166">
        <v>17443</v>
      </c>
      <c r="H14" s="166">
        <v>17443</v>
      </c>
      <c r="I14" s="70"/>
      <c r="J14"/>
      <c r="K14"/>
      <c r="L14" s="63"/>
      <c r="M14"/>
      <c r="N14"/>
      <c r="O14" s="72"/>
      <c r="P14" s="65"/>
      <c r="Q14"/>
    </row>
    <row r="15" spans="1:17" ht="15" x14ac:dyDescent="0.2">
      <c r="A15" s="165" t="s">
        <v>251</v>
      </c>
      <c r="B15" s="165" t="s">
        <v>854</v>
      </c>
      <c r="C15" s="165">
        <v>1</v>
      </c>
      <c r="D15" s="166"/>
      <c r="E15" s="166"/>
      <c r="F15" s="166"/>
      <c r="G15" s="166">
        <v>106628</v>
      </c>
      <c r="H15" s="166">
        <v>106628</v>
      </c>
      <c r="I15" s="70"/>
      <c r="J15"/>
      <c r="K15"/>
      <c r="L15" s="63"/>
      <c r="M15"/>
      <c r="N15"/>
      <c r="Q15"/>
    </row>
    <row r="16" spans="1:17" ht="15" x14ac:dyDescent="0.2">
      <c r="A16" s="165" t="s">
        <v>775</v>
      </c>
      <c r="B16" s="165"/>
      <c r="C16" s="165"/>
      <c r="D16" s="166"/>
      <c r="E16" s="166"/>
      <c r="F16" s="166">
        <v>54160</v>
      </c>
      <c r="G16" s="166">
        <v>233108</v>
      </c>
      <c r="H16" s="166">
        <v>287268</v>
      </c>
      <c r="I16" s="70"/>
      <c r="J16"/>
      <c r="K16" s="68"/>
      <c r="L16" s="69"/>
      <c r="M16"/>
      <c r="N16"/>
      <c r="O16" s="68"/>
      <c r="P16" s="69"/>
      <c r="Q16"/>
    </row>
    <row r="17" spans="1:17" ht="15" x14ac:dyDescent="0.2">
      <c r="A17" s="165" t="s">
        <v>318</v>
      </c>
      <c r="B17" s="165" t="s">
        <v>562</v>
      </c>
      <c r="C17" s="165">
        <v>8</v>
      </c>
      <c r="D17" s="166">
        <v>20228</v>
      </c>
      <c r="E17" s="166"/>
      <c r="F17" s="166"/>
      <c r="G17" s="166"/>
      <c r="H17" s="166">
        <v>20228</v>
      </c>
      <c r="I17" s="70"/>
      <c r="J17"/>
      <c r="K17"/>
      <c r="L17"/>
      <c r="M17"/>
      <c r="N17"/>
      <c r="O17"/>
      <c r="P17"/>
      <c r="Q17"/>
    </row>
    <row r="18" spans="1:17" ht="15" x14ac:dyDescent="0.2">
      <c r="A18" s="165" t="s">
        <v>318</v>
      </c>
      <c r="B18" s="165" t="s">
        <v>674</v>
      </c>
      <c r="C18" s="165">
        <v>5</v>
      </c>
      <c r="D18" s="166"/>
      <c r="E18" s="166"/>
      <c r="F18" s="166">
        <v>15675</v>
      </c>
      <c r="G18" s="166"/>
      <c r="H18" s="166">
        <v>15675</v>
      </c>
      <c r="I18" s="70"/>
      <c r="J18"/>
      <c r="K18"/>
      <c r="L18"/>
      <c r="M18"/>
      <c r="N18"/>
      <c r="O18"/>
      <c r="P18"/>
      <c r="Q18"/>
    </row>
    <row r="19" spans="1:17" ht="15" x14ac:dyDescent="0.2">
      <c r="A19" s="165" t="s">
        <v>318</v>
      </c>
      <c r="B19" s="165" t="s">
        <v>703</v>
      </c>
      <c r="C19" s="165">
        <v>5</v>
      </c>
      <c r="D19" s="166"/>
      <c r="E19" s="166"/>
      <c r="F19" s="166"/>
      <c r="G19" s="166">
        <v>28838</v>
      </c>
      <c r="H19" s="166">
        <v>28838</v>
      </c>
      <c r="I19" s="70"/>
      <c r="J19"/>
      <c r="K19"/>
      <c r="L19"/>
      <c r="M19"/>
      <c r="N19"/>
      <c r="O19"/>
      <c r="P19"/>
      <c r="Q19"/>
    </row>
    <row r="20" spans="1:17" ht="15" x14ac:dyDescent="0.2">
      <c r="A20" s="165" t="s">
        <v>318</v>
      </c>
      <c r="B20" s="165" t="s">
        <v>705</v>
      </c>
      <c r="C20" s="165">
        <v>3</v>
      </c>
      <c r="D20" s="166"/>
      <c r="E20" s="166">
        <v>20091</v>
      </c>
      <c r="F20" s="166"/>
      <c r="G20" s="166"/>
      <c r="H20" s="166">
        <v>20091</v>
      </c>
      <c r="I20"/>
      <c r="J20"/>
      <c r="K20"/>
      <c r="L20"/>
      <c r="M20"/>
      <c r="N20"/>
      <c r="O20"/>
      <c r="P20"/>
      <c r="Q20"/>
    </row>
    <row r="21" spans="1:17" ht="15" x14ac:dyDescent="0.2">
      <c r="A21" s="165" t="s">
        <v>318</v>
      </c>
      <c r="B21" s="165" t="s">
        <v>705</v>
      </c>
      <c r="C21" s="165">
        <v>4</v>
      </c>
      <c r="D21" s="166"/>
      <c r="E21" s="166"/>
      <c r="F21" s="166">
        <v>12094</v>
      </c>
      <c r="G21" s="166"/>
      <c r="H21" s="166">
        <v>12094</v>
      </c>
      <c r="I21" s="70"/>
      <c r="J21"/>
      <c r="K21"/>
      <c r="L21"/>
      <c r="M21"/>
      <c r="N21"/>
      <c r="O21"/>
      <c r="P21"/>
      <c r="Q21"/>
    </row>
    <row r="22" spans="1:17" ht="15" x14ac:dyDescent="0.2">
      <c r="A22" s="165" t="s">
        <v>318</v>
      </c>
      <c r="B22" s="165" t="s">
        <v>769</v>
      </c>
      <c r="C22" s="165">
        <v>1</v>
      </c>
      <c r="D22" s="166"/>
      <c r="E22" s="166"/>
      <c r="F22" s="166"/>
      <c r="G22" s="166">
        <v>40271</v>
      </c>
      <c r="H22" s="166">
        <v>40271</v>
      </c>
      <c r="I22" s="70"/>
      <c r="J22"/>
      <c r="K22"/>
      <c r="L22"/>
      <c r="M22"/>
      <c r="N22"/>
      <c r="O22"/>
      <c r="P22"/>
      <c r="Q22"/>
    </row>
    <row r="23" spans="1:17" ht="15" x14ac:dyDescent="0.2">
      <c r="A23" s="165" t="s">
        <v>318</v>
      </c>
      <c r="B23" s="165" t="s">
        <v>803</v>
      </c>
      <c r="C23" s="165">
        <v>1</v>
      </c>
      <c r="D23" s="166"/>
      <c r="E23" s="166"/>
      <c r="F23" s="166">
        <v>23962</v>
      </c>
      <c r="G23" s="166"/>
      <c r="H23" s="166">
        <v>23962</v>
      </c>
      <c r="I23"/>
      <c r="J23"/>
      <c r="K23"/>
      <c r="L23"/>
      <c r="M23"/>
      <c r="N23"/>
      <c r="O23"/>
      <c r="P23"/>
      <c r="Q23"/>
    </row>
    <row r="24" spans="1:17" ht="15" x14ac:dyDescent="0.2">
      <c r="A24" s="165" t="s">
        <v>318</v>
      </c>
      <c r="B24" s="165" t="s">
        <v>803</v>
      </c>
      <c r="C24" s="165">
        <v>2</v>
      </c>
      <c r="D24" s="166"/>
      <c r="E24" s="166"/>
      <c r="F24" s="166"/>
      <c r="G24" s="166">
        <v>7741</v>
      </c>
      <c r="H24" s="166">
        <v>7741</v>
      </c>
      <c r="I24"/>
      <c r="J24"/>
      <c r="K24"/>
      <c r="L24"/>
      <c r="M24"/>
      <c r="N24"/>
      <c r="O24"/>
      <c r="P24"/>
      <c r="Q24"/>
    </row>
    <row r="25" spans="1:17" ht="15" x14ac:dyDescent="0.2">
      <c r="A25" s="165" t="s">
        <v>318</v>
      </c>
      <c r="B25" s="165" t="s">
        <v>851</v>
      </c>
      <c r="C25" s="165">
        <v>1</v>
      </c>
      <c r="D25" s="166"/>
      <c r="E25" s="166"/>
      <c r="F25" s="166"/>
      <c r="G25" s="166">
        <v>14939</v>
      </c>
      <c r="H25" s="166">
        <v>14939</v>
      </c>
      <c r="I25"/>
      <c r="J25"/>
      <c r="K25"/>
      <c r="L25"/>
      <c r="M25"/>
      <c r="N25"/>
      <c r="O25"/>
      <c r="P25"/>
      <c r="Q25"/>
    </row>
    <row r="26" spans="1:17" ht="15" x14ac:dyDescent="0.2">
      <c r="A26" s="165" t="s">
        <v>318</v>
      </c>
      <c r="B26" s="165" t="s">
        <v>865</v>
      </c>
      <c r="C26" s="165">
        <v>1</v>
      </c>
      <c r="D26" s="166"/>
      <c r="E26" s="166"/>
      <c r="F26" s="166"/>
      <c r="G26" s="166">
        <v>10527</v>
      </c>
      <c r="H26" s="166">
        <v>10527</v>
      </c>
      <c r="I26"/>
      <c r="J26"/>
      <c r="K26"/>
      <c r="L26"/>
      <c r="M26"/>
      <c r="N26"/>
      <c r="O26"/>
      <c r="P26"/>
      <c r="Q26"/>
    </row>
    <row r="27" spans="1:17" ht="15" x14ac:dyDescent="0.2">
      <c r="A27" s="165" t="s">
        <v>776</v>
      </c>
      <c r="B27" s="165"/>
      <c r="C27" s="165"/>
      <c r="D27" s="166">
        <v>20228</v>
      </c>
      <c r="E27" s="166">
        <v>20091</v>
      </c>
      <c r="F27" s="166">
        <v>51731</v>
      </c>
      <c r="G27" s="166">
        <v>102316</v>
      </c>
      <c r="H27" s="166">
        <v>194366</v>
      </c>
      <c r="I27"/>
      <c r="J27"/>
      <c r="K27"/>
      <c r="L27"/>
      <c r="M27"/>
      <c r="N27"/>
      <c r="O27"/>
      <c r="P27"/>
      <c r="Q27"/>
    </row>
    <row r="28" spans="1:17" ht="15" x14ac:dyDescent="0.2">
      <c r="A28" s="165" t="s">
        <v>469</v>
      </c>
      <c r="B28" s="165" t="s">
        <v>673</v>
      </c>
      <c r="C28" s="165">
        <v>7</v>
      </c>
      <c r="D28" s="166"/>
      <c r="E28" s="166"/>
      <c r="F28" s="166"/>
      <c r="G28" s="166">
        <v>31080</v>
      </c>
      <c r="H28" s="166">
        <v>31080</v>
      </c>
      <c r="I28"/>
      <c r="J28"/>
      <c r="K28"/>
      <c r="L28"/>
      <c r="M28"/>
      <c r="N28"/>
      <c r="O28"/>
      <c r="P28"/>
      <c r="Q28"/>
    </row>
    <row r="29" spans="1:17" ht="15" x14ac:dyDescent="0.2">
      <c r="A29" s="165" t="s">
        <v>469</v>
      </c>
      <c r="B29" s="165" t="s">
        <v>771</v>
      </c>
      <c r="C29" s="165">
        <v>3</v>
      </c>
      <c r="D29" s="166"/>
      <c r="E29" s="166"/>
      <c r="F29" s="166"/>
      <c r="G29" s="166">
        <v>41003</v>
      </c>
      <c r="H29" s="166">
        <v>41003</v>
      </c>
      <c r="I29"/>
      <c r="J29"/>
      <c r="K29"/>
      <c r="L29"/>
      <c r="M29"/>
      <c r="N29"/>
      <c r="O29"/>
      <c r="P29"/>
      <c r="Q29"/>
    </row>
    <row r="30" spans="1:17" ht="15" x14ac:dyDescent="0.2">
      <c r="A30" s="165" t="s">
        <v>784</v>
      </c>
      <c r="B30" s="165"/>
      <c r="C30" s="165"/>
      <c r="D30" s="166"/>
      <c r="E30" s="166"/>
      <c r="F30" s="166"/>
      <c r="G30" s="166">
        <v>72083</v>
      </c>
      <c r="H30" s="166">
        <v>72083</v>
      </c>
      <c r="I30"/>
      <c r="J30"/>
      <c r="K30"/>
      <c r="L30"/>
      <c r="M30"/>
      <c r="N30"/>
      <c r="O30"/>
      <c r="P30"/>
      <c r="Q30"/>
    </row>
    <row r="31" spans="1:17" ht="15" x14ac:dyDescent="0.2">
      <c r="A31" s="165" t="s">
        <v>863</v>
      </c>
      <c r="B31" s="165" t="s">
        <v>861</v>
      </c>
      <c r="C31" s="165">
        <v>1</v>
      </c>
      <c r="D31" s="166"/>
      <c r="E31" s="166"/>
      <c r="F31" s="166"/>
      <c r="G31" s="166">
        <v>47121</v>
      </c>
      <c r="H31" s="166">
        <v>47121</v>
      </c>
      <c r="I31"/>
      <c r="J31"/>
      <c r="K31"/>
      <c r="L31"/>
      <c r="M31"/>
      <c r="N31"/>
      <c r="O31"/>
      <c r="P31"/>
      <c r="Q31"/>
    </row>
    <row r="32" spans="1:17" ht="15" x14ac:dyDescent="0.2">
      <c r="A32" s="165" t="s">
        <v>867</v>
      </c>
      <c r="B32" s="165"/>
      <c r="C32" s="165"/>
      <c r="D32" s="166"/>
      <c r="E32" s="166"/>
      <c r="F32" s="166"/>
      <c r="G32" s="166">
        <v>47121</v>
      </c>
      <c r="H32" s="166">
        <v>47121</v>
      </c>
      <c r="I32"/>
      <c r="J32"/>
      <c r="K32"/>
      <c r="L32"/>
      <c r="M32"/>
      <c r="N32"/>
      <c r="O32"/>
      <c r="P32"/>
      <c r="Q32"/>
    </row>
    <row r="33" spans="1:17" ht="30" customHeight="1" x14ac:dyDescent="0.2">
      <c r="A33" s="165" t="s">
        <v>177</v>
      </c>
      <c r="B33" s="165"/>
      <c r="C33" s="165"/>
      <c r="D33" s="166">
        <v>20228</v>
      </c>
      <c r="E33" s="166">
        <v>20091</v>
      </c>
      <c r="F33" s="166">
        <v>105891</v>
      </c>
      <c r="G33" s="166">
        <v>458838</v>
      </c>
      <c r="H33" s="166">
        <v>605048</v>
      </c>
      <c r="I33" s="95"/>
      <c r="J33"/>
      <c r="K33"/>
      <c r="L33"/>
      <c r="M33"/>
      <c r="N33"/>
      <c r="O33"/>
      <c r="P33"/>
      <c r="Q33"/>
    </row>
    <row r="34" spans="1:17" ht="15" x14ac:dyDescent="0.2">
      <c r="A34"/>
      <c r="B34"/>
      <c r="C34"/>
      <c r="D34"/>
      <c r="E34"/>
      <c r="F34"/>
      <c r="G34"/>
      <c r="H34"/>
      <c r="I34" s="96"/>
      <c r="J34"/>
      <c r="K34"/>
      <c r="L34"/>
      <c r="M34"/>
      <c r="N34"/>
      <c r="O34"/>
      <c r="P34"/>
      <c r="Q34"/>
    </row>
    <row r="35" spans="1:17" ht="15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</row>
    <row r="36" spans="1:17" ht="22.25" customHeight="1" x14ac:dyDescent="0.2">
      <c r="A36"/>
      <c r="B36"/>
      <c r="C36"/>
      <c r="D36"/>
      <c r="E36"/>
      <c r="F36"/>
      <c r="G36"/>
      <c r="H36"/>
      <c r="I36" s="95"/>
      <c r="J36" s="97"/>
      <c r="K36" s="98"/>
      <c r="L36" s="98"/>
      <c r="M36" s="99"/>
      <c r="N36" s="99"/>
      <c r="O36" s="99"/>
      <c r="P36"/>
      <c r="Q36"/>
    </row>
    <row r="37" spans="1:17" ht="22.25" customHeight="1" x14ac:dyDescent="0.2">
      <c r="A37"/>
      <c r="B37"/>
      <c r="C37"/>
      <c r="D37"/>
      <c r="E37"/>
      <c r="F37"/>
      <c r="G37"/>
      <c r="H37"/>
      <c r="I37" s="91"/>
      <c r="J37" s="92"/>
      <c r="K37" s="93"/>
      <c r="L37" s="93"/>
      <c r="M37" s="93"/>
      <c r="N37" s="93"/>
      <c r="O37" s="94"/>
      <c r="P37"/>
      <c r="Q37"/>
    </row>
    <row r="38" spans="1:17" ht="22.25" customHeight="1" x14ac:dyDescent="0.2">
      <c r="A38"/>
      <c r="B38"/>
      <c r="C38"/>
      <c r="D38"/>
      <c r="E38"/>
      <c r="F38"/>
      <c r="G38"/>
      <c r="H38"/>
      <c r="I38" s="91"/>
      <c r="J38" s="92"/>
      <c r="K38" s="93"/>
      <c r="L38" s="93"/>
      <c r="M38" s="93"/>
      <c r="N38" s="93"/>
      <c r="O38" s="94"/>
      <c r="P38"/>
      <c r="Q38"/>
    </row>
    <row r="39" spans="1:17" ht="22.25" customHeight="1" x14ac:dyDescent="0.2">
      <c r="A39"/>
      <c r="B39"/>
      <c r="C39"/>
      <c r="D39"/>
      <c r="E39"/>
      <c r="F39"/>
      <c r="G39"/>
      <c r="H39"/>
      <c r="I39" s="91"/>
      <c r="J39" s="92"/>
      <c r="K39" s="93"/>
      <c r="L39" s="93"/>
      <c r="M39" s="93"/>
      <c r="N39" s="93"/>
      <c r="O39" s="94"/>
      <c r="P39"/>
      <c r="Q39"/>
    </row>
    <row r="40" spans="1:17" ht="22.25" customHeight="1" x14ac:dyDescent="0.2">
      <c r="A40"/>
      <c r="B40"/>
      <c r="C40"/>
      <c r="D40"/>
      <c r="E40"/>
      <c r="F40"/>
      <c r="G40"/>
      <c r="H40"/>
      <c r="I40" s="100"/>
      <c r="J40" s="101"/>
      <c r="K40" s="102"/>
      <c r="L40" s="102"/>
      <c r="M40" s="102"/>
      <c r="N40" s="102"/>
      <c r="O40" s="103"/>
      <c r="P40"/>
      <c r="Q40"/>
    </row>
    <row r="41" spans="1:17" ht="15" x14ac:dyDescent="0.2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</row>
    <row r="42" spans="1:17" ht="15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</row>
    <row r="43" spans="1:17" ht="15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</row>
    <row r="44" spans="1:17" ht="15" x14ac:dyDescent="0.2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</row>
    <row r="45" spans="1:17" ht="15" x14ac:dyDescent="0.2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</row>
    <row r="46" spans="1:17" ht="15" x14ac:dyDescent="0.2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</row>
    <row r="47" spans="1:17" ht="15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</row>
    <row r="48" spans="1:17" ht="15" x14ac:dyDescent="0.2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</row>
    <row r="49" spans="1:17" ht="15" x14ac:dyDescent="0.2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</row>
    <row r="50" spans="1:17" ht="15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</row>
    <row r="51" spans="1:17" ht="15" x14ac:dyDescent="0.2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</row>
    <row r="52" spans="1:17" ht="15" x14ac:dyDescent="0.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</row>
    <row r="53" spans="1:17" ht="15" x14ac:dyDescent="0.2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</row>
    <row r="54" spans="1:17" ht="15" x14ac:dyDescent="0.2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</row>
    <row r="55" spans="1:17" ht="15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</row>
    <row r="56" spans="1:17" ht="15" x14ac:dyDescent="0.2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</row>
    <row r="57" spans="1:17" ht="15" x14ac:dyDescent="0.2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</row>
    <row r="58" spans="1:17" ht="15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</row>
    <row r="59" spans="1:17" ht="15" x14ac:dyDescent="0.2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</row>
    <row r="60" spans="1:17" ht="15" x14ac:dyDescent="0.2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</row>
    <row r="61" spans="1:17" ht="15" x14ac:dyDescent="0.2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</row>
    <row r="62" spans="1:17" ht="15" x14ac:dyDescent="0.2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</row>
    <row r="63" spans="1:17" ht="15" x14ac:dyDescent="0.2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</row>
    <row r="64" spans="1:17" ht="15" x14ac:dyDescent="0.2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</row>
    <row r="65" spans="1:17" ht="15" x14ac:dyDescent="0.2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</row>
    <row r="66" spans="1:17" ht="15" x14ac:dyDescent="0.2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</row>
    <row r="67" spans="1:17" ht="15" x14ac:dyDescent="0.2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</row>
    <row r="68" spans="1:17" ht="15" x14ac:dyDescent="0.2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</row>
    <row r="69" spans="1:17" ht="15" x14ac:dyDescent="0.2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</row>
    <row r="70" spans="1:17" ht="15" x14ac:dyDescent="0.2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</row>
    <row r="71" spans="1:17" ht="15" x14ac:dyDescent="0.2">
      <c r="A71"/>
      <c r="B71"/>
      <c r="C71"/>
      <c r="D71"/>
      <c r="E71"/>
      <c r="F71"/>
      <c r="G71"/>
      <c r="H71"/>
      <c r="I71"/>
      <c r="J71"/>
      <c r="K71"/>
      <c r="L71"/>
      <c r="M71"/>
    </row>
    <row r="72" spans="1:17" ht="15" x14ac:dyDescent="0.2">
      <c r="A72"/>
      <c r="B72"/>
      <c r="C72"/>
      <c r="D72"/>
      <c r="E72"/>
      <c r="F72"/>
      <c r="G72"/>
      <c r="H72"/>
      <c r="I72"/>
      <c r="J72"/>
      <c r="K72"/>
      <c r="L72"/>
      <c r="M72"/>
    </row>
    <row r="73" spans="1:17" ht="15" x14ac:dyDescent="0.2">
      <c r="A73"/>
      <c r="B73"/>
      <c r="C73"/>
      <c r="D73"/>
      <c r="E73"/>
      <c r="F73"/>
      <c r="G73"/>
      <c r="H73"/>
      <c r="I73"/>
      <c r="J73"/>
      <c r="K73"/>
      <c r="L73"/>
      <c r="M73"/>
    </row>
    <row r="74" spans="1:17" ht="15" x14ac:dyDescent="0.2">
      <c r="A74"/>
      <c r="B74"/>
      <c r="C74"/>
      <c r="D74"/>
      <c r="E74"/>
      <c r="F74"/>
      <c r="G74"/>
      <c r="H74"/>
      <c r="I74"/>
      <c r="J74"/>
      <c r="K74"/>
      <c r="L74"/>
      <c r="M74"/>
    </row>
    <row r="75" spans="1:17" ht="15" x14ac:dyDescent="0.2">
      <c r="A75"/>
      <c r="B75"/>
      <c r="C75"/>
      <c r="D75"/>
      <c r="E75"/>
      <c r="F75"/>
      <c r="G75"/>
      <c r="H75"/>
      <c r="I75"/>
      <c r="J75"/>
      <c r="K75"/>
      <c r="L75"/>
      <c r="M75"/>
    </row>
    <row r="76" spans="1:17" ht="15" x14ac:dyDescent="0.2">
      <c r="A76"/>
      <c r="B76"/>
      <c r="C76"/>
      <c r="D76"/>
      <c r="E76"/>
      <c r="F76"/>
      <c r="G76"/>
      <c r="H76"/>
      <c r="I76"/>
      <c r="J76"/>
      <c r="K76"/>
      <c r="L76"/>
      <c r="M76"/>
    </row>
    <row r="77" spans="1:17" ht="15" x14ac:dyDescent="0.2">
      <c r="A77"/>
      <c r="B77"/>
      <c r="C77"/>
      <c r="D77"/>
      <c r="E77"/>
      <c r="F77"/>
      <c r="G77"/>
      <c r="H77"/>
      <c r="I77"/>
      <c r="J77"/>
      <c r="K77"/>
      <c r="L77"/>
      <c r="M77"/>
    </row>
    <row r="78" spans="1:17" ht="15" x14ac:dyDescent="0.2">
      <c r="A78"/>
      <c r="B78"/>
      <c r="C78"/>
      <c r="D78"/>
      <c r="E78"/>
      <c r="F78"/>
      <c r="G78"/>
      <c r="H78"/>
      <c r="I78"/>
      <c r="J78"/>
      <c r="K78"/>
      <c r="L78"/>
      <c r="M78"/>
    </row>
    <row r="79" spans="1:17" ht="15" x14ac:dyDescent="0.2">
      <c r="A79"/>
      <c r="B79"/>
      <c r="C79"/>
      <c r="D79"/>
      <c r="E79"/>
      <c r="F79"/>
      <c r="G79"/>
      <c r="H79"/>
      <c r="I79"/>
      <c r="J79"/>
      <c r="K79"/>
      <c r="L79"/>
      <c r="M79"/>
    </row>
    <row r="80" spans="1:17" ht="15" x14ac:dyDescent="0.2">
      <c r="A80"/>
      <c r="B80"/>
      <c r="C80"/>
      <c r="D80"/>
      <c r="E80"/>
      <c r="F80"/>
      <c r="G80"/>
      <c r="H80"/>
      <c r="I80"/>
      <c r="J80"/>
      <c r="K80"/>
      <c r="L80"/>
      <c r="M80"/>
    </row>
    <row r="81" spans="1:13" ht="15" x14ac:dyDescent="0.2">
      <c r="A81"/>
      <c r="B81"/>
      <c r="C81"/>
      <c r="D81"/>
      <c r="E81"/>
      <c r="F81"/>
      <c r="G81"/>
      <c r="H81"/>
      <c r="I81"/>
      <c r="J81"/>
      <c r="K81"/>
      <c r="L81"/>
      <c r="M81"/>
    </row>
    <row r="82" spans="1:13" ht="15" x14ac:dyDescent="0.2">
      <c r="A82"/>
      <c r="B82"/>
      <c r="C82"/>
      <c r="D82"/>
      <c r="E82"/>
      <c r="F82"/>
      <c r="G82"/>
      <c r="H82"/>
      <c r="I82"/>
      <c r="J82"/>
      <c r="K82"/>
      <c r="L82"/>
      <c r="M82"/>
    </row>
    <row r="83" spans="1:13" ht="15" x14ac:dyDescent="0.2">
      <c r="A83"/>
      <c r="B83"/>
      <c r="C83"/>
      <c r="D83"/>
      <c r="E83"/>
      <c r="F83"/>
      <c r="G83"/>
      <c r="H83"/>
      <c r="I83"/>
      <c r="J83"/>
      <c r="K83"/>
      <c r="L83"/>
      <c r="M83"/>
    </row>
    <row r="84" spans="1:13" ht="15" x14ac:dyDescent="0.2">
      <c r="A84"/>
      <c r="B84"/>
      <c r="C84"/>
      <c r="D84"/>
      <c r="E84"/>
      <c r="F84"/>
      <c r="G84"/>
      <c r="H84"/>
      <c r="I84"/>
      <c r="J84"/>
      <c r="K84"/>
      <c r="L84"/>
      <c r="M84"/>
    </row>
    <row r="85" spans="1:13" ht="15" x14ac:dyDescent="0.2">
      <c r="A85"/>
      <c r="B85"/>
      <c r="C85"/>
      <c r="D85"/>
      <c r="E85"/>
      <c r="F85"/>
      <c r="G85"/>
      <c r="H85"/>
      <c r="I85"/>
      <c r="J85"/>
      <c r="K85"/>
      <c r="L85"/>
      <c r="M85"/>
    </row>
    <row r="86" spans="1:13" ht="15" x14ac:dyDescent="0.2">
      <c r="A86"/>
      <c r="B86"/>
      <c r="C86"/>
      <c r="D86"/>
      <c r="E86"/>
      <c r="F86"/>
      <c r="G86"/>
      <c r="H86"/>
      <c r="I86"/>
      <c r="J86"/>
      <c r="K86"/>
      <c r="L86"/>
      <c r="M86"/>
    </row>
    <row r="87" spans="1:13" ht="15" x14ac:dyDescent="0.2">
      <c r="A87"/>
      <c r="B87"/>
      <c r="C87"/>
      <c r="D87"/>
      <c r="E87"/>
      <c r="F87"/>
      <c r="G87"/>
      <c r="H87"/>
      <c r="I87"/>
      <c r="J87"/>
      <c r="K87"/>
      <c r="L87"/>
      <c r="M87"/>
    </row>
    <row r="88" spans="1:13" ht="15" x14ac:dyDescent="0.2">
      <c r="A88"/>
      <c r="B88"/>
      <c r="C88"/>
      <c r="D88"/>
      <c r="E88"/>
      <c r="F88"/>
      <c r="G88"/>
      <c r="H88"/>
      <c r="I88"/>
      <c r="J88"/>
      <c r="K88"/>
      <c r="L88"/>
      <c r="M88"/>
    </row>
    <row r="89" spans="1:13" ht="15" x14ac:dyDescent="0.2">
      <c r="A89"/>
      <c r="B89"/>
      <c r="C89"/>
      <c r="D89"/>
      <c r="E89"/>
      <c r="F89"/>
      <c r="G89"/>
      <c r="H89"/>
      <c r="I89"/>
      <c r="J89"/>
      <c r="K89"/>
      <c r="L89"/>
      <c r="M89"/>
    </row>
    <row r="90" spans="1:13" ht="15" x14ac:dyDescent="0.2">
      <c r="A90"/>
      <c r="B90"/>
      <c r="C90"/>
      <c r="D90"/>
      <c r="E90"/>
      <c r="F90"/>
      <c r="G90"/>
      <c r="H90"/>
      <c r="I90"/>
      <c r="J90"/>
      <c r="K90"/>
      <c r="L90"/>
      <c r="M90"/>
    </row>
    <row r="91" spans="1:13" ht="15" x14ac:dyDescent="0.2">
      <c r="A91"/>
      <c r="B91"/>
      <c r="C91"/>
      <c r="D91"/>
      <c r="E91"/>
      <c r="F91"/>
      <c r="G91"/>
      <c r="H91"/>
      <c r="I91"/>
      <c r="J91"/>
      <c r="K91"/>
      <c r="L91"/>
      <c r="M91"/>
    </row>
    <row r="92" spans="1:13" ht="15" x14ac:dyDescent="0.2">
      <c r="A92"/>
      <c r="B92"/>
      <c r="C92"/>
      <c r="D92"/>
      <c r="E92"/>
      <c r="F92"/>
      <c r="G92"/>
      <c r="H92"/>
      <c r="I92"/>
      <c r="J92"/>
      <c r="K92"/>
      <c r="L92"/>
      <c r="M92"/>
    </row>
    <row r="93" spans="1:13" ht="15" x14ac:dyDescent="0.2">
      <c r="A93"/>
      <c r="B93"/>
      <c r="C93"/>
      <c r="D93"/>
      <c r="E93"/>
      <c r="F93"/>
      <c r="G93"/>
      <c r="H93"/>
      <c r="I93"/>
      <c r="J93"/>
      <c r="K93"/>
      <c r="L93"/>
      <c r="M93"/>
    </row>
    <row r="94" spans="1:13" ht="15" x14ac:dyDescent="0.2">
      <c r="A94"/>
      <c r="B94"/>
      <c r="C94"/>
      <c r="D94"/>
      <c r="E94"/>
      <c r="F94"/>
      <c r="G94"/>
      <c r="H94"/>
      <c r="I94"/>
      <c r="J94"/>
      <c r="K94"/>
      <c r="L94"/>
      <c r="M94"/>
    </row>
    <row r="95" spans="1:13" ht="15" x14ac:dyDescent="0.2">
      <c r="A95"/>
      <c r="B95"/>
      <c r="C95"/>
      <c r="D95"/>
      <c r="E95"/>
      <c r="F95"/>
      <c r="G95"/>
      <c r="H95"/>
      <c r="I95"/>
      <c r="J95"/>
      <c r="K95"/>
      <c r="L95"/>
      <c r="M95"/>
    </row>
    <row r="96" spans="1:13" ht="15" x14ac:dyDescent="0.2">
      <c r="A96"/>
      <c r="B96"/>
      <c r="C96"/>
      <c r="D96"/>
      <c r="E96"/>
      <c r="F96"/>
      <c r="G96"/>
      <c r="H96"/>
      <c r="I96"/>
      <c r="J96"/>
      <c r="K96"/>
      <c r="L96"/>
      <c r="M96"/>
    </row>
    <row r="97" spans="1:9" ht="15" x14ac:dyDescent="0.2">
      <c r="A97"/>
      <c r="B97"/>
      <c r="C97"/>
      <c r="D97"/>
      <c r="E97"/>
      <c r="F97"/>
      <c r="G97"/>
      <c r="H97"/>
      <c r="I97"/>
    </row>
    <row r="98" spans="1:9" ht="15" x14ac:dyDescent="0.2">
      <c r="A98"/>
      <c r="B98"/>
      <c r="C98"/>
      <c r="D98"/>
      <c r="E98"/>
      <c r="F98"/>
      <c r="G98"/>
      <c r="H98"/>
      <c r="I98"/>
    </row>
    <row r="99" spans="1:9" ht="15" x14ac:dyDescent="0.2">
      <c r="A99"/>
      <c r="B99"/>
      <c r="C99"/>
      <c r="D99"/>
      <c r="E99"/>
      <c r="F99"/>
      <c r="G99"/>
      <c r="H99"/>
      <c r="I99"/>
    </row>
    <row r="100" spans="1:9" ht="15" x14ac:dyDescent="0.2">
      <c r="A100"/>
      <c r="B100"/>
      <c r="C100"/>
      <c r="D100"/>
      <c r="E100"/>
      <c r="F100"/>
      <c r="G100"/>
      <c r="H100"/>
      <c r="I100"/>
    </row>
    <row r="101" spans="1:9" ht="15" x14ac:dyDescent="0.2">
      <c r="A101"/>
      <c r="B101"/>
      <c r="C101"/>
      <c r="D101"/>
      <c r="E101"/>
      <c r="F101"/>
      <c r="G101"/>
      <c r="H101"/>
      <c r="I101"/>
    </row>
    <row r="102" spans="1:9" ht="15" x14ac:dyDescent="0.2">
      <c r="A102"/>
      <c r="B102"/>
      <c r="C102"/>
      <c r="D102"/>
      <c r="E102"/>
      <c r="F102"/>
      <c r="G102"/>
      <c r="H102"/>
      <c r="I102"/>
    </row>
    <row r="103" spans="1:9" ht="15" x14ac:dyDescent="0.2">
      <c r="A103"/>
      <c r="B103"/>
      <c r="C103"/>
      <c r="D103"/>
      <c r="E103"/>
      <c r="F103"/>
      <c r="G103"/>
      <c r="H103"/>
      <c r="I103"/>
    </row>
    <row r="104" spans="1:9" ht="15" x14ac:dyDescent="0.2">
      <c r="A104"/>
      <c r="B104"/>
      <c r="C104"/>
      <c r="D104"/>
      <c r="E104"/>
      <c r="F104"/>
      <c r="G104"/>
      <c r="H104"/>
      <c r="I104"/>
    </row>
    <row r="105" spans="1:9" ht="15" x14ac:dyDescent="0.2">
      <c r="A105"/>
      <c r="B105"/>
      <c r="C105"/>
      <c r="D105"/>
      <c r="E105"/>
      <c r="F105"/>
      <c r="G105"/>
      <c r="H105"/>
      <c r="I105"/>
    </row>
    <row r="106" spans="1:9" ht="15" x14ac:dyDescent="0.2">
      <c r="A106"/>
      <c r="B106"/>
      <c r="C106"/>
      <c r="D106"/>
      <c r="E106"/>
      <c r="F106"/>
      <c r="G106"/>
      <c r="H106"/>
      <c r="I106"/>
    </row>
    <row r="107" spans="1:9" ht="15" x14ac:dyDescent="0.2">
      <c r="A107"/>
      <c r="B107"/>
      <c r="C107"/>
      <c r="D107"/>
      <c r="E107"/>
      <c r="F107"/>
      <c r="G107"/>
      <c r="H107"/>
      <c r="I107"/>
    </row>
    <row r="108" spans="1:9" ht="15" x14ac:dyDescent="0.2">
      <c r="A108"/>
      <c r="B108"/>
      <c r="C108"/>
      <c r="D108"/>
      <c r="E108"/>
      <c r="F108"/>
      <c r="G108"/>
      <c r="H108"/>
      <c r="I108"/>
    </row>
    <row r="109" spans="1:9" ht="15" x14ac:dyDescent="0.2">
      <c r="A109"/>
      <c r="B109"/>
      <c r="C109"/>
      <c r="D109"/>
      <c r="E109"/>
      <c r="F109"/>
      <c r="G109"/>
      <c r="H109"/>
      <c r="I109"/>
    </row>
    <row r="110" spans="1:9" ht="15" x14ac:dyDescent="0.2">
      <c r="A110"/>
      <c r="B110"/>
      <c r="C110"/>
      <c r="D110"/>
      <c r="E110"/>
      <c r="F110"/>
      <c r="G110"/>
      <c r="H110"/>
      <c r="I110"/>
    </row>
    <row r="111" spans="1:9" ht="15" x14ac:dyDescent="0.2">
      <c r="A111"/>
      <c r="B111"/>
      <c r="C111"/>
      <c r="D111"/>
      <c r="E111"/>
      <c r="F111"/>
      <c r="G111"/>
      <c r="H111"/>
      <c r="I111"/>
    </row>
    <row r="112" spans="1:9" ht="15" x14ac:dyDescent="0.2">
      <c r="A112"/>
      <c r="B112"/>
      <c r="C112"/>
      <c r="D112"/>
      <c r="E112"/>
      <c r="F112"/>
      <c r="G112"/>
      <c r="H112"/>
      <c r="I112"/>
    </row>
    <row r="113" spans="1:9" ht="15" x14ac:dyDescent="0.2">
      <c r="A113"/>
      <c r="B113"/>
      <c r="C113"/>
      <c r="D113"/>
      <c r="E113"/>
      <c r="F113"/>
      <c r="G113"/>
      <c r="H113"/>
      <c r="I113"/>
    </row>
    <row r="114" spans="1:9" ht="15" x14ac:dyDescent="0.2">
      <c r="A114"/>
      <c r="B114"/>
      <c r="C114"/>
      <c r="D114"/>
      <c r="E114"/>
      <c r="F114"/>
      <c r="G114"/>
      <c r="H114"/>
      <c r="I114"/>
    </row>
    <row r="115" spans="1:9" ht="15" x14ac:dyDescent="0.2">
      <c r="A115"/>
      <c r="B115"/>
      <c r="C115"/>
      <c r="D115"/>
      <c r="E115"/>
      <c r="F115"/>
      <c r="G115"/>
      <c r="H115"/>
      <c r="I115"/>
    </row>
    <row r="116" spans="1:9" ht="15" x14ac:dyDescent="0.2">
      <c r="A116"/>
      <c r="B116"/>
      <c r="C116"/>
      <c r="D116"/>
      <c r="E116"/>
      <c r="F116"/>
      <c r="G116"/>
      <c r="H116"/>
      <c r="I116"/>
    </row>
    <row r="117" spans="1:9" ht="15" x14ac:dyDescent="0.2">
      <c r="A117"/>
      <c r="B117"/>
      <c r="C117"/>
      <c r="D117"/>
      <c r="E117"/>
      <c r="F117"/>
      <c r="G117"/>
      <c r="H117"/>
      <c r="I117"/>
    </row>
    <row r="118" spans="1:9" ht="15" x14ac:dyDescent="0.2">
      <c r="A118"/>
      <c r="B118"/>
      <c r="C118"/>
      <c r="D118"/>
      <c r="E118"/>
      <c r="F118"/>
      <c r="G118"/>
      <c r="H118"/>
      <c r="I118"/>
    </row>
    <row r="119" spans="1:9" ht="15" x14ac:dyDescent="0.2">
      <c r="A119"/>
      <c r="B119"/>
      <c r="C119"/>
      <c r="D119"/>
      <c r="E119"/>
      <c r="F119"/>
      <c r="G119"/>
      <c r="H119"/>
      <c r="I119"/>
    </row>
    <row r="120" spans="1:9" ht="15" x14ac:dyDescent="0.2">
      <c r="A120"/>
      <c r="B120"/>
      <c r="C120"/>
      <c r="D120"/>
      <c r="E120"/>
      <c r="F120"/>
      <c r="G120"/>
      <c r="H120"/>
      <c r="I120"/>
    </row>
    <row r="121" spans="1:9" ht="15" x14ac:dyDescent="0.2">
      <c r="A121"/>
      <c r="B121"/>
      <c r="C121"/>
      <c r="D121"/>
      <c r="E121"/>
      <c r="F121"/>
      <c r="G121"/>
      <c r="H121"/>
      <c r="I121"/>
    </row>
    <row r="122" spans="1:9" ht="15" x14ac:dyDescent="0.2">
      <c r="A122"/>
      <c r="B122"/>
      <c r="C122"/>
      <c r="D122"/>
      <c r="E122"/>
      <c r="F122"/>
      <c r="G122"/>
      <c r="H122"/>
      <c r="I122"/>
    </row>
    <row r="123" spans="1:9" ht="15" x14ac:dyDescent="0.2">
      <c r="A123"/>
      <c r="B123"/>
      <c r="C123"/>
      <c r="D123"/>
      <c r="E123"/>
      <c r="F123"/>
      <c r="G123"/>
      <c r="H123"/>
      <c r="I123"/>
    </row>
    <row r="124" spans="1:9" ht="15" x14ac:dyDescent="0.2">
      <c r="A124"/>
      <c r="B124"/>
      <c r="C124"/>
      <c r="D124"/>
      <c r="E124"/>
      <c r="F124"/>
      <c r="G124"/>
      <c r="H124"/>
      <c r="I124"/>
    </row>
    <row r="125" spans="1:9" ht="15" x14ac:dyDescent="0.2">
      <c r="A125"/>
      <c r="B125"/>
      <c r="C125"/>
      <c r="D125"/>
      <c r="E125"/>
      <c r="F125"/>
      <c r="G125"/>
      <c r="H125"/>
      <c r="I125"/>
    </row>
    <row r="126" spans="1:9" ht="15" x14ac:dyDescent="0.2">
      <c r="A126"/>
      <c r="B126"/>
      <c r="C126"/>
      <c r="D126"/>
      <c r="E126"/>
      <c r="F126"/>
      <c r="G126"/>
      <c r="H126"/>
      <c r="I126"/>
    </row>
    <row r="127" spans="1:9" ht="15" x14ac:dyDescent="0.2">
      <c r="A127"/>
      <c r="B127"/>
      <c r="C127"/>
      <c r="D127"/>
      <c r="E127"/>
      <c r="F127"/>
      <c r="G127"/>
      <c r="H127"/>
      <c r="I127"/>
    </row>
    <row r="128" spans="1:9" ht="15" x14ac:dyDescent="0.2">
      <c r="A128"/>
      <c r="B128"/>
      <c r="C128"/>
      <c r="D128"/>
      <c r="E128"/>
      <c r="F128"/>
      <c r="G128"/>
      <c r="H128"/>
      <c r="I128"/>
    </row>
    <row r="129" spans="1:9" ht="15" x14ac:dyDescent="0.2">
      <c r="A129"/>
      <c r="B129"/>
      <c r="C129"/>
      <c r="D129"/>
      <c r="E129"/>
      <c r="F129"/>
      <c r="G129"/>
      <c r="H129"/>
      <c r="I129"/>
    </row>
    <row r="130" spans="1:9" ht="15" x14ac:dyDescent="0.2">
      <c r="A130"/>
      <c r="B130"/>
      <c r="C130"/>
      <c r="D130"/>
      <c r="E130"/>
      <c r="F130"/>
      <c r="G130"/>
      <c r="H130"/>
      <c r="I130"/>
    </row>
    <row r="131" spans="1:9" ht="15" x14ac:dyDescent="0.2">
      <c r="A131"/>
      <c r="B131"/>
      <c r="C131"/>
      <c r="D131"/>
      <c r="E131"/>
      <c r="F131"/>
      <c r="G131"/>
      <c r="H131"/>
      <c r="I131"/>
    </row>
    <row r="132" spans="1:9" ht="15" x14ac:dyDescent="0.2">
      <c r="A132"/>
      <c r="B132"/>
      <c r="C132"/>
      <c r="D132"/>
      <c r="E132"/>
      <c r="F132"/>
      <c r="G132"/>
      <c r="H132"/>
      <c r="I132"/>
    </row>
    <row r="133" spans="1:9" ht="15" x14ac:dyDescent="0.2">
      <c r="A133"/>
      <c r="B133"/>
      <c r="C133"/>
      <c r="D133"/>
      <c r="E133"/>
      <c r="F133"/>
      <c r="G133"/>
      <c r="H133"/>
      <c r="I133"/>
    </row>
    <row r="134" spans="1:9" ht="15" x14ac:dyDescent="0.2">
      <c r="A134"/>
      <c r="B134"/>
      <c r="C134"/>
      <c r="D134"/>
      <c r="E134"/>
      <c r="F134"/>
      <c r="G134"/>
      <c r="H134"/>
      <c r="I134"/>
    </row>
    <row r="135" spans="1:9" ht="15" x14ac:dyDescent="0.2">
      <c r="A135"/>
      <c r="B135"/>
      <c r="C135"/>
      <c r="D135"/>
      <c r="E135"/>
      <c r="F135"/>
      <c r="G135"/>
      <c r="H135"/>
      <c r="I135"/>
    </row>
    <row r="136" spans="1:9" ht="15" x14ac:dyDescent="0.2">
      <c r="A136"/>
      <c r="B136"/>
      <c r="C136"/>
      <c r="D136"/>
      <c r="E136"/>
      <c r="F136"/>
      <c r="G136"/>
      <c r="H136"/>
      <c r="I136"/>
    </row>
    <row r="137" spans="1:9" ht="15" x14ac:dyDescent="0.2">
      <c r="A137"/>
      <c r="B137"/>
      <c r="C137"/>
      <c r="D137"/>
      <c r="E137"/>
      <c r="F137"/>
      <c r="G137"/>
      <c r="H137"/>
      <c r="I137"/>
    </row>
    <row r="138" spans="1:9" ht="15" x14ac:dyDescent="0.2">
      <c r="A138"/>
      <c r="B138"/>
      <c r="C138"/>
      <c r="D138"/>
      <c r="E138"/>
      <c r="F138"/>
      <c r="G138"/>
      <c r="H138"/>
      <c r="I138"/>
    </row>
    <row r="139" spans="1:9" ht="15" x14ac:dyDescent="0.2">
      <c r="A139"/>
      <c r="B139"/>
      <c r="C139"/>
      <c r="D139"/>
      <c r="E139"/>
      <c r="F139"/>
      <c r="G139"/>
      <c r="H139"/>
      <c r="I139"/>
    </row>
    <row r="140" spans="1:9" ht="15" x14ac:dyDescent="0.2">
      <c r="A140"/>
      <c r="B140"/>
      <c r="C140"/>
      <c r="D140"/>
      <c r="E140"/>
      <c r="F140"/>
      <c r="G140"/>
      <c r="H140"/>
      <c r="I140"/>
    </row>
    <row r="141" spans="1:9" ht="15" x14ac:dyDescent="0.2">
      <c r="A141"/>
      <c r="B141"/>
      <c r="C141"/>
      <c r="D141"/>
      <c r="E141"/>
      <c r="F141"/>
      <c r="G141"/>
      <c r="H141"/>
      <c r="I141"/>
    </row>
    <row r="142" spans="1:9" ht="15" x14ac:dyDescent="0.2">
      <c r="A142"/>
      <c r="B142"/>
      <c r="C142"/>
      <c r="D142"/>
      <c r="E142"/>
      <c r="F142"/>
      <c r="G142"/>
      <c r="H142"/>
      <c r="I142"/>
    </row>
    <row r="143" spans="1:9" ht="15" x14ac:dyDescent="0.2">
      <c r="A143"/>
      <c r="B143"/>
      <c r="C143"/>
      <c r="D143"/>
      <c r="E143"/>
      <c r="F143"/>
      <c r="G143"/>
      <c r="H143"/>
      <c r="I143"/>
    </row>
    <row r="144" spans="1:9" ht="15" x14ac:dyDescent="0.2">
      <c r="A144"/>
      <c r="B144"/>
      <c r="C144"/>
      <c r="D144"/>
      <c r="E144"/>
      <c r="F144"/>
      <c r="G144"/>
      <c r="H144"/>
      <c r="I144"/>
    </row>
    <row r="145" spans="1:9" ht="15" x14ac:dyDescent="0.2">
      <c r="A145"/>
      <c r="B145"/>
      <c r="C145"/>
      <c r="D145"/>
      <c r="E145"/>
      <c r="F145"/>
      <c r="G145"/>
      <c r="H145"/>
      <c r="I145"/>
    </row>
    <row r="146" spans="1:9" ht="15" x14ac:dyDescent="0.2">
      <c r="A146"/>
      <c r="B146"/>
      <c r="C146"/>
      <c r="D146"/>
      <c r="E146"/>
      <c r="F146"/>
      <c r="G146"/>
      <c r="H146"/>
      <c r="I146"/>
    </row>
    <row r="147" spans="1:9" ht="15" x14ac:dyDescent="0.2">
      <c r="A147"/>
      <c r="B147"/>
      <c r="C147"/>
      <c r="D147"/>
      <c r="E147"/>
      <c r="F147"/>
      <c r="G147"/>
      <c r="H147"/>
      <c r="I147"/>
    </row>
    <row r="148" spans="1:9" ht="15" x14ac:dyDescent="0.2">
      <c r="A148"/>
      <c r="B148"/>
      <c r="C148"/>
      <c r="D148"/>
      <c r="E148"/>
      <c r="F148"/>
      <c r="G148"/>
      <c r="H148"/>
      <c r="I148"/>
    </row>
    <row r="149" spans="1:9" ht="15" x14ac:dyDescent="0.2">
      <c r="A149"/>
      <c r="B149"/>
      <c r="C149"/>
      <c r="D149"/>
      <c r="E149"/>
      <c r="F149"/>
      <c r="G149"/>
      <c r="H149"/>
      <c r="I149"/>
    </row>
    <row r="150" spans="1:9" ht="15" x14ac:dyDescent="0.2">
      <c r="A150"/>
      <c r="B150"/>
      <c r="C150"/>
      <c r="D150"/>
      <c r="E150"/>
      <c r="F150"/>
      <c r="G150"/>
      <c r="H150"/>
      <c r="I150"/>
    </row>
    <row r="151" spans="1:9" ht="15" x14ac:dyDescent="0.2">
      <c r="A151"/>
      <c r="B151"/>
      <c r="C151"/>
      <c r="D151"/>
      <c r="E151"/>
      <c r="F151"/>
      <c r="G151"/>
      <c r="H151"/>
      <c r="I151"/>
    </row>
    <row r="152" spans="1:9" ht="15" x14ac:dyDescent="0.2">
      <c r="A152"/>
      <c r="B152"/>
      <c r="C152"/>
      <c r="D152"/>
      <c r="E152"/>
      <c r="F152"/>
      <c r="G152"/>
      <c r="H152"/>
      <c r="I152"/>
    </row>
    <row r="153" spans="1:9" ht="15" x14ac:dyDescent="0.2">
      <c r="A153"/>
      <c r="B153"/>
      <c r="C153"/>
      <c r="D153"/>
      <c r="E153"/>
      <c r="F153"/>
      <c r="G153"/>
      <c r="H153"/>
      <c r="I153"/>
    </row>
    <row r="154" spans="1:9" ht="15" x14ac:dyDescent="0.2">
      <c r="A154"/>
      <c r="B154"/>
      <c r="C154"/>
      <c r="D154"/>
      <c r="E154"/>
      <c r="F154"/>
      <c r="G154"/>
      <c r="H154"/>
      <c r="I154"/>
    </row>
    <row r="155" spans="1:9" ht="15" x14ac:dyDescent="0.2">
      <c r="A155"/>
      <c r="B155"/>
      <c r="C155"/>
      <c r="D155"/>
      <c r="E155"/>
      <c r="F155"/>
      <c r="G155"/>
      <c r="H155"/>
      <c r="I155"/>
    </row>
    <row r="156" spans="1:9" ht="15" x14ac:dyDescent="0.2">
      <c r="A156"/>
      <c r="B156"/>
      <c r="C156"/>
      <c r="D156"/>
      <c r="E156"/>
      <c r="F156"/>
      <c r="G156"/>
      <c r="H156"/>
      <c r="I156"/>
    </row>
    <row r="157" spans="1:9" ht="15" x14ac:dyDescent="0.2">
      <c r="A157"/>
      <c r="B157"/>
      <c r="C157"/>
      <c r="D157"/>
      <c r="E157"/>
      <c r="F157"/>
      <c r="G157"/>
      <c r="H157"/>
      <c r="I157"/>
    </row>
    <row r="158" spans="1:9" ht="15" x14ac:dyDescent="0.2">
      <c r="A158"/>
      <c r="B158"/>
      <c r="C158"/>
      <c r="D158"/>
      <c r="E158"/>
      <c r="F158"/>
      <c r="G158"/>
      <c r="H158"/>
      <c r="I158"/>
    </row>
    <row r="159" spans="1:9" ht="15" x14ac:dyDescent="0.2">
      <c r="A159"/>
      <c r="B159"/>
      <c r="C159"/>
      <c r="D159"/>
      <c r="E159"/>
      <c r="F159"/>
      <c r="G159"/>
      <c r="H159"/>
      <c r="I159"/>
    </row>
    <row r="160" spans="1:9" ht="15" x14ac:dyDescent="0.2">
      <c r="A160"/>
      <c r="B160"/>
      <c r="C160"/>
      <c r="D160"/>
      <c r="E160"/>
      <c r="F160"/>
      <c r="G160"/>
      <c r="H160"/>
      <c r="I160"/>
    </row>
    <row r="161" spans="1:9" ht="15" x14ac:dyDescent="0.2">
      <c r="A161"/>
      <c r="B161"/>
      <c r="C161"/>
      <c r="D161"/>
      <c r="E161"/>
      <c r="F161"/>
      <c r="G161"/>
      <c r="H161"/>
      <c r="I161"/>
    </row>
    <row r="162" spans="1:9" ht="15" x14ac:dyDescent="0.2">
      <c r="A162"/>
      <c r="B162"/>
      <c r="C162"/>
      <c r="D162"/>
      <c r="E162"/>
      <c r="F162"/>
      <c r="G162"/>
      <c r="H162"/>
      <c r="I162"/>
    </row>
    <row r="163" spans="1:9" ht="15" x14ac:dyDescent="0.2">
      <c r="A163"/>
      <c r="B163"/>
      <c r="C163"/>
      <c r="D163"/>
      <c r="E163"/>
      <c r="F163"/>
      <c r="G163"/>
      <c r="H163"/>
      <c r="I163"/>
    </row>
    <row r="164" spans="1:9" ht="15" x14ac:dyDescent="0.2">
      <c r="A164"/>
      <c r="B164"/>
      <c r="C164"/>
      <c r="D164"/>
      <c r="E164"/>
      <c r="F164"/>
      <c r="G164"/>
      <c r="H164"/>
      <c r="I164"/>
    </row>
    <row r="165" spans="1:9" ht="15" x14ac:dyDescent="0.2">
      <c r="A165"/>
      <c r="B165"/>
      <c r="C165"/>
      <c r="D165"/>
      <c r="E165"/>
      <c r="F165"/>
      <c r="G165"/>
      <c r="H165"/>
      <c r="I165"/>
    </row>
    <row r="166" spans="1:9" ht="15" x14ac:dyDescent="0.2">
      <c r="A166"/>
      <c r="B166"/>
      <c r="C166"/>
      <c r="D166"/>
      <c r="E166"/>
      <c r="F166"/>
      <c r="G166"/>
      <c r="H166"/>
      <c r="I166"/>
    </row>
    <row r="167" spans="1:9" ht="15" x14ac:dyDescent="0.2">
      <c r="A167"/>
      <c r="B167"/>
      <c r="C167"/>
      <c r="D167"/>
      <c r="E167"/>
      <c r="F167"/>
      <c r="G167"/>
      <c r="H167"/>
      <c r="I167"/>
    </row>
    <row r="168" spans="1:9" ht="15" x14ac:dyDescent="0.2">
      <c r="A168"/>
      <c r="B168"/>
      <c r="C168"/>
      <c r="D168"/>
      <c r="E168"/>
      <c r="F168"/>
      <c r="G168"/>
      <c r="H168"/>
      <c r="I168"/>
    </row>
    <row r="169" spans="1:9" ht="15" x14ac:dyDescent="0.2">
      <c r="A169"/>
      <c r="B169"/>
      <c r="C169"/>
      <c r="D169"/>
      <c r="E169"/>
      <c r="F169"/>
      <c r="G169"/>
      <c r="H169"/>
      <c r="I169"/>
    </row>
    <row r="170" spans="1:9" ht="15" x14ac:dyDescent="0.2">
      <c r="A170"/>
      <c r="B170"/>
      <c r="C170"/>
      <c r="D170"/>
      <c r="E170"/>
      <c r="F170"/>
      <c r="G170"/>
      <c r="H170"/>
      <c r="I170"/>
    </row>
    <row r="171" spans="1:9" ht="15" x14ac:dyDescent="0.2">
      <c r="A171"/>
      <c r="B171"/>
      <c r="C171"/>
      <c r="D171"/>
      <c r="E171"/>
      <c r="F171"/>
      <c r="G171"/>
      <c r="H171"/>
      <c r="I171"/>
    </row>
    <row r="172" spans="1:9" ht="15" x14ac:dyDescent="0.2">
      <c r="A172"/>
      <c r="B172"/>
      <c r="C172"/>
      <c r="D172"/>
      <c r="E172"/>
      <c r="F172"/>
      <c r="G172"/>
      <c r="H172"/>
      <c r="I172"/>
    </row>
    <row r="173" spans="1:9" ht="15" x14ac:dyDescent="0.2">
      <c r="A173"/>
      <c r="B173"/>
      <c r="C173"/>
      <c r="D173"/>
      <c r="E173"/>
      <c r="F173"/>
      <c r="G173"/>
      <c r="H173"/>
      <c r="I173"/>
    </row>
    <row r="174" spans="1:9" ht="15" x14ac:dyDescent="0.2">
      <c r="A174"/>
      <c r="B174"/>
      <c r="C174"/>
      <c r="D174"/>
      <c r="E174"/>
      <c r="F174"/>
      <c r="G174"/>
      <c r="H174"/>
      <c r="I174"/>
    </row>
    <row r="175" spans="1:9" ht="15" x14ac:dyDescent="0.2">
      <c r="A175"/>
      <c r="B175"/>
      <c r="C175"/>
      <c r="D175"/>
      <c r="E175"/>
      <c r="F175"/>
      <c r="G175"/>
      <c r="H175"/>
      <c r="I175"/>
    </row>
    <row r="176" spans="1:9" ht="15" x14ac:dyDescent="0.2">
      <c r="A176"/>
      <c r="B176"/>
      <c r="C176"/>
      <c r="D176"/>
      <c r="E176"/>
      <c r="F176"/>
      <c r="G176"/>
      <c r="H176"/>
      <c r="I176"/>
    </row>
    <row r="177" spans="1:9" ht="15" x14ac:dyDescent="0.2">
      <c r="A177"/>
      <c r="B177"/>
      <c r="C177"/>
      <c r="D177"/>
      <c r="E177"/>
      <c r="F177"/>
      <c r="G177"/>
      <c r="H177"/>
      <c r="I177"/>
    </row>
    <row r="178" spans="1:9" ht="15" x14ac:dyDescent="0.2">
      <c r="A178"/>
      <c r="B178"/>
      <c r="C178"/>
      <c r="D178"/>
      <c r="E178"/>
      <c r="F178"/>
      <c r="G178"/>
      <c r="H178"/>
      <c r="I178"/>
    </row>
    <row r="179" spans="1:9" ht="15" x14ac:dyDescent="0.2">
      <c r="A179"/>
      <c r="B179"/>
      <c r="C179"/>
      <c r="D179"/>
      <c r="E179"/>
      <c r="F179"/>
      <c r="G179"/>
      <c r="H179"/>
      <c r="I179"/>
    </row>
    <row r="180" spans="1:9" ht="15" x14ac:dyDescent="0.2">
      <c r="A180"/>
      <c r="B180"/>
      <c r="C180"/>
      <c r="D180"/>
      <c r="E180"/>
      <c r="F180"/>
      <c r="G180"/>
      <c r="H180"/>
      <c r="I180"/>
    </row>
    <row r="181" spans="1:9" ht="15" x14ac:dyDescent="0.2">
      <c r="A181"/>
      <c r="B181"/>
      <c r="C181"/>
      <c r="D181"/>
      <c r="E181"/>
      <c r="F181"/>
      <c r="G181"/>
      <c r="H181"/>
      <c r="I181"/>
    </row>
    <row r="182" spans="1:9" ht="15" x14ac:dyDescent="0.2">
      <c r="A182"/>
      <c r="B182"/>
      <c r="C182"/>
      <c r="D182"/>
      <c r="E182"/>
      <c r="F182"/>
      <c r="G182"/>
      <c r="H182"/>
      <c r="I182"/>
    </row>
    <row r="183" spans="1:9" ht="15" x14ac:dyDescent="0.2">
      <c r="A183"/>
      <c r="B183"/>
      <c r="C183"/>
      <c r="D183"/>
      <c r="E183"/>
      <c r="F183"/>
      <c r="G183"/>
      <c r="H183"/>
      <c r="I183"/>
    </row>
    <row r="184" spans="1:9" ht="15" x14ac:dyDescent="0.2">
      <c r="A184"/>
      <c r="B184"/>
      <c r="C184"/>
      <c r="D184"/>
      <c r="E184"/>
      <c r="F184"/>
      <c r="G184"/>
      <c r="H184"/>
      <c r="I184"/>
    </row>
    <row r="185" spans="1:9" ht="15" x14ac:dyDescent="0.2">
      <c r="A185"/>
      <c r="B185"/>
      <c r="C185"/>
      <c r="D185"/>
      <c r="E185"/>
      <c r="F185"/>
      <c r="G185"/>
      <c r="H185"/>
      <c r="I185"/>
    </row>
    <row r="186" spans="1:9" ht="15" x14ac:dyDescent="0.2">
      <c r="A186"/>
      <c r="B186"/>
      <c r="C186"/>
      <c r="D186"/>
      <c r="E186"/>
      <c r="F186"/>
      <c r="G186"/>
      <c r="H186"/>
      <c r="I186"/>
    </row>
    <row r="187" spans="1:9" ht="15" x14ac:dyDescent="0.2">
      <c r="A187"/>
      <c r="B187"/>
      <c r="C187"/>
      <c r="D187"/>
      <c r="E187"/>
      <c r="F187"/>
      <c r="G187"/>
      <c r="H187"/>
      <c r="I187"/>
    </row>
    <row r="188" spans="1:9" ht="15" x14ac:dyDescent="0.2">
      <c r="A188"/>
      <c r="B188"/>
      <c r="C188"/>
      <c r="D188"/>
      <c r="E188"/>
      <c r="F188"/>
      <c r="G188"/>
      <c r="H188"/>
      <c r="I188"/>
    </row>
    <row r="189" spans="1:9" ht="15" x14ac:dyDescent="0.2">
      <c r="A189"/>
      <c r="B189"/>
      <c r="C189"/>
      <c r="D189"/>
      <c r="E189"/>
      <c r="F189"/>
      <c r="G189"/>
      <c r="H189"/>
      <c r="I189"/>
    </row>
    <row r="190" spans="1:9" ht="15" x14ac:dyDescent="0.2">
      <c r="A190"/>
      <c r="B190"/>
      <c r="C190"/>
      <c r="D190"/>
      <c r="E190"/>
      <c r="F190"/>
      <c r="G190"/>
      <c r="H190"/>
      <c r="I190"/>
    </row>
    <row r="191" spans="1:9" ht="15" x14ac:dyDescent="0.2">
      <c r="A191"/>
      <c r="B191"/>
      <c r="C191"/>
      <c r="D191"/>
      <c r="E191"/>
      <c r="F191"/>
      <c r="G191"/>
      <c r="H191"/>
      <c r="I191"/>
    </row>
    <row r="192" spans="1:9" ht="15" x14ac:dyDescent="0.2">
      <c r="A192"/>
      <c r="B192"/>
      <c r="C192"/>
      <c r="D192"/>
      <c r="E192"/>
      <c r="F192"/>
      <c r="G192"/>
      <c r="H192"/>
      <c r="I192"/>
    </row>
    <row r="193" spans="1:9" ht="15" x14ac:dyDescent="0.2">
      <c r="A193"/>
      <c r="B193"/>
      <c r="C193"/>
      <c r="D193"/>
      <c r="E193"/>
      <c r="F193"/>
      <c r="G193"/>
      <c r="H193"/>
      <c r="I193"/>
    </row>
    <row r="194" spans="1:9" ht="15" x14ac:dyDescent="0.2">
      <c r="A194"/>
      <c r="B194"/>
      <c r="C194"/>
      <c r="D194"/>
      <c r="E194"/>
      <c r="F194"/>
      <c r="G194"/>
      <c r="H194"/>
      <c r="I194"/>
    </row>
    <row r="195" spans="1:9" ht="15" x14ac:dyDescent="0.2">
      <c r="A195"/>
      <c r="B195"/>
      <c r="C195"/>
      <c r="D195"/>
      <c r="E195"/>
      <c r="F195"/>
      <c r="G195"/>
      <c r="H195"/>
      <c r="I195"/>
    </row>
    <row r="196" spans="1:9" ht="15" x14ac:dyDescent="0.2">
      <c r="A196"/>
      <c r="B196"/>
      <c r="C196"/>
      <c r="D196"/>
      <c r="E196"/>
      <c r="F196"/>
      <c r="G196"/>
      <c r="H196"/>
      <c r="I196"/>
    </row>
    <row r="197" spans="1:9" ht="15" x14ac:dyDescent="0.2">
      <c r="A197"/>
      <c r="B197"/>
      <c r="C197"/>
      <c r="D197"/>
      <c r="E197"/>
      <c r="F197"/>
      <c r="G197"/>
      <c r="H197"/>
      <c r="I197"/>
    </row>
    <row r="198" spans="1:9" ht="15" x14ac:dyDescent="0.2">
      <c r="A198"/>
      <c r="B198"/>
      <c r="C198"/>
      <c r="D198"/>
      <c r="E198"/>
      <c r="F198"/>
      <c r="G198"/>
      <c r="H198"/>
      <c r="I198"/>
    </row>
    <row r="199" spans="1:9" ht="15" x14ac:dyDescent="0.2">
      <c r="A199"/>
      <c r="B199"/>
      <c r="C199"/>
      <c r="D199"/>
      <c r="E199"/>
      <c r="F199"/>
      <c r="G199"/>
      <c r="H199"/>
      <c r="I199"/>
    </row>
    <row r="200" spans="1:9" ht="15" x14ac:dyDescent="0.2">
      <c r="A200"/>
      <c r="B200"/>
      <c r="C200"/>
      <c r="D200"/>
      <c r="E200"/>
      <c r="F200"/>
      <c r="G200"/>
      <c r="H200"/>
      <c r="I200"/>
    </row>
    <row r="201" spans="1:9" ht="15" x14ac:dyDescent="0.2">
      <c r="A201"/>
      <c r="B201"/>
      <c r="C201"/>
      <c r="D201"/>
      <c r="E201"/>
      <c r="F201"/>
      <c r="G201"/>
      <c r="H201"/>
      <c r="I201"/>
    </row>
    <row r="202" spans="1:9" ht="15" x14ac:dyDescent="0.2">
      <c r="A202"/>
      <c r="B202"/>
      <c r="C202"/>
      <c r="D202"/>
      <c r="E202"/>
      <c r="F202"/>
      <c r="G202"/>
      <c r="H202"/>
      <c r="I202"/>
    </row>
    <row r="203" spans="1:9" ht="15" x14ac:dyDescent="0.2">
      <c r="A203"/>
      <c r="B203"/>
      <c r="C203"/>
      <c r="D203"/>
      <c r="E203"/>
      <c r="F203"/>
      <c r="G203"/>
      <c r="H203"/>
      <c r="I203"/>
    </row>
    <row r="204" spans="1:9" ht="15" x14ac:dyDescent="0.2">
      <c r="A204"/>
      <c r="B204"/>
      <c r="C204"/>
      <c r="D204"/>
      <c r="E204"/>
      <c r="F204"/>
      <c r="G204"/>
      <c r="H204"/>
      <c r="I204"/>
    </row>
    <row r="205" spans="1:9" ht="15" x14ac:dyDescent="0.2">
      <c r="A205"/>
      <c r="B205"/>
      <c r="C205"/>
      <c r="D205"/>
      <c r="E205"/>
      <c r="F205"/>
      <c r="G205"/>
      <c r="H205"/>
      <c r="I205"/>
    </row>
    <row r="206" spans="1:9" ht="15" x14ac:dyDescent="0.2">
      <c r="A206"/>
      <c r="B206"/>
      <c r="C206"/>
      <c r="D206"/>
      <c r="E206"/>
      <c r="F206"/>
      <c r="G206"/>
      <c r="H206"/>
      <c r="I206"/>
    </row>
    <row r="207" spans="1:9" ht="15" x14ac:dyDescent="0.2">
      <c r="A207"/>
      <c r="B207"/>
      <c r="C207"/>
      <c r="D207"/>
      <c r="E207"/>
      <c r="F207"/>
      <c r="G207"/>
      <c r="H207"/>
      <c r="I207"/>
    </row>
    <row r="208" spans="1:9" ht="15" x14ac:dyDescent="0.2">
      <c r="A208"/>
      <c r="B208"/>
      <c r="C208"/>
      <c r="D208"/>
      <c r="E208"/>
      <c r="F208"/>
      <c r="G208"/>
      <c r="H208"/>
      <c r="I208"/>
    </row>
    <row r="209" spans="1:9" ht="15" x14ac:dyDescent="0.2">
      <c r="A209"/>
      <c r="B209"/>
      <c r="C209"/>
      <c r="D209"/>
      <c r="E209"/>
      <c r="F209"/>
      <c r="G209"/>
      <c r="H209"/>
      <c r="I209"/>
    </row>
    <row r="210" spans="1:9" ht="15" x14ac:dyDescent="0.2">
      <c r="A210"/>
      <c r="B210"/>
      <c r="C210"/>
      <c r="D210"/>
      <c r="E210"/>
      <c r="F210"/>
      <c r="G210"/>
      <c r="H210"/>
      <c r="I210"/>
    </row>
    <row r="211" spans="1:9" ht="15" x14ac:dyDescent="0.2">
      <c r="A211"/>
      <c r="B211"/>
      <c r="C211"/>
      <c r="D211"/>
      <c r="E211"/>
      <c r="F211"/>
      <c r="G211"/>
      <c r="H211"/>
      <c r="I211"/>
    </row>
    <row r="212" spans="1:9" ht="15" x14ac:dyDescent="0.2">
      <c r="A212"/>
      <c r="B212"/>
      <c r="C212"/>
      <c r="D212"/>
      <c r="E212"/>
      <c r="F212"/>
      <c r="G212"/>
      <c r="H212"/>
      <c r="I212"/>
    </row>
    <row r="213" spans="1:9" ht="15" x14ac:dyDescent="0.2">
      <c r="A213"/>
      <c r="B213"/>
      <c r="C213"/>
      <c r="D213"/>
      <c r="E213"/>
      <c r="F213"/>
      <c r="G213"/>
      <c r="H213"/>
      <c r="I213"/>
    </row>
    <row r="214" spans="1:9" ht="15" x14ac:dyDescent="0.2">
      <c r="A214"/>
      <c r="B214"/>
      <c r="C214"/>
      <c r="D214"/>
      <c r="E214"/>
      <c r="F214"/>
      <c r="G214"/>
      <c r="H214"/>
      <c r="I214"/>
    </row>
    <row r="215" spans="1:9" ht="15" x14ac:dyDescent="0.2">
      <c r="A215"/>
      <c r="B215"/>
      <c r="C215"/>
      <c r="D215"/>
      <c r="E215"/>
      <c r="F215"/>
      <c r="G215"/>
      <c r="H215"/>
      <c r="I215"/>
    </row>
    <row r="216" spans="1:9" ht="15" x14ac:dyDescent="0.2">
      <c r="A216"/>
      <c r="B216"/>
      <c r="C216"/>
      <c r="D216"/>
      <c r="E216"/>
      <c r="F216"/>
      <c r="G216"/>
      <c r="H216"/>
      <c r="I216"/>
    </row>
    <row r="217" spans="1:9" ht="15" x14ac:dyDescent="0.2">
      <c r="A217"/>
      <c r="B217"/>
      <c r="C217"/>
      <c r="D217"/>
      <c r="E217"/>
      <c r="F217"/>
      <c r="G217"/>
      <c r="H217"/>
      <c r="I217"/>
    </row>
    <row r="218" spans="1:9" ht="15" x14ac:dyDescent="0.2">
      <c r="A218"/>
      <c r="B218"/>
      <c r="C218"/>
      <c r="D218"/>
      <c r="E218"/>
      <c r="F218"/>
      <c r="G218"/>
      <c r="H218"/>
      <c r="I218"/>
    </row>
    <row r="219" spans="1:9" ht="15" x14ac:dyDescent="0.2">
      <c r="A219"/>
      <c r="B219"/>
      <c r="C219"/>
      <c r="D219"/>
      <c r="E219"/>
      <c r="F219"/>
      <c r="G219"/>
      <c r="H219"/>
      <c r="I219"/>
    </row>
    <row r="220" spans="1:9" ht="15" x14ac:dyDescent="0.2">
      <c r="A220"/>
      <c r="B220"/>
      <c r="C220"/>
      <c r="D220"/>
      <c r="E220"/>
      <c r="F220"/>
      <c r="G220"/>
      <c r="H220"/>
      <c r="I220"/>
    </row>
    <row r="221" spans="1:9" ht="15" x14ac:dyDescent="0.2">
      <c r="A221"/>
      <c r="B221"/>
      <c r="C221"/>
      <c r="D221"/>
      <c r="E221"/>
      <c r="F221"/>
      <c r="G221"/>
      <c r="H221"/>
      <c r="I221"/>
    </row>
    <row r="222" spans="1:9" ht="15" x14ac:dyDescent="0.2">
      <c r="A222"/>
      <c r="B222"/>
      <c r="C222"/>
      <c r="D222"/>
      <c r="E222"/>
      <c r="F222"/>
      <c r="G222"/>
      <c r="H222"/>
      <c r="I222"/>
    </row>
    <row r="223" spans="1:9" ht="15" x14ac:dyDescent="0.2">
      <c r="A223"/>
      <c r="B223"/>
      <c r="C223"/>
      <c r="D223"/>
      <c r="E223"/>
      <c r="F223"/>
      <c r="G223"/>
      <c r="H223"/>
      <c r="I223"/>
    </row>
    <row r="224" spans="1:9" ht="15" x14ac:dyDescent="0.2">
      <c r="A224"/>
      <c r="B224"/>
      <c r="C224"/>
      <c r="D224"/>
      <c r="E224"/>
      <c r="F224"/>
      <c r="G224"/>
      <c r="H224"/>
      <c r="I224"/>
    </row>
    <row r="225" spans="1:9" ht="15" x14ac:dyDescent="0.2">
      <c r="A225"/>
      <c r="B225"/>
      <c r="C225"/>
      <c r="D225"/>
      <c r="E225"/>
      <c r="F225"/>
      <c r="G225"/>
      <c r="H225"/>
      <c r="I225"/>
    </row>
    <row r="226" spans="1:9" ht="15" x14ac:dyDescent="0.2">
      <c r="A226"/>
      <c r="B226"/>
      <c r="C226"/>
      <c r="D226"/>
      <c r="E226"/>
      <c r="F226"/>
      <c r="G226"/>
      <c r="H226"/>
      <c r="I226"/>
    </row>
    <row r="227" spans="1:9" ht="15" x14ac:dyDescent="0.2">
      <c r="A227"/>
      <c r="B227"/>
      <c r="C227"/>
      <c r="D227"/>
      <c r="E227"/>
      <c r="F227"/>
      <c r="G227"/>
      <c r="H227"/>
      <c r="I227"/>
    </row>
    <row r="228" spans="1:9" ht="15" x14ac:dyDescent="0.2">
      <c r="A228"/>
      <c r="B228"/>
      <c r="C228"/>
      <c r="D228"/>
      <c r="E228"/>
      <c r="F228"/>
      <c r="G228"/>
      <c r="H228"/>
      <c r="I228"/>
    </row>
    <row r="229" spans="1:9" ht="15" x14ac:dyDescent="0.2">
      <c r="A229"/>
      <c r="B229"/>
      <c r="C229"/>
      <c r="D229"/>
      <c r="E229"/>
      <c r="F229"/>
      <c r="G229"/>
      <c r="H229"/>
      <c r="I229"/>
    </row>
    <row r="230" spans="1:9" ht="15" x14ac:dyDescent="0.2">
      <c r="A230"/>
      <c r="B230"/>
      <c r="C230"/>
      <c r="D230"/>
      <c r="E230"/>
      <c r="F230"/>
      <c r="G230"/>
      <c r="H230"/>
      <c r="I230"/>
    </row>
    <row r="231" spans="1:9" ht="15" x14ac:dyDescent="0.2">
      <c r="A231"/>
      <c r="B231"/>
      <c r="C231"/>
      <c r="D231"/>
      <c r="E231"/>
      <c r="F231"/>
      <c r="G231"/>
      <c r="H231"/>
      <c r="I231"/>
    </row>
    <row r="232" spans="1:9" ht="15" x14ac:dyDescent="0.2">
      <c r="A232"/>
      <c r="B232"/>
      <c r="C232"/>
      <c r="D232"/>
      <c r="E232"/>
      <c r="F232"/>
      <c r="G232"/>
      <c r="H232"/>
      <c r="I232"/>
    </row>
    <row r="233" spans="1:9" ht="15" x14ac:dyDescent="0.2">
      <c r="A233"/>
      <c r="B233"/>
      <c r="C233"/>
      <c r="D233"/>
      <c r="E233"/>
      <c r="F233"/>
      <c r="G233"/>
      <c r="H233"/>
      <c r="I233"/>
    </row>
    <row r="234" spans="1:9" ht="15" x14ac:dyDescent="0.2">
      <c r="A234"/>
      <c r="B234"/>
      <c r="C234"/>
      <c r="D234"/>
      <c r="E234"/>
      <c r="F234"/>
      <c r="G234"/>
      <c r="H234"/>
      <c r="I234"/>
    </row>
    <row r="235" spans="1:9" ht="15" x14ac:dyDescent="0.2">
      <c r="A235"/>
      <c r="B235"/>
      <c r="C235"/>
      <c r="D235"/>
      <c r="E235"/>
      <c r="F235"/>
      <c r="G235"/>
      <c r="H235"/>
      <c r="I235"/>
    </row>
    <row r="236" spans="1:9" ht="15" x14ac:dyDescent="0.2">
      <c r="A236"/>
      <c r="B236"/>
      <c r="C236"/>
      <c r="D236"/>
      <c r="E236"/>
      <c r="F236"/>
      <c r="G236"/>
      <c r="H236"/>
      <c r="I236"/>
    </row>
    <row r="237" spans="1:9" ht="15" x14ac:dyDescent="0.2">
      <c r="A237"/>
      <c r="B237"/>
      <c r="C237"/>
      <c r="D237"/>
      <c r="E237"/>
      <c r="F237"/>
      <c r="G237"/>
      <c r="H237"/>
      <c r="I237"/>
    </row>
    <row r="238" spans="1:9" ht="15" x14ac:dyDescent="0.2">
      <c r="A238"/>
      <c r="B238"/>
      <c r="C238"/>
      <c r="D238"/>
      <c r="E238"/>
      <c r="F238"/>
      <c r="G238"/>
      <c r="H238"/>
      <c r="I238"/>
    </row>
    <row r="239" spans="1:9" ht="15" x14ac:dyDescent="0.2">
      <c r="A239"/>
      <c r="B239"/>
      <c r="C239"/>
      <c r="D239"/>
      <c r="E239"/>
      <c r="F239"/>
      <c r="G239"/>
      <c r="H239"/>
      <c r="I239"/>
    </row>
    <row r="240" spans="1:9" ht="15" x14ac:dyDescent="0.2">
      <c r="A240"/>
      <c r="B240"/>
      <c r="C240"/>
      <c r="D240"/>
      <c r="E240"/>
      <c r="F240"/>
      <c r="G240"/>
      <c r="H240"/>
      <c r="I240"/>
    </row>
    <row r="241" spans="1:9" ht="15" x14ac:dyDescent="0.2">
      <c r="A241"/>
      <c r="B241"/>
      <c r="C241"/>
      <c r="D241"/>
      <c r="E241"/>
      <c r="F241"/>
      <c r="G241"/>
      <c r="H241"/>
      <c r="I241"/>
    </row>
    <row r="242" spans="1:9" ht="15" x14ac:dyDescent="0.2">
      <c r="A242"/>
      <c r="B242"/>
      <c r="C242"/>
      <c r="D242"/>
      <c r="E242"/>
      <c r="F242"/>
      <c r="G242"/>
      <c r="H242"/>
      <c r="I242"/>
    </row>
    <row r="243" spans="1:9" ht="15" x14ac:dyDescent="0.2">
      <c r="A243"/>
      <c r="B243"/>
      <c r="C243"/>
      <c r="D243"/>
      <c r="E243"/>
      <c r="F243"/>
      <c r="G243"/>
      <c r="H243"/>
      <c r="I243"/>
    </row>
    <row r="244" spans="1:9" ht="15" x14ac:dyDescent="0.2">
      <c r="A244"/>
      <c r="B244"/>
      <c r="C244"/>
      <c r="D244"/>
      <c r="E244"/>
      <c r="F244"/>
      <c r="G244"/>
      <c r="H244"/>
      <c r="I244"/>
    </row>
    <row r="245" spans="1:9" ht="15" x14ac:dyDescent="0.2">
      <c r="A245"/>
      <c r="B245"/>
      <c r="C245"/>
      <c r="D245"/>
      <c r="E245"/>
      <c r="F245"/>
      <c r="G245"/>
      <c r="H245"/>
      <c r="I245"/>
    </row>
    <row r="246" spans="1:9" ht="15" x14ac:dyDescent="0.2">
      <c r="A246"/>
      <c r="B246"/>
      <c r="C246"/>
      <c r="D246"/>
      <c r="E246"/>
      <c r="F246"/>
      <c r="G246"/>
      <c r="H246"/>
      <c r="I246"/>
    </row>
    <row r="247" spans="1:9" ht="15" x14ac:dyDescent="0.2">
      <c r="A247"/>
      <c r="B247"/>
      <c r="C247"/>
      <c r="D247"/>
      <c r="E247"/>
      <c r="F247"/>
      <c r="G247"/>
      <c r="H247"/>
      <c r="I247"/>
    </row>
    <row r="248" spans="1:9" ht="15" x14ac:dyDescent="0.2">
      <c r="A248"/>
      <c r="B248"/>
      <c r="C248"/>
      <c r="D248"/>
      <c r="E248"/>
      <c r="F248"/>
      <c r="G248"/>
      <c r="H248"/>
      <c r="I248"/>
    </row>
    <row r="249" spans="1:9" ht="15" x14ac:dyDescent="0.2">
      <c r="A249"/>
      <c r="B249"/>
      <c r="C249"/>
      <c r="D249"/>
      <c r="E249"/>
      <c r="F249"/>
      <c r="G249"/>
      <c r="H249"/>
      <c r="I249"/>
    </row>
    <row r="250" spans="1:9" ht="15" x14ac:dyDescent="0.2">
      <c r="A250"/>
      <c r="B250"/>
      <c r="C250"/>
      <c r="D250"/>
      <c r="E250"/>
      <c r="F250"/>
      <c r="G250"/>
      <c r="H250"/>
      <c r="I250"/>
    </row>
    <row r="251" spans="1:9" ht="15" x14ac:dyDescent="0.2">
      <c r="A251"/>
      <c r="B251"/>
      <c r="C251"/>
      <c r="D251"/>
      <c r="E251"/>
      <c r="F251"/>
      <c r="G251"/>
      <c r="H251"/>
      <c r="I251"/>
    </row>
    <row r="252" spans="1:9" ht="15" x14ac:dyDescent="0.2">
      <c r="A252"/>
      <c r="B252"/>
      <c r="C252"/>
      <c r="D252"/>
      <c r="E252"/>
      <c r="F252"/>
      <c r="G252"/>
      <c r="H252"/>
      <c r="I252"/>
    </row>
    <row r="253" spans="1:9" ht="15" x14ac:dyDescent="0.2">
      <c r="A253"/>
      <c r="B253"/>
      <c r="C253"/>
      <c r="D253"/>
      <c r="E253"/>
      <c r="F253"/>
      <c r="G253"/>
      <c r="H253"/>
      <c r="I253"/>
    </row>
    <row r="254" spans="1:9" ht="15" x14ac:dyDescent="0.2">
      <c r="A254"/>
      <c r="B254"/>
      <c r="C254"/>
      <c r="D254"/>
      <c r="E254"/>
      <c r="F254"/>
      <c r="G254"/>
      <c r="H254"/>
      <c r="I254"/>
    </row>
    <row r="255" spans="1:9" ht="15" x14ac:dyDescent="0.2">
      <c r="A255"/>
      <c r="B255"/>
      <c r="C255"/>
      <c r="D255"/>
      <c r="E255"/>
      <c r="F255"/>
      <c r="G255"/>
      <c r="H255"/>
      <c r="I255"/>
    </row>
    <row r="256" spans="1:9" ht="15" x14ac:dyDescent="0.2">
      <c r="A256"/>
      <c r="B256"/>
      <c r="C256"/>
      <c r="D256"/>
      <c r="E256"/>
      <c r="F256"/>
      <c r="G256"/>
      <c r="H256"/>
      <c r="I256"/>
    </row>
    <row r="257" spans="1:9" ht="15" x14ac:dyDescent="0.2">
      <c r="A257"/>
      <c r="B257"/>
      <c r="C257"/>
      <c r="D257"/>
      <c r="E257"/>
      <c r="F257"/>
      <c r="G257"/>
      <c r="H257"/>
      <c r="I257"/>
    </row>
    <row r="258" spans="1:9" ht="15" x14ac:dyDescent="0.2">
      <c r="A258"/>
      <c r="B258"/>
      <c r="C258"/>
      <c r="D258"/>
      <c r="E258"/>
      <c r="F258"/>
      <c r="G258"/>
      <c r="H258"/>
      <c r="I258"/>
    </row>
    <row r="259" spans="1:9" ht="15" x14ac:dyDescent="0.2">
      <c r="A259"/>
      <c r="B259"/>
      <c r="C259"/>
      <c r="D259"/>
      <c r="E259"/>
      <c r="F259"/>
      <c r="G259"/>
      <c r="H259"/>
      <c r="I259"/>
    </row>
    <row r="260" spans="1:9" ht="15" x14ac:dyDescent="0.2">
      <c r="A260"/>
      <c r="B260"/>
      <c r="C260"/>
      <c r="D260"/>
      <c r="E260"/>
      <c r="F260"/>
      <c r="G260"/>
      <c r="H260"/>
      <c r="I260"/>
    </row>
    <row r="261" spans="1:9" ht="15" x14ac:dyDescent="0.2">
      <c r="A261"/>
      <c r="B261"/>
      <c r="C261"/>
      <c r="D261"/>
      <c r="E261"/>
      <c r="F261"/>
      <c r="G261"/>
      <c r="H261"/>
      <c r="I261"/>
    </row>
    <row r="262" spans="1:9" ht="15" x14ac:dyDescent="0.2">
      <c r="A262"/>
      <c r="B262"/>
      <c r="C262"/>
      <c r="D262"/>
      <c r="E262"/>
      <c r="F262"/>
      <c r="G262"/>
      <c r="H262"/>
      <c r="I262"/>
    </row>
    <row r="263" spans="1:9" ht="15" x14ac:dyDescent="0.2">
      <c r="A263"/>
      <c r="B263"/>
      <c r="C263"/>
      <c r="D263"/>
      <c r="E263"/>
      <c r="F263"/>
      <c r="G263"/>
      <c r="H263"/>
      <c r="I263"/>
    </row>
    <row r="264" spans="1:9" ht="15" x14ac:dyDescent="0.2">
      <c r="A264"/>
      <c r="B264"/>
      <c r="C264"/>
      <c r="D264"/>
      <c r="E264"/>
      <c r="F264"/>
      <c r="G264"/>
      <c r="H264"/>
      <c r="I264"/>
    </row>
    <row r="265" spans="1:9" ht="15" x14ac:dyDescent="0.2">
      <c r="A265"/>
      <c r="B265"/>
      <c r="C265"/>
      <c r="D265"/>
      <c r="E265"/>
      <c r="F265"/>
      <c r="G265"/>
      <c r="H265"/>
      <c r="I265"/>
    </row>
    <row r="266" spans="1:9" ht="15" x14ac:dyDescent="0.2">
      <c r="A266"/>
      <c r="B266"/>
      <c r="C266"/>
      <c r="D266"/>
      <c r="E266"/>
      <c r="F266"/>
      <c r="G266"/>
      <c r="H266"/>
      <c r="I266"/>
    </row>
    <row r="267" spans="1:9" ht="15" x14ac:dyDescent="0.2">
      <c r="A267"/>
      <c r="B267"/>
      <c r="C267"/>
      <c r="D267"/>
      <c r="E267"/>
      <c r="F267"/>
      <c r="G267"/>
      <c r="H267"/>
      <c r="I267"/>
    </row>
    <row r="268" spans="1:9" ht="15" x14ac:dyDescent="0.2">
      <c r="A268"/>
      <c r="B268"/>
      <c r="C268"/>
      <c r="D268"/>
      <c r="E268"/>
      <c r="F268"/>
      <c r="G268"/>
      <c r="H268"/>
      <c r="I268"/>
    </row>
    <row r="269" spans="1:9" ht="15" x14ac:dyDescent="0.2">
      <c r="A269"/>
      <c r="B269"/>
      <c r="C269"/>
      <c r="D269"/>
      <c r="E269"/>
      <c r="F269"/>
      <c r="G269"/>
      <c r="H269"/>
      <c r="I269"/>
    </row>
    <row r="270" spans="1:9" ht="15" x14ac:dyDescent="0.2">
      <c r="A270"/>
      <c r="B270"/>
      <c r="C270"/>
      <c r="D270"/>
      <c r="E270"/>
      <c r="F270"/>
      <c r="G270"/>
      <c r="H270"/>
      <c r="I270"/>
    </row>
    <row r="271" spans="1:9" ht="15" x14ac:dyDescent="0.2">
      <c r="A271"/>
      <c r="B271"/>
      <c r="C271"/>
      <c r="D271"/>
      <c r="E271"/>
      <c r="F271"/>
      <c r="G271"/>
      <c r="H271"/>
      <c r="I271"/>
    </row>
    <row r="272" spans="1:9" ht="15" x14ac:dyDescent="0.2">
      <c r="A272"/>
      <c r="B272"/>
      <c r="C272"/>
      <c r="D272"/>
      <c r="E272"/>
      <c r="F272"/>
      <c r="G272"/>
      <c r="H272"/>
      <c r="I272"/>
    </row>
    <row r="273" spans="1:9" ht="15" x14ac:dyDescent="0.2">
      <c r="A273"/>
      <c r="B273"/>
      <c r="C273"/>
      <c r="D273"/>
      <c r="E273"/>
      <c r="F273"/>
      <c r="G273"/>
      <c r="H273"/>
      <c r="I273"/>
    </row>
    <row r="274" spans="1:9" ht="15" x14ac:dyDescent="0.2">
      <c r="A274"/>
      <c r="B274"/>
      <c r="C274"/>
      <c r="D274"/>
      <c r="E274"/>
      <c r="F274"/>
      <c r="G274"/>
      <c r="H274"/>
      <c r="I274"/>
    </row>
    <row r="275" spans="1:9" ht="15" x14ac:dyDescent="0.2">
      <c r="A275"/>
      <c r="B275"/>
      <c r="C275"/>
      <c r="D275"/>
      <c r="E275"/>
      <c r="F275"/>
      <c r="G275"/>
      <c r="H275"/>
      <c r="I275"/>
    </row>
    <row r="276" spans="1:9" ht="15" x14ac:dyDescent="0.2">
      <c r="A276"/>
      <c r="B276"/>
      <c r="C276"/>
      <c r="D276"/>
      <c r="E276"/>
      <c r="F276"/>
      <c r="G276"/>
      <c r="H276"/>
      <c r="I276"/>
    </row>
    <row r="277" spans="1:9" ht="15" x14ac:dyDescent="0.2">
      <c r="A277"/>
      <c r="B277"/>
      <c r="C277"/>
      <c r="D277"/>
      <c r="E277"/>
      <c r="F277"/>
      <c r="G277"/>
      <c r="H277"/>
      <c r="I277"/>
    </row>
    <row r="278" spans="1:9" ht="15" x14ac:dyDescent="0.2">
      <c r="A278"/>
      <c r="B278"/>
      <c r="C278"/>
      <c r="D278"/>
      <c r="E278"/>
      <c r="F278"/>
      <c r="G278"/>
      <c r="H278"/>
      <c r="I278"/>
    </row>
    <row r="279" spans="1:9" ht="15" x14ac:dyDescent="0.2">
      <c r="A279"/>
      <c r="B279"/>
      <c r="C279"/>
      <c r="D279"/>
      <c r="E279"/>
      <c r="F279"/>
      <c r="G279"/>
      <c r="H279"/>
      <c r="I279"/>
    </row>
    <row r="280" spans="1:9" ht="15" x14ac:dyDescent="0.2">
      <c r="A280"/>
      <c r="B280"/>
      <c r="C280"/>
      <c r="D280"/>
      <c r="E280"/>
      <c r="F280"/>
      <c r="G280"/>
      <c r="H280"/>
      <c r="I280"/>
    </row>
    <row r="281" spans="1:9" ht="15" x14ac:dyDescent="0.2">
      <c r="A281"/>
      <c r="B281"/>
      <c r="C281"/>
      <c r="D281"/>
      <c r="E281"/>
      <c r="F281"/>
      <c r="G281"/>
      <c r="H281"/>
      <c r="I281"/>
    </row>
    <row r="282" spans="1:9" ht="15" x14ac:dyDescent="0.2">
      <c r="A282"/>
      <c r="B282"/>
      <c r="C282"/>
      <c r="D282"/>
      <c r="E282"/>
      <c r="F282"/>
      <c r="G282"/>
      <c r="H282"/>
      <c r="I282"/>
    </row>
    <row r="283" spans="1:9" ht="15" x14ac:dyDescent="0.2">
      <c r="A283"/>
      <c r="B283"/>
      <c r="C283"/>
      <c r="D283"/>
      <c r="E283"/>
      <c r="F283"/>
      <c r="G283"/>
      <c r="H283"/>
      <c r="I283"/>
    </row>
    <row r="284" spans="1:9" ht="15" x14ac:dyDescent="0.2">
      <c r="A284"/>
      <c r="B284"/>
      <c r="C284"/>
      <c r="D284"/>
      <c r="E284"/>
      <c r="F284"/>
      <c r="G284"/>
      <c r="H284"/>
      <c r="I284"/>
    </row>
    <row r="285" spans="1:9" ht="15" x14ac:dyDescent="0.2">
      <c r="A285"/>
      <c r="B285"/>
      <c r="C285"/>
      <c r="D285"/>
      <c r="E285"/>
      <c r="F285"/>
      <c r="G285"/>
      <c r="H285"/>
      <c r="I285"/>
    </row>
    <row r="286" spans="1:9" ht="15" x14ac:dyDescent="0.2">
      <c r="A286"/>
      <c r="B286"/>
      <c r="C286"/>
      <c r="D286"/>
      <c r="E286"/>
      <c r="F286"/>
      <c r="G286"/>
      <c r="H286"/>
      <c r="I286"/>
    </row>
    <row r="287" spans="1:9" ht="15" x14ac:dyDescent="0.2">
      <c r="A287"/>
      <c r="B287"/>
      <c r="C287"/>
      <c r="D287"/>
      <c r="E287"/>
      <c r="F287"/>
      <c r="G287"/>
      <c r="H287"/>
      <c r="I287"/>
    </row>
    <row r="288" spans="1:9" ht="15" x14ac:dyDescent="0.2">
      <c r="A288"/>
      <c r="B288"/>
      <c r="C288"/>
      <c r="D288"/>
      <c r="E288"/>
      <c r="F288"/>
      <c r="G288"/>
      <c r="H288"/>
      <c r="I288"/>
    </row>
    <row r="289" spans="1:9" ht="15" x14ac:dyDescent="0.2">
      <c r="A289"/>
      <c r="B289"/>
      <c r="C289"/>
      <c r="D289"/>
      <c r="E289"/>
      <c r="F289"/>
      <c r="G289"/>
      <c r="H289"/>
      <c r="I289"/>
    </row>
    <row r="290" spans="1:9" ht="15" x14ac:dyDescent="0.2">
      <c r="A290"/>
      <c r="B290"/>
      <c r="C290"/>
      <c r="D290"/>
      <c r="E290"/>
      <c r="F290"/>
      <c r="G290"/>
      <c r="H290"/>
      <c r="I290"/>
    </row>
    <row r="291" spans="1:9" ht="15" x14ac:dyDescent="0.2">
      <c r="A291"/>
      <c r="B291"/>
      <c r="C291"/>
      <c r="D291"/>
      <c r="E291"/>
      <c r="F291"/>
      <c r="G291"/>
      <c r="H291"/>
      <c r="I291"/>
    </row>
    <row r="292" spans="1:9" ht="15" x14ac:dyDescent="0.2">
      <c r="A292"/>
      <c r="B292"/>
      <c r="C292"/>
      <c r="D292"/>
      <c r="E292"/>
      <c r="F292"/>
      <c r="G292"/>
      <c r="H292"/>
      <c r="I292"/>
    </row>
    <row r="293" spans="1:9" ht="15" x14ac:dyDescent="0.2">
      <c r="A293"/>
      <c r="B293"/>
      <c r="C293"/>
      <c r="D293"/>
      <c r="E293"/>
      <c r="F293"/>
      <c r="G293"/>
      <c r="H293"/>
      <c r="I293"/>
    </row>
    <row r="294" spans="1:9" ht="15" x14ac:dyDescent="0.2">
      <c r="A294"/>
      <c r="B294"/>
      <c r="C294"/>
      <c r="D294"/>
      <c r="E294"/>
      <c r="F294"/>
      <c r="G294"/>
      <c r="H294"/>
      <c r="I294"/>
    </row>
    <row r="295" spans="1:9" ht="15" x14ac:dyDescent="0.2">
      <c r="A295"/>
      <c r="B295"/>
      <c r="C295"/>
      <c r="D295"/>
      <c r="E295"/>
      <c r="F295"/>
      <c r="G295"/>
      <c r="H295"/>
      <c r="I295"/>
    </row>
    <row r="296" spans="1:9" ht="15" x14ac:dyDescent="0.2">
      <c r="A296"/>
      <c r="B296"/>
      <c r="C296"/>
      <c r="D296"/>
      <c r="E296"/>
      <c r="F296"/>
      <c r="G296"/>
      <c r="H296"/>
      <c r="I296"/>
    </row>
    <row r="297" spans="1:9" ht="15" x14ac:dyDescent="0.2">
      <c r="A297"/>
      <c r="B297"/>
      <c r="C297"/>
      <c r="D297"/>
      <c r="E297"/>
      <c r="F297"/>
      <c r="G297"/>
      <c r="H297"/>
      <c r="I297"/>
    </row>
    <row r="298" spans="1:9" ht="15" x14ac:dyDescent="0.2">
      <c r="A298"/>
      <c r="B298"/>
      <c r="C298"/>
      <c r="D298"/>
      <c r="E298"/>
      <c r="F298"/>
      <c r="G298"/>
      <c r="H298"/>
      <c r="I298"/>
    </row>
    <row r="299" spans="1:9" ht="15" x14ac:dyDescent="0.2">
      <c r="A299"/>
      <c r="B299"/>
      <c r="C299"/>
      <c r="D299"/>
      <c r="E299"/>
      <c r="F299"/>
      <c r="G299"/>
      <c r="H299"/>
      <c r="I299"/>
    </row>
    <row r="300" spans="1:9" ht="15" x14ac:dyDescent="0.2">
      <c r="A300"/>
      <c r="B300"/>
      <c r="C300"/>
      <c r="D300"/>
      <c r="E300"/>
      <c r="F300"/>
      <c r="G300"/>
      <c r="H300"/>
      <c r="I300"/>
    </row>
    <row r="301" spans="1:9" ht="15" x14ac:dyDescent="0.2">
      <c r="A301"/>
      <c r="B301"/>
      <c r="C301"/>
      <c r="D301"/>
      <c r="E301"/>
      <c r="F301"/>
      <c r="G301"/>
      <c r="H301"/>
      <c r="I301"/>
    </row>
    <row r="302" spans="1:9" ht="15" x14ac:dyDescent="0.2">
      <c r="A302"/>
      <c r="B302"/>
      <c r="C302"/>
      <c r="D302"/>
      <c r="E302"/>
      <c r="F302"/>
      <c r="G302"/>
      <c r="H302"/>
      <c r="I302"/>
    </row>
    <row r="303" spans="1:9" ht="15" x14ac:dyDescent="0.2">
      <c r="A303"/>
      <c r="B303"/>
      <c r="C303"/>
      <c r="D303"/>
      <c r="E303"/>
      <c r="F303"/>
      <c r="G303"/>
      <c r="H303"/>
      <c r="I303"/>
    </row>
    <row r="304" spans="1:9" ht="15" x14ac:dyDescent="0.2">
      <c r="A304"/>
      <c r="B304"/>
      <c r="C304"/>
      <c r="D304"/>
      <c r="E304"/>
      <c r="F304"/>
      <c r="G304"/>
      <c r="H304"/>
      <c r="I304"/>
    </row>
    <row r="305" spans="1:9" ht="15" x14ac:dyDescent="0.2">
      <c r="A305"/>
      <c r="B305"/>
      <c r="C305"/>
      <c r="D305"/>
      <c r="E305"/>
      <c r="F305"/>
      <c r="G305"/>
      <c r="H305"/>
      <c r="I305"/>
    </row>
    <row r="306" spans="1:9" ht="15" x14ac:dyDescent="0.2">
      <c r="A306"/>
      <c r="B306"/>
      <c r="C306"/>
      <c r="D306"/>
      <c r="E306"/>
      <c r="F306"/>
      <c r="G306"/>
      <c r="H306"/>
      <c r="I306"/>
    </row>
    <row r="307" spans="1:9" ht="15" x14ac:dyDescent="0.2">
      <c r="A307"/>
      <c r="B307"/>
      <c r="C307"/>
      <c r="D307"/>
      <c r="E307"/>
      <c r="F307"/>
      <c r="G307"/>
      <c r="H307"/>
      <c r="I307"/>
    </row>
    <row r="308" spans="1:9" ht="15" x14ac:dyDescent="0.2">
      <c r="A308"/>
      <c r="B308"/>
      <c r="C308"/>
      <c r="D308"/>
      <c r="E308"/>
      <c r="F308"/>
      <c r="G308"/>
      <c r="H308"/>
      <c r="I308"/>
    </row>
    <row r="309" spans="1:9" ht="15" x14ac:dyDescent="0.2">
      <c r="A309"/>
      <c r="B309"/>
      <c r="C309"/>
      <c r="D309"/>
      <c r="E309"/>
      <c r="F309"/>
      <c r="G309"/>
      <c r="H309"/>
      <c r="I309"/>
    </row>
    <row r="310" spans="1:9" ht="15" x14ac:dyDescent="0.2">
      <c r="A310"/>
      <c r="B310"/>
      <c r="C310"/>
      <c r="D310"/>
      <c r="E310"/>
      <c r="F310"/>
      <c r="G310"/>
      <c r="H310"/>
      <c r="I310"/>
    </row>
    <row r="311" spans="1:9" ht="15" x14ac:dyDescent="0.2">
      <c r="A311"/>
      <c r="B311"/>
      <c r="C311"/>
      <c r="D311"/>
      <c r="E311"/>
      <c r="F311"/>
      <c r="G311"/>
      <c r="H311"/>
      <c r="I311"/>
    </row>
    <row r="312" spans="1:9" ht="15" x14ac:dyDescent="0.2">
      <c r="A312"/>
      <c r="B312"/>
      <c r="C312"/>
      <c r="D312"/>
      <c r="E312"/>
      <c r="F312"/>
      <c r="G312"/>
      <c r="H312"/>
      <c r="I312"/>
    </row>
    <row r="313" spans="1:9" ht="15" x14ac:dyDescent="0.2">
      <c r="A313"/>
      <c r="B313"/>
      <c r="C313"/>
      <c r="D313"/>
      <c r="E313"/>
      <c r="F313"/>
      <c r="G313"/>
      <c r="H313"/>
      <c r="I313"/>
    </row>
    <row r="314" spans="1:9" ht="15" x14ac:dyDescent="0.2">
      <c r="A314"/>
      <c r="B314"/>
      <c r="C314"/>
      <c r="D314"/>
      <c r="E314"/>
      <c r="F314"/>
      <c r="G314"/>
      <c r="H314"/>
      <c r="I314"/>
    </row>
    <row r="315" spans="1:9" ht="15" x14ac:dyDescent="0.2">
      <c r="A315"/>
      <c r="B315"/>
      <c r="C315"/>
      <c r="D315"/>
      <c r="E315"/>
      <c r="F315"/>
      <c r="G315"/>
      <c r="H315"/>
      <c r="I315"/>
    </row>
    <row r="316" spans="1:9" ht="15" x14ac:dyDescent="0.2">
      <c r="A316"/>
      <c r="B316"/>
      <c r="C316"/>
      <c r="D316"/>
      <c r="E316"/>
      <c r="F316"/>
      <c r="G316"/>
      <c r="H316"/>
      <c r="I316"/>
    </row>
    <row r="317" spans="1:9" ht="15" x14ac:dyDescent="0.2">
      <c r="A317"/>
      <c r="B317"/>
      <c r="C317"/>
      <c r="D317"/>
      <c r="E317"/>
      <c r="F317"/>
      <c r="G317"/>
      <c r="H317"/>
      <c r="I317"/>
    </row>
    <row r="318" spans="1:9" ht="15" x14ac:dyDescent="0.2">
      <c r="A318"/>
      <c r="B318"/>
      <c r="C318"/>
      <c r="D318"/>
      <c r="E318"/>
      <c r="F318"/>
      <c r="G318"/>
      <c r="H318"/>
      <c r="I318"/>
    </row>
    <row r="319" spans="1:9" ht="15" x14ac:dyDescent="0.2">
      <c r="A319"/>
      <c r="B319"/>
      <c r="C319"/>
      <c r="D319"/>
      <c r="E319"/>
      <c r="F319"/>
      <c r="G319"/>
      <c r="H319"/>
      <c r="I319"/>
    </row>
    <row r="320" spans="1:9" ht="15" x14ac:dyDescent="0.2">
      <c r="A320"/>
      <c r="B320"/>
      <c r="C320"/>
      <c r="D320"/>
      <c r="E320"/>
      <c r="F320"/>
      <c r="G320"/>
      <c r="H320"/>
      <c r="I320"/>
    </row>
    <row r="321" spans="1:9" ht="15" x14ac:dyDescent="0.2">
      <c r="A321"/>
      <c r="B321"/>
      <c r="C321"/>
      <c r="D321"/>
      <c r="E321"/>
      <c r="F321"/>
      <c r="G321"/>
      <c r="H321"/>
      <c r="I321"/>
    </row>
    <row r="322" spans="1:9" ht="15" x14ac:dyDescent="0.2">
      <c r="A322"/>
      <c r="B322"/>
      <c r="C322"/>
      <c r="D322"/>
      <c r="E322"/>
      <c r="F322"/>
      <c r="G322"/>
      <c r="H322"/>
      <c r="I322"/>
    </row>
    <row r="323" spans="1:9" ht="15" x14ac:dyDescent="0.2">
      <c r="A323"/>
      <c r="B323"/>
      <c r="C323"/>
      <c r="D323"/>
      <c r="E323"/>
      <c r="F323"/>
      <c r="G323"/>
      <c r="H323"/>
      <c r="I323"/>
    </row>
    <row r="324" spans="1:9" ht="15" x14ac:dyDescent="0.2">
      <c r="A324"/>
      <c r="B324"/>
      <c r="C324"/>
      <c r="D324"/>
      <c r="E324"/>
      <c r="F324"/>
      <c r="G324"/>
      <c r="H324"/>
      <c r="I324"/>
    </row>
    <row r="325" spans="1:9" ht="15" x14ac:dyDescent="0.2">
      <c r="A325"/>
      <c r="B325"/>
      <c r="C325"/>
      <c r="D325"/>
      <c r="E325"/>
      <c r="F325"/>
      <c r="G325"/>
      <c r="H325"/>
      <c r="I325"/>
    </row>
    <row r="326" spans="1:9" ht="15" x14ac:dyDescent="0.2">
      <c r="A326"/>
      <c r="B326"/>
      <c r="C326"/>
      <c r="D326"/>
      <c r="E326"/>
      <c r="F326"/>
      <c r="G326"/>
      <c r="H326"/>
      <c r="I326"/>
    </row>
    <row r="327" spans="1:9" ht="15" x14ac:dyDescent="0.2">
      <c r="A327"/>
      <c r="B327"/>
      <c r="C327"/>
      <c r="D327"/>
      <c r="E327"/>
      <c r="F327"/>
      <c r="G327"/>
      <c r="H327"/>
      <c r="I327"/>
    </row>
    <row r="328" spans="1:9" ht="15" x14ac:dyDescent="0.2">
      <c r="A328"/>
      <c r="B328"/>
      <c r="C328"/>
      <c r="D328"/>
      <c r="E328"/>
      <c r="F328"/>
      <c r="G328"/>
      <c r="H328"/>
      <c r="I328"/>
    </row>
    <row r="329" spans="1:9" ht="15" x14ac:dyDescent="0.2">
      <c r="A329"/>
      <c r="B329"/>
      <c r="C329"/>
      <c r="D329"/>
      <c r="E329"/>
      <c r="F329"/>
      <c r="G329"/>
      <c r="H329"/>
      <c r="I329"/>
    </row>
    <row r="330" spans="1:9" ht="15" x14ac:dyDescent="0.2">
      <c r="A330"/>
      <c r="B330"/>
      <c r="C330"/>
      <c r="D330"/>
      <c r="E330"/>
      <c r="F330"/>
      <c r="G330"/>
      <c r="H330"/>
      <c r="I330"/>
    </row>
    <row r="331" spans="1:9" ht="15" x14ac:dyDescent="0.2">
      <c r="A331"/>
      <c r="B331"/>
      <c r="C331"/>
      <c r="D331"/>
      <c r="E331"/>
      <c r="F331"/>
      <c r="G331"/>
      <c r="H331"/>
      <c r="I331"/>
    </row>
    <row r="332" spans="1:9" ht="15" x14ac:dyDescent="0.2">
      <c r="A332"/>
      <c r="B332"/>
      <c r="C332"/>
      <c r="D332"/>
      <c r="E332"/>
      <c r="F332"/>
      <c r="G332"/>
      <c r="H332"/>
      <c r="I332"/>
    </row>
    <row r="333" spans="1:9" ht="15" x14ac:dyDescent="0.2">
      <c r="A333"/>
      <c r="B333"/>
      <c r="C333"/>
      <c r="D333"/>
      <c r="E333"/>
      <c r="F333"/>
      <c r="G333"/>
      <c r="H333"/>
      <c r="I333"/>
    </row>
    <row r="334" spans="1:9" ht="15" x14ac:dyDescent="0.2">
      <c r="A334"/>
      <c r="B334"/>
      <c r="C334"/>
      <c r="D334"/>
      <c r="E334"/>
      <c r="F334"/>
      <c r="G334"/>
      <c r="H334"/>
      <c r="I334"/>
    </row>
    <row r="335" spans="1:9" ht="15" x14ac:dyDescent="0.2">
      <c r="A335"/>
      <c r="B335"/>
      <c r="C335"/>
      <c r="D335"/>
      <c r="E335"/>
      <c r="F335"/>
      <c r="G335"/>
      <c r="H335"/>
      <c r="I335"/>
    </row>
    <row r="336" spans="1:9" ht="15" x14ac:dyDescent="0.2">
      <c r="A336"/>
      <c r="B336"/>
      <c r="C336"/>
      <c r="D336"/>
      <c r="E336"/>
      <c r="F336"/>
      <c r="G336"/>
      <c r="H336"/>
      <c r="I336"/>
    </row>
    <row r="337" spans="1:9" ht="15" x14ac:dyDescent="0.2">
      <c r="A337"/>
      <c r="B337"/>
      <c r="C337"/>
      <c r="D337"/>
      <c r="E337"/>
      <c r="F337"/>
      <c r="G337"/>
      <c r="H337"/>
      <c r="I337"/>
    </row>
    <row r="338" spans="1:9" ht="15" x14ac:dyDescent="0.2">
      <c r="A338"/>
      <c r="B338"/>
      <c r="C338"/>
      <c r="D338"/>
      <c r="E338"/>
      <c r="F338"/>
      <c r="G338"/>
      <c r="H338"/>
      <c r="I338"/>
    </row>
    <row r="339" spans="1:9" ht="15" x14ac:dyDescent="0.2">
      <c r="A339"/>
      <c r="B339"/>
      <c r="C339"/>
      <c r="D339"/>
      <c r="E339"/>
      <c r="F339"/>
      <c r="G339"/>
      <c r="H339"/>
      <c r="I339"/>
    </row>
    <row r="340" spans="1:9" ht="15" x14ac:dyDescent="0.2">
      <c r="A340"/>
      <c r="B340"/>
      <c r="C340"/>
      <c r="D340"/>
      <c r="E340"/>
      <c r="F340"/>
      <c r="G340"/>
      <c r="H340"/>
      <c r="I340"/>
    </row>
    <row r="341" spans="1:9" ht="15" x14ac:dyDescent="0.2">
      <c r="A341"/>
      <c r="B341"/>
      <c r="C341"/>
      <c r="D341"/>
      <c r="E341"/>
      <c r="F341"/>
      <c r="G341"/>
      <c r="H341"/>
      <c r="I341"/>
    </row>
    <row r="342" spans="1:9" ht="15" x14ac:dyDescent="0.2">
      <c r="A342"/>
      <c r="B342"/>
      <c r="C342"/>
      <c r="D342"/>
      <c r="E342"/>
      <c r="F342"/>
      <c r="G342"/>
      <c r="H342"/>
      <c r="I342"/>
    </row>
    <row r="343" spans="1:9" ht="15" x14ac:dyDescent="0.2">
      <c r="A343"/>
      <c r="B343"/>
      <c r="C343"/>
      <c r="D343"/>
      <c r="E343"/>
      <c r="F343"/>
      <c r="G343"/>
      <c r="H343"/>
      <c r="I343"/>
    </row>
    <row r="344" spans="1:9" ht="15" x14ac:dyDescent="0.2">
      <c r="A344"/>
      <c r="B344"/>
      <c r="C344"/>
      <c r="D344"/>
      <c r="E344"/>
      <c r="F344"/>
      <c r="G344"/>
      <c r="H344"/>
      <c r="I344"/>
    </row>
    <row r="345" spans="1:9" ht="15" x14ac:dyDescent="0.2">
      <c r="A345"/>
      <c r="B345"/>
      <c r="C345"/>
      <c r="D345"/>
      <c r="E345"/>
      <c r="F345"/>
      <c r="G345"/>
      <c r="H345"/>
      <c r="I345"/>
    </row>
    <row r="346" spans="1:9" ht="15" x14ac:dyDescent="0.2">
      <c r="A346"/>
      <c r="B346"/>
      <c r="C346"/>
      <c r="D346"/>
      <c r="E346"/>
      <c r="F346"/>
      <c r="G346"/>
      <c r="H346"/>
      <c r="I346"/>
    </row>
    <row r="347" spans="1:9" ht="15" x14ac:dyDescent="0.2">
      <c r="A347"/>
      <c r="B347"/>
      <c r="C347"/>
      <c r="D347"/>
      <c r="E347"/>
      <c r="F347"/>
      <c r="G347"/>
      <c r="H347"/>
      <c r="I347"/>
    </row>
    <row r="348" spans="1:9" ht="15" x14ac:dyDescent="0.2">
      <c r="A348"/>
      <c r="B348"/>
      <c r="C348"/>
      <c r="D348"/>
      <c r="E348"/>
      <c r="F348"/>
      <c r="G348"/>
      <c r="H348"/>
      <c r="I348"/>
    </row>
    <row r="349" spans="1:9" ht="15" x14ac:dyDescent="0.2">
      <c r="A349"/>
      <c r="B349"/>
      <c r="C349"/>
      <c r="D349"/>
      <c r="E349"/>
      <c r="F349"/>
      <c r="G349"/>
      <c r="H349"/>
      <c r="I349"/>
    </row>
    <row r="350" spans="1:9" ht="15" x14ac:dyDescent="0.2">
      <c r="A350"/>
      <c r="B350"/>
      <c r="C350"/>
      <c r="D350"/>
      <c r="E350"/>
      <c r="F350"/>
      <c r="G350"/>
      <c r="H350"/>
      <c r="I350"/>
    </row>
    <row r="351" spans="1:9" ht="15" x14ac:dyDescent="0.2">
      <c r="A351"/>
      <c r="B351"/>
      <c r="C351"/>
      <c r="D351"/>
      <c r="E351"/>
      <c r="F351"/>
      <c r="G351"/>
      <c r="H351"/>
      <c r="I351"/>
    </row>
    <row r="352" spans="1:9" ht="15" x14ac:dyDescent="0.2">
      <c r="A352"/>
      <c r="B352"/>
      <c r="C352"/>
      <c r="D352"/>
      <c r="E352"/>
      <c r="F352"/>
      <c r="G352"/>
      <c r="H352"/>
      <c r="I352"/>
    </row>
    <row r="353" spans="1:9" ht="15" x14ac:dyDescent="0.2">
      <c r="A353"/>
      <c r="B353"/>
      <c r="C353"/>
      <c r="D353"/>
      <c r="E353"/>
      <c r="F353"/>
      <c r="G353"/>
      <c r="H353"/>
      <c r="I353"/>
    </row>
    <row r="354" spans="1:9" ht="15" x14ac:dyDescent="0.2">
      <c r="A354"/>
      <c r="B354"/>
      <c r="C354"/>
      <c r="D354"/>
      <c r="E354"/>
      <c r="F354"/>
      <c r="G354"/>
      <c r="H354"/>
      <c r="I354"/>
    </row>
    <row r="355" spans="1:9" ht="15" x14ac:dyDescent="0.2">
      <c r="A355"/>
      <c r="B355"/>
      <c r="C355"/>
      <c r="D355"/>
      <c r="E355"/>
      <c r="F355"/>
      <c r="G355"/>
      <c r="H355"/>
      <c r="I355"/>
    </row>
    <row r="356" spans="1:9" ht="15" x14ac:dyDescent="0.2">
      <c r="A356"/>
      <c r="B356"/>
      <c r="C356"/>
      <c r="D356"/>
      <c r="E356"/>
      <c r="F356"/>
      <c r="G356"/>
      <c r="H356"/>
      <c r="I356"/>
    </row>
    <row r="357" spans="1:9" ht="15" x14ac:dyDescent="0.2">
      <c r="A357"/>
      <c r="B357"/>
      <c r="C357"/>
      <c r="D357"/>
      <c r="E357"/>
      <c r="F357"/>
      <c r="G357"/>
      <c r="H357"/>
      <c r="I357"/>
    </row>
    <row r="358" spans="1:9" ht="15" x14ac:dyDescent="0.2">
      <c r="A358"/>
      <c r="B358"/>
      <c r="C358"/>
      <c r="D358"/>
      <c r="E358"/>
      <c r="F358"/>
      <c r="G358"/>
      <c r="H358"/>
      <c r="I358"/>
    </row>
    <row r="359" spans="1:9" ht="15" x14ac:dyDescent="0.2">
      <c r="A359"/>
      <c r="B359"/>
      <c r="C359"/>
      <c r="D359"/>
      <c r="E359"/>
      <c r="F359"/>
      <c r="G359"/>
      <c r="H359"/>
      <c r="I359"/>
    </row>
    <row r="360" spans="1:9" ht="15" x14ac:dyDescent="0.2">
      <c r="A360"/>
      <c r="B360"/>
      <c r="C360"/>
      <c r="D360"/>
      <c r="E360"/>
      <c r="F360"/>
      <c r="G360"/>
      <c r="H360"/>
      <c r="I360"/>
    </row>
    <row r="361" spans="1:9" ht="15" x14ac:dyDescent="0.2">
      <c r="A361"/>
      <c r="B361"/>
      <c r="C361"/>
      <c r="D361"/>
      <c r="E361"/>
      <c r="F361"/>
      <c r="G361"/>
      <c r="H361"/>
      <c r="I361"/>
    </row>
    <row r="362" spans="1:9" ht="15" x14ac:dyDescent="0.2">
      <c r="A362"/>
      <c r="B362"/>
      <c r="C362"/>
      <c r="D362"/>
      <c r="E362"/>
      <c r="F362"/>
      <c r="G362"/>
      <c r="H362"/>
      <c r="I362"/>
    </row>
    <row r="363" spans="1:9" ht="15" x14ac:dyDescent="0.2">
      <c r="A363"/>
      <c r="B363"/>
      <c r="C363"/>
      <c r="D363"/>
      <c r="E363"/>
      <c r="F363"/>
      <c r="G363"/>
      <c r="H363"/>
      <c r="I363"/>
    </row>
    <row r="364" spans="1:9" ht="15" x14ac:dyDescent="0.2">
      <c r="A364"/>
      <c r="B364"/>
      <c r="C364"/>
      <c r="D364"/>
      <c r="E364"/>
      <c r="F364"/>
      <c r="G364"/>
      <c r="H364"/>
      <c r="I364"/>
    </row>
    <row r="365" spans="1:9" ht="15" x14ac:dyDescent="0.2">
      <c r="A365"/>
      <c r="B365"/>
      <c r="C365"/>
      <c r="D365"/>
      <c r="E365"/>
      <c r="F365"/>
      <c r="G365"/>
      <c r="H365"/>
      <c r="I365"/>
    </row>
    <row r="366" spans="1:9" ht="15" x14ac:dyDescent="0.2">
      <c r="A366"/>
      <c r="B366"/>
      <c r="C366"/>
      <c r="D366"/>
      <c r="E366"/>
      <c r="F366"/>
      <c r="G366"/>
      <c r="H366"/>
      <c r="I366"/>
    </row>
    <row r="367" spans="1:9" ht="15" x14ac:dyDescent="0.2">
      <c r="A367"/>
      <c r="B367"/>
      <c r="C367"/>
      <c r="D367"/>
      <c r="E367"/>
      <c r="F367"/>
      <c r="G367"/>
      <c r="H367"/>
      <c r="I367"/>
    </row>
    <row r="368" spans="1:9" ht="15" x14ac:dyDescent="0.2">
      <c r="A368"/>
      <c r="B368"/>
      <c r="C368"/>
      <c r="D368"/>
      <c r="E368"/>
      <c r="F368"/>
      <c r="G368"/>
      <c r="H368"/>
      <c r="I368"/>
    </row>
    <row r="369" spans="1:9" ht="15" x14ac:dyDescent="0.2">
      <c r="A369"/>
      <c r="B369"/>
      <c r="C369"/>
      <c r="D369"/>
      <c r="E369"/>
      <c r="F369"/>
      <c r="G369"/>
      <c r="H369"/>
      <c r="I369"/>
    </row>
    <row r="370" spans="1:9" ht="15" x14ac:dyDescent="0.2">
      <c r="A370"/>
      <c r="B370"/>
      <c r="C370"/>
      <c r="D370"/>
      <c r="E370"/>
      <c r="F370"/>
      <c r="G370"/>
      <c r="H370"/>
      <c r="I370"/>
    </row>
    <row r="371" spans="1:9" ht="15" x14ac:dyDescent="0.2">
      <c r="A371"/>
      <c r="B371"/>
      <c r="C371"/>
      <c r="D371"/>
      <c r="E371"/>
      <c r="F371"/>
      <c r="G371"/>
      <c r="H371"/>
      <c r="I371"/>
    </row>
    <row r="372" spans="1:9" ht="15" x14ac:dyDescent="0.2">
      <c r="A372"/>
      <c r="B372"/>
      <c r="C372"/>
      <c r="D372"/>
      <c r="E372"/>
      <c r="F372"/>
      <c r="G372"/>
      <c r="H372"/>
      <c r="I372"/>
    </row>
    <row r="373" spans="1:9" ht="15" x14ac:dyDescent="0.2">
      <c r="A373"/>
      <c r="B373"/>
      <c r="C373"/>
      <c r="D373"/>
      <c r="E373"/>
      <c r="F373"/>
      <c r="G373"/>
      <c r="H373"/>
      <c r="I373"/>
    </row>
    <row r="374" spans="1:9" ht="15" x14ac:dyDescent="0.2">
      <c r="A374"/>
      <c r="B374"/>
      <c r="C374"/>
      <c r="D374"/>
      <c r="E374"/>
      <c r="F374"/>
      <c r="G374"/>
      <c r="H374"/>
      <c r="I374"/>
    </row>
    <row r="375" spans="1:9" ht="15" x14ac:dyDescent="0.2">
      <c r="A375"/>
      <c r="B375"/>
      <c r="C375"/>
      <c r="D375"/>
      <c r="E375"/>
      <c r="F375"/>
      <c r="G375"/>
      <c r="H375"/>
      <c r="I375"/>
    </row>
    <row r="376" spans="1:9" ht="15" x14ac:dyDescent="0.2">
      <c r="A376"/>
      <c r="B376"/>
      <c r="C376"/>
      <c r="D376"/>
      <c r="E376"/>
      <c r="F376"/>
      <c r="G376"/>
      <c r="H376"/>
      <c r="I376"/>
    </row>
    <row r="377" spans="1:9" ht="15" x14ac:dyDescent="0.2">
      <c r="A377"/>
      <c r="B377"/>
      <c r="C377"/>
      <c r="D377"/>
      <c r="E377"/>
      <c r="F377"/>
      <c r="G377"/>
      <c r="H377"/>
      <c r="I377"/>
    </row>
    <row r="378" spans="1:9" ht="15" x14ac:dyDescent="0.2">
      <c r="A378"/>
      <c r="B378"/>
      <c r="C378"/>
      <c r="D378"/>
      <c r="E378"/>
      <c r="F378"/>
      <c r="G378"/>
      <c r="H378"/>
      <c r="I378"/>
    </row>
    <row r="379" spans="1:9" ht="15" x14ac:dyDescent="0.2">
      <c r="A379"/>
      <c r="B379"/>
      <c r="C379"/>
      <c r="D379"/>
      <c r="E379"/>
      <c r="F379"/>
      <c r="G379"/>
      <c r="H379"/>
      <c r="I379"/>
    </row>
    <row r="380" spans="1:9" ht="15" x14ac:dyDescent="0.2">
      <c r="A380"/>
      <c r="B380"/>
      <c r="C380"/>
      <c r="D380"/>
      <c r="E380"/>
      <c r="F380"/>
      <c r="G380"/>
      <c r="H380"/>
      <c r="I380"/>
    </row>
    <row r="381" spans="1:9" ht="15" x14ac:dyDescent="0.2">
      <c r="A381"/>
      <c r="B381"/>
      <c r="C381"/>
      <c r="D381"/>
      <c r="E381"/>
      <c r="F381"/>
      <c r="G381"/>
      <c r="H381"/>
      <c r="I381"/>
    </row>
    <row r="382" spans="1:9" ht="15" x14ac:dyDescent="0.2">
      <c r="A382"/>
      <c r="B382"/>
      <c r="C382"/>
      <c r="D382"/>
      <c r="E382"/>
      <c r="F382"/>
      <c r="G382"/>
      <c r="H382"/>
      <c r="I382"/>
    </row>
    <row r="383" spans="1:9" ht="15" x14ac:dyDescent="0.2">
      <c r="A383"/>
      <c r="B383"/>
      <c r="C383"/>
      <c r="D383"/>
      <c r="E383"/>
      <c r="F383"/>
      <c r="G383"/>
      <c r="H383"/>
      <c r="I383"/>
    </row>
    <row r="384" spans="1:9" ht="15" x14ac:dyDescent="0.2">
      <c r="A384"/>
      <c r="B384"/>
      <c r="C384"/>
      <c r="D384"/>
      <c r="E384"/>
      <c r="F384"/>
      <c r="G384"/>
      <c r="H384"/>
      <c r="I384"/>
    </row>
    <row r="385" spans="1:9" ht="15" x14ac:dyDescent="0.2">
      <c r="A385"/>
      <c r="B385"/>
      <c r="C385"/>
      <c r="D385"/>
      <c r="E385"/>
      <c r="F385"/>
      <c r="G385"/>
      <c r="H385"/>
      <c r="I385"/>
    </row>
    <row r="386" spans="1:9" ht="15" x14ac:dyDescent="0.2">
      <c r="A386"/>
      <c r="B386"/>
      <c r="C386"/>
      <c r="D386"/>
      <c r="E386"/>
      <c r="F386"/>
      <c r="G386"/>
      <c r="H386"/>
      <c r="I386"/>
    </row>
    <row r="387" spans="1:9" ht="15" x14ac:dyDescent="0.2">
      <c r="A387"/>
      <c r="B387"/>
      <c r="C387"/>
      <c r="D387"/>
      <c r="E387"/>
      <c r="F387"/>
      <c r="G387"/>
      <c r="H387"/>
      <c r="I387"/>
    </row>
    <row r="388" spans="1:9" ht="15" x14ac:dyDescent="0.2">
      <c r="A388"/>
      <c r="B388"/>
      <c r="C388"/>
      <c r="D388"/>
      <c r="E388"/>
      <c r="F388"/>
      <c r="G388"/>
      <c r="H388"/>
      <c r="I388"/>
    </row>
    <row r="389" spans="1:9" ht="15" x14ac:dyDescent="0.2">
      <c r="A389"/>
      <c r="B389"/>
      <c r="C389"/>
      <c r="D389"/>
      <c r="E389"/>
      <c r="F389"/>
      <c r="G389"/>
      <c r="H389"/>
      <c r="I389"/>
    </row>
    <row r="390" spans="1:9" ht="15" x14ac:dyDescent="0.2">
      <c r="A390"/>
      <c r="B390"/>
      <c r="C390"/>
      <c r="D390"/>
      <c r="E390"/>
      <c r="F390"/>
      <c r="G390"/>
      <c r="H390"/>
      <c r="I390"/>
    </row>
    <row r="391" spans="1:9" ht="15" x14ac:dyDescent="0.2">
      <c r="A391"/>
      <c r="B391"/>
      <c r="C391"/>
      <c r="D391"/>
      <c r="E391"/>
      <c r="F391"/>
      <c r="G391"/>
      <c r="H391"/>
      <c r="I391"/>
    </row>
    <row r="392" spans="1:9" ht="15" x14ac:dyDescent="0.2">
      <c r="A392"/>
      <c r="B392"/>
      <c r="C392"/>
      <c r="D392"/>
      <c r="E392"/>
      <c r="F392"/>
      <c r="G392"/>
      <c r="H392"/>
      <c r="I392"/>
    </row>
    <row r="393" spans="1:9" ht="15" x14ac:dyDescent="0.2">
      <c r="A393"/>
      <c r="B393"/>
      <c r="C393"/>
      <c r="D393"/>
      <c r="E393"/>
      <c r="F393"/>
      <c r="G393"/>
      <c r="H393"/>
      <c r="I393"/>
    </row>
    <row r="394" spans="1:9" ht="15" x14ac:dyDescent="0.2">
      <c r="A394"/>
      <c r="B394"/>
      <c r="C394"/>
      <c r="D394"/>
      <c r="E394"/>
      <c r="F394"/>
      <c r="G394"/>
      <c r="H394"/>
      <c r="I394"/>
    </row>
    <row r="395" spans="1:9" ht="15" x14ac:dyDescent="0.2">
      <c r="A395"/>
      <c r="B395"/>
      <c r="C395"/>
      <c r="D395"/>
      <c r="E395"/>
      <c r="F395"/>
      <c r="G395"/>
      <c r="H395"/>
      <c r="I395"/>
    </row>
    <row r="396" spans="1:9" ht="15" x14ac:dyDescent="0.2">
      <c r="A396"/>
      <c r="B396"/>
      <c r="C396"/>
      <c r="D396"/>
      <c r="E396"/>
      <c r="F396"/>
      <c r="G396"/>
      <c r="H396"/>
      <c r="I396"/>
    </row>
    <row r="397" spans="1:9" ht="15" x14ac:dyDescent="0.2">
      <c r="A397"/>
      <c r="B397"/>
      <c r="C397"/>
      <c r="D397"/>
      <c r="E397"/>
      <c r="F397"/>
      <c r="G397"/>
      <c r="H397"/>
      <c r="I397"/>
    </row>
    <row r="398" spans="1:9" ht="15" x14ac:dyDescent="0.2">
      <c r="A398"/>
      <c r="B398"/>
      <c r="C398"/>
      <c r="D398"/>
      <c r="E398"/>
      <c r="F398"/>
      <c r="G398"/>
      <c r="H398"/>
      <c r="I398"/>
    </row>
    <row r="399" spans="1:9" ht="15" x14ac:dyDescent="0.2">
      <c r="A399"/>
      <c r="B399"/>
      <c r="C399"/>
      <c r="D399"/>
      <c r="E399"/>
      <c r="F399"/>
      <c r="G399"/>
      <c r="H399"/>
      <c r="I399"/>
    </row>
    <row r="400" spans="1:9" ht="15" x14ac:dyDescent="0.2">
      <c r="A400"/>
      <c r="B400"/>
      <c r="C400"/>
      <c r="D400"/>
      <c r="E400"/>
      <c r="F400"/>
      <c r="G400"/>
      <c r="H400"/>
      <c r="I400"/>
    </row>
    <row r="401" spans="1:9" ht="15" x14ac:dyDescent="0.2">
      <c r="A401"/>
      <c r="B401"/>
      <c r="C401"/>
      <c r="D401"/>
      <c r="E401"/>
      <c r="F401"/>
      <c r="G401"/>
      <c r="H401"/>
      <c r="I401"/>
    </row>
    <row r="402" spans="1:9" ht="15" x14ac:dyDescent="0.2">
      <c r="A402"/>
      <c r="B402"/>
      <c r="C402"/>
      <c r="D402"/>
      <c r="E402"/>
      <c r="F402"/>
      <c r="G402"/>
      <c r="H402"/>
      <c r="I402"/>
    </row>
    <row r="403" spans="1:9" ht="15" x14ac:dyDescent="0.2">
      <c r="A403"/>
      <c r="B403"/>
      <c r="C403"/>
      <c r="D403"/>
      <c r="E403"/>
      <c r="F403"/>
      <c r="G403"/>
      <c r="H403"/>
      <c r="I403"/>
    </row>
    <row r="404" spans="1:9" ht="15" x14ac:dyDescent="0.2">
      <c r="A404"/>
      <c r="B404"/>
      <c r="C404"/>
      <c r="D404"/>
      <c r="E404"/>
      <c r="F404"/>
      <c r="G404"/>
      <c r="H404"/>
      <c r="I404"/>
    </row>
    <row r="405" spans="1:9" ht="15" x14ac:dyDescent="0.2">
      <c r="A405"/>
      <c r="B405"/>
      <c r="C405"/>
      <c r="D405"/>
      <c r="E405"/>
      <c r="F405"/>
      <c r="G405"/>
      <c r="H405"/>
      <c r="I405"/>
    </row>
    <row r="406" spans="1:9" ht="15" x14ac:dyDescent="0.2">
      <c r="A406"/>
      <c r="B406"/>
      <c r="C406"/>
      <c r="D406"/>
      <c r="E406"/>
      <c r="F406"/>
      <c r="G406"/>
      <c r="H406"/>
      <c r="I406"/>
    </row>
    <row r="407" spans="1:9" ht="15" x14ac:dyDescent="0.2">
      <c r="A407"/>
      <c r="B407"/>
      <c r="C407"/>
      <c r="D407"/>
      <c r="E407"/>
      <c r="F407"/>
      <c r="G407"/>
      <c r="H407"/>
      <c r="I407"/>
    </row>
    <row r="408" spans="1:9" ht="15" x14ac:dyDescent="0.2">
      <c r="A408"/>
      <c r="B408"/>
      <c r="C408"/>
      <c r="D408"/>
      <c r="E408"/>
      <c r="F408"/>
      <c r="G408"/>
      <c r="H408"/>
      <c r="I408"/>
    </row>
    <row r="409" spans="1:9" ht="15" x14ac:dyDescent="0.2">
      <c r="A409"/>
      <c r="B409"/>
      <c r="C409"/>
      <c r="D409"/>
      <c r="E409"/>
      <c r="F409"/>
      <c r="G409"/>
      <c r="H409"/>
      <c r="I409"/>
    </row>
    <row r="410" spans="1:9" ht="15" x14ac:dyDescent="0.2">
      <c r="A410"/>
      <c r="B410"/>
      <c r="C410"/>
      <c r="D410"/>
      <c r="E410"/>
      <c r="F410"/>
      <c r="G410"/>
      <c r="H410"/>
      <c r="I410"/>
    </row>
    <row r="411" spans="1:9" ht="15" x14ac:dyDescent="0.2">
      <c r="A411"/>
      <c r="B411"/>
      <c r="C411"/>
      <c r="D411"/>
      <c r="E411"/>
      <c r="F411"/>
      <c r="G411"/>
      <c r="H411"/>
      <c r="I411"/>
    </row>
    <row r="412" spans="1:9" ht="15" x14ac:dyDescent="0.2">
      <c r="A412"/>
      <c r="B412"/>
      <c r="C412"/>
      <c r="D412"/>
      <c r="E412"/>
      <c r="F412"/>
      <c r="G412"/>
      <c r="H412"/>
      <c r="I412"/>
    </row>
    <row r="413" spans="1:9" ht="15" x14ac:dyDescent="0.2">
      <c r="A413"/>
      <c r="B413"/>
      <c r="C413"/>
      <c r="D413"/>
      <c r="E413"/>
      <c r="F413"/>
      <c r="G413"/>
      <c r="H413"/>
      <c r="I413"/>
    </row>
    <row r="414" spans="1:9" ht="15" x14ac:dyDescent="0.2">
      <c r="A414"/>
      <c r="B414"/>
      <c r="C414"/>
      <c r="D414"/>
      <c r="E414"/>
      <c r="F414"/>
      <c r="G414"/>
      <c r="H414"/>
      <c r="I414"/>
    </row>
    <row r="415" spans="1:9" ht="15" x14ac:dyDescent="0.2">
      <c r="A415"/>
      <c r="B415"/>
      <c r="C415"/>
      <c r="D415"/>
      <c r="E415"/>
      <c r="F415"/>
      <c r="G415"/>
      <c r="H415"/>
      <c r="I415"/>
    </row>
    <row r="416" spans="1:9" ht="15" x14ac:dyDescent="0.2">
      <c r="A416"/>
      <c r="B416"/>
      <c r="C416"/>
      <c r="D416"/>
      <c r="E416"/>
      <c r="F416"/>
      <c r="G416"/>
      <c r="H416"/>
      <c r="I416"/>
    </row>
    <row r="417" spans="1:9" ht="15" x14ac:dyDescent="0.2">
      <c r="A417"/>
      <c r="B417"/>
      <c r="C417"/>
      <c r="D417"/>
      <c r="E417"/>
      <c r="F417"/>
      <c r="G417"/>
      <c r="H417"/>
      <c r="I417"/>
    </row>
    <row r="418" spans="1:9" ht="15" x14ac:dyDescent="0.2">
      <c r="A418"/>
      <c r="B418"/>
      <c r="C418"/>
      <c r="D418"/>
      <c r="E418"/>
      <c r="F418"/>
      <c r="G418"/>
      <c r="H418"/>
      <c r="I418"/>
    </row>
    <row r="419" spans="1:9" ht="15" x14ac:dyDescent="0.2">
      <c r="A419"/>
      <c r="B419"/>
      <c r="C419"/>
      <c r="D419"/>
      <c r="E419"/>
      <c r="F419"/>
      <c r="G419"/>
      <c r="H419"/>
      <c r="I419"/>
    </row>
    <row r="420" spans="1:9" ht="15" x14ac:dyDescent="0.2">
      <c r="A420"/>
      <c r="B420"/>
      <c r="C420"/>
      <c r="D420"/>
      <c r="E420"/>
      <c r="F420"/>
      <c r="G420"/>
      <c r="H420"/>
      <c r="I420"/>
    </row>
    <row r="421" spans="1:9" ht="15" x14ac:dyDescent="0.2">
      <c r="A421"/>
      <c r="B421"/>
      <c r="C421"/>
      <c r="D421"/>
      <c r="E421"/>
      <c r="F421"/>
      <c r="G421"/>
      <c r="H421"/>
      <c r="I421"/>
    </row>
    <row r="422" spans="1:9" ht="15" x14ac:dyDescent="0.2">
      <c r="A422"/>
      <c r="B422"/>
      <c r="C422"/>
      <c r="D422"/>
      <c r="E422"/>
      <c r="F422"/>
      <c r="G422"/>
      <c r="H422"/>
      <c r="I422"/>
    </row>
    <row r="423" spans="1:9" ht="15" x14ac:dyDescent="0.2">
      <c r="A423"/>
      <c r="B423"/>
      <c r="C423"/>
      <c r="D423"/>
      <c r="E423"/>
      <c r="F423"/>
      <c r="G423"/>
      <c r="H423"/>
      <c r="I423"/>
    </row>
    <row r="424" spans="1:9" ht="15" x14ac:dyDescent="0.2">
      <c r="A424"/>
      <c r="B424"/>
      <c r="C424"/>
      <c r="D424"/>
      <c r="E424"/>
      <c r="F424"/>
      <c r="G424"/>
      <c r="H424"/>
      <c r="I424"/>
    </row>
    <row r="425" spans="1:9" ht="15" x14ac:dyDescent="0.2">
      <c r="A425"/>
      <c r="B425"/>
      <c r="C425"/>
      <c r="D425"/>
      <c r="E425"/>
      <c r="F425"/>
      <c r="G425"/>
      <c r="H425"/>
      <c r="I425"/>
    </row>
    <row r="426" spans="1:9" ht="15" x14ac:dyDescent="0.2">
      <c r="A426"/>
      <c r="B426"/>
      <c r="C426"/>
      <c r="D426"/>
      <c r="E426"/>
      <c r="F426"/>
      <c r="G426"/>
      <c r="H426"/>
      <c r="I426"/>
    </row>
    <row r="427" spans="1:9" ht="15" x14ac:dyDescent="0.2">
      <c r="A427"/>
      <c r="B427"/>
      <c r="C427"/>
      <c r="D427"/>
      <c r="E427"/>
      <c r="F427"/>
      <c r="G427"/>
      <c r="H427"/>
      <c r="I427"/>
    </row>
    <row r="428" spans="1:9" ht="15" x14ac:dyDescent="0.2">
      <c r="A428"/>
      <c r="B428"/>
      <c r="C428"/>
      <c r="D428"/>
      <c r="E428"/>
      <c r="F428"/>
      <c r="G428"/>
      <c r="H428"/>
      <c r="I428"/>
    </row>
    <row r="429" spans="1:9" ht="15" x14ac:dyDescent="0.2">
      <c r="A429"/>
      <c r="B429"/>
      <c r="C429"/>
      <c r="D429"/>
      <c r="E429"/>
      <c r="F429"/>
      <c r="G429"/>
      <c r="H429"/>
      <c r="I429"/>
    </row>
    <row r="430" spans="1:9" ht="15" x14ac:dyDescent="0.2">
      <c r="A430"/>
      <c r="B430"/>
      <c r="C430"/>
      <c r="D430"/>
      <c r="E430"/>
      <c r="F430"/>
      <c r="G430"/>
      <c r="H430"/>
      <c r="I430"/>
    </row>
    <row r="431" spans="1:9" ht="15" x14ac:dyDescent="0.2">
      <c r="A431"/>
      <c r="B431"/>
      <c r="C431"/>
      <c r="D431"/>
      <c r="E431"/>
      <c r="F431"/>
      <c r="G431"/>
      <c r="H431"/>
      <c r="I431"/>
    </row>
    <row r="432" spans="1:9" ht="15" x14ac:dyDescent="0.2">
      <c r="A432"/>
      <c r="B432"/>
      <c r="C432"/>
      <c r="D432"/>
      <c r="E432"/>
      <c r="F432"/>
      <c r="G432"/>
      <c r="H432"/>
      <c r="I432"/>
    </row>
    <row r="433" spans="1:9" ht="15" x14ac:dyDescent="0.2">
      <c r="A433"/>
      <c r="B433"/>
      <c r="C433"/>
      <c r="D433"/>
      <c r="E433"/>
      <c r="F433"/>
      <c r="G433"/>
      <c r="H433"/>
      <c r="I433"/>
    </row>
    <row r="434" spans="1:9" ht="15" x14ac:dyDescent="0.2">
      <c r="A434"/>
      <c r="B434"/>
      <c r="C434"/>
      <c r="D434"/>
      <c r="E434"/>
      <c r="F434"/>
      <c r="G434"/>
      <c r="H434"/>
      <c r="I434"/>
    </row>
    <row r="435" spans="1:9" ht="15" x14ac:dyDescent="0.2">
      <c r="A435"/>
      <c r="B435"/>
      <c r="C435"/>
      <c r="D435"/>
      <c r="E435"/>
      <c r="F435"/>
      <c r="G435"/>
      <c r="H435"/>
      <c r="I435"/>
    </row>
    <row r="436" spans="1:9" ht="15" x14ac:dyDescent="0.2">
      <c r="A436"/>
      <c r="B436"/>
      <c r="C436"/>
      <c r="D436"/>
      <c r="E436"/>
      <c r="F436"/>
      <c r="G436"/>
      <c r="H436"/>
      <c r="I436"/>
    </row>
    <row r="437" spans="1:9" ht="15" x14ac:dyDescent="0.2">
      <c r="A437"/>
      <c r="B437"/>
      <c r="C437"/>
      <c r="D437"/>
      <c r="E437"/>
      <c r="F437"/>
      <c r="G437"/>
      <c r="H437"/>
      <c r="I437"/>
    </row>
    <row r="438" spans="1:9" ht="15" x14ac:dyDescent="0.2">
      <c r="A438"/>
      <c r="B438"/>
      <c r="C438"/>
      <c r="D438"/>
      <c r="E438"/>
      <c r="F438"/>
      <c r="G438"/>
      <c r="H438"/>
      <c r="I438"/>
    </row>
    <row r="439" spans="1:9" ht="15" x14ac:dyDescent="0.2">
      <c r="A439"/>
      <c r="B439"/>
      <c r="C439"/>
      <c r="D439"/>
      <c r="E439"/>
      <c r="F439"/>
      <c r="G439"/>
      <c r="H439"/>
      <c r="I439"/>
    </row>
    <row r="440" spans="1:9" ht="15" x14ac:dyDescent="0.2">
      <c r="A440"/>
      <c r="B440"/>
      <c r="C440"/>
      <c r="D440"/>
      <c r="E440"/>
      <c r="F440"/>
      <c r="G440"/>
      <c r="H440"/>
      <c r="I440"/>
    </row>
    <row r="441" spans="1:9" ht="15" x14ac:dyDescent="0.2">
      <c r="A441"/>
      <c r="B441"/>
      <c r="C441"/>
      <c r="D441"/>
      <c r="E441"/>
      <c r="F441"/>
      <c r="G441"/>
      <c r="H441"/>
      <c r="I441"/>
    </row>
    <row r="442" spans="1:9" ht="15" x14ac:dyDescent="0.2">
      <c r="A442"/>
      <c r="B442"/>
      <c r="C442"/>
      <c r="D442"/>
      <c r="E442"/>
      <c r="F442"/>
      <c r="G442"/>
      <c r="H442"/>
      <c r="I442"/>
    </row>
    <row r="443" spans="1:9" ht="15" x14ac:dyDescent="0.2">
      <c r="A443"/>
      <c r="B443"/>
      <c r="C443"/>
      <c r="D443"/>
      <c r="E443"/>
      <c r="F443"/>
      <c r="G443"/>
      <c r="H443"/>
      <c r="I443"/>
    </row>
    <row r="444" spans="1:9" ht="15" x14ac:dyDescent="0.2">
      <c r="A444"/>
      <c r="B444"/>
      <c r="C444"/>
      <c r="D444"/>
      <c r="E444"/>
      <c r="F444"/>
      <c r="G444"/>
      <c r="H444"/>
      <c r="I444"/>
    </row>
    <row r="445" spans="1:9" ht="15" x14ac:dyDescent="0.2">
      <c r="A445"/>
      <c r="B445"/>
      <c r="C445"/>
      <c r="D445"/>
      <c r="E445"/>
      <c r="F445"/>
      <c r="G445"/>
      <c r="H445"/>
      <c r="I445"/>
    </row>
    <row r="446" spans="1:9" ht="15" x14ac:dyDescent="0.2">
      <c r="A446"/>
      <c r="B446"/>
      <c r="C446"/>
      <c r="D446"/>
      <c r="E446"/>
      <c r="F446"/>
      <c r="G446"/>
      <c r="H446"/>
      <c r="I446"/>
    </row>
    <row r="447" spans="1:9" ht="15" x14ac:dyDescent="0.2">
      <c r="A447"/>
      <c r="B447"/>
      <c r="C447"/>
      <c r="D447"/>
      <c r="E447"/>
      <c r="F447"/>
      <c r="G447"/>
      <c r="H447"/>
      <c r="I447"/>
    </row>
    <row r="448" spans="1:9" ht="15" x14ac:dyDescent="0.2">
      <c r="A448"/>
      <c r="B448"/>
      <c r="C448"/>
      <c r="D448"/>
      <c r="E448"/>
      <c r="F448"/>
      <c r="G448"/>
      <c r="H448"/>
      <c r="I448"/>
    </row>
    <row r="449" spans="1:9" ht="15" x14ac:dyDescent="0.2">
      <c r="A449"/>
      <c r="B449"/>
      <c r="C449"/>
      <c r="D449"/>
      <c r="E449"/>
      <c r="F449"/>
      <c r="G449"/>
      <c r="H449"/>
      <c r="I449"/>
    </row>
    <row r="450" spans="1:9" ht="15" x14ac:dyDescent="0.2">
      <c r="A450"/>
      <c r="B450"/>
      <c r="C450"/>
      <c r="D450"/>
      <c r="E450"/>
      <c r="F450"/>
      <c r="G450"/>
      <c r="H450"/>
      <c r="I450"/>
    </row>
    <row r="451" spans="1:9" ht="15" x14ac:dyDescent="0.2">
      <c r="A451"/>
      <c r="B451"/>
      <c r="C451"/>
      <c r="D451"/>
      <c r="E451"/>
      <c r="F451"/>
      <c r="G451"/>
      <c r="H451"/>
      <c r="I451"/>
    </row>
    <row r="452" spans="1:9" ht="15" x14ac:dyDescent="0.2">
      <c r="A452"/>
      <c r="B452"/>
      <c r="C452"/>
      <c r="D452"/>
      <c r="E452"/>
      <c r="F452"/>
      <c r="G452"/>
      <c r="H452"/>
      <c r="I452"/>
    </row>
    <row r="453" spans="1:9" ht="15" x14ac:dyDescent="0.2">
      <c r="A453"/>
      <c r="B453"/>
      <c r="C453"/>
      <c r="D453"/>
      <c r="E453"/>
      <c r="F453"/>
      <c r="G453"/>
      <c r="H453"/>
      <c r="I453"/>
    </row>
    <row r="454" spans="1:9" ht="15" x14ac:dyDescent="0.2">
      <c r="A454"/>
      <c r="B454"/>
      <c r="C454"/>
      <c r="D454"/>
      <c r="E454"/>
      <c r="F454"/>
      <c r="G454"/>
      <c r="H454"/>
      <c r="I454"/>
    </row>
    <row r="455" spans="1:9" ht="15" x14ac:dyDescent="0.2">
      <c r="A455"/>
      <c r="B455"/>
      <c r="C455"/>
      <c r="D455"/>
      <c r="E455"/>
      <c r="F455"/>
      <c r="G455"/>
      <c r="H455"/>
      <c r="I455"/>
    </row>
    <row r="456" spans="1:9" ht="15" x14ac:dyDescent="0.2">
      <c r="A456"/>
      <c r="B456"/>
      <c r="C456"/>
      <c r="D456"/>
      <c r="E456"/>
      <c r="F456"/>
      <c r="G456"/>
      <c r="H456"/>
      <c r="I456"/>
    </row>
    <row r="457" spans="1:9" ht="15" x14ac:dyDescent="0.2">
      <c r="A457"/>
      <c r="B457"/>
      <c r="C457"/>
      <c r="D457"/>
      <c r="E457"/>
      <c r="F457"/>
      <c r="G457"/>
      <c r="H457"/>
      <c r="I457"/>
    </row>
    <row r="458" spans="1:9" ht="15" x14ac:dyDescent="0.2">
      <c r="A458"/>
      <c r="B458"/>
      <c r="C458"/>
      <c r="D458"/>
      <c r="E458"/>
      <c r="F458"/>
      <c r="G458"/>
      <c r="H458"/>
      <c r="I458"/>
    </row>
    <row r="459" spans="1:9" ht="15" x14ac:dyDescent="0.2">
      <c r="A459"/>
      <c r="B459"/>
      <c r="C459"/>
      <c r="D459"/>
      <c r="E459"/>
      <c r="F459"/>
      <c r="G459"/>
      <c r="H459"/>
      <c r="I459"/>
    </row>
    <row r="460" spans="1:9" ht="15" x14ac:dyDescent="0.2">
      <c r="A460"/>
      <c r="B460"/>
      <c r="C460"/>
      <c r="D460"/>
      <c r="E460"/>
      <c r="F460"/>
      <c r="G460"/>
      <c r="H460"/>
      <c r="I460"/>
    </row>
    <row r="461" spans="1:9" ht="15" x14ac:dyDescent="0.2">
      <c r="A461"/>
      <c r="B461"/>
      <c r="C461"/>
      <c r="D461"/>
      <c r="E461"/>
      <c r="F461"/>
      <c r="G461"/>
      <c r="H461"/>
      <c r="I461"/>
    </row>
    <row r="462" spans="1:9" ht="15" x14ac:dyDescent="0.2">
      <c r="A462"/>
      <c r="B462"/>
      <c r="C462"/>
      <c r="D462"/>
      <c r="E462"/>
      <c r="F462"/>
      <c r="G462"/>
      <c r="H462"/>
      <c r="I462"/>
    </row>
    <row r="463" spans="1:9" ht="15" x14ac:dyDescent="0.2">
      <c r="A463"/>
      <c r="B463"/>
      <c r="C463"/>
      <c r="D463"/>
      <c r="E463"/>
      <c r="F463"/>
      <c r="G463"/>
      <c r="H463"/>
      <c r="I463"/>
    </row>
    <row r="464" spans="1:9" ht="15" x14ac:dyDescent="0.2">
      <c r="A464"/>
      <c r="B464"/>
      <c r="C464"/>
      <c r="D464"/>
      <c r="E464"/>
      <c r="F464"/>
      <c r="G464"/>
      <c r="H464"/>
      <c r="I464"/>
    </row>
    <row r="465" spans="1:9" ht="15" x14ac:dyDescent="0.2">
      <c r="A465"/>
      <c r="B465"/>
      <c r="C465"/>
      <c r="D465"/>
      <c r="E465"/>
      <c r="F465"/>
      <c r="G465"/>
      <c r="H465"/>
      <c r="I465"/>
    </row>
    <row r="466" spans="1:9" ht="15" x14ac:dyDescent="0.2">
      <c r="A466"/>
      <c r="B466"/>
      <c r="C466"/>
      <c r="D466"/>
      <c r="E466"/>
      <c r="F466"/>
      <c r="G466"/>
      <c r="H466"/>
      <c r="I466"/>
    </row>
    <row r="467" spans="1:9" ht="15" x14ac:dyDescent="0.2">
      <c r="A467"/>
      <c r="B467"/>
      <c r="C467"/>
      <c r="D467"/>
      <c r="E467"/>
      <c r="F467"/>
      <c r="G467"/>
      <c r="H467"/>
      <c r="I467"/>
    </row>
    <row r="468" spans="1:9" ht="15" x14ac:dyDescent="0.2">
      <c r="A468"/>
      <c r="B468"/>
      <c r="C468"/>
      <c r="D468"/>
      <c r="E468"/>
      <c r="F468"/>
      <c r="G468"/>
      <c r="H468"/>
      <c r="I468"/>
    </row>
    <row r="469" spans="1:9" ht="15" x14ac:dyDescent="0.2">
      <c r="A469"/>
      <c r="B469"/>
      <c r="C469"/>
      <c r="D469"/>
      <c r="E469"/>
      <c r="F469"/>
      <c r="G469"/>
      <c r="H469"/>
      <c r="I469"/>
    </row>
    <row r="470" spans="1:9" ht="15" x14ac:dyDescent="0.2">
      <c r="A470"/>
      <c r="B470"/>
      <c r="C470"/>
      <c r="D470"/>
      <c r="E470"/>
      <c r="F470"/>
      <c r="G470"/>
      <c r="H470"/>
      <c r="I470"/>
    </row>
    <row r="471" spans="1:9" ht="15" x14ac:dyDescent="0.2">
      <c r="A471"/>
      <c r="B471"/>
      <c r="C471"/>
      <c r="D471"/>
      <c r="E471"/>
      <c r="F471"/>
      <c r="G471"/>
      <c r="H471"/>
      <c r="I471"/>
    </row>
    <row r="472" spans="1:9" ht="15" x14ac:dyDescent="0.2">
      <c r="A472"/>
      <c r="B472"/>
      <c r="C472"/>
      <c r="D472"/>
      <c r="E472"/>
      <c r="F472"/>
      <c r="G472"/>
      <c r="H472"/>
      <c r="I472"/>
    </row>
    <row r="473" spans="1:9" ht="15" x14ac:dyDescent="0.2">
      <c r="A473"/>
      <c r="B473"/>
      <c r="C473"/>
      <c r="D473"/>
      <c r="E473"/>
      <c r="F473"/>
      <c r="G473"/>
      <c r="H473"/>
      <c r="I473"/>
    </row>
    <row r="474" spans="1:9" ht="15" x14ac:dyDescent="0.2">
      <c r="A474"/>
      <c r="B474"/>
      <c r="C474"/>
      <c r="D474"/>
      <c r="E474"/>
      <c r="F474"/>
      <c r="G474"/>
      <c r="H474"/>
      <c r="I474"/>
    </row>
    <row r="475" spans="1:9" ht="15" x14ac:dyDescent="0.2">
      <c r="A475"/>
      <c r="B475"/>
      <c r="C475"/>
      <c r="D475"/>
      <c r="E475"/>
      <c r="F475"/>
      <c r="G475"/>
      <c r="H475"/>
      <c r="I475"/>
    </row>
    <row r="476" spans="1:9" ht="15" x14ac:dyDescent="0.2">
      <c r="A476"/>
      <c r="B476"/>
      <c r="C476"/>
      <c r="D476"/>
      <c r="E476"/>
      <c r="F476"/>
      <c r="G476"/>
      <c r="H476"/>
      <c r="I476"/>
    </row>
    <row r="477" spans="1:9" ht="15" x14ac:dyDescent="0.2">
      <c r="A477"/>
      <c r="B477"/>
      <c r="C477"/>
      <c r="D477"/>
      <c r="E477"/>
      <c r="F477"/>
      <c r="G477"/>
      <c r="H477"/>
      <c r="I477"/>
    </row>
    <row r="478" spans="1:9" ht="15" x14ac:dyDescent="0.2">
      <c r="A478"/>
      <c r="B478"/>
      <c r="C478"/>
      <c r="D478"/>
      <c r="E478"/>
      <c r="F478"/>
      <c r="G478"/>
      <c r="H478"/>
      <c r="I478"/>
    </row>
    <row r="479" spans="1:9" ht="15" x14ac:dyDescent="0.2">
      <c r="A479"/>
      <c r="B479"/>
      <c r="C479"/>
      <c r="D479"/>
      <c r="E479"/>
      <c r="F479"/>
      <c r="G479"/>
      <c r="H479"/>
      <c r="I479"/>
    </row>
    <row r="480" spans="1:9" ht="15" x14ac:dyDescent="0.2">
      <c r="A480"/>
      <c r="B480"/>
      <c r="C480"/>
      <c r="D480"/>
      <c r="E480"/>
      <c r="F480"/>
      <c r="G480"/>
      <c r="H480"/>
      <c r="I480"/>
    </row>
    <row r="481" spans="1:9" ht="15" x14ac:dyDescent="0.2">
      <c r="A481"/>
      <c r="B481"/>
      <c r="C481"/>
      <c r="D481"/>
      <c r="E481"/>
      <c r="F481"/>
      <c r="G481"/>
      <c r="H481"/>
      <c r="I481"/>
    </row>
    <row r="482" spans="1:9" ht="15" x14ac:dyDescent="0.2">
      <c r="A482"/>
      <c r="B482"/>
      <c r="C482"/>
      <c r="D482"/>
      <c r="E482"/>
      <c r="F482"/>
      <c r="G482"/>
      <c r="H482"/>
      <c r="I482"/>
    </row>
    <row r="483" spans="1:9" ht="15" x14ac:dyDescent="0.2">
      <c r="A483"/>
      <c r="B483"/>
      <c r="C483"/>
      <c r="D483"/>
      <c r="E483"/>
      <c r="F483"/>
      <c r="G483"/>
      <c r="H483"/>
      <c r="I483"/>
    </row>
    <row r="484" spans="1:9" ht="15" x14ac:dyDescent="0.2">
      <c r="A484"/>
      <c r="B484"/>
      <c r="C484"/>
      <c r="D484"/>
      <c r="E484"/>
      <c r="F484"/>
      <c r="G484"/>
      <c r="H484"/>
      <c r="I484"/>
    </row>
    <row r="485" spans="1:9" ht="15" x14ac:dyDescent="0.2">
      <c r="A485"/>
      <c r="B485"/>
      <c r="C485"/>
      <c r="D485"/>
      <c r="E485"/>
      <c r="F485"/>
      <c r="G485"/>
      <c r="H485"/>
      <c r="I485"/>
    </row>
    <row r="486" spans="1:9" ht="15" x14ac:dyDescent="0.2">
      <c r="A486"/>
      <c r="B486"/>
      <c r="C486"/>
      <c r="D486"/>
      <c r="E486"/>
      <c r="F486"/>
      <c r="G486"/>
      <c r="H486"/>
      <c r="I486"/>
    </row>
    <row r="487" spans="1:9" ht="15" x14ac:dyDescent="0.2">
      <c r="A487"/>
      <c r="B487"/>
      <c r="C487"/>
      <c r="D487"/>
      <c r="E487"/>
      <c r="F487"/>
      <c r="G487"/>
      <c r="H487"/>
      <c r="I487"/>
    </row>
    <row r="488" spans="1:9" ht="15" x14ac:dyDescent="0.2">
      <c r="A488"/>
      <c r="B488"/>
      <c r="C488"/>
      <c r="D488"/>
      <c r="E488"/>
      <c r="F488"/>
      <c r="G488"/>
      <c r="H488"/>
      <c r="I488"/>
    </row>
    <row r="489" spans="1:9" ht="15" x14ac:dyDescent="0.2">
      <c r="A489"/>
      <c r="B489"/>
      <c r="C489"/>
      <c r="D489"/>
      <c r="E489"/>
      <c r="F489"/>
      <c r="G489"/>
      <c r="H489"/>
      <c r="I489"/>
    </row>
    <row r="490" spans="1:9" ht="15" x14ac:dyDescent="0.2">
      <c r="A490"/>
      <c r="B490"/>
      <c r="C490"/>
      <c r="D490"/>
      <c r="E490"/>
      <c r="F490"/>
      <c r="G490"/>
      <c r="H490"/>
      <c r="I490"/>
    </row>
    <row r="491" spans="1:9" ht="15" x14ac:dyDescent="0.2">
      <c r="A491"/>
      <c r="B491"/>
      <c r="C491"/>
      <c r="D491"/>
      <c r="E491"/>
      <c r="F491"/>
      <c r="G491"/>
      <c r="H491"/>
      <c r="I491"/>
    </row>
    <row r="492" spans="1:9" ht="15" x14ac:dyDescent="0.2">
      <c r="A492"/>
      <c r="B492"/>
      <c r="C492"/>
      <c r="D492"/>
      <c r="E492"/>
      <c r="F492"/>
      <c r="G492"/>
      <c r="H492"/>
      <c r="I492"/>
    </row>
    <row r="493" spans="1:9" ht="15" x14ac:dyDescent="0.2">
      <c r="A493"/>
      <c r="B493"/>
      <c r="C493"/>
      <c r="D493"/>
      <c r="E493"/>
      <c r="F493"/>
      <c r="G493"/>
      <c r="H493"/>
      <c r="I493"/>
    </row>
    <row r="494" spans="1:9" ht="15" x14ac:dyDescent="0.2">
      <c r="A494"/>
      <c r="B494"/>
      <c r="C494"/>
      <c r="D494"/>
      <c r="E494"/>
      <c r="F494"/>
      <c r="G494"/>
      <c r="H494"/>
      <c r="I494"/>
    </row>
    <row r="495" spans="1:9" ht="15" x14ac:dyDescent="0.2">
      <c r="A495"/>
      <c r="B495"/>
      <c r="C495"/>
      <c r="D495"/>
      <c r="E495"/>
      <c r="F495"/>
      <c r="G495"/>
      <c r="H495"/>
      <c r="I495"/>
    </row>
    <row r="496" spans="1:9" ht="15" x14ac:dyDescent="0.2">
      <c r="A496"/>
      <c r="B496"/>
      <c r="C496"/>
      <c r="D496"/>
      <c r="E496"/>
      <c r="F496"/>
      <c r="G496"/>
      <c r="H496"/>
      <c r="I496"/>
    </row>
    <row r="497" spans="1:9" ht="15" x14ac:dyDescent="0.2">
      <c r="A497"/>
      <c r="B497"/>
      <c r="C497"/>
      <c r="D497"/>
      <c r="E497"/>
      <c r="F497"/>
      <c r="G497"/>
      <c r="H497"/>
      <c r="I497"/>
    </row>
    <row r="498" spans="1:9" ht="15" x14ac:dyDescent="0.2">
      <c r="A498"/>
      <c r="B498"/>
      <c r="C498"/>
      <c r="D498"/>
      <c r="E498"/>
      <c r="F498"/>
      <c r="G498"/>
      <c r="H498"/>
      <c r="I498"/>
    </row>
    <row r="499" spans="1:9" ht="15" x14ac:dyDescent="0.2">
      <c r="A499"/>
      <c r="B499"/>
      <c r="C499"/>
      <c r="D499"/>
      <c r="E499"/>
      <c r="F499"/>
      <c r="G499"/>
      <c r="H499"/>
      <c r="I499"/>
    </row>
    <row r="500" spans="1:9" ht="15" x14ac:dyDescent="0.2">
      <c r="A500"/>
      <c r="B500"/>
      <c r="C500"/>
      <c r="D500"/>
      <c r="E500"/>
      <c r="F500"/>
      <c r="G500"/>
      <c r="H500"/>
      <c r="I500"/>
    </row>
    <row r="501" spans="1:9" ht="15" x14ac:dyDescent="0.2">
      <c r="A501"/>
      <c r="B501"/>
      <c r="C501"/>
      <c r="D501"/>
      <c r="E501"/>
      <c r="F501"/>
      <c r="G501"/>
      <c r="H501"/>
      <c r="I501"/>
    </row>
    <row r="502" spans="1:9" ht="15" x14ac:dyDescent="0.2">
      <c r="A502"/>
      <c r="B502"/>
      <c r="C502"/>
      <c r="D502"/>
      <c r="E502"/>
      <c r="F502"/>
      <c r="G502"/>
      <c r="H502"/>
      <c r="I502"/>
    </row>
    <row r="503" spans="1:9" ht="15" x14ac:dyDescent="0.2">
      <c r="A503"/>
      <c r="B503"/>
      <c r="C503"/>
      <c r="D503"/>
      <c r="E503"/>
      <c r="F503"/>
      <c r="G503"/>
      <c r="H503"/>
      <c r="I503"/>
    </row>
    <row r="504" spans="1:9" ht="15" x14ac:dyDescent="0.2">
      <c r="A504"/>
      <c r="B504"/>
      <c r="C504"/>
      <c r="D504"/>
      <c r="E504"/>
      <c r="F504"/>
      <c r="G504"/>
      <c r="H504"/>
      <c r="I504"/>
    </row>
    <row r="505" spans="1:9" ht="15" x14ac:dyDescent="0.2">
      <c r="A505"/>
      <c r="B505"/>
      <c r="C505"/>
      <c r="D505"/>
      <c r="E505"/>
      <c r="F505"/>
      <c r="G505"/>
      <c r="H505"/>
      <c r="I505"/>
    </row>
    <row r="506" spans="1:9" ht="15" x14ac:dyDescent="0.2">
      <c r="A506"/>
      <c r="B506"/>
      <c r="C506"/>
      <c r="D506"/>
      <c r="E506"/>
      <c r="F506"/>
      <c r="G506"/>
      <c r="H506"/>
      <c r="I506"/>
    </row>
    <row r="507" spans="1:9" ht="15" x14ac:dyDescent="0.2">
      <c r="A507"/>
      <c r="B507"/>
      <c r="C507"/>
      <c r="D507"/>
      <c r="E507"/>
      <c r="F507"/>
      <c r="G507"/>
      <c r="H507"/>
      <c r="I507"/>
    </row>
    <row r="508" spans="1:9" ht="15" x14ac:dyDescent="0.2">
      <c r="A508"/>
      <c r="B508"/>
      <c r="C508"/>
      <c r="D508"/>
      <c r="E508"/>
      <c r="F508"/>
      <c r="G508"/>
      <c r="H508"/>
      <c r="I508"/>
    </row>
    <row r="509" spans="1:9" ht="15" x14ac:dyDescent="0.2">
      <c r="A509"/>
      <c r="B509"/>
      <c r="C509"/>
      <c r="D509"/>
      <c r="E509"/>
      <c r="F509"/>
      <c r="G509"/>
      <c r="H509"/>
      <c r="I509"/>
    </row>
    <row r="510" spans="1:9" ht="15" x14ac:dyDescent="0.2">
      <c r="A510"/>
      <c r="B510"/>
      <c r="C510"/>
      <c r="D510"/>
      <c r="E510"/>
      <c r="F510"/>
      <c r="G510"/>
      <c r="H510"/>
      <c r="I510"/>
    </row>
    <row r="511" spans="1:9" ht="15" x14ac:dyDescent="0.2">
      <c r="A511"/>
      <c r="B511"/>
      <c r="C511"/>
      <c r="D511"/>
      <c r="E511"/>
      <c r="F511"/>
      <c r="G511"/>
      <c r="H511"/>
      <c r="I511"/>
    </row>
    <row r="512" spans="1:9" ht="15" x14ac:dyDescent="0.2">
      <c r="A512"/>
      <c r="B512"/>
      <c r="C512"/>
      <c r="D512"/>
      <c r="E512"/>
      <c r="F512"/>
      <c r="G512"/>
      <c r="H512"/>
      <c r="I512"/>
    </row>
    <row r="513" spans="1:9" ht="15" x14ac:dyDescent="0.2">
      <c r="A513"/>
      <c r="B513"/>
      <c r="C513"/>
      <c r="D513"/>
      <c r="E513"/>
      <c r="F513"/>
      <c r="G513"/>
      <c r="H513"/>
      <c r="I513"/>
    </row>
    <row r="514" spans="1:9" ht="15" x14ac:dyDescent="0.2">
      <c r="A514"/>
      <c r="B514"/>
      <c r="C514"/>
      <c r="D514"/>
      <c r="E514"/>
      <c r="F514"/>
      <c r="G514"/>
      <c r="H514"/>
      <c r="I514"/>
    </row>
    <row r="515" spans="1:9" ht="15" x14ac:dyDescent="0.2">
      <c r="A515"/>
      <c r="B515"/>
      <c r="C515"/>
      <c r="D515"/>
      <c r="E515"/>
      <c r="F515"/>
      <c r="G515"/>
      <c r="H515"/>
      <c r="I515"/>
    </row>
    <row r="516" spans="1:9" ht="15" x14ac:dyDescent="0.2">
      <c r="A516"/>
      <c r="B516"/>
      <c r="C516"/>
      <c r="D516"/>
      <c r="E516"/>
      <c r="F516"/>
      <c r="G516"/>
      <c r="H516"/>
      <c r="I516"/>
    </row>
    <row r="517" spans="1:9" ht="15" x14ac:dyDescent="0.2">
      <c r="A517"/>
      <c r="B517"/>
      <c r="C517"/>
      <c r="D517"/>
      <c r="E517"/>
      <c r="F517"/>
      <c r="G517"/>
      <c r="H517"/>
      <c r="I517"/>
    </row>
    <row r="518" spans="1:9" ht="15" x14ac:dyDescent="0.2">
      <c r="A518"/>
      <c r="B518"/>
      <c r="C518"/>
      <c r="D518"/>
      <c r="E518"/>
      <c r="F518"/>
      <c r="G518"/>
      <c r="H518"/>
      <c r="I518"/>
    </row>
    <row r="519" spans="1:9" ht="15" x14ac:dyDescent="0.2">
      <c r="A519"/>
      <c r="B519"/>
      <c r="C519"/>
      <c r="D519"/>
      <c r="E519"/>
      <c r="F519"/>
      <c r="G519"/>
      <c r="H519"/>
      <c r="I519"/>
    </row>
    <row r="520" spans="1:9" ht="15" x14ac:dyDescent="0.2">
      <c r="A520"/>
      <c r="B520"/>
      <c r="C520"/>
      <c r="D520"/>
      <c r="E520"/>
      <c r="F520"/>
      <c r="G520"/>
      <c r="H520"/>
      <c r="I520"/>
    </row>
    <row r="521" spans="1:9" ht="15" x14ac:dyDescent="0.2">
      <c r="A521"/>
      <c r="B521"/>
      <c r="C521"/>
      <c r="D521"/>
      <c r="E521"/>
      <c r="F521"/>
      <c r="G521"/>
      <c r="H521"/>
      <c r="I521"/>
    </row>
    <row r="522" spans="1:9" ht="15" x14ac:dyDescent="0.2">
      <c r="A522"/>
      <c r="B522"/>
      <c r="C522"/>
      <c r="D522"/>
      <c r="E522"/>
      <c r="F522"/>
      <c r="G522"/>
      <c r="H522"/>
      <c r="I522"/>
    </row>
    <row r="523" spans="1:9" ht="15" x14ac:dyDescent="0.2">
      <c r="A523"/>
      <c r="B523"/>
      <c r="C523"/>
      <c r="D523"/>
      <c r="E523"/>
      <c r="F523"/>
      <c r="G523"/>
      <c r="H523"/>
      <c r="I523"/>
    </row>
    <row r="524" spans="1:9" ht="15" x14ac:dyDescent="0.2">
      <c r="A524"/>
      <c r="B524"/>
      <c r="C524"/>
      <c r="D524"/>
      <c r="E524"/>
      <c r="F524"/>
      <c r="G524"/>
      <c r="H524"/>
      <c r="I524"/>
    </row>
    <row r="525" spans="1:9" ht="15" x14ac:dyDescent="0.2">
      <c r="A525"/>
      <c r="B525"/>
      <c r="C525"/>
      <c r="D525"/>
      <c r="E525"/>
      <c r="F525"/>
      <c r="G525"/>
      <c r="H525"/>
      <c r="I525"/>
    </row>
    <row r="526" spans="1:9" ht="15" x14ac:dyDescent="0.2">
      <c r="A526"/>
      <c r="B526"/>
      <c r="C526"/>
      <c r="D526"/>
      <c r="E526"/>
      <c r="F526"/>
      <c r="G526"/>
      <c r="H526"/>
      <c r="I526"/>
    </row>
    <row r="527" spans="1:9" ht="15" x14ac:dyDescent="0.2">
      <c r="A527"/>
      <c r="B527"/>
      <c r="C527"/>
      <c r="D527"/>
      <c r="E527"/>
      <c r="F527"/>
      <c r="G527"/>
      <c r="H527"/>
      <c r="I527"/>
    </row>
    <row r="528" spans="1:9" ht="15" x14ac:dyDescent="0.2">
      <c r="A528"/>
      <c r="B528"/>
      <c r="C528"/>
      <c r="D528"/>
      <c r="E528"/>
      <c r="F528"/>
      <c r="G528"/>
      <c r="H528"/>
      <c r="I528"/>
    </row>
    <row r="529" spans="1:9" ht="15" x14ac:dyDescent="0.2">
      <c r="A529"/>
      <c r="B529"/>
      <c r="C529"/>
      <c r="D529"/>
      <c r="E529"/>
      <c r="F529"/>
      <c r="G529"/>
      <c r="H529"/>
      <c r="I529"/>
    </row>
    <row r="530" spans="1:9" ht="15" x14ac:dyDescent="0.2">
      <c r="A530"/>
      <c r="B530"/>
      <c r="C530"/>
      <c r="D530"/>
      <c r="E530"/>
      <c r="F530"/>
      <c r="G530"/>
      <c r="H530"/>
      <c r="I530"/>
    </row>
    <row r="531" spans="1:9" ht="15" x14ac:dyDescent="0.2">
      <c r="A531"/>
      <c r="B531"/>
      <c r="C531"/>
      <c r="D531"/>
      <c r="E531"/>
      <c r="F531"/>
      <c r="G531"/>
      <c r="H531"/>
      <c r="I531"/>
    </row>
    <row r="532" spans="1:9" ht="15" x14ac:dyDescent="0.2">
      <c r="A532"/>
      <c r="B532"/>
      <c r="C532"/>
      <c r="D532"/>
      <c r="E532"/>
      <c r="F532"/>
      <c r="G532"/>
      <c r="H532"/>
      <c r="I532"/>
    </row>
    <row r="533" spans="1:9" ht="15" x14ac:dyDescent="0.2">
      <c r="A533"/>
      <c r="B533"/>
      <c r="C533"/>
      <c r="D533"/>
      <c r="E533"/>
      <c r="F533"/>
      <c r="G533"/>
      <c r="H533"/>
      <c r="I533"/>
    </row>
    <row r="534" spans="1:9" ht="15" x14ac:dyDescent="0.2">
      <c r="A534"/>
      <c r="B534"/>
      <c r="C534"/>
      <c r="D534"/>
      <c r="E534"/>
      <c r="F534"/>
      <c r="G534"/>
      <c r="H534"/>
      <c r="I534"/>
    </row>
    <row r="535" spans="1:9" ht="15" x14ac:dyDescent="0.2">
      <c r="A535"/>
      <c r="B535"/>
      <c r="C535"/>
      <c r="D535"/>
      <c r="E535"/>
      <c r="F535"/>
      <c r="G535"/>
      <c r="H535"/>
      <c r="I535"/>
    </row>
    <row r="536" spans="1:9" ht="15" x14ac:dyDescent="0.2">
      <c r="A536"/>
      <c r="B536"/>
      <c r="C536"/>
      <c r="D536"/>
      <c r="E536"/>
      <c r="F536"/>
      <c r="G536"/>
      <c r="H536"/>
      <c r="I536"/>
    </row>
    <row r="537" spans="1:9" ht="15" x14ac:dyDescent="0.2">
      <c r="A537"/>
      <c r="B537"/>
      <c r="C537"/>
      <c r="D537"/>
      <c r="E537"/>
      <c r="F537"/>
      <c r="G537"/>
      <c r="H537"/>
      <c r="I537"/>
    </row>
    <row r="538" spans="1:9" ht="15" x14ac:dyDescent="0.2">
      <c r="A538"/>
      <c r="B538"/>
      <c r="C538"/>
      <c r="D538"/>
      <c r="E538"/>
      <c r="F538"/>
      <c r="G538"/>
      <c r="H538"/>
      <c r="I538"/>
    </row>
    <row r="539" spans="1:9" ht="15" x14ac:dyDescent="0.2">
      <c r="A539"/>
      <c r="B539"/>
      <c r="C539"/>
      <c r="D539"/>
      <c r="E539"/>
      <c r="F539"/>
      <c r="G539"/>
      <c r="H539"/>
      <c r="I539"/>
    </row>
    <row r="540" spans="1:9" ht="15" x14ac:dyDescent="0.2">
      <c r="A540"/>
      <c r="B540"/>
      <c r="C540"/>
      <c r="D540"/>
      <c r="E540"/>
      <c r="F540"/>
      <c r="G540"/>
      <c r="H540"/>
      <c r="I540"/>
    </row>
    <row r="541" spans="1:9" ht="15" x14ac:dyDescent="0.2">
      <c r="A541"/>
      <c r="B541"/>
      <c r="C541"/>
      <c r="D541"/>
      <c r="E541"/>
      <c r="F541"/>
      <c r="G541"/>
      <c r="H541"/>
      <c r="I541"/>
    </row>
    <row r="542" spans="1:9" ht="15" x14ac:dyDescent="0.2">
      <c r="A542"/>
      <c r="B542"/>
      <c r="C542"/>
      <c r="D542"/>
      <c r="E542"/>
      <c r="F542"/>
      <c r="G542"/>
      <c r="H542"/>
      <c r="I542"/>
    </row>
    <row r="543" spans="1:9" ht="15" x14ac:dyDescent="0.2">
      <c r="A543"/>
      <c r="B543"/>
      <c r="C543"/>
      <c r="D543"/>
      <c r="E543"/>
      <c r="F543"/>
      <c r="G543"/>
      <c r="H543"/>
      <c r="I543"/>
    </row>
    <row r="544" spans="1:9" ht="15" x14ac:dyDescent="0.2">
      <c r="A544"/>
      <c r="B544"/>
      <c r="C544"/>
      <c r="D544"/>
      <c r="E544"/>
      <c r="F544"/>
      <c r="G544"/>
      <c r="H544"/>
      <c r="I544"/>
    </row>
    <row r="545" spans="1:9" ht="15" x14ac:dyDescent="0.2">
      <c r="A545"/>
      <c r="B545"/>
      <c r="C545"/>
      <c r="D545"/>
      <c r="E545"/>
      <c r="F545"/>
      <c r="G545"/>
      <c r="H545"/>
      <c r="I545"/>
    </row>
    <row r="546" spans="1:9" ht="15" x14ac:dyDescent="0.2">
      <c r="A546"/>
      <c r="B546"/>
      <c r="C546"/>
      <c r="D546"/>
      <c r="E546"/>
      <c r="F546"/>
      <c r="G546"/>
      <c r="H546"/>
      <c r="I546"/>
    </row>
    <row r="547" spans="1:9" ht="15" x14ac:dyDescent="0.2">
      <c r="A547"/>
      <c r="B547"/>
      <c r="C547"/>
      <c r="D547"/>
      <c r="E547"/>
      <c r="F547"/>
      <c r="G547"/>
      <c r="H547"/>
      <c r="I547"/>
    </row>
    <row r="548" spans="1:9" ht="15" x14ac:dyDescent="0.2">
      <c r="A548"/>
      <c r="B548"/>
      <c r="C548"/>
      <c r="D548"/>
      <c r="E548"/>
      <c r="F548"/>
      <c r="G548"/>
      <c r="H548"/>
      <c r="I548"/>
    </row>
    <row r="549" spans="1:9" ht="15" x14ac:dyDescent="0.2">
      <c r="A549"/>
      <c r="B549"/>
      <c r="C549"/>
      <c r="D549"/>
      <c r="E549"/>
      <c r="F549"/>
      <c r="G549"/>
      <c r="H549"/>
      <c r="I549"/>
    </row>
    <row r="550" spans="1:9" ht="15" x14ac:dyDescent="0.2">
      <c r="A550"/>
      <c r="B550"/>
      <c r="C550"/>
      <c r="D550"/>
      <c r="E550"/>
      <c r="F550"/>
      <c r="G550"/>
      <c r="H550"/>
      <c r="I550"/>
    </row>
    <row r="551" spans="1:9" ht="15" x14ac:dyDescent="0.2">
      <c r="A551"/>
      <c r="B551"/>
      <c r="C551"/>
      <c r="D551"/>
      <c r="E551"/>
      <c r="F551"/>
      <c r="G551"/>
      <c r="H551"/>
      <c r="I551"/>
    </row>
    <row r="552" spans="1:9" ht="15" x14ac:dyDescent="0.2">
      <c r="A552"/>
      <c r="B552"/>
      <c r="C552"/>
      <c r="D552"/>
      <c r="E552"/>
      <c r="F552"/>
      <c r="G552"/>
      <c r="H552"/>
      <c r="I552"/>
    </row>
    <row r="553" spans="1:9" ht="15" x14ac:dyDescent="0.2">
      <c r="A553"/>
      <c r="B553"/>
      <c r="C553"/>
      <c r="D553"/>
      <c r="E553"/>
      <c r="F553"/>
      <c r="G553"/>
      <c r="H553"/>
      <c r="I553"/>
    </row>
    <row r="554" spans="1:9" ht="15" x14ac:dyDescent="0.2">
      <c r="A554"/>
      <c r="B554"/>
      <c r="C554"/>
      <c r="D554"/>
      <c r="E554"/>
      <c r="F554"/>
      <c r="G554"/>
      <c r="H554"/>
      <c r="I554"/>
    </row>
    <row r="555" spans="1:9" ht="15" x14ac:dyDescent="0.2">
      <c r="A555"/>
      <c r="B555"/>
      <c r="C555"/>
      <c r="D555"/>
      <c r="E555"/>
      <c r="F555"/>
      <c r="G555"/>
      <c r="H555"/>
      <c r="I555"/>
    </row>
    <row r="556" spans="1:9" ht="15" x14ac:dyDescent="0.2">
      <c r="A556"/>
      <c r="B556"/>
      <c r="C556"/>
      <c r="D556"/>
      <c r="E556"/>
      <c r="F556"/>
      <c r="G556"/>
      <c r="H556"/>
      <c r="I556"/>
    </row>
    <row r="557" spans="1:9" ht="15" x14ac:dyDescent="0.2">
      <c r="A557"/>
      <c r="B557"/>
      <c r="C557"/>
      <c r="D557"/>
      <c r="E557"/>
      <c r="F557"/>
      <c r="G557"/>
      <c r="H557"/>
      <c r="I557"/>
    </row>
    <row r="558" spans="1:9" ht="15" x14ac:dyDescent="0.2">
      <c r="A558"/>
      <c r="B558"/>
      <c r="C558"/>
      <c r="D558"/>
      <c r="E558"/>
      <c r="F558"/>
      <c r="G558"/>
      <c r="H558"/>
      <c r="I558"/>
    </row>
    <row r="559" spans="1:9" ht="15" x14ac:dyDescent="0.2">
      <c r="A559"/>
      <c r="B559"/>
      <c r="C559"/>
      <c r="D559"/>
      <c r="E559"/>
      <c r="F559"/>
      <c r="G559"/>
      <c r="H559"/>
      <c r="I559"/>
    </row>
    <row r="560" spans="1:9" ht="15" x14ac:dyDescent="0.2">
      <c r="A560"/>
      <c r="B560"/>
      <c r="C560"/>
      <c r="D560"/>
      <c r="E560"/>
      <c r="F560"/>
      <c r="G560"/>
      <c r="H560"/>
      <c r="I560"/>
    </row>
    <row r="561" spans="1:9" ht="15" x14ac:dyDescent="0.2">
      <c r="A561"/>
      <c r="B561"/>
      <c r="C561"/>
      <c r="D561"/>
      <c r="E561"/>
      <c r="F561"/>
      <c r="G561"/>
      <c r="H561"/>
      <c r="I561"/>
    </row>
    <row r="562" spans="1:9" ht="15" x14ac:dyDescent="0.2">
      <c r="A562"/>
      <c r="B562"/>
      <c r="C562"/>
      <c r="D562"/>
      <c r="E562"/>
      <c r="F562"/>
      <c r="G562"/>
      <c r="H562"/>
      <c r="I562"/>
    </row>
    <row r="563" spans="1:9" ht="15" x14ac:dyDescent="0.2">
      <c r="A563"/>
      <c r="B563"/>
      <c r="C563"/>
      <c r="D563"/>
      <c r="E563"/>
      <c r="F563"/>
      <c r="G563"/>
      <c r="H563"/>
      <c r="I563"/>
    </row>
    <row r="564" spans="1:9" ht="15" x14ac:dyDescent="0.2">
      <c r="A564"/>
      <c r="B564"/>
      <c r="C564"/>
      <c r="D564"/>
      <c r="E564"/>
      <c r="F564"/>
      <c r="G564"/>
      <c r="H564"/>
      <c r="I564"/>
    </row>
    <row r="565" spans="1:9" ht="15" x14ac:dyDescent="0.2">
      <c r="A565"/>
      <c r="B565"/>
      <c r="C565"/>
      <c r="D565"/>
      <c r="E565"/>
      <c r="F565"/>
      <c r="G565"/>
      <c r="H565"/>
      <c r="I565"/>
    </row>
    <row r="566" spans="1:9" ht="15" x14ac:dyDescent="0.2">
      <c r="A566"/>
      <c r="B566"/>
      <c r="C566"/>
      <c r="D566"/>
      <c r="E566"/>
      <c r="F566"/>
      <c r="G566"/>
      <c r="H566"/>
      <c r="I566"/>
    </row>
    <row r="567" spans="1:9" ht="15" x14ac:dyDescent="0.2">
      <c r="A567"/>
      <c r="B567"/>
      <c r="C567"/>
      <c r="D567"/>
      <c r="E567"/>
      <c r="F567"/>
      <c r="G567"/>
      <c r="H567"/>
      <c r="I567"/>
    </row>
    <row r="568" spans="1:9" ht="15" x14ac:dyDescent="0.2">
      <c r="A568"/>
      <c r="B568"/>
      <c r="C568"/>
      <c r="D568"/>
      <c r="E568"/>
      <c r="F568"/>
      <c r="G568"/>
      <c r="H568"/>
      <c r="I568"/>
    </row>
    <row r="569" spans="1:9" ht="15" x14ac:dyDescent="0.2">
      <c r="A569"/>
      <c r="B569"/>
      <c r="C569"/>
      <c r="D569"/>
      <c r="E569"/>
      <c r="F569"/>
      <c r="G569"/>
      <c r="H569"/>
      <c r="I569"/>
    </row>
    <row r="570" spans="1:9" ht="15" x14ac:dyDescent="0.2">
      <c r="A570"/>
      <c r="B570"/>
      <c r="C570"/>
      <c r="D570"/>
      <c r="E570"/>
      <c r="F570"/>
      <c r="G570"/>
      <c r="H570"/>
      <c r="I570"/>
    </row>
    <row r="571" spans="1:9" ht="15" x14ac:dyDescent="0.2">
      <c r="A571"/>
      <c r="B571"/>
      <c r="C571"/>
      <c r="D571"/>
      <c r="E571"/>
      <c r="F571"/>
      <c r="G571"/>
      <c r="H571"/>
      <c r="I571"/>
    </row>
    <row r="572" spans="1:9" ht="15" x14ac:dyDescent="0.2">
      <c r="A572"/>
      <c r="B572"/>
      <c r="C572"/>
      <c r="D572"/>
      <c r="E572"/>
      <c r="F572"/>
      <c r="G572"/>
      <c r="H572"/>
      <c r="I572"/>
    </row>
    <row r="573" spans="1:9" ht="15" x14ac:dyDescent="0.2">
      <c r="A573"/>
      <c r="B573"/>
      <c r="C573"/>
      <c r="D573"/>
      <c r="E573"/>
      <c r="F573"/>
      <c r="G573"/>
      <c r="H573"/>
      <c r="I573"/>
    </row>
    <row r="574" spans="1:9" ht="15" x14ac:dyDescent="0.2">
      <c r="A574"/>
      <c r="B574"/>
      <c r="C574"/>
      <c r="D574"/>
      <c r="E574"/>
      <c r="F574"/>
      <c r="G574"/>
      <c r="H574"/>
      <c r="I574"/>
    </row>
    <row r="575" spans="1:9" ht="15" x14ac:dyDescent="0.2">
      <c r="A575"/>
      <c r="B575"/>
      <c r="C575"/>
      <c r="D575"/>
      <c r="E575"/>
      <c r="F575"/>
      <c r="G575"/>
      <c r="H575"/>
      <c r="I575"/>
    </row>
    <row r="576" spans="1:9" ht="15" x14ac:dyDescent="0.2">
      <c r="A576"/>
      <c r="B576"/>
      <c r="C576"/>
      <c r="D576"/>
      <c r="E576"/>
      <c r="F576"/>
      <c r="G576"/>
      <c r="H576"/>
      <c r="I576"/>
    </row>
    <row r="577" spans="1:9" ht="15" x14ac:dyDescent="0.2">
      <c r="A577"/>
      <c r="B577"/>
      <c r="C577"/>
      <c r="D577"/>
      <c r="E577"/>
      <c r="F577"/>
      <c r="G577"/>
      <c r="H577"/>
      <c r="I577"/>
    </row>
    <row r="578" spans="1:9" ht="15" x14ac:dyDescent="0.2">
      <c r="A578"/>
      <c r="B578"/>
      <c r="C578"/>
      <c r="D578"/>
      <c r="E578"/>
      <c r="F578"/>
      <c r="G578"/>
      <c r="H578"/>
      <c r="I578"/>
    </row>
    <row r="579" spans="1:9" ht="15" x14ac:dyDescent="0.2">
      <c r="A579"/>
      <c r="B579"/>
      <c r="C579"/>
      <c r="D579"/>
      <c r="E579"/>
      <c r="F579"/>
      <c r="G579"/>
      <c r="H579"/>
      <c r="I579"/>
    </row>
    <row r="580" spans="1:9" ht="15" x14ac:dyDescent="0.2">
      <c r="A580"/>
      <c r="B580"/>
      <c r="C580"/>
      <c r="D580"/>
      <c r="E580"/>
      <c r="F580"/>
      <c r="G580"/>
      <c r="H580"/>
      <c r="I580"/>
    </row>
    <row r="581" spans="1:9" ht="15" x14ac:dyDescent="0.2">
      <c r="A581"/>
      <c r="B581"/>
      <c r="C581"/>
      <c r="D581"/>
      <c r="E581"/>
      <c r="F581"/>
      <c r="G581"/>
      <c r="H581"/>
      <c r="I581"/>
    </row>
    <row r="582" spans="1:9" ht="15" x14ac:dyDescent="0.2">
      <c r="A582"/>
      <c r="B582"/>
      <c r="C582"/>
      <c r="D582"/>
      <c r="E582"/>
      <c r="F582"/>
      <c r="G582"/>
      <c r="H582"/>
      <c r="I582"/>
    </row>
    <row r="583" spans="1:9" ht="15" x14ac:dyDescent="0.2">
      <c r="A583"/>
      <c r="B583"/>
      <c r="C583"/>
      <c r="D583"/>
      <c r="E583"/>
      <c r="F583"/>
      <c r="G583"/>
      <c r="H583"/>
      <c r="I583"/>
    </row>
    <row r="584" spans="1:9" ht="15" x14ac:dyDescent="0.2">
      <c r="A584"/>
      <c r="B584"/>
      <c r="C584"/>
      <c r="D584"/>
      <c r="E584"/>
      <c r="F584"/>
      <c r="G584"/>
      <c r="H584"/>
      <c r="I584"/>
    </row>
    <row r="585" spans="1:9" ht="15" x14ac:dyDescent="0.2">
      <c r="A585"/>
      <c r="B585"/>
      <c r="C585"/>
      <c r="D585"/>
      <c r="E585"/>
      <c r="F585"/>
      <c r="G585"/>
      <c r="H585"/>
      <c r="I585"/>
    </row>
    <row r="586" spans="1:9" ht="15" x14ac:dyDescent="0.2">
      <c r="A586"/>
      <c r="B586"/>
      <c r="C586"/>
      <c r="D586"/>
      <c r="E586"/>
      <c r="F586"/>
      <c r="G586"/>
      <c r="H586"/>
      <c r="I586"/>
    </row>
    <row r="587" spans="1:9" ht="15" x14ac:dyDescent="0.2">
      <c r="A587"/>
      <c r="B587"/>
      <c r="C587"/>
      <c r="D587"/>
      <c r="E587"/>
      <c r="F587"/>
      <c r="G587"/>
      <c r="H587"/>
      <c r="I587"/>
    </row>
    <row r="588" spans="1:9" ht="15" x14ac:dyDescent="0.2">
      <c r="A588"/>
      <c r="B588"/>
      <c r="C588"/>
      <c r="D588"/>
      <c r="E588"/>
      <c r="F588"/>
      <c r="G588"/>
      <c r="H588"/>
      <c r="I588"/>
    </row>
    <row r="589" spans="1:9" ht="15" x14ac:dyDescent="0.2">
      <c r="A589"/>
      <c r="B589"/>
      <c r="C589"/>
      <c r="D589"/>
      <c r="E589"/>
      <c r="F589"/>
      <c r="G589"/>
      <c r="H589"/>
      <c r="I589"/>
    </row>
    <row r="590" spans="1:9" ht="15" x14ac:dyDescent="0.2">
      <c r="A590"/>
      <c r="B590"/>
      <c r="C590"/>
      <c r="D590"/>
      <c r="E590"/>
      <c r="F590"/>
      <c r="G590"/>
      <c r="H590"/>
      <c r="I590"/>
    </row>
    <row r="591" spans="1:9" ht="15" x14ac:dyDescent="0.2">
      <c r="A591"/>
      <c r="B591"/>
      <c r="C591"/>
      <c r="D591"/>
      <c r="E591"/>
      <c r="F591"/>
      <c r="G591"/>
      <c r="H591"/>
      <c r="I591"/>
    </row>
    <row r="592" spans="1:9" ht="15" x14ac:dyDescent="0.2">
      <c r="A592"/>
      <c r="B592"/>
      <c r="C592"/>
      <c r="D592"/>
      <c r="E592"/>
      <c r="F592"/>
      <c r="G592"/>
      <c r="H592"/>
      <c r="I592"/>
    </row>
    <row r="593" spans="1:9" ht="15" x14ac:dyDescent="0.2">
      <c r="A593"/>
      <c r="B593"/>
      <c r="C593"/>
      <c r="D593"/>
      <c r="E593"/>
      <c r="F593"/>
      <c r="G593"/>
      <c r="H593"/>
      <c r="I593"/>
    </row>
    <row r="594" spans="1:9" ht="15" x14ac:dyDescent="0.2">
      <c r="A594"/>
      <c r="B594"/>
      <c r="C594"/>
      <c r="D594"/>
      <c r="E594"/>
      <c r="F594"/>
      <c r="G594"/>
      <c r="H594"/>
      <c r="I594"/>
    </row>
    <row r="595" spans="1:9" ht="15" x14ac:dyDescent="0.2">
      <c r="A595"/>
      <c r="B595"/>
      <c r="C595"/>
      <c r="D595"/>
      <c r="E595"/>
      <c r="F595"/>
      <c r="G595"/>
      <c r="H595"/>
      <c r="I595"/>
    </row>
    <row r="596" spans="1:9" ht="15" x14ac:dyDescent="0.2">
      <c r="A596"/>
      <c r="B596"/>
      <c r="C596"/>
      <c r="D596"/>
      <c r="E596"/>
      <c r="F596"/>
      <c r="G596"/>
      <c r="H596"/>
      <c r="I596"/>
    </row>
    <row r="597" spans="1:9" ht="15" x14ac:dyDescent="0.2">
      <c r="A597"/>
      <c r="B597"/>
      <c r="C597"/>
      <c r="D597"/>
      <c r="E597"/>
      <c r="F597"/>
      <c r="G597"/>
      <c r="H597"/>
      <c r="I597"/>
    </row>
    <row r="598" spans="1:9" ht="15" x14ac:dyDescent="0.2">
      <c r="A598"/>
      <c r="B598"/>
      <c r="C598"/>
      <c r="D598"/>
      <c r="E598"/>
      <c r="F598"/>
      <c r="G598"/>
      <c r="H598"/>
      <c r="I598"/>
    </row>
    <row r="599" spans="1:9" ht="15" x14ac:dyDescent="0.2">
      <c r="A599"/>
      <c r="B599"/>
      <c r="C599"/>
      <c r="D599"/>
      <c r="E599"/>
      <c r="F599"/>
      <c r="G599"/>
      <c r="H599"/>
      <c r="I599"/>
    </row>
    <row r="600" spans="1:9" ht="15" x14ac:dyDescent="0.2">
      <c r="A600"/>
      <c r="B600"/>
      <c r="C600"/>
      <c r="D600"/>
      <c r="E600"/>
      <c r="F600"/>
      <c r="G600"/>
      <c r="H600"/>
      <c r="I600"/>
    </row>
    <row r="601" spans="1:9" ht="15" x14ac:dyDescent="0.2">
      <c r="A601"/>
      <c r="B601"/>
      <c r="C601"/>
      <c r="D601"/>
      <c r="E601"/>
      <c r="F601"/>
      <c r="G601"/>
      <c r="H601"/>
      <c r="I601"/>
    </row>
    <row r="602" spans="1:9" ht="15" x14ac:dyDescent="0.2">
      <c r="A602"/>
      <c r="B602"/>
      <c r="C602"/>
      <c r="D602"/>
      <c r="E602"/>
      <c r="F602"/>
      <c r="G602"/>
      <c r="H602"/>
      <c r="I602"/>
    </row>
    <row r="603" spans="1:9" ht="15" x14ac:dyDescent="0.2">
      <c r="A603"/>
      <c r="B603"/>
      <c r="C603"/>
      <c r="D603"/>
      <c r="E603"/>
      <c r="F603"/>
      <c r="G603"/>
      <c r="H603"/>
      <c r="I603"/>
    </row>
    <row r="604" spans="1:9" ht="15" x14ac:dyDescent="0.2">
      <c r="A604"/>
      <c r="B604"/>
      <c r="C604"/>
      <c r="D604"/>
      <c r="E604"/>
      <c r="F604"/>
      <c r="G604"/>
      <c r="H604"/>
      <c r="I604"/>
    </row>
    <row r="605" spans="1:9" ht="15" x14ac:dyDescent="0.2">
      <c r="A605"/>
      <c r="B605"/>
      <c r="C605"/>
      <c r="D605"/>
      <c r="E605"/>
      <c r="F605"/>
      <c r="G605"/>
      <c r="H605"/>
      <c r="I605"/>
    </row>
    <row r="606" spans="1:9" ht="15" x14ac:dyDescent="0.2">
      <c r="A606"/>
      <c r="B606"/>
      <c r="C606"/>
      <c r="D606"/>
      <c r="E606"/>
      <c r="F606"/>
      <c r="G606"/>
      <c r="H606"/>
      <c r="I606"/>
    </row>
    <row r="607" spans="1:9" ht="15" x14ac:dyDescent="0.2">
      <c r="A607"/>
      <c r="B607"/>
      <c r="C607"/>
      <c r="D607"/>
      <c r="E607"/>
      <c r="F607"/>
      <c r="G607"/>
      <c r="H607"/>
      <c r="I607"/>
    </row>
    <row r="608" spans="1:9" ht="15" x14ac:dyDescent="0.2">
      <c r="A608"/>
      <c r="B608"/>
      <c r="C608"/>
      <c r="D608"/>
      <c r="E608"/>
      <c r="F608"/>
      <c r="G608"/>
      <c r="H608"/>
      <c r="I608"/>
    </row>
    <row r="609" spans="1:9" ht="15" x14ac:dyDescent="0.2">
      <c r="A609"/>
      <c r="B609"/>
      <c r="C609"/>
      <c r="D609"/>
      <c r="E609"/>
      <c r="F609"/>
      <c r="G609"/>
      <c r="H609"/>
      <c r="I609"/>
    </row>
    <row r="610" spans="1:9" ht="15" x14ac:dyDescent="0.2">
      <c r="A610"/>
      <c r="B610"/>
      <c r="C610"/>
      <c r="D610"/>
      <c r="E610"/>
      <c r="F610"/>
      <c r="G610"/>
      <c r="H610"/>
      <c r="I61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F6E47-1AD1-4303-AC50-52195A269A30}">
  <sheetPr>
    <tabColor theme="5"/>
  </sheetPr>
  <dimension ref="A1:O610"/>
  <sheetViews>
    <sheetView showGridLines="0" zoomScale="80" zoomScaleNormal="80" workbookViewId="0">
      <selection activeCell="A26" sqref="A26:XFD26"/>
    </sheetView>
  </sheetViews>
  <sheetFormatPr baseColWidth="10" defaultColWidth="11.5" defaultRowHeight="13" x14ac:dyDescent="0.15"/>
  <cols>
    <col min="1" max="1" width="19.6640625" style="62" bestFit="1" customWidth="1"/>
    <col min="2" max="2" width="44.5" style="62" bestFit="1" customWidth="1"/>
    <col min="3" max="6" width="17.5" style="62" customWidth="1"/>
    <col min="7" max="9" width="16.33203125" style="62" customWidth="1"/>
    <col min="10" max="10" width="10.5" style="62" customWidth="1"/>
    <col min="11" max="12" width="20.6640625" style="62" bestFit="1" customWidth="1"/>
    <col min="13" max="13" width="7.6640625" style="62" bestFit="1" customWidth="1"/>
    <col min="14" max="14" width="8.33203125" style="62" bestFit="1" customWidth="1"/>
    <col min="15" max="15" width="6.5" style="62" bestFit="1" customWidth="1"/>
    <col min="16" max="142" width="22.5" style="62" bestFit="1" customWidth="1"/>
    <col min="143" max="143" width="12.5" style="62" bestFit="1" customWidth="1"/>
    <col min="144" max="16384" width="11.5" style="62"/>
  </cols>
  <sheetData>
    <row r="1" spans="1:15" ht="15" x14ac:dyDescent="0.2">
      <c r="A1"/>
      <c r="B1"/>
      <c r="C1"/>
      <c r="D1"/>
      <c r="E1"/>
      <c r="F1"/>
      <c r="G1"/>
      <c r="H1"/>
      <c r="I1"/>
      <c r="J1"/>
      <c r="K1"/>
      <c r="L1"/>
      <c r="M1"/>
      <c r="N1"/>
      <c r="O1"/>
    </row>
    <row r="2" spans="1:15" ht="15" x14ac:dyDescent="0.2">
      <c r="A2" s="164" t="s">
        <v>224</v>
      </c>
      <c r="B2" s="165" t="s">
        <v>692</v>
      </c>
      <c r="C2"/>
      <c r="D2"/>
      <c r="E2"/>
      <c r="F2"/>
      <c r="G2"/>
      <c r="H2"/>
      <c r="I2"/>
      <c r="J2"/>
      <c r="K2"/>
      <c r="L2"/>
      <c r="M2"/>
      <c r="N2"/>
      <c r="O2"/>
    </row>
    <row r="3" spans="1:15" ht="15" x14ac:dyDescent="0.2">
      <c r="A3" s="164" t="s">
        <v>66</v>
      </c>
      <c r="B3" s="165" t="s">
        <v>791</v>
      </c>
      <c r="C3"/>
      <c r="D3"/>
      <c r="E3"/>
      <c r="F3"/>
      <c r="G3"/>
      <c r="H3"/>
      <c r="I3"/>
      <c r="J3"/>
      <c r="K3"/>
      <c r="L3"/>
      <c r="M3"/>
      <c r="N3"/>
      <c r="O3"/>
    </row>
    <row r="4" spans="1:15" ht="15" x14ac:dyDescent="0.2">
      <c r="A4"/>
      <c r="B4"/>
      <c r="C4"/>
      <c r="D4"/>
      <c r="E4"/>
      <c r="F4"/>
      <c r="G4"/>
      <c r="H4"/>
      <c r="I4"/>
      <c r="J4"/>
      <c r="K4"/>
      <c r="L4"/>
      <c r="O4"/>
    </row>
    <row r="5" spans="1:15" ht="15" x14ac:dyDescent="0.2">
      <c r="A5" s="164" t="s">
        <v>225</v>
      </c>
      <c r="B5" s="165"/>
      <c r="C5" s="165"/>
      <c r="D5" s="164" t="s">
        <v>792</v>
      </c>
      <c r="E5" s="165"/>
      <c r="F5" s="165"/>
      <c r="G5" s="165"/>
      <c r="H5" s="165"/>
      <c r="I5"/>
      <c r="J5"/>
      <c r="K5"/>
      <c r="L5"/>
      <c r="O5"/>
    </row>
    <row r="6" spans="1:15" ht="15" x14ac:dyDescent="0.2">
      <c r="A6" s="164" t="s">
        <v>51</v>
      </c>
      <c r="B6" s="164" t="s">
        <v>232</v>
      </c>
      <c r="C6" s="164" t="s">
        <v>60</v>
      </c>
      <c r="D6" s="165" t="s">
        <v>773</v>
      </c>
      <c r="E6" s="165" t="s">
        <v>785</v>
      </c>
      <c r="F6" s="165" t="s">
        <v>833</v>
      </c>
      <c r="G6" s="165" t="s">
        <v>866</v>
      </c>
      <c r="H6" s="165" t="s">
        <v>177</v>
      </c>
      <c r="J6"/>
      <c r="K6"/>
      <c r="L6"/>
    </row>
    <row r="7" spans="1:15" ht="15" x14ac:dyDescent="0.2">
      <c r="A7" s="165" t="s">
        <v>235</v>
      </c>
      <c r="B7" s="165" t="s">
        <v>675</v>
      </c>
      <c r="C7" s="165">
        <v>16</v>
      </c>
      <c r="D7" s="166"/>
      <c r="E7" s="166"/>
      <c r="F7" s="166">
        <v>12558</v>
      </c>
      <c r="G7" s="166"/>
      <c r="H7" s="166">
        <v>12558</v>
      </c>
      <c r="I7" s="70"/>
      <c r="J7"/>
      <c r="K7"/>
      <c r="L7"/>
      <c r="O7"/>
    </row>
    <row r="8" spans="1:15" ht="15" x14ac:dyDescent="0.2">
      <c r="A8" s="165"/>
      <c r="B8" s="165" t="s">
        <v>767</v>
      </c>
      <c r="C8" s="165">
        <v>10</v>
      </c>
      <c r="D8" s="166">
        <v>14895</v>
      </c>
      <c r="E8" s="166"/>
      <c r="F8" s="166"/>
      <c r="G8" s="166"/>
      <c r="H8" s="166">
        <v>14895</v>
      </c>
      <c r="I8" s="70"/>
      <c r="J8"/>
      <c r="K8"/>
      <c r="L8"/>
      <c r="O8"/>
    </row>
    <row r="9" spans="1:15" ht="15" x14ac:dyDescent="0.2">
      <c r="A9" s="165"/>
      <c r="B9" s="165"/>
      <c r="C9" s="165">
        <v>13</v>
      </c>
      <c r="D9" s="166"/>
      <c r="E9" s="166">
        <v>24000</v>
      </c>
      <c r="F9" s="166"/>
      <c r="G9" s="166"/>
      <c r="H9" s="166">
        <v>24000</v>
      </c>
      <c r="I9" s="70"/>
      <c r="J9"/>
      <c r="K9"/>
      <c r="L9"/>
      <c r="O9"/>
    </row>
    <row r="10" spans="1:15" ht="15" x14ac:dyDescent="0.2">
      <c r="A10" s="165"/>
      <c r="B10" s="165"/>
      <c r="C10" s="165">
        <v>18</v>
      </c>
      <c r="D10" s="166"/>
      <c r="E10" s="166"/>
      <c r="F10" s="166">
        <v>21477</v>
      </c>
      <c r="G10" s="166"/>
      <c r="H10" s="166">
        <v>21477</v>
      </c>
      <c r="I10" s="70"/>
      <c r="J10"/>
      <c r="K10"/>
      <c r="L10"/>
      <c r="M10"/>
      <c r="N10"/>
      <c r="O10"/>
    </row>
    <row r="11" spans="1:15" ht="15" x14ac:dyDescent="0.2">
      <c r="A11" s="165"/>
      <c r="B11" s="165" t="s">
        <v>796</v>
      </c>
      <c r="C11" s="165" t="s">
        <v>797</v>
      </c>
      <c r="D11" s="166"/>
      <c r="E11" s="166">
        <v>23282</v>
      </c>
      <c r="F11" s="166"/>
      <c r="G11" s="166"/>
      <c r="H11" s="166">
        <v>23282</v>
      </c>
      <c r="I11" s="70"/>
      <c r="J11"/>
      <c r="K11"/>
      <c r="L11"/>
      <c r="M11" s="68"/>
      <c r="N11" s="68"/>
      <c r="O11"/>
    </row>
    <row r="12" spans="1:15" ht="15" x14ac:dyDescent="0.2">
      <c r="A12" s="165"/>
      <c r="B12" s="165"/>
      <c r="C12" s="165">
        <v>17</v>
      </c>
      <c r="D12" s="166"/>
      <c r="E12" s="166"/>
      <c r="F12" s="166">
        <v>16411</v>
      </c>
      <c r="G12" s="166"/>
      <c r="H12" s="166">
        <v>16411</v>
      </c>
      <c r="I12" s="70"/>
      <c r="J12"/>
      <c r="K12"/>
      <c r="L12"/>
      <c r="M12" s="72"/>
      <c r="N12" s="63"/>
      <c r="O12"/>
    </row>
    <row r="13" spans="1:15" ht="15" x14ac:dyDescent="0.2">
      <c r="A13" s="165" t="s">
        <v>793</v>
      </c>
      <c r="B13" s="165"/>
      <c r="C13" s="165"/>
      <c r="D13" s="166">
        <v>14895</v>
      </c>
      <c r="E13" s="166">
        <v>47282</v>
      </c>
      <c r="F13" s="166">
        <v>50446</v>
      </c>
      <c r="G13" s="166"/>
      <c r="H13" s="166">
        <v>112623</v>
      </c>
      <c r="I13" s="70"/>
      <c r="J13"/>
      <c r="K13"/>
      <c r="L13"/>
      <c r="M13" s="72"/>
      <c r="N13" s="65"/>
      <c r="O13"/>
    </row>
    <row r="14" spans="1:15" ht="15" x14ac:dyDescent="0.2">
      <c r="A14" s="165" t="s">
        <v>251</v>
      </c>
      <c r="B14" s="165" t="s">
        <v>723</v>
      </c>
      <c r="C14" s="165" t="s">
        <v>164</v>
      </c>
      <c r="D14" s="166">
        <v>30588</v>
      </c>
      <c r="E14" s="166">
        <v>41900</v>
      </c>
      <c r="F14" s="166"/>
      <c r="G14" s="166"/>
      <c r="H14" s="166">
        <v>72488</v>
      </c>
      <c r="I14" s="70"/>
      <c r="J14"/>
      <c r="K14"/>
      <c r="L14"/>
      <c r="M14" s="72"/>
      <c r="N14" s="65"/>
      <c r="O14"/>
    </row>
    <row r="15" spans="1:15" ht="15" x14ac:dyDescent="0.2">
      <c r="A15" s="165"/>
      <c r="B15" s="165" t="s">
        <v>768</v>
      </c>
      <c r="C15" s="165">
        <v>100</v>
      </c>
      <c r="D15" s="166"/>
      <c r="E15" s="166"/>
      <c r="F15" s="166"/>
      <c r="G15" s="166">
        <v>76190</v>
      </c>
      <c r="H15" s="166">
        <v>76190</v>
      </c>
      <c r="I15" s="70"/>
      <c r="J15"/>
      <c r="K15"/>
      <c r="L15"/>
      <c r="O15"/>
    </row>
    <row r="16" spans="1:15" ht="15" x14ac:dyDescent="0.2">
      <c r="A16" s="165" t="s">
        <v>775</v>
      </c>
      <c r="B16" s="165"/>
      <c r="C16" s="165"/>
      <c r="D16" s="166">
        <v>30588</v>
      </c>
      <c r="E16" s="166">
        <v>41900</v>
      </c>
      <c r="F16" s="166"/>
      <c r="G16" s="166">
        <v>76190</v>
      </c>
      <c r="H16" s="166">
        <v>148678</v>
      </c>
      <c r="I16" s="70"/>
      <c r="J16"/>
      <c r="K16"/>
      <c r="L16"/>
      <c r="M16" s="68"/>
      <c r="N16" s="69"/>
      <c r="O16"/>
    </row>
    <row r="17" spans="1:15" ht="15" x14ac:dyDescent="0.2">
      <c r="A17" s="165" t="s">
        <v>318</v>
      </c>
      <c r="B17" s="165" t="s">
        <v>674</v>
      </c>
      <c r="C17" s="165" t="s">
        <v>841</v>
      </c>
      <c r="D17" s="166"/>
      <c r="E17" s="166"/>
      <c r="F17" s="166">
        <v>32927</v>
      </c>
      <c r="G17" s="166"/>
      <c r="H17" s="166">
        <v>32927</v>
      </c>
      <c r="I17" s="70"/>
      <c r="J17"/>
      <c r="K17"/>
      <c r="L17"/>
      <c r="M17"/>
      <c r="N17"/>
      <c r="O17"/>
    </row>
    <row r="18" spans="1:15" ht="15" x14ac:dyDescent="0.2">
      <c r="A18" s="165"/>
      <c r="B18" s="165" t="s">
        <v>703</v>
      </c>
      <c r="C18" s="165" t="s">
        <v>831</v>
      </c>
      <c r="D18" s="166"/>
      <c r="E18" s="166"/>
      <c r="F18" s="166">
        <v>41725</v>
      </c>
      <c r="G18" s="166"/>
      <c r="H18" s="166">
        <v>41725</v>
      </c>
      <c r="I18" s="70"/>
      <c r="J18"/>
      <c r="K18"/>
      <c r="L18"/>
      <c r="M18"/>
      <c r="N18"/>
      <c r="O18"/>
    </row>
    <row r="19" spans="1:15" ht="15" x14ac:dyDescent="0.2">
      <c r="A19" s="165"/>
      <c r="B19" s="165" t="s">
        <v>722</v>
      </c>
      <c r="C19" s="165" t="s">
        <v>789</v>
      </c>
      <c r="D19" s="166"/>
      <c r="E19" s="166">
        <v>60047</v>
      </c>
      <c r="F19" s="166"/>
      <c r="G19" s="166"/>
      <c r="H19" s="166">
        <v>60047</v>
      </c>
      <c r="I19" s="70"/>
      <c r="J19"/>
      <c r="K19"/>
      <c r="L19"/>
      <c r="M19"/>
      <c r="N19"/>
      <c r="O19"/>
    </row>
    <row r="20" spans="1:15" ht="15" x14ac:dyDescent="0.2">
      <c r="A20" s="165"/>
      <c r="B20" s="165"/>
      <c r="C20" s="165" t="s">
        <v>832</v>
      </c>
      <c r="D20" s="166"/>
      <c r="E20" s="166"/>
      <c r="F20" s="166">
        <v>57399</v>
      </c>
      <c r="G20" s="166"/>
      <c r="H20" s="166">
        <v>57399</v>
      </c>
      <c r="I20"/>
      <c r="J20"/>
      <c r="K20"/>
      <c r="L20"/>
      <c r="M20"/>
      <c r="N20"/>
      <c r="O20"/>
    </row>
    <row r="21" spans="1:15" ht="15" x14ac:dyDescent="0.2">
      <c r="A21" s="165"/>
      <c r="B21" s="165" t="s">
        <v>804</v>
      </c>
      <c r="C21" s="165" t="s">
        <v>846</v>
      </c>
      <c r="D21" s="166"/>
      <c r="E21" s="166"/>
      <c r="F21" s="166">
        <v>18420</v>
      </c>
      <c r="G21" s="166"/>
      <c r="H21" s="166">
        <v>18420</v>
      </c>
      <c r="I21" s="70"/>
      <c r="J21"/>
      <c r="K21"/>
      <c r="L21"/>
      <c r="M21"/>
      <c r="N21"/>
      <c r="O21"/>
    </row>
    <row r="22" spans="1:15" ht="15" x14ac:dyDescent="0.2">
      <c r="A22" s="165" t="s">
        <v>776</v>
      </c>
      <c r="B22" s="165"/>
      <c r="C22" s="165"/>
      <c r="D22" s="166"/>
      <c r="E22" s="166">
        <v>60047</v>
      </c>
      <c r="F22" s="166">
        <v>150471</v>
      </c>
      <c r="G22" s="166"/>
      <c r="H22" s="166">
        <v>210518</v>
      </c>
      <c r="I22" s="70"/>
      <c r="J22"/>
      <c r="K22"/>
      <c r="L22"/>
      <c r="M22"/>
      <c r="N22"/>
      <c r="O22"/>
    </row>
    <row r="23" spans="1:15" ht="15" x14ac:dyDescent="0.2">
      <c r="A23" s="165" t="s">
        <v>465</v>
      </c>
      <c r="B23" s="165" t="s">
        <v>728</v>
      </c>
      <c r="C23" s="165" t="s">
        <v>164</v>
      </c>
      <c r="D23" s="166">
        <v>138023</v>
      </c>
      <c r="E23" s="166">
        <v>15725</v>
      </c>
      <c r="F23" s="166"/>
      <c r="G23" s="166"/>
      <c r="H23" s="166">
        <v>153748</v>
      </c>
      <c r="I23"/>
      <c r="J23"/>
      <c r="K23"/>
      <c r="L23"/>
      <c r="M23"/>
      <c r="N23"/>
      <c r="O23"/>
    </row>
    <row r="24" spans="1:15" ht="15" x14ac:dyDescent="0.2">
      <c r="A24" s="165"/>
      <c r="B24" s="165" t="s">
        <v>729</v>
      </c>
      <c r="C24" s="165" t="s">
        <v>164</v>
      </c>
      <c r="D24" s="166">
        <v>113391</v>
      </c>
      <c r="E24" s="166">
        <v>65295</v>
      </c>
      <c r="F24" s="166"/>
      <c r="G24" s="166"/>
      <c r="H24" s="166">
        <v>178686</v>
      </c>
      <c r="I24"/>
      <c r="J24"/>
      <c r="K24"/>
      <c r="L24"/>
      <c r="M24"/>
      <c r="N24"/>
      <c r="O24"/>
    </row>
    <row r="25" spans="1:15" ht="15" x14ac:dyDescent="0.2">
      <c r="A25" s="165"/>
      <c r="B25" s="165" t="s">
        <v>726</v>
      </c>
      <c r="C25" s="165" t="s">
        <v>164</v>
      </c>
      <c r="D25" s="166">
        <v>400000</v>
      </c>
      <c r="E25" s="166"/>
      <c r="F25" s="166"/>
      <c r="G25" s="166"/>
      <c r="H25" s="166">
        <v>400000</v>
      </c>
      <c r="I25"/>
      <c r="J25"/>
      <c r="K25"/>
      <c r="L25"/>
      <c r="M25"/>
      <c r="N25"/>
      <c r="O25"/>
    </row>
    <row r="26" spans="1:15" ht="15" x14ac:dyDescent="0.2">
      <c r="A26" s="165" t="s">
        <v>794</v>
      </c>
      <c r="B26" s="165"/>
      <c r="C26" s="165"/>
      <c r="D26" s="166">
        <v>651414</v>
      </c>
      <c r="E26" s="166">
        <v>81020</v>
      </c>
      <c r="F26" s="166"/>
      <c r="G26" s="166"/>
      <c r="H26" s="166">
        <v>732434</v>
      </c>
      <c r="I26"/>
      <c r="J26"/>
      <c r="K26"/>
      <c r="L26"/>
      <c r="M26"/>
      <c r="N26"/>
      <c r="O26"/>
    </row>
    <row r="27" spans="1:15" ht="15" x14ac:dyDescent="0.2">
      <c r="A27" s="165" t="s">
        <v>469</v>
      </c>
      <c r="B27" s="165" t="s">
        <v>724</v>
      </c>
      <c r="C27" s="165" t="s">
        <v>164</v>
      </c>
      <c r="D27" s="166"/>
      <c r="E27" s="166"/>
      <c r="F27" s="166">
        <v>239843.5</v>
      </c>
      <c r="G27" s="166"/>
      <c r="H27" s="166">
        <v>239843.5</v>
      </c>
      <c r="I27"/>
      <c r="J27"/>
      <c r="K27"/>
      <c r="L27"/>
      <c r="M27"/>
      <c r="N27"/>
      <c r="O27"/>
    </row>
    <row r="28" spans="1:15" ht="15" x14ac:dyDescent="0.2">
      <c r="A28" s="165"/>
      <c r="B28" s="165" t="s">
        <v>770</v>
      </c>
      <c r="C28" s="165" t="s">
        <v>164</v>
      </c>
      <c r="D28" s="166"/>
      <c r="E28" s="166"/>
      <c r="F28" s="166">
        <v>5180</v>
      </c>
      <c r="G28" s="166"/>
      <c r="H28" s="166">
        <v>5180</v>
      </c>
      <c r="I28"/>
      <c r="J28"/>
      <c r="K28"/>
      <c r="L28"/>
      <c r="M28"/>
      <c r="N28"/>
      <c r="O28"/>
    </row>
    <row r="29" spans="1:15" ht="15" x14ac:dyDescent="0.2">
      <c r="A29" s="165"/>
      <c r="B29" s="165" t="s">
        <v>771</v>
      </c>
      <c r="C29" s="165" t="s">
        <v>164</v>
      </c>
      <c r="D29" s="166"/>
      <c r="E29" s="166"/>
      <c r="F29" s="166">
        <v>30030</v>
      </c>
      <c r="G29" s="166"/>
      <c r="H29" s="166">
        <v>30030</v>
      </c>
      <c r="I29"/>
      <c r="J29"/>
      <c r="K29"/>
      <c r="L29"/>
      <c r="M29"/>
      <c r="N29"/>
      <c r="O29"/>
    </row>
    <row r="30" spans="1:15" ht="15" x14ac:dyDescent="0.2">
      <c r="A30" s="165"/>
      <c r="B30" s="165" t="s">
        <v>838</v>
      </c>
      <c r="C30" s="165" t="s">
        <v>164</v>
      </c>
      <c r="D30" s="166"/>
      <c r="E30" s="166"/>
      <c r="F30" s="166">
        <v>37804</v>
      </c>
      <c r="G30" s="166"/>
      <c r="H30" s="166">
        <v>37804</v>
      </c>
      <c r="I30"/>
      <c r="J30"/>
      <c r="K30"/>
      <c r="L30"/>
      <c r="M30"/>
      <c r="N30"/>
      <c r="O30"/>
    </row>
    <row r="31" spans="1:15" ht="15" x14ac:dyDescent="0.2">
      <c r="A31" s="165" t="s">
        <v>784</v>
      </c>
      <c r="B31" s="165"/>
      <c r="C31" s="165"/>
      <c r="D31" s="166"/>
      <c r="E31" s="166"/>
      <c r="F31" s="166">
        <v>312857.5</v>
      </c>
      <c r="G31" s="166"/>
      <c r="H31" s="166">
        <v>312857.5</v>
      </c>
      <c r="I31"/>
      <c r="J31"/>
      <c r="K31"/>
      <c r="L31"/>
      <c r="M31"/>
      <c r="N31"/>
      <c r="O31"/>
    </row>
    <row r="32" spans="1:15" ht="15" x14ac:dyDescent="0.2">
      <c r="A32" s="165" t="s">
        <v>177</v>
      </c>
      <c r="B32" s="165"/>
      <c r="C32" s="165"/>
      <c r="D32" s="166">
        <v>696897</v>
      </c>
      <c r="E32" s="166">
        <v>230249</v>
      </c>
      <c r="F32" s="166">
        <v>513774.5</v>
      </c>
      <c r="G32" s="166">
        <v>76190</v>
      </c>
      <c r="H32" s="166">
        <v>1517110.5</v>
      </c>
      <c r="I32"/>
      <c r="J32"/>
      <c r="K32"/>
      <c r="L32"/>
      <c r="M32"/>
      <c r="N32"/>
      <c r="O32"/>
    </row>
    <row r="33" spans="1:15" ht="15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</row>
    <row r="34" spans="1:15" ht="15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</row>
    <row r="35" spans="1:15" ht="15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</row>
    <row r="36" spans="1:15" ht="15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</row>
    <row r="37" spans="1:15" ht="15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</row>
    <row r="38" spans="1:15" ht="15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</row>
    <row r="39" spans="1:15" ht="15" x14ac:dyDescent="0.2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</row>
    <row r="40" spans="1:15" ht="15" x14ac:dyDescent="0.2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</row>
    <row r="41" spans="1:15" ht="15" x14ac:dyDescent="0.2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</row>
    <row r="42" spans="1:15" ht="15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</row>
    <row r="43" spans="1:15" ht="15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</row>
    <row r="44" spans="1:15" ht="15" x14ac:dyDescent="0.2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</row>
    <row r="45" spans="1:15" ht="15" x14ac:dyDescent="0.2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</row>
    <row r="46" spans="1:15" ht="15" x14ac:dyDescent="0.2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</row>
    <row r="47" spans="1:15" ht="15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</row>
    <row r="48" spans="1:15" ht="15" x14ac:dyDescent="0.2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</row>
    <row r="49" spans="1:15" ht="15" x14ac:dyDescent="0.2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</row>
    <row r="50" spans="1:15" ht="15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</row>
    <row r="51" spans="1:15" ht="15" x14ac:dyDescent="0.2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</row>
    <row r="52" spans="1:15" ht="15" x14ac:dyDescent="0.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</row>
    <row r="53" spans="1:15" ht="15" x14ac:dyDescent="0.2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</row>
    <row r="54" spans="1:15" ht="15" x14ac:dyDescent="0.2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</row>
    <row r="55" spans="1:15" ht="15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</row>
    <row r="56" spans="1:15" ht="15" x14ac:dyDescent="0.2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</row>
    <row r="57" spans="1:15" ht="15" x14ac:dyDescent="0.2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</row>
    <row r="58" spans="1:15" ht="15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</row>
    <row r="59" spans="1:15" ht="15" x14ac:dyDescent="0.2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</row>
    <row r="60" spans="1:15" ht="15" x14ac:dyDescent="0.2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</row>
    <row r="61" spans="1:15" ht="15" x14ac:dyDescent="0.2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</row>
    <row r="62" spans="1:15" ht="15" x14ac:dyDescent="0.2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</row>
    <row r="63" spans="1:15" ht="15" x14ac:dyDescent="0.2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</row>
    <row r="64" spans="1:15" ht="15" x14ac:dyDescent="0.2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</row>
    <row r="65" spans="1:15" ht="15" x14ac:dyDescent="0.2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</row>
    <row r="66" spans="1:15" ht="15" x14ac:dyDescent="0.2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</row>
    <row r="67" spans="1:15" ht="15" x14ac:dyDescent="0.2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</row>
    <row r="68" spans="1:15" ht="15" x14ac:dyDescent="0.2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</row>
    <row r="69" spans="1:15" ht="15" x14ac:dyDescent="0.2">
      <c r="A69"/>
      <c r="B69"/>
      <c r="C69"/>
      <c r="D69"/>
      <c r="E69"/>
      <c r="F69"/>
      <c r="G69"/>
      <c r="H69"/>
      <c r="I69"/>
      <c r="J69"/>
      <c r="K69"/>
      <c r="L69"/>
      <c r="M69"/>
      <c r="N69"/>
    </row>
    <row r="70" spans="1:15" ht="15" x14ac:dyDescent="0.2">
      <c r="A70"/>
      <c r="B70"/>
      <c r="C70"/>
      <c r="D70"/>
      <c r="E70"/>
      <c r="F70"/>
      <c r="G70"/>
      <c r="H70"/>
      <c r="I70"/>
      <c r="J70"/>
      <c r="K70"/>
      <c r="L70"/>
      <c r="M70"/>
      <c r="N70"/>
    </row>
    <row r="71" spans="1:15" ht="15" x14ac:dyDescent="0.2">
      <c r="A71"/>
      <c r="B71"/>
      <c r="C71"/>
      <c r="D71"/>
      <c r="E71"/>
      <c r="F71"/>
      <c r="G71"/>
      <c r="H71"/>
      <c r="I71"/>
      <c r="J71"/>
      <c r="K71"/>
    </row>
    <row r="72" spans="1:15" ht="15" x14ac:dyDescent="0.2">
      <c r="A72"/>
      <c r="B72"/>
      <c r="C72"/>
      <c r="D72"/>
      <c r="E72"/>
      <c r="F72"/>
      <c r="G72"/>
      <c r="H72"/>
      <c r="I72"/>
      <c r="J72"/>
      <c r="K72"/>
    </row>
    <row r="73" spans="1:15" ht="15" x14ac:dyDescent="0.2">
      <c r="A73"/>
      <c r="B73"/>
      <c r="C73"/>
      <c r="D73"/>
      <c r="E73"/>
      <c r="F73"/>
      <c r="G73"/>
      <c r="H73"/>
      <c r="I73"/>
      <c r="J73"/>
      <c r="K73"/>
    </row>
    <row r="74" spans="1:15" ht="15" x14ac:dyDescent="0.2">
      <c r="A74"/>
      <c r="B74"/>
      <c r="C74"/>
      <c r="D74"/>
      <c r="E74"/>
      <c r="F74"/>
      <c r="G74"/>
      <c r="H74"/>
      <c r="I74"/>
      <c r="J74"/>
      <c r="K74"/>
    </row>
    <row r="75" spans="1:15" ht="15" x14ac:dyDescent="0.2">
      <c r="A75"/>
      <c r="B75"/>
      <c r="C75"/>
      <c r="D75"/>
      <c r="E75"/>
      <c r="F75"/>
      <c r="G75"/>
      <c r="H75"/>
      <c r="I75"/>
      <c r="J75"/>
      <c r="K75"/>
    </row>
    <row r="76" spans="1:15" ht="15" x14ac:dyDescent="0.2">
      <c r="A76"/>
      <c r="B76"/>
      <c r="C76"/>
      <c r="D76"/>
      <c r="E76"/>
      <c r="F76"/>
      <c r="G76"/>
      <c r="H76"/>
      <c r="I76"/>
      <c r="J76"/>
      <c r="K76"/>
    </row>
    <row r="77" spans="1:15" ht="15" x14ac:dyDescent="0.2">
      <c r="A77"/>
      <c r="B77"/>
      <c r="C77"/>
      <c r="D77"/>
      <c r="E77"/>
      <c r="F77"/>
      <c r="G77"/>
      <c r="H77"/>
      <c r="I77"/>
      <c r="J77"/>
      <c r="K77"/>
    </row>
    <row r="78" spans="1:15" ht="15" x14ac:dyDescent="0.2">
      <c r="A78"/>
      <c r="B78"/>
      <c r="C78"/>
      <c r="D78"/>
      <c r="E78"/>
      <c r="F78"/>
      <c r="G78"/>
      <c r="H78"/>
      <c r="I78"/>
      <c r="J78"/>
      <c r="K78"/>
    </row>
    <row r="79" spans="1:15" ht="15" x14ac:dyDescent="0.2">
      <c r="A79"/>
      <c r="B79"/>
      <c r="C79"/>
      <c r="D79"/>
      <c r="E79"/>
      <c r="F79"/>
      <c r="G79"/>
      <c r="H79"/>
      <c r="I79"/>
      <c r="J79"/>
      <c r="K79"/>
    </row>
    <row r="80" spans="1:15" ht="15" x14ac:dyDescent="0.2">
      <c r="A80"/>
      <c r="B80"/>
      <c r="C80"/>
      <c r="D80"/>
      <c r="E80"/>
      <c r="F80"/>
      <c r="G80"/>
      <c r="H80"/>
      <c r="I80"/>
      <c r="J80"/>
      <c r="K80"/>
    </row>
    <row r="81" spans="1:11" ht="15" x14ac:dyDescent="0.2">
      <c r="A81"/>
      <c r="B81"/>
      <c r="C81"/>
      <c r="D81"/>
      <c r="E81"/>
      <c r="F81"/>
      <c r="G81"/>
      <c r="H81"/>
      <c r="I81"/>
      <c r="J81"/>
      <c r="K81"/>
    </row>
    <row r="82" spans="1:11" ht="15" x14ac:dyDescent="0.2">
      <c r="A82"/>
      <c r="B82"/>
      <c r="C82"/>
      <c r="D82"/>
      <c r="E82"/>
      <c r="F82"/>
      <c r="G82"/>
      <c r="H82"/>
      <c r="I82"/>
      <c r="J82"/>
      <c r="K82"/>
    </row>
    <row r="83" spans="1:11" ht="15" x14ac:dyDescent="0.2">
      <c r="A83"/>
      <c r="B83"/>
      <c r="C83"/>
      <c r="D83"/>
      <c r="E83"/>
      <c r="F83"/>
      <c r="G83"/>
      <c r="H83"/>
      <c r="I83"/>
      <c r="J83"/>
      <c r="K83"/>
    </row>
    <row r="84" spans="1:11" ht="15" x14ac:dyDescent="0.2">
      <c r="A84"/>
      <c r="B84"/>
      <c r="C84"/>
      <c r="D84"/>
      <c r="E84"/>
      <c r="F84"/>
      <c r="G84"/>
      <c r="H84"/>
      <c r="I84"/>
      <c r="J84"/>
      <c r="K84"/>
    </row>
    <row r="85" spans="1:11" ht="15" x14ac:dyDescent="0.2">
      <c r="A85"/>
      <c r="B85"/>
      <c r="C85"/>
      <c r="D85"/>
      <c r="E85"/>
      <c r="F85"/>
      <c r="G85"/>
      <c r="H85"/>
      <c r="I85"/>
      <c r="J85"/>
      <c r="K85"/>
    </row>
    <row r="86" spans="1:11" ht="15" x14ac:dyDescent="0.2">
      <c r="A86"/>
      <c r="B86"/>
      <c r="C86"/>
      <c r="D86"/>
      <c r="E86"/>
      <c r="F86"/>
      <c r="G86"/>
      <c r="H86"/>
      <c r="I86"/>
      <c r="J86"/>
      <c r="K86"/>
    </row>
    <row r="87" spans="1:11" ht="15" x14ac:dyDescent="0.2">
      <c r="A87"/>
      <c r="B87"/>
      <c r="C87"/>
      <c r="D87"/>
      <c r="E87"/>
      <c r="F87"/>
      <c r="G87"/>
      <c r="H87"/>
      <c r="I87"/>
      <c r="J87"/>
      <c r="K87"/>
    </row>
    <row r="88" spans="1:11" ht="15" x14ac:dyDescent="0.2">
      <c r="A88"/>
      <c r="B88"/>
      <c r="C88"/>
      <c r="D88"/>
      <c r="E88"/>
      <c r="F88"/>
      <c r="G88"/>
      <c r="H88"/>
      <c r="I88"/>
      <c r="J88"/>
      <c r="K88"/>
    </row>
    <row r="89" spans="1:11" ht="15" x14ac:dyDescent="0.2">
      <c r="A89"/>
      <c r="B89"/>
      <c r="C89"/>
      <c r="D89"/>
      <c r="E89"/>
      <c r="F89"/>
      <c r="G89"/>
      <c r="H89"/>
      <c r="I89"/>
      <c r="J89"/>
      <c r="K89"/>
    </row>
    <row r="90" spans="1:11" ht="15" x14ac:dyDescent="0.2">
      <c r="A90"/>
      <c r="B90"/>
      <c r="C90"/>
      <c r="D90"/>
      <c r="E90"/>
      <c r="F90"/>
      <c r="G90"/>
      <c r="H90"/>
      <c r="I90"/>
      <c r="J90"/>
      <c r="K90"/>
    </row>
    <row r="91" spans="1:11" ht="15" x14ac:dyDescent="0.2">
      <c r="A91"/>
      <c r="B91"/>
      <c r="C91"/>
      <c r="D91"/>
      <c r="E91"/>
      <c r="F91"/>
      <c r="G91"/>
      <c r="H91"/>
      <c r="I91"/>
      <c r="J91"/>
      <c r="K91"/>
    </row>
    <row r="92" spans="1:11" ht="15" x14ac:dyDescent="0.2">
      <c r="A92"/>
      <c r="B92"/>
      <c r="C92"/>
      <c r="D92"/>
      <c r="E92"/>
      <c r="F92"/>
      <c r="G92"/>
      <c r="H92"/>
      <c r="I92"/>
      <c r="J92"/>
      <c r="K92"/>
    </row>
    <row r="93" spans="1:11" ht="15" x14ac:dyDescent="0.2">
      <c r="A93"/>
      <c r="B93"/>
      <c r="C93"/>
      <c r="D93"/>
      <c r="E93"/>
      <c r="F93"/>
      <c r="G93"/>
      <c r="H93"/>
      <c r="I93"/>
      <c r="J93"/>
      <c r="K93"/>
    </row>
    <row r="94" spans="1:11" ht="15" x14ac:dyDescent="0.2">
      <c r="A94"/>
      <c r="B94"/>
      <c r="C94"/>
      <c r="D94"/>
      <c r="E94"/>
      <c r="F94"/>
      <c r="G94"/>
      <c r="H94"/>
      <c r="I94"/>
      <c r="J94"/>
      <c r="K94"/>
    </row>
    <row r="95" spans="1:11" ht="15" x14ac:dyDescent="0.2">
      <c r="A95"/>
      <c r="B95"/>
      <c r="C95"/>
      <c r="D95"/>
      <c r="E95"/>
      <c r="F95"/>
      <c r="G95"/>
      <c r="H95"/>
      <c r="I95"/>
      <c r="J95"/>
      <c r="K95"/>
    </row>
    <row r="96" spans="1:11" ht="15" x14ac:dyDescent="0.2">
      <c r="A96"/>
      <c r="B96"/>
      <c r="C96"/>
      <c r="D96"/>
      <c r="E96"/>
      <c r="F96"/>
      <c r="G96"/>
      <c r="H96"/>
      <c r="I96"/>
      <c r="J96"/>
      <c r="K96"/>
    </row>
    <row r="97" spans="1:9" ht="15" x14ac:dyDescent="0.2">
      <c r="A97"/>
      <c r="B97"/>
      <c r="C97"/>
      <c r="D97"/>
      <c r="E97"/>
      <c r="F97"/>
      <c r="G97"/>
      <c r="H97"/>
      <c r="I97"/>
    </row>
    <row r="98" spans="1:9" ht="15" x14ac:dyDescent="0.2">
      <c r="A98"/>
      <c r="B98"/>
      <c r="C98"/>
      <c r="D98"/>
      <c r="E98"/>
      <c r="F98"/>
      <c r="G98"/>
      <c r="H98"/>
      <c r="I98"/>
    </row>
    <row r="99" spans="1:9" ht="15" x14ac:dyDescent="0.2">
      <c r="A99"/>
      <c r="B99"/>
      <c r="C99"/>
      <c r="D99"/>
      <c r="E99"/>
      <c r="F99"/>
      <c r="G99"/>
      <c r="H99"/>
      <c r="I99"/>
    </row>
    <row r="100" spans="1:9" ht="15" x14ac:dyDescent="0.2">
      <c r="A100"/>
      <c r="B100"/>
      <c r="C100"/>
      <c r="D100"/>
      <c r="E100"/>
      <c r="F100"/>
      <c r="G100"/>
      <c r="H100"/>
      <c r="I100"/>
    </row>
    <row r="101" spans="1:9" ht="15" x14ac:dyDescent="0.2">
      <c r="A101"/>
      <c r="B101"/>
      <c r="C101"/>
      <c r="D101"/>
      <c r="E101"/>
      <c r="F101"/>
      <c r="G101"/>
      <c r="H101"/>
      <c r="I101"/>
    </row>
    <row r="102" spans="1:9" ht="15" x14ac:dyDescent="0.2">
      <c r="A102"/>
      <c r="B102"/>
      <c r="C102"/>
      <c r="D102"/>
      <c r="E102"/>
      <c r="F102"/>
      <c r="G102"/>
      <c r="H102"/>
      <c r="I102"/>
    </row>
    <row r="103" spans="1:9" ht="15" x14ac:dyDescent="0.2">
      <c r="A103"/>
      <c r="B103"/>
      <c r="C103"/>
      <c r="D103"/>
      <c r="E103"/>
      <c r="F103"/>
      <c r="G103"/>
      <c r="H103"/>
      <c r="I103"/>
    </row>
    <row r="104" spans="1:9" ht="15" x14ac:dyDescent="0.2">
      <c r="A104"/>
      <c r="B104"/>
      <c r="C104"/>
      <c r="D104"/>
      <c r="E104"/>
      <c r="F104"/>
      <c r="G104"/>
      <c r="H104"/>
      <c r="I104"/>
    </row>
    <row r="105" spans="1:9" ht="15" x14ac:dyDescent="0.2">
      <c r="A105"/>
      <c r="B105"/>
      <c r="C105"/>
      <c r="D105"/>
      <c r="E105"/>
      <c r="F105"/>
      <c r="G105"/>
      <c r="H105"/>
      <c r="I105"/>
    </row>
    <row r="106" spans="1:9" ht="15" x14ac:dyDescent="0.2">
      <c r="A106"/>
      <c r="B106"/>
      <c r="C106"/>
      <c r="D106"/>
      <c r="E106"/>
      <c r="F106"/>
      <c r="G106"/>
      <c r="H106"/>
      <c r="I106"/>
    </row>
    <row r="107" spans="1:9" ht="15" x14ac:dyDescent="0.2">
      <c r="A107"/>
      <c r="B107"/>
      <c r="C107"/>
      <c r="D107"/>
      <c r="E107"/>
      <c r="F107"/>
      <c r="G107"/>
      <c r="H107"/>
      <c r="I107"/>
    </row>
    <row r="108" spans="1:9" ht="15" x14ac:dyDescent="0.2">
      <c r="A108"/>
      <c r="B108"/>
      <c r="C108"/>
      <c r="D108"/>
      <c r="E108"/>
      <c r="F108"/>
      <c r="G108"/>
      <c r="H108"/>
      <c r="I108"/>
    </row>
    <row r="109" spans="1:9" ht="15" x14ac:dyDescent="0.2">
      <c r="A109"/>
      <c r="B109"/>
      <c r="C109"/>
      <c r="D109"/>
      <c r="E109"/>
      <c r="F109"/>
      <c r="G109"/>
      <c r="H109"/>
      <c r="I109"/>
    </row>
    <row r="110" spans="1:9" ht="15" x14ac:dyDescent="0.2">
      <c r="A110"/>
      <c r="B110"/>
      <c r="C110"/>
      <c r="D110"/>
      <c r="E110"/>
      <c r="F110"/>
      <c r="G110"/>
      <c r="H110"/>
      <c r="I110"/>
    </row>
    <row r="111" spans="1:9" ht="15" x14ac:dyDescent="0.2">
      <c r="A111"/>
      <c r="B111"/>
      <c r="C111"/>
      <c r="D111"/>
      <c r="E111"/>
      <c r="F111"/>
      <c r="G111"/>
      <c r="H111"/>
      <c r="I111"/>
    </row>
    <row r="112" spans="1:9" ht="15" x14ac:dyDescent="0.2">
      <c r="A112"/>
      <c r="B112"/>
      <c r="C112"/>
      <c r="D112"/>
      <c r="E112"/>
      <c r="F112"/>
      <c r="G112"/>
      <c r="H112"/>
      <c r="I112"/>
    </row>
    <row r="113" spans="1:9" ht="15" x14ac:dyDescent="0.2">
      <c r="A113"/>
      <c r="B113"/>
      <c r="C113"/>
      <c r="D113"/>
      <c r="E113"/>
      <c r="F113"/>
      <c r="G113"/>
      <c r="H113"/>
      <c r="I113"/>
    </row>
    <row r="114" spans="1:9" ht="15" x14ac:dyDescent="0.2">
      <c r="A114"/>
      <c r="B114"/>
      <c r="C114"/>
      <c r="D114"/>
      <c r="E114"/>
      <c r="F114"/>
      <c r="G114"/>
      <c r="H114"/>
      <c r="I114"/>
    </row>
    <row r="115" spans="1:9" ht="15" x14ac:dyDescent="0.2">
      <c r="A115"/>
      <c r="B115"/>
      <c r="C115"/>
      <c r="D115"/>
      <c r="E115"/>
      <c r="F115"/>
      <c r="G115"/>
      <c r="H115"/>
      <c r="I115"/>
    </row>
    <row r="116" spans="1:9" ht="15" x14ac:dyDescent="0.2">
      <c r="A116"/>
      <c r="B116"/>
      <c r="C116"/>
      <c r="D116"/>
      <c r="E116"/>
      <c r="F116"/>
      <c r="G116"/>
      <c r="H116"/>
      <c r="I116"/>
    </row>
    <row r="117" spans="1:9" ht="15" x14ac:dyDescent="0.2">
      <c r="A117"/>
      <c r="B117"/>
      <c r="C117"/>
      <c r="D117"/>
      <c r="E117"/>
      <c r="F117"/>
      <c r="G117"/>
      <c r="H117"/>
      <c r="I117"/>
    </row>
    <row r="118" spans="1:9" ht="15" x14ac:dyDescent="0.2">
      <c r="A118"/>
      <c r="B118"/>
      <c r="C118"/>
      <c r="D118"/>
      <c r="E118"/>
      <c r="F118"/>
      <c r="G118"/>
      <c r="H118"/>
      <c r="I118"/>
    </row>
    <row r="119" spans="1:9" ht="15" x14ac:dyDescent="0.2">
      <c r="A119"/>
      <c r="B119"/>
      <c r="C119"/>
      <c r="D119"/>
      <c r="E119"/>
      <c r="F119"/>
      <c r="G119"/>
      <c r="H119"/>
      <c r="I119"/>
    </row>
    <row r="120" spans="1:9" ht="15" x14ac:dyDescent="0.2">
      <c r="A120"/>
      <c r="B120"/>
      <c r="C120"/>
      <c r="D120"/>
      <c r="E120"/>
      <c r="F120"/>
      <c r="G120"/>
      <c r="H120"/>
      <c r="I120"/>
    </row>
    <row r="121" spans="1:9" ht="15" x14ac:dyDescent="0.2">
      <c r="A121"/>
      <c r="B121"/>
      <c r="C121"/>
      <c r="D121"/>
      <c r="E121"/>
      <c r="F121"/>
      <c r="G121"/>
      <c r="H121"/>
      <c r="I121"/>
    </row>
    <row r="122" spans="1:9" ht="15" x14ac:dyDescent="0.2">
      <c r="A122"/>
      <c r="B122"/>
      <c r="C122"/>
      <c r="D122"/>
      <c r="E122"/>
      <c r="F122"/>
      <c r="G122"/>
      <c r="H122"/>
      <c r="I122"/>
    </row>
    <row r="123" spans="1:9" ht="15" x14ac:dyDescent="0.2">
      <c r="A123"/>
      <c r="B123"/>
      <c r="C123"/>
      <c r="D123"/>
      <c r="E123"/>
      <c r="F123"/>
      <c r="G123"/>
      <c r="H123"/>
      <c r="I123"/>
    </row>
    <row r="124" spans="1:9" ht="15" x14ac:dyDescent="0.2">
      <c r="A124"/>
      <c r="B124"/>
      <c r="C124"/>
      <c r="D124"/>
      <c r="E124"/>
      <c r="F124"/>
      <c r="G124"/>
      <c r="H124"/>
      <c r="I124"/>
    </row>
    <row r="125" spans="1:9" ht="15" x14ac:dyDescent="0.2">
      <c r="A125"/>
      <c r="B125"/>
      <c r="C125"/>
      <c r="D125"/>
      <c r="E125"/>
      <c r="F125"/>
      <c r="G125"/>
      <c r="H125"/>
      <c r="I125"/>
    </row>
    <row r="126" spans="1:9" ht="15" x14ac:dyDescent="0.2">
      <c r="A126"/>
      <c r="B126"/>
      <c r="C126"/>
      <c r="D126"/>
      <c r="E126"/>
      <c r="F126"/>
      <c r="G126"/>
      <c r="H126"/>
      <c r="I126"/>
    </row>
    <row r="127" spans="1:9" ht="15" x14ac:dyDescent="0.2">
      <c r="A127"/>
      <c r="B127"/>
      <c r="C127"/>
      <c r="D127"/>
      <c r="E127"/>
      <c r="F127"/>
      <c r="G127"/>
      <c r="H127"/>
      <c r="I127"/>
    </row>
    <row r="128" spans="1:9" ht="15" x14ac:dyDescent="0.2">
      <c r="A128"/>
      <c r="B128"/>
      <c r="C128"/>
      <c r="D128"/>
      <c r="E128"/>
      <c r="F128"/>
      <c r="G128"/>
      <c r="H128"/>
      <c r="I128"/>
    </row>
    <row r="129" spans="1:9" ht="15" x14ac:dyDescent="0.2">
      <c r="A129"/>
      <c r="B129"/>
      <c r="C129"/>
      <c r="D129"/>
      <c r="E129"/>
      <c r="F129"/>
      <c r="G129"/>
      <c r="H129"/>
      <c r="I129"/>
    </row>
    <row r="130" spans="1:9" ht="15" x14ac:dyDescent="0.2">
      <c r="A130"/>
      <c r="B130"/>
      <c r="C130"/>
      <c r="D130"/>
      <c r="E130"/>
      <c r="F130"/>
      <c r="G130"/>
      <c r="H130"/>
      <c r="I130"/>
    </row>
    <row r="131" spans="1:9" ht="15" x14ac:dyDescent="0.2">
      <c r="A131"/>
      <c r="B131"/>
      <c r="C131"/>
      <c r="D131"/>
      <c r="E131"/>
      <c r="F131"/>
      <c r="G131"/>
      <c r="H131"/>
      <c r="I131"/>
    </row>
    <row r="132" spans="1:9" ht="15" x14ac:dyDescent="0.2">
      <c r="A132"/>
      <c r="B132"/>
      <c r="C132"/>
      <c r="D132"/>
      <c r="E132"/>
      <c r="F132"/>
      <c r="G132"/>
      <c r="H132"/>
      <c r="I132"/>
    </row>
    <row r="133" spans="1:9" ht="15" x14ac:dyDescent="0.2">
      <c r="A133"/>
      <c r="B133"/>
      <c r="C133"/>
      <c r="D133"/>
      <c r="E133"/>
      <c r="F133"/>
      <c r="G133"/>
      <c r="H133"/>
      <c r="I133"/>
    </row>
    <row r="134" spans="1:9" ht="15" x14ac:dyDescent="0.2">
      <c r="A134"/>
      <c r="B134"/>
      <c r="C134"/>
      <c r="D134"/>
      <c r="E134"/>
      <c r="F134"/>
      <c r="G134"/>
      <c r="H134"/>
      <c r="I134"/>
    </row>
    <row r="135" spans="1:9" ht="15" x14ac:dyDescent="0.2">
      <c r="A135"/>
      <c r="B135"/>
      <c r="C135"/>
      <c r="D135"/>
      <c r="E135"/>
      <c r="F135"/>
      <c r="G135"/>
      <c r="H135"/>
      <c r="I135"/>
    </row>
    <row r="136" spans="1:9" ht="15" x14ac:dyDescent="0.2">
      <c r="A136"/>
      <c r="B136"/>
      <c r="C136"/>
      <c r="D136"/>
      <c r="E136"/>
      <c r="F136"/>
      <c r="G136"/>
      <c r="H136"/>
      <c r="I136"/>
    </row>
    <row r="137" spans="1:9" ht="15" x14ac:dyDescent="0.2">
      <c r="A137"/>
      <c r="B137"/>
      <c r="C137"/>
      <c r="D137"/>
      <c r="E137"/>
      <c r="F137"/>
      <c r="G137"/>
      <c r="H137"/>
      <c r="I137"/>
    </row>
    <row r="138" spans="1:9" ht="15" x14ac:dyDescent="0.2">
      <c r="A138"/>
      <c r="B138"/>
      <c r="C138"/>
      <c r="D138"/>
      <c r="E138"/>
      <c r="F138"/>
      <c r="G138"/>
      <c r="H138"/>
      <c r="I138"/>
    </row>
    <row r="139" spans="1:9" ht="15" x14ac:dyDescent="0.2">
      <c r="A139"/>
      <c r="B139"/>
      <c r="C139"/>
      <c r="D139"/>
      <c r="E139"/>
      <c r="F139"/>
      <c r="G139"/>
      <c r="H139"/>
      <c r="I139"/>
    </row>
    <row r="140" spans="1:9" ht="15" x14ac:dyDescent="0.2">
      <c r="A140"/>
      <c r="B140"/>
      <c r="C140"/>
      <c r="D140"/>
      <c r="E140"/>
      <c r="F140"/>
      <c r="G140"/>
      <c r="H140"/>
      <c r="I140"/>
    </row>
    <row r="141" spans="1:9" ht="15" x14ac:dyDescent="0.2">
      <c r="A141"/>
      <c r="B141"/>
      <c r="C141"/>
      <c r="D141"/>
      <c r="E141"/>
      <c r="F141"/>
      <c r="G141"/>
      <c r="H141"/>
      <c r="I141"/>
    </row>
    <row r="142" spans="1:9" ht="15" x14ac:dyDescent="0.2">
      <c r="A142"/>
      <c r="B142"/>
      <c r="C142"/>
      <c r="D142"/>
      <c r="E142"/>
      <c r="F142"/>
      <c r="G142"/>
      <c r="H142"/>
      <c r="I142"/>
    </row>
    <row r="143" spans="1:9" ht="15" x14ac:dyDescent="0.2">
      <c r="A143"/>
      <c r="B143"/>
      <c r="C143"/>
      <c r="D143"/>
      <c r="E143"/>
      <c r="F143"/>
      <c r="G143"/>
      <c r="H143"/>
      <c r="I143"/>
    </row>
    <row r="144" spans="1:9" ht="15" x14ac:dyDescent="0.2">
      <c r="A144"/>
      <c r="B144"/>
      <c r="C144"/>
      <c r="D144"/>
      <c r="E144"/>
      <c r="F144"/>
      <c r="G144"/>
      <c r="H144"/>
      <c r="I144"/>
    </row>
    <row r="145" spans="1:9" ht="15" x14ac:dyDescent="0.2">
      <c r="A145"/>
      <c r="B145"/>
      <c r="C145"/>
      <c r="D145"/>
      <c r="E145"/>
      <c r="F145"/>
      <c r="G145"/>
      <c r="H145"/>
      <c r="I145"/>
    </row>
    <row r="146" spans="1:9" ht="15" x14ac:dyDescent="0.2">
      <c r="A146"/>
      <c r="B146"/>
      <c r="C146"/>
      <c r="D146"/>
      <c r="E146"/>
      <c r="F146"/>
      <c r="G146"/>
      <c r="H146"/>
      <c r="I146"/>
    </row>
    <row r="147" spans="1:9" ht="15" x14ac:dyDescent="0.2">
      <c r="A147"/>
      <c r="B147"/>
      <c r="C147"/>
      <c r="D147"/>
      <c r="E147"/>
      <c r="F147"/>
      <c r="G147"/>
      <c r="H147"/>
      <c r="I147"/>
    </row>
    <row r="148" spans="1:9" ht="15" x14ac:dyDescent="0.2">
      <c r="A148"/>
      <c r="B148"/>
      <c r="C148"/>
      <c r="D148"/>
      <c r="E148"/>
      <c r="F148"/>
      <c r="G148"/>
      <c r="H148"/>
      <c r="I148"/>
    </row>
    <row r="149" spans="1:9" ht="15" x14ac:dyDescent="0.2">
      <c r="A149"/>
      <c r="B149"/>
      <c r="C149"/>
      <c r="D149"/>
      <c r="E149"/>
      <c r="F149"/>
      <c r="G149"/>
      <c r="H149"/>
      <c r="I149"/>
    </row>
    <row r="150" spans="1:9" ht="15" x14ac:dyDescent="0.2">
      <c r="A150"/>
      <c r="B150"/>
      <c r="C150"/>
      <c r="D150"/>
      <c r="E150"/>
      <c r="F150"/>
      <c r="G150"/>
      <c r="H150"/>
      <c r="I150"/>
    </row>
    <row r="151" spans="1:9" ht="15" x14ac:dyDescent="0.2">
      <c r="A151"/>
      <c r="B151"/>
      <c r="C151"/>
      <c r="D151"/>
      <c r="E151"/>
      <c r="F151"/>
      <c r="G151"/>
      <c r="H151"/>
      <c r="I151"/>
    </row>
    <row r="152" spans="1:9" ht="15" x14ac:dyDescent="0.2">
      <c r="A152"/>
      <c r="B152"/>
      <c r="C152"/>
      <c r="D152"/>
      <c r="E152"/>
      <c r="F152"/>
      <c r="G152"/>
      <c r="H152"/>
      <c r="I152"/>
    </row>
    <row r="153" spans="1:9" ht="15" x14ac:dyDescent="0.2">
      <c r="A153"/>
      <c r="B153"/>
      <c r="C153"/>
      <c r="D153"/>
      <c r="E153"/>
      <c r="F153"/>
      <c r="G153"/>
      <c r="H153"/>
      <c r="I153"/>
    </row>
    <row r="154" spans="1:9" ht="15" x14ac:dyDescent="0.2">
      <c r="A154"/>
      <c r="B154"/>
      <c r="C154"/>
      <c r="D154"/>
      <c r="E154"/>
      <c r="F154"/>
      <c r="G154"/>
      <c r="H154"/>
      <c r="I154"/>
    </row>
    <row r="155" spans="1:9" ht="15" x14ac:dyDescent="0.2">
      <c r="A155"/>
      <c r="B155"/>
      <c r="C155"/>
      <c r="D155"/>
      <c r="E155"/>
      <c r="F155"/>
      <c r="G155"/>
      <c r="H155"/>
      <c r="I155"/>
    </row>
    <row r="156" spans="1:9" ht="15" x14ac:dyDescent="0.2">
      <c r="A156"/>
      <c r="B156"/>
      <c r="C156"/>
      <c r="D156"/>
      <c r="E156"/>
      <c r="F156"/>
      <c r="G156"/>
      <c r="H156"/>
      <c r="I156"/>
    </row>
    <row r="157" spans="1:9" ht="15" x14ac:dyDescent="0.2">
      <c r="A157"/>
      <c r="B157"/>
      <c r="C157"/>
      <c r="D157"/>
      <c r="E157"/>
      <c r="F157"/>
      <c r="G157"/>
      <c r="H157"/>
      <c r="I157"/>
    </row>
    <row r="158" spans="1:9" ht="15" x14ac:dyDescent="0.2">
      <c r="A158"/>
      <c r="B158"/>
      <c r="C158"/>
      <c r="D158"/>
      <c r="E158"/>
      <c r="F158"/>
      <c r="G158"/>
      <c r="H158"/>
      <c r="I158"/>
    </row>
    <row r="159" spans="1:9" ht="15" x14ac:dyDescent="0.2">
      <c r="A159"/>
      <c r="B159"/>
      <c r="C159"/>
      <c r="D159"/>
      <c r="E159"/>
      <c r="F159"/>
      <c r="G159"/>
      <c r="H159"/>
      <c r="I159"/>
    </row>
    <row r="160" spans="1:9" ht="15" x14ac:dyDescent="0.2">
      <c r="A160"/>
      <c r="B160"/>
      <c r="C160"/>
      <c r="D160"/>
      <c r="E160"/>
      <c r="F160"/>
      <c r="G160"/>
      <c r="H160"/>
      <c r="I160"/>
    </row>
    <row r="161" spans="1:9" ht="15" x14ac:dyDescent="0.2">
      <c r="A161"/>
      <c r="B161"/>
      <c r="C161"/>
      <c r="D161"/>
      <c r="E161"/>
      <c r="F161"/>
      <c r="G161"/>
      <c r="H161"/>
      <c r="I161"/>
    </row>
    <row r="162" spans="1:9" ht="15" x14ac:dyDescent="0.2">
      <c r="A162"/>
      <c r="B162"/>
      <c r="C162"/>
      <c r="D162"/>
      <c r="E162"/>
      <c r="F162"/>
      <c r="G162"/>
      <c r="H162"/>
      <c r="I162"/>
    </row>
    <row r="163" spans="1:9" ht="15" x14ac:dyDescent="0.2">
      <c r="A163"/>
      <c r="B163"/>
      <c r="C163"/>
      <c r="D163"/>
      <c r="E163"/>
      <c r="F163"/>
      <c r="G163"/>
      <c r="H163"/>
      <c r="I163"/>
    </row>
    <row r="164" spans="1:9" ht="15" x14ac:dyDescent="0.2">
      <c r="A164"/>
      <c r="B164"/>
      <c r="C164"/>
      <c r="D164"/>
      <c r="E164"/>
      <c r="F164"/>
      <c r="G164"/>
      <c r="H164"/>
      <c r="I164"/>
    </row>
    <row r="165" spans="1:9" ht="15" x14ac:dyDescent="0.2">
      <c r="A165"/>
      <c r="B165"/>
      <c r="C165"/>
      <c r="D165"/>
      <c r="E165"/>
      <c r="F165"/>
      <c r="G165"/>
      <c r="H165"/>
      <c r="I165"/>
    </row>
    <row r="166" spans="1:9" ht="15" x14ac:dyDescent="0.2">
      <c r="A166"/>
      <c r="B166"/>
      <c r="C166"/>
      <c r="D166"/>
      <c r="E166"/>
      <c r="F166"/>
      <c r="G166"/>
      <c r="H166"/>
      <c r="I166"/>
    </row>
    <row r="167" spans="1:9" ht="15" x14ac:dyDescent="0.2">
      <c r="A167"/>
      <c r="B167"/>
      <c r="C167"/>
      <c r="D167"/>
      <c r="E167"/>
      <c r="F167"/>
      <c r="G167"/>
      <c r="H167"/>
      <c r="I167"/>
    </row>
    <row r="168" spans="1:9" ht="15" x14ac:dyDescent="0.2">
      <c r="A168"/>
      <c r="B168"/>
      <c r="C168"/>
      <c r="D168"/>
      <c r="E168"/>
      <c r="F168"/>
      <c r="G168"/>
      <c r="H168"/>
      <c r="I168"/>
    </row>
    <row r="169" spans="1:9" ht="15" x14ac:dyDescent="0.2">
      <c r="A169"/>
      <c r="B169"/>
      <c r="C169"/>
      <c r="D169"/>
      <c r="E169"/>
      <c r="F169"/>
      <c r="G169"/>
      <c r="H169"/>
      <c r="I169"/>
    </row>
    <row r="170" spans="1:9" ht="15" x14ac:dyDescent="0.2">
      <c r="A170"/>
      <c r="B170"/>
      <c r="C170"/>
      <c r="D170"/>
      <c r="E170"/>
      <c r="F170"/>
      <c r="G170"/>
      <c r="H170"/>
      <c r="I170"/>
    </row>
    <row r="171" spans="1:9" ht="15" x14ac:dyDescent="0.2">
      <c r="A171"/>
      <c r="B171"/>
      <c r="C171"/>
      <c r="D171"/>
      <c r="E171"/>
      <c r="F171"/>
      <c r="G171"/>
      <c r="H171"/>
      <c r="I171"/>
    </row>
    <row r="172" spans="1:9" ht="15" x14ac:dyDescent="0.2">
      <c r="A172"/>
      <c r="B172"/>
      <c r="C172"/>
      <c r="D172"/>
      <c r="E172"/>
      <c r="F172"/>
      <c r="G172"/>
      <c r="H172"/>
      <c r="I172"/>
    </row>
    <row r="173" spans="1:9" ht="15" x14ac:dyDescent="0.2">
      <c r="A173"/>
      <c r="B173"/>
      <c r="C173"/>
      <c r="D173"/>
      <c r="E173"/>
      <c r="F173"/>
      <c r="G173"/>
      <c r="H173"/>
      <c r="I173"/>
    </row>
    <row r="174" spans="1:9" ht="15" x14ac:dyDescent="0.2">
      <c r="A174"/>
      <c r="B174"/>
      <c r="C174"/>
      <c r="D174"/>
      <c r="E174"/>
      <c r="F174"/>
      <c r="G174"/>
      <c r="H174"/>
      <c r="I174"/>
    </row>
    <row r="175" spans="1:9" ht="15" x14ac:dyDescent="0.2">
      <c r="A175"/>
      <c r="B175"/>
      <c r="C175"/>
      <c r="D175"/>
      <c r="E175"/>
      <c r="F175"/>
      <c r="G175"/>
      <c r="H175"/>
      <c r="I175"/>
    </row>
    <row r="176" spans="1:9" ht="15" x14ac:dyDescent="0.2">
      <c r="A176"/>
      <c r="B176"/>
      <c r="C176"/>
      <c r="D176"/>
      <c r="E176"/>
      <c r="F176"/>
      <c r="G176"/>
      <c r="H176"/>
      <c r="I176"/>
    </row>
    <row r="177" spans="1:9" ht="15" x14ac:dyDescent="0.2">
      <c r="A177"/>
      <c r="B177"/>
      <c r="C177"/>
      <c r="D177"/>
      <c r="E177"/>
      <c r="F177"/>
      <c r="G177"/>
      <c r="H177"/>
      <c r="I177"/>
    </row>
    <row r="178" spans="1:9" ht="15" x14ac:dyDescent="0.2">
      <c r="A178"/>
      <c r="B178"/>
      <c r="C178"/>
      <c r="D178"/>
      <c r="E178"/>
      <c r="F178"/>
      <c r="G178"/>
      <c r="H178"/>
      <c r="I178"/>
    </row>
    <row r="179" spans="1:9" ht="15" x14ac:dyDescent="0.2">
      <c r="A179"/>
      <c r="B179"/>
      <c r="C179"/>
      <c r="D179"/>
      <c r="E179"/>
      <c r="F179"/>
      <c r="G179"/>
      <c r="H179"/>
      <c r="I179"/>
    </row>
    <row r="180" spans="1:9" ht="15" x14ac:dyDescent="0.2">
      <c r="A180"/>
      <c r="B180"/>
      <c r="C180"/>
      <c r="D180"/>
      <c r="E180"/>
      <c r="F180"/>
      <c r="G180"/>
      <c r="H180"/>
      <c r="I180"/>
    </row>
    <row r="181" spans="1:9" ht="15" x14ac:dyDescent="0.2">
      <c r="A181"/>
      <c r="B181"/>
      <c r="C181"/>
      <c r="D181"/>
      <c r="E181"/>
      <c r="F181"/>
      <c r="G181"/>
      <c r="H181"/>
      <c r="I181"/>
    </row>
    <row r="182" spans="1:9" ht="15" x14ac:dyDescent="0.2">
      <c r="A182"/>
      <c r="B182"/>
      <c r="C182"/>
      <c r="D182"/>
      <c r="E182"/>
      <c r="F182"/>
      <c r="G182"/>
      <c r="H182"/>
      <c r="I182"/>
    </row>
    <row r="183" spans="1:9" ht="15" x14ac:dyDescent="0.2">
      <c r="A183"/>
      <c r="B183"/>
      <c r="C183"/>
      <c r="D183"/>
      <c r="E183"/>
      <c r="F183"/>
      <c r="G183"/>
      <c r="H183"/>
      <c r="I183"/>
    </row>
    <row r="184" spans="1:9" ht="15" x14ac:dyDescent="0.2">
      <c r="A184"/>
      <c r="B184"/>
      <c r="C184"/>
      <c r="D184"/>
      <c r="E184"/>
      <c r="F184"/>
      <c r="G184"/>
      <c r="H184"/>
      <c r="I184"/>
    </row>
    <row r="185" spans="1:9" ht="15" x14ac:dyDescent="0.2">
      <c r="A185"/>
      <c r="B185"/>
      <c r="C185"/>
      <c r="D185"/>
      <c r="E185"/>
      <c r="F185"/>
      <c r="G185"/>
      <c r="H185"/>
      <c r="I185"/>
    </row>
    <row r="186" spans="1:9" ht="15" x14ac:dyDescent="0.2">
      <c r="A186"/>
      <c r="B186"/>
      <c r="C186"/>
      <c r="D186"/>
      <c r="E186"/>
      <c r="F186"/>
      <c r="G186"/>
      <c r="H186"/>
      <c r="I186"/>
    </row>
    <row r="187" spans="1:9" ht="15" x14ac:dyDescent="0.2">
      <c r="A187"/>
      <c r="B187"/>
      <c r="C187"/>
      <c r="D187"/>
      <c r="E187"/>
      <c r="F187"/>
      <c r="G187"/>
      <c r="H187"/>
      <c r="I187"/>
    </row>
    <row r="188" spans="1:9" ht="15" x14ac:dyDescent="0.2">
      <c r="A188"/>
      <c r="B188"/>
      <c r="C188"/>
      <c r="D188"/>
      <c r="E188"/>
      <c r="F188"/>
      <c r="G188"/>
      <c r="H188"/>
      <c r="I188"/>
    </row>
    <row r="189" spans="1:9" ht="15" x14ac:dyDescent="0.2">
      <c r="A189"/>
      <c r="B189"/>
      <c r="C189"/>
      <c r="D189"/>
      <c r="E189"/>
      <c r="F189"/>
      <c r="G189"/>
      <c r="H189"/>
      <c r="I189"/>
    </row>
    <row r="190" spans="1:9" ht="15" x14ac:dyDescent="0.2">
      <c r="A190"/>
      <c r="B190"/>
      <c r="C190"/>
      <c r="D190"/>
      <c r="E190"/>
      <c r="F190"/>
      <c r="G190"/>
      <c r="H190"/>
      <c r="I190"/>
    </row>
    <row r="191" spans="1:9" ht="15" x14ac:dyDescent="0.2">
      <c r="A191"/>
      <c r="B191"/>
      <c r="C191"/>
      <c r="D191"/>
      <c r="E191"/>
      <c r="F191"/>
      <c r="G191"/>
      <c r="H191"/>
      <c r="I191"/>
    </row>
    <row r="192" spans="1:9" ht="15" x14ac:dyDescent="0.2">
      <c r="A192"/>
      <c r="B192"/>
      <c r="C192"/>
      <c r="D192"/>
      <c r="E192"/>
      <c r="F192"/>
      <c r="G192"/>
      <c r="H192"/>
      <c r="I192"/>
    </row>
    <row r="193" spans="1:9" ht="15" x14ac:dyDescent="0.2">
      <c r="A193"/>
      <c r="B193"/>
      <c r="C193"/>
      <c r="D193"/>
      <c r="E193"/>
      <c r="F193"/>
      <c r="G193"/>
      <c r="H193"/>
      <c r="I193"/>
    </row>
    <row r="194" spans="1:9" ht="15" x14ac:dyDescent="0.2">
      <c r="A194"/>
      <c r="B194"/>
      <c r="C194"/>
      <c r="D194"/>
      <c r="E194"/>
      <c r="F194"/>
      <c r="G194"/>
      <c r="H194"/>
      <c r="I194"/>
    </row>
    <row r="195" spans="1:9" ht="15" x14ac:dyDescent="0.2">
      <c r="A195"/>
      <c r="B195"/>
      <c r="C195"/>
      <c r="D195"/>
      <c r="E195"/>
      <c r="F195"/>
      <c r="G195"/>
      <c r="H195"/>
      <c r="I195"/>
    </row>
    <row r="196" spans="1:9" ht="15" x14ac:dyDescent="0.2">
      <c r="A196"/>
      <c r="B196"/>
      <c r="C196"/>
      <c r="D196"/>
      <c r="E196"/>
      <c r="F196"/>
      <c r="G196"/>
      <c r="H196"/>
      <c r="I196"/>
    </row>
    <row r="197" spans="1:9" ht="15" x14ac:dyDescent="0.2">
      <c r="A197"/>
      <c r="B197"/>
      <c r="C197"/>
      <c r="D197"/>
      <c r="E197"/>
      <c r="F197"/>
      <c r="G197"/>
      <c r="H197"/>
      <c r="I197"/>
    </row>
    <row r="198" spans="1:9" ht="15" x14ac:dyDescent="0.2">
      <c r="A198"/>
      <c r="B198"/>
      <c r="C198"/>
      <c r="D198"/>
      <c r="E198"/>
      <c r="F198"/>
      <c r="G198"/>
      <c r="H198"/>
      <c r="I198"/>
    </row>
    <row r="199" spans="1:9" ht="15" x14ac:dyDescent="0.2">
      <c r="A199"/>
      <c r="B199"/>
      <c r="C199"/>
      <c r="D199"/>
      <c r="E199"/>
      <c r="F199"/>
      <c r="G199"/>
      <c r="H199"/>
      <c r="I199"/>
    </row>
    <row r="200" spans="1:9" ht="15" x14ac:dyDescent="0.2">
      <c r="A200"/>
      <c r="B200"/>
      <c r="C200"/>
      <c r="D200"/>
      <c r="E200"/>
      <c r="F200"/>
      <c r="G200"/>
      <c r="H200"/>
      <c r="I200"/>
    </row>
    <row r="201" spans="1:9" ht="15" x14ac:dyDescent="0.2">
      <c r="A201"/>
      <c r="B201"/>
      <c r="C201"/>
      <c r="D201"/>
      <c r="E201"/>
      <c r="F201"/>
      <c r="G201"/>
      <c r="H201"/>
      <c r="I201"/>
    </row>
    <row r="202" spans="1:9" ht="15" x14ac:dyDescent="0.2">
      <c r="A202"/>
      <c r="B202"/>
      <c r="C202"/>
      <c r="D202"/>
      <c r="E202"/>
      <c r="F202"/>
      <c r="G202"/>
      <c r="H202"/>
      <c r="I202"/>
    </row>
    <row r="203" spans="1:9" ht="15" x14ac:dyDescent="0.2">
      <c r="A203"/>
      <c r="B203"/>
      <c r="C203"/>
      <c r="D203"/>
      <c r="E203"/>
      <c r="F203"/>
      <c r="G203"/>
      <c r="H203"/>
      <c r="I203"/>
    </row>
    <row r="204" spans="1:9" ht="15" x14ac:dyDescent="0.2">
      <c r="A204"/>
      <c r="B204"/>
      <c r="C204"/>
      <c r="D204"/>
      <c r="E204"/>
      <c r="F204"/>
      <c r="G204"/>
      <c r="H204"/>
      <c r="I204"/>
    </row>
    <row r="205" spans="1:9" ht="15" x14ac:dyDescent="0.2">
      <c r="A205"/>
      <c r="B205"/>
      <c r="C205"/>
      <c r="D205"/>
      <c r="E205"/>
      <c r="F205"/>
      <c r="G205"/>
      <c r="H205"/>
      <c r="I205"/>
    </row>
    <row r="206" spans="1:9" ht="15" x14ac:dyDescent="0.2">
      <c r="A206"/>
      <c r="B206"/>
      <c r="C206"/>
      <c r="D206"/>
      <c r="E206"/>
      <c r="F206"/>
      <c r="G206"/>
      <c r="H206"/>
      <c r="I206"/>
    </row>
    <row r="207" spans="1:9" ht="15" x14ac:dyDescent="0.2">
      <c r="A207"/>
      <c r="B207"/>
      <c r="C207"/>
      <c r="D207"/>
      <c r="E207"/>
      <c r="F207"/>
      <c r="G207"/>
      <c r="H207"/>
      <c r="I207"/>
    </row>
    <row r="208" spans="1:9" ht="15" x14ac:dyDescent="0.2">
      <c r="A208"/>
      <c r="B208"/>
      <c r="C208"/>
      <c r="D208"/>
      <c r="E208"/>
      <c r="F208"/>
      <c r="G208"/>
      <c r="H208"/>
      <c r="I208"/>
    </row>
    <row r="209" spans="1:9" ht="15" x14ac:dyDescent="0.2">
      <c r="A209"/>
      <c r="B209"/>
      <c r="C209"/>
      <c r="D209"/>
      <c r="E209"/>
      <c r="F209"/>
      <c r="G209"/>
      <c r="H209"/>
      <c r="I209"/>
    </row>
    <row r="210" spans="1:9" ht="15" x14ac:dyDescent="0.2">
      <c r="A210"/>
      <c r="B210"/>
      <c r="C210"/>
      <c r="D210"/>
      <c r="E210"/>
      <c r="F210"/>
      <c r="G210"/>
      <c r="H210"/>
      <c r="I210"/>
    </row>
    <row r="211" spans="1:9" ht="15" x14ac:dyDescent="0.2">
      <c r="A211"/>
      <c r="B211"/>
      <c r="C211"/>
      <c r="D211"/>
      <c r="E211"/>
      <c r="F211"/>
      <c r="G211"/>
      <c r="H211"/>
      <c r="I211"/>
    </row>
    <row r="212" spans="1:9" ht="15" x14ac:dyDescent="0.2">
      <c r="A212"/>
      <c r="B212"/>
      <c r="C212"/>
      <c r="D212"/>
      <c r="E212"/>
      <c r="F212"/>
      <c r="G212"/>
      <c r="H212"/>
      <c r="I212"/>
    </row>
    <row r="213" spans="1:9" ht="15" x14ac:dyDescent="0.2">
      <c r="A213"/>
      <c r="B213"/>
      <c r="C213"/>
      <c r="D213"/>
      <c r="E213"/>
      <c r="F213"/>
      <c r="G213"/>
      <c r="H213"/>
      <c r="I213"/>
    </row>
    <row r="214" spans="1:9" ht="15" x14ac:dyDescent="0.2">
      <c r="A214"/>
      <c r="B214"/>
      <c r="C214"/>
      <c r="D214"/>
      <c r="E214"/>
      <c r="F214"/>
      <c r="G214"/>
      <c r="H214"/>
      <c r="I214"/>
    </row>
    <row r="215" spans="1:9" ht="15" x14ac:dyDescent="0.2">
      <c r="A215"/>
      <c r="B215"/>
      <c r="C215"/>
      <c r="D215"/>
      <c r="E215"/>
      <c r="F215"/>
      <c r="G215"/>
      <c r="H215"/>
      <c r="I215"/>
    </row>
    <row r="216" spans="1:9" ht="15" x14ac:dyDescent="0.2">
      <c r="A216"/>
      <c r="B216"/>
      <c r="C216"/>
      <c r="D216"/>
      <c r="E216"/>
      <c r="F216"/>
      <c r="G216"/>
      <c r="H216"/>
      <c r="I216"/>
    </row>
    <row r="217" spans="1:9" ht="15" x14ac:dyDescent="0.2">
      <c r="A217"/>
      <c r="B217"/>
      <c r="C217"/>
      <c r="D217"/>
      <c r="E217"/>
      <c r="F217"/>
      <c r="G217"/>
      <c r="H217"/>
      <c r="I217"/>
    </row>
    <row r="218" spans="1:9" ht="15" x14ac:dyDescent="0.2">
      <c r="A218"/>
      <c r="B218"/>
      <c r="C218"/>
      <c r="D218"/>
      <c r="E218"/>
      <c r="F218"/>
      <c r="G218"/>
      <c r="H218"/>
      <c r="I218"/>
    </row>
    <row r="219" spans="1:9" ht="15" x14ac:dyDescent="0.2">
      <c r="A219"/>
      <c r="B219"/>
      <c r="C219"/>
      <c r="D219"/>
      <c r="E219"/>
      <c r="F219"/>
      <c r="G219"/>
      <c r="H219"/>
      <c r="I219"/>
    </row>
    <row r="220" spans="1:9" ht="15" x14ac:dyDescent="0.2">
      <c r="A220"/>
      <c r="B220"/>
      <c r="C220"/>
      <c r="D220"/>
      <c r="E220"/>
      <c r="F220"/>
      <c r="G220"/>
      <c r="H220"/>
      <c r="I220"/>
    </row>
    <row r="221" spans="1:9" ht="15" x14ac:dyDescent="0.2">
      <c r="A221"/>
      <c r="B221"/>
      <c r="C221"/>
      <c r="D221"/>
      <c r="E221"/>
      <c r="F221"/>
      <c r="G221"/>
      <c r="H221"/>
      <c r="I221"/>
    </row>
    <row r="222" spans="1:9" ht="15" x14ac:dyDescent="0.2">
      <c r="A222"/>
      <c r="B222"/>
      <c r="C222"/>
      <c r="D222"/>
      <c r="E222"/>
      <c r="F222"/>
      <c r="G222"/>
      <c r="H222"/>
      <c r="I222"/>
    </row>
    <row r="223" spans="1:9" ht="15" x14ac:dyDescent="0.2">
      <c r="A223"/>
      <c r="B223"/>
      <c r="C223"/>
      <c r="D223"/>
      <c r="E223"/>
      <c r="F223"/>
      <c r="G223"/>
      <c r="H223"/>
      <c r="I223"/>
    </row>
    <row r="224" spans="1:9" ht="15" x14ac:dyDescent="0.2">
      <c r="A224"/>
      <c r="B224"/>
      <c r="C224"/>
      <c r="D224"/>
      <c r="E224"/>
      <c r="F224"/>
      <c r="G224"/>
      <c r="H224"/>
      <c r="I224"/>
    </row>
    <row r="225" spans="1:9" ht="15" x14ac:dyDescent="0.2">
      <c r="A225"/>
      <c r="B225"/>
      <c r="C225"/>
      <c r="D225"/>
      <c r="E225"/>
      <c r="F225"/>
      <c r="G225"/>
      <c r="H225"/>
      <c r="I225"/>
    </row>
    <row r="226" spans="1:9" ht="15" x14ac:dyDescent="0.2">
      <c r="A226"/>
      <c r="B226"/>
      <c r="C226"/>
      <c r="D226"/>
      <c r="E226"/>
      <c r="F226"/>
      <c r="G226"/>
      <c r="H226"/>
      <c r="I226"/>
    </row>
    <row r="227" spans="1:9" ht="15" x14ac:dyDescent="0.2">
      <c r="A227"/>
      <c r="B227"/>
      <c r="C227"/>
      <c r="D227"/>
      <c r="E227"/>
      <c r="F227"/>
      <c r="G227"/>
      <c r="H227"/>
      <c r="I227"/>
    </row>
    <row r="228" spans="1:9" ht="15" x14ac:dyDescent="0.2">
      <c r="A228"/>
      <c r="B228"/>
      <c r="C228"/>
      <c r="D228"/>
      <c r="E228"/>
      <c r="F228"/>
      <c r="G228"/>
      <c r="H228"/>
      <c r="I228"/>
    </row>
    <row r="229" spans="1:9" ht="15" x14ac:dyDescent="0.2">
      <c r="A229"/>
      <c r="B229"/>
      <c r="C229"/>
      <c r="D229"/>
      <c r="E229"/>
      <c r="F229"/>
      <c r="G229"/>
      <c r="H229"/>
      <c r="I229"/>
    </row>
    <row r="230" spans="1:9" ht="15" x14ac:dyDescent="0.2">
      <c r="A230"/>
      <c r="B230"/>
      <c r="C230"/>
      <c r="D230"/>
      <c r="E230"/>
      <c r="F230"/>
      <c r="G230"/>
      <c r="H230"/>
      <c r="I230"/>
    </row>
    <row r="231" spans="1:9" ht="15" x14ac:dyDescent="0.2">
      <c r="A231"/>
      <c r="B231"/>
      <c r="C231"/>
      <c r="D231"/>
      <c r="E231"/>
      <c r="F231"/>
      <c r="G231"/>
      <c r="H231"/>
      <c r="I231"/>
    </row>
    <row r="232" spans="1:9" ht="15" x14ac:dyDescent="0.2">
      <c r="A232"/>
      <c r="B232"/>
      <c r="C232"/>
      <c r="D232"/>
      <c r="E232"/>
      <c r="F232"/>
      <c r="G232"/>
      <c r="H232"/>
      <c r="I232"/>
    </row>
    <row r="233" spans="1:9" ht="15" x14ac:dyDescent="0.2">
      <c r="A233"/>
      <c r="B233"/>
      <c r="C233"/>
      <c r="D233"/>
      <c r="E233"/>
      <c r="F233"/>
      <c r="G233"/>
      <c r="H233"/>
      <c r="I233"/>
    </row>
    <row r="234" spans="1:9" ht="15" x14ac:dyDescent="0.2">
      <c r="A234"/>
      <c r="B234"/>
      <c r="C234"/>
      <c r="D234"/>
      <c r="E234"/>
      <c r="F234"/>
      <c r="G234"/>
      <c r="H234"/>
      <c r="I234"/>
    </row>
    <row r="235" spans="1:9" ht="15" x14ac:dyDescent="0.2">
      <c r="A235"/>
      <c r="B235"/>
      <c r="C235"/>
      <c r="D235"/>
      <c r="E235"/>
      <c r="F235"/>
      <c r="G235"/>
      <c r="H235"/>
      <c r="I235"/>
    </row>
    <row r="236" spans="1:9" ht="15" x14ac:dyDescent="0.2">
      <c r="A236"/>
      <c r="B236"/>
      <c r="C236"/>
      <c r="D236"/>
      <c r="E236"/>
      <c r="F236"/>
      <c r="G236"/>
      <c r="H236"/>
      <c r="I236"/>
    </row>
    <row r="237" spans="1:9" ht="15" x14ac:dyDescent="0.2">
      <c r="A237"/>
      <c r="B237"/>
      <c r="C237"/>
      <c r="D237"/>
      <c r="E237"/>
      <c r="F237"/>
      <c r="G237"/>
      <c r="H237"/>
      <c r="I237"/>
    </row>
    <row r="238" spans="1:9" ht="15" x14ac:dyDescent="0.2">
      <c r="A238"/>
      <c r="B238"/>
      <c r="C238"/>
      <c r="D238"/>
      <c r="E238"/>
      <c r="F238"/>
      <c r="G238"/>
      <c r="H238"/>
      <c r="I238"/>
    </row>
    <row r="239" spans="1:9" ht="15" x14ac:dyDescent="0.2">
      <c r="A239"/>
      <c r="B239"/>
      <c r="C239"/>
      <c r="D239"/>
      <c r="E239"/>
      <c r="F239"/>
      <c r="G239"/>
      <c r="H239"/>
      <c r="I239"/>
    </row>
    <row r="240" spans="1:9" ht="15" x14ac:dyDescent="0.2">
      <c r="A240"/>
      <c r="B240"/>
      <c r="C240"/>
      <c r="D240"/>
      <c r="E240"/>
      <c r="F240"/>
      <c r="G240"/>
      <c r="H240"/>
      <c r="I240"/>
    </row>
    <row r="241" spans="1:9" ht="15" x14ac:dyDescent="0.2">
      <c r="A241"/>
      <c r="B241"/>
      <c r="C241"/>
      <c r="D241"/>
      <c r="E241"/>
      <c r="F241"/>
      <c r="G241"/>
      <c r="H241"/>
      <c r="I241"/>
    </row>
    <row r="242" spans="1:9" ht="15" x14ac:dyDescent="0.2">
      <c r="A242"/>
      <c r="B242"/>
      <c r="C242"/>
      <c r="D242"/>
      <c r="E242"/>
      <c r="F242"/>
      <c r="G242"/>
      <c r="H242"/>
      <c r="I242"/>
    </row>
    <row r="243" spans="1:9" ht="15" x14ac:dyDescent="0.2">
      <c r="A243"/>
      <c r="B243"/>
      <c r="C243"/>
      <c r="D243"/>
      <c r="E243"/>
      <c r="F243"/>
      <c r="G243"/>
      <c r="H243"/>
      <c r="I243"/>
    </row>
    <row r="244" spans="1:9" ht="15" x14ac:dyDescent="0.2">
      <c r="A244"/>
      <c r="B244"/>
      <c r="C244"/>
      <c r="D244"/>
      <c r="E244"/>
      <c r="F244"/>
      <c r="G244"/>
      <c r="H244"/>
      <c r="I244"/>
    </row>
    <row r="245" spans="1:9" ht="15" x14ac:dyDescent="0.2">
      <c r="A245"/>
      <c r="B245"/>
      <c r="C245"/>
      <c r="D245"/>
      <c r="E245"/>
      <c r="F245"/>
      <c r="G245"/>
      <c r="H245"/>
      <c r="I245"/>
    </row>
    <row r="246" spans="1:9" ht="15" x14ac:dyDescent="0.2">
      <c r="A246"/>
      <c r="B246"/>
      <c r="C246"/>
      <c r="D246"/>
      <c r="E246"/>
      <c r="F246"/>
      <c r="G246"/>
      <c r="H246"/>
      <c r="I246"/>
    </row>
    <row r="247" spans="1:9" ht="15" x14ac:dyDescent="0.2">
      <c r="A247"/>
      <c r="B247"/>
      <c r="C247"/>
      <c r="D247"/>
      <c r="E247"/>
      <c r="F247"/>
      <c r="G247"/>
      <c r="H247"/>
      <c r="I247"/>
    </row>
    <row r="248" spans="1:9" ht="15" x14ac:dyDescent="0.2">
      <c r="A248"/>
      <c r="B248"/>
      <c r="C248"/>
      <c r="D248"/>
      <c r="E248"/>
      <c r="F248"/>
      <c r="G248"/>
      <c r="H248"/>
      <c r="I248"/>
    </row>
    <row r="249" spans="1:9" ht="15" x14ac:dyDescent="0.2">
      <c r="A249"/>
      <c r="B249"/>
      <c r="C249"/>
      <c r="D249"/>
      <c r="E249"/>
      <c r="F249"/>
      <c r="G249"/>
      <c r="H249"/>
      <c r="I249"/>
    </row>
    <row r="250" spans="1:9" ht="15" x14ac:dyDescent="0.2">
      <c r="A250"/>
      <c r="B250"/>
      <c r="C250"/>
      <c r="D250"/>
      <c r="E250"/>
      <c r="F250"/>
      <c r="G250"/>
      <c r="H250"/>
      <c r="I250"/>
    </row>
    <row r="251" spans="1:9" ht="15" x14ac:dyDescent="0.2">
      <c r="A251"/>
      <c r="B251"/>
      <c r="C251"/>
      <c r="D251"/>
      <c r="E251"/>
      <c r="F251"/>
      <c r="G251"/>
      <c r="H251"/>
      <c r="I251"/>
    </row>
    <row r="252" spans="1:9" ht="15" x14ac:dyDescent="0.2">
      <c r="A252"/>
      <c r="B252"/>
      <c r="C252"/>
      <c r="D252"/>
      <c r="E252"/>
      <c r="F252"/>
      <c r="G252"/>
      <c r="H252"/>
      <c r="I252"/>
    </row>
    <row r="253" spans="1:9" ht="15" x14ac:dyDescent="0.2">
      <c r="A253"/>
      <c r="B253"/>
      <c r="C253"/>
      <c r="D253"/>
      <c r="E253"/>
      <c r="F253"/>
      <c r="G253"/>
      <c r="H253"/>
      <c r="I253"/>
    </row>
    <row r="254" spans="1:9" ht="15" x14ac:dyDescent="0.2">
      <c r="A254"/>
      <c r="B254"/>
      <c r="C254"/>
      <c r="D254"/>
      <c r="E254"/>
      <c r="F254"/>
      <c r="G254"/>
      <c r="H254"/>
      <c r="I254"/>
    </row>
    <row r="255" spans="1:9" ht="15" x14ac:dyDescent="0.2">
      <c r="A255"/>
      <c r="B255"/>
      <c r="C255"/>
      <c r="D255"/>
      <c r="E255"/>
      <c r="F255"/>
      <c r="G255"/>
      <c r="H255"/>
      <c r="I255"/>
    </row>
    <row r="256" spans="1:9" ht="15" x14ac:dyDescent="0.2">
      <c r="A256"/>
      <c r="B256"/>
      <c r="C256"/>
      <c r="D256"/>
      <c r="E256"/>
      <c r="F256"/>
      <c r="G256"/>
      <c r="H256"/>
      <c r="I256"/>
    </row>
    <row r="257" spans="1:9" ht="15" x14ac:dyDescent="0.2">
      <c r="A257"/>
      <c r="B257"/>
      <c r="C257"/>
      <c r="D257"/>
      <c r="E257"/>
      <c r="F257"/>
      <c r="G257"/>
      <c r="H257"/>
      <c r="I257"/>
    </row>
    <row r="258" spans="1:9" ht="15" x14ac:dyDescent="0.2">
      <c r="A258"/>
      <c r="B258"/>
      <c r="C258"/>
      <c r="D258"/>
      <c r="E258"/>
      <c r="F258"/>
      <c r="G258"/>
      <c r="H258"/>
      <c r="I258"/>
    </row>
    <row r="259" spans="1:9" ht="15" x14ac:dyDescent="0.2">
      <c r="A259"/>
      <c r="B259"/>
      <c r="C259"/>
      <c r="D259"/>
      <c r="E259"/>
      <c r="F259"/>
      <c r="G259"/>
      <c r="H259"/>
      <c r="I259"/>
    </row>
    <row r="260" spans="1:9" ht="15" x14ac:dyDescent="0.2">
      <c r="A260"/>
      <c r="B260"/>
      <c r="C260"/>
      <c r="D260"/>
      <c r="E260"/>
      <c r="F260"/>
      <c r="G260"/>
      <c r="H260"/>
      <c r="I260"/>
    </row>
    <row r="261" spans="1:9" ht="15" x14ac:dyDescent="0.2">
      <c r="A261"/>
      <c r="B261"/>
      <c r="C261"/>
      <c r="D261"/>
      <c r="E261"/>
      <c r="F261"/>
      <c r="G261"/>
      <c r="H261"/>
      <c r="I261"/>
    </row>
    <row r="262" spans="1:9" ht="15" x14ac:dyDescent="0.2">
      <c r="A262"/>
      <c r="B262"/>
      <c r="C262"/>
      <c r="D262"/>
      <c r="E262"/>
      <c r="F262"/>
      <c r="G262"/>
      <c r="H262"/>
      <c r="I262"/>
    </row>
    <row r="263" spans="1:9" ht="15" x14ac:dyDescent="0.2">
      <c r="A263"/>
      <c r="B263"/>
      <c r="C263"/>
      <c r="D263"/>
      <c r="E263"/>
      <c r="F263"/>
      <c r="G263"/>
      <c r="H263"/>
      <c r="I263"/>
    </row>
    <row r="264" spans="1:9" ht="15" x14ac:dyDescent="0.2">
      <c r="A264"/>
      <c r="B264"/>
      <c r="C264"/>
      <c r="D264"/>
      <c r="E264"/>
      <c r="F264"/>
      <c r="G264"/>
      <c r="H264"/>
      <c r="I264"/>
    </row>
    <row r="265" spans="1:9" ht="15" x14ac:dyDescent="0.2">
      <c r="A265"/>
      <c r="B265"/>
      <c r="C265"/>
      <c r="D265"/>
      <c r="E265"/>
      <c r="F265"/>
      <c r="G265"/>
      <c r="H265"/>
      <c r="I265"/>
    </row>
    <row r="266" spans="1:9" ht="15" x14ac:dyDescent="0.2">
      <c r="A266"/>
      <c r="B266"/>
      <c r="C266"/>
      <c r="D266"/>
      <c r="E266"/>
      <c r="F266"/>
      <c r="G266"/>
      <c r="H266"/>
      <c r="I266"/>
    </row>
    <row r="267" spans="1:9" ht="15" x14ac:dyDescent="0.2">
      <c r="A267"/>
      <c r="B267"/>
      <c r="C267"/>
      <c r="D267"/>
      <c r="E267"/>
      <c r="F267"/>
      <c r="G267"/>
      <c r="H267"/>
      <c r="I267"/>
    </row>
    <row r="268" spans="1:9" ht="15" x14ac:dyDescent="0.2">
      <c r="A268"/>
      <c r="B268"/>
      <c r="C268"/>
      <c r="D268"/>
      <c r="E268"/>
      <c r="F268"/>
      <c r="G268"/>
      <c r="H268"/>
      <c r="I268"/>
    </row>
    <row r="269" spans="1:9" ht="15" x14ac:dyDescent="0.2">
      <c r="A269"/>
      <c r="B269"/>
      <c r="C269"/>
      <c r="D269"/>
      <c r="E269"/>
      <c r="F269"/>
      <c r="G269"/>
      <c r="H269"/>
      <c r="I269"/>
    </row>
    <row r="270" spans="1:9" ht="15" x14ac:dyDescent="0.2">
      <c r="A270"/>
      <c r="B270"/>
      <c r="C270"/>
      <c r="D270"/>
      <c r="E270"/>
      <c r="F270"/>
      <c r="G270"/>
      <c r="H270"/>
      <c r="I270"/>
    </row>
    <row r="271" spans="1:9" ht="15" x14ac:dyDescent="0.2">
      <c r="A271"/>
      <c r="B271"/>
      <c r="C271"/>
      <c r="D271"/>
      <c r="E271"/>
      <c r="F271"/>
      <c r="G271"/>
      <c r="H271"/>
      <c r="I271"/>
    </row>
    <row r="272" spans="1:9" ht="15" x14ac:dyDescent="0.2">
      <c r="A272"/>
      <c r="B272"/>
      <c r="C272"/>
      <c r="D272"/>
      <c r="E272"/>
      <c r="F272"/>
      <c r="G272"/>
      <c r="H272"/>
      <c r="I272"/>
    </row>
    <row r="273" spans="1:9" ht="15" x14ac:dyDescent="0.2">
      <c r="A273"/>
      <c r="B273"/>
      <c r="C273"/>
      <c r="D273"/>
      <c r="E273"/>
      <c r="F273"/>
      <c r="G273"/>
      <c r="H273"/>
      <c r="I273"/>
    </row>
    <row r="274" spans="1:9" ht="15" x14ac:dyDescent="0.2">
      <c r="A274"/>
      <c r="B274"/>
      <c r="C274"/>
      <c r="D274"/>
      <c r="E274"/>
      <c r="F274"/>
      <c r="G274"/>
      <c r="H274"/>
      <c r="I274"/>
    </row>
    <row r="275" spans="1:9" ht="15" x14ac:dyDescent="0.2">
      <c r="A275"/>
      <c r="B275"/>
      <c r="C275"/>
      <c r="D275"/>
      <c r="E275"/>
      <c r="F275"/>
      <c r="G275"/>
      <c r="H275"/>
      <c r="I275"/>
    </row>
    <row r="276" spans="1:9" ht="15" x14ac:dyDescent="0.2">
      <c r="A276"/>
      <c r="B276"/>
      <c r="C276"/>
      <c r="D276"/>
      <c r="E276"/>
      <c r="F276"/>
      <c r="G276"/>
      <c r="H276"/>
      <c r="I276"/>
    </row>
    <row r="277" spans="1:9" ht="15" x14ac:dyDescent="0.2">
      <c r="A277"/>
      <c r="B277"/>
      <c r="C277"/>
      <c r="D277"/>
      <c r="E277"/>
      <c r="F277"/>
      <c r="G277"/>
      <c r="H277"/>
      <c r="I277"/>
    </row>
    <row r="278" spans="1:9" ht="15" x14ac:dyDescent="0.2">
      <c r="A278"/>
      <c r="B278"/>
      <c r="C278"/>
      <c r="D278"/>
      <c r="E278"/>
      <c r="F278"/>
      <c r="G278"/>
      <c r="H278"/>
      <c r="I278"/>
    </row>
    <row r="279" spans="1:9" ht="15" x14ac:dyDescent="0.2">
      <c r="A279"/>
      <c r="B279"/>
      <c r="C279"/>
      <c r="D279"/>
      <c r="E279"/>
      <c r="F279"/>
      <c r="G279"/>
      <c r="H279"/>
      <c r="I279"/>
    </row>
    <row r="280" spans="1:9" ht="15" x14ac:dyDescent="0.2">
      <c r="A280"/>
      <c r="B280"/>
      <c r="C280"/>
      <c r="D280"/>
      <c r="E280"/>
      <c r="F280"/>
      <c r="G280"/>
      <c r="H280"/>
      <c r="I280"/>
    </row>
    <row r="281" spans="1:9" ht="15" x14ac:dyDescent="0.2">
      <c r="A281"/>
      <c r="B281"/>
      <c r="C281"/>
      <c r="D281"/>
      <c r="E281"/>
      <c r="F281"/>
      <c r="G281"/>
      <c r="H281"/>
      <c r="I281"/>
    </row>
    <row r="282" spans="1:9" ht="15" x14ac:dyDescent="0.2">
      <c r="A282"/>
      <c r="B282"/>
      <c r="C282"/>
      <c r="D282"/>
      <c r="E282"/>
      <c r="F282"/>
      <c r="G282"/>
      <c r="H282"/>
      <c r="I282"/>
    </row>
    <row r="283" spans="1:9" ht="15" x14ac:dyDescent="0.2">
      <c r="A283"/>
      <c r="B283"/>
      <c r="C283"/>
      <c r="D283"/>
      <c r="E283"/>
      <c r="F283"/>
      <c r="G283"/>
      <c r="H283"/>
      <c r="I283"/>
    </row>
    <row r="284" spans="1:9" ht="15" x14ac:dyDescent="0.2">
      <c r="A284"/>
      <c r="B284"/>
      <c r="C284"/>
      <c r="D284"/>
      <c r="E284"/>
      <c r="F284"/>
      <c r="G284"/>
      <c r="H284"/>
      <c r="I284"/>
    </row>
    <row r="285" spans="1:9" ht="15" x14ac:dyDescent="0.2">
      <c r="A285"/>
      <c r="B285"/>
      <c r="C285"/>
      <c r="D285"/>
      <c r="E285"/>
      <c r="F285"/>
      <c r="G285"/>
      <c r="H285"/>
      <c r="I285"/>
    </row>
    <row r="286" spans="1:9" ht="15" x14ac:dyDescent="0.2">
      <c r="A286"/>
      <c r="B286"/>
      <c r="C286"/>
      <c r="D286"/>
      <c r="E286"/>
      <c r="F286"/>
      <c r="G286"/>
      <c r="H286"/>
      <c r="I286"/>
    </row>
    <row r="287" spans="1:9" ht="15" x14ac:dyDescent="0.2">
      <c r="A287"/>
      <c r="B287"/>
      <c r="C287"/>
      <c r="D287"/>
      <c r="E287"/>
      <c r="F287"/>
      <c r="G287"/>
      <c r="H287"/>
      <c r="I287"/>
    </row>
    <row r="288" spans="1:9" ht="15" x14ac:dyDescent="0.2">
      <c r="A288"/>
      <c r="B288"/>
      <c r="C288"/>
      <c r="D288"/>
      <c r="E288"/>
      <c r="F288"/>
      <c r="G288"/>
      <c r="H288"/>
      <c r="I288"/>
    </row>
    <row r="289" spans="1:9" ht="15" x14ac:dyDescent="0.2">
      <c r="A289"/>
      <c r="B289"/>
      <c r="C289"/>
      <c r="D289"/>
      <c r="E289"/>
      <c r="F289"/>
      <c r="G289"/>
      <c r="H289"/>
      <c r="I289"/>
    </row>
    <row r="290" spans="1:9" ht="15" x14ac:dyDescent="0.2">
      <c r="A290"/>
      <c r="B290"/>
      <c r="C290"/>
      <c r="D290"/>
      <c r="E290"/>
      <c r="F290"/>
      <c r="G290"/>
      <c r="H290"/>
      <c r="I290"/>
    </row>
    <row r="291" spans="1:9" ht="15" x14ac:dyDescent="0.2">
      <c r="A291"/>
      <c r="B291"/>
      <c r="C291"/>
      <c r="D291"/>
      <c r="E291"/>
      <c r="F291"/>
      <c r="G291"/>
      <c r="H291"/>
      <c r="I291"/>
    </row>
    <row r="292" spans="1:9" ht="15" x14ac:dyDescent="0.2">
      <c r="A292"/>
      <c r="B292"/>
      <c r="C292"/>
      <c r="D292"/>
      <c r="E292"/>
      <c r="F292"/>
      <c r="G292"/>
      <c r="H292"/>
      <c r="I292"/>
    </row>
    <row r="293" spans="1:9" ht="15" x14ac:dyDescent="0.2">
      <c r="A293"/>
      <c r="B293"/>
      <c r="C293"/>
      <c r="D293"/>
      <c r="E293"/>
      <c r="F293"/>
      <c r="G293"/>
      <c r="H293"/>
      <c r="I293"/>
    </row>
    <row r="294" spans="1:9" ht="15" x14ac:dyDescent="0.2">
      <c r="A294"/>
      <c r="B294"/>
      <c r="C294"/>
      <c r="D294"/>
      <c r="E294"/>
      <c r="F294"/>
      <c r="G294"/>
      <c r="H294"/>
      <c r="I294"/>
    </row>
    <row r="295" spans="1:9" ht="15" x14ac:dyDescent="0.2">
      <c r="A295"/>
      <c r="B295"/>
      <c r="C295"/>
      <c r="D295"/>
      <c r="E295"/>
      <c r="F295"/>
      <c r="G295"/>
      <c r="H295"/>
      <c r="I295"/>
    </row>
    <row r="296" spans="1:9" ht="15" x14ac:dyDescent="0.2">
      <c r="A296"/>
      <c r="B296"/>
      <c r="C296"/>
      <c r="D296"/>
      <c r="E296"/>
      <c r="F296"/>
      <c r="G296"/>
      <c r="H296"/>
      <c r="I296"/>
    </row>
    <row r="297" spans="1:9" ht="15" x14ac:dyDescent="0.2">
      <c r="A297"/>
      <c r="B297"/>
      <c r="C297"/>
      <c r="D297"/>
      <c r="E297"/>
      <c r="F297"/>
      <c r="G297"/>
      <c r="H297"/>
      <c r="I297"/>
    </row>
    <row r="298" spans="1:9" ht="15" x14ac:dyDescent="0.2">
      <c r="A298"/>
      <c r="B298"/>
      <c r="C298"/>
      <c r="D298"/>
      <c r="E298"/>
      <c r="F298"/>
      <c r="G298"/>
      <c r="H298"/>
      <c r="I298"/>
    </row>
    <row r="299" spans="1:9" ht="15" x14ac:dyDescent="0.2">
      <c r="A299"/>
      <c r="B299"/>
      <c r="C299"/>
      <c r="D299"/>
      <c r="E299"/>
      <c r="F299"/>
      <c r="G299"/>
      <c r="H299"/>
      <c r="I299"/>
    </row>
    <row r="300" spans="1:9" ht="15" x14ac:dyDescent="0.2">
      <c r="A300"/>
      <c r="B300"/>
      <c r="C300"/>
      <c r="D300"/>
      <c r="E300"/>
      <c r="F300"/>
      <c r="G300"/>
      <c r="H300"/>
      <c r="I300"/>
    </row>
    <row r="301" spans="1:9" ht="15" x14ac:dyDescent="0.2">
      <c r="A301"/>
      <c r="B301"/>
      <c r="C301"/>
      <c r="D301"/>
      <c r="E301"/>
      <c r="F301"/>
      <c r="G301"/>
      <c r="H301"/>
      <c r="I301"/>
    </row>
    <row r="302" spans="1:9" ht="15" x14ac:dyDescent="0.2">
      <c r="A302"/>
      <c r="B302"/>
      <c r="C302"/>
      <c r="D302"/>
      <c r="E302"/>
      <c r="F302"/>
      <c r="G302"/>
      <c r="H302"/>
      <c r="I302"/>
    </row>
    <row r="303" spans="1:9" ht="15" x14ac:dyDescent="0.2">
      <c r="A303"/>
      <c r="B303"/>
      <c r="C303"/>
      <c r="D303"/>
      <c r="E303"/>
      <c r="F303"/>
      <c r="G303"/>
      <c r="H303"/>
      <c r="I303"/>
    </row>
    <row r="304" spans="1:9" ht="15" x14ac:dyDescent="0.2">
      <c r="A304"/>
      <c r="B304"/>
      <c r="C304"/>
      <c r="D304"/>
      <c r="E304"/>
      <c r="F304"/>
      <c r="G304"/>
      <c r="H304"/>
      <c r="I304"/>
    </row>
    <row r="305" spans="1:9" ht="15" x14ac:dyDescent="0.2">
      <c r="A305"/>
      <c r="B305"/>
      <c r="C305"/>
      <c r="D305"/>
      <c r="E305"/>
      <c r="F305"/>
      <c r="G305"/>
      <c r="H305"/>
      <c r="I305"/>
    </row>
    <row r="306" spans="1:9" ht="15" x14ac:dyDescent="0.2">
      <c r="A306"/>
      <c r="B306"/>
      <c r="C306"/>
      <c r="D306"/>
      <c r="E306"/>
      <c r="F306"/>
      <c r="G306"/>
      <c r="H306"/>
      <c r="I306"/>
    </row>
    <row r="307" spans="1:9" ht="15" x14ac:dyDescent="0.2">
      <c r="A307"/>
      <c r="B307"/>
      <c r="C307"/>
      <c r="D307"/>
      <c r="E307"/>
      <c r="F307"/>
      <c r="G307"/>
      <c r="H307"/>
      <c r="I307"/>
    </row>
    <row r="308" spans="1:9" ht="15" x14ac:dyDescent="0.2">
      <c r="A308"/>
      <c r="B308"/>
      <c r="C308"/>
      <c r="D308"/>
      <c r="E308"/>
      <c r="F308"/>
      <c r="G308"/>
      <c r="H308"/>
      <c r="I308"/>
    </row>
    <row r="309" spans="1:9" ht="15" x14ac:dyDescent="0.2">
      <c r="A309"/>
      <c r="B309"/>
      <c r="C309"/>
      <c r="D309"/>
      <c r="E309"/>
      <c r="F309"/>
      <c r="G309"/>
      <c r="H309"/>
      <c r="I309"/>
    </row>
    <row r="310" spans="1:9" ht="15" x14ac:dyDescent="0.2">
      <c r="A310"/>
      <c r="B310"/>
      <c r="C310"/>
      <c r="D310"/>
      <c r="E310"/>
      <c r="F310"/>
      <c r="G310"/>
      <c r="H310"/>
      <c r="I310"/>
    </row>
    <row r="311" spans="1:9" ht="15" x14ac:dyDescent="0.2">
      <c r="A311"/>
      <c r="B311"/>
      <c r="C311"/>
      <c r="D311"/>
      <c r="E311"/>
      <c r="F311"/>
      <c r="G311"/>
      <c r="H311"/>
      <c r="I311"/>
    </row>
    <row r="312" spans="1:9" ht="15" x14ac:dyDescent="0.2">
      <c r="A312"/>
      <c r="B312"/>
      <c r="C312"/>
      <c r="D312"/>
      <c r="E312"/>
      <c r="F312"/>
      <c r="G312"/>
      <c r="H312"/>
      <c r="I312"/>
    </row>
    <row r="313" spans="1:9" ht="15" x14ac:dyDescent="0.2">
      <c r="A313"/>
      <c r="B313"/>
      <c r="C313"/>
      <c r="D313"/>
      <c r="E313"/>
      <c r="F313"/>
      <c r="G313"/>
      <c r="H313"/>
      <c r="I313"/>
    </row>
    <row r="314" spans="1:9" ht="15" x14ac:dyDescent="0.2">
      <c r="A314"/>
      <c r="B314"/>
      <c r="C314"/>
      <c r="D314"/>
      <c r="E314"/>
      <c r="F314"/>
      <c r="G314"/>
      <c r="H314"/>
      <c r="I314"/>
    </row>
    <row r="315" spans="1:9" ht="15" x14ac:dyDescent="0.2">
      <c r="A315"/>
      <c r="B315"/>
      <c r="C315"/>
      <c r="D315"/>
      <c r="E315"/>
      <c r="F315"/>
      <c r="G315"/>
      <c r="H315"/>
      <c r="I315"/>
    </row>
    <row r="316" spans="1:9" ht="15" x14ac:dyDescent="0.2">
      <c r="A316"/>
      <c r="B316"/>
      <c r="C316"/>
      <c r="D316"/>
      <c r="E316"/>
      <c r="F316"/>
      <c r="G316"/>
      <c r="H316"/>
      <c r="I316"/>
    </row>
    <row r="317" spans="1:9" ht="15" x14ac:dyDescent="0.2">
      <c r="A317"/>
      <c r="B317"/>
      <c r="C317"/>
      <c r="D317"/>
      <c r="E317"/>
      <c r="F317"/>
      <c r="G317"/>
      <c r="H317"/>
      <c r="I317"/>
    </row>
    <row r="318" spans="1:9" ht="15" x14ac:dyDescent="0.2">
      <c r="A318"/>
      <c r="B318"/>
      <c r="C318"/>
      <c r="D318"/>
      <c r="E318"/>
      <c r="F318"/>
      <c r="G318"/>
      <c r="H318"/>
      <c r="I318"/>
    </row>
    <row r="319" spans="1:9" ht="15" x14ac:dyDescent="0.2">
      <c r="A319"/>
      <c r="B319"/>
      <c r="C319"/>
      <c r="D319"/>
      <c r="E319"/>
      <c r="F319"/>
      <c r="G319"/>
      <c r="H319"/>
      <c r="I319"/>
    </row>
    <row r="320" spans="1:9" ht="15" x14ac:dyDescent="0.2">
      <c r="A320"/>
      <c r="B320"/>
      <c r="C320"/>
      <c r="D320"/>
      <c r="E320"/>
      <c r="F320"/>
      <c r="G320"/>
      <c r="H320"/>
      <c r="I320"/>
    </row>
    <row r="321" spans="1:9" ht="15" x14ac:dyDescent="0.2">
      <c r="A321"/>
      <c r="B321"/>
      <c r="C321"/>
      <c r="D321"/>
      <c r="E321"/>
      <c r="F321"/>
      <c r="G321"/>
      <c r="H321"/>
      <c r="I321"/>
    </row>
    <row r="322" spans="1:9" ht="15" x14ac:dyDescent="0.2">
      <c r="A322"/>
      <c r="B322"/>
      <c r="C322"/>
      <c r="D322"/>
      <c r="E322"/>
      <c r="F322"/>
      <c r="G322"/>
      <c r="H322"/>
      <c r="I322"/>
    </row>
    <row r="323" spans="1:9" ht="15" x14ac:dyDescent="0.2">
      <c r="A323"/>
      <c r="B323"/>
      <c r="C323"/>
      <c r="D323"/>
      <c r="E323"/>
      <c r="F323"/>
      <c r="G323"/>
      <c r="H323"/>
      <c r="I323"/>
    </row>
    <row r="324" spans="1:9" ht="15" x14ac:dyDescent="0.2">
      <c r="A324"/>
      <c r="B324"/>
      <c r="C324"/>
      <c r="D324"/>
      <c r="E324"/>
      <c r="F324"/>
      <c r="G324"/>
      <c r="H324"/>
      <c r="I324"/>
    </row>
    <row r="325" spans="1:9" ht="15" x14ac:dyDescent="0.2">
      <c r="A325"/>
      <c r="B325"/>
      <c r="C325"/>
      <c r="D325"/>
      <c r="E325"/>
      <c r="F325"/>
      <c r="G325"/>
      <c r="H325"/>
      <c r="I325"/>
    </row>
    <row r="326" spans="1:9" ht="15" x14ac:dyDescent="0.2">
      <c r="A326"/>
      <c r="B326"/>
      <c r="C326"/>
      <c r="D326"/>
      <c r="E326"/>
      <c r="F326"/>
      <c r="G326"/>
      <c r="H326"/>
      <c r="I326"/>
    </row>
    <row r="327" spans="1:9" ht="15" x14ac:dyDescent="0.2">
      <c r="A327"/>
      <c r="B327"/>
      <c r="C327"/>
      <c r="D327"/>
      <c r="E327"/>
      <c r="F327"/>
      <c r="G327"/>
      <c r="H327"/>
      <c r="I327"/>
    </row>
    <row r="328" spans="1:9" ht="15" x14ac:dyDescent="0.2">
      <c r="A328"/>
      <c r="B328"/>
      <c r="C328"/>
      <c r="D328"/>
      <c r="E328"/>
      <c r="F328"/>
      <c r="G328"/>
      <c r="H328"/>
      <c r="I328"/>
    </row>
    <row r="329" spans="1:9" ht="15" x14ac:dyDescent="0.2">
      <c r="A329"/>
      <c r="B329"/>
      <c r="C329"/>
      <c r="D329"/>
      <c r="E329"/>
      <c r="F329"/>
      <c r="G329"/>
      <c r="H329"/>
      <c r="I329"/>
    </row>
    <row r="330" spans="1:9" ht="15" x14ac:dyDescent="0.2">
      <c r="A330"/>
      <c r="B330"/>
      <c r="C330"/>
      <c r="D330"/>
      <c r="E330"/>
      <c r="F330"/>
      <c r="G330"/>
      <c r="H330"/>
      <c r="I330"/>
    </row>
    <row r="331" spans="1:9" ht="15" x14ac:dyDescent="0.2">
      <c r="A331"/>
      <c r="B331"/>
      <c r="C331"/>
      <c r="D331"/>
      <c r="E331"/>
      <c r="F331"/>
      <c r="G331"/>
      <c r="H331"/>
      <c r="I331"/>
    </row>
    <row r="332" spans="1:9" ht="15" x14ac:dyDescent="0.2">
      <c r="A332"/>
      <c r="B332"/>
      <c r="C332"/>
      <c r="D332"/>
      <c r="E332"/>
      <c r="F332"/>
      <c r="G332"/>
      <c r="H332"/>
      <c r="I332"/>
    </row>
    <row r="333" spans="1:9" ht="15" x14ac:dyDescent="0.2">
      <c r="A333"/>
      <c r="B333"/>
      <c r="C333"/>
      <c r="D333"/>
      <c r="E333"/>
      <c r="F333"/>
      <c r="G333"/>
      <c r="H333"/>
      <c r="I333"/>
    </row>
    <row r="334" spans="1:9" ht="15" x14ac:dyDescent="0.2">
      <c r="A334"/>
      <c r="B334"/>
      <c r="C334"/>
      <c r="D334"/>
      <c r="E334"/>
      <c r="F334"/>
      <c r="G334"/>
      <c r="H334"/>
      <c r="I334"/>
    </row>
    <row r="335" spans="1:9" ht="15" x14ac:dyDescent="0.2">
      <c r="A335"/>
      <c r="B335"/>
      <c r="C335"/>
      <c r="D335"/>
      <c r="E335"/>
      <c r="F335"/>
      <c r="G335"/>
      <c r="H335"/>
      <c r="I335"/>
    </row>
    <row r="336" spans="1:9" ht="15" x14ac:dyDescent="0.2">
      <c r="A336"/>
      <c r="B336"/>
      <c r="C336"/>
      <c r="D336"/>
      <c r="E336"/>
      <c r="F336"/>
      <c r="G336"/>
      <c r="H336"/>
      <c r="I336"/>
    </row>
    <row r="337" spans="1:9" ht="15" x14ac:dyDescent="0.2">
      <c r="A337"/>
      <c r="B337"/>
      <c r="C337"/>
      <c r="D337"/>
      <c r="E337"/>
      <c r="F337"/>
      <c r="G337"/>
      <c r="H337"/>
      <c r="I337"/>
    </row>
    <row r="338" spans="1:9" ht="15" x14ac:dyDescent="0.2">
      <c r="A338"/>
      <c r="B338"/>
      <c r="C338"/>
      <c r="D338"/>
      <c r="E338"/>
      <c r="F338"/>
      <c r="G338"/>
      <c r="H338"/>
      <c r="I338"/>
    </row>
    <row r="339" spans="1:9" ht="15" x14ac:dyDescent="0.2">
      <c r="A339"/>
      <c r="B339"/>
      <c r="C339"/>
      <c r="D339"/>
      <c r="E339"/>
      <c r="F339"/>
      <c r="G339"/>
      <c r="H339"/>
      <c r="I339"/>
    </row>
    <row r="340" spans="1:9" ht="15" x14ac:dyDescent="0.2">
      <c r="A340"/>
      <c r="B340"/>
      <c r="C340"/>
      <c r="D340"/>
      <c r="E340"/>
      <c r="F340"/>
      <c r="G340"/>
      <c r="H340"/>
      <c r="I340"/>
    </row>
    <row r="341" spans="1:9" ht="15" x14ac:dyDescent="0.2">
      <c r="A341"/>
      <c r="B341"/>
      <c r="C341"/>
      <c r="D341"/>
      <c r="E341"/>
      <c r="F341"/>
      <c r="G341"/>
      <c r="H341"/>
      <c r="I341"/>
    </row>
    <row r="342" spans="1:9" ht="15" x14ac:dyDescent="0.2">
      <c r="A342"/>
      <c r="B342"/>
      <c r="C342"/>
      <c r="D342"/>
      <c r="E342"/>
      <c r="F342"/>
      <c r="G342"/>
      <c r="H342"/>
      <c r="I342"/>
    </row>
    <row r="343" spans="1:9" ht="15" x14ac:dyDescent="0.2">
      <c r="A343"/>
      <c r="B343"/>
      <c r="C343"/>
      <c r="D343"/>
      <c r="E343"/>
      <c r="F343"/>
      <c r="G343"/>
      <c r="H343"/>
      <c r="I343"/>
    </row>
    <row r="344" spans="1:9" ht="15" x14ac:dyDescent="0.2">
      <c r="A344"/>
      <c r="B344"/>
      <c r="C344"/>
      <c r="D344"/>
      <c r="E344"/>
      <c r="F344"/>
      <c r="G344"/>
      <c r="H344"/>
      <c r="I344"/>
    </row>
    <row r="345" spans="1:9" ht="15" x14ac:dyDescent="0.2">
      <c r="A345"/>
      <c r="B345"/>
      <c r="C345"/>
      <c r="D345"/>
      <c r="E345"/>
      <c r="F345"/>
      <c r="G345"/>
      <c r="H345"/>
      <c r="I345"/>
    </row>
    <row r="346" spans="1:9" ht="15" x14ac:dyDescent="0.2">
      <c r="A346"/>
      <c r="B346"/>
      <c r="C346"/>
      <c r="D346"/>
      <c r="E346"/>
      <c r="F346"/>
      <c r="G346"/>
      <c r="H346"/>
      <c r="I346"/>
    </row>
    <row r="347" spans="1:9" ht="15" x14ac:dyDescent="0.2">
      <c r="A347"/>
      <c r="B347"/>
      <c r="C347"/>
      <c r="D347"/>
      <c r="E347"/>
      <c r="F347"/>
      <c r="G347"/>
      <c r="H347"/>
      <c r="I347"/>
    </row>
    <row r="348" spans="1:9" ht="15" x14ac:dyDescent="0.2">
      <c r="A348"/>
      <c r="B348"/>
      <c r="C348"/>
      <c r="D348"/>
      <c r="E348"/>
      <c r="F348"/>
      <c r="G348"/>
      <c r="H348"/>
      <c r="I348"/>
    </row>
    <row r="349" spans="1:9" ht="15" x14ac:dyDescent="0.2">
      <c r="A349"/>
      <c r="B349"/>
      <c r="C349"/>
      <c r="D349"/>
      <c r="E349"/>
      <c r="F349"/>
      <c r="G349"/>
      <c r="H349"/>
      <c r="I349"/>
    </row>
    <row r="350" spans="1:9" ht="15" x14ac:dyDescent="0.2">
      <c r="A350"/>
      <c r="B350"/>
      <c r="C350"/>
      <c r="D350"/>
      <c r="E350"/>
      <c r="F350"/>
      <c r="G350"/>
      <c r="H350"/>
      <c r="I350"/>
    </row>
    <row r="351" spans="1:9" ht="15" x14ac:dyDescent="0.2">
      <c r="A351"/>
      <c r="B351"/>
      <c r="C351"/>
      <c r="D351"/>
      <c r="E351"/>
      <c r="F351"/>
      <c r="G351"/>
      <c r="H351"/>
      <c r="I351"/>
    </row>
    <row r="352" spans="1:9" ht="15" x14ac:dyDescent="0.2">
      <c r="A352"/>
      <c r="B352"/>
      <c r="C352"/>
      <c r="D352"/>
      <c r="E352"/>
      <c r="F352"/>
      <c r="G352"/>
      <c r="H352"/>
      <c r="I352"/>
    </row>
    <row r="353" spans="1:9" ht="15" x14ac:dyDescent="0.2">
      <c r="A353"/>
      <c r="B353"/>
      <c r="C353"/>
      <c r="D353"/>
      <c r="E353"/>
      <c r="F353"/>
      <c r="G353"/>
      <c r="H353"/>
      <c r="I353"/>
    </row>
    <row r="354" spans="1:9" ht="15" x14ac:dyDescent="0.2">
      <c r="A354"/>
      <c r="B354"/>
      <c r="C354"/>
      <c r="D354"/>
      <c r="E354"/>
      <c r="F354"/>
      <c r="G354"/>
      <c r="H354"/>
      <c r="I354"/>
    </row>
    <row r="355" spans="1:9" ht="15" x14ac:dyDescent="0.2">
      <c r="A355"/>
      <c r="B355"/>
      <c r="C355"/>
      <c r="D355"/>
      <c r="E355"/>
      <c r="F355"/>
      <c r="G355"/>
      <c r="H355"/>
      <c r="I355"/>
    </row>
    <row r="356" spans="1:9" ht="15" x14ac:dyDescent="0.2">
      <c r="A356"/>
      <c r="B356"/>
      <c r="C356"/>
      <c r="D356"/>
      <c r="E356"/>
      <c r="F356"/>
      <c r="G356"/>
      <c r="H356"/>
      <c r="I356"/>
    </row>
    <row r="357" spans="1:9" ht="15" x14ac:dyDescent="0.2">
      <c r="A357"/>
      <c r="B357"/>
      <c r="C357"/>
      <c r="D357"/>
      <c r="E357"/>
      <c r="F357"/>
      <c r="G357"/>
      <c r="H357"/>
      <c r="I357"/>
    </row>
    <row r="358" spans="1:9" ht="15" x14ac:dyDescent="0.2">
      <c r="A358"/>
      <c r="B358"/>
      <c r="C358"/>
      <c r="D358"/>
      <c r="E358"/>
      <c r="F358"/>
      <c r="G358"/>
      <c r="H358"/>
      <c r="I358"/>
    </row>
    <row r="359" spans="1:9" ht="15" x14ac:dyDescent="0.2">
      <c r="A359"/>
      <c r="B359"/>
      <c r="C359"/>
      <c r="D359"/>
      <c r="E359"/>
      <c r="F359"/>
      <c r="G359"/>
      <c r="H359"/>
      <c r="I359"/>
    </row>
    <row r="360" spans="1:9" ht="15" x14ac:dyDescent="0.2">
      <c r="A360"/>
      <c r="B360"/>
      <c r="C360"/>
      <c r="D360"/>
      <c r="E360"/>
      <c r="F360"/>
      <c r="G360"/>
      <c r="H360"/>
      <c r="I360"/>
    </row>
    <row r="361" spans="1:9" ht="15" x14ac:dyDescent="0.2">
      <c r="A361"/>
      <c r="B361"/>
      <c r="C361"/>
      <c r="D361"/>
      <c r="E361"/>
      <c r="F361"/>
      <c r="G361"/>
      <c r="H361"/>
      <c r="I361"/>
    </row>
    <row r="362" spans="1:9" ht="15" x14ac:dyDescent="0.2">
      <c r="A362"/>
      <c r="B362"/>
      <c r="C362"/>
      <c r="D362"/>
      <c r="E362"/>
      <c r="F362"/>
      <c r="G362"/>
      <c r="H362"/>
      <c r="I362"/>
    </row>
    <row r="363" spans="1:9" ht="15" x14ac:dyDescent="0.2">
      <c r="A363"/>
      <c r="B363"/>
      <c r="C363"/>
      <c r="D363"/>
      <c r="E363"/>
      <c r="F363"/>
      <c r="G363"/>
      <c r="H363"/>
      <c r="I363"/>
    </row>
    <row r="364" spans="1:9" ht="15" x14ac:dyDescent="0.2">
      <c r="A364"/>
      <c r="B364"/>
      <c r="C364"/>
      <c r="D364"/>
      <c r="E364"/>
      <c r="F364"/>
      <c r="G364"/>
      <c r="H364"/>
      <c r="I364"/>
    </row>
    <row r="365" spans="1:9" ht="15" x14ac:dyDescent="0.2">
      <c r="A365"/>
      <c r="B365"/>
      <c r="C365"/>
      <c r="D365"/>
      <c r="E365"/>
      <c r="F365"/>
      <c r="G365"/>
      <c r="H365"/>
      <c r="I365"/>
    </row>
    <row r="366" spans="1:9" ht="15" x14ac:dyDescent="0.2">
      <c r="A366"/>
      <c r="B366"/>
      <c r="C366"/>
      <c r="D366"/>
      <c r="E366"/>
      <c r="F366"/>
      <c r="G366"/>
      <c r="H366"/>
      <c r="I366"/>
    </row>
    <row r="367" spans="1:9" ht="15" x14ac:dyDescent="0.2">
      <c r="A367"/>
      <c r="B367"/>
      <c r="C367"/>
      <c r="D367"/>
      <c r="E367"/>
      <c r="F367"/>
      <c r="G367"/>
      <c r="H367"/>
      <c r="I367"/>
    </row>
    <row r="368" spans="1:9" ht="15" x14ac:dyDescent="0.2">
      <c r="A368"/>
      <c r="B368"/>
      <c r="C368"/>
      <c r="D368"/>
      <c r="E368"/>
      <c r="F368"/>
      <c r="G368"/>
      <c r="H368"/>
      <c r="I368"/>
    </row>
    <row r="369" spans="1:9" ht="15" x14ac:dyDescent="0.2">
      <c r="A369"/>
      <c r="B369"/>
      <c r="C369"/>
      <c r="D369"/>
      <c r="E369"/>
      <c r="F369"/>
      <c r="G369"/>
      <c r="H369"/>
      <c r="I369"/>
    </row>
    <row r="370" spans="1:9" ht="15" x14ac:dyDescent="0.2">
      <c r="A370"/>
      <c r="B370"/>
      <c r="C370"/>
      <c r="D370"/>
      <c r="E370"/>
      <c r="F370"/>
      <c r="G370"/>
      <c r="H370"/>
      <c r="I370"/>
    </row>
    <row r="371" spans="1:9" ht="15" x14ac:dyDescent="0.2">
      <c r="A371"/>
      <c r="B371"/>
      <c r="C371"/>
      <c r="D371"/>
      <c r="E371"/>
      <c r="F371"/>
      <c r="G371"/>
      <c r="H371"/>
      <c r="I371"/>
    </row>
    <row r="372" spans="1:9" ht="15" x14ac:dyDescent="0.2">
      <c r="A372"/>
      <c r="B372"/>
      <c r="C372"/>
      <c r="D372"/>
      <c r="E372"/>
      <c r="F372"/>
      <c r="G372"/>
      <c r="H372"/>
      <c r="I372"/>
    </row>
    <row r="373" spans="1:9" ht="15" x14ac:dyDescent="0.2">
      <c r="A373"/>
      <c r="B373"/>
      <c r="C373"/>
      <c r="D373"/>
      <c r="E373"/>
      <c r="F373"/>
      <c r="G373"/>
      <c r="H373"/>
      <c r="I373"/>
    </row>
    <row r="374" spans="1:9" ht="15" x14ac:dyDescent="0.2">
      <c r="A374"/>
      <c r="B374"/>
      <c r="C374"/>
      <c r="D374"/>
      <c r="E374"/>
      <c r="F374"/>
      <c r="G374"/>
      <c r="H374"/>
      <c r="I374"/>
    </row>
    <row r="375" spans="1:9" ht="15" x14ac:dyDescent="0.2">
      <c r="A375"/>
      <c r="B375"/>
      <c r="C375"/>
      <c r="D375"/>
      <c r="E375"/>
      <c r="F375"/>
      <c r="G375"/>
      <c r="H375"/>
      <c r="I375"/>
    </row>
    <row r="376" spans="1:9" ht="15" x14ac:dyDescent="0.2">
      <c r="A376"/>
      <c r="B376"/>
      <c r="C376"/>
      <c r="D376"/>
      <c r="E376"/>
      <c r="F376"/>
      <c r="G376"/>
      <c r="H376"/>
      <c r="I376"/>
    </row>
    <row r="377" spans="1:9" ht="15" x14ac:dyDescent="0.2">
      <c r="A377"/>
      <c r="B377"/>
      <c r="C377"/>
      <c r="D377"/>
      <c r="E377"/>
      <c r="F377"/>
      <c r="G377"/>
      <c r="H377"/>
      <c r="I377"/>
    </row>
    <row r="378" spans="1:9" ht="15" x14ac:dyDescent="0.2">
      <c r="A378"/>
      <c r="B378"/>
      <c r="C378"/>
      <c r="D378"/>
      <c r="E378"/>
      <c r="F378"/>
      <c r="G378"/>
      <c r="H378"/>
      <c r="I378"/>
    </row>
    <row r="379" spans="1:9" ht="15" x14ac:dyDescent="0.2">
      <c r="A379"/>
      <c r="B379"/>
      <c r="C379"/>
      <c r="D379"/>
      <c r="E379"/>
      <c r="F379"/>
      <c r="G379"/>
      <c r="H379"/>
      <c r="I379"/>
    </row>
    <row r="380" spans="1:9" ht="15" x14ac:dyDescent="0.2">
      <c r="A380"/>
      <c r="B380"/>
      <c r="C380"/>
      <c r="D380"/>
      <c r="E380"/>
      <c r="F380"/>
      <c r="G380"/>
      <c r="H380"/>
      <c r="I380"/>
    </row>
    <row r="381" spans="1:9" ht="15" x14ac:dyDescent="0.2">
      <c r="A381"/>
      <c r="B381"/>
      <c r="C381"/>
      <c r="D381"/>
      <c r="E381"/>
      <c r="F381"/>
      <c r="G381"/>
      <c r="H381"/>
      <c r="I381"/>
    </row>
    <row r="382" spans="1:9" ht="15" x14ac:dyDescent="0.2">
      <c r="A382"/>
      <c r="B382"/>
      <c r="C382"/>
      <c r="D382"/>
      <c r="E382"/>
      <c r="F382"/>
      <c r="G382"/>
      <c r="H382"/>
      <c r="I382"/>
    </row>
    <row r="383" spans="1:9" ht="15" x14ac:dyDescent="0.2">
      <c r="A383"/>
      <c r="B383"/>
      <c r="C383"/>
      <c r="D383"/>
      <c r="E383"/>
      <c r="F383"/>
      <c r="G383"/>
      <c r="H383"/>
      <c r="I383"/>
    </row>
    <row r="384" spans="1:9" ht="15" x14ac:dyDescent="0.2">
      <c r="A384"/>
      <c r="B384"/>
      <c r="C384"/>
      <c r="D384"/>
      <c r="E384"/>
      <c r="F384"/>
      <c r="G384"/>
      <c r="H384"/>
      <c r="I384"/>
    </row>
    <row r="385" spans="1:9" ht="15" x14ac:dyDescent="0.2">
      <c r="A385"/>
      <c r="B385"/>
      <c r="C385"/>
      <c r="D385"/>
      <c r="E385"/>
      <c r="F385"/>
      <c r="G385"/>
      <c r="H385"/>
      <c r="I385"/>
    </row>
    <row r="386" spans="1:9" ht="15" x14ac:dyDescent="0.2">
      <c r="A386"/>
      <c r="B386"/>
      <c r="C386"/>
      <c r="D386"/>
      <c r="E386"/>
      <c r="F386"/>
      <c r="G386"/>
      <c r="H386"/>
      <c r="I386"/>
    </row>
    <row r="387" spans="1:9" ht="15" x14ac:dyDescent="0.2">
      <c r="A387"/>
      <c r="B387"/>
      <c r="C387"/>
      <c r="D387"/>
      <c r="E387"/>
      <c r="F387"/>
      <c r="G387"/>
      <c r="H387"/>
      <c r="I387"/>
    </row>
    <row r="388" spans="1:9" ht="15" x14ac:dyDescent="0.2">
      <c r="A388"/>
      <c r="B388"/>
      <c r="C388"/>
      <c r="D388"/>
      <c r="E388"/>
      <c r="F388"/>
      <c r="G388"/>
      <c r="H388"/>
      <c r="I388"/>
    </row>
    <row r="389" spans="1:9" ht="15" x14ac:dyDescent="0.2">
      <c r="A389"/>
      <c r="B389"/>
      <c r="C389"/>
      <c r="D389"/>
      <c r="E389"/>
      <c r="F389"/>
      <c r="G389"/>
      <c r="H389"/>
      <c r="I389"/>
    </row>
    <row r="390" spans="1:9" ht="15" x14ac:dyDescent="0.2">
      <c r="A390"/>
      <c r="B390"/>
      <c r="C390"/>
      <c r="D390"/>
      <c r="E390"/>
      <c r="F390"/>
      <c r="G390"/>
      <c r="H390"/>
      <c r="I390"/>
    </row>
    <row r="391" spans="1:9" ht="15" x14ac:dyDescent="0.2">
      <c r="A391"/>
      <c r="B391"/>
      <c r="C391"/>
      <c r="D391"/>
      <c r="E391"/>
      <c r="F391"/>
      <c r="G391"/>
      <c r="H391"/>
      <c r="I391"/>
    </row>
    <row r="392" spans="1:9" ht="15" x14ac:dyDescent="0.2">
      <c r="A392"/>
      <c r="B392"/>
      <c r="C392"/>
      <c r="D392"/>
      <c r="E392"/>
      <c r="F392"/>
      <c r="G392"/>
      <c r="H392"/>
      <c r="I392"/>
    </row>
    <row r="393" spans="1:9" ht="15" x14ac:dyDescent="0.2">
      <c r="A393"/>
      <c r="B393"/>
      <c r="C393"/>
      <c r="D393"/>
      <c r="E393"/>
      <c r="F393"/>
      <c r="G393"/>
      <c r="H393"/>
      <c r="I393"/>
    </row>
    <row r="394" spans="1:9" ht="15" x14ac:dyDescent="0.2">
      <c r="A394"/>
      <c r="B394"/>
      <c r="C394"/>
      <c r="D394"/>
      <c r="E394"/>
      <c r="F394"/>
      <c r="G394"/>
      <c r="H394"/>
      <c r="I394"/>
    </row>
    <row r="395" spans="1:9" ht="15" x14ac:dyDescent="0.2">
      <c r="A395"/>
      <c r="B395"/>
      <c r="C395"/>
      <c r="D395"/>
      <c r="E395"/>
      <c r="F395"/>
      <c r="G395"/>
      <c r="H395"/>
      <c r="I395"/>
    </row>
    <row r="396" spans="1:9" ht="15" x14ac:dyDescent="0.2">
      <c r="A396"/>
      <c r="B396"/>
      <c r="C396"/>
      <c r="D396"/>
      <c r="E396"/>
      <c r="F396"/>
      <c r="G396"/>
      <c r="H396"/>
      <c r="I396"/>
    </row>
    <row r="397" spans="1:9" ht="15" x14ac:dyDescent="0.2">
      <c r="A397"/>
      <c r="B397"/>
      <c r="C397"/>
      <c r="D397"/>
      <c r="E397"/>
      <c r="F397"/>
      <c r="G397"/>
      <c r="H397"/>
      <c r="I397"/>
    </row>
    <row r="398" spans="1:9" ht="15" x14ac:dyDescent="0.2">
      <c r="A398"/>
      <c r="B398"/>
      <c r="C398"/>
      <c r="D398"/>
      <c r="E398"/>
      <c r="F398"/>
      <c r="G398"/>
      <c r="H398"/>
      <c r="I398"/>
    </row>
    <row r="399" spans="1:9" ht="15" x14ac:dyDescent="0.2">
      <c r="A399"/>
      <c r="B399"/>
      <c r="C399"/>
      <c r="D399"/>
      <c r="E399"/>
      <c r="F399"/>
      <c r="G399"/>
      <c r="H399"/>
      <c r="I399"/>
    </row>
    <row r="400" spans="1:9" ht="15" x14ac:dyDescent="0.2">
      <c r="A400"/>
      <c r="B400"/>
      <c r="C400"/>
      <c r="D400"/>
      <c r="E400"/>
      <c r="F400"/>
      <c r="G400"/>
      <c r="H400"/>
      <c r="I400"/>
    </row>
    <row r="401" spans="1:9" ht="15" x14ac:dyDescent="0.2">
      <c r="A401"/>
      <c r="B401"/>
      <c r="C401"/>
      <c r="D401"/>
      <c r="E401"/>
      <c r="F401"/>
      <c r="G401"/>
      <c r="H401"/>
      <c r="I401"/>
    </row>
    <row r="402" spans="1:9" ht="15" x14ac:dyDescent="0.2">
      <c r="A402"/>
      <c r="B402"/>
      <c r="C402"/>
      <c r="D402"/>
      <c r="E402"/>
      <c r="F402"/>
      <c r="G402"/>
      <c r="H402"/>
      <c r="I402"/>
    </row>
    <row r="403" spans="1:9" ht="15" x14ac:dyDescent="0.2">
      <c r="A403"/>
      <c r="B403"/>
      <c r="C403"/>
      <c r="D403"/>
      <c r="E403"/>
      <c r="F403"/>
      <c r="G403"/>
      <c r="H403"/>
      <c r="I403"/>
    </row>
    <row r="404" spans="1:9" ht="15" x14ac:dyDescent="0.2">
      <c r="A404"/>
      <c r="B404"/>
      <c r="C404"/>
      <c r="D404"/>
      <c r="E404"/>
      <c r="F404"/>
      <c r="G404"/>
      <c r="H404"/>
      <c r="I404"/>
    </row>
    <row r="405" spans="1:9" ht="15" x14ac:dyDescent="0.2">
      <c r="A405"/>
      <c r="B405"/>
      <c r="C405"/>
      <c r="D405"/>
      <c r="E405"/>
      <c r="F405"/>
      <c r="G405"/>
      <c r="H405"/>
      <c r="I405"/>
    </row>
    <row r="406" spans="1:9" ht="15" x14ac:dyDescent="0.2">
      <c r="A406"/>
      <c r="B406"/>
      <c r="C406"/>
      <c r="D406"/>
      <c r="E406"/>
      <c r="F406"/>
      <c r="G406"/>
      <c r="H406"/>
      <c r="I406"/>
    </row>
    <row r="407" spans="1:9" ht="15" x14ac:dyDescent="0.2">
      <c r="A407"/>
      <c r="B407"/>
      <c r="C407"/>
      <c r="D407"/>
      <c r="E407"/>
      <c r="F407"/>
      <c r="G407"/>
      <c r="H407"/>
      <c r="I407"/>
    </row>
    <row r="408" spans="1:9" ht="15" x14ac:dyDescent="0.2">
      <c r="A408"/>
      <c r="B408"/>
      <c r="C408"/>
      <c r="D408"/>
      <c r="E408"/>
      <c r="F408"/>
      <c r="G408"/>
      <c r="H408"/>
      <c r="I408"/>
    </row>
    <row r="409" spans="1:9" ht="15" x14ac:dyDescent="0.2">
      <c r="A409"/>
      <c r="B409"/>
      <c r="C409"/>
      <c r="D409"/>
      <c r="E409"/>
      <c r="F409"/>
      <c r="G409"/>
      <c r="H409"/>
      <c r="I409"/>
    </row>
    <row r="410" spans="1:9" ht="15" x14ac:dyDescent="0.2">
      <c r="A410"/>
      <c r="B410"/>
      <c r="C410"/>
      <c r="D410"/>
      <c r="E410"/>
      <c r="F410"/>
      <c r="G410"/>
      <c r="H410"/>
      <c r="I410"/>
    </row>
    <row r="411" spans="1:9" ht="15" x14ac:dyDescent="0.2">
      <c r="A411"/>
      <c r="B411"/>
      <c r="C411"/>
      <c r="D411"/>
      <c r="E411"/>
      <c r="F411"/>
      <c r="G411"/>
      <c r="H411"/>
      <c r="I411"/>
    </row>
    <row r="412" spans="1:9" ht="15" x14ac:dyDescent="0.2">
      <c r="A412"/>
      <c r="B412"/>
      <c r="C412"/>
      <c r="D412"/>
      <c r="E412"/>
      <c r="F412"/>
      <c r="G412"/>
      <c r="H412"/>
      <c r="I412"/>
    </row>
    <row r="413" spans="1:9" ht="15" x14ac:dyDescent="0.2">
      <c r="A413"/>
      <c r="B413"/>
      <c r="C413"/>
      <c r="D413"/>
      <c r="E413"/>
      <c r="F413"/>
      <c r="G413"/>
      <c r="H413"/>
      <c r="I413"/>
    </row>
    <row r="414" spans="1:9" ht="15" x14ac:dyDescent="0.2">
      <c r="A414"/>
      <c r="B414"/>
      <c r="C414"/>
      <c r="D414"/>
      <c r="E414"/>
      <c r="F414"/>
      <c r="G414"/>
      <c r="H414"/>
      <c r="I414"/>
    </row>
    <row r="415" spans="1:9" ht="15" x14ac:dyDescent="0.2">
      <c r="A415"/>
      <c r="B415"/>
      <c r="C415"/>
      <c r="D415"/>
      <c r="E415"/>
      <c r="F415"/>
      <c r="G415"/>
      <c r="H415"/>
      <c r="I415"/>
    </row>
    <row r="416" spans="1:9" ht="15" x14ac:dyDescent="0.2">
      <c r="A416"/>
      <c r="B416"/>
      <c r="C416"/>
      <c r="D416"/>
      <c r="E416"/>
      <c r="F416"/>
      <c r="G416"/>
      <c r="H416"/>
      <c r="I416"/>
    </row>
    <row r="417" spans="1:9" ht="15" x14ac:dyDescent="0.2">
      <c r="A417"/>
      <c r="B417"/>
      <c r="C417"/>
      <c r="D417"/>
      <c r="E417"/>
      <c r="F417"/>
      <c r="G417"/>
      <c r="H417"/>
      <c r="I417"/>
    </row>
    <row r="418" spans="1:9" ht="15" x14ac:dyDescent="0.2">
      <c r="A418"/>
      <c r="B418"/>
      <c r="C418"/>
      <c r="D418"/>
      <c r="E418"/>
      <c r="F418"/>
      <c r="G418"/>
      <c r="H418"/>
      <c r="I418"/>
    </row>
    <row r="419" spans="1:9" ht="15" x14ac:dyDescent="0.2">
      <c r="A419"/>
      <c r="B419"/>
      <c r="C419"/>
      <c r="D419"/>
      <c r="E419"/>
      <c r="F419"/>
      <c r="G419"/>
      <c r="H419"/>
      <c r="I419"/>
    </row>
    <row r="420" spans="1:9" ht="15" x14ac:dyDescent="0.2">
      <c r="A420"/>
      <c r="B420"/>
      <c r="C420"/>
      <c r="D420"/>
      <c r="E420"/>
      <c r="F420"/>
      <c r="G420"/>
      <c r="H420"/>
      <c r="I420"/>
    </row>
    <row r="421" spans="1:9" ht="15" x14ac:dyDescent="0.2">
      <c r="A421"/>
      <c r="B421"/>
      <c r="C421"/>
      <c r="D421"/>
      <c r="E421"/>
      <c r="F421"/>
      <c r="G421"/>
      <c r="H421"/>
      <c r="I421"/>
    </row>
    <row r="422" spans="1:9" ht="15" x14ac:dyDescent="0.2">
      <c r="A422"/>
      <c r="B422"/>
      <c r="C422"/>
      <c r="D422"/>
      <c r="E422"/>
      <c r="F422"/>
      <c r="G422"/>
      <c r="H422"/>
      <c r="I422"/>
    </row>
    <row r="423" spans="1:9" ht="15" x14ac:dyDescent="0.2">
      <c r="A423"/>
      <c r="B423"/>
      <c r="C423"/>
      <c r="D423"/>
      <c r="E423"/>
      <c r="F423"/>
      <c r="G423"/>
      <c r="H423"/>
      <c r="I423"/>
    </row>
    <row r="424" spans="1:9" ht="15" x14ac:dyDescent="0.2">
      <c r="A424"/>
      <c r="B424"/>
      <c r="C424"/>
      <c r="D424"/>
      <c r="E424"/>
      <c r="F424"/>
      <c r="G424"/>
      <c r="H424"/>
      <c r="I424"/>
    </row>
    <row r="425" spans="1:9" ht="15" x14ac:dyDescent="0.2">
      <c r="A425"/>
      <c r="B425"/>
      <c r="C425"/>
      <c r="D425"/>
      <c r="E425"/>
      <c r="F425"/>
      <c r="G425"/>
      <c r="H425"/>
      <c r="I425"/>
    </row>
    <row r="426" spans="1:9" ht="15" x14ac:dyDescent="0.2">
      <c r="A426"/>
      <c r="B426"/>
      <c r="C426"/>
      <c r="D426"/>
      <c r="E426"/>
      <c r="F426"/>
      <c r="G426"/>
      <c r="H426"/>
      <c r="I426"/>
    </row>
    <row r="427" spans="1:9" ht="15" x14ac:dyDescent="0.2">
      <c r="A427"/>
      <c r="B427"/>
      <c r="C427"/>
      <c r="D427"/>
      <c r="E427"/>
      <c r="F427"/>
      <c r="G427"/>
      <c r="H427"/>
      <c r="I427"/>
    </row>
    <row r="428" spans="1:9" ht="15" x14ac:dyDescent="0.2">
      <c r="A428"/>
      <c r="B428"/>
      <c r="C428"/>
      <c r="D428"/>
      <c r="E428"/>
      <c r="F428"/>
      <c r="G428"/>
      <c r="H428"/>
      <c r="I428"/>
    </row>
    <row r="429" spans="1:9" ht="15" x14ac:dyDescent="0.2">
      <c r="A429"/>
      <c r="B429"/>
      <c r="C429"/>
      <c r="D429"/>
      <c r="E429"/>
      <c r="F429"/>
      <c r="G429"/>
      <c r="H429"/>
      <c r="I429"/>
    </row>
    <row r="430" spans="1:9" ht="15" x14ac:dyDescent="0.2">
      <c r="A430"/>
      <c r="B430"/>
      <c r="C430"/>
      <c r="D430"/>
      <c r="E430"/>
      <c r="F430"/>
      <c r="G430"/>
      <c r="H430"/>
      <c r="I430"/>
    </row>
    <row r="431" spans="1:9" ht="15" x14ac:dyDescent="0.2">
      <c r="A431"/>
      <c r="B431"/>
      <c r="C431"/>
      <c r="D431"/>
      <c r="E431"/>
      <c r="F431"/>
      <c r="G431"/>
      <c r="H431"/>
      <c r="I431"/>
    </row>
    <row r="432" spans="1:9" ht="15" x14ac:dyDescent="0.2">
      <c r="A432"/>
      <c r="B432"/>
      <c r="C432"/>
      <c r="D432"/>
      <c r="E432"/>
      <c r="F432"/>
      <c r="G432"/>
      <c r="H432"/>
      <c r="I432"/>
    </row>
    <row r="433" spans="1:9" ht="15" x14ac:dyDescent="0.2">
      <c r="A433"/>
      <c r="B433"/>
      <c r="C433"/>
      <c r="D433"/>
      <c r="E433"/>
      <c r="F433"/>
      <c r="G433"/>
      <c r="H433"/>
      <c r="I433"/>
    </row>
    <row r="434" spans="1:9" ht="15" x14ac:dyDescent="0.2">
      <c r="A434"/>
      <c r="B434"/>
      <c r="C434"/>
      <c r="D434"/>
      <c r="E434"/>
      <c r="F434"/>
      <c r="G434"/>
      <c r="H434"/>
      <c r="I434"/>
    </row>
    <row r="435" spans="1:9" ht="15" x14ac:dyDescent="0.2">
      <c r="A435"/>
      <c r="B435"/>
      <c r="C435"/>
      <c r="D435"/>
      <c r="E435"/>
      <c r="F435"/>
      <c r="G435"/>
      <c r="H435"/>
      <c r="I435"/>
    </row>
    <row r="436" spans="1:9" ht="15" x14ac:dyDescent="0.2">
      <c r="A436"/>
      <c r="B436"/>
      <c r="C436"/>
      <c r="D436"/>
      <c r="E436"/>
      <c r="F436"/>
      <c r="G436"/>
      <c r="H436"/>
      <c r="I436"/>
    </row>
    <row r="437" spans="1:9" ht="15" x14ac:dyDescent="0.2">
      <c r="A437"/>
      <c r="B437"/>
      <c r="C437"/>
      <c r="D437"/>
      <c r="E437"/>
      <c r="F437"/>
      <c r="G437"/>
      <c r="H437"/>
      <c r="I437"/>
    </row>
    <row r="438" spans="1:9" ht="15" x14ac:dyDescent="0.2">
      <c r="A438"/>
      <c r="B438"/>
      <c r="C438"/>
      <c r="D438"/>
      <c r="E438"/>
      <c r="F438"/>
      <c r="G438"/>
      <c r="H438"/>
      <c r="I438"/>
    </row>
    <row r="439" spans="1:9" ht="15" x14ac:dyDescent="0.2">
      <c r="A439"/>
      <c r="B439"/>
      <c r="C439"/>
      <c r="D439"/>
      <c r="E439"/>
      <c r="F439"/>
      <c r="G439"/>
      <c r="H439"/>
      <c r="I439"/>
    </row>
    <row r="440" spans="1:9" ht="15" x14ac:dyDescent="0.2">
      <c r="A440"/>
      <c r="B440"/>
      <c r="C440"/>
      <c r="D440"/>
      <c r="E440"/>
      <c r="F440"/>
      <c r="G440"/>
      <c r="H440"/>
      <c r="I440"/>
    </row>
    <row r="441" spans="1:9" ht="15" x14ac:dyDescent="0.2">
      <c r="A441"/>
      <c r="B441"/>
      <c r="C441"/>
      <c r="D441"/>
      <c r="E441"/>
      <c r="F441"/>
      <c r="G441"/>
      <c r="H441"/>
      <c r="I441"/>
    </row>
    <row r="442" spans="1:9" ht="15" x14ac:dyDescent="0.2">
      <c r="A442"/>
      <c r="B442"/>
      <c r="C442"/>
      <c r="D442"/>
      <c r="E442"/>
      <c r="F442"/>
      <c r="G442"/>
      <c r="H442"/>
      <c r="I442"/>
    </row>
    <row r="443" spans="1:9" ht="15" x14ac:dyDescent="0.2">
      <c r="A443"/>
      <c r="B443"/>
      <c r="C443"/>
      <c r="D443"/>
      <c r="E443"/>
      <c r="F443"/>
      <c r="G443"/>
      <c r="H443"/>
      <c r="I443"/>
    </row>
    <row r="444" spans="1:9" ht="15" x14ac:dyDescent="0.2">
      <c r="A444"/>
      <c r="B444"/>
      <c r="C444"/>
      <c r="D444"/>
      <c r="E444"/>
      <c r="F444"/>
      <c r="G444"/>
      <c r="H444"/>
      <c r="I444"/>
    </row>
    <row r="445" spans="1:9" ht="15" x14ac:dyDescent="0.2">
      <c r="A445"/>
      <c r="B445"/>
      <c r="C445"/>
      <c r="D445"/>
      <c r="E445"/>
      <c r="F445"/>
      <c r="G445"/>
      <c r="H445"/>
      <c r="I445"/>
    </row>
    <row r="446" spans="1:9" ht="15" x14ac:dyDescent="0.2">
      <c r="A446"/>
      <c r="B446"/>
      <c r="C446"/>
      <c r="D446"/>
      <c r="E446"/>
      <c r="F446"/>
      <c r="G446"/>
      <c r="H446"/>
      <c r="I446"/>
    </row>
    <row r="447" spans="1:9" ht="15" x14ac:dyDescent="0.2">
      <c r="A447"/>
      <c r="B447"/>
      <c r="C447"/>
      <c r="D447"/>
      <c r="E447"/>
      <c r="F447"/>
      <c r="G447"/>
      <c r="H447"/>
      <c r="I447"/>
    </row>
    <row r="448" spans="1:9" ht="15" x14ac:dyDescent="0.2">
      <c r="A448"/>
      <c r="B448"/>
      <c r="C448"/>
      <c r="D448"/>
      <c r="E448"/>
      <c r="F448"/>
      <c r="G448"/>
      <c r="H448"/>
      <c r="I448"/>
    </row>
    <row r="449" spans="1:9" ht="15" x14ac:dyDescent="0.2">
      <c r="A449"/>
      <c r="B449"/>
      <c r="C449"/>
      <c r="D449"/>
      <c r="E449"/>
      <c r="F449"/>
      <c r="G449"/>
      <c r="H449"/>
      <c r="I449"/>
    </row>
    <row r="450" spans="1:9" ht="15" x14ac:dyDescent="0.2">
      <c r="A450"/>
      <c r="B450"/>
      <c r="C450"/>
      <c r="D450"/>
      <c r="E450"/>
      <c r="F450"/>
      <c r="G450"/>
      <c r="H450"/>
      <c r="I450"/>
    </row>
    <row r="451" spans="1:9" ht="15" x14ac:dyDescent="0.2">
      <c r="A451"/>
      <c r="B451"/>
      <c r="C451"/>
      <c r="D451"/>
      <c r="E451"/>
      <c r="F451"/>
      <c r="G451"/>
      <c r="H451"/>
      <c r="I451"/>
    </row>
    <row r="452" spans="1:9" ht="15" x14ac:dyDescent="0.2">
      <c r="A452"/>
      <c r="B452"/>
      <c r="C452"/>
      <c r="D452"/>
      <c r="E452"/>
      <c r="F452"/>
      <c r="G452"/>
      <c r="H452"/>
      <c r="I452"/>
    </row>
    <row r="453" spans="1:9" ht="15" x14ac:dyDescent="0.2">
      <c r="A453"/>
      <c r="B453"/>
      <c r="C453"/>
      <c r="D453"/>
      <c r="E453"/>
      <c r="F453"/>
      <c r="G453"/>
      <c r="H453"/>
      <c r="I453"/>
    </row>
    <row r="454" spans="1:9" ht="15" x14ac:dyDescent="0.2">
      <c r="A454"/>
      <c r="B454"/>
      <c r="C454"/>
      <c r="D454"/>
      <c r="E454"/>
      <c r="F454"/>
      <c r="G454"/>
      <c r="H454"/>
      <c r="I454"/>
    </row>
    <row r="455" spans="1:9" ht="15" x14ac:dyDescent="0.2">
      <c r="A455"/>
      <c r="B455"/>
      <c r="C455"/>
      <c r="D455"/>
      <c r="E455"/>
      <c r="F455"/>
      <c r="G455"/>
      <c r="H455"/>
      <c r="I455"/>
    </row>
    <row r="456" spans="1:9" ht="15" x14ac:dyDescent="0.2">
      <c r="A456"/>
      <c r="B456"/>
      <c r="C456"/>
      <c r="D456"/>
      <c r="E456"/>
      <c r="F456"/>
      <c r="G456"/>
      <c r="H456"/>
      <c r="I456"/>
    </row>
    <row r="457" spans="1:9" ht="15" x14ac:dyDescent="0.2">
      <c r="A457"/>
      <c r="B457"/>
      <c r="C457"/>
      <c r="D457"/>
      <c r="E457"/>
      <c r="F457"/>
      <c r="G457"/>
      <c r="H457"/>
      <c r="I457"/>
    </row>
    <row r="458" spans="1:9" ht="15" x14ac:dyDescent="0.2">
      <c r="A458"/>
      <c r="B458"/>
      <c r="C458"/>
      <c r="D458"/>
      <c r="E458"/>
      <c r="F458"/>
      <c r="G458"/>
      <c r="H458"/>
      <c r="I458"/>
    </row>
    <row r="459" spans="1:9" ht="15" x14ac:dyDescent="0.2">
      <c r="A459"/>
      <c r="B459"/>
      <c r="C459"/>
      <c r="D459"/>
      <c r="E459"/>
      <c r="F459"/>
      <c r="G459"/>
      <c r="H459"/>
      <c r="I459"/>
    </row>
    <row r="460" spans="1:9" ht="15" x14ac:dyDescent="0.2">
      <c r="A460"/>
      <c r="B460"/>
      <c r="C460"/>
      <c r="D460"/>
      <c r="E460"/>
      <c r="F460"/>
      <c r="G460"/>
      <c r="H460"/>
      <c r="I460"/>
    </row>
    <row r="461" spans="1:9" ht="15" x14ac:dyDescent="0.2">
      <c r="A461"/>
      <c r="B461"/>
      <c r="C461"/>
      <c r="D461"/>
      <c r="E461"/>
      <c r="F461"/>
      <c r="G461"/>
      <c r="H461"/>
      <c r="I461"/>
    </row>
    <row r="462" spans="1:9" ht="15" x14ac:dyDescent="0.2">
      <c r="A462"/>
      <c r="B462"/>
      <c r="C462"/>
      <c r="D462"/>
      <c r="E462"/>
      <c r="F462"/>
      <c r="G462"/>
      <c r="H462"/>
      <c r="I462"/>
    </row>
    <row r="463" spans="1:9" ht="15" x14ac:dyDescent="0.2">
      <c r="A463"/>
      <c r="B463"/>
      <c r="C463"/>
      <c r="D463"/>
      <c r="E463"/>
      <c r="F463"/>
      <c r="G463"/>
      <c r="H463"/>
      <c r="I463"/>
    </row>
    <row r="464" spans="1:9" ht="15" x14ac:dyDescent="0.2">
      <c r="A464"/>
      <c r="B464"/>
      <c r="C464"/>
      <c r="D464"/>
      <c r="E464"/>
      <c r="F464"/>
      <c r="G464"/>
      <c r="H464"/>
      <c r="I464"/>
    </row>
    <row r="465" spans="1:9" ht="15" x14ac:dyDescent="0.2">
      <c r="A465"/>
      <c r="B465"/>
      <c r="C465"/>
      <c r="D465"/>
      <c r="E465"/>
      <c r="F465"/>
      <c r="G465"/>
      <c r="H465"/>
      <c r="I465"/>
    </row>
    <row r="466" spans="1:9" ht="15" x14ac:dyDescent="0.2">
      <c r="A466"/>
      <c r="B466"/>
      <c r="C466"/>
      <c r="D466"/>
      <c r="E466"/>
      <c r="F466"/>
      <c r="G466"/>
      <c r="H466"/>
      <c r="I466"/>
    </row>
    <row r="467" spans="1:9" ht="15" x14ac:dyDescent="0.2">
      <c r="A467"/>
      <c r="B467"/>
      <c r="C467"/>
      <c r="D467"/>
      <c r="E467"/>
      <c r="F467"/>
      <c r="G467"/>
      <c r="H467"/>
      <c r="I467"/>
    </row>
    <row r="468" spans="1:9" ht="15" x14ac:dyDescent="0.2">
      <c r="A468"/>
      <c r="B468"/>
      <c r="C468"/>
      <c r="D468"/>
      <c r="E468"/>
      <c r="F468"/>
      <c r="G468"/>
      <c r="H468"/>
      <c r="I468"/>
    </row>
    <row r="469" spans="1:9" ht="15" x14ac:dyDescent="0.2">
      <c r="A469"/>
      <c r="B469"/>
      <c r="C469"/>
      <c r="D469"/>
      <c r="E469"/>
      <c r="F469"/>
      <c r="G469"/>
      <c r="H469"/>
      <c r="I469"/>
    </row>
    <row r="470" spans="1:9" ht="15" x14ac:dyDescent="0.2">
      <c r="A470"/>
      <c r="B470"/>
      <c r="C470"/>
      <c r="D470"/>
      <c r="E470"/>
      <c r="F470"/>
      <c r="G470"/>
      <c r="H470"/>
      <c r="I470"/>
    </row>
    <row r="471" spans="1:9" ht="15" x14ac:dyDescent="0.2">
      <c r="A471"/>
      <c r="B471"/>
      <c r="C471"/>
      <c r="D471"/>
      <c r="E471"/>
      <c r="F471"/>
      <c r="G471"/>
      <c r="H471"/>
      <c r="I471"/>
    </row>
    <row r="472" spans="1:9" ht="15" x14ac:dyDescent="0.2">
      <c r="A472"/>
      <c r="B472"/>
      <c r="C472"/>
      <c r="D472"/>
      <c r="E472"/>
      <c r="F472"/>
      <c r="G472"/>
      <c r="H472"/>
      <c r="I472"/>
    </row>
    <row r="473" spans="1:9" ht="15" x14ac:dyDescent="0.2">
      <c r="A473"/>
      <c r="B473"/>
      <c r="C473"/>
      <c r="D473"/>
      <c r="E473"/>
      <c r="F473"/>
      <c r="G473"/>
      <c r="H473"/>
      <c r="I473"/>
    </row>
    <row r="474" spans="1:9" ht="15" x14ac:dyDescent="0.2">
      <c r="A474"/>
      <c r="B474"/>
      <c r="C474"/>
      <c r="D474"/>
      <c r="E474"/>
      <c r="F474"/>
      <c r="G474"/>
      <c r="H474"/>
      <c r="I474"/>
    </row>
    <row r="475" spans="1:9" ht="15" x14ac:dyDescent="0.2">
      <c r="A475"/>
      <c r="B475"/>
      <c r="C475"/>
      <c r="D475"/>
      <c r="E475"/>
      <c r="F475"/>
      <c r="G475"/>
      <c r="H475"/>
      <c r="I475"/>
    </row>
    <row r="476" spans="1:9" ht="15" x14ac:dyDescent="0.2">
      <c r="A476"/>
      <c r="B476"/>
      <c r="C476"/>
      <c r="D476"/>
      <c r="E476"/>
      <c r="F476"/>
      <c r="G476"/>
      <c r="H476"/>
      <c r="I476"/>
    </row>
    <row r="477" spans="1:9" ht="15" x14ac:dyDescent="0.2">
      <c r="A477"/>
      <c r="B477"/>
      <c r="C477"/>
      <c r="D477"/>
      <c r="E477"/>
      <c r="F477"/>
      <c r="G477"/>
      <c r="H477"/>
      <c r="I477"/>
    </row>
    <row r="478" spans="1:9" ht="15" x14ac:dyDescent="0.2">
      <c r="A478"/>
      <c r="B478"/>
      <c r="C478"/>
      <c r="D478"/>
      <c r="E478"/>
      <c r="F478"/>
      <c r="G478"/>
      <c r="H478"/>
      <c r="I478"/>
    </row>
    <row r="479" spans="1:9" ht="15" x14ac:dyDescent="0.2">
      <c r="A479"/>
      <c r="B479"/>
      <c r="C479"/>
      <c r="D479"/>
      <c r="E479"/>
      <c r="F479"/>
      <c r="G479"/>
      <c r="H479"/>
      <c r="I479"/>
    </row>
    <row r="480" spans="1:9" ht="15" x14ac:dyDescent="0.2">
      <c r="A480"/>
      <c r="B480"/>
      <c r="C480"/>
      <c r="D480"/>
      <c r="E480"/>
      <c r="F480"/>
      <c r="G480"/>
      <c r="H480"/>
      <c r="I480"/>
    </row>
    <row r="481" spans="1:9" ht="15" x14ac:dyDescent="0.2">
      <c r="A481"/>
      <c r="B481"/>
      <c r="C481"/>
      <c r="D481"/>
      <c r="E481"/>
      <c r="F481"/>
      <c r="G481"/>
      <c r="H481"/>
      <c r="I481"/>
    </row>
    <row r="482" spans="1:9" ht="15" x14ac:dyDescent="0.2">
      <c r="A482"/>
      <c r="B482"/>
      <c r="C482"/>
      <c r="D482"/>
      <c r="E482"/>
      <c r="F482"/>
      <c r="G482"/>
      <c r="H482"/>
      <c r="I482"/>
    </row>
    <row r="483" spans="1:9" ht="15" x14ac:dyDescent="0.2">
      <c r="A483"/>
      <c r="B483"/>
      <c r="C483"/>
      <c r="D483"/>
      <c r="E483"/>
      <c r="F483"/>
      <c r="G483"/>
      <c r="H483"/>
      <c r="I483"/>
    </row>
    <row r="484" spans="1:9" ht="15" x14ac:dyDescent="0.2">
      <c r="A484"/>
      <c r="B484"/>
      <c r="C484"/>
      <c r="D484"/>
      <c r="E484"/>
      <c r="F484"/>
      <c r="G484"/>
      <c r="H484"/>
      <c r="I484"/>
    </row>
    <row r="485" spans="1:9" ht="15" x14ac:dyDescent="0.2">
      <c r="A485"/>
      <c r="B485"/>
      <c r="C485"/>
      <c r="D485"/>
      <c r="E485"/>
      <c r="F485"/>
      <c r="G485"/>
      <c r="H485"/>
      <c r="I485"/>
    </row>
    <row r="486" spans="1:9" ht="15" x14ac:dyDescent="0.2">
      <c r="A486"/>
      <c r="B486"/>
      <c r="C486"/>
      <c r="D486"/>
      <c r="E486"/>
      <c r="F486"/>
      <c r="G486"/>
      <c r="H486"/>
      <c r="I486"/>
    </row>
    <row r="487" spans="1:9" ht="15" x14ac:dyDescent="0.2">
      <c r="A487"/>
      <c r="B487"/>
      <c r="C487"/>
      <c r="D487"/>
      <c r="E487"/>
      <c r="F487"/>
      <c r="G487"/>
      <c r="H487"/>
      <c r="I487"/>
    </row>
    <row r="488" spans="1:9" ht="15" x14ac:dyDescent="0.2">
      <c r="A488"/>
      <c r="B488"/>
      <c r="C488"/>
      <c r="D488"/>
      <c r="E488"/>
      <c r="F488"/>
      <c r="G488"/>
      <c r="H488"/>
      <c r="I488"/>
    </row>
    <row r="489" spans="1:9" ht="15" x14ac:dyDescent="0.2">
      <c r="A489"/>
      <c r="B489"/>
      <c r="C489"/>
      <c r="D489"/>
      <c r="E489"/>
      <c r="F489"/>
      <c r="G489"/>
      <c r="H489"/>
      <c r="I489"/>
    </row>
    <row r="490" spans="1:9" ht="15" x14ac:dyDescent="0.2">
      <c r="A490"/>
      <c r="B490"/>
      <c r="C490"/>
      <c r="D490"/>
      <c r="E490"/>
      <c r="F490"/>
      <c r="G490"/>
      <c r="H490"/>
      <c r="I490"/>
    </row>
    <row r="491" spans="1:9" ht="15" x14ac:dyDescent="0.2">
      <c r="A491"/>
      <c r="B491"/>
      <c r="C491"/>
      <c r="D491"/>
      <c r="E491"/>
      <c r="F491"/>
      <c r="G491"/>
      <c r="H491"/>
      <c r="I491"/>
    </row>
    <row r="492" spans="1:9" ht="15" x14ac:dyDescent="0.2">
      <c r="A492"/>
      <c r="B492"/>
      <c r="C492"/>
      <c r="D492"/>
      <c r="E492"/>
      <c r="F492"/>
      <c r="G492"/>
      <c r="H492"/>
      <c r="I492"/>
    </row>
    <row r="493" spans="1:9" ht="15" x14ac:dyDescent="0.2">
      <c r="A493"/>
      <c r="B493"/>
      <c r="C493"/>
      <c r="D493"/>
      <c r="E493"/>
      <c r="F493"/>
      <c r="G493"/>
      <c r="H493"/>
      <c r="I493"/>
    </row>
    <row r="494" spans="1:9" ht="15" x14ac:dyDescent="0.2">
      <c r="A494"/>
      <c r="B494"/>
      <c r="C494"/>
      <c r="D494"/>
      <c r="E494"/>
      <c r="F494"/>
      <c r="G494"/>
      <c r="H494"/>
      <c r="I494"/>
    </row>
    <row r="495" spans="1:9" ht="15" x14ac:dyDescent="0.2">
      <c r="A495"/>
      <c r="B495"/>
      <c r="C495"/>
      <c r="D495"/>
      <c r="E495"/>
      <c r="F495"/>
      <c r="G495"/>
      <c r="H495"/>
      <c r="I495"/>
    </row>
    <row r="496" spans="1:9" ht="15" x14ac:dyDescent="0.2">
      <c r="A496"/>
      <c r="B496"/>
      <c r="C496"/>
      <c r="D496"/>
      <c r="E496"/>
      <c r="F496"/>
      <c r="G496"/>
      <c r="H496"/>
      <c r="I496"/>
    </row>
    <row r="497" spans="1:9" ht="15" x14ac:dyDescent="0.2">
      <c r="A497"/>
      <c r="B497"/>
      <c r="C497"/>
      <c r="D497"/>
      <c r="E497"/>
      <c r="F497"/>
      <c r="G497"/>
      <c r="H497"/>
      <c r="I497"/>
    </row>
    <row r="498" spans="1:9" ht="15" x14ac:dyDescent="0.2">
      <c r="A498"/>
      <c r="B498"/>
      <c r="C498"/>
      <c r="D498"/>
      <c r="E498"/>
      <c r="F498"/>
      <c r="G498"/>
      <c r="H498"/>
      <c r="I498"/>
    </row>
    <row r="499" spans="1:9" ht="15" x14ac:dyDescent="0.2">
      <c r="A499"/>
      <c r="B499"/>
      <c r="C499"/>
      <c r="D499"/>
      <c r="E499"/>
      <c r="F499"/>
      <c r="G499"/>
      <c r="H499"/>
      <c r="I499"/>
    </row>
    <row r="500" spans="1:9" ht="15" x14ac:dyDescent="0.2">
      <c r="A500"/>
      <c r="B500"/>
      <c r="C500"/>
      <c r="D500"/>
      <c r="E500"/>
      <c r="F500"/>
      <c r="G500"/>
      <c r="H500"/>
      <c r="I500"/>
    </row>
    <row r="501" spans="1:9" ht="15" x14ac:dyDescent="0.2">
      <c r="A501"/>
      <c r="B501"/>
      <c r="C501"/>
      <c r="D501"/>
      <c r="E501"/>
      <c r="F501"/>
      <c r="G501"/>
      <c r="H501"/>
      <c r="I501"/>
    </row>
    <row r="502" spans="1:9" ht="15" x14ac:dyDescent="0.2">
      <c r="A502"/>
      <c r="B502"/>
      <c r="C502"/>
      <c r="D502"/>
      <c r="E502"/>
      <c r="F502"/>
      <c r="G502"/>
      <c r="H502"/>
      <c r="I502"/>
    </row>
    <row r="503" spans="1:9" ht="15" x14ac:dyDescent="0.2">
      <c r="A503"/>
      <c r="B503"/>
      <c r="C503"/>
      <c r="D503"/>
      <c r="E503"/>
      <c r="F503"/>
      <c r="G503"/>
      <c r="H503"/>
      <c r="I503"/>
    </row>
    <row r="504" spans="1:9" ht="15" x14ac:dyDescent="0.2">
      <c r="A504"/>
      <c r="B504"/>
      <c r="C504"/>
      <c r="D504"/>
      <c r="E504"/>
      <c r="F504"/>
      <c r="G504"/>
      <c r="H504"/>
      <c r="I504"/>
    </row>
    <row r="505" spans="1:9" ht="15" x14ac:dyDescent="0.2">
      <c r="A505"/>
      <c r="B505"/>
      <c r="C505"/>
      <c r="D505"/>
      <c r="E505"/>
      <c r="F505"/>
      <c r="G505"/>
      <c r="H505"/>
      <c r="I505"/>
    </row>
    <row r="506" spans="1:9" ht="15" x14ac:dyDescent="0.2">
      <c r="A506"/>
      <c r="B506"/>
      <c r="C506"/>
      <c r="D506"/>
      <c r="E506"/>
      <c r="F506"/>
      <c r="G506"/>
      <c r="H506"/>
      <c r="I506"/>
    </row>
    <row r="507" spans="1:9" ht="15" x14ac:dyDescent="0.2">
      <c r="A507"/>
      <c r="B507"/>
      <c r="C507"/>
      <c r="D507"/>
      <c r="E507"/>
      <c r="F507"/>
      <c r="G507"/>
      <c r="H507"/>
      <c r="I507"/>
    </row>
    <row r="508" spans="1:9" ht="15" x14ac:dyDescent="0.2">
      <c r="A508"/>
      <c r="B508"/>
      <c r="C508"/>
      <c r="D508"/>
      <c r="E508"/>
      <c r="F508"/>
      <c r="G508"/>
      <c r="H508"/>
      <c r="I508"/>
    </row>
    <row r="509" spans="1:9" ht="15" x14ac:dyDescent="0.2">
      <c r="A509"/>
      <c r="B509"/>
      <c r="C509"/>
      <c r="D509"/>
      <c r="E509"/>
      <c r="F509"/>
      <c r="G509"/>
      <c r="H509"/>
      <c r="I509"/>
    </row>
    <row r="510" spans="1:9" ht="15" x14ac:dyDescent="0.2">
      <c r="A510"/>
      <c r="B510"/>
      <c r="C510"/>
      <c r="D510"/>
      <c r="E510"/>
      <c r="F510"/>
      <c r="G510"/>
      <c r="H510"/>
      <c r="I510"/>
    </row>
    <row r="511" spans="1:9" ht="15" x14ac:dyDescent="0.2">
      <c r="A511"/>
      <c r="B511"/>
      <c r="C511"/>
      <c r="D511"/>
      <c r="E511"/>
      <c r="F511"/>
      <c r="G511"/>
      <c r="H511"/>
      <c r="I511"/>
    </row>
    <row r="512" spans="1:9" ht="15" x14ac:dyDescent="0.2">
      <c r="A512"/>
      <c r="B512"/>
      <c r="C512"/>
      <c r="D512"/>
      <c r="E512"/>
      <c r="F512"/>
      <c r="G512"/>
      <c r="H512"/>
      <c r="I512"/>
    </row>
    <row r="513" spans="1:9" ht="15" x14ac:dyDescent="0.2">
      <c r="A513"/>
      <c r="B513"/>
      <c r="C513"/>
      <c r="D513"/>
      <c r="E513"/>
      <c r="F513"/>
      <c r="G513"/>
      <c r="H513"/>
      <c r="I513"/>
    </row>
    <row r="514" spans="1:9" ht="15" x14ac:dyDescent="0.2">
      <c r="A514"/>
      <c r="B514"/>
      <c r="C514"/>
      <c r="D514"/>
      <c r="E514"/>
      <c r="F514"/>
      <c r="G514"/>
      <c r="H514"/>
      <c r="I514"/>
    </row>
    <row r="515" spans="1:9" ht="15" x14ac:dyDescent="0.2">
      <c r="A515"/>
      <c r="B515"/>
      <c r="C515"/>
      <c r="D515"/>
      <c r="E515"/>
      <c r="F515"/>
      <c r="G515"/>
      <c r="H515"/>
      <c r="I515"/>
    </row>
    <row r="516" spans="1:9" ht="15" x14ac:dyDescent="0.2">
      <c r="A516"/>
      <c r="B516"/>
      <c r="C516"/>
      <c r="D516"/>
      <c r="E516"/>
      <c r="F516"/>
      <c r="G516"/>
      <c r="H516"/>
      <c r="I516"/>
    </row>
    <row r="517" spans="1:9" ht="15" x14ac:dyDescent="0.2">
      <c r="A517"/>
      <c r="B517"/>
      <c r="C517"/>
      <c r="D517"/>
      <c r="E517"/>
      <c r="F517"/>
      <c r="G517"/>
      <c r="H517"/>
      <c r="I517"/>
    </row>
    <row r="518" spans="1:9" ht="15" x14ac:dyDescent="0.2">
      <c r="A518"/>
      <c r="B518"/>
      <c r="C518"/>
      <c r="D518"/>
      <c r="E518"/>
      <c r="F518"/>
      <c r="G518"/>
      <c r="H518"/>
      <c r="I518"/>
    </row>
    <row r="519" spans="1:9" ht="15" x14ac:dyDescent="0.2">
      <c r="A519"/>
      <c r="B519"/>
      <c r="C519"/>
      <c r="D519"/>
      <c r="E519"/>
      <c r="F519"/>
      <c r="G519"/>
      <c r="H519"/>
      <c r="I519"/>
    </row>
    <row r="520" spans="1:9" ht="15" x14ac:dyDescent="0.2">
      <c r="A520"/>
      <c r="B520"/>
      <c r="C520"/>
      <c r="D520"/>
      <c r="E520"/>
      <c r="F520"/>
      <c r="G520"/>
      <c r="H520"/>
      <c r="I520"/>
    </row>
    <row r="521" spans="1:9" ht="15" x14ac:dyDescent="0.2">
      <c r="A521"/>
      <c r="B521"/>
      <c r="C521"/>
      <c r="D521"/>
      <c r="E521"/>
      <c r="F521"/>
      <c r="G521"/>
      <c r="H521"/>
      <c r="I521"/>
    </row>
    <row r="522" spans="1:9" ht="15" x14ac:dyDescent="0.2">
      <c r="A522"/>
      <c r="B522"/>
      <c r="C522"/>
      <c r="D522"/>
      <c r="E522"/>
      <c r="F522"/>
      <c r="G522"/>
      <c r="H522"/>
      <c r="I522"/>
    </row>
    <row r="523" spans="1:9" ht="15" x14ac:dyDescent="0.2">
      <c r="A523"/>
      <c r="B523"/>
      <c r="C523"/>
      <c r="D523"/>
      <c r="E523"/>
      <c r="F523"/>
      <c r="G523"/>
      <c r="H523"/>
      <c r="I523"/>
    </row>
    <row r="524" spans="1:9" ht="15" x14ac:dyDescent="0.2">
      <c r="A524"/>
      <c r="B524"/>
      <c r="C524"/>
      <c r="D524"/>
      <c r="E524"/>
      <c r="F524"/>
      <c r="G524"/>
      <c r="H524"/>
      <c r="I524"/>
    </row>
    <row r="525" spans="1:9" ht="15" x14ac:dyDescent="0.2">
      <c r="A525"/>
      <c r="B525"/>
      <c r="C525"/>
      <c r="D525"/>
      <c r="E525"/>
      <c r="F525"/>
      <c r="G525"/>
      <c r="H525"/>
      <c r="I525"/>
    </row>
    <row r="526" spans="1:9" ht="15" x14ac:dyDescent="0.2">
      <c r="A526"/>
      <c r="B526"/>
      <c r="C526"/>
      <c r="D526"/>
      <c r="E526"/>
      <c r="F526"/>
      <c r="G526"/>
      <c r="H526"/>
      <c r="I526"/>
    </row>
    <row r="527" spans="1:9" ht="15" x14ac:dyDescent="0.2">
      <c r="A527"/>
      <c r="B527"/>
      <c r="C527"/>
      <c r="D527"/>
      <c r="E527"/>
      <c r="F527"/>
      <c r="G527"/>
      <c r="H527"/>
      <c r="I527"/>
    </row>
    <row r="528" spans="1:9" ht="15" x14ac:dyDescent="0.2">
      <c r="A528"/>
      <c r="B528"/>
      <c r="C528"/>
      <c r="D528"/>
      <c r="E528"/>
      <c r="F528"/>
      <c r="G528"/>
      <c r="H528"/>
      <c r="I528"/>
    </row>
    <row r="529" spans="1:9" ht="15" x14ac:dyDescent="0.2">
      <c r="A529"/>
      <c r="B529"/>
      <c r="C529"/>
      <c r="D529"/>
      <c r="E529"/>
      <c r="F529"/>
      <c r="G529"/>
      <c r="H529"/>
      <c r="I529"/>
    </row>
    <row r="530" spans="1:9" ht="15" x14ac:dyDescent="0.2">
      <c r="A530"/>
      <c r="B530"/>
      <c r="C530"/>
      <c r="D530"/>
      <c r="E530"/>
      <c r="F530"/>
      <c r="G530"/>
      <c r="H530"/>
      <c r="I530"/>
    </row>
    <row r="531" spans="1:9" ht="15" x14ac:dyDescent="0.2">
      <c r="A531"/>
      <c r="B531"/>
      <c r="C531"/>
      <c r="D531"/>
      <c r="E531"/>
      <c r="F531"/>
      <c r="G531"/>
      <c r="H531"/>
      <c r="I531"/>
    </row>
    <row r="532" spans="1:9" ht="15" x14ac:dyDescent="0.2">
      <c r="A532"/>
      <c r="B532"/>
      <c r="C532"/>
      <c r="D532"/>
      <c r="E532"/>
      <c r="F532"/>
      <c r="G532"/>
      <c r="H532"/>
      <c r="I532"/>
    </row>
    <row r="533" spans="1:9" ht="15" x14ac:dyDescent="0.2">
      <c r="A533"/>
      <c r="B533"/>
      <c r="C533"/>
      <c r="D533"/>
      <c r="E533"/>
      <c r="F533"/>
      <c r="G533"/>
      <c r="H533"/>
      <c r="I533"/>
    </row>
    <row r="534" spans="1:9" ht="15" x14ac:dyDescent="0.2">
      <c r="A534"/>
      <c r="B534"/>
      <c r="C534"/>
      <c r="D534"/>
      <c r="E534"/>
      <c r="F534"/>
      <c r="G534"/>
      <c r="H534"/>
      <c r="I534"/>
    </row>
    <row r="535" spans="1:9" ht="15" x14ac:dyDescent="0.2">
      <c r="A535"/>
      <c r="B535"/>
      <c r="C535"/>
      <c r="D535"/>
      <c r="E535"/>
      <c r="F535"/>
      <c r="G535"/>
      <c r="H535"/>
      <c r="I535"/>
    </row>
    <row r="536" spans="1:9" ht="15" x14ac:dyDescent="0.2">
      <c r="A536"/>
      <c r="B536"/>
      <c r="C536"/>
      <c r="D536"/>
      <c r="E536"/>
      <c r="F536"/>
      <c r="G536"/>
      <c r="H536"/>
      <c r="I536"/>
    </row>
    <row r="537" spans="1:9" ht="15" x14ac:dyDescent="0.2">
      <c r="A537"/>
      <c r="B537"/>
      <c r="C537"/>
      <c r="D537"/>
      <c r="E537"/>
      <c r="F537"/>
      <c r="G537"/>
      <c r="H537"/>
      <c r="I537"/>
    </row>
    <row r="538" spans="1:9" ht="15" x14ac:dyDescent="0.2">
      <c r="A538"/>
      <c r="B538"/>
      <c r="C538"/>
      <c r="D538"/>
      <c r="E538"/>
      <c r="F538"/>
      <c r="G538"/>
      <c r="H538"/>
      <c r="I538"/>
    </row>
    <row r="539" spans="1:9" ht="15" x14ac:dyDescent="0.2">
      <c r="A539"/>
      <c r="B539"/>
      <c r="C539"/>
      <c r="D539"/>
      <c r="E539"/>
      <c r="F539"/>
      <c r="G539"/>
      <c r="H539"/>
      <c r="I539"/>
    </row>
    <row r="540" spans="1:9" ht="15" x14ac:dyDescent="0.2">
      <c r="A540"/>
      <c r="B540"/>
      <c r="C540"/>
      <c r="D540"/>
      <c r="E540"/>
      <c r="F540"/>
      <c r="G540"/>
      <c r="H540"/>
      <c r="I540"/>
    </row>
    <row r="541" spans="1:9" ht="15" x14ac:dyDescent="0.2">
      <c r="A541"/>
      <c r="B541"/>
      <c r="C541"/>
      <c r="D541"/>
      <c r="E541"/>
      <c r="F541"/>
      <c r="G541"/>
      <c r="H541"/>
      <c r="I541"/>
    </row>
    <row r="542" spans="1:9" ht="15" x14ac:dyDescent="0.2">
      <c r="A542"/>
      <c r="B542"/>
      <c r="C542"/>
      <c r="D542"/>
      <c r="E542"/>
      <c r="F542"/>
      <c r="G542"/>
      <c r="H542"/>
      <c r="I542"/>
    </row>
    <row r="543" spans="1:9" ht="15" x14ac:dyDescent="0.2">
      <c r="A543"/>
      <c r="B543"/>
      <c r="C543"/>
      <c r="D543"/>
      <c r="E543"/>
      <c r="F543"/>
      <c r="G543"/>
      <c r="H543"/>
      <c r="I543"/>
    </row>
    <row r="544" spans="1:9" ht="15" x14ac:dyDescent="0.2">
      <c r="A544"/>
      <c r="B544"/>
      <c r="C544"/>
      <c r="D544"/>
      <c r="E544"/>
      <c r="F544"/>
      <c r="G544"/>
      <c r="H544"/>
      <c r="I544"/>
    </row>
    <row r="545" spans="1:9" ht="15" x14ac:dyDescent="0.2">
      <c r="A545"/>
      <c r="B545"/>
      <c r="C545"/>
      <c r="D545"/>
      <c r="E545"/>
      <c r="F545"/>
      <c r="G545"/>
      <c r="H545"/>
      <c r="I545"/>
    </row>
    <row r="546" spans="1:9" ht="15" x14ac:dyDescent="0.2">
      <c r="A546"/>
      <c r="B546"/>
      <c r="C546"/>
      <c r="D546"/>
      <c r="E546"/>
      <c r="F546"/>
      <c r="G546"/>
      <c r="H546"/>
      <c r="I546"/>
    </row>
    <row r="547" spans="1:9" ht="15" x14ac:dyDescent="0.2">
      <c r="A547"/>
      <c r="B547"/>
      <c r="C547"/>
      <c r="D547"/>
      <c r="E547"/>
      <c r="F547"/>
      <c r="G547"/>
      <c r="H547"/>
      <c r="I547"/>
    </row>
    <row r="548" spans="1:9" ht="15" x14ac:dyDescent="0.2">
      <c r="A548"/>
      <c r="B548"/>
      <c r="C548"/>
      <c r="D548"/>
      <c r="E548"/>
      <c r="F548"/>
      <c r="G548"/>
      <c r="H548"/>
      <c r="I548"/>
    </row>
    <row r="549" spans="1:9" ht="15" x14ac:dyDescent="0.2">
      <c r="A549"/>
      <c r="B549"/>
      <c r="C549"/>
      <c r="D549"/>
      <c r="E549"/>
      <c r="F549"/>
      <c r="G549"/>
      <c r="H549"/>
      <c r="I549"/>
    </row>
    <row r="550" spans="1:9" ht="15" x14ac:dyDescent="0.2">
      <c r="A550"/>
      <c r="B550"/>
      <c r="C550"/>
      <c r="D550"/>
      <c r="E550"/>
      <c r="F550"/>
      <c r="G550"/>
      <c r="H550"/>
      <c r="I550"/>
    </row>
    <row r="551" spans="1:9" ht="15" x14ac:dyDescent="0.2">
      <c r="A551"/>
      <c r="B551"/>
      <c r="C551"/>
      <c r="D551"/>
      <c r="E551"/>
      <c r="F551"/>
      <c r="G551"/>
      <c r="H551"/>
      <c r="I551"/>
    </row>
    <row r="552" spans="1:9" ht="15" x14ac:dyDescent="0.2">
      <c r="A552"/>
      <c r="B552"/>
      <c r="C552"/>
      <c r="D552"/>
      <c r="E552"/>
      <c r="F552"/>
      <c r="G552"/>
      <c r="H552"/>
      <c r="I552"/>
    </row>
    <row r="553" spans="1:9" ht="15" x14ac:dyDescent="0.2">
      <c r="A553"/>
      <c r="B553"/>
      <c r="C553"/>
      <c r="D553"/>
      <c r="E553"/>
      <c r="F553"/>
      <c r="G553"/>
      <c r="H553"/>
      <c r="I553"/>
    </row>
    <row r="554" spans="1:9" ht="15" x14ac:dyDescent="0.2">
      <c r="A554"/>
      <c r="B554"/>
      <c r="C554"/>
      <c r="D554"/>
      <c r="E554"/>
      <c r="F554"/>
      <c r="G554"/>
      <c r="H554"/>
      <c r="I554"/>
    </row>
    <row r="555" spans="1:9" ht="15" x14ac:dyDescent="0.2">
      <c r="A555"/>
      <c r="B555"/>
      <c r="C555"/>
      <c r="D555"/>
      <c r="E555"/>
      <c r="F555"/>
      <c r="G555"/>
      <c r="H555"/>
      <c r="I555"/>
    </row>
    <row r="556" spans="1:9" ht="15" x14ac:dyDescent="0.2">
      <c r="A556"/>
      <c r="B556"/>
      <c r="C556"/>
      <c r="D556"/>
      <c r="E556"/>
      <c r="F556"/>
      <c r="G556"/>
      <c r="H556"/>
      <c r="I556"/>
    </row>
    <row r="557" spans="1:9" ht="15" x14ac:dyDescent="0.2">
      <c r="A557"/>
      <c r="B557"/>
      <c r="C557"/>
      <c r="D557"/>
      <c r="E557"/>
      <c r="F557"/>
      <c r="G557"/>
      <c r="H557"/>
      <c r="I557"/>
    </row>
    <row r="558" spans="1:9" ht="15" x14ac:dyDescent="0.2">
      <c r="A558"/>
      <c r="B558"/>
      <c r="C558"/>
      <c r="D558"/>
      <c r="E558"/>
      <c r="F558"/>
      <c r="G558"/>
      <c r="H558"/>
      <c r="I558"/>
    </row>
    <row r="559" spans="1:9" ht="15" x14ac:dyDescent="0.2">
      <c r="A559"/>
      <c r="B559"/>
      <c r="C559"/>
      <c r="D559"/>
      <c r="E559"/>
      <c r="F559"/>
      <c r="G559"/>
      <c r="H559"/>
      <c r="I559"/>
    </row>
    <row r="560" spans="1:9" ht="15" x14ac:dyDescent="0.2">
      <c r="A560"/>
      <c r="B560"/>
      <c r="C560"/>
      <c r="D560"/>
      <c r="E560"/>
      <c r="F560"/>
      <c r="G560"/>
      <c r="H560"/>
      <c r="I560"/>
    </row>
    <row r="561" spans="1:9" ht="15" x14ac:dyDescent="0.2">
      <c r="A561"/>
      <c r="B561"/>
      <c r="C561"/>
      <c r="D561"/>
      <c r="E561"/>
      <c r="F561"/>
      <c r="G561"/>
      <c r="H561"/>
      <c r="I561"/>
    </row>
    <row r="562" spans="1:9" ht="15" x14ac:dyDescent="0.2">
      <c r="A562"/>
      <c r="B562"/>
      <c r="C562"/>
      <c r="D562"/>
      <c r="E562"/>
      <c r="F562"/>
      <c r="G562"/>
      <c r="H562"/>
      <c r="I562"/>
    </row>
    <row r="563" spans="1:9" ht="15" x14ac:dyDescent="0.2">
      <c r="A563"/>
      <c r="B563"/>
      <c r="C563"/>
      <c r="D563"/>
      <c r="E563"/>
      <c r="F563"/>
      <c r="G563"/>
      <c r="H563"/>
      <c r="I563"/>
    </row>
    <row r="564" spans="1:9" ht="15" x14ac:dyDescent="0.2">
      <c r="A564"/>
      <c r="B564"/>
      <c r="C564"/>
      <c r="D564"/>
      <c r="E564"/>
      <c r="F564"/>
      <c r="G564"/>
      <c r="H564"/>
      <c r="I564"/>
    </row>
    <row r="565" spans="1:9" ht="15" x14ac:dyDescent="0.2">
      <c r="A565"/>
      <c r="B565"/>
      <c r="C565"/>
      <c r="D565"/>
      <c r="E565"/>
      <c r="F565"/>
      <c r="G565"/>
      <c r="H565"/>
      <c r="I565"/>
    </row>
    <row r="566" spans="1:9" ht="15" x14ac:dyDescent="0.2">
      <c r="A566"/>
      <c r="B566"/>
      <c r="C566"/>
      <c r="D566"/>
      <c r="E566"/>
      <c r="F566"/>
      <c r="G566"/>
      <c r="H566"/>
      <c r="I566"/>
    </row>
    <row r="567" spans="1:9" ht="15" x14ac:dyDescent="0.2">
      <c r="A567"/>
      <c r="B567"/>
      <c r="C567"/>
      <c r="D567"/>
      <c r="E567"/>
      <c r="F567"/>
      <c r="G567"/>
      <c r="H567"/>
      <c r="I567"/>
    </row>
    <row r="568" spans="1:9" ht="15" x14ac:dyDescent="0.2">
      <c r="A568"/>
      <c r="B568"/>
      <c r="C568"/>
      <c r="D568"/>
      <c r="E568"/>
      <c r="F568"/>
      <c r="G568"/>
      <c r="H568"/>
      <c r="I568"/>
    </row>
    <row r="569" spans="1:9" ht="15" x14ac:dyDescent="0.2">
      <c r="A569"/>
      <c r="B569"/>
      <c r="C569"/>
      <c r="D569"/>
      <c r="E569"/>
      <c r="F569"/>
      <c r="G569"/>
      <c r="H569"/>
      <c r="I569"/>
    </row>
    <row r="570" spans="1:9" ht="15" x14ac:dyDescent="0.2">
      <c r="A570"/>
      <c r="B570"/>
      <c r="C570"/>
      <c r="D570"/>
      <c r="E570"/>
      <c r="F570"/>
      <c r="G570"/>
      <c r="H570"/>
      <c r="I570"/>
    </row>
    <row r="571" spans="1:9" ht="15" x14ac:dyDescent="0.2">
      <c r="A571"/>
      <c r="B571"/>
      <c r="C571"/>
      <c r="D571"/>
      <c r="E571"/>
      <c r="F571"/>
      <c r="G571"/>
      <c r="H571"/>
      <c r="I571"/>
    </row>
    <row r="572" spans="1:9" ht="15" x14ac:dyDescent="0.2">
      <c r="A572"/>
      <c r="B572"/>
      <c r="C572"/>
      <c r="D572"/>
      <c r="E572"/>
      <c r="F572"/>
      <c r="G572"/>
      <c r="H572"/>
      <c r="I572"/>
    </row>
    <row r="573" spans="1:9" ht="15" x14ac:dyDescent="0.2">
      <c r="A573"/>
      <c r="B573"/>
      <c r="C573"/>
      <c r="D573"/>
      <c r="E573"/>
      <c r="F573"/>
      <c r="G573"/>
      <c r="H573"/>
      <c r="I573"/>
    </row>
    <row r="574" spans="1:9" ht="15" x14ac:dyDescent="0.2">
      <c r="A574"/>
      <c r="B574"/>
      <c r="C574"/>
      <c r="D574"/>
      <c r="E574"/>
      <c r="F574"/>
      <c r="G574"/>
      <c r="H574"/>
      <c r="I574"/>
    </row>
    <row r="575" spans="1:9" ht="15" x14ac:dyDescent="0.2">
      <c r="A575"/>
      <c r="B575"/>
      <c r="C575"/>
      <c r="D575"/>
      <c r="E575"/>
      <c r="F575"/>
      <c r="G575"/>
      <c r="H575"/>
      <c r="I575"/>
    </row>
    <row r="576" spans="1:9" ht="15" x14ac:dyDescent="0.2">
      <c r="A576"/>
      <c r="B576"/>
      <c r="C576"/>
      <c r="D576"/>
      <c r="E576"/>
      <c r="F576"/>
      <c r="G576"/>
      <c r="H576"/>
      <c r="I576"/>
    </row>
    <row r="577" spans="1:9" ht="15" x14ac:dyDescent="0.2">
      <c r="A577"/>
      <c r="B577"/>
      <c r="C577"/>
      <c r="D577"/>
      <c r="E577"/>
      <c r="F577"/>
      <c r="G577"/>
      <c r="H577"/>
      <c r="I577"/>
    </row>
    <row r="578" spans="1:9" ht="15" x14ac:dyDescent="0.2">
      <c r="A578"/>
      <c r="B578"/>
      <c r="C578"/>
      <c r="D578"/>
      <c r="E578"/>
      <c r="F578"/>
      <c r="G578"/>
      <c r="H578"/>
      <c r="I578"/>
    </row>
    <row r="579" spans="1:9" ht="15" x14ac:dyDescent="0.2">
      <c r="A579"/>
      <c r="B579"/>
      <c r="C579"/>
      <c r="D579"/>
      <c r="E579"/>
      <c r="F579"/>
      <c r="G579"/>
      <c r="H579"/>
      <c r="I579"/>
    </row>
    <row r="580" spans="1:9" ht="15" x14ac:dyDescent="0.2">
      <c r="A580"/>
      <c r="B580"/>
      <c r="C580"/>
      <c r="D580"/>
      <c r="E580"/>
      <c r="F580"/>
      <c r="G580"/>
      <c r="H580"/>
      <c r="I580"/>
    </row>
    <row r="581" spans="1:9" ht="15" x14ac:dyDescent="0.2">
      <c r="A581"/>
      <c r="B581"/>
      <c r="C581"/>
      <c r="D581"/>
      <c r="E581"/>
      <c r="F581"/>
      <c r="G581"/>
      <c r="H581"/>
      <c r="I581"/>
    </row>
    <row r="582" spans="1:9" ht="15" x14ac:dyDescent="0.2">
      <c r="A582"/>
      <c r="B582"/>
      <c r="C582"/>
      <c r="D582"/>
      <c r="E582"/>
      <c r="F582"/>
      <c r="G582"/>
      <c r="H582"/>
      <c r="I582"/>
    </row>
    <row r="583" spans="1:9" ht="15" x14ac:dyDescent="0.2">
      <c r="A583"/>
      <c r="B583"/>
      <c r="C583"/>
      <c r="D583"/>
      <c r="E583"/>
      <c r="F583"/>
      <c r="G583"/>
      <c r="H583"/>
      <c r="I583"/>
    </row>
    <row r="584" spans="1:9" ht="15" x14ac:dyDescent="0.2">
      <c r="A584"/>
      <c r="B584"/>
      <c r="C584"/>
      <c r="D584"/>
      <c r="E584"/>
      <c r="F584"/>
      <c r="G584"/>
      <c r="H584"/>
      <c r="I584"/>
    </row>
    <row r="585" spans="1:9" ht="15" x14ac:dyDescent="0.2">
      <c r="A585"/>
      <c r="B585"/>
      <c r="C585"/>
      <c r="D585"/>
      <c r="E585"/>
      <c r="F585"/>
      <c r="G585"/>
      <c r="H585"/>
      <c r="I585"/>
    </row>
    <row r="586" spans="1:9" ht="15" x14ac:dyDescent="0.2">
      <c r="A586"/>
      <c r="B586"/>
      <c r="C586"/>
      <c r="D586"/>
      <c r="E586"/>
      <c r="F586"/>
      <c r="G586"/>
      <c r="H586"/>
      <c r="I586"/>
    </row>
    <row r="587" spans="1:9" ht="15" x14ac:dyDescent="0.2">
      <c r="A587"/>
      <c r="B587"/>
      <c r="C587"/>
      <c r="D587"/>
      <c r="E587"/>
      <c r="F587"/>
      <c r="G587"/>
      <c r="H587"/>
      <c r="I587"/>
    </row>
    <row r="588" spans="1:9" ht="15" x14ac:dyDescent="0.2">
      <c r="A588"/>
      <c r="B588"/>
      <c r="C588"/>
      <c r="D588"/>
      <c r="E588"/>
      <c r="F588"/>
      <c r="G588"/>
      <c r="H588"/>
      <c r="I588"/>
    </row>
    <row r="589" spans="1:9" ht="15" x14ac:dyDescent="0.2">
      <c r="A589"/>
      <c r="B589"/>
      <c r="C589"/>
      <c r="D589"/>
      <c r="E589"/>
      <c r="F589"/>
      <c r="G589"/>
      <c r="H589"/>
      <c r="I589"/>
    </row>
    <row r="590" spans="1:9" ht="15" x14ac:dyDescent="0.2">
      <c r="A590"/>
      <c r="B590"/>
      <c r="C590"/>
      <c r="D590"/>
      <c r="E590"/>
      <c r="F590"/>
      <c r="G590"/>
      <c r="H590"/>
      <c r="I590"/>
    </row>
    <row r="591" spans="1:9" ht="15" x14ac:dyDescent="0.2">
      <c r="A591"/>
      <c r="B591"/>
      <c r="C591"/>
      <c r="D591"/>
      <c r="E591"/>
      <c r="F591"/>
      <c r="G591"/>
      <c r="H591"/>
      <c r="I591"/>
    </row>
    <row r="592" spans="1:9" ht="15" x14ac:dyDescent="0.2">
      <c r="A592"/>
      <c r="B592"/>
      <c r="C592"/>
      <c r="D592"/>
      <c r="E592"/>
      <c r="F592"/>
      <c r="G592"/>
      <c r="H592"/>
      <c r="I592"/>
    </row>
    <row r="593" spans="1:9" ht="15" x14ac:dyDescent="0.2">
      <c r="A593"/>
      <c r="B593"/>
      <c r="C593"/>
      <c r="D593"/>
      <c r="E593"/>
      <c r="F593"/>
      <c r="G593"/>
      <c r="H593"/>
      <c r="I593"/>
    </row>
    <row r="594" spans="1:9" ht="15" x14ac:dyDescent="0.2">
      <c r="A594"/>
      <c r="B594"/>
      <c r="C594"/>
      <c r="D594"/>
      <c r="E594"/>
      <c r="F594"/>
      <c r="G594"/>
      <c r="H594"/>
      <c r="I594"/>
    </row>
    <row r="595" spans="1:9" ht="15" x14ac:dyDescent="0.2">
      <c r="A595"/>
      <c r="B595"/>
      <c r="C595"/>
      <c r="D595"/>
      <c r="E595"/>
      <c r="F595"/>
      <c r="G595"/>
      <c r="H595"/>
      <c r="I595"/>
    </row>
    <row r="596" spans="1:9" ht="15" x14ac:dyDescent="0.2">
      <c r="A596"/>
      <c r="B596"/>
      <c r="C596"/>
      <c r="D596"/>
      <c r="E596"/>
      <c r="F596"/>
      <c r="G596"/>
      <c r="H596"/>
      <c r="I596"/>
    </row>
    <row r="597" spans="1:9" ht="15" x14ac:dyDescent="0.2">
      <c r="A597"/>
      <c r="B597"/>
      <c r="C597"/>
      <c r="D597"/>
      <c r="E597"/>
      <c r="F597"/>
      <c r="G597"/>
      <c r="H597"/>
      <c r="I597"/>
    </row>
    <row r="598" spans="1:9" ht="15" x14ac:dyDescent="0.2">
      <c r="A598"/>
      <c r="B598"/>
      <c r="C598"/>
      <c r="D598"/>
      <c r="E598"/>
      <c r="F598"/>
      <c r="G598"/>
      <c r="H598"/>
      <c r="I598"/>
    </row>
    <row r="599" spans="1:9" ht="15" x14ac:dyDescent="0.2">
      <c r="A599"/>
      <c r="B599"/>
      <c r="C599"/>
      <c r="D599"/>
      <c r="E599"/>
      <c r="F599"/>
      <c r="G599"/>
      <c r="H599"/>
      <c r="I599"/>
    </row>
    <row r="600" spans="1:9" ht="15" x14ac:dyDescent="0.2">
      <c r="A600"/>
      <c r="B600"/>
      <c r="C600"/>
      <c r="D600"/>
      <c r="E600"/>
      <c r="F600"/>
      <c r="G600"/>
      <c r="H600"/>
      <c r="I600"/>
    </row>
    <row r="601" spans="1:9" ht="15" x14ac:dyDescent="0.2">
      <c r="A601"/>
      <c r="B601"/>
      <c r="C601"/>
      <c r="D601"/>
      <c r="E601"/>
      <c r="F601"/>
      <c r="G601"/>
      <c r="H601"/>
      <c r="I601"/>
    </row>
    <row r="602" spans="1:9" ht="15" x14ac:dyDescent="0.2">
      <c r="A602"/>
      <c r="B602"/>
      <c r="C602"/>
      <c r="D602"/>
      <c r="E602"/>
      <c r="F602"/>
      <c r="G602"/>
      <c r="H602"/>
      <c r="I602"/>
    </row>
    <row r="603" spans="1:9" ht="15" x14ac:dyDescent="0.2">
      <c r="A603"/>
      <c r="B603"/>
      <c r="C603"/>
      <c r="D603"/>
      <c r="E603"/>
      <c r="F603"/>
      <c r="G603"/>
      <c r="H603"/>
      <c r="I603"/>
    </row>
    <row r="604" spans="1:9" ht="15" x14ac:dyDescent="0.2">
      <c r="A604"/>
      <c r="B604"/>
      <c r="C604"/>
      <c r="D604"/>
      <c r="E604"/>
      <c r="F604"/>
      <c r="G604"/>
      <c r="H604"/>
      <c r="I604"/>
    </row>
    <row r="605" spans="1:9" ht="15" x14ac:dyDescent="0.2">
      <c r="A605"/>
      <c r="B605"/>
      <c r="C605"/>
      <c r="D605"/>
      <c r="E605"/>
      <c r="F605"/>
      <c r="G605"/>
      <c r="H605"/>
      <c r="I605"/>
    </row>
    <row r="606" spans="1:9" ht="15" x14ac:dyDescent="0.2">
      <c r="A606"/>
      <c r="B606"/>
      <c r="C606"/>
      <c r="D606"/>
      <c r="E606"/>
      <c r="F606"/>
      <c r="G606"/>
      <c r="H606"/>
      <c r="I606"/>
    </row>
    <row r="607" spans="1:9" ht="15" x14ac:dyDescent="0.2">
      <c r="A607"/>
      <c r="B607"/>
      <c r="C607"/>
      <c r="D607"/>
      <c r="E607"/>
      <c r="F607"/>
      <c r="G607"/>
      <c r="H607"/>
      <c r="I607"/>
    </row>
    <row r="608" spans="1:9" ht="15" x14ac:dyDescent="0.2">
      <c r="A608"/>
      <c r="B608"/>
      <c r="C608"/>
      <c r="D608"/>
      <c r="E608"/>
      <c r="F608"/>
      <c r="G608"/>
      <c r="H608"/>
      <c r="I608"/>
    </row>
    <row r="609" spans="1:9" ht="15" x14ac:dyDescent="0.2">
      <c r="A609"/>
      <c r="B609"/>
      <c r="C609"/>
      <c r="D609"/>
      <c r="E609"/>
      <c r="F609"/>
      <c r="G609"/>
      <c r="H609"/>
      <c r="I609"/>
    </row>
    <row r="610" spans="1:9" ht="15" x14ac:dyDescent="0.2">
      <c r="A610"/>
      <c r="B610"/>
      <c r="C610"/>
      <c r="D610"/>
      <c r="E610"/>
      <c r="F610"/>
      <c r="G610"/>
      <c r="H610"/>
      <c r="I61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75121-7D70-4107-ABF8-17CD689F25EC}">
  <dimension ref="B1:P77"/>
  <sheetViews>
    <sheetView showGridLines="0" zoomScale="94" zoomScaleNormal="80" zoomScaleSheetLayoutView="80" workbookViewId="0">
      <selection activeCell="I6" sqref="I6:J6"/>
    </sheetView>
  </sheetViews>
  <sheetFormatPr baseColWidth="10" defaultColWidth="11.5" defaultRowHeight="15" x14ac:dyDescent="0.2"/>
  <cols>
    <col min="1" max="1" width="3.1640625" style="90" customWidth="1"/>
    <col min="2" max="2" width="2.33203125" style="90" customWidth="1"/>
    <col min="3" max="6" width="13.83203125" style="90" customWidth="1"/>
    <col min="7" max="7" width="8.5" style="90" bestFit="1" customWidth="1"/>
    <col min="8" max="10" width="13.83203125" style="90" customWidth="1"/>
    <col min="11" max="11" width="23" style="90" bestFit="1" customWidth="1"/>
    <col min="12" max="15" width="13.83203125" style="90" customWidth="1"/>
    <col min="16" max="16" width="2.33203125" style="90" customWidth="1"/>
    <col min="17" max="17" width="2.5" style="90" customWidth="1"/>
    <col min="18" max="16384" width="11.5" style="90"/>
  </cols>
  <sheetData>
    <row r="1" spans="2:16" ht="12" customHeight="1" x14ac:dyDescent="0.2"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</row>
    <row r="2" spans="2:16" ht="38" customHeight="1" x14ac:dyDescent="0.2">
      <c r="B2" s="89"/>
      <c r="C2" s="179" t="s">
        <v>834</v>
      </c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89"/>
    </row>
    <row r="3" spans="2:16" ht="22.25" customHeight="1" x14ac:dyDescent="0.2">
      <c r="B3" s="89"/>
      <c r="C3" s="180" t="s">
        <v>845</v>
      </c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180"/>
      <c r="O3" s="180"/>
      <c r="P3" s="89"/>
    </row>
    <row r="4" spans="2:16" ht="12" customHeight="1" x14ac:dyDescent="0.2"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</row>
    <row r="5" spans="2:16" ht="22.25" customHeight="1" x14ac:dyDescent="0.2">
      <c r="B5" s="89"/>
      <c r="C5" s="181" t="s">
        <v>817</v>
      </c>
      <c r="D5" s="181"/>
      <c r="E5" s="181" t="s">
        <v>818</v>
      </c>
      <c r="F5" s="181"/>
      <c r="G5" s="89"/>
      <c r="H5" s="89"/>
      <c r="I5" s="181" t="s">
        <v>819</v>
      </c>
      <c r="J5" s="181"/>
      <c r="K5" s="181" t="s">
        <v>827</v>
      </c>
      <c r="L5" s="181"/>
      <c r="M5" s="181"/>
      <c r="N5" s="181" t="s">
        <v>828</v>
      </c>
      <c r="O5" s="181"/>
      <c r="P5" s="89"/>
    </row>
    <row r="6" spans="2:16" ht="21.5" customHeight="1" x14ac:dyDescent="0.2">
      <c r="B6" s="89"/>
      <c r="C6" s="186">
        <f>M62</f>
        <v>625776</v>
      </c>
      <c r="D6" s="187"/>
      <c r="E6" s="188">
        <f>COUNTA(D39:D44)+COUNTA(D46:D53)+COUNTA(D55)+COUNTA(D57:D58)+COUNTA(D60)</f>
        <v>18</v>
      </c>
      <c r="F6" s="189"/>
      <c r="G6" s="89"/>
      <c r="H6" s="89"/>
      <c r="I6" s="188">
        <f>H62</f>
        <v>21</v>
      </c>
      <c r="J6" s="190"/>
      <c r="K6" s="186">
        <f>C6/I6</f>
        <v>29798.857142857141</v>
      </c>
      <c r="L6" s="187"/>
      <c r="M6" s="187"/>
      <c r="N6" s="191" t="str" cm="1">
        <f t="array" ref="N6">INDEX({"feb-26","mar-26","abr-26","may-26"},MATCH(MAX(I62:L62),I62:L62,0))</f>
        <v>may-26</v>
      </c>
      <c r="O6" s="192"/>
      <c r="P6" s="89"/>
    </row>
    <row r="7" spans="2:16" x14ac:dyDescent="0.2">
      <c r="B7" s="89"/>
      <c r="C7" s="182" t="s">
        <v>844</v>
      </c>
      <c r="D7" s="193"/>
      <c r="E7" s="182" t="s">
        <v>823</v>
      </c>
      <c r="F7" s="183"/>
      <c r="G7" s="89"/>
      <c r="H7" s="89"/>
      <c r="I7" s="182" t="s">
        <v>859</v>
      </c>
      <c r="J7" s="193"/>
      <c r="K7" s="182" t="s">
        <v>858</v>
      </c>
      <c r="L7" s="193"/>
      <c r="M7" s="193"/>
      <c r="N7" s="182" t="str">
        <f>"Mayor monto del período"</f>
        <v>Mayor monto del período</v>
      </c>
      <c r="O7" s="183"/>
      <c r="P7" s="89"/>
    </row>
    <row r="8" spans="2:16" x14ac:dyDescent="0.2"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</row>
    <row r="9" spans="2:16" ht="24" customHeight="1" x14ac:dyDescent="0.2">
      <c r="B9" s="89"/>
      <c r="C9" s="184" t="s">
        <v>816</v>
      </c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89"/>
    </row>
    <row r="10" spans="2:16" x14ac:dyDescent="0.2"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</row>
    <row r="11" spans="2:16" x14ac:dyDescent="0.2"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</row>
    <row r="12" spans="2:16" x14ac:dyDescent="0.2"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</row>
    <row r="13" spans="2:16" x14ac:dyDescent="0.2"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</row>
    <row r="14" spans="2:16" x14ac:dyDescent="0.2"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</row>
    <row r="15" spans="2:16" x14ac:dyDescent="0.2"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</row>
    <row r="16" spans="2:16" x14ac:dyDescent="0.2"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</row>
    <row r="17" spans="2:16" x14ac:dyDescent="0.2"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</row>
    <row r="18" spans="2:16" x14ac:dyDescent="0.2"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</row>
    <row r="19" spans="2:16" x14ac:dyDescent="0.2"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</row>
    <row r="20" spans="2:16" x14ac:dyDescent="0.2"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</row>
    <row r="21" spans="2:16" x14ac:dyDescent="0.2"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</row>
    <row r="22" spans="2:16" x14ac:dyDescent="0.2"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</row>
    <row r="23" spans="2:16" x14ac:dyDescent="0.2"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</row>
    <row r="24" spans="2:16" x14ac:dyDescent="0.2"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</row>
    <row r="25" spans="2:16" x14ac:dyDescent="0.2"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</row>
    <row r="26" spans="2:16" x14ac:dyDescent="0.2"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</row>
    <row r="27" spans="2:16" x14ac:dyDescent="0.2"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</row>
    <row r="28" spans="2:16" x14ac:dyDescent="0.2"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</row>
    <row r="29" spans="2:16" x14ac:dyDescent="0.2"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</row>
    <row r="30" spans="2:16" x14ac:dyDescent="0.2"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</row>
    <row r="31" spans="2:16" x14ac:dyDescent="0.2"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</row>
    <row r="32" spans="2:16" x14ac:dyDescent="0.2"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</row>
    <row r="33" spans="2:16" x14ac:dyDescent="0.2"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</row>
    <row r="34" spans="2:16" x14ac:dyDescent="0.2"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</row>
    <row r="35" spans="2:16" x14ac:dyDescent="0.2"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</row>
    <row r="36" spans="2:16" ht="26" customHeight="1" x14ac:dyDescent="0.2">
      <c r="B36" s="89"/>
      <c r="C36" s="184" t="s">
        <v>820</v>
      </c>
      <c r="D36" s="184"/>
      <c r="E36" s="184"/>
      <c r="F36" s="184"/>
      <c r="G36" s="184"/>
      <c r="H36" s="184"/>
      <c r="I36" s="184"/>
      <c r="J36" s="184"/>
      <c r="K36" s="184"/>
      <c r="L36" s="184"/>
      <c r="M36" s="184"/>
      <c r="N36" s="184"/>
      <c r="O36" s="184"/>
      <c r="P36" s="89"/>
    </row>
    <row r="37" spans="2:16" x14ac:dyDescent="0.2"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</row>
    <row r="38" spans="2:16" ht="22.25" customHeight="1" x14ac:dyDescent="0.2">
      <c r="B38" s="89"/>
      <c r="C38" s="132" t="s">
        <v>51</v>
      </c>
      <c r="D38" s="132" t="s">
        <v>0</v>
      </c>
      <c r="E38" s="150"/>
      <c r="F38" s="150"/>
      <c r="G38" s="150"/>
      <c r="H38" s="132" t="s">
        <v>821</v>
      </c>
      <c r="I38" s="144">
        <v>46054</v>
      </c>
      <c r="J38" s="144">
        <v>46082</v>
      </c>
      <c r="K38" s="144">
        <v>46113</v>
      </c>
      <c r="L38" s="144">
        <v>46173</v>
      </c>
      <c r="M38" s="132" t="s">
        <v>811</v>
      </c>
      <c r="N38" s="132" t="s">
        <v>812</v>
      </c>
      <c r="O38" s="132" t="s">
        <v>822</v>
      </c>
      <c r="P38" s="89"/>
    </row>
    <row r="39" spans="2:16" ht="19.25" customHeight="1" x14ac:dyDescent="0.2">
      <c r="B39" s="89"/>
      <c r="C39" s="133" t="s">
        <v>251</v>
      </c>
      <c r="D39" s="133" t="s">
        <v>721</v>
      </c>
      <c r="E39" s="133"/>
      <c r="F39" s="133"/>
      <c r="G39" s="133"/>
      <c r="H39" s="134">
        <f t="shared" ref="H39:H44" si="0">COUNTIF(I39:L39,"&gt;0")</f>
        <v>1</v>
      </c>
      <c r="I39" s="135">
        <v>0</v>
      </c>
      <c r="J39" s="135">
        <v>0</v>
      </c>
      <c r="K39" s="135">
        <v>1410</v>
      </c>
      <c r="L39" s="135">
        <v>0</v>
      </c>
      <c r="M39" s="135">
        <f t="shared" ref="M39:M44" si="1">SUM(I39:L39)</f>
        <v>1410</v>
      </c>
      <c r="N39" s="136">
        <f t="shared" ref="N39:N44" si="2">M39/$M$45</f>
        <v>4.9083086177367473E-3</v>
      </c>
      <c r="O39" s="136">
        <f t="shared" ref="O39:O61" si="3">M39/$M$62</f>
        <v>2.2532024238705222E-3</v>
      </c>
      <c r="P39" s="89"/>
    </row>
    <row r="40" spans="2:16" ht="19.25" customHeight="1" x14ac:dyDescent="0.2">
      <c r="B40" s="89"/>
      <c r="C40" s="145" t="s">
        <v>251</v>
      </c>
      <c r="D40" s="145" t="s">
        <v>759</v>
      </c>
      <c r="E40" s="145"/>
      <c r="F40" s="145"/>
      <c r="G40" s="145"/>
      <c r="H40" s="146">
        <f t="shared" si="0"/>
        <v>2</v>
      </c>
      <c r="I40" s="147">
        <v>0</v>
      </c>
      <c r="J40" s="147">
        <v>0</v>
      </c>
      <c r="K40" s="147">
        <v>52750</v>
      </c>
      <c r="L40" s="147">
        <v>25350</v>
      </c>
      <c r="M40" s="147">
        <f t="shared" si="1"/>
        <v>78100</v>
      </c>
      <c r="N40" s="148">
        <f t="shared" si="2"/>
        <v>0.27187156244343264</v>
      </c>
      <c r="O40" s="148">
        <f t="shared" si="3"/>
        <v>0.12480504205977858</v>
      </c>
      <c r="P40" s="89"/>
    </row>
    <row r="41" spans="2:16" ht="19.25" customHeight="1" x14ac:dyDescent="0.2">
      <c r="B41" s="89"/>
      <c r="C41" s="133" t="s">
        <v>251</v>
      </c>
      <c r="D41" s="133" t="s">
        <v>723</v>
      </c>
      <c r="E41" s="133"/>
      <c r="F41" s="133"/>
      <c r="G41" s="133"/>
      <c r="H41" s="134">
        <f t="shared" si="0"/>
        <v>1</v>
      </c>
      <c r="I41" s="135">
        <v>0</v>
      </c>
      <c r="J41" s="135">
        <v>0</v>
      </c>
      <c r="K41" s="135">
        <v>0</v>
      </c>
      <c r="L41" s="135">
        <v>32980</v>
      </c>
      <c r="M41" s="135">
        <f t="shared" si="1"/>
        <v>32980</v>
      </c>
      <c r="N41" s="136">
        <f t="shared" si="2"/>
        <v>0.11480568667585669</v>
      </c>
      <c r="O41" s="136">
        <f t="shared" si="3"/>
        <v>5.2702564495921866E-2</v>
      </c>
      <c r="P41" s="89"/>
    </row>
    <row r="42" spans="2:16" ht="22.25" customHeight="1" x14ac:dyDescent="0.2">
      <c r="B42" s="89"/>
      <c r="C42" s="145" t="s">
        <v>251</v>
      </c>
      <c r="D42" s="145" t="s">
        <v>805</v>
      </c>
      <c r="E42" s="145"/>
      <c r="F42" s="145"/>
      <c r="G42" s="145"/>
      <c r="H42" s="146">
        <f t="shared" si="0"/>
        <v>1</v>
      </c>
      <c r="I42" s="147">
        <v>0</v>
      </c>
      <c r="J42" s="147">
        <v>0</v>
      </c>
      <c r="K42" s="147">
        <v>0</v>
      </c>
      <c r="L42" s="147">
        <v>50707</v>
      </c>
      <c r="M42" s="147">
        <f t="shared" si="1"/>
        <v>50707</v>
      </c>
      <c r="N42" s="148">
        <f t="shared" si="2"/>
        <v>0.17651461353161507</v>
      </c>
      <c r="O42" s="148">
        <f t="shared" si="3"/>
        <v>8.103059241645573E-2</v>
      </c>
      <c r="P42" s="89"/>
    </row>
    <row r="43" spans="2:16" ht="22.25" customHeight="1" x14ac:dyDescent="0.2">
      <c r="B43" s="89"/>
      <c r="C43" s="133" t="s">
        <v>251</v>
      </c>
      <c r="D43" s="133" t="s">
        <v>849</v>
      </c>
      <c r="E43" s="133"/>
      <c r="F43" s="133"/>
      <c r="G43" s="133"/>
      <c r="H43" s="134">
        <f t="shared" si="0"/>
        <v>1</v>
      </c>
      <c r="I43" s="135">
        <v>0</v>
      </c>
      <c r="J43" s="135">
        <v>0</v>
      </c>
      <c r="K43" s="135">
        <v>0</v>
      </c>
      <c r="L43" s="135">
        <v>17443</v>
      </c>
      <c r="M43" s="135">
        <f t="shared" si="1"/>
        <v>17443</v>
      </c>
      <c r="N43" s="136">
        <f t="shared" si="2"/>
        <v>6.0720302992327724E-2</v>
      </c>
      <c r="O43" s="136">
        <f t="shared" si="3"/>
        <v>2.7874191403952853E-2</v>
      </c>
      <c r="P43" s="89"/>
    </row>
    <row r="44" spans="2:16" ht="19.25" customHeight="1" x14ac:dyDescent="0.2">
      <c r="B44" s="89"/>
      <c r="C44" s="145" t="s">
        <v>251</v>
      </c>
      <c r="D44" s="145" t="s">
        <v>854</v>
      </c>
      <c r="E44" s="145"/>
      <c r="F44" s="145"/>
      <c r="G44" s="145"/>
      <c r="H44" s="146">
        <f t="shared" si="0"/>
        <v>1</v>
      </c>
      <c r="I44" s="147">
        <v>0</v>
      </c>
      <c r="J44" s="147">
        <v>0</v>
      </c>
      <c r="K44" s="147">
        <v>0</v>
      </c>
      <c r="L44" s="147">
        <v>106628</v>
      </c>
      <c r="M44" s="147">
        <f t="shared" si="1"/>
        <v>106628</v>
      </c>
      <c r="N44" s="148">
        <f t="shared" si="2"/>
        <v>0.37117952573903112</v>
      </c>
      <c r="O44" s="148">
        <f t="shared" si="3"/>
        <v>0.17039323975352202</v>
      </c>
      <c r="P44" s="89"/>
    </row>
    <row r="45" spans="2:16" ht="19.25" customHeight="1" x14ac:dyDescent="0.2">
      <c r="B45" s="89"/>
      <c r="C45" s="149" t="s">
        <v>813</v>
      </c>
      <c r="D45" s="150"/>
      <c r="E45" s="150"/>
      <c r="F45" s="150"/>
      <c r="G45" s="150"/>
      <c r="H45" s="151">
        <f t="shared" ref="H45:M45" si="4">SUM(H39:H44)</f>
        <v>7</v>
      </c>
      <c r="I45" s="152">
        <f t="shared" si="4"/>
        <v>0</v>
      </c>
      <c r="J45" s="152">
        <f t="shared" si="4"/>
        <v>0</v>
      </c>
      <c r="K45" s="152">
        <f t="shared" si="4"/>
        <v>54160</v>
      </c>
      <c r="L45" s="152">
        <f t="shared" si="4"/>
        <v>233108</v>
      </c>
      <c r="M45" s="152">
        <f t="shared" si="4"/>
        <v>287268</v>
      </c>
      <c r="N45" s="153">
        <f>M45/$M$62</f>
        <v>0.45905883255350155</v>
      </c>
      <c r="O45" s="153">
        <f t="shared" si="3"/>
        <v>0.45905883255350155</v>
      </c>
      <c r="P45" s="89"/>
    </row>
    <row r="46" spans="2:16" ht="19.25" customHeight="1" x14ac:dyDescent="0.2">
      <c r="B46" s="89"/>
      <c r="C46" s="133" t="s">
        <v>318</v>
      </c>
      <c r="D46" s="133" t="s">
        <v>562</v>
      </c>
      <c r="E46" s="133"/>
      <c r="F46" s="133"/>
      <c r="G46" s="133"/>
      <c r="H46" s="134">
        <f t="shared" ref="H46:H53" si="5">COUNTIF(I46:L46,"&gt;0")</f>
        <v>1</v>
      </c>
      <c r="I46" s="135">
        <v>20228</v>
      </c>
      <c r="J46" s="135">
        <v>0</v>
      </c>
      <c r="K46" s="135">
        <v>0</v>
      </c>
      <c r="L46" s="135">
        <v>0</v>
      </c>
      <c r="M46" s="135">
        <f t="shared" ref="M46:M53" si="6">SUM(I46:L46)</f>
        <v>20228</v>
      </c>
      <c r="N46" s="136">
        <f t="shared" ref="N46:N53" si="7">M46/$M$54</f>
        <v>9.4042604628673976E-2</v>
      </c>
      <c r="O46" s="136">
        <f t="shared" si="3"/>
        <v>3.2324665695072995E-2</v>
      </c>
      <c r="P46" s="89"/>
    </row>
    <row r="47" spans="2:16" ht="19.25" customHeight="1" x14ac:dyDescent="0.2">
      <c r="B47" s="89"/>
      <c r="C47" s="145" t="s">
        <v>318</v>
      </c>
      <c r="D47" s="145" t="s">
        <v>674</v>
      </c>
      <c r="E47" s="145"/>
      <c r="F47" s="145"/>
      <c r="G47" s="145"/>
      <c r="H47" s="146">
        <f t="shared" si="5"/>
        <v>1</v>
      </c>
      <c r="I47" s="147">
        <v>0</v>
      </c>
      <c r="J47" s="147">
        <v>0</v>
      </c>
      <c r="K47" s="147">
        <v>15675</v>
      </c>
      <c r="L47" s="147">
        <v>0</v>
      </c>
      <c r="M47" s="147">
        <f t="shared" si="6"/>
        <v>15675</v>
      </c>
      <c r="N47" s="148">
        <f t="shared" si="7"/>
        <v>7.2875115065971163E-2</v>
      </c>
      <c r="O47" s="148">
        <f t="shared" si="3"/>
        <v>2.50488992866457E-2</v>
      </c>
      <c r="P47" s="89"/>
    </row>
    <row r="48" spans="2:16" ht="19.25" customHeight="1" x14ac:dyDescent="0.2">
      <c r="B48" s="89"/>
      <c r="C48" s="133" t="s">
        <v>318</v>
      </c>
      <c r="D48" s="133" t="s">
        <v>703</v>
      </c>
      <c r="E48" s="133"/>
      <c r="F48" s="133"/>
      <c r="G48" s="133"/>
      <c r="H48" s="134">
        <f t="shared" si="5"/>
        <v>1</v>
      </c>
      <c r="I48" s="135">
        <v>0</v>
      </c>
      <c r="J48" s="135">
        <v>0</v>
      </c>
      <c r="K48" s="135">
        <v>0</v>
      </c>
      <c r="L48" s="135">
        <v>28838</v>
      </c>
      <c r="M48" s="135">
        <f t="shared" si="6"/>
        <v>28838</v>
      </c>
      <c r="N48" s="136">
        <f t="shared" si="7"/>
        <v>0.13407161520079594</v>
      </c>
      <c r="O48" s="136">
        <f t="shared" si="3"/>
        <v>4.6083582623814269E-2</v>
      </c>
      <c r="P48" s="89"/>
    </row>
    <row r="49" spans="2:16" ht="19.25" customHeight="1" x14ac:dyDescent="0.2">
      <c r="B49" s="89"/>
      <c r="C49" s="145" t="s">
        <v>318</v>
      </c>
      <c r="D49" s="145" t="s">
        <v>705</v>
      </c>
      <c r="E49" s="145"/>
      <c r="F49" s="145"/>
      <c r="G49" s="145"/>
      <c r="H49" s="146">
        <f t="shared" si="5"/>
        <v>2</v>
      </c>
      <c r="I49" s="147">
        <v>0</v>
      </c>
      <c r="J49" s="147">
        <v>20091</v>
      </c>
      <c r="K49" s="147">
        <v>12094</v>
      </c>
      <c r="L49" s="147">
        <v>0</v>
      </c>
      <c r="M49" s="147">
        <f t="shared" si="6"/>
        <v>32185</v>
      </c>
      <c r="N49" s="148">
        <f t="shared" si="7"/>
        <v>0.14963225380531303</v>
      </c>
      <c r="O49" s="148">
        <f t="shared" si="3"/>
        <v>5.1432141852675715E-2</v>
      </c>
      <c r="P49" s="89"/>
    </row>
    <row r="50" spans="2:16" ht="19.25" customHeight="1" x14ac:dyDescent="0.2">
      <c r="B50" s="89"/>
      <c r="C50" s="133" t="s">
        <v>318</v>
      </c>
      <c r="D50" s="133" t="s">
        <v>769</v>
      </c>
      <c r="E50" s="133"/>
      <c r="F50" s="133"/>
      <c r="G50" s="133"/>
      <c r="H50" s="134">
        <f t="shared" si="5"/>
        <v>1</v>
      </c>
      <c r="I50" s="135">
        <v>0</v>
      </c>
      <c r="J50" s="135">
        <v>0</v>
      </c>
      <c r="K50" s="135">
        <v>0</v>
      </c>
      <c r="L50" s="135">
        <v>40271</v>
      </c>
      <c r="M50" s="135">
        <f t="shared" si="6"/>
        <v>40271</v>
      </c>
      <c r="N50" s="136">
        <f t="shared" si="7"/>
        <v>0.18722512018001433</v>
      </c>
      <c r="O50" s="136">
        <f t="shared" si="3"/>
        <v>6.4353698448006952E-2</v>
      </c>
      <c r="P50" s="89"/>
    </row>
    <row r="51" spans="2:16" ht="19.25" customHeight="1" x14ac:dyDescent="0.2">
      <c r="B51" s="89"/>
      <c r="C51" s="145" t="s">
        <v>318</v>
      </c>
      <c r="D51" s="145" t="s">
        <v>803</v>
      </c>
      <c r="E51" s="145"/>
      <c r="F51" s="145"/>
      <c r="G51" s="145"/>
      <c r="H51" s="146">
        <f t="shared" si="5"/>
        <v>2</v>
      </c>
      <c r="I51" s="147">
        <v>0</v>
      </c>
      <c r="J51" s="147">
        <v>0</v>
      </c>
      <c r="K51" s="147">
        <v>32311</v>
      </c>
      <c r="L51" s="147">
        <v>20120</v>
      </c>
      <c r="M51" s="147">
        <f t="shared" si="6"/>
        <v>52431</v>
      </c>
      <c r="N51" s="148">
        <f t="shared" si="7"/>
        <v>0.24375854277664649</v>
      </c>
      <c r="O51" s="148">
        <f t="shared" si="3"/>
        <v>8.3785571834010891E-2</v>
      </c>
      <c r="P51" s="89"/>
    </row>
    <row r="52" spans="2:16" ht="19.25" customHeight="1" x14ac:dyDescent="0.2">
      <c r="B52" s="89"/>
      <c r="C52" s="133" t="s">
        <v>318</v>
      </c>
      <c r="D52" s="133" t="s">
        <v>851</v>
      </c>
      <c r="E52" s="133"/>
      <c r="F52" s="133"/>
      <c r="G52" s="133"/>
      <c r="H52" s="134">
        <f t="shared" si="5"/>
        <v>1</v>
      </c>
      <c r="I52" s="135">
        <v>0</v>
      </c>
      <c r="J52" s="135">
        <v>0</v>
      </c>
      <c r="K52" s="135">
        <v>0</v>
      </c>
      <c r="L52" s="135">
        <v>14939</v>
      </c>
      <c r="M52" s="135">
        <f t="shared" si="6"/>
        <v>14939</v>
      </c>
      <c r="N52" s="136">
        <f t="shared" si="7"/>
        <v>6.9453355277227624E-2</v>
      </c>
      <c r="O52" s="136">
        <f t="shared" si="3"/>
        <v>2.3872759581703356E-2</v>
      </c>
      <c r="P52" s="89"/>
    </row>
    <row r="53" spans="2:16" ht="22.25" customHeight="1" x14ac:dyDescent="0.2">
      <c r="B53" s="89"/>
      <c r="C53" s="145" t="s">
        <v>318</v>
      </c>
      <c r="D53" s="145" t="s">
        <v>868</v>
      </c>
      <c r="E53" s="145"/>
      <c r="F53" s="145"/>
      <c r="G53" s="145"/>
      <c r="H53" s="146">
        <f t="shared" si="5"/>
        <v>1</v>
      </c>
      <c r="I53" s="147">
        <v>0</v>
      </c>
      <c r="J53" s="147">
        <v>0</v>
      </c>
      <c r="K53" s="147">
        <v>0</v>
      </c>
      <c r="L53" s="147">
        <v>10527</v>
      </c>
      <c r="M53" s="147">
        <f t="shared" si="6"/>
        <v>10527</v>
      </c>
      <c r="N53" s="148">
        <f t="shared" si="7"/>
        <v>4.8941393065357469E-2</v>
      </c>
      <c r="O53" s="148">
        <f t="shared" si="3"/>
        <v>1.6822313415663114E-2</v>
      </c>
      <c r="P53" s="89"/>
    </row>
    <row r="54" spans="2:16" ht="27" customHeight="1" x14ac:dyDescent="0.2">
      <c r="B54" s="89"/>
      <c r="C54" s="149" t="s">
        <v>814</v>
      </c>
      <c r="D54" s="150"/>
      <c r="E54" s="150"/>
      <c r="F54" s="150"/>
      <c r="G54" s="150"/>
      <c r="H54" s="151">
        <f t="shared" ref="H54:M54" si="8">SUM(H46:H53)</f>
        <v>10</v>
      </c>
      <c r="I54" s="152">
        <f t="shared" si="8"/>
        <v>20228</v>
      </c>
      <c r="J54" s="152">
        <f t="shared" si="8"/>
        <v>20091</v>
      </c>
      <c r="K54" s="152">
        <f t="shared" si="8"/>
        <v>60080</v>
      </c>
      <c r="L54" s="152">
        <f t="shared" si="8"/>
        <v>114695</v>
      </c>
      <c r="M54" s="152">
        <f t="shared" si="8"/>
        <v>215094</v>
      </c>
      <c r="N54" s="153">
        <f>M54/$M$62</f>
        <v>0.34372363273759299</v>
      </c>
      <c r="O54" s="153">
        <f t="shared" si="3"/>
        <v>0.34372363273759299</v>
      </c>
      <c r="P54" s="89"/>
    </row>
    <row r="55" spans="2:16" ht="19.25" customHeight="1" x14ac:dyDescent="0.2">
      <c r="B55" s="89"/>
      <c r="C55" s="133" t="s">
        <v>235</v>
      </c>
      <c r="D55" s="133" t="s">
        <v>836</v>
      </c>
      <c r="E55" s="133"/>
      <c r="F55" s="133"/>
      <c r="G55" s="133"/>
      <c r="H55" s="134">
        <f>COUNTIF(I55:L55,"&gt;0")</f>
        <v>1</v>
      </c>
      <c r="I55" s="135">
        <v>0</v>
      </c>
      <c r="J55" s="135">
        <v>0</v>
      </c>
      <c r="K55" s="135">
        <v>0</v>
      </c>
      <c r="L55" s="135">
        <v>4210</v>
      </c>
      <c r="M55" s="135">
        <f>SUM(I55:L55)</f>
        <v>4210</v>
      </c>
      <c r="N55" s="136">
        <f>M55/$M$56</f>
        <v>1</v>
      </c>
      <c r="O55" s="136">
        <f t="shared" si="3"/>
        <v>6.7276469535424814E-3</v>
      </c>
      <c r="P55" s="89"/>
    </row>
    <row r="56" spans="2:16" s="11" customFormat="1" ht="19.25" customHeight="1" x14ac:dyDescent="0.2">
      <c r="B56" s="137"/>
      <c r="C56" s="149" t="s">
        <v>843</v>
      </c>
      <c r="D56" s="150"/>
      <c r="E56" s="150"/>
      <c r="F56" s="150"/>
      <c r="G56" s="150"/>
      <c r="H56" s="151">
        <f t="shared" ref="H56:M56" si="9">SUM(H55:H55)</f>
        <v>1</v>
      </c>
      <c r="I56" s="152">
        <f t="shared" si="9"/>
        <v>0</v>
      </c>
      <c r="J56" s="152">
        <f t="shared" si="9"/>
        <v>0</v>
      </c>
      <c r="K56" s="152">
        <f t="shared" si="9"/>
        <v>0</v>
      </c>
      <c r="L56" s="152">
        <f t="shared" si="9"/>
        <v>4210</v>
      </c>
      <c r="M56" s="152">
        <f t="shared" si="9"/>
        <v>4210</v>
      </c>
      <c r="N56" s="153">
        <f>M56/$M$62</f>
        <v>6.7276469535424814E-3</v>
      </c>
      <c r="O56" s="153">
        <f t="shared" si="3"/>
        <v>6.7276469535424814E-3</v>
      </c>
      <c r="P56" s="137"/>
    </row>
    <row r="57" spans="2:16" ht="22.25" customHeight="1" x14ac:dyDescent="0.2">
      <c r="B57" s="89"/>
      <c r="C57" s="145" t="s">
        <v>469</v>
      </c>
      <c r="D57" s="145" t="s">
        <v>673</v>
      </c>
      <c r="E57" s="145"/>
      <c r="F57" s="145"/>
      <c r="G57" s="145"/>
      <c r="H57" s="146">
        <f>COUNTIF(I57:L57,"&gt;0")</f>
        <v>1</v>
      </c>
      <c r="I57" s="147">
        <v>0</v>
      </c>
      <c r="J57" s="147">
        <v>0</v>
      </c>
      <c r="K57" s="147">
        <v>0</v>
      </c>
      <c r="L57" s="147">
        <v>31080</v>
      </c>
      <c r="M57" s="147">
        <f>SUM(I57:L57)</f>
        <v>31080</v>
      </c>
      <c r="N57" s="148">
        <f>M57/$M$59</f>
        <v>0.43116962390577529</v>
      </c>
      <c r="O57" s="148">
        <f t="shared" si="3"/>
        <v>4.9666334279358751E-2</v>
      </c>
      <c r="P57" s="130"/>
    </row>
    <row r="58" spans="2:16" ht="26" customHeight="1" x14ac:dyDescent="0.2">
      <c r="B58" s="89"/>
      <c r="C58" s="133" t="s">
        <v>469</v>
      </c>
      <c r="D58" s="133" t="s">
        <v>771</v>
      </c>
      <c r="E58" s="133"/>
      <c r="F58" s="133"/>
      <c r="G58" s="133"/>
      <c r="H58" s="134">
        <f>COUNTIF(I58:L58,"&gt;0")</f>
        <v>1</v>
      </c>
      <c r="I58" s="135">
        <v>0</v>
      </c>
      <c r="J58" s="135">
        <v>0</v>
      </c>
      <c r="K58" s="135">
        <v>0</v>
      </c>
      <c r="L58" s="135">
        <v>41003</v>
      </c>
      <c r="M58" s="135">
        <f>SUM(I58:L58)</f>
        <v>41003</v>
      </c>
      <c r="N58" s="136">
        <f>M58/$M$59</f>
        <v>0.56883037609422471</v>
      </c>
      <c r="O58" s="136">
        <f t="shared" si="3"/>
        <v>6.5523446089335483E-2</v>
      </c>
      <c r="P58" s="130"/>
    </row>
    <row r="59" spans="2:16" x14ac:dyDescent="0.2">
      <c r="B59" s="89"/>
      <c r="C59" s="149" t="s">
        <v>855</v>
      </c>
      <c r="D59" s="150"/>
      <c r="E59" s="150"/>
      <c r="F59" s="150"/>
      <c r="G59" s="150"/>
      <c r="H59" s="151">
        <f t="shared" ref="H59:M59" si="10">SUM(H57:H58)</f>
        <v>2</v>
      </c>
      <c r="I59" s="152">
        <f t="shared" si="10"/>
        <v>0</v>
      </c>
      <c r="J59" s="152">
        <f t="shared" si="10"/>
        <v>0</v>
      </c>
      <c r="K59" s="152">
        <f t="shared" si="10"/>
        <v>0</v>
      </c>
      <c r="L59" s="152">
        <f t="shared" si="10"/>
        <v>72083</v>
      </c>
      <c r="M59" s="152">
        <f t="shared" si="10"/>
        <v>72083</v>
      </c>
      <c r="N59" s="153">
        <f>M59/$M$62</f>
        <v>0.11518978036869423</v>
      </c>
      <c r="O59" s="153">
        <f t="shared" si="3"/>
        <v>0.11518978036869423</v>
      </c>
      <c r="P59" s="130"/>
    </row>
    <row r="60" spans="2:16" x14ac:dyDescent="0.2">
      <c r="B60" s="89"/>
      <c r="C60" s="145" t="s">
        <v>863</v>
      </c>
      <c r="D60" s="145" t="s">
        <v>861</v>
      </c>
      <c r="E60" s="145"/>
      <c r="F60" s="145"/>
      <c r="G60" s="145"/>
      <c r="H60" s="146">
        <f>COUNTIF(I60:L60,"&gt;0")</f>
        <v>1</v>
      </c>
      <c r="I60" s="147">
        <v>0</v>
      </c>
      <c r="J60" s="147">
        <v>0</v>
      </c>
      <c r="K60" s="147">
        <v>0</v>
      </c>
      <c r="L60" s="147">
        <v>47121</v>
      </c>
      <c r="M60" s="147">
        <f>SUM(I60:L60)</f>
        <v>47121</v>
      </c>
      <c r="N60" s="148">
        <f>M60/$M$61</f>
        <v>1</v>
      </c>
      <c r="O60" s="148">
        <f t="shared" si="3"/>
        <v>7.5300107386668716E-2</v>
      </c>
      <c r="P60" s="130"/>
    </row>
    <row r="61" spans="2:16" x14ac:dyDescent="0.2">
      <c r="B61" s="89"/>
      <c r="C61" s="149" t="s">
        <v>869</v>
      </c>
      <c r="D61" s="150"/>
      <c r="E61" s="150"/>
      <c r="F61" s="150"/>
      <c r="G61" s="150"/>
      <c r="H61" s="151">
        <f t="shared" ref="H61:M61" si="11">SUM(H60:H60)</f>
        <v>1</v>
      </c>
      <c r="I61" s="152">
        <f t="shared" si="11"/>
        <v>0</v>
      </c>
      <c r="J61" s="152">
        <f t="shared" si="11"/>
        <v>0</v>
      </c>
      <c r="K61" s="152">
        <f t="shared" si="11"/>
        <v>0</v>
      </c>
      <c r="L61" s="152">
        <f t="shared" si="11"/>
        <v>47121</v>
      </c>
      <c r="M61" s="152">
        <f t="shared" si="11"/>
        <v>47121</v>
      </c>
      <c r="N61" s="153">
        <f>M61/$M$62</f>
        <v>7.5300107386668716E-2</v>
      </c>
      <c r="O61" s="153">
        <f t="shared" si="3"/>
        <v>7.5300107386668716E-2</v>
      </c>
      <c r="P61" s="130"/>
    </row>
    <row r="62" spans="2:16" x14ac:dyDescent="0.2">
      <c r="B62" s="89"/>
      <c r="C62" s="154" t="s">
        <v>815</v>
      </c>
      <c r="D62" s="155"/>
      <c r="E62" s="155"/>
      <c r="F62" s="155"/>
      <c r="G62" s="155"/>
      <c r="H62" s="156">
        <f t="shared" ref="H62:M62" si="12">H45+H54+H56+H59+H61</f>
        <v>21</v>
      </c>
      <c r="I62" s="157">
        <f t="shared" si="12"/>
        <v>20228</v>
      </c>
      <c r="J62" s="157">
        <f t="shared" si="12"/>
        <v>20091</v>
      </c>
      <c r="K62" s="157">
        <f t="shared" si="12"/>
        <v>114240</v>
      </c>
      <c r="L62" s="157">
        <f t="shared" si="12"/>
        <v>471217</v>
      </c>
      <c r="M62" s="157">
        <f t="shared" si="12"/>
        <v>625776</v>
      </c>
      <c r="N62" s="158">
        <f>M62/M62</f>
        <v>1</v>
      </c>
      <c r="O62" s="158">
        <f>M62/M62</f>
        <v>1</v>
      </c>
      <c r="P62" s="130"/>
    </row>
    <row r="63" spans="2:16" x14ac:dyDescent="0.2"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</row>
    <row r="64" spans="2:16" x14ac:dyDescent="0.2">
      <c r="P64" s="131"/>
    </row>
    <row r="65" spans="3:16" x14ac:dyDescent="0.2">
      <c r="P65" s="131"/>
    </row>
    <row r="66" spans="3:16" x14ac:dyDescent="0.2">
      <c r="C66" s="159" t="s">
        <v>51</v>
      </c>
      <c r="D66" s="159" t="s">
        <v>718</v>
      </c>
      <c r="F66" s="159" t="s">
        <v>620</v>
      </c>
      <c r="G66" s="159" t="s">
        <v>251</v>
      </c>
      <c r="H66" s="159" t="s">
        <v>318</v>
      </c>
      <c r="I66" s="159" t="s">
        <v>235</v>
      </c>
      <c r="J66" s="159" t="s">
        <v>469</v>
      </c>
      <c r="K66" s="159" t="s">
        <v>863</v>
      </c>
      <c r="M66" s="159" t="s">
        <v>0</v>
      </c>
      <c r="N66" s="159" t="s">
        <v>718</v>
      </c>
      <c r="P66" s="131"/>
    </row>
    <row r="67" spans="3:16" x14ac:dyDescent="0.2">
      <c r="C67" s="138" t="s">
        <v>251</v>
      </c>
      <c r="D67" s="140">
        <f>M45</f>
        <v>287268</v>
      </c>
      <c r="F67" s="160">
        <f>I38</f>
        <v>46054</v>
      </c>
      <c r="G67" s="161">
        <f>I45</f>
        <v>0</v>
      </c>
      <c r="H67" s="161">
        <f>I54</f>
        <v>20228</v>
      </c>
      <c r="I67" s="161">
        <f>I56</f>
        <v>0</v>
      </c>
      <c r="J67" s="161">
        <f>I59</f>
        <v>0</v>
      </c>
      <c r="K67" s="161">
        <f>I61</f>
        <v>0</v>
      </c>
      <c r="M67" s="139" t="s">
        <v>856</v>
      </c>
      <c r="N67" s="140">
        <f>M44</f>
        <v>106628</v>
      </c>
      <c r="P67" s="131"/>
    </row>
    <row r="68" spans="3:16" x14ac:dyDescent="0.2">
      <c r="C68" s="141" t="s">
        <v>318</v>
      </c>
      <c r="D68" s="143">
        <f>M54</f>
        <v>215094</v>
      </c>
      <c r="F68" s="162">
        <f>J38</f>
        <v>46082</v>
      </c>
      <c r="G68" s="163">
        <f>J45</f>
        <v>0</v>
      </c>
      <c r="H68" s="163">
        <f>J54</f>
        <v>20091</v>
      </c>
      <c r="I68" s="163">
        <f>J56</f>
        <v>0</v>
      </c>
      <c r="J68" s="163">
        <f>J59</f>
        <v>0</v>
      </c>
      <c r="K68" s="163">
        <f>J61</f>
        <v>0</v>
      </c>
      <c r="M68" s="142" t="s">
        <v>824</v>
      </c>
      <c r="N68" s="143">
        <f>M40</f>
        <v>78100</v>
      </c>
      <c r="P68" s="131"/>
    </row>
    <row r="69" spans="3:16" x14ac:dyDescent="0.2">
      <c r="C69" s="138" t="s">
        <v>469</v>
      </c>
      <c r="D69" s="140">
        <f>M59</f>
        <v>72083</v>
      </c>
      <c r="F69" s="160">
        <f>K38</f>
        <v>46113</v>
      </c>
      <c r="G69" s="161">
        <f>K45</f>
        <v>54160</v>
      </c>
      <c r="H69" s="161">
        <f>K54</f>
        <v>60080</v>
      </c>
      <c r="I69" s="161">
        <f>K56</f>
        <v>0</v>
      </c>
      <c r="J69" s="161">
        <f>K59</f>
        <v>0</v>
      </c>
      <c r="K69" s="161">
        <f>K61</f>
        <v>0</v>
      </c>
      <c r="M69" s="139" t="s">
        <v>825</v>
      </c>
      <c r="N69" s="140">
        <f>M51</f>
        <v>52431</v>
      </c>
      <c r="P69" s="131"/>
    </row>
    <row r="70" spans="3:16" x14ac:dyDescent="0.2">
      <c r="C70" s="141" t="s">
        <v>863</v>
      </c>
      <c r="D70" s="143">
        <f>M61</f>
        <v>47121</v>
      </c>
      <c r="F70" s="162">
        <f>L38</f>
        <v>46173</v>
      </c>
      <c r="G70" s="163">
        <f>L45</f>
        <v>233108</v>
      </c>
      <c r="H70" s="163">
        <f>L54</f>
        <v>114695</v>
      </c>
      <c r="I70" s="163">
        <f>L56</f>
        <v>4210</v>
      </c>
      <c r="J70" s="163">
        <f>L59</f>
        <v>72083</v>
      </c>
      <c r="K70" s="163">
        <f>L61</f>
        <v>47121</v>
      </c>
      <c r="M70" s="142" t="s">
        <v>857</v>
      </c>
      <c r="N70" s="143">
        <f>M42</f>
        <v>50707</v>
      </c>
      <c r="P70" s="131"/>
    </row>
    <row r="71" spans="3:16" x14ac:dyDescent="0.2">
      <c r="C71" s="138" t="s">
        <v>235</v>
      </c>
      <c r="D71" s="140">
        <f>M56</f>
        <v>4210</v>
      </c>
      <c r="M71" s="139" t="s">
        <v>870</v>
      </c>
      <c r="N71" s="140">
        <f>M60</f>
        <v>47121</v>
      </c>
      <c r="P71" s="131"/>
    </row>
    <row r="72" spans="3:16" x14ac:dyDescent="0.2">
      <c r="M72" s="142" t="s">
        <v>871</v>
      </c>
      <c r="N72" s="143">
        <f>M58</f>
        <v>41003</v>
      </c>
      <c r="P72" s="131"/>
    </row>
    <row r="73" spans="3:16" x14ac:dyDescent="0.2">
      <c r="M73" s="139" t="s">
        <v>872</v>
      </c>
      <c r="N73" s="140">
        <f>M50</f>
        <v>40271</v>
      </c>
      <c r="P73" s="131"/>
    </row>
    <row r="74" spans="3:16" x14ac:dyDescent="0.2">
      <c r="M74" s="142" t="s">
        <v>873</v>
      </c>
      <c r="N74" s="143">
        <f>M41</f>
        <v>32980</v>
      </c>
      <c r="P74" s="131"/>
    </row>
    <row r="75" spans="3:16" x14ac:dyDescent="0.2">
      <c r="C75" s="131"/>
      <c r="D75" s="131"/>
      <c r="E75" s="131"/>
      <c r="F75" s="131"/>
      <c r="G75" s="131"/>
      <c r="H75" s="131"/>
      <c r="I75" s="131"/>
      <c r="J75" s="131"/>
      <c r="K75" s="131"/>
      <c r="L75" s="131"/>
      <c r="M75" s="139" t="s">
        <v>826</v>
      </c>
      <c r="N75" s="140">
        <f>M49</f>
        <v>32185</v>
      </c>
      <c r="O75" s="131"/>
      <c r="P75" s="131"/>
    </row>
    <row r="76" spans="3:16" x14ac:dyDescent="0.2"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42" t="s">
        <v>874</v>
      </c>
      <c r="N76" s="143">
        <f>M57</f>
        <v>31080</v>
      </c>
      <c r="O76" s="131"/>
      <c r="P76" s="131"/>
    </row>
    <row r="77" spans="3:16" x14ac:dyDescent="0.2">
      <c r="C77" s="131"/>
      <c r="D77" s="131"/>
      <c r="E77" s="131"/>
      <c r="F77" s="131"/>
      <c r="G77" s="131"/>
      <c r="H77" s="131"/>
      <c r="I77" s="131"/>
      <c r="J77" s="131"/>
      <c r="K77" s="131"/>
      <c r="L77" s="131"/>
      <c r="M77" s="131"/>
      <c r="N77" s="131"/>
      <c r="O77" s="131"/>
      <c r="P77" s="131"/>
    </row>
  </sheetData>
  <mergeCells count="19">
    <mergeCell ref="N7:O7"/>
    <mergeCell ref="C9:O9"/>
    <mergeCell ref="C36:O36"/>
    <mergeCell ref="C6:D6"/>
    <mergeCell ref="E6:F6"/>
    <mergeCell ref="I6:J6"/>
    <mergeCell ref="K6:M6"/>
    <mergeCell ref="N6:O6"/>
    <mergeCell ref="C7:D7"/>
    <mergeCell ref="E7:F7"/>
    <mergeCell ref="I7:J7"/>
    <mergeCell ref="K7:M7"/>
    <mergeCell ref="C2:O2"/>
    <mergeCell ref="C3:O3"/>
    <mergeCell ref="C5:D5"/>
    <mergeCell ref="E5:F5"/>
    <mergeCell ref="I5:J5"/>
    <mergeCell ref="K5:M5"/>
    <mergeCell ref="N5:O5"/>
  </mergeCells>
  <pageMargins left="0.7" right="0.7" top="0.75" bottom="0.75" header="0.3" footer="0.3"/>
  <pageSetup scale="46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aa94c6-a08a-4f31-80d4-9ed0227976f0">
      <Terms xmlns="http://schemas.microsoft.com/office/infopath/2007/PartnerControls"/>
    </lcf76f155ced4ddcb4097134ff3c332f>
    <TaxCatchAll xmlns="379e1408-2888-4c35-8838-6acad26c5d6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E5B92ACAE07D34EBD9C6E2622D0FB90" ma:contentTypeVersion="12" ma:contentTypeDescription="Crear nuevo documento." ma:contentTypeScope="" ma:versionID="b444f2bab3c9385280f09a934f960e9b">
  <xsd:schema xmlns:xsd="http://www.w3.org/2001/XMLSchema" xmlns:xs="http://www.w3.org/2001/XMLSchema" xmlns:p="http://schemas.microsoft.com/office/2006/metadata/properties" xmlns:ns2="0aaa94c6-a08a-4f31-80d4-9ed0227976f0" xmlns:ns3="379e1408-2888-4c35-8838-6acad26c5d63" targetNamespace="http://schemas.microsoft.com/office/2006/metadata/properties" ma:root="true" ma:fieldsID="52edec5c946cc200efe2e61d224a5ae1" ns2:_="" ns3:_="">
    <xsd:import namespace="0aaa94c6-a08a-4f31-80d4-9ed0227976f0"/>
    <xsd:import namespace="379e1408-2888-4c35-8838-6acad26c5d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aa94c6-a08a-4f31-80d4-9ed0227976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90e85e79-d9a7-4c0e-b556-3753633e16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9e1408-2888-4c35-8838-6acad26c5d6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83b9dc9-1702-4a21-9e9b-ae6102858314}" ma:internalName="TaxCatchAll" ma:showField="CatchAllData" ma:web="379e1408-2888-4c35-8838-6acad26c5d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B09B8F-7AB2-4D2B-827B-67AB8518BBD6}">
  <ds:schemaRefs>
    <ds:schemaRef ds:uri="http://purl.org/dc/elements/1.1/"/>
    <ds:schemaRef ds:uri="7d3b1b71-91b4-4cfa-8e3c-66689df66c22"/>
    <ds:schemaRef ds:uri="http://www.w3.org/XML/1998/namespace"/>
    <ds:schemaRef ds:uri="93905ea2-9252-4e2b-8dff-94b3dd824a6c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0aaa94c6-a08a-4f31-80d4-9ed0227976f0"/>
    <ds:schemaRef ds:uri="379e1408-2888-4c35-8838-6acad26c5d63"/>
  </ds:schemaRefs>
</ds:datastoreItem>
</file>

<file path=customXml/itemProps2.xml><?xml version="1.0" encoding="utf-8"?>
<ds:datastoreItem xmlns:ds="http://schemas.openxmlformats.org/officeDocument/2006/customXml" ds:itemID="{3D803C2B-29B3-425D-91A0-EC002D92328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8C9EF2-EF0C-414E-84ED-CCD727D5D5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aa94c6-a08a-4f31-80d4-9ed0227976f0"/>
    <ds:schemaRef ds:uri="379e1408-2888-4c35-8838-6acad26c5d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2</vt:i4>
      </vt:variant>
    </vt:vector>
  </HeadingPairs>
  <TitlesOfParts>
    <vt:vector size="11" baseType="lpstr">
      <vt:lpstr>CicloEdP_2023_v1</vt:lpstr>
      <vt:lpstr>Ingresos</vt:lpstr>
      <vt:lpstr>Facturación</vt:lpstr>
      <vt:lpstr>EDP</vt:lpstr>
      <vt:lpstr>Base</vt:lpstr>
      <vt:lpstr>Reporte_ER</vt:lpstr>
      <vt:lpstr>EDP por facturar</vt:lpstr>
      <vt:lpstr>Facturas por cobrar</vt:lpstr>
      <vt:lpstr>EDP Pendientes - Ejecutivo</vt:lpstr>
      <vt:lpstr>CicloEdP_2023_v1!Área_de_impresión</vt:lpstr>
      <vt:lpstr>'EDP Pendientes - Ejecutivo'!Área_de_impresión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Cuevas</dc:creator>
  <cp:keywords/>
  <dc:description/>
  <cp:lastModifiedBy>Daniel Cuero</cp:lastModifiedBy>
  <cp:revision/>
  <dcterms:created xsi:type="dcterms:W3CDTF">2023-05-18T13:46:21Z</dcterms:created>
  <dcterms:modified xsi:type="dcterms:W3CDTF">2026-07-26T20:20:05Z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0x0101000E5B92ACAE07D34EBD9C6E2622D0FB90</vt:lpwstr>
  </property>
  <property fmtid="{D5CDD505-2E9C-101B-9397-08002B2CF9AE}" pid="3" name="MediaServiceImageTags">
    <vt:lpwstr/>
  </property>
</Properties>
</file>