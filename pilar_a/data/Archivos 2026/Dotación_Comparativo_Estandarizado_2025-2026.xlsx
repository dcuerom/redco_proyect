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dacm/udd/redco_proyect/pilar_a/data/Archivos 2026/"/>
    </mc:Choice>
  </mc:AlternateContent>
  <xr:revisionPtr revIDLastSave="0" documentId="8_{1B4B48E5-D344-D149-B30E-378BAA6C180D}" xr6:coauthVersionLast="47" xr6:coauthVersionMax="47" xr10:uidLastSave="{00000000-0000-0000-0000-000000000000}"/>
  <bookViews>
    <workbookView xWindow="0" yWindow="600" windowWidth="16380" windowHeight="8200" tabRatio="500" xr2:uid="{00000000-000D-0000-FFFF-FFFF00000000}"/>
  </bookViews>
  <sheets>
    <sheet name="Comparativo por País" sheetId="1" r:id="rId1"/>
    <sheet name="Mapeo de Cargos" sheetId="2" r:id="rId2"/>
    <sheet name="Datos Estandarizados" sheetId="3" r:id="rId3"/>
    <sheet name="Dotación 2026" sheetId="4" r:id="rId4"/>
    <sheet name="Datación 2025"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0" i="1" l="1"/>
  <c r="N10" i="1" s="1"/>
  <c r="L10" i="1"/>
  <c r="O10" i="1" s="1"/>
  <c r="K10" i="1"/>
  <c r="J10" i="1"/>
  <c r="I10" i="1"/>
  <c r="H10" i="1"/>
  <c r="G10" i="1"/>
  <c r="F10" i="1"/>
  <c r="E10" i="1"/>
  <c r="D10" i="1"/>
  <c r="C10" i="1"/>
  <c r="B10" i="1"/>
  <c r="O9" i="1"/>
  <c r="N9" i="1"/>
  <c r="M9" i="1"/>
  <c r="L9" i="1"/>
  <c r="K9" i="1"/>
  <c r="J9" i="1"/>
  <c r="I9" i="1"/>
  <c r="H9" i="1"/>
  <c r="G9" i="1"/>
  <c r="F9" i="1"/>
  <c r="E9" i="1"/>
  <c r="D9" i="1"/>
  <c r="C9" i="1"/>
  <c r="B9" i="1"/>
  <c r="M8" i="1"/>
  <c r="L8" i="1"/>
  <c r="O8" i="1" s="1"/>
  <c r="K8" i="1"/>
  <c r="J8" i="1"/>
  <c r="I8" i="1"/>
  <c r="H8" i="1"/>
  <c r="G8" i="1"/>
  <c r="F8" i="1"/>
  <c r="E8" i="1"/>
  <c r="D8" i="1"/>
  <c r="C8" i="1"/>
  <c r="B8" i="1"/>
  <c r="M7" i="1"/>
  <c r="N7" i="1" s="1"/>
  <c r="L7" i="1"/>
  <c r="O7" i="1" s="1"/>
  <c r="K7" i="1"/>
  <c r="J7" i="1"/>
  <c r="I7" i="1"/>
  <c r="H7" i="1"/>
  <c r="G7" i="1"/>
  <c r="F7" i="1"/>
  <c r="E7" i="1"/>
  <c r="D7" i="1"/>
  <c r="C7" i="1"/>
  <c r="B7" i="1"/>
  <c r="M6" i="1"/>
  <c r="M11" i="1" s="1"/>
  <c r="L6" i="1"/>
  <c r="L11" i="1" s="1"/>
  <c r="O11" i="1" s="1"/>
  <c r="K6" i="1"/>
  <c r="K11" i="1" s="1"/>
  <c r="J6" i="1"/>
  <c r="J11" i="1" s="1"/>
  <c r="I6" i="1"/>
  <c r="I11" i="1" s="1"/>
  <c r="H6" i="1"/>
  <c r="H11" i="1" s="1"/>
  <c r="G6" i="1"/>
  <c r="G11" i="1" s="1"/>
  <c r="F6" i="1"/>
  <c r="F11" i="1" s="1"/>
  <c r="E6" i="1"/>
  <c r="E11" i="1" s="1"/>
  <c r="D6" i="1"/>
  <c r="D11" i="1" s="1"/>
  <c r="C6" i="1"/>
  <c r="C11" i="1" s="1"/>
  <c r="B6" i="1"/>
  <c r="B11" i="1" s="1"/>
  <c r="N11" i="1" l="1"/>
  <c r="N6" i="1"/>
  <c r="O6" i="1"/>
  <c r="N8" i="1"/>
</calcChain>
</file>

<file path=xl/sharedStrings.xml><?xml version="1.0" encoding="utf-8"?>
<sst xmlns="http://schemas.openxmlformats.org/spreadsheetml/2006/main" count="1116" uniqueCount="234">
  <si>
    <t>Dotación por País y Categoría Estandarizada — Comparativo 2025 vs 2026</t>
  </si>
  <si>
    <t>Categorías estandarizadas según taxonomía 2026. Ver hoja "Mapeo de Cargos" para el detalle de la reclasificación de 2025.</t>
  </si>
  <si>
    <t>Categoría</t>
  </si>
  <si>
    <t>Brasil</t>
  </si>
  <si>
    <t>Chile</t>
  </si>
  <si>
    <t>Perú</t>
  </si>
  <si>
    <t>Rusia</t>
  </si>
  <si>
    <t>USA</t>
  </si>
  <si>
    <t>Total</t>
  </si>
  <si>
    <t>Variación</t>
  </si>
  <si>
    <t>Δ (n)</t>
  </si>
  <si>
    <t>Δ (%)</t>
  </si>
  <si>
    <t>Administración</t>
  </si>
  <si>
    <t>Comercial</t>
  </si>
  <si>
    <t>Geomecánica</t>
  </si>
  <si>
    <t>Gestión</t>
  </si>
  <si>
    <t>Ingeniería</t>
  </si>
  <si>
    <t>Total general</t>
  </si>
  <si>
    <t>Mapeo de Cargos Originales a Categorías Estandarizadas</t>
  </si>
  <si>
    <t>Año</t>
  </si>
  <si>
    <t>Cargo Original</t>
  </si>
  <si>
    <t>Categoría Estandarizada</t>
  </si>
  <si>
    <t>Evidencia / Nota</t>
  </si>
  <si>
    <t>Categoría ya estandarizada (usada tal cual en 2026).</t>
  </si>
  <si>
    <t>Categoría nueva en 2026, sin equivalente explícito en 2025 (especialidad separada del área de Ingeniería).</t>
  </si>
  <si>
    <t>Aseo y Ornato</t>
  </si>
  <si>
    <t>Semántico: función de servicios generales/soporte.</t>
  </si>
  <si>
    <t>Consultor Administración</t>
  </si>
  <si>
    <t>Semántico: rol de consultoría administrativa.</t>
  </si>
  <si>
    <t>Contabilidad y Administración</t>
  </si>
  <si>
    <t>Confirmado: Isabel Marchant -&gt; Administración en 2026 (1/1 coincidencia).</t>
  </si>
  <si>
    <t>Country Manager</t>
  </si>
  <si>
    <t>Confirmado: Eduardo Lama -&gt; Comercial en 2026 (1/1 coincidencia).</t>
  </si>
  <si>
    <t>Country Manager Brasil</t>
  </si>
  <si>
    <t>Sin coincidencia directa; se aplica mismo criterio que "Country Manager".</t>
  </si>
  <si>
    <t>Country Manager Rusia</t>
  </si>
  <si>
    <t>Confirmado: Olesya Dashavskaya -&gt; Comercial en 2026 (1/1 coincidencia).</t>
  </si>
  <si>
    <t>Country Manager USA</t>
  </si>
  <si>
    <t>Nota: Patricio Vergara aparece como Ingeniería en 2026 (posible cambio de función); se mantiene Comercial por consistencia con el resto de "Country Manager".</t>
  </si>
  <si>
    <t>Desarrollo de Negocios</t>
  </si>
  <si>
    <t>Semántico: función de desarrollo comercial/negocios.</t>
  </si>
  <si>
    <t>Director de Proyecto</t>
  </si>
  <si>
    <t>Confirmado: 3/4 coincidencias -&gt; Ingeniería (Alex Figueroa, Carolina Arcos, Gonzalo Díaz); 1/4 -&gt; Geomecánica (Claudio Hernandez).</t>
  </si>
  <si>
    <t>Gerente Comercial</t>
  </si>
  <si>
    <t>Semántico: liderazgo del área comercial.</t>
  </si>
  <si>
    <t>Gerente General</t>
  </si>
  <si>
    <t>Semántico: dirección ejecutiva/gestión general.</t>
  </si>
  <si>
    <t>Gerentes</t>
  </si>
  <si>
    <t>Semántico: roles gerenciales generales.</t>
  </si>
  <si>
    <t>Ingeniero de Proyecto</t>
  </si>
  <si>
    <t>Confirmado: 10/11 coincidencias -&gt; Ingeniería; 1/11 -&gt; Geomecánica (Edward Torres).</t>
  </si>
  <si>
    <t>Ingeniero Desarrollo de Negocios</t>
  </si>
  <si>
    <t>Semántico por función (desarrollo de negocios). Nota: Alejandra Montalván aparece como Administración en 2026 (posible cambio de función).</t>
  </si>
  <si>
    <t>Ingeniero Junior</t>
  </si>
  <si>
    <t>Empate empírico 3/6 Ingeniería vs 3/6 Geomecánica; se asigna a Ingeniería como categoría general de origen.</t>
  </si>
  <si>
    <t>Ingeniero P&amp;C</t>
  </si>
  <si>
    <t>Confirmado: 2/2 coincidencias -&gt; Gestión (Eduardo Cuevas, Victor Arias).</t>
  </si>
  <si>
    <t>Ingeniero Principal</t>
  </si>
  <si>
    <t>Confirmado: 5/6 coincidencias -&gt; Ingeniería; 1/6 -&gt; Geomecánica (Eduardo Morales).</t>
  </si>
  <si>
    <t>Ingeniero Senior</t>
  </si>
  <si>
    <t>Confirmado: 5/5 coincidencias -&gt; Ingeniería.</t>
  </si>
  <si>
    <t>Jefa Administración</t>
  </si>
  <si>
    <t>Semántico: jefatura administrativa.</t>
  </si>
  <si>
    <t>Socio Consultor REDCO Brasil</t>
  </si>
  <si>
    <t>Confirmado: Antonio Schettino -&gt; Comercial en 2026 (1/1 coincidencia).</t>
  </si>
  <si>
    <t>Subgerente Comercial</t>
  </si>
  <si>
    <t>Confirmado: Pedro Aguiluz -&gt; Comercial en 2026 (1/1 coincidencia).</t>
  </si>
  <si>
    <t>Nota metodológica: se usaron las 5 categorías ya presentes en "Dotación 2026" (Administración, Comercial, Geomecánica, Gestión, Ingeniería) como estándar. Los cargos granulares de 2025 se reclasificaron a estas 5 categorías cruzando nombres de personas presentes en ambos años (evidencia empírica) y, cuando no hubo coincidencia, aplicando criterio semántico del cargo. "Geomecánica" es una especialidad nueva en 2026 sin etiqueta propia en 2025 (estaba dentro de los cargos "Ingeniero *"), por lo que 2025 no tendrá headcount en esa categoría.</t>
  </si>
  <si>
    <t>Nombre</t>
  </si>
  <si>
    <t>País</t>
  </si>
  <si>
    <t>Headcount</t>
  </si>
  <si>
    <t>Alberto Reinao</t>
  </si>
  <si>
    <t>Isabel Marchant</t>
  </si>
  <si>
    <t>Eduardo Lama</t>
  </si>
  <si>
    <t>Isabela Camisassa</t>
  </si>
  <si>
    <t>Olesya Dashavskaya</t>
  </si>
  <si>
    <t>Patricio Vergara</t>
  </si>
  <si>
    <t>Maria Celia Fonseca</t>
  </si>
  <si>
    <t>Alex Figueroa</t>
  </si>
  <si>
    <t>Carolina Arcos</t>
  </si>
  <si>
    <t>Claudio Hernandez</t>
  </si>
  <si>
    <t>Felipe Rojas</t>
  </si>
  <si>
    <t>Gonzalo Díaz</t>
  </si>
  <si>
    <t>Ricardo Miranda</t>
  </si>
  <si>
    <t>Ronald Leal</t>
  </si>
  <si>
    <t>Rodrigo Valdes</t>
  </si>
  <si>
    <t>Enrique Rubio</t>
  </si>
  <si>
    <t>Christian Caviedes</t>
  </si>
  <si>
    <t>Matias Fuentes</t>
  </si>
  <si>
    <t>Arnold Tadeo</t>
  </si>
  <si>
    <t>Cristian Alarcon</t>
  </si>
  <si>
    <t>Cristobal Ventura</t>
  </si>
  <si>
    <t>Daniela Oyarzo</t>
  </si>
  <si>
    <t>Darwin Varas</t>
  </si>
  <si>
    <t>Diego Muñoz</t>
  </si>
  <si>
    <t>Edward Torres</t>
  </si>
  <si>
    <t>Erick Sanhueza</t>
  </si>
  <si>
    <t>Gino Espinoza</t>
  </si>
  <si>
    <t>Isidora Figueroa</t>
  </si>
  <si>
    <t>Jarold Orna</t>
  </si>
  <si>
    <t>Jhonatan Huaynate</t>
  </si>
  <si>
    <t>José Pizarro</t>
  </si>
  <si>
    <t>Luis Chumpitaz</t>
  </si>
  <si>
    <t>Marcelo Mendoza</t>
  </si>
  <si>
    <t>Martin Figueroa</t>
  </si>
  <si>
    <t>Mateo Villanueva</t>
  </si>
  <si>
    <t>Matías Cid</t>
  </si>
  <si>
    <t>Nicolás Sanzana</t>
  </si>
  <si>
    <t>Victor Mohana</t>
  </si>
  <si>
    <t>Walter Lupinta</t>
  </si>
  <si>
    <t>Alejandra Montalvan</t>
  </si>
  <si>
    <t>Vicente Jimenez</t>
  </si>
  <si>
    <t>Benjamin Baeza</t>
  </si>
  <si>
    <t>Cristobal Concha</t>
  </si>
  <si>
    <t>Cristobal Poblete</t>
  </si>
  <si>
    <t>Eduardo Cepeda</t>
  </si>
  <si>
    <t>Gabriel Ojeda</t>
  </si>
  <si>
    <t>Heidi La Rosa</t>
  </si>
  <si>
    <t>Javier Salazar</t>
  </si>
  <si>
    <t>Jhosep Livia</t>
  </si>
  <si>
    <t>Manuel Palomino</t>
  </si>
  <si>
    <t>Maria Huaman</t>
  </si>
  <si>
    <t>Matias Guerrero</t>
  </si>
  <si>
    <t>Mauricio Peralta</t>
  </si>
  <si>
    <t>Nikolai Quispe</t>
  </si>
  <si>
    <t>Eduardo Cuevas</t>
  </si>
  <si>
    <t>Roxana Avilés</t>
  </si>
  <si>
    <t>Victor Arias</t>
  </si>
  <si>
    <t>Eduardo Morales</t>
  </si>
  <si>
    <t>Freddy Díaz</t>
  </si>
  <si>
    <t>Gerson Alfaro</t>
  </si>
  <si>
    <t>Jorman Barrera</t>
  </si>
  <si>
    <t>Kevin Rios</t>
  </si>
  <si>
    <t>Nicolas Ayarza</t>
  </si>
  <si>
    <t>Pablo Quiero</t>
  </si>
  <si>
    <t>Rodrigo Baez</t>
  </si>
  <si>
    <t>Alex Pacheco</t>
  </si>
  <si>
    <t>Carlos Catalan</t>
  </si>
  <si>
    <t>Claudio Delgado</t>
  </si>
  <si>
    <t>Emilio Sanchez</t>
  </si>
  <si>
    <t>Felipe Lira</t>
  </si>
  <si>
    <t>German Soto</t>
  </si>
  <si>
    <t>Johnny Pacheco</t>
  </si>
  <si>
    <t>Juan de Vera</t>
  </si>
  <si>
    <t>Leonel Robledo</t>
  </si>
  <si>
    <t>Renan Argandoña</t>
  </si>
  <si>
    <t>Rodrigo Andrae</t>
  </si>
  <si>
    <t>Rodrigo Cori</t>
  </si>
  <si>
    <t>Carol Valdenegro</t>
  </si>
  <si>
    <t>Antonio Schettino</t>
  </si>
  <si>
    <t>Pedro Aguiluz</t>
  </si>
  <si>
    <t>Alejandra Montalván Aratia</t>
  </si>
  <si>
    <t>Cinthia Moreno</t>
  </si>
  <si>
    <t>Gladys Myriam Muñoz</t>
  </si>
  <si>
    <t>Karina Barrera (servicio contable)</t>
  </si>
  <si>
    <t>Magaly Esquivel</t>
  </si>
  <si>
    <t>María Célia P. Fonseca</t>
  </si>
  <si>
    <t>Nicélio José dos Santos</t>
  </si>
  <si>
    <t>Sandra Salazar (Reemplazo Gladys)</t>
  </si>
  <si>
    <t>Alan Fraser</t>
  </si>
  <si>
    <t>Álvaro Soto Galaz</t>
  </si>
  <si>
    <t>Francisco Hizo</t>
  </si>
  <si>
    <t>Matías Gallardo Zapata</t>
  </si>
  <si>
    <t>Practicante 1</t>
  </si>
  <si>
    <t>Vicente Alberto Jiménez</t>
  </si>
  <si>
    <t>Claudio Hernández</t>
  </si>
  <si>
    <t>Eugenio Santander</t>
  </si>
  <si>
    <t>Gersson Rivera</t>
  </si>
  <si>
    <t>Joseph Livia</t>
  </si>
  <si>
    <t>Luis Flores</t>
  </si>
  <si>
    <t>Luiz Chumpitaz</t>
  </si>
  <si>
    <t>Martin Robles</t>
  </si>
  <si>
    <t>Miguel Cuadros</t>
  </si>
  <si>
    <t xml:space="preserve">Nicolás Díaz </t>
  </si>
  <si>
    <t>Nicolas Diaz Ramos</t>
  </si>
  <si>
    <t>Victor Pacheco</t>
  </si>
  <si>
    <t>Alex Pacheco C.</t>
  </si>
  <si>
    <t>Control de gestión/Project</t>
  </si>
  <si>
    <t>Alex Remolcoy Guenteo</t>
  </si>
  <si>
    <t>Álvaro Cuevas Pradenas</t>
  </si>
  <si>
    <t>Anaís Ramírez</t>
  </si>
  <si>
    <t>Angelo Alejandro Patri Carbajal</t>
  </si>
  <si>
    <t>Benjamín Baeza</t>
  </si>
  <si>
    <t>Branco Ignacio Campos</t>
  </si>
  <si>
    <t>Carlos Catalán</t>
  </si>
  <si>
    <t>Cristián Alarcón</t>
  </si>
  <si>
    <t>Cristóbal Poblete</t>
  </si>
  <si>
    <t>Cristóbal Ventura</t>
  </si>
  <si>
    <t>Daniela Oyarzo E.</t>
  </si>
  <si>
    <t>Emilio Sánchez</t>
  </si>
  <si>
    <t>Enzo Ruíz Romo</t>
  </si>
  <si>
    <t>Erick Sanhueza Correa</t>
  </si>
  <si>
    <t>Fabián Parra</t>
  </si>
  <si>
    <t>Felipe Hidalgo</t>
  </si>
  <si>
    <t>Felipe Lira A.</t>
  </si>
  <si>
    <t>Felipe Matamoros</t>
  </si>
  <si>
    <t>Germán Soto</t>
  </si>
  <si>
    <t>Gonzalo Parada</t>
  </si>
  <si>
    <t>Ignacia Álvarez</t>
  </si>
  <si>
    <t>Ignacio Aguayo</t>
  </si>
  <si>
    <t>Ignacio Navarrete</t>
  </si>
  <si>
    <t>Ingeniero 1</t>
  </si>
  <si>
    <t>Ingeniero 10</t>
  </si>
  <si>
    <t>Ingeniero 11</t>
  </si>
  <si>
    <t>Ingeniero 12</t>
  </si>
  <si>
    <t>Ingeniero 13</t>
  </si>
  <si>
    <t>Ingeniero 14</t>
  </si>
  <si>
    <t>Ingeniero 15</t>
  </si>
  <si>
    <t>Ingeniero 16</t>
  </si>
  <si>
    <t>Ingeniero 17</t>
  </si>
  <si>
    <t>Ingeniero 2</t>
  </si>
  <si>
    <t>Ingeniero 3</t>
  </si>
  <si>
    <t>Ingeniero 4</t>
  </si>
  <si>
    <t>Ingeniero 5</t>
  </si>
  <si>
    <t>Ingeniero 6</t>
  </si>
  <si>
    <t>Ingeniero 7</t>
  </si>
  <si>
    <t>Ingeniero 8</t>
  </si>
  <si>
    <t>Ingeniero 9</t>
  </si>
  <si>
    <t>Jefe de Proyecto 1</t>
  </si>
  <si>
    <t>Jefe de Proyecto 2</t>
  </si>
  <si>
    <t>Jefe de Proyecto 3</t>
  </si>
  <si>
    <t>Juan Francisco San Martín</t>
  </si>
  <si>
    <t>Juan Luis Pizarro</t>
  </si>
  <si>
    <t>Martín Figueroa</t>
  </si>
  <si>
    <t>Matías Fuentes B.</t>
  </si>
  <si>
    <t>Matías Nicolás Guerrero</t>
  </si>
  <si>
    <t>Nicolás Ayarza D.</t>
  </si>
  <si>
    <t>Renán Argandoña</t>
  </si>
  <si>
    <t>Rodrigo Báez</t>
  </si>
  <si>
    <t>Sarah Bull</t>
  </si>
  <si>
    <t>Valentina Ramos Olivera</t>
  </si>
  <si>
    <t>Víctor Mohana Tapia</t>
  </si>
  <si>
    <t>Etiquetas de fila</t>
  </si>
  <si>
    <t xml:space="preserve">Contabilidad y Administración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</si>
</sst>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7" x14ac:knownFonts="1">
    <font>
      <sz val="12"/>
      <color theme="1"/>
      <name val="Aptos Narrow"/>
      <family val="2"/>
      <charset val="1"/>
    </font>
    <font>
      <b/>
      <sz val="13"/>
      <color rgb="FF1F3864"/>
      <name val="Arial"/>
      <family val="2"/>
    </font>
    <font>
      <i/>
      <sz val="9"/>
      <color rgb="FF595959"/>
      <name val="Arial"/>
      <family val="2"/>
    </font>
    <font>
      <b/>
      <sz val="10"/>
      <color rgb="FFFFFFFF"/>
      <name val="Arial"/>
      <family val="2"/>
    </font>
    <font>
      <b/>
      <sz val="10"/>
      <name val="Arial"/>
      <family val="2"/>
    </font>
    <font>
      <sz val="10"/>
      <name val="Arial"/>
      <family val="2"/>
    </font>
    <font>
      <b/>
      <sz val="11"/>
      <color theme="1"/>
      <name val="Aptos Narrow"/>
      <family val="2"/>
      <charset val="1"/>
    </font>
  </fonts>
  <fills count="6">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DCE6F1"/>
        <bgColor rgb="FFC1E5F5"/>
      </patternFill>
    </fill>
    <fill>
      <patternFill patternType="solid">
        <fgColor theme="4" tint="0.79989013336588644"/>
        <bgColor rgb="FFDCE6F1"/>
      </patternFill>
    </fill>
  </fills>
  <borders count="5">
    <border>
      <left/>
      <right/>
      <top/>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top/>
      <bottom style="thin">
        <color theme="4" tint="0.39988402966399123"/>
      </bottom>
      <diagonal/>
    </border>
    <border>
      <left/>
      <right/>
      <top style="thin">
        <color theme="4" tint="0.39988402966399123"/>
      </top>
      <bottom/>
      <diagonal/>
    </border>
  </borders>
  <cellStyleXfs count="1">
    <xf numFmtId="0" fontId="0" fillId="0" borderId="0"/>
  </cellStyleXfs>
  <cellXfs count="24">
    <xf numFmtId="0" fontId="0" fillId="0" borderId="0" xfId="0"/>
    <xf numFmtId="0" fontId="2" fillId="0" borderId="0" xfId="0" applyFont="1" applyAlignment="1">
      <alignment vertical="top"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0" xfId="0" applyFont="1"/>
    <xf numFmtId="0" fontId="1"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xf>
    <xf numFmtId="164" fontId="5" fillId="0" borderId="1" xfId="0" applyNumberFormat="1" applyFont="1" applyBorder="1" applyAlignment="1">
      <alignment horizontal="center" vertical="center" wrapText="1"/>
    </xf>
    <xf numFmtId="164" fontId="4" fillId="4" borderId="1" xfId="0" applyNumberFormat="1" applyFont="1" applyFill="1" applyBorder="1" applyAlignment="1">
      <alignment horizontal="center" vertical="center" wrapText="1"/>
    </xf>
    <xf numFmtId="165" fontId="5" fillId="0" borderId="1" xfId="0" applyNumberFormat="1" applyFont="1" applyBorder="1" applyAlignment="1">
      <alignment horizontal="center" vertical="center" wrapText="1"/>
    </xf>
    <xf numFmtId="166" fontId="5" fillId="0" borderId="1" xfId="0" applyNumberFormat="1" applyFont="1" applyBorder="1" applyAlignment="1">
      <alignment horizontal="center" vertical="center" wrapText="1"/>
    </xf>
    <xf numFmtId="0" fontId="4" fillId="4" borderId="1" xfId="0" applyFont="1" applyFill="1" applyBorder="1" applyAlignment="1">
      <alignment horizontal="left" vertical="center"/>
    </xf>
    <xf numFmtId="165" fontId="4" fillId="4" borderId="1" xfId="0" applyNumberFormat="1" applyFont="1" applyFill="1" applyBorder="1" applyAlignment="1">
      <alignment horizontal="center" vertical="center" wrapText="1"/>
    </xf>
    <xf numFmtId="166" fontId="4" fillId="4"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xf numFmtId="0" fontId="6" fillId="5" borderId="3" xfId="0" applyFont="1" applyFill="1" applyBorder="1"/>
    <xf numFmtId="0" fontId="6" fillId="0" borderId="3" xfId="0" applyFont="1" applyBorder="1" applyAlignment="1">
      <alignment horizontal="left"/>
    </xf>
    <xf numFmtId="0" fontId="6" fillId="0" borderId="3" xfId="0" applyFont="1" applyBorder="1"/>
    <xf numFmtId="0" fontId="0" fillId="0" borderId="0" xfId="0" applyAlignment="1">
      <alignment horizontal="left" indent="1"/>
    </xf>
    <xf numFmtId="0" fontId="6" fillId="5" borderId="4" xfId="0" applyFont="1" applyFill="1" applyBorder="1" applyAlignment="1">
      <alignment horizontal="left"/>
    </xf>
    <xf numFmtId="0" fontId="6" fillId="5" borderId="4"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1E5F5"/>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DCE6F1"/>
      <rgbColor rgb="FFCCFFCC"/>
      <rgbColor rgb="FFFFFF99"/>
      <rgbColor rgb="FF99CCFF"/>
      <rgbColor rgb="FFFF99CC"/>
      <rgbColor rgb="FFCC99FF"/>
      <rgbColor rgb="FFFFCC99"/>
      <rgbColor rgb="FF3366FF"/>
      <rgbColor rgb="FF46B1E1"/>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showGridLines="0" tabSelected="1" zoomScaleNormal="100" workbookViewId="0">
      <pane xSplit="1" ySplit="5" topLeftCell="B6" activePane="bottomRight" state="frozen"/>
      <selection pane="topRight" activeCell="B1" sqref="B1"/>
      <selection pane="bottomLeft" activeCell="A6" sqref="A6"/>
      <selection pane="bottomRight" sqref="A1:O1"/>
    </sheetView>
  </sheetViews>
  <sheetFormatPr baseColWidth="10" defaultColWidth="8.5" defaultRowHeight="16" x14ac:dyDescent="0.2"/>
  <cols>
    <col min="1" max="1" width="20" customWidth="1"/>
    <col min="2" max="15" width="10" customWidth="1"/>
  </cols>
  <sheetData>
    <row r="1" spans="1:15" ht="15.75" customHeight="1" x14ac:dyDescent="0.2">
      <c r="A1" s="5" t="s">
        <v>0</v>
      </c>
      <c r="B1" s="5"/>
      <c r="C1" s="5"/>
      <c r="D1" s="5"/>
      <c r="E1" s="5"/>
      <c r="F1" s="5"/>
      <c r="G1" s="5"/>
      <c r="H1" s="5"/>
      <c r="I1" s="5"/>
      <c r="J1" s="5"/>
      <c r="K1" s="5"/>
      <c r="L1" s="5"/>
      <c r="M1" s="5"/>
      <c r="N1" s="5"/>
      <c r="O1" s="5"/>
    </row>
    <row r="2" spans="1:15" ht="15" customHeight="1" x14ac:dyDescent="0.2">
      <c r="A2" s="4" t="s">
        <v>1</v>
      </c>
      <c r="B2" s="4"/>
      <c r="C2" s="4"/>
      <c r="D2" s="4"/>
      <c r="E2" s="4"/>
      <c r="F2" s="4"/>
      <c r="G2" s="4"/>
      <c r="H2" s="4"/>
      <c r="I2" s="4"/>
      <c r="J2" s="4"/>
      <c r="K2" s="4"/>
      <c r="L2" s="4"/>
      <c r="M2" s="4"/>
      <c r="N2" s="4"/>
      <c r="O2" s="4"/>
    </row>
    <row r="4" spans="1:15" ht="15" customHeight="1" x14ac:dyDescent="0.2">
      <c r="A4" s="3" t="s">
        <v>2</v>
      </c>
      <c r="B4" s="2" t="s">
        <v>3</v>
      </c>
      <c r="C4" s="2"/>
      <c r="D4" s="2" t="s">
        <v>4</v>
      </c>
      <c r="E4" s="2"/>
      <c r="F4" s="2" t="s">
        <v>5</v>
      </c>
      <c r="G4" s="2"/>
      <c r="H4" s="2" t="s">
        <v>6</v>
      </c>
      <c r="I4" s="2"/>
      <c r="J4" s="2" t="s">
        <v>7</v>
      </c>
      <c r="K4" s="2"/>
      <c r="L4" s="2" t="s">
        <v>8</v>
      </c>
      <c r="M4" s="2"/>
      <c r="N4" s="2" t="s">
        <v>9</v>
      </c>
      <c r="O4" s="2"/>
    </row>
    <row r="5" spans="1:15" ht="15" customHeight="1" x14ac:dyDescent="0.2">
      <c r="A5" s="3"/>
      <c r="B5" s="6">
        <v>2025</v>
      </c>
      <c r="C5" s="6">
        <v>2026</v>
      </c>
      <c r="D5" s="6">
        <v>2025</v>
      </c>
      <c r="E5" s="6">
        <v>2026</v>
      </c>
      <c r="F5" s="6">
        <v>2025</v>
      </c>
      <c r="G5" s="6">
        <v>2026</v>
      </c>
      <c r="H5" s="6">
        <v>2025</v>
      </c>
      <c r="I5" s="6">
        <v>2026</v>
      </c>
      <c r="J5" s="6">
        <v>2025</v>
      </c>
      <c r="K5" s="6">
        <v>2026</v>
      </c>
      <c r="L5" s="6">
        <v>2025</v>
      </c>
      <c r="M5" s="6">
        <v>2026</v>
      </c>
      <c r="N5" s="6" t="s">
        <v>10</v>
      </c>
      <c r="O5" s="6" t="s">
        <v>11</v>
      </c>
    </row>
    <row r="6" spans="1:15" ht="15" customHeight="1" x14ac:dyDescent="0.2">
      <c r="A6" s="7" t="s">
        <v>12</v>
      </c>
      <c r="B6" s="8">
        <f>SUMIFS('Datos Estandarizados'!$F$2:$F$195,'Datos Estandarizados'!$A$2:$A$195,2025,'Datos Estandarizados'!$B$2:$B$195,$A6,'Datos Estandarizados'!$E$2:$E$195,"Brasil")</f>
        <v>0</v>
      </c>
      <c r="C6" s="8">
        <f>SUMIFS('Datos Estandarizados'!$F$2:$F$195,'Datos Estandarizados'!$A$2:$A$195,2026,'Datos Estandarizados'!$B$2:$B$195,$A6,'Datos Estandarizados'!$E$2:$E$195,"Brasil")</f>
        <v>2</v>
      </c>
      <c r="D6" s="8">
        <f>SUMIFS('Datos Estandarizados'!$F$2:$F$195,'Datos Estandarizados'!$A$2:$A$195,2025,'Datos Estandarizados'!$B$2:$B$195,$A6,'Datos Estandarizados'!$E$2:$E$195,"Chile")</f>
        <v>4</v>
      </c>
      <c r="E6" s="8">
        <f>SUMIFS('Datos Estandarizados'!$F$2:$F$195,'Datos Estandarizados'!$A$2:$A$195,2026,'Datos Estandarizados'!$B$2:$B$195,$A6,'Datos Estandarizados'!$E$2:$E$195,"Chile")</f>
        <v>5</v>
      </c>
      <c r="F6" s="8">
        <f>SUMIFS('Datos Estandarizados'!$F$2:$F$195,'Datos Estandarizados'!$A$2:$A$195,2025,'Datos Estandarizados'!$B$2:$B$195,$A6,'Datos Estandarizados'!$E$2:$E$195,"Perú")</f>
        <v>0</v>
      </c>
      <c r="G6" s="8">
        <f>SUMIFS('Datos Estandarizados'!$F$2:$F$195,'Datos Estandarizados'!$A$2:$A$195,2026,'Datos Estandarizados'!$B$2:$B$195,$A6,'Datos Estandarizados'!$E$2:$E$195,"Perú")</f>
        <v>1</v>
      </c>
      <c r="H6" s="8">
        <f>SUMIFS('Datos Estandarizados'!$F$2:$F$195,'Datos Estandarizados'!$A$2:$A$195,2025,'Datos Estandarizados'!$B$2:$B$195,$A6,'Datos Estandarizados'!$E$2:$E$195,"Rusia")</f>
        <v>0</v>
      </c>
      <c r="I6" s="8">
        <f>SUMIFS('Datos Estandarizados'!$F$2:$F$195,'Datos Estandarizados'!$A$2:$A$195,2026,'Datos Estandarizados'!$B$2:$B$195,$A6,'Datos Estandarizados'!$E$2:$E$195,"Rusia")</f>
        <v>0</v>
      </c>
      <c r="J6" s="8">
        <f>SUMIFS('Datos Estandarizados'!$F$2:$F$195,'Datos Estandarizados'!$A$2:$A$195,2025,'Datos Estandarizados'!$B$2:$B$195,$A6,'Datos Estandarizados'!$E$2:$E$195,"USA")</f>
        <v>0</v>
      </c>
      <c r="K6" s="8">
        <f>SUMIFS('Datos Estandarizados'!$F$2:$F$195,'Datos Estandarizados'!$A$2:$A$195,2026,'Datos Estandarizados'!$B$2:$B$195,$A6,'Datos Estandarizados'!$E$2:$E$195,"USA")</f>
        <v>1</v>
      </c>
      <c r="L6" s="9">
        <f>SUMIFS('Datos Estandarizados'!$F$2:$F$195,'Datos Estandarizados'!$A$2:$A$195,2025,'Datos Estandarizados'!$B$2:$B$195,$A6)</f>
        <v>4</v>
      </c>
      <c r="M6" s="9">
        <f>SUMIFS('Datos Estandarizados'!$F$2:$F$195,'Datos Estandarizados'!$A$2:$A$195,2026,'Datos Estandarizados'!$B$2:$B$195,$A6)</f>
        <v>9</v>
      </c>
      <c r="N6" s="10">
        <f t="shared" ref="N6:N11" si="0">M6-L6</f>
        <v>5</v>
      </c>
      <c r="O6" s="11">
        <f t="shared" ref="O6:O11" si="1">IF(L6=0,"n/a",(M6-L6)/L6)</f>
        <v>1.25</v>
      </c>
    </row>
    <row r="7" spans="1:15" ht="15" customHeight="1" x14ac:dyDescent="0.2">
      <c r="A7" s="7" t="s">
        <v>13</v>
      </c>
      <c r="B7" s="8">
        <f>SUMIFS('Datos Estandarizados'!$F$2:$F$195,'Datos Estandarizados'!$A$2:$A$195,2025,'Datos Estandarizados'!$B$2:$B$195,$A7,'Datos Estandarizados'!$E$2:$E$195,"Brasil")</f>
        <v>3</v>
      </c>
      <c r="C7" s="8">
        <f>SUMIFS('Datos Estandarizados'!$F$2:$F$195,'Datos Estandarizados'!$A$2:$A$195,2026,'Datos Estandarizados'!$B$2:$B$195,$A7,'Datos Estandarizados'!$E$2:$E$195,"Brasil")</f>
        <v>1</v>
      </c>
      <c r="D7" s="8">
        <f>SUMIFS('Datos Estandarizados'!$F$2:$F$195,'Datos Estandarizados'!$A$2:$A$195,2025,'Datos Estandarizados'!$B$2:$B$195,$A7,'Datos Estandarizados'!$E$2:$E$195,"Chile")</f>
        <v>4</v>
      </c>
      <c r="E7" s="8">
        <f>SUMIFS('Datos Estandarizados'!$F$2:$F$195,'Datos Estandarizados'!$A$2:$A$195,2026,'Datos Estandarizados'!$B$2:$B$195,$A7,'Datos Estandarizados'!$E$2:$E$195,"Chile")</f>
        <v>6</v>
      </c>
      <c r="F7" s="8">
        <f>SUMIFS('Datos Estandarizados'!$F$2:$F$195,'Datos Estandarizados'!$A$2:$A$195,2025,'Datos Estandarizados'!$B$2:$B$195,$A7,'Datos Estandarizados'!$E$2:$E$195,"Perú")</f>
        <v>2</v>
      </c>
      <c r="G7" s="8">
        <f>SUMIFS('Datos Estandarizados'!$F$2:$F$195,'Datos Estandarizados'!$A$2:$A$195,2026,'Datos Estandarizados'!$B$2:$B$195,$A7,'Datos Estandarizados'!$E$2:$E$195,"Perú")</f>
        <v>2</v>
      </c>
      <c r="H7" s="8">
        <f>SUMIFS('Datos Estandarizados'!$F$2:$F$195,'Datos Estandarizados'!$A$2:$A$195,2025,'Datos Estandarizados'!$B$2:$B$195,$A7,'Datos Estandarizados'!$E$2:$E$195,"Rusia")</f>
        <v>0</v>
      </c>
      <c r="I7" s="8">
        <f>SUMIFS('Datos Estandarizados'!$F$2:$F$195,'Datos Estandarizados'!$A$2:$A$195,2026,'Datos Estandarizados'!$B$2:$B$195,$A7,'Datos Estandarizados'!$E$2:$E$195,"Rusia")</f>
        <v>1</v>
      </c>
      <c r="J7" s="8">
        <f>SUMIFS('Datos Estandarizados'!$F$2:$F$195,'Datos Estandarizados'!$A$2:$A$195,2025,'Datos Estandarizados'!$B$2:$B$195,$A7,'Datos Estandarizados'!$E$2:$E$195,"USA")</f>
        <v>1</v>
      </c>
      <c r="K7" s="8">
        <f>SUMIFS('Datos Estandarizados'!$F$2:$F$195,'Datos Estandarizados'!$A$2:$A$195,2026,'Datos Estandarizados'!$B$2:$B$195,$A7,'Datos Estandarizados'!$E$2:$E$195,"USA")</f>
        <v>0</v>
      </c>
      <c r="L7" s="9">
        <f>SUMIFS('Datos Estandarizados'!$F$2:$F$195,'Datos Estandarizados'!$A$2:$A$195,2025,'Datos Estandarizados'!$B$2:$B$195,$A7)</f>
        <v>10</v>
      </c>
      <c r="M7" s="9">
        <f>SUMIFS('Datos Estandarizados'!$F$2:$F$195,'Datos Estandarizados'!$A$2:$A$195,2026,'Datos Estandarizados'!$B$2:$B$195,$A7)</f>
        <v>10</v>
      </c>
      <c r="N7" s="10">
        <f t="shared" si="0"/>
        <v>0</v>
      </c>
      <c r="O7" s="11">
        <f t="shared" si="1"/>
        <v>0</v>
      </c>
    </row>
    <row r="8" spans="1:15" ht="15" customHeight="1" x14ac:dyDescent="0.2">
      <c r="A8" s="7" t="s">
        <v>14</v>
      </c>
      <c r="B8" s="8">
        <f>SUMIFS('Datos Estandarizados'!$F$2:$F$195,'Datos Estandarizados'!$A$2:$A$195,2025,'Datos Estandarizados'!$B$2:$B$195,$A8,'Datos Estandarizados'!$E$2:$E$195,"Brasil")</f>
        <v>0</v>
      </c>
      <c r="C8" s="8">
        <f>SUMIFS('Datos Estandarizados'!$F$2:$F$195,'Datos Estandarizados'!$A$2:$A$195,2026,'Datos Estandarizados'!$B$2:$B$195,$A8,'Datos Estandarizados'!$E$2:$E$195,"Brasil")</f>
        <v>0</v>
      </c>
      <c r="D8" s="8">
        <f>SUMIFS('Datos Estandarizados'!$F$2:$F$195,'Datos Estandarizados'!$A$2:$A$195,2025,'Datos Estandarizados'!$B$2:$B$195,$A8,'Datos Estandarizados'!$E$2:$E$195,"Chile")</f>
        <v>0</v>
      </c>
      <c r="E8" s="8">
        <f>SUMIFS('Datos Estandarizados'!$F$2:$F$195,'Datos Estandarizados'!$A$2:$A$195,2026,'Datos Estandarizados'!$B$2:$B$195,$A8,'Datos Estandarizados'!$E$2:$E$195,"Chile")</f>
        <v>8</v>
      </c>
      <c r="F8" s="8">
        <f>SUMIFS('Datos Estandarizados'!$F$2:$F$195,'Datos Estandarizados'!$A$2:$A$195,2025,'Datos Estandarizados'!$B$2:$B$195,$A8,'Datos Estandarizados'!$E$2:$E$195,"Perú")</f>
        <v>0</v>
      </c>
      <c r="G8" s="8">
        <f>SUMIFS('Datos Estandarizados'!$F$2:$F$195,'Datos Estandarizados'!$A$2:$A$195,2026,'Datos Estandarizados'!$B$2:$B$195,$A8,'Datos Estandarizados'!$E$2:$E$195,"Perú")</f>
        <v>9</v>
      </c>
      <c r="H8" s="8">
        <f>SUMIFS('Datos Estandarizados'!$F$2:$F$195,'Datos Estandarizados'!$A$2:$A$195,2025,'Datos Estandarizados'!$B$2:$B$195,$A8,'Datos Estandarizados'!$E$2:$E$195,"Rusia")</f>
        <v>0</v>
      </c>
      <c r="I8" s="8">
        <f>SUMIFS('Datos Estandarizados'!$F$2:$F$195,'Datos Estandarizados'!$A$2:$A$195,2026,'Datos Estandarizados'!$B$2:$B$195,$A8,'Datos Estandarizados'!$E$2:$E$195,"Rusia")</f>
        <v>0</v>
      </c>
      <c r="J8" s="8">
        <f>SUMIFS('Datos Estandarizados'!$F$2:$F$195,'Datos Estandarizados'!$A$2:$A$195,2025,'Datos Estandarizados'!$B$2:$B$195,$A8,'Datos Estandarizados'!$E$2:$E$195,"USA")</f>
        <v>0</v>
      </c>
      <c r="K8" s="8">
        <f>SUMIFS('Datos Estandarizados'!$F$2:$F$195,'Datos Estandarizados'!$A$2:$A$195,2026,'Datos Estandarizados'!$B$2:$B$195,$A8,'Datos Estandarizados'!$E$2:$E$195,"USA")</f>
        <v>0</v>
      </c>
      <c r="L8" s="9">
        <f>SUMIFS('Datos Estandarizados'!$F$2:$F$195,'Datos Estandarizados'!$A$2:$A$195,2025,'Datos Estandarizados'!$B$2:$B$195,$A8)</f>
        <v>0</v>
      </c>
      <c r="M8" s="9">
        <f>SUMIFS('Datos Estandarizados'!$F$2:$F$195,'Datos Estandarizados'!$A$2:$A$195,2026,'Datos Estandarizados'!$B$2:$B$195,$A8)</f>
        <v>17</v>
      </c>
      <c r="N8" s="10">
        <f t="shared" si="0"/>
        <v>17</v>
      </c>
      <c r="O8" s="11" t="str">
        <f t="shared" si="1"/>
        <v>n/a</v>
      </c>
    </row>
    <row r="9" spans="1:15" ht="15" customHeight="1" x14ac:dyDescent="0.2">
      <c r="A9" s="7" t="s">
        <v>15</v>
      </c>
      <c r="B9" s="8">
        <f>SUMIFS('Datos Estandarizados'!$F$2:$F$195,'Datos Estandarizados'!$A$2:$A$195,2025,'Datos Estandarizados'!$B$2:$B$195,$A9,'Datos Estandarizados'!$E$2:$E$195,"Brasil")</f>
        <v>0</v>
      </c>
      <c r="C9" s="8">
        <f>SUMIFS('Datos Estandarizados'!$F$2:$F$195,'Datos Estandarizados'!$A$2:$A$195,2026,'Datos Estandarizados'!$B$2:$B$195,$A9,'Datos Estandarizados'!$E$2:$E$195,"Brasil")</f>
        <v>0</v>
      </c>
      <c r="D9" s="8">
        <f>SUMIFS('Datos Estandarizados'!$F$2:$F$195,'Datos Estandarizados'!$A$2:$A$195,2025,'Datos Estandarizados'!$B$2:$B$195,$A9,'Datos Estandarizados'!$E$2:$E$195,"Chile")</f>
        <v>5</v>
      </c>
      <c r="E9" s="8">
        <f>SUMIFS('Datos Estandarizados'!$F$2:$F$195,'Datos Estandarizados'!$A$2:$A$195,2026,'Datos Estandarizados'!$B$2:$B$195,$A9,'Datos Estandarizados'!$E$2:$E$195,"Chile")</f>
        <v>3</v>
      </c>
      <c r="F9" s="8">
        <f>SUMIFS('Datos Estandarizados'!$F$2:$F$195,'Datos Estandarizados'!$A$2:$A$195,2025,'Datos Estandarizados'!$B$2:$B$195,$A9,'Datos Estandarizados'!$E$2:$E$195,"Perú")</f>
        <v>1</v>
      </c>
      <c r="G9" s="8">
        <f>SUMIFS('Datos Estandarizados'!$F$2:$F$195,'Datos Estandarizados'!$A$2:$A$195,2026,'Datos Estandarizados'!$B$2:$B$195,$A9,'Datos Estandarizados'!$E$2:$E$195,"Perú")</f>
        <v>1</v>
      </c>
      <c r="H9" s="8">
        <f>SUMIFS('Datos Estandarizados'!$F$2:$F$195,'Datos Estandarizados'!$A$2:$A$195,2025,'Datos Estandarizados'!$B$2:$B$195,$A9,'Datos Estandarizados'!$E$2:$E$195,"Rusia")</f>
        <v>0</v>
      </c>
      <c r="I9" s="8">
        <f>SUMIFS('Datos Estandarizados'!$F$2:$F$195,'Datos Estandarizados'!$A$2:$A$195,2026,'Datos Estandarizados'!$B$2:$B$195,$A9,'Datos Estandarizados'!$E$2:$E$195,"Rusia")</f>
        <v>0</v>
      </c>
      <c r="J9" s="8">
        <f>SUMIFS('Datos Estandarizados'!$F$2:$F$195,'Datos Estandarizados'!$A$2:$A$195,2025,'Datos Estandarizados'!$B$2:$B$195,$A9,'Datos Estandarizados'!$E$2:$E$195,"USA")</f>
        <v>0</v>
      </c>
      <c r="K9" s="8">
        <f>SUMIFS('Datos Estandarizados'!$F$2:$F$195,'Datos Estandarizados'!$A$2:$A$195,2026,'Datos Estandarizados'!$B$2:$B$195,$A9,'Datos Estandarizados'!$E$2:$E$195,"USA")</f>
        <v>0</v>
      </c>
      <c r="L9" s="9">
        <f>SUMIFS('Datos Estandarizados'!$F$2:$F$195,'Datos Estandarizados'!$A$2:$A$195,2025,'Datos Estandarizados'!$B$2:$B$195,$A9)</f>
        <v>6</v>
      </c>
      <c r="M9" s="9">
        <f>SUMIFS('Datos Estandarizados'!$F$2:$F$195,'Datos Estandarizados'!$A$2:$A$195,2026,'Datos Estandarizados'!$B$2:$B$195,$A9)</f>
        <v>4</v>
      </c>
      <c r="N9" s="10">
        <f t="shared" si="0"/>
        <v>-2</v>
      </c>
      <c r="O9" s="11">
        <f t="shared" si="1"/>
        <v>-0.33333333333333331</v>
      </c>
    </row>
    <row r="10" spans="1:15" ht="15" customHeight="1" x14ac:dyDescent="0.2">
      <c r="A10" s="7" t="s">
        <v>16</v>
      </c>
      <c r="B10" s="8">
        <f>SUMIFS('Datos Estandarizados'!$F$2:$F$195,'Datos Estandarizados'!$A$2:$A$195,2025,'Datos Estandarizados'!$B$2:$B$195,$A10,'Datos Estandarizados'!$E$2:$E$195,"Brasil")</f>
        <v>1</v>
      </c>
      <c r="C10" s="8">
        <f>SUMIFS('Datos Estandarizados'!$F$2:$F$195,'Datos Estandarizados'!$A$2:$A$195,2026,'Datos Estandarizados'!$B$2:$B$195,$A10,'Datos Estandarizados'!$E$2:$E$195,"Brasil")</f>
        <v>0</v>
      </c>
      <c r="D10" s="8">
        <f>SUMIFS('Datos Estandarizados'!$F$2:$F$195,'Datos Estandarizados'!$A$2:$A$195,2025,'Datos Estandarizados'!$B$2:$B$195,$A10,'Datos Estandarizados'!$E$2:$E$195,"Chile")</f>
        <v>42</v>
      </c>
      <c r="E10" s="8">
        <f>SUMIFS('Datos Estandarizados'!$F$2:$F$195,'Datos Estandarizados'!$A$2:$A$195,2026,'Datos Estandarizados'!$B$2:$B$195,$A10,'Datos Estandarizados'!$E$2:$E$195,"Chile")</f>
        <v>54</v>
      </c>
      <c r="F10" s="8">
        <f>SUMIFS('Datos Estandarizados'!$F$2:$F$195,'Datos Estandarizados'!$A$2:$A$195,2025,'Datos Estandarizados'!$B$2:$B$195,$A10,'Datos Estandarizados'!$E$2:$E$195,"Perú")</f>
        <v>18</v>
      </c>
      <c r="G10" s="8">
        <f>SUMIFS('Datos Estandarizados'!$F$2:$F$195,'Datos Estandarizados'!$A$2:$A$195,2026,'Datos Estandarizados'!$B$2:$B$195,$A10,'Datos Estandarizados'!$E$2:$E$195,"Perú")</f>
        <v>17</v>
      </c>
      <c r="H10" s="8">
        <f>SUMIFS('Datos Estandarizados'!$F$2:$F$195,'Datos Estandarizados'!$A$2:$A$195,2025,'Datos Estandarizados'!$B$2:$B$195,$A10,'Datos Estandarizados'!$E$2:$E$195,"Rusia")</f>
        <v>0</v>
      </c>
      <c r="I10" s="8">
        <f>SUMIFS('Datos Estandarizados'!$F$2:$F$195,'Datos Estandarizados'!$A$2:$A$195,2026,'Datos Estandarizados'!$B$2:$B$195,$A10,'Datos Estandarizados'!$E$2:$E$195,"Rusia")</f>
        <v>0</v>
      </c>
      <c r="J10" s="8">
        <f>SUMIFS('Datos Estandarizados'!$F$2:$F$195,'Datos Estandarizados'!$A$2:$A$195,2025,'Datos Estandarizados'!$B$2:$B$195,$A10,'Datos Estandarizados'!$E$2:$E$195,"USA")</f>
        <v>0</v>
      </c>
      <c r="K10" s="8">
        <f>SUMIFS('Datos Estandarizados'!$F$2:$F$195,'Datos Estandarizados'!$A$2:$A$195,2026,'Datos Estandarizados'!$B$2:$B$195,$A10,'Datos Estandarizados'!$E$2:$E$195,"USA")</f>
        <v>2</v>
      </c>
      <c r="L10" s="9">
        <f>SUMIFS('Datos Estandarizados'!$F$2:$F$195,'Datos Estandarizados'!$A$2:$A$195,2025,'Datos Estandarizados'!$B$2:$B$195,$A10)</f>
        <v>61</v>
      </c>
      <c r="M10" s="9">
        <f>SUMIFS('Datos Estandarizados'!$F$2:$F$195,'Datos Estandarizados'!$A$2:$A$195,2026,'Datos Estandarizados'!$B$2:$B$195,$A10)</f>
        <v>73</v>
      </c>
      <c r="N10" s="10">
        <f t="shared" si="0"/>
        <v>12</v>
      </c>
      <c r="O10" s="11">
        <f t="shared" si="1"/>
        <v>0.19672131147540983</v>
      </c>
    </row>
    <row r="11" spans="1:15" ht="15" customHeight="1" x14ac:dyDescent="0.2">
      <c r="A11" s="12" t="s">
        <v>17</v>
      </c>
      <c r="B11" s="9">
        <f t="shared" ref="B11:M11" si="2">SUM(B6:B10)</f>
        <v>4</v>
      </c>
      <c r="C11" s="9">
        <f t="shared" si="2"/>
        <v>3</v>
      </c>
      <c r="D11" s="9">
        <f t="shared" si="2"/>
        <v>55</v>
      </c>
      <c r="E11" s="9">
        <f t="shared" si="2"/>
        <v>76</v>
      </c>
      <c r="F11" s="9">
        <f t="shared" si="2"/>
        <v>21</v>
      </c>
      <c r="G11" s="9">
        <f t="shared" si="2"/>
        <v>30</v>
      </c>
      <c r="H11" s="9">
        <f t="shared" si="2"/>
        <v>0</v>
      </c>
      <c r="I11" s="9">
        <f t="shared" si="2"/>
        <v>1</v>
      </c>
      <c r="J11" s="9">
        <f t="shared" si="2"/>
        <v>1</v>
      </c>
      <c r="K11" s="9">
        <f t="shared" si="2"/>
        <v>3</v>
      </c>
      <c r="L11" s="9">
        <f t="shared" si="2"/>
        <v>81</v>
      </c>
      <c r="M11" s="9">
        <f t="shared" si="2"/>
        <v>113</v>
      </c>
      <c r="N11" s="13">
        <f t="shared" si="0"/>
        <v>32</v>
      </c>
      <c r="O11" s="14">
        <f t="shared" si="1"/>
        <v>0.39506172839506171</v>
      </c>
    </row>
  </sheetData>
  <mergeCells count="10">
    <mergeCell ref="A1:O1"/>
    <mergeCell ref="A2:O2"/>
    <mergeCell ref="A4:A5"/>
    <mergeCell ref="B4:C4"/>
    <mergeCell ref="D4:E4"/>
    <mergeCell ref="F4:G4"/>
    <mergeCell ref="H4:I4"/>
    <mergeCell ref="J4:K4"/>
    <mergeCell ref="L4:M4"/>
    <mergeCell ref="N4:O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zoomScaleNormal="100" workbookViewId="0"/>
  </sheetViews>
  <sheetFormatPr baseColWidth="10" defaultColWidth="8.5" defaultRowHeight="16" x14ac:dyDescent="0.2"/>
  <cols>
    <col min="1" max="1" width="8" customWidth="1"/>
    <col min="2" max="2" width="32" customWidth="1"/>
    <col min="3" max="3" width="22" customWidth="1"/>
    <col min="4" max="4" width="60" customWidth="1"/>
  </cols>
  <sheetData>
    <row r="1" spans="1:4" ht="15.75" customHeight="1" x14ac:dyDescent="0.2">
      <c r="A1" s="5" t="s">
        <v>18</v>
      </c>
      <c r="B1" s="5"/>
      <c r="C1" s="5"/>
      <c r="D1" s="5"/>
    </row>
    <row r="3" spans="1:4" ht="15" customHeight="1" x14ac:dyDescent="0.2">
      <c r="A3" s="6" t="s">
        <v>19</v>
      </c>
      <c r="B3" s="6" t="s">
        <v>20</v>
      </c>
      <c r="C3" s="6" t="s">
        <v>21</v>
      </c>
      <c r="D3" s="6" t="s">
        <v>22</v>
      </c>
    </row>
    <row r="4" spans="1:4" ht="15" customHeight="1" x14ac:dyDescent="0.2">
      <c r="A4" s="15">
        <v>2026</v>
      </c>
      <c r="B4" s="16" t="s">
        <v>12</v>
      </c>
      <c r="C4" s="15" t="s">
        <v>12</v>
      </c>
      <c r="D4" s="16" t="s">
        <v>23</v>
      </c>
    </row>
    <row r="5" spans="1:4" ht="15" customHeight="1" x14ac:dyDescent="0.2">
      <c r="A5" s="15">
        <v>2026</v>
      </c>
      <c r="B5" s="16" t="s">
        <v>13</v>
      </c>
      <c r="C5" s="15" t="s">
        <v>13</v>
      </c>
      <c r="D5" s="16" t="s">
        <v>23</v>
      </c>
    </row>
    <row r="6" spans="1:4" ht="23.25" customHeight="1" x14ac:dyDescent="0.2">
      <c r="A6" s="15">
        <v>2026</v>
      </c>
      <c r="B6" s="16" t="s">
        <v>14</v>
      </c>
      <c r="C6" s="15" t="s">
        <v>14</v>
      </c>
      <c r="D6" s="16" t="s">
        <v>24</v>
      </c>
    </row>
    <row r="7" spans="1:4" ht="15" customHeight="1" x14ac:dyDescent="0.2">
      <c r="A7" s="15">
        <v>2026</v>
      </c>
      <c r="B7" s="16" t="s">
        <v>15</v>
      </c>
      <c r="C7" s="15" t="s">
        <v>15</v>
      </c>
      <c r="D7" s="16" t="s">
        <v>23</v>
      </c>
    </row>
    <row r="8" spans="1:4" ht="15" customHeight="1" x14ac:dyDescent="0.2">
      <c r="A8" s="15">
        <v>2026</v>
      </c>
      <c r="B8" s="16" t="s">
        <v>16</v>
      </c>
      <c r="C8" s="15" t="s">
        <v>16</v>
      </c>
      <c r="D8" s="16" t="s">
        <v>23</v>
      </c>
    </row>
    <row r="9" spans="1:4" ht="15" customHeight="1" x14ac:dyDescent="0.2">
      <c r="A9" s="15">
        <v>2025</v>
      </c>
      <c r="B9" s="16" t="s">
        <v>25</v>
      </c>
      <c r="C9" s="15" t="s">
        <v>12</v>
      </c>
      <c r="D9" s="16" t="s">
        <v>26</v>
      </c>
    </row>
    <row r="10" spans="1:4" ht="15" customHeight="1" x14ac:dyDescent="0.2">
      <c r="A10" s="15">
        <v>2025</v>
      </c>
      <c r="B10" s="16" t="s">
        <v>27</v>
      </c>
      <c r="C10" s="15" t="s">
        <v>12</v>
      </c>
      <c r="D10" s="16" t="s">
        <v>28</v>
      </c>
    </row>
    <row r="11" spans="1:4" ht="15" customHeight="1" x14ac:dyDescent="0.2">
      <c r="A11" s="15">
        <v>2025</v>
      </c>
      <c r="B11" s="16" t="s">
        <v>29</v>
      </c>
      <c r="C11" s="15" t="s">
        <v>12</v>
      </c>
      <c r="D11" s="16" t="s">
        <v>30</v>
      </c>
    </row>
    <row r="12" spans="1:4" ht="15" customHeight="1" x14ac:dyDescent="0.2">
      <c r="A12" s="15">
        <v>2025</v>
      </c>
      <c r="B12" s="16" t="s">
        <v>31</v>
      </c>
      <c r="C12" s="15" t="s">
        <v>13</v>
      </c>
      <c r="D12" s="16" t="s">
        <v>32</v>
      </c>
    </row>
    <row r="13" spans="1:4" ht="15" customHeight="1" x14ac:dyDescent="0.2">
      <c r="A13" s="15">
        <v>2025</v>
      </c>
      <c r="B13" s="16" t="s">
        <v>33</v>
      </c>
      <c r="C13" s="15" t="s">
        <v>13</v>
      </c>
      <c r="D13" s="16" t="s">
        <v>34</v>
      </c>
    </row>
    <row r="14" spans="1:4" ht="15" customHeight="1" x14ac:dyDescent="0.2">
      <c r="A14" s="15">
        <v>2025</v>
      </c>
      <c r="B14" s="16" t="s">
        <v>35</v>
      </c>
      <c r="C14" s="15" t="s">
        <v>13</v>
      </c>
      <c r="D14" s="16" t="s">
        <v>36</v>
      </c>
    </row>
    <row r="15" spans="1:4" ht="23.25" customHeight="1" x14ac:dyDescent="0.2">
      <c r="A15" s="15">
        <v>2025</v>
      </c>
      <c r="B15" s="16" t="s">
        <v>37</v>
      </c>
      <c r="C15" s="15" t="s">
        <v>13</v>
      </c>
      <c r="D15" s="16" t="s">
        <v>38</v>
      </c>
    </row>
    <row r="16" spans="1:4" ht="15" customHeight="1" x14ac:dyDescent="0.2">
      <c r="A16" s="15">
        <v>2025</v>
      </c>
      <c r="B16" s="16" t="s">
        <v>39</v>
      </c>
      <c r="C16" s="15" t="s">
        <v>13</v>
      </c>
      <c r="D16" s="16" t="s">
        <v>40</v>
      </c>
    </row>
    <row r="17" spans="1:4" ht="23.25" customHeight="1" x14ac:dyDescent="0.2">
      <c r="A17" s="15">
        <v>2025</v>
      </c>
      <c r="B17" s="16" t="s">
        <v>41</v>
      </c>
      <c r="C17" s="15" t="s">
        <v>16</v>
      </c>
      <c r="D17" s="16" t="s">
        <v>42</v>
      </c>
    </row>
    <row r="18" spans="1:4" ht="15" customHeight="1" x14ac:dyDescent="0.2">
      <c r="A18" s="15">
        <v>2025</v>
      </c>
      <c r="B18" s="16" t="s">
        <v>43</v>
      </c>
      <c r="C18" s="15" t="s">
        <v>13</v>
      </c>
      <c r="D18" s="16" t="s">
        <v>44</v>
      </c>
    </row>
    <row r="19" spans="1:4" ht="15" customHeight="1" x14ac:dyDescent="0.2">
      <c r="A19" s="15">
        <v>2025</v>
      </c>
      <c r="B19" s="16" t="s">
        <v>45</v>
      </c>
      <c r="C19" s="15" t="s">
        <v>15</v>
      </c>
      <c r="D19" s="16" t="s">
        <v>46</v>
      </c>
    </row>
    <row r="20" spans="1:4" ht="15" customHeight="1" x14ac:dyDescent="0.2">
      <c r="A20" s="15">
        <v>2025</v>
      </c>
      <c r="B20" s="16" t="s">
        <v>47</v>
      </c>
      <c r="C20" s="15" t="s">
        <v>15</v>
      </c>
      <c r="D20" s="16" t="s">
        <v>48</v>
      </c>
    </row>
    <row r="21" spans="1:4" ht="15" customHeight="1" x14ac:dyDescent="0.2">
      <c r="A21" s="15">
        <v>2025</v>
      </c>
      <c r="B21" s="16" t="s">
        <v>49</v>
      </c>
      <c r="C21" s="15" t="s">
        <v>16</v>
      </c>
      <c r="D21" s="16" t="s">
        <v>50</v>
      </c>
    </row>
    <row r="22" spans="1:4" ht="23.25" customHeight="1" x14ac:dyDescent="0.2">
      <c r="A22" s="15">
        <v>2025</v>
      </c>
      <c r="B22" s="16" t="s">
        <v>51</v>
      </c>
      <c r="C22" s="15" t="s">
        <v>13</v>
      </c>
      <c r="D22" s="16" t="s">
        <v>52</v>
      </c>
    </row>
    <row r="23" spans="1:4" ht="23.25" customHeight="1" x14ac:dyDescent="0.2">
      <c r="A23" s="15">
        <v>2025</v>
      </c>
      <c r="B23" s="16" t="s">
        <v>53</v>
      </c>
      <c r="C23" s="15" t="s">
        <v>16</v>
      </c>
      <c r="D23" s="16" t="s">
        <v>54</v>
      </c>
    </row>
    <row r="24" spans="1:4" ht="15" customHeight="1" x14ac:dyDescent="0.2">
      <c r="A24" s="15">
        <v>2025</v>
      </c>
      <c r="B24" s="16" t="s">
        <v>55</v>
      </c>
      <c r="C24" s="15" t="s">
        <v>15</v>
      </c>
      <c r="D24" s="16" t="s">
        <v>56</v>
      </c>
    </row>
    <row r="25" spans="1:4" ht="15" customHeight="1" x14ac:dyDescent="0.2">
      <c r="A25" s="15">
        <v>2025</v>
      </c>
      <c r="B25" s="16" t="s">
        <v>57</v>
      </c>
      <c r="C25" s="15" t="s">
        <v>16</v>
      </c>
      <c r="D25" s="16" t="s">
        <v>58</v>
      </c>
    </row>
    <row r="26" spans="1:4" ht="15" customHeight="1" x14ac:dyDescent="0.2">
      <c r="A26" s="15">
        <v>2025</v>
      </c>
      <c r="B26" s="16" t="s">
        <v>59</v>
      </c>
      <c r="C26" s="15" t="s">
        <v>16</v>
      </c>
      <c r="D26" s="16" t="s">
        <v>60</v>
      </c>
    </row>
    <row r="27" spans="1:4" ht="15" customHeight="1" x14ac:dyDescent="0.2">
      <c r="A27" s="15">
        <v>2025</v>
      </c>
      <c r="B27" s="16" t="s">
        <v>61</v>
      </c>
      <c r="C27" s="15" t="s">
        <v>12</v>
      </c>
      <c r="D27" s="16" t="s">
        <v>62</v>
      </c>
    </row>
    <row r="28" spans="1:4" ht="15" customHeight="1" x14ac:dyDescent="0.2">
      <c r="A28" s="15">
        <v>2025</v>
      </c>
      <c r="B28" s="16" t="s">
        <v>63</v>
      </c>
      <c r="C28" s="15" t="s">
        <v>13</v>
      </c>
      <c r="D28" s="16" t="s">
        <v>64</v>
      </c>
    </row>
    <row r="29" spans="1:4" ht="15" customHeight="1" x14ac:dyDescent="0.2">
      <c r="A29" s="15">
        <v>2025</v>
      </c>
      <c r="B29" s="16" t="s">
        <v>65</v>
      </c>
      <c r="C29" s="15" t="s">
        <v>13</v>
      </c>
      <c r="D29" s="16" t="s">
        <v>66</v>
      </c>
    </row>
    <row r="31" spans="1:4" ht="75" customHeight="1" x14ac:dyDescent="0.2">
      <c r="A31" s="1" t="s">
        <v>67</v>
      </c>
      <c r="B31" s="1"/>
      <c r="C31" s="1"/>
      <c r="D31" s="1"/>
    </row>
  </sheetData>
  <mergeCells count="2">
    <mergeCell ref="A1:D1"/>
    <mergeCell ref="A31:D3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5"/>
  <sheetViews>
    <sheetView zoomScaleNormal="100" workbookViewId="0">
      <pane ySplit="1" topLeftCell="A2" activePane="bottomLeft" state="frozen"/>
      <selection pane="bottomLeft"/>
    </sheetView>
  </sheetViews>
  <sheetFormatPr baseColWidth="10" defaultColWidth="8.5" defaultRowHeight="16" x14ac:dyDescent="0.2"/>
  <cols>
    <col min="1" max="1" width="8" customWidth="1"/>
    <col min="2" max="2" width="24" customWidth="1"/>
    <col min="3" max="3" width="30" customWidth="1"/>
    <col min="4" max="4" width="32" customWidth="1"/>
    <col min="5" max="5" width="10" customWidth="1"/>
    <col min="6" max="6" width="12" customWidth="1"/>
  </cols>
  <sheetData>
    <row r="1" spans="1:6" ht="15" customHeight="1" x14ac:dyDescent="0.2">
      <c r="A1" s="6" t="s">
        <v>19</v>
      </c>
      <c r="B1" s="6" t="s">
        <v>21</v>
      </c>
      <c r="C1" s="6" t="s">
        <v>20</v>
      </c>
      <c r="D1" s="6" t="s">
        <v>68</v>
      </c>
      <c r="E1" s="6" t="s">
        <v>69</v>
      </c>
      <c r="F1" s="6" t="s">
        <v>70</v>
      </c>
    </row>
    <row r="2" spans="1:6" ht="15" customHeight="1" x14ac:dyDescent="0.2">
      <c r="A2" s="17">
        <v>2025</v>
      </c>
      <c r="B2" s="17" t="s">
        <v>12</v>
      </c>
      <c r="C2" s="17" t="s">
        <v>25</v>
      </c>
      <c r="D2" s="17" t="s">
        <v>25</v>
      </c>
      <c r="E2" s="17" t="s">
        <v>4</v>
      </c>
      <c r="F2" s="17">
        <v>1</v>
      </c>
    </row>
    <row r="3" spans="1:6" ht="15" customHeight="1" x14ac:dyDescent="0.2">
      <c r="A3" s="17">
        <v>2025</v>
      </c>
      <c r="B3" s="17" t="s">
        <v>12</v>
      </c>
      <c r="C3" s="17" t="s">
        <v>27</v>
      </c>
      <c r="D3" s="17" t="s">
        <v>71</v>
      </c>
      <c r="E3" s="17" t="s">
        <v>4</v>
      </c>
      <c r="F3" s="17">
        <v>1</v>
      </c>
    </row>
    <row r="4" spans="1:6" ht="15" customHeight="1" x14ac:dyDescent="0.2">
      <c r="A4" s="17">
        <v>2025</v>
      </c>
      <c r="B4" s="17" t="s">
        <v>12</v>
      </c>
      <c r="C4" s="17" t="s">
        <v>29</v>
      </c>
      <c r="D4" s="17" t="s">
        <v>72</v>
      </c>
      <c r="E4" s="17" t="s">
        <v>4</v>
      </c>
      <c r="F4" s="17">
        <v>1</v>
      </c>
    </row>
    <row r="5" spans="1:6" ht="15" customHeight="1" x14ac:dyDescent="0.2">
      <c r="A5" s="17">
        <v>2025</v>
      </c>
      <c r="B5" s="17" t="s">
        <v>13</v>
      </c>
      <c r="C5" s="17" t="s">
        <v>31</v>
      </c>
      <c r="D5" s="17" t="s">
        <v>73</v>
      </c>
      <c r="E5" s="17" t="s">
        <v>5</v>
      </c>
      <c r="F5" s="17">
        <v>1</v>
      </c>
    </row>
    <row r="6" spans="1:6" ht="15" customHeight="1" x14ac:dyDescent="0.2">
      <c r="A6" s="17">
        <v>2025</v>
      </c>
      <c r="B6" s="17" t="s">
        <v>13</v>
      </c>
      <c r="C6" s="17" t="s">
        <v>33</v>
      </c>
      <c r="D6" s="17" t="s">
        <v>74</v>
      </c>
      <c r="E6" s="17" t="s">
        <v>3</v>
      </c>
      <c r="F6" s="17">
        <v>1</v>
      </c>
    </row>
    <row r="7" spans="1:6" ht="15" customHeight="1" x14ac:dyDescent="0.2">
      <c r="A7" s="17">
        <v>2025</v>
      </c>
      <c r="B7" s="17" t="s">
        <v>13</v>
      </c>
      <c r="C7" s="17" t="s">
        <v>35</v>
      </c>
      <c r="D7" s="17" t="s">
        <v>75</v>
      </c>
      <c r="E7" s="17" t="s">
        <v>4</v>
      </c>
      <c r="F7" s="17">
        <v>1</v>
      </c>
    </row>
    <row r="8" spans="1:6" ht="15" customHeight="1" x14ac:dyDescent="0.2">
      <c r="A8" s="17">
        <v>2025</v>
      </c>
      <c r="B8" s="17" t="s">
        <v>13</v>
      </c>
      <c r="C8" s="17" t="s">
        <v>37</v>
      </c>
      <c r="D8" s="17" t="s">
        <v>76</v>
      </c>
      <c r="E8" s="17" t="s">
        <v>7</v>
      </c>
      <c r="F8" s="17">
        <v>1</v>
      </c>
    </row>
    <row r="9" spans="1:6" ht="15" customHeight="1" x14ac:dyDescent="0.2">
      <c r="A9" s="17">
        <v>2025</v>
      </c>
      <c r="B9" s="17" t="s">
        <v>13</v>
      </c>
      <c r="C9" s="17" t="s">
        <v>39</v>
      </c>
      <c r="D9" s="17" t="s">
        <v>77</v>
      </c>
      <c r="E9" s="17" t="s">
        <v>3</v>
      </c>
      <c r="F9" s="17">
        <v>1</v>
      </c>
    </row>
    <row r="10" spans="1:6" ht="15" customHeight="1" x14ac:dyDescent="0.2">
      <c r="A10" s="17">
        <v>2025</v>
      </c>
      <c r="B10" s="17" t="s">
        <v>16</v>
      </c>
      <c r="C10" s="17" t="s">
        <v>41</v>
      </c>
      <c r="D10" s="17" t="s">
        <v>78</v>
      </c>
      <c r="E10" s="17" t="s">
        <v>4</v>
      </c>
      <c r="F10" s="17">
        <v>1</v>
      </c>
    </row>
    <row r="11" spans="1:6" ht="15" customHeight="1" x14ac:dyDescent="0.2">
      <c r="A11" s="17">
        <v>2025</v>
      </c>
      <c r="B11" s="17" t="s">
        <v>16</v>
      </c>
      <c r="C11" s="17" t="s">
        <v>41</v>
      </c>
      <c r="D11" s="17" t="s">
        <v>79</v>
      </c>
      <c r="E11" s="17" t="s">
        <v>4</v>
      </c>
      <c r="F11" s="17">
        <v>1</v>
      </c>
    </row>
    <row r="12" spans="1:6" ht="15" customHeight="1" x14ac:dyDescent="0.2">
      <c r="A12" s="17">
        <v>2025</v>
      </c>
      <c r="B12" s="17" t="s">
        <v>16</v>
      </c>
      <c r="C12" s="17" t="s">
        <v>41</v>
      </c>
      <c r="D12" s="17" t="s">
        <v>80</v>
      </c>
      <c r="E12" s="17" t="s">
        <v>4</v>
      </c>
      <c r="F12" s="17">
        <v>1</v>
      </c>
    </row>
    <row r="13" spans="1:6" ht="15" customHeight="1" x14ac:dyDescent="0.2">
      <c r="A13" s="17">
        <v>2025</v>
      </c>
      <c r="B13" s="17" t="s">
        <v>16</v>
      </c>
      <c r="C13" s="17" t="s">
        <v>41</v>
      </c>
      <c r="D13" s="17" t="s">
        <v>81</v>
      </c>
      <c r="E13" s="17" t="s">
        <v>4</v>
      </c>
      <c r="F13" s="17">
        <v>1</v>
      </c>
    </row>
    <row r="14" spans="1:6" ht="15" customHeight="1" x14ac:dyDescent="0.2">
      <c r="A14" s="17">
        <v>2025</v>
      </c>
      <c r="B14" s="17" t="s">
        <v>16</v>
      </c>
      <c r="C14" s="17" t="s">
        <v>41</v>
      </c>
      <c r="D14" s="17" t="s">
        <v>82</v>
      </c>
      <c r="E14" s="17" t="s">
        <v>4</v>
      </c>
      <c r="F14" s="17">
        <v>1</v>
      </c>
    </row>
    <row r="15" spans="1:6" ht="15" customHeight="1" x14ac:dyDescent="0.2">
      <c r="A15" s="17">
        <v>2025</v>
      </c>
      <c r="B15" s="17" t="s">
        <v>16</v>
      </c>
      <c r="C15" s="17" t="s">
        <v>41</v>
      </c>
      <c r="D15" s="17" t="s">
        <v>83</v>
      </c>
      <c r="E15" s="17" t="s">
        <v>4</v>
      </c>
      <c r="F15" s="17">
        <v>1</v>
      </c>
    </row>
    <row r="16" spans="1:6" ht="15" customHeight="1" x14ac:dyDescent="0.2">
      <c r="A16" s="17">
        <v>2025</v>
      </c>
      <c r="B16" s="17" t="s">
        <v>16</v>
      </c>
      <c r="C16" s="17" t="s">
        <v>41</v>
      </c>
      <c r="D16" s="17" t="s">
        <v>84</v>
      </c>
      <c r="E16" s="17" t="s">
        <v>3</v>
      </c>
      <c r="F16" s="17">
        <v>1</v>
      </c>
    </row>
    <row r="17" spans="1:6" ht="15" customHeight="1" x14ac:dyDescent="0.2">
      <c r="A17" s="17">
        <v>2025</v>
      </c>
      <c r="B17" s="17" t="s">
        <v>13</v>
      </c>
      <c r="C17" s="17" t="s">
        <v>43</v>
      </c>
      <c r="D17" s="17" t="s">
        <v>85</v>
      </c>
      <c r="E17" s="17" t="s">
        <v>4</v>
      </c>
      <c r="F17" s="17">
        <v>1</v>
      </c>
    </row>
    <row r="18" spans="1:6" ht="15" customHeight="1" x14ac:dyDescent="0.2">
      <c r="A18" s="17">
        <v>2025</v>
      </c>
      <c r="B18" s="17" t="s">
        <v>15</v>
      </c>
      <c r="C18" s="17" t="s">
        <v>45</v>
      </c>
      <c r="D18" s="17" t="s">
        <v>86</v>
      </c>
      <c r="E18" s="17" t="s">
        <v>4</v>
      </c>
      <c r="F18" s="17">
        <v>1</v>
      </c>
    </row>
    <row r="19" spans="1:6" ht="15" customHeight="1" x14ac:dyDescent="0.2">
      <c r="A19" s="17">
        <v>2025</v>
      </c>
      <c r="B19" s="17" t="s">
        <v>15</v>
      </c>
      <c r="C19" s="17" t="s">
        <v>47</v>
      </c>
      <c r="D19" s="17" t="s">
        <v>87</v>
      </c>
      <c r="E19" s="17" t="s">
        <v>4</v>
      </c>
      <c r="F19" s="17">
        <v>1</v>
      </c>
    </row>
    <row r="20" spans="1:6" ht="15" customHeight="1" x14ac:dyDescent="0.2">
      <c r="A20" s="17">
        <v>2025</v>
      </c>
      <c r="B20" s="17" t="s">
        <v>15</v>
      </c>
      <c r="C20" s="17" t="s">
        <v>47</v>
      </c>
      <c r="D20" s="17" t="s">
        <v>88</v>
      </c>
      <c r="E20" s="17" t="s">
        <v>4</v>
      </c>
      <c r="F20" s="17">
        <v>1</v>
      </c>
    </row>
    <row r="21" spans="1:6" ht="15" customHeight="1" x14ac:dyDescent="0.2">
      <c r="A21" s="17">
        <v>2025</v>
      </c>
      <c r="B21" s="17" t="s">
        <v>16</v>
      </c>
      <c r="C21" s="17" t="s">
        <v>49</v>
      </c>
      <c r="D21" s="17" t="s">
        <v>89</v>
      </c>
      <c r="E21" s="17" t="s">
        <v>5</v>
      </c>
      <c r="F21" s="17">
        <v>1</v>
      </c>
    </row>
    <row r="22" spans="1:6" ht="15" customHeight="1" x14ac:dyDescent="0.2">
      <c r="A22" s="17">
        <v>2025</v>
      </c>
      <c r="B22" s="17" t="s">
        <v>16</v>
      </c>
      <c r="C22" s="17" t="s">
        <v>49</v>
      </c>
      <c r="D22" s="17" t="s">
        <v>90</v>
      </c>
      <c r="E22" s="17" t="s">
        <v>4</v>
      </c>
      <c r="F22" s="17">
        <v>1</v>
      </c>
    </row>
    <row r="23" spans="1:6" ht="15" customHeight="1" x14ac:dyDescent="0.2">
      <c r="A23" s="17">
        <v>2025</v>
      </c>
      <c r="B23" s="17" t="s">
        <v>16</v>
      </c>
      <c r="C23" s="17" t="s">
        <v>49</v>
      </c>
      <c r="D23" s="17" t="s">
        <v>91</v>
      </c>
      <c r="E23" s="17" t="s">
        <v>4</v>
      </c>
      <c r="F23" s="17">
        <v>1</v>
      </c>
    </row>
    <row r="24" spans="1:6" ht="15" customHeight="1" x14ac:dyDescent="0.2">
      <c r="A24" s="17">
        <v>2025</v>
      </c>
      <c r="B24" s="17" t="s">
        <v>16</v>
      </c>
      <c r="C24" s="17" t="s">
        <v>49</v>
      </c>
      <c r="D24" s="17" t="s">
        <v>92</v>
      </c>
      <c r="E24" s="17" t="s">
        <v>4</v>
      </c>
      <c r="F24" s="17">
        <v>1</v>
      </c>
    </row>
    <row r="25" spans="1:6" ht="15" customHeight="1" x14ac:dyDescent="0.2">
      <c r="A25" s="17">
        <v>2025</v>
      </c>
      <c r="B25" s="17" t="s">
        <v>16</v>
      </c>
      <c r="C25" s="17" t="s">
        <v>49</v>
      </c>
      <c r="D25" s="17" t="s">
        <v>93</v>
      </c>
      <c r="E25" s="17" t="s">
        <v>4</v>
      </c>
      <c r="F25" s="17">
        <v>1</v>
      </c>
    </row>
    <row r="26" spans="1:6" ht="15" customHeight="1" x14ac:dyDescent="0.2">
      <c r="A26" s="17">
        <v>2025</v>
      </c>
      <c r="B26" s="17" t="s">
        <v>16</v>
      </c>
      <c r="C26" s="17" t="s">
        <v>49</v>
      </c>
      <c r="D26" s="17" t="s">
        <v>94</v>
      </c>
      <c r="E26" s="17" t="s">
        <v>4</v>
      </c>
      <c r="F26" s="17">
        <v>1</v>
      </c>
    </row>
    <row r="27" spans="1:6" ht="15" customHeight="1" x14ac:dyDescent="0.2">
      <c r="A27" s="17">
        <v>2025</v>
      </c>
      <c r="B27" s="17" t="s">
        <v>16</v>
      </c>
      <c r="C27" s="17" t="s">
        <v>49</v>
      </c>
      <c r="D27" s="17" t="s">
        <v>95</v>
      </c>
      <c r="E27" s="17" t="s">
        <v>5</v>
      </c>
      <c r="F27" s="17">
        <v>1</v>
      </c>
    </row>
    <row r="28" spans="1:6" ht="15" customHeight="1" x14ac:dyDescent="0.2">
      <c r="A28" s="17">
        <v>2025</v>
      </c>
      <c r="B28" s="17" t="s">
        <v>16</v>
      </c>
      <c r="C28" s="17" t="s">
        <v>49</v>
      </c>
      <c r="D28" s="17" t="s">
        <v>96</v>
      </c>
      <c r="E28" s="17" t="s">
        <v>4</v>
      </c>
      <c r="F28" s="17">
        <v>1</v>
      </c>
    </row>
    <row r="29" spans="1:6" ht="15" customHeight="1" x14ac:dyDescent="0.2">
      <c r="A29" s="17">
        <v>2025</v>
      </c>
      <c r="B29" s="17" t="s">
        <v>16</v>
      </c>
      <c r="C29" s="17" t="s">
        <v>49</v>
      </c>
      <c r="D29" s="17" t="s">
        <v>97</v>
      </c>
      <c r="E29" s="17" t="s">
        <v>5</v>
      </c>
      <c r="F29" s="17">
        <v>1</v>
      </c>
    </row>
    <row r="30" spans="1:6" ht="15" customHeight="1" x14ac:dyDescent="0.2">
      <c r="A30" s="17">
        <v>2025</v>
      </c>
      <c r="B30" s="17" t="s">
        <v>16</v>
      </c>
      <c r="C30" s="17" t="s">
        <v>49</v>
      </c>
      <c r="D30" s="17" t="s">
        <v>98</v>
      </c>
      <c r="E30" s="17" t="s">
        <v>4</v>
      </c>
      <c r="F30" s="17">
        <v>1</v>
      </c>
    </row>
    <row r="31" spans="1:6" ht="15" customHeight="1" x14ac:dyDescent="0.2">
      <c r="A31" s="17">
        <v>2025</v>
      </c>
      <c r="B31" s="17" t="s">
        <v>16</v>
      </c>
      <c r="C31" s="17" t="s">
        <v>49</v>
      </c>
      <c r="D31" s="17" t="s">
        <v>99</v>
      </c>
      <c r="E31" s="17" t="s">
        <v>5</v>
      </c>
      <c r="F31" s="17">
        <v>1</v>
      </c>
    </row>
    <row r="32" spans="1:6" ht="15" customHeight="1" x14ac:dyDescent="0.2">
      <c r="A32" s="17">
        <v>2025</v>
      </c>
      <c r="B32" s="17" t="s">
        <v>16</v>
      </c>
      <c r="C32" s="17" t="s">
        <v>49</v>
      </c>
      <c r="D32" s="17" t="s">
        <v>100</v>
      </c>
      <c r="E32" s="17" t="s">
        <v>5</v>
      </c>
      <c r="F32" s="17">
        <v>1</v>
      </c>
    </row>
    <row r="33" spans="1:6" ht="15" customHeight="1" x14ac:dyDescent="0.2">
      <c r="A33" s="17">
        <v>2025</v>
      </c>
      <c r="B33" s="17" t="s">
        <v>16</v>
      </c>
      <c r="C33" s="17" t="s">
        <v>49</v>
      </c>
      <c r="D33" s="17" t="s">
        <v>101</v>
      </c>
      <c r="E33" s="17" t="s">
        <v>4</v>
      </c>
      <c r="F33" s="17">
        <v>1</v>
      </c>
    </row>
    <row r="34" spans="1:6" ht="15" customHeight="1" x14ac:dyDescent="0.2">
      <c r="A34" s="17">
        <v>2025</v>
      </c>
      <c r="B34" s="17" t="s">
        <v>16</v>
      </c>
      <c r="C34" s="17" t="s">
        <v>49</v>
      </c>
      <c r="D34" s="17" t="s">
        <v>102</v>
      </c>
      <c r="E34" s="17" t="s">
        <v>5</v>
      </c>
      <c r="F34" s="17">
        <v>1</v>
      </c>
    </row>
    <row r="35" spans="1:6" ht="15" customHeight="1" x14ac:dyDescent="0.2">
      <c r="A35" s="17">
        <v>2025</v>
      </c>
      <c r="B35" s="17" t="s">
        <v>16</v>
      </c>
      <c r="C35" s="17" t="s">
        <v>49</v>
      </c>
      <c r="D35" s="17" t="s">
        <v>103</v>
      </c>
      <c r="E35" s="17" t="s">
        <v>4</v>
      </c>
      <c r="F35" s="17">
        <v>1</v>
      </c>
    </row>
    <row r="36" spans="1:6" ht="15" customHeight="1" x14ac:dyDescent="0.2">
      <c r="A36" s="17">
        <v>2025</v>
      </c>
      <c r="B36" s="17" t="s">
        <v>16</v>
      </c>
      <c r="C36" s="17" t="s">
        <v>49</v>
      </c>
      <c r="D36" s="17" t="s">
        <v>104</v>
      </c>
      <c r="E36" s="17" t="s">
        <v>4</v>
      </c>
      <c r="F36" s="17">
        <v>1</v>
      </c>
    </row>
    <row r="37" spans="1:6" ht="15" customHeight="1" x14ac:dyDescent="0.2">
      <c r="A37" s="17">
        <v>2025</v>
      </c>
      <c r="B37" s="17" t="s">
        <v>16</v>
      </c>
      <c r="C37" s="17" t="s">
        <v>49</v>
      </c>
      <c r="D37" s="17" t="s">
        <v>105</v>
      </c>
      <c r="E37" s="17" t="s">
        <v>5</v>
      </c>
      <c r="F37" s="17">
        <v>1</v>
      </c>
    </row>
    <row r="38" spans="1:6" ht="15" customHeight="1" x14ac:dyDescent="0.2">
      <c r="A38" s="17">
        <v>2025</v>
      </c>
      <c r="B38" s="17" t="s">
        <v>16</v>
      </c>
      <c r="C38" s="17" t="s">
        <v>49</v>
      </c>
      <c r="D38" s="17" t="s">
        <v>106</v>
      </c>
      <c r="E38" s="17" t="s">
        <v>4</v>
      </c>
      <c r="F38" s="17">
        <v>1</v>
      </c>
    </row>
    <row r="39" spans="1:6" ht="15" customHeight="1" x14ac:dyDescent="0.2">
      <c r="A39" s="17">
        <v>2025</v>
      </c>
      <c r="B39" s="17" t="s">
        <v>16</v>
      </c>
      <c r="C39" s="17" t="s">
        <v>49</v>
      </c>
      <c r="D39" s="17" t="s">
        <v>107</v>
      </c>
      <c r="E39" s="17" t="s">
        <v>4</v>
      </c>
      <c r="F39" s="17">
        <v>1</v>
      </c>
    </row>
    <row r="40" spans="1:6" ht="15" customHeight="1" x14ac:dyDescent="0.2">
      <c r="A40" s="17">
        <v>2025</v>
      </c>
      <c r="B40" s="17" t="s">
        <v>16</v>
      </c>
      <c r="C40" s="17" t="s">
        <v>49</v>
      </c>
      <c r="D40" s="17" t="s">
        <v>108</v>
      </c>
      <c r="E40" s="17" t="s">
        <v>4</v>
      </c>
      <c r="F40" s="17">
        <v>1</v>
      </c>
    </row>
    <row r="41" spans="1:6" ht="15" customHeight="1" x14ac:dyDescent="0.2">
      <c r="A41" s="17">
        <v>2025</v>
      </c>
      <c r="B41" s="17" t="s">
        <v>16</v>
      </c>
      <c r="C41" s="17" t="s">
        <v>49</v>
      </c>
      <c r="D41" s="17" t="s">
        <v>109</v>
      </c>
      <c r="E41" s="17" t="s">
        <v>5</v>
      </c>
      <c r="F41" s="17">
        <v>1</v>
      </c>
    </row>
    <row r="42" spans="1:6" ht="15" customHeight="1" x14ac:dyDescent="0.2">
      <c r="A42" s="17">
        <v>2025</v>
      </c>
      <c r="B42" s="17" t="s">
        <v>13</v>
      </c>
      <c r="C42" s="17" t="s">
        <v>51</v>
      </c>
      <c r="D42" s="17" t="s">
        <v>110</v>
      </c>
      <c r="E42" s="17" t="s">
        <v>5</v>
      </c>
      <c r="F42" s="17">
        <v>1</v>
      </c>
    </row>
    <row r="43" spans="1:6" ht="15" customHeight="1" x14ac:dyDescent="0.2">
      <c r="A43" s="17">
        <v>2025</v>
      </c>
      <c r="B43" s="17" t="s">
        <v>13</v>
      </c>
      <c r="C43" s="17" t="s">
        <v>51</v>
      </c>
      <c r="D43" s="17" t="s">
        <v>111</v>
      </c>
      <c r="E43" s="17" t="s">
        <v>4</v>
      </c>
      <c r="F43" s="17">
        <v>1</v>
      </c>
    </row>
    <row r="44" spans="1:6" ht="15" customHeight="1" x14ac:dyDescent="0.2">
      <c r="A44" s="17">
        <v>2025</v>
      </c>
      <c r="B44" s="17" t="s">
        <v>16</v>
      </c>
      <c r="C44" s="17" t="s">
        <v>53</v>
      </c>
      <c r="D44" s="17" t="s">
        <v>112</v>
      </c>
      <c r="E44" s="17" t="s">
        <v>4</v>
      </c>
      <c r="F44" s="17">
        <v>1</v>
      </c>
    </row>
    <row r="45" spans="1:6" ht="15" customHeight="1" x14ac:dyDescent="0.2">
      <c r="A45" s="17">
        <v>2025</v>
      </c>
      <c r="B45" s="17" t="s">
        <v>16</v>
      </c>
      <c r="C45" s="17" t="s">
        <v>53</v>
      </c>
      <c r="D45" s="17" t="s">
        <v>113</v>
      </c>
      <c r="E45" s="17" t="s">
        <v>4</v>
      </c>
      <c r="F45" s="17">
        <v>1</v>
      </c>
    </row>
    <row r="46" spans="1:6" ht="15" customHeight="1" x14ac:dyDescent="0.2">
      <c r="A46" s="17">
        <v>2025</v>
      </c>
      <c r="B46" s="17" t="s">
        <v>16</v>
      </c>
      <c r="C46" s="17" t="s">
        <v>53</v>
      </c>
      <c r="D46" s="17" t="s">
        <v>114</v>
      </c>
      <c r="E46" s="17" t="s">
        <v>4</v>
      </c>
      <c r="F46" s="17">
        <v>1</v>
      </c>
    </row>
    <row r="47" spans="1:6" ht="15" customHeight="1" x14ac:dyDescent="0.2">
      <c r="A47" s="17">
        <v>2025</v>
      </c>
      <c r="B47" s="17" t="s">
        <v>16</v>
      </c>
      <c r="C47" s="17" t="s">
        <v>53</v>
      </c>
      <c r="D47" s="17" t="s">
        <v>115</v>
      </c>
      <c r="E47" s="17" t="s">
        <v>4</v>
      </c>
      <c r="F47" s="17">
        <v>1</v>
      </c>
    </row>
    <row r="48" spans="1:6" ht="15" customHeight="1" x14ac:dyDescent="0.2">
      <c r="A48" s="17">
        <v>2025</v>
      </c>
      <c r="B48" s="17" t="s">
        <v>16</v>
      </c>
      <c r="C48" s="17" t="s">
        <v>53</v>
      </c>
      <c r="D48" s="17" t="s">
        <v>116</v>
      </c>
      <c r="E48" s="17" t="s">
        <v>4</v>
      </c>
      <c r="F48" s="17">
        <v>1</v>
      </c>
    </row>
    <row r="49" spans="1:6" ht="15" customHeight="1" x14ac:dyDescent="0.2">
      <c r="A49" s="17">
        <v>2025</v>
      </c>
      <c r="B49" s="17" t="s">
        <v>16</v>
      </c>
      <c r="C49" s="17" t="s">
        <v>53</v>
      </c>
      <c r="D49" s="17" t="s">
        <v>117</v>
      </c>
      <c r="E49" s="17" t="s">
        <v>5</v>
      </c>
      <c r="F49" s="17">
        <v>1</v>
      </c>
    </row>
    <row r="50" spans="1:6" ht="15" customHeight="1" x14ac:dyDescent="0.2">
      <c r="A50" s="17">
        <v>2025</v>
      </c>
      <c r="B50" s="17" t="s">
        <v>16</v>
      </c>
      <c r="C50" s="17" t="s">
        <v>53</v>
      </c>
      <c r="D50" s="17" t="s">
        <v>118</v>
      </c>
      <c r="E50" s="17" t="s">
        <v>4</v>
      </c>
      <c r="F50" s="17">
        <v>1</v>
      </c>
    </row>
    <row r="51" spans="1:6" ht="15" customHeight="1" x14ac:dyDescent="0.2">
      <c r="A51" s="17">
        <v>2025</v>
      </c>
      <c r="B51" s="17" t="s">
        <v>16</v>
      </c>
      <c r="C51" s="17" t="s">
        <v>53</v>
      </c>
      <c r="D51" s="17" t="s">
        <v>119</v>
      </c>
      <c r="E51" s="17" t="s">
        <v>5</v>
      </c>
      <c r="F51" s="17">
        <v>1</v>
      </c>
    </row>
    <row r="52" spans="1:6" ht="15" customHeight="1" x14ac:dyDescent="0.2">
      <c r="A52" s="17">
        <v>2025</v>
      </c>
      <c r="B52" s="17" t="s">
        <v>16</v>
      </c>
      <c r="C52" s="17" t="s">
        <v>53</v>
      </c>
      <c r="D52" s="17" t="s">
        <v>120</v>
      </c>
      <c r="E52" s="17" t="s">
        <v>5</v>
      </c>
      <c r="F52" s="17">
        <v>1</v>
      </c>
    </row>
    <row r="53" spans="1:6" ht="15" customHeight="1" x14ac:dyDescent="0.2">
      <c r="A53" s="17">
        <v>2025</v>
      </c>
      <c r="B53" s="17" t="s">
        <v>16</v>
      </c>
      <c r="C53" s="17" t="s">
        <v>53</v>
      </c>
      <c r="D53" s="17" t="s">
        <v>121</v>
      </c>
      <c r="E53" s="17" t="s">
        <v>5</v>
      </c>
      <c r="F53" s="17">
        <v>1</v>
      </c>
    </row>
    <row r="54" spans="1:6" ht="15" customHeight="1" x14ac:dyDescent="0.2">
      <c r="A54" s="17">
        <v>2025</v>
      </c>
      <c r="B54" s="17" t="s">
        <v>16</v>
      </c>
      <c r="C54" s="17" t="s">
        <v>53</v>
      </c>
      <c r="D54" s="17" t="s">
        <v>122</v>
      </c>
      <c r="E54" s="17" t="s">
        <v>4</v>
      </c>
      <c r="F54" s="17">
        <v>1</v>
      </c>
    </row>
    <row r="55" spans="1:6" ht="15" customHeight="1" x14ac:dyDescent="0.2">
      <c r="A55" s="17">
        <v>2025</v>
      </c>
      <c r="B55" s="17" t="s">
        <v>16</v>
      </c>
      <c r="C55" s="17" t="s">
        <v>53</v>
      </c>
      <c r="D55" s="17" t="s">
        <v>123</v>
      </c>
      <c r="E55" s="17" t="s">
        <v>4</v>
      </c>
      <c r="F55" s="17">
        <v>1</v>
      </c>
    </row>
    <row r="56" spans="1:6" ht="15" customHeight="1" x14ac:dyDescent="0.2">
      <c r="A56" s="17">
        <v>2025</v>
      </c>
      <c r="B56" s="17" t="s">
        <v>16</v>
      </c>
      <c r="C56" s="17" t="s">
        <v>53</v>
      </c>
      <c r="D56" s="17" t="s">
        <v>124</v>
      </c>
      <c r="E56" s="17" t="s">
        <v>5</v>
      </c>
      <c r="F56" s="17">
        <v>1</v>
      </c>
    </row>
    <row r="57" spans="1:6" ht="15" customHeight="1" x14ac:dyDescent="0.2">
      <c r="A57" s="17">
        <v>2025</v>
      </c>
      <c r="B57" s="17" t="s">
        <v>15</v>
      </c>
      <c r="C57" s="17" t="s">
        <v>55</v>
      </c>
      <c r="D57" s="17" t="s">
        <v>125</v>
      </c>
      <c r="E57" s="17" t="s">
        <v>4</v>
      </c>
      <c r="F57" s="17">
        <v>1</v>
      </c>
    </row>
    <row r="58" spans="1:6" ht="15" customHeight="1" x14ac:dyDescent="0.2">
      <c r="A58" s="17">
        <v>2025</v>
      </c>
      <c r="B58" s="17" t="s">
        <v>15</v>
      </c>
      <c r="C58" s="17" t="s">
        <v>55</v>
      </c>
      <c r="D58" s="17" t="s">
        <v>126</v>
      </c>
      <c r="E58" s="17" t="s">
        <v>4</v>
      </c>
      <c r="F58" s="17">
        <v>1</v>
      </c>
    </row>
    <row r="59" spans="1:6" ht="15" customHeight="1" x14ac:dyDescent="0.2">
      <c r="A59" s="17">
        <v>2025</v>
      </c>
      <c r="B59" s="17" t="s">
        <v>15</v>
      </c>
      <c r="C59" s="17" t="s">
        <v>55</v>
      </c>
      <c r="D59" s="17" t="s">
        <v>127</v>
      </c>
      <c r="E59" s="17" t="s">
        <v>5</v>
      </c>
      <c r="F59" s="17">
        <v>1</v>
      </c>
    </row>
    <row r="60" spans="1:6" ht="15" customHeight="1" x14ac:dyDescent="0.2">
      <c r="A60" s="17">
        <v>2025</v>
      </c>
      <c r="B60" s="17" t="s">
        <v>16</v>
      </c>
      <c r="C60" s="17" t="s">
        <v>57</v>
      </c>
      <c r="D60" s="17" t="s">
        <v>128</v>
      </c>
      <c r="E60" s="17" t="s">
        <v>4</v>
      </c>
      <c r="F60" s="17">
        <v>1</v>
      </c>
    </row>
    <row r="61" spans="1:6" ht="15" customHeight="1" x14ac:dyDescent="0.2">
      <c r="A61" s="17">
        <v>2025</v>
      </c>
      <c r="B61" s="17" t="s">
        <v>16</v>
      </c>
      <c r="C61" s="17" t="s">
        <v>57</v>
      </c>
      <c r="D61" s="17" t="s">
        <v>129</v>
      </c>
      <c r="E61" s="17" t="s">
        <v>4</v>
      </c>
      <c r="F61" s="17">
        <v>1</v>
      </c>
    </row>
    <row r="62" spans="1:6" ht="15" customHeight="1" x14ac:dyDescent="0.2">
      <c r="A62" s="17">
        <v>2025</v>
      </c>
      <c r="B62" s="17" t="s">
        <v>16</v>
      </c>
      <c r="C62" s="17" t="s">
        <v>57</v>
      </c>
      <c r="D62" s="17" t="s">
        <v>130</v>
      </c>
      <c r="E62" s="17" t="s">
        <v>4</v>
      </c>
      <c r="F62" s="17">
        <v>1</v>
      </c>
    </row>
    <row r="63" spans="1:6" ht="15" customHeight="1" x14ac:dyDescent="0.2">
      <c r="A63" s="17">
        <v>2025</v>
      </c>
      <c r="B63" s="17" t="s">
        <v>16</v>
      </c>
      <c r="C63" s="17" t="s">
        <v>57</v>
      </c>
      <c r="D63" s="17" t="s">
        <v>131</v>
      </c>
      <c r="E63" s="17" t="s">
        <v>5</v>
      </c>
      <c r="F63" s="17">
        <v>1</v>
      </c>
    </row>
    <row r="64" spans="1:6" ht="15" customHeight="1" x14ac:dyDescent="0.2">
      <c r="A64" s="17">
        <v>2025</v>
      </c>
      <c r="B64" s="17" t="s">
        <v>16</v>
      </c>
      <c r="C64" s="17" t="s">
        <v>57</v>
      </c>
      <c r="D64" s="17" t="s">
        <v>132</v>
      </c>
      <c r="E64" s="17" t="s">
        <v>5</v>
      </c>
      <c r="F64" s="17">
        <v>1</v>
      </c>
    </row>
    <row r="65" spans="1:6" ht="15" customHeight="1" x14ac:dyDescent="0.2">
      <c r="A65" s="17">
        <v>2025</v>
      </c>
      <c r="B65" s="17" t="s">
        <v>16</v>
      </c>
      <c r="C65" s="17" t="s">
        <v>57</v>
      </c>
      <c r="D65" s="17" t="s">
        <v>133</v>
      </c>
      <c r="E65" s="17" t="s">
        <v>4</v>
      </c>
      <c r="F65" s="17">
        <v>1</v>
      </c>
    </row>
    <row r="66" spans="1:6" ht="15" customHeight="1" x14ac:dyDescent="0.2">
      <c r="A66" s="17">
        <v>2025</v>
      </c>
      <c r="B66" s="17" t="s">
        <v>16</v>
      </c>
      <c r="C66" s="17" t="s">
        <v>57</v>
      </c>
      <c r="D66" s="17" t="s">
        <v>134</v>
      </c>
      <c r="E66" s="17" t="s">
        <v>4</v>
      </c>
      <c r="F66" s="17">
        <v>1</v>
      </c>
    </row>
    <row r="67" spans="1:6" ht="15" customHeight="1" x14ac:dyDescent="0.2">
      <c r="A67" s="17">
        <v>2025</v>
      </c>
      <c r="B67" s="17" t="s">
        <v>16</v>
      </c>
      <c r="C67" s="17" t="s">
        <v>57</v>
      </c>
      <c r="D67" s="17" t="s">
        <v>135</v>
      </c>
      <c r="E67" s="17" t="s">
        <v>4</v>
      </c>
      <c r="F67" s="17">
        <v>1</v>
      </c>
    </row>
    <row r="68" spans="1:6" ht="15" customHeight="1" x14ac:dyDescent="0.2">
      <c r="A68" s="17">
        <v>2025</v>
      </c>
      <c r="B68" s="17" t="s">
        <v>16</v>
      </c>
      <c r="C68" s="17" t="s">
        <v>59</v>
      </c>
      <c r="D68" s="17" t="s">
        <v>136</v>
      </c>
      <c r="E68" s="17" t="s">
        <v>4</v>
      </c>
      <c r="F68" s="17">
        <v>1</v>
      </c>
    </row>
    <row r="69" spans="1:6" ht="15" customHeight="1" x14ac:dyDescent="0.2">
      <c r="A69" s="17">
        <v>2025</v>
      </c>
      <c r="B69" s="17" t="s">
        <v>16</v>
      </c>
      <c r="C69" s="17" t="s">
        <v>59</v>
      </c>
      <c r="D69" s="17" t="s">
        <v>137</v>
      </c>
      <c r="E69" s="17" t="s">
        <v>5</v>
      </c>
      <c r="F69" s="17">
        <v>1</v>
      </c>
    </row>
    <row r="70" spans="1:6" ht="15" customHeight="1" x14ac:dyDescent="0.2">
      <c r="A70" s="17">
        <v>2025</v>
      </c>
      <c r="B70" s="17" t="s">
        <v>16</v>
      </c>
      <c r="C70" s="17" t="s">
        <v>59</v>
      </c>
      <c r="D70" s="17" t="s">
        <v>138</v>
      </c>
      <c r="E70" s="17" t="s">
        <v>4</v>
      </c>
      <c r="F70" s="17">
        <v>1</v>
      </c>
    </row>
    <row r="71" spans="1:6" ht="15" customHeight="1" x14ac:dyDescent="0.2">
      <c r="A71" s="17">
        <v>2025</v>
      </c>
      <c r="B71" s="17" t="s">
        <v>16</v>
      </c>
      <c r="C71" s="17" t="s">
        <v>59</v>
      </c>
      <c r="D71" s="17" t="s">
        <v>139</v>
      </c>
      <c r="E71" s="17" t="s">
        <v>4</v>
      </c>
      <c r="F71" s="17">
        <v>1</v>
      </c>
    </row>
    <row r="72" spans="1:6" ht="15" customHeight="1" x14ac:dyDescent="0.2">
      <c r="A72" s="17">
        <v>2025</v>
      </c>
      <c r="B72" s="17" t="s">
        <v>16</v>
      </c>
      <c r="C72" s="17" t="s">
        <v>59</v>
      </c>
      <c r="D72" s="17" t="s">
        <v>140</v>
      </c>
      <c r="E72" s="17" t="s">
        <v>4</v>
      </c>
      <c r="F72" s="17">
        <v>1</v>
      </c>
    </row>
    <row r="73" spans="1:6" ht="15" customHeight="1" x14ac:dyDescent="0.2">
      <c r="A73" s="17">
        <v>2025</v>
      </c>
      <c r="B73" s="17" t="s">
        <v>16</v>
      </c>
      <c r="C73" s="17" t="s">
        <v>59</v>
      </c>
      <c r="D73" s="17" t="s">
        <v>141</v>
      </c>
      <c r="E73" s="17" t="s">
        <v>4</v>
      </c>
      <c r="F73" s="17">
        <v>1</v>
      </c>
    </row>
    <row r="74" spans="1:6" ht="15" customHeight="1" x14ac:dyDescent="0.2">
      <c r="A74" s="17">
        <v>2025</v>
      </c>
      <c r="B74" s="17" t="s">
        <v>16</v>
      </c>
      <c r="C74" s="17" t="s">
        <v>59</v>
      </c>
      <c r="D74" s="17" t="s">
        <v>142</v>
      </c>
      <c r="E74" s="17" t="s">
        <v>5</v>
      </c>
      <c r="F74" s="17">
        <v>1</v>
      </c>
    </row>
    <row r="75" spans="1:6" ht="15" customHeight="1" x14ac:dyDescent="0.2">
      <c r="A75" s="17">
        <v>2025</v>
      </c>
      <c r="B75" s="17" t="s">
        <v>16</v>
      </c>
      <c r="C75" s="17" t="s">
        <v>59</v>
      </c>
      <c r="D75" s="17" t="s">
        <v>143</v>
      </c>
      <c r="E75" s="17" t="s">
        <v>4</v>
      </c>
      <c r="F75" s="17">
        <v>1</v>
      </c>
    </row>
    <row r="76" spans="1:6" ht="15" customHeight="1" x14ac:dyDescent="0.2">
      <c r="A76" s="17">
        <v>2025</v>
      </c>
      <c r="B76" s="17" t="s">
        <v>16</v>
      </c>
      <c r="C76" s="17" t="s">
        <v>59</v>
      </c>
      <c r="D76" s="17" t="s">
        <v>144</v>
      </c>
      <c r="E76" s="17" t="s">
        <v>4</v>
      </c>
      <c r="F76" s="17">
        <v>1</v>
      </c>
    </row>
    <row r="77" spans="1:6" ht="15" customHeight="1" x14ac:dyDescent="0.2">
      <c r="A77" s="17">
        <v>2025</v>
      </c>
      <c r="B77" s="17" t="s">
        <v>16</v>
      </c>
      <c r="C77" s="17" t="s">
        <v>59</v>
      </c>
      <c r="D77" s="17" t="s">
        <v>145</v>
      </c>
      <c r="E77" s="17" t="s">
        <v>4</v>
      </c>
      <c r="F77" s="17">
        <v>1</v>
      </c>
    </row>
    <row r="78" spans="1:6" ht="15" customHeight="1" x14ac:dyDescent="0.2">
      <c r="A78" s="17">
        <v>2025</v>
      </c>
      <c r="B78" s="17" t="s">
        <v>16</v>
      </c>
      <c r="C78" s="17" t="s">
        <v>59</v>
      </c>
      <c r="D78" s="17" t="s">
        <v>146</v>
      </c>
      <c r="E78" s="17" t="s">
        <v>4</v>
      </c>
      <c r="F78" s="17">
        <v>1</v>
      </c>
    </row>
    <row r="79" spans="1:6" ht="15" customHeight="1" x14ac:dyDescent="0.2">
      <c r="A79" s="17">
        <v>2025</v>
      </c>
      <c r="B79" s="17" t="s">
        <v>16</v>
      </c>
      <c r="C79" s="17" t="s">
        <v>59</v>
      </c>
      <c r="D79" s="17" t="s">
        <v>147</v>
      </c>
      <c r="E79" s="17" t="s">
        <v>5</v>
      </c>
      <c r="F79" s="17">
        <v>1</v>
      </c>
    </row>
    <row r="80" spans="1:6" ht="15" customHeight="1" x14ac:dyDescent="0.2">
      <c r="A80" s="17">
        <v>2025</v>
      </c>
      <c r="B80" s="17" t="s">
        <v>12</v>
      </c>
      <c r="C80" s="17" t="s">
        <v>61</v>
      </c>
      <c r="D80" s="17" t="s">
        <v>148</v>
      </c>
      <c r="E80" s="17" t="s">
        <v>4</v>
      </c>
      <c r="F80" s="17">
        <v>1</v>
      </c>
    </row>
    <row r="81" spans="1:6" ht="15" customHeight="1" x14ac:dyDescent="0.2">
      <c r="A81" s="17">
        <v>2025</v>
      </c>
      <c r="B81" s="17" t="s">
        <v>13</v>
      </c>
      <c r="C81" s="17" t="s">
        <v>63</v>
      </c>
      <c r="D81" s="17" t="s">
        <v>149</v>
      </c>
      <c r="E81" s="17" t="s">
        <v>3</v>
      </c>
      <c r="F81" s="17">
        <v>1</v>
      </c>
    </row>
    <row r="82" spans="1:6" ht="15" customHeight="1" x14ac:dyDescent="0.2">
      <c r="A82" s="17">
        <v>2025</v>
      </c>
      <c r="B82" s="17" t="s">
        <v>13</v>
      </c>
      <c r="C82" s="17" t="s">
        <v>65</v>
      </c>
      <c r="D82" s="17" t="s">
        <v>150</v>
      </c>
      <c r="E82" s="17" t="s">
        <v>4</v>
      </c>
      <c r="F82" s="17">
        <v>1</v>
      </c>
    </row>
    <row r="83" spans="1:6" ht="15" customHeight="1" x14ac:dyDescent="0.2">
      <c r="A83" s="17">
        <v>2026</v>
      </c>
      <c r="B83" s="17" t="s">
        <v>12</v>
      </c>
      <c r="C83" s="17" t="s">
        <v>12</v>
      </c>
      <c r="D83" s="17" t="s">
        <v>151</v>
      </c>
      <c r="E83" s="17" t="s">
        <v>5</v>
      </c>
      <c r="F83" s="17">
        <v>1</v>
      </c>
    </row>
    <row r="84" spans="1:6" ht="15" customHeight="1" x14ac:dyDescent="0.2">
      <c r="A84" s="17">
        <v>2026</v>
      </c>
      <c r="B84" s="17" t="s">
        <v>12</v>
      </c>
      <c r="C84" s="17" t="s">
        <v>12</v>
      </c>
      <c r="D84" s="17" t="s">
        <v>152</v>
      </c>
      <c r="E84" s="17" t="s">
        <v>4</v>
      </c>
      <c r="F84" s="17">
        <v>1</v>
      </c>
    </row>
    <row r="85" spans="1:6" ht="15" customHeight="1" x14ac:dyDescent="0.2">
      <c r="A85" s="17">
        <v>2026</v>
      </c>
      <c r="B85" s="17" t="s">
        <v>12</v>
      </c>
      <c r="C85" s="17" t="s">
        <v>12</v>
      </c>
      <c r="D85" s="17" t="s">
        <v>153</v>
      </c>
      <c r="E85" s="17" t="s">
        <v>4</v>
      </c>
      <c r="F85" s="17">
        <v>1</v>
      </c>
    </row>
    <row r="86" spans="1:6" ht="15" customHeight="1" x14ac:dyDescent="0.2">
      <c r="A86" s="17">
        <v>2026</v>
      </c>
      <c r="B86" s="17" t="s">
        <v>12</v>
      </c>
      <c r="C86" s="17" t="s">
        <v>12</v>
      </c>
      <c r="D86" s="17" t="s">
        <v>72</v>
      </c>
      <c r="E86" s="17" t="s">
        <v>4</v>
      </c>
      <c r="F86" s="17">
        <v>1</v>
      </c>
    </row>
    <row r="87" spans="1:6" ht="15" customHeight="1" x14ac:dyDescent="0.2">
      <c r="A87" s="17">
        <v>2026</v>
      </c>
      <c r="B87" s="17" t="s">
        <v>12</v>
      </c>
      <c r="C87" s="17" t="s">
        <v>12</v>
      </c>
      <c r="D87" s="17" t="s">
        <v>154</v>
      </c>
      <c r="E87" s="17" t="s">
        <v>7</v>
      </c>
      <c r="F87" s="17">
        <v>1</v>
      </c>
    </row>
    <row r="88" spans="1:6" ht="15" customHeight="1" x14ac:dyDescent="0.2">
      <c r="A88" s="17">
        <v>2026</v>
      </c>
      <c r="B88" s="17" t="s">
        <v>12</v>
      </c>
      <c r="C88" s="17" t="s">
        <v>12</v>
      </c>
      <c r="D88" s="17" t="s">
        <v>155</v>
      </c>
      <c r="E88" s="17" t="s">
        <v>4</v>
      </c>
      <c r="F88" s="17">
        <v>1</v>
      </c>
    </row>
    <row r="89" spans="1:6" ht="15" customHeight="1" x14ac:dyDescent="0.2">
      <c r="A89" s="17">
        <v>2026</v>
      </c>
      <c r="B89" s="17" t="s">
        <v>12</v>
      </c>
      <c r="C89" s="17" t="s">
        <v>12</v>
      </c>
      <c r="D89" s="17" t="s">
        <v>156</v>
      </c>
      <c r="E89" s="17" t="s">
        <v>3</v>
      </c>
      <c r="F89" s="17">
        <v>1</v>
      </c>
    </row>
    <row r="90" spans="1:6" ht="15" customHeight="1" x14ac:dyDescent="0.2">
      <c r="A90" s="17">
        <v>2026</v>
      </c>
      <c r="B90" s="17" t="s">
        <v>12</v>
      </c>
      <c r="C90" s="17" t="s">
        <v>12</v>
      </c>
      <c r="D90" s="17" t="s">
        <v>157</v>
      </c>
      <c r="E90" s="17" t="s">
        <v>3</v>
      </c>
      <c r="F90" s="17">
        <v>1</v>
      </c>
    </row>
    <row r="91" spans="1:6" ht="15" customHeight="1" x14ac:dyDescent="0.2">
      <c r="A91" s="17">
        <v>2026</v>
      </c>
      <c r="B91" s="17" t="s">
        <v>12</v>
      </c>
      <c r="C91" s="17" t="s">
        <v>12</v>
      </c>
      <c r="D91" s="17" t="s">
        <v>158</v>
      </c>
      <c r="E91" s="17" t="s">
        <v>4</v>
      </c>
      <c r="F91" s="17">
        <v>1</v>
      </c>
    </row>
    <row r="92" spans="1:6" ht="15" customHeight="1" x14ac:dyDescent="0.2">
      <c r="A92" s="17">
        <v>2026</v>
      </c>
      <c r="B92" s="17" t="s">
        <v>13</v>
      </c>
      <c r="C92" s="17" t="s">
        <v>13</v>
      </c>
      <c r="D92" s="17" t="s">
        <v>159</v>
      </c>
      <c r="E92" s="17" t="s">
        <v>4</v>
      </c>
      <c r="F92" s="17">
        <v>1</v>
      </c>
    </row>
    <row r="93" spans="1:6" ht="15" customHeight="1" x14ac:dyDescent="0.2">
      <c r="A93" s="17">
        <v>2026</v>
      </c>
      <c r="B93" s="17" t="s">
        <v>13</v>
      </c>
      <c r="C93" s="17" t="s">
        <v>13</v>
      </c>
      <c r="D93" s="17" t="s">
        <v>160</v>
      </c>
      <c r="E93" s="17" t="s">
        <v>4</v>
      </c>
      <c r="F93" s="17">
        <v>1</v>
      </c>
    </row>
    <row r="94" spans="1:6" ht="15" customHeight="1" x14ac:dyDescent="0.2">
      <c r="A94" s="17">
        <v>2026</v>
      </c>
      <c r="B94" s="17" t="s">
        <v>13</v>
      </c>
      <c r="C94" s="17" t="s">
        <v>13</v>
      </c>
      <c r="D94" s="17" t="s">
        <v>149</v>
      </c>
      <c r="E94" s="17" t="s">
        <v>3</v>
      </c>
      <c r="F94" s="17">
        <v>1</v>
      </c>
    </row>
    <row r="95" spans="1:6" ht="15" customHeight="1" x14ac:dyDescent="0.2">
      <c r="A95" s="17">
        <v>2026</v>
      </c>
      <c r="B95" s="17" t="s">
        <v>13</v>
      </c>
      <c r="C95" s="17" t="s">
        <v>13</v>
      </c>
      <c r="D95" s="17" t="s">
        <v>73</v>
      </c>
      <c r="E95" s="17" t="s">
        <v>5</v>
      </c>
      <c r="F95" s="17">
        <v>1</v>
      </c>
    </row>
    <row r="96" spans="1:6" ht="15" customHeight="1" x14ac:dyDescent="0.2">
      <c r="A96" s="17">
        <v>2026</v>
      </c>
      <c r="B96" s="17" t="s">
        <v>13</v>
      </c>
      <c r="C96" s="17" t="s">
        <v>13</v>
      </c>
      <c r="D96" s="17" t="s">
        <v>161</v>
      </c>
      <c r="E96" s="17" t="s">
        <v>5</v>
      </c>
      <c r="F96" s="17">
        <v>1</v>
      </c>
    </row>
    <row r="97" spans="1:6" ht="15" customHeight="1" x14ac:dyDescent="0.2">
      <c r="A97" s="17">
        <v>2026</v>
      </c>
      <c r="B97" s="17" t="s">
        <v>13</v>
      </c>
      <c r="C97" s="17" t="s">
        <v>13</v>
      </c>
      <c r="D97" s="17" t="s">
        <v>162</v>
      </c>
      <c r="E97" s="17" t="s">
        <v>4</v>
      </c>
      <c r="F97" s="17">
        <v>1</v>
      </c>
    </row>
    <row r="98" spans="1:6" ht="15" customHeight="1" x14ac:dyDescent="0.2">
      <c r="A98" s="17">
        <v>2026</v>
      </c>
      <c r="B98" s="17" t="s">
        <v>13</v>
      </c>
      <c r="C98" s="17" t="s">
        <v>13</v>
      </c>
      <c r="D98" s="17" t="s">
        <v>75</v>
      </c>
      <c r="E98" s="17" t="s">
        <v>6</v>
      </c>
      <c r="F98" s="17">
        <v>1</v>
      </c>
    </row>
    <row r="99" spans="1:6" ht="15" customHeight="1" x14ac:dyDescent="0.2">
      <c r="A99" s="17">
        <v>2026</v>
      </c>
      <c r="B99" s="17" t="s">
        <v>13</v>
      </c>
      <c r="C99" s="17" t="s">
        <v>13</v>
      </c>
      <c r="D99" s="17" t="s">
        <v>150</v>
      </c>
      <c r="E99" s="17" t="s">
        <v>4</v>
      </c>
      <c r="F99" s="17">
        <v>1</v>
      </c>
    </row>
    <row r="100" spans="1:6" ht="15" customHeight="1" x14ac:dyDescent="0.2">
      <c r="A100" s="17">
        <v>2026</v>
      </c>
      <c r="B100" s="17" t="s">
        <v>13</v>
      </c>
      <c r="C100" s="17" t="s">
        <v>13</v>
      </c>
      <c r="D100" s="17" t="s">
        <v>163</v>
      </c>
      <c r="E100" s="17" t="s">
        <v>4</v>
      </c>
      <c r="F100" s="17">
        <v>1</v>
      </c>
    </row>
    <row r="101" spans="1:6" ht="15" customHeight="1" x14ac:dyDescent="0.2">
      <c r="A101" s="17">
        <v>2026</v>
      </c>
      <c r="B101" s="17" t="s">
        <v>13</v>
      </c>
      <c r="C101" s="17" t="s">
        <v>13</v>
      </c>
      <c r="D101" s="17" t="s">
        <v>164</v>
      </c>
      <c r="E101" s="17" t="s">
        <v>4</v>
      </c>
      <c r="F101" s="17">
        <v>1</v>
      </c>
    </row>
    <row r="102" spans="1:6" ht="15" customHeight="1" x14ac:dyDescent="0.2">
      <c r="A102" s="17">
        <v>2026</v>
      </c>
      <c r="B102" s="17" t="s">
        <v>14</v>
      </c>
      <c r="C102" s="17" t="s">
        <v>14</v>
      </c>
      <c r="D102" s="17" t="s">
        <v>165</v>
      </c>
      <c r="E102" s="17" t="s">
        <v>4</v>
      </c>
      <c r="F102" s="17">
        <v>1</v>
      </c>
    </row>
    <row r="103" spans="1:6" ht="15" customHeight="1" x14ac:dyDescent="0.2">
      <c r="A103" s="17">
        <v>2026</v>
      </c>
      <c r="B103" s="17" t="s">
        <v>14</v>
      </c>
      <c r="C103" s="17" t="s">
        <v>14</v>
      </c>
      <c r="D103" s="17" t="s">
        <v>41</v>
      </c>
      <c r="E103" s="17" t="s">
        <v>4</v>
      </c>
      <c r="F103" s="17">
        <v>1</v>
      </c>
    </row>
    <row r="104" spans="1:6" ht="15" customHeight="1" x14ac:dyDescent="0.2">
      <c r="A104" s="17">
        <v>2026</v>
      </c>
      <c r="B104" s="17" t="s">
        <v>14</v>
      </c>
      <c r="C104" s="17" t="s">
        <v>14</v>
      </c>
      <c r="D104" s="17" t="s">
        <v>115</v>
      </c>
      <c r="E104" s="17" t="s">
        <v>4</v>
      </c>
      <c r="F104" s="17">
        <v>1</v>
      </c>
    </row>
    <row r="105" spans="1:6" ht="15" customHeight="1" x14ac:dyDescent="0.2">
      <c r="A105" s="17">
        <v>2026</v>
      </c>
      <c r="B105" s="17" t="s">
        <v>14</v>
      </c>
      <c r="C105" s="17" t="s">
        <v>14</v>
      </c>
      <c r="D105" s="17" t="s">
        <v>128</v>
      </c>
      <c r="E105" s="17" t="s">
        <v>4</v>
      </c>
      <c r="F105" s="17">
        <v>1</v>
      </c>
    </row>
    <row r="106" spans="1:6" ht="15" customHeight="1" x14ac:dyDescent="0.2">
      <c r="A106" s="17">
        <v>2026</v>
      </c>
      <c r="B106" s="17" t="s">
        <v>14</v>
      </c>
      <c r="C106" s="17" t="s">
        <v>14</v>
      </c>
      <c r="D106" s="17" t="s">
        <v>95</v>
      </c>
      <c r="E106" s="17" t="s">
        <v>5</v>
      </c>
      <c r="F106" s="17">
        <v>1</v>
      </c>
    </row>
    <row r="107" spans="1:6" ht="15" customHeight="1" x14ac:dyDescent="0.2">
      <c r="A107" s="17">
        <v>2026</v>
      </c>
      <c r="B107" s="17" t="s">
        <v>14</v>
      </c>
      <c r="C107" s="17" t="s">
        <v>14</v>
      </c>
      <c r="D107" s="17" t="s">
        <v>166</v>
      </c>
      <c r="E107" s="17" t="s">
        <v>4</v>
      </c>
      <c r="F107" s="17">
        <v>1</v>
      </c>
    </row>
    <row r="108" spans="1:6" ht="15" customHeight="1" x14ac:dyDescent="0.2">
      <c r="A108" s="17">
        <v>2026</v>
      </c>
      <c r="B108" s="17" t="s">
        <v>14</v>
      </c>
      <c r="C108" s="17" t="s">
        <v>14</v>
      </c>
      <c r="D108" s="17" t="s">
        <v>167</v>
      </c>
      <c r="E108" s="17" t="s">
        <v>4</v>
      </c>
      <c r="F108" s="17">
        <v>1</v>
      </c>
    </row>
    <row r="109" spans="1:6" ht="15" customHeight="1" x14ac:dyDescent="0.2">
      <c r="A109" s="17">
        <v>2026</v>
      </c>
      <c r="B109" s="17" t="s">
        <v>14</v>
      </c>
      <c r="C109" s="17" t="s">
        <v>14</v>
      </c>
      <c r="D109" s="17" t="s">
        <v>118</v>
      </c>
      <c r="E109" s="17" t="s">
        <v>4</v>
      </c>
      <c r="F109" s="17">
        <v>1</v>
      </c>
    </row>
    <row r="110" spans="1:6" ht="15" customHeight="1" x14ac:dyDescent="0.2">
      <c r="A110" s="17">
        <v>2026</v>
      </c>
      <c r="B110" s="17" t="s">
        <v>14</v>
      </c>
      <c r="C110" s="17" t="s">
        <v>14</v>
      </c>
      <c r="D110" s="17" t="s">
        <v>168</v>
      </c>
      <c r="E110" s="17" t="s">
        <v>5</v>
      </c>
      <c r="F110" s="17">
        <v>1</v>
      </c>
    </row>
    <row r="111" spans="1:6" ht="15" customHeight="1" x14ac:dyDescent="0.2">
      <c r="A111" s="17">
        <v>2026</v>
      </c>
      <c r="B111" s="17" t="s">
        <v>14</v>
      </c>
      <c r="C111" s="17" t="s">
        <v>14</v>
      </c>
      <c r="D111" s="17" t="s">
        <v>169</v>
      </c>
      <c r="E111" s="17" t="s">
        <v>5</v>
      </c>
      <c r="F111" s="17">
        <v>1</v>
      </c>
    </row>
    <row r="112" spans="1:6" ht="15" customHeight="1" x14ac:dyDescent="0.2">
      <c r="A112" s="17">
        <v>2026</v>
      </c>
      <c r="B112" s="17" t="s">
        <v>14</v>
      </c>
      <c r="C112" s="17" t="s">
        <v>14</v>
      </c>
      <c r="D112" s="17" t="s">
        <v>170</v>
      </c>
      <c r="E112" s="17" t="s">
        <v>5</v>
      </c>
      <c r="F112" s="17">
        <v>1</v>
      </c>
    </row>
    <row r="113" spans="1:6" ht="15" customHeight="1" x14ac:dyDescent="0.2">
      <c r="A113" s="17">
        <v>2026</v>
      </c>
      <c r="B113" s="17" t="s">
        <v>14</v>
      </c>
      <c r="C113" s="17" t="s">
        <v>14</v>
      </c>
      <c r="D113" s="17" t="s">
        <v>121</v>
      </c>
      <c r="E113" s="17" t="s">
        <v>5</v>
      </c>
      <c r="F113" s="17">
        <v>1</v>
      </c>
    </row>
    <row r="114" spans="1:6" ht="15" customHeight="1" x14ac:dyDescent="0.2">
      <c r="A114" s="17">
        <v>2026</v>
      </c>
      <c r="B114" s="17" t="s">
        <v>14</v>
      </c>
      <c r="C114" s="17" t="s">
        <v>14</v>
      </c>
      <c r="D114" s="17" t="s">
        <v>171</v>
      </c>
      <c r="E114" s="17" t="s">
        <v>5</v>
      </c>
      <c r="F114" s="17">
        <v>1</v>
      </c>
    </row>
    <row r="115" spans="1:6" ht="15" customHeight="1" x14ac:dyDescent="0.2">
      <c r="A115" s="17">
        <v>2026</v>
      </c>
      <c r="B115" s="17" t="s">
        <v>14</v>
      </c>
      <c r="C115" s="17" t="s">
        <v>14</v>
      </c>
      <c r="D115" s="17" t="s">
        <v>172</v>
      </c>
      <c r="E115" s="17" t="s">
        <v>5</v>
      </c>
      <c r="F115" s="17">
        <v>1</v>
      </c>
    </row>
    <row r="116" spans="1:6" ht="15" customHeight="1" x14ac:dyDescent="0.2">
      <c r="A116" s="17">
        <v>2026</v>
      </c>
      <c r="B116" s="17" t="s">
        <v>14</v>
      </c>
      <c r="C116" s="17" t="s">
        <v>14</v>
      </c>
      <c r="D116" s="17" t="s">
        <v>173</v>
      </c>
      <c r="E116" s="17" t="s">
        <v>5</v>
      </c>
      <c r="F116" s="17">
        <v>1</v>
      </c>
    </row>
    <row r="117" spans="1:6" ht="15" customHeight="1" x14ac:dyDescent="0.2">
      <c r="A117" s="17">
        <v>2026</v>
      </c>
      <c r="B117" s="17" t="s">
        <v>14</v>
      </c>
      <c r="C117" s="17" t="s">
        <v>14</v>
      </c>
      <c r="D117" s="17" t="s">
        <v>174</v>
      </c>
      <c r="E117" s="17" t="s">
        <v>5</v>
      </c>
      <c r="F117" s="17">
        <v>1</v>
      </c>
    </row>
    <row r="118" spans="1:6" ht="15" customHeight="1" x14ac:dyDescent="0.2">
      <c r="A118" s="17">
        <v>2026</v>
      </c>
      <c r="B118" s="17" t="s">
        <v>14</v>
      </c>
      <c r="C118" s="17" t="s">
        <v>14</v>
      </c>
      <c r="D118" s="17" t="s">
        <v>175</v>
      </c>
      <c r="E118" s="17" t="s">
        <v>4</v>
      </c>
      <c r="F118" s="17">
        <v>1</v>
      </c>
    </row>
    <row r="119" spans="1:6" ht="15" customHeight="1" x14ac:dyDescent="0.2">
      <c r="A119" s="17">
        <v>2026</v>
      </c>
      <c r="B119" s="17" t="s">
        <v>15</v>
      </c>
      <c r="C119" s="17" t="s">
        <v>15</v>
      </c>
      <c r="D119" s="17" t="s">
        <v>176</v>
      </c>
      <c r="E119" s="17" t="s">
        <v>4</v>
      </c>
      <c r="F119" s="17">
        <v>1</v>
      </c>
    </row>
    <row r="120" spans="1:6" ht="15" customHeight="1" x14ac:dyDescent="0.2">
      <c r="A120" s="17">
        <v>2026</v>
      </c>
      <c r="B120" s="17" t="s">
        <v>15</v>
      </c>
      <c r="C120" s="17" t="s">
        <v>15</v>
      </c>
      <c r="D120" s="17" t="s">
        <v>177</v>
      </c>
      <c r="E120" s="17" t="s">
        <v>4</v>
      </c>
      <c r="F120" s="17">
        <v>1</v>
      </c>
    </row>
    <row r="121" spans="1:6" ht="15" customHeight="1" x14ac:dyDescent="0.2">
      <c r="A121" s="17">
        <v>2026</v>
      </c>
      <c r="B121" s="17" t="s">
        <v>15</v>
      </c>
      <c r="C121" s="17" t="s">
        <v>15</v>
      </c>
      <c r="D121" s="17" t="s">
        <v>125</v>
      </c>
      <c r="E121" s="17" t="s">
        <v>4</v>
      </c>
      <c r="F121" s="17">
        <v>1</v>
      </c>
    </row>
    <row r="122" spans="1:6" ht="15" customHeight="1" x14ac:dyDescent="0.2">
      <c r="A122" s="17">
        <v>2026</v>
      </c>
      <c r="B122" s="17" t="s">
        <v>15</v>
      </c>
      <c r="C122" s="17" t="s">
        <v>15</v>
      </c>
      <c r="D122" s="17" t="s">
        <v>127</v>
      </c>
      <c r="E122" s="17" t="s">
        <v>5</v>
      </c>
      <c r="F122" s="17">
        <v>1</v>
      </c>
    </row>
    <row r="123" spans="1:6" ht="15" customHeight="1" x14ac:dyDescent="0.2">
      <c r="A123" s="17">
        <v>2026</v>
      </c>
      <c r="B123" s="17" t="s">
        <v>16</v>
      </c>
      <c r="C123" s="17" t="s">
        <v>16</v>
      </c>
      <c r="D123" s="17" t="s">
        <v>78</v>
      </c>
      <c r="E123" s="17" t="s">
        <v>4</v>
      </c>
      <c r="F123" s="17">
        <v>1</v>
      </c>
    </row>
    <row r="124" spans="1:6" ht="15" customHeight="1" x14ac:dyDescent="0.2">
      <c r="A124" s="17">
        <v>2026</v>
      </c>
      <c r="B124" s="17" t="s">
        <v>16</v>
      </c>
      <c r="C124" s="17" t="s">
        <v>16</v>
      </c>
      <c r="D124" s="17" t="s">
        <v>178</v>
      </c>
      <c r="E124" s="17" t="s">
        <v>4</v>
      </c>
      <c r="F124" s="17">
        <v>1</v>
      </c>
    </row>
    <row r="125" spans="1:6" ht="15" customHeight="1" x14ac:dyDescent="0.2">
      <c r="A125" s="17">
        <v>2026</v>
      </c>
      <c r="B125" s="17" t="s">
        <v>16</v>
      </c>
      <c r="C125" s="17" t="s">
        <v>16</v>
      </c>
      <c r="D125" s="17" t="s">
        <v>179</v>
      </c>
      <c r="E125" s="17" t="s">
        <v>4</v>
      </c>
      <c r="F125" s="17">
        <v>1</v>
      </c>
    </row>
    <row r="126" spans="1:6" ht="15" customHeight="1" x14ac:dyDescent="0.2">
      <c r="A126" s="17">
        <v>2026</v>
      </c>
      <c r="B126" s="17" t="s">
        <v>16</v>
      </c>
      <c r="C126" s="17" t="s">
        <v>16</v>
      </c>
      <c r="D126" s="17" t="s">
        <v>180</v>
      </c>
      <c r="E126" s="17" t="s">
        <v>4</v>
      </c>
      <c r="F126" s="17">
        <v>1</v>
      </c>
    </row>
    <row r="127" spans="1:6" ht="15" customHeight="1" x14ac:dyDescent="0.2">
      <c r="A127" s="17">
        <v>2026</v>
      </c>
      <c r="B127" s="17" t="s">
        <v>16</v>
      </c>
      <c r="C127" s="17" t="s">
        <v>16</v>
      </c>
      <c r="D127" s="17" t="s">
        <v>181</v>
      </c>
      <c r="E127" s="17" t="s">
        <v>5</v>
      </c>
      <c r="F127" s="17">
        <v>1</v>
      </c>
    </row>
    <row r="128" spans="1:6" ht="15" customHeight="1" x14ac:dyDescent="0.2">
      <c r="A128" s="17">
        <v>2026</v>
      </c>
      <c r="B128" s="17" t="s">
        <v>16</v>
      </c>
      <c r="C128" s="17" t="s">
        <v>16</v>
      </c>
      <c r="D128" s="17" t="s">
        <v>89</v>
      </c>
      <c r="E128" s="17" t="s">
        <v>5</v>
      </c>
      <c r="F128" s="17">
        <v>1</v>
      </c>
    </row>
    <row r="129" spans="1:6" ht="15" customHeight="1" x14ac:dyDescent="0.2">
      <c r="A129" s="17">
        <v>2026</v>
      </c>
      <c r="B129" s="17" t="s">
        <v>16</v>
      </c>
      <c r="C129" s="17" t="s">
        <v>16</v>
      </c>
      <c r="D129" s="17" t="s">
        <v>182</v>
      </c>
      <c r="E129" s="17" t="s">
        <v>4</v>
      </c>
      <c r="F129" s="17">
        <v>1</v>
      </c>
    </row>
    <row r="130" spans="1:6" ht="15" customHeight="1" x14ac:dyDescent="0.2">
      <c r="A130" s="17">
        <v>2026</v>
      </c>
      <c r="B130" s="17" t="s">
        <v>16</v>
      </c>
      <c r="C130" s="17" t="s">
        <v>16</v>
      </c>
      <c r="D130" s="17" t="s">
        <v>183</v>
      </c>
      <c r="E130" s="17" t="s">
        <v>4</v>
      </c>
      <c r="F130" s="17">
        <v>1</v>
      </c>
    </row>
    <row r="131" spans="1:6" ht="15" customHeight="1" x14ac:dyDescent="0.2">
      <c r="A131" s="17">
        <v>2026</v>
      </c>
      <c r="B131" s="17" t="s">
        <v>16</v>
      </c>
      <c r="C131" s="17" t="s">
        <v>16</v>
      </c>
      <c r="D131" s="17" t="s">
        <v>184</v>
      </c>
      <c r="E131" s="17" t="s">
        <v>5</v>
      </c>
      <c r="F131" s="17">
        <v>1</v>
      </c>
    </row>
    <row r="132" spans="1:6" ht="15" customHeight="1" x14ac:dyDescent="0.2">
      <c r="A132" s="17">
        <v>2026</v>
      </c>
      <c r="B132" s="17" t="s">
        <v>16</v>
      </c>
      <c r="C132" s="17" t="s">
        <v>16</v>
      </c>
      <c r="D132" s="17" t="s">
        <v>79</v>
      </c>
      <c r="E132" s="17" t="s">
        <v>4</v>
      </c>
      <c r="F132" s="17">
        <v>1</v>
      </c>
    </row>
    <row r="133" spans="1:6" ht="15" customHeight="1" x14ac:dyDescent="0.2">
      <c r="A133" s="17">
        <v>2026</v>
      </c>
      <c r="B133" s="17" t="s">
        <v>16</v>
      </c>
      <c r="C133" s="17" t="s">
        <v>16</v>
      </c>
      <c r="D133" s="17" t="s">
        <v>185</v>
      </c>
      <c r="E133" s="17" t="s">
        <v>4</v>
      </c>
      <c r="F133" s="17">
        <v>1</v>
      </c>
    </row>
    <row r="134" spans="1:6" ht="15" customHeight="1" x14ac:dyDescent="0.2">
      <c r="A134" s="17">
        <v>2026</v>
      </c>
      <c r="B134" s="17" t="s">
        <v>16</v>
      </c>
      <c r="C134" s="17" t="s">
        <v>16</v>
      </c>
      <c r="D134" s="17" t="s">
        <v>186</v>
      </c>
      <c r="E134" s="17" t="s">
        <v>4</v>
      </c>
      <c r="F134" s="17">
        <v>1</v>
      </c>
    </row>
    <row r="135" spans="1:6" ht="15" customHeight="1" x14ac:dyDescent="0.2">
      <c r="A135" s="17">
        <v>2026</v>
      </c>
      <c r="B135" s="17" t="s">
        <v>16</v>
      </c>
      <c r="C135" s="17" t="s">
        <v>16</v>
      </c>
      <c r="D135" s="17" t="s">
        <v>187</v>
      </c>
      <c r="E135" s="17" t="s">
        <v>4</v>
      </c>
      <c r="F135" s="17">
        <v>1</v>
      </c>
    </row>
    <row r="136" spans="1:6" ht="15" customHeight="1" x14ac:dyDescent="0.2">
      <c r="A136" s="17">
        <v>2026</v>
      </c>
      <c r="B136" s="17" t="s">
        <v>16</v>
      </c>
      <c r="C136" s="17" t="s">
        <v>16</v>
      </c>
      <c r="D136" s="17" t="s">
        <v>188</v>
      </c>
      <c r="E136" s="17" t="s">
        <v>4</v>
      </c>
      <c r="F136" s="17">
        <v>1</v>
      </c>
    </row>
    <row r="137" spans="1:6" ht="15" customHeight="1" x14ac:dyDescent="0.2">
      <c r="A137" s="17">
        <v>2026</v>
      </c>
      <c r="B137" s="17" t="s">
        <v>16</v>
      </c>
      <c r="C137" s="17" t="s">
        <v>16</v>
      </c>
      <c r="D137" s="17" t="s">
        <v>94</v>
      </c>
      <c r="E137" s="17" t="s">
        <v>4</v>
      </c>
      <c r="F137" s="17">
        <v>1</v>
      </c>
    </row>
    <row r="138" spans="1:6" ht="15" customHeight="1" x14ac:dyDescent="0.2">
      <c r="A138" s="17">
        <v>2026</v>
      </c>
      <c r="B138" s="17" t="s">
        <v>16</v>
      </c>
      <c r="C138" s="17" t="s">
        <v>16</v>
      </c>
      <c r="D138" s="17" t="s">
        <v>189</v>
      </c>
      <c r="E138" s="17" t="s">
        <v>4</v>
      </c>
      <c r="F138" s="17">
        <v>1</v>
      </c>
    </row>
    <row r="139" spans="1:6" ht="15" customHeight="1" x14ac:dyDescent="0.2">
      <c r="A139" s="17">
        <v>2026</v>
      </c>
      <c r="B139" s="17" t="s">
        <v>16</v>
      </c>
      <c r="C139" s="17" t="s">
        <v>16</v>
      </c>
      <c r="D139" s="17" t="s">
        <v>190</v>
      </c>
      <c r="E139" s="17" t="s">
        <v>4</v>
      </c>
      <c r="F139" s="17">
        <v>1</v>
      </c>
    </row>
    <row r="140" spans="1:6" ht="15" customHeight="1" x14ac:dyDescent="0.2">
      <c r="A140" s="17">
        <v>2026</v>
      </c>
      <c r="B140" s="17" t="s">
        <v>16</v>
      </c>
      <c r="C140" s="17" t="s">
        <v>16</v>
      </c>
      <c r="D140" s="17" t="s">
        <v>191</v>
      </c>
      <c r="E140" s="17" t="s">
        <v>4</v>
      </c>
      <c r="F140" s="17">
        <v>1</v>
      </c>
    </row>
    <row r="141" spans="1:6" ht="15" customHeight="1" x14ac:dyDescent="0.2">
      <c r="A141" s="17">
        <v>2026</v>
      </c>
      <c r="B141" s="17" t="s">
        <v>16</v>
      </c>
      <c r="C141" s="17" t="s">
        <v>16</v>
      </c>
      <c r="D141" s="17" t="s">
        <v>192</v>
      </c>
      <c r="E141" s="17" t="s">
        <v>4</v>
      </c>
      <c r="F141" s="17">
        <v>1</v>
      </c>
    </row>
    <row r="142" spans="1:6" ht="15" customHeight="1" x14ac:dyDescent="0.2">
      <c r="A142" s="17">
        <v>2026</v>
      </c>
      <c r="B142" s="17" t="s">
        <v>16</v>
      </c>
      <c r="C142" s="17" t="s">
        <v>16</v>
      </c>
      <c r="D142" s="17" t="s">
        <v>193</v>
      </c>
      <c r="E142" s="17" t="s">
        <v>4</v>
      </c>
      <c r="F142" s="17">
        <v>1</v>
      </c>
    </row>
    <row r="143" spans="1:6" ht="15" customHeight="1" x14ac:dyDescent="0.2">
      <c r="A143" s="17">
        <v>2026</v>
      </c>
      <c r="B143" s="17" t="s">
        <v>16</v>
      </c>
      <c r="C143" s="17" t="s">
        <v>16</v>
      </c>
      <c r="D143" s="17" t="s">
        <v>194</v>
      </c>
      <c r="E143" s="17" t="s">
        <v>4</v>
      </c>
      <c r="F143" s="17">
        <v>1</v>
      </c>
    </row>
    <row r="144" spans="1:6" ht="15" customHeight="1" x14ac:dyDescent="0.2">
      <c r="A144" s="17">
        <v>2026</v>
      </c>
      <c r="B144" s="17" t="s">
        <v>16</v>
      </c>
      <c r="C144" s="17" t="s">
        <v>16</v>
      </c>
      <c r="D144" s="17" t="s">
        <v>195</v>
      </c>
      <c r="E144" s="17" t="s">
        <v>4</v>
      </c>
      <c r="F144" s="17">
        <v>1</v>
      </c>
    </row>
    <row r="145" spans="1:6" ht="15" customHeight="1" x14ac:dyDescent="0.2">
      <c r="A145" s="17">
        <v>2026</v>
      </c>
      <c r="B145" s="17" t="s">
        <v>16</v>
      </c>
      <c r="C145" s="17" t="s">
        <v>16</v>
      </c>
      <c r="D145" s="17" t="s">
        <v>116</v>
      </c>
      <c r="E145" s="17" t="s">
        <v>4</v>
      </c>
      <c r="F145" s="17">
        <v>1</v>
      </c>
    </row>
    <row r="146" spans="1:6" ht="15" customHeight="1" x14ac:dyDescent="0.2">
      <c r="A146" s="17">
        <v>2026</v>
      </c>
      <c r="B146" s="17" t="s">
        <v>16</v>
      </c>
      <c r="C146" s="17" t="s">
        <v>16</v>
      </c>
      <c r="D146" s="17" t="s">
        <v>196</v>
      </c>
      <c r="E146" s="17" t="s">
        <v>4</v>
      </c>
      <c r="F146" s="17">
        <v>1</v>
      </c>
    </row>
    <row r="147" spans="1:6" ht="15" customHeight="1" x14ac:dyDescent="0.2">
      <c r="A147" s="17">
        <v>2026</v>
      </c>
      <c r="B147" s="17" t="s">
        <v>16</v>
      </c>
      <c r="C147" s="17" t="s">
        <v>16</v>
      </c>
      <c r="D147" s="17" t="s">
        <v>130</v>
      </c>
      <c r="E147" s="17" t="s">
        <v>4</v>
      </c>
      <c r="F147" s="17">
        <v>1</v>
      </c>
    </row>
    <row r="148" spans="1:6" ht="15" customHeight="1" x14ac:dyDescent="0.2">
      <c r="A148" s="17">
        <v>2026</v>
      </c>
      <c r="B148" s="17" t="s">
        <v>16</v>
      </c>
      <c r="C148" s="17" t="s">
        <v>16</v>
      </c>
      <c r="D148" s="17" t="s">
        <v>97</v>
      </c>
      <c r="E148" s="17" t="s">
        <v>5</v>
      </c>
      <c r="F148" s="17">
        <v>1</v>
      </c>
    </row>
    <row r="149" spans="1:6" ht="15" customHeight="1" x14ac:dyDescent="0.2">
      <c r="A149" s="17">
        <v>2026</v>
      </c>
      <c r="B149" s="17" t="s">
        <v>16</v>
      </c>
      <c r="C149" s="17" t="s">
        <v>16</v>
      </c>
      <c r="D149" s="17" t="s">
        <v>82</v>
      </c>
      <c r="E149" s="17" t="s">
        <v>4</v>
      </c>
      <c r="F149" s="17">
        <v>1</v>
      </c>
    </row>
    <row r="150" spans="1:6" ht="15" customHeight="1" x14ac:dyDescent="0.2">
      <c r="A150" s="17">
        <v>2026</v>
      </c>
      <c r="B150" s="17" t="s">
        <v>16</v>
      </c>
      <c r="C150" s="17" t="s">
        <v>16</v>
      </c>
      <c r="D150" s="17" t="s">
        <v>197</v>
      </c>
      <c r="E150" s="17" t="s">
        <v>4</v>
      </c>
      <c r="F150" s="17">
        <v>1</v>
      </c>
    </row>
    <row r="151" spans="1:6" ht="15" customHeight="1" x14ac:dyDescent="0.2">
      <c r="A151" s="17">
        <v>2026</v>
      </c>
      <c r="B151" s="17" t="s">
        <v>16</v>
      </c>
      <c r="C151" s="17" t="s">
        <v>16</v>
      </c>
      <c r="D151" s="17" t="s">
        <v>198</v>
      </c>
      <c r="E151" s="17" t="s">
        <v>4</v>
      </c>
      <c r="F151" s="17">
        <v>1</v>
      </c>
    </row>
    <row r="152" spans="1:6" ht="15" customHeight="1" x14ac:dyDescent="0.2">
      <c r="A152" s="17">
        <v>2026</v>
      </c>
      <c r="B152" s="17" t="s">
        <v>16</v>
      </c>
      <c r="C152" s="17" t="s">
        <v>16</v>
      </c>
      <c r="D152" s="17" t="s">
        <v>199</v>
      </c>
      <c r="E152" s="17" t="s">
        <v>4</v>
      </c>
      <c r="F152" s="17">
        <v>1</v>
      </c>
    </row>
    <row r="153" spans="1:6" ht="15" customHeight="1" x14ac:dyDescent="0.2">
      <c r="A153" s="17">
        <v>2026</v>
      </c>
      <c r="B153" s="17" t="s">
        <v>16</v>
      </c>
      <c r="C153" s="17" t="s">
        <v>16</v>
      </c>
      <c r="D153" s="17" t="s">
        <v>200</v>
      </c>
      <c r="E153" s="17" t="s">
        <v>4</v>
      </c>
      <c r="F153" s="17">
        <v>1</v>
      </c>
    </row>
    <row r="154" spans="1:6" ht="15" customHeight="1" x14ac:dyDescent="0.2">
      <c r="A154" s="17">
        <v>2026</v>
      </c>
      <c r="B154" s="17" t="s">
        <v>16</v>
      </c>
      <c r="C154" s="17" t="s">
        <v>16</v>
      </c>
      <c r="D154" s="17" t="s">
        <v>201</v>
      </c>
      <c r="E154" s="17" t="s">
        <v>4</v>
      </c>
      <c r="F154" s="17">
        <v>1</v>
      </c>
    </row>
    <row r="155" spans="1:6" ht="15" customHeight="1" x14ac:dyDescent="0.2">
      <c r="A155" s="17">
        <v>2026</v>
      </c>
      <c r="B155" s="17" t="s">
        <v>16</v>
      </c>
      <c r="C155" s="17" t="s">
        <v>16</v>
      </c>
      <c r="D155" s="17" t="s">
        <v>202</v>
      </c>
      <c r="E155" s="17" t="s">
        <v>5</v>
      </c>
      <c r="F155" s="17">
        <v>1</v>
      </c>
    </row>
    <row r="156" spans="1:6" ht="15" customHeight="1" x14ac:dyDescent="0.2">
      <c r="A156" s="17">
        <v>2026</v>
      </c>
      <c r="B156" s="17" t="s">
        <v>16</v>
      </c>
      <c r="C156" s="17" t="s">
        <v>16</v>
      </c>
      <c r="D156" s="17" t="s">
        <v>203</v>
      </c>
      <c r="E156" s="17" t="s">
        <v>4</v>
      </c>
      <c r="F156" s="17">
        <v>1</v>
      </c>
    </row>
    <row r="157" spans="1:6" ht="15" customHeight="1" x14ac:dyDescent="0.2">
      <c r="A157" s="17">
        <v>2026</v>
      </c>
      <c r="B157" s="17" t="s">
        <v>16</v>
      </c>
      <c r="C157" s="17" t="s">
        <v>16</v>
      </c>
      <c r="D157" s="17" t="s">
        <v>204</v>
      </c>
      <c r="E157" s="17" t="s">
        <v>4</v>
      </c>
      <c r="F157" s="17">
        <v>1</v>
      </c>
    </row>
    <row r="158" spans="1:6" ht="15" customHeight="1" x14ac:dyDescent="0.2">
      <c r="A158" s="17">
        <v>2026</v>
      </c>
      <c r="B158" s="17" t="s">
        <v>16</v>
      </c>
      <c r="C158" s="17" t="s">
        <v>16</v>
      </c>
      <c r="D158" s="17" t="s">
        <v>205</v>
      </c>
      <c r="E158" s="17" t="s">
        <v>4</v>
      </c>
      <c r="F158" s="17">
        <v>1</v>
      </c>
    </row>
    <row r="159" spans="1:6" ht="15" customHeight="1" x14ac:dyDescent="0.2">
      <c r="A159" s="17">
        <v>2026</v>
      </c>
      <c r="B159" s="17" t="s">
        <v>16</v>
      </c>
      <c r="C159" s="17" t="s">
        <v>16</v>
      </c>
      <c r="D159" s="17" t="s">
        <v>206</v>
      </c>
      <c r="E159" s="17" t="s">
        <v>5</v>
      </c>
      <c r="F159" s="17">
        <v>1</v>
      </c>
    </row>
    <row r="160" spans="1:6" ht="15" customHeight="1" x14ac:dyDescent="0.2">
      <c r="A160" s="17">
        <v>2026</v>
      </c>
      <c r="B160" s="17" t="s">
        <v>16</v>
      </c>
      <c r="C160" s="17" t="s">
        <v>16</v>
      </c>
      <c r="D160" s="17" t="s">
        <v>207</v>
      </c>
      <c r="E160" s="17" t="s">
        <v>5</v>
      </c>
      <c r="F160" s="17">
        <v>1</v>
      </c>
    </row>
    <row r="161" spans="1:6" ht="15" customHeight="1" x14ac:dyDescent="0.2">
      <c r="A161" s="17">
        <v>2026</v>
      </c>
      <c r="B161" s="17" t="s">
        <v>16</v>
      </c>
      <c r="C161" s="17" t="s">
        <v>16</v>
      </c>
      <c r="D161" s="17" t="s">
        <v>208</v>
      </c>
      <c r="E161" s="17" t="s">
        <v>5</v>
      </c>
      <c r="F161" s="17">
        <v>1</v>
      </c>
    </row>
    <row r="162" spans="1:6" ht="15" customHeight="1" x14ac:dyDescent="0.2">
      <c r="A162" s="17">
        <v>2026</v>
      </c>
      <c r="B162" s="17" t="s">
        <v>16</v>
      </c>
      <c r="C162" s="17" t="s">
        <v>16</v>
      </c>
      <c r="D162" s="17" t="s">
        <v>209</v>
      </c>
      <c r="E162" s="17" t="s">
        <v>5</v>
      </c>
      <c r="F162" s="17">
        <v>1</v>
      </c>
    </row>
    <row r="163" spans="1:6" ht="15" customHeight="1" x14ac:dyDescent="0.2">
      <c r="A163" s="17">
        <v>2026</v>
      </c>
      <c r="B163" s="17" t="s">
        <v>16</v>
      </c>
      <c r="C163" s="17" t="s">
        <v>16</v>
      </c>
      <c r="D163" s="17" t="s">
        <v>210</v>
      </c>
      <c r="E163" s="17" t="s">
        <v>4</v>
      </c>
      <c r="F163" s="17">
        <v>1</v>
      </c>
    </row>
    <row r="164" spans="1:6" ht="15" customHeight="1" x14ac:dyDescent="0.2">
      <c r="A164" s="17">
        <v>2026</v>
      </c>
      <c r="B164" s="17" t="s">
        <v>16</v>
      </c>
      <c r="C164" s="17" t="s">
        <v>16</v>
      </c>
      <c r="D164" s="17" t="s">
        <v>211</v>
      </c>
      <c r="E164" s="17" t="s">
        <v>4</v>
      </c>
      <c r="F164" s="17">
        <v>1</v>
      </c>
    </row>
    <row r="165" spans="1:6" ht="15" customHeight="1" x14ac:dyDescent="0.2">
      <c r="A165" s="17">
        <v>2026</v>
      </c>
      <c r="B165" s="17" t="s">
        <v>16</v>
      </c>
      <c r="C165" s="17" t="s">
        <v>16</v>
      </c>
      <c r="D165" s="17" t="s">
        <v>212</v>
      </c>
      <c r="E165" s="17" t="s">
        <v>5</v>
      </c>
      <c r="F165" s="17">
        <v>1</v>
      </c>
    </row>
    <row r="166" spans="1:6" ht="15" customHeight="1" x14ac:dyDescent="0.2">
      <c r="A166" s="17">
        <v>2026</v>
      </c>
      <c r="B166" s="17" t="s">
        <v>16</v>
      </c>
      <c r="C166" s="17" t="s">
        <v>16</v>
      </c>
      <c r="D166" s="17" t="s">
        <v>213</v>
      </c>
      <c r="E166" s="17" t="s">
        <v>5</v>
      </c>
      <c r="F166" s="17">
        <v>1</v>
      </c>
    </row>
    <row r="167" spans="1:6" ht="15" customHeight="1" x14ac:dyDescent="0.2">
      <c r="A167" s="17">
        <v>2026</v>
      </c>
      <c r="B167" s="17" t="s">
        <v>16</v>
      </c>
      <c r="C167" s="17" t="s">
        <v>16</v>
      </c>
      <c r="D167" s="17" t="s">
        <v>214</v>
      </c>
      <c r="E167" s="17" t="s">
        <v>4</v>
      </c>
      <c r="F167" s="17">
        <v>1</v>
      </c>
    </row>
    <row r="168" spans="1:6" ht="15" customHeight="1" x14ac:dyDescent="0.2">
      <c r="A168" s="17">
        <v>2026</v>
      </c>
      <c r="B168" s="17" t="s">
        <v>16</v>
      </c>
      <c r="C168" s="17" t="s">
        <v>16</v>
      </c>
      <c r="D168" s="17" t="s">
        <v>215</v>
      </c>
      <c r="E168" s="17" t="s">
        <v>4</v>
      </c>
      <c r="F168" s="17">
        <v>1</v>
      </c>
    </row>
    <row r="169" spans="1:6" ht="15" customHeight="1" x14ac:dyDescent="0.2">
      <c r="A169" s="17">
        <v>2026</v>
      </c>
      <c r="B169" s="17" t="s">
        <v>16</v>
      </c>
      <c r="C169" s="17" t="s">
        <v>16</v>
      </c>
      <c r="D169" s="17" t="s">
        <v>216</v>
      </c>
      <c r="E169" s="17" t="s">
        <v>4</v>
      </c>
      <c r="F169" s="17">
        <v>1</v>
      </c>
    </row>
    <row r="170" spans="1:6" ht="15" customHeight="1" x14ac:dyDescent="0.2">
      <c r="A170" s="17">
        <v>2026</v>
      </c>
      <c r="B170" s="17" t="s">
        <v>16</v>
      </c>
      <c r="C170" s="17" t="s">
        <v>16</v>
      </c>
      <c r="D170" s="17" t="s">
        <v>217</v>
      </c>
      <c r="E170" s="17" t="s">
        <v>5</v>
      </c>
      <c r="F170" s="17">
        <v>1</v>
      </c>
    </row>
    <row r="171" spans="1:6" ht="15" customHeight="1" x14ac:dyDescent="0.2">
      <c r="A171" s="17">
        <v>2026</v>
      </c>
      <c r="B171" s="17" t="s">
        <v>16</v>
      </c>
      <c r="C171" s="17" t="s">
        <v>16</v>
      </c>
      <c r="D171" s="17" t="s">
        <v>98</v>
      </c>
      <c r="E171" s="17" t="s">
        <v>4</v>
      </c>
      <c r="F171" s="17">
        <v>1</v>
      </c>
    </row>
    <row r="172" spans="1:6" ht="15" customHeight="1" x14ac:dyDescent="0.2">
      <c r="A172" s="17">
        <v>2026</v>
      </c>
      <c r="B172" s="17" t="s">
        <v>16</v>
      </c>
      <c r="C172" s="17" t="s">
        <v>16</v>
      </c>
      <c r="D172" s="17" t="s">
        <v>218</v>
      </c>
      <c r="E172" s="17" t="s">
        <v>4</v>
      </c>
      <c r="F172" s="17">
        <v>1</v>
      </c>
    </row>
    <row r="173" spans="1:6" ht="15" customHeight="1" x14ac:dyDescent="0.2">
      <c r="A173" s="17">
        <v>2026</v>
      </c>
      <c r="B173" s="17" t="s">
        <v>16</v>
      </c>
      <c r="C173" s="17" t="s">
        <v>16</v>
      </c>
      <c r="D173" s="17" t="s">
        <v>219</v>
      </c>
      <c r="E173" s="17" t="s">
        <v>4</v>
      </c>
      <c r="F173" s="17">
        <v>1</v>
      </c>
    </row>
    <row r="174" spans="1:6" ht="15" customHeight="1" x14ac:dyDescent="0.2">
      <c r="A174" s="17">
        <v>2026</v>
      </c>
      <c r="B174" s="17" t="s">
        <v>16</v>
      </c>
      <c r="C174" s="17" t="s">
        <v>16</v>
      </c>
      <c r="D174" s="17" t="s">
        <v>220</v>
      </c>
      <c r="E174" s="17" t="s">
        <v>4</v>
      </c>
      <c r="F174" s="17">
        <v>1</v>
      </c>
    </row>
    <row r="175" spans="1:6" ht="15" customHeight="1" x14ac:dyDescent="0.2">
      <c r="A175" s="17">
        <v>2026</v>
      </c>
      <c r="B175" s="17" t="s">
        <v>16</v>
      </c>
      <c r="C175" s="17" t="s">
        <v>16</v>
      </c>
      <c r="D175" s="17" t="s">
        <v>100</v>
      </c>
      <c r="E175" s="17" t="s">
        <v>5</v>
      </c>
      <c r="F175" s="17">
        <v>1</v>
      </c>
    </row>
    <row r="176" spans="1:6" ht="15" customHeight="1" x14ac:dyDescent="0.2">
      <c r="A176" s="17">
        <v>2026</v>
      </c>
      <c r="B176" s="17" t="s">
        <v>16</v>
      </c>
      <c r="C176" s="17" t="s">
        <v>16</v>
      </c>
      <c r="D176" s="17" t="s">
        <v>131</v>
      </c>
      <c r="E176" s="17" t="s">
        <v>5</v>
      </c>
      <c r="F176" s="17">
        <v>1</v>
      </c>
    </row>
    <row r="177" spans="1:6" ht="15" customHeight="1" x14ac:dyDescent="0.2">
      <c r="A177" s="17">
        <v>2026</v>
      </c>
      <c r="B177" s="17" t="s">
        <v>16</v>
      </c>
      <c r="C177" s="17" t="s">
        <v>16</v>
      </c>
      <c r="D177" s="17" t="s">
        <v>101</v>
      </c>
      <c r="E177" s="17" t="s">
        <v>4</v>
      </c>
      <c r="F177" s="17">
        <v>1</v>
      </c>
    </row>
    <row r="178" spans="1:6" ht="15" customHeight="1" x14ac:dyDescent="0.2">
      <c r="A178" s="17">
        <v>2026</v>
      </c>
      <c r="B178" s="17" t="s">
        <v>16</v>
      </c>
      <c r="C178" s="17" t="s">
        <v>16</v>
      </c>
      <c r="D178" s="17" t="s">
        <v>221</v>
      </c>
      <c r="E178" s="17" t="s">
        <v>4</v>
      </c>
      <c r="F178" s="17">
        <v>1</v>
      </c>
    </row>
    <row r="179" spans="1:6" ht="15" customHeight="1" x14ac:dyDescent="0.2">
      <c r="A179" s="17">
        <v>2026</v>
      </c>
      <c r="B179" s="17" t="s">
        <v>16</v>
      </c>
      <c r="C179" s="17" t="s">
        <v>16</v>
      </c>
      <c r="D179" s="17" t="s">
        <v>222</v>
      </c>
      <c r="E179" s="17" t="s">
        <v>4</v>
      </c>
      <c r="F179" s="17">
        <v>1</v>
      </c>
    </row>
    <row r="180" spans="1:6" ht="15" customHeight="1" x14ac:dyDescent="0.2">
      <c r="A180" s="17">
        <v>2026</v>
      </c>
      <c r="B180" s="17" t="s">
        <v>16</v>
      </c>
      <c r="C180" s="17" t="s">
        <v>16</v>
      </c>
      <c r="D180" s="17" t="s">
        <v>132</v>
      </c>
      <c r="E180" s="17" t="s">
        <v>5</v>
      </c>
      <c r="F180" s="17">
        <v>1</v>
      </c>
    </row>
    <row r="181" spans="1:6" ht="15" customHeight="1" x14ac:dyDescent="0.2">
      <c r="A181" s="17">
        <v>2026</v>
      </c>
      <c r="B181" s="17" t="s">
        <v>16</v>
      </c>
      <c r="C181" s="17" t="s">
        <v>16</v>
      </c>
      <c r="D181" s="17" t="s">
        <v>223</v>
      </c>
      <c r="E181" s="17" t="s">
        <v>4</v>
      </c>
      <c r="F181" s="17">
        <v>1</v>
      </c>
    </row>
    <row r="182" spans="1:6" ht="15" customHeight="1" x14ac:dyDescent="0.2">
      <c r="A182" s="17">
        <v>2026</v>
      </c>
      <c r="B182" s="17" t="s">
        <v>16</v>
      </c>
      <c r="C182" s="17" t="s">
        <v>16</v>
      </c>
      <c r="D182" s="17" t="s">
        <v>105</v>
      </c>
      <c r="E182" s="17" t="s">
        <v>5</v>
      </c>
      <c r="F182" s="17">
        <v>1</v>
      </c>
    </row>
    <row r="183" spans="1:6" ht="15" customHeight="1" x14ac:dyDescent="0.2">
      <c r="A183" s="17">
        <v>2026</v>
      </c>
      <c r="B183" s="17" t="s">
        <v>16</v>
      </c>
      <c r="C183" s="17" t="s">
        <v>16</v>
      </c>
      <c r="D183" s="17" t="s">
        <v>224</v>
      </c>
      <c r="E183" s="17" t="s">
        <v>4</v>
      </c>
      <c r="F183" s="17">
        <v>1</v>
      </c>
    </row>
    <row r="184" spans="1:6" ht="15" customHeight="1" x14ac:dyDescent="0.2">
      <c r="A184" s="17">
        <v>2026</v>
      </c>
      <c r="B184" s="17" t="s">
        <v>16</v>
      </c>
      <c r="C184" s="17" t="s">
        <v>16</v>
      </c>
      <c r="D184" s="17" t="s">
        <v>225</v>
      </c>
      <c r="E184" s="17" t="s">
        <v>4</v>
      </c>
      <c r="F184" s="17">
        <v>1</v>
      </c>
    </row>
    <row r="185" spans="1:6" ht="15" customHeight="1" x14ac:dyDescent="0.2">
      <c r="A185" s="17">
        <v>2026</v>
      </c>
      <c r="B185" s="17" t="s">
        <v>16</v>
      </c>
      <c r="C185" s="17" t="s">
        <v>16</v>
      </c>
      <c r="D185" s="17" t="s">
        <v>226</v>
      </c>
      <c r="E185" s="17" t="s">
        <v>4</v>
      </c>
      <c r="F185" s="17">
        <v>1</v>
      </c>
    </row>
    <row r="186" spans="1:6" ht="15" customHeight="1" x14ac:dyDescent="0.2">
      <c r="A186" s="17">
        <v>2026</v>
      </c>
      <c r="B186" s="17" t="s">
        <v>16</v>
      </c>
      <c r="C186" s="17" t="s">
        <v>16</v>
      </c>
      <c r="D186" s="17" t="s">
        <v>107</v>
      </c>
      <c r="E186" s="17" t="s">
        <v>4</v>
      </c>
      <c r="F186" s="17">
        <v>1</v>
      </c>
    </row>
    <row r="187" spans="1:6" ht="15" customHeight="1" x14ac:dyDescent="0.2">
      <c r="A187" s="17">
        <v>2026</v>
      </c>
      <c r="B187" s="17" t="s">
        <v>16</v>
      </c>
      <c r="C187" s="17" t="s">
        <v>16</v>
      </c>
      <c r="D187" s="17" t="s">
        <v>134</v>
      </c>
      <c r="E187" s="17" t="s">
        <v>4</v>
      </c>
      <c r="F187" s="17">
        <v>1</v>
      </c>
    </row>
    <row r="188" spans="1:6" ht="15" customHeight="1" x14ac:dyDescent="0.2">
      <c r="A188" s="17">
        <v>2026</v>
      </c>
      <c r="B188" s="17" t="s">
        <v>16</v>
      </c>
      <c r="C188" s="17" t="s">
        <v>16</v>
      </c>
      <c r="D188" s="17" t="s">
        <v>76</v>
      </c>
      <c r="E188" s="17" t="s">
        <v>7</v>
      </c>
      <c r="F188" s="17">
        <v>1</v>
      </c>
    </row>
    <row r="189" spans="1:6" ht="15" customHeight="1" x14ac:dyDescent="0.2">
      <c r="A189" s="17">
        <v>2026</v>
      </c>
      <c r="B189" s="17" t="s">
        <v>16</v>
      </c>
      <c r="C189" s="17" t="s">
        <v>16</v>
      </c>
      <c r="D189" s="17" t="s">
        <v>227</v>
      </c>
      <c r="E189" s="17" t="s">
        <v>4</v>
      </c>
      <c r="F189" s="17">
        <v>1</v>
      </c>
    </row>
    <row r="190" spans="1:6" ht="15" customHeight="1" x14ac:dyDescent="0.2">
      <c r="A190" s="17">
        <v>2026</v>
      </c>
      <c r="B190" s="17" t="s">
        <v>16</v>
      </c>
      <c r="C190" s="17" t="s">
        <v>16</v>
      </c>
      <c r="D190" s="17" t="s">
        <v>146</v>
      </c>
      <c r="E190" s="17" t="s">
        <v>4</v>
      </c>
      <c r="F190" s="17">
        <v>1</v>
      </c>
    </row>
    <row r="191" spans="1:6" ht="15" customHeight="1" x14ac:dyDescent="0.2">
      <c r="A191" s="17">
        <v>2026</v>
      </c>
      <c r="B191" s="17" t="s">
        <v>16</v>
      </c>
      <c r="C191" s="17" t="s">
        <v>16</v>
      </c>
      <c r="D191" s="17" t="s">
        <v>228</v>
      </c>
      <c r="E191" s="17" t="s">
        <v>4</v>
      </c>
      <c r="F191" s="17">
        <v>1</v>
      </c>
    </row>
    <row r="192" spans="1:6" ht="15" customHeight="1" x14ac:dyDescent="0.2">
      <c r="A192" s="17">
        <v>2026</v>
      </c>
      <c r="B192" s="17" t="s">
        <v>16</v>
      </c>
      <c r="C192" s="17" t="s">
        <v>16</v>
      </c>
      <c r="D192" s="17" t="s">
        <v>229</v>
      </c>
      <c r="E192" s="17" t="s">
        <v>7</v>
      </c>
      <c r="F192" s="17">
        <v>1</v>
      </c>
    </row>
    <row r="193" spans="1:6" ht="15" customHeight="1" x14ac:dyDescent="0.2">
      <c r="A193" s="17">
        <v>2026</v>
      </c>
      <c r="B193" s="17" t="s">
        <v>16</v>
      </c>
      <c r="C193" s="17" t="s">
        <v>16</v>
      </c>
      <c r="D193" s="17" t="s">
        <v>230</v>
      </c>
      <c r="E193" s="17" t="s">
        <v>4</v>
      </c>
      <c r="F193" s="17">
        <v>1</v>
      </c>
    </row>
    <row r="194" spans="1:6" ht="15" customHeight="1" x14ac:dyDescent="0.2">
      <c r="A194" s="17">
        <v>2026</v>
      </c>
      <c r="B194" s="17" t="s">
        <v>16</v>
      </c>
      <c r="C194" s="17" t="s">
        <v>16</v>
      </c>
      <c r="D194" s="17" t="s">
        <v>231</v>
      </c>
      <c r="E194" s="17" t="s">
        <v>4</v>
      </c>
      <c r="F194" s="17">
        <v>1</v>
      </c>
    </row>
    <row r="195" spans="1:6" ht="15" customHeight="1" x14ac:dyDescent="0.2">
      <c r="A195" s="17">
        <v>2026</v>
      </c>
      <c r="B195" s="17" t="s">
        <v>16</v>
      </c>
      <c r="C195" s="17" t="s">
        <v>16</v>
      </c>
      <c r="D195" s="17" t="s">
        <v>109</v>
      </c>
      <c r="E195" s="17" t="s">
        <v>5</v>
      </c>
      <c r="F195" s="17">
        <v>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0"/>
  <sheetViews>
    <sheetView zoomScaleNormal="100" workbookViewId="0">
      <selection activeCell="A12" sqref="A12"/>
    </sheetView>
  </sheetViews>
  <sheetFormatPr baseColWidth="10" defaultColWidth="10.5" defaultRowHeight="16" x14ac:dyDescent="0.2"/>
  <sheetData>
    <row r="1" spans="1:6" ht="15.75" customHeight="1" x14ac:dyDescent="0.2">
      <c r="A1" s="18" t="s">
        <v>232</v>
      </c>
      <c r="B1" s="18" t="s">
        <v>3</v>
      </c>
      <c r="C1" s="18" t="s">
        <v>4</v>
      </c>
      <c r="D1" s="18" t="s">
        <v>5</v>
      </c>
      <c r="E1" s="18" t="s">
        <v>6</v>
      </c>
      <c r="F1" s="18" t="s">
        <v>7</v>
      </c>
    </row>
    <row r="2" spans="1:6" ht="15.75" customHeight="1" x14ac:dyDescent="0.2">
      <c r="A2" s="19" t="s">
        <v>12</v>
      </c>
      <c r="B2" s="20">
        <v>2</v>
      </c>
      <c r="C2" s="20">
        <v>5</v>
      </c>
      <c r="D2" s="20">
        <v>1</v>
      </c>
      <c r="E2" s="20"/>
      <c r="F2" s="20">
        <v>1</v>
      </c>
    </row>
    <row r="3" spans="1:6" ht="15.75" customHeight="1" x14ac:dyDescent="0.2">
      <c r="A3" s="21" t="s">
        <v>151</v>
      </c>
      <c r="D3">
        <v>1</v>
      </c>
    </row>
    <row r="4" spans="1:6" ht="15.75" customHeight="1" x14ac:dyDescent="0.2">
      <c r="A4" s="21" t="s">
        <v>152</v>
      </c>
      <c r="C4">
        <v>1</v>
      </c>
    </row>
    <row r="5" spans="1:6" ht="15.75" customHeight="1" x14ac:dyDescent="0.2">
      <c r="A5" s="21" t="s">
        <v>153</v>
      </c>
      <c r="C5">
        <v>1</v>
      </c>
    </row>
    <row r="6" spans="1:6" ht="15.75" customHeight="1" x14ac:dyDescent="0.2">
      <c r="A6" s="21" t="s">
        <v>72</v>
      </c>
      <c r="C6">
        <v>1</v>
      </c>
    </row>
    <row r="7" spans="1:6" ht="15.75" customHeight="1" x14ac:dyDescent="0.2">
      <c r="A7" s="21" t="s">
        <v>154</v>
      </c>
      <c r="F7">
        <v>1</v>
      </c>
    </row>
    <row r="8" spans="1:6" ht="15.75" customHeight="1" x14ac:dyDescent="0.2">
      <c r="A8" s="21" t="s">
        <v>155</v>
      </c>
      <c r="C8">
        <v>1</v>
      </c>
    </row>
    <row r="9" spans="1:6" ht="15.75" customHeight="1" x14ac:dyDescent="0.2">
      <c r="A9" s="21" t="s">
        <v>156</v>
      </c>
      <c r="B9">
        <v>1</v>
      </c>
    </row>
    <row r="10" spans="1:6" ht="15.75" customHeight="1" x14ac:dyDescent="0.2">
      <c r="A10" s="21" t="s">
        <v>157</v>
      </c>
      <c r="B10">
        <v>1</v>
      </c>
    </row>
    <row r="11" spans="1:6" ht="15.75" customHeight="1" x14ac:dyDescent="0.2">
      <c r="A11" s="21" t="s">
        <v>158</v>
      </c>
      <c r="C11">
        <v>1</v>
      </c>
    </row>
    <row r="12" spans="1:6" ht="15.75" customHeight="1" x14ac:dyDescent="0.2">
      <c r="A12" s="19" t="s">
        <v>13</v>
      </c>
      <c r="B12" s="20">
        <v>1</v>
      </c>
      <c r="C12" s="20">
        <v>6</v>
      </c>
      <c r="D12" s="20">
        <v>2</v>
      </c>
      <c r="E12" s="20">
        <v>1</v>
      </c>
      <c r="F12" s="20"/>
    </row>
    <row r="13" spans="1:6" ht="15.75" customHeight="1" x14ac:dyDescent="0.2">
      <c r="A13" s="21" t="s">
        <v>159</v>
      </c>
      <c r="C13">
        <v>1</v>
      </c>
    </row>
    <row r="14" spans="1:6" ht="15.75" customHeight="1" x14ac:dyDescent="0.2">
      <c r="A14" s="21" t="s">
        <v>160</v>
      </c>
      <c r="C14">
        <v>1</v>
      </c>
    </row>
    <row r="15" spans="1:6" ht="15.75" customHeight="1" x14ac:dyDescent="0.2">
      <c r="A15" s="21" t="s">
        <v>149</v>
      </c>
      <c r="B15">
        <v>1</v>
      </c>
    </row>
    <row r="16" spans="1:6" ht="15.75" customHeight="1" x14ac:dyDescent="0.2">
      <c r="A16" s="21" t="s">
        <v>73</v>
      </c>
      <c r="D16">
        <v>1</v>
      </c>
    </row>
    <row r="17" spans="1:6" ht="15.75" customHeight="1" x14ac:dyDescent="0.2">
      <c r="A17" s="21" t="s">
        <v>161</v>
      </c>
      <c r="D17">
        <v>1</v>
      </c>
    </row>
    <row r="18" spans="1:6" ht="15.75" customHeight="1" x14ac:dyDescent="0.2">
      <c r="A18" s="21" t="s">
        <v>162</v>
      </c>
      <c r="C18">
        <v>1</v>
      </c>
    </row>
    <row r="19" spans="1:6" ht="15.75" customHeight="1" x14ac:dyDescent="0.2">
      <c r="A19" s="21" t="s">
        <v>75</v>
      </c>
      <c r="E19">
        <v>1</v>
      </c>
    </row>
    <row r="20" spans="1:6" ht="15.75" customHeight="1" x14ac:dyDescent="0.2">
      <c r="A20" s="21" t="s">
        <v>150</v>
      </c>
      <c r="C20">
        <v>1</v>
      </c>
    </row>
    <row r="21" spans="1:6" ht="15.75" customHeight="1" x14ac:dyDescent="0.2">
      <c r="A21" s="21" t="s">
        <v>163</v>
      </c>
      <c r="C21">
        <v>1</v>
      </c>
    </row>
    <row r="22" spans="1:6" ht="15.75" customHeight="1" x14ac:dyDescent="0.2">
      <c r="A22" s="21" t="s">
        <v>164</v>
      </c>
      <c r="C22">
        <v>1</v>
      </c>
    </row>
    <row r="23" spans="1:6" ht="15.75" customHeight="1" x14ac:dyDescent="0.2">
      <c r="A23" s="19" t="s">
        <v>14</v>
      </c>
      <c r="B23" s="20"/>
      <c r="C23" s="20">
        <v>8</v>
      </c>
      <c r="D23" s="20">
        <v>9</v>
      </c>
      <c r="E23" s="20"/>
      <c r="F23" s="20"/>
    </row>
    <row r="24" spans="1:6" ht="15.75" customHeight="1" x14ac:dyDescent="0.2">
      <c r="A24" s="21" t="s">
        <v>165</v>
      </c>
      <c r="C24">
        <v>1</v>
      </c>
    </row>
    <row r="25" spans="1:6" ht="15.75" customHeight="1" x14ac:dyDescent="0.2">
      <c r="A25" s="21" t="s">
        <v>41</v>
      </c>
      <c r="C25">
        <v>1</v>
      </c>
    </row>
    <row r="26" spans="1:6" ht="15.75" customHeight="1" x14ac:dyDescent="0.2">
      <c r="A26" s="21" t="s">
        <v>115</v>
      </c>
      <c r="C26">
        <v>1</v>
      </c>
    </row>
    <row r="27" spans="1:6" ht="15.75" customHeight="1" x14ac:dyDescent="0.2">
      <c r="A27" s="21" t="s">
        <v>128</v>
      </c>
      <c r="C27">
        <v>1</v>
      </c>
    </row>
    <row r="28" spans="1:6" ht="15.75" customHeight="1" x14ac:dyDescent="0.2">
      <c r="A28" s="21" t="s">
        <v>95</v>
      </c>
      <c r="D28">
        <v>1</v>
      </c>
    </row>
    <row r="29" spans="1:6" ht="15.75" customHeight="1" x14ac:dyDescent="0.2">
      <c r="A29" s="21" t="s">
        <v>166</v>
      </c>
      <c r="C29">
        <v>1</v>
      </c>
    </row>
    <row r="30" spans="1:6" ht="15.75" customHeight="1" x14ac:dyDescent="0.2">
      <c r="A30" s="21" t="s">
        <v>167</v>
      </c>
      <c r="C30">
        <v>1</v>
      </c>
    </row>
    <row r="31" spans="1:6" ht="15.75" customHeight="1" x14ac:dyDescent="0.2">
      <c r="A31" s="21" t="s">
        <v>118</v>
      </c>
      <c r="C31">
        <v>1</v>
      </c>
    </row>
    <row r="32" spans="1:6" ht="15.75" customHeight="1" x14ac:dyDescent="0.2">
      <c r="A32" s="21" t="s">
        <v>168</v>
      </c>
      <c r="D32">
        <v>1</v>
      </c>
    </row>
    <row r="33" spans="1:6" ht="15.75" customHeight="1" x14ac:dyDescent="0.2">
      <c r="A33" s="21" t="s">
        <v>169</v>
      </c>
      <c r="D33">
        <v>1</v>
      </c>
    </row>
    <row r="34" spans="1:6" ht="15.75" customHeight="1" x14ac:dyDescent="0.2">
      <c r="A34" s="21" t="s">
        <v>170</v>
      </c>
      <c r="D34">
        <v>1</v>
      </c>
    </row>
    <row r="35" spans="1:6" ht="15.75" customHeight="1" x14ac:dyDescent="0.2">
      <c r="A35" s="21" t="s">
        <v>121</v>
      </c>
      <c r="D35">
        <v>1</v>
      </c>
    </row>
    <row r="36" spans="1:6" ht="15.75" customHeight="1" x14ac:dyDescent="0.2">
      <c r="A36" s="21" t="s">
        <v>171</v>
      </c>
      <c r="D36">
        <v>1</v>
      </c>
    </row>
    <row r="37" spans="1:6" ht="15.75" customHeight="1" x14ac:dyDescent="0.2">
      <c r="A37" s="21" t="s">
        <v>172</v>
      </c>
      <c r="D37">
        <v>1</v>
      </c>
    </row>
    <row r="38" spans="1:6" ht="15.75" customHeight="1" x14ac:dyDescent="0.2">
      <c r="A38" s="21" t="s">
        <v>173</v>
      </c>
      <c r="D38">
        <v>1</v>
      </c>
    </row>
    <row r="39" spans="1:6" ht="15.75" customHeight="1" x14ac:dyDescent="0.2">
      <c r="A39" s="21" t="s">
        <v>174</v>
      </c>
      <c r="D39">
        <v>1</v>
      </c>
    </row>
    <row r="40" spans="1:6" ht="15.75" customHeight="1" x14ac:dyDescent="0.2">
      <c r="A40" s="21" t="s">
        <v>175</v>
      </c>
      <c r="C40">
        <v>1</v>
      </c>
    </row>
    <row r="41" spans="1:6" ht="15.75" customHeight="1" x14ac:dyDescent="0.2">
      <c r="A41" s="19" t="s">
        <v>15</v>
      </c>
      <c r="B41" s="20"/>
      <c r="C41" s="20">
        <v>3</v>
      </c>
      <c r="D41" s="20">
        <v>1</v>
      </c>
      <c r="E41" s="20"/>
      <c r="F41" s="20"/>
    </row>
    <row r="42" spans="1:6" ht="15.75" customHeight="1" x14ac:dyDescent="0.2">
      <c r="A42" s="21" t="s">
        <v>176</v>
      </c>
      <c r="C42">
        <v>1</v>
      </c>
    </row>
    <row r="43" spans="1:6" ht="15.75" customHeight="1" x14ac:dyDescent="0.2">
      <c r="A43" s="21" t="s">
        <v>177</v>
      </c>
      <c r="C43">
        <v>1</v>
      </c>
    </row>
    <row r="44" spans="1:6" ht="15.75" customHeight="1" x14ac:dyDescent="0.2">
      <c r="A44" s="21" t="s">
        <v>125</v>
      </c>
      <c r="C44">
        <v>1</v>
      </c>
    </row>
    <row r="45" spans="1:6" ht="15.75" customHeight="1" x14ac:dyDescent="0.2">
      <c r="A45" s="21" t="s">
        <v>127</v>
      </c>
      <c r="D45">
        <v>1</v>
      </c>
    </row>
    <row r="46" spans="1:6" ht="15.75" customHeight="1" x14ac:dyDescent="0.2">
      <c r="A46" s="19" t="s">
        <v>16</v>
      </c>
      <c r="B46" s="20"/>
      <c r="C46" s="20">
        <v>54</v>
      </c>
      <c r="D46" s="20">
        <v>17</v>
      </c>
      <c r="E46" s="20"/>
      <c r="F46" s="20">
        <v>2</v>
      </c>
    </row>
    <row r="47" spans="1:6" ht="15.75" customHeight="1" x14ac:dyDescent="0.2">
      <c r="A47" s="21" t="s">
        <v>78</v>
      </c>
      <c r="C47">
        <v>1</v>
      </c>
    </row>
    <row r="48" spans="1:6" ht="15.75" customHeight="1" x14ac:dyDescent="0.2">
      <c r="A48" s="21" t="s">
        <v>178</v>
      </c>
      <c r="C48">
        <v>1</v>
      </c>
    </row>
    <row r="49" spans="1:4" ht="15.75" customHeight="1" x14ac:dyDescent="0.2">
      <c r="A49" s="21" t="s">
        <v>179</v>
      </c>
      <c r="C49">
        <v>1</v>
      </c>
    </row>
    <row r="50" spans="1:4" ht="15.75" customHeight="1" x14ac:dyDescent="0.2">
      <c r="A50" s="21" t="s">
        <v>180</v>
      </c>
      <c r="C50">
        <v>1</v>
      </c>
    </row>
    <row r="51" spans="1:4" ht="15.75" customHeight="1" x14ac:dyDescent="0.2">
      <c r="A51" s="21" t="s">
        <v>181</v>
      </c>
      <c r="D51">
        <v>1</v>
      </c>
    </row>
    <row r="52" spans="1:4" ht="15.75" customHeight="1" x14ac:dyDescent="0.2">
      <c r="A52" s="21" t="s">
        <v>89</v>
      </c>
      <c r="D52">
        <v>1</v>
      </c>
    </row>
    <row r="53" spans="1:4" ht="15.75" customHeight="1" x14ac:dyDescent="0.2">
      <c r="A53" s="21" t="s">
        <v>182</v>
      </c>
      <c r="C53">
        <v>1</v>
      </c>
    </row>
    <row r="54" spans="1:4" ht="15.75" customHeight="1" x14ac:dyDescent="0.2">
      <c r="A54" s="21" t="s">
        <v>183</v>
      </c>
      <c r="C54">
        <v>1</v>
      </c>
    </row>
    <row r="55" spans="1:4" ht="15.75" customHeight="1" x14ac:dyDescent="0.2">
      <c r="A55" s="21" t="s">
        <v>184</v>
      </c>
      <c r="D55">
        <v>1</v>
      </c>
    </row>
    <row r="56" spans="1:4" ht="15.75" customHeight="1" x14ac:dyDescent="0.2">
      <c r="A56" s="21" t="s">
        <v>79</v>
      </c>
      <c r="C56">
        <v>1</v>
      </c>
    </row>
    <row r="57" spans="1:4" ht="15.75" customHeight="1" x14ac:dyDescent="0.2">
      <c r="A57" s="21" t="s">
        <v>185</v>
      </c>
      <c r="C57">
        <v>1</v>
      </c>
    </row>
    <row r="58" spans="1:4" ht="15.75" customHeight="1" x14ac:dyDescent="0.2">
      <c r="A58" s="21" t="s">
        <v>186</v>
      </c>
      <c r="C58">
        <v>1</v>
      </c>
    </row>
    <row r="59" spans="1:4" ht="15.75" customHeight="1" x14ac:dyDescent="0.2">
      <c r="A59" s="21" t="s">
        <v>187</v>
      </c>
      <c r="C59">
        <v>1</v>
      </c>
    </row>
    <row r="60" spans="1:4" ht="15.75" customHeight="1" x14ac:dyDescent="0.2">
      <c r="A60" s="21" t="s">
        <v>188</v>
      </c>
      <c r="C60">
        <v>1</v>
      </c>
    </row>
    <row r="61" spans="1:4" ht="15.75" customHeight="1" x14ac:dyDescent="0.2">
      <c r="A61" s="21" t="s">
        <v>94</v>
      </c>
      <c r="C61">
        <v>1</v>
      </c>
    </row>
    <row r="62" spans="1:4" ht="15.75" customHeight="1" x14ac:dyDescent="0.2">
      <c r="A62" s="21" t="s">
        <v>189</v>
      </c>
      <c r="C62">
        <v>1</v>
      </c>
    </row>
    <row r="63" spans="1:4" ht="15.75" customHeight="1" x14ac:dyDescent="0.2">
      <c r="A63" s="21" t="s">
        <v>190</v>
      </c>
      <c r="C63">
        <v>1</v>
      </c>
    </row>
    <row r="64" spans="1:4" ht="15.75" customHeight="1" x14ac:dyDescent="0.2">
      <c r="A64" s="21" t="s">
        <v>191</v>
      </c>
      <c r="C64">
        <v>1</v>
      </c>
    </row>
    <row r="65" spans="1:4" ht="15.75" customHeight="1" x14ac:dyDescent="0.2">
      <c r="A65" s="21" t="s">
        <v>192</v>
      </c>
      <c r="C65">
        <v>1</v>
      </c>
    </row>
    <row r="66" spans="1:4" ht="15.75" customHeight="1" x14ac:dyDescent="0.2">
      <c r="A66" s="21" t="s">
        <v>193</v>
      </c>
      <c r="C66">
        <v>1</v>
      </c>
    </row>
    <row r="67" spans="1:4" ht="15.75" customHeight="1" x14ac:dyDescent="0.2">
      <c r="A67" s="21" t="s">
        <v>194</v>
      </c>
      <c r="C67">
        <v>1</v>
      </c>
    </row>
    <row r="68" spans="1:4" ht="15.75" customHeight="1" x14ac:dyDescent="0.2">
      <c r="A68" s="21" t="s">
        <v>195</v>
      </c>
      <c r="C68">
        <v>1</v>
      </c>
    </row>
    <row r="69" spans="1:4" ht="15.75" customHeight="1" x14ac:dyDescent="0.2">
      <c r="A69" s="21" t="s">
        <v>116</v>
      </c>
      <c r="C69">
        <v>1</v>
      </c>
    </row>
    <row r="70" spans="1:4" ht="15.75" customHeight="1" x14ac:dyDescent="0.2">
      <c r="A70" s="21" t="s">
        <v>196</v>
      </c>
      <c r="C70">
        <v>1</v>
      </c>
    </row>
    <row r="71" spans="1:4" ht="15.75" customHeight="1" x14ac:dyDescent="0.2">
      <c r="A71" s="21" t="s">
        <v>130</v>
      </c>
      <c r="C71">
        <v>1</v>
      </c>
    </row>
    <row r="72" spans="1:4" ht="15.75" customHeight="1" x14ac:dyDescent="0.2">
      <c r="A72" s="21" t="s">
        <v>97</v>
      </c>
      <c r="D72">
        <v>1</v>
      </c>
    </row>
    <row r="73" spans="1:4" ht="15.75" customHeight="1" x14ac:dyDescent="0.2">
      <c r="A73" s="21" t="s">
        <v>82</v>
      </c>
      <c r="C73">
        <v>1</v>
      </c>
    </row>
    <row r="74" spans="1:4" ht="15.75" customHeight="1" x14ac:dyDescent="0.2">
      <c r="A74" s="21" t="s">
        <v>197</v>
      </c>
      <c r="C74">
        <v>1</v>
      </c>
    </row>
    <row r="75" spans="1:4" ht="15.75" customHeight="1" x14ac:dyDescent="0.2">
      <c r="A75" s="21" t="s">
        <v>198</v>
      </c>
      <c r="C75">
        <v>1</v>
      </c>
    </row>
    <row r="76" spans="1:4" ht="15.75" customHeight="1" x14ac:dyDescent="0.2">
      <c r="A76" s="21" t="s">
        <v>199</v>
      </c>
      <c r="C76">
        <v>1</v>
      </c>
    </row>
    <row r="77" spans="1:4" ht="15.75" customHeight="1" x14ac:dyDescent="0.2">
      <c r="A77" s="21" t="s">
        <v>200</v>
      </c>
      <c r="C77">
        <v>1</v>
      </c>
    </row>
    <row r="78" spans="1:4" ht="15.75" customHeight="1" x14ac:dyDescent="0.2">
      <c r="A78" s="21" t="s">
        <v>201</v>
      </c>
      <c r="C78">
        <v>1</v>
      </c>
    </row>
    <row r="79" spans="1:4" ht="15.75" customHeight="1" x14ac:dyDescent="0.2">
      <c r="A79" s="21" t="s">
        <v>202</v>
      </c>
      <c r="D79">
        <v>1</v>
      </c>
    </row>
    <row r="80" spans="1:4" ht="15.75" customHeight="1" x14ac:dyDescent="0.2">
      <c r="A80" s="21" t="s">
        <v>203</v>
      </c>
      <c r="C80">
        <v>1</v>
      </c>
    </row>
    <row r="81" spans="1:4" ht="15.75" customHeight="1" x14ac:dyDescent="0.2">
      <c r="A81" s="21" t="s">
        <v>204</v>
      </c>
      <c r="C81">
        <v>1</v>
      </c>
    </row>
    <row r="82" spans="1:4" ht="15.75" customHeight="1" x14ac:dyDescent="0.2">
      <c r="A82" s="21" t="s">
        <v>205</v>
      </c>
      <c r="C82">
        <v>1</v>
      </c>
    </row>
    <row r="83" spans="1:4" ht="15.75" customHeight="1" x14ac:dyDescent="0.2">
      <c r="A83" s="21" t="s">
        <v>206</v>
      </c>
      <c r="D83">
        <v>1</v>
      </c>
    </row>
    <row r="84" spans="1:4" ht="15.75" customHeight="1" x14ac:dyDescent="0.2">
      <c r="A84" s="21" t="s">
        <v>207</v>
      </c>
      <c r="D84">
        <v>1</v>
      </c>
    </row>
    <row r="85" spans="1:4" ht="15.75" customHeight="1" x14ac:dyDescent="0.2">
      <c r="A85" s="21" t="s">
        <v>208</v>
      </c>
      <c r="D85">
        <v>1</v>
      </c>
    </row>
    <row r="86" spans="1:4" ht="15.75" customHeight="1" x14ac:dyDescent="0.2">
      <c r="A86" s="21" t="s">
        <v>209</v>
      </c>
      <c r="D86">
        <v>1</v>
      </c>
    </row>
    <row r="87" spans="1:4" ht="15.75" customHeight="1" x14ac:dyDescent="0.2">
      <c r="A87" s="21" t="s">
        <v>210</v>
      </c>
      <c r="C87">
        <v>1</v>
      </c>
    </row>
    <row r="88" spans="1:4" ht="15.75" customHeight="1" x14ac:dyDescent="0.2">
      <c r="A88" s="21" t="s">
        <v>211</v>
      </c>
      <c r="C88">
        <v>1</v>
      </c>
    </row>
    <row r="89" spans="1:4" ht="15.75" customHeight="1" x14ac:dyDescent="0.2">
      <c r="A89" s="21" t="s">
        <v>212</v>
      </c>
      <c r="D89">
        <v>1</v>
      </c>
    </row>
    <row r="90" spans="1:4" ht="15.75" customHeight="1" x14ac:dyDescent="0.2">
      <c r="A90" s="21" t="s">
        <v>213</v>
      </c>
      <c r="D90">
        <v>1</v>
      </c>
    </row>
    <row r="91" spans="1:4" ht="15.75" customHeight="1" x14ac:dyDescent="0.2">
      <c r="A91" s="21" t="s">
        <v>214</v>
      </c>
      <c r="C91">
        <v>1</v>
      </c>
    </row>
    <row r="92" spans="1:4" ht="15.75" customHeight="1" x14ac:dyDescent="0.2">
      <c r="A92" s="21" t="s">
        <v>215</v>
      </c>
      <c r="C92">
        <v>1</v>
      </c>
    </row>
    <row r="93" spans="1:4" ht="15.75" customHeight="1" x14ac:dyDescent="0.2">
      <c r="A93" s="21" t="s">
        <v>216</v>
      </c>
      <c r="C93">
        <v>1</v>
      </c>
    </row>
    <row r="94" spans="1:4" ht="15.75" customHeight="1" x14ac:dyDescent="0.2">
      <c r="A94" s="21" t="s">
        <v>217</v>
      </c>
      <c r="D94">
        <v>1</v>
      </c>
    </row>
    <row r="95" spans="1:4" ht="15.75" customHeight="1" x14ac:dyDescent="0.2">
      <c r="A95" s="21" t="s">
        <v>98</v>
      </c>
      <c r="C95">
        <v>1</v>
      </c>
    </row>
    <row r="96" spans="1:4" ht="15.75" customHeight="1" x14ac:dyDescent="0.2">
      <c r="A96" s="21" t="s">
        <v>218</v>
      </c>
      <c r="C96">
        <v>1</v>
      </c>
    </row>
    <row r="97" spans="1:6" ht="15.75" customHeight="1" x14ac:dyDescent="0.2">
      <c r="A97" s="21" t="s">
        <v>219</v>
      </c>
      <c r="C97">
        <v>1</v>
      </c>
    </row>
    <row r="98" spans="1:6" ht="15.75" customHeight="1" x14ac:dyDescent="0.2">
      <c r="A98" s="21" t="s">
        <v>220</v>
      </c>
      <c r="C98">
        <v>1</v>
      </c>
    </row>
    <row r="99" spans="1:6" ht="15.75" customHeight="1" x14ac:dyDescent="0.2">
      <c r="A99" s="21" t="s">
        <v>100</v>
      </c>
      <c r="D99">
        <v>1</v>
      </c>
    </row>
    <row r="100" spans="1:6" ht="15.75" customHeight="1" x14ac:dyDescent="0.2">
      <c r="A100" s="21" t="s">
        <v>131</v>
      </c>
      <c r="D100">
        <v>1</v>
      </c>
    </row>
    <row r="101" spans="1:6" ht="15.75" customHeight="1" x14ac:dyDescent="0.2">
      <c r="A101" s="21" t="s">
        <v>101</v>
      </c>
      <c r="C101">
        <v>1</v>
      </c>
    </row>
    <row r="102" spans="1:6" ht="15.75" customHeight="1" x14ac:dyDescent="0.2">
      <c r="A102" s="21" t="s">
        <v>221</v>
      </c>
      <c r="C102">
        <v>1</v>
      </c>
    </row>
    <row r="103" spans="1:6" ht="15.75" customHeight="1" x14ac:dyDescent="0.2">
      <c r="A103" s="21" t="s">
        <v>222</v>
      </c>
      <c r="C103">
        <v>1</v>
      </c>
    </row>
    <row r="104" spans="1:6" ht="15.75" customHeight="1" x14ac:dyDescent="0.2">
      <c r="A104" s="21" t="s">
        <v>132</v>
      </c>
      <c r="D104">
        <v>1</v>
      </c>
    </row>
    <row r="105" spans="1:6" ht="15.75" customHeight="1" x14ac:dyDescent="0.2">
      <c r="A105" s="21" t="s">
        <v>223</v>
      </c>
      <c r="C105">
        <v>1</v>
      </c>
    </row>
    <row r="106" spans="1:6" ht="15.75" customHeight="1" x14ac:dyDescent="0.2">
      <c r="A106" s="21" t="s">
        <v>105</v>
      </c>
      <c r="D106">
        <v>1</v>
      </c>
    </row>
    <row r="107" spans="1:6" ht="15.75" customHeight="1" x14ac:dyDescent="0.2">
      <c r="A107" s="21" t="s">
        <v>224</v>
      </c>
      <c r="C107">
        <v>1</v>
      </c>
    </row>
    <row r="108" spans="1:6" ht="15.75" customHeight="1" x14ac:dyDescent="0.2">
      <c r="A108" s="21" t="s">
        <v>225</v>
      </c>
      <c r="C108">
        <v>1</v>
      </c>
    </row>
    <row r="109" spans="1:6" ht="15.75" customHeight="1" x14ac:dyDescent="0.2">
      <c r="A109" s="21" t="s">
        <v>226</v>
      </c>
      <c r="C109">
        <v>1</v>
      </c>
    </row>
    <row r="110" spans="1:6" ht="15.75" customHeight="1" x14ac:dyDescent="0.2">
      <c r="A110" s="21" t="s">
        <v>107</v>
      </c>
      <c r="C110">
        <v>1</v>
      </c>
    </row>
    <row r="111" spans="1:6" ht="15.75" customHeight="1" x14ac:dyDescent="0.2">
      <c r="A111" s="21" t="s">
        <v>134</v>
      </c>
      <c r="C111">
        <v>1</v>
      </c>
    </row>
    <row r="112" spans="1:6" ht="15.75" customHeight="1" x14ac:dyDescent="0.2">
      <c r="A112" s="21" t="s">
        <v>76</v>
      </c>
      <c r="F112">
        <v>1</v>
      </c>
    </row>
    <row r="113" spans="1:6" ht="15.75" customHeight="1" x14ac:dyDescent="0.2">
      <c r="A113" s="21" t="s">
        <v>227</v>
      </c>
      <c r="C113">
        <v>1</v>
      </c>
    </row>
    <row r="114" spans="1:6" ht="15.75" customHeight="1" x14ac:dyDescent="0.2">
      <c r="A114" s="21" t="s">
        <v>146</v>
      </c>
      <c r="C114">
        <v>1</v>
      </c>
    </row>
    <row r="115" spans="1:6" ht="15.75" customHeight="1" x14ac:dyDescent="0.2">
      <c r="A115" s="21" t="s">
        <v>228</v>
      </c>
      <c r="C115">
        <v>1</v>
      </c>
    </row>
    <row r="116" spans="1:6" ht="15.75" customHeight="1" x14ac:dyDescent="0.2">
      <c r="A116" s="21" t="s">
        <v>229</v>
      </c>
      <c r="F116">
        <v>1</v>
      </c>
    </row>
    <row r="117" spans="1:6" ht="15.75" customHeight="1" x14ac:dyDescent="0.2">
      <c r="A117" s="21" t="s">
        <v>230</v>
      </c>
      <c r="C117">
        <v>1</v>
      </c>
    </row>
    <row r="118" spans="1:6" ht="15.75" customHeight="1" x14ac:dyDescent="0.2">
      <c r="A118" s="21" t="s">
        <v>231</v>
      </c>
      <c r="C118">
        <v>1</v>
      </c>
    </row>
    <row r="119" spans="1:6" ht="15.75" customHeight="1" x14ac:dyDescent="0.2">
      <c r="A119" s="21" t="s">
        <v>109</v>
      </c>
      <c r="D119">
        <v>1</v>
      </c>
    </row>
    <row r="120" spans="1:6" ht="15.75" customHeight="1" x14ac:dyDescent="0.2">
      <c r="A120" s="22" t="s">
        <v>17</v>
      </c>
      <c r="B120" s="23">
        <v>3</v>
      </c>
      <c r="C120" s="23">
        <v>76</v>
      </c>
      <c r="D120" s="23">
        <v>30</v>
      </c>
      <c r="E120" s="23">
        <v>1</v>
      </c>
      <c r="F120" s="23">
        <v>3</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3"/>
  <sheetViews>
    <sheetView zoomScaleNormal="100" workbookViewId="0">
      <selection activeCell="B10" sqref="B10"/>
    </sheetView>
  </sheetViews>
  <sheetFormatPr baseColWidth="10" defaultColWidth="10.5" defaultRowHeight="16" x14ac:dyDescent="0.2"/>
  <sheetData>
    <row r="1" spans="1:5" ht="15.75" customHeight="1" x14ac:dyDescent="0.2">
      <c r="A1" s="18" t="s">
        <v>232</v>
      </c>
      <c r="B1" s="18" t="s">
        <v>3</v>
      </c>
      <c r="C1" s="18" t="s">
        <v>4</v>
      </c>
      <c r="D1" s="18" t="s">
        <v>5</v>
      </c>
      <c r="E1" s="18" t="s">
        <v>7</v>
      </c>
    </row>
    <row r="2" spans="1:5" ht="15.75" customHeight="1" x14ac:dyDescent="0.2">
      <c r="A2" s="19" t="s">
        <v>25</v>
      </c>
      <c r="B2" s="20"/>
      <c r="C2" s="20">
        <v>1</v>
      </c>
      <c r="D2" s="20"/>
      <c r="E2" s="20"/>
    </row>
    <row r="3" spans="1:5" ht="15.75" customHeight="1" x14ac:dyDescent="0.2">
      <c r="A3" s="19" t="s">
        <v>27</v>
      </c>
      <c r="B3" s="20"/>
      <c r="C3" s="20"/>
      <c r="D3" s="20"/>
      <c r="E3" s="20"/>
    </row>
    <row r="4" spans="1:5" ht="15.75" customHeight="1" x14ac:dyDescent="0.2">
      <c r="A4" s="21" t="s">
        <v>71</v>
      </c>
      <c r="C4">
        <v>1</v>
      </c>
    </row>
    <row r="5" spans="1:5" ht="15.75" customHeight="1" x14ac:dyDescent="0.2">
      <c r="A5" s="19" t="s">
        <v>233</v>
      </c>
      <c r="B5" s="20"/>
      <c r="C5" s="20"/>
      <c r="D5" s="20"/>
      <c r="E5" s="20"/>
    </row>
    <row r="6" spans="1:5" ht="15.75" customHeight="1" x14ac:dyDescent="0.2">
      <c r="A6" s="21" t="s">
        <v>72</v>
      </c>
      <c r="C6">
        <v>1</v>
      </c>
    </row>
    <row r="7" spans="1:5" ht="15.75" customHeight="1" x14ac:dyDescent="0.2">
      <c r="A7" s="19" t="s">
        <v>31</v>
      </c>
      <c r="B7" s="20"/>
      <c r="C7" s="20"/>
      <c r="D7" s="20"/>
      <c r="E7" s="20"/>
    </row>
    <row r="8" spans="1:5" ht="15.75" customHeight="1" x14ac:dyDescent="0.2">
      <c r="A8" s="21" t="s">
        <v>73</v>
      </c>
      <c r="D8">
        <v>1</v>
      </c>
    </row>
    <row r="9" spans="1:5" ht="15.75" customHeight="1" x14ac:dyDescent="0.2">
      <c r="A9" s="19" t="s">
        <v>33</v>
      </c>
      <c r="B9" s="20"/>
      <c r="C9" s="20"/>
      <c r="D9" s="20"/>
      <c r="E9" s="20"/>
    </row>
    <row r="10" spans="1:5" ht="15.75" customHeight="1" x14ac:dyDescent="0.2">
      <c r="A10" s="21" t="s">
        <v>74</v>
      </c>
      <c r="B10">
        <v>1</v>
      </c>
    </row>
    <row r="11" spans="1:5" ht="15.75" customHeight="1" x14ac:dyDescent="0.2">
      <c r="A11" s="19" t="s">
        <v>35</v>
      </c>
      <c r="B11" s="20"/>
      <c r="C11" s="20"/>
      <c r="D11" s="20"/>
      <c r="E11" s="20"/>
    </row>
    <row r="12" spans="1:5" ht="15.75" customHeight="1" x14ac:dyDescent="0.2">
      <c r="A12" s="21" t="s">
        <v>75</v>
      </c>
      <c r="C12">
        <v>1</v>
      </c>
    </row>
    <row r="13" spans="1:5" ht="15.75" customHeight="1" x14ac:dyDescent="0.2">
      <c r="A13" s="19" t="s">
        <v>37</v>
      </c>
      <c r="B13" s="20"/>
      <c r="C13" s="20"/>
      <c r="D13" s="20"/>
      <c r="E13" s="20"/>
    </row>
    <row r="14" spans="1:5" ht="15.75" customHeight="1" x14ac:dyDescent="0.2">
      <c r="A14" s="21" t="s">
        <v>76</v>
      </c>
      <c r="E14">
        <v>1</v>
      </c>
    </row>
    <row r="15" spans="1:5" ht="15.75" customHeight="1" x14ac:dyDescent="0.2">
      <c r="A15" s="19" t="s">
        <v>39</v>
      </c>
      <c r="B15" s="20"/>
      <c r="C15" s="20"/>
      <c r="D15" s="20"/>
      <c r="E15" s="20"/>
    </row>
    <row r="16" spans="1:5" ht="15.75" customHeight="1" x14ac:dyDescent="0.2">
      <c r="A16" s="21" t="s">
        <v>77</v>
      </c>
      <c r="B16">
        <v>1</v>
      </c>
    </row>
    <row r="17" spans="1:5" ht="15.75" customHeight="1" x14ac:dyDescent="0.2">
      <c r="A17" s="19" t="s">
        <v>41</v>
      </c>
      <c r="B17" s="20"/>
      <c r="C17" s="20"/>
      <c r="D17" s="20"/>
      <c r="E17" s="20"/>
    </row>
    <row r="18" spans="1:5" ht="15.75" customHeight="1" x14ac:dyDescent="0.2">
      <c r="A18" s="21" t="s">
        <v>78</v>
      </c>
      <c r="C18">
        <v>1</v>
      </c>
    </row>
    <row r="19" spans="1:5" ht="15.75" customHeight="1" x14ac:dyDescent="0.2">
      <c r="A19" s="21" t="s">
        <v>79</v>
      </c>
      <c r="C19">
        <v>1</v>
      </c>
    </row>
    <row r="20" spans="1:5" ht="15.75" customHeight="1" x14ac:dyDescent="0.2">
      <c r="A20" s="21" t="s">
        <v>80</v>
      </c>
      <c r="C20">
        <v>1</v>
      </c>
    </row>
    <row r="21" spans="1:5" ht="15.75" customHeight="1" x14ac:dyDescent="0.2">
      <c r="A21" s="21" t="s">
        <v>81</v>
      </c>
      <c r="C21">
        <v>1</v>
      </c>
    </row>
    <row r="22" spans="1:5" ht="15.75" customHeight="1" x14ac:dyDescent="0.2">
      <c r="A22" s="21" t="s">
        <v>82</v>
      </c>
      <c r="C22">
        <v>1</v>
      </c>
    </row>
    <row r="23" spans="1:5" ht="15.75" customHeight="1" x14ac:dyDescent="0.2">
      <c r="A23" s="21" t="s">
        <v>83</v>
      </c>
      <c r="C23">
        <v>1</v>
      </c>
    </row>
    <row r="24" spans="1:5" ht="15.75" customHeight="1" x14ac:dyDescent="0.2">
      <c r="A24" s="21" t="s">
        <v>84</v>
      </c>
      <c r="B24">
        <v>1</v>
      </c>
    </row>
    <row r="25" spans="1:5" ht="15.75" customHeight="1" x14ac:dyDescent="0.2">
      <c r="A25" s="19" t="s">
        <v>43</v>
      </c>
      <c r="B25" s="20"/>
      <c r="C25" s="20"/>
      <c r="D25" s="20"/>
      <c r="E25" s="20"/>
    </row>
    <row r="26" spans="1:5" ht="15.75" customHeight="1" x14ac:dyDescent="0.2">
      <c r="A26" s="21" t="s">
        <v>85</v>
      </c>
      <c r="C26">
        <v>1</v>
      </c>
    </row>
    <row r="27" spans="1:5" ht="15.75" customHeight="1" x14ac:dyDescent="0.2">
      <c r="A27" s="19" t="s">
        <v>45</v>
      </c>
      <c r="B27" s="20"/>
      <c r="C27" s="20"/>
      <c r="D27" s="20"/>
      <c r="E27" s="20"/>
    </row>
    <row r="28" spans="1:5" ht="15.75" customHeight="1" x14ac:dyDescent="0.2">
      <c r="A28" s="21" t="s">
        <v>86</v>
      </c>
      <c r="C28">
        <v>1</v>
      </c>
    </row>
    <row r="29" spans="1:5" ht="15.75" customHeight="1" x14ac:dyDescent="0.2">
      <c r="A29" s="19" t="s">
        <v>47</v>
      </c>
      <c r="B29" s="20"/>
      <c r="C29" s="20"/>
      <c r="D29" s="20"/>
      <c r="E29" s="20"/>
    </row>
    <row r="30" spans="1:5" ht="15.75" customHeight="1" x14ac:dyDescent="0.2">
      <c r="A30" s="21" t="s">
        <v>87</v>
      </c>
      <c r="C30">
        <v>1</v>
      </c>
    </row>
    <row r="31" spans="1:5" ht="15.75" customHeight="1" x14ac:dyDescent="0.2">
      <c r="A31" s="21" t="s">
        <v>88</v>
      </c>
      <c r="C31">
        <v>1</v>
      </c>
    </row>
    <row r="32" spans="1:5" ht="15.75" customHeight="1" x14ac:dyDescent="0.2">
      <c r="A32" s="19" t="s">
        <v>49</v>
      </c>
      <c r="B32" s="20"/>
      <c r="C32" s="20"/>
      <c r="D32" s="20"/>
      <c r="E32" s="20"/>
    </row>
    <row r="33" spans="1:4" ht="15.75" customHeight="1" x14ac:dyDescent="0.2">
      <c r="A33" s="21" t="s">
        <v>89</v>
      </c>
      <c r="D33">
        <v>1</v>
      </c>
    </row>
    <row r="34" spans="1:4" ht="15.75" customHeight="1" x14ac:dyDescent="0.2">
      <c r="A34" s="21" t="s">
        <v>90</v>
      </c>
      <c r="C34">
        <v>1</v>
      </c>
    </row>
    <row r="35" spans="1:4" ht="15.75" customHeight="1" x14ac:dyDescent="0.2">
      <c r="A35" s="21" t="s">
        <v>91</v>
      </c>
      <c r="C35">
        <v>1</v>
      </c>
    </row>
    <row r="36" spans="1:4" ht="15.75" customHeight="1" x14ac:dyDescent="0.2">
      <c r="A36" s="21" t="s">
        <v>92</v>
      </c>
      <c r="C36">
        <v>1</v>
      </c>
    </row>
    <row r="37" spans="1:4" ht="15.75" customHeight="1" x14ac:dyDescent="0.2">
      <c r="A37" s="21" t="s">
        <v>93</v>
      </c>
      <c r="C37">
        <v>1</v>
      </c>
    </row>
    <row r="38" spans="1:4" ht="15.75" customHeight="1" x14ac:dyDescent="0.2">
      <c r="A38" s="21" t="s">
        <v>94</v>
      </c>
      <c r="C38">
        <v>1</v>
      </c>
    </row>
    <row r="39" spans="1:4" ht="15.75" customHeight="1" x14ac:dyDescent="0.2">
      <c r="A39" s="21" t="s">
        <v>95</v>
      </c>
      <c r="D39">
        <v>1</v>
      </c>
    </row>
    <row r="40" spans="1:4" ht="15.75" customHeight="1" x14ac:dyDescent="0.2">
      <c r="A40" s="21" t="s">
        <v>96</v>
      </c>
      <c r="C40">
        <v>1</v>
      </c>
    </row>
    <row r="41" spans="1:4" ht="15.75" customHeight="1" x14ac:dyDescent="0.2">
      <c r="A41" s="21" t="s">
        <v>97</v>
      </c>
      <c r="D41">
        <v>1</v>
      </c>
    </row>
    <row r="42" spans="1:4" ht="15.75" customHeight="1" x14ac:dyDescent="0.2">
      <c r="A42" s="21" t="s">
        <v>98</v>
      </c>
      <c r="C42">
        <v>1</v>
      </c>
    </row>
    <row r="43" spans="1:4" ht="15.75" customHeight="1" x14ac:dyDescent="0.2">
      <c r="A43" s="21" t="s">
        <v>99</v>
      </c>
      <c r="D43">
        <v>1</v>
      </c>
    </row>
    <row r="44" spans="1:4" ht="15.75" customHeight="1" x14ac:dyDescent="0.2">
      <c r="A44" s="21" t="s">
        <v>100</v>
      </c>
      <c r="D44">
        <v>1</v>
      </c>
    </row>
    <row r="45" spans="1:4" ht="15.75" customHeight="1" x14ac:dyDescent="0.2">
      <c r="A45" s="21" t="s">
        <v>101</v>
      </c>
      <c r="C45">
        <v>1</v>
      </c>
    </row>
    <row r="46" spans="1:4" ht="15.75" customHeight="1" x14ac:dyDescent="0.2">
      <c r="A46" s="21" t="s">
        <v>102</v>
      </c>
      <c r="D46">
        <v>1</v>
      </c>
    </row>
    <row r="47" spans="1:4" ht="15.75" customHeight="1" x14ac:dyDescent="0.2">
      <c r="A47" s="21" t="s">
        <v>103</v>
      </c>
      <c r="C47">
        <v>1</v>
      </c>
    </row>
    <row r="48" spans="1:4" ht="15.75" customHeight="1" x14ac:dyDescent="0.2">
      <c r="A48" s="21" t="s">
        <v>104</v>
      </c>
      <c r="C48">
        <v>1</v>
      </c>
    </row>
    <row r="49" spans="1:5" ht="15.75" customHeight="1" x14ac:dyDescent="0.2">
      <c r="A49" s="21" t="s">
        <v>105</v>
      </c>
      <c r="D49">
        <v>1</v>
      </c>
    </row>
    <row r="50" spans="1:5" ht="15.75" customHeight="1" x14ac:dyDescent="0.2">
      <c r="A50" s="21" t="s">
        <v>106</v>
      </c>
      <c r="C50">
        <v>1</v>
      </c>
    </row>
    <row r="51" spans="1:5" ht="15.75" customHeight="1" x14ac:dyDescent="0.2">
      <c r="A51" s="21" t="s">
        <v>107</v>
      </c>
      <c r="C51">
        <v>1</v>
      </c>
    </row>
    <row r="52" spans="1:5" ht="15.75" customHeight="1" x14ac:dyDescent="0.2">
      <c r="A52" s="21" t="s">
        <v>108</v>
      </c>
      <c r="C52">
        <v>1</v>
      </c>
    </row>
    <row r="53" spans="1:5" ht="15.75" customHeight="1" x14ac:dyDescent="0.2">
      <c r="A53" s="21" t="s">
        <v>109</v>
      </c>
      <c r="D53">
        <v>1</v>
      </c>
    </row>
    <row r="54" spans="1:5" ht="15.75" customHeight="1" x14ac:dyDescent="0.2">
      <c r="A54" s="19" t="s">
        <v>51</v>
      </c>
      <c r="B54" s="20"/>
      <c r="C54" s="20"/>
      <c r="D54" s="20"/>
      <c r="E54" s="20"/>
    </row>
    <row r="55" spans="1:5" ht="15.75" customHeight="1" x14ac:dyDescent="0.2">
      <c r="A55" s="21" t="s">
        <v>110</v>
      </c>
      <c r="D55">
        <v>1</v>
      </c>
    </row>
    <row r="56" spans="1:5" ht="15.75" customHeight="1" x14ac:dyDescent="0.2">
      <c r="A56" s="21" t="s">
        <v>111</v>
      </c>
      <c r="C56">
        <v>1</v>
      </c>
    </row>
    <row r="57" spans="1:5" ht="15.75" customHeight="1" x14ac:dyDescent="0.2">
      <c r="A57" s="19" t="s">
        <v>53</v>
      </c>
      <c r="B57" s="20"/>
      <c r="C57" s="20"/>
      <c r="D57" s="20"/>
      <c r="E57" s="20"/>
    </row>
    <row r="58" spans="1:5" ht="15.75" customHeight="1" x14ac:dyDescent="0.2">
      <c r="A58" s="21" t="s">
        <v>112</v>
      </c>
      <c r="C58">
        <v>1</v>
      </c>
    </row>
    <row r="59" spans="1:5" ht="15.75" customHeight="1" x14ac:dyDescent="0.2">
      <c r="A59" s="21" t="s">
        <v>113</v>
      </c>
      <c r="C59">
        <v>1</v>
      </c>
    </row>
    <row r="60" spans="1:5" ht="15.75" customHeight="1" x14ac:dyDescent="0.2">
      <c r="A60" s="21" t="s">
        <v>114</v>
      </c>
      <c r="C60">
        <v>1</v>
      </c>
    </row>
    <row r="61" spans="1:5" ht="15.75" customHeight="1" x14ac:dyDescent="0.2">
      <c r="A61" s="21" t="s">
        <v>115</v>
      </c>
      <c r="C61">
        <v>1</v>
      </c>
    </row>
    <row r="62" spans="1:5" ht="15.75" customHeight="1" x14ac:dyDescent="0.2">
      <c r="A62" s="21" t="s">
        <v>116</v>
      </c>
      <c r="C62">
        <v>1</v>
      </c>
    </row>
    <row r="63" spans="1:5" ht="15.75" customHeight="1" x14ac:dyDescent="0.2">
      <c r="A63" s="21" t="s">
        <v>117</v>
      </c>
      <c r="D63">
        <v>1</v>
      </c>
    </row>
    <row r="64" spans="1:5" ht="15.75" customHeight="1" x14ac:dyDescent="0.2">
      <c r="A64" s="21" t="s">
        <v>118</v>
      </c>
      <c r="C64">
        <v>1</v>
      </c>
    </row>
    <row r="65" spans="1:5" ht="15.75" customHeight="1" x14ac:dyDescent="0.2">
      <c r="A65" s="21" t="s">
        <v>119</v>
      </c>
      <c r="D65">
        <v>1</v>
      </c>
    </row>
    <row r="66" spans="1:5" ht="15.75" customHeight="1" x14ac:dyDescent="0.2">
      <c r="A66" s="21" t="s">
        <v>120</v>
      </c>
      <c r="D66">
        <v>1</v>
      </c>
    </row>
    <row r="67" spans="1:5" ht="15.75" customHeight="1" x14ac:dyDescent="0.2">
      <c r="A67" s="21" t="s">
        <v>121</v>
      </c>
      <c r="D67">
        <v>1</v>
      </c>
    </row>
    <row r="68" spans="1:5" ht="15.75" customHeight="1" x14ac:dyDescent="0.2">
      <c r="A68" s="21" t="s">
        <v>122</v>
      </c>
      <c r="C68">
        <v>1</v>
      </c>
    </row>
    <row r="69" spans="1:5" ht="15.75" customHeight="1" x14ac:dyDescent="0.2">
      <c r="A69" s="21" t="s">
        <v>123</v>
      </c>
      <c r="C69">
        <v>1</v>
      </c>
    </row>
    <row r="70" spans="1:5" ht="15.75" customHeight="1" x14ac:dyDescent="0.2">
      <c r="A70" s="21" t="s">
        <v>124</v>
      </c>
      <c r="D70">
        <v>1</v>
      </c>
    </row>
    <row r="71" spans="1:5" ht="15.75" customHeight="1" x14ac:dyDescent="0.2">
      <c r="A71" s="19" t="s">
        <v>55</v>
      </c>
      <c r="B71" s="20"/>
      <c r="C71" s="20"/>
      <c r="D71" s="20"/>
      <c r="E71" s="20"/>
    </row>
    <row r="72" spans="1:5" ht="15.75" customHeight="1" x14ac:dyDescent="0.2">
      <c r="A72" s="21" t="s">
        <v>125</v>
      </c>
      <c r="C72">
        <v>1</v>
      </c>
    </row>
    <row r="73" spans="1:5" ht="15.75" customHeight="1" x14ac:dyDescent="0.2">
      <c r="A73" s="21" t="s">
        <v>126</v>
      </c>
      <c r="C73">
        <v>1</v>
      </c>
    </row>
    <row r="74" spans="1:5" ht="15.75" customHeight="1" x14ac:dyDescent="0.2">
      <c r="A74" s="21" t="s">
        <v>127</v>
      </c>
      <c r="D74">
        <v>1</v>
      </c>
    </row>
    <row r="75" spans="1:5" ht="15.75" customHeight="1" x14ac:dyDescent="0.2">
      <c r="A75" s="19" t="s">
        <v>57</v>
      </c>
      <c r="B75" s="20"/>
      <c r="C75" s="20"/>
      <c r="D75" s="20"/>
      <c r="E75" s="20"/>
    </row>
    <row r="76" spans="1:5" ht="15.75" customHeight="1" x14ac:dyDescent="0.2">
      <c r="A76" s="21" t="s">
        <v>128</v>
      </c>
      <c r="C76">
        <v>1</v>
      </c>
    </row>
    <row r="77" spans="1:5" ht="15.75" customHeight="1" x14ac:dyDescent="0.2">
      <c r="A77" s="21" t="s">
        <v>129</v>
      </c>
      <c r="C77">
        <v>1</v>
      </c>
    </row>
    <row r="78" spans="1:5" ht="15.75" customHeight="1" x14ac:dyDescent="0.2">
      <c r="A78" s="21" t="s">
        <v>130</v>
      </c>
      <c r="C78">
        <v>1</v>
      </c>
    </row>
    <row r="79" spans="1:5" ht="15.75" customHeight="1" x14ac:dyDescent="0.2">
      <c r="A79" s="21" t="s">
        <v>131</v>
      </c>
      <c r="D79">
        <v>1</v>
      </c>
    </row>
    <row r="80" spans="1:5" ht="15.75" customHeight="1" x14ac:dyDescent="0.2">
      <c r="A80" s="21" t="s">
        <v>132</v>
      </c>
      <c r="D80">
        <v>1</v>
      </c>
    </row>
    <row r="81" spans="1:5" ht="15.75" customHeight="1" x14ac:dyDescent="0.2">
      <c r="A81" s="21" t="s">
        <v>133</v>
      </c>
      <c r="C81">
        <v>1</v>
      </c>
    </row>
    <row r="82" spans="1:5" ht="15.75" customHeight="1" x14ac:dyDescent="0.2">
      <c r="A82" s="21" t="s">
        <v>134</v>
      </c>
      <c r="C82">
        <v>1</v>
      </c>
    </row>
    <row r="83" spans="1:5" ht="15.75" customHeight="1" x14ac:dyDescent="0.2">
      <c r="A83" s="21" t="s">
        <v>135</v>
      </c>
      <c r="C83">
        <v>1</v>
      </c>
    </row>
    <row r="84" spans="1:5" ht="15.75" customHeight="1" x14ac:dyDescent="0.2">
      <c r="A84" s="19" t="s">
        <v>59</v>
      </c>
      <c r="B84" s="20"/>
      <c r="C84" s="20"/>
      <c r="D84" s="20"/>
      <c r="E84" s="20"/>
    </row>
    <row r="85" spans="1:5" ht="15.75" customHeight="1" x14ac:dyDescent="0.2">
      <c r="A85" s="21" t="s">
        <v>136</v>
      </c>
      <c r="C85">
        <v>1</v>
      </c>
    </row>
    <row r="86" spans="1:5" ht="15.75" customHeight="1" x14ac:dyDescent="0.2">
      <c r="A86" s="21" t="s">
        <v>137</v>
      </c>
      <c r="D86">
        <v>1</v>
      </c>
    </row>
    <row r="87" spans="1:5" ht="15.75" customHeight="1" x14ac:dyDescent="0.2">
      <c r="A87" s="21" t="s">
        <v>138</v>
      </c>
      <c r="C87">
        <v>1</v>
      </c>
    </row>
    <row r="88" spans="1:5" ht="15.75" customHeight="1" x14ac:dyDescent="0.2">
      <c r="A88" s="21" t="s">
        <v>139</v>
      </c>
      <c r="C88">
        <v>1</v>
      </c>
    </row>
    <row r="89" spans="1:5" ht="15.75" customHeight="1" x14ac:dyDescent="0.2">
      <c r="A89" s="21" t="s">
        <v>140</v>
      </c>
      <c r="C89">
        <v>1</v>
      </c>
    </row>
    <row r="90" spans="1:5" ht="15.75" customHeight="1" x14ac:dyDescent="0.2">
      <c r="A90" s="21" t="s">
        <v>141</v>
      </c>
      <c r="C90">
        <v>1</v>
      </c>
    </row>
    <row r="91" spans="1:5" ht="15.75" customHeight="1" x14ac:dyDescent="0.2">
      <c r="A91" s="21" t="s">
        <v>142</v>
      </c>
      <c r="D91">
        <v>1</v>
      </c>
    </row>
    <row r="92" spans="1:5" ht="15.75" customHeight="1" x14ac:dyDescent="0.2">
      <c r="A92" s="21" t="s">
        <v>143</v>
      </c>
      <c r="C92">
        <v>1</v>
      </c>
    </row>
    <row r="93" spans="1:5" ht="15.75" customHeight="1" x14ac:dyDescent="0.2">
      <c r="A93" s="21" t="s">
        <v>144</v>
      </c>
      <c r="C93">
        <v>1</v>
      </c>
    </row>
    <row r="94" spans="1:5" ht="15.75" customHeight="1" x14ac:dyDescent="0.2">
      <c r="A94" s="21" t="s">
        <v>145</v>
      </c>
      <c r="C94">
        <v>1</v>
      </c>
    </row>
    <row r="95" spans="1:5" ht="15.75" customHeight="1" x14ac:dyDescent="0.2">
      <c r="A95" s="21" t="s">
        <v>146</v>
      </c>
      <c r="C95">
        <v>1</v>
      </c>
    </row>
    <row r="96" spans="1:5" ht="15.75" customHeight="1" x14ac:dyDescent="0.2">
      <c r="A96" s="21" t="s">
        <v>147</v>
      </c>
      <c r="D96">
        <v>1</v>
      </c>
    </row>
    <row r="97" spans="1:5" ht="15.75" customHeight="1" x14ac:dyDescent="0.2">
      <c r="A97" s="19" t="s">
        <v>61</v>
      </c>
      <c r="B97" s="20"/>
      <c r="C97" s="20"/>
      <c r="D97" s="20"/>
      <c r="E97" s="20"/>
    </row>
    <row r="98" spans="1:5" ht="15.75" customHeight="1" x14ac:dyDescent="0.2">
      <c r="A98" s="21" t="s">
        <v>148</v>
      </c>
      <c r="C98">
        <v>1</v>
      </c>
    </row>
    <row r="99" spans="1:5" ht="15.75" customHeight="1" x14ac:dyDescent="0.2">
      <c r="A99" s="19" t="s">
        <v>63</v>
      </c>
      <c r="B99" s="20"/>
      <c r="C99" s="20"/>
      <c r="D99" s="20"/>
      <c r="E99" s="20"/>
    </row>
    <row r="100" spans="1:5" ht="15.75" customHeight="1" x14ac:dyDescent="0.2">
      <c r="A100" s="21" t="s">
        <v>149</v>
      </c>
      <c r="B100">
        <v>1</v>
      </c>
    </row>
    <row r="101" spans="1:5" ht="15.75" customHeight="1" x14ac:dyDescent="0.2">
      <c r="A101" s="19" t="s">
        <v>65</v>
      </c>
      <c r="B101" s="20"/>
      <c r="C101" s="20"/>
      <c r="D101" s="20"/>
      <c r="E101" s="20"/>
    </row>
    <row r="102" spans="1:5" ht="15.75" customHeight="1" x14ac:dyDescent="0.2">
      <c r="A102" s="21" t="s">
        <v>150</v>
      </c>
      <c r="C102">
        <v>1</v>
      </c>
    </row>
    <row r="103" spans="1:5" ht="15.75" customHeight="1" x14ac:dyDescent="0.2">
      <c r="A103" s="22" t="s">
        <v>17</v>
      </c>
      <c r="B103" s="23">
        <v>4</v>
      </c>
      <c r="C103" s="23">
        <v>55</v>
      </c>
      <c r="D103" s="23">
        <v>21</v>
      </c>
      <c r="E103" s="23">
        <v>1</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Comparativo por País</vt:lpstr>
      <vt:lpstr>Mapeo de Cargos</vt:lpstr>
      <vt:lpstr>Datos Estandarizados</vt:lpstr>
      <vt:lpstr>Dotación 2026</vt:lpstr>
      <vt:lpstr>Datación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Cuero</dc:creator>
  <dc:description/>
  <cp:lastModifiedBy>Daniel Cuero</cp:lastModifiedBy>
  <cp:revision>0</cp:revision>
  <dcterms:created xsi:type="dcterms:W3CDTF">2026-07-07T04:16:13Z</dcterms:created>
  <dcterms:modified xsi:type="dcterms:W3CDTF">2026-07-07T04:58:48Z</dcterms:modified>
  <dc:language>en-US</dc:language>
</cp:coreProperties>
</file>